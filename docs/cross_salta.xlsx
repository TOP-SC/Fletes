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ss Salta" sheetId="1" r:id="rId5"/>
    <sheet state="visible" name="Preparado para Retirar por Alfa" sheetId="2" r:id="rId6"/>
    <sheet state="visible" name="Retirado por Logistica Alfaro" sheetId="3" r:id="rId7"/>
  </sheets>
  <definedNames>
    <definedName hidden="1" localSheetId="2" name="_xlnm._FilterDatabase">'Retirado por Logistica Alfaro'!$A$1:$T$2</definedName>
  </definedNames>
  <calcPr/>
</workbook>
</file>

<file path=xl/sharedStrings.xml><?xml version="1.0" encoding="utf-8"?>
<sst xmlns="http://schemas.openxmlformats.org/spreadsheetml/2006/main" count="64663" uniqueCount="14455">
  <si>
    <t>COMPLETA LOGISTICA</t>
  </si>
  <si>
    <t>FECHA DE RETIRO</t>
  </si>
  <si>
    <t>REMITO</t>
  </si>
  <si>
    <t>PEDIDO</t>
  </si>
  <si>
    <t>CODIGO DE CLIENTE</t>
  </si>
  <si>
    <t>CLIENTE</t>
  </si>
  <si>
    <t>DIRECCION</t>
  </si>
  <si>
    <t>LOCALIDAD</t>
  </si>
  <si>
    <t>PROVINCIA</t>
  </si>
  <si>
    <t>CP</t>
  </si>
  <si>
    <t>TELEFONO</t>
  </si>
  <si>
    <t>SKU</t>
  </si>
  <si>
    <t>DESCRIPCION</t>
  </si>
  <si>
    <t>CANTIDAD</t>
  </si>
  <si>
    <t>MAIL</t>
  </si>
  <si>
    <t>OBSERVACION</t>
  </si>
  <si>
    <t>R0017800185713</t>
  </si>
  <si>
    <t>VV2776</t>
  </si>
  <si>
    <t>Aldo Tejerina</t>
  </si>
  <si>
    <t>Barrio"Santa lucia" calle Santa elena 2882</t>
  </si>
  <si>
    <t>Salta</t>
  </si>
  <si>
    <t>387 450-4219// +54 9
0387
4504219</t>
  </si>
  <si>
    <t>COVIDA140190</t>
  </si>
  <si>
    <t>Colchón Telgo Vida 140x190</t>
  </si>
  <si>
    <t>aldotuli510@hotmail.com</t>
  </si>
  <si>
    <t>SOBAJA140190E</t>
  </si>
  <si>
    <t>Sommier All White 140x190</t>
  </si>
  <si>
    <t>R0017800185714</t>
  </si>
  <si>
    <t>VV2885</t>
  </si>
  <si>
    <t>OMAR MARTIN CANCHI ML</t>
  </si>
  <si>
    <t>Diario el Pregon 2257</t>
  </si>
  <si>
    <t>3875198803//</t>
  </si>
  <si>
    <t>COLNEA140190</t>
  </si>
  <si>
    <t>Col Sealy Est Linen 140x190</t>
  </si>
  <si>
    <t>martincanchi@gmail.com</t>
  </si>
  <si>
    <t>SOSNA140190E</t>
  </si>
  <si>
    <t>Som Sealy Carbon Grey 140x190</t>
  </si>
  <si>
    <t>R0017800185715</t>
  </si>
  <si>
    <t>VV3069</t>
  </si>
  <si>
    <t>EZEQUIEL FERNANDO CASIMIRO ML</t>
  </si>
  <si>
    <t>Calle General Paz 363</t>
  </si>
  <si>
    <t>Tartagal</t>
  </si>
  <si>
    <t>3873452006//</t>
  </si>
  <si>
    <t>casimiroezequiel21@gmail.com</t>
  </si>
  <si>
    <t>R0017800185716</t>
  </si>
  <si>
    <t>VV3725</t>
  </si>
  <si>
    <t>Nicole Agustina Barraco</t>
  </si>
  <si>
    <t>Arnaldo Etchart 157 157</t>
  </si>
  <si>
    <t>CAFAYATE</t>
  </si>
  <si>
    <t>3868460531//</t>
  </si>
  <si>
    <t>CODORA140190</t>
  </si>
  <si>
    <t>Col. Telgo Dorado 140x190</t>
  </si>
  <si>
    <t>nicolebarraco2018@gmail.com</t>
  </si>
  <si>
    <t>nuestra señora del rosario y calchaquí</t>
  </si>
  <si>
    <t>R0017800185717</t>
  </si>
  <si>
    <t>VV4255</t>
  </si>
  <si>
    <t>VW2500</t>
  </si>
  <si>
    <t>Germán Buch 2744</t>
  </si>
  <si>
    <t>Capital</t>
  </si>
  <si>
    <t>3875025532// +54 9
387
5025532</t>
  </si>
  <si>
    <t>COVIDA090190</t>
  </si>
  <si>
    <t>Colchón Telgo Vida 090x190</t>
  </si>
  <si>
    <t>anabelp1803@gmail.com</t>
  </si>
  <si>
    <t>Roxana Anabel Prieto</t>
  </si>
  <si>
    <t>SOBAJA090190E</t>
  </si>
  <si>
    <t>Sommier All White 090x190</t>
  </si>
  <si>
    <t>R0017800185719</t>
  </si>
  <si>
    <t>VV5044</t>
  </si>
  <si>
    <t>ANDREA SOLEDAD UNCO ML</t>
  </si>
  <si>
    <t>Apolinario Saravia</t>
  </si>
  <si>
    <t>3877536027//</t>
  </si>
  <si>
    <t>uncosole5@gmail.com</t>
  </si>
  <si>
    <t>R0017800185931</t>
  </si>
  <si>
    <t>VV4051</t>
  </si>
  <si>
    <t>ALVAREZ ANDREA MARCELA BP</t>
  </si>
  <si>
    <t>BARRIO SAN CARLOS MZA 43 CASA 7 7 CASAS 7</t>
  </si>
  <si>
    <t>Salta , capital</t>
  </si>
  <si>
    <t>3875251763//</t>
  </si>
  <si>
    <t>COSUNB090200</t>
  </si>
  <si>
    <t>Col Sealy EstSunshineB 090x200</t>
  </si>
  <si>
    <t>andymar09@gmail.com</t>
  </si>
  <si>
    <t>COFEZA090190</t>
  </si>
  <si>
    <t>Colchón Meyer Feliz 090x190</t>
  </si>
  <si>
    <t>R0017800187426</t>
  </si>
  <si>
    <t>VV5900</t>
  </si>
  <si>
    <t>RAUL ALEJANDRO VALE ML</t>
  </si>
  <si>
    <t>B Solidaridad L25 SN</t>
  </si>
  <si>
    <t>3875807514// 3875807514</t>
  </si>
  <si>
    <t>87604.60</t>
  </si>
  <si>
    <t>Som. Universal Gris 140x190</t>
  </si>
  <si>
    <t>ale.rlv91@gmail.com</t>
  </si>
  <si>
    <t>R0017800188670</t>
  </si>
  <si>
    <t>VV6391</t>
  </si>
  <si>
    <t>Santiago Mendez</t>
  </si>
  <si>
    <t>zuvi 2611</t>
  </si>
  <si>
    <t>3875206716// +54 9
387
5206716</t>
  </si>
  <si>
    <t>santiago.mendez.4890@gmail.com</t>
  </si>
  <si>
    <t>Zuviria Y Juan de matienzo</t>
  </si>
  <si>
    <t>COCCCC140190</t>
  </si>
  <si>
    <t>Col Sealy Chill Box(N)140x190</t>
  </si>
  <si>
    <t>R0017800188671</t>
  </si>
  <si>
    <t>B43052</t>
  </si>
  <si>
    <t>JOAQUIN CORNEJO BLASCO bp</t>
  </si>
  <si>
    <t>los carolinos 515</t>
  </si>
  <si>
    <t>salta</t>
  </si>
  <si>
    <t>387-5280561// 387-5280561</t>
  </si>
  <si>
    <t>COSALA140190</t>
  </si>
  <si>
    <t>Colchón Meyer Salud 140x190</t>
  </si>
  <si>
    <t>joaquincornejoo@hotmail.com</t>
  </si>
  <si>
    <t>rosas y los juncaros</t>
  </si>
  <si>
    <t>SOCELA140190E</t>
  </si>
  <si>
    <t>Som Light Blue 140x190</t>
  </si>
  <si>
    <t>R0017800188985</t>
  </si>
  <si>
    <t>X13642</t>
  </si>
  <si>
    <t>daniela cordoba</t>
  </si>
  <si>
    <t>paraguay 2259</t>
  </si>
  <si>
    <t>SALTA CAPITAL</t>
  </si>
  <si>
    <t>3876843988// 3876843988</t>
  </si>
  <si>
    <t>COEMEA180200</t>
  </si>
  <si>
    <t>Col Sealy Post Emerald 180x200</t>
  </si>
  <si>
    <t>sdajhdfsa@gmail.com</t>
  </si>
  <si>
    <t>SOSNA090200E</t>
  </si>
  <si>
    <t>Som Sealy Carbon Grey 090x200</t>
  </si>
  <si>
    <t>R0017800188989</t>
  </si>
  <si>
    <t>X08288</t>
  </si>
  <si>
    <t>MICOL CRISTIAN ALEJANDRO</t>
  </si>
  <si>
    <t>PARAGUAY 2259</t>
  </si>
  <si>
    <t>SALTA</t>
  </si>
  <si>
    <t>3874856989// 3874856989</t>
  </si>
  <si>
    <t>COSALA100190</t>
  </si>
  <si>
    <t>Colchón Meyer Salud 100x190</t>
  </si>
  <si>
    <t>NICOL@HOTMAIL.COM</t>
  </si>
  <si>
    <t>R0017800189086</t>
  </si>
  <si>
    <t>VV6654</t>
  </si>
  <si>
    <t>NAHIARA ARMELLA BP</t>
  </si>
  <si>
    <t>Las Hortencias 391</t>
  </si>
  <si>
    <t>3874153694// 3874153694</t>
  </si>
  <si>
    <t>iaraarmella06@gmail.com</t>
  </si>
  <si>
    <t>Junquillo y Las violetas</t>
  </si>
  <si>
    <t>Las hortencias 391</t>
  </si>
  <si>
    <t>R0017800189087</t>
  </si>
  <si>
    <t>X13836</t>
  </si>
  <si>
    <t>AIR SRL</t>
  </si>
  <si>
    <t>JUAN E TAMALLO 363</t>
  </si>
  <si>
    <t>3872226287// 3872226287</t>
  </si>
  <si>
    <t>CODEVA200200</t>
  </si>
  <si>
    <t>Col Meyer Devas 200x200</t>
  </si>
  <si>
    <t>FEWF1214@HOTMAIL.COM</t>
  </si>
  <si>
    <t>DEAN FUNES Y PUEYRREDON</t>
  </si>
  <si>
    <t>SOCELA100200E</t>
  </si>
  <si>
    <t>Som Light Blue 100x200</t>
  </si>
  <si>
    <t>R0017800189101</t>
  </si>
  <si>
    <t>VV6876</t>
  </si>
  <si>
    <t>victor cesar vilte</t>
  </si>
  <si>
    <t>Martín Miguel de Güemes 691</t>
  </si>
  <si>
    <t>Rosario de lerma</t>
  </si>
  <si>
    <t>03874030128// +54 9
387
4030128</t>
  </si>
  <si>
    <t>victorvilte@hotmail.com</t>
  </si>
  <si>
    <t>R0017800189102</t>
  </si>
  <si>
    <t>R0017800189103</t>
  </si>
  <si>
    <t>VV6834</t>
  </si>
  <si>
    <t>CÉSAR SEBASTIÁN SANTAMARIA BP WS</t>
  </si>
  <si>
    <t>AV RIVADAVIA 644 1</t>
  </si>
  <si>
    <t>Joaquín V González</t>
  </si>
  <si>
    <t>2964479105// 2964479105</t>
  </si>
  <si>
    <t>CORAIB160190</t>
  </si>
  <si>
    <t>Col Sealy Perf RainbowN160x190</t>
  </si>
  <si>
    <t>santamaria_sebastian@yahoo.com.ar</t>
  </si>
  <si>
    <t>1ero de Mayo y Córdoba</t>
  </si>
  <si>
    <t>SOSNA080190E</t>
  </si>
  <si>
    <t>Som Sealy Carbon Grey 080x190</t>
  </si>
  <si>
    <t>R0017800189112</t>
  </si>
  <si>
    <t>X13859</t>
  </si>
  <si>
    <t>GOMEZ NAVAMUEL BRISA CRISTINA</t>
  </si>
  <si>
    <t>RADIO COLON DE SAN JUAN 2686</t>
  </si>
  <si>
    <t>3875492705// 3875492705</t>
  </si>
  <si>
    <t>CODEVA140190</t>
  </si>
  <si>
    <t>Col Meyer Devas 140x190</t>
  </si>
  <si>
    <t>BRIICGN@GMAIL.COM</t>
  </si>
  <si>
    <t>SUR ARGENTINO ESQUINA</t>
  </si>
  <si>
    <t>R0017800189462</t>
  </si>
  <si>
    <t>X13537</t>
  </si>
  <si>
    <t>PONCE MARIA LUCIA</t>
  </si>
  <si>
    <t>3874890442// 3874890442</t>
  </si>
  <si>
    <t>COVIDA100190</t>
  </si>
  <si>
    <t>Colchón Telgo Vida 100x190</t>
  </si>
  <si>
    <t>R0017800189463</t>
  </si>
  <si>
    <t>X13643</t>
  </si>
  <si>
    <t>CASANOVA ALVARO</t>
  </si>
  <si>
    <t>3875114165// 3875114165</t>
  </si>
  <si>
    <t>COSUNB160190</t>
  </si>
  <si>
    <t>Col Sealy EstSunshineB 160x190</t>
  </si>
  <si>
    <t>R0017800189464</t>
  </si>
  <si>
    <t>X13802</t>
  </si>
  <si>
    <t>ROXANA NATALIA MORALES</t>
  </si>
  <si>
    <t>3875329748// 3875329748</t>
  </si>
  <si>
    <t>CODEVA180200</t>
  </si>
  <si>
    <t>Col Meyer Devas 180x200</t>
  </si>
  <si>
    <t>R0017800189465</t>
  </si>
  <si>
    <t>X13672</t>
  </si>
  <si>
    <t>BARRAZA GUSTAVO MARCELO</t>
  </si>
  <si>
    <t>PJE PICHANAL 51</t>
  </si>
  <si>
    <t>3874623782// 3874623782</t>
  </si>
  <si>
    <t>R0017800189761</t>
  </si>
  <si>
    <t>VT6294</t>
  </si>
  <si>
    <t>Daniela Alejandra Albarracin</t>
  </si>
  <si>
    <t>Los mirlos altura 4600</t>
  </si>
  <si>
    <t>Barrio ampliacion bancario</t>
  </si>
  <si>
    <t>3875479078// +54 9
387
5479078</t>
  </si>
  <si>
    <t>danielaalbarracin14@hotmail.com</t>
  </si>
  <si>
    <t xml:space="preserve"> Dpto A PB Referencia: Barrio</t>
  </si>
  <si>
    <t>R0017800189787</t>
  </si>
  <si>
    <t>X10534</t>
  </si>
  <si>
    <t>OARDI ANGEL RAUL X</t>
  </si>
  <si>
    <t>BARRIO EL HUAICO MZA 519B 4</t>
  </si>
  <si>
    <t>4956156// 4956156</t>
  </si>
  <si>
    <t>DFSDSD@GMAIL.COM</t>
  </si>
  <si>
    <t>QUIRQUINCHO Y UNSA</t>
  </si>
  <si>
    <t>COQUAA180200</t>
  </si>
  <si>
    <t>Col Sealy Post Quartz 180x200</t>
  </si>
  <si>
    <t>R0017800189808</t>
  </si>
  <si>
    <t>VV7096</t>
  </si>
  <si>
    <t>Debora Medina</t>
  </si>
  <si>
    <t>Pje.Cafa 719</t>
  </si>
  <si>
    <t>3874848256// +54 9
387
4848256</t>
  </si>
  <si>
    <t>COCCCC090190</t>
  </si>
  <si>
    <t>Col Sealy Chill Box(N) 090x190</t>
  </si>
  <si>
    <t>debomedina.dem@gmail.com</t>
  </si>
  <si>
    <t>R0017800189809</t>
  </si>
  <si>
    <t>X13864</t>
  </si>
  <si>
    <t>GOMEZ GUADALUPE</t>
  </si>
  <si>
    <t>B NUESTRA SRA DEL CARMEN MZA C CASA 104</t>
  </si>
  <si>
    <t>3874738181// 3875446999</t>
  </si>
  <si>
    <t>SOSNA100200E</t>
  </si>
  <si>
    <t>Som Sealy Carbon Grey 100x200</t>
  </si>
  <si>
    <t>SJHSDAH@GMAIL.COM</t>
  </si>
  <si>
    <t>LA PRIMERA CUADRA AL LADO DEL NEGOCIO</t>
  </si>
  <si>
    <t>Alm. Zlow Extra 90X50</t>
  </si>
  <si>
    <t>COSPTB200200</t>
  </si>
  <si>
    <t>Col Sealy Perf SpiritN200x200</t>
  </si>
  <si>
    <t>R0017800190065</t>
  </si>
  <si>
    <t>Los mirlos 4600</t>
  </si>
  <si>
    <t>Barrio ampliacion</t>
  </si>
  <si>
    <t>R0017800190097</t>
  </si>
  <si>
    <t>VV7236</t>
  </si>
  <si>
    <t>Noelia Andrea Hernandez</t>
  </si>
  <si>
    <t>Ana Albeza 1324 Bª Villa Mitre 1324</t>
  </si>
  <si>
    <t>Salta Capital</t>
  </si>
  <si>
    <t>3875081518//</t>
  </si>
  <si>
    <t>COJADA200200</t>
  </si>
  <si>
    <t>Col Sealy Post Jade 200x200</t>
  </si>
  <si>
    <t>edupa1324@gmail.com</t>
  </si>
  <si>
    <t>Pompilio Guzman y Joaquin Ramos</t>
  </si>
  <si>
    <t>R0017800190131</t>
  </si>
  <si>
    <t>VV7313</t>
  </si>
  <si>
    <t>NILDA NOEMI PEREZ TIENDA BNA</t>
  </si>
  <si>
    <t>SAN ANTONIO 1782</t>
  </si>
  <si>
    <t>3875826787 //</t>
  </si>
  <si>
    <t>87611.60</t>
  </si>
  <si>
    <t>Som. Universal Gris 100x200</t>
  </si>
  <si>
    <t>nilda_perez44@hotmail.es</t>
  </si>
  <si>
    <t>.</t>
  </si>
  <si>
    <t>COCCCC200200</t>
  </si>
  <si>
    <t>Col Sealy Chill Box(N) 200x200</t>
  </si>
  <si>
    <t>R0017800190141</t>
  </si>
  <si>
    <t>X13873</t>
  </si>
  <si>
    <t>VICTOR LESCAFFETTE</t>
  </si>
  <si>
    <t>RONDEAU 979</t>
  </si>
  <si>
    <t>1158962576// 1158962576</t>
  </si>
  <si>
    <t>2100DA</t>
  </si>
  <si>
    <t>Colchón Telgo Vida Mat.100x190</t>
  </si>
  <si>
    <t>FFFEGB1215@HOTMAIL.COM</t>
  </si>
  <si>
    <t>ZABALA Y CORRIENTES</t>
  </si>
  <si>
    <t>SOBAJA100190E</t>
  </si>
  <si>
    <t>Sommier All White 100x190</t>
  </si>
  <si>
    <t>R0017800190142</t>
  </si>
  <si>
    <t>X13876</t>
  </si>
  <si>
    <t>LIENDRO SERGIO</t>
  </si>
  <si>
    <t>Salta capital</t>
  </si>
  <si>
    <t>3875009758// 3875009758</t>
  </si>
  <si>
    <t>COEMEA160200</t>
  </si>
  <si>
    <t>Col Sealy Post Emerald 160x200</t>
  </si>
  <si>
    <t>aep.161277@gmail.com</t>
  </si>
  <si>
    <t>VITAL</t>
  </si>
  <si>
    <t>R0017800190202</t>
  </si>
  <si>
    <t>X13878</t>
  </si>
  <si>
    <t>GAUFIN FEDERICO</t>
  </si>
  <si>
    <t>BARRIO JARDINES DE SAN LORENZO MZA 3 9</t>
  </si>
  <si>
    <t>3874666022// 3874666022</t>
  </si>
  <si>
    <t>CODORA100190</t>
  </si>
  <si>
    <t>Col. Telgo Dorado 100x190</t>
  </si>
  <si>
    <t>DSDS@GMAIL.COM</t>
  </si>
  <si>
    <t>SAN LORENZO CHICO</t>
  </si>
  <si>
    <t>R0017800190203</t>
  </si>
  <si>
    <t>X13884</t>
  </si>
  <si>
    <t>KONIG JORGE FERNANDO</t>
  </si>
  <si>
    <t>SAlta</t>
  </si>
  <si>
    <t>3875366081// 3875366081</t>
  </si>
  <si>
    <t>COQUAA160200</t>
  </si>
  <si>
    <t>Col Sealy Post Quartz 160x200</t>
  </si>
  <si>
    <t>CDC@GMAIL.COM</t>
  </si>
  <si>
    <t>SUCURSAL SALTA</t>
  </si>
  <si>
    <t>46-491160</t>
  </si>
  <si>
    <t>Cama Cajon Antilla 160 Wengue</t>
  </si>
  <si>
    <t>R0017800190204</t>
  </si>
  <si>
    <t>X13890</t>
  </si>
  <si>
    <t>TEJERINA PERALTA SANTIAGO</t>
  </si>
  <si>
    <t>3876845072// 3876845072</t>
  </si>
  <si>
    <t>smyperalta@gmail.com</t>
  </si>
  <si>
    <t>vital</t>
  </si>
  <si>
    <t>R0017800190205</t>
  </si>
  <si>
    <t>X13891</t>
  </si>
  <si>
    <t>CASTRO MARIA JOSE</t>
  </si>
  <si>
    <t>3875311262// 3875311262</t>
  </si>
  <si>
    <t>Som. Universal White 100x190</t>
  </si>
  <si>
    <t>DSDSD@GMAIL.COM</t>
  </si>
  <si>
    <t>SUCURSAL</t>
  </si>
  <si>
    <t>Colchón L.Palladium 100x190x20</t>
  </si>
  <si>
    <t>R0017800190230</t>
  </si>
  <si>
    <t>X13898</t>
  </si>
  <si>
    <t>DOMINGUES AILEN ALDANA</t>
  </si>
  <si>
    <t>VICENTE LOPEZ 975</t>
  </si>
  <si>
    <t>3876014569// 3876014569</t>
  </si>
  <si>
    <t>COCCCC130190</t>
  </si>
  <si>
    <t>Col Sealy Chill Box(N)130x190</t>
  </si>
  <si>
    <t>ASKJHD@GMAIL.COM</t>
  </si>
  <si>
    <t>AMEGHINO Y NECOCHEA</t>
  </si>
  <si>
    <t>R0017800190231</t>
  </si>
  <si>
    <t>X13901</t>
  </si>
  <si>
    <t>ULLOA JUAN ANDRES</t>
  </si>
  <si>
    <t>ARIAS VELAZQUEZ 162</t>
  </si>
  <si>
    <t>3874587776// 3874587776</t>
  </si>
  <si>
    <t>COCCCC150190</t>
  </si>
  <si>
    <t>Col Sealy Chill Box(N) 150x190</t>
  </si>
  <si>
    <t>SXKJ@GMAIL.COM</t>
  </si>
  <si>
    <t>VICENTE LOPEZ Y JURAMENTO 2400</t>
  </si>
  <si>
    <t>R0017800190232</t>
  </si>
  <si>
    <t>X13800</t>
  </si>
  <si>
    <t>MARTINEZ MARIANA X</t>
  </si>
  <si>
    <t>3874027023// 3874027023</t>
  </si>
  <si>
    <t>SOSNA080200E</t>
  </si>
  <si>
    <t>Som Sealy Carbon Grey 080x200</t>
  </si>
  <si>
    <t>SALFJ@GMAIL.COM</t>
  </si>
  <si>
    <t>AV ESTADIO Y COCA COLA</t>
  </si>
  <si>
    <t>COSPTB160200</t>
  </si>
  <si>
    <t>Col Sealy Perf SpiritN160x200</t>
  </si>
  <si>
    <t>R0017800190717</t>
  </si>
  <si>
    <t>VV7469</t>
  </si>
  <si>
    <t>Maria Gabriela Reales</t>
  </si>
  <si>
    <t>pje las cañas, calle las zanjas 53</t>
  </si>
  <si>
    <t>Vaqueros</t>
  </si>
  <si>
    <t>3875171783// +54 9
387
5171783</t>
  </si>
  <si>
    <t>COCCCC100190</t>
  </si>
  <si>
    <t>Col Sealy Chill Box(N)100x190</t>
  </si>
  <si>
    <t>gabrielareales1710@gmail.com</t>
  </si>
  <si>
    <t>R0017800190721</t>
  </si>
  <si>
    <t>VV7529</t>
  </si>
  <si>
    <t>Camila Nahir Juarez</t>
  </si>
  <si>
    <t>JujuPje. Anta, Salta, Argentina 1237</t>
  </si>
  <si>
    <t>3875854052// +54 9
387
5854052</t>
  </si>
  <si>
    <t>2104DA</t>
  </si>
  <si>
    <t>Colchón Telgo Vida Mat.140x190</t>
  </si>
  <si>
    <t>cnahiir2@gmail.com</t>
  </si>
  <si>
    <t>Gorriti Y Gral paz</t>
  </si>
  <si>
    <t>R0017800190724</t>
  </si>
  <si>
    <t>VV7801</t>
  </si>
  <si>
    <t>Andres Marcelo Gastón Aybar</t>
  </si>
  <si>
    <t>pje Lerma 1158 1158</t>
  </si>
  <si>
    <t>San Ramon de la Nueva Oran</t>
  </si>
  <si>
    <t>3875806386// +54 9
387
5806386</t>
  </si>
  <si>
    <t>andres23bran@gmail.com</t>
  </si>
  <si>
    <t>R0017800190725</t>
  </si>
  <si>
    <t>R0017800190728</t>
  </si>
  <si>
    <t>VV7860</t>
  </si>
  <si>
    <t>Fernando Miranda</t>
  </si>
  <si>
    <t>Los Robles 6</t>
  </si>
  <si>
    <t>El Carril</t>
  </si>
  <si>
    <t>3875857975// +54 9
387
5857975</t>
  </si>
  <si>
    <t>COENEA180200</t>
  </si>
  <si>
    <t>Col. Meyer Energía 180x200</t>
  </si>
  <si>
    <t>fernandomiranda646@gmail.com</t>
  </si>
  <si>
    <t>SOCELA090200E</t>
  </si>
  <si>
    <t>Som Light Blue 090x200</t>
  </si>
  <si>
    <t>R0017800190729</t>
  </si>
  <si>
    <t>X13902</t>
  </si>
  <si>
    <t>JAUREGUI RAQUEL JIMENA</t>
  </si>
  <si>
    <t>BARRIO SAN FRANCISCO SOLANO MZA 252D 31</t>
  </si>
  <si>
    <t>3876103297// 3876103297</t>
  </si>
  <si>
    <t>RAKELJAUREGUI89@GMAIL.COM</t>
  </si>
  <si>
    <t>TRES CUADRAS AVENIDA VARELA</t>
  </si>
  <si>
    <t>R0017800190730</t>
  </si>
  <si>
    <t>X13906</t>
  </si>
  <si>
    <t>GERONIMO GUSTAVO EMILIO</t>
  </si>
  <si>
    <t>CATAMARCA 1281</t>
  </si>
  <si>
    <t>3875646908// 3876238563</t>
  </si>
  <si>
    <t>SDAKJDS@GMAIL.COM</t>
  </si>
  <si>
    <t>LEGUIZAMON Y PJE SARAVIA</t>
  </si>
  <si>
    <t>R0017800191117</t>
  </si>
  <si>
    <t>VV7522</t>
  </si>
  <si>
    <t>Nahuel Rossetto Pintos</t>
  </si>
  <si>
    <t>Diario los andes 2578 2578</t>
  </si>
  <si>
    <t>3872535091// +54 9
387
2535091</t>
  </si>
  <si>
    <t>nrossetto2293@gmail.com</t>
  </si>
  <si>
    <t>Avenida roberto romero Y La opinion</t>
  </si>
  <si>
    <t>R0017800191119</t>
  </si>
  <si>
    <t>VV7791</t>
  </si>
  <si>
    <t>Gonzalo Durán</t>
  </si>
  <si>
    <t>Barrio Pereyra Rozas Manzana 601 Casa 18 18</t>
  </si>
  <si>
    <t>03876105820// +54 9
387
6105820</t>
  </si>
  <si>
    <t>gonzalo.jose.duran@gmail.com</t>
  </si>
  <si>
    <t>CODEVA080190</t>
  </si>
  <si>
    <t>Col Meyer Devas 080x190</t>
  </si>
  <si>
    <t>13-125702</t>
  </si>
  <si>
    <t>Alm. Zlow Visco Cervical</t>
  </si>
  <si>
    <t>R0017800191129</t>
  </si>
  <si>
    <t>X13907</t>
  </si>
  <si>
    <t>QUIROS JAVIER</t>
  </si>
  <si>
    <t>LA RESERVA LOTE 142</t>
  </si>
  <si>
    <t>3875216803// 3875216803</t>
  </si>
  <si>
    <t>JAVIERODI@HOTMAIL.COM</t>
  </si>
  <si>
    <t>san lorenzo</t>
  </si>
  <si>
    <t>R0017800191607</t>
  </si>
  <si>
    <t>VV8150</t>
  </si>
  <si>
    <t>RODRIGUEZ CLAUDIO RENE BP</t>
  </si>
  <si>
    <t>Hugo Alarcon 7</t>
  </si>
  <si>
    <t>CAMPO QUIJANO</t>
  </si>
  <si>
    <t>03875447533// 03875447533</t>
  </si>
  <si>
    <t>claudio.rene.rodriguez@gmail.com</t>
  </si>
  <si>
    <t>CASA 7 BARRIO POLICIAL ENTRE RUTA 36 Y PANTALEON</t>
  </si>
  <si>
    <t>R0017800191610</t>
  </si>
  <si>
    <t>VV8465</t>
  </si>
  <si>
    <t>SERGIO RENE APONTE</t>
  </si>
  <si>
    <t>esmeralda 935</t>
  </si>
  <si>
    <t>tartagal</t>
  </si>
  <si>
    <t>3873594782//</t>
  </si>
  <si>
    <t>sergioreneaponte@gmail.com</t>
  </si>
  <si>
    <t>R0017800191876</t>
  </si>
  <si>
    <t>VV0653</t>
  </si>
  <si>
    <t xml:space="preserve">  </t>
  </si>
  <si>
    <t>TARTAGAL</t>
  </si>
  <si>
    <t>03873357139// +54 9
3873
357139</t>
  </si>
  <si>
    <t>185701.15</t>
  </si>
  <si>
    <t>Resp SQUAD Koronia 2P EcoCrudo</t>
  </si>
  <si>
    <t>pablodario0889@gmail.com</t>
  </si>
  <si>
    <t>Pablo Dario Pajon</t>
  </si>
  <si>
    <t>185702.17</t>
  </si>
  <si>
    <t>Resp SQUADKoronia 2 1/2P Negro</t>
  </si>
  <si>
    <t>R0017800191958</t>
  </si>
  <si>
    <t>VV8286</t>
  </si>
  <si>
    <t>Ana Mercedes Frisoli Azcarate</t>
  </si>
  <si>
    <t>Alvarez Jonte 1015</t>
  </si>
  <si>
    <t>3875217121// +54 9
387
5217121</t>
  </si>
  <si>
    <t>anitafrisoli0802@gmail.com</t>
  </si>
  <si>
    <t>R0017800191959</t>
  </si>
  <si>
    <t>CINTIA PAOLA ROLDAN</t>
  </si>
  <si>
    <t>R0017800192283</t>
  </si>
  <si>
    <t>VV8641</t>
  </si>
  <si>
    <t>Jose hernandez 188</t>
  </si>
  <si>
    <t>Rosario de la Frontera</t>
  </si>
  <si>
    <t>3876411671//</t>
  </si>
  <si>
    <t>CINTIAPAOLAROLDAN6@GMAIL.COM</t>
  </si>
  <si>
    <t>R0017800192328</t>
  </si>
  <si>
    <t>VV8691</t>
  </si>
  <si>
    <t>NAHUEL ALVARO RIOS ML</t>
  </si>
  <si>
    <t>Avenida juan domingo peron 123</t>
  </si>
  <si>
    <t>Hickman</t>
  </si>
  <si>
    <t>3873602826//</t>
  </si>
  <si>
    <t>Riosnahuel231@gmail.com</t>
  </si>
  <si>
    <t>R0017800192377</t>
  </si>
  <si>
    <t>VV8976</t>
  </si>
  <si>
    <t>JOSÈ ALEJANDRO LOPEZ CHAPARRO ML</t>
  </si>
  <si>
    <t>avenida ejército argentino 979</t>
  </si>
  <si>
    <t>3874621413// 3874621413</t>
  </si>
  <si>
    <t>joselop.c93@gmail.com</t>
  </si>
  <si>
    <t>R0017800192835</t>
  </si>
  <si>
    <t>B40808</t>
  </si>
  <si>
    <t>FUNDACION REWILDING ARGENTINA</t>
  </si>
  <si>
    <t>AV PARAGUAY 2259</t>
  </si>
  <si>
    <t>3512414068// 3512414068</t>
  </si>
  <si>
    <t>Som. Universal White 080x190</t>
  </si>
  <si>
    <t>Som. Universal White 140x190</t>
  </si>
  <si>
    <t>Alm. Zlow Soft 70x50</t>
  </si>
  <si>
    <t>R0017800192844</t>
  </si>
  <si>
    <t>VV9219</t>
  </si>
  <si>
    <t>IVANA GABRIELA AGUIRRE ML</t>
  </si>
  <si>
    <t>coronel vidt 361</t>
  </si>
  <si>
    <t>Metán</t>
  </si>
  <si>
    <t>03876421735// 3876417453</t>
  </si>
  <si>
    <t>R0017800193556</t>
  </si>
  <si>
    <t>VV9346</t>
  </si>
  <si>
    <t>PABLO JAVIER CONEGLIANO</t>
  </si>
  <si>
    <t>PJE. TOMAS OLIVER 63</t>
  </si>
  <si>
    <t>2966682882 //</t>
  </si>
  <si>
    <t>COCCCC160200</t>
  </si>
  <si>
    <t>Col Sealy Chill Box(N) 160x200</t>
  </si>
  <si>
    <t>87609.60</t>
  </si>
  <si>
    <t>Som. Universal Gris 080x200</t>
  </si>
  <si>
    <t>R0017800193813</t>
  </si>
  <si>
    <t>X12514</t>
  </si>
  <si>
    <t>SICILIANO VALERIA</t>
  </si>
  <si>
    <t>B HUAYCO BLOCK 16 DPTO-MZA 471 A CASA 6</t>
  </si>
  <si>
    <t>3874132994// 387155076037</t>
  </si>
  <si>
    <t>46-490090</t>
  </si>
  <si>
    <t>Cama Cajon Antilla 090 Blanco</t>
  </si>
  <si>
    <t>FRENTE A PLAZA</t>
  </si>
  <si>
    <t>R0017800196741</t>
  </si>
  <si>
    <t>X14009</t>
  </si>
  <si>
    <t>BARBIERI ANDREA</t>
  </si>
  <si>
    <t>LOS MANDARINOS 98</t>
  </si>
  <si>
    <t>3873565577// 3873669305</t>
  </si>
  <si>
    <t>barbierimauriciop@hotmail.com</t>
  </si>
  <si>
    <t>los eucaliptos y margaritas</t>
  </si>
  <si>
    <t>PAPROCLA</t>
  </si>
  <si>
    <t>Pata Clásica Polipropileno</t>
  </si>
  <si>
    <t>R0017800196763</t>
  </si>
  <si>
    <t>VW1604</t>
  </si>
  <si>
    <t>ARIEL ESTEBAN GARCIA ML</t>
  </si>
  <si>
    <t>Evaristo meroni 125</t>
  </si>
  <si>
    <t>3875345761//</t>
  </si>
  <si>
    <t>CODORA150190</t>
  </si>
  <si>
    <t>Col. Telgo Dorado 150x190</t>
  </si>
  <si>
    <t>arielgarcia2179@gmail.com</t>
  </si>
  <si>
    <t>R0017800196940</t>
  </si>
  <si>
    <t>VW1663</t>
  </si>
  <si>
    <t>MVA S.R.L.</t>
  </si>
  <si>
    <t>3875916308//</t>
  </si>
  <si>
    <t>fnicolas.farfan@gmail.com</t>
  </si>
  <si>
    <t>Entre calles: Borja díaz y T</t>
  </si>
  <si>
    <t>R0017800196941</t>
  </si>
  <si>
    <t>VW1693</t>
  </si>
  <si>
    <t>Patricia Mabel Mamani</t>
  </si>
  <si>
    <t>Alvarado 650, Cafayate, Salta, Argentina 650</t>
  </si>
  <si>
    <t>Cafayate</t>
  </si>
  <si>
    <t>3868456701// +54 9
3868
456701</t>
  </si>
  <si>
    <t>patrysepulveda@hotmail.com</t>
  </si>
  <si>
    <t>R0017800196942</t>
  </si>
  <si>
    <t>VW1684</t>
  </si>
  <si>
    <t>MARIO MANUEL LAIME</t>
  </si>
  <si>
    <t>Pasaje Ernesto cabeza 00</t>
  </si>
  <si>
    <t>Rosario de Lerma</t>
  </si>
  <si>
    <t>3873040901 //</t>
  </si>
  <si>
    <t>COLNEA090190</t>
  </si>
  <si>
    <t>Col Sealy Est Linen 090x190</t>
  </si>
  <si>
    <t>laimemamariomanuel92@gmail</t>
  </si>
  <si>
    <t xml:space="preserve"> Referencia: mzn 50b lote 12 E</t>
  </si>
  <si>
    <t>R0017800196998</t>
  </si>
  <si>
    <t>VW1793</t>
  </si>
  <si>
    <t>FLAVIA FERNANDA CARABAJAL ML</t>
  </si>
  <si>
    <t>Barrio San Carlos Manzana 09 Casa 2</t>
  </si>
  <si>
    <t>3876151101//</t>
  </si>
  <si>
    <t>Colchon Cauri Base 100x190</t>
  </si>
  <si>
    <t>flavia.carabajal86@gmail.com</t>
  </si>
  <si>
    <t>Referencia: Casa de la esquina</t>
  </si>
  <si>
    <t>R0017800196999</t>
  </si>
  <si>
    <t>X03291</t>
  </si>
  <si>
    <t>LUNA EDUARDO BENJAMIN</t>
  </si>
  <si>
    <t>BARRIO 1 MAYO MZA 327 B LOTE 28</t>
  </si>
  <si>
    <t>2966677453// 2966677453</t>
  </si>
  <si>
    <t>LUNAKAREN355@GMAIL.COM</t>
  </si>
  <si>
    <t>PJE PERON</t>
  </si>
  <si>
    <t>R0017800197000</t>
  </si>
  <si>
    <t>COSPTB140190</t>
  </si>
  <si>
    <t>Col Sealy Perf SpiritN140x190</t>
  </si>
  <si>
    <t>R0017800197295</t>
  </si>
  <si>
    <t>VW1950</t>
  </si>
  <si>
    <t>Hector Gustavo Ruiz Artiaga</t>
  </si>
  <si>
    <t>Ampliación San Carlos Manzana 555b</t>
  </si>
  <si>
    <t>3873054739// +54 9
3873
054739</t>
  </si>
  <si>
    <t>13-63684070</t>
  </si>
  <si>
    <t>Alm. Sealy Memory Air 70x40</t>
  </si>
  <si>
    <t>gustavo.ruiz6762@gmail.com</t>
  </si>
  <si>
    <t>R0017800198697</t>
  </si>
  <si>
    <t>LILIANA Patzi</t>
  </si>
  <si>
    <t>OBISPO ROMERO 21OO</t>
  </si>
  <si>
    <t>3876053777// +54 9
387
6053777</t>
  </si>
  <si>
    <t>13-367040</t>
  </si>
  <si>
    <t>Alm. Zlow Essential F 70x40</t>
  </si>
  <si>
    <t>lilucja@gmail.com</t>
  </si>
  <si>
    <t>R0017800198863</t>
  </si>
  <si>
    <t>VW2649</t>
  </si>
  <si>
    <t>PABLO GABRIEL RAMOS RODRÍGUEZ</t>
  </si>
  <si>
    <t>BARRIO EL MILAGRO MANZANA 58A CASA N7 7</t>
  </si>
  <si>
    <t>Campo Quijano</t>
  </si>
  <si>
    <t>3874151689 //</t>
  </si>
  <si>
    <t>Colchon Cauri Base 090x190</t>
  </si>
  <si>
    <t>parodriguez7687@gmail.com</t>
  </si>
  <si>
    <t>76001.5</t>
  </si>
  <si>
    <t>Sommier Cauri Base 0.90x190</t>
  </si>
  <si>
    <t>R0017800198911</t>
  </si>
  <si>
    <t>VW2788</t>
  </si>
  <si>
    <t>DIEGO JAVIER NOLASCO ML</t>
  </si>
  <si>
    <t>Ruta Nacional 40 - Prje. Quipón 4503</t>
  </si>
  <si>
    <t>Cachi</t>
  </si>
  <si>
    <t>387-5129243//</t>
  </si>
  <si>
    <t>nolvaj83@gmail.com</t>
  </si>
  <si>
    <t>R0017800198970</t>
  </si>
  <si>
    <t>VW2836</t>
  </si>
  <si>
    <t>Nestor Voss</t>
  </si>
  <si>
    <t>Los Juncos. 755</t>
  </si>
  <si>
    <t>3875740829// +54 9
387
5740829</t>
  </si>
  <si>
    <t>nestorvoss@yahoo.com</t>
  </si>
  <si>
    <t>R0017800200266</t>
  </si>
  <si>
    <t>VW3295</t>
  </si>
  <si>
    <t>Carla Sofia Gutierrez</t>
  </si>
  <si>
    <t>pasaje Carlos Maria Saravia 251</t>
  </si>
  <si>
    <t>03874089751// +54 9
387
4089751</t>
  </si>
  <si>
    <t>2101DA</t>
  </si>
  <si>
    <t>Colchón Telgo Vida Mat.080x190</t>
  </si>
  <si>
    <t>carla.sofia.guti@gmail.com</t>
  </si>
  <si>
    <t>SOGENBCO080190</t>
  </si>
  <si>
    <t>Sommier GenericoBlanco 080x190</t>
  </si>
  <si>
    <t>R0017800200876</t>
  </si>
  <si>
    <t>VW3733</t>
  </si>
  <si>
    <t>MELISA LUCIANA PANTOJA ML</t>
  </si>
  <si>
    <t>Av. Julio Mera Figueroa 7</t>
  </si>
  <si>
    <t>capital</t>
  </si>
  <si>
    <t>03874233414//</t>
  </si>
  <si>
    <t>COLNEA200200</t>
  </si>
  <si>
    <t>Col Sealy Est Linen 200x200</t>
  </si>
  <si>
    <t xml:space="preserve"> mza 777 A casa 7 Referencia</t>
  </si>
  <si>
    <t>R0017800201038</t>
  </si>
  <si>
    <t>VW3855</t>
  </si>
  <si>
    <t>María del Carmen Picco</t>
  </si>
  <si>
    <t>hugo Saravia 98</t>
  </si>
  <si>
    <t>Cerrillos</t>
  </si>
  <si>
    <t>1136714825// +54 9
11
36714825</t>
  </si>
  <si>
    <t>franchescacolinapadilla97@gmail.com</t>
  </si>
  <si>
    <t>SOGENBCO100190</t>
  </si>
  <si>
    <t>Sommier GenericoBlanco 100x190</t>
  </si>
  <si>
    <t>R0017800201982</t>
  </si>
  <si>
    <t>VW4393</t>
  </si>
  <si>
    <t>MAXIMILIANO FABRICIO FENOGLIO</t>
  </si>
  <si>
    <t>CASEROS 01636</t>
  </si>
  <si>
    <t>3875664546 //</t>
  </si>
  <si>
    <t>CODORA080190</t>
  </si>
  <si>
    <t>Col. Telgo Dorado 080x190</t>
  </si>
  <si>
    <t>MAXIMILIANOFABRICIOFENOGLIO@GMAIL.COM</t>
  </si>
  <si>
    <t>R0017800202688</t>
  </si>
  <si>
    <t>VW4899</t>
  </si>
  <si>
    <t>FERNANDO SEBASTIAN DUARTE BP</t>
  </si>
  <si>
    <t>Urbanizacion san carlos manzana 554 19</t>
  </si>
  <si>
    <t>salta -capital</t>
  </si>
  <si>
    <t>3875340955//</t>
  </si>
  <si>
    <t>fersebaduarte@gmail.com</t>
  </si>
  <si>
    <t>Urbanizacion san carlos manzana 554b casa 19</t>
  </si>
  <si>
    <t>SOUNBA100200E</t>
  </si>
  <si>
    <t>Sommier Universal Grey 100x200</t>
  </si>
  <si>
    <t>R0017800202689</t>
  </si>
  <si>
    <t>VW4725</t>
  </si>
  <si>
    <t>DIEGO ISMAEL DELGADO ML</t>
  </si>
  <si>
    <t>Zabala 826</t>
  </si>
  <si>
    <t>3875804481//</t>
  </si>
  <si>
    <t>ddiegooddelgadoo@gmail.com</t>
  </si>
  <si>
    <t>R0017800203108</t>
  </si>
  <si>
    <t>X14252</t>
  </si>
  <si>
    <t>MARIN FREDI OSCAR</t>
  </si>
  <si>
    <t>B 200 VIV MZA I CASA 3</t>
  </si>
  <si>
    <t>TARTAGAL SALTA</t>
  </si>
  <si>
    <t>3873415416// 3873415416</t>
  </si>
  <si>
    <t>COSUNB140190</t>
  </si>
  <si>
    <t>Col Sealy EstSunshineB 140x190</t>
  </si>
  <si>
    <t>EDKJSD@GMAIL.COM</t>
  </si>
  <si>
    <t>LLAMAR PARA PEDIR UBICACION</t>
  </si>
  <si>
    <t>R0017800203109</t>
  </si>
  <si>
    <t>X14253</t>
  </si>
  <si>
    <t>MARIN LUCIANA</t>
  </si>
  <si>
    <t>BELGRANO 1040 3 D</t>
  </si>
  <si>
    <t>3873404916// 3873404916</t>
  </si>
  <si>
    <t>SKJDS@GMAIL.COM</t>
  </si>
  <si>
    <t>CENTRO</t>
  </si>
  <si>
    <t>SOUNBA140190E</t>
  </si>
  <si>
    <t>Sommier Universal Grey 140x190</t>
  </si>
  <si>
    <t>R0017800203110</t>
  </si>
  <si>
    <t>X14257</t>
  </si>
  <si>
    <t>FERNADEZ ALFONZO GABRIEL</t>
  </si>
  <si>
    <t>BARRIO BANCARIO BLOCK Q 2 2 D</t>
  </si>
  <si>
    <t>3875831147// 3874078333</t>
  </si>
  <si>
    <t>COSFNB150190</t>
  </si>
  <si>
    <t>Col S&amp;FPrestigeNetBr(N)150x190</t>
  </si>
  <si>
    <t>TURCAFOREVER@HOTMAIL.COM</t>
  </si>
  <si>
    <t>FRENTE A GYT</t>
  </si>
  <si>
    <t>R0017800203111</t>
  </si>
  <si>
    <t>VW5925</t>
  </si>
  <si>
    <t>Lucas nahuel Castellanos</t>
  </si>
  <si>
    <t>barrio san ignacio manzana 6 casa 21</t>
  </si>
  <si>
    <t>387 485-2903// +54 9
387
4852903</t>
  </si>
  <si>
    <t>chino_wac@hotmail.com</t>
  </si>
  <si>
    <t>R0017800203112</t>
  </si>
  <si>
    <t>VW5614</t>
  </si>
  <si>
    <t>GRISELDA GUADALUPE DEL VALLE LOPEZ ML</t>
  </si>
  <si>
    <t>PARAJE PUERTA LA PAYA 00</t>
  </si>
  <si>
    <t>3875787376//</t>
  </si>
  <si>
    <t>grislo10@hotmail.com</t>
  </si>
  <si>
    <t>R0017800203113</t>
  </si>
  <si>
    <t>VW5643</t>
  </si>
  <si>
    <t>SARAVIA FRIAS - ABOGADOS</t>
  </si>
  <si>
    <t>Barriro los zarzos 2</t>
  </si>
  <si>
    <t>0387155146632// +54 9
387
5146632</t>
  </si>
  <si>
    <t>CODORA090190</t>
  </si>
  <si>
    <t>Col. Telgo Dorado 090x190</t>
  </si>
  <si>
    <t>carolaabelleyra@hotmail.com</t>
  </si>
  <si>
    <t>SODVE090190E</t>
  </si>
  <si>
    <t>Base de diván Venecia 090x190</t>
  </si>
  <si>
    <t>R0017800203114</t>
  </si>
  <si>
    <t>VW5568</t>
  </si>
  <si>
    <t>Estefania Degoy</t>
  </si>
  <si>
    <t>Barrio Virgen de la Peña, Tartagal, Salta, Argenti</t>
  </si>
  <si>
    <t>3873549994// +549
3873
549994</t>
  </si>
  <si>
    <t>estefy_dego_11@hotmail.com</t>
  </si>
  <si>
    <t>R0017800203115</t>
  </si>
  <si>
    <t>VE6925</t>
  </si>
  <si>
    <t>Sergio edgardo Alvarez</t>
  </si>
  <si>
    <t>B Limache block 16</t>
  </si>
  <si>
    <t>3874890439// 3874890439</t>
  </si>
  <si>
    <t>COSALA150190</t>
  </si>
  <si>
    <t>Colchón Meyer Salud 150x190</t>
  </si>
  <si>
    <t>sergioealvarez@hotmail.com</t>
  </si>
  <si>
    <t>R0017800203116</t>
  </si>
  <si>
    <t>VW6117</t>
  </si>
  <si>
    <t>Ana Griselda Domene BP</t>
  </si>
  <si>
    <t>B 13 DE DICIEMBRE 225</t>
  </si>
  <si>
    <t>GRAL ENRIQUE MOSCONI</t>
  </si>
  <si>
    <t>3873366885// 3873366885</t>
  </si>
  <si>
    <t>COFEZA160200</t>
  </si>
  <si>
    <t>Colchón Meyer Feliz 160x200</t>
  </si>
  <si>
    <t>domeneanagriselda06@gmail.com</t>
  </si>
  <si>
    <t>Entre 9 de julio y avda Rudecindo Alvarado</t>
  </si>
  <si>
    <t>SOCELA080200E</t>
  </si>
  <si>
    <t>Som Light Blue 080x200</t>
  </si>
  <si>
    <t>R0017800203117</t>
  </si>
  <si>
    <t>VW5917</t>
  </si>
  <si>
    <t>Diego Alejandro Bligaard</t>
  </si>
  <si>
    <t>cosquin 715 715</t>
  </si>
  <si>
    <t>3875484816// +54 9
387
5484816</t>
  </si>
  <si>
    <t>diegobligaard@gmail.com</t>
  </si>
  <si>
    <t>R0017800203118</t>
  </si>
  <si>
    <t>VW5696</t>
  </si>
  <si>
    <t>LINDA MARIEL GONZALEZ ML</t>
  </si>
  <si>
    <t>Pasaje Daniel Toro SN</t>
  </si>
  <si>
    <t>La Viña</t>
  </si>
  <si>
    <t>3875192308//</t>
  </si>
  <si>
    <t>SOGENBCO140190</t>
  </si>
  <si>
    <t>Sommier GenericoBlanco 140x190</t>
  </si>
  <si>
    <t>lindamarielgonzalez413@gmail.com</t>
  </si>
  <si>
    <t>2204DA</t>
  </si>
  <si>
    <t>Col. TelgoMaitriMatela 140x190</t>
  </si>
  <si>
    <t>R0017800203119</t>
  </si>
  <si>
    <t>VW5997</t>
  </si>
  <si>
    <t>Dante Alcoba</t>
  </si>
  <si>
    <t>Diagonal Celso Testa, Aguaray, Salta, Argentina 58</t>
  </si>
  <si>
    <t>Aguaray</t>
  </si>
  <si>
    <t>3873651024// +54 9
3873
651024</t>
  </si>
  <si>
    <t>marianela-alcoba@hotmail.com</t>
  </si>
  <si>
    <t>R0017800203120</t>
  </si>
  <si>
    <t>VW5842</t>
  </si>
  <si>
    <t>Jorge Daniel Jauregui</t>
  </si>
  <si>
    <t>Gervasio Posadas 601</t>
  </si>
  <si>
    <t>03874028854// +54 9
387
4028854</t>
  </si>
  <si>
    <t>SOUNBA080200E</t>
  </si>
  <si>
    <t>Sommier Universal Grey 080x200</t>
  </si>
  <si>
    <t>jaureguijorged@gmail.com</t>
  </si>
  <si>
    <t>COLNEA160200</t>
  </si>
  <si>
    <t>Col Sealy Est Linen 160x200</t>
  </si>
  <si>
    <t>R0017800203803</t>
  </si>
  <si>
    <t>X14258</t>
  </si>
  <si>
    <t>ROMERO ENZO</t>
  </si>
  <si>
    <t>BARRIO SOLIDARIDA 2 ETAPA MZA 451B 1</t>
  </si>
  <si>
    <t>3875793336// 3875664649</t>
  </si>
  <si>
    <t>COLNEA180200</t>
  </si>
  <si>
    <t>Col Sealy Est Linen 180x200</t>
  </si>
  <si>
    <t>ENZOROMERO0617@GMAIL.COM</t>
  </si>
  <si>
    <t>SOBRE LA AVENIDA, AL LADO DE CARNICERIA</t>
  </si>
  <si>
    <t>SOUNBA090200E</t>
  </si>
  <si>
    <t>Sommier Universal Grey 090x200</t>
  </si>
  <si>
    <t>R0017800203804</t>
  </si>
  <si>
    <t>VW6061</t>
  </si>
  <si>
    <t>SEBASTIAN ORLANDO LIQUIN ML</t>
  </si>
  <si>
    <t>Pasaje Manuel J. Castilla 00</t>
  </si>
  <si>
    <t>3875990454//</t>
  </si>
  <si>
    <t>sebastian_o.liquin@hotmail.com</t>
  </si>
  <si>
    <t>R0017800203824</t>
  </si>
  <si>
    <t>X14276</t>
  </si>
  <si>
    <t>TERESA TEVEZ</t>
  </si>
  <si>
    <t>B CIRCULO 1 MZA B CASA 30</t>
  </si>
  <si>
    <t>3875374500// 3874665132</t>
  </si>
  <si>
    <t>CODEVA150190</t>
  </si>
  <si>
    <t>Col Meyer Devas 150x190</t>
  </si>
  <si>
    <t>aricucci@hotmail.com</t>
  </si>
  <si>
    <t>av angel vargas</t>
  </si>
  <si>
    <t>R0017800203825</t>
  </si>
  <si>
    <t>VW6335</t>
  </si>
  <si>
    <t>Veronica Navarro</t>
  </si>
  <si>
    <t>mariano moreno 249</t>
  </si>
  <si>
    <t>San ramon de la nueva oran</t>
  </si>
  <si>
    <t>3873340278// +54 9
3873
340278</t>
  </si>
  <si>
    <t>COSFPB140190</t>
  </si>
  <si>
    <t>Col S&amp;F Prestige Br(N) 140x190</t>
  </si>
  <si>
    <t>valenavarro2211@gmail.com</t>
  </si>
  <si>
    <t>R0017800203849</t>
  </si>
  <si>
    <t>A31140</t>
  </si>
  <si>
    <t>Gisela liendro BP</t>
  </si>
  <si>
    <t>Los Albatros 3483</t>
  </si>
  <si>
    <t>3876316745// 3876316745</t>
  </si>
  <si>
    <t>Yiiyii12345@gmail.com</t>
  </si>
  <si>
    <t>ntre los ñandues y los cisnes</t>
  </si>
  <si>
    <t>SOGENBCO150190</t>
  </si>
  <si>
    <t>Sommier GenericoBlanco 150x190</t>
  </si>
  <si>
    <t>R0017800203850</t>
  </si>
  <si>
    <t>X14273</t>
  </si>
  <si>
    <t>COLQUE GABRIELA DEL VALLE</t>
  </si>
  <si>
    <t>BARRIOS SAN JORGE MZA51C 10</t>
  </si>
  <si>
    <t>3875035144// 3872137791</t>
  </si>
  <si>
    <t>COEMEA140190</t>
  </si>
  <si>
    <t>Col Sealy Post Emerald 140x190</t>
  </si>
  <si>
    <t>FRANMAMANY1@GMAIL.COM</t>
  </si>
  <si>
    <t>2 PASAJE MANO IZQUIERDA DEL CEMENTERIO</t>
  </si>
  <si>
    <t>R0017800203853</t>
  </si>
  <si>
    <t>VW7015</t>
  </si>
  <si>
    <t>Sol Valentina Lazarte</t>
  </si>
  <si>
    <t>Las Zarzamoras 1355, Salta, Argentina 1355</t>
  </si>
  <si>
    <t>3874095204// +54 9
387
4095204</t>
  </si>
  <si>
    <t>solvalentinalazarte@gmail.com</t>
  </si>
  <si>
    <t>R0017800203854</t>
  </si>
  <si>
    <t>VW6789</t>
  </si>
  <si>
    <t>Luis marcelo Castro</t>
  </si>
  <si>
    <t>20 de February 0360</t>
  </si>
  <si>
    <t>Oran</t>
  </si>
  <si>
    <t>3878503650// +54 9
3878
503650</t>
  </si>
  <si>
    <t>13-125701</t>
  </si>
  <si>
    <t>Alm. Zlow Visco King</t>
  </si>
  <si>
    <t>tarrolcastro@hotmail.com</t>
  </si>
  <si>
    <t>R0017800203856</t>
  </si>
  <si>
    <t>VW6864</t>
  </si>
  <si>
    <t>RODRIGO GABRIEL LOTO ML</t>
  </si>
  <si>
    <t>Juan Bautista Alberdi 1348</t>
  </si>
  <si>
    <t>Embarcacion</t>
  </si>
  <si>
    <t>3878788182//</t>
  </si>
  <si>
    <t>rodrigoloto@outlook.com</t>
  </si>
  <si>
    <t>R0017800204566</t>
  </si>
  <si>
    <t>VW4295</t>
  </si>
  <si>
    <t>SERGIO EMMANUEL SUMBAINO ML</t>
  </si>
  <si>
    <t>Cochinoca 134</t>
  </si>
  <si>
    <t>San Salvador de Jujuy</t>
  </si>
  <si>
    <t>Jujuy</t>
  </si>
  <si>
    <t>3885473134//</t>
  </si>
  <si>
    <t>2200DA</t>
  </si>
  <si>
    <t>Col. TelgoMaitriMatela 080x190</t>
  </si>
  <si>
    <t>esum94@gmail.com</t>
  </si>
  <si>
    <t>R0017800204571</t>
  </si>
  <si>
    <t>VW5239</t>
  </si>
  <si>
    <t>ROXANA ELIZABETH DEL MILAGRO CADENA ML</t>
  </si>
  <si>
    <t>Corina Martinez 1484</t>
  </si>
  <si>
    <t>3874403663//</t>
  </si>
  <si>
    <t>cadenaroxana9@gmail.com</t>
  </si>
  <si>
    <t>R0017800204572</t>
  </si>
  <si>
    <t>VW6065</t>
  </si>
  <si>
    <t>AMADO VIDAL RUIZ ML</t>
  </si>
  <si>
    <t>General Roca 50</t>
  </si>
  <si>
    <t>Coronel Juan Sola</t>
  </si>
  <si>
    <t>3878359463//</t>
  </si>
  <si>
    <t>charly_amado_salta@hotmail.com.ar</t>
  </si>
  <si>
    <t>R0017800204619</t>
  </si>
  <si>
    <t>X14284</t>
  </si>
  <si>
    <t>SARAPURA RAQUEL MARINE</t>
  </si>
  <si>
    <t>PASAJE GONZALO ORTEGA 1</t>
  </si>
  <si>
    <t>EL GALPON</t>
  </si>
  <si>
    <t>3876439089// 3876439089</t>
  </si>
  <si>
    <t>COJADA160200</t>
  </si>
  <si>
    <t>Col Sealy Post Jade 160x200</t>
  </si>
  <si>
    <t>MARINE.S_76@HOTMAIL.COM</t>
  </si>
  <si>
    <t>LA BANDERA Y GÜEMES SUR CASA DOS PISOS</t>
  </si>
  <si>
    <t>COQUAA100200</t>
  </si>
  <si>
    <t>Col Sealy Post Quartz 100x200</t>
  </si>
  <si>
    <t>R0017800204620</t>
  </si>
  <si>
    <t>X14292</t>
  </si>
  <si>
    <t>BALCEDO ROJAS LUIS</t>
  </si>
  <si>
    <t>C BETANIA DEL SAGRADO CORAZON 467</t>
  </si>
  <si>
    <t>3876117465// 3876117465</t>
  </si>
  <si>
    <t>FERNANDOBALCEDO@GMAIL.COM</t>
  </si>
  <si>
    <t>MANZA 390 A CASA 37</t>
  </si>
  <si>
    <t>R0017800204621</t>
  </si>
  <si>
    <t>VW6526</t>
  </si>
  <si>
    <t>Cristian Ariel Zarate</t>
  </si>
  <si>
    <t>Agustín Magaldi, Salta, Argentina 468</t>
  </si>
  <si>
    <t>3875530358// +54 9
387
5530358</t>
  </si>
  <si>
    <t>caz380@hotmail.com</t>
  </si>
  <si>
    <t>R0017800204622</t>
  </si>
  <si>
    <t>VW6897</t>
  </si>
  <si>
    <t>Nicolas lisandro Castaño</t>
  </si>
  <si>
    <t>j. m. zuvi 1057</t>
  </si>
  <si>
    <t>3874418398// +54 9
387
4418398</t>
  </si>
  <si>
    <t>nicolaslisandrocastano2018@gmail.com</t>
  </si>
  <si>
    <t>R0017800204623</t>
  </si>
  <si>
    <t>VW6471</t>
  </si>
  <si>
    <t>VALERIA NANCY ARANDA ML</t>
  </si>
  <si>
    <t>Calle Arenales 836</t>
  </si>
  <si>
    <t>San Ramón De La Nueva Oran</t>
  </si>
  <si>
    <t>3878219219//</t>
  </si>
  <si>
    <t>valearanda230492@gmail.com</t>
  </si>
  <si>
    <t>R0017800204624</t>
  </si>
  <si>
    <t>VW7001</t>
  </si>
  <si>
    <t>Braian Flores Guzman</t>
  </si>
  <si>
    <t>B° san jorge pasaje pedro rioja M40C lote 6 6</t>
  </si>
  <si>
    <t>3875249795// +54 9
387
5249795</t>
  </si>
  <si>
    <t>brianflores066@gmail.com</t>
  </si>
  <si>
    <t>R0017800204625</t>
  </si>
  <si>
    <t>VW6976</t>
  </si>
  <si>
    <t>Ramiro Nicolás Cruz</t>
  </si>
  <si>
    <t>Güemes norte 47</t>
  </si>
  <si>
    <t>3874898099// +54 9
387
4898099</t>
  </si>
  <si>
    <t>rnicolascruz94@gmail.com</t>
  </si>
  <si>
    <t>R0017800204626</t>
  </si>
  <si>
    <t>VW6449</t>
  </si>
  <si>
    <t>JORGE ANTONIO PARDO ML</t>
  </si>
  <si>
    <t>Calle Coronel Jose Moldes 1290</t>
  </si>
  <si>
    <t>3876053700//</t>
  </si>
  <si>
    <t>jorgepardo72@hotmail.com</t>
  </si>
  <si>
    <t>R0017800204627</t>
  </si>
  <si>
    <t>VN0244</t>
  </si>
  <si>
    <t>Monica Juarez</t>
  </si>
  <si>
    <t>Jorge Marti 85</t>
  </si>
  <si>
    <t>Rosario De Lerma</t>
  </si>
  <si>
    <t>03876107365// +54 9
387
6107365</t>
  </si>
  <si>
    <t>juarezmonicaelena43@gmail.com</t>
  </si>
  <si>
    <t>R0017800204628</t>
  </si>
  <si>
    <t>V34470</t>
  </si>
  <si>
    <t>PATRON COSTAS TOMAS</t>
  </si>
  <si>
    <t>Pueyrredón 956</t>
  </si>
  <si>
    <t>tpc250@gmail.com</t>
  </si>
  <si>
    <t>R0017800204629</t>
  </si>
  <si>
    <t>VW6895</t>
  </si>
  <si>
    <t>Marcia Diaz</t>
  </si>
  <si>
    <t>Enrique Martinez 987</t>
  </si>
  <si>
    <t>3874151562// +54
387
4151562</t>
  </si>
  <si>
    <t>marciadiaz658@gmail.com</t>
  </si>
  <si>
    <t>R0017800204630</t>
  </si>
  <si>
    <t>VW6887</t>
  </si>
  <si>
    <t>Fausto Scheike</t>
  </si>
  <si>
    <t>Comodoro Rivadavia, Salta, Argentina 3299</t>
  </si>
  <si>
    <t>Salta, capital</t>
  </si>
  <si>
    <t>3874361856// +54 9
387
5228835</t>
  </si>
  <si>
    <t>fausto.scheike@gmail.com</t>
  </si>
  <si>
    <t>R0017800204631</t>
  </si>
  <si>
    <t>VW7408</t>
  </si>
  <si>
    <t>MARA RAQUEL TORRES ML</t>
  </si>
  <si>
    <t>Barrio Parque General Belgrano 00 mza10 duplex15</t>
  </si>
  <si>
    <t>03874433296//</t>
  </si>
  <si>
    <t>COWOOB140190</t>
  </si>
  <si>
    <t>Col Sealy Est WoodsB 140x190</t>
  </si>
  <si>
    <t>mara.smj.torres@gmail.com</t>
  </si>
  <si>
    <t>R0017800204632</t>
  </si>
  <si>
    <t>VW7322</t>
  </si>
  <si>
    <t>luis garrido bp</t>
  </si>
  <si>
    <t>general savio salta 803</t>
  </si>
  <si>
    <t>93876857810// 9
387
6857810</t>
  </si>
  <si>
    <t>rodrigogarrido13@gmail.com</t>
  </si>
  <si>
    <t>R0017800204679</t>
  </si>
  <si>
    <t>X14298</t>
  </si>
  <si>
    <t>VILLALBA PEDRO ANTONIO</t>
  </si>
  <si>
    <t>25 DE May 0571</t>
  </si>
  <si>
    <t>3873400936// 3873400936</t>
  </si>
  <si>
    <t>santy3132@gmail.com</t>
  </si>
  <si>
    <t>SARMIENTO Y ARAOZ</t>
  </si>
  <si>
    <t>R0017800204680</t>
  </si>
  <si>
    <t>VW7943</t>
  </si>
  <si>
    <t>MARISA LILIANA PARED ML</t>
  </si>
  <si>
    <t>Pasaje Brealito 561</t>
  </si>
  <si>
    <t>3875963387//</t>
  </si>
  <si>
    <t>mlpared@yahoo.com.ar</t>
  </si>
  <si>
    <t>SOSNA100190E</t>
  </si>
  <si>
    <t>Som Sealy Carbon Grey 100x190</t>
  </si>
  <si>
    <t>COSUNB100190</t>
  </si>
  <si>
    <t>Col Sealy EstSunshineB 100x190</t>
  </si>
  <si>
    <t>R0017800204681</t>
  </si>
  <si>
    <t>VI1913</t>
  </si>
  <si>
    <t>SANTIAGO TOLABA ML</t>
  </si>
  <si>
    <t>Gregorio Pedriel 955</t>
  </si>
  <si>
    <t>155 341667// 4396961</t>
  </si>
  <si>
    <t>Santiago.L.tolaba@hotmail.com</t>
  </si>
  <si>
    <t>R0017800204682</t>
  </si>
  <si>
    <t>VW7780</t>
  </si>
  <si>
    <t>RENÉ MARCELO GIMENEZ bp</t>
  </si>
  <si>
    <t>Barrio Docente Sur - Manzana 7 CASA 13 0</t>
  </si>
  <si>
    <t>salta capital</t>
  </si>
  <si>
    <t>387 5239506//</t>
  </si>
  <si>
    <t>COFIEB140190</t>
  </si>
  <si>
    <t>Col Sealy Essent Field 140x190</t>
  </si>
  <si>
    <t>renemarcelogimenez7@gmail.com</t>
  </si>
  <si>
    <t>media cuadra de la policia</t>
  </si>
  <si>
    <t>R0017800204683</t>
  </si>
  <si>
    <t>VW8099</t>
  </si>
  <si>
    <t>ELBIO DARIO URO D'ANTONIO ML</t>
  </si>
  <si>
    <t>B Huaico Mzna 480a Casa 21</t>
  </si>
  <si>
    <t>Capital Salta</t>
  </si>
  <si>
    <t>543874678560//</t>
  </si>
  <si>
    <t>R0017800204684</t>
  </si>
  <si>
    <t>VW7951</t>
  </si>
  <si>
    <t>MERCEDES MARIA FERNANDEZ FRANCO ML</t>
  </si>
  <si>
    <t>Manzana 405 A numero de tapa medidor 2 barrio Las</t>
  </si>
  <si>
    <t>san lorenzo chico</t>
  </si>
  <si>
    <t>3874440302//</t>
  </si>
  <si>
    <t>merfernandez11@gmail.com</t>
  </si>
  <si>
    <t>R0017800204685</t>
  </si>
  <si>
    <t>General Savio, Salta, Argentina 803</t>
  </si>
  <si>
    <t>COSALA090190</t>
  </si>
  <si>
    <t>Colchón Meyer Salud 090x190</t>
  </si>
  <si>
    <t>general savio y calle: luis maria campos</t>
  </si>
  <si>
    <t>R0017800204686</t>
  </si>
  <si>
    <t>VW7856</t>
  </si>
  <si>
    <t>AXEL GASTON POPOVICH ML</t>
  </si>
  <si>
    <t>20 De February 0629</t>
  </si>
  <si>
    <t>3876482830// 3876474233</t>
  </si>
  <si>
    <t>Gastonpopo16@hotmail.com</t>
  </si>
  <si>
    <t>R0017800204687</t>
  </si>
  <si>
    <t>VW8175</t>
  </si>
  <si>
    <t>CARINA GUADALUPE TOLEDO ML</t>
  </si>
  <si>
    <t>alberdi 431</t>
  </si>
  <si>
    <t>General Enrique Mosconi</t>
  </si>
  <si>
    <t>3873631030//</t>
  </si>
  <si>
    <t>R0017800205244</t>
  </si>
  <si>
    <t>VW4187</t>
  </si>
  <si>
    <t>JOSE DANIEL GALARZA ML</t>
  </si>
  <si>
    <t>España al final SN</t>
  </si>
  <si>
    <t>profesor Salvador Mazza</t>
  </si>
  <si>
    <t>3873654110//</t>
  </si>
  <si>
    <t>2201DA</t>
  </si>
  <si>
    <t>Col. TelgoMaitriMatela 090x190</t>
  </si>
  <si>
    <t>danielgalarza222@gmail.com</t>
  </si>
  <si>
    <t>R0017800205249</t>
  </si>
  <si>
    <t>VW5553</t>
  </si>
  <si>
    <t>AGUSTIN RAMIRO ARIAS ML</t>
  </si>
  <si>
    <t>Calle 25 SN</t>
  </si>
  <si>
    <t>3875525006//</t>
  </si>
  <si>
    <t>malenabetancur7@gmail.com</t>
  </si>
  <si>
    <t>R0017800205298</t>
  </si>
  <si>
    <t>VW8243</t>
  </si>
  <si>
    <t>JONATAN YÑIGO WERNING ML</t>
  </si>
  <si>
    <t>Mz1 casa 21 Barrio ATOCHA1 0</t>
  </si>
  <si>
    <t>San Lorenzo</t>
  </si>
  <si>
    <t>3874088817//</t>
  </si>
  <si>
    <t>COLNEA100190</t>
  </si>
  <si>
    <t>Col Sealy Est Linen 100x190</t>
  </si>
  <si>
    <t>jony0575@gmail.com</t>
  </si>
  <si>
    <t>R0017800205299</t>
  </si>
  <si>
    <t>RELICU16070</t>
  </si>
  <si>
    <t>Respaldo Creta Liso 160x070</t>
  </si>
  <si>
    <t>R0017800205324</t>
  </si>
  <si>
    <t>VW8380</t>
  </si>
  <si>
    <t>JORGE BARBATTI</t>
  </si>
  <si>
    <t>Barrio Balcón de Getsemani 3 I CASA 11</t>
  </si>
  <si>
    <t>CALDERA</t>
  </si>
  <si>
    <t>3875719221 //</t>
  </si>
  <si>
    <t>dosmatestv@gmail.com</t>
  </si>
  <si>
    <t>R0017800206667</t>
  </si>
  <si>
    <t>VW6590</t>
  </si>
  <si>
    <t>Silvia Bravo</t>
  </si>
  <si>
    <t>Estacion Alvarado Manzana 19 casa 7 19</t>
  </si>
  <si>
    <t>3874497801// +54 9
387
4497801</t>
  </si>
  <si>
    <t>CODORA130190</t>
  </si>
  <si>
    <t>Col. Telgo Dorado 130x190</t>
  </si>
  <si>
    <t>bravosilvia0@gmail.com</t>
  </si>
  <si>
    <t>SOBAJA130190E</t>
  </si>
  <si>
    <t>Sommier All White 130x190</t>
  </si>
  <si>
    <t>R0017800205369</t>
  </si>
  <si>
    <t>X14313</t>
  </si>
  <si>
    <t>DIAZ SANDRA</t>
  </si>
  <si>
    <t>BARRIO SOLIDARIDAD MZA 456B 11</t>
  </si>
  <si>
    <t>3875525124// 3875525124</t>
  </si>
  <si>
    <t>DAS@GMAIL.COM</t>
  </si>
  <si>
    <t>4 cuadra entrando al barrio</t>
  </si>
  <si>
    <t>R0017800205370</t>
  </si>
  <si>
    <t>X14326</t>
  </si>
  <si>
    <t>DEL CASTILLO SOFIA MACARENA</t>
  </si>
  <si>
    <t>BARRIO EL HUAICO MZA 519B 14</t>
  </si>
  <si>
    <t>3873305310// 3873305310</t>
  </si>
  <si>
    <t>COFEZA180200</t>
  </si>
  <si>
    <t>Colchón Meyer Feliz 180x200</t>
  </si>
  <si>
    <t>SAS@GMAIL.COM</t>
  </si>
  <si>
    <t>R0017800205371</t>
  </si>
  <si>
    <t>X14327</t>
  </si>
  <si>
    <t>FLORES BARRIONUEVO TATIANA YAMILA</t>
  </si>
  <si>
    <t>VICENTE LOPEZ 635 3 E</t>
  </si>
  <si>
    <t>3876137273// 3876137273</t>
  </si>
  <si>
    <t>COSUNB180200</t>
  </si>
  <si>
    <t>Col Sealy EstSunshineB 180x200</t>
  </si>
  <si>
    <t>DSS@GMAIL.COM</t>
  </si>
  <si>
    <t>PASAJE MOLLINEDO</t>
  </si>
  <si>
    <t>R0017800205372</t>
  </si>
  <si>
    <t>I02259</t>
  </si>
  <si>
    <t>PATRON COSTAS MARTIN BP</t>
  </si>
  <si>
    <t>RUTA 28 KM 8 COND.TERRAZAS 32 32</t>
  </si>
  <si>
    <t>VILLA SANLORENZO</t>
  </si>
  <si>
    <t>1130480388// 1130480388</t>
  </si>
  <si>
    <t>martin_patroncostas@yahoo.com</t>
  </si>
  <si>
    <t>CONDOMINIO TERRAZAS Y RUTA 28 KM 8</t>
  </si>
  <si>
    <t>R0017800205373</t>
  </si>
  <si>
    <t>VW8273</t>
  </si>
  <si>
    <t>Rodrigo jose Fernandez Mollinedo</t>
  </si>
  <si>
    <t>Avenida Entre Ríos 471</t>
  </si>
  <si>
    <t>3875176006// +54 9
387
5176006</t>
  </si>
  <si>
    <t>CODEVA160200</t>
  </si>
  <si>
    <t>Col Meyer Devas 160x200</t>
  </si>
  <si>
    <t>rodrimollinedo@gmail.com</t>
  </si>
  <si>
    <t>R0017800205376</t>
  </si>
  <si>
    <t>VW8715</t>
  </si>
  <si>
    <t>Adrian Sinanes BP</t>
  </si>
  <si>
    <t>Av Ricardo 1374</t>
  </si>
  <si>
    <t>1166934206// +54 9
11
66934206</t>
  </si>
  <si>
    <t>asinanes@icloud.com</t>
  </si>
  <si>
    <t>R0017800205380</t>
  </si>
  <si>
    <t>VW8339</t>
  </si>
  <si>
    <t>JOAQUIN ARZUBI BORDA ML</t>
  </si>
  <si>
    <t>maria julia sola 1441</t>
  </si>
  <si>
    <t>lesser</t>
  </si>
  <si>
    <t>3874411957//</t>
  </si>
  <si>
    <t>CORAIB160200</t>
  </si>
  <si>
    <t>Col Sealy Perf RainbowN160x200</t>
  </si>
  <si>
    <t>joacoarzubi@hotmail.com</t>
  </si>
  <si>
    <t>R0017800205383</t>
  </si>
  <si>
    <t>VW8368</t>
  </si>
  <si>
    <t>Alicia Bravo</t>
  </si>
  <si>
    <t>Av. Márquez Casa 583 Santa Ana1 583</t>
  </si>
  <si>
    <t>3875979058// +54 9
387
5979058</t>
  </si>
  <si>
    <t>alic.bra.87@gmail.com</t>
  </si>
  <si>
    <t>R0017800205388</t>
  </si>
  <si>
    <t>VW8472</t>
  </si>
  <si>
    <t>ROXANA LEAL</t>
  </si>
  <si>
    <t>DEAN FUNES 3355</t>
  </si>
  <si>
    <t>3875326318// +54 9
387
5326318</t>
  </si>
  <si>
    <t>COFEZA140190</t>
  </si>
  <si>
    <t>Colchón Meyer Feliz 140x190</t>
  </si>
  <si>
    <t>andreadiaz1504@gmail.com</t>
  </si>
  <si>
    <t>R0017800205390</t>
  </si>
  <si>
    <t>VW8663</t>
  </si>
  <si>
    <t>Mariana Blazquez</t>
  </si>
  <si>
    <t>Caseros 2250</t>
  </si>
  <si>
    <t>3875299070// +54 9
387
5299070</t>
  </si>
  <si>
    <t>mariana.blazquez@outlook.com</t>
  </si>
  <si>
    <t>R0017800205396</t>
  </si>
  <si>
    <t>VW8571</t>
  </si>
  <si>
    <t>SARA ROSA JUÁREZ ML</t>
  </si>
  <si>
    <t>Barrio 80 vivienda MZA A SN</t>
  </si>
  <si>
    <t>General Güemes</t>
  </si>
  <si>
    <t>3872211986//</t>
  </si>
  <si>
    <t>roxananaranjo03@gmail.com</t>
  </si>
  <si>
    <t>R0017800205398</t>
  </si>
  <si>
    <t>VW8770</t>
  </si>
  <si>
    <t>NATALIA NOELIA CASTILLO ML</t>
  </si>
  <si>
    <t>Carmen Alonso Mza 518 b 7</t>
  </si>
  <si>
    <t>Huaico</t>
  </si>
  <si>
    <t>3875646679// 3874598801</t>
  </si>
  <si>
    <t>natalianoecastillo@yahoo.com.ar</t>
  </si>
  <si>
    <t>R0017800205411</t>
  </si>
  <si>
    <t>X08290</t>
  </si>
  <si>
    <t>CORVALAN ROSA BEATRIZ</t>
  </si>
  <si>
    <t>BARRIO 2 DE ABRIL MZA A 1</t>
  </si>
  <si>
    <t>COLONIA SANTA ROSA</t>
  </si>
  <si>
    <t>3878363973// 3878363973</t>
  </si>
  <si>
    <t>almaluzrios715@gmail.com</t>
  </si>
  <si>
    <t>50 KM ANTES DE ORAN</t>
  </si>
  <si>
    <t>R0017800205414</t>
  </si>
  <si>
    <t>VW9135</t>
  </si>
  <si>
    <t>JULIAN RODRIGUEZ ORTEGA ML</t>
  </si>
  <si>
    <t>Pueyrredon 563</t>
  </si>
  <si>
    <t>3874114792//</t>
  </si>
  <si>
    <t>jrodriguez@hadadconsultores.com</t>
  </si>
  <si>
    <t>R0017800205415</t>
  </si>
  <si>
    <t>VW9257</t>
  </si>
  <si>
    <t>Susana Beatriz Eckhardt</t>
  </si>
  <si>
    <t>Barrio Juan Pablo II Sur. Block 66</t>
  </si>
  <si>
    <t>3874555187// 54
387
4555187</t>
  </si>
  <si>
    <t>susana-11@live.com.ar</t>
  </si>
  <si>
    <t>R0017800205416</t>
  </si>
  <si>
    <t>VW9084</t>
  </si>
  <si>
    <t>DAVID ALEJANDRO MARINO ML</t>
  </si>
  <si>
    <t>San Martín 2490</t>
  </si>
  <si>
    <t>3872111421//</t>
  </si>
  <si>
    <t>87610.60</t>
  </si>
  <si>
    <t>Som. Universal Gris 090x200</t>
  </si>
  <si>
    <t>davidalemarino@gmail.com</t>
  </si>
  <si>
    <t>R0017800205426</t>
  </si>
  <si>
    <t>VW9060</t>
  </si>
  <si>
    <t>MARIA GRACIELA VELEZ ML</t>
  </si>
  <si>
    <t>Pasaje 13 512</t>
  </si>
  <si>
    <t>Santa Ana</t>
  </si>
  <si>
    <t>3875666159//</t>
  </si>
  <si>
    <t>gracielavinfo@gmail.com</t>
  </si>
  <si>
    <t>R0017800205433</t>
  </si>
  <si>
    <t>VW8842</t>
  </si>
  <si>
    <t>NESTOR GABRIEL RUILOVA ML</t>
  </si>
  <si>
    <t>Chicoana</t>
  </si>
  <si>
    <t>3875616045//</t>
  </si>
  <si>
    <t>gabrielrui69@gmail.com</t>
  </si>
  <si>
    <t>R0017800205434</t>
  </si>
  <si>
    <t>VW9198</t>
  </si>
  <si>
    <t>MARIO ALFREDO RIVAS ML</t>
  </si>
  <si>
    <t>Almirante Brown SN</t>
  </si>
  <si>
    <t>Las Lajitas</t>
  </si>
  <si>
    <t>3874028119//</t>
  </si>
  <si>
    <t>marioalfredo174@gmail.com</t>
  </si>
  <si>
    <t>R0017800205446</t>
  </si>
  <si>
    <t>VW9317</t>
  </si>
  <si>
    <t>Cristhian Facundo Guzman</t>
  </si>
  <si>
    <t>barrio fonavi 1</t>
  </si>
  <si>
    <t>Cachi-Salta</t>
  </si>
  <si>
    <t>03873095188// +54 9
387
3095188</t>
  </si>
  <si>
    <t>cristhianfacundo99@gmail.com</t>
  </si>
  <si>
    <t>R0017800205454</t>
  </si>
  <si>
    <t>VW9443</t>
  </si>
  <si>
    <t>Claudia Fernanda Cruz Claudia</t>
  </si>
  <si>
    <t>Av Perón 697</t>
  </si>
  <si>
    <t>03874094053// +54 9
387
4094053</t>
  </si>
  <si>
    <t>cruzclau103@gmail.com</t>
  </si>
  <si>
    <t>R0017800205455</t>
  </si>
  <si>
    <t>VW8532</t>
  </si>
  <si>
    <t>BRUNO EXEQUIEL INSAURRALDE TIENDA NACION</t>
  </si>
  <si>
    <t>CALLE S/N S/N CASA 65 BARRIO</t>
  </si>
  <si>
    <t>02244438347 //</t>
  </si>
  <si>
    <t>bruk_10@hotmail.com</t>
  </si>
  <si>
    <t>Mz 66b casa 65 barrio Procrear</t>
  </si>
  <si>
    <t>R0017800206024</t>
  </si>
  <si>
    <t>VW8662</t>
  </si>
  <si>
    <t>Victor Hugo Tejerina</t>
  </si>
  <si>
    <t>Brrio El Milagro; Mzna C Casa 10</t>
  </si>
  <si>
    <t>Campo santo</t>
  </si>
  <si>
    <t>3875847097// +54 9
387
5847097</t>
  </si>
  <si>
    <t>victorh.teje@gmail.com</t>
  </si>
  <si>
    <t>R0017800206025</t>
  </si>
  <si>
    <t>VW9620</t>
  </si>
  <si>
    <t>Ariana Federica Levin</t>
  </si>
  <si>
    <t>Juana Hernandez 700</t>
  </si>
  <si>
    <t>3874865262// +54 9
387
4865262</t>
  </si>
  <si>
    <t>federicalevin98@gmail.com</t>
  </si>
  <si>
    <t>R0017800206027</t>
  </si>
  <si>
    <t>X14371</t>
  </si>
  <si>
    <t>FERNANDEZ ENRIQUE</t>
  </si>
  <si>
    <t>LA NUEVA PROVINCIA 2183</t>
  </si>
  <si>
    <t>4242293// 3875040737</t>
  </si>
  <si>
    <t>LOS PRINCIPIOS Y LA NACION</t>
  </si>
  <si>
    <t>R0017800206028</t>
  </si>
  <si>
    <t>PARAJE PUERTA LA PAYA 40</t>
  </si>
  <si>
    <t>COLNEA080190</t>
  </si>
  <si>
    <t>Col Sealy Est Linen 080x190</t>
  </si>
  <si>
    <t>R0017800206029</t>
  </si>
  <si>
    <t>VW9669</t>
  </si>
  <si>
    <t>Cristian Fernando Teves</t>
  </si>
  <si>
    <t>Juana Azurduy metan 845</t>
  </si>
  <si>
    <t>3876616094// +54 9
3876
616094</t>
  </si>
  <si>
    <t>cristeves21@gmail.com</t>
  </si>
  <si>
    <t>R0017800206030</t>
  </si>
  <si>
    <t>VW9708</t>
  </si>
  <si>
    <t>ADRIANA LUZ MARIELLA CANEPA REYES ML</t>
  </si>
  <si>
    <t>Calle Guemes 100</t>
  </si>
  <si>
    <t>San Carlos</t>
  </si>
  <si>
    <t>387154466300//</t>
  </si>
  <si>
    <t>SOGENBCO090190</t>
  </si>
  <si>
    <t>Sommier GenericoBlanco 090x190</t>
  </si>
  <si>
    <t>luz.canepa@gmail.com</t>
  </si>
  <si>
    <t>R0017800207393</t>
  </si>
  <si>
    <t>X08308</t>
  </si>
  <si>
    <t>PALAVECINO DIEGO</t>
  </si>
  <si>
    <t>3875068904// 3875068904</t>
  </si>
  <si>
    <t>R0017800206784</t>
  </si>
  <si>
    <t>VW9628</t>
  </si>
  <si>
    <t>Patricia Celia Romano</t>
  </si>
  <si>
    <t>General Güemes 2250, Salta, Argentina 2250</t>
  </si>
  <si>
    <t>3875214265// +54 9
387
5214265</t>
  </si>
  <si>
    <t>pato.roma@hotmail.com</t>
  </si>
  <si>
    <t>R0017800206794</t>
  </si>
  <si>
    <t>X14294</t>
  </si>
  <si>
    <t>CRUZ JOSE MANUEL</t>
  </si>
  <si>
    <t>BARRIO NUESTRA SEÑORA DEL CARMEN MZA B 75</t>
  </si>
  <si>
    <t>3874650333// 3874650333</t>
  </si>
  <si>
    <t>CARO_123_IAC@HOTMAIL.COM</t>
  </si>
  <si>
    <t>BURGOS Y FORTUNY</t>
  </si>
  <si>
    <t>SOCELA150190E</t>
  </si>
  <si>
    <t>Som Light Blue 150x190</t>
  </si>
  <si>
    <t>R0017800206805</t>
  </si>
  <si>
    <t>B44030</t>
  </si>
  <si>
    <t>Ana Dalila Harmann bp</t>
  </si>
  <si>
    <t>barrio bancario 1 2 b</t>
  </si>
  <si>
    <t>3876283968// 3876283968</t>
  </si>
  <si>
    <t>adh131495@gmail.com</t>
  </si>
  <si>
    <t>mendoza</t>
  </si>
  <si>
    <t>R0017800206806</t>
  </si>
  <si>
    <t>VX0036</t>
  </si>
  <si>
    <t>ALEJANDRO FELIX ANTONIO LOGARZO ML</t>
  </si>
  <si>
    <t>Ruta 51 Kilómetro 10 10</t>
  </si>
  <si>
    <t>La Silleta Frente Cementerio</t>
  </si>
  <si>
    <t>3874400595//</t>
  </si>
  <si>
    <t>alogarzo@gmail.com</t>
  </si>
  <si>
    <t xml:space="preserve"> Referencia: Almacen esquina.</t>
  </si>
  <si>
    <t>R0017800206807</t>
  </si>
  <si>
    <t>VX0003</t>
  </si>
  <si>
    <t>FABY GODOY</t>
  </si>
  <si>
    <t>VICENTE LOPEZ 382 382</t>
  </si>
  <si>
    <t>3874028409 //</t>
  </si>
  <si>
    <t>ortegafabian096@gmail.com</t>
  </si>
  <si>
    <t>R0017800206808</t>
  </si>
  <si>
    <t>VW9994</t>
  </si>
  <si>
    <t>Paola elena Hadad</t>
  </si>
  <si>
    <t>3878568735// +54 9
3878
568735</t>
  </si>
  <si>
    <t>R0017800207388</t>
  </si>
  <si>
    <t>VW8365</t>
  </si>
  <si>
    <t>Enzo Gabriel Molina</t>
  </si>
  <si>
    <t>tucuman 1830</t>
  </si>
  <si>
    <t>enzomolina1991@gmail.com</t>
  </si>
  <si>
    <t>R0017800207856</t>
  </si>
  <si>
    <t>VW8843</t>
  </si>
  <si>
    <t>Virginia Block Vidal</t>
  </si>
  <si>
    <t>brio pque gral belgrano 9 1 4</t>
  </si>
  <si>
    <t>3875209006// +54 9
387
5209006</t>
  </si>
  <si>
    <t>Viginiablock22@hotmail.com</t>
  </si>
  <si>
    <t>R0017800207869</t>
  </si>
  <si>
    <t>VX0323</t>
  </si>
  <si>
    <t>Mirta griselda Ataco</t>
  </si>
  <si>
    <t>pasaje javier fernandez 1679</t>
  </si>
  <si>
    <t>2964523859// +54 9
2964
523859</t>
  </si>
  <si>
    <t>sevillanomilena92@hotmail.com</t>
  </si>
  <si>
    <t>R0017800208411</t>
  </si>
  <si>
    <t>X14385</t>
  </si>
  <si>
    <t>CORTEZ MIGUEL ANGEL</t>
  </si>
  <si>
    <t>GRAL GUEMES BLOCK C 22200 3 B</t>
  </si>
  <si>
    <t>3874763300// 3874763300</t>
  </si>
  <si>
    <t>JASGHD@GMAIL.COM</t>
  </si>
  <si>
    <t>PATRON COSTAS Y GUEMES</t>
  </si>
  <si>
    <t>R0017800208412</t>
  </si>
  <si>
    <t>VX0476</t>
  </si>
  <si>
    <t>matias demir</t>
  </si>
  <si>
    <t>diario los prin 3365</t>
  </si>
  <si>
    <t>3872502450// +54 9
387
2502450</t>
  </si>
  <si>
    <t>matiasdemir98@gmail.com</t>
  </si>
  <si>
    <t>R0017800208413</t>
  </si>
  <si>
    <t>VX0483</t>
  </si>
  <si>
    <t>Jorge Arturo Sly</t>
  </si>
  <si>
    <t>Mza 66 Barrio San Carlos 1</t>
  </si>
  <si>
    <t>03874073886// +54 9
0387
4073886</t>
  </si>
  <si>
    <t>COSUNB200200</t>
  </si>
  <si>
    <t>Col Sealy EstSunshineB 200x200</t>
  </si>
  <si>
    <t>jorgearturo.sly@gmail.com</t>
  </si>
  <si>
    <t>R0017800208416</t>
  </si>
  <si>
    <t>VX0523</t>
  </si>
  <si>
    <t>Mariana Vilaseca BP</t>
  </si>
  <si>
    <t>B° Los Tarcos Mza 818 A Casa 21</t>
  </si>
  <si>
    <t>3875818737// 
387
5818737</t>
  </si>
  <si>
    <t>SOUNBA090190E</t>
  </si>
  <si>
    <t>Sommier Universal Grey 090x190</t>
  </si>
  <si>
    <t>marianaelisa.v@hotmail.com</t>
  </si>
  <si>
    <t>B° Los Tarcos Mza 818 A Casa 21 Salta</t>
  </si>
  <si>
    <t>R0017800208812</t>
  </si>
  <si>
    <t>VX0654</t>
  </si>
  <si>
    <t>Jorge Dario Rasjido</t>
  </si>
  <si>
    <t>Pj. Lumbreras 48</t>
  </si>
  <si>
    <t>03875788141// +54 9
387
5788141</t>
  </si>
  <si>
    <t>melisa_rasjido00@hotmail.com</t>
  </si>
  <si>
    <t>R0017800208815</t>
  </si>
  <si>
    <t>VX0696</t>
  </si>
  <si>
    <t>Franco Clemente</t>
  </si>
  <si>
    <t>zuviria 1214</t>
  </si>
  <si>
    <t>3875210900// +54 9
0387
5210900</t>
  </si>
  <si>
    <t>COLNEA130190</t>
  </si>
  <si>
    <t>Col Sealy Est Linen 130x190</t>
  </si>
  <si>
    <t>fclementeblas@gmail.com</t>
  </si>
  <si>
    <t>R0017800209212</t>
  </si>
  <si>
    <t>B43825</t>
  </si>
  <si>
    <t>José Ignacio González BP</t>
  </si>
  <si>
    <t>Calle Pueyrredón 1581</t>
  </si>
  <si>
    <t>CAPITAL FEDERAL</t>
  </si>
  <si>
    <t>03874194536// 03874194536</t>
  </si>
  <si>
    <t>COENEA150190</t>
  </si>
  <si>
    <t>Col. Meyer Energía 150x190</t>
  </si>
  <si>
    <t>gonzalezjoseignacio4@gmail.com</t>
  </si>
  <si>
    <t>Arenales y Gurruchaga</t>
  </si>
  <si>
    <t>R0017800209215</t>
  </si>
  <si>
    <t>X14405</t>
  </si>
  <si>
    <t>CORTEZ ANDREA VIVIANA</t>
  </si>
  <si>
    <t>DR MANUEL PADILLA 468</t>
  </si>
  <si>
    <t>SAN SALVADOR DE JUJUY--LOZANO</t>
  </si>
  <si>
    <t>3886856224// 3886856224</t>
  </si>
  <si>
    <t>COQUAA140190</t>
  </si>
  <si>
    <t>Col Sealy Post Quartz 140x190</t>
  </si>
  <si>
    <t>VIVIACORTEZ@GMAIL.COM</t>
  </si>
  <si>
    <t>PEDRO EL PORTAL Y LIBERTAD</t>
  </si>
  <si>
    <t>R0017800209558</t>
  </si>
  <si>
    <t>VW8353</t>
  </si>
  <si>
    <t>Carlos Victor Barionuevo</t>
  </si>
  <si>
    <t>9 DE July 0458</t>
  </si>
  <si>
    <t>GENERAL GUEMES</t>
  </si>
  <si>
    <t>03874579414// +54 9
387
4579414</t>
  </si>
  <si>
    <t>cvbsecguemes@hotmail.com</t>
  </si>
  <si>
    <t>R0017800209561</t>
  </si>
  <si>
    <t>VW9376</t>
  </si>
  <si>
    <t>Yamila Malena Marin</t>
  </si>
  <si>
    <t>B solidaridad mza 447 A lote 15 etapa 3 15</t>
  </si>
  <si>
    <t>3875916610// 387591
6610
5916610</t>
  </si>
  <si>
    <t>yaamiimale@gmail.com</t>
  </si>
  <si>
    <t>R0017800209773</t>
  </si>
  <si>
    <t>VW8283</t>
  </si>
  <si>
    <t>CARLA BELEN SOTO ML</t>
  </si>
  <si>
    <t>Avenida avenida mosconi 803</t>
  </si>
  <si>
    <t>3874142822//</t>
  </si>
  <si>
    <t>scb68210045@gmail.com</t>
  </si>
  <si>
    <t>Referencia: barrio villa saave</t>
  </si>
  <si>
    <t>R0017800209843</t>
  </si>
  <si>
    <t>X14436</t>
  </si>
  <si>
    <t>MORON ARANSAY OSCAR ALFREDO</t>
  </si>
  <si>
    <t>ESPAÑA 1455</t>
  </si>
  <si>
    <t>3874469776// 3874469776</t>
  </si>
  <si>
    <t>COJADA180200</t>
  </si>
  <si>
    <t>Col Sealy Post Jade 180x200</t>
  </si>
  <si>
    <t>CDCS@GMAIL.COM</t>
  </si>
  <si>
    <t>BROWN Y MARTIN CORNEJO</t>
  </si>
  <si>
    <t>R0017800210147</t>
  </si>
  <si>
    <t>X14435</t>
  </si>
  <si>
    <t>FERNANDEZ VERONICA X</t>
  </si>
  <si>
    <t>VILLA ESTELA GRAL ANSELMO 169</t>
  </si>
  <si>
    <t>3875253678// 3875253678</t>
  </si>
  <si>
    <t>JSDFHDS@GMAIL.COM</t>
  </si>
  <si>
    <t>SANFELIPE Y SANTIAGO Y MANUELA G DE TOOD</t>
  </si>
  <si>
    <t>COSPTB080190</t>
  </si>
  <si>
    <t>Col Sealy Perf SpiritN080x190</t>
  </si>
  <si>
    <t>COSPTB100190</t>
  </si>
  <si>
    <t>Col Sealy Perf SpiritN100x190</t>
  </si>
  <si>
    <t>R0017800210148</t>
  </si>
  <si>
    <t>VX0887</t>
  </si>
  <si>
    <t>SEBASTIAN JORGE LACHS ML</t>
  </si>
  <si>
    <t>Manzana 530 20</t>
  </si>
  <si>
    <t>Barrio universidad catolica</t>
  </si>
  <si>
    <t>//</t>
  </si>
  <si>
    <t>Tercera casa a la izquierda</t>
  </si>
  <si>
    <t>R0017800210157</t>
  </si>
  <si>
    <t>VX1027</t>
  </si>
  <si>
    <t>Gonzalez Vega Facundo</t>
  </si>
  <si>
    <t>AV CHILE 1480</t>
  </si>
  <si>
    <t>3876281972// 3876281972</t>
  </si>
  <si>
    <t>CARENW2140190</t>
  </si>
  <si>
    <t>Cama RespaldoHandyGrisC140x190</t>
  </si>
  <si>
    <t>facundovega25@outlook.com</t>
  </si>
  <si>
    <t>R0017800210642</t>
  </si>
  <si>
    <t>VX1057</t>
  </si>
  <si>
    <t>Lumi Puna SRL</t>
  </si>
  <si>
    <t>Del milagro 161</t>
  </si>
  <si>
    <t>SALTA , CAPITAL</t>
  </si>
  <si>
    <t>3875784241//</t>
  </si>
  <si>
    <t>COCCVC100190</t>
  </si>
  <si>
    <t>Col Sealy ChillV.Box(N)100x190</t>
  </si>
  <si>
    <t>Lucasnieva@lumipeople.com</t>
  </si>
  <si>
    <t>R0017800210725</t>
  </si>
  <si>
    <t>VX1171</t>
  </si>
  <si>
    <t>Oscarlina Marlene Villalba Martinez</t>
  </si>
  <si>
    <t>Barrio Bicentenario Mz Q Casa 16 16</t>
  </si>
  <si>
    <t>3873671131// +54 9
3873
671131</t>
  </si>
  <si>
    <t>13-125700</t>
  </si>
  <si>
    <t>Alm. Zlow Visco Standard</t>
  </si>
  <si>
    <t>marleneoscarlina@gmail.com</t>
  </si>
  <si>
    <t>R0017800210726</t>
  </si>
  <si>
    <t>17 junio Casa Q 16 Barrio Bicentenario</t>
  </si>
  <si>
    <t>CARENW10140190</t>
  </si>
  <si>
    <t>Cama RespaldoHandyGris140x190</t>
  </si>
  <si>
    <t>R0017800210727</t>
  </si>
  <si>
    <t>R0017800210911</t>
  </si>
  <si>
    <t>VW8568</t>
  </si>
  <si>
    <t>GASTÓN ALEJANDRO DAVALOS ML</t>
  </si>
  <si>
    <t>Calle Coronel Egues 1265</t>
  </si>
  <si>
    <t>3876156520//</t>
  </si>
  <si>
    <t>gastonalejandrodavalos@gmail.com</t>
  </si>
  <si>
    <t>CASA DE 2 PISOS</t>
  </si>
  <si>
    <t>R0017800210912</t>
  </si>
  <si>
    <t>VW8721</t>
  </si>
  <si>
    <t>JAVIER GONZALO TORRES ML</t>
  </si>
  <si>
    <t>Luis d'Andrea 460</t>
  </si>
  <si>
    <t>5493873065687//</t>
  </si>
  <si>
    <t>Javiergtorres21@gmail.com</t>
  </si>
  <si>
    <t>R0017800210913</t>
  </si>
  <si>
    <t>VW8313</t>
  </si>
  <si>
    <t>GUSTAVO MARTIN MOLINA ML</t>
  </si>
  <si>
    <t>Avenida Sarmiento 669</t>
  </si>
  <si>
    <t>Embarcación</t>
  </si>
  <si>
    <t>3878676421//</t>
  </si>
  <si>
    <t>Gustavo.mmolina22@gmail.com</t>
  </si>
  <si>
    <t>R0017800210914</t>
  </si>
  <si>
    <t>VW8286</t>
  </si>
  <si>
    <t>LEO QUIPILDOR</t>
  </si>
  <si>
    <t>25 DE May 0450</t>
  </si>
  <si>
    <t>3868456002 //</t>
  </si>
  <si>
    <t>QL20240917100820-noreply@mercadolibre.com</t>
  </si>
  <si>
    <t>....</t>
  </si>
  <si>
    <t>R0017800210920</t>
  </si>
  <si>
    <t>VW9145</t>
  </si>
  <si>
    <t>LEANDRO NICOLAS MASSA ML</t>
  </si>
  <si>
    <t>Esquiu 234</t>
  </si>
  <si>
    <t>3878611342//</t>
  </si>
  <si>
    <t>leomassa7@gmail.com</t>
  </si>
  <si>
    <t xml:space="preserve"> Entre: Egües y Alvarado</t>
  </si>
  <si>
    <t>R0017800210924</t>
  </si>
  <si>
    <t>VX0336</t>
  </si>
  <si>
    <t>Alida Antonella Villagra Schmunk</t>
  </si>
  <si>
    <t>diario la voz del interior 2297 2297</t>
  </si>
  <si>
    <t>3876306543//</t>
  </si>
  <si>
    <t>lopezantonella1999@gmail.com</t>
  </si>
  <si>
    <t>El clarín y La nación Dto 3</t>
  </si>
  <si>
    <t>R0017800211012</t>
  </si>
  <si>
    <t>VX1294</t>
  </si>
  <si>
    <t>Belen Ocaña</t>
  </si>
  <si>
    <t>olegario Andrade 970</t>
  </si>
  <si>
    <t>03874815020// +54 9
387
5839456</t>
  </si>
  <si>
    <t>Mnoelocana@gmail.com</t>
  </si>
  <si>
    <t>R0017800211013</t>
  </si>
  <si>
    <t>VX1208</t>
  </si>
  <si>
    <t>CESAR IGNACIO AMADOR ML</t>
  </si>
  <si>
    <t>Av. Belgrano 971</t>
  </si>
  <si>
    <t>387450-8154//</t>
  </si>
  <si>
    <t>ciamador26@hotmail.com</t>
  </si>
  <si>
    <t>R0017800211014</t>
  </si>
  <si>
    <t>VX1263</t>
  </si>
  <si>
    <t>Nelo Paniagua</t>
  </si>
  <si>
    <t>Barrios Pereita rozas manzana 610 A 7</t>
  </si>
  <si>
    <t>3875203895// +54 9
387
5203895</t>
  </si>
  <si>
    <t>nelopany@gmail.com</t>
  </si>
  <si>
    <t>R0017800211241</t>
  </si>
  <si>
    <t>X09288</t>
  </si>
  <si>
    <t>CABRERA LEONARDO</t>
  </si>
  <si>
    <t>BARRIO SEPTIEMBRE MZA 860 5</t>
  </si>
  <si>
    <t>3875976495// 3875976495</t>
  </si>
  <si>
    <t>XZSPÑLIIJNM@HOTMAIL.COM</t>
  </si>
  <si>
    <t>R0017800211326</t>
  </si>
  <si>
    <t>X14465</t>
  </si>
  <si>
    <t>RODRIGUEZ ROCIO NANCY</t>
  </si>
  <si>
    <t>VILLA LOLA PASAJE 16 A 1</t>
  </si>
  <si>
    <t>LA SILLETA</t>
  </si>
  <si>
    <t>3874482985// 3874482985</t>
  </si>
  <si>
    <t>NANCY_ARGENTINA20@HOTMAIL.COM</t>
  </si>
  <si>
    <t>DEL CEMENTERIO 1 CUADRA Y MEDIA</t>
  </si>
  <si>
    <t>CORAIB180200</t>
  </si>
  <si>
    <t>Col Sealy Perf RainbowN180x200</t>
  </si>
  <si>
    <t>R0017800211327</t>
  </si>
  <si>
    <t>X14468</t>
  </si>
  <si>
    <t>ARROYO SILVANA</t>
  </si>
  <si>
    <t>B PEREYRA ROSAS ETAPA 10-mza 636 -casa 2</t>
  </si>
  <si>
    <t>3876853033// 4216464</t>
  </si>
  <si>
    <t>CODEVA100190</t>
  </si>
  <si>
    <t>Col Meyer Devas 100x190</t>
  </si>
  <si>
    <t>DKJDSF@GMAIL.COM</t>
  </si>
  <si>
    <t>DIAGONAL A LA PLAZA</t>
  </si>
  <si>
    <t>SOCELA100190E</t>
  </si>
  <si>
    <t>Som Light Blue 100x190</t>
  </si>
  <si>
    <t>R0017800211328</t>
  </si>
  <si>
    <t>X14472</t>
  </si>
  <si>
    <t>ARQUED ROSANA</t>
  </si>
  <si>
    <t>RUTA NACIONAL 9 KM 1619</t>
  </si>
  <si>
    <t>LA CALDERILLA</t>
  </si>
  <si>
    <t>3875400951// 3876847294</t>
  </si>
  <si>
    <t>ROSANA.ARQUED@GMAIL.COM</t>
  </si>
  <si>
    <t>FRENTE A LA IGLESIA 500 MTS DE RIPIO</t>
  </si>
  <si>
    <t>R0017800211329</t>
  </si>
  <si>
    <t>X14476</t>
  </si>
  <si>
    <t>GARCIA TEMER CLAUDIA SUSANA</t>
  </si>
  <si>
    <t>LOS OLIVOS 136</t>
  </si>
  <si>
    <t>3874078760// 3874078760</t>
  </si>
  <si>
    <t>COWOOB090190</t>
  </si>
  <si>
    <t>Col Sealy Est WoodsB 090x190</t>
  </si>
  <si>
    <t>claudiagarciatemer@gmail.com</t>
  </si>
  <si>
    <t>los jasmines y los mandarinos</t>
  </si>
  <si>
    <t>R0017800211420</t>
  </si>
  <si>
    <t>X12943</t>
  </si>
  <si>
    <t>RAMIREZ JUANA</t>
  </si>
  <si>
    <t>B ALMERIA MAZA U 80 LOTE 7</t>
  </si>
  <si>
    <t>VAQUEROS-SALTA</t>
  </si>
  <si>
    <t>3874444711// 3874444711</t>
  </si>
  <si>
    <t>EIKHDH@GMAIL.COM</t>
  </si>
  <si>
    <t>ACCESO DE LA PILICIA</t>
  </si>
  <si>
    <t>R0017800211421</t>
  </si>
  <si>
    <t>X14486</t>
  </si>
  <si>
    <t>LOPEZ GUIDO CESAR MARTIN</t>
  </si>
  <si>
    <t>ISLAS MALVINAS 378</t>
  </si>
  <si>
    <t>3874678279// 3874678279</t>
  </si>
  <si>
    <t>DSD@GMAIL.COM</t>
  </si>
  <si>
    <t>SALTA Y TUCUMAN</t>
  </si>
  <si>
    <t>R0017800211422</t>
  </si>
  <si>
    <t>SOBAJA150190E</t>
  </si>
  <si>
    <t>Sommier All White 150x190</t>
  </si>
  <si>
    <t>R0017800211423</t>
  </si>
  <si>
    <t>X14491</t>
  </si>
  <si>
    <t>RUIZ LUCIANO</t>
  </si>
  <si>
    <t>BA SAN SILVESTRE MZA 169 LOTE 11</t>
  </si>
  <si>
    <t>3875902525// 3874489148</t>
  </si>
  <si>
    <t>SAKJSD@GMAil.com</t>
  </si>
  <si>
    <t>CALLE SAN MARCOS 3305</t>
  </si>
  <si>
    <t>R0017800211424</t>
  </si>
  <si>
    <t>X14492</t>
  </si>
  <si>
    <t>CONDORI IRMA RITA</t>
  </si>
  <si>
    <t>BARRIO ESCALABRINI ORTIZ MZA 287B 19</t>
  </si>
  <si>
    <t>3875835481// 3875361266</t>
  </si>
  <si>
    <t>COENEA160200</t>
  </si>
  <si>
    <t>Col. Meyer Energía 160x200</t>
  </si>
  <si>
    <t>IRCONDORI71@GMAIL.COM</t>
  </si>
  <si>
    <t>JAURECHE Y EUSTAQUIO MENDEZ</t>
  </si>
  <si>
    <t>R0017800211425</t>
  </si>
  <si>
    <t>M20047</t>
  </si>
  <si>
    <t>FUENTES RODRIGO EZEQUIEL BP</t>
  </si>
  <si>
    <t>MAIPU 1358</t>
  </si>
  <si>
    <t>A4400FPN</t>
  </si>
  <si>
    <t>3874620318// 3876835822</t>
  </si>
  <si>
    <t>kurygb.77@gmail.com</t>
  </si>
  <si>
    <t>Latorre y Ameghino</t>
  </si>
  <si>
    <t>R0017800211426</t>
  </si>
  <si>
    <t>R0017800211427</t>
  </si>
  <si>
    <t>VX1744</t>
  </si>
  <si>
    <t>antonela agustina altamirano</t>
  </si>
  <si>
    <t>20 de February 1859</t>
  </si>
  <si>
    <t>3804665960// +54 9
380
4665960</t>
  </si>
  <si>
    <t>antonela.altamirano15@gmail.com</t>
  </si>
  <si>
    <t>R0017800211428</t>
  </si>
  <si>
    <t>VX1666</t>
  </si>
  <si>
    <t>Carola Posada</t>
  </si>
  <si>
    <t>mar antartico 825</t>
  </si>
  <si>
    <t>3874500438// +54 9
387
4500438</t>
  </si>
  <si>
    <t>caroposada222@gmail.com</t>
  </si>
  <si>
    <t>R0017800211429</t>
  </si>
  <si>
    <t>VX1749</t>
  </si>
  <si>
    <t>Gisela Perez clemente</t>
  </si>
  <si>
    <t>los inciensos 601</t>
  </si>
  <si>
    <t>3874463152// +54 9
387
4463152</t>
  </si>
  <si>
    <t>giseperezclemente@gmail.com</t>
  </si>
  <si>
    <t>R0017800211485</t>
  </si>
  <si>
    <t>X14499</t>
  </si>
  <si>
    <t>PEDRAZZOLI FACUNDO</t>
  </si>
  <si>
    <t>B EL PORTICO MZA 3 LOTE 41</t>
  </si>
  <si>
    <t>3875910090// 3875910090</t>
  </si>
  <si>
    <t>COFIEB200200</t>
  </si>
  <si>
    <t>Col Sealy Essent Field 200x200</t>
  </si>
  <si>
    <t>SADKSDA@GMAIL.COM</t>
  </si>
  <si>
    <t>ACCESO NORTE</t>
  </si>
  <si>
    <t>R0017800211486</t>
  </si>
  <si>
    <t>VU6212</t>
  </si>
  <si>
    <t>natalia gabriela flores</t>
  </si>
  <si>
    <t>lomas de medeiro mzna 633A 9</t>
  </si>
  <si>
    <t>0297155927879// +54 9
297
5927879</t>
  </si>
  <si>
    <t>gabriela.flores02@hotmail.com</t>
  </si>
  <si>
    <t>R0017800211487</t>
  </si>
  <si>
    <t>VX1776</t>
  </si>
  <si>
    <t>LUZ ABRAHAM</t>
  </si>
  <si>
    <t>General Arenales, Salta, Ar 2529</t>
  </si>
  <si>
    <t>3875638525// +54 9
387
5638525</t>
  </si>
  <si>
    <t>luzabraham28@gmail.com</t>
  </si>
  <si>
    <t>R0017800211841</t>
  </si>
  <si>
    <t>X14508</t>
  </si>
  <si>
    <t>RODRIGUEZ JOSE LUIS</t>
  </si>
  <si>
    <t>LOS TILOS 55</t>
  </si>
  <si>
    <t>3874577363// 3874577363</t>
  </si>
  <si>
    <t>ASJDHSDA@GMAIL.COM</t>
  </si>
  <si>
    <t>los pinos 55</t>
  </si>
  <si>
    <t>R0017800211842</t>
  </si>
  <si>
    <t>X13801</t>
  </si>
  <si>
    <t>GUDIÑO SERGIO RAFAEL</t>
  </si>
  <si>
    <t>LIBERTAD 675</t>
  </si>
  <si>
    <t>GRAL GUEMES</t>
  </si>
  <si>
    <t>3875836410// 3875836410</t>
  </si>
  <si>
    <t>COLUZA160200</t>
  </si>
  <si>
    <t>Col Meyer Luz 160x200</t>
  </si>
  <si>
    <t>ASDLJ@GMAIL.COM</t>
  </si>
  <si>
    <t>R0017800211843</t>
  </si>
  <si>
    <t>X14514</t>
  </si>
  <si>
    <t>FRANCO ARAMAYO</t>
  </si>
  <si>
    <t>BARRIO 108 VIVIENDAS EMPLEADOS VIALES MZA 906 17</t>
  </si>
  <si>
    <t>3872219099// 3872219099</t>
  </si>
  <si>
    <t>FRANCO.ARAMAYO.88@GMAIL.COM</t>
  </si>
  <si>
    <t>RUTA 26 Y CIRCUNVALACION</t>
  </si>
  <si>
    <t>R0017800211844</t>
  </si>
  <si>
    <t>X14515</t>
  </si>
  <si>
    <t>CALIVA RODRIGO</t>
  </si>
  <si>
    <t>20 DE FEBRERO 1436 5 C</t>
  </si>
  <si>
    <t>3875726539// 3875726539</t>
  </si>
  <si>
    <t>SADCD@GMAIL.COM</t>
  </si>
  <si>
    <t>ARENALES ATRAS DEL JUMBO</t>
  </si>
  <si>
    <t>R0017800211845</t>
  </si>
  <si>
    <t>X14517</t>
  </si>
  <si>
    <t>ROMERO ROCIO CELESTE</t>
  </si>
  <si>
    <t>SARMIENTO 1014</t>
  </si>
  <si>
    <t>3875394545// 3875393435</t>
  </si>
  <si>
    <t>MATEOVALENTIN10314@GMAIL.COM</t>
  </si>
  <si>
    <t>LEGUIZAMON Y LAPRIDA</t>
  </si>
  <si>
    <t>R0017800211846</t>
  </si>
  <si>
    <t>VX2097</t>
  </si>
  <si>
    <t>Ricardo Joaquin Medina</t>
  </si>
  <si>
    <t>Aaron de anchorena 811</t>
  </si>
  <si>
    <t>3876553253/</t>
  </si>
  <si>
    <t>joaquinmedina123@gmail.com</t>
  </si>
  <si>
    <t xml:space="preserve">3875091275// </t>
  </si>
  <si>
    <t>R0017800211847</t>
  </si>
  <si>
    <t>VX2109</t>
  </si>
  <si>
    <t>JUAN JOSE CONDORI ML</t>
  </si>
  <si>
    <t>barrio san isidro mza 4b casa 13 SN 1 C</t>
  </si>
  <si>
    <t>3875469720//</t>
  </si>
  <si>
    <t>juanelsanto15@gmail.com</t>
  </si>
  <si>
    <t>R0017800211848</t>
  </si>
  <si>
    <t>VX2071</t>
  </si>
  <si>
    <t>LUZ MARILINA DE LOS ANGELES MORENO bp</t>
  </si>
  <si>
    <t>Buenos Aires 298</t>
  </si>
  <si>
    <t>Gral Guemes</t>
  </si>
  <si>
    <t>3875065157//</t>
  </si>
  <si>
    <t>marilinmoreni@gmail.com</t>
  </si>
  <si>
    <t>12 de octubre y calle: Ameguino</t>
  </si>
  <si>
    <t>R0017800212111</t>
  </si>
  <si>
    <t>X14520</t>
  </si>
  <si>
    <t>FLORES KARINA</t>
  </si>
  <si>
    <t>PASAJE READ HEAD 1254</t>
  </si>
  <si>
    <t>3875350405// 3875339688</t>
  </si>
  <si>
    <t>ISAIASRETAMBAY55@GMAIL.COM</t>
  </si>
  <si>
    <t>12 DE OCTUBRE Y MAIPU</t>
  </si>
  <si>
    <t>R0017800212112</t>
  </si>
  <si>
    <t>VX2160</t>
  </si>
  <si>
    <t>Federico Grimaux</t>
  </si>
  <si>
    <t>tucuman 205</t>
  </si>
  <si>
    <t>Libertador general San martin</t>
  </si>
  <si>
    <t>federico.grimaux@gmail.com</t>
  </si>
  <si>
    <t>R0017800212459</t>
  </si>
  <si>
    <t>X12473</t>
  </si>
  <si>
    <t>GAVENDA JORGE ALBERTO</t>
  </si>
  <si>
    <t>PASAJE JULIO OUTES 51</t>
  </si>
  <si>
    <t>3874021233// 3874021233</t>
  </si>
  <si>
    <t>COSPTB180200</t>
  </si>
  <si>
    <t>Col Sealy Perf SpiritN180x200</t>
  </si>
  <si>
    <t>JORGEGAVENDA@GMAIL.COM</t>
  </si>
  <si>
    <t>SAN MARTIN Y COSTANERA</t>
  </si>
  <si>
    <t>R0017800212460</t>
  </si>
  <si>
    <t>R0017800212484</t>
  </si>
  <si>
    <t>X14526</t>
  </si>
  <si>
    <t>RUIZ MARIA TERESA</t>
  </si>
  <si>
    <t>B INTERSINDICAL RADIO DEL PLATA 2683</t>
  </si>
  <si>
    <t>3874110494// 3874110494</t>
  </si>
  <si>
    <t>COENEA130190</t>
  </si>
  <si>
    <t>Col. Meyer Energía 130x190</t>
  </si>
  <si>
    <t>DFSKMJF@GMAIL.COM</t>
  </si>
  <si>
    <t>ZONA SUR</t>
  </si>
  <si>
    <t>R0017800212485</t>
  </si>
  <si>
    <t>VX2471</t>
  </si>
  <si>
    <t>NIDIA GABRIELA CORTEZ ML</t>
  </si>
  <si>
    <t>Barrio 365 Manzana 26 C 15</t>
  </si>
  <si>
    <t>3873402759//</t>
  </si>
  <si>
    <t>R0017800212904</t>
  </si>
  <si>
    <t>X14534</t>
  </si>
  <si>
    <t>DE LA FUENTE BRENDA</t>
  </si>
  <si>
    <t>CASEROS 2451</t>
  </si>
  <si>
    <t>3874085171// 3874085171</t>
  </si>
  <si>
    <t>bremmm12@hotmail.com</t>
  </si>
  <si>
    <t>:</t>
  </si>
  <si>
    <t>COCCCC080190</t>
  </si>
  <si>
    <t>Col Sealy Chill Box(N) 080x190</t>
  </si>
  <si>
    <t>SOUNBA080190E</t>
  </si>
  <si>
    <t>Sommier Universal Grey 080x190</t>
  </si>
  <si>
    <t>R0017800212905</t>
  </si>
  <si>
    <t>X12873</t>
  </si>
  <si>
    <t>GALVALISI ROMINA SOLEDAD</t>
  </si>
  <si>
    <t>BARRIO LOS ALERCES MZA 804B 11</t>
  </si>
  <si>
    <t>3875396138// 3875396138</t>
  </si>
  <si>
    <t>COWOOB100200</t>
  </si>
  <si>
    <t>Col Sealy Est WoodsB 100x200</t>
  </si>
  <si>
    <t>romigalvalisi@gmail.com</t>
  </si>
  <si>
    <t>SODVE100200E</t>
  </si>
  <si>
    <t>Base de diván Venecia 100x200</t>
  </si>
  <si>
    <t>R0017800212906</t>
  </si>
  <si>
    <t>X14539</t>
  </si>
  <si>
    <t>MORENO CESAR</t>
  </si>
  <si>
    <t>JULIO CATALAN 327</t>
  </si>
  <si>
    <t>3875393129// 3875393129</t>
  </si>
  <si>
    <t>COQUAA200200</t>
  </si>
  <si>
    <t>Col Sealy Post Quartz 200x200</t>
  </si>
  <si>
    <t>cesargmoreno@yahoo.com.ar</t>
  </si>
  <si>
    <t>R0017800212907</t>
  </si>
  <si>
    <t>VX2538</t>
  </si>
  <si>
    <t>manuel sebastian yugar</t>
  </si>
  <si>
    <t>pasaje guerrero 887</t>
  </si>
  <si>
    <t>san ramon de la nueva oran</t>
  </si>
  <si>
    <t>3875023481//</t>
  </si>
  <si>
    <t>yugar_msy@hotmail.es</t>
  </si>
  <si>
    <t>3878-561545//</t>
  </si>
  <si>
    <t>R0017800212908</t>
  </si>
  <si>
    <t>VX2712</t>
  </si>
  <si>
    <t>Pablo Nicolas Guerrero BP</t>
  </si>
  <si>
    <t>B La Candelaria Mzna 2 Casa 4</t>
  </si>
  <si>
    <t>pablonicoguerri33@gmail.com</t>
  </si>
  <si>
    <t>B La Candelaria Mzna 2 Casa 4 Chicoana</t>
  </si>
  <si>
    <t>R0017800213072</t>
  </si>
  <si>
    <t>VX2351</t>
  </si>
  <si>
    <t>agustina laurenci</t>
  </si>
  <si>
    <t>vicente l 963</t>
  </si>
  <si>
    <t xml:space="preserve">3878354124// </t>
  </si>
  <si>
    <t>aguuslaurenci@gmail.com</t>
  </si>
  <si>
    <t>R0017800213082</t>
  </si>
  <si>
    <t>H13660</t>
  </si>
  <si>
    <t>TURQUINI RODRIGO SEBASTIAN BP</t>
  </si>
  <si>
    <t>CORONEL VIDT 2244</t>
  </si>
  <si>
    <t>3875100569// 3876237073</t>
  </si>
  <si>
    <t>RODRIGO.TURQUINI@GMAIL.COM</t>
  </si>
  <si>
    <t>FRANCISCO ORTIZ Y PASAJE GOYTIA</t>
  </si>
  <si>
    <t>R0017800213083</t>
  </si>
  <si>
    <t>R0017800213084</t>
  </si>
  <si>
    <t>R0017800213085</t>
  </si>
  <si>
    <t>VX2678</t>
  </si>
  <si>
    <t>DANIEL GUILLERMO VIDAL ML</t>
  </si>
  <si>
    <t>Sarmiento 66</t>
  </si>
  <si>
    <t>3874114773//</t>
  </si>
  <si>
    <t>R0017800213086</t>
  </si>
  <si>
    <t>VX2608</t>
  </si>
  <si>
    <t>CLAUDIA FERNANDA LEON ML</t>
  </si>
  <si>
    <t>Manzana manzana 3A 6</t>
  </si>
  <si>
    <t>Barrio Santa Ana</t>
  </si>
  <si>
    <t>3874560723//</t>
  </si>
  <si>
    <t>R0017800213128</t>
  </si>
  <si>
    <t>X14546</t>
  </si>
  <si>
    <t>PARQUE LA VEGA BLOCK 13 PB B</t>
  </si>
  <si>
    <t>3875060375// 3873024775</t>
  </si>
  <si>
    <t>WSDW@GMAIL.COM</t>
  </si>
  <si>
    <t>R0017800213129</t>
  </si>
  <si>
    <t>VX2803</t>
  </si>
  <si>
    <t>Rafael Yapura</t>
  </si>
  <si>
    <t>calle la luna 7554</t>
  </si>
  <si>
    <t>3515570332/</t>
  </si>
  <si>
    <t>santiyapura89@gmail.com</t>
  </si>
  <si>
    <t>R0017800213130</t>
  </si>
  <si>
    <t>R0017800213179</t>
  </si>
  <si>
    <t>X14553</t>
  </si>
  <si>
    <t>AMARELA SA</t>
  </si>
  <si>
    <t>3875016037// 3875016037</t>
  </si>
  <si>
    <t>KSAJDS@GMAIL.COM</t>
  </si>
  <si>
    <t>COCA COLA Y ESTADIO MARTEARENA</t>
  </si>
  <si>
    <t>SOSNA090190E</t>
  </si>
  <si>
    <t>Som Sealy Carbon Grey 090x190</t>
  </si>
  <si>
    <t>COEMEA090190</t>
  </si>
  <si>
    <t>Col Sealy Post Emerald 090x190</t>
  </si>
  <si>
    <t>R0017800213180</t>
  </si>
  <si>
    <t>X14555</t>
  </si>
  <si>
    <t>FLORES MARISA DELVALLE</t>
  </si>
  <si>
    <t>B AMPLIACION PARQUE LA VEGA MZA 24 LOTE 3</t>
  </si>
  <si>
    <t>3875773601// 3875773601</t>
  </si>
  <si>
    <t>DSAKSDA@GMAIL.COM</t>
  </si>
  <si>
    <t>B AMPLIACION INTERSINDICAL</t>
  </si>
  <si>
    <t>R0017800213181</t>
  </si>
  <si>
    <t>X14559</t>
  </si>
  <si>
    <t>RODRIGUEZ MATIAS</t>
  </si>
  <si>
    <t>CALLE TEJADA 454</t>
  </si>
  <si>
    <t>3874455339// 3874455339</t>
  </si>
  <si>
    <t>COSALA130190</t>
  </si>
  <si>
    <t>Colchón Meyer Salud 130x190</t>
  </si>
  <si>
    <t>JSDHDSA@GMAIL.COM</t>
  </si>
  <si>
    <t>ZUVIRIA 2300</t>
  </si>
  <si>
    <t>SOCELA130190E</t>
  </si>
  <si>
    <t>Som Light Blue 130x190</t>
  </si>
  <si>
    <t>R0017800213182</t>
  </si>
  <si>
    <t>X14561</t>
  </si>
  <si>
    <t>ARENAS ARIEL</t>
  </si>
  <si>
    <t>B EL PRADO LOTE 223</t>
  </si>
  <si>
    <t>3875729223// 3875729223</t>
  </si>
  <si>
    <t>adribek@gmail.com</t>
  </si>
  <si>
    <t>R0017800213234</t>
  </si>
  <si>
    <t>X14565</t>
  </si>
  <si>
    <t>CHOCOBAR CARLOS</t>
  </si>
  <si>
    <t>20 DE February 0440</t>
  </si>
  <si>
    <t>CERRILLOS-SALTA</t>
  </si>
  <si>
    <t>3875911971// 3875911971</t>
  </si>
  <si>
    <t>SAXS@GMAIL.COM</t>
  </si>
  <si>
    <t>AMEGHINO Y PASAJE SARGENTO CABRAL</t>
  </si>
  <si>
    <t>R0017800213748</t>
  </si>
  <si>
    <t>X14563</t>
  </si>
  <si>
    <t>JORGE BEJARANO</t>
  </si>
  <si>
    <t>3875984787// 3875984787</t>
  </si>
  <si>
    <t>DSSD@GMAIL.COM</t>
  </si>
  <si>
    <t>R0017800213749</t>
  </si>
  <si>
    <t>VX2972</t>
  </si>
  <si>
    <t>Noelia Manuela Gauna</t>
  </si>
  <si>
    <t>Pasaje Baldomero castro 1666 1666</t>
  </si>
  <si>
    <t>3875180782/</t>
  </si>
  <si>
    <t>sergio_alderete86@hotmail.com.ar</t>
  </si>
  <si>
    <t>R0017800213757</t>
  </si>
  <si>
    <t>VX1311</t>
  </si>
  <si>
    <t>Matias Van Asten</t>
  </si>
  <si>
    <t>Av.Paraguay 2259</t>
  </si>
  <si>
    <t>A4414ASC</t>
  </si>
  <si>
    <t>3872264537/</t>
  </si>
  <si>
    <t>mativanasten@gmail.com</t>
  </si>
  <si>
    <t>R0017800214380</t>
  </si>
  <si>
    <t>VW8526</t>
  </si>
  <si>
    <t>Sofia Yarade</t>
  </si>
  <si>
    <t>islas malvunas 160,</t>
  </si>
  <si>
    <t>EL CARRIL</t>
  </si>
  <si>
    <t>Colchon L.Palladium</t>
  </si>
  <si>
    <t>R0017800214059</t>
  </si>
  <si>
    <t>X14538</t>
  </si>
  <si>
    <t>CARDOZO FEDERICO</t>
  </si>
  <si>
    <t>B Winw village-mza 2 lote 26</t>
  </si>
  <si>
    <t>CAFAYATE - SALTA</t>
  </si>
  <si>
    <t>3868638829// 3868638829</t>
  </si>
  <si>
    <t>COENEA080190</t>
  </si>
  <si>
    <t>Col. Meyer Energía 080x190</t>
  </si>
  <si>
    <t>vinotintocafayate@hotmail.com</t>
  </si>
  <si>
    <t>a la par de la terminal</t>
  </si>
  <si>
    <t>SOCELA080190E</t>
  </si>
  <si>
    <t>Som Light Blue 080x190</t>
  </si>
  <si>
    <t>R0017800214072</t>
  </si>
  <si>
    <t>X14570</t>
  </si>
  <si>
    <t>LASSI DANIEL</t>
  </si>
  <si>
    <t>B SIGLO 21 MZA 360A LOTE 11</t>
  </si>
  <si>
    <t>3875697602// 3875697602</t>
  </si>
  <si>
    <t>rodriguezdaianabarbara@gmail.com</t>
  </si>
  <si>
    <t>R0017800214073</t>
  </si>
  <si>
    <t>R0017800214074</t>
  </si>
  <si>
    <t>VX3103</t>
  </si>
  <si>
    <t>Marisabel Lobo</t>
  </si>
  <si>
    <t>barrio Cooperativa Manzana C casa 1</t>
  </si>
  <si>
    <t>3875089848//</t>
  </si>
  <si>
    <t>COFIEB130190</t>
  </si>
  <si>
    <t>Col Sealy Essent Field 130x190</t>
  </si>
  <si>
    <t>lobomarisa18@gmail.com</t>
  </si>
  <si>
    <t>SOSNA130190E</t>
  </si>
  <si>
    <t>Som Sealy Carbon Grey 130x190</t>
  </si>
  <si>
    <t>R0017800214075</t>
  </si>
  <si>
    <t>VX3150</t>
  </si>
  <si>
    <t>María Emilia Trogliero Siuffi</t>
  </si>
  <si>
    <t>alsina 144 144</t>
  </si>
  <si>
    <t xml:space="preserve">3874527779// </t>
  </si>
  <si>
    <t>troglierosiuffiemilia@gmail.com</t>
  </si>
  <si>
    <t>R0017800214578</t>
  </si>
  <si>
    <t>X14580</t>
  </si>
  <si>
    <t>PANOZZO ANA</t>
  </si>
  <si>
    <t>AV RAGONE 621</t>
  </si>
  <si>
    <t>3874083792// 3874083792</t>
  </si>
  <si>
    <t>SDMDF@GMAIL.COM</t>
  </si>
  <si>
    <t>AL LADO DE CASA DE PIEDRAS</t>
  </si>
  <si>
    <t>R0017800214734</t>
  </si>
  <si>
    <t>3878354124//</t>
  </si>
  <si>
    <t>R0017800214811</t>
  </si>
  <si>
    <t>X14590</t>
  </si>
  <si>
    <t>SEARCHING TRAILS S.R.L</t>
  </si>
  <si>
    <t>PASAJE BOLIVAR 1</t>
  </si>
  <si>
    <t>SAN LORENZO -SALTA</t>
  </si>
  <si>
    <t>3874071888// 3874071888</t>
  </si>
  <si>
    <t>COEMEA200200</t>
  </si>
  <si>
    <t>Col Sealy Post Emerald 200x200</t>
  </si>
  <si>
    <t>ASNSD@GMAIL.COM</t>
  </si>
  <si>
    <t>CAMINO A LA QUEBRADA</t>
  </si>
  <si>
    <t>R0017800214812</t>
  </si>
  <si>
    <t>X14595</t>
  </si>
  <si>
    <t>SCHMIDT ALEJANDRO</t>
  </si>
  <si>
    <t>B SAN VICENTE MZA 40 LOTE 15</t>
  </si>
  <si>
    <t>3874532464// 3874532464</t>
  </si>
  <si>
    <t>frank.30.cai@gmail.com</t>
  </si>
  <si>
    <t>R0017800214813</t>
  </si>
  <si>
    <t>X14597</t>
  </si>
  <si>
    <t>GONZALEZ MARTA</t>
  </si>
  <si>
    <t>ESTACION ALVARADO MZA 6 CASA 16</t>
  </si>
  <si>
    <t>3874195996// 3874195996</t>
  </si>
  <si>
    <t>SDAND@GMAIL.COM</t>
  </si>
  <si>
    <t>R0017800214854</t>
  </si>
  <si>
    <t>X14601</t>
  </si>
  <si>
    <t>ALBERTO CONSALVO</t>
  </si>
  <si>
    <t>3885748908// 3885748908</t>
  </si>
  <si>
    <t>FRKFDS@GMAIL.COM</t>
  </si>
  <si>
    <t>CIUDAD VALDIVIA</t>
  </si>
  <si>
    <t>CARENW2160200</t>
  </si>
  <si>
    <t>Cama RespaldoHandyGrisC160x200</t>
  </si>
  <si>
    <t>R0017800215101</t>
  </si>
  <si>
    <t>VX3303</t>
  </si>
  <si>
    <t>Luis Santiago Diaz</t>
  </si>
  <si>
    <t>Av Juan Carlos conejo 351</t>
  </si>
  <si>
    <t>COBOS</t>
  </si>
  <si>
    <t>03872169832//</t>
  </si>
  <si>
    <t>luissantiagodiaz600@gmail.com</t>
  </si>
  <si>
    <t>R0017800215112</t>
  </si>
  <si>
    <t>VH6618</t>
  </si>
  <si>
    <t>Jorge Leonel Rios</t>
  </si>
  <si>
    <t>gorriti 624 624</t>
  </si>
  <si>
    <t>03876003564// 03876003564</t>
  </si>
  <si>
    <t>10corsa.leo@gmail.com</t>
  </si>
  <si>
    <t>R0017800215113</t>
  </si>
  <si>
    <t>R0017800215294</t>
  </si>
  <si>
    <t>VX3457</t>
  </si>
  <si>
    <t>Leonel Isasmendi</t>
  </si>
  <si>
    <t>3512908809// +54 9
351
2908809</t>
  </si>
  <si>
    <t>R0017800215577</t>
  </si>
  <si>
    <t>X14624</t>
  </si>
  <si>
    <t>FREITES NICOLAS</t>
  </si>
  <si>
    <t>CIELOS DEL SUR MZA 12 A LOTE 28</t>
  </si>
  <si>
    <t>CERRILOS</t>
  </si>
  <si>
    <t>3875100500// 3875100500</t>
  </si>
  <si>
    <t>ASDKJD@GMAIL.COM</t>
  </si>
  <si>
    <t>CERRILLOS</t>
  </si>
  <si>
    <t>R0017800216005</t>
  </si>
  <si>
    <t>VX1944</t>
  </si>
  <si>
    <t>Ricardo Segal</t>
  </si>
  <si>
    <t>Pasaje Piedras 2598</t>
  </si>
  <si>
    <t>3872128370// +54 9
3872
128370</t>
  </si>
  <si>
    <t>R0017800216108</t>
  </si>
  <si>
    <t>VX3745</t>
  </si>
  <si>
    <t>Facundo Greco Silvera</t>
  </si>
  <si>
    <t>Los Juncos 968</t>
  </si>
  <si>
    <t>3874436379// +54 9
388
4436379</t>
  </si>
  <si>
    <t>fgrecosilvera@yahoo.com</t>
  </si>
  <si>
    <t>R0017800216109</t>
  </si>
  <si>
    <t>87601.60</t>
  </si>
  <si>
    <t>Som. Universal Gris 090x190</t>
  </si>
  <si>
    <t>R0017800216110</t>
  </si>
  <si>
    <t>VR1509</t>
  </si>
  <si>
    <t>hernan ariel raia</t>
  </si>
  <si>
    <t>manzana 55 casa 6 barrio san carlos 6</t>
  </si>
  <si>
    <t>3875011556// +54 9
387
5011556</t>
  </si>
  <si>
    <t>COLUZA130190</t>
  </si>
  <si>
    <t>Col Meyer Luz 130x190</t>
  </si>
  <si>
    <t>arielraia@hotmail.com</t>
  </si>
  <si>
    <t>R0017800216114</t>
  </si>
  <si>
    <t>X14656</t>
  </si>
  <si>
    <t>CENTRO DE NEGOCIOS SLA-COWORKING SAS</t>
  </si>
  <si>
    <t>PASAJE ARTEAGA 1159</t>
  </si>
  <si>
    <t>3874651132// 3874651132</t>
  </si>
  <si>
    <t>SASAS@GMAIL.COM</t>
  </si>
  <si>
    <t>ESPAÑA AL 1100</t>
  </si>
  <si>
    <t>R0017800216115</t>
  </si>
  <si>
    <t>VX3813</t>
  </si>
  <si>
    <t>Ivana anahi grandiller</t>
  </si>
  <si>
    <t>lima Csa 22 mza 6 etapa2</t>
  </si>
  <si>
    <t>Salta,</t>
  </si>
  <si>
    <t>3875377770// 549
387
15377770</t>
  </si>
  <si>
    <t>ivana_ana_10@hotmail.com</t>
  </si>
  <si>
    <t>R0017800216116</t>
  </si>
  <si>
    <t>R0017800216123</t>
  </si>
  <si>
    <t>X14664</t>
  </si>
  <si>
    <t>ABRAHAM CARLOS</t>
  </si>
  <si>
    <t>PJE ROSARIO DE LERMA 847</t>
  </si>
  <si>
    <t>3875816652// 3875816652</t>
  </si>
  <si>
    <t>CARLOSABRAHAM623@GMAIL.COM</t>
  </si>
  <si>
    <t>VILLA CRISTINA</t>
  </si>
  <si>
    <t>SOUNBA100190E</t>
  </si>
  <si>
    <t>Sommier Universal Grey 100x190</t>
  </si>
  <si>
    <t>R0017800216124</t>
  </si>
  <si>
    <t>X14665</t>
  </si>
  <si>
    <t>MAMANI PASCUAL</t>
  </si>
  <si>
    <t>JUAN CARLOS DAVALOS 268</t>
  </si>
  <si>
    <t>3876398956// 3876398956</t>
  </si>
  <si>
    <t>SADJHSD@GMAIL.COM</t>
  </si>
  <si>
    <t>ENTRADA DE CERRILLOS A LA IZQUIERDA</t>
  </si>
  <si>
    <t>R0017800216126</t>
  </si>
  <si>
    <t>X14675</t>
  </si>
  <si>
    <t>ALVARADO DIEGO</t>
  </si>
  <si>
    <t>3875195216// 3875195216</t>
  </si>
  <si>
    <t>SADNBSD@GMAIL.COM</t>
  </si>
  <si>
    <t>SOMMIERCENTER</t>
  </si>
  <si>
    <t>R0017800216528</t>
  </si>
  <si>
    <t>VW9272</t>
  </si>
  <si>
    <t>Jesus axel Posta</t>
  </si>
  <si>
    <t>los zorzales MNA 18 5</t>
  </si>
  <si>
    <t>cerrilllos</t>
  </si>
  <si>
    <t>3875123396// +54 9
387
5123396</t>
  </si>
  <si>
    <t>jesusposta209@gmail.com</t>
  </si>
  <si>
    <t>frente a la comisaría de policía</t>
  </si>
  <si>
    <t>R0017800216700</t>
  </si>
  <si>
    <t>X11322</t>
  </si>
  <si>
    <t>MENCHON MARIA ALICIA</t>
  </si>
  <si>
    <t>CARLOS GARDEL 223</t>
  </si>
  <si>
    <t>GRAL. GUEMES</t>
  </si>
  <si>
    <t>3874086564// 3874086564</t>
  </si>
  <si>
    <t>COEMEA100190</t>
  </si>
  <si>
    <t>Col Sealy Post Emerald 100x190</t>
  </si>
  <si>
    <t>DSDDD@GMAIL.COM</t>
  </si>
  <si>
    <t>20 DE FEBRERO Y RIVADIA FRENTE TERMINAL</t>
  </si>
  <si>
    <t>R0017800217080</t>
  </si>
  <si>
    <t>VX3981</t>
  </si>
  <si>
    <t>bárbara cufré BP</t>
  </si>
  <si>
    <t>los algarrobos 1 cerr mza L 1 3 CASA3</t>
  </si>
  <si>
    <t>CERRILLOS SALTA</t>
  </si>
  <si>
    <t>3874880505//</t>
  </si>
  <si>
    <t>barbicufre22@gmail.com</t>
  </si>
  <si>
    <t>R0017800217084</t>
  </si>
  <si>
    <t>X14703</t>
  </si>
  <si>
    <t>APARICIO DANA CAMILA</t>
  </si>
  <si>
    <t>BARRIO PARQUE BELGRANO PRIMERA ETAPA BLOCK H 4</t>
  </si>
  <si>
    <t>3874827759// 3874827759</t>
  </si>
  <si>
    <t>COENEA140190</t>
  </si>
  <si>
    <t>Col. Meyer Energía 140x190</t>
  </si>
  <si>
    <t>SDSS@GMAIL.COM</t>
  </si>
  <si>
    <t>AV ONORATO PISTOIA ESQ LAZAROVICH</t>
  </si>
  <si>
    <t>R0017800217086</t>
  </si>
  <si>
    <t>VX4048</t>
  </si>
  <si>
    <t>Gabriela Goldáraz</t>
  </si>
  <si>
    <t>Ruta nacional 51 Km 7 nuevo</t>
  </si>
  <si>
    <t>3875720250// +54
387
5720250</t>
  </si>
  <si>
    <t>gabigoldaraz@gmail.com</t>
  </si>
  <si>
    <t>Sobre la ruta y Taller de chapa y pintura premium car</t>
  </si>
  <si>
    <t>R0017800217087</t>
  </si>
  <si>
    <t>VX4051</t>
  </si>
  <si>
    <t>LUCIANO SEBASTIAN MEDINA ML</t>
  </si>
  <si>
    <t>Cleto Aguirre 112</t>
  </si>
  <si>
    <t>3518078552//</t>
  </si>
  <si>
    <t>lsmcrack424@gmail.com</t>
  </si>
  <si>
    <t>R0017800217143</t>
  </si>
  <si>
    <t>X14671</t>
  </si>
  <si>
    <t>BERRUEZO OLVER</t>
  </si>
  <si>
    <t>VICENTE LOPEZ 774 2 D</t>
  </si>
  <si>
    <t>3874878602// 3874878602</t>
  </si>
  <si>
    <t>46-490140</t>
  </si>
  <si>
    <t>Cama Cajon Antilla 140 Blanco</t>
  </si>
  <si>
    <t>DHSGFD@GMAIL.COM</t>
  </si>
  <si>
    <t>ALSINA Y ENTRE RIOS</t>
  </si>
  <si>
    <t>R0017800217144</t>
  </si>
  <si>
    <t>R0017800217445</t>
  </si>
  <si>
    <t>VX4295</t>
  </si>
  <si>
    <t>Natalia Alberto</t>
  </si>
  <si>
    <t>Barrio Los Tarcos manzana 815 B Casa 20</t>
  </si>
  <si>
    <t>3875117687// +54 9
387
5117687</t>
  </si>
  <si>
    <t>cna81_90@hotmail.com</t>
  </si>
  <si>
    <t>R0017800217446</t>
  </si>
  <si>
    <t>VX4294</t>
  </si>
  <si>
    <t>Walter javier Piccinetti</t>
  </si>
  <si>
    <t>Barrio los tarcos manzana 815B Casa 20</t>
  </si>
  <si>
    <t>3874432271// +54 9
387
4432271</t>
  </si>
  <si>
    <t>walterjavierpiccinetti@gmail.com</t>
  </si>
  <si>
    <t>R0017800217644</t>
  </si>
  <si>
    <t>X14727</t>
  </si>
  <si>
    <t>AMADO CLAUDIA</t>
  </si>
  <si>
    <t>BARRIO EL AYBAL MZA 11 83</t>
  </si>
  <si>
    <t>3875356092// 3875356092</t>
  </si>
  <si>
    <t>as@gmail.com</t>
  </si>
  <si>
    <t>frente a la plaza</t>
  </si>
  <si>
    <t>R0017800217645</t>
  </si>
  <si>
    <t>X14730</t>
  </si>
  <si>
    <t>TARIFA MARIA DE LOS ANGELES</t>
  </si>
  <si>
    <t>BARRIO SAN CARLOS MZA 17 5</t>
  </si>
  <si>
    <t>3876851147// 3876851147</t>
  </si>
  <si>
    <t>DSAD@GMAIL.COM</t>
  </si>
  <si>
    <t>MAMA COCHA</t>
  </si>
  <si>
    <t>R0017800217647</t>
  </si>
  <si>
    <t>VX4341</t>
  </si>
  <si>
    <t>Santiago Pereyra</t>
  </si>
  <si>
    <t>Vicario Toscano final de calle 1</t>
  </si>
  <si>
    <t>Cafayate - Salta</t>
  </si>
  <si>
    <t>3856156739//</t>
  </si>
  <si>
    <t>COSALA080190</t>
  </si>
  <si>
    <t>Colchón Meyer Salud 080x190</t>
  </si>
  <si>
    <t>santiago.pereyra.m@gmail.com</t>
  </si>
  <si>
    <t>Club de Campo Vertientes SN/Portería de Angel Casado</t>
  </si>
  <si>
    <t>R0017800217648</t>
  </si>
  <si>
    <t>COFEZA080190</t>
  </si>
  <si>
    <t>Colchón Meyer Feliz 080x190</t>
  </si>
  <si>
    <t>R0017800217649</t>
  </si>
  <si>
    <t>VX4346</t>
  </si>
  <si>
    <t>FACUNDO AGUERO</t>
  </si>
  <si>
    <t>jaime dur block I</t>
  </si>
  <si>
    <t>3874881033// +54 9
387
4881033</t>
  </si>
  <si>
    <t>facundoaguero95@gmail.com</t>
  </si>
  <si>
    <t>R0017800217650</t>
  </si>
  <si>
    <t>VW6161</t>
  </si>
  <si>
    <t>Ezequiel Federico Lunda</t>
  </si>
  <si>
    <t>Barrio Casino, Sector 2, Bloque Q S/N 1 7</t>
  </si>
  <si>
    <t>3874643875// +54 9
387
4643875</t>
  </si>
  <si>
    <t>lundaezequiel@gmail.com</t>
  </si>
  <si>
    <t>R 0017800218258</t>
  </si>
  <si>
    <t>VX1426</t>
  </si>
  <si>
    <t xml:space="preserve">Guillermo Francisco  Martinez </t>
  </si>
  <si>
    <t>Av. Paraguay 2259</t>
  </si>
  <si>
    <t>guillermomartinez9324@gmail.com</t>
  </si>
  <si>
    <t>R0017800218398</t>
  </si>
  <si>
    <t>X14762</t>
  </si>
  <si>
    <t>gonzalez facundo</t>
  </si>
  <si>
    <t>BARRIO EL HUAICO MZA 532a 25</t>
  </si>
  <si>
    <t>3875809428// 3876145020</t>
  </si>
  <si>
    <t>sd@gmail.com</t>
  </si>
  <si>
    <t>R0017800218705</t>
  </si>
  <si>
    <t>X14773</t>
  </si>
  <si>
    <t>TORRES ZULMA</t>
  </si>
  <si>
    <t>JUJUY 1057</t>
  </si>
  <si>
    <t>MONTERRICO</t>
  </si>
  <si>
    <t>3885724368// 3885724368</t>
  </si>
  <si>
    <t>COVIDA080190</t>
  </si>
  <si>
    <t>Colchón Telgo Vida 080x190</t>
  </si>
  <si>
    <t>R0017800218707</t>
  </si>
  <si>
    <t>VX4683</t>
  </si>
  <si>
    <t>armando klimasauskas</t>
  </si>
  <si>
    <t>juramento 630</t>
  </si>
  <si>
    <t>General Guemes</t>
  </si>
  <si>
    <t>03875329510// +54 9
387
5329510</t>
  </si>
  <si>
    <t>klimasauskas12345@gmail.com</t>
  </si>
  <si>
    <t>R0017800218868</t>
  </si>
  <si>
    <t>X14779</t>
  </si>
  <si>
    <t>GALLO MICAELA</t>
  </si>
  <si>
    <t>AV MARIANO MORENO Y FORTIN YUNKA 1403</t>
  </si>
  <si>
    <t>3875185301// 3875185301</t>
  </si>
  <si>
    <t>COENEA200200</t>
  </si>
  <si>
    <t>Col. Meyer Energía 200x200</t>
  </si>
  <si>
    <t>mg.micaelagallo@gmail.com</t>
  </si>
  <si>
    <t>R0017800219100</t>
  </si>
  <si>
    <t>X14788</t>
  </si>
  <si>
    <t>TOLABA ANACLARA</t>
  </si>
  <si>
    <t>B PARQUE BELGRANO MZA 9 casa 2259</t>
  </si>
  <si>
    <t>3875336928// 3875336928</t>
  </si>
  <si>
    <t>asdasd@gmail.com</t>
  </si>
  <si>
    <t>R0017800219105</t>
  </si>
  <si>
    <t>VX4807</t>
  </si>
  <si>
    <t>MAIRA LETICIA VILLA ML</t>
  </si>
  <si>
    <t>Barrio 447 viviendas Mza C Casa 12</t>
  </si>
  <si>
    <t>3873358535// 3873358535</t>
  </si>
  <si>
    <t>R0017800219693</t>
  </si>
  <si>
    <t>VX4985</t>
  </si>
  <si>
    <t>Ariana Quinteros</t>
  </si>
  <si>
    <t>General Juan Sánchez, Salta, Argentina 687</t>
  </si>
  <si>
    <t>3874566826// +54 9
387
4566826</t>
  </si>
  <si>
    <t>arianaquinteros88@gmail.com</t>
  </si>
  <si>
    <t>R0017800219181</t>
  </si>
  <si>
    <t>R0017800219496</t>
  </si>
  <si>
    <t>X12505</t>
  </si>
  <si>
    <t>QUIROGA MARCELA ALEJANDRA</t>
  </si>
  <si>
    <t>BARRIO SAN CARLOS MZA 17 22</t>
  </si>
  <si>
    <t>3872507777// 3872507777</t>
  </si>
  <si>
    <t>CAMABAJN100200</t>
  </si>
  <si>
    <t>Cama Baul Extra Space 100x200</t>
  </si>
  <si>
    <t>marcelalejandraqui@gmail.com</t>
  </si>
  <si>
    <t>a una cuadra de la escuela</t>
  </si>
  <si>
    <t>R0017800219497</t>
  </si>
  <si>
    <t>VX4898</t>
  </si>
  <si>
    <t>CLAUDIO JAVIER AMAYA ML</t>
  </si>
  <si>
    <t>Los naranjos 630</t>
  </si>
  <si>
    <t>3873308320//</t>
  </si>
  <si>
    <t xml:space="preserve"> Yendo para la finca de locril</t>
  </si>
  <si>
    <t>R0017800219512</t>
  </si>
  <si>
    <t>VX5073</t>
  </si>
  <si>
    <t>PABLO ANDRES CARDON POCOVI ML</t>
  </si>
  <si>
    <t>Avenida YPF 184</t>
  </si>
  <si>
    <t>3875351653//</t>
  </si>
  <si>
    <t>cardonp88@gmail.com</t>
  </si>
  <si>
    <t xml:space="preserve"> Barrio Mosconi</t>
  </si>
  <si>
    <t>R0017800219859</t>
  </si>
  <si>
    <t>X14829</t>
  </si>
  <si>
    <t>GONZALEZ VANESA</t>
  </si>
  <si>
    <t>3876101526// 3875022502</t>
  </si>
  <si>
    <t>juarezazul058@gmail.com</t>
  </si>
  <si>
    <t>COWOOB100190</t>
  </si>
  <si>
    <t>Col Sealy Est WoodsB 100x190</t>
  </si>
  <si>
    <t>R0017800219860</t>
  </si>
  <si>
    <t>X14832</t>
  </si>
  <si>
    <t>MERCADO ANA MARIA</t>
  </si>
  <si>
    <t>B LAVALLE PJE CORJENO SARAVIA 2511</t>
  </si>
  <si>
    <t>3875640851// 3875640851</t>
  </si>
  <si>
    <t>ASDASD@GMAIL.COM</t>
  </si>
  <si>
    <t>R0017800219861</t>
  </si>
  <si>
    <t>X14836</t>
  </si>
  <si>
    <t>LUIS EDGAR FRANCISCO</t>
  </si>
  <si>
    <t>JUAN MUÑOZ CABRERA 713</t>
  </si>
  <si>
    <t>3875553788// 3875553788</t>
  </si>
  <si>
    <t>R0017800219867</t>
  </si>
  <si>
    <t>VX5134</t>
  </si>
  <si>
    <t>LEILA ISABEL FIGUEROA ML</t>
  </si>
  <si>
    <t>Pasaje Teniente Matienzo 1401</t>
  </si>
  <si>
    <t>3874403608//</t>
  </si>
  <si>
    <t>leilaisabel15@gmail.com</t>
  </si>
  <si>
    <t>R0017800220203</t>
  </si>
  <si>
    <t>VX5306</t>
  </si>
  <si>
    <t>GABRIELA FAUSTINA FERNANDEZ ML</t>
  </si>
  <si>
    <t>Corrientes Esquina Luis Burela 1105</t>
  </si>
  <si>
    <t>S R De La Nva Oran Const</t>
  </si>
  <si>
    <t>3878793922//</t>
  </si>
  <si>
    <t>jeremiasmelani.03@gmail.com</t>
  </si>
  <si>
    <t>R0017800220206</t>
  </si>
  <si>
    <t>VX5253</t>
  </si>
  <si>
    <t>Debora Fernanda Rodriguez</t>
  </si>
  <si>
    <t>Luis DAndrea 460</t>
  </si>
  <si>
    <t>3873065687//</t>
  </si>
  <si>
    <t>debyrodriguez2111@gmail.com</t>
  </si>
  <si>
    <t>R0017800220211</t>
  </si>
  <si>
    <t>X14837</t>
  </si>
  <si>
    <t>SCARAFFIA GUILLERMO</t>
  </si>
  <si>
    <t>PJE SAN JOSE 30</t>
  </si>
  <si>
    <t>METAN SALTA</t>
  </si>
  <si>
    <t>3876660576// 3876660576</t>
  </si>
  <si>
    <t>GUILLERMOSCARAFFIA@GMAIL.COM</t>
  </si>
  <si>
    <t>CALLE BELGRANO Y GUMES</t>
  </si>
  <si>
    <t>R0017800220430</t>
  </si>
  <si>
    <t>X14843</t>
  </si>
  <si>
    <t>PLAZAR RIVAS MIRIAM</t>
  </si>
  <si>
    <t>20 DE FEBRERO 1135 1648</t>
  </si>
  <si>
    <t>3874060040// 3874060040</t>
  </si>
  <si>
    <t>HAGDS@GMAIL.COM</t>
  </si>
  <si>
    <t>B EL PILAR</t>
  </si>
  <si>
    <t>R0017800220607</t>
  </si>
  <si>
    <t>VX5610</t>
  </si>
  <si>
    <t>JULIO LOPEZ ML</t>
  </si>
  <si>
    <t>Barrio 111 Viviendas Manzana F Casa 17</t>
  </si>
  <si>
    <t>2995744791// 3873539117</t>
  </si>
  <si>
    <t>2202DA</t>
  </si>
  <si>
    <t>Col. TelgoMaitriMatela 100x190</t>
  </si>
  <si>
    <t>juliolopez.hys@gmail.com</t>
  </si>
  <si>
    <t>R0017800220610</t>
  </si>
  <si>
    <t>X14858</t>
  </si>
  <si>
    <t>ARANDA JOSE JAVIER</t>
  </si>
  <si>
    <t>LEOPOLDO LUGONES 949</t>
  </si>
  <si>
    <t>SAN LORENZO-SALTA</t>
  </si>
  <si>
    <t>3876857213// 3876857213</t>
  </si>
  <si>
    <t>COSUNB100200</t>
  </si>
  <si>
    <t>Col Sealy EstSunshineB 100x200</t>
  </si>
  <si>
    <t>canillaranda@hotmail.com</t>
  </si>
  <si>
    <t>R0017800220673</t>
  </si>
  <si>
    <t>X12190</t>
  </si>
  <si>
    <t>PAZ SUSANA</t>
  </si>
  <si>
    <t>BARRIO GRAN BOURG HIPOLITO YRIGOYEN 1</t>
  </si>
  <si>
    <t>JOAQUIN V. GONZALEZ</t>
  </si>
  <si>
    <t>1164723625// 1164723625</t>
  </si>
  <si>
    <t>CODEVA090190</t>
  </si>
  <si>
    <t>Col Meyer Devas 090x190</t>
  </si>
  <si>
    <t>SIMONETAPAZZ@GMAIL.COM</t>
  </si>
  <si>
    <t>AL LADO DE IGLESIA EVANGELICA</t>
  </si>
  <si>
    <t>SOCELA090190E</t>
  </si>
  <si>
    <t>Som Light Blue 090x190</t>
  </si>
  <si>
    <t>R0017800220675</t>
  </si>
  <si>
    <t>X14866</t>
  </si>
  <si>
    <t>CARINI GUSTAVO</t>
  </si>
  <si>
    <t>SAN LORENZO CHICO MZA 17 LOTE 14 CIUDAD OESTE 14 104</t>
  </si>
  <si>
    <t>02216732596// 02216732596</t>
  </si>
  <si>
    <t>CARENW10160200</t>
  </si>
  <si>
    <t>Cama RespaldoHandyGris160x200</t>
  </si>
  <si>
    <t>ghcarini@yahoo.com.ar</t>
  </si>
  <si>
    <t>R0017800220676</t>
  </si>
  <si>
    <t>X04384</t>
  </si>
  <si>
    <t>GHILARDOTTI DANIEL</t>
  </si>
  <si>
    <t>PELLEGRINI 888</t>
  </si>
  <si>
    <t>3875638299// 3875638299</t>
  </si>
  <si>
    <t>XZQUYT@HOTMAIL.COM</t>
  </si>
  <si>
    <t>B PERIODISTA</t>
  </si>
  <si>
    <t>R0017800220699</t>
  </si>
  <si>
    <t>X14872</t>
  </si>
  <si>
    <t>MORALES SEGUNDO</t>
  </si>
  <si>
    <t>CABO ORLANDO MOYA 144</t>
  </si>
  <si>
    <t>CACHI</t>
  </si>
  <si>
    <t>3874120206// 3874022551</t>
  </si>
  <si>
    <t>SADKJDS@GMAIL.COM</t>
  </si>
  <si>
    <t>a dos cuadra de la plaza principal</t>
  </si>
  <si>
    <t>R0017800220700</t>
  </si>
  <si>
    <t>R0017800220932</t>
  </si>
  <si>
    <t>X14809</t>
  </si>
  <si>
    <t>EINER BATISTA</t>
  </si>
  <si>
    <t>paraguay 22259</t>
  </si>
  <si>
    <t>3874075444// 3874075444</t>
  </si>
  <si>
    <t>EWQE1215@HOTMAIL.COM</t>
  </si>
  <si>
    <t>COCA COLA Y ESTADIO // EL SEÑOR VUELVE DE LAS VACACIONES DESP DEL 15 DE FEBRERO</t>
  </si>
  <si>
    <t>R0017800221224</t>
  </si>
  <si>
    <t>X14890</t>
  </si>
  <si>
    <t>CHAVEZ ANTONIA</t>
  </si>
  <si>
    <t>CALLE CATAMARCA S/N 1</t>
  </si>
  <si>
    <t>ANTOFAGASTA DE LA SIERRA</t>
  </si>
  <si>
    <t>3875645116// 3875645116</t>
  </si>
  <si>
    <t>AASDASD@GMAIL.COM</t>
  </si>
  <si>
    <t>R0017800221225</t>
  </si>
  <si>
    <t>R0017800221452</t>
  </si>
  <si>
    <t>B44720</t>
  </si>
  <si>
    <t>CARLA VALERIA WAYAR bp</t>
  </si>
  <si>
    <t>Barrio Chachapoya etapa 2 21</t>
  </si>
  <si>
    <t>3874196389// 3874196389</t>
  </si>
  <si>
    <t>wayar_vale13@hotmail.es</t>
  </si>
  <si>
    <t>R0017800221458</t>
  </si>
  <si>
    <t>VX6047</t>
  </si>
  <si>
    <t>HUGO ANDRES SANCHEZ ML</t>
  </si>
  <si>
    <t>caseano csas 1478</t>
  </si>
  <si>
    <t>2996315613//</t>
  </si>
  <si>
    <t>COMAIA140190</t>
  </si>
  <si>
    <t>Colchón Telgo Maitri 140x190</t>
  </si>
  <si>
    <t>R0017800221460</t>
  </si>
  <si>
    <t>VP9780</t>
  </si>
  <si>
    <t>Martha Barboza</t>
  </si>
  <si>
    <t>Tucumán y Pje. A.C.A 290</t>
  </si>
  <si>
    <t>3873526196// +54 93873526196</t>
  </si>
  <si>
    <t>mcbarboza05@gmail.com</t>
  </si>
  <si>
    <t>R0017800221462</t>
  </si>
  <si>
    <t>X14895</t>
  </si>
  <si>
    <t>GUAIMAS RENE ALBERTO</t>
  </si>
  <si>
    <t>PJE 12 CASA SANTA 1 415</t>
  </si>
  <si>
    <t>3876130260// 3874292561</t>
  </si>
  <si>
    <t>CORAIB140190</t>
  </si>
  <si>
    <t>Col Sealy Perf RainbowN140x190</t>
  </si>
  <si>
    <t>SJHD@GMAIL.COM</t>
  </si>
  <si>
    <t>SANTA 1</t>
  </si>
  <si>
    <t>R0017800221535</t>
  </si>
  <si>
    <t>3875117687// +54 93875117687</t>
  </si>
  <si>
    <t>R0017800221536</t>
  </si>
  <si>
    <t>3874432271// +54 93874432271</t>
  </si>
  <si>
    <t>R0017800221752</t>
  </si>
  <si>
    <t>VX6208</t>
  </si>
  <si>
    <t>CIMA CONSTRUCCION INGENIERIA Y MEDIO AMBIENTE S.R.L.</t>
  </si>
  <si>
    <t>Vicente lopez 968</t>
  </si>
  <si>
    <t>3878510900// 3878510900</t>
  </si>
  <si>
    <t>R0017800221756</t>
  </si>
  <si>
    <t>VX6232</t>
  </si>
  <si>
    <t>Graciela Marisa Lopez</t>
  </si>
  <si>
    <t>1° de Marzo 860</t>
  </si>
  <si>
    <t>3875943885// +54 93875943885</t>
  </si>
  <si>
    <t>exequielgonzales97@gmail.com</t>
  </si>
  <si>
    <t>Fausto Burgos y Emilio Wierna</t>
  </si>
  <si>
    <t>R0017800221759</t>
  </si>
  <si>
    <t>X14904</t>
  </si>
  <si>
    <t>PANASIUK GABRIEL</t>
  </si>
  <si>
    <t>CIELOS DEL SUR MZA 10D LOTE 8</t>
  </si>
  <si>
    <t>3875781019// 3875781019</t>
  </si>
  <si>
    <t>COFIEB100190</t>
  </si>
  <si>
    <t>Col Sealy Essent Field 100x190</t>
  </si>
  <si>
    <t>R0017800221760</t>
  </si>
  <si>
    <t>X14908</t>
  </si>
  <si>
    <t>CACERES MATILDE</t>
  </si>
  <si>
    <t>B LOS CEIBOS MZA 539B CASA 10</t>
  </si>
  <si>
    <t>3875069589// 3875069589</t>
  </si>
  <si>
    <t>R0017800221761</t>
  </si>
  <si>
    <t>R0017800221835</t>
  </si>
  <si>
    <t>X14919</t>
  </si>
  <si>
    <t>SARDELLITTI RICARDO</t>
  </si>
  <si>
    <t>CIELOS DEL VALLE MZA 9 CASA2 2</t>
  </si>
  <si>
    <t>3876126441// 3876126441</t>
  </si>
  <si>
    <t>BR5011962</t>
  </si>
  <si>
    <t>Colchón Herval Colors 140x190</t>
  </si>
  <si>
    <t>BR50190998</t>
  </si>
  <si>
    <t>Cama Baul Herval 140x190</t>
  </si>
  <si>
    <t>R0017800221836</t>
  </si>
  <si>
    <t>X14923</t>
  </si>
  <si>
    <t>GUAYMAS ZULEMA NOEMI</t>
  </si>
  <si>
    <t>MARCELINO CORNEJO 52</t>
  </si>
  <si>
    <t>3874875810// 3874875810</t>
  </si>
  <si>
    <t>COSUNB150190</t>
  </si>
  <si>
    <t>Col Sealy EstSunshineB 150x190</t>
  </si>
  <si>
    <t>SADSA@GMAIL.COM</t>
  </si>
  <si>
    <t>CASEROS Y ALVARADO 2500</t>
  </si>
  <si>
    <t>R0017800221882</t>
  </si>
  <si>
    <t>VX6373</t>
  </si>
  <si>
    <t>Pamela Alejandra Díaz</t>
  </si>
  <si>
    <t>Ushuaia N° 160 160</t>
  </si>
  <si>
    <t>3875192525// +54 93875192525</t>
  </si>
  <si>
    <t>pamealejandradiaz@gmail.com</t>
  </si>
  <si>
    <t>R0017800221957</t>
  </si>
  <si>
    <t>VX6248</t>
  </si>
  <si>
    <t>ARAGON NAZARENA BP WS</t>
  </si>
  <si>
    <t>Santiago del Estero 1142 2 c</t>
  </si>
  <si>
    <t>3875602773// 3875602773</t>
  </si>
  <si>
    <t>Nazaaragon2008@gmail.com</t>
  </si>
  <si>
    <t>Alvear y A Güemes</t>
  </si>
  <si>
    <t>R0017800222427</t>
  </si>
  <si>
    <t>VX6546</t>
  </si>
  <si>
    <t>Carla daniela Diaz</t>
  </si>
  <si>
    <t>Corrientes 549</t>
  </si>
  <si>
    <t>3875019373// +54 93875019373</t>
  </si>
  <si>
    <t>cary_2004@hotmail.com</t>
  </si>
  <si>
    <t>R0017800222428</t>
  </si>
  <si>
    <t>X14940</t>
  </si>
  <si>
    <t>CACERES GABRIELA</t>
  </si>
  <si>
    <t>B SAGRADO CORAZON de jesus 13 3</t>
  </si>
  <si>
    <t>LEDESMA JUJUY</t>
  </si>
  <si>
    <t>3886451945// 3886451945</t>
  </si>
  <si>
    <t>R0017800222429</t>
  </si>
  <si>
    <t>X14941</t>
  </si>
  <si>
    <t>MARTINA IVANA ROCIO GUEMES CASERES</t>
  </si>
  <si>
    <t>VILLA PALACIOS CONSORCIO ASEMBAL BLOCK 10 10 2</t>
  </si>
  <si>
    <t>3886598780// 3886598780</t>
  </si>
  <si>
    <t>R0017800222763</t>
  </si>
  <si>
    <t>VX6622</t>
  </si>
  <si>
    <t>PATRICIA ELIZABETH TOLABA ML</t>
  </si>
  <si>
    <t>calle Horacio Aguirre 38</t>
  </si>
  <si>
    <t>3873014310//</t>
  </si>
  <si>
    <t xml:space="preserve"> L24 Entre: Corcho Sanbrano y</t>
  </si>
  <si>
    <t>R0017800222764</t>
  </si>
  <si>
    <t>VX6644</t>
  </si>
  <si>
    <t>JUAN CARLOS MOLINA ML</t>
  </si>
  <si>
    <t>Pasaje Islas Malvinas 1158</t>
  </si>
  <si>
    <t>San Ramón de la Nueva Orán</t>
  </si>
  <si>
    <t>3878310405// 3878426486</t>
  </si>
  <si>
    <t>juabmolina2020@gmail.com</t>
  </si>
  <si>
    <t>R0017800222765</t>
  </si>
  <si>
    <t>VX6649</t>
  </si>
  <si>
    <t>Tomas Petrello</t>
  </si>
  <si>
    <t>CORONEL QUESADA 590</t>
  </si>
  <si>
    <t>3878224956// +54 93878224956</t>
  </si>
  <si>
    <t>TOMIPETRELLO@GMAIL.COM</t>
  </si>
  <si>
    <t>R0017800222766</t>
  </si>
  <si>
    <t>VP7183</t>
  </si>
  <si>
    <t>Victoria Castrillón</t>
  </si>
  <si>
    <t>Maipu 522 pb -</t>
  </si>
  <si>
    <t>3873136363// +54 93873136363</t>
  </si>
  <si>
    <t>vicka_84@hotmail.com</t>
  </si>
  <si>
    <t>Leguizamon Y Rivadavia</t>
  </si>
  <si>
    <t>R0017800222768</t>
  </si>
  <si>
    <t>VX6615</t>
  </si>
  <si>
    <t>GABRIEL ANGEL BARBOZA ML</t>
  </si>
  <si>
    <t>Alvarez Thomas 263</t>
  </si>
  <si>
    <t>3874683316//</t>
  </si>
  <si>
    <t>Gabrielbarboza222@gmail.com</t>
  </si>
  <si>
    <t>R0017800222770</t>
  </si>
  <si>
    <t>VX6617</t>
  </si>
  <si>
    <t>LUCAS JOSE MANUEL DIAZ CALIVA ML</t>
  </si>
  <si>
    <t>Arenales 66</t>
  </si>
  <si>
    <t>3875438791//</t>
  </si>
  <si>
    <t>COMAIA080190</t>
  </si>
  <si>
    <t>Colchón Telgo Maitri 080x190</t>
  </si>
  <si>
    <t>R0017800222774</t>
  </si>
  <si>
    <t>X14946</t>
  </si>
  <si>
    <t>ORTIZ CLAUDIA</t>
  </si>
  <si>
    <t>B POLICIAL MZA 21 B CASA 16</t>
  </si>
  <si>
    <t>3874461915// 3874461915</t>
  </si>
  <si>
    <t>SDFKMDF@GMAIL.COM</t>
  </si>
  <si>
    <t>R0017800222775</t>
  </si>
  <si>
    <t>X14951</t>
  </si>
  <si>
    <t>MARTIN GUSTAVO MAXZUD</t>
  </si>
  <si>
    <t>AV SAN MARTIN 686</t>
  </si>
  <si>
    <t>VILLA SAN LORENZO-SALTA</t>
  </si>
  <si>
    <t>3875142621// 3875142621</t>
  </si>
  <si>
    <t>KDJ@GMAIL.COM</t>
  </si>
  <si>
    <t>VILLA SAN LORENZO</t>
  </si>
  <si>
    <t>R0017800222886</t>
  </si>
  <si>
    <t>VX6347</t>
  </si>
  <si>
    <t>FORTIS SRL</t>
  </si>
  <si>
    <t>Bartolomé Mitre 1571</t>
  </si>
  <si>
    <t>03875666485// +54 9 387 5666485</t>
  </si>
  <si>
    <t>solesamson@hotmail.com</t>
  </si>
  <si>
    <t>R0017800222891</t>
  </si>
  <si>
    <t>VX6696</t>
  </si>
  <si>
    <t>Sergio Corregidor</t>
  </si>
  <si>
    <t>Pasaje Tadeo 400</t>
  </si>
  <si>
    <t>3868 40-1183// +54 93868401183</t>
  </si>
  <si>
    <t>fcorregidor14@gmail.com</t>
  </si>
  <si>
    <t>R0017800222966</t>
  </si>
  <si>
    <t>VX6718</t>
  </si>
  <si>
    <t>ANGEL RICARDO VILTE ML</t>
  </si>
  <si>
    <t>General Belgrano SN</t>
  </si>
  <si>
    <t>La Poma</t>
  </si>
  <si>
    <t>3874645501// 3875718537</t>
  </si>
  <si>
    <t>ricardoangelvilte@gmail.com</t>
  </si>
  <si>
    <t>R0017800222969</t>
  </si>
  <si>
    <t>X14955</t>
  </si>
  <si>
    <t>RIOS BARBARA</t>
  </si>
  <si>
    <t>VIA AURELIA MAZA 34 DUPLEX 2 LOTE 15</t>
  </si>
  <si>
    <t>3873530673// 3872239373</t>
  </si>
  <si>
    <t>AJHDA@GMAIL.COM</t>
  </si>
  <si>
    <t>VIA AURELIA</t>
  </si>
  <si>
    <t>R0017800222972</t>
  </si>
  <si>
    <t>X14960</t>
  </si>
  <si>
    <t>CORONEL EMILIO</t>
  </si>
  <si>
    <t>B SAN IGNACIO MZA 11 casa 14</t>
  </si>
  <si>
    <t>3875084867// 3875084867</t>
  </si>
  <si>
    <t>COWOOB160200</t>
  </si>
  <si>
    <t>Col Sealy Est WoodsB 160x200</t>
  </si>
  <si>
    <t>SDKJSD@GMAIL.COM</t>
  </si>
  <si>
    <t>B SAN IGNACIO</t>
  </si>
  <si>
    <t>R0017800222973</t>
  </si>
  <si>
    <t>Q24674</t>
  </si>
  <si>
    <t>LEIVA MARIA MACARENA BP</t>
  </si>
  <si>
    <t>B EL TRIBUNO CALLE EL DIA 2179</t>
  </si>
  <si>
    <t>3875844249// 3875844249</t>
  </si>
  <si>
    <t>COLUZA100190</t>
  </si>
  <si>
    <t>Col Meyer Luz 100x190</t>
  </si>
  <si>
    <t>MAKILEIVA.ML@GMAIL.COM</t>
  </si>
  <si>
    <t xml:space="preserve">EL LITORAL DE SANTA FE Y EL LIBERAL  BARRIO EL TRIBUNO </t>
  </si>
  <si>
    <t>R0017800222974</t>
  </si>
  <si>
    <t>R0017800223072</t>
  </si>
  <si>
    <t>X14850</t>
  </si>
  <si>
    <t>FARFAN DANIEL</t>
  </si>
  <si>
    <t>SAN JUAN 1129</t>
  </si>
  <si>
    <t>3874139431// 3874139431</t>
  </si>
  <si>
    <t>DFEARFAN68@GMAIL.COM</t>
  </si>
  <si>
    <t>ESTECO Y PASAJE ISALAS MAR</t>
  </si>
  <si>
    <t>R0017800223073</t>
  </si>
  <si>
    <t>R0017800223191</t>
  </si>
  <si>
    <t>B44828</t>
  </si>
  <si>
    <t>ADRIANA CELIA CANO</t>
  </si>
  <si>
    <t>Rivadavia 658 4</t>
  </si>
  <si>
    <t>1165720676// 1165720676</t>
  </si>
  <si>
    <t>mvalentecano@gmail.com</t>
  </si>
  <si>
    <t>mitre</t>
  </si>
  <si>
    <t>R0017800223195</t>
  </si>
  <si>
    <t>VX6828</t>
  </si>
  <si>
    <t>Karen Xiomara González</t>
  </si>
  <si>
    <t>Pasaje Almte Juan Seguí 549</t>
  </si>
  <si>
    <t>3876572417// +54 9 3876 572417</t>
  </si>
  <si>
    <t>kg154609@gmail.com</t>
  </si>
  <si>
    <t>R0017800223204</t>
  </si>
  <si>
    <t>X14970</t>
  </si>
  <si>
    <t>UTRERA MARIA DEL PILAR</t>
  </si>
  <si>
    <t>12 DE OCTUBRE 687 1 C</t>
  </si>
  <si>
    <t>3515580027// 3515580027</t>
  </si>
  <si>
    <t>utrera.pilar@gmail.com</t>
  </si>
  <si>
    <t>R0017800223282</t>
  </si>
  <si>
    <t>VX6933</t>
  </si>
  <si>
    <t>PABLO SEBASTIAN FABIAN ML</t>
  </si>
  <si>
    <t>Calle cabo gallardo SN</t>
  </si>
  <si>
    <t>El Jardín</t>
  </si>
  <si>
    <t>3874797419//</t>
  </si>
  <si>
    <t>fabianpablosebastian@gmail.com</t>
  </si>
  <si>
    <t>R0017800223289</t>
  </si>
  <si>
    <t>X14979</t>
  </si>
  <si>
    <t>GUAYMAS MIRTA SOCORRO</t>
  </si>
  <si>
    <t>AV BELGRANO 2163</t>
  </si>
  <si>
    <t>3874799616// 3874799616</t>
  </si>
  <si>
    <t>ASDKMSDA@GMAIL.COM</t>
  </si>
  <si>
    <t>R0017800223295</t>
  </si>
  <si>
    <t>VX7039</t>
  </si>
  <si>
    <t>MAURO THIAGO DE ELÍA GARRIDO ML</t>
  </si>
  <si>
    <t>Calle Uruguay 173</t>
  </si>
  <si>
    <t>54 9 3873 65-5375//</t>
  </si>
  <si>
    <t>maurodeelia2014@hotmail.com</t>
  </si>
  <si>
    <t>R0017800223300</t>
  </si>
  <si>
    <t>X04514</t>
  </si>
  <si>
    <t>ROBBIO SARAVIA MARTIN</t>
  </si>
  <si>
    <t>AV. PARAGUAY 2259</t>
  </si>
  <si>
    <t>3874899869// 3874067887</t>
  </si>
  <si>
    <t>MARTINROBBIOSARAVIA@GMAIL.COM</t>
  </si>
  <si>
    <t>B FIDELINA</t>
  </si>
  <si>
    <t>R0017800223549</t>
  </si>
  <si>
    <t>R0017800223571</t>
  </si>
  <si>
    <t>VX7109</t>
  </si>
  <si>
    <t>Saveria milagro Umbrello</t>
  </si>
  <si>
    <t>Av Bartolome Mitre y Libertad S/N</t>
  </si>
  <si>
    <t>3873507593// +54 3873 15507593</t>
  </si>
  <si>
    <t>haydeejara26@gmail.com</t>
  </si>
  <si>
    <t>R0017800223587</t>
  </si>
  <si>
    <t>X14996</t>
  </si>
  <si>
    <t>QUISPE SOLANGE</t>
  </si>
  <si>
    <t>B PARQUE BELGRANO 5 ETAPA BLOCK 87 1</t>
  </si>
  <si>
    <t>3875431925// 3875431925</t>
  </si>
  <si>
    <t>COWOOB080190</t>
  </si>
  <si>
    <t>Col Sealy Est WoodsB 080x190</t>
  </si>
  <si>
    <t>FDSKJF@GMAIL.COM</t>
  </si>
  <si>
    <t>ZONA NORTE</t>
  </si>
  <si>
    <t>R0017800223588</t>
  </si>
  <si>
    <t>X14997</t>
  </si>
  <si>
    <t>YANZON LEONARDO</t>
  </si>
  <si>
    <t>CORONEL PRINGLES 796 2</t>
  </si>
  <si>
    <t>3874137312// 3874137312</t>
  </si>
  <si>
    <t>DSKJDS@GMAIL.COM</t>
  </si>
  <si>
    <t>GRAND BOURG</t>
  </si>
  <si>
    <t>R0017800223918</t>
  </si>
  <si>
    <t>VX7332</t>
  </si>
  <si>
    <t>Marcelo Antonio Garcia</t>
  </si>
  <si>
    <t>calle O'Higgins barrio santa Elena manzana G casa</t>
  </si>
  <si>
    <t>387 5498611</t>
  </si>
  <si>
    <t>Alm. Zlow Visco Basic Cervical</t>
  </si>
  <si>
    <t>marcelo.spartans12@gmail.com</t>
  </si>
  <si>
    <t>R0017800223875</t>
  </si>
  <si>
    <t>R0017800224188</t>
  </si>
  <si>
    <t>VX7369</t>
  </si>
  <si>
    <t>Elizabet Nolasco</t>
  </si>
  <si>
    <t>Momoambiente del huaico Block 76</t>
  </si>
  <si>
    <t>3875865870// +54 9 387 5865870</t>
  </si>
  <si>
    <t>elizabetnolasco3@gmail.com</t>
  </si>
  <si>
    <t>R0017800224375</t>
  </si>
  <si>
    <t>VX7454</t>
  </si>
  <si>
    <t>Mariela Ivana Romano</t>
  </si>
  <si>
    <t>Barrio Limache Etapa 3 Block 4 Dpto 5 -</t>
  </si>
  <si>
    <t>3874482887// +54 9 387 4482887</t>
  </si>
  <si>
    <t>florencianatalia0598@gmail.com</t>
  </si>
  <si>
    <t>R0017800224376</t>
  </si>
  <si>
    <t>R0017800224460</t>
  </si>
  <si>
    <t>VX7547</t>
  </si>
  <si>
    <t>Santiago Paez</t>
  </si>
  <si>
    <t>Puerto Moreno 752</t>
  </si>
  <si>
    <t>3876357055// +54 9387 6357055</t>
  </si>
  <si>
    <t>santi.manuel46@gmail.com</t>
  </si>
  <si>
    <t>R0017800224643</t>
  </si>
  <si>
    <t>X15013</t>
  </si>
  <si>
    <t>DAMESCO SA</t>
  </si>
  <si>
    <t>DEAN FUNES 857</t>
  </si>
  <si>
    <t>3874839307// 3874839307</t>
  </si>
  <si>
    <t>COWOOB130190</t>
  </si>
  <si>
    <t>Col Sealy Est WoodsB 130x190</t>
  </si>
  <si>
    <t>DSAJHD@GMAIL.COM</t>
  </si>
  <si>
    <t>R0017800224644</t>
  </si>
  <si>
    <t>X15019</t>
  </si>
  <si>
    <t>BAEZ SERGIO</t>
  </si>
  <si>
    <t>ESTACION ALVARADO MZA 22 CASA 11</t>
  </si>
  <si>
    <t>3875397461// 3875397461</t>
  </si>
  <si>
    <t>SFDKJFDS@GMAIL.COM</t>
  </si>
  <si>
    <t>R0017800224706</t>
  </si>
  <si>
    <t>VX7742</t>
  </si>
  <si>
    <t>Rocio Chalup</t>
  </si>
  <si>
    <t>Huaico Duplex Manzana 473 c Casa 2</t>
  </si>
  <si>
    <t>3874439623// +54 9 387 4439623</t>
  </si>
  <si>
    <t>rociochalup01@gmail.com</t>
  </si>
  <si>
    <t>R0017800224707</t>
  </si>
  <si>
    <t>VE0322</t>
  </si>
  <si>
    <t>JUDITH GONZALEZ ML</t>
  </si>
  <si>
    <t>Los Constituyentes 626</t>
  </si>
  <si>
    <t>03878352267// 03878422345</t>
  </si>
  <si>
    <t>valentina5@hotmail.com.ar</t>
  </si>
  <si>
    <t>R0017800224710</t>
  </si>
  <si>
    <t>R0017800224990</t>
  </si>
  <si>
    <t>VX7930</t>
  </si>
  <si>
    <t>Luis Leonardo Malsenido</t>
  </si>
  <si>
    <t>Barrio Monoambientes del Huaico Torre 78 78</t>
  </si>
  <si>
    <t>3875832403// +54 9 387 5832403</t>
  </si>
  <si>
    <t>COJADA140190</t>
  </si>
  <si>
    <t>Col Sealy Post Jade 140x190</t>
  </si>
  <si>
    <t>malsenidoleo@gmail.com</t>
  </si>
  <si>
    <t>R0017800224992</t>
  </si>
  <si>
    <t>VX7939</t>
  </si>
  <si>
    <t>Carolina RAMIREZ</t>
  </si>
  <si>
    <t>la capital del rosario 2216</t>
  </si>
  <si>
    <t>3875147603// +54 9 387 5147603</t>
  </si>
  <si>
    <t>jorgeacarras@gmail.com</t>
  </si>
  <si>
    <t>R0017800224993</t>
  </si>
  <si>
    <t>R0017800225333</t>
  </si>
  <si>
    <t>R0017800225350</t>
  </si>
  <si>
    <t>X15038</t>
  </si>
  <si>
    <t>ELIAS MARIA VALERIA</t>
  </si>
  <si>
    <t>B GRAND BOURG 700SUCRE 8</t>
  </si>
  <si>
    <t>3876835887// 3876835887</t>
  </si>
  <si>
    <t>SDMND@GMAIL.COM</t>
  </si>
  <si>
    <t>EN DIAGONAL A LA CASA DE GOBIERNO</t>
  </si>
  <si>
    <t>R0017800225599</t>
  </si>
  <si>
    <t>VX8032</t>
  </si>
  <si>
    <t>Vanessa Yanett Faulkner</t>
  </si>
  <si>
    <t>general Güemes 810</t>
  </si>
  <si>
    <t>01168726531// +54 9 11 68726531</t>
  </si>
  <si>
    <t>vaneyfaulkner@gmail.com</t>
  </si>
  <si>
    <t>R0017800225600</t>
  </si>
  <si>
    <t>R0017800225616</t>
  </si>
  <si>
    <t>X15048</t>
  </si>
  <si>
    <t>CRUZ MICAELA NAHIR</t>
  </si>
  <si>
    <t>VILLA CHARTAS PJE CAFAYATE 744</t>
  </si>
  <si>
    <t>3874834761// 3874834761</t>
  </si>
  <si>
    <t>DNJHSDF@GMAIL.COM</t>
  </si>
  <si>
    <t>VILLA CHARTAS</t>
  </si>
  <si>
    <t>R0017800225617</t>
  </si>
  <si>
    <t>X15049</t>
  </si>
  <si>
    <t>NAVARRETE SERGIO MIGUEL</t>
  </si>
  <si>
    <t>B LIMACHE ET 13 MZA 5 CASA 15</t>
  </si>
  <si>
    <t>3875168910// 3875168910</t>
  </si>
  <si>
    <t>SADKJF@GMAIL.COM</t>
  </si>
  <si>
    <t>R0017800225872</t>
  </si>
  <si>
    <t>VM5860</t>
  </si>
  <si>
    <t>NATALIA SANTOS OLIVEIRA ML</t>
  </si>
  <si>
    <t>Balcarce 1483</t>
  </si>
  <si>
    <t>3875665893// 3875665893</t>
  </si>
  <si>
    <t>nati.mb18@gmail.com</t>
  </si>
  <si>
    <t>R0017800225875</t>
  </si>
  <si>
    <t>R0017800225876</t>
  </si>
  <si>
    <t>VX8244</t>
  </si>
  <si>
    <t>Anabela Abril Romero</t>
  </si>
  <si>
    <t>Pasaje Avelino Figueroa 471</t>
  </si>
  <si>
    <t>03874045548// +54 9 387 4045548</t>
  </si>
  <si>
    <t>COCCCC180200</t>
  </si>
  <si>
    <t>Col Sealy Chill Box(N) 180x200</t>
  </si>
  <si>
    <t>romeroabril80@gmail.com</t>
  </si>
  <si>
    <t>R0017800225927</t>
  </si>
  <si>
    <t>VX8314</t>
  </si>
  <si>
    <t>AGUSTIN BARRIOS ML</t>
  </si>
  <si>
    <t>Radio los Andes de Mendoza 659 B intersindical 27</t>
  </si>
  <si>
    <t>R0017800225926</t>
  </si>
  <si>
    <t>VX8330</t>
  </si>
  <si>
    <t>AGUSTIN ALAN SAMANA ML</t>
  </si>
  <si>
    <t>Avenida San Martín 3215 1</t>
  </si>
  <si>
    <t>3815191317//</t>
  </si>
  <si>
    <t>samanaagustin455@iCloud.com</t>
  </si>
  <si>
    <t>ENTRE SAN BENITO</t>
  </si>
  <si>
    <t>R0017800226227</t>
  </si>
  <si>
    <t>X14912</t>
  </si>
  <si>
    <t>SORIA PABLO CESAR</t>
  </si>
  <si>
    <t>DIARIO LA CAPITAL DE MAR DEL PLATA 2136</t>
  </si>
  <si>
    <t>3875872677// 3875123428</t>
  </si>
  <si>
    <t>MABIHOYOS68@HOTMAIL.COM</t>
  </si>
  <si>
    <t>PRINCIPIOS Y NACION</t>
  </si>
  <si>
    <t>R0017800226253</t>
  </si>
  <si>
    <t>X15077</t>
  </si>
  <si>
    <t>LUNA MARIA BELEN</t>
  </si>
  <si>
    <t>B LOS CEIBOS MZA 541 A CASA 4</t>
  </si>
  <si>
    <t>3875231199// 3875231199</t>
  </si>
  <si>
    <t>SDAKDS@GMAIL.COM</t>
  </si>
  <si>
    <t>R0017800226254</t>
  </si>
  <si>
    <t>X15079</t>
  </si>
  <si>
    <t>CABRERA HECOR DANIEL</t>
  </si>
  <si>
    <t>CORONEL CARLOS FOREST 979</t>
  </si>
  <si>
    <t>3875818881// 3875818881</t>
  </si>
  <si>
    <t>R0017800226257</t>
  </si>
  <si>
    <t>VX8594</t>
  </si>
  <si>
    <t>Rocio Ferril</t>
  </si>
  <si>
    <t>pasaje Ibarguren 2081 2081</t>
  </si>
  <si>
    <t>03875692165// +54 9 387 5692165</t>
  </si>
  <si>
    <t>ferrilrocio@gmail.com</t>
  </si>
  <si>
    <t>R0017800226248</t>
  </si>
  <si>
    <t>VX8565</t>
  </si>
  <si>
    <t>dario caceres</t>
  </si>
  <si>
    <t>avenida 17 de junio 542</t>
  </si>
  <si>
    <t>3875775593// +54 9 387 5775593</t>
  </si>
  <si>
    <t>COLNEA150190</t>
  </si>
  <si>
    <t>Col Sealy Est Linen 150x190</t>
  </si>
  <si>
    <t>caceresdarioelias@gmail.com</t>
  </si>
  <si>
    <t>SOUNBA150190E</t>
  </si>
  <si>
    <t>Sommier Universal Grey 150x190</t>
  </si>
  <si>
    <t>R0017800226240</t>
  </si>
  <si>
    <t>VX7943</t>
  </si>
  <si>
    <t>ANA BELEN FLORES ML</t>
  </si>
  <si>
    <t>Francisco E Corbalán 36 59 4</t>
  </si>
  <si>
    <t>R0017800227390</t>
  </si>
  <si>
    <t>VX8884</t>
  </si>
  <si>
    <t>Mauro Daniel Fajure Maldonado</t>
  </si>
  <si>
    <t>Galileo Galilei 23</t>
  </si>
  <si>
    <t>3876315486// +54 9 387 6315486</t>
  </si>
  <si>
    <t>maurofajure2004@gmail.com</t>
  </si>
  <si>
    <t>R0017800227117</t>
  </si>
  <si>
    <t>VX8820</t>
  </si>
  <si>
    <t>Leandro david Cardozo</t>
  </si>
  <si>
    <t>Entre rios 642 642</t>
  </si>
  <si>
    <t>3875299448// +54 9 387 5299448</t>
  </si>
  <si>
    <t>leandrux32@gmail.com</t>
  </si>
  <si>
    <t>R0017800226518</t>
  </si>
  <si>
    <t>X15095</t>
  </si>
  <si>
    <t>BAEZ CRISTIAN</t>
  </si>
  <si>
    <t>EL CARRIL LOS SAUZES Y ROBLES 1</t>
  </si>
  <si>
    <t>EL CARRIL.SALTA</t>
  </si>
  <si>
    <t>3874856157// 3874856157</t>
  </si>
  <si>
    <t>baezcristian00@gmail.com</t>
  </si>
  <si>
    <t>R0017800227640</t>
  </si>
  <si>
    <t>X15135</t>
  </si>
  <si>
    <t>TOLABA GUADALUPE</t>
  </si>
  <si>
    <t>CERRO NEGRO 346</t>
  </si>
  <si>
    <t>SAN LUIS</t>
  </si>
  <si>
    <t>3875431145// 3875431145</t>
  </si>
  <si>
    <t>SDJSD@GMAIL.COM</t>
  </si>
  <si>
    <t>R0017800227876</t>
  </si>
  <si>
    <t>VX9283</t>
  </si>
  <si>
    <t>ADRIAN ALFREDO YUGRA ML</t>
  </si>
  <si>
    <t>Federico Leloir 576</t>
  </si>
  <si>
    <t>3875781381//</t>
  </si>
  <si>
    <t>Promo P.Clásica Polipro</t>
  </si>
  <si>
    <t>R0017800227891</t>
  </si>
  <si>
    <t>O15738</t>
  </si>
  <si>
    <t>ALVARENGA HECTOR FELIX BP</t>
  </si>
  <si>
    <t>TUCUMAN 1215</t>
  </si>
  <si>
    <t>3874889642// 3874889642</t>
  </si>
  <si>
    <t>ALVARENGAHECTORFELIX@GMAIL.COM</t>
  </si>
  <si>
    <t>PADRE PEDRO Y CNEL. BIDT</t>
  </si>
  <si>
    <t>R0017800227869</t>
  </si>
  <si>
    <t>X13097</t>
  </si>
  <si>
    <t>LAMADRID JULIA</t>
  </si>
  <si>
    <t>B SOLIDARIDAD MZA 452A CASA 19</t>
  </si>
  <si>
    <t>3875636475// 3875636475</t>
  </si>
  <si>
    <t>ASDASDASD@GMAIL.COM</t>
  </si>
  <si>
    <t>R0017800227871</t>
  </si>
  <si>
    <t>X15102</t>
  </si>
  <si>
    <t>QUISPE SERGIO</t>
  </si>
  <si>
    <t>B LOS TARCOS VICENTE PEREZ 292</t>
  </si>
  <si>
    <t>3874488291// 3874488291</t>
  </si>
  <si>
    <t>R0017800227870</t>
  </si>
  <si>
    <t>R0017800227880</t>
  </si>
  <si>
    <t>X15122</t>
  </si>
  <si>
    <t>GARCIA ELIZABETH</t>
  </si>
  <si>
    <t>3875896481// 3875896481</t>
  </si>
  <si>
    <t>R0017800228229</t>
  </si>
  <si>
    <t>VX9539</t>
  </si>
  <si>
    <t>SANDRA MABEL HUSSEIN ML</t>
  </si>
  <si>
    <t>Barrio Los Olmos Lote 263 tercera etapa SN 0</t>
  </si>
  <si>
    <t>3873136815//</t>
  </si>
  <si>
    <t>sanhus07@gmail.com</t>
  </si>
  <si>
    <t>R0017800228666</t>
  </si>
  <si>
    <t>X15161</t>
  </si>
  <si>
    <t>HUSSEIN SANDRA</t>
  </si>
  <si>
    <t>B LOS OLMOS LOTE 263</t>
  </si>
  <si>
    <t>3873136815// 3873136815</t>
  </si>
  <si>
    <t>KSDJF@GMAIL.COM</t>
  </si>
  <si>
    <t>R0017800228667</t>
  </si>
  <si>
    <t>R0017800228668</t>
  </si>
  <si>
    <t>X15162</t>
  </si>
  <si>
    <t>ANDIAS JOEL</t>
  </si>
  <si>
    <t>AMPLIACION LOS CEIBOS MZA 535 A CASA 27</t>
  </si>
  <si>
    <t>3875390263// 3875390263</t>
  </si>
  <si>
    <t>DHSAB@GMAIL.COM</t>
  </si>
  <si>
    <t>R0017800228879</t>
  </si>
  <si>
    <t>VX9292</t>
  </si>
  <si>
    <t>Milagro Liendro</t>
  </si>
  <si>
    <t>Pasaje Ibarguren 2081 2081</t>
  </si>
  <si>
    <t>miliz_03@hotmail.com</t>
  </si>
  <si>
    <t>R0017800228885</t>
  </si>
  <si>
    <t>VX9537</t>
  </si>
  <si>
    <t>Antonio Eduardo Ortiz</t>
  </si>
  <si>
    <t>Barrio castañares Gpo 198 - Blok F - 1er piso - Dp</t>
  </si>
  <si>
    <t>eduardo_toni@hotmail.com</t>
  </si>
  <si>
    <t>R0017800228923</t>
  </si>
  <si>
    <t>VM4587</t>
  </si>
  <si>
    <t>alejandra molina</t>
  </si>
  <si>
    <t>avenida gabr 22 1 7</t>
  </si>
  <si>
    <t>kikala.molina@gmail.com</t>
  </si>
  <si>
    <t>R0017800228925</t>
  </si>
  <si>
    <t>VX9795</t>
  </si>
  <si>
    <t>Vanesa Barrientos Castro</t>
  </si>
  <si>
    <t>mz 309 B lote 1 san alfonso 1</t>
  </si>
  <si>
    <t>lizbethsalta@gmail.com</t>
  </si>
  <si>
    <t>R0017800228934</t>
  </si>
  <si>
    <t>VX9965</t>
  </si>
  <si>
    <t>maria ines aguero</t>
  </si>
  <si>
    <t>Joaquín Castellanos 1070</t>
  </si>
  <si>
    <t>guadalupemena9@gmail.com</t>
  </si>
  <si>
    <t>R0017800228937</t>
  </si>
  <si>
    <t>VY0113</t>
  </si>
  <si>
    <t>Julio Daniel Jarruz</t>
  </si>
  <si>
    <t>Cerro Minero 165</t>
  </si>
  <si>
    <t>julio.jarruz@gmail.com</t>
  </si>
  <si>
    <t>R0017800228957</t>
  </si>
  <si>
    <t>VY0443</t>
  </si>
  <si>
    <t>Rodrigo Yevara</t>
  </si>
  <si>
    <t>villa San Lorenzo calle Belisario Roldan 543 543</t>
  </si>
  <si>
    <t>3874561474// +54 9 387 5180165</t>
  </si>
  <si>
    <t>angelesmogro19@gmail.com</t>
  </si>
  <si>
    <t>R0017800228963</t>
  </si>
  <si>
    <t>VY0521</t>
  </si>
  <si>
    <t>Damian Delgado</t>
  </si>
  <si>
    <t>12 de octubre 1016 1016</t>
  </si>
  <si>
    <t>maillaboral248@gmail.com</t>
  </si>
  <si>
    <t>R0017800229012</t>
  </si>
  <si>
    <t>X15147</t>
  </si>
  <si>
    <t>ASOC. BBVA 2 DE JUNIO</t>
  </si>
  <si>
    <t>CEIBOS ESQ LOS SAUCES 0</t>
  </si>
  <si>
    <t>VAQUEROS</t>
  </si>
  <si>
    <t>3875961215// 3875961215</t>
  </si>
  <si>
    <t>COLUZA080190</t>
  </si>
  <si>
    <t>Col Meyer Luz 080x190</t>
  </si>
  <si>
    <t>KDSJ@GMAIL.COM</t>
  </si>
  <si>
    <t>CUARTEL DE BOMBEROS</t>
  </si>
  <si>
    <t>R0017800229298</t>
  </si>
  <si>
    <t>Av Juan domingo peron SN</t>
  </si>
  <si>
    <t>R0017800229529</t>
  </si>
  <si>
    <t>VY0796</t>
  </si>
  <si>
    <t>FEDERICO ADRIAN MARTINEZ ML</t>
  </si>
  <si>
    <t>Paraje Virgen de la Peña Ruta nacional 34Tartagal</t>
  </si>
  <si>
    <t>Gral. José de San Martín</t>
  </si>
  <si>
    <t>3873655348//</t>
  </si>
  <si>
    <t>AA</t>
  </si>
  <si>
    <t>R0017800229531</t>
  </si>
  <si>
    <t>VY0856</t>
  </si>
  <si>
    <t>AMADEO RAMON SAMUDIO ML</t>
  </si>
  <si>
    <t>Sarmiento, warnes y, tartagal Salta 495</t>
  </si>
  <si>
    <t>3873339067//</t>
  </si>
  <si>
    <t>COMAIA100190</t>
  </si>
  <si>
    <t>Colchón Telgo Maitri 100x190</t>
  </si>
  <si>
    <t>R0017800229816</t>
  </si>
  <si>
    <t>X15206</t>
  </si>
  <si>
    <t>RANELLI MATIAS</t>
  </si>
  <si>
    <t>RADIO CATAMARCA 2651</t>
  </si>
  <si>
    <t>3874660733// 3874660733</t>
  </si>
  <si>
    <t>DSSAD@GMAIL.COM</t>
  </si>
  <si>
    <t>BARRIO INTERSINDICAL</t>
  </si>
  <si>
    <t>R0017800229821</t>
  </si>
  <si>
    <t>X15232</t>
  </si>
  <si>
    <t>MEDIOLAZA MELANIE</t>
  </si>
  <si>
    <t>B LAS FLORES PJE MALVINAS ARGENTINAS 739</t>
  </si>
  <si>
    <t>LA MERCED . CERRILLOS</t>
  </si>
  <si>
    <t>3875899712// 3875899712</t>
  </si>
  <si>
    <t>SADK@GMAIL.COM</t>
  </si>
  <si>
    <t>LA MERCED</t>
  </si>
  <si>
    <t>R0017800229822</t>
  </si>
  <si>
    <t>X00190</t>
  </si>
  <si>
    <t>CALIVA AMADEO</t>
  </si>
  <si>
    <t>BARRIO LOS LAPACHOS MZA 476 D CASA 5</t>
  </si>
  <si>
    <t>3874875249// 3874875249</t>
  </si>
  <si>
    <t>SANTIAGO_CALIVA@YAHOO.COM.AR</t>
  </si>
  <si>
    <t>FRENTE A LA CANCHA NUEVA LIMACHE</t>
  </si>
  <si>
    <t>R0017800229830</t>
  </si>
  <si>
    <t>VY1082</t>
  </si>
  <si>
    <t>Facundo Gonzalez</t>
  </si>
  <si>
    <t>Pje Ibarguren 2349</t>
  </si>
  <si>
    <t>3876131211// +54 9 387 6131211</t>
  </si>
  <si>
    <t>COMDPA140190</t>
  </si>
  <si>
    <t>Col Meyer Dream Plus 140x190</t>
  </si>
  <si>
    <t>facu2349@gmail.com</t>
  </si>
  <si>
    <t>R0017800229831</t>
  </si>
  <si>
    <t>VY1065</t>
  </si>
  <si>
    <t>Ariana Gimena Pizarro</t>
  </si>
  <si>
    <t>Almirante Brown 370</t>
  </si>
  <si>
    <t>Gral. E. Mosconi</t>
  </si>
  <si>
    <t>3873580413// +54 9 3873 580413</t>
  </si>
  <si>
    <t>COMDCA200200</t>
  </si>
  <si>
    <t>Col Meyer DreamCompact 200x200</t>
  </si>
  <si>
    <t>pizarro10ar@gmail.com</t>
  </si>
  <si>
    <t>R0017800229834</t>
  </si>
  <si>
    <t>VY1111</t>
  </si>
  <si>
    <t>José Maria Diaz</t>
  </si>
  <si>
    <t>Sirio libanés 102 102</t>
  </si>
  <si>
    <t>3876449794// +54 9 3876 449794</t>
  </si>
  <si>
    <t>COMSLA130190</t>
  </si>
  <si>
    <t>Col Meyer Sleep 130x190</t>
  </si>
  <si>
    <t>jmdiazhys@gmail.com</t>
  </si>
  <si>
    <t>SOUNBA130190E</t>
  </si>
  <si>
    <t>Sommier Universal Grey 130x190</t>
  </si>
  <si>
    <t>R0017800230150</t>
  </si>
  <si>
    <t>VY0505</t>
  </si>
  <si>
    <t>Patricia Virginia Caceres</t>
  </si>
  <si>
    <t>Pje Paso de Los Patos 2327 2327</t>
  </si>
  <si>
    <t>Salta - capital</t>
  </si>
  <si>
    <t>3875366970// 3875366970</t>
  </si>
  <si>
    <t>Som. Serta Foun Canapé 090x200</t>
  </si>
  <si>
    <t>lolumartinacardozo@gmail.com</t>
  </si>
  <si>
    <t>Col. Detroit Euro 180x200</t>
  </si>
  <si>
    <t>R0017800230170</t>
  </si>
  <si>
    <t>B45378</t>
  </si>
  <si>
    <t>NICOLAS JEREZ BP</t>
  </si>
  <si>
    <t>AV DE LA LIBERTAD 325 b 8</t>
  </si>
  <si>
    <t>A4408ACA</t>
  </si>
  <si>
    <t>3876058180// 3876058180</t>
  </si>
  <si>
    <t>nicolasejerez@gmail.com</t>
  </si>
  <si>
    <t>entre gral lemos y esteban delucas</t>
  </si>
  <si>
    <t>R0017800230171</t>
  </si>
  <si>
    <t>R0017800230174</t>
  </si>
  <si>
    <t>X15183</t>
  </si>
  <si>
    <t>TEJERINA NORMA LILIANA</t>
  </si>
  <si>
    <t>RUTA NAC 51 KM 15.5 0</t>
  </si>
  <si>
    <t>3874650200// 3874650200</t>
  </si>
  <si>
    <t>KDSJSD@GMAIL.COM</t>
  </si>
  <si>
    <t>SOBRE RUTA 51</t>
  </si>
  <si>
    <t>R0017800230485</t>
  </si>
  <si>
    <t>R0017800231029</t>
  </si>
  <si>
    <t>R0017800231038</t>
  </si>
  <si>
    <t>R0017800231051</t>
  </si>
  <si>
    <t>VY1550</t>
  </si>
  <si>
    <t>RAMIRO IVAN GRAMAGLIA SARACHO</t>
  </si>
  <si>
    <t>Santa Fe Este, Metán, Salta, Argentina 44</t>
  </si>
  <si>
    <t>3876417847// +54 9 3876 417847</t>
  </si>
  <si>
    <t>sancristobalmetan@gmail.com</t>
  </si>
  <si>
    <t>R0017800231065</t>
  </si>
  <si>
    <t>R0017800231327</t>
  </si>
  <si>
    <t>VY1386</t>
  </si>
  <si>
    <t>JOSE ROQUE VILLAGRA ML</t>
  </si>
  <si>
    <t>las heras 336</t>
  </si>
  <si>
    <t>3873237392//</t>
  </si>
  <si>
    <t>Josevillagra_1@hotmail.com</t>
  </si>
  <si>
    <t>R0017800231336</t>
  </si>
  <si>
    <t>VY1815</t>
  </si>
  <si>
    <t>Amina Elena Frías</t>
  </si>
  <si>
    <t>Ruta Nacional 9 Lm 1621 la calderilla, la caldera</t>
  </si>
  <si>
    <t>Calderilla</t>
  </si>
  <si>
    <t>3875332838// +54 9 387 5332838</t>
  </si>
  <si>
    <t>COMDCA100190</t>
  </si>
  <si>
    <t>Col Meyer DreamCompact 100x190</t>
  </si>
  <si>
    <t>aminafrias@hotmail.com</t>
  </si>
  <si>
    <t>R0017800231339</t>
  </si>
  <si>
    <t>VY2148</t>
  </si>
  <si>
    <t>VALENTINA AYELEN JUAREZ ML</t>
  </si>
  <si>
    <t>Barrio Scalabrini Ortíz 00</t>
  </si>
  <si>
    <t>3872227377//</t>
  </si>
  <si>
    <t>Valejuarez8800@gmail.com</t>
  </si>
  <si>
    <t>R0017800231341</t>
  </si>
  <si>
    <t>VY1981</t>
  </si>
  <si>
    <t>Liliana Acuna</t>
  </si>
  <si>
    <t>Avenida Ex Combatientes de Malvinas 3895</t>
  </si>
  <si>
    <t>387 462-6354// +54 9 387 4626354</t>
  </si>
  <si>
    <t>nlilianaa@hotmail.com</t>
  </si>
  <si>
    <t>R0017800231344</t>
  </si>
  <si>
    <t>X15287</t>
  </si>
  <si>
    <t>COLQUE FATIMA</t>
  </si>
  <si>
    <t>B NORTE MZA A CASA 14</t>
  </si>
  <si>
    <t>ROSARIO DEL LERMA</t>
  </si>
  <si>
    <t>3874049974// 3874049974</t>
  </si>
  <si>
    <t>faty.colque95@gmail.com</t>
  </si>
  <si>
    <t>ROSARIO DE LERMA</t>
  </si>
  <si>
    <t>R0017800231345</t>
  </si>
  <si>
    <t>R0017800231349</t>
  </si>
  <si>
    <t>VY2318</t>
  </si>
  <si>
    <t>Luca Becerra</t>
  </si>
  <si>
    <t>Necochea 478</t>
  </si>
  <si>
    <t>26655035826// +54 9 266 5035826</t>
  </si>
  <si>
    <t>COMDRA100190</t>
  </si>
  <si>
    <t>Col Meyer Dream 100x190</t>
  </si>
  <si>
    <t>becerraluca@gmail.com</t>
  </si>
  <si>
    <t>R0017800231642</t>
  </si>
  <si>
    <t>VY2197</t>
  </si>
  <si>
    <t>RODRIGO NICOLAS SARTINI ML</t>
  </si>
  <si>
    <t>Club de Campo El Aybal Lote 105</t>
  </si>
  <si>
    <t>3875372248//</t>
  </si>
  <si>
    <t>rodrigosartini@gmail.com</t>
  </si>
  <si>
    <t>R0017800231647</t>
  </si>
  <si>
    <t>VY2369</t>
  </si>
  <si>
    <t>MANUEL ALEJANDRO LOPEZ ML</t>
  </si>
  <si>
    <t>Barrio castañares grupo 648 13</t>
  </si>
  <si>
    <t>3875411718//</t>
  </si>
  <si>
    <t>ale.manu.lopez.97@gmail.com</t>
  </si>
  <si>
    <t>R0017800231976</t>
  </si>
  <si>
    <t>VY2546</t>
  </si>
  <si>
    <t>Roberto Javier Rosas</t>
  </si>
  <si>
    <t>Ruta Nacional 51, Salta, Argentina, Barrio Solares</t>
  </si>
  <si>
    <t>3874095742// +54 9 387 4095742</t>
  </si>
  <si>
    <t>COMDCA140190</t>
  </si>
  <si>
    <t>Col Meyer DreamCompact 140x190</t>
  </si>
  <si>
    <t>rjavierrosas@gmail.com</t>
  </si>
  <si>
    <t>R0017800232490</t>
  </si>
  <si>
    <t>B45415</t>
  </si>
  <si>
    <t>MARIA ANGÉLIA ARIAS VILLEGAS bp</t>
  </si>
  <si>
    <t>CALLE LA viña 354</t>
  </si>
  <si>
    <t>3874070601// 3874070601</t>
  </si>
  <si>
    <t>ariasvillegasm@gmail.com</t>
  </si>
  <si>
    <t>iruya y encon</t>
  </si>
  <si>
    <t>R0017800232497</t>
  </si>
  <si>
    <t>VY2668</t>
  </si>
  <si>
    <t>Jorgelina anabel Herrera</t>
  </si>
  <si>
    <t>el carril Calle 1ro de mayo</t>
  </si>
  <si>
    <t>3875516326// +54 9 387 5516326</t>
  </si>
  <si>
    <t>jorgelinaanabelh@gmail.com</t>
  </si>
  <si>
    <t>R0017800232874</t>
  </si>
  <si>
    <t>VY2302</t>
  </si>
  <si>
    <t>SILVIA BELÉN MARQUEZ BP</t>
  </si>
  <si>
    <t>tucuman 1215</t>
  </si>
  <si>
    <t>Tartagal (Salta)</t>
  </si>
  <si>
    <t>3873 609116//</t>
  </si>
  <si>
    <t>belu-marquez@hotmail.com.ar</t>
  </si>
  <si>
    <t>Pje roffini y calle: Padre pedro</t>
  </si>
  <si>
    <t>2102DA</t>
  </si>
  <si>
    <t>Colchón Telgo Vida Mat.090x190</t>
  </si>
  <si>
    <t>R0017800232876</t>
  </si>
  <si>
    <t>VY2380</t>
  </si>
  <si>
    <t>ALFREDO ABEL RUIZ ML</t>
  </si>
  <si>
    <t>Cafayate 176</t>
  </si>
  <si>
    <t>3876513824//</t>
  </si>
  <si>
    <t>alfredo_ruiz74@hotmail.com</t>
  </si>
  <si>
    <t>R0017800232888</t>
  </si>
  <si>
    <t>VY2591</t>
  </si>
  <si>
    <t>ROBERTO JAVIER ASTORGA ML</t>
  </si>
  <si>
    <t>Calle Fernando zuñer SN</t>
  </si>
  <si>
    <t>3873346671//</t>
  </si>
  <si>
    <t>R0017800232891</t>
  </si>
  <si>
    <t>VY2437</t>
  </si>
  <si>
    <t>SILVIA BELÉN MARQUEZ bp</t>
  </si>
  <si>
    <t>Tucuman 1215</t>
  </si>
  <si>
    <t>R0017800232926</t>
  </si>
  <si>
    <t>X15318</t>
  </si>
  <si>
    <t>MOLINA MAIRA ANABEL</t>
  </si>
  <si>
    <t>VIA AURELIA MZA 13 ACSA 11 A</t>
  </si>
  <si>
    <t>3872132720// 3872132720</t>
  </si>
  <si>
    <t>cristian.zalazar23@outlook.com</t>
  </si>
  <si>
    <t>PASANDO EL AEROPUERTO</t>
  </si>
  <si>
    <t>R0017800233301</t>
  </si>
  <si>
    <t>X15319</t>
  </si>
  <si>
    <t>ASOCIACION DE BOMBEROS VOLUNTARIOS 2 DE JUNIO</t>
  </si>
  <si>
    <t>jhdsa@gmail.com</t>
  </si>
  <si>
    <t>R0017800233321</t>
  </si>
  <si>
    <t>X15325</t>
  </si>
  <si>
    <t>AGUIRRE CARLOS EMANUEL</t>
  </si>
  <si>
    <t>BARRIO SAN SILVESTRE MZA 143 16</t>
  </si>
  <si>
    <t>3875210267// 3875210267</t>
  </si>
  <si>
    <t>COCCLA140190</t>
  </si>
  <si>
    <t>Col Sealy Chill Cloud 140x190</t>
  </si>
  <si>
    <t>maximilianoivanp@gmail.com</t>
  </si>
  <si>
    <t>atras del frigorifico</t>
  </si>
  <si>
    <t>R0017800233322</t>
  </si>
  <si>
    <t>X15322</t>
  </si>
  <si>
    <t>TEVEZ MARTHA</t>
  </si>
  <si>
    <t>B APOLINARIO SARAVIA RIO SAN CARLOS 2884</t>
  </si>
  <si>
    <t>3872181191// 3872181191</t>
  </si>
  <si>
    <t>tevezmartha3@gmail.com</t>
  </si>
  <si>
    <t>POR RUTA 26</t>
  </si>
  <si>
    <t>R0017800233323</t>
  </si>
  <si>
    <t>X15323</t>
  </si>
  <si>
    <t>LAGOS MARIA CRISTINA</t>
  </si>
  <si>
    <t>VILLA LOLA LOS COLIBRIES 140</t>
  </si>
  <si>
    <t>3874672658// 3874672658</t>
  </si>
  <si>
    <t>DSAKJ@GMAIL.COM</t>
  </si>
  <si>
    <t>CAMINO A LA SILLETA</t>
  </si>
  <si>
    <t>R0017800233329</t>
  </si>
  <si>
    <t>X05617</t>
  </si>
  <si>
    <t>RUIZ VIVIANA</t>
  </si>
  <si>
    <t>V LOS SAUCES FRANCISCO MIRANDA 1250</t>
  </si>
  <si>
    <t>3874650763// 3874650763</t>
  </si>
  <si>
    <t>COMDPA100190</t>
  </si>
  <si>
    <t>Col Meyer Dream Plus 100x190</t>
  </si>
  <si>
    <t>RUIZVIVIANA377@GMAIL.COM</t>
  </si>
  <si>
    <t>v los sauces</t>
  </si>
  <si>
    <t>R0017800233330</t>
  </si>
  <si>
    <t>B45567</t>
  </si>
  <si>
    <t>Ivan Pablo Korewa bp</t>
  </si>
  <si>
    <t>3878400436// 3878400436</t>
  </si>
  <si>
    <t>COMSLA100190</t>
  </si>
  <si>
    <t>Col Meyer Sleep 100x190</t>
  </si>
  <si>
    <t>ivankorewa@gmail.com</t>
  </si>
  <si>
    <t>AYB</t>
  </si>
  <si>
    <t>13-357040</t>
  </si>
  <si>
    <t>Alm. Zlow S.Duvet 70x40</t>
  </si>
  <si>
    <t>SOGENGRI140190</t>
  </si>
  <si>
    <t>Sommier Generico Gris 140x190</t>
  </si>
  <si>
    <t>R0017800233344</t>
  </si>
  <si>
    <t>X15333</t>
  </si>
  <si>
    <t>HUERTAS PATRICIA</t>
  </si>
  <si>
    <t>RUTA 26 B MANANTIAL LOS DELFINES 9</t>
  </si>
  <si>
    <t>3875999496// 3875999496</t>
  </si>
  <si>
    <t>RUTA 26</t>
  </si>
  <si>
    <t>R0017800233345</t>
  </si>
  <si>
    <t>X15329</t>
  </si>
  <si>
    <t>VALLE MARIA CRISTINA</t>
  </si>
  <si>
    <t>URQUIZA 1782</t>
  </si>
  <si>
    <t>3872428947// 3872236061</t>
  </si>
  <si>
    <t>JSAH@HOTMAIL.COM</t>
  </si>
  <si>
    <t>centro</t>
  </si>
  <si>
    <t>R0017800234247</t>
  </si>
  <si>
    <t>VY3416</t>
  </si>
  <si>
    <t>AGUSTINA TOLABA ML</t>
  </si>
  <si>
    <t>barrio el huaico SN</t>
  </si>
  <si>
    <t>Col. Sealy Chill Box(N)140x190</t>
  </si>
  <si>
    <t>Som. Sealy Carbon Grey 140x190</t>
  </si>
  <si>
    <t>R0017800234251</t>
  </si>
  <si>
    <t>TA5164</t>
  </si>
  <si>
    <t>COPERATIVA DE TRABAJO INCANTO</t>
  </si>
  <si>
    <t>LOS JUNCOS 76</t>
  </si>
  <si>
    <t>A4408LQB</t>
  </si>
  <si>
    <t>3874044390// 3874044390</t>
  </si>
  <si>
    <t>COCHBB180200</t>
  </si>
  <si>
    <t>Col. Sealy Cocoon Hybrid180x200</t>
  </si>
  <si>
    <t>melanie.martinez@sommiercenter.com</t>
  </si>
  <si>
    <t>LOS CAROLINOS Y LAS TIPAS</t>
  </si>
  <si>
    <t>Som. Sealy Carbon Grey 090x200</t>
  </si>
  <si>
    <t>R0017800234256</t>
  </si>
  <si>
    <t>X15344</t>
  </si>
  <si>
    <t>TAPIA LOANA</t>
  </si>
  <si>
    <t>MARCELO LOTUFO 1411</t>
  </si>
  <si>
    <t>3875207306// 3875207306</t>
  </si>
  <si>
    <t>COMDRA080190</t>
  </si>
  <si>
    <t>Col. Meyer Dream 080x190</t>
  </si>
  <si>
    <t>loanayamilatapia120182@GMAIL.COM</t>
  </si>
  <si>
    <t>BALBIN Y CUEVAS</t>
  </si>
  <si>
    <t>R0017800234644</t>
  </si>
  <si>
    <t>X15353</t>
  </si>
  <si>
    <t>GARCIA LUIS FERNIM</t>
  </si>
  <si>
    <t>JUAN MARTIN LEGUIZAMON 395</t>
  </si>
  <si>
    <t>3876833124// 3876833124</t>
  </si>
  <si>
    <t>COCHBB100200</t>
  </si>
  <si>
    <t>Col. Sealy Cocoon Hybrid100x200</t>
  </si>
  <si>
    <t>lfgarci@gmail.com</t>
  </si>
  <si>
    <t>pueyrredon y dean funes</t>
  </si>
  <si>
    <t>CAMARTFLEX10020</t>
  </si>
  <si>
    <t>Cama Smart Cosmo 100x200</t>
  </si>
  <si>
    <t>R0017800234645</t>
  </si>
  <si>
    <t>X15354</t>
  </si>
  <si>
    <t>CRUZ CLAUDIA PATRICIA</t>
  </si>
  <si>
    <t>B LOS ALERCES MZA 802 C CASA 02</t>
  </si>
  <si>
    <t>3874480619// 3874480619</t>
  </si>
  <si>
    <t>Col. Sealy Est Linen 140x190</t>
  </si>
  <si>
    <t>claudiacruzsalta17@gmail.com</t>
  </si>
  <si>
    <t>R0017800234646</t>
  </si>
  <si>
    <t>X15352</t>
  </si>
  <si>
    <t>SALAMANCA ALFREDO</t>
  </si>
  <si>
    <t>SANTA TERESITA 3 DE FEBRERO 1090</t>
  </si>
  <si>
    <t>3875423850// 3875423850</t>
  </si>
  <si>
    <t>Col. Meyer DreamCompact 140x190</t>
  </si>
  <si>
    <t>LUISATOLABA613@GMAIL.COM</t>
  </si>
  <si>
    <t>cerrillos</t>
  </si>
  <si>
    <t>R0017800234647</t>
  </si>
  <si>
    <t>X14934</t>
  </si>
  <si>
    <t>GANDOLFO JONATAN</t>
  </si>
  <si>
    <t>B PRADERAS DE SAN LORENZO MZA 13 LOTE 22</t>
  </si>
  <si>
    <t>1162148765// 1162148765</t>
  </si>
  <si>
    <t>Som. Universal Grey 080x190</t>
  </si>
  <si>
    <t>jagand@gmail.com</t>
  </si>
  <si>
    <t>av yerba buena s/n</t>
  </si>
  <si>
    <t>R0017800235008</t>
  </si>
  <si>
    <t>VJ0642</t>
  </si>
  <si>
    <t>ADA NOEMI BAIMA ML</t>
  </si>
  <si>
    <t>LA Merced chica Ruta Nacional 51 km 7 0</t>
  </si>
  <si>
    <t>0387154407581 // 3875221287</t>
  </si>
  <si>
    <t>R0017800235033</t>
  </si>
  <si>
    <t>X15364</t>
  </si>
  <si>
    <t>MURGA FRANCO</t>
  </si>
  <si>
    <t>BALCARCE 1816</t>
  </si>
  <si>
    <t>3875188640// 3875188640</t>
  </si>
  <si>
    <t>Som. Universal Grey 100x200</t>
  </si>
  <si>
    <t>murgafrancomaximiliano@gmail.com</t>
  </si>
  <si>
    <t>Col. Meyer DreamCompact 200x200</t>
  </si>
  <si>
    <t>R0017800235034</t>
  </si>
  <si>
    <t>X15363</t>
  </si>
  <si>
    <t>CORREGIDOR IVANA DEL MILAGRO</t>
  </si>
  <si>
    <t>BARRIO SANTA RITA MZA 53A 25</t>
  </si>
  <si>
    <t>3874626033// 3874626033</t>
  </si>
  <si>
    <t>ivanacorregidor@gmail.com</t>
  </si>
  <si>
    <t>rosario de lerma</t>
  </si>
  <si>
    <t>R0017800235051</t>
  </si>
  <si>
    <t>X15367</t>
  </si>
  <si>
    <t>SONIA RAQUEL FERNANDEZ</t>
  </si>
  <si>
    <t>BARRIO DOCENTE SUR MZNA 2 6</t>
  </si>
  <si>
    <t>3875671521// 3875671521</t>
  </si>
  <si>
    <t>Col. Sealy Est WoodsB 080x190</t>
  </si>
  <si>
    <t>SONIAFERNANDEZ.R22@GMAIL.COM</t>
  </si>
  <si>
    <t>CERCA DE CACHORROS</t>
  </si>
  <si>
    <t>R0017800235052</t>
  </si>
  <si>
    <t>X15314</t>
  </si>
  <si>
    <t>TROY S.A.S</t>
  </si>
  <si>
    <t>balcarce 460</t>
  </si>
  <si>
    <t>4235544// 4235544</t>
  </si>
  <si>
    <t>COSUNB080190</t>
  </si>
  <si>
    <t>Col. Sealy EstSunshineB 080x190</t>
  </si>
  <si>
    <t>admin@selinasalta.com</t>
  </si>
  <si>
    <t>leguizamon</t>
  </si>
  <si>
    <t>R0017800235054</t>
  </si>
  <si>
    <t>X15376</t>
  </si>
  <si>
    <t>REMENTERIA CRISTINA</t>
  </si>
  <si>
    <t>AMPLIACION DOCENTE SUR MZA 16 26</t>
  </si>
  <si>
    <t>3874215455// 3874215455</t>
  </si>
  <si>
    <t>COMPOA140190</t>
  </si>
  <si>
    <t>Col. Meyer Pocket 140x190</t>
  </si>
  <si>
    <t>ASDJH@GMAIL.COM</t>
  </si>
  <si>
    <t>EN DIAGONAL A LA POLICIA</t>
  </si>
  <si>
    <t>R0017800235055</t>
  </si>
  <si>
    <t>X15373</t>
  </si>
  <si>
    <t>VEDIA ELBA</t>
  </si>
  <si>
    <t>B GRAND BOURG ALVAREZ TOMA 799</t>
  </si>
  <si>
    <t>3875618854// 3875618854</t>
  </si>
  <si>
    <t>Col. Sealy Est Linen 100x190</t>
  </si>
  <si>
    <t>hagssa@gmail.com</t>
  </si>
  <si>
    <t>Som. Sealy Carbon Grey 100x190</t>
  </si>
  <si>
    <t>R0017800235056</t>
  </si>
  <si>
    <t>X15372</t>
  </si>
  <si>
    <t>PALMA NEMI CAROLINA</t>
  </si>
  <si>
    <t>AV LIBANO COMPLEJO ARENALES BLOCK B 1 4 52</t>
  </si>
  <si>
    <t>3875317056// 3875317056</t>
  </si>
  <si>
    <t>NCPALMA-1@HOTMAIL.COM</t>
  </si>
  <si>
    <t>LIBANO</t>
  </si>
  <si>
    <t>R0017800235058</t>
  </si>
  <si>
    <t>X15360</t>
  </si>
  <si>
    <t>GALARZA LUCRECIA X</t>
  </si>
  <si>
    <t>BARRIO BANCARIO BLOCK C 1 1 D</t>
  </si>
  <si>
    <t>3875673002// 3875673002</t>
  </si>
  <si>
    <t>BR50190996</t>
  </si>
  <si>
    <t>Cama Baul Herval 100x200</t>
  </si>
  <si>
    <t>LUCRECIAGALARZA21@GMAIL.COM</t>
  </si>
  <si>
    <t>CERCA DE LA IGLESIA A 1 CUADRA DERECHA</t>
  </si>
  <si>
    <t>BR5017832</t>
  </si>
  <si>
    <t>Col. Herval Colors 100x200</t>
  </si>
  <si>
    <t>R0017800235066</t>
  </si>
  <si>
    <t>X15383</t>
  </si>
  <si>
    <t>AGUILERA JOSE FRANCISCO</t>
  </si>
  <si>
    <t>B HUAICO MZA 527 A CASA 7</t>
  </si>
  <si>
    <t>3876833513// 3876833513</t>
  </si>
  <si>
    <t>hsgad@gmail.com</t>
  </si>
  <si>
    <t>zona norte</t>
  </si>
  <si>
    <t>R0017800235067</t>
  </si>
  <si>
    <t>X15385</t>
  </si>
  <si>
    <t>PEREYRA AIDA</t>
  </si>
  <si>
    <t>santiago DEL ESTERO 2280 4 A</t>
  </si>
  <si>
    <t>3875055641// 3875055641</t>
  </si>
  <si>
    <t>Col. Meyer Dream Plus 140x190</t>
  </si>
  <si>
    <t>sadjhasd@gmail.com</t>
  </si>
  <si>
    <t>R0017800236188</t>
  </si>
  <si>
    <t>W17394</t>
  </si>
  <si>
    <t>RODRIGUEZ CLAUDIA MONICA BP</t>
  </si>
  <si>
    <t>B EL HUAICO 518 3</t>
  </si>
  <si>
    <t>3874559553// 3874559553</t>
  </si>
  <si>
    <t>COMDPA160200</t>
  </si>
  <si>
    <t>Col. Meyer Dream plus 160x200</t>
  </si>
  <si>
    <t>monicarodriguez01@hotmail.com</t>
  </si>
  <si>
    <t>LUCRECIA BARQUET Y BOTA DE NICOLAI</t>
  </si>
  <si>
    <t>RODRIGUEZ CLAUDIA MONICA  BP</t>
  </si>
  <si>
    <t>RETICU16070</t>
  </si>
  <si>
    <t>Resp. Hydra Tiron 160x070</t>
  </si>
  <si>
    <t>R0017800234638</t>
  </si>
  <si>
    <t>VY3734</t>
  </si>
  <si>
    <t>Vilma Carlos</t>
  </si>
  <si>
    <t>Norte grande Leandro ateni m200d 23</t>
  </si>
  <si>
    <t>3885431997// +54 9 388 5431997</t>
  </si>
  <si>
    <t>Col. Meyer Dream 100x190</t>
  </si>
  <si>
    <t>marisa_vils05@hotmail.com</t>
  </si>
  <si>
    <t>Som. Universal Grey 100x190</t>
  </si>
  <si>
    <t>R0017800234643</t>
  </si>
  <si>
    <t>VY3829</t>
  </si>
  <si>
    <t>MARIBEL ALEJANDRA RUIZ ML</t>
  </si>
  <si>
    <t>finca santa rita SN</t>
  </si>
  <si>
    <t>3875922841//</t>
  </si>
  <si>
    <t>alejandramaribelruiz58@gmail.com</t>
  </si>
  <si>
    <t>R0017800235044</t>
  </si>
  <si>
    <t>VY4104</t>
  </si>
  <si>
    <t>Cesar Mendoza</t>
  </si>
  <si>
    <t>Los Ceibos 245 245</t>
  </si>
  <si>
    <t>3875610209// +54 9 387 5610209</t>
  </si>
  <si>
    <t>COMDCA180200</t>
  </si>
  <si>
    <t>Col. Meyer DreamCompact 180x200</t>
  </si>
  <si>
    <t>cesarmc59salta@gmail.com</t>
  </si>
  <si>
    <t>Som. Universal Grey 090x200</t>
  </si>
  <si>
    <t>R0017800235057</t>
  </si>
  <si>
    <t>R0017800235589</t>
  </si>
  <si>
    <t>X15389</t>
  </si>
  <si>
    <t>PRADO ANGEL</t>
  </si>
  <si>
    <t>CUIDAD VALDIVIA MZA 776 A CASA 7</t>
  </si>
  <si>
    <t>3874888673// 3874888673</t>
  </si>
  <si>
    <t>KASJHDAS@GMAIL.COM</t>
  </si>
  <si>
    <t>R0017800235590</t>
  </si>
  <si>
    <t>X15386</t>
  </si>
  <si>
    <t>ANDREANI JORGE</t>
  </si>
  <si>
    <t>RUTA 51 KM 17.7 B LAS LOMITAS 0</t>
  </si>
  <si>
    <t>3875904040// 3875904040</t>
  </si>
  <si>
    <t>COMPOA100190</t>
  </si>
  <si>
    <t>Col. Meyer Pocket 100x190</t>
  </si>
  <si>
    <t>ADSJH@GMAIL.COM</t>
  </si>
  <si>
    <t>R0017800236219</t>
  </si>
  <si>
    <t>VY4133</t>
  </si>
  <si>
    <t>SERGIO DAVID ALVAREZ ML</t>
  </si>
  <si>
    <t>Pasaje Las Begonias B 16 viv casa 4 SN</t>
  </si>
  <si>
    <t>Anta</t>
  </si>
  <si>
    <t>3877 588838//</t>
  </si>
  <si>
    <t>lionnela17@gmail.com</t>
  </si>
  <si>
    <t>Col. Sealy Est Linen 180x200</t>
  </si>
  <si>
    <t>R0017800236239</t>
  </si>
  <si>
    <t>VY4612</t>
  </si>
  <si>
    <t>María Marta Verde</t>
  </si>
  <si>
    <t>Avenida Ricardo Solá 560</t>
  </si>
  <si>
    <t>3873625850// +54 9 3873 625850</t>
  </si>
  <si>
    <t>fabionq90@gmail.com</t>
  </si>
  <si>
    <t>COMSLA200200</t>
  </si>
  <si>
    <t>Col. Meyer Sleep 200x200</t>
  </si>
  <si>
    <t>R0017800236240</t>
  </si>
  <si>
    <t>VY4507</t>
  </si>
  <si>
    <t>María Elena Gerez</t>
  </si>
  <si>
    <t>Manzana 463 B casa 18 Ampliación Bancario 18</t>
  </si>
  <si>
    <t>3875518066// +54 9 387 5518066</t>
  </si>
  <si>
    <t>mariaelenagerez875@gmail.com</t>
  </si>
  <si>
    <t>Som. All White 140x190</t>
  </si>
  <si>
    <t>R0017800236245</t>
  </si>
  <si>
    <t>X15390</t>
  </si>
  <si>
    <t>CASALDERREY MARIANA</t>
  </si>
  <si>
    <t>LEGUIZAMON 1126 2 C</t>
  </si>
  <si>
    <t>3872113049// 3872113049</t>
  </si>
  <si>
    <t>COMDCA080190</t>
  </si>
  <si>
    <t>Col. Meyer DreamCompact 080x190</t>
  </si>
  <si>
    <t>hasdg@gmail.com</t>
  </si>
  <si>
    <t>Som. Universal Grey 140x190</t>
  </si>
  <si>
    <t>R0017800236248</t>
  </si>
  <si>
    <t>VY4756</t>
  </si>
  <si>
    <t>Ignacio Juarez</t>
  </si>
  <si>
    <t>Damaso uriburu 2175</t>
  </si>
  <si>
    <t>03875657473// +54 9 387 5657473</t>
  </si>
  <si>
    <t>Col. Sealy Chill Cloud 140x190</t>
  </si>
  <si>
    <t>Ignamartin.87@gmail.com</t>
  </si>
  <si>
    <t>R0017800236254</t>
  </si>
  <si>
    <t>VY4701</t>
  </si>
  <si>
    <t>lucas moreno</t>
  </si>
  <si>
    <t>aniceto 430</t>
  </si>
  <si>
    <t>Joaquin V. González</t>
  </si>
  <si>
    <t>3877431306// +54 9 3877 431306</t>
  </si>
  <si>
    <t>lucasmore_12@hotmail.com</t>
  </si>
  <si>
    <t>Col. Telgo Vida Mat.140x190</t>
  </si>
  <si>
    <t>R0017800236256</t>
  </si>
  <si>
    <t>VY4757</t>
  </si>
  <si>
    <t>Marianela Battaglia</t>
  </si>
  <si>
    <t>San Juan Apóstol 15</t>
  </si>
  <si>
    <t>3875924747// +54 9 387 5924747</t>
  </si>
  <si>
    <t>COMSLA140190</t>
  </si>
  <si>
    <t>Col. Meyer Sleep 140x190</t>
  </si>
  <si>
    <t>mabatt78@hotmail.com</t>
  </si>
  <si>
    <t>R0017800236262</t>
  </si>
  <si>
    <t>VY4824</t>
  </si>
  <si>
    <t>Leonardo Vides</t>
  </si>
  <si>
    <t>av. constituyentes 610</t>
  </si>
  <si>
    <t>3878532899// +54 9 3878 532899</t>
  </si>
  <si>
    <t>lulyta674@gmail.com</t>
  </si>
  <si>
    <t>R0017800236263</t>
  </si>
  <si>
    <t>VY4865</t>
  </si>
  <si>
    <t>Maria José García Melamed</t>
  </si>
  <si>
    <t>Barrio Parque Gral Belgrano, Etapa 1. Calle Toba 7</t>
  </si>
  <si>
    <t>3875616039// +54 9 3875 616039</t>
  </si>
  <si>
    <t>garcia.melamed@gmail.com</t>
  </si>
  <si>
    <t>Col. Telgo Vida 080x190</t>
  </si>
  <si>
    <t>SOBAJA080190E</t>
  </si>
  <si>
    <t>Som. All White 080x190</t>
  </si>
  <si>
    <t>R0017800236264</t>
  </si>
  <si>
    <t>Julio Espinosa 1336</t>
  </si>
  <si>
    <t>COMDRA140190</t>
  </si>
  <si>
    <t>Col. Meyer Dream 140x190</t>
  </si>
  <si>
    <t>R0017800236644</t>
  </si>
  <si>
    <t>VY4765</t>
  </si>
  <si>
    <t>CLAUDIA ELISABETH MATORRA ML</t>
  </si>
  <si>
    <t>jose lally 13</t>
  </si>
  <si>
    <t>apolinario saravia</t>
  </si>
  <si>
    <t>3875480455//</t>
  </si>
  <si>
    <t>Som. Sealy Carbon Grey 100x200</t>
  </si>
  <si>
    <t>mstiasibanez44@gmail.com</t>
  </si>
  <si>
    <t>Col. Sealy Chill Box(N) 200x200</t>
  </si>
  <si>
    <t>R0017800237056</t>
  </si>
  <si>
    <t>B45746</t>
  </si>
  <si>
    <t>MARIA GABRIELA ISAAC bp</t>
  </si>
  <si>
    <t>LOPEZ Y PLANES 241 4 e</t>
  </si>
  <si>
    <t>ORan</t>
  </si>
  <si>
    <t>3878-572287// 3878-572287</t>
  </si>
  <si>
    <t>Col. Sealy EstSunshineB 140x190</t>
  </si>
  <si>
    <t>mariagabrielaisaac17@gmail.com</t>
  </si>
  <si>
    <t>20 de febrero y uriburu</t>
  </si>
  <si>
    <t>R0017800237055</t>
  </si>
  <si>
    <t>R0017800237027</t>
  </si>
  <si>
    <t>VY4957</t>
  </si>
  <si>
    <t>SILVIA PAULA ESPINOZA ML</t>
  </si>
  <si>
    <t>Pasaje 11 380</t>
  </si>
  <si>
    <t>3875771038//</t>
  </si>
  <si>
    <t>Col. Cauri Pillow 140x190</t>
  </si>
  <si>
    <t>R0017800237063</t>
  </si>
  <si>
    <t>VY5075</t>
  </si>
  <si>
    <t>Francesco Talocchino</t>
  </si>
  <si>
    <t>Los Inciensos 609</t>
  </si>
  <si>
    <t>03875234013// +54 9 0387 5234013</t>
  </si>
  <si>
    <t>talocchino26@gmail.com</t>
  </si>
  <si>
    <t>COSUNB160200</t>
  </si>
  <si>
    <t>Col. Sealy EstSunshineB 160x200</t>
  </si>
  <si>
    <t>Som. Sealy Carbon Grey 080x200</t>
  </si>
  <si>
    <t>R0017800237074</t>
  </si>
  <si>
    <t>VY5131</t>
  </si>
  <si>
    <t>Maria Alejandra Aguirre</t>
  </si>
  <si>
    <t>Santiago del estero 2254</t>
  </si>
  <si>
    <t>BELGRANO (SALTA-DPTO. CAPITAL)</t>
  </si>
  <si>
    <t>03814031291// +54 9 387 4031291</t>
  </si>
  <si>
    <t>Col. Meyer DreamCompact 100x190</t>
  </si>
  <si>
    <t>alejandraaguirre.med@gmail.com</t>
  </si>
  <si>
    <t>R0017800237081</t>
  </si>
  <si>
    <t>X15430</t>
  </si>
  <si>
    <t>FRIZZERA BLANCA MAGDALENA</t>
  </si>
  <si>
    <t>B LA LOMA.-POSTA DE YATASTO 1481</t>
  </si>
  <si>
    <t>3415463416// 43606666</t>
  </si>
  <si>
    <t>Col. Sealy Est Linen 080x190</t>
  </si>
  <si>
    <t>DERTRE12115@HOTMAIL.COM</t>
  </si>
  <si>
    <t>ARENALES Y PASAJE LA ORA</t>
  </si>
  <si>
    <t>R0017800237082</t>
  </si>
  <si>
    <t>X15428</t>
  </si>
  <si>
    <t>SALVA VICTOR</t>
  </si>
  <si>
    <t>URBANIZACION TERRANOVA MZA 39 L 1110</t>
  </si>
  <si>
    <t>3875637395// 3875637395</t>
  </si>
  <si>
    <t>COSFRA140190</t>
  </si>
  <si>
    <t>Col. S&amp;F RockwellBrown 140x190</t>
  </si>
  <si>
    <t>SOSFO140190E</t>
  </si>
  <si>
    <t>Som. S&amp;F 140x190</t>
  </si>
  <si>
    <t>PAALCOPA</t>
  </si>
  <si>
    <t>Pata Aluminio Copa</t>
  </si>
  <si>
    <t>R0017800237076</t>
  </si>
  <si>
    <t>X15420</t>
  </si>
  <si>
    <t>CASTILLO SERGIO RAMON</t>
  </si>
  <si>
    <t>pueyrredon 66 4 1</t>
  </si>
  <si>
    <t>3875319400// 3875319400</t>
  </si>
  <si>
    <t>SDJAH@GMAIL.COM</t>
  </si>
  <si>
    <t>R0017800237083</t>
  </si>
  <si>
    <t>X15427</t>
  </si>
  <si>
    <t>BENAVIDEZ ALICIA</t>
  </si>
  <si>
    <t>B LIBERTAD TEORODO JOVANOVICS 0</t>
  </si>
  <si>
    <t>3875704623// 3875704623</t>
  </si>
  <si>
    <t>jsagd@gmail.com</t>
  </si>
  <si>
    <t>campo quijano</t>
  </si>
  <si>
    <t>R0017800237632</t>
  </si>
  <si>
    <t>X07048</t>
  </si>
  <si>
    <t>RAMOS MARICEL JIMENA</t>
  </si>
  <si>
    <t>B STA VICTORIA-GERONIMO MATORRAS 871</t>
  </si>
  <si>
    <t>155124813// 155124813</t>
  </si>
  <si>
    <t>BVNCMXMNBJFDG@GMAIL.COM</t>
  </si>
  <si>
    <t>ZONA OESTE</t>
  </si>
  <si>
    <t>R0017800237781</t>
  </si>
  <si>
    <t>VY5282</t>
  </si>
  <si>
    <t>JUAN JOSE MERI KSAPAG ML</t>
  </si>
  <si>
    <t>Av Esquiu 1376</t>
  </si>
  <si>
    <t>1152216104//</t>
  </si>
  <si>
    <t>jmeri@hotmail.com.ar</t>
  </si>
  <si>
    <t>R0017800237787</t>
  </si>
  <si>
    <t>VY5301</t>
  </si>
  <si>
    <t>MICAELA PETRONA CATAN ML</t>
  </si>
  <si>
    <t>B san silvestre España 3er pasaje Arturo illia SN</t>
  </si>
  <si>
    <t>3873691253//</t>
  </si>
  <si>
    <t>micaelacatan10@gmail.com</t>
  </si>
  <si>
    <t>R0017800237791</t>
  </si>
  <si>
    <t>X15433</t>
  </si>
  <si>
    <t>COMUNE JUANA X</t>
  </si>
  <si>
    <t>JUAN DOMINGO PERON MZ 2 13 2</t>
  </si>
  <si>
    <t>42902222// 42902222</t>
  </si>
  <si>
    <t>cds@gmail.com</t>
  </si>
  <si>
    <t>PASAJE 15 SANTA ANA 1</t>
  </si>
  <si>
    <t>R0017800237792</t>
  </si>
  <si>
    <t>X15440</t>
  </si>
  <si>
    <t>DAM INGENIERIA S. A. S.</t>
  </si>
  <si>
    <t>B LIMACHE ET 12 BLOCK 23 15</t>
  </si>
  <si>
    <t>3874520872// 3874520872</t>
  </si>
  <si>
    <t>melanielutpedraza@gmail.com</t>
  </si>
  <si>
    <t>R0017800238348</t>
  </si>
  <si>
    <t>X03816</t>
  </si>
  <si>
    <t>CHAMORRO HECTOR SALVADOR EMPLEADO</t>
  </si>
  <si>
    <t>ZUVIRIA 3090</t>
  </si>
  <si>
    <t>3874859192// 3874859192</t>
  </si>
  <si>
    <t>Col. Sealy Post Emerald 140x190</t>
  </si>
  <si>
    <t>HECTOR.CHAMORRO@SOMMIERCENTER.COM</t>
  </si>
  <si>
    <t>ESQUINA CARLOS FOREST</t>
  </si>
  <si>
    <t>R0017800238358</t>
  </si>
  <si>
    <t>X15446</t>
  </si>
  <si>
    <t>SORIA CINTIA MACARENA</t>
  </si>
  <si>
    <t>AVENIDA BICENTENARIO 1617 3 B</t>
  </si>
  <si>
    <t>3872285897// 3872285897</t>
  </si>
  <si>
    <t>SORIA.MACA@GMAIL.COM</t>
  </si>
  <si>
    <t>frente al sir of the beer</t>
  </si>
  <si>
    <t>Som. Universal Grey 080x200</t>
  </si>
  <si>
    <t>Col. Meyer Dream Plus 160x200</t>
  </si>
  <si>
    <t>R0017800238359</t>
  </si>
  <si>
    <t>X15450</t>
  </si>
  <si>
    <t>VEGA EUGENIA ISABEL</t>
  </si>
  <si>
    <t>SAN IGNACIO MZA 6 26</t>
  </si>
  <si>
    <t>3875155666// 3875155666</t>
  </si>
  <si>
    <t>ISABEL_VEGA_20@HOTMAIL.COM</t>
  </si>
  <si>
    <t>CERCA DEL ALMACEN LAS DOS AVENIDAS</t>
  </si>
  <si>
    <t>R0017800238581</t>
  </si>
  <si>
    <t>VY5570</t>
  </si>
  <si>
    <t>Viviana Oña</t>
  </si>
  <si>
    <t>manzana 283 b 283 B</t>
  </si>
  <si>
    <t>3872210298// +54 9
387
2210298</t>
  </si>
  <si>
    <t>sofiaona04@gmail.com</t>
  </si>
  <si>
    <t>R0017800239067</t>
  </si>
  <si>
    <t>VY5610</t>
  </si>
  <si>
    <t>María Josefina Cuellar</t>
  </si>
  <si>
    <t>Barrio procrear 66 A</t>
  </si>
  <si>
    <t>josefinacuellar27@gmail.com</t>
  </si>
  <si>
    <t>Som. All White 100x190</t>
  </si>
  <si>
    <t>R0017800239068</t>
  </si>
  <si>
    <t>VY5618</t>
  </si>
  <si>
    <t>Dalinda Maribel Molina</t>
  </si>
  <si>
    <t>Eva Duarte 10</t>
  </si>
  <si>
    <t>MORILLO</t>
  </si>
  <si>
    <t>Col. Sealy Essent Field 140x190</t>
  </si>
  <si>
    <t>ama_yo_87@hotmail.com</t>
  </si>
  <si>
    <t>R0017800239104</t>
  </si>
  <si>
    <t>X15454</t>
  </si>
  <si>
    <t>CASABELLA ANA</t>
  </si>
  <si>
    <t>LIBERTAD 152</t>
  </si>
  <si>
    <t>3874562411// 3874562411</t>
  </si>
  <si>
    <t>ASDJHSDA@GMAIL.COM</t>
  </si>
  <si>
    <t>MISMA CALLE DEL HOSPITAL</t>
  </si>
  <si>
    <t>R0017800239202</t>
  </si>
  <si>
    <t>VY5780</t>
  </si>
  <si>
    <t>Daiana Jimenez</t>
  </si>
  <si>
    <t>San Martin 60</t>
  </si>
  <si>
    <t>El Galpon</t>
  </si>
  <si>
    <t>3876401022// +54 9
3876
401022</t>
  </si>
  <si>
    <t>rafaelamj88@gmail.com</t>
  </si>
  <si>
    <t>R0017800239203</t>
  </si>
  <si>
    <t>X15465</t>
  </si>
  <si>
    <t>HUERTAS MARIA FERNANDA</t>
  </si>
  <si>
    <t>B AMPLIACION PARQUE LA VEGA MZA 9 CAS 9</t>
  </si>
  <si>
    <t>3875819957// 3875819957</t>
  </si>
  <si>
    <t>;</t>
  </si>
  <si>
    <t>R0017800239265</t>
  </si>
  <si>
    <t>COSUNB080200</t>
  </si>
  <si>
    <t>Col. Sealy EstSunshineB 080x200</t>
  </si>
  <si>
    <t>R0017800239704</t>
  </si>
  <si>
    <t>VY5463</t>
  </si>
  <si>
    <t>NOELIA CORREA</t>
  </si>
  <si>
    <t>GENERAL PAZ 0</t>
  </si>
  <si>
    <t>Cnel Juan Sola Est Morillo</t>
  </si>
  <si>
    <t>38735387755 //</t>
  </si>
  <si>
    <t>Col. Telgo Maitri 100x190</t>
  </si>
  <si>
    <t>noeliasdemoyano@gmail.com</t>
  </si>
  <si>
    <t>R0017800239791</t>
  </si>
  <si>
    <t>VY6000</t>
  </si>
  <si>
    <t>HAUSBERGER JUAN JOSE</t>
  </si>
  <si>
    <t>Av san Martín peri 486</t>
  </si>
  <si>
    <t>Perico</t>
  </si>
  <si>
    <t>3875638322// +54 9
387
5638322</t>
  </si>
  <si>
    <t>Som. Universal Grey 090x190</t>
  </si>
  <si>
    <t>juanjohausberger123@gmail.com</t>
  </si>
  <si>
    <t>COMDRA090190</t>
  </si>
  <si>
    <t>Col. Meyer Dream 090x190</t>
  </si>
  <si>
    <t>R0017800240416</t>
  </si>
  <si>
    <t>VY5965</t>
  </si>
  <si>
    <t>gustavo rodas</t>
  </si>
  <si>
    <t>pasaje dominga pauna 1154</t>
  </si>
  <si>
    <t>gral. guemes</t>
  </si>
  <si>
    <t>3878252501// +54 9
3878
252501</t>
  </si>
  <si>
    <t>COMSPA140190</t>
  </si>
  <si>
    <t>Col. Meyer Sleep Plus 140x190</t>
  </si>
  <si>
    <t>rodasgdaniel29@gmail.com</t>
  </si>
  <si>
    <t>R0017800239727</t>
  </si>
  <si>
    <t>VY5943</t>
  </si>
  <si>
    <t>Patricia Nicle</t>
  </si>
  <si>
    <t>Barrio San Mateo manzana I casa 6 6</t>
  </si>
  <si>
    <t>3875655083// +54 
387
5655083</t>
  </si>
  <si>
    <t>patricianicle17@gmail.com</t>
  </si>
  <si>
    <t>R0017800240494</t>
  </si>
  <si>
    <t>VY6241</t>
  </si>
  <si>
    <t>Rene Alejandro Aramayo</t>
  </si>
  <si>
    <t>las violetas 556</t>
  </si>
  <si>
    <t>Aguaray Salta</t>
  </si>
  <si>
    <t>0387315640615// +54 9
3873
640615</t>
  </si>
  <si>
    <t>mass_ara@yahoo.com.ar</t>
  </si>
  <si>
    <t>R0017800239792</t>
  </si>
  <si>
    <t>K05654</t>
  </si>
  <si>
    <t>ARDAYA ANDRES BP</t>
  </si>
  <si>
    <t>AVENIDA PARAGUAY 1229</t>
  </si>
  <si>
    <t>3875685802// 1</t>
  </si>
  <si>
    <t>Col. Meyer Salud 140x190</t>
  </si>
  <si>
    <t>ANDRESARDAYA995@GMAIL.COM</t>
  </si>
  <si>
    <t>FERNANDEZ Y CASTELLANOS</t>
  </si>
  <si>
    <t>Som. Light Blue 140x190</t>
  </si>
  <si>
    <t>R0017800240009</t>
  </si>
  <si>
    <t>X15470</t>
  </si>
  <si>
    <t>VALS JORGELINA</t>
  </si>
  <si>
    <t>LEGUIZAMON 1126</t>
  </si>
  <si>
    <t>154421214// 154421214</t>
  </si>
  <si>
    <t>COMPOA200200</t>
  </si>
  <si>
    <t>Col. Meyer Pocket 200x200</t>
  </si>
  <si>
    <t>SADJH@GMAIL.COM</t>
  </si>
  <si>
    <t>R0017800240562</t>
  </si>
  <si>
    <t>X15495</t>
  </si>
  <si>
    <t>JASON SERGIO DANIEL</t>
  </si>
  <si>
    <t>B SANTA ANA 1 PJE 9 CASA 253</t>
  </si>
  <si>
    <t>3875726563// 3875726563</t>
  </si>
  <si>
    <t>R0017800240598</t>
  </si>
  <si>
    <t>X15488</t>
  </si>
  <si>
    <t>FORNIELS JOAQUIN</t>
  </si>
  <si>
    <t>BARRIO SANTA LUCIA CALLE 10 18</t>
  </si>
  <si>
    <t>3875625975// 3875387828</t>
  </si>
  <si>
    <t>COMDCA090190</t>
  </si>
  <si>
    <t>Col. Meyer DreamCompact 090x190</t>
  </si>
  <si>
    <t>JOACOAVALOS7@GMAIL.COM</t>
  </si>
  <si>
    <t>LLAMAR ANTES</t>
  </si>
  <si>
    <t>R0017800240495</t>
  </si>
  <si>
    <t>X15493</t>
  </si>
  <si>
    <t>GUTIERREZ SILVANA CAROLINA</t>
  </si>
  <si>
    <t>B GRAND BOURG AV SUCRE 730</t>
  </si>
  <si>
    <t>3874069728// 3874069728</t>
  </si>
  <si>
    <t>R0017800240563</t>
  </si>
  <si>
    <t>X15500</t>
  </si>
  <si>
    <t>FAGRO SRL</t>
  </si>
  <si>
    <t>RUTA 122 CAMINO VECINAL LA VICTORIA MONTERRICO 1</t>
  </si>
  <si>
    <t>3885080715// 3885080715</t>
  </si>
  <si>
    <t>Col. Telgo Vida 090x190</t>
  </si>
  <si>
    <t>sfgiacoppo@gmail.com</t>
  </si>
  <si>
    <t>Som. All White 090x190</t>
  </si>
  <si>
    <t>R0017800240564</t>
  </si>
  <si>
    <t>Col. Sealy Est Linen 130x190</t>
  </si>
  <si>
    <t>R0017800242108</t>
  </si>
  <si>
    <t>Pasaje Carlos María Saravia 251</t>
  </si>
  <si>
    <t>03874089751// +54 9 387 4089751</t>
  </si>
  <si>
    <t>R0017800242110</t>
  </si>
  <si>
    <t>X15537</t>
  </si>
  <si>
    <t>SOTOMAYOR SEBASTIAN EMILIO</t>
  </si>
  <si>
    <t>SAN ROQUE BLOCK Z1 4217 2 A</t>
  </si>
  <si>
    <t>3875981690// 3874981690</t>
  </si>
  <si>
    <t>R0017800242248</t>
  </si>
  <si>
    <t>VT9681</t>
  </si>
  <si>
    <t>Gustavo David Guzman</t>
  </si>
  <si>
    <t>los Abetos 285 285</t>
  </si>
  <si>
    <t>3878647041// +54 9 387 8647041</t>
  </si>
  <si>
    <t>R0017800242250</t>
  </si>
  <si>
    <t>X05366</t>
  </si>
  <si>
    <t>FERNANDEZ CARDOZO DAVID</t>
  </si>
  <si>
    <t>BO STA TERESITA MZA 33 C CASA 19</t>
  </si>
  <si>
    <t>3875851106// 3875851106</t>
  </si>
  <si>
    <t>Col. Sealy Essent Field 130x190</t>
  </si>
  <si>
    <t>R0017800242563</t>
  </si>
  <si>
    <t>VY7343</t>
  </si>
  <si>
    <t>MARCOS PAPADOPULOS</t>
  </si>
  <si>
    <t>Urquiza 143</t>
  </si>
  <si>
    <t>03875045845// +54 9 387 5045845</t>
  </si>
  <si>
    <t>R0017800242622</t>
  </si>
  <si>
    <t>VM9405</t>
  </si>
  <si>
    <t>PAOLA HAQUIN</t>
  </si>
  <si>
    <t>leandro ateni 1190 1190</t>
  </si>
  <si>
    <t>3874791061// +54 9 387 4791061</t>
  </si>
  <si>
    <t>R0017800242623</t>
  </si>
  <si>
    <t>X15553</t>
  </si>
  <si>
    <t>TREFILIO CLAUDIA</t>
  </si>
  <si>
    <t>VICENTE LOPEZ 1791</t>
  </si>
  <si>
    <t>3875340147// 3875340147</t>
  </si>
  <si>
    <t>R0017800242653</t>
  </si>
  <si>
    <t>VH9728</t>
  </si>
  <si>
    <t>Laura Vera Navamuel</t>
  </si>
  <si>
    <t>Avda Circunvalacion oeste km 2 y medio (avda liber</t>
  </si>
  <si>
    <t>3874507538// 3874507538</t>
  </si>
  <si>
    <t>Col. Sealy Est WoodsB 140x190</t>
  </si>
  <si>
    <t>R0017800244081</t>
  </si>
  <si>
    <t>VY7736</t>
  </si>
  <si>
    <t>Jose Avila</t>
  </si>
  <si>
    <t>soldado Maldona 63</t>
  </si>
  <si>
    <t>josedanielat@hotmail.com</t>
  </si>
  <si>
    <t>R0017800244213</t>
  </si>
  <si>
    <t>VY8345</t>
  </si>
  <si>
    <t>SOFIA CALVO ML</t>
  </si>
  <si>
    <t>Mar de las antillas 1320</t>
  </si>
  <si>
    <t>3876669509//</t>
  </si>
  <si>
    <t>Col. Sealy Est Linen 160x200</t>
  </si>
  <si>
    <t>R0017800244215</t>
  </si>
  <si>
    <t>VY8241</t>
  </si>
  <si>
    <t>Fernando Daniel Pereyra</t>
  </si>
  <si>
    <t>Entre Ríos 191</t>
  </si>
  <si>
    <t>fernando697@outlook.es</t>
  </si>
  <si>
    <t>COMSPA200200</t>
  </si>
  <si>
    <t>Col. Meyer Sleep Plus 200x200</t>
  </si>
  <si>
    <t>R0017800244217</t>
  </si>
  <si>
    <t>VY8250</t>
  </si>
  <si>
    <t>LISANDRO VELASCO</t>
  </si>
  <si>
    <t>Calle 9 de Julio 188</t>
  </si>
  <si>
    <t>1130102314//</t>
  </si>
  <si>
    <t>caballeromartinalejo@gmail.com</t>
  </si>
  <si>
    <t>R0017800244221</t>
  </si>
  <si>
    <t>VY8503</t>
  </si>
  <si>
    <t>MARIA JOSE GARCIA RADES</t>
  </si>
  <si>
    <t>GUIDO Y SPANO 257</t>
  </si>
  <si>
    <t>San lorenzo</t>
  </si>
  <si>
    <t>3875018271 //</t>
  </si>
  <si>
    <t>MGARCIA@AOINTL.COM</t>
  </si>
  <si>
    <t>R0017800244229</t>
  </si>
  <si>
    <t>VY8906</t>
  </si>
  <si>
    <t>RODRIGO EZEQUIEL FERNANDEZ ML</t>
  </si>
  <si>
    <t>avenida primero de mayo 0</t>
  </si>
  <si>
    <t>Hipólito Yrigoyen</t>
  </si>
  <si>
    <t>3878755871//</t>
  </si>
  <si>
    <t>moonwalker2323ref@icloud.com</t>
  </si>
  <si>
    <t>R0017800244241</t>
  </si>
  <si>
    <t>COSUNB130190</t>
  </si>
  <si>
    <t>Col. Sealy EstSunshineB 130x190</t>
  </si>
  <si>
    <t>federicoptejerinam@gmail.com</t>
  </si>
  <si>
    <t>R0017800244242</t>
  </si>
  <si>
    <t>X15616</t>
  </si>
  <si>
    <t>ROMERO CRISTIAN</t>
  </si>
  <si>
    <t>3875386114// 3875386114</t>
  </si>
  <si>
    <t>BR50190904</t>
  </si>
  <si>
    <t>Base Divan Duo Colors 100x200</t>
  </si>
  <si>
    <t>R0017800244826</t>
  </si>
  <si>
    <t>VY9275</t>
  </si>
  <si>
    <t>Samuel Nolasco</t>
  </si>
  <si>
    <t>Pasaje Alfonso Peralta 463</t>
  </si>
  <si>
    <t>3875618283// +54 387 5618283</t>
  </si>
  <si>
    <t>romansamuelnolasco6@gmail.com</t>
  </si>
  <si>
    <t>R0017800244827</t>
  </si>
  <si>
    <t>VY8938</t>
  </si>
  <si>
    <t>Raquel Jimena Jauregui</t>
  </si>
  <si>
    <t>Juan de arienzo 990 mza 252D 31</t>
  </si>
  <si>
    <t>3872288489// +54 9 387 2288489</t>
  </si>
  <si>
    <t>rakeljauregui89@gmail.com</t>
  </si>
  <si>
    <t>R0017800244828</t>
  </si>
  <si>
    <t>X15617</t>
  </si>
  <si>
    <t>CAMACHO RUIZ LOURDES BP</t>
  </si>
  <si>
    <t>B ALTO VALLE CALLE LOS CARDONES MZA 13 21</t>
  </si>
  <si>
    <t>CAMPO QUIJANO-SALTA</t>
  </si>
  <si>
    <t>3874027186// 3874027186</t>
  </si>
  <si>
    <t>COCCLA160200</t>
  </si>
  <si>
    <t>Col. Sealy Chill Cloud 160x200</t>
  </si>
  <si>
    <t>lulemeta@protonmail.com</t>
  </si>
  <si>
    <t>FRENTE AL CAMPING</t>
  </si>
  <si>
    <t>R0017800244888</t>
  </si>
  <si>
    <t>VY9786</t>
  </si>
  <si>
    <t>NICOLE MARIA DEL CARRE COLLAR ML</t>
  </si>
  <si>
    <t>Pasaje Alicia Martinez 00 mza27 lote23</t>
  </si>
  <si>
    <t>3875488316//</t>
  </si>
  <si>
    <t>nicolecolllar@gmail.com</t>
  </si>
  <si>
    <t>R0017800244899</t>
  </si>
  <si>
    <t>VY9717</t>
  </si>
  <si>
    <t>antonio samuel aramayo</t>
  </si>
  <si>
    <t>R.Marques 574</t>
  </si>
  <si>
    <t>03875456391// +54 9 387 5456391</t>
  </si>
  <si>
    <t>elizabetharamayo20@gmail.com</t>
  </si>
  <si>
    <t>R0017800244901</t>
  </si>
  <si>
    <t>VY9607</t>
  </si>
  <si>
    <t>JUAN CARLOS GABRIEL PACHECO ML</t>
  </si>
  <si>
    <t>B Casino Block N Dpto 13</t>
  </si>
  <si>
    <t>3875349314//</t>
  </si>
  <si>
    <t>R0017800244909</t>
  </si>
  <si>
    <t>X15632</t>
  </si>
  <si>
    <t>RIVERO YAMILA</t>
  </si>
  <si>
    <t>B. CULTURAL MZA D 18</t>
  </si>
  <si>
    <t>PERICO-JUJUY</t>
  </si>
  <si>
    <t>3885732536// 3885732536</t>
  </si>
  <si>
    <t>RIVEROYAMILA006@GMAIL.COM</t>
  </si>
  <si>
    <t>LA NUEVA CIUDAD</t>
  </si>
  <si>
    <t>R0017800245586</t>
  </si>
  <si>
    <t>VY9763</t>
  </si>
  <si>
    <t>Romina Pamela Sarate</t>
  </si>
  <si>
    <t>Mariano Boedo N 9 La Merced 9</t>
  </si>
  <si>
    <t>La Merced</t>
  </si>
  <si>
    <t>3875208950// +54 9 387 5208950</t>
  </si>
  <si>
    <t>saratepamelahdd@gmail.com</t>
  </si>
  <si>
    <t>R0017800245610</t>
  </si>
  <si>
    <t>VZ0125</t>
  </si>
  <si>
    <t>Pablo Sandoval</t>
  </si>
  <si>
    <t>España 1751 1751</t>
  </si>
  <si>
    <t>3874092749// +54 9 387 4092749</t>
  </si>
  <si>
    <t>pablosandoval2191@gmail.com</t>
  </si>
  <si>
    <t>Republica de Siria y MAipu</t>
  </si>
  <si>
    <t>Col. Herval Colors 140x190</t>
  </si>
  <si>
    <t>R0017800245614</t>
  </si>
  <si>
    <t>VZ0732</t>
  </si>
  <si>
    <t>ELVA CELESTINA GALLARDO ML</t>
  </si>
  <si>
    <t>Vicente López 2484</t>
  </si>
  <si>
    <t>38754667126//</t>
  </si>
  <si>
    <t>elvagallardo2484@gmail.com</t>
  </si>
  <si>
    <t>Col. Sealy Est Linen 200x200</t>
  </si>
  <si>
    <t>R0017800245615</t>
  </si>
  <si>
    <t>VZ0065</t>
  </si>
  <si>
    <t>EZEQUIEL BENJAMIN Guzman Ibaceta</t>
  </si>
  <si>
    <t>Artidorio Cresseri 1244</t>
  </si>
  <si>
    <t>03875343997// +54 387 5343997</t>
  </si>
  <si>
    <t>benyi893@gmail.com</t>
  </si>
  <si>
    <t>R0017800245616</t>
  </si>
  <si>
    <t>VZ1170</t>
  </si>
  <si>
    <t>CRISTIAN DOMINGO SOSA ML</t>
  </si>
  <si>
    <t>Jorge Cafrune 1 Mzn38B casa1</t>
  </si>
  <si>
    <t>3874453857//</t>
  </si>
  <si>
    <t>crisnobody97@gmail.com</t>
  </si>
  <si>
    <t>R0017800245622</t>
  </si>
  <si>
    <t>VZ0623</t>
  </si>
  <si>
    <t>ramiro ruiz de los llanos</t>
  </si>
  <si>
    <t>arenales 1230</t>
  </si>
  <si>
    <t>3878434063// +54 9 3878 434063</t>
  </si>
  <si>
    <t>Col. Meyer Sleep 100x190</t>
  </si>
  <si>
    <t>atenororan@hotmail.com</t>
  </si>
  <si>
    <t>R0017800245623</t>
  </si>
  <si>
    <t>VY9947</t>
  </si>
  <si>
    <t>Leonardo Villa</t>
  </si>
  <si>
    <t>ayacucho sal 520</t>
  </si>
  <si>
    <t>3874124308// +54 9 387 4124308</t>
  </si>
  <si>
    <t>COMSPA180200</t>
  </si>
  <si>
    <t>Col. Meyer Sleep Plus 180x200</t>
  </si>
  <si>
    <t>Leovilla387@gmail.com</t>
  </si>
  <si>
    <t>R0017800245629</t>
  </si>
  <si>
    <t>VZ0194</t>
  </si>
  <si>
    <t>Maria de los Angeles Eliseo</t>
  </si>
  <si>
    <t>San luis em 1251</t>
  </si>
  <si>
    <t>3878403462// +54 9 387 5436777</t>
  </si>
  <si>
    <t>augustto.eliseo@gmail.com</t>
  </si>
  <si>
    <t>R0017800245631</t>
  </si>
  <si>
    <t>VZ1218</t>
  </si>
  <si>
    <t>GABRIELA MARISEL NAVARRO ML</t>
  </si>
  <si>
    <t>Calle 25 de Mayo 185</t>
  </si>
  <si>
    <t>3875323136//</t>
  </si>
  <si>
    <t>Col. Cauri Base 080x190</t>
  </si>
  <si>
    <t>R0017800245635</t>
  </si>
  <si>
    <t>X15659</t>
  </si>
  <si>
    <t>FABIAN ADRIANA LORENA</t>
  </si>
  <si>
    <t>B INTERSINDICAL RADIO CEREALISTA 2789</t>
  </si>
  <si>
    <t>3874660828// 3874660828</t>
  </si>
  <si>
    <t>RELIBN160070</t>
  </si>
  <si>
    <t>Resp. Quios Liso 160x070</t>
  </si>
  <si>
    <t>adriana_lorena77@hotmail.com</t>
  </si>
  <si>
    <t>CASA AMARILLA REJAS NEGRAS</t>
  </si>
  <si>
    <t>R0017800245636</t>
  </si>
  <si>
    <t>X15672</t>
  </si>
  <si>
    <t>MARINARO CARMELO</t>
  </si>
  <si>
    <t>BARRIO AMPLIACION BANCARIO BLOCK H 2 3 B</t>
  </si>
  <si>
    <t>3874148074// 3874148074</t>
  </si>
  <si>
    <t>CARMELO.MARINARO1975@GMAIL.COM</t>
  </si>
  <si>
    <t>ROSARIO DE SAN NICOLAS</t>
  </si>
  <si>
    <t>R0017800246640</t>
  </si>
  <si>
    <t>VZ1338</t>
  </si>
  <si>
    <t>Maria Cristina Vargas</t>
  </si>
  <si>
    <t>Barrio Primero de mayo manzana 330 A lote 27 0</t>
  </si>
  <si>
    <t>3874070586// +54 9 387 4070586</t>
  </si>
  <si>
    <t>mar_1731@hotmail.com</t>
  </si>
  <si>
    <t>R0017800246643</t>
  </si>
  <si>
    <t>VZ1728</t>
  </si>
  <si>
    <t>MARCELO NICOLAS LOPEZ JUAREZ ML</t>
  </si>
  <si>
    <t>Gral. Güemes 0</t>
  </si>
  <si>
    <t>3874038389//</t>
  </si>
  <si>
    <t>djnicobarber@gmail.com</t>
  </si>
  <si>
    <t>R0017800246653</t>
  </si>
  <si>
    <t>VZ1841</t>
  </si>
  <si>
    <t>MAIRA SOLANGE MONTAÑO RACICH ML</t>
  </si>
  <si>
    <t>Barrio Casino block A 00 2 27</t>
  </si>
  <si>
    <t>3872452556// 3875741799</t>
  </si>
  <si>
    <t>mairasolange096@gmail.com</t>
  </si>
  <si>
    <t>R0017800246655</t>
  </si>
  <si>
    <t>VZ1655</t>
  </si>
  <si>
    <t>GUILLERMO DANIEL PONS RIVELLI ML</t>
  </si>
  <si>
    <t>Barrio septiembre manzana 91 casa 31</t>
  </si>
  <si>
    <t>Villa San Lorenzo</t>
  </si>
  <si>
    <t>3875356056// 3875863810</t>
  </si>
  <si>
    <t>Col. Sealy Est Linen 090x190</t>
  </si>
  <si>
    <t>gpons105@gmail.com</t>
  </si>
  <si>
    <t>R0017800246660</t>
  </si>
  <si>
    <t>VZ1551</t>
  </si>
  <si>
    <t>German Zapata</t>
  </si>
  <si>
    <t>Leandro N. Alem salt 7</t>
  </si>
  <si>
    <t>3874661208// +54 387 4661208</t>
  </si>
  <si>
    <t>germanzapataa@gmail.com</t>
  </si>
  <si>
    <t>Col. Sealy Est WoodsB 160x200</t>
  </si>
  <si>
    <t>R0017800246661</t>
  </si>
  <si>
    <t>VZ1649</t>
  </si>
  <si>
    <t>VICTOR ADRIAN BURGOS ML</t>
  </si>
  <si>
    <t>B El Sol. Manzana K. Casa N 2 2</t>
  </si>
  <si>
    <t>3874588772//</t>
  </si>
  <si>
    <t>victorbur86@gmail.com</t>
  </si>
  <si>
    <t>Barrio El Sol</t>
  </si>
  <si>
    <t>COLUZA180200</t>
  </si>
  <si>
    <t>Col. Meyer Luz 180x200</t>
  </si>
  <si>
    <t>R0017800246666</t>
  </si>
  <si>
    <t>X09524</t>
  </si>
  <si>
    <t>CORREA BELEN</t>
  </si>
  <si>
    <t>3876836578// 3878240752</t>
  </si>
  <si>
    <t>HSDGGSD@GMAIL.COM</t>
  </si>
  <si>
    <t>ENCON</t>
  </si>
  <si>
    <t>COMDPA200200</t>
  </si>
  <si>
    <t>Col. Meyer Dream Plus 200x200</t>
  </si>
  <si>
    <t>R0017800246721</t>
  </si>
  <si>
    <t>VZ0353</t>
  </si>
  <si>
    <t>Ernesto José angel Rearte</t>
  </si>
  <si>
    <t>España 1452</t>
  </si>
  <si>
    <t>3875132221// +54 9 387 5132221</t>
  </si>
  <si>
    <t>ernestojoserearte@gmail.com</t>
  </si>
  <si>
    <t>COMDCA160200</t>
  </si>
  <si>
    <t>Col. Meyer DreamCompact 160x200</t>
  </si>
  <si>
    <t>R0017800246722</t>
  </si>
  <si>
    <t>E25643</t>
  </si>
  <si>
    <t>claudia gisela maita bp</t>
  </si>
  <si>
    <t>barrio lapachos manzana 471D casa 5, 47</t>
  </si>
  <si>
    <t>3872110561// 3872110561</t>
  </si>
  <si>
    <t>claudiagiselmaita@gmail.com</t>
  </si>
  <si>
    <t>barrio lapachos manzana 471D casa 5, CP 4400</t>
  </si>
  <si>
    <t>R0017800246760</t>
  </si>
  <si>
    <t>X15684</t>
  </si>
  <si>
    <t>ARROYO ADRIANA MARIEL</t>
  </si>
  <si>
    <t>BARRIO EL MANJON LOS HORNEROS 7</t>
  </si>
  <si>
    <t>3875370871// 3875370871</t>
  </si>
  <si>
    <t>adrianamariel@outlook.com.ar</t>
  </si>
  <si>
    <t>avenida artigas al 1300</t>
  </si>
  <si>
    <t>R0017800246761</t>
  </si>
  <si>
    <t>X15695</t>
  </si>
  <si>
    <t>APARICIO MELINA</t>
  </si>
  <si>
    <t>B HUAICO RODRIGUEZ PEÑA 130 1 33</t>
  </si>
  <si>
    <t>SAN SALVADOR JUJUY</t>
  </si>
  <si>
    <t>3884878709// 3884878709</t>
  </si>
  <si>
    <t>ADS@GMAIL.COM</t>
  </si>
  <si>
    <t>JUJUY</t>
  </si>
  <si>
    <t>R0017800246762</t>
  </si>
  <si>
    <t>X15692</t>
  </si>
  <si>
    <t>SANCHEZ BEATRIZ</t>
  </si>
  <si>
    <t>JUNIN 240</t>
  </si>
  <si>
    <t>3875411800// 3875411800</t>
  </si>
  <si>
    <t>R0017800246765</t>
  </si>
  <si>
    <t>VZ2500</t>
  </si>
  <si>
    <t>Marcelo David Ruiz</t>
  </si>
  <si>
    <t>Embarcación-Salta juan domingo peron entre pje 2y3</t>
  </si>
  <si>
    <t>3878778055// +54 9 3878 778055</t>
  </si>
  <si>
    <t>Col. Telgo Vida 140x190</t>
  </si>
  <si>
    <t>marcelodavidruiz973@gmail.com</t>
  </si>
  <si>
    <t>R0017800246772</t>
  </si>
  <si>
    <t>X15706</t>
  </si>
  <si>
    <t>PALACIOS DOLORES</t>
  </si>
  <si>
    <t>3874573017// 3874573017</t>
  </si>
  <si>
    <t>SDAJHASD@GMAIL.COM</t>
  </si>
  <si>
    <t>B LAS HUELLAS</t>
  </si>
  <si>
    <t>R0017800247475</t>
  </si>
  <si>
    <t>VZ2181</t>
  </si>
  <si>
    <t>MATIAS EXEQUIEL ALARCON ML</t>
  </si>
  <si>
    <t>Los crisantemos SN</t>
  </si>
  <si>
    <t>La Caldera</t>
  </si>
  <si>
    <t>R0017800247493</t>
  </si>
  <si>
    <t>VZ2783</t>
  </si>
  <si>
    <t>CONTRERAS ALDERETE SEBASTIAN HEBERTO DANIEL</t>
  </si>
  <si>
    <t>CONGRESO 408</t>
  </si>
  <si>
    <t>R0017800247496</t>
  </si>
  <si>
    <t>VZ2823</t>
  </si>
  <si>
    <t>Claudio pastor Vilte</t>
  </si>
  <si>
    <t>barrio el Progreso, Loc. Campo Quijano 2etapa</t>
  </si>
  <si>
    <t>R0017800247500</t>
  </si>
  <si>
    <t>CONGRESO TARTA 408</t>
  </si>
  <si>
    <t>Col. Sealy Post Emerald 200x200</t>
  </si>
  <si>
    <t>R0017800247505</t>
  </si>
  <si>
    <t>X15707</t>
  </si>
  <si>
    <t>CARO VALERIA</t>
  </si>
  <si>
    <t>DR RETAMOZO DE INIGUEZ  4864</t>
  </si>
  <si>
    <t>SALTA  CAPITAL</t>
  </si>
  <si>
    <t>B AMPLIACION BANCARIO</t>
  </si>
  <si>
    <t>R0017800247512</t>
  </si>
  <si>
    <t>VZ2871</t>
  </si>
  <si>
    <t>Diego Omar Copa</t>
  </si>
  <si>
    <t>475 E casa 15 0</t>
  </si>
  <si>
    <t>R0017800248152</t>
  </si>
  <si>
    <t>VZ2402</t>
  </si>
  <si>
    <t>TORANZOS GUERRA GLORIA VIVIANA BP WS</t>
  </si>
  <si>
    <t>Ampliacion bancario 0 BLOCK"a" 2c</t>
  </si>
  <si>
    <t>Golondrinas y los chalchaleros</t>
  </si>
  <si>
    <t>R0017800248155</t>
  </si>
  <si>
    <t>VZ3028</t>
  </si>
  <si>
    <t>LUIS MATIAS YENED TOCONAS</t>
  </si>
  <si>
    <t>CALLE EL CARMEN 496 CHICOANA 496</t>
  </si>
  <si>
    <t>CHICOANA</t>
  </si>
  <si>
    <t>R0017800248167</t>
  </si>
  <si>
    <t>VZ3254</t>
  </si>
  <si>
    <t>Camila Belen  Lopez</t>
  </si>
  <si>
    <t>Manuel J. Castilla, cerrillos 381</t>
  </si>
  <si>
    <t>R0017800248168</t>
  </si>
  <si>
    <t>X15715</t>
  </si>
  <si>
    <t>BETANCUR MARIA JULIA</t>
  </si>
  <si>
    <t>VILLA LOLA MZA 15 A 10</t>
  </si>
  <si>
    <t>EL ENCON</t>
  </si>
  <si>
    <t>R0017800248169</t>
  </si>
  <si>
    <t>X15257</t>
  </si>
  <si>
    <t>RUIZ ROLANDO</t>
  </si>
  <si>
    <t>LOS CASTAÑOS MZA B 19</t>
  </si>
  <si>
    <t>125821PROMO</t>
  </si>
  <si>
    <t>Alm. Zlow Essentials 70x40 (X2)</t>
  </si>
  <si>
    <t>entre el inter y juan pablo</t>
  </si>
  <si>
    <t>R0017800249107</t>
  </si>
  <si>
    <t>X13973</t>
  </si>
  <si>
    <t>CORTES JOHN JAIRO</t>
  </si>
  <si>
    <t>san martin 260</t>
  </si>
  <si>
    <t>R0017800249147</t>
  </si>
  <si>
    <t>X15712</t>
  </si>
  <si>
    <t>NIEVA DIMAS LUIS</t>
  </si>
  <si>
    <t>B ESCALABRINI ORTIZ MZA 275 b lote  24</t>
  </si>
  <si>
    <t>mar negro y aristobulo del valle</t>
  </si>
  <si>
    <t>R0017800249499</t>
  </si>
  <si>
    <t>F07107</t>
  </si>
  <si>
    <t>ZARATE SOSA PAULA ISABEL</t>
  </si>
  <si>
    <t>Fortín punta de agua 17 segunda etapa barrio solidaridad</t>
  </si>
  <si>
    <t>A4400</t>
  </si>
  <si>
    <t>46-491140</t>
  </si>
  <si>
    <t>Cama Cajon Antilla 140 Wengue</t>
  </si>
  <si>
    <t>SIMON BOLIVAR Y PJE TINEO</t>
  </si>
  <si>
    <t>R0017800249538</t>
  </si>
  <si>
    <t>R0017800249578</t>
  </si>
  <si>
    <t>VZ2778</t>
  </si>
  <si>
    <t>Miguel Angel Aguirrebengoa</t>
  </si>
  <si>
    <t>B Ampliación Bancario Mzna 463B c 26 26</t>
  </si>
  <si>
    <t>R0017800249685</t>
  </si>
  <si>
    <t>X15736</t>
  </si>
  <si>
    <t>ETCHEVERRY JULIANA</t>
  </si>
  <si>
    <t>LA GACETA  BARRIO EL TRIBUNO 2154</t>
  </si>
  <si>
    <t>B EL TRIBUNO</t>
  </si>
  <si>
    <t>R0017800249752</t>
  </si>
  <si>
    <t>X15741</t>
  </si>
  <si>
    <t>SCHILI SILVIA DEL VALLE</t>
  </si>
  <si>
    <t>VILLA ESTELA OBISPO ROMERO  1455</t>
  </si>
  <si>
    <t>Col. Telgo Vida Mat.090x190</t>
  </si>
  <si>
    <t>VILLA ESTELA</t>
  </si>
  <si>
    <t>R0017800249760</t>
  </si>
  <si>
    <t>VZ3700</t>
  </si>
  <si>
    <t>OMAR ALBERTO SILVA ML</t>
  </si>
  <si>
    <t>Pasaje Los Laureles y Av los lapachos SN</t>
  </si>
  <si>
    <t>341 5820134</t>
  </si>
  <si>
    <t>R0017800249761</t>
  </si>
  <si>
    <t>R0017800250038</t>
  </si>
  <si>
    <t>R0017800249785</t>
  </si>
  <si>
    <t>X15588</t>
  </si>
  <si>
    <t>LIEBANA FERNANDA ELIANA</t>
  </si>
  <si>
    <t>B INTA MAZA 17 CASA  29</t>
  </si>
  <si>
    <t>COMDPA150190</t>
  </si>
  <si>
    <t>Col. Meyer Dream Plus 150x190</t>
  </si>
  <si>
    <t>R0017800249790</t>
  </si>
  <si>
    <t>B46223</t>
  </si>
  <si>
    <t>Julio Cordoba bp</t>
  </si>
  <si>
    <t>Dean Funes N 1293</t>
  </si>
  <si>
    <t>CASA</t>
  </si>
  <si>
    <t>R0017800249811</t>
  </si>
  <si>
    <t>X15754</t>
  </si>
  <si>
    <t>MAMANI SELVINA</t>
  </si>
  <si>
    <t>B PARQUE LA VEGA BLOCK 2  2 1 E</t>
  </si>
  <si>
    <t>R0017800250309</t>
  </si>
  <si>
    <t>X15729</t>
  </si>
  <si>
    <t>FROLA MARIA LORENA</t>
  </si>
  <si>
    <t>CERRO 20 DE FEBRERO 161</t>
  </si>
  <si>
    <t>SAN LUIS SALTA</t>
  </si>
  <si>
    <t>COCMEA160200</t>
  </si>
  <si>
    <t>Col. Sealy Chill Memory 160x200</t>
  </si>
  <si>
    <t>R0017800250320</t>
  </si>
  <si>
    <t>X15734</t>
  </si>
  <si>
    <t>MAESTRO ANGELA PAOLA</t>
  </si>
  <si>
    <t>BARRIO EL AYBAL  155</t>
  </si>
  <si>
    <t>JEEP AL LADO DE LA CASA</t>
  </si>
  <si>
    <t>R0017800250394</t>
  </si>
  <si>
    <t>X15764</t>
  </si>
  <si>
    <t>FLORES MABEL MIRTA</t>
  </si>
  <si>
    <t>B 14 DE MAYP MZA 265 B CASA  21</t>
  </si>
  <si>
    <t>R0017800250466</t>
  </si>
  <si>
    <t>VZ4104</t>
  </si>
  <si>
    <t>FACUNDO PAUL UGARTE ML</t>
  </si>
  <si>
    <t>Barrio 26 de marzo manzana 188 b lote 2 2</t>
  </si>
  <si>
    <t>R0017800250608</t>
  </si>
  <si>
    <t>R0017800250999</t>
  </si>
  <si>
    <t>VZ4213</t>
  </si>
  <si>
    <t>SANTIAGO NICOLAS LAIME ML</t>
  </si>
  <si>
    <t>Vicente López 442 2 A</t>
  </si>
  <si>
    <t>R0017800251004</t>
  </si>
  <si>
    <t>X15775</t>
  </si>
  <si>
    <t>MEDINA NANCY EMILIA</t>
  </si>
  <si>
    <t>RUTA 94 KM  5.5</t>
  </si>
  <si>
    <t>EL ENCON GRANDE LA SILLETA</t>
  </si>
  <si>
    <t>Col. Sealy Est WoodsB 100x190</t>
  </si>
  <si>
    <t>CERCA DE LA CAPILLA DE FATIMA</t>
  </si>
  <si>
    <t>R0017800251005</t>
  </si>
  <si>
    <t>X15778</t>
  </si>
  <si>
    <t>MIRANDA JULIAN</t>
  </si>
  <si>
    <t>AMPLIACION INTERSINDICAL BLOCK 11 1 2 6</t>
  </si>
  <si>
    <t>R0017800251080</t>
  </si>
  <si>
    <t>VZ4291</t>
  </si>
  <si>
    <t>COOPERATIVA COOP DE TRABAJO CONSTRUCNOA LTDA</t>
  </si>
  <si>
    <t>Calle Francisco Castro 836</t>
  </si>
  <si>
    <t>R0017800251082</t>
  </si>
  <si>
    <t>X09634</t>
  </si>
  <si>
    <t>GRANDILLER MIRIAM CARINA</t>
  </si>
  <si>
    <t>BARRIO LAS MARIAS MZA 3 5</t>
  </si>
  <si>
    <t>atrs del yaguar  2 cuadras</t>
  </si>
  <si>
    <t>R0017800251083</t>
  </si>
  <si>
    <t>X11771</t>
  </si>
  <si>
    <t>RIOS EZEQUIEL MAXIMILIANO</t>
  </si>
  <si>
    <t>B HUAICO MZA 452 B CASA 21</t>
  </si>
  <si>
    <t>R0017800251135</t>
  </si>
  <si>
    <t>X15793</t>
  </si>
  <si>
    <t>NIETO MARIA TERESA</t>
  </si>
  <si>
    <t>BELGRANO ESQ IRIGOYEN  1535 5 D</t>
  </si>
  <si>
    <t>R0017800251136</t>
  </si>
  <si>
    <t>X15646</t>
  </si>
  <si>
    <t>FREIRE MARIO FRANCISCO</t>
  </si>
  <si>
    <t>CALLE POVOLO MZA 483B LOTE 4B 4</t>
  </si>
  <si>
    <t>Col. Cirrus Firm 140x190x24</t>
  </si>
  <si>
    <t>b el huaico</t>
  </si>
  <si>
    <t>R0017800251166</t>
  </si>
  <si>
    <t>X15800</t>
  </si>
  <si>
    <t>SEGURA MIGUEL ANGEL</t>
  </si>
  <si>
    <t>16 DE September 0253</t>
  </si>
  <si>
    <t>Col. Sealy Post Emerald 100x190</t>
  </si>
  <si>
    <t>CERCA DEL CENTRO</t>
  </si>
  <si>
    <t>R0017800251167</t>
  </si>
  <si>
    <t>X15799</t>
  </si>
  <si>
    <t>SOSA EDGARDO ARIEL</t>
  </si>
  <si>
    <t>BARRIO EL CIRCULO 1 MZA M 18</t>
  </si>
  <si>
    <t>CERCA DE UNA GOMERIA</t>
  </si>
  <si>
    <t>R0017800251362</t>
  </si>
  <si>
    <t>R0017800251662</t>
  </si>
  <si>
    <t>VZ4612</t>
  </si>
  <si>
    <t>MARCOS HUMBERTO MICHEL ML</t>
  </si>
  <si>
    <t>Avenida avenida asfaltada n2 1</t>
  </si>
  <si>
    <t>Colonia Santa Rosa</t>
  </si>
  <si>
    <t>R0017800251735</t>
  </si>
  <si>
    <t>VZ4675</t>
  </si>
  <si>
    <t>EDGARDO GABRIEL TOLABA ML</t>
  </si>
  <si>
    <t>Ameguino 983</t>
  </si>
  <si>
    <t>Col. Sealy Chill Box(N) 080x190</t>
  </si>
  <si>
    <t>R0017800251738</t>
  </si>
  <si>
    <t>R0017800251739</t>
  </si>
  <si>
    <t>X15818</t>
  </si>
  <si>
    <t>CASASOLA PABLO</t>
  </si>
  <si>
    <t>BARRIO SAN CALIXTO MZA 7 LOTE  10</t>
  </si>
  <si>
    <t>ZONA SUDESTE</t>
  </si>
  <si>
    <t>R0017800251895</t>
  </si>
  <si>
    <t>VZ4833</t>
  </si>
  <si>
    <t>Carlos Hernán Salazar Sollazzo</t>
  </si>
  <si>
    <t>Aniceto la Torre 600 (esquina 1° de mayo) 600</t>
  </si>
  <si>
    <t>JOAQUIN V GONZALEZ</t>
  </si>
  <si>
    <t>COCCLA100190</t>
  </si>
  <si>
    <t>Col. Sealy Chill Cloud 100x190</t>
  </si>
  <si>
    <t>R0017800251896</t>
  </si>
  <si>
    <t>X15821</t>
  </si>
  <si>
    <t>SANCHEZ PALACIOS LEANDRO</t>
  </si>
  <si>
    <t>Sarmiento  447 2 C</t>
  </si>
  <si>
    <t>SARMIENTO Y LEGUIZAMON</t>
  </si>
  <si>
    <t>R0017800252056</t>
  </si>
  <si>
    <t>VZ4858</t>
  </si>
  <si>
    <t>lara giuliana bertello</t>
  </si>
  <si>
    <t>o higgins 438 438</t>
  </si>
  <si>
    <t>R0017800252214</t>
  </si>
  <si>
    <t>VZ5051</t>
  </si>
  <si>
    <t>OLGA ROCIO FADEL ML</t>
  </si>
  <si>
    <t>Francisco Beiró 1085</t>
  </si>
  <si>
    <t>R0017800252216</t>
  </si>
  <si>
    <t>VZ5091</t>
  </si>
  <si>
    <t>Micaela  Chama</t>
  </si>
  <si>
    <t>Barrio invernaderos manzana 421 7</t>
  </si>
  <si>
    <t>Villa san lorenzo</t>
  </si>
  <si>
    <t>R0017800252810</t>
  </si>
  <si>
    <t>VZ5223</t>
  </si>
  <si>
    <t>NESTOR SEBASTIAN TREJO SEU ML</t>
  </si>
  <si>
    <t>mzana 22 lote 7 Solares de Benicio SN</t>
  </si>
  <si>
    <t>R0017800253158</t>
  </si>
  <si>
    <t>X15802</t>
  </si>
  <si>
    <t>BELMONTE AVILA RODRIGO</t>
  </si>
  <si>
    <t>CORONEL PIMENTEL  2570</t>
  </si>
  <si>
    <t>COSFNC200200</t>
  </si>
  <si>
    <t>Col. S&amp;F Prest.Net V25 200x200</t>
  </si>
  <si>
    <t>SOSFO100200E</t>
  </si>
  <si>
    <t>Som. S&amp;F 100x200</t>
  </si>
  <si>
    <t>R0017800253184</t>
  </si>
  <si>
    <t>VZ5408</t>
  </si>
  <si>
    <t>SANDRA SATURNINA LOPEZ ML</t>
  </si>
  <si>
    <t>barrí canillita M1 CSA21 SN</t>
  </si>
  <si>
    <t>R0017800253185</t>
  </si>
  <si>
    <t>VZ5432</t>
  </si>
  <si>
    <t>RAMON ANGEL MATIAS GOMEZ ML</t>
  </si>
  <si>
    <t>Calle minerva medidor 320</t>
  </si>
  <si>
    <t>R0017800253950</t>
  </si>
  <si>
    <t>X14101</t>
  </si>
  <si>
    <t>FEDERICO MANZUR</t>
  </si>
  <si>
    <t>urbano calizaya 385</t>
  </si>
  <si>
    <t>vaquero</t>
  </si>
  <si>
    <t>R0017800253951</t>
  </si>
  <si>
    <t>VZ5761</t>
  </si>
  <si>
    <t>SELENA AYELEN DEL ROSARIO CARDOZO ML</t>
  </si>
  <si>
    <t>Mendoza y Suipacha 102</t>
  </si>
  <si>
    <t>R0017800254046</t>
  </si>
  <si>
    <t>VZ5800</t>
  </si>
  <si>
    <t>VICTOR FARFAN ML</t>
  </si>
  <si>
    <t>Pasaje la Viña 996</t>
  </si>
  <si>
    <t>R0017800254359</t>
  </si>
  <si>
    <t>X15918</t>
  </si>
  <si>
    <t>FERNANDEZ MARTIN</t>
  </si>
  <si>
    <t>Alsina 969</t>
  </si>
  <si>
    <t>R0017800254485</t>
  </si>
  <si>
    <t>X15931</t>
  </si>
  <si>
    <t>BERRUEZO NERI JOSE ARIEL</t>
  </si>
  <si>
    <t>B INTA VICENTE PATRECE MZA B CASA 3</t>
  </si>
  <si>
    <t>R0017800254493</t>
  </si>
  <si>
    <t>VZ5948</t>
  </si>
  <si>
    <t>ROGELIO ROBERTO MUÑOZ LI</t>
  </si>
  <si>
    <t>BARRIO MONOAMBIENTES EL HUAICO 12</t>
  </si>
  <si>
    <t>R0017800254560</t>
  </si>
  <si>
    <t>X15936</t>
  </si>
  <si>
    <t>BURGOS SANTIAGO</t>
  </si>
  <si>
    <t>MARTIN GUERRICO 509</t>
  </si>
  <si>
    <t>R0017800254561</t>
  </si>
  <si>
    <t>X13939</t>
  </si>
  <si>
    <t>HERRERA CLAUDIA</t>
  </si>
  <si>
    <t>R0017800254562</t>
  </si>
  <si>
    <t>X15940</t>
  </si>
  <si>
    <t>VELARDE EMA ALCIRA</t>
  </si>
  <si>
    <t>R0017800254563</t>
  </si>
  <si>
    <t>X15943</t>
  </si>
  <si>
    <t>jimenjimenez alicia2</t>
  </si>
  <si>
    <t>b democracia mza 369d casa 2</t>
  </si>
  <si>
    <t>R0017800254566</t>
  </si>
  <si>
    <t>VZ6128</t>
  </si>
  <si>
    <t>SABRINA ELIZABETH FLORES ML</t>
  </si>
  <si>
    <t>Teniente Matienzo 1002</t>
  </si>
  <si>
    <t>R0017800254572</t>
  </si>
  <si>
    <t>X15952</t>
  </si>
  <si>
    <t>PARRAGA MARIA VERONICA DEL HUERTO</t>
  </si>
  <si>
    <t>BARRIO SANTA ANA 1 CALLE 5 1627</t>
  </si>
  <si>
    <t>R0017800254573</t>
  </si>
  <si>
    <t>X09574</t>
  </si>
  <si>
    <t>SANDOVAL MIGUEL ALEJANDRO</t>
  </si>
  <si>
    <t>R0017800254574</t>
  </si>
  <si>
    <t>X15954</t>
  </si>
  <si>
    <t>LEZCANO ROMINA NATALIA</t>
  </si>
  <si>
    <t>R0017800254578</t>
  </si>
  <si>
    <t>VZ6255</t>
  </si>
  <si>
    <t>Rita Vanesa Colque Abán</t>
  </si>
  <si>
    <t>Barrio Roberto romero Manzana 164 casa 12</t>
  </si>
  <si>
    <t>R0017800254580</t>
  </si>
  <si>
    <t>VZ6176</t>
  </si>
  <si>
    <t>CAMILA AGUSTINA ANTONIA GIL ML</t>
  </si>
  <si>
    <t>Barrio 60viv. 1ra etapa mza A casa 13</t>
  </si>
  <si>
    <t>R0017800254583</t>
  </si>
  <si>
    <t>VZ6154</t>
  </si>
  <si>
    <t>MARCIAL  FARIAS</t>
  </si>
  <si>
    <t>PEATONAL G 20</t>
  </si>
  <si>
    <t>R0017800254624</t>
  </si>
  <si>
    <t>VE6753</t>
  </si>
  <si>
    <t>BRENDA DIAZ ML</t>
  </si>
  <si>
    <t>Barrio Democracia Mnz 40 casa 3 03</t>
  </si>
  <si>
    <t>R0017800254983</t>
  </si>
  <si>
    <t>R0017800254985</t>
  </si>
  <si>
    <t>VZ6272</t>
  </si>
  <si>
    <t>Gonzalo Paredes</t>
  </si>
  <si>
    <t>Manzana 635 Barrio Pereyra Rosas Salta 43</t>
  </si>
  <si>
    <t>Alm. Meyer Supreme 70x40</t>
  </si>
  <si>
    <t>SOGGREY140190</t>
  </si>
  <si>
    <t>Som. Generico Grey 140x190</t>
  </si>
  <si>
    <t>R0017800255371</t>
  </si>
  <si>
    <t>VZ6524</t>
  </si>
  <si>
    <t>Ruth  Basualdo Medina</t>
  </si>
  <si>
    <t>Leguizamon 1145 1145</t>
  </si>
  <si>
    <t>R0017800255374</t>
  </si>
  <si>
    <t>VZ6541</t>
  </si>
  <si>
    <t>Antonella sofia Perez</t>
  </si>
  <si>
    <t>Av Delgadillo 1875</t>
  </si>
  <si>
    <t>R0017800255760</t>
  </si>
  <si>
    <t>X15978</t>
  </si>
  <si>
    <t>sanguedolce marinaro francisco</t>
  </si>
  <si>
    <t>CORDOBA 788</t>
  </si>
  <si>
    <t>R0017800255768</t>
  </si>
  <si>
    <t>VN7514</t>
  </si>
  <si>
    <t>MARTIN ROBERTO MOLINA ICBC</t>
  </si>
  <si>
    <t>B EL HUAICO MZA 524C CASA 10 0</t>
  </si>
  <si>
    <t>COMPOA130190</t>
  </si>
  <si>
    <t>Col. Meyer Pocket 130x190</t>
  </si>
  <si>
    <t>R0017800255771</t>
  </si>
  <si>
    <t>VZ6960</t>
  </si>
  <si>
    <t>doris pereyra</t>
  </si>
  <si>
    <t>La lucinda 116</t>
  </si>
  <si>
    <t>R0017800255774</t>
  </si>
  <si>
    <t>VZ6966</t>
  </si>
  <si>
    <t>Pablo  Pereyra</t>
  </si>
  <si>
    <t>La luc 116</t>
  </si>
  <si>
    <t>RETIRA EL CLIENTE POR LA SUC, NO ENTREGAR A ALFARO</t>
  </si>
  <si>
    <t>R0017800255780</t>
  </si>
  <si>
    <t>X15966</t>
  </si>
  <si>
    <t>PEÑA EDUARDO JUAN MANUEL</t>
  </si>
  <si>
    <t>Som. Sealy Carbon Grey 090x190</t>
  </si>
  <si>
    <t>COSUNB090190</t>
  </si>
  <si>
    <t>Col. Sealy EstSunshineB 090x190</t>
  </si>
  <si>
    <t>R0017800255781</t>
  </si>
  <si>
    <t>R0017800256215</t>
  </si>
  <si>
    <t>VZ6953</t>
  </si>
  <si>
    <t>MARTA CAROLINA COLQUE</t>
  </si>
  <si>
    <t>CONSTANCIO VIGIL 85</t>
  </si>
  <si>
    <t>R0017800256216</t>
  </si>
  <si>
    <t>X15987</t>
  </si>
  <si>
    <t>ZILLI CARLA</t>
  </si>
  <si>
    <t>RUTA 51 KM 14 MZA 11 LOTE 7 B</t>
  </si>
  <si>
    <t>46-491090</t>
  </si>
  <si>
    <t>Cama Cajon Antilla 090 Wengue</t>
  </si>
  <si>
    <t>R0017800256217</t>
  </si>
  <si>
    <t>X15986</t>
  </si>
  <si>
    <t>STEPFER MARIA ESTHER</t>
  </si>
  <si>
    <t>RUTA 51 KM 14 LOTE 7 B</t>
  </si>
  <si>
    <t>R0017800256218</t>
  </si>
  <si>
    <t>X03508</t>
  </si>
  <si>
    <t>FARMAN TORRES MIGUEL EDUARDO</t>
  </si>
  <si>
    <t>MAR ADRIATICO 1320</t>
  </si>
  <si>
    <t>R0017800256239</t>
  </si>
  <si>
    <t>VZ7193</t>
  </si>
  <si>
    <t>Marysol Machain</t>
  </si>
  <si>
    <t>San Clemente de la nueva sevilla Med 7</t>
  </si>
  <si>
    <t>R0017800256588</t>
  </si>
  <si>
    <t>X16023</t>
  </si>
  <si>
    <t>PANTANO CRISTIAN</t>
  </si>
  <si>
    <t>el prado ecovillage 211</t>
  </si>
  <si>
    <t>san luis</t>
  </si>
  <si>
    <t>R0017800256589</t>
  </si>
  <si>
    <t>R0017800256590</t>
  </si>
  <si>
    <t>VZ7401</t>
  </si>
  <si>
    <t>R0017800256592</t>
  </si>
  <si>
    <t>VZ7358</t>
  </si>
  <si>
    <t>CONDORI ALEJANDRO OSCAR</t>
  </si>
  <si>
    <t>Avenida 9 de Julio 835</t>
  </si>
  <si>
    <t>R0017800257013</t>
  </si>
  <si>
    <t>X16011</t>
  </si>
  <si>
    <t>GUEMES SACIE</t>
  </si>
  <si>
    <t>BELGRANO 461 1</t>
  </si>
  <si>
    <t>Base Divan Venecia 090x190</t>
  </si>
  <si>
    <t>R0017800257014</t>
  </si>
  <si>
    <t>X16013</t>
  </si>
  <si>
    <t>BILOTTI NICOLAS</t>
  </si>
  <si>
    <t>B DOCENTE BLOCK B 0  21</t>
  </si>
  <si>
    <t>R0017800257018</t>
  </si>
  <si>
    <t>O16555</t>
  </si>
  <si>
    <t>SANCHEZ RAQUEL ESTER BP</t>
  </si>
  <si>
    <t>Pasaje Garcia Lorca 666</t>
  </si>
  <si>
    <t>R0017800257019</t>
  </si>
  <si>
    <t>O16556</t>
  </si>
  <si>
    <t>SANTILLAN ESTEBAN LEONARDO BP</t>
  </si>
  <si>
    <t>R. Sosa 2527</t>
  </si>
  <si>
    <t>R0017800257022</t>
  </si>
  <si>
    <t>X16029</t>
  </si>
  <si>
    <t>CORTEZ PAULA MARIANA</t>
  </si>
  <si>
    <t>B ampliacion de ingenieros mza 54  6</t>
  </si>
  <si>
    <t>Col. Sealy EstSunshineB 180x200</t>
  </si>
  <si>
    <t>R0017800257023</t>
  </si>
  <si>
    <t>X16028</t>
  </si>
  <si>
    <t>RUEDA DE LA CUESTA ALVARO RODRIGO</t>
  </si>
  <si>
    <t>VILLA PALACIOS BLOCK 28 3 C</t>
  </si>
  <si>
    <t>R0017800257024</t>
  </si>
  <si>
    <t>R0017800257025</t>
  </si>
  <si>
    <t>R0017800257339</t>
  </si>
  <si>
    <t>VZ7611</t>
  </si>
  <si>
    <t>Stella  juarez</t>
  </si>
  <si>
    <t>radio del plata 2729</t>
  </si>
  <si>
    <t>R0017800257346</t>
  </si>
  <si>
    <t>VZ7732</t>
  </si>
  <si>
    <t>Inés Ramona Toranzo</t>
  </si>
  <si>
    <t>Aniceto la torre 305 305</t>
  </si>
  <si>
    <t>R0017800257739</t>
  </si>
  <si>
    <t>VZ7612</t>
  </si>
  <si>
    <t>Lautaro  Fabian</t>
  </si>
  <si>
    <t>Barrio San Cayetano Manzana C 2</t>
  </si>
  <si>
    <t>COMSLA160200</t>
  </si>
  <si>
    <t>Col. Meyer Sleep 160x200</t>
  </si>
  <si>
    <t>R0017800257741</t>
  </si>
  <si>
    <t>X16047</t>
  </si>
  <si>
    <t>MAMANI ALICIA MAGDALENA</t>
  </si>
  <si>
    <t>BUENOS AIRES 623</t>
  </si>
  <si>
    <t>R0017800257742</t>
  </si>
  <si>
    <t>X16044</t>
  </si>
  <si>
    <t>ROMANO CECILIA</t>
  </si>
  <si>
    <t>Avenida Paraguay 2259</t>
  </si>
  <si>
    <t>R0017800257743</t>
  </si>
  <si>
    <t>X16046</t>
  </si>
  <si>
    <t>LOPEZ ILARIO VIRGILIO</t>
  </si>
  <si>
    <t>FLAVIO GARCIA 1299</t>
  </si>
  <si>
    <t>R0017800257747</t>
  </si>
  <si>
    <t>VZ7904</t>
  </si>
  <si>
    <t>Carlos Mamaní</t>
  </si>
  <si>
    <t>república argentina 1321</t>
  </si>
  <si>
    <t>R0017800257754</t>
  </si>
  <si>
    <t>VZ7913</t>
  </si>
  <si>
    <t>Paula Zabala</t>
  </si>
  <si>
    <t>urbanización San Carlos manzana 559 Casa 20</t>
  </si>
  <si>
    <t>R0017800257757</t>
  </si>
  <si>
    <t>X04143</t>
  </si>
  <si>
    <t>BETTINELLI JORGE MATIAS</t>
  </si>
  <si>
    <t>B. EL HUAICO MZA 463 B CASA 5</t>
  </si>
  <si>
    <t>R0017800257758</t>
  </si>
  <si>
    <t>R0017800257759</t>
  </si>
  <si>
    <t>X16055</t>
  </si>
  <si>
    <t>RUIZ PEDRO STEWART</t>
  </si>
  <si>
    <t>LOS GAUCHOS 1</t>
  </si>
  <si>
    <t>LA CALDERA</t>
  </si>
  <si>
    <t>Col. Sealy EstSunshineB 100x190</t>
  </si>
  <si>
    <t>R0017800257760</t>
  </si>
  <si>
    <t>RELIGO160070</t>
  </si>
  <si>
    <t>Resp. Andros Liso 160x070</t>
  </si>
  <si>
    <t>R0017800257762</t>
  </si>
  <si>
    <t>VZ7936</t>
  </si>
  <si>
    <t>Sofia Dantuene</t>
  </si>
  <si>
    <t>Manzana 283B B</t>
  </si>
  <si>
    <t>Col. Telgo Vida 100x190</t>
  </si>
  <si>
    <t>R0017800257773</t>
  </si>
  <si>
    <t>VZ8144</t>
  </si>
  <si>
    <t>Barrio Santa Ana 1 ,Pasaje 22 casa 1516</t>
  </si>
  <si>
    <t>R0017800258215</t>
  </si>
  <si>
    <t>Ruta Naciona 9 Km 1621 La Calderilla, la Caldera S</t>
  </si>
  <si>
    <t>La Calderilla</t>
  </si>
  <si>
    <t>R0017800258705</t>
  </si>
  <si>
    <t>X16065</t>
  </si>
  <si>
    <t>CHIERICOTTI ROSARIO</t>
  </si>
  <si>
    <t>LUCIO MANSILLA 450</t>
  </si>
  <si>
    <t>SAN LORENZO</t>
  </si>
  <si>
    <t>R0017800258709</t>
  </si>
  <si>
    <t>X13450</t>
  </si>
  <si>
    <t>BARRAGAN ANA XIMENA</t>
  </si>
  <si>
    <t>AV SARMIENTO 797</t>
  </si>
  <si>
    <t>ROSARIO DE LA FRONTERA</t>
  </si>
  <si>
    <t>COMDCA130190</t>
  </si>
  <si>
    <t>Col. Meyer DreamCompact 130x190</t>
  </si>
  <si>
    <t>R0017800258710</t>
  </si>
  <si>
    <t>X16071</t>
  </si>
  <si>
    <t>CALIARI FEDERICO</t>
  </si>
  <si>
    <t>B INTA MZA 17 CASA 17</t>
  </si>
  <si>
    <t>R0017800258711</t>
  </si>
  <si>
    <t>VZ8339</t>
  </si>
  <si>
    <t>María Angélica  Salinas Hernandez</t>
  </si>
  <si>
    <t>Benito Graña 380</t>
  </si>
  <si>
    <t>COFIEB080190</t>
  </si>
  <si>
    <t>Col. Sealy Essent Field 080x190</t>
  </si>
  <si>
    <t>Som. Sealy Carbon Grey 080x190</t>
  </si>
  <si>
    <t>R0017800258721</t>
  </si>
  <si>
    <t>VZ8377</t>
  </si>
  <si>
    <t>Nahuel Cruz</t>
  </si>
  <si>
    <t>Pasaje Sixto ovejero 2998</t>
  </si>
  <si>
    <t>COFIEB180200</t>
  </si>
  <si>
    <t>Col. Sealy Essent Field 180x200</t>
  </si>
  <si>
    <t>R0017800258725</t>
  </si>
  <si>
    <t>X13613</t>
  </si>
  <si>
    <t>ARAGON LOPEZ CAMILA AGOSTINA</t>
  </si>
  <si>
    <t>JUAN PABLO II BLOCK 57 D 9</t>
  </si>
  <si>
    <t>R0017800258726</t>
  </si>
  <si>
    <t>VZ8514</t>
  </si>
  <si>
    <t>Cintia Carina Sarapura</t>
  </si>
  <si>
    <t>9 De July 0130</t>
  </si>
  <si>
    <t xml:space="preserve"> </t>
  </si>
  <si>
    <t>R0017800259053</t>
  </si>
  <si>
    <t>X15935</t>
  </si>
  <si>
    <t>DELGADO JORGE</t>
  </si>
  <si>
    <t>barrio pereyra rosas mza 663 33</t>
  </si>
  <si>
    <t>R0017800259054</t>
  </si>
  <si>
    <t>R0017800259339</t>
  </si>
  <si>
    <t>X08635</t>
  </si>
  <si>
    <t>ROCHA NORA</t>
  </si>
  <si>
    <t>TIERRA MIA MZA 32 24</t>
  </si>
  <si>
    <t>R0017800259344</t>
  </si>
  <si>
    <t>VZ8891</t>
  </si>
  <si>
    <t>Jimena Cabello</t>
  </si>
  <si>
    <t>barrio portal de lesser mz 467a casa 21 467a</t>
  </si>
  <si>
    <t>COMSPA160200</t>
  </si>
  <si>
    <t>Col. Meyer Sleep Plus 160x200</t>
  </si>
  <si>
    <t>R0017800259349</t>
  </si>
  <si>
    <t>T54957</t>
  </si>
  <si>
    <t>GALEANO MELISA</t>
  </si>
  <si>
    <t>RIO DE LAS NIEVES 738</t>
  </si>
  <si>
    <t>R0017800259352</t>
  </si>
  <si>
    <t>R0017800259357</t>
  </si>
  <si>
    <t>Alm. Zlow Soft 90x50</t>
  </si>
  <si>
    <t>R0017800259350</t>
  </si>
  <si>
    <t>X16118</t>
  </si>
  <si>
    <t>VIDAL MIGUEL ANGEL</t>
  </si>
  <si>
    <t>QUEBRADA DE LOS NOGALES MZA3 1</t>
  </si>
  <si>
    <t>R0017800259351</t>
  </si>
  <si>
    <t>X16117</t>
  </si>
  <si>
    <t>ACOSTA MARIA FLORENCIA</t>
  </si>
  <si>
    <t>LOS PERALES 325</t>
  </si>
  <si>
    <t>R0017800259353</t>
  </si>
  <si>
    <t>X16110</t>
  </si>
  <si>
    <t>flores walter miguel</t>
  </si>
  <si>
    <t>PJE BOLIVIA 427</t>
  </si>
  <si>
    <t>Col. Meyer Dream Plus 100x190</t>
  </si>
  <si>
    <t>R0017800259354</t>
  </si>
  <si>
    <t>X16109</t>
  </si>
  <si>
    <t>MENDOZA NOELIA YANINA</t>
  </si>
  <si>
    <t>AVENIDA FINCA YERBA BUENA MZA 16  16</t>
  </si>
  <si>
    <t>R0017800259362</t>
  </si>
  <si>
    <t>VZ9050</t>
  </si>
  <si>
    <t>UÑATE DÉBORA</t>
  </si>
  <si>
    <t>San Clemente de la Nueva Sevilla med. 198</t>
  </si>
  <si>
    <t>san carlos</t>
  </si>
  <si>
    <t>R0017800259366</t>
  </si>
  <si>
    <t>X16125</t>
  </si>
  <si>
    <t>FERRARI BERNACKI RODRIGO EMANUEL</t>
  </si>
  <si>
    <t>MITRE 1535 5 C</t>
  </si>
  <si>
    <t>R0017800259367</t>
  </si>
  <si>
    <t>X04542</t>
  </si>
  <si>
    <t>DOYLE FERNANDO JAVIER</t>
  </si>
  <si>
    <t>BARRIO EL PORTAL MZA C 4</t>
  </si>
  <si>
    <t>R0017800259735</t>
  </si>
  <si>
    <t>X16102</t>
  </si>
  <si>
    <t>JUAREZ GONZALO</t>
  </si>
  <si>
    <t>B SAN CARLOS MZA 67 CASA 9</t>
  </si>
  <si>
    <t>R0017800259736</t>
  </si>
  <si>
    <t>X16120</t>
  </si>
  <si>
    <t>ZORICICH FABIO</t>
  </si>
  <si>
    <t>R0017800259742</t>
  </si>
  <si>
    <t>X16140</t>
  </si>
  <si>
    <t>JOAQUIN NAIM ALEJANDRO</t>
  </si>
  <si>
    <t>GRUPO 244 MZA 14 8</t>
  </si>
  <si>
    <t>R0017800259743</t>
  </si>
  <si>
    <t>R0017800259750</t>
  </si>
  <si>
    <t>VZ9263</t>
  </si>
  <si>
    <t>Daiana Mailen Ruiz Villagran</t>
  </si>
  <si>
    <t>AveniHipódromo de la plata 16</t>
  </si>
  <si>
    <t>R0017800260669</t>
  </si>
  <si>
    <t>X16105</t>
  </si>
  <si>
    <t>GOMEZ GABRIEL</t>
  </si>
  <si>
    <t>B LOS LAPACHOS PJE LAS VIRREYNAS CASA 3</t>
  </si>
  <si>
    <t>CIUDAD DE LAS LAJITAS</t>
  </si>
  <si>
    <t>R0017800260670</t>
  </si>
  <si>
    <t>X01327</t>
  </si>
  <si>
    <t>VALDECANTOS LUIS ANDRES</t>
  </si>
  <si>
    <t>VILLA REBECA PASEO DEL SOL 574</t>
  </si>
  <si>
    <t>R0017800260672</t>
  </si>
  <si>
    <t>X16132</t>
  </si>
  <si>
    <t>ARMANINI DANIEL EDUARDO</t>
  </si>
  <si>
    <t>PJE ROSARIO PENALOZA MZA B CASA 19</t>
  </si>
  <si>
    <t>ORAN</t>
  </si>
  <si>
    <t>R0017800260676</t>
  </si>
  <si>
    <t>R0017800260673</t>
  </si>
  <si>
    <t>X15090</t>
  </si>
  <si>
    <t>HERRERA SILVANA ROCIO</t>
  </si>
  <si>
    <t>LA GUILLERMINA MZA 9 CASA 15</t>
  </si>
  <si>
    <t>R0017800260674</t>
  </si>
  <si>
    <t>R0017800261492</t>
  </si>
  <si>
    <t>X16145</t>
  </si>
  <si>
    <t>VERNIRI NICOLAS</t>
  </si>
  <si>
    <t>B LIMACHE ET 11 BLOCK 33 LOTE 1 3 33</t>
  </si>
  <si>
    <t>R0017800261493</t>
  </si>
  <si>
    <t>R0017800261504</t>
  </si>
  <si>
    <t>VZ9523</t>
  </si>
  <si>
    <t>RAMON VILLALVA ML</t>
  </si>
  <si>
    <t>Manz 451 B Casa 16 B Solidaridad segunda etapA SN</t>
  </si>
  <si>
    <t>R0017800261522</t>
  </si>
  <si>
    <t>VZ9893</t>
  </si>
  <si>
    <t>Melisa Aima</t>
  </si>
  <si>
    <t>La Rinconada 100 viviendas mza 400A Casa 12</t>
  </si>
  <si>
    <t>R0017800261528</t>
  </si>
  <si>
    <t>X16186</t>
  </si>
  <si>
    <t>RIVERO GUSTAVO</t>
  </si>
  <si>
    <t>PIZARRO 32 6 D</t>
  </si>
  <si>
    <t>SAN RAMON DE LA NUEVA ORAN</t>
  </si>
  <si>
    <t>R0017800261530</t>
  </si>
  <si>
    <t>R0017800261531</t>
  </si>
  <si>
    <t>X16177</t>
  </si>
  <si>
    <t>MATURANO LUZ GABRIELA</t>
  </si>
  <si>
    <t>MENDOZA 2049</t>
  </si>
  <si>
    <t>R0017800261532</t>
  </si>
  <si>
    <t>X16181</t>
  </si>
  <si>
    <t>CAYO DIEGO ANTONIO</t>
  </si>
  <si>
    <t>B CHACHAPOYAS MZA 70 C CASA 1  S</t>
  </si>
  <si>
    <t>SA</t>
  </si>
  <si>
    <t>R0017800261550</t>
  </si>
  <si>
    <t>X16196</t>
  </si>
  <si>
    <t>CESPEDES DANIEL</t>
  </si>
  <si>
    <t>EL MOLLAR 2 MZA 5 B LOTE 1</t>
  </si>
  <si>
    <t>Col. Sealy Post Emerald 180x200</t>
  </si>
  <si>
    <t>R0017800261551</t>
  </si>
  <si>
    <t>X16197</t>
  </si>
  <si>
    <t>MEDINA RUIZ JORGE</t>
  </si>
  <si>
    <t>BARRIO EL BOSQUE BLOCK 12 2 11</t>
  </si>
  <si>
    <t>R0017800262287</t>
  </si>
  <si>
    <t>X16205</t>
  </si>
  <si>
    <t>SANSUSTE ROBERTO</t>
  </si>
  <si>
    <t>CRISTO REY CASA 16</t>
  </si>
  <si>
    <t>R0017800262288</t>
  </si>
  <si>
    <t>X16204</t>
  </si>
  <si>
    <t>OCAMPO JUAN</t>
  </si>
  <si>
    <t>B CRISTO REY CASA 16</t>
  </si>
  <si>
    <t>R0017800262289</t>
  </si>
  <si>
    <t>R0017800262290</t>
  </si>
  <si>
    <t>R0017800262295</t>
  </si>
  <si>
    <t>X16216</t>
  </si>
  <si>
    <t>FANZAGO INES MICAELA</t>
  </si>
  <si>
    <t>BARRIO SANTA ANA 2 MZA 28  15</t>
  </si>
  <si>
    <t>R0017800262301</t>
  </si>
  <si>
    <t>X16222</t>
  </si>
  <si>
    <t>VANETTA MARCELA</t>
  </si>
  <si>
    <t>Alm. Zlow Viscoelastic 60x40</t>
  </si>
  <si>
    <t>R0017800262302</t>
  </si>
  <si>
    <t>X16220</t>
  </si>
  <si>
    <t>ZORICICH OSCAR</t>
  </si>
  <si>
    <t>REPUBLICA DE ISRAEL 174</t>
  </si>
  <si>
    <t>R0017800262303</t>
  </si>
  <si>
    <t>X16226</t>
  </si>
  <si>
    <t>ALBARRACIN HUGO RAMIRO</t>
  </si>
  <si>
    <t>R0017800262304</t>
  </si>
  <si>
    <t>R0017800262305</t>
  </si>
  <si>
    <t>R0017800262307</t>
  </si>
  <si>
    <t>WA0673</t>
  </si>
  <si>
    <t>Soledad Silvana  Pinca Cruz</t>
  </si>
  <si>
    <t>Reyes de España 46</t>
  </si>
  <si>
    <t>R0017800262308</t>
  </si>
  <si>
    <t>R0017800262309</t>
  </si>
  <si>
    <t>WA0697</t>
  </si>
  <si>
    <t>Exequiel Daniel Guerra</t>
  </si>
  <si>
    <t>Lamadrid 368 368</t>
  </si>
  <si>
    <t>R0017800262596</t>
  </si>
  <si>
    <t>WA0759</t>
  </si>
  <si>
    <t>Sergio Aguilar</t>
  </si>
  <si>
    <t>Avenida Albert Einstein 383</t>
  </si>
  <si>
    <t>CAMRESW10160200</t>
  </si>
  <si>
    <t>Cama Respaldo Handy Gris 160x200</t>
  </si>
  <si>
    <t>R0017800262601</t>
  </si>
  <si>
    <t>X16238</t>
  </si>
  <si>
    <t>SOTO MONICA</t>
  </si>
  <si>
    <t>PERISARIO DAVALOS 193</t>
  </si>
  <si>
    <t>R0017800262602</t>
  </si>
  <si>
    <t>X16139</t>
  </si>
  <si>
    <t>CHOCOBAR RAUL</t>
  </si>
  <si>
    <t>PARUQ NACIONAL EL REY 3268</t>
  </si>
  <si>
    <t>R0017800262935</t>
  </si>
  <si>
    <t>X16218</t>
  </si>
  <si>
    <t>BELBRUNO PABLO</t>
  </si>
  <si>
    <t>FEDERICO LACROZE 1080</t>
  </si>
  <si>
    <t>R0017800262936</t>
  </si>
  <si>
    <t>X16225</t>
  </si>
  <si>
    <t>serrano ramona rosalia</t>
  </si>
  <si>
    <t>BARRIO CASTAÑARES GRUPO 234 BLOCK V 3</t>
  </si>
  <si>
    <t>R0017800262937</t>
  </si>
  <si>
    <t>R0017800262938</t>
  </si>
  <si>
    <t>WA0681</t>
  </si>
  <si>
    <t>Alcalá Antonio</t>
  </si>
  <si>
    <t>María Torres Frías 138 138  Rosario de</t>
  </si>
  <si>
    <t>R0017800262939</t>
  </si>
  <si>
    <t>R0017800262948</t>
  </si>
  <si>
    <t>X16245</t>
  </si>
  <si>
    <t>PENALBA CARLA</t>
  </si>
  <si>
    <t>B SAN CLARA DE ASIS MZA 232B CASA 19</t>
  </si>
  <si>
    <t>R0017800262949</t>
  </si>
  <si>
    <t>X13269</t>
  </si>
  <si>
    <t>FLORES LEOPOLDO EMPLEADO</t>
  </si>
  <si>
    <t>R0017800262951</t>
  </si>
  <si>
    <t>WA0959</t>
  </si>
  <si>
    <t>SANTIAGO AGUSTIN RIVADENEIRA ML</t>
  </si>
  <si>
    <t>Carim Abdala 247</t>
  </si>
  <si>
    <t>R0017800263630</t>
  </si>
  <si>
    <t>VL6977</t>
  </si>
  <si>
    <t>Gabriel maximiliano  Chauque</t>
  </si>
  <si>
    <t>M. Estrada 1658 1658</t>
  </si>
  <si>
    <t>R0017800263634</t>
  </si>
  <si>
    <t>X16233</t>
  </si>
  <si>
    <t>LOPEZ JOSE MARIA</t>
  </si>
  <si>
    <t>ALVARADO 768</t>
  </si>
  <si>
    <t>R0017800263641</t>
  </si>
  <si>
    <t>R0017800263642</t>
  </si>
  <si>
    <t>R0017800263871</t>
  </si>
  <si>
    <t>WA1206</t>
  </si>
  <si>
    <t>Anabela Malco</t>
  </si>
  <si>
    <t>leguizamon 543</t>
  </si>
  <si>
    <t>R0017800263876</t>
  </si>
  <si>
    <t>X16263</t>
  </si>
  <si>
    <t>CORDOBA CARLOS</t>
  </si>
  <si>
    <t>Los Piquillines 172</t>
  </si>
  <si>
    <t>R0017800263877</t>
  </si>
  <si>
    <t>X16273</t>
  </si>
  <si>
    <t>HOSEL DURAN GABRIEL</t>
  </si>
  <si>
    <t>B LIBERTAD MZA 388 B CASA 26</t>
  </si>
  <si>
    <t>R0017800263878</t>
  </si>
  <si>
    <t>R0017800263879</t>
  </si>
  <si>
    <t>R0017800263880</t>
  </si>
  <si>
    <t>R0017800264321</t>
  </si>
  <si>
    <t>WA1368</t>
  </si>
  <si>
    <t>Rocio Chocobar Angulo</t>
  </si>
  <si>
    <t>Canal de beagle 647</t>
  </si>
  <si>
    <t>R0017800264324</t>
  </si>
  <si>
    <t>X09721</t>
  </si>
  <si>
    <t>MENDOZA GABRIELA ELIZABETH</t>
  </si>
  <si>
    <t>SARGENTO CABRAL 298</t>
  </si>
  <si>
    <t>R0017800264325</t>
  </si>
  <si>
    <t>X16283</t>
  </si>
  <si>
    <t>SUAREZ MARIELA</t>
  </si>
  <si>
    <t>LA VOZ DEL COMAHUE 2865</t>
  </si>
  <si>
    <t>PATAS GENERICAS</t>
  </si>
  <si>
    <t>SOGENGRI090200</t>
  </si>
  <si>
    <t>Som. Generico Gris 090x200</t>
  </si>
  <si>
    <t>Col. Sealy Perf SpiritN180x200</t>
  </si>
  <si>
    <t>R0017800264326</t>
  </si>
  <si>
    <t>X16281</t>
  </si>
  <si>
    <t>DOMMARCO ELSA</t>
  </si>
  <si>
    <t>B PEREYRA ROSAS MZA MZA 606C CASA 10</t>
  </si>
  <si>
    <t>COSFHA140190</t>
  </si>
  <si>
    <t>Col. S&amp;F Harmony Brown 140x190</t>
  </si>
  <si>
    <t>R0017800264327</t>
  </si>
  <si>
    <t>X16284</t>
  </si>
  <si>
    <t>RIVAINERA ROMINA</t>
  </si>
  <si>
    <t>VIA AURELIA MZA1 CASA 11</t>
  </si>
  <si>
    <t>R0017800266062</t>
  </si>
  <si>
    <t>VZ7930</t>
  </si>
  <si>
    <t>Enzo Mendez</t>
  </si>
  <si>
    <t>Miguel Aráoz 184</t>
  </si>
  <si>
    <t>R0017800266063</t>
  </si>
  <si>
    <t>R0017800266423</t>
  </si>
  <si>
    <t>VC6459</t>
  </si>
  <si>
    <t>Sandra Corlli</t>
  </si>
  <si>
    <t>Arenales 249 7 701</t>
  </si>
  <si>
    <t>COMSLA090190</t>
  </si>
  <si>
    <t>Col. Meyer Sleep 090x190</t>
  </si>
  <si>
    <t>ENTRE: Pueyrredon Y Vicente lopez</t>
  </si>
  <si>
    <t>DIMAGA090190</t>
  </si>
  <si>
    <t>Base Divan Duo Meyer 090x190</t>
  </si>
  <si>
    <t>R0017800266424</t>
  </si>
  <si>
    <t>WA2466</t>
  </si>
  <si>
    <t>Jose Tolaba</t>
  </si>
  <si>
    <t>Av.Hipólito Irigoyen 709</t>
  </si>
  <si>
    <t>San Martin  Y Mariano Moreno</t>
  </si>
  <si>
    <t>R0017800266425</t>
  </si>
  <si>
    <t>WA2410</t>
  </si>
  <si>
    <t>Matias Luciano Vargas Solis</t>
  </si>
  <si>
    <t>Teniente Coronel Espejo Manzna 420 B Lote 01 Barri</t>
  </si>
  <si>
    <t>Av. Quarrachino C Y C. 91</t>
  </si>
  <si>
    <t>R0017800266840</t>
  </si>
  <si>
    <t>WA2512</t>
  </si>
  <si>
    <t>Maira Moya</t>
  </si>
  <si>
    <t>avenida de la libertad 849</t>
  </si>
  <si>
    <t>Cnel quezada Y Heroes de la patria</t>
  </si>
  <si>
    <t>R0017800267102</t>
  </si>
  <si>
    <t>WA2561</t>
  </si>
  <si>
    <t>Solana Caro</t>
  </si>
  <si>
    <t>Pedernera 1397</t>
  </si>
  <si>
    <t>Anzoategui  Y Aniceto Latorre</t>
  </si>
  <si>
    <t>R0017800267326</t>
  </si>
  <si>
    <t>WA2700</t>
  </si>
  <si>
    <t>ivan toro</t>
  </si>
  <si>
    <t>Barrio Los Ceibos, manzana 536a 23</t>
  </si>
  <si>
    <t>COMPOA150190</t>
  </si>
  <si>
    <t>Col. Meyer Pocket 150x190</t>
  </si>
  <si>
    <t>frente a la cancha</t>
  </si>
  <si>
    <t>Som. Universal Grey 150x190</t>
  </si>
  <si>
    <t>R0017800267330</t>
  </si>
  <si>
    <t>X16345</t>
  </si>
  <si>
    <t>ESTUDIO VISION SASA</t>
  </si>
  <si>
    <t>COMANDANTE PIEDRA BUENA 766</t>
  </si>
  <si>
    <t>R0017800267652</t>
  </si>
  <si>
    <t>X13853</t>
  </si>
  <si>
    <t>TUAL SA</t>
  </si>
  <si>
    <t>EL TIPAL ANTILLAS  240</t>
  </si>
  <si>
    <t>Col. Sealy EstSunshineB 160x190</t>
  </si>
  <si>
    <t>R0017800267875</t>
  </si>
  <si>
    <t>X16308</t>
  </si>
  <si>
    <t>farfan lourdes</t>
  </si>
  <si>
    <t>b el milagro-mza 58 c-casa 21 58</t>
  </si>
  <si>
    <t>quijano</t>
  </si>
  <si>
    <t>R0017800267881</t>
  </si>
  <si>
    <t>X06337</t>
  </si>
  <si>
    <t>ALCALA JOSE FELICIANO</t>
  </si>
  <si>
    <t>PJE SANTA CRUZ S/N 1</t>
  </si>
  <si>
    <t>PICHANAL</t>
  </si>
  <si>
    <t>GUEMES Y 9 DE JULIO</t>
  </si>
  <si>
    <t>R0017800268325</t>
  </si>
  <si>
    <t>WA2953</t>
  </si>
  <si>
    <t>Gaston Ledesma</t>
  </si>
  <si>
    <t>Zacarias yanci 1354 1354</t>
  </si>
  <si>
    <t>R0017800268339</t>
  </si>
  <si>
    <t>WA3103</t>
  </si>
  <si>
    <t>RUBEN ESTEBAN PEREZ GELMETTI</t>
  </si>
  <si>
    <t>MIGUEL ORTIZ 180</t>
  </si>
  <si>
    <t>JURAMENTO Y LOS PLATANOS</t>
  </si>
  <si>
    <t>R0017800268680</t>
  </si>
  <si>
    <t>X16366</t>
  </si>
  <si>
    <t>DIAZ ANTONELLA</t>
  </si>
  <si>
    <t>B PEREYRA ROSAS MZA 620 CASA 9</t>
  </si>
  <si>
    <t>R0017800268921</t>
  </si>
  <si>
    <t>WA3262</t>
  </si>
  <si>
    <t>Daniel Tomaspolsky</t>
  </si>
  <si>
    <t>Barrio Alborada Calle 1 12</t>
  </si>
  <si>
    <t>Alvarez Jontes  Y Psj. Yapeyu</t>
  </si>
  <si>
    <t>R0017800269347</t>
  </si>
  <si>
    <t>WA3372</t>
  </si>
  <si>
    <t>Laura Analia Baldovino Yarade</t>
  </si>
  <si>
    <t>Barrio 80 viviendas universidad católica salta arg</t>
  </si>
  <si>
    <t>R0017800269348</t>
  </si>
  <si>
    <t>X00048</t>
  </si>
  <si>
    <t>CEJAS ARIEL ALEJANDRO</t>
  </si>
  <si>
    <t>LAS BUMBUNAS 425</t>
  </si>
  <si>
    <t>R0017800269754</t>
  </si>
  <si>
    <t>WA3376</t>
  </si>
  <si>
    <t>EMMANUEL ANGEL PEREZ</t>
  </si>
  <si>
    <t>V</t>
  </si>
  <si>
    <t>R0017800269769</t>
  </si>
  <si>
    <t>WA3551</t>
  </si>
  <si>
    <t>Graciela Noemi  Jurado</t>
  </si>
  <si>
    <t>Islas Malvinas 1280</t>
  </si>
  <si>
    <t>R0017800269794</t>
  </si>
  <si>
    <t>WA3792</t>
  </si>
  <si>
    <t>RICARDO MARTIN IMFELD</t>
  </si>
  <si>
    <t>PASAJE PLUMERILLO 103</t>
  </si>
  <si>
    <t>San Ramon De La Nueva Oran</t>
  </si>
  <si>
    <t>R0017800269795</t>
  </si>
  <si>
    <t>X16404</t>
  </si>
  <si>
    <t>corimayo celestina</t>
  </si>
  <si>
    <t>R0017800270206</t>
  </si>
  <si>
    <t>WA4015</t>
  </si>
  <si>
    <t>José Francisco Spezzi</t>
  </si>
  <si>
    <t>Aniceto Latorre 208</t>
  </si>
  <si>
    <t>Vicente Lopez Y Pueyrredón</t>
  </si>
  <si>
    <t>R0017800270220</t>
  </si>
  <si>
    <t>X16413</t>
  </si>
  <si>
    <t>VILTE FREDI RODOLFO</t>
  </si>
  <si>
    <t>barrio complejo hbitacional sur mza c 27</t>
  </si>
  <si>
    <t>Col. Sealy Est WoodsB 130x190</t>
  </si>
  <si>
    <t>R0017800270592</t>
  </si>
  <si>
    <t>P45464</t>
  </si>
  <si>
    <t>HERRERA SUAREZ AGUSTIN BP</t>
  </si>
  <si>
    <t>EL PRADO ECO VILLAGE 52</t>
  </si>
  <si>
    <t>COCCLA200200</t>
  </si>
  <si>
    <t>Col. Sealy Chill Cloud 200x200</t>
  </si>
  <si>
    <t>BARRIO EL PRADO ECO VILLAGE</t>
  </si>
  <si>
    <t>R0017800270596</t>
  </si>
  <si>
    <t>WA4168</t>
  </si>
  <si>
    <t>Maria Irene Dousdebes</t>
  </si>
  <si>
    <t>Ernesto Guevara (Ex 16 de Septiembre) 265</t>
  </si>
  <si>
    <t>387-5314651</t>
  </si>
  <si>
    <t>Alberdi Y Florida</t>
  </si>
  <si>
    <t>R0017800270601</t>
  </si>
  <si>
    <t>WA4223</t>
  </si>
  <si>
    <t>HECTOR ANDRES VIÑA ML</t>
  </si>
  <si>
    <t>Barrio SUPE Mzna. F Casa 8</t>
  </si>
  <si>
    <t>Col. Sealy Chill Box(N)100x190</t>
  </si>
  <si>
    <t>R0017800270871</t>
  </si>
  <si>
    <t>WA4313</t>
  </si>
  <si>
    <t>Angelica Yamila  Toledo</t>
  </si>
  <si>
    <t>barrio alto la viña mza 459 A lote 7</t>
  </si>
  <si>
    <t>Ampascachi  Y Avenida los jockey</t>
  </si>
  <si>
    <t>R0017800270873</t>
  </si>
  <si>
    <t>WA4394</t>
  </si>
  <si>
    <t>VALDIVIEZO EDITH ASUNCION</t>
  </si>
  <si>
    <t>Calle Paraguay 174</t>
  </si>
  <si>
    <t>3873426283 3873644514</t>
  </si>
  <si>
    <t>R0017800271068</t>
  </si>
  <si>
    <t>X16383</t>
  </si>
  <si>
    <t>PALOMINO DAMIAN</t>
  </si>
  <si>
    <t>FRANCISCO ARIAS 829</t>
  </si>
  <si>
    <t>COSFJA160200</t>
  </si>
  <si>
    <t>Col. S&amp;F Jasper Brown 160x200</t>
  </si>
  <si>
    <t>R0017800271130</t>
  </si>
  <si>
    <t>X16428</t>
  </si>
  <si>
    <t>LOPEZ NIEVAS MICAELA ALEJANDRA</t>
  </si>
  <si>
    <t>LOS PINARES MZA 36 11</t>
  </si>
  <si>
    <t>R0017800271135</t>
  </si>
  <si>
    <t>X16437</t>
  </si>
  <si>
    <t>TERUELO MARIA LUJAN</t>
  </si>
  <si>
    <t>B DOCENTE SUR MZA 7 CASA 14</t>
  </si>
  <si>
    <t>R0017800271136</t>
  </si>
  <si>
    <t>COSFHA200200</t>
  </si>
  <si>
    <t>Col. S&amp;F Harmony Brown 200x200</t>
  </si>
  <si>
    <t>R0017800272787</t>
  </si>
  <si>
    <t>VT6256</t>
  </si>
  <si>
    <t>JUSTIN LAURENT CLEMENS NEVEN DU MONT ML</t>
  </si>
  <si>
    <t>Calle Balcarce 986 2 C</t>
  </si>
  <si>
    <t>R0017800273474</t>
  </si>
  <si>
    <t>X16492</t>
  </si>
  <si>
    <t>ESPECHE MARIA DE LAS MERCEDES</t>
  </si>
  <si>
    <t>PARAGUAY 2259 0 0</t>
  </si>
  <si>
    <t>COQUAA150190</t>
  </si>
  <si>
    <t>Col. Sealy Post Quartz 150x190</t>
  </si>
  <si>
    <t>R0017800273687</t>
  </si>
  <si>
    <t>WA5608</t>
  </si>
  <si>
    <t>Yesica Guzman</t>
  </si>
  <si>
    <t>17 de junio barrio san bernardo 326</t>
  </si>
  <si>
    <t>25 de mayo Y Pedro Echague</t>
  </si>
  <si>
    <t>R0017800273690</t>
  </si>
  <si>
    <t>X16502</t>
  </si>
  <si>
    <t>ARQYTOP SRL</t>
  </si>
  <si>
    <t>LA LUCINDA 1 LOTE 39</t>
  </si>
  <si>
    <t>R0017800273691</t>
  </si>
  <si>
    <t>R0017800273692</t>
  </si>
  <si>
    <t>R0017800273933</t>
  </si>
  <si>
    <t>WA5659</t>
  </si>
  <si>
    <t>Alejandra Soria</t>
  </si>
  <si>
    <t>Barrio los gremios Guiralde H 13</t>
  </si>
  <si>
    <t>Ricardo Guiraldes Y Rogelio Yrurtia</t>
  </si>
  <si>
    <t>R0017800275446</t>
  </si>
  <si>
    <t>X15998</t>
  </si>
  <si>
    <t>PEREZ NANCY DEL VALLE</t>
  </si>
  <si>
    <t>DIARIO LOS ANDES 2149</t>
  </si>
  <si>
    <t>R0017800275673</t>
  </si>
  <si>
    <t>X16535</t>
  </si>
  <si>
    <t>ORTEGA GARCIN JULIETA</t>
  </si>
  <si>
    <t>JUAN VELARDE 350</t>
  </si>
  <si>
    <t>CAMARTFLEX14019</t>
  </si>
  <si>
    <t>Cama Smart Cosmo 140x190</t>
  </si>
  <si>
    <t>COCMEA140190</t>
  </si>
  <si>
    <t>Col. Sealy Chill Memory 140x190</t>
  </si>
  <si>
    <t>R0017800275674</t>
  </si>
  <si>
    <t>WA6291</t>
  </si>
  <si>
    <t>Ana Paula Sardina Rojas</t>
  </si>
  <si>
    <t>Provisor 276</t>
  </si>
  <si>
    <t>J A Fernandez  Y Goyechea</t>
  </si>
  <si>
    <t>R0017800275675</t>
  </si>
  <si>
    <t>WA6300</t>
  </si>
  <si>
    <t>JOSÉ ANGEL VALENCI ML</t>
  </si>
  <si>
    <t>Calle Cordoba 293</t>
  </si>
  <si>
    <t>R0017800275676</t>
  </si>
  <si>
    <t>WA6299</t>
  </si>
  <si>
    <t>JULIETA ESTRELLA LOPEZ ML</t>
  </si>
  <si>
    <t>La Paya 0</t>
  </si>
  <si>
    <t>R0017800275678</t>
  </si>
  <si>
    <t>WA6292</t>
  </si>
  <si>
    <t>Maria Ponce de León</t>
  </si>
  <si>
    <t>20 de February 0857</t>
  </si>
  <si>
    <t>Alsina Y Necochea</t>
  </si>
  <si>
    <t>R0017800275679</t>
  </si>
  <si>
    <t>WA6316</t>
  </si>
  <si>
    <t>Yudit Analia  Castillo</t>
  </si>
  <si>
    <t>gorriti 981</t>
  </si>
  <si>
    <t>Necochea Y 25 de mayo</t>
  </si>
  <si>
    <t>R0017800276815</t>
  </si>
  <si>
    <t>X16537</t>
  </si>
  <si>
    <t>FUNDACION NUEVOS TIEMPOS</t>
  </si>
  <si>
    <t>IBAZETA 382</t>
  </si>
  <si>
    <t>Col. Sealy Est WoodsB 100x200</t>
  </si>
  <si>
    <t>R0017800277040</t>
  </si>
  <si>
    <t>WA6757</t>
  </si>
  <si>
    <t>jorge adrian buchhamer</t>
  </si>
  <si>
    <t>ruy diaz de guzman 457</t>
  </si>
  <si>
    <t>RETICU20070</t>
  </si>
  <si>
    <t>Resp. Hydra Tiron 200x070</t>
  </si>
  <si>
    <t>zuviria Y dean funes</t>
  </si>
  <si>
    <t>R0017800277196</t>
  </si>
  <si>
    <t>ruta naciona 9 km 1621</t>
  </si>
  <si>
    <t>R0017800277200</t>
  </si>
  <si>
    <t>WA6802</t>
  </si>
  <si>
    <t>Viviana Elizabet  Alvarez</t>
  </si>
  <si>
    <t>B Tierra Mia mza 30 casa 11 11</t>
  </si>
  <si>
    <t>Atocha</t>
  </si>
  <si>
    <t>R0017800277203</t>
  </si>
  <si>
    <t>B Tierra Mia mza 63 casa 11 11</t>
  </si>
  <si>
    <t>R0017800278289</t>
  </si>
  <si>
    <t>WA6619</t>
  </si>
  <si>
    <t>CEREZO ALFONSO DIEGO</t>
  </si>
  <si>
    <t>Radio Santiago del Estero 3050</t>
  </si>
  <si>
    <t>Col. Sealy Est Linen 150x190</t>
  </si>
  <si>
    <t>RADIO EL MUNDO Y RADIO NACIONAL</t>
  </si>
  <si>
    <t>SOSNA150190E</t>
  </si>
  <si>
    <t>Som. Sealy Carbon Grey 150x190</t>
  </si>
  <si>
    <t>R0017800278851</t>
  </si>
  <si>
    <t>VM2163</t>
  </si>
  <si>
    <t>Andrea Centeno</t>
  </si>
  <si>
    <t>saenz peña 188</t>
  </si>
  <si>
    <t>COMDCB140190</t>
  </si>
  <si>
    <t>Col. Meyer DreamCompact (N) 140x190</t>
  </si>
  <si>
    <t>R0017800278852</t>
  </si>
  <si>
    <t>B47664</t>
  </si>
  <si>
    <t>VILLAGRA JUAN ALFREDO BP</t>
  </si>
  <si>
    <t>Avenida Elisea Ortiz 0 0 0</t>
  </si>
  <si>
    <t>Col. Sealy Essent Field 100x190</t>
  </si>
  <si>
    <t>PADRE CLEMENTE Y NENA GARZON</t>
  </si>
  <si>
    <t>R0017800278861</t>
  </si>
  <si>
    <t>VT1499</t>
  </si>
  <si>
    <t>JUAN ERNESTO CHAVEZ ML</t>
  </si>
  <si>
    <t>Natalio Roldan 465</t>
  </si>
  <si>
    <t>Orán</t>
  </si>
  <si>
    <t>R0017800278883</t>
  </si>
  <si>
    <t>WA7583</t>
  </si>
  <si>
    <t>EZEQUIEL GUSTAVO BECKAR ML</t>
  </si>
  <si>
    <t>Juramento 1201</t>
  </si>
  <si>
    <t>R0017800278885</t>
  </si>
  <si>
    <t>WA7712</t>
  </si>
  <si>
    <t>CAROLINA TORCIVIA</t>
  </si>
  <si>
    <t>NUESTRA SEÑORA DE TRANSITO 942</t>
  </si>
  <si>
    <t>R0017800278895</t>
  </si>
  <si>
    <t>R0017800278896</t>
  </si>
  <si>
    <t>WA7693</t>
  </si>
  <si>
    <t>Lea Trejo</t>
  </si>
  <si>
    <t>Gral. Martin Güemes 886, Salta, Argentina 886</t>
  </si>
  <si>
    <t>20 de febrero Y 25 de mayo</t>
  </si>
  <si>
    <t>R0017800278897</t>
  </si>
  <si>
    <t>Y28889</t>
  </si>
  <si>
    <t>CHAVARRIA CARLA BP</t>
  </si>
  <si>
    <t>San Alfonso 309</t>
  </si>
  <si>
    <t>PAJE CHINA Y PJE ALBANIA</t>
  </si>
  <si>
    <t>R0017800278898</t>
  </si>
  <si>
    <t>X16607</t>
  </si>
  <si>
    <t>LAGUNA PABLO</t>
  </si>
  <si>
    <t>FELIPE VARELA 318</t>
  </si>
  <si>
    <t>FTE SALITA</t>
  </si>
  <si>
    <t>R0017800278824</t>
  </si>
  <si>
    <t>WA7403</t>
  </si>
  <si>
    <t>ESCALANTE CINTIA</t>
  </si>
  <si>
    <t>Samuel Quevedo 1551 1 B</t>
  </si>
  <si>
    <t>ENTRE: El tunal  Y Elpidio Gonzalez</t>
  </si>
  <si>
    <t>R0017800278828</t>
  </si>
  <si>
    <t>R0017800279476</t>
  </si>
  <si>
    <t>WA7911</t>
  </si>
  <si>
    <t>Patricia  Piccardo</t>
  </si>
  <si>
    <t>Avenida El Jardin 255</t>
  </si>
  <si>
    <t>Los Gladiolos Y Las Gricinas</t>
  </si>
  <si>
    <t>R0017800279483</t>
  </si>
  <si>
    <t>WA7947</t>
  </si>
  <si>
    <t>María Luciana Sarapura</t>
  </si>
  <si>
    <t>Manuel Belgrano 1040</t>
  </si>
  <si>
    <t>Capital villa San Lorenzo</t>
  </si>
  <si>
    <t>COMSLA080190</t>
  </si>
  <si>
    <t>Col. Meyer Sleep 080x190</t>
  </si>
  <si>
    <t>Joaquín Castellanos y Leopoldo Lugones</t>
  </si>
  <si>
    <t>R0017800279735</t>
  </si>
  <si>
    <t>WA8327</t>
  </si>
  <si>
    <t>ROBERTO ANGEL</t>
  </si>
  <si>
    <t>Mza 426B casa 25. B Palermo 1. pje Esmeralda 25</t>
  </si>
  <si>
    <t>Col. Meyer Salud 080x190</t>
  </si>
  <si>
    <t>R0017800279737</t>
  </si>
  <si>
    <t>VR4115</t>
  </si>
  <si>
    <t>Monica Garcia</t>
  </si>
  <si>
    <t>Santa Fe 1701</t>
  </si>
  <si>
    <t>R0017800279739</t>
  </si>
  <si>
    <t>WA8437</t>
  </si>
  <si>
    <t>Ruben gonzalo Lopez</t>
  </si>
  <si>
    <t>9 de July 0537</t>
  </si>
  <si>
    <t>Hipolito yrigoyen Y Maipu</t>
  </si>
  <si>
    <t>R0017800279758</t>
  </si>
  <si>
    <t>WA8419</t>
  </si>
  <si>
    <t>Mario Alberto  Arjona</t>
  </si>
  <si>
    <t>Barrio Juan Pablo Sefu Salta Block 26 Dto 2</t>
  </si>
  <si>
    <t>Medina  Y C. Rodriguez</t>
  </si>
  <si>
    <t>R0017800280230</t>
  </si>
  <si>
    <t>WA8466</t>
  </si>
  <si>
    <t>Aldo Joaquin Serrano</t>
  </si>
  <si>
    <t>barrio palmeritas mza 109 D lote 6 Ruiz 109</t>
  </si>
  <si>
    <t>Portaviones 25 de mayo Y Submarino</t>
  </si>
  <si>
    <t>R0017800280570</t>
  </si>
  <si>
    <t>WA9030</t>
  </si>
  <si>
    <t>ALEJANDRA VALERIA BANEGA ML</t>
  </si>
  <si>
    <t>20 De Junio SN Mollinedo SN</t>
  </si>
  <si>
    <t>R0017800280573</t>
  </si>
  <si>
    <t>WA9127</t>
  </si>
  <si>
    <t>Sandra Mariela Escalante</t>
  </si>
  <si>
    <t>Teresa Cade 98</t>
  </si>
  <si>
    <t>Av. Palacios Y Alejandro Gallardo</t>
  </si>
  <si>
    <t>R0017800280580</t>
  </si>
  <si>
    <t>VC3595</t>
  </si>
  <si>
    <t>Hugo Javier Almada</t>
  </si>
  <si>
    <t>san juan 2211</t>
  </si>
  <si>
    <t>R0017800280587</t>
  </si>
  <si>
    <t>WA8975</t>
  </si>
  <si>
    <t>Julio arnaldo Morales</t>
  </si>
  <si>
    <t>barrio parque palermo block M2 - PB Dpto. 2 2 Pla</t>
  </si>
  <si>
    <t>R0017800280603</t>
  </si>
  <si>
    <t>VT4271</t>
  </si>
  <si>
    <t>Florencia  Geronimo</t>
  </si>
  <si>
    <t>pje s/n altura san Martin 310 310</t>
  </si>
  <si>
    <t>R0017800281164</t>
  </si>
  <si>
    <t>WA9441</t>
  </si>
  <si>
    <t>Roberto  Grecco</t>
  </si>
  <si>
    <t>Los Ceibos mz E 3</t>
  </si>
  <si>
    <t>Profesor Salvador Mazza</t>
  </si>
  <si>
    <t>Los Cebiles Y Pasaje 3 - B° Cerritos</t>
  </si>
  <si>
    <t>R0017800281191</t>
  </si>
  <si>
    <t>WA9392</t>
  </si>
  <si>
    <t>NESTOR MARTIN CASAL</t>
  </si>
  <si>
    <t>VENEZUELA 1493</t>
  </si>
  <si>
    <t>3875047401 -3874655494</t>
  </si>
  <si>
    <t>R0017800281192</t>
  </si>
  <si>
    <t>WA9592</t>
  </si>
  <si>
    <t>Leonardo Moya</t>
  </si>
  <si>
    <t>adolgo guemes 91</t>
  </si>
  <si>
    <t>R0017800281196</t>
  </si>
  <si>
    <t>X16641</t>
  </si>
  <si>
    <t>TRANS-NAM S.A.S</t>
  </si>
  <si>
    <t>BARRIO ESTACION ALVARADO MZA 15 12</t>
  </si>
  <si>
    <t>COSFJA200200</t>
  </si>
  <si>
    <t>Col. S&amp;F Jasper Brown 200x200</t>
  </si>
  <si>
    <t>COSTADO DE LA PLAZA</t>
  </si>
  <si>
    <t>R0017800281600</t>
  </si>
  <si>
    <t>VY0348</t>
  </si>
  <si>
    <t>Loana Yamila  Tapia</t>
  </si>
  <si>
    <t>Marcelo Lotufo 1411</t>
  </si>
  <si>
    <t>Ricardo Balbin  Y Cuevas</t>
  </si>
  <si>
    <t>R0017800279730</t>
  </si>
  <si>
    <t>WA8284</t>
  </si>
  <si>
    <t>GRACIELA ELENA VILLEGAS</t>
  </si>
  <si>
    <t>SAN LUIS DPTO 03 02042</t>
  </si>
  <si>
    <t>0387-423-6598</t>
  </si>
  <si>
    <t>R0017800279732</t>
  </si>
  <si>
    <t>WA8445</t>
  </si>
  <si>
    <t>ANIBAL JORGE JOSE TESEYRA ML</t>
  </si>
  <si>
    <t>Pasaje Lopez Y Planes 275</t>
  </si>
  <si>
    <t>R0017800281186</t>
  </si>
  <si>
    <t>WA9325</t>
  </si>
  <si>
    <t>Julio Walter Campero</t>
  </si>
  <si>
    <t>Bartolomé Mitre 1038</t>
  </si>
  <si>
    <t>Ameghino Y O'Higgins</t>
  </si>
  <si>
    <t>R0017800281197</t>
  </si>
  <si>
    <t>X16645</t>
  </si>
  <si>
    <t>REVILLA ALVARO</t>
  </si>
  <si>
    <t>J M CHAVEZ 125</t>
  </si>
  <si>
    <t>FLORESTA</t>
  </si>
  <si>
    <t>R0017800281594</t>
  </si>
  <si>
    <t>WA9070</t>
  </si>
  <si>
    <t>Rodrigo Lagoria</t>
  </si>
  <si>
    <t>Ana albeza 1346 1346</t>
  </si>
  <si>
    <t>COMDCB100190</t>
  </si>
  <si>
    <t>Col. Meyer DreamCompact (N) 100x190</t>
  </si>
  <si>
    <t>Rosario Vera Penaloza Y cancio</t>
  </si>
  <si>
    <t>R0017800281710</t>
  </si>
  <si>
    <t>X16649</t>
  </si>
  <si>
    <t>RAMOS PATRICIA ALEJANDRA</t>
  </si>
  <si>
    <t>Bº SAN CARLOS MZA 12 12</t>
  </si>
  <si>
    <t>Alm. Zlow Fiber Synthetic 70x4</t>
  </si>
  <si>
    <t>R0017800281711</t>
  </si>
  <si>
    <t>X16418</t>
  </si>
  <si>
    <t>LOPEZ MARCELO RAMON</t>
  </si>
  <si>
    <t>B LAS PALTAS MZA B CASA 34 34</t>
  </si>
  <si>
    <t>R0017800281712</t>
  </si>
  <si>
    <t>R0017800281922</t>
  </si>
  <si>
    <t>WB0043</t>
  </si>
  <si>
    <t>MELINA YAZMÍN DE LOS ANGELES MONTALVO</t>
  </si>
  <si>
    <t>SAN JUAN Y BETANIA 0</t>
  </si>
  <si>
    <t>R0017800281929</t>
  </si>
  <si>
    <t>X16654</t>
  </si>
  <si>
    <t>TORRES OLVER ANTONIO</t>
  </si>
  <si>
    <t>PARQUE BELGRANO 6ETAPA ASEMBAPRAS MZA A CASA 29</t>
  </si>
  <si>
    <t>R0017800281930</t>
  </si>
  <si>
    <t>X16653</t>
  </si>
  <si>
    <t>Matías exequiel Lazarte destefano</t>
  </si>
  <si>
    <t>Corrientes, general guemes 634</t>
  </si>
  <si>
    <t>ENTRE: Sarmiento Y Rafael gobelli</t>
  </si>
  <si>
    <t>R0017800281944</t>
  </si>
  <si>
    <t>WB0422</t>
  </si>
  <si>
    <t>Erika Nieva</t>
  </si>
  <si>
    <t>El Carril 22</t>
  </si>
  <si>
    <t>El carril</t>
  </si>
  <si>
    <t>San Rafael Y Pasaje Francisco Loiacono</t>
  </si>
  <si>
    <t>R0017800281963</t>
  </si>
  <si>
    <t>X16663</t>
  </si>
  <si>
    <t>PRODUCTOS Y SERVICIOS INTEGRALES SRL</t>
  </si>
  <si>
    <t>B HUAICO MZA 520A CASA 24</t>
  </si>
  <si>
    <t>R0017800282487</t>
  </si>
  <si>
    <t>WB0762</t>
  </si>
  <si>
    <t>Fernando Gabriel Caniza Ramos</t>
  </si>
  <si>
    <t>Dr Arturo Davalos 54 54</t>
  </si>
  <si>
    <t>Santa Fe Y San Felipe y Santiago</t>
  </si>
  <si>
    <t>R0017800282492</t>
  </si>
  <si>
    <t>S79602</t>
  </si>
  <si>
    <t>GIMENEZ VALENTINA VT</t>
  </si>
  <si>
    <t>JUAN MOREYRA 1380</t>
  </si>
  <si>
    <t>ALTO LA LOMA</t>
  </si>
  <si>
    <t>R0017800282859</t>
  </si>
  <si>
    <t>WB0681</t>
  </si>
  <si>
    <t>JOAQUIN ARIEL GIMENEZ MARQUILLAS</t>
  </si>
  <si>
    <t>BARTOLOMÉ MITRE 465</t>
  </si>
  <si>
    <t>R0017800282872</t>
  </si>
  <si>
    <t>WB0895</t>
  </si>
  <si>
    <t>Eugenia María Maizares</t>
  </si>
  <si>
    <t>Los Infernales 1456</t>
  </si>
  <si>
    <t>Col. Meyer Luz 080x190</t>
  </si>
  <si>
    <t>Delfin leizamon Y Independencia</t>
  </si>
  <si>
    <t>R0017800283260</t>
  </si>
  <si>
    <t>WB0474</t>
  </si>
  <si>
    <t>Juan L Elordi</t>
  </si>
  <si>
    <t>Manzana 524 B Casa 5 5</t>
  </si>
  <si>
    <t>Av Democracia Y Alberto Savransky</t>
  </si>
  <si>
    <t>R0017800283449</t>
  </si>
  <si>
    <t>WB0751</t>
  </si>
  <si>
    <t>Jorge Francisco Aleman</t>
  </si>
  <si>
    <t>Avenida San Martín 855 ORAN</t>
  </si>
  <si>
    <t>3878 621409</t>
  </si>
  <si>
    <t>ENTRE: Dorrego Y Moro Diaz</t>
  </si>
  <si>
    <t>R0017800283458</t>
  </si>
  <si>
    <t>WB1211</t>
  </si>
  <si>
    <t>Patricia mabel Lezcano</t>
  </si>
  <si>
    <t>Barrio 238 Viv mz 94 casa 1 1</t>
  </si>
  <si>
    <t>San Ramón de la nueva oran</t>
  </si>
  <si>
    <t>Bernard Y Segundo sombra</t>
  </si>
  <si>
    <t>R0017800283735</t>
  </si>
  <si>
    <t>WB1419</t>
  </si>
  <si>
    <t>Silvana Moral BP</t>
  </si>
  <si>
    <t>BARIIO SANTA RITA 2 SALTA 00 M2 C14</t>
  </si>
  <si>
    <t>BRCAMBAJN140190</t>
  </si>
  <si>
    <t>Cama Baul Extra Space BR 140x190</t>
  </si>
  <si>
    <t>R0017800283731</t>
  </si>
  <si>
    <t>WB1402</t>
  </si>
  <si>
    <t>MARIA DANIELA MENDOZA</t>
  </si>
  <si>
    <t>B° PARQUE LOS PINOS MZA 25 CASA N9 0</t>
  </si>
  <si>
    <t>R0017800283727</t>
  </si>
  <si>
    <t>WB1322</t>
  </si>
  <si>
    <t>NEHUEN ERICK FERRIL</t>
  </si>
  <si>
    <t>BARRIO 40 VIVIENDAS 5 5 MZN 58</t>
  </si>
  <si>
    <t>San Antonio De Los Cobres</t>
  </si>
  <si>
    <t>3873049246 / 3875749990</t>
  </si>
  <si>
    <t>R0017800284436</t>
  </si>
  <si>
    <t>Victoria  Castrillón</t>
  </si>
  <si>
    <t>La Florda Y Ituzaingo</t>
  </si>
  <si>
    <t>R0017800284887</t>
  </si>
  <si>
    <t>WB1647</t>
  </si>
  <si>
    <t>Eusebio Victor  Quipildor</t>
  </si>
  <si>
    <t>10 Y 12</t>
  </si>
  <si>
    <t>R0017800284891</t>
  </si>
  <si>
    <t>R0017800284894</t>
  </si>
  <si>
    <t>VW2737</t>
  </si>
  <si>
    <t>CLINITEC S.R.L.</t>
  </si>
  <si>
    <t>R0017800284897</t>
  </si>
  <si>
    <t>WB1751</t>
  </si>
  <si>
    <t>Silvana Natalia Tobar</t>
  </si>
  <si>
    <t>Tartagal- Salta</t>
  </si>
  <si>
    <t>COMDCB200200</t>
  </si>
  <si>
    <t>Col. Meyer DreamCompact (N) 200x200</t>
  </si>
  <si>
    <t>Calle Italia  Y Gaucho de Guemes</t>
  </si>
  <si>
    <t>R0017800284902</t>
  </si>
  <si>
    <t>WB1738</t>
  </si>
  <si>
    <t>CRISTIAN ALEXIS ARROYO</t>
  </si>
  <si>
    <t>manzana 97 lote 17</t>
  </si>
  <si>
    <t>R0017800284903</t>
  </si>
  <si>
    <t>WB1699</t>
  </si>
  <si>
    <t>MIRNA ANALIA TORRES</t>
  </si>
  <si>
    <t>R0017800284035</t>
  </si>
  <si>
    <t>WB1429</t>
  </si>
  <si>
    <t>José Nicolás  Ruiz</t>
  </si>
  <si>
    <t>Col. Sealy Essent Field 200x200</t>
  </si>
  <si>
    <t>Republica argentina  Y Cuba</t>
  </si>
  <si>
    <t>R0017800284197</t>
  </si>
  <si>
    <t>WB1558</t>
  </si>
  <si>
    <t>Celeste Sanna</t>
  </si>
  <si>
    <t>Chacho royo manzana B</t>
  </si>
  <si>
    <t>R0017800284200</t>
  </si>
  <si>
    <t>X12978</t>
  </si>
  <si>
    <t>PICCARDO DANIEL EDUARDO</t>
  </si>
  <si>
    <t>R0017800284201</t>
  </si>
  <si>
    <t>R0017800285956</t>
  </si>
  <si>
    <t>VQ8707</t>
  </si>
  <si>
    <t>Valentin Ramirez Caballero</t>
  </si>
  <si>
    <t>Av. ejército argentino 967 967</t>
  </si>
  <si>
    <t>R0017800285967</t>
  </si>
  <si>
    <t>X16707</t>
  </si>
  <si>
    <t>VILLAGRAN LAUTARO</t>
  </si>
  <si>
    <t>MZA 470 E CASA 4</t>
  </si>
  <si>
    <t>DE LA ESCUELA 4730</t>
  </si>
  <si>
    <t>R0017800285968</t>
  </si>
  <si>
    <t>X16705</t>
  </si>
  <si>
    <t>UGARTE JOSE</t>
  </si>
  <si>
    <t>Río Cachi 540</t>
  </si>
  <si>
    <t>LAVALLE</t>
  </si>
  <si>
    <t>R0017800286099</t>
  </si>
  <si>
    <t>WB2084</t>
  </si>
  <si>
    <t>Paulo Matias Burgos</t>
  </si>
  <si>
    <t>Vicario Toscano, Salta, Argentina 130</t>
  </si>
  <si>
    <t>Ntra Sra del Rosario 103</t>
  </si>
  <si>
    <t>R0017800286100</t>
  </si>
  <si>
    <t>WB2082</t>
  </si>
  <si>
    <t>Ximena Acosta</t>
  </si>
  <si>
    <t>Calle puerto moreno - Mza 752b 22</t>
  </si>
  <si>
    <t>R0017800286115</t>
  </si>
  <si>
    <t>WB2156</t>
  </si>
  <si>
    <t>Ricardo Diez Sierra</t>
  </si>
  <si>
    <t>Calle Cachi 464</t>
  </si>
  <si>
    <t>R0017800286125</t>
  </si>
  <si>
    <t>X08172</t>
  </si>
  <si>
    <t>CARO MARISOL DEL MILAGRO</t>
  </si>
  <si>
    <t>B AMP BANCARIO-DR IVONE RETAMOSO 4864</t>
  </si>
  <si>
    <t>R0017800286135</t>
  </si>
  <si>
    <t>WB2278</t>
  </si>
  <si>
    <t>Ivan Paz</t>
  </si>
  <si>
    <t>RUTA PROVINCIAL 28 KM 8 CP A4401 San Lorenzo Salt</t>
  </si>
  <si>
    <t>Col. Meyer DreamCompact (N) 080x190</t>
  </si>
  <si>
    <t>R0017800286138</t>
  </si>
  <si>
    <t>WB2399</t>
  </si>
  <si>
    <t>Julian Rivas</t>
  </si>
  <si>
    <t>Pasaje Anta 1725</t>
  </si>
  <si>
    <t>Col. Meyer Luz 140x190</t>
  </si>
  <si>
    <t>R0017800286155</t>
  </si>
  <si>
    <t>WB2623</t>
  </si>
  <si>
    <t>Lucas Gaspar Cardozo</t>
  </si>
  <si>
    <t>Barrio La Tradición MZ 324 A Casa 3 3</t>
  </si>
  <si>
    <t>R0017800286157</t>
  </si>
  <si>
    <t>WB2557</t>
  </si>
  <si>
    <t>JUAN GABRIEL CASIMIRO</t>
  </si>
  <si>
    <t>BARRIO EL MILAGRO MANZANA 58 B 0</t>
  </si>
  <si>
    <t>R0017800286752</t>
  </si>
  <si>
    <t>WB2677</t>
  </si>
  <si>
    <t>Jorge Rodrigo  Cala</t>
  </si>
  <si>
    <t>Mendoza 401</t>
  </si>
  <si>
    <t>Mendoza Y Aniceto latorre</t>
  </si>
  <si>
    <t>R0017800287063</t>
  </si>
  <si>
    <t>R0017800287078</t>
  </si>
  <si>
    <t>WB2960</t>
  </si>
  <si>
    <t>ALVARO AGUSTÍN HOYOS</t>
  </si>
  <si>
    <t>BARRIO SAN FRANCISCO DE ASÍS 0</t>
  </si>
  <si>
    <t>R0017800287091</t>
  </si>
  <si>
    <t>WB2840</t>
  </si>
  <si>
    <t>MURILLO ALCAZAR ERNESTO</t>
  </si>
  <si>
    <t>Las Heras 1455 6 A</t>
  </si>
  <si>
    <t>ENTRE: Los Aromos Y Anzoategui</t>
  </si>
  <si>
    <t>R0017800287501</t>
  </si>
  <si>
    <t>WB3076</t>
  </si>
  <si>
    <t>FRANCO JESUS MIRANDA GARCIA</t>
  </si>
  <si>
    <t>BARRIO PRIMERA JUNTA MZA 504a LOTE 15</t>
  </si>
  <si>
    <t>R0017800287787</t>
  </si>
  <si>
    <t>WB2811</t>
  </si>
  <si>
    <t>MOISES HERNAN ROJAS</t>
  </si>
  <si>
    <t>SAN CARLOS MZ 7 CASA 14</t>
  </si>
  <si>
    <t>R0017800287805</t>
  </si>
  <si>
    <t>BARRIO PRIMERA JUNTA MAZA 504</t>
  </si>
  <si>
    <t>R0017800288023</t>
  </si>
  <si>
    <t>Avenida San Martín 855</t>
  </si>
  <si>
    <t>Dorrego Y Moro Diaz</t>
  </si>
  <si>
    <t>R0017800288031</t>
  </si>
  <si>
    <t>WB3348</t>
  </si>
  <si>
    <t>JOHANNA SILVINA PRADO</t>
  </si>
  <si>
    <t>9 DE July 1005</t>
  </si>
  <si>
    <t>R0017800288049</t>
  </si>
  <si>
    <t>WB3499</t>
  </si>
  <si>
    <t>LOUTAYF ARNEDO RICARDO DANIEL</t>
  </si>
  <si>
    <t>Calle Yatasto 11</t>
  </si>
  <si>
    <t>R0017800288050</t>
  </si>
  <si>
    <t>VH4933</t>
  </si>
  <si>
    <t>Victor Miguel Ruiz</t>
  </si>
  <si>
    <t>batalla de salta, sal 335</t>
  </si>
  <si>
    <t>Armada argentina   Y Ejercito argentino</t>
  </si>
  <si>
    <t>R0017800288053</t>
  </si>
  <si>
    <t>WB3425</t>
  </si>
  <si>
    <t>Jesus Francisco Herrera</t>
  </si>
  <si>
    <t>Dr. Luis Guemes 06</t>
  </si>
  <si>
    <t>peatonal 12  Y peatonal 10</t>
  </si>
  <si>
    <t>R0017800288062</t>
  </si>
  <si>
    <t>WB3637</t>
  </si>
  <si>
    <t>SABRINA JOHANA MAIDANA</t>
  </si>
  <si>
    <t>SAN MARTIN 80</t>
  </si>
  <si>
    <t>R0017800288508</t>
  </si>
  <si>
    <t>G17199</t>
  </si>
  <si>
    <t>MORENO ESPEJA ELIO GABRIEL</t>
  </si>
  <si>
    <t>PARAJE PRADERAS 10</t>
  </si>
  <si>
    <t>Col. Sealy EstSunshineB 100x200</t>
  </si>
  <si>
    <t>M1 LOTE 10</t>
  </si>
  <si>
    <t>Base Divan Duo Premium 100x200</t>
  </si>
  <si>
    <t>R0017800288934</t>
  </si>
  <si>
    <t>WB2931</t>
  </si>
  <si>
    <t>MERCEDES GALLEGUILLOS</t>
  </si>
  <si>
    <t>parque nacional Pizarro 0 Mza</t>
  </si>
  <si>
    <t>Dr. Domingo Güemes y calle: Dr. Juan Manuel Güemes</t>
  </si>
  <si>
    <t>R0017800288954</t>
  </si>
  <si>
    <t>WB3888</t>
  </si>
  <si>
    <t>Jorge Benjamin Fernandez</t>
  </si>
  <si>
    <t>Los Parrales 234</t>
  </si>
  <si>
    <t>Carolinos Y Abetos</t>
  </si>
  <si>
    <t>R0017800288958</t>
  </si>
  <si>
    <t>WB3914</t>
  </si>
  <si>
    <t>Santiago Alarcon</t>
  </si>
  <si>
    <t>El Mollar 1 Manzana 24D  cerrillos Manzana 24 D lo</t>
  </si>
  <si>
    <t>R0017800288965</t>
  </si>
  <si>
    <t>X10262</t>
  </si>
  <si>
    <t>SABRINA GORDIOLA</t>
  </si>
  <si>
    <t>LOS INCIENCIOS 39 39</t>
  </si>
  <si>
    <t>CORAIB100200</t>
  </si>
  <si>
    <t>Col. Sealy Perf RainbowN100x200</t>
  </si>
  <si>
    <t>R0017800288967</t>
  </si>
  <si>
    <t>Calle 20 de junio  s/n</t>
  </si>
  <si>
    <t>Coronel Mollinedo</t>
  </si>
  <si>
    <t>calles 25 de mayo y 20 de febrero</t>
  </si>
  <si>
    <t>R0017800288972</t>
  </si>
  <si>
    <t>WB3992</t>
  </si>
  <si>
    <t>MARIA CELESTE CARRERA</t>
  </si>
  <si>
    <t>B° PEREYRA ROZAS MZNA. 609B CASA 8. 0</t>
  </si>
  <si>
    <t>R0017800288992</t>
  </si>
  <si>
    <t>B47973</t>
  </si>
  <si>
    <t>CORNEJO MARIA SOLEDAD BP</t>
  </si>
  <si>
    <t>Los Carolinos 547</t>
  </si>
  <si>
    <t>LAS ROSAS Y AV DEL GOLF</t>
  </si>
  <si>
    <t>R0017800289002</t>
  </si>
  <si>
    <t>WB4266</t>
  </si>
  <si>
    <t>JUAN CRUZ GONZALEZ GIORDA</t>
  </si>
  <si>
    <t>CALLE VALENTÍN DE OLAVARRIA 226</t>
  </si>
  <si>
    <t>R0017800290050</t>
  </si>
  <si>
    <t>WB4588</t>
  </si>
  <si>
    <t>SERGIO NICOLAS FIGUEROA</t>
  </si>
  <si>
    <t>MANZANA NRO 5 VILLA COSTERA CA</t>
  </si>
  <si>
    <t>R0017800290052</t>
  </si>
  <si>
    <t>WB4540</t>
  </si>
  <si>
    <t>NICOLAS HUGO ALFONSO GARCIA</t>
  </si>
  <si>
    <t>BARRIO SAN ISIDRO MANZANA "D" CASA " 1" 00</t>
  </si>
  <si>
    <t>R0017800290073</t>
  </si>
  <si>
    <t>X16782</t>
  </si>
  <si>
    <t>cornejo gregorio</t>
  </si>
  <si>
    <t>R0017800290426</t>
  </si>
  <si>
    <t>X16753</t>
  </si>
  <si>
    <t>RAMOS ENRIQUE</t>
  </si>
  <si>
    <t>B PORTEZUELO CHICO MZA 126 CASA 5</t>
  </si>
  <si>
    <t>R0017800290439</t>
  </si>
  <si>
    <t>WB4891</t>
  </si>
  <si>
    <t>FEDERICO ROVALETTI LAGOS</t>
  </si>
  <si>
    <t>COLOMBIA 590</t>
  </si>
  <si>
    <t>R0017800290767</t>
  </si>
  <si>
    <t>WB4903</t>
  </si>
  <si>
    <t>ALBERTO RAUL CARRANZA</t>
  </si>
  <si>
    <t>barrio el bordo pasaje 1</t>
  </si>
  <si>
    <t>embarcación</t>
  </si>
  <si>
    <t>-</t>
  </si>
  <si>
    <t>Juan Domingo Peron y santos Vega</t>
  </si>
  <si>
    <t>R0017800290768</t>
  </si>
  <si>
    <t>WB4904</t>
  </si>
  <si>
    <t>CRISTIAN EDUARDO ANDRADA</t>
  </si>
  <si>
    <t>Alvarado 961</t>
  </si>
  <si>
    <t>san Ramón de la nueva Oran</t>
  </si>
  <si>
    <t>Barrio Medalla Milagrosa</t>
  </si>
  <si>
    <t>R0017800290771</t>
  </si>
  <si>
    <t>WB4981</t>
  </si>
  <si>
    <t>VELASCO LISANDRO</t>
  </si>
  <si>
    <t>Calle 9 de julio 188</t>
  </si>
  <si>
    <t>R0017800290772</t>
  </si>
  <si>
    <t>X16786</t>
  </si>
  <si>
    <t>SCACCHI</t>
  </si>
  <si>
    <t>R0017800291125</t>
  </si>
  <si>
    <t>WB5328</t>
  </si>
  <si>
    <t>Fernanda Zapana</t>
  </si>
  <si>
    <t>Pasaje gregorio velez 87</t>
  </si>
  <si>
    <t>Juramento 1550 Y Las Heras</t>
  </si>
  <si>
    <t>R0017800291494</t>
  </si>
  <si>
    <t>WB5584</t>
  </si>
  <si>
    <t>Santiago Calabró</t>
  </si>
  <si>
    <t>O’Higgins 931 931 2 A</t>
  </si>
  <si>
    <t>ENTRE: Sarmiento Y 25 de mayo</t>
  </si>
  <si>
    <t>R0017800291724</t>
  </si>
  <si>
    <t>WB5632</t>
  </si>
  <si>
    <t>MARIA MARCIA SOLEDAD GUERRERO</t>
  </si>
  <si>
    <t>OBISPO LINARES 25</t>
  </si>
  <si>
    <t>Guachipas</t>
  </si>
  <si>
    <t>R0017800291730</t>
  </si>
  <si>
    <t>X05422</t>
  </si>
  <si>
    <t>CORREA DANIELA EDITH</t>
  </si>
  <si>
    <t>BO COOPERATIVA PJE LOS ANDES  S/N</t>
  </si>
  <si>
    <t>EL CARRIEL</t>
  </si>
  <si>
    <t>R0017800291731</t>
  </si>
  <si>
    <t>X16820</t>
  </si>
  <si>
    <t>AVILA NATALIA ANTONELLA</t>
  </si>
  <si>
    <t>BARRIO PARQUE LA VEGA BLOCK 53 2 D</t>
  </si>
  <si>
    <t>R0017800291784</t>
  </si>
  <si>
    <t>X16804</t>
  </si>
  <si>
    <t>FLORES CLAUDIA</t>
  </si>
  <si>
    <t>B 25 DE MAYO LA CALDERA 868 868</t>
  </si>
  <si>
    <t>R0017800291799</t>
  </si>
  <si>
    <t>X16829</t>
  </si>
  <si>
    <t>DANY CASAP</t>
  </si>
  <si>
    <t>R0017800291802</t>
  </si>
  <si>
    <t>WB5757</t>
  </si>
  <si>
    <t>maximiliano isaac capellan</t>
  </si>
  <si>
    <t>pasaje ricardo ibazeta 504</t>
  </si>
  <si>
    <t>ENTRE: juramento Y las heras</t>
  </si>
  <si>
    <t>R0017800291805</t>
  </si>
  <si>
    <t>WB5789</t>
  </si>
  <si>
    <t>Carla  Griggio</t>
  </si>
  <si>
    <t>Psje Ntra Sra del Carmen 155</t>
  </si>
  <si>
    <t>San José de Metán</t>
  </si>
  <si>
    <t>Pueyrredon  Y San Martin</t>
  </si>
  <si>
    <t>R0017800291806</t>
  </si>
  <si>
    <t>X07520</t>
  </si>
  <si>
    <t>CORDOBA JORGE</t>
  </si>
  <si>
    <t>ESQUEL 2722</t>
  </si>
  <si>
    <t>R0017800291819</t>
  </si>
  <si>
    <t>WB5831</t>
  </si>
  <si>
    <t>Maria Angelica Brignole</t>
  </si>
  <si>
    <t>Barrio Mirasoles Manzana 485 D 13</t>
  </si>
  <si>
    <t>R0017800292240</t>
  </si>
  <si>
    <t>X16823</t>
  </si>
  <si>
    <t>SANCHEZ BORJA MAXIMILIANO</t>
  </si>
  <si>
    <t>R0017800292244</t>
  </si>
  <si>
    <t>WB5941</t>
  </si>
  <si>
    <t>Sara Juarez</t>
  </si>
  <si>
    <t>Av. Capitalismo 1938</t>
  </si>
  <si>
    <t>COMAIB140190</t>
  </si>
  <si>
    <t>Col. Telgo Maitri B140x190</t>
  </si>
  <si>
    <t>R0017800292245</t>
  </si>
  <si>
    <t>WB5956</t>
  </si>
  <si>
    <t>VICTOR ARAOZ</t>
  </si>
  <si>
    <t>FRIAS 12</t>
  </si>
  <si>
    <t>ROLDAN Y TORIBIO TEDIN</t>
  </si>
  <si>
    <t>R0017800292619</t>
  </si>
  <si>
    <t>VO5273</t>
  </si>
  <si>
    <t>MIGUEL ARCANGEL TEVEZ ML</t>
  </si>
  <si>
    <t>LAPRIDA 34</t>
  </si>
  <si>
    <t>salta y echeverria</t>
  </si>
  <si>
    <t>R0017800292626</t>
  </si>
  <si>
    <t>WB6038</t>
  </si>
  <si>
    <t>Valentina Dominguez</t>
  </si>
  <si>
    <t>Bartolomé Mitre 2398</t>
  </si>
  <si>
    <t>Arias Velasquez Y Tejada</t>
  </si>
  <si>
    <t>R0017800292988</t>
  </si>
  <si>
    <t>WB5871</t>
  </si>
  <si>
    <t>ALICIA DE LOS ANGELES CACERES</t>
  </si>
  <si>
    <t>PASAJE SIRIA 666</t>
  </si>
  <si>
    <t>R0017800292989</t>
  </si>
  <si>
    <t>WB6138</t>
  </si>
  <si>
    <t>LORENA ELIZABET ANDRADA</t>
  </si>
  <si>
    <t>barrio La pista</t>
  </si>
  <si>
    <t>Santa victoria este</t>
  </si>
  <si>
    <t>domingo estrada, y Facundo Quiroga</t>
  </si>
  <si>
    <t>R0017800293007</t>
  </si>
  <si>
    <t>WB6326</t>
  </si>
  <si>
    <t>SANDRA NATALIA SERRANO RIOS</t>
  </si>
  <si>
    <t>LAVALLE 1504 1504</t>
  </si>
  <si>
    <t>SALTA capital</t>
  </si>
  <si>
    <t>R0017800293195</t>
  </si>
  <si>
    <t>WB6276</t>
  </si>
  <si>
    <t>IRMA NATALIA ARROYO</t>
  </si>
  <si>
    <t>AVENIDA JUAN DOMINGO PERÓN 0</t>
  </si>
  <si>
    <t>P Salvador Mazza</t>
  </si>
  <si>
    <t>Belgrano y Buenos Aires</t>
  </si>
  <si>
    <t>R0017800293264</t>
  </si>
  <si>
    <t>WB5412</t>
  </si>
  <si>
    <t>FERNANDA FLORENCIA ROJAS</t>
  </si>
  <si>
    <t>DORREGO 427</t>
  </si>
  <si>
    <t>calles 25 de Mayo y La Madrid</t>
  </si>
  <si>
    <t>R0017800293273</t>
  </si>
  <si>
    <t>VC1648</t>
  </si>
  <si>
    <t>Franco L. De Juana</t>
  </si>
  <si>
    <t>av. belgrano 1185 1</t>
  </si>
  <si>
    <t>R0017800293287</t>
  </si>
  <si>
    <t>X16873</t>
  </si>
  <si>
    <t>MARCELO JAVIER ROJAS</t>
  </si>
  <si>
    <t>BLCK 48 PISO DPTO 8</t>
  </si>
  <si>
    <t>LLAMAR ANTES DE IR PORQUE NO VIVEN AHI</t>
  </si>
  <si>
    <t>R0017800293305</t>
  </si>
  <si>
    <t>VW0091</t>
  </si>
  <si>
    <t>ADELA VICTORIA SALAZAR HOMSE ML</t>
  </si>
  <si>
    <t>CALLE CORDOBA 345</t>
  </si>
  <si>
    <t>Col. Cauri Base 140x190</t>
  </si>
  <si>
    <t>San Luis y Belgrano.</t>
  </si>
  <si>
    <t>R0017800293679</t>
  </si>
  <si>
    <t>WB6689</t>
  </si>
  <si>
    <t>YOLANDA YAMILA ARJONA</t>
  </si>
  <si>
    <t>MARTINEZ ESTRADA 1790</t>
  </si>
  <si>
    <t>Av asunción y Las Bancas</t>
  </si>
  <si>
    <t>R0017800293683</t>
  </si>
  <si>
    <t>WB6857</t>
  </si>
  <si>
    <t>CANDELARIA SILVINA ANDREA BORJA</t>
  </si>
  <si>
    <t>Nevado de cachi 416</t>
  </si>
  <si>
    <t>San Luis</t>
  </si>
  <si>
    <t>Volcan Socompa y Cerro Creston</t>
  </si>
  <si>
    <t>R0017800294042</t>
  </si>
  <si>
    <t>X12489</t>
  </si>
  <si>
    <t>RAPETTI MARTIN</t>
  </si>
  <si>
    <t>dr jose catalano 0 d 7</t>
  </si>
  <si>
    <t>R0017800294044</t>
  </si>
  <si>
    <t>Provisor Fernández 276</t>
  </si>
  <si>
    <t>R0017800294048</t>
  </si>
  <si>
    <t>WB6589</t>
  </si>
  <si>
    <t>CAMILA ALEJANDRA TOCONAS</t>
  </si>
  <si>
    <t>BARTOLOME MITRE 1249 7 B</t>
  </si>
  <si>
    <t>ENTRE: 12 DE OCTUBRE  Y ANICETO LATORRE</t>
  </si>
  <si>
    <t>R0017800294060</t>
  </si>
  <si>
    <t>X13522</t>
  </si>
  <si>
    <t>MAMANI DANIEL HUGO</t>
  </si>
  <si>
    <t>JULIO ARGENTINO ROCA 15</t>
  </si>
  <si>
    <t>SALVADOR MAZZA</t>
  </si>
  <si>
    <t>CATAMARCA Y BUENOS AIRES</t>
  </si>
  <si>
    <t>Promo Regalo</t>
  </si>
  <si>
    <t>MPM-001</t>
  </si>
  <si>
    <t>Almohadilla Masajeador WAGS</t>
  </si>
  <si>
    <t>R0017800294061</t>
  </si>
  <si>
    <t>X16882</t>
  </si>
  <si>
    <t>EMILIANO ESTRADA</t>
  </si>
  <si>
    <t>PRADERAS DE SAN LORENZO MZA 19  3</t>
  </si>
  <si>
    <t>R0017800294586</t>
  </si>
  <si>
    <t>WB6491</t>
  </si>
  <si>
    <t>Facundo Montenegro</t>
  </si>
  <si>
    <t>parque la Block 54</t>
  </si>
  <si>
    <t>R0017800294595</t>
  </si>
  <si>
    <t>X11205</t>
  </si>
  <si>
    <t>alarcon ivana</t>
  </si>
  <si>
    <t>RUTA 49 KM 10 FINCA SANTA ROSA 1</t>
  </si>
  <si>
    <t>R0017800294596</t>
  </si>
  <si>
    <t>R0017800294660</t>
  </si>
  <si>
    <t>WB7166</t>
  </si>
  <si>
    <t>LOURDES VICTORIA VELAZQUEZ</t>
  </si>
  <si>
    <t>Aires de Quijano SN</t>
  </si>
  <si>
    <t>Frente al Dique Las Lomitas (Ruta 51), entrar, 1</t>
  </si>
  <si>
    <t>COWOOB200200</t>
  </si>
  <si>
    <t>Col. Sealy Est WoodsB 200x200</t>
  </si>
  <si>
    <t>R0017800294667</t>
  </si>
  <si>
    <t>X16897</t>
  </si>
  <si>
    <t>VAZQUEZ AGUSTINA ROSARIO</t>
  </si>
  <si>
    <t>BARRIO HUAICO MZA 451  26</t>
  </si>
  <si>
    <t>FRENTE A RUTA LESSER</t>
  </si>
  <si>
    <t>R0017800294668</t>
  </si>
  <si>
    <t>X00094</t>
  </si>
  <si>
    <t>INOSTROZA FEDERICO DANTE</t>
  </si>
  <si>
    <t>BARRIO SAN CARLOS MZA 15  25</t>
  </si>
  <si>
    <t>Col. Sealy Post Emerald 160x200</t>
  </si>
  <si>
    <t>JUAN PUJOL ESQ. A. BOLTA</t>
  </si>
  <si>
    <t>R0017800295124</t>
  </si>
  <si>
    <t>WB7405</t>
  </si>
  <si>
    <t>Sebastián Hector Cejas</t>
  </si>
  <si>
    <t>Barrio 1 de mayo, calle San Francisco mz 24b casa</t>
  </si>
  <si>
    <t>Paula Albarracin  Y Juan b justo</t>
  </si>
  <si>
    <t>R0017800295132</t>
  </si>
  <si>
    <t>X16901</t>
  </si>
  <si>
    <t>LUNA GABRIELA</t>
  </si>
  <si>
    <t>PALERMO 160</t>
  </si>
  <si>
    <t>GUEMES</t>
  </si>
  <si>
    <t>R0017800295133</t>
  </si>
  <si>
    <t>R0017800295279</t>
  </si>
  <si>
    <t>X16910</t>
  </si>
  <si>
    <t>BELIZAN LAURA SUSANA</t>
  </si>
  <si>
    <t>R0017800295290</t>
  </si>
  <si>
    <t>X16911</t>
  </si>
  <si>
    <t>GUZMAN DOMINGO</t>
  </si>
  <si>
    <t>ALEJANDRO GALLARDO 601</t>
  </si>
  <si>
    <t>GLACIARES</t>
  </si>
  <si>
    <t>R0017800295292</t>
  </si>
  <si>
    <t>X16914</t>
  </si>
  <si>
    <t>LEDESMA MIGUEL ANGEL</t>
  </si>
  <si>
    <t>BARRIO EL HUAICO MZA 522 B 11</t>
  </si>
  <si>
    <t>Col. Sealy EstSunshineB 150x190</t>
  </si>
  <si>
    <t>R0017800295293</t>
  </si>
  <si>
    <t>X16908</t>
  </si>
  <si>
    <t>VILLANUEVA MARIELA</t>
  </si>
  <si>
    <t>LOS YACONES 19</t>
  </si>
  <si>
    <t>R0017800295558</t>
  </si>
  <si>
    <t>X01690</t>
  </si>
  <si>
    <t>VENDRAMINI MARIA TERESA</t>
  </si>
  <si>
    <t>CACHI 431</t>
  </si>
  <si>
    <t>Alm. Sealy Lux Extra Soft70x50</t>
  </si>
  <si>
    <t>EL TIPAL</t>
  </si>
  <si>
    <t>Col. Sealy EstSunshineB 090x200</t>
  </si>
  <si>
    <t>R0017800295803</t>
  </si>
  <si>
    <t>WB7711</t>
  </si>
  <si>
    <t>LEIVA JOSE LUIS</t>
  </si>
  <si>
    <t>RUTA 934 KM 1428</t>
  </si>
  <si>
    <t>Rosario</t>
  </si>
  <si>
    <t>R0017800295818</t>
  </si>
  <si>
    <t>WB7887</t>
  </si>
  <si>
    <t>GUSTAVO ALBERTO BAZAN</t>
  </si>
  <si>
    <t>PUERTO BELGRANO 799</t>
  </si>
  <si>
    <t>R0017800295823</t>
  </si>
  <si>
    <t>WB7884</t>
  </si>
  <si>
    <t>BERTA NATALIA VEGA</t>
  </si>
  <si>
    <t>AV BELGRANO 00</t>
  </si>
  <si>
    <t>Depto la candelaria</t>
  </si>
  <si>
    <t>R0017800295829</t>
  </si>
  <si>
    <t>X16940</t>
  </si>
  <si>
    <t>CARDENAS AXEL JAVIER</t>
  </si>
  <si>
    <t>COMODORO RIVADAVIA 3130</t>
  </si>
  <si>
    <t>R0017800295830</t>
  </si>
  <si>
    <t>X16937</t>
  </si>
  <si>
    <t>TORRES JORGELINA</t>
  </si>
  <si>
    <t>CIELOS DEL VALLE MZA 3 7</t>
  </si>
  <si>
    <t>89801.50</t>
  </si>
  <si>
    <t>Base DivanSquad Jackard090x190</t>
  </si>
  <si>
    <t>R0017800295831</t>
  </si>
  <si>
    <t>X02231</t>
  </si>
  <si>
    <t>RIVERO SONIA</t>
  </si>
  <si>
    <t>B LOS PSICOLOGOS MZA 301 CASA 26</t>
  </si>
  <si>
    <t>R0017800295832</t>
  </si>
  <si>
    <t>X16935</t>
  </si>
  <si>
    <t>LORCA ANA CECILIA</t>
  </si>
  <si>
    <t>LA RIOJA 1774</t>
  </si>
  <si>
    <t>R0017800295833</t>
  </si>
  <si>
    <t>X16938</t>
  </si>
  <si>
    <t>ISSA SELIM</t>
  </si>
  <si>
    <t>GRAND BOURG RUBEN YAÑEZ 2977 1 C</t>
  </si>
  <si>
    <t>R0017800295834</t>
  </si>
  <si>
    <t>R0013400087164</t>
  </si>
  <si>
    <t>X02141</t>
  </si>
  <si>
    <t>MD SOCIEDAD DE PRODUCTORES</t>
  </si>
  <si>
    <t>CALLE 14 2</t>
  </si>
  <si>
    <t>ALM MEMORY GRID GEL 70X50</t>
  </si>
  <si>
    <t>BARRIO PRIVADO LA VERBENA</t>
  </si>
  <si>
    <t>ALM ZLOW VISCOELASTIC 60X40 CON FAJA</t>
  </si>
  <si>
    <t>R0017800296297</t>
  </si>
  <si>
    <t>WB7486</t>
  </si>
  <si>
    <t>MARIA LIA FLORES</t>
  </si>
  <si>
    <t>Calle Las Violetas al final</t>
  </si>
  <si>
    <t>R0017800296306</t>
  </si>
  <si>
    <t>WB8073</t>
  </si>
  <si>
    <t>FLAVIO NAHUEL ALARCON</t>
  </si>
  <si>
    <t>Pasaje Jorge Vázquez 170</t>
  </si>
  <si>
    <t>03868-421257</t>
  </si>
  <si>
    <t>Silverio Chavarría y jujuy</t>
  </si>
  <si>
    <t>R0017800296309</t>
  </si>
  <si>
    <t>X16944</t>
  </si>
  <si>
    <t>BURGOS MAURO</t>
  </si>
  <si>
    <t>APOLINARIO SARAVIA 232</t>
  </si>
  <si>
    <t>SOSFO080200E</t>
  </si>
  <si>
    <t>Som. S&amp;F 080x200</t>
  </si>
  <si>
    <t>FRANCISCO DE BURRUCHAGA Y DEL MILAGRO</t>
  </si>
  <si>
    <t>R0017800296489</t>
  </si>
  <si>
    <t>B48196</t>
  </si>
  <si>
    <t>Alfredo lino  Rueda</t>
  </si>
  <si>
    <t>Barrio parques nacionales calle los alisos esquin</t>
  </si>
  <si>
    <t>ENTRE: Baritu Y Alisos</t>
  </si>
  <si>
    <t>R0017800296497</t>
  </si>
  <si>
    <t>WB8117</t>
  </si>
  <si>
    <t>MOIRA AGOSTINA CARRIZO</t>
  </si>
  <si>
    <t>España 1571</t>
  </si>
  <si>
    <t>Entre calles: Martin Cornejo e Ibazeta</t>
  </si>
  <si>
    <t>R0017800296502</t>
  </si>
  <si>
    <t>WB8157</t>
  </si>
  <si>
    <t>EBER SAYA</t>
  </si>
  <si>
    <t>SAN JUAN 50</t>
  </si>
  <si>
    <t>387 452-8018</t>
  </si>
  <si>
    <t>R0017800296776</t>
  </si>
  <si>
    <t>X16958</t>
  </si>
  <si>
    <t>ONTIVEROS MARTA</t>
  </si>
  <si>
    <t>LOS LAPACHOS 245</t>
  </si>
  <si>
    <t>R0017800297067</t>
  </si>
  <si>
    <t>X10919</t>
  </si>
  <si>
    <t>DI LELLA EDMUNDO</t>
  </si>
  <si>
    <t>CASEROS 231 4 B</t>
  </si>
  <si>
    <t>R0017800297139</t>
  </si>
  <si>
    <t>VQ9019</t>
  </si>
  <si>
    <t>VICTORINO ROLANDO REYES BP WS</t>
  </si>
  <si>
    <t>25 DE May 0452</t>
  </si>
  <si>
    <t>avenida Rivadavia y sargento</t>
  </si>
  <si>
    <t>R0017800297151</t>
  </si>
  <si>
    <t>X16974</t>
  </si>
  <si>
    <t>RIOS CRISTIAN ALEJANDRO</t>
  </si>
  <si>
    <t>R0017800297152</t>
  </si>
  <si>
    <t>X16975</t>
  </si>
  <si>
    <t>NUÑEZ RAMON</t>
  </si>
  <si>
    <t>R0017800297153</t>
  </si>
  <si>
    <t>X16971</t>
  </si>
  <si>
    <t>YAEL DANILOWICZ</t>
  </si>
  <si>
    <t>PEREZ GALDO 156</t>
  </si>
  <si>
    <t>Alm. Zlow Confort 70X50</t>
  </si>
  <si>
    <t>SAN JOSE</t>
  </si>
  <si>
    <t>R0017800297154</t>
  </si>
  <si>
    <t>X16966</t>
  </si>
  <si>
    <t>PARADA BLANCA ROSA</t>
  </si>
  <si>
    <t>BARRIO EL HUAICO MZA 458 B 21</t>
  </si>
  <si>
    <t>R0017800298060</t>
  </si>
  <si>
    <t>WB8692</t>
  </si>
  <si>
    <t>Araceli Arjona</t>
  </si>
  <si>
    <t>av república de Chile  371</t>
  </si>
  <si>
    <t>R0017800298195</t>
  </si>
  <si>
    <t>EL PRADO ECOVILLAGE 10</t>
  </si>
  <si>
    <t>BRDI50190904</t>
  </si>
  <si>
    <t>R0017800298208</t>
  </si>
  <si>
    <t>X08284</t>
  </si>
  <si>
    <t>WILDE PATRICIA BP</t>
  </si>
  <si>
    <t>B 238 VIVIENDAS MZA 96C CASA 5</t>
  </si>
  <si>
    <t>R0017800298472</t>
  </si>
  <si>
    <t>VW9644</t>
  </si>
  <si>
    <t>Veronica Guantay</t>
  </si>
  <si>
    <t>Calle Sarmiento S/N S/N</t>
  </si>
  <si>
    <t>Santa Victoria Este</t>
  </si>
  <si>
    <t>R0017800298475</t>
  </si>
  <si>
    <t>WB8877</t>
  </si>
  <si>
    <t>Oscar Luna</t>
  </si>
  <si>
    <t>Los Fresnos 498</t>
  </si>
  <si>
    <t>R0017800298476</t>
  </si>
  <si>
    <t>R0017800298477</t>
  </si>
  <si>
    <t>WB8883</t>
  </si>
  <si>
    <t>Roxana Alejandra Mendoza</t>
  </si>
  <si>
    <t>Jorge Cafrune Mz 40 C lote 18</t>
  </si>
  <si>
    <t>R0017800298482</t>
  </si>
  <si>
    <t>H15598</t>
  </si>
  <si>
    <t>PAILOS MARIA SOLEDAD</t>
  </si>
  <si>
    <t>Avenida del Bicentenario de la Batalla de Salta 2</t>
  </si>
  <si>
    <t>A4408</t>
  </si>
  <si>
    <t>LOS TILOS Y TRES CERRITOS</t>
  </si>
  <si>
    <t>CAMRESW10140190</t>
  </si>
  <si>
    <t>Cama Respaldo Handy Gris 140x190</t>
  </si>
  <si>
    <t>R0017800298483</t>
  </si>
  <si>
    <t>WB8903</t>
  </si>
  <si>
    <t>Guadalupe Estefania la Aban BP</t>
  </si>
  <si>
    <t>Barrio san Calixto 000</t>
  </si>
  <si>
    <t>Entre Mar Egeo y Mar argentino</t>
  </si>
  <si>
    <t>R0017800298490</t>
  </si>
  <si>
    <t>X17014</t>
  </si>
  <si>
    <t>IBARRA CONDORI ROBERTO</t>
  </si>
  <si>
    <t>OUTES 1685</t>
  </si>
  <si>
    <t>PORTON GRIS</t>
  </si>
  <si>
    <t>R0017800298503</t>
  </si>
  <si>
    <t>WB8932</t>
  </si>
  <si>
    <t>Eliseo marcelo Cordoba</t>
  </si>
  <si>
    <t>arenales 1121</t>
  </si>
  <si>
    <t>ENTRE: Av. Sarmiento  Y Alvear</t>
  </si>
  <si>
    <t>R0017800298505</t>
  </si>
  <si>
    <t>R0017800300547</t>
  </si>
  <si>
    <t>R0017800301374</t>
  </si>
  <si>
    <t>X17075</t>
  </si>
  <si>
    <t>VERCELLINO PAOLA X</t>
  </si>
  <si>
    <t>R0017800301073</t>
  </si>
  <si>
    <t>ML0534</t>
  </si>
  <si>
    <t>ISMAEL MAXIMILIANO LLANO</t>
  </si>
  <si>
    <t>R0017800301358</t>
  </si>
  <si>
    <t>WB8413</t>
  </si>
  <si>
    <t>MARCELO HORACIO INSAURRALDE</t>
  </si>
  <si>
    <t>R0017800301375</t>
  </si>
  <si>
    <t>WB9549</t>
  </si>
  <si>
    <t>Ramiro Estefano Enriquez</t>
  </si>
  <si>
    <t>R0017800301363</t>
  </si>
  <si>
    <t>X17069</t>
  </si>
  <si>
    <t>aguilar javier</t>
  </si>
  <si>
    <t>R0017800301352</t>
  </si>
  <si>
    <t>B48413</t>
  </si>
  <si>
    <t>MARIA VIRGINIA MIRANDA BP</t>
  </si>
  <si>
    <t>R0017800300546</t>
  </si>
  <si>
    <t>R0017800301351</t>
  </si>
  <si>
    <t>R0017800302290</t>
  </si>
  <si>
    <t>ML0759</t>
  </si>
  <si>
    <t>ALDANA FLORENCIA GRAMAJO BALLON</t>
  </si>
  <si>
    <t>ANICETO LATORRE 2559</t>
  </si>
  <si>
    <t>R0017800302294</t>
  </si>
  <si>
    <t>R0017800302295</t>
  </si>
  <si>
    <t>X17090</t>
  </si>
  <si>
    <t>SANGUEDELCHE CAROLINA</t>
  </si>
  <si>
    <t>E. Janin 1970</t>
  </si>
  <si>
    <t>R0017800302326</t>
  </si>
  <si>
    <t>ML1221</t>
  </si>
  <si>
    <t>JAVIER JOSE GONZALEZ</t>
  </si>
  <si>
    <t>BARRIO 1 DE MAYO MZNA</t>
  </si>
  <si>
    <t>general Güemes</t>
  </si>
  <si>
    <t>R0017800302339</t>
  </si>
  <si>
    <t>ML1297</t>
  </si>
  <si>
    <t>FERNANDO RODRIGO FABIO CALPANCHAY</t>
  </si>
  <si>
    <t>barrio Fonavi Manzana A Casa 6</t>
  </si>
  <si>
    <t>S ANTO DE LOS COBRES</t>
  </si>
  <si>
    <t>R0017800302346</t>
  </si>
  <si>
    <t>K06926</t>
  </si>
  <si>
    <t>BUCCA CARLOS NICOLAS BC</t>
  </si>
  <si>
    <t>Los Membrillos 44</t>
  </si>
  <si>
    <t>los paraisos y las higueras</t>
  </si>
  <si>
    <t>R0017800302286</t>
  </si>
  <si>
    <t>WB9260</t>
  </si>
  <si>
    <t>BERRUEZO GILABERT IGNACIO NICOLAS</t>
  </si>
  <si>
    <t>La trini Lote 71</t>
  </si>
  <si>
    <t>R0017800302310</t>
  </si>
  <si>
    <t>WB9835</t>
  </si>
  <si>
    <t>Franco Maximiliano Fernandez</t>
  </si>
  <si>
    <t>Barrio el huaico Manzana 484b Torre C Planta Baja</t>
  </si>
  <si>
    <t>ENTRE: Jose povolo  Y Esq calle k</t>
  </si>
  <si>
    <t>R0017800302325</t>
  </si>
  <si>
    <t>ML1220</t>
  </si>
  <si>
    <t>PABLO FACUNDO BLESA</t>
  </si>
  <si>
    <t>Urquiza 1282</t>
  </si>
  <si>
    <t>general paz y gorriti</t>
  </si>
  <si>
    <t>R0017800302657</t>
  </si>
  <si>
    <t>ML1522</t>
  </si>
  <si>
    <t>ALDO RENE RODRIGUEZ</t>
  </si>
  <si>
    <t>Av. los constituyentes 672</t>
  </si>
  <si>
    <t>S R de la nueva oran</t>
  </si>
  <si>
    <t>Pueyrredón y Córdoba N678</t>
  </si>
  <si>
    <t>R0017800302658</t>
  </si>
  <si>
    <t>Av los constituyentes 672</t>
  </si>
  <si>
    <t>Entre Pueyrredón y Córdoba N°678</t>
  </si>
  <si>
    <t>R0017800302661</t>
  </si>
  <si>
    <t>WC0071</t>
  </si>
  <si>
    <t>Christian Damian Bauer Abraham</t>
  </si>
  <si>
    <t>Parque la Vega block 35</t>
  </si>
  <si>
    <t>R0017800302663</t>
  </si>
  <si>
    <t>WC0092</t>
  </si>
  <si>
    <t>Santiago Pedroza</t>
  </si>
  <si>
    <t>san Martin 0</t>
  </si>
  <si>
    <t>Urundel</t>
  </si>
  <si>
    <t>R0017800302664</t>
  </si>
  <si>
    <t>WC0073</t>
  </si>
  <si>
    <t>NELLY MARIA CIELO SANDOVAL</t>
  </si>
  <si>
    <t>PUEYRREDON 3042</t>
  </si>
  <si>
    <t>R0017800302911</t>
  </si>
  <si>
    <t>ML1629</t>
  </si>
  <si>
    <t>EDGAR EMMANUEL HUMACATA</t>
  </si>
  <si>
    <t>REYES CATOLICOS 10</t>
  </si>
  <si>
    <t>ROSARIO DE LA FRONTE</t>
  </si>
  <si>
    <t>AV LAVALLE Y LOS NOGALES</t>
  </si>
  <si>
    <t>R0017800303713</t>
  </si>
  <si>
    <t>ML1843</t>
  </si>
  <si>
    <t>SEBASTIAN JULIO DIAZ</t>
  </si>
  <si>
    <t>FRANCO SOSA 1379</t>
  </si>
  <si>
    <t>R0017800303715</t>
  </si>
  <si>
    <t>ML1880</t>
  </si>
  <si>
    <t>CAROLINA ISABEL LEZCANO</t>
  </si>
  <si>
    <t>PASAJE MATHEU 543</t>
  </si>
  <si>
    <t>La Nueva Oran</t>
  </si>
  <si>
    <t>Alvear  Laprida</t>
  </si>
  <si>
    <t>R0017800302320</t>
  </si>
  <si>
    <t>WB9862</t>
  </si>
  <si>
    <t>David alejandro Escalante</t>
  </si>
  <si>
    <t>Alejandro fabrega 1631</t>
  </si>
  <si>
    <t>Heremegildo diaz Y Mariano saravia</t>
  </si>
  <si>
    <t>R0017800302345</t>
  </si>
  <si>
    <t>WC0003</t>
  </si>
  <si>
    <t>Susana Vila</t>
  </si>
  <si>
    <t>Las Chascas 1741</t>
  </si>
  <si>
    <t>R0017800302356</t>
  </si>
  <si>
    <t>WC0040</t>
  </si>
  <si>
    <t>Rosario Chiericotti</t>
  </si>
  <si>
    <t>Lucio Mansilla 450</t>
  </si>
  <si>
    <t>COMDCB080190</t>
  </si>
  <si>
    <t>R0017800304033</t>
  </si>
  <si>
    <t>ML2028</t>
  </si>
  <si>
    <t>MARTINA MABEL FLORES</t>
  </si>
  <si>
    <t>9 de July 0594</t>
  </si>
  <si>
    <t>9 de julio y maipu</t>
  </si>
  <si>
    <t>R0017800304039</t>
  </si>
  <si>
    <t>ML2079</t>
  </si>
  <si>
    <t>RAMIRO SEBASTIAN LOPEZ</t>
  </si>
  <si>
    <t>Villa Palacios blok 43</t>
  </si>
  <si>
    <t>Av. Cornelio Saavedra y c 184</t>
  </si>
  <si>
    <t>R0017800304040</t>
  </si>
  <si>
    <t>ML2094</t>
  </si>
  <si>
    <t>FEDERICO NORMANDO GUDIÑO</t>
  </si>
  <si>
    <t>LA CAPITAL DE MDP 2330</t>
  </si>
  <si>
    <t>E/clarín y la nación</t>
  </si>
  <si>
    <t>R0017800304049</t>
  </si>
  <si>
    <t>WC0312</t>
  </si>
  <si>
    <t>Pablo Andrés Diaz</t>
  </si>
  <si>
    <t>Talcahuano 821</t>
  </si>
  <si>
    <t>R0017800304050</t>
  </si>
  <si>
    <t>WC0315</t>
  </si>
  <si>
    <t>Luz maria  Vellido palazon</t>
  </si>
  <si>
    <t>pasaje soria 1958</t>
  </si>
  <si>
    <t>R0017800304053</t>
  </si>
  <si>
    <t>X11717</t>
  </si>
  <si>
    <t>JABIF JESICA</t>
  </si>
  <si>
    <t>CORONEL MOLDES 642</t>
  </si>
  <si>
    <t>R0017800304791</t>
  </si>
  <si>
    <t>ML2277</t>
  </si>
  <si>
    <t>ALEXANDER ANIBAL PORTAL</t>
  </si>
  <si>
    <t>Calle la azalea 0</t>
  </si>
  <si>
    <t>esquina la glicinas</t>
  </si>
  <si>
    <t>R0017800304795</t>
  </si>
  <si>
    <t>X17064</t>
  </si>
  <si>
    <t>ARIAS ORTENCIA RITA</t>
  </si>
  <si>
    <t>B ROBERTO ROMERO CALLE LOS APES MZA 149 LOTE 15</t>
  </si>
  <si>
    <t>COSFNC140190</t>
  </si>
  <si>
    <t>Col. S&amp;F Prest.Net V25 140x190</t>
  </si>
  <si>
    <t>R0017800304796</t>
  </si>
  <si>
    <t>R0017800304819</t>
  </si>
  <si>
    <t>X17176</t>
  </si>
  <si>
    <t>MAGDALENA PEIRANO</t>
  </si>
  <si>
    <t>VILLA SAN LORENZO-VENEZUELA 200</t>
  </si>
  <si>
    <t>HAITI Y COLOMBIA</t>
  </si>
  <si>
    <t>R0017800305073</t>
  </si>
  <si>
    <t>WC0503</t>
  </si>
  <si>
    <t>Martina Costa</t>
  </si>
  <si>
    <t>San Juan 159</t>
  </si>
  <si>
    <t>R0017800305074</t>
  </si>
  <si>
    <t>WC0548</t>
  </si>
  <si>
    <t>María Fernanda  Cejas</t>
  </si>
  <si>
    <t>ameguino 550</t>
  </si>
  <si>
    <t>R0017800305080</t>
  </si>
  <si>
    <t>ML2471</t>
  </si>
  <si>
    <t>AYLEN CANDELA MARTINEZ CAÑIZARES</t>
  </si>
  <si>
    <t>Barrio el sol Mza</t>
  </si>
  <si>
    <t>R0017800305489</t>
  </si>
  <si>
    <t>VZ3656</t>
  </si>
  <si>
    <t>Rocío de los Ángeles  Ramos</t>
  </si>
  <si>
    <t>Alm. Zlow SyntheticDuvet 70x50</t>
  </si>
  <si>
    <t>R0017800305502</t>
  </si>
  <si>
    <t>X17197</t>
  </si>
  <si>
    <t>IVAN DANIEL CARO</t>
  </si>
  <si>
    <t>BARRIO 14 DE MAYO MZA 251B 26</t>
  </si>
  <si>
    <t>Col. Sealy Post Quartz 160x200</t>
  </si>
  <si>
    <t>R0017800305799</t>
  </si>
  <si>
    <t>WB9827</t>
  </si>
  <si>
    <t>Natalia Arias</t>
  </si>
  <si>
    <t>Pje quebrada de san lorenzo Lote 22</t>
  </si>
  <si>
    <t>ENTRE: Quebrada del toro Y Escoipe</t>
  </si>
  <si>
    <t>R0017800305800</t>
  </si>
  <si>
    <t>WB9978</t>
  </si>
  <si>
    <t>Ana Sandra  López</t>
  </si>
  <si>
    <t>peatonal G 20</t>
  </si>
  <si>
    <t>Metan</t>
  </si>
  <si>
    <t>R0017800305827</t>
  </si>
  <si>
    <t>X17204</t>
  </si>
  <si>
    <t>BALOG CINTIA</t>
  </si>
  <si>
    <t>MITRE 2430</t>
  </si>
  <si>
    <t>VELAZQUES Y BENITEZ</t>
  </si>
  <si>
    <t>R0017800305828</t>
  </si>
  <si>
    <t>X17207</t>
  </si>
  <si>
    <t>VIVEROS MATORRAS RICARDO FERNANDO</t>
  </si>
  <si>
    <t>B MIRASOLES MZA 486B CASA 1</t>
  </si>
  <si>
    <t>R0017800306101</t>
  </si>
  <si>
    <t>ML2814</t>
  </si>
  <si>
    <t>HIDALGO MARTIN</t>
  </si>
  <si>
    <t>AVENIDA INDEPENDENCIA 420</t>
  </si>
  <si>
    <t>taller EL CORDOBÉS</t>
  </si>
  <si>
    <t>R0017800306105</t>
  </si>
  <si>
    <t>WC0895</t>
  </si>
  <si>
    <t>Ana Jorgelina Figueroa</t>
  </si>
  <si>
    <t>Alsina 728</t>
  </si>
  <si>
    <t>R0017800306230</t>
  </si>
  <si>
    <t>WC0990</t>
  </si>
  <si>
    <t>ACHAVAL MARTIN DANIEL</t>
  </si>
  <si>
    <t>Rivadavia 450 1 11 torre C</t>
  </si>
  <si>
    <t>ENTRE: Buenos Aires  Y Rio piedras</t>
  </si>
  <si>
    <t>R0017800306841</t>
  </si>
  <si>
    <t>K06861</t>
  </si>
  <si>
    <t>RUSSO MAURICIO BP</t>
  </si>
  <si>
    <t>RUTA NACIONAL 40 4340</t>
  </si>
  <si>
    <t>Alm. Zlow Viscoelastic 80x40</t>
  </si>
  <si>
    <t>LA ESTANCIA DE CAFAYATE</t>
  </si>
  <si>
    <t>R0017800307843</t>
  </si>
  <si>
    <t>ML3244</t>
  </si>
  <si>
    <t>PABLO IVAN LUNA</t>
  </si>
  <si>
    <t>B° SANTA CECILIA MZA F CASA 11</t>
  </si>
  <si>
    <t>GRUPO 115 0</t>
  </si>
  <si>
    <t>R0017800307853</t>
  </si>
  <si>
    <t>ML3334</t>
  </si>
  <si>
    <t>LUCAS NAHUEL ALFREDO ROBLES</t>
  </si>
  <si>
    <t>BARRIO 80 VIVIENDAS MANZANA A</t>
  </si>
  <si>
    <t>calle 12 de octubre</t>
  </si>
  <si>
    <t>R0017800308133</t>
  </si>
  <si>
    <t>COQUAA090200</t>
  </si>
  <si>
    <t>Col. Sealy Post Quartz 090x200</t>
  </si>
  <si>
    <t>R0017800308447</t>
  </si>
  <si>
    <t>X17254</t>
  </si>
  <si>
    <t>GARZON SERGIO</t>
  </si>
  <si>
    <t>PJE LOS CARDONES 3374 1 2</t>
  </si>
  <si>
    <t>R0017800308791</t>
  </si>
  <si>
    <t>X17257</t>
  </si>
  <si>
    <t>AVILA GUSTAVO MAXIMILIANO</t>
  </si>
  <si>
    <t>HOGGIGINS 937 B 5</t>
  </si>
  <si>
    <t>TORRE DE ATRAS</t>
  </si>
  <si>
    <t>R0017800309199</t>
  </si>
  <si>
    <t>WC1266</t>
  </si>
  <si>
    <t>Dora angélica  Centeno</t>
  </si>
  <si>
    <t>Flavio García 1284</t>
  </si>
  <si>
    <t>R0017800310296</t>
  </si>
  <si>
    <t>TL0351</t>
  </si>
  <si>
    <t>Gonzalo Torres Riquelme</t>
  </si>
  <si>
    <t>Alsina 171</t>
  </si>
  <si>
    <t>COCHCA160200</t>
  </si>
  <si>
    <t>Col. Sealy Cocoon Hybrid Cloud 160x200</t>
  </si>
  <si>
    <t>no llego a salta</t>
  </si>
  <si>
    <t>R0017800310604</t>
  </si>
  <si>
    <t>X17283</t>
  </si>
  <si>
    <t>LAURA PEDRAZA</t>
  </si>
  <si>
    <t>AV REYES CATOLICOS 1469</t>
  </si>
  <si>
    <t>R0017800310605</t>
  </si>
  <si>
    <t>COCHCA140190</t>
  </si>
  <si>
    <t>Col. Sealy Cocoon Hybrid Cloud 140x190</t>
  </si>
  <si>
    <t>R0017800310614</t>
  </si>
  <si>
    <t>X17285</t>
  </si>
  <si>
    <t>MARINA TAMBORINI</t>
  </si>
  <si>
    <t>B PORTAL DE LESSER-MZA 468 A LOTE 16</t>
  </si>
  <si>
    <t>COCHCA180200</t>
  </si>
  <si>
    <t>Col. Sealy Cocoon Hybrid Cloud 180x200</t>
  </si>
  <si>
    <t>AGUSTIN TOSCO-ENTRE AMRMANDO TILCA Y MIGUEL AVILA</t>
  </si>
  <si>
    <t>R0017800310935</t>
  </si>
  <si>
    <t>ML4018</t>
  </si>
  <si>
    <t>MARTIN DANIEL PACO</t>
  </si>
  <si>
    <t>BARRIO SANTA TERESITA</t>
  </si>
  <si>
    <t>R0017800311470</t>
  </si>
  <si>
    <t>B48790</t>
  </si>
  <si>
    <t>FABRONI LUCIANA BP</t>
  </si>
  <si>
    <t>Avenida General Güemes 0 0 0</t>
  </si>
  <si>
    <t>El Quebrachal</t>
  </si>
  <si>
    <t>COCHCA200200</t>
  </si>
  <si>
    <t>Col. Sealy Cocoon Hybrid Cloud 200x200</t>
  </si>
  <si>
    <t>tucuman y avd guemes</t>
  </si>
  <si>
    <t>R0017800311481</t>
  </si>
  <si>
    <t>ML4068</t>
  </si>
  <si>
    <t>GONZALO LAUTARO CRUZ</t>
  </si>
  <si>
    <t>Barrio Pueblo SN</t>
  </si>
  <si>
    <t>San Antonio Cobres</t>
  </si>
  <si>
    <t>barrio pueblo nuevo frente del río</t>
  </si>
  <si>
    <t>R0017800311503</t>
  </si>
  <si>
    <t>ML4235</t>
  </si>
  <si>
    <t>OLGA NATIVIDAD ALZOGARAY</t>
  </si>
  <si>
    <t>RIVADAVIA 62 H CASA 4</t>
  </si>
  <si>
    <t>Hipolito Yrigoye</t>
  </si>
  <si>
    <t>R0017800311514</t>
  </si>
  <si>
    <t>WC1565</t>
  </si>
  <si>
    <t>Ricardo Abel Muñoz</t>
  </si>
  <si>
    <t>Laprida 389</t>
  </si>
  <si>
    <t>R0017800311518</t>
  </si>
  <si>
    <t>X17309</t>
  </si>
  <si>
    <t>GUERRA NATALIA RAQUEL</t>
  </si>
  <si>
    <t>JULIO CATALAN 540</t>
  </si>
  <si>
    <t>COMSPA100190</t>
  </si>
  <si>
    <t>Col. Meyer Sleep Plus 100x190</t>
  </si>
  <si>
    <t>R0017800311534</t>
  </si>
  <si>
    <t>ML4380</t>
  </si>
  <si>
    <t>ADOLFO BARRIOÓS</t>
  </si>
  <si>
    <t>SARMIENTO</t>
  </si>
  <si>
    <t xml:space="preserve">devolucion </t>
  </si>
  <si>
    <t>R0017800311537</t>
  </si>
  <si>
    <t>ML4395</t>
  </si>
  <si>
    <t>NOEMI DEL CARMEN SARAVIA</t>
  </si>
  <si>
    <t>AVENIDA BELGRANO NORTE 0</t>
  </si>
  <si>
    <t>Los Blancos</t>
  </si>
  <si>
    <t>R0017800311541</t>
  </si>
  <si>
    <t>VB0632</t>
  </si>
  <si>
    <t>carlos octavio poma vasmulaky</t>
  </si>
  <si>
    <t>20 DE February 0387</t>
  </si>
  <si>
    <t>R0017800311543</t>
  </si>
  <si>
    <t>WC1604</t>
  </si>
  <si>
    <t>Joel Rueda</t>
  </si>
  <si>
    <t>Bo San Ignacio mza 11 casa 20</t>
  </si>
  <si>
    <t>R0017800311548</t>
  </si>
  <si>
    <t>ML4063</t>
  </si>
  <si>
    <t>NOELIA CAMILA MALDONADO</t>
  </si>
  <si>
    <t>AVENIDA BELGRANO 1185</t>
  </si>
  <si>
    <t>Marcelo T. De Alvear y Dr. Adolfo Güemes</t>
  </si>
  <si>
    <t>R0017800313032</t>
  </si>
  <si>
    <t>ML4807</t>
  </si>
  <si>
    <t>ARIEL FERNANDO TORRICO</t>
  </si>
  <si>
    <t>J. A FERNANDEZ 1199</t>
  </si>
  <si>
    <t>esquina Dávalos</t>
  </si>
  <si>
    <t>R0017800313037</t>
  </si>
  <si>
    <t>ML4875</t>
  </si>
  <si>
    <t>ERICA DAIANA ALE</t>
  </si>
  <si>
    <t>JUAN CARLOS DAVALOS 17</t>
  </si>
  <si>
    <t>villa balcón</t>
  </si>
  <si>
    <t>R0017800313814</t>
  </si>
  <si>
    <t>WC1886</t>
  </si>
  <si>
    <t>María Constanza  Guerrero</t>
  </si>
  <si>
    <t>Los Ceibos 185Salta, Argentina 185</t>
  </si>
  <si>
    <t>ENTRE: Los lapachos  Y Los eucaliptos</t>
  </si>
  <si>
    <t>R0017800313819</t>
  </si>
  <si>
    <t>ML5010</t>
  </si>
  <si>
    <t>MARIO LEOPOLDO HOYOS</t>
  </si>
  <si>
    <t>REMEDIO DE ESCALADA 160</t>
  </si>
  <si>
    <t>R0017800313820</t>
  </si>
  <si>
    <t>ML5028</t>
  </si>
  <si>
    <t>CESAR AUGUSTO AGUIRRE</t>
  </si>
  <si>
    <t>VIRGILIO NÚÑEZ 3</t>
  </si>
  <si>
    <t>La viña</t>
  </si>
  <si>
    <t>e/ Almirante Brown y San Martín</t>
  </si>
  <si>
    <t>R0017800313831</t>
  </si>
  <si>
    <t>ML5118</t>
  </si>
  <si>
    <t>CRISTIAN JORGE LEZCANO</t>
  </si>
  <si>
    <t>AVENIDA GÜEMES 00</t>
  </si>
  <si>
    <t>E/ 25 de mayo y 20 de junio</t>
  </si>
  <si>
    <t>R0017800313862</t>
  </si>
  <si>
    <t>WC2125</t>
  </si>
  <si>
    <t>Adriana Nuñez</t>
  </si>
  <si>
    <t>Avda juan b justo 456</t>
  </si>
  <si>
    <t>R0017800313872</t>
  </si>
  <si>
    <t>WC1991</t>
  </si>
  <si>
    <t>Maria Ayelen  Angel</t>
  </si>
  <si>
    <t>Gato y Mancha 2</t>
  </si>
  <si>
    <t>BRCOMDCB140190</t>
  </si>
  <si>
    <t>Col. Meyer DreamCompact (BR) 140x190</t>
  </si>
  <si>
    <t>R0017800313880</t>
  </si>
  <si>
    <t>WC2089</t>
  </si>
  <si>
    <t>Jorge Alvarez</t>
  </si>
  <si>
    <t>Barrio 17 De Octubre mza 385A casa 15 15</t>
  </si>
  <si>
    <t>ENTRE: 21</t>
  </si>
  <si>
    <t>R0017800314326</t>
  </si>
  <si>
    <t>R0017800314366</t>
  </si>
  <si>
    <t>WC2348</t>
  </si>
  <si>
    <t>Constanza Oliveros</t>
  </si>
  <si>
    <t>Bº chachapoyas 102 A 13</t>
  </si>
  <si>
    <t>ENTRE: av. constitución</t>
  </si>
  <si>
    <t>R0017800314371</t>
  </si>
  <si>
    <t>WC2563</t>
  </si>
  <si>
    <t>Facundo Agustín  Garnica salto</t>
  </si>
  <si>
    <t>Avenida autodromo 99</t>
  </si>
  <si>
    <t>ENTRE: Hornos  Y Darwin</t>
  </si>
  <si>
    <t>R0017800314385</t>
  </si>
  <si>
    <t>WC2380</t>
  </si>
  <si>
    <t>Marina Leguizamon</t>
  </si>
  <si>
    <t>Pje alberdi casa 3. Fonavi 2</t>
  </si>
  <si>
    <t>Gaona</t>
  </si>
  <si>
    <t>R0017800314392</t>
  </si>
  <si>
    <t>San Luis 1251, Embarcacion, Salta, Argentina 1251</t>
  </si>
  <si>
    <t>Chacabuco  Y Mota botello</t>
  </si>
  <si>
    <t>R0017800314407</t>
  </si>
  <si>
    <t>WC2622</t>
  </si>
  <si>
    <t>Aldana Rosales</t>
  </si>
  <si>
    <t>1°de mayo 180</t>
  </si>
  <si>
    <t>BRCOMDCB090190</t>
  </si>
  <si>
    <t>Col. Meyer DreamCompact (BR) 090x190</t>
  </si>
  <si>
    <t>R0017800314411</t>
  </si>
  <si>
    <t>WC2327</t>
  </si>
  <si>
    <t>MARCELO RAMON Sacca</t>
  </si>
  <si>
    <t>Boulevard San Juan 217</t>
  </si>
  <si>
    <t>BRCOMDCB080190</t>
  </si>
  <si>
    <t>Col. Meyer DreamCompact (BR) 080x190</t>
  </si>
  <si>
    <t>R0017800314423</t>
  </si>
  <si>
    <t>TL0537</t>
  </si>
  <si>
    <t>Noemi Alicia  Girard</t>
  </si>
  <si>
    <t>Alvarado 78 4 B</t>
  </si>
  <si>
    <t>ENTRE: Hipolito Yrigoyen Y Lavalle</t>
  </si>
  <si>
    <t>R0017800314431</t>
  </si>
  <si>
    <t>X17378</t>
  </si>
  <si>
    <t>RAMON CASTRO</t>
  </si>
  <si>
    <t>B SOLIDARIDAD-MZA 465 B-LOTE 8-ETAPA 3</t>
  </si>
  <si>
    <t>Jgo. Sabanas M.CottonFull Blanco</t>
  </si>
  <si>
    <t>SET X2 Almohadas Promo Essential</t>
  </si>
  <si>
    <t>13-ED266</t>
  </si>
  <si>
    <t>Plumón QueenBl ZlowEfectoDuvet</t>
  </si>
  <si>
    <t>R0017800314832</t>
  </si>
  <si>
    <t>ML5068</t>
  </si>
  <si>
    <t>AYELÉN LISANA MARICEL MAMANI</t>
  </si>
  <si>
    <t>CALLE CALIXTO GAUNA 1175</t>
  </si>
  <si>
    <t>BRCOCCCC140190</t>
  </si>
  <si>
    <t>Col. Sealy Chill Box (BR) 140x190</t>
  </si>
  <si>
    <t>entre Leguizamon y bolivar</t>
  </si>
  <si>
    <t>R0017800314837</t>
  </si>
  <si>
    <t>WC2642</t>
  </si>
  <si>
    <t>Florencia Marañon</t>
  </si>
  <si>
    <t>barrio estacion alvarado</t>
  </si>
  <si>
    <t>R0017800314843</t>
  </si>
  <si>
    <t>Brio estacion Alvarado</t>
  </si>
  <si>
    <t>R0017800314845</t>
  </si>
  <si>
    <t>WC2733</t>
  </si>
  <si>
    <t>Lila noemi Lopez</t>
  </si>
  <si>
    <t>Coronel Moldes 182</t>
  </si>
  <si>
    <t>R0017800314848</t>
  </si>
  <si>
    <t>WC2621</t>
  </si>
  <si>
    <t>Lourdes Palomino</t>
  </si>
  <si>
    <t>Calle Radio Chaco 47</t>
  </si>
  <si>
    <t>R0017800314850</t>
  </si>
  <si>
    <t>X14398</t>
  </si>
  <si>
    <t>SOSA NORBERTO ESTEBAN</t>
  </si>
  <si>
    <t>b juan pablo 2 -block 15 -dpto 16</t>
  </si>
  <si>
    <t>COCHCA080190</t>
  </si>
  <si>
    <t>Col. Sealy Cocoon Hybrid Cloud 080x190</t>
  </si>
  <si>
    <t>R0017800314852</t>
  </si>
  <si>
    <t>ML5644</t>
  </si>
  <si>
    <t>FACUNDO EZEQUIEL BENITEZ</t>
  </si>
  <si>
    <t>GRUPO 648 MNZN 30 CASA 12</t>
  </si>
  <si>
    <t>R0017800314862</t>
  </si>
  <si>
    <t>ML5718</t>
  </si>
  <si>
    <t>MARIA LAURA CUELLAR</t>
  </si>
  <si>
    <t>MARIANO MORENO 525</t>
  </si>
  <si>
    <t>e/ Congreso y 1° Junta</t>
  </si>
  <si>
    <t>R0017800314863</t>
  </si>
  <si>
    <t>ML5722</t>
  </si>
  <si>
    <t>ANDREA DEL VALLE VILLAFAÑE</t>
  </si>
  <si>
    <t>MANZANA 531 B CASA 9 0</t>
  </si>
  <si>
    <t>Barrio el huaico</t>
  </si>
  <si>
    <t>R0017800314885</t>
  </si>
  <si>
    <t>ML5838</t>
  </si>
  <si>
    <t>JULIA ELENA</t>
  </si>
  <si>
    <t>FEDERICO LACROZE 1160</t>
  </si>
  <si>
    <t>R0017800315443</t>
  </si>
  <si>
    <t>ML5843</t>
  </si>
  <si>
    <t>CARLOS ALBERTO SILVERA</t>
  </si>
  <si>
    <t>OHIGGINS 1933</t>
  </si>
  <si>
    <t>R0017800315458</t>
  </si>
  <si>
    <t>ML5867</t>
  </si>
  <si>
    <t>MARIA MICAELA GONZALEZ</t>
  </si>
  <si>
    <t>ZUVIRIA 2994</t>
  </si>
  <si>
    <t>Zuviria casi esquina pedriel</t>
  </si>
  <si>
    <t>R0017800315472</t>
  </si>
  <si>
    <t>ML6065</t>
  </si>
  <si>
    <t>LEONARDO EZEQUIEL LAMAS</t>
  </si>
  <si>
    <t>CALLE MIGUEL RAGONE LOTE 3</t>
  </si>
  <si>
    <t>Entre calles: Los Círculos y Av. Quebradeño</t>
  </si>
  <si>
    <t>R 0017800314330</t>
  </si>
  <si>
    <t>WC1777</t>
  </si>
  <si>
    <t>Facundo Aybar</t>
  </si>
  <si>
    <t>Bartolomé Mitre 1256</t>
  </si>
  <si>
    <t>R 0017800314405</t>
  </si>
  <si>
    <t>WC2317</t>
  </si>
  <si>
    <t>Sebastian Palopoli</t>
  </si>
  <si>
    <t>Olegario Victori Andrade 1024</t>
  </si>
  <si>
    <t>R 0017800314432</t>
  </si>
  <si>
    <t>X17368</t>
  </si>
  <si>
    <t>CLEMENTEL NOELIA</t>
  </si>
  <si>
    <t>B PORTAL ZONA SUR CASA 10</t>
  </si>
  <si>
    <t>R 0017800317688</t>
  </si>
  <si>
    <t>X17395</t>
  </si>
  <si>
    <t>VILLAGRA MARIANO</t>
  </si>
  <si>
    <t>B EL HUAYCO MZA 479B CASA10 10</t>
  </si>
  <si>
    <t>R 0017800317687</t>
  </si>
  <si>
    <t>CORAIB200200</t>
  </si>
  <si>
    <t>Col. Sealy Perf RainbowN200X200</t>
  </si>
  <si>
    <t>R0017800315492</t>
  </si>
  <si>
    <t>ML5991</t>
  </si>
  <si>
    <t>MATIAS LAUTARO</t>
  </si>
  <si>
    <t>ESPAÑA 2085</t>
  </si>
  <si>
    <t>Entre Pedernera y Crnl Suarez Casa</t>
  </si>
  <si>
    <t>R0017800315496</t>
  </si>
  <si>
    <t>ML6032</t>
  </si>
  <si>
    <t>EMMANUEL FABRICIO ORTIZ</t>
  </si>
  <si>
    <t>PASAJE ITUZAINGÓ 255</t>
  </si>
  <si>
    <t>e/ Bolivia y Warnes</t>
  </si>
  <si>
    <t>R0017800315515</t>
  </si>
  <si>
    <t>WC3000</t>
  </si>
  <si>
    <t>Lucas  Nallim</t>
  </si>
  <si>
    <t>Alvarado 2515</t>
  </si>
  <si>
    <t>R0017800315520</t>
  </si>
  <si>
    <t>WC3025</t>
  </si>
  <si>
    <t>Andrea Albarez</t>
  </si>
  <si>
    <t>Primero de Mayo 0</t>
  </si>
  <si>
    <t>R0017800315533</t>
  </si>
  <si>
    <t>ML6121</t>
  </si>
  <si>
    <t>CAMILO SANTAMARIA</t>
  </si>
  <si>
    <t>CNEL JC SÁNCHEZ 741</t>
  </si>
  <si>
    <t>dpto 3</t>
  </si>
  <si>
    <t>R0017800315544</t>
  </si>
  <si>
    <t>ML6342</t>
  </si>
  <si>
    <t>LAURA PATRICIA BIZGARRA</t>
  </si>
  <si>
    <t>Luis beltran</t>
  </si>
  <si>
    <t>R0017800315554</t>
  </si>
  <si>
    <t>ML6146</t>
  </si>
  <si>
    <t>DANIELA ESTEFANIA MARTINEZ</t>
  </si>
  <si>
    <t>BARRIO BICENTENARIO</t>
  </si>
  <si>
    <t>MANZANA K CASA 03</t>
  </si>
  <si>
    <t>R0017800315561</t>
  </si>
  <si>
    <t>TL0598</t>
  </si>
  <si>
    <t>GUTIERREZ MARIO EDUARDO</t>
  </si>
  <si>
    <t>Adrián Z. Meoqui 20 M-L</t>
  </si>
  <si>
    <t>David Melián / Luis C. Nolasco</t>
  </si>
  <si>
    <t>R0017800315562</t>
  </si>
  <si>
    <t>TL0615</t>
  </si>
  <si>
    <t>Carlos alberto Held</t>
  </si>
  <si>
    <t>Guillermo Álzaga 468  13</t>
  </si>
  <si>
    <t>casa 13</t>
  </si>
  <si>
    <t>R0017800315577</t>
  </si>
  <si>
    <t>WC3222</t>
  </si>
  <si>
    <t>Adrian Díaz</t>
  </si>
  <si>
    <t>Republic de Siria 340</t>
  </si>
  <si>
    <t>R0017800315593</t>
  </si>
  <si>
    <t>ML6403</t>
  </si>
  <si>
    <t>HECTOR RAMON</t>
  </si>
  <si>
    <t>CALLE SALTA 646</t>
  </si>
  <si>
    <t>Rosario de frontera</t>
  </si>
  <si>
    <t>entre Avellaneda y Paraná</t>
  </si>
  <si>
    <t>R0017800315596</t>
  </si>
  <si>
    <t>ML6458</t>
  </si>
  <si>
    <t>SUSANA RAQUEL POPIEL</t>
  </si>
  <si>
    <t>CALLE 15 MZA 54 LOT 7</t>
  </si>
  <si>
    <t>S Lorenzo Chico</t>
  </si>
  <si>
    <t>B° Tierra Mía</t>
  </si>
  <si>
    <t>R0017800315607</t>
  </si>
  <si>
    <t>WC3277</t>
  </si>
  <si>
    <t>Roberto Daniel  Zajal</t>
  </si>
  <si>
    <t>belgrano 600</t>
  </si>
  <si>
    <t>R0017800316154</t>
  </si>
  <si>
    <t>X17400</t>
  </si>
  <si>
    <t>ESCALANTE RUBEN</t>
  </si>
  <si>
    <t>CERRILOS-PUERTO ARGENTINO 243</t>
  </si>
  <si>
    <t>FRENTE A LOS TANQUES DE AGUAS DEL NORTE</t>
  </si>
  <si>
    <t>R0017800316155</t>
  </si>
  <si>
    <t>ML6507</t>
  </si>
  <si>
    <t>LUCAS GUAYMAS</t>
  </si>
  <si>
    <t>RN 51 KM 9,5 , BARR</t>
  </si>
  <si>
    <t>R0017800316936</t>
  </si>
  <si>
    <t>WC3547</t>
  </si>
  <si>
    <t>Griselda Ricon</t>
  </si>
  <si>
    <t>cielos del sur manzana 13A 9</t>
  </si>
  <si>
    <t>BRCOMDCB100190</t>
  </si>
  <si>
    <t>Col. Meyer DreamCompact (BR) 100x190</t>
  </si>
  <si>
    <t>R0017800316938</t>
  </si>
  <si>
    <t>WC3516</t>
  </si>
  <si>
    <t>FEDERICO CAYETANO BARRIENTOS GUAYMÁS</t>
  </si>
  <si>
    <t>AVDA. GRAL. GÜEMES 460</t>
  </si>
  <si>
    <t>ANIMANÁ</t>
  </si>
  <si>
    <t>R0017800316946</t>
  </si>
  <si>
    <t>X07276</t>
  </si>
  <si>
    <t>URZAGASTI NESTOR ARIEL EMPLEADO</t>
  </si>
  <si>
    <t>R0017800317685</t>
  </si>
  <si>
    <t>WC3626</t>
  </si>
  <si>
    <t>David Enrique Pavon</t>
  </si>
  <si>
    <t>PARQUE BELGRANO</t>
  </si>
  <si>
    <t>R0017800317687</t>
  </si>
  <si>
    <t>Col. Sealy Perf RainbowN200x200</t>
  </si>
  <si>
    <t>R0017800317688</t>
  </si>
  <si>
    <t>R0017800317689</t>
  </si>
  <si>
    <t>TL0654</t>
  </si>
  <si>
    <t>Cristian Borja</t>
  </si>
  <si>
    <t>Talavera Nuestra Señora de 181 4 17A</t>
  </si>
  <si>
    <t>A4406</t>
  </si>
  <si>
    <t>R0017800317690</t>
  </si>
  <si>
    <t>R0017800317699</t>
  </si>
  <si>
    <t>ML6859</t>
  </si>
  <si>
    <t>JESICA MABEL LESCANO</t>
  </si>
  <si>
    <t>ALMIRANTE BROWN 33</t>
  </si>
  <si>
    <t>E/ belgrano y san Martín oeste</t>
  </si>
  <si>
    <t>R0017800317979</t>
  </si>
  <si>
    <t>TL0441</t>
  </si>
  <si>
    <t>Alfaro Elias Sofia</t>
  </si>
  <si>
    <t>Martín Miguel de Güemes 1853 1 c</t>
  </si>
  <si>
    <t>República de Siria y Junin</t>
  </si>
  <si>
    <t>R0017800317984</t>
  </si>
  <si>
    <t>X17374</t>
  </si>
  <si>
    <t>WIERNA PABLO</t>
  </si>
  <si>
    <t>INDEPENDENCIA 123</t>
  </si>
  <si>
    <t>INFERNALES Y PARTIDARIOS</t>
  </si>
  <si>
    <t>R0017800317988</t>
  </si>
  <si>
    <t>WC3372</t>
  </si>
  <si>
    <t>Franco Miguel Chauqui Salazar</t>
  </si>
  <si>
    <t>V. Los álamos</t>
  </si>
  <si>
    <t>R0017800318001</t>
  </si>
  <si>
    <t>ML6980</t>
  </si>
  <si>
    <t>ENRIQUE GONZALO SOSA BARRERA</t>
  </si>
  <si>
    <t>OSVALDO DELL AQUA 269</t>
  </si>
  <si>
    <t>R0017800318013</t>
  </si>
  <si>
    <t>X16999</t>
  </si>
  <si>
    <t>ANGELICA GRACIELA VIRGOLINI X</t>
  </si>
  <si>
    <t>JULIO CATALAN 988</t>
  </si>
  <si>
    <t xml:space="preserve"> MAS COLCHONES DE SUCURSAL </t>
  </si>
  <si>
    <t>R0017800318025</t>
  </si>
  <si>
    <t>X17429</t>
  </si>
  <si>
    <t>GOMEZ NAAR AGUSTINA</t>
  </si>
  <si>
    <t>VALLE ESCONDIDO LOTE 178</t>
  </si>
  <si>
    <t>R0017800318029</t>
  </si>
  <si>
    <t>ML7093</t>
  </si>
  <si>
    <t>PABLO IGNACIO CESAR</t>
  </si>
  <si>
    <t>BARRIO EL HUAICO 0</t>
  </si>
  <si>
    <t>Manzana 480A casa 19</t>
  </si>
  <si>
    <t>R0017800318037</t>
  </si>
  <si>
    <t>WC3714</t>
  </si>
  <si>
    <t>Tamara Fiorela  Sulca</t>
  </si>
  <si>
    <t>calle alberdi 10</t>
  </si>
  <si>
    <t>R0017800318039</t>
  </si>
  <si>
    <t>WC3710</t>
  </si>
  <si>
    <t>Fernando Alzogaray</t>
  </si>
  <si>
    <t>barrio Martin Miguel de Guemes</t>
  </si>
  <si>
    <t xml:space="preserve">                            NO ENTREGAR </t>
  </si>
  <si>
    <t>R0017800318045</t>
  </si>
  <si>
    <t>X07579</t>
  </si>
  <si>
    <t>LADETTO LUCANO MARIA ALEJANDRA</t>
  </si>
  <si>
    <t>LOS NARANJOS 150</t>
  </si>
  <si>
    <t>MANZANOS Y DURAZNEROS</t>
  </si>
  <si>
    <t>R0017800318046</t>
  </si>
  <si>
    <t>X17432</t>
  </si>
  <si>
    <t>CABRERA CARINA IVONE</t>
  </si>
  <si>
    <t>BARRIO CERVERA PJE 2 6</t>
  </si>
  <si>
    <t>R0017800318394</t>
  </si>
  <si>
    <t>ML7204</t>
  </si>
  <si>
    <t>LOURDES FRANCISCA DEL ROSARIO GIMENEZ</t>
  </si>
  <si>
    <t>25 DE May 0520</t>
  </si>
  <si>
    <t>El galpón</t>
  </si>
  <si>
    <t>pasaje Jorge Saravia y general Belgrano</t>
  </si>
  <si>
    <t>R0017800318761</t>
  </si>
  <si>
    <t>WC3807</t>
  </si>
  <si>
    <t>Florecía alejandra magali Castillo</t>
  </si>
  <si>
    <t>B° la paz Mza 395 B Lote 27</t>
  </si>
  <si>
    <t>R0017800318768</t>
  </si>
  <si>
    <t>ML7270</t>
  </si>
  <si>
    <t>NATALIA LILI CUCCHIARO</t>
  </si>
  <si>
    <t>LOS WICHIS LOTE 344</t>
  </si>
  <si>
    <t>R0017800319436</t>
  </si>
  <si>
    <t>X17414</t>
  </si>
  <si>
    <t>LOPEZ MATIAS MAURICIO</t>
  </si>
  <si>
    <t>B HERNAN FIGUEROA REYES MZA D LOTE 84</t>
  </si>
  <si>
    <t>ATOCHA</t>
  </si>
  <si>
    <t>R0017800319441</t>
  </si>
  <si>
    <t>X08642</t>
  </si>
  <si>
    <t>VACA LILIANA</t>
  </si>
  <si>
    <t>LUIS BURELA 667</t>
  </si>
  <si>
    <t>R0017800319452</t>
  </si>
  <si>
    <t>X11511</t>
  </si>
  <si>
    <t>KOZAMEH MARIA CECILIA</t>
  </si>
  <si>
    <t>las rosas 368</t>
  </si>
  <si>
    <t>eucaliptus y las tipas</t>
  </si>
  <si>
    <t>R0017800319459</t>
  </si>
  <si>
    <t>WC3913</t>
  </si>
  <si>
    <t>Gustavo leonel  rivas</t>
  </si>
  <si>
    <t>cerro azufre 397</t>
  </si>
  <si>
    <t>R0017800319472</t>
  </si>
  <si>
    <t>WC3959</t>
  </si>
  <si>
    <t>Rodolfo Angel Chaile</t>
  </si>
  <si>
    <t>Barrio Limache Etapa 5</t>
  </si>
  <si>
    <t>R0017800319781</t>
  </si>
  <si>
    <t>ML7480</t>
  </si>
  <si>
    <t>COOPERATIVA DE TRABAJO GENERAL BELGRANO LIMITADA</t>
  </si>
  <si>
    <t>LAMADRID 115</t>
  </si>
  <si>
    <t>Col. Sealy Chill Box(N) 160x200</t>
  </si>
  <si>
    <t>entre Alvarado y Urquiza</t>
  </si>
  <si>
    <t>R0017800319851</t>
  </si>
  <si>
    <t>WC3266</t>
  </si>
  <si>
    <t>Juan Pablo Lizondo</t>
  </si>
  <si>
    <t>Maestro salvador Rodriguez</t>
  </si>
  <si>
    <t>R0017800319857</t>
  </si>
  <si>
    <t>X16503</t>
  </si>
  <si>
    <t>CARDOZO MARTIN ADRIAN</t>
  </si>
  <si>
    <t>AV GUEMES SN ESQUINA IRIGOYEN 1</t>
  </si>
  <si>
    <t>COCMEA100200</t>
  </si>
  <si>
    <t>Col. Sealy Chill Memory 100x200</t>
  </si>
  <si>
    <t>R0017800319865</t>
  </si>
  <si>
    <t>ML7511</t>
  </si>
  <si>
    <t>OVEJERO RICARDO</t>
  </si>
  <si>
    <t>MARCOS AVELLANEDA 945</t>
  </si>
  <si>
    <t>R0017800319870</t>
  </si>
  <si>
    <t>WC4045</t>
  </si>
  <si>
    <t>Juan Manuel Arrieta</t>
  </si>
  <si>
    <t>Islas Malvinas S/N Urundel 00</t>
  </si>
  <si>
    <t>R0017800320432</t>
  </si>
  <si>
    <t>WC4051</t>
  </si>
  <si>
    <t>Ximena  López</t>
  </si>
  <si>
    <t>Juramento 395</t>
  </si>
  <si>
    <t>San José de Metan</t>
  </si>
  <si>
    <t>R0017800320617</t>
  </si>
  <si>
    <t>R0017800320822</t>
  </si>
  <si>
    <t>ML7654</t>
  </si>
  <si>
    <t>GONZALO LEANDRO LOPEZ</t>
  </si>
  <si>
    <t>CALLE 9 0</t>
  </si>
  <si>
    <t>Barrio el huaico 2 mza 471A casa 23</t>
  </si>
  <si>
    <t>R0017800320831</t>
  </si>
  <si>
    <t>X06443</t>
  </si>
  <si>
    <t>OSVALDO ABLANEDO EMPLEADO</t>
  </si>
  <si>
    <t>SANTA ANA 3 MZA G CASA 18 18</t>
  </si>
  <si>
    <t>COCHBB140190</t>
  </si>
  <si>
    <t>Col. Sealy Cocoon Hybrid140x190</t>
  </si>
  <si>
    <t>R0017800321166</t>
  </si>
  <si>
    <t>WC4192</t>
  </si>
  <si>
    <t>Martín Juárez</t>
  </si>
  <si>
    <t>Vía Aurelia manzana 2 lote 18</t>
  </si>
  <si>
    <t>R0017800321169</t>
  </si>
  <si>
    <t>X09636</t>
  </si>
  <si>
    <t>ORTUNO RAUL FRANCISCO</t>
  </si>
  <si>
    <t>BARRIO LAS COLINAS CALLE NEVADO CHAÑI 13</t>
  </si>
  <si>
    <t>R0017800322125</t>
  </si>
  <si>
    <t>ML7543</t>
  </si>
  <si>
    <t>GASTON EXEQUIEL RASJIDO</t>
  </si>
  <si>
    <t>LUMBRERAS 48</t>
  </si>
  <si>
    <t>R0017800322126</t>
  </si>
  <si>
    <t>ML7595</t>
  </si>
  <si>
    <t>ARCANGEL ANTONIO PEREZ</t>
  </si>
  <si>
    <t>PASAJE QUIÑONERO 577</t>
  </si>
  <si>
    <t>El Galpón</t>
  </si>
  <si>
    <t>Barrio centro</t>
  </si>
  <si>
    <t>R00172-00018721</t>
  </si>
  <si>
    <t>X12614</t>
  </si>
  <si>
    <t>FERNANDO GUILLEN BP</t>
  </si>
  <si>
    <t>La Estancia de Cafayate Lote A</t>
  </si>
  <si>
    <t xml:space="preserve">Cafayate </t>
  </si>
  <si>
    <t>341-6420925</t>
  </si>
  <si>
    <t>R00172-00018889</t>
  </si>
  <si>
    <t>Bº Cerros de Buena Vista, Maria Lizaso Mz. 4 Lt 7</t>
  </si>
  <si>
    <t>Colchón Eternity Euro 100x190</t>
  </si>
  <si>
    <t>387-4027023</t>
  </si>
  <si>
    <t>Llegó a Suc desde Limansky/Domicilio modificado</t>
  </si>
  <si>
    <t>84202.1</t>
  </si>
  <si>
    <t>Sommier Cmfort Sens. 100x190</t>
  </si>
  <si>
    <t>R00172-00019050</t>
  </si>
  <si>
    <t>Pueyrredon 1456</t>
  </si>
  <si>
    <t>Serta Box One 080x190x20</t>
  </si>
  <si>
    <t>351-2414068</t>
  </si>
  <si>
    <t>Serta Box One 140x190x20</t>
  </si>
  <si>
    <t>R00172-00019052</t>
  </si>
  <si>
    <t>X13319</t>
  </si>
  <si>
    <t>RUIZ CECILIA</t>
  </si>
  <si>
    <t>Nuestra Sra de la Merced Lote H Casa 1</t>
  </si>
  <si>
    <t xml:space="preserve">La Merced </t>
  </si>
  <si>
    <t>387-5880897</t>
  </si>
  <si>
    <t>R00172-00019169</t>
  </si>
  <si>
    <t>VW3605</t>
  </si>
  <si>
    <t>PRISCILLA FIGUEROA ML</t>
  </si>
  <si>
    <t>Avenida Juan Domingo Perón 671</t>
  </si>
  <si>
    <t>Embarcacion, Dpto San Martín</t>
  </si>
  <si>
    <t>SOSNA 140190E</t>
  </si>
  <si>
    <t>296-6245664</t>
  </si>
  <si>
    <t>R00172-00019318</t>
  </si>
  <si>
    <t>X14285</t>
  </si>
  <si>
    <t>KABA LUCIANA</t>
  </si>
  <si>
    <t>Bº La Almudena Calle 3 Casa 21</t>
  </si>
  <si>
    <t>387-6851556</t>
  </si>
  <si>
    <t>R00172-00019362</t>
  </si>
  <si>
    <t>X14350</t>
  </si>
  <si>
    <t>CASTRO CARLA</t>
  </si>
  <si>
    <t>Bº El Bosque Dpto 8 1er piso Block 5</t>
  </si>
  <si>
    <t>387-6199216</t>
  </si>
  <si>
    <t>Facturado de Depo 4</t>
  </si>
  <si>
    <t>R00172-00019363</t>
  </si>
  <si>
    <t>R00172-00019364</t>
  </si>
  <si>
    <t>X14354</t>
  </si>
  <si>
    <t>RUBIO MARIA EUGENIA</t>
  </si>
  <si>
    <t>Caseros 231</t>
  </si>
  <si>
    <t>351-8572804</t>
  </si>
  <si>
    <t>R00172-00019365</t>
  </si>
  <si>
    <t>X14364</t>
  </si>
  <si>
    <t>TAPIA DIEGO</t>
  </si>
  <si>
    <t>Pasaje Metán 1951</t>
  </si>
  <si>
    <t>387-4591854</t>
  </si>
  <si>
    <t>SOCELA10200E</t>
  </si>
  <si>
    <t>R00172-00019366</t>
  </si>
  <si>
    <t>X14366</t>
  </si>
  <si>
    <t>PEREZ GABRIEL</t>
  </si>
  <si>
    <t>Villa Asunción. Mzna 279 Lote 4</t>
  </si>
  <si>
    <t>387-2261673</t>
  </si>
  <si>
    <t>R00172-00019367</t>
  </si>
  <si>
    <t>X14360</t>
  </si>
  <si>
    <t>VARGAS BOBBA CARLOS</t>
  </si>
  <si>
    <t>Mar Blanco 322</t>
  </si>
  <si>
    <t>COSFNB200200</t>
  </si>
  <si>
    <t>Col S&amp;FPrestigeNetBr(N)200x200</t>
  </si>
  <si>
    <t>387-5781030</t>
  </si>
  <si>
    <t>Sommier S&amp;F 100x200</t>
  </si>
  <si>
    <t>R00172-00019393</t>
  </si>
  <si>
    <t>X14380</t>
  </si>
  <si>
    <t>PIUZZI AGUSTINA BELEN</t>
  </si>
  <si>
    <t>Los Parrales 598</t>
  </si>
  <si>
    <t>11-404369541</t>
  </si>
  <si>
    <t>COSFPB200200</t>
  </si>
  <si>
    <t>Col S&amp;F Prestige Br(N) 200x200</t>
  </si>
  <si>
    <t>R0017200019478</t>
  </si>
  <si>
    <t>X14417</t>
  </si>
  <si>
    <t>SUAREZ MARTI NICOLAS</t>
  </si>
  <si>
    <t>Bernardino Rivadavia 38</t>
  </si>
  <si>
    <t>387-6041651</t>
  </si>
  <si>
    <t>R0017200019480</t>
  </si>
  <si>
    <t>X12470</t>
  </si>
  <si>
    <t>TORRES BEATRIZ INES</t>
  </si>
  <si>
    <t>España 2551 Villa San Lorenzo</t>
  </si>
  <si>
    <t>Salta San Lorenzo</t>
  </si>
  <si>
    <t>387-5943393</t>
  </si>
  <si>
    <t>DEPO 8</t>
  </si>
  <si>
    <t>R0017200019481</t>
  </si>
  <si>
    <t>R0017200019502</t>
  </si>
  <si>
    <t>X14434</t>
  </si>
  <si>
    <t>TEVEZ JORGE DARIO</t>
  </si>
  <si>
    <t>Bº El Huaico Mzna 460B Casa 26</t>
  </si>
  <si>
    <t>387-4575472</t>
  </si>
  <si>
    <t>Som Sealy Carbon Grey100x190</t>
  </si>
  <si>
    <t>R0017200019556</t>
  </si>
  <si>
    <t>X14457</t>
  </si>
  <si>
    <t>VAZQUEZ IGNACIO</t>
  </si>
  <si>
    <t>Lesser</t>
  </si>
  <si>
    <t>Colchón Sealy Rainbow 160x200</t>
  </si>
  <si>
    <t>387-4030534</t>
  </si>
  <si>
    <t>R0017200019557</t>
  </si>
  <si>
    <t>X14464</t>
  </si>
  <si>
    <t>GIL JESUS CARLOS</t>
  </si>
  <si>
    <t>Los Jazmines 686 Bº Tres Cerritos</t>
  </si>
  <si>
    <t>110401.7</t>
  </si>
  <si>
    <t>Diván Squad J.Ng090x190c/Palla</t>
  </si>
  <si>
    <t>387-5842703</t>
  </si>
  <si>
    <t>Esquina Los Molles</t>
  </si>
  <si>
    <t>R0017200019584</t>
  </si>
  <si>
    <t>X14483</t>
  </si>
  <si>
    <t>BUSQUET MARIA DEL PILAR</t>
  </si>
  <si>
    <t>Alvarez Thomas  901 Bº Grand Bourg</t>
  </si>
  <si>
    <t>387-4079849</t>
  </si>
  <si>
    <t>Esquina Piedra Buena</t>
  </si>
  <si>
    <t>R0017200019585</t>
  </si>
  <si>
    <t>X14485</t>
  </si>
  <si>
    <t>PATAGUA MARIO FERNANDO</t>
  </si>
  <si>
    <t>Alvear 1251 Dpto "B" 2º piso</t>
  </si>
  <si>
    <t>387-4734116</t>
  </si>
  <si>
    <t>R0017200019586</t>
  </si>
  <si>
    <t>X14489</t>
  </si>
  <si>
    <t>BRAVO RODRIGUEZ ELY JOSUE</t>
  </si>
  <si>
    <t>PEDERNERA 223 PISO 3 DEPTO 43</t>
  </si>
  <si>
    <t>387-2217683</t>
  </si>
  <si>
    <t>R0017200019682</t>
  </si>
  <si>
    <t>X14558</t>
  </si>
  <si>
    <t>CHOCOBAR GLORIA DEL SOCORRO</t>
  </si>
  <si>
    <t>Ruta 33 Km.8,5</t>
  </si>
  <si>
    <t>Colchón Sealy Rainbow 180x200</t>
  </si>
  <si>
    <t>11-67316628</t>
  </si>
  <si>
    <t xml:space="preserve">Finca </t>
  </si>
  <si>
    <t>R0017200019704</t>
  </si>
  <si>
    <t>46-491180</t>
  </si>
  <si>
    <t>Cama Cajon Antilla 180 Wengue</t>
  </si>
  <si>
    <t>R0017200019703</t>
  </si>
  <si>
    <t>X14541</t>
  </si>
  <si>
    <t>YANACON MIRTA</t>
  </si>
  <si>
    <t>Bº Nueva Esperanza Mzna 30B Lote 6</t>
  </si>
  <si>
    <t>COCCC180200</t>
  </si>
  <si>
    <t>Col Sealy Chill Box(N)180x200</t>
  </si>
  <si>
    <t>387-4876871</t>
  </si>
  <si>
    <t>Som. Universal Gris 090X200</t>
  </si>
  <si>
    <t>R0017200019706</t>
  </si>
  <si>
    <t>X14554</t>
  </si>
  <si>
    <t>NERY DANIEL</t>
  </si>
  <si>
    <t>Francisco Velez 94</t>
  </si>
  <si>
    <t>CORAIA160200</t>
  </si>
  <si>
    <t>387-4106028</t>
  </si>
  <si>
    <t>R0017200019726</t>
  </si>
  <si>
    <t>X14548</t>
  </si>
  <si>
    <t>BERRUEZO SAMANTA</t>
  </si>
  <si>
    <t>Tierra del Fuego 14</t>
  </si>
  <si>
    <t>COEMEA180</t>
  </si>
  <si>
    <t>387-4125051</t>
  </si>
  <si>
    <t>R0017200019727</t>
  </si>
  <si>
    <t>X14536</t>
  </si>
  <si>
    <t>LOPEZ MIRAU LUCIA</t>
  </si>
  <si>
    <t>Praderas de San Lorenzo Mzna 6 Casa 11</t>
  </si>
  <si>
    <t>387-4024346</t>
  </si>
  <si>
    <t>X14537</t>
  </si>
  <si>
    <t>Praderas de San Lorenzo Mzna 6 Casa 12</t>
  </si>
  <si>
    <t>R0017200019728</t>
  </si>
  <si>
    <t>X14591</t>
  </si>
  <si>
    <t>GOMEZ DARIO</t>
  </si>
  <si>
    <t>Bº Ampl. Los Ceibos, Mzna 541A, Casa 8</t>
  </si>
  <si>
    <t>Colchón Sealy Rainbow 140x190</t>
  </si>
  <si>
    <t>387-5808338</t>
  </si>
  <si>
    <t>R0017200019788</t>
  </si>
  <si>
    <t>X14516</t>
  </si>
  <si>
    <t>CARRIZO RICARDO</t>
  </si>
  <si>
    <t>Bº Universitario, Juan Vucetich 399</t>
  </si>
  <si>
    <t>Col Sealy Chill Box(N)080x190</t>
  </si>
  <si>
    <t>387-2553964</t>
  </si>
  <si>
    <t>R0017200019789</t>
  </si>
  <si>
    <t>X14605</t>
  </si>
  <si>
    <t>WIERNA MARTIN</t>
  </si>
  <si>
    <t>Bº La Reserva Lote 15</t>
  </si>
  <si>
    <t>San Lorenzo Chico</t>
  </si>
  <si>
    <t>SODSB090190E</t>
  </si>
  <si>
    <t>Base de Diván Sealy 090x190</t>
  </si>
  <si>
    <t>387-5479897</t>
  </si>
  <si>
    <t>CORAIB090190</t>
  </si>
  <si>
    <t>Colchón Sealy Rainbow 090X190</t>
  </si>
  <si>
    <t>R0017200019809</t>
  </si>
  <si>
    <t>X14636</t>
  </si>
  <si>
    <t>VALLEJOS MATIAS</t>
  </si>
  <si>
    <t>Gorriti 80 9ºA</t>
  </si>
  <si>
    <t>387-5928557</t>
  </si>
  <si>
    <t>R0017200019808</t>
  </si>
  <si>
    <t>R0017200019807</t>
  </si>
  <si>
    <t>X14635</t>
  </si>
  <si>
    <t>ARAUJO JUAN X</t>
  </si>
  <si>
    <t>PRADERAS DE SAN LORENZO MZA 24 LOTE 21</t>
  </si>
  <si>
    <t>PRESTIGE BROWN</t>
  </si>
  <si>
    <t>387-5620881</t>
  </si>
  <si>
    <t>COCOON CHILL 140 190</t>
  </si>
  <si>
    <t>R0017200019837</t>
  </si>
  <si>
    <t>X14649</t>
  </si>
  <si>
    <t>BARRIONUEVO FLAVIA</t>
  </si>
  <si>
    <t>Bº Los Lapachos Mzna 470B Casa 5</t>
  </si>
  <si>
    <t>387-5960876</t>
  </si>
  <si>
    <t>R0017200019909</t>
  </si>
  <si>
    <t>X14679</t>
  </si>
  <si>
    <t>URBANI LUCIANA</t>
  </si>
  <si>
    <t>OLAVARRIA 277</t>
  </si>
  <si>
    <t>Col Sealy field</t>
  </si>
  <si>
    <t>387-5391931</t>
  </si>
  <si>
    <t>Som carbon grey 140190</t>
  </si>
  <si>
    <t>R0017200019908</t>
  </si>
  <si>
    <t>x14677</t>
  </si>
  <si>
    <t>AVALOS GLADYS NOEMI</t>
  </si>
  <si>
    <t>Amp El bosque departamento 1 block 38</t>
  </si>
  <si>
    <t>CODEBVA100190</t>
  </si>
  <si>
    <t>Col meyer devas 090x190</t>
  </si>
  <si>
    <t>387-5374732</t>
  </si>
  <si>
    <t>R0017200019950</t>
  </si>
  <si>
    <t>X02566</t>
  </si>
  <si>
    <t>FIGUEROA EDUARDO</t>
  </si>
  <si>
    <t>Bª SCALABRINI ORTIS MAR CASPIO 851</t>
  </si>
  <si>
    <t>COL SEALY P QUARTZ 140190</t>
  </si>
  <si>
    <t>R0017200020007</t>
  </si>
  <si>
    <t>X14768</t>
  </si>
  <si>
    <t>legorburo luciano</t>
  </si>
  <si>
    <t>Bª el tribuno clarin 3962</t>
  </si>
  <si>
    <t>COL SEALY RAINBOWN180200</t>
  </si>
  <si>
    <t>3874579974/152289071</t>
  </si>
  <si>
    <t>SOM SEALY CRBONGREY 090200</t>
  </si>
  <si>
    <t>R0017200020008</t>
  </si>
  <si>
    <t>X14771</t>
  </si>
  <si>
    <t>CASTILLA MARIA ESTEFANIA</t>
  </si>
  <si>
    <t>CORONEL VIDT 68</t>
  </si>
  <si>
    <t>SOM S&amp;F 100200</t>
  </si>
  <si>
    <t>R0017200020009</t>
  </si>
  <si>
    <t>X14772</t>
  </si>
  <si>
    <t>DESIMA MARCELA ALEJANDRA</t>
  </si>
  <si>
    <t>EL MOLLAR 2 MZA 19A 3</t>
  </si>
  <si>
    <t>COL SEALY POST JADE 180200</t>
  </si>
  <si>
    <t>R0017200020010</t>
  </si>
  <si>
    <t>X14754</t>
  </si>
  <si>
    <t>BALLON CLARA MONICA</t>
  </si>
  <si>
    <t>Bª san carlos M27 casa 15</t>
  </si>
  <si>
    <t>COSFNB180200</t>
  </si>
  <si>
    <t>Col S&amp;FPrestigeNetBr(N)180x200</t>
  </si>
  <si>
    <t>SOSFO090200E</t>
  </si>
  <si>
    <t>Sommier S&amp;F 090x200</t>
  </si>
  <si>
    <t>R0017200020011</t>
  </si>
  <si>
    <t>X03938</t>
  </si>
  <si>
    <t>fernandez cuellar pablo javier</t>
  </si>
  <si>
    <t>Bª el huaico MZA 524 A CASA 2</t>
  </si>
  <si>
    <t>COLCHON L PALLADIUM 08019020</t>
  </si>
  <si>
    <t>SEALY CHILL BOX 080190</t>
  </si>
  <si>
    <t>R0017200020012</t>
  </si>
  <si>
    <t>X14776</t>
  </si>
  <si>
    <t>DAVILA WALTER</t>
  </si>
  <si>
    <t xml:space="preserve">B PINARES MZA 36 CASA1 </t>
  </si>
  <si>
    <t>COL.SEALY QUARTZ 200X200</t>
  </si>
  <si>
    <t>SOM CARBON GRAY 100X200</t>
  </si>
  <si>
    <t>ALMOHADILLA MASAGEADOR</t>
  </si>
  <si>
    <t>R0017200020014</t>
  </si>
  <si>
    <t>X14738</t>
  </si>
  <si>
    <t>ABDENUR SANDRA</t>
  </si>
  <si>
    <t>B ROSARIO DE SAN NICOLAS MAZ 3 CASA 57</t>
  </si>
  <si>
    <t>JSMICROSOFTTWB</t>
  </si>
  <si>
    <t>JGO SABANA ZLOW TWIN BLANCA</t>
  </si>
  <si>
    <t>COL.SEALY ESTSUSINEB140X190</t>
  </si>
  <si>
    <t>COL.SEALY ESTSUSINEB090X190</t>
  </si>
  <si>
    <t>R0017200020015</t>
  </si>
  <si>
    <t>X14777</t>
  </si>
  <si>
    <t>VILLEGAS MARIA</t>
  </si>
  <si>
    <t>URBANIZACION SAN CARLOS MZA. 55</t>
  </si>
  <si>
    <t>COL. POST. ESMERAL 180X200</t>
  </si>
  <si>
    <t>SOM CARBON GRAY 090X200</t>
  </si>
  <si>
    <t>R0017200020063</t>
  </si>
  <si>
    <t>X14786</t>
  </si>
  <si>
    <t>DE ELIA SHEILA</t>
  </si>
  <si>
    <t>mitre 274</t>
  </si>
  <si>
    <t>R0017200020064</t>
  </si>
  <si>
    <t>X14793</t>
  </si>
  <si>
    <t>TOCONAS MARIA</t>
  </si>
  <si>
    <t>Bª LIMACHE ETAPA 1 MZA8 CASA4</t>
  </si>
  <si>
    <t>R0017200020065</t>
  </si>
  <si>
    <t>X14805</t>
  </si>
  <si>
    <t>AGUILAR OSCAR ROBERTO</t>
  </si>
  <si>
    <t>Bª LAMADRID MZA1 CASA3</t>
  </si>
  <si>
    <t>R0017200020066</t>
  </si>
  <si>
    <t>46-493090</t>
  </si>
  <si>
    <t>CamaCajon Antilla090 BcoKendal</t>
  </si>
  <si>
    <t>R0017200020067</t>
  </si>
  <si>
    <t>X14806</t>
  </si>
  <si>
    <t>prestes doralina</t>
  </si>
  <si>
    <t>MENDOZA 947</t>
  </si>
  <si>
    <t>R0017200020068</t>
  </si>
  <si>
    <t>X14810</t>
  </si>
  <si>
    <t>VARGAS JORGE DANIEL</t>
  </si>
  <si>
    <t xml:space="preserve">MARCELINO CORNEJO 567 </t>
  </si>
  <si>
    <t>R0017200020097</t>
  </si>
  <si>
    <t>X14827</t>
  </si>
  <si>
    <t>OBRAL S.A.</t>
  </si>
  <si>
    <t>Bº Portal de Limache Casa 35</t>
  </si>
  <si>
    <t>Col Sealy SpiritN 180x200</t>
  </si>
  <si>
    <t>11-60107136</t>
  </si>
  <si>
    <t>SOSNA090200</t>
  </si>
  <si>
    <t>R0017200020098</t>
  </si>
  <si>
    <t>X14797</t>
  </si>
  <si>
    <t>RUFINO JAVIER HORACIO</t>
  </si>
  <si>
    <t>LEGUIZAMON 1845</t>
  </si>
  <si>
    <t>R0017200020165</t>
  </si>
  <si>
    <t>X14868</t>
  </si>
  <si>
    <t>GÚEMES JOSE CARLOS</t>
  </si>
  <si>
    <t>Bº San Remo Mar Rojo 1305</t>
  </si>
  <si>
    <t>COEWOOB160200</t>
  </si>
  <si>
    <t>387-5385713</t>
  </si>
  <si>
    <t>R0017200020176</t>
  </si>
  <si>
    <t>X14896</t>
  </si>
  <si>
    <t>SEISDEDOS SERGIO</t>
  </si>
  <si>
    <t>Bª Tres Cerritos, Los Parrales 460</t>
  </si>
  <si>
    <t>387-4505177</t>
  </si>
  <si>
    <t>R0017200020177</t>
  </si>
  <si>
    <t>X14884</t>
  </si>
  <si>
    <t>GALLO AGUSTIN</t>
  </si>
  <si>
    <t>Vicente López 1463</t>
  </si>
  <si>
    <t>387-4020956</t>
  </si>
  <si>
    <t>D4</t>
  </si>
  <si>
    <t>R0017200020178</t>
  </si>
  <si>
    <t>X14910</t>
  </si>
  <si>
    <t>ORTEGA CINTIA</t>
  </si>
  <si>
    <t>Bº Santa Ana II Mzna 31 Casa 20</t>
  </si>
  <si>
    <t>Colchón Sealy Rainbow 160X200</t>
  </si>
  <si>
    <t>387-6835239</t>
  </si>
  <si>
    <t>R0017200020206</t>
  </si>
  <si>
    <t>VW7598</t>
  </si>
  <si>
    <t>Alvaro Miranda</t>
  </si>
  <si>
    <t>Avenida 17 de junio/ Barrio leopoldo lugones mz347b lote18</t>
  </si>
  <si>
    <t>2901 609950</t>
  </si>
  <si>
    <t>VW7599</t>
  </si>
  <si>
    <t>R0017200020210</t>
  </si>
  <si>
    <t>R0017200020209</t>
  </si>
  <si>
    <t>3874432271/</t>
  </si>
  <si>
    <t>R0017200020211</t>
  </si>
  <si>
    <t>X14932</t>
  </si>
  <si>
    <t>ALANCAY Enrique</t>
  </si>
  <si>
    <t>Redio JV González 2492</t>
  </si>
  <si>
    <t>387-4840903</t>
  </si>
  <si>
    <t>R0017200020226</t>
  </si>
  <si>
    <t>X14433</t>
  </si>
  <si>
    <t>MOREIRA SANDRA</t>
  </si>
  <si>
    <t>La Vervena Calle 8 Lote 7</t>
  </si>
  <si>
    <t>387-4209427</t>
  </si>
  <si>
    <t>R0017200020227</t>
  </si>
  <si>
    <t>GANDOLFO JONATHAN</t>
  </si>
  <si>
    <t>Bº Praderas de San Lorenzo Mzna 13 Lote 22</t>
  </si>
  <si>
    <t>11-62148765</t>
  </si>
  <si>
    <t>D8</t>
  </si>
  <si>
    <t>R0017200020228</t>
  </si>
  <si>
    <t>R0017200020229</t>
  </si>
  <si>
    <t>X14875</t>
  </si>
  <si>
    <t>FARFAN TORRES MIGUEL</t>
  </si>
  <si>
    <t>Mar Adriatico 1320</t>
  </si>
  <si>
    <t>387-5275597/387-5941344</t>
  </si>
  <si>
    <t>R0017200020241</t>
  </si>
  <si>
    <t>X14950</t>
  </si>
  <si>
    <t>MERDINI SERGIO</t>
  </si>
  <si>
    <t>España 425</t>
  </si>
  <si>
    <t>3878-446632</t>
  </si>
  <si>
    <t>Por favor entregar entre jueves 30 y viernes 31</t>
  </si>
  <si>
    <t>R0017200020242</t>
  </si>
  <si>
    <t>X14831</t>
  </si>
  <si>
    <t>ANGULO TEJERINA FABRIZIO</t>
  </si>
  <si>
    <t>Catamarca 1375</t>
  </si>
  <si>
    <t>COENEA100200</t>
  </si>
  <si>
    <t>Col. Meyer Energía 100x200</t>
  </si>
  <si>
    <t>387-2140199</t>
  </si>
  <si>
    <t>Alm. Zlow S.Duvet  70x40</t>
  </si>
  <si>
    <t>R0017200020254</t>
  </si>
  <si>
    <t>X14949</t>
  </si>
  <si>
    <t>RODRIGUEZ CARLA</t>
  </si>
  <si>
    <t>Los nardos 1378</t>
  </si>
  <si>
    <t>387-4438944</t>
  </si>
  <si>
    <t>Entregar despues del dia lunes 03/02</t>
  </si>
  <si>
    <t>R0017200020255</t>
  </si>
  <si>
    <t>X14965</t>
  </si>
  <si>
    <t>CHOCOBAR ESTEBAN</t>
  </si>
  <si>
    <t>B Autodromo calle quemargucci 311</t>
  </si>
  <si>
    <t>Som Uni Gen Gris 140190</t>
  </si>
  <si>
    <t>387-4859426</t>
  </si>
  <si>
    <t>Conch Rainbow 140190</t>
  </si>
  <si>
    <t>R0017200020256</t>
  </si>
  <si>
    <t>X14961</t>
  </si>
  <si>
    <t>SALIM FACUNDO EXEQUIEL</t>
  </si>
  <si>
    <t>Bº San Rafael Mzna 6 Casa 13</t>
  </si>
  <si>
    <t>R0017200020260</t>
  </si>
  <si>
    <t>X14967</t>
  </si>
  <si>
    <t>REVOLERO AGUSTIN NICOLAS</t>
  </si>
  <si>
    <t>Sección Ing. Maury Ruta Nacional 51, Km 56</t>
  </si>
  <si>
    <t>Ingeniero Maury</t>
  </si>
  <si>
    <t>379-4403930</t>
  </si>
  <si>
    <t>R0017200020302</t>
  </si>
  <si>
    <t>X14984</t>
  </si>
  <si>
    <t>MEDINA JENNY</t>
  </si>
  <si>
    <t xml:space="preserve">Albarado 1764 piso 4 dpto C </t>
  </si>
  <si>
    <t>11-28718093</t>
  </si>
  <si>
    <t xml:space="preserve">Entragar el dia 4/2 </t>
  </si>
  <si>
    <t>R0017200020303</t>
  </si>
  <si>
    <t>X14975</t>
  </si>
  <si>
    <t>LOZANO LORENA CAMBIO</t>
  </si>
  <si>
    <t>B San Benito Manzana 332 B lote 14</t>
  </si>
  <si>
    <t>COLUZA140190</t>
  </si>
  <si>
    <t>Col Meyer Luz 140x190</t>
  </si>
  <si>
    <t>387-4034906</t>
  </si>
  <si>
    <t>R0017200020304</t>
  </si>
  <si>
    <t>X14993</t>
  </si>
  <si>
    <t>VILLARROEL IGNACIO</t>
  </si>
  <si>
    <t>Pedernera 515 Piso 4 Dpto 1</t>
  </si>
  <si>
    <t>3876-335034</t>
  </si>
  <si>
    <t>R0017200020306</t>
  </si>
  <si>
    <t>X14342</t>
  </si>
  <si>
    <t>GONZALEZ GABRIEL</t>
  </si>
  <si>
    <t>Lucinda Norte Lote 48</t>
  </si>
  <si>
    <t>COSPTA080190</t>
  </si>
  <si>
    <t>Col Sealy Perf Spirit 080x190</t>
  </si>
  <si>
    <t>387-4548609</t>
  </si>
  <si>
    <t>R0017200020307</t>
  </si>
  <si>
    <t>R0017200020308</t>
  </si>
  <si>
    <t>R0017200020313</t>
  </si>
  <si>
    <t>X14999</t>
  </si>
  <si>
    <t>RUEDA ROBERTO GERARDO</t>
  </si>
  <si>
    <t>Bº Docente Sur Mzna 1 Casa 20</t>
  </si>
  <si>
    <t>387-5731881</t>
  </si>
  <si>
    <t>Bº Docente Sur Mzna 1 Casa 21</t>
  </si>
  <si>
    <t>Bº Docente Sur Mzna 1 Casa 22</t>
  </si>
  <si>
    <t>R0017200020314</t>
  </si>
  <si>
    <t>Bº Docente Sur Mzna 1 Casa 23</t>
  </si>
  <si>
    <t>X15003</t>
  </si>
  <si>
    <t>OLMEDO MARIA</t>
  </si>
  <si>
    <t>Pasaje Iruya 2193</t>
  </si>
  <si>
    <t>387-4898636</t>
  </si>
  <si>
    <t>R0017200020321</t>
  </si>
  <si>
    <t>X15009</t>
  </si>
  <si>
    <t>HERRERA MARIEL X</t>
  </si>
  <si>
    <t>Bº Casino Monoblock "O" Nº24 2º Piso</t>
  </si>
  <si>
    <t>387-2253923</t>
  </si>
  <si>
    <t>R0017200020322</t>
  </si>
  <si>
    <t>X15005</t>
  </si>
  <si>
    <t>JIMENEZ BUTTAZZONI CONSULTORIA SAS</t>
  </si>
  <si>
    <t>Di Pascuo 3008</t>
  </si>
  <si>
    <t>387-5211825</t>
  </si>
  <si>
    <t>R0017200020326</t>
  </si>
  <si>
    <t>X15004</t>
  </si>
  <si>
    <t>LEDESMA FERNANDO</t>
  </si>
  <si>
    <t>Coronel Suarez 1461</t>
  </si>
  <si>
    <t>387-5154607</t>
  </si>
  <si>
    <t>R0017200020327</t>
  </si>
  <si>
    <t>X15010</t>
  </si>
  <si>
    <t>PABLO DAMIAN GONZALEZ</t>
  </si>
  <si>
    <t>Dr. Luis Agote 72 Bº Parque Gral. Belgrano</t>
  </si>
  <si>
    <t>Colchón Herval Colors 100x200</t>
  </si>
  <si>
    <t>3878-311111</t>
  </si>
  <si>
    <t>Base Diván Duo Colors 100x200</t>
  </si>
  <si>
    <t>R0017200020339</t>
  </si>
  <si>
    <t>X15012</t>
  </si>
  <si>
    <t>LOPEZ ARIEL GUILLERMO</t>
  </si>
  <si>
    <t>Bº Islas Malvinas Mzna C Casa 13</t>
  </si>
  <si>
    <t>387-5875699</t>
  </si>
  <si>
    <t>R0017200020340</t>
  </si>
  <si>
    <t>X15016</t>
  </si>
  <si>
    <t>VILLAGRA MARIELA</t>
  </si>
  <si>
    <t>Bº San Carlos Mzna 64 Casa 21</t>
  </si>
  <si>
    <t>387-5084644</t>
  </si>
  <si>
    <t>R0017200020364</t>
  </si>
  <si>
    <t>X15026</t>
  </si>
  <si>
    <t>LARRAUX TATIANA</t>
  </si>
  <si>
    <t>Monoblock Salta piso 4 dpto 64</t>
  </si>
  <si>
    <t>387-5851444</t>
  </si>
  <si>
    <t>SOCELA090200</t>
  </si>
  <si>
    <t>R0017200020365</t>
  </si>
  <si>
    <t>X15025</t>
  </si>
  <si>
    <t>CAMISAY BERTA</t>
  </si>
  <si>
    <t>Avda. Costanera 2640</t>
  </si>
  <si>
    <t>Col Sealy Essent Field 080x190</t>
  </si>
  <si>
    <t>387-5047611</t>
  </si>
  <si>
    <t>R0017200020366</t>
  </si>
  <si>
    <t>R0017200020367</t>
  </si>
  <si>
    <t>X15021</t>
  </si>
  <si>
    <t>BELIZAN ROMANELA</t>
  </si>
  <si>
    <t>Moldes 246</t>
  </si>
  <si>
    <t>387-4881202</t>
  </si>
  <si>
    <t>R0017200020380</t>
  </si>
  <si>
    <t>X15034</t>
  </si>
  <si>
    <t>MONTENEGRO DAVILA GAMBERTI</t>
  </si>
  <si>
    <t>Bº Pq.Gral Belgrano Etapa 1 Piso 3 Dpto.14</t>
  </si>
  <si>
    <t>387-5701403</t>
  </si>
  <si>
    <t>Entregar Miercoles 12 o Jueves13</t>
  </si>
  <si>
    <t>R0017200020381</t>
  </si>
  <si>
    <t>X02454</t>
  </si>
  <si>
    <t>FERNANDEZ SILVIA ANALIA</t>
  </si>
  <si>
    <t>San Juan 242</t>
  </si>
  <si>
    <t>BR5011985</t>
  </si>
  <si>
    <t>Colchón Herval Colors 160x200</t>
  </si>
  <si>
    <t>387-5011985</t>
  </si>
  <si>
    <t>SOGENGRI080200</t>
  </si>
  <si>
    <t>Sommier Generico Gris 080x200</t>
  </si>
  <si>
    <t>R0017200020382</t>
  </si>
  <si>
    <t>X15037</t>
  </si>
  <si>
    <t>MEDINA MIRTA DEL VALLE</t>
  </si>
  <si>
    <t>Bº LIbertador. Paso de los Patos Nº 55</t>
  </si>
  <si>
    <t>387-4426316</t>
  </si>
  <si>
    <t>R0017200020383</t>
  </si>
  <si>
    <t>X15043</t>
  </si>
  <si>
    <t>MENDOZA VIDEL AGUSTINA</t>
  </si>
  <si>
    <t>Bº San Remo , Mar Caspio 1165</t>
  </si>
  <si>
    <t>387-4118959</t>
  </si>
  <si>
    <t>R0017200020384</t>
  </si>
  <si>
    <t>X15042</t>
  </si>
  <si>
    <t>ALEJO MATIAS</t>
  </si>
  <si>
    <t>Bº Progreso Etapa 2 Mzna "A" Casa 2</t>
  </si>
  <si>
    <t>387-5815686</t>
  </si>
  <si>
    <t>R0017200020385</t>
  </si>
  <si>
    <t>X15020</t>
  </si>
  <si>
    <t>CORNEJO ROVALETTI SRL</t>
  </si>
  <si>
    <t>Bº Los Tarcos Mzna 815A Casa 14</t>
  </si>
  <si>
    <t>387-5715480</t>
  </si>
  <si>
    <t>R0017200020403</t>
  </si>
  <si>
    <t>X15046</t>
  </si>
  <si>
    <t>SANTILLAN MARCOS</t>
  </si>
  <si>
    <t>Vª Lavalle, Calle Río del Valle Nº2333</t>
  </si>
  <si>
    <t>387-5355588</t>
  </si>
  <si>
    <t>R0017200020404</t>
  </si>
  <si>
    <t>X08762</t>
  </si>
  <si>
    <t>FLORES JOHANNA MIRIAM</t>
  </si>
  <si>
    <t>Vª Luján, Pasaje Coronel Arias 2087</t>
  </si>
  <si>
    <t>387-4855486</t>
  </si>
  <si>
    <t>R0017200020405</t>
  </si>
  <si>
    <t>387-5397461</t>
  </si>
  <si>
    <t>R0017200020406</t>
  </si>
  <si>
    <t>X15061</t>
  </si>
  <si>
    <t>JULIAN JUAN FACUNDO</t>
  </si>
  <si>
    <t>Bº Parque La Vega, Celestino Burgos 200</t>
  </si>
  <si>
    <t>60104.21</t>
  </si>
  <si>
    <t>Colchon Delta Inducol 140x190</t>
  </si>
  <si>
    <t>387-3041661</t>
  </si>
  <si>
    <t>R0017200020440</t>
  </si>
  <si>
    <t>X15053</t>
  </si>
  <si>
    <t>ERAZO MARIA DEL CARMEN</t>
  </si>
  <si>
    <t>Bº Docente Sur Mzna 4 Casa 23</t>
  </si>
  <si>
    <t>387-3271640</t>
  </si>
  <si>
    <t>R0017200020441</t>
  </si>
  <si>
    <t>X15062</t>
  </si>
  <si>
    <t>PEREZ MARIO</t>
  </si>
  <si>
    <t>Bº Parques Nacionales, Acambuco 227</t>
  </si>
  <si>
    <t>387-3000072</t>
  </si>
  <si>
    <t>R0017200020442</t>
  </si>
  <si>
    <t>X15065</t>
  </si>
  <si>
    <t>FRIZZA NORA</t>
  </si>
  <si>
    <t>Cd. del Milagro, Ana Sayasti 852</t>
  </si>
  <si>
    <t>387-4091847</t>
  </si>
  <si>
    <t>R0017200020443</t>
  </si>
  <si>
    <t>X15086</t>
  </si>
  <si>
    <t>PEREZ ANDREA VALERIA</t>
  </si>
  <si>
    <t>Vª Soledad, Calle Francisco Arias 670</t>
  </si>
  <si>
    <t>387-4416404</t>
  </si>
  <si>
    <t>R0017200020444</t>
  </si>
  <si>
    <t>X15087</t>
  </si>
  <si>
    <t>GONZALEZ DANIEL</t>
  </si>
  <si>
    <t>387-5391811</t>
  </si>
  <si>
    <t>387-5168910</t>
  </si>
  <si>
    <t>R0017200020445</t>
  </si>
  <si>
    <t>Bº Limache Etapa 13 Mzna 5 Casa 15</t>
  </si>
  <si>
    <t>R0017200020446</t>
  </si>
  <si>
    <t>X15088</t>
  </si>
  <si>
    <t>MAIDANA JANET</t>
  </si>
  <si>
    <t>Bº Limache Etapa 5 Casa 13</t>
  </si>
  <si>
    <t>387-5132095</t>
  </si>
  <si>
    <t>Sabana FIELDCREST Queen Gris</t>
  </si>
  <si>
    <t>Sabana FIELDCREST Full Gris</t>
  </si>
  <si>
    <t>R0017200020447</t>
  </si>
  <si>
    <t>X15081</t>
  </si>
  <si>
    <t>GARECCO GABRIEL</t>
  </si>
  <si>
    <t>Los Crespones 242</t>
  </si>
  <si>
    <t xml:space="preserve">Vaqueros </t>
  </si>
  <si>
    <t>387-4629101</t>
  </si>
  <si>
    <t>R0017200020448</t>
  </si>
  <si>
    <t>X15074</t>
  </si>
  <si>
    <t>GONZALEZ LOBO ROSANA</t>
  </si>
  <si>
    <t>Bº Mirasoles Mzna 490A Casa 3</t>
  </si>
  <si>
    <t>387-5225907</t>
  </si>
  <si>
    <t>R0017200020449</t>
  </si>
  <si>
    <t>La Guillermina Mzna 4 Lote 15</t>
  </si>
  <si>
    <t>R0017200020477</t>
  </si>
  <si>
    <t>X15093</t>
  </si>
  <si>
    <t>OCAMPO FRANCISCO</t>
  </si>
  <si>
    <t>R0017200020478</t>
  </si>
  <si>
    <t>X15107</t>
  </si>
  <si>
    <t>GARCIA GABRIELA</t>
  </si>
  <si>
    <t>B Juan Pablo 2do Block12 Dpto: 9 piso 2</t>
  </si>
  <si>
    <t>387-45250037</t>
  </si>
  <si>
    <t>R0017200020479</t>
  </si>
  <si>
    <t>X15070</t>
  </si>
  <si>
    <t>PEREYRA SEBASTIAN</t>
  </si>
  <si>
    <t xml:space="preserve">Bº Pq Gral Belgrano, Block 5 Dpto 11 1ra etapa  </t>
  </si>
  <si>
    <t>387-6845252</t>
  </si>
  <si>
    <t>R0017200020490</t>
  </si>
  <si>
    <t>X15103</t>
  </si>
  <si>
    <t>PELLESCHI CONTANZA</t>
  </si>
  <si>
    <t xml:space="preserve">20 DE FEBRERO 1770 4 C </t>
  </si>
  <si>
    <t>Protector Matelasse 160x200</t>
  </si>
  <si>
    <t>387-5173220</t>
  </si>
  <si>
    <t>20 DE FEBRERO 1770 4 C</t>
  </si>
  <si>
    <t>Alm. Zlow Visco Basic</t>
  </si>
  <si>
    <t>R0017200020491</t>
  </si>
  <si>
    <t>X15106</t>
  </si>
  <si>
    <t>MANZUR SALVADOR HECTOR</t>
  </si>
  <si>
    <t>PJE OBISPO LINARES 615</t>
  </si>
  <si>
    <t>387-4770800</t>
  </si>
  <si>
    <t>R0017200020493</t>
  </si>
  <si>
    <t>X15112</t>
  </si>
  <si>
    <t>ACOSTA FELISA</t>
  </si>
  <si>
    <t>DELFIN HUARGO 938</t>
  </si>
  <si>
    <t>387-4824108</t>
  </si>
  <si>
    <t>R0017200020525</t>
  </si>
  <si>
    <t>X15126</t>
  </si>
  <si>
    <t>DIEZ ARIAS MARIA EUGENIA</t>
  </si>
  <si>
    <t>Pq. Gral Belgrano. Etapa 3. 23 Viviendas. Mzna "A" Casa 9</t>
  </si>
  <si>
    <t>387-5986853</t>
  </si>
  <si>
    <t>387-5616167</t>
  </si>
  <si>
    <t>R0017200020526</t>
  </si>
  <si>
    <t>X15138</t>
  </si>
  <si>
    <t>PEDRAZA MARCELA</t>
  </si>
  <si>
    <t>Pedernera 1299</t>
  </si>
  <si>
    <t>R0017200020527</t>
  </si>
  <si>
    <t>X15141</t>
  </si>
  <si>
    <t>MIRABEL RICARDO SEBASTIAN</t>
  </si>
  <si>
    <t>Bº Araoz Radio Serialista 2055</t>
  </si>
  <si>
    <t>387-5037432</t>
  </si>
  <si>
    <t>R0017200020535</t>
  </si>
  <si>
    <t>X15142</t>
  </si>
  <si>
    <t>BRAVO JULIO RODOLFO</t>
  </si>
  <si>
    <t>Pq Gral Belgrano Etapa 6 Mzna 14 Casa 17</t>
  </si>
  <si>
    <t>Col Sealy Est WoodsB 200x200</t>
  </si>
  <si>
    <t>387-4214861</t>
  </si>
  <si>
    <t>3875-820534</t>
  </si>
  <si>
    <t>R0017200020536</t>
  </si>
  <si>
    <t>VX8721</t>
  </si>
  <si>
    <t>Eliecer Velazquez marrero bp</t>
  </si>
  <si>
    <t xml:space="preserve">Florentino Ameghino 1568 </t>
  </si>
  <si>
    <t>COFEZA200200</t>
  </si>
  <si>
    <t>Colchón Meyer Feliz 200x200</t>
  </si>
  <si>
    <t>387-4145258</t>
  </si>
  <si>
    <t>R0017200020537</t>
  </si>
  <si>
    <t>X15146</t>
  </si>
  <si>
    <t>MANGINI CELESTE ROCIO</t>
  </si>
  <si>
    <t>Bº santa Ana 1 Pasaje 22 casa 1928</t>
  </si>
  <si>
    <t>381-6959283</t>
  </si>
  <si>
    <t>R0017200020538</t>
  </si>
  <si>
    <t>R0017200020540</t>
  </si>
  <si>
    <t>X15149</t>
  </si>
  <si>
    <t>DAVALOS MARCELA VERONICA</t>
  </si>
  <si>
    <t xml:space="preserve">Barrio Pueblo Nuevo 12 </t>
  </si>
  <si>
    <t>387-4887774</t>
  </si>
  <si>
    <t>R0017200020556</t>
  </si>
  <si>
    <t>X15157</t>
  </si>
  <si>
    <t>SARSUR RAUL ABDO</t>
  </si>
  <si>
    <t>Complejo Habitacional Sur Mzna B Casa15</t>
  </si>
  <si>
    <t>11-378570009</t>
  </si>
  <si>
    <t>R0017200020557</t>
  </si>
  <si>
    <t>X15158</t>
  </si>
  <si>
    <t>CAMPOS ROCIO SOLEDAD</t>
  </si>
  <si>
    <t>Anzoategui 630 P/B Dpto I</t>
  </si>
  <si>
    <t>Som Sealy Carbon Grey 150x190</t>
  </si>
  <si>
    <t>388-5083831</t>
  </si>
  <si>
    <t>R0017200020558</t>
  </si>
  <si>
    <t>X14618</t>
  </si>
  <si>
    <t>ACOSTA DANIEL</t>
  </si>
  <si>
    <t>Obispo Romero 1625</t>
  </si>
  <si>
    <t>COENEA090190</t>
  </si>
  <si>
    <t>Col. Meyer Energía 090x190</t>
  </si>
  <si>
    <t>423-2098</t>
  </si>
  <si>
    <t>Cambio posventa</t>
  </si>
  <si>
    <t>R0017200020560</t>
  </si>
  <si>
    <t>X15165</t>
  </si>
  <si>
    <t>GROH RUBEN</t>
  </si>
  <si>
    <t>Valle Escondido Los Zorritos Lote 25</t>
  </si>
  <si>
    <t>385-7578112</t>
  </si>
  <si>
    <t>R0017200020569</t>
  </si>
  <si>
    <t>X15169</t>
  </si>
  <si>
    <t>JAIME VALLE ANA GABRIELA</t>
  </si>
  <si>
    <t>La Angostura condominio, casa 24</t>
  </si>
  <si>
    <t>387-5716020</t>
  </si>
  <si>
    <t>En la curva de Lesser</t>
  </si>
  <si>
    <t>R0017200020570</t>
  </si>
  <si>
    <t>R0017200020571</t>
  </si>
  <si>
    <t>X15167</t>
  </si>
  <si>
    <t>MURILLO MARCOS X</t>
  </si>
  <si>
    <t>General Paz 436</t>
  </si>
  <si>
    <t>387-5697602</t>
  </si>
  <si>
    <t>R0017200020572</t>
  </si>
  <si>
    <t>Bº Nueve de Julio Mzna 430 Casa 2</t>
  </si>
  <si>
    <t>R0017200020573</t>
  </si>
  <si>
    <t>X15159</t>
  </si>
  <si>
    <t>MOREL JOSE MANUEL</t>
  </si>
  <si>
    <t>Bº San Carlos Mzna 3 Casa 1</t>
  </si>
  <si>
    <t>387-2240456</t>
  </si>
  <si>
    <t>R0017200020586</t>
  </si>
  <si>
    <t>X15174</t>
  </si>
  <si>
    <t>PLAZA MORATA JUAN PABLO</t>
  </si>
  <si>
    <t>Las Blancas - Paraje La Serena</t>
  </si>
  <si>
    <t>387-5327988</t>
  </si>
  <si>
    <t>R0017200020587</t>
  </si>
  <si>
    <t>X15175</t>
  </si>
  <si>
    <t>SALAZAR NAHUEL</t>
  </si>
  <si>
    <t>Rivadavia 351</t>
  </si>
  <si>
    <t>3878-350899</t>
  </si>
  <si>
    <t>R0017200020588</t>
  </si>
  <si>
    <t>X15177</t>
  </si>
  <si>
    <t>VIVEROS MICAELA</t>
  </si>
  <si>
    <t>J. A. Fernández 884</t>
  </si>
  <si>
    <t>387-5395337</t>
  </si>
  <si>
    <t>R0017200020590</t>
  </si>
  <si>
    <t>Ruta Nacional 51 Km 15,5</t>
  </si>
  <si>
    <t>387-4667043</t>
  </si>
  <si>
    <t>R0017200020600</t>
  </si>
  <si>
    <t>X15188</t>
  </si>
  <si>
    <t>CHOCOBAR BENJAMIN</t>
  </si>
  <si>
    <t>Bº Circulo 4 Mzna 13 Casa1</t>
  </si>
  <si>
    <t>387-5328484</t>
  </si>
  <si>
    <t>R0017200020652</t>
  </si>
  <si>
    <t>X15230</t>
  </si>
  <si>
    <t>RODRIGUEZ LUCIA</t>
  </si>
  <si>
    <t>Bº 17 de Octubre Mzna 383B Lote 15</t>
  </si>
  <si>
    <t>387-5406124</t>
  </si>
  <si>
    <t>R0017200020653</t>
  </si>
  <si>
    <t>X15229</t>
  </si>
  <si>
    <t>PEREZ AGUSTINA BP</t>
  </si>
  <si>
    <t>387-5138011</t>
  </si>
  <si>
    <t>R0017200020654</t>
  </si>
  <si>
    <t>X15220</t>
  </si>
  <si>
    <t>CANE AGUSTIN</t>
  </si>
  <si>
    <t>Juan Moreira 1375 Alto La Loma</t>
  </si>
  <si>
    <t>COWOOB180200</t>
  </si>
  <si>
    <t>Col Sealy Est WoodsB 180x200</t>
  </si>
  <si>
    <t>387-5904672</t>
  </si>
  <si>
    <t>R0017200020655</t>
  </si>
  <si>
    <t>X15224</t>
  </si>
  <si>
    <t>SUFI MARIANGELA</t>
  </si>
  <si>
    <t>Cerro Negro 490</t>
  </si>
  <si>
    <t>387-4689874</t>
  </si>
  <si>
    <t>R0017200020656</t>
  </si>
  <si>
    <t>X15203</t>
  </si>
  <si>
    <t>GUAIMAS ERICA</t>
  </si>
  <si>
    <t>Bº Los Alamos Mzna 4 Lote 16, Los Cóndores</t>
  </si>
  <si>
    <t>387-4738452</t>
  </si>
  <si>
    <t>R0017200020657</t>
  </si>
  <si>
    <t>Colchon Cirrus Firm 160x200x24</t>
  </si>
  <si>
    <t>R0017200020658</t>
  </si>
  <si>
    <t>X15205</t>
  </si>
  <si>
    <t>POMA LAUTARO GERMAN</t>
  </si>
  <si>
    <t>Bº Juan Pablo II Sur Block 42 Dpto 3</t>
  </si>
  <si>
    <t>387-4856829</t>
  </si>
  <si>
    <t>R0017200020659</t>
  </si>
  <si>
    <t>X15198</t>
  </si>
  <si>
    <t>ZAPANA RAMON</t>
  </si>
  <si>
    <t>Bº El Carmen Arturo Ilia 168</t>
  </si>
  <si>
    <t>387-5306038</t>
  </si>
  <si>
    <t>R0017200020660</t>
  </si>
  <si>
    <t>R0017200020661</t>
  </si>
  <si>
    <t>R0017200020662</t>
  </si>
  <si>
    <t>X15207</t>
  </si>
  <si>
    <t>nahir salem</t>
  </si>
  <si>
    <t>Bº Autodromo, Antonio Alice 87</t>
  </si>
  <si>
    <t>387-4068214</t>
  </si>
  <si>
    <t>R0017200020663</t>
  </si>
  <si>
    <t>X15217</t>
  </si>
  <si>
    <t>PORTAL INES</t>
  </si>
  <si>
    <t>387-4856832</t>
  </si>
  <si>
    <t>R0017200020664</t>
  </si>
  <si>
    <t>X15231</t>
  </si>
  <si>
    <t>NICOLOFF LILIANA</t>
  </si>
  <si>
    <t>Caseros 1071, Block B, Dpto 3A</t>
  </si>
  <si>
    <t>Col Eternity EuroPocket160x200</t>
  </si>
  <si>
    <t>381-5732364</t>
  </si>
  <si>
    <t>84209.1</t>
  </si>
  <si>
    <t>Sommier Comfort Sens. 080x200</t>
  </si>
  <si>
    <t>R0017200020665</t>
  </si>
  <si>
    <t>X15233</t>
  </si>
  <si>
    <t>MONTAÑO GERARDO MIGUEL</t>
  </si>
  <si>
    <t>Dean Funes 2246</t>
  </si>
  <si>
    <t>387-4021031</t>
  </si>
  <si>
    <t>R0017200020666</t>
  </si>
  <si>
    <t>R0017200020669</t>
  </si>
  <si>
    <t>X15235</t>
  </si>
  <si>
    <t>GUERRA JOSE</t>
  </si>
  <si>
    <t>Ntra. Sra del Carmen Mzna T Casa 507</t>
  </si>
  <si>
    <t>Col Meyer Dream Plus 160x200</t>
  </si>
  <si>
    <t>387-5434569</t>
  </si>
  <si>
    <t>R0017200020698</t>
  </si>
  <si>
    <t>X15228</t>
  </si>
  <si>
    <t>LIENDRO ANA VIOLETA</t>
  </si>
  <si>
    <t>Pasaje La Viña 948</t>
  </si>
  <si>
    <t>Alm. Zlow Extra 70X50</t>
  </si>
  <si>
    <t>387-4112029</t>
  </si>
  <si>
    <t>R0017200020699</t>
  </si>
  <si>
    <t>X15251</t>
  </si>
  <si>
    <t>SARAPURA MARCELA</t>
  </si>
  <si>
    <t>Bº El Huaico Mzna 481C duplex 34</t>
  </si>
  <si>
    <t>387-4098967</t>
  </si>
  <si>
    <t>R0017200020700</t>
  </si>
  <si>
    <t>R0017200020701</t>
  </si>
  <si>
    <t>X15252</t>
  </si>
  <si>
    <t>BURGOS CESAR</t>
  </si>
  <si>
    <t>Dean Funes 1810</t>
  </si>
  <si>
    <t>Col Meyer Pocket 140x190</t>
  </si>
  <si>
    <t>11-58420874</t>
  </si>
  <si>
    <t>R0017200020702</t>
  </si>
  <si>
    <t>Los Castaños Mzna B Casa 19</t>
  </si>
  <si>
    <t>387-6293712</t>
  </si>
  <si>
    <t>R0017200020729</t>
  </si>
  <si>
    <t>X15276</t>
  </si>
  <si>
    <t>AGUILERA SERGIO ISMAEL</t>
  </si>
  <si>
    <t>Bº Santa Ana 3 Mzna L Casa 1</t>
  </si>
  <si>
    <t>387-6845485</t>
  </si>
  <si>
    <t>R0017200020730</t>
  </si>
  <si>
    <t>X15279</t>
  </si>
  <si>
    <t>AYENDEZ ADRIANA YUDITH</t>
  </si>
  <si>
    <t>Pje. Timoteo Mzna 6 Casa 6</t>
  </si>
  <si>
    <t>387-5082831</t>
  </si>
  <si>
    <t>R0017200020731</t>
  </si>
  <si>
    <t>X15270</t>
  </si>
  <si>
    <t>CULASSO MARIA INES</t>
  </si>
  <si>
    <t>Pueyrredon 1360 2ºC</t>
  </si>
  <si>
    <t>387-4089419</t>
  </si>
  <si>
    <t>R0017200020732</t>
  </si>
  <si>
    <t>X15277</t>
  </si>
  <si>
    <t>TORRES ESTEBAN</t>
  </si>
  <si>
    <t>Hipolito Irigoyen 331</t>
  </si>
  <si>
    <t>387-5369500</t>
  </si>
  <si>
    <t>R0017200020733</t>
  </si>
  <si>
    <t>R0017200020734</t>
  </si>
  <si>
    <t>X15264</t>
  </si>
  <si>
    <t>DIAZ JORGE MATIAS RODOLFO</t>
  </si>
  <si>
    <t>Pq. Gral Belgrano. Etapa 3, Block 7, 2º 5</t>
  </si>
  <si>
    <t>Col Sealy Perf RainbowN200x200</t>
  </si>
  <si>
    <t>387-4875560</t>
  </si>
  <si>
    <t>R0017200020735</t>
  </si>
  <si>
    <t>X15266</t>
  </si>
  <si>
    <t>CAJAL SILVANA PAMELA</t>
  </si>
  <si>
    <t>Avda San Martin 1255</t>
  </si>
  <si>
    <t>3878-434336</t>
  </si>
  <si>
    <t>R0017200020740</t>
  </si>
  <si>
    <t>387-4875249</t>
  </si>
  <si>
    <t>R0017200020741</t>
  </si>
  <si>
    <t>X15286</t>
  </si>
  <si>
    <t>MORALES NOELIA MARISOL</t>
  </si>
  <si>
    <t>Bº 1º de Mayo, Mzna 327L, Lote 29</t>
  </si>
  <si>
    <t>387-5208284</t>
  </si>
  <si>
    <t>R0017200020742</t>
  </si>
  <si>
    <t>R0017200020743</t>
  </si>
  <si>
    <t>X15285</t>
  </si>
  <si>
    <t>CRUZ JAIRO</t>
  </si>
  <si>
    <t>Bº San Rafael, Mendoza 414</t>
  </si>
  <si>
    <t>387-5439200</t>
  </si>
  <si>
    <t>R0017200020744</t>
  </si>
  <si>
    <t>X15281</t>
  </si>
  <si>
    <t>HERRERA JUAN PABLO</t>
  </si>
  <si>
    <t>Bº Pq Gral Belgrano, Luis Agote 102, Block Sur, 2ºM</t>
  </si>
  <si>
    <t>387-5411226</t>
  </si>
  <si>
    <t>SODFM100200E</t>
  </si>
  <si>
    <t>Base de Diván S&amp;F 100x200</t>
  </si>
  <si>
    <t>R0017200020747</t>
  </si>
  <si>
    <t>El Tipal, Antillas 240</t>
  </si>
  <si>
    <t>CAMARTFLEX16020</t>
  </si>
  <si>
    <t>Cama Smart Cosmo 160x200</t>
  </si>
  <si>
    <t>387-3421578</t>
  </si>
  <si>
    <t>Col Sealy Chill Memory 160x200</t>
  </si>
  <si>
    <t>R0017200020763</t>
  </si>
  <si>
    <t>X15297</t>
  </si>
  <si>
    <t>SARMIENTO RICARDO</t>
  </si>
  <si>
    <t>Bº Periodista. Ilario Ascasubi 1991</t>
  </si>
  <si>
    <t>387-4066455</t>
  </si>
  <si>
    <t>R0017200020776</t>
  </si>
  <si>
    <t>X15278</t>
  </si>
  <si>
    <t>CALPANCHAY ROLANDO</t>
  </si>
  <si>
    <t>Islas Orcada del Sur, Mza 121 Casa 12</t>
  </si>
  <si>
    <t>387-6034308</t>
  </si>
  <si>
    <t>R0017200020777</t>
  </si>
  <si>
    <t>X15290</t>
  </si>
  <si>
    <t>LOPEZ ENRIQUE CARLOS GUSTAVO</t>
  </si>
  <si>
    <t>España 1810</t>
  </si>
  <si>
    <t>11-34049748</t>
  </si>
  <si>
    <t>R0017200020778</t>
  </si>
  <si>
    <t>X15303</t>
  </si>
  <si>
    <t>CALVI GARRIDO CINTIA</t>
  </si>
  <si>
    <t>Bº Santa Marta, Mza 31, Casa 19</t>
  </si>
  <si>
    <t xml:space="preserve">La Isla </t>
  </si>
  <si>
    <t>387-5195120</t>
  </si>
  <si>
    <t>R0017200020779</t>
  </si>
  <si>
    <t>VY2567</t>
  </si>
  <si>
    <t>SORIA MARIA EUGENIA BP</t>
  </si>
  <si>
    <t>Los Mandarinos 140</t>
  </si>
  <si>
    <t>Col Meyer Dream 080x190</t>
  </si>
  <si>
    <t>387-4115636</t>
  </si>
  <si>
    <t>R0017200020780</t>
  </si>
  <si>
    <t>X15307</t>
  </si>
  <si>
    <t>LAUTARO YBAÑEZ</t>
  </si>
  <si>
    <t>Pasaje La Viña 727</t>
  </si>
  <si>
    <t>387-5972284</t>
  </si>
  <si>
    <t>R0017200020783</t>
  </si>
  <si>
    <t>B45368</t>
  </si>
  <si>
    <t>Ajaya Flavia Jimena bp</t>
  </si>
  <si>
    <t>Bº San Ignacio Mza 296 Casa 18</t>
  </si>
  <si>
    <t>387-5020013</t>
  </si>
  <si>
    <t>R0017200020784</t>
  </si>
  <si>
    <t>X03989</t>
  </si>
  <si>
    <t>SEBASTIAN DI PIETRO EMPLEADO</t>
  </si>
  <si>
    <t>Alvarado 1424</t>
  </si>
  <si>
    <t>Gral. Gúemes</t>
  </si>
  <si>
    <t>387-5200024</t>
  </si>
  <si>
    <t>R0017200020787</t>
  </si>
  <si>
    <t>X15275</t>
  </si>
  <si>
    <t>PAZ PATRICIA LIGIA</t>
  </si>
  <si>
    <t>Luis Burela 400</t>
  </si>
  <si>
    <t>COLNEA 140190</t>
  </si>
  <si>
    <t>387-4682868</t>
  </si>
  <si>
    <t>R0017200020788</t>
  </si>
  <si>
    <t>X15315</t>
  </si>
  <si>
    <t>VARGAS wASSER RUDDY ABDIEL</t>
  </si>
  <si>
    <t>Avda Uruguay 460</t>
  </si>
  <si>
    <t>Col Sealy EstSunshhineB 140x190</t>
  </si>
  <si>
    <t>11-30601652</t>
  </si>
  <si>
    <t>R0017200020789</t>
  </si>
  <si>
    <t>X15317</t>
  </si>
  <si>
    <t>PANELO IVANA ANDREA</t>
  </si>
  <si>
    <t>Dean Funes 1210 "C"</t>
  </si>
  <si>
    <t>387-5779701</t>
  </si>
  <si>
    <t>R0017200020806</t>
  </si>
  <si>
    <t>X05472</t>
  </si>
  <si>
    <t>VERA SERGIO ADRIAN</t>
  </si>
  <si>
    <t>Bº Docente  Block A Dpto 12/ Av. Libano</t>
  </si>
  <si>
    <t>Col Meyer Sleep Plus 140x190</t>
  </si>
  <si>
    <t>3878-602356</t>
  </si>
  <si>
    <t>R0017200020807</t>
  </si>
  <si>
    <t>X15310</t>
  </si>
  <si>
    <t>IGARZABAL NICOLAS</t>
  </si>
  <si>
    <t>Perdiguero 3137</t>
  </si>
  <si>
    <t>COFEZA100190</t>
  </si>
  <si>
    <t>Colchón Meyer Feliz 100x190</t>
  </si>
  <si>
    <t>387-6830800</t>
  </si>
  <si>
    <t>R0017200020808</t>
  </si>
  <si>
    <t>X15326</t>
  </si>
  <si>
    <t>FRAGALITI NORBERTO RICARDO</t>
  </si>
  <si>
    <t>Luis Burela 441</t>
  </si>
  <si>
    <t>385-4020065</t>
  </si>
  <si>
    <t>R0017200020812</t>
  </si>
  <si>
    <t>R0017200020810</t>
  </si>
  <si>
    <t>X15328</t>
  </si>
  <si>
    <t>ARROYO BELEN</t>
  </si>
  <si>
    <t>Bº Apolinario SAravia Lago Portezuelo 2918</t>
  </si>
  <si>
    <t>387-5542410</t>
  </si>
  <si>
    <t>R0017200020813</t>
  </si>
  <si>
    <t>X15330</t>
  </si>
  <si>
    <t>SEBASTIAN MENDEZ MACIAS</t>
  </si>
  <si>
    <t xml:space="preserve">Praderas de San Lorenzo Mzna 6 </t>
  </si>
  <si>
    <t>Col Telgo Dorado 090x190</t>
  </si>
  <si>
    <t>11-30013268</t>
  </si>
  <si>
    <t>R0017200020815</t>
  </si>
  <si>
    <t>X15331</t>
  </si>
  <si>
    <t>ALTAMIRANO JUAN JOSE</t>
  </si>
  <si>
    <t>Bº Intersindical Radio Patagonia 2921</t>
  </si>
  <si>
    <t>COMDPA180200</t>
  </si>
  <si>
    <t>Col Meyer Dream Plus 180x200</t>
  </si>
  <si>
    <t>387-4032421</t>
  </si>
  <si>
    <t>R0017200020816</t>
  </si>
  <si>
    <t>X15332</t>
  </si>
  <si>
    <t>MARINOFF LUIS</t>
  </si>
  <si>
    <t>Alberdi 1225</t>
  </si>
  <si>
    <t>Col Sealy EstSunshineB 160x200</t>
  </si>
  <si>
    <t>387-6121987</t>
  </si>
  <si>
    <t>R0017200020817</t>
  </si>
  <si>
    <t>X13336</t>
  </si>
  <si>
    <t>ALTAMIRANO MARCELO</t>
  </si>
  <si>
    <t>Bº San Carlos Mna 3 Casa 12</t>
  </si>
  <si>
    <t>387-578044</t>
  </si>
  <si>
    <t>R0017200020818</t>
  </si>
  <si>
    <t>X15299</t>
  </si>
  <si>
    <t>MUIÑOS MARIA DE LOS ANGELES</t>
  </si>
  <si>
    <t>Los Raulies 78</t>
  </si>
  <si>
    <t>387-4080264</t>
  </si>
  <si>
    <t>R0017200020833</t>
  </si>
  <si>
    <t>X15338</t>
  </si>
  <si>
    <t>VITALI VALERIA</t>
  </si>
  <si>
    <t>Villa Lola Pje 16A</t>
  </si>
  <si>
    <t>387-5985640</t>
  </si>
  <si>
    <t>R0017200020834</t>
  </si>
  <si>
    <t>Col. Meyer Devas 150x190</t>
  </si>
  <si>
    <t>R0017200020835</t>
  </si>
  <si>
    <t>X15336</t>
  </si>
  <si>
    <t>DIAZ ISABEL ADRIANA</t>
  </si>
  <si>
    <t>Bº San Isidro Mz 109A Casa 2</t>
  </si>
  <si>
    <t>387-4757103</t>
  </si>
  <si>
    <t>R0017200020836</t>
  </si>
  <si>
    <t>Los Ceibos esq Los Sauces</t>
  </si>
  <si>
    <t>387-5961215</t>
  </si>
  <si>
    <t>R0017200020837</t>
  </si>
  <si>
    <t>X15348</t>
  </si>
  <si>
    <t>APONTE NORMA</t>
  </si>
  <si>
    <t>Reinas Moras y Gazas 499</t>
  </si>
  <si>
    <t>387-5323532</t>
  </si>
  <si>
    <t>R0017200020838</t>
  </si>
  <si>
    <t>Pueyrredón 1360</t>
  </si>
  <si>
    <t>Col. Meyer Devas 160x200</t>
  </si>
  <si>
    <t>Cambio</t>
  </si>
  <si>
    <t>R0017200020841</t>
  </si>
  <si>
    <t>X15334</t>
  </si>
  <si>
    <t>WEBER PATRICIA</t>
  </si>
  <si>
    <t>Leguizamon 635 4ºD</t>
  </si>
  <si>
    <t>3878-645455</t>
  </si>
  <si>
    <t>Som. Light Blue 150x190</t>
  </si>
  <si>
    <t>R0017200020845</t>
  </si>
  <si>
    <t>X15357</t>
  </si>
  <si>
    <t>HERRERA LUCAS</t>
  </si>
  <si>
    <t>Bº Dran Borug Pja Berdeja</t>
  </si>
  <si>
    <t>COMDRA 090190</t>
  </si>
  <si>
    <t>387-5343499</t>
  </si>
  <si>
    <t>R0017200020846</t>
  </si>
  <si>
    <t>X15341</t>
  </si>
  <si>
    <t>ARROYO SILVANA RAQUEL BP</t>
  </si>
  <si>
    <t>Bº Santa Ana I Pje 14 Casa 633</t>
  </si>
  <si>
    <t>387-4655563</t>
  </si>
  <si>
    <t>R0017200020858</t>
  </si>
  <si>
    <t>X15359</t>
  </si>
  <si>
    <t>BORDON DARIO</t>
  </si>
  <si>
    <t>Pje. San Pantaleon 1652 Vª Floresta</t>
  </si>
  <si>
    <t>379-4377594</t>
  </si>
  <si>
    <t>R0017200020857</t>
  </si>
  <si>
    <t>R0017200020859</t>
  </si>
  <si>
    <t>X15365</t>
  </si>
  <si>
    <t>SMOLE SEBASTIAN</t>
  </si>
  <si>
    <t>Bº La Angostura Nº 42</t>
  </si>
  <si>
    <t>354-3608540</t>
  </si>
  <si>
    <t>R0017200020860</t>
  </si>
  <si>
    <t>Bº Docente Sur Mza 2 Casa 6</t>
  </si>
  <si>
    <t>387-4671521</t>
  </si>
  <si>
    <t>R0017200020861</t>
  </si>
  <si>
    <t>X15369</t>
  </si>
  <si>
    <t>SERRANO JAVIER CEFERINO</t>
  </si>
  <si>
    <t>Bº Gustavo Leguizamón Mza 411A Casa 4</t>
  </si>
  <si>
    <t>387-5064077</t>
  </si>
  <si>
    <t>R0017200020863</t>
  </si>
  <si>
    <t>X15327</t>
  </si>
  <si>
    <t>PORTILLO DIEGO</t>
  </si>
  <si>
    <t>Necochea 445</t>
  </si>
  <si>
    <t>Col. Cirrus Firm 160x200x24</t>
  </si>
  <si>
    <t>11-69671899</t>
  </si>
  <si>
    <t>Som. Universal White 080x200</t>
  </si>
  <si>
    <t>R0017200020877</t>
  </si>
  <si>
    <t>X15375</t>
  </si>
  <si>
    <t>CUELLAR RAUL DAVID</t>
  </si>
  <si>
    <t>Bº Nueva Esperanza Mza 36 Casa 15</t>
  </si>
  <si>
    <t>387-4744974</t>
  </si>
  <si>
    <t>R0017200020878</t>
  </si>
  <si>
    <t>X15377</t>
  </si>
  <si>
    <t>FARIAS CARLA MICAELA</t>
  </si>
  <si>
    <t>Pueyrredón 1592</t>
  </si>
  <si>
    <t>Col. Sealy Post Quartz 140x190</t>
  </si>
  <si>
    <t>387-6134510</t>
  </si>
  <si>
    <t>R0017200020879</t>
  </si>
  <si>
    <t>X15379</t>
  </si>
  <si>
    <t>TRIGO GONZALO FEDERICO</t>
  </si>
  <si>
    <t>Bº Castañares Gpo 480 Block L 3er piso Dpto 200</t>
  </si>
  <si>
    <t>387-4644354</t>
  </si>
  <si>
    <t>Som. GenericoBlanco 100x190</t>
  </si>
  <si>
    <t>R0017200020880</t>
  </si>
  <si>
    <t>X15384</t>
  </si>
  <si>
    <t>TORREZ CINTIA</t>
  </si>
  <si>
    <t>Ruta 23 Km 8 1/2</t>
  </si>
  <si>
    <t>3878-319101</t>
  </si>
  <si>
    <t>R0017200020882</t>
  </si>
  <si>
    <t>X15387</t>
  </si>
  <si>
    <t>SANCHEZ CRISTINA JANET</t>
  </si>
  <si>
    <t xml:space="preserve">Finca El Carmen Campo Alegre </t>
  </si>
  <si>
    <t>Col. Sealy Post Jade 140x190</t>
  </si>
  <si>
    <t>387-5485979</t>
  </si>
  <si>
    <t>R0017200020883</t>
  </si>
  <si>
    <t>COSFPB100200</t>
  </si>
  <si>
    <t>Col. S&amp;F Prestige Br(N) 100x200</t>
  </si>
  <si>
    <t>Base de Divan S&amp;F 100x200</t>
  </si>
  <si>
    <t>R0017200020884</t>
  </si>
  <si>
    <t>X15388</t>
  </si>
  <si>
    <t>RODRIGUEZ RUFINO NICOLAS PASTOR</t>
  </si>
  <si>
    <t>Adolfo Morillo Nº 5</t>
  </si>
  <si>
    <t>Col. Sealy Post Jade 180x200</t>
  </si>
  <si>
    <t>R0017200020888</t>
  </si>
  <si>
    <t>X15392</t>
  </si>
  <si>
    <t>COLQUE MARIANELA MERCEDES</t>
  </si>
  <si>
    <t xml:space="preserve"> Francisco Castro 748 Nº Rosedal</t>
  </si>
  <si>
    <t>Col. L.Palladium 140x190x20</t>
  </si>
  <si>
    <t>387--5039674</t>
  </si>
  <si>
    <t>R0017200020889</t>
  </si>
  <si>
    <t xml:space="preserve"> Francisco Castro 748 Nº Roseda</t>
  </si>
  <si>
    <t>R0017200020890</t>
  </si>
  <si>
    <t>Florida 466 DPTO 208</t>
  </si>
  <si>
    <t>387-5329748</t>
  </si>
  <si>
    <t>R0017200020891</t>
  </si>
  <si>
    <t>X07682</t>
  </si>
  <si>
    <t>SANTILLAN BRUNO</t>
  </si>
  <si>
    <t xml:space="preserve">Alvarez Tomas  752 Bº  Grand Burg </t>
  </si>
  <si>
    <t>387-5371828</t>
  </si>
  <si>
    <t>R0017200020903</t>
  </si>
  <si>
    <t>X15395</t>
  </si>
  <si>
    <t>SANTILLAN LUIS FRANCO</t>
  </si>
  <si>
    <t>Bº San Nicolás Pje Humahuaca 760</t>
  </si>
  <si>
    <t>Col. Delta InduCol. 140x190</t>
  </si>
  <si>
    <t>387-6857836</t>
  </si>
  <si>
    <t>R0017200020904</t>
  </si>
  <si>
    <t>X15409</t>
  </si>
  <si>
    <t>SOURIGUES LUCIANO ALEJANDRO</t>
  </si>
  <si>
    <t>Bº Miracolo, Mza "J", Casa 4/ San Luis</t>
  </si>
  <si>
    <t>387-5897539</t>
  </si>
  <si>
    <t>R0017200020905</t>
  </si>
  <si>
    <t>X15410</t>
  </si>
  <si>
    <t>DISTRIBUIDORA LIENDRO V Y ASOC. S. A. S.</t>
  </si>
  <si>
    <t>Bº Santa Ana II Mza 19 Casa 19</t>
  </si>
  <si>
    <t>13-63688040</t>
  </si>
  <si>
    <t>Alm. Sealy Memory Air 80x40</t>
  </si>
  <si>
    <t>387-4694529</t>
  </si>
  <si>
    <t>R0017200020906</t>
  </si>
  <si>
    <t>X15402</t>
  </si>
  <si>
    <t>OSCAR ALEJANDRO BARBOSA</t>
  </si>
  <si>
    <t>Bº Granaderos Diaz, Pje Catamarca 484</t>
  </si>
  <si>
    <t>Col. Meyer Feliz 140x190</t>
  </si>
  <si>
    <t>387-4665493</t>
  </si>
  <si>
    <t>R0017200020907</t>
  </si>
  <si>
    <t>VY4460</t>
  </si>
  <si>
    <t>ROBERTO MATIAS SANMILLAN BP</t>
  </si>
  <si>
    <t>Col. Detroit Euro 080x190</t>
  </si>
  <si>
    <t>387-4496846</t>
  </si>
  <si>
    <t>R0017200020908</t>
  </si>
  <si>
    <t>VY4213</t>
  </si>
  <si>
    <t>Abel Marcos Santa María</t>
  </si>
  <si>
    <t>Jujuy Este 352</t>
  </si>
  <si>
    <t>297-4310974</t>
  </si>
  <si>
    <t>R0017200020913</t>
  </si>
  <si>
    <t>X15403</t>
  </si>
  <si>
    <t>MORALES DIEGO</t>
  </si>
  <si>
    <t>Mitre 1249 4 C</t>
  </si>
  <si>
    <t>387-5098731</t>
  </si>
  <si>
    <t>R0017200020914</t>
  </si>
  <si>
    <t>R0017200020915</t>
  </si>
  <si>
    <t>X15412</t>
  </si>
  <si>
    <t>PONCE MILENA</t>
  </si>
  <si>
    <t xml:space="preserve">Via aurelia Manzana 33 casa 17 </t>
  </si>
  <si>
    <t>COMPOA180200</t>
  </si>
  <si>
    <t>Col. Meyer Pocket 180x200</t>
  </si>
  <si>
    <t>387-2615876</t>
  </si>
  <si>
    <t>R0017200020921</t>
  </si>
  <si>
    <t>X15401</t>
  </si>
  <si>
    <t>PALACIOS MERCEDES</t>
  </si>
  <si>
    <t>B San Benjamin  Estapa 1 Mza F Casa 4</t>
  </si>
  <si>
    <t>387-4890125</t>
  </si>
  <si>
    <t>R0017200020922</t>
  </si>
  <si>
    <t>X15408</t>
  </si>
  <si>
    <t>GABRIELA ANTONELLA DEL MILAGRO ANDRE MORENO</t>
  </si>
  <si>
    <t>Entre Rios 720 2 C</t>
  </si>
  <si>
    <t>387-4184582</t>
  </si>
  <si>
    <t>R0017200020933</t>
  </si>
  <si>
    <t>X15426</t>
  </si>
  <si>
    <t>ALDERETE RUBEN</t>
  </si>
  <si>
    <t>Belgrano 273</t>
  </si>
  <si>
    <t>387-5943494</t>
  </si>
  <si>
    <t>R0017200020934</t>
  </si>
  <si>
    <t>X15431</t>
  </si>
  <si>
    <t>SORIA ANA GUADALUPE</t>
  </si>
  <si>
    <t>Dr. Minerva 290</t>
  </si>
  <si>
    <t>Col. Meyer Devas 080x190</t>
  </si>
  <si>
    <t>387-4502964</t>
  </si>
  <si>
    <t>R0017200020935</t>
  </si>
  <si>
    <t>X15413</t>
  </si>
  <si>
    <t>ELLER JULIO</t>
  </si>
  <si>
    <t>Bº Santa Cecilia Artidorio Cresseri 406</t>
  </si>
  <si>
    <t>388-5071292</t>
  </si>
  <si>
    <t>R0017200020936</t>
  </si>
  <si>
    <t>X15425</t>
  </si>
  <si>
    <t>PRADA ANA LAURA</t>
  </si>
  <si>
    <t>Los Juncos 1059</t>
  </si>
  <si>
    <t>387-4089090</t>
  </si>
  <si>
    <t>R0017200020937</t>
  </si>
  <si>
    <t>X15422</t>
  </si>
  <si>
    <t>TOLABA NAHUEL</t>
  </si>
  <si>
    <t>Los Juncos 1052</t>
  </si>
  <si>
    <t>387-6198712</t>
  </si>
  <si>
    <t>R0017200020938</t>
  </si>
  <si>
    <t>X09739</t>
  </si>
  <si>
    <t>PANTOJA ELBIO DAVID</t>
  </si>
  <si>
    <t>Bº El Cruce, Jujuy 981</t>
  </si>
  <si>
    <t>Gral. Güemes</t>
  </si>
  <si>
    <t>387-5795689</t>
  </si>
  <si>
    <t>R0017200020939</t>
  </si>
  <si>
    <t>X15432</t>
  </si>
  <si>
    <t>REINALDI FERNANDO</t>
  </si>
  <si>
    <t>Bº San Rafael Mza "I" Casa 10</t>
  </si>
  <si>
    <t>387-6039577</t>
  </si>
  <si>
    <t>R0017200020941</t>
  </si>
  <si>
    <t>R0017200020942</t>
  </si>
  <si>
    <t>Juan Domingo Peron Mza 2, Lote 13, Casa 2</t>
  </si>
  <si>
    <t>387-4290222</t>
  </si>
  <si>
    <t>Altura Santa Ana I, pasaje 15</t>
  </si>
  <si>
    <t>R0017200020944</t>
  </si>
  <si>
    <t>X15436</t>
  </si>
  <si>
    <t>MARTINEZ EDITH</t>
  </si>
  <si>
    <t>Bª Bancario Block B 1 Dpto D</t>
  </si>
  <si>
    <t>387-5088907</t>
  </si>
  <si>
    <t>R0017200020945</t>
  </si>
  <si>
    <t>R0017200020946</t>
  </si>
  <si>
    <t>X15437</t>
  </si>
  <si>
    <t>NIEVA SILVANA REGINA</t>
  </si>
  <si>
    <t xml:space="preserve">Bª Limache Manzana 1 Esapa 1 Casa 10 </t>
  </si>
  <si>
    <t>387-4137412</t>
  </si>
  <si>
    <t>Col. Meyer Salud 090x190</t>
  </si>
  <si>
    <t>Som. Light Blue 090x190</t>
  </si>
  <si>
    <t>R0017200020950</t>
  </si>
  <si>
    <t>X15418</t>
  </si>
  <si>
    <t>ZUNIGA LUCAS BP</t>
  </si>
  <si>
    <t>Bº Castañares, Grupo 99, Block 10, Humberto Canepa</t>
  </si>
  <si>
    <t>387-3506532</t>
  </si>
  <si>
    <t>R0017200020952</t>
  </si>
  <si>
    <t>X15441</t>
  </si>
  <si>
    <t>BAJO RAUL EDUARDO</t>
  </si>
  <si>
    <t>Bº La almudena calle 3 casa 8</t>
  </si>
  <si>
    <t>Col.meyer devas 150x190</t>
  </si>
  <si>
    <t>387-6849009</t>
  </si>
  <si>
    <t>R0017200020954</t>
  </si>
  <si>
    <t>X15445</t>
  </si>
  <si>
    <t>RIQUELME ROBERTO EMMANUEL</t>
  </si>
  <si>
    <t>Bº Don Miguel Mza D 11</t>
  </si>
  <si>
    <t>11-68093755</t>
  </si>
  <si>
    <t>R0017200020955</t>
  </si>
  <si>
    <t>Bº Pq Gral Belgrano, Mza 201B</t>
  </si>
  <si>
    <t>387-5345501</t>
  </si>
  <si>
    <t>R0017200020956</t>
  </si>
  <si>
    <t>X15439</t>
  </si>
  <si>
    <t>GUAYMAS MARIA JULIA</t>
  </si>
  <si>
    <t>Bº El Jardín Los Lirios 2</t>
  </si>
  <si>
    <t>Moldes</t>
  </si>
  <si>
    <t>387-4040596</t>
  </si>
  <si>
    <t>Entregar hasta el Miércoles 16</t>
  </si>
  <si>
    <t>R0017200020957</t>
  </si>
  <si>
    <t>X15442</t>
  </si>
  <si>
    <t>PASTRANA CELESTE</t>
  </si>
  <si>
    <t>Bº El Tribuno, Diario El Pregon 2560</t>
  </si>
  <si>
    <t>COFIEB160200</t>
  </si>
  <si>
    <t>Col. Sealy Essent Field 160x200</t>
  </si>
  <si>
    <t>387-5181884</t>
  </si>
  <si>
    <t>Entregar por la tarde</t>
  </si>
  <si>
    <t>R0017200020958</t>
  </si>
  <si>
    <t>X05684</t>
  </si>
  <si>
    <t>AMADO LIDIA NOEMI</t>
  </si>
  <si>
    <t>Praderas de San Lorenzo Mza 26</t>
  </si>
  <si>
    <t>387-4581134</t>
  </si>
  <si>
    <t>Entregar EL Miercoles 16</t>
  </si>
  <si>
    <t>R0017200020963</t>
  </si>
  <si>
    <t>X04737</t>
  </si>
  <si>
    <t>IBARRA ISABEL</t>
  </si>
  <si>
    <t>San Felipe y Santiago 862</t>
  </si>
  <si>
    <t>Col. L.Palladium 140x190x24</t>
  </si>
  <si>
    <t>387-4875389</t>
  </si>
  <si>
    <t>R0017200020964</t>
  </si>
  <si>
    <t>X01067</t>
  </si>
  <si>
    <t>SAGRIPANTI RICARDO</t>
  </si>
  <si>
    <t>Pasaje San Carlos 1078 Vª Chartas</t>
  </si>
  <si>
    <t>387-4146885</t>
  </si>
  <si>
    <t>R0017200020974</t>
  </si>
  <si>
    <t>X15452</t>
  </si>
  <si>
    <t>MURGA IGNACIO X</t>
  </si>
  <si>
    <t xml:space="preserve">Larreta 431 </t>
  </si>
  <si>
    <t>Col. Meyer Devas 180x200</t>
  </si>
  <si>
    <t>387-4479957</t>
  </si>
  <si>
    <t>Som. Light Blue 090x200</t>
  </si>
  <si>
    <t>R00114-00895668</t>
  </si>
  <si>
    <t>X11633</t>
  </si>
  <si>
    <t>DAEWON SRL</t>
  </si>
  <si>
    <t>Ituzaingo 284 2ºA</t>
  </si>
  <si>
    <t>Colchón Eternity Euro Pocket 180x200</t>
  </si>
  <si>
    <t>11-33724492</t>
  </si>
  <si>
    <t>Somm. Comf. Sensations Blanco 090x2</t>
  </si>
  <si>
    <t>R0017200020997</t>
  </si>
  <si>
    <t>X15463</t>
  </si>
  <si>
    <t>SIMON MARIA ESTER</t>
  </si>
  <si>
    <t>La Rioja 747</t>
  </si>
  <si>
    <t>387-4825994</t>
  </si>
  <si>
    <t>R0017200020998</t>
  </si>
  <si>
    <t>Col. L.Palladium 100x190x24</t>
  </si>
  <si>
    <t>R0017200020999</t>
  </si>
  <si>
    <t>X08061</t>
  </si>
  <si>
    <t>OYARZUN CRISTIAN MANUEL</t>
  </si>
  <si>
    <t>Bº Alem Mza 3 Casa 43</t>
  </si>
  <si>
    <t>387-5768731</t>
  </si>
  <si>
    <t>R0017200021006</t>
  </si>
  <si>
    <t>X15472</t>
  </si>
  <si>
    <t>TABOADA MARIA</t>
  </si>
  <si>
    <t>Bº Pereyra Rozas Mza 609 A Casa 10</t>
  </si>
  <si>
    <t>387-5139639</t>
  </si>
  <si>
    <t>R0017200021001</t>
  </si>
  <si>
    <t>X06761</t>
  </si>
  <si>
    <t>TOBAR SALCES LUCAS ARIEL</t>
  </si>
  <si>
    <t>Av. Belgrano 940</t>
  </si>
  <si>
    <t>380-4820848</t>
  </si>
  <si>
    <t>Som. Generico Gris 140x190</t>
  </si>
  <si>
    <t>R0017200021002</t>
  </si>
  <si>
    <t>X15466</t>
  </si>
  <si>
    <t>ALTOBELLI RICARDO</t>
  </si>
  <si>
    <t>Jardines de San Lorenzo Mza 12 Casa 6</t>
  </si>
  <si>
    <t>387-6051954</t>
  </si>
  <si>
    <t>R0017200021003</t>
  </si>
  <si>
    <t>X15468</t>
  </si>
  <si>
    <t>KANTOR AILIN</t>
  </si>
  <si>
    <t>Los Fresnos 261</t>
  </si>
  <si>
    <t>387-4695949</t>
  </si>
  <si>
    <t>R0017200021004</t>
  </si>
  <si>
    <t>Col. Detroit Euro 090x190</t>
  </si>
  <si>
    <t>R0017200021005</t>
  </si>
  <si>
    <t>X15464</t>
  </si>
  <si>
    <t>JUAREZ DANIELA</t>
  </si>
  <si>
    <t>Quebrachos Nº 2</t>
  </si>
  <si>
    <t>387-3347276</t>
  </si>
  <si>
    <t>R0017200021007</t>
  </si>
  <si>
    <t>3878-572287</t>
  </si>
  <si>
    <t>R0017200021010</t>
  </si>
  <si>
    <t>X07624</t>
  </si>
  <si>
    <t>TERRERA ALMARAZ RAUL ALFREDO</t>
  </si>
  <si>
    <t>Tucumán 451 2º D</t>
  </si>
  <si>
    <t>387-5352205</t>
  </si>
  <si>
    <t>R0017200021020</t>
  </si>
  <si>
    <t>X15477</t>
  </si>
  <si>
    <t>OLGUIN RUFINO VERONICA</t>
  </si>
  <si>
    <t>Barrio el Prado Eco Village 27</t>
  </si>
  <si>
    <t>Col. Sealy Perf SpiritN200x200</t>
  </si>
  <si>
    <t>387-4040227</t>
  </si>
  <si>
    <t>R0017200021024</t>
  </si>
  <si>
    <t>X15476</t>
  </si>
  <si>
    <t>CARRASCO HECTOR ANTONIO</t>
  </si>
  <si>
    <t>Bº San Francisco, San José 4343</t>
  </si>
  <si>
    <t>387-2517272</t>
  </si>
  <si>
    <t>R0017200021025</t>
  </si>
  <si>
    <t>X15480</t>
  </si>
  <si>
    <t>RODDRIGUEZ MAURO FABIAN</t>
  </si>
  <si>
    <t>Vª Lavalle Calce Río Piedras</t>
  </si>
  <si>
    <t>387-4525014</t>
  </si>
  <si>
    <t>R0017200021026</t>
  </si>
  <si>
    <t>X15483</t>
  </si>
  <si>
    <t>CHEADI JOSE LUIS</t>
  </si>
  <si>
    <t>Los Crisantemos 21</t>
  </si>
  <si>
    <t>Col. Telgo Vida Mat.100x190</t>
  </si>
  <si>
    <t>3878-579838</t>
  </si>
  <si>
    <t>Alm. Zlow Confort 70x40</t>
  </si>
  <si>
    <t>R0017200021038</t>
  </si>
  <si>
    <t>X15449</t>
  </si>
  <si>
    <t>SEGURA MARCOS</t>
  </si>
  <si>
    <t>Bº Portal de Lesser Mza 468B Casa 2</t>
  </si>
  <si>
    <t>Col. Meyer Devas 200x200</t>
  </si>
  <si>
    <t>387-4120740</t>
  </si>
  <si>
    <t>Som. Light Blue 100x200</t>
  </si>
  <si>
    <t>R0017200021039</t>
  </si>
  <si>
    <t>X15486</t>
  </si>
  <si>
    <t>MEDINA CLAUDIA ELIZABET</t>
  </si>
  <si>
    <t>Rivadavia 662</t>
  </si>
  <si>
    <t>COMPOA160200</t>
  </si>
  <si>
    <t>Col. Meyer Pocket 160x200</t>
  </si>
  <si>
    <t>387-5218557</t>
  </si>
  <si>
    <t>R0017200021040</t>
  </si>
  <si>
    <t>X15487</t>
  </si>
  <si>
    <t>FABIAN OLGA FERMINA</t>
  </si>
  <si>
    <t xml:space="preserve">Irigoyen 949 </t>
  </si>
  <si>
    <t>387-5615715</t>
  </si>
  <si>
    <t>Col. Meyer Luz 100x190</t>
  </si>
  <si>
    <t>R0017200021060</t>
  </si>
  <si>
    <t>X15505</t>
  </si>
  <si>
    <t>LUNA YESICA ELIZABETH</t>
  </si>
  <si>
    <t>387-5800941</t>
  </si>
  <si>
    <t>R0017200021061</t>
  </si>
  <si>
    <t>X15506</t>
  </si>
  <si>
    <t>GRUPO PADRE PIO S. A. .S</t>
  </si>
  <si>
    <t>Capital de Mar del Plata 2560</t>
  </si>
  <si>
    <t>387-4537863</t>
  </si>
  <si>
    <t>R0017200021062</t>
  </si>
  <si>
    <t>X15508</t>
  </si>
  <si>
    <t>ROBLES ISABEL ADEL</t>
  </si>
  <si>
    <t>Godoy Cruz 3085  Bº Grand Bourg</t>
  </si>
  <si>
    <t>387-6345503</t>
  </si>
  <si>
    <t>Entregar Martes 22</t>
  </si>
  <si>
    <t>R0017200021063</t>
  </si>
  <si>
    <t>X15503</t>
  </si>
  <si>
    <t>medrano marcela ines</t>
  </si>
  <si>
    <t>Benito Graña 184 2ºpiso 3D</t>
  </si>
  <si>
    <t>387-4090135</t>
  </si>
  <si>
    <t>R0017200021064</t>
  </si>
  <si>
    <t>X15499</t>
  </si>
  <si>
    <t>BANDA EMILSE DE LOS ANGELES</t>
  </si>
  <si>
    <t>Bº Palmeritas mza 228B Casa 8</t>
  </si>
  <si>
    <t>387-5202387</t>
  </si>
  <si>
    <t>R0017200021065</t>
  </si>
  <si>
    <t>R0017200021066</t>
  </si>
  <si>
    <t>X15498</t>
  </si>
  <si>
    <t>VERAMENDI NOELIA</t>
  </si>
  <si>
    <t xml:space="preserve">Bº Morosini Av. Libano 482 </t>
  </si>
  <si>
    <t>387-6839933</t>
  </si>
  <si>
    <t>R0017200021067</t>
  </si>
  <si>
    <t>X15494</t>
  </si>
  <si>
    <t>BAIZ DIEGO EMANUEL</t>
  </si>
  <si>
    <t>Uruguay 583</t>
  </si>
  <si>
    <t>Col. Meyer Feliz 100x190</t>
  </si>
  <si>
    <t>387-5456130</t>
  </si>
  <si>
    <t>Entregar Lunes 21. Regalo</t>
  </si>
  <si>
    <t>R0017200021068</t>
  </si>
  <si>
    <t>Som. Light Blue 100x190</t>
  </si>
  <si>
    <t>R0017200021069</t>
  </si>
  <si>
    <t>X09200</t>
  </si>
  <si>
    <t>ZAPATA CARLOS EUGENIO</t>
  </si>
  <si>
    <t>Bº Privado Los Olmos Km 175 Lote 112</t>
  </si>
  <si>
    <t>Col. Sealy Post Quartz 200x200</t>
  </si>
  <si>
    <t>387-3630777</t>
  </si>
  <si>
    <t>R0017200021070</t>
  </si>
  <si>
    <t>X15491</t>
  </si>
  <si>
    <t>CARBONI MACARENA</t>
  </si>
  <si>
    <t xml:space="preserve">Bº Mirador Av. San Millan 260 </t>
  </si>
  <si>
    <t>387-5129353</t>
  </si>
  <si>
    <t>R0017200021071</t>
  </si>
  <si>
    <t>Cambio. Traer Linen 140</t>
  </si>
  <si>
    <t>R0017200021072</t>
  </si>
  <si>
    <t>X15492</t>
  </si>
  <si>
    <t>RAMIREZ JOAQUIN</t>
  </si>
  <si>
    <t>Bº Cooperativa Mza 4 Casa 2</t>
  </si>
  <si>
    <t>387-6855231</t>
  </si>
  <si>
    <t>R0017200021087</t>
  </si>
  <si>
    <t>X15514</t>
  </si>
  <si>
    <t>VEGA JUAREZ JOSE ALBERTO</t>
  </si>
  <si>
    <t>Bº Juan Pablo II Block 52 Dpto 15</t>
  </si>
  <si>
    <t>387-5061939</t>
  </si>
  <si>
    <t>R0017200021088</t>
  </si>
  <si>
    <t>Jgo. Sabanas M.CottonQueen Gris</t>
  </si>
  <si>
    <t>R0017200021089</t>
  </si>
  <si>
    <t>X15509</t>
  </si>
  <si>
    <t>ACUÑA BLANCA OLAYA</t>
  </si>
  <si>
    <t>Litoral de Santa Fe 2186</t>
  </si>
  <si>
    <t>424-1711</t>
  </si>
  <si>
    <t>R0017200021090</t>
  </si>
  <si>
    <t>X15518</t>
  </si>
  <si>
    <t>QUIPILDOR VICTORIA</t>
  </si>
  <si>
    <t>Bº Estación Alvarado Mza 23 Lote 2</t>
  </si>
  <si>
    <t>387-4581813</t>
  </si>
  <si>
    <t>R0017200021091</t>
  </si>
  <si>
    <t>X12895</t>
  </si>
  <si>
    <t>CARDOZO NOELIA JESICA</t>
  </si>
  <si>
    <t>Bº Amp. San Carlos Los Mirlos 4883</t>
  </si>
  <si>
    <t>387-5929085</t>
  </si>
  <si>
    <t>R0017200021092</t>
  </si>
  <si>
    <t>X15517</t>
  </si>
  <si>
    <t>ALANIS GABRIELA</t>
  </si>
  <si>
    <t>Bº Casino Block Q 1º 8</t>
  </si>
  <si>
    <t>387-5718422</t>
  </si>
  <si>
    <t>R0017200021100</t>
  </si>
  <si>
    <t>X15523</t>
  </si>
  <si>
    <t>BUSTAMANTE JOSE</t>
  </si>
  <si>
    <t>Praderas de San Lorenzo Mza 23 Lt 5</t>
  </si>
  <si>
    <t>387-4530492</t>
  </si>
  <si>
    <t>R0017200021113</t>
  </si>
  <si>
    <t>X15524</t>
  </si>
  <si>
    <t>LAGORIA SERGIO RUBEN</t>
  </si>
  <si>
    <t>Bº Sarmiento 2ª Etapa Mza "E" Casa 5</t>
  </si>
  <si>
    <t>387-5984437</t>
  </si>
  <si>
    <t>R0017200021114</t>
  </si>
  <si>
    <t>X15530</t>
  </si>
  <si>
    <t>GOMEZA GARCIA MARIA</t>
  </si>
  <si>
    <t>Bº Castañares Gpo 22 Mza 14 Casa 1</t>
  </si>
  <si>
    <t>387-6233997</t>
  </si>
  <si>
    <t>R0017200021115</t>
  </si>
  <si>
    <t>X15534</t>
  </si>
  <si>
    <t>FARFAN MARCELA</t>
  </si>
  <si>
    <t>Gral Güemes 780</t>
  </si>
  <si>
    <t>BR5011692</t>
  </si>
  <si>
    <t>387-5036247</t>
  </si>
  <si>
    <t>R0017200021116</t>
  </si>
  <si>
    <t>X15526</t>
  </si>
  <si>
    <t>SOTO JOSE</t>
  </si>
  <si>
    <t>Diario Union Catamarca 2681</t>
  </si>
  <si>
    <t>387-5266021</t>
  </si>
  <si>
    <t>R0017200021131</t>
  </si>
  <si>
    <t>X11630</t>
  </si>
  <si>
    <t>ALEMAN FEDERICO</t>
  </si>
  <si>
    <t>Leandro Alem 75</t>
  </si>
  <si>
    <t>387-5963909</t>
  </si>
  <si>
    <t>R0017200021132</t>
  </si>
  <si>
    <t>X15510</t>
  </si>
  <si>
    <t>DIAZ MANUEL</t>
  </si>
  <si>
    <t>Bº Las Marias Mza 10 Casa 15 Dp.B</t>
  </si>
  <si>
    <t>387-2203153</t>
  </si>
  <si>
    <t>R0017200021134</t>
  </si>
  <si>
    <t>X15532</t>
  </si>
  <si>
    <t>ACOSTA DIEGO</t>
  </si>
  <si>
    <t>Bº 25 de Mayo Pasaje Rrio de la Frontera 849</t>
  </si>
  <si>
    <t>387-5310733</t>
  </si>
  <si>
    <t>R0017200021135</t>
  </si>
  <si>
    <t>X15547</t>
  </si>
  <si>
    <t>RIOS JUAN IVAN</t>
  </si>
  <si>
    <t>Bº Ntra Sra del Huerto Mza 4 Casa 4</t>
  </si>
  <si>
    <t>387-2108004</t>
  </si>
  <si>
    <t>R0017200021155</t>
  </si>
  <si>
    <t>X15549</t>
  </si>
  <si>
    <t>VICTOR BURGOS</t>
  </si>
  <si>
    <t>Bº El Sol Mza K Casa 2</t>
  </si>
  <si>
    <t>COCMEA180200</t>
  </si>
  <si>
    <t>Col. Sealy Chill Memory 180x200</t>
  </si>
  <si>
    <t>387-4857986</t>
  </si>
  <si>
    <t>R0017200021156</t>
  </si>
  <si>
    <t>X15550</t>
  </si>
  <si>
    <t>CUELLAR CARMEN</t>
  </si>
  <si>
    <t>Los Abetos 322</t>
  </si>
  <si>
    <t>387-6851749</t>
  </si>
  <si>
    <t>R0017200021157</t>
  </si>
  <si>
    <t>X15555</t>
  </si>
  <si>
    <t>SANCHO CAMILA</t>
  </si>
  <si>
    <t>España 1851 Dpto 9C</t>
  </si>
  <si>
    <t>3888-407840</t>
  </si>
  <si>
    <t>R0017200021158</t>
  </si>
  <si>
    <t>X15560</t>
  </si>
  <si>
    <t>VELEZ ARNALDO</t>
  </si>
  <si>
    <t>Delfín Leguizamon 326</t>
  </si>
  <si>
    <t>387-5718877</t>
  </si>
  <si>
    <t>R0017200021160</t>
  </si>
  <si>
    <t>X15564</t>
  </si>
  <si>
    <t>PARRA EVA</t>
  </si>
  <si>
    <t>Ruta Nacional 51 Km 4</t>
  </si>
  <si>
    <t>Sabana FIELDCREST Queen BLUE</t>
  </si>
  <si>
    <t>387-5754247</t>
  </si>
  <si>
    <t>R0017200021161</t>
  </si>
  <si>
    <t>X15551</t>
  </si>
  <si>
    <t>GUTIERREZ RUBEN</t>
  </si>
  <si>
    <t xml:space="preserve">Coronel Vidt 2317 </t>
  </si>
  <si>
    <t>387-4880726</t>
  </si>
  <si>
    <t>R0017200021162</t>
  </si>
  <si>
    <t>X06371</t>
  </si>
  <si>
    <t>YURQUINA CARLOS ERNESTO</t>
  </si>
  <si>
    <t>Bº San Jorge, Calle Jorge Cafrune, Mza 40A , Lote 6</t>
  </si>
  <si>
    <t>387-4486924</t>
  </si>
  <si>
    <t>R0017200021163</t>
  </si>
  <si>
    <t>X15562</t>
  </si>
  <si>
    <t>ESPINOSA SANDRA</t>
  </si>
  <si>
    <t>Bº San Carlos, Mza 25, Casa 10</t>
  </si>
  <si>
    <t>CORAIB080190</t>
  </si>
  <si>
    <t>Col. Sealy PerfRainbowN 080x190</t>
  </si>
  <si>
    <t>387-6839553</t>
  </si>
  <si>
    <t>Col. Sealy Perf RainbowN140x190</t>
  </si>
  <si>
    <t>PARA EL LUNES 12/05</t>
  </si>
  <si>
    <t>R0017200021164</t>
  </si>
  <si>
    <t>X10221</t>
  </si>
  <si>
    <t>PONCE RUBEN ALBERTO</t>
  </si>
  <si>
    <t>B VILLA AURELIA MZA 33 LOTE17</t>
  </si>
  <si>
    <t>COSFJA180200</t>
  </si>
  <si>
    <t>Col. S&amp;F Jasper Brown 180x200</t>
  </si>
  <si>
    <t>3878-572068</t>
  </si>
  <si>
    <t>P/ MIERCOLES 7 POR LA TARDE</t>
  </si>
  <si>
    <t>Som. S&amp;F 090x200</t>
  </si>
  <si>
    <t>Col. Sealy Perf RainbowN180x200</t>
  </si>
  <si>
    <t>R0017200021187</t>
  </si>
  <si>
    <t>X15574</t>
  </si>
  <si>
    <t>PADILLA ALEJANDRO DAVID</t>
  </si>
  <si>
    <t>Zuviría 1839</t>
  </si>
  <si>
    <t>387-5532062</t>
  </si>
  <si>
    <t>R0017200021186</t>
  </si>
  <si>
    <t>R0017200021196</t>
  </si>
  <si>
    <t>X03559</t>
  </si>
  <si>
    <t>LIMA HERALDO</t>
  </si>
  <si>
    <t>España 1798 1º A</t>
  </si>
  <si>
    <t>387-2104738</t>
  </si>
  <si>
    <t>R0017200021197</t>
  </si>
  <si>
    <t>X15577</t>
  </si>
  <si>
    <t>MIRANDA JORGE</t>
  </si>
  <si>
    <t>Pje Bernardo Frías 1150</t>
  </si>
  <si>
    <t>387-4489672</t>
  </si>
  <si>
    <t>R0017200021198</t>
  </si>
  <si>
    <t>X15579</t>
  </si>
  <si>
    <t>CECCONI CESAR EDUARDO</t>
  </si>
  <si>
    <t>Bº Santa Anita Tilian Casa 7</t>
  </si>
  <si>
    <t>387-5228617</t>
  </si>
  <si>
    <t>R0017200021200</t>
  </si>
  <si>
    <t>X15596</t>
  </si>
  <si>
    <t>GUAYMAS EMANUEL</t>
  </si>
  <si>
    <t>Bº Santa Ana I Av Perón 1049</t>
  </si>
  <si>
    <t>387-4580994</t>
  </si>
  <si>
    <t>R0017200021201</t>
  </si>
  <si>
    <t>X15597</t>
  </si>
  <si>
    <t>ABILES DIEGO</t>
  </si>
  <si>
    <t>Bº Santa Rita 2 Mza 17 Lote 25</t>
  </si>
  <si>
    <t>Alm. Zlow Essentials 70x40</t>
  </si>
  <si>
    <t>387-6008600</t>
  </si>
  <si>
    <t>R0017200021202</t>
  </si>
  <si>
    <t>X15589</t>
  </si>
  <si>
    <t>ARGUELLES SILVINA</t>
  </si>
  <si>
    <t xml:space="preserve">Bº Grand Bourg Migul de Cervantes </t>
  </si>
  <si>
    <t>Col. Eternity EuroPocket140x190</t>
  </si>
  <si>
    <t>387-5265984</t>
  </si>
  <si>
    <t>R0017200021209</t>
  </si>
  <si>
    <t>X15593</t>
  </si>
  <si>
    <t>CRUZ ROSA MICAELA</t>
  </si>
  <si>
    <t>Pasaje Bernabé Lopez 1616</t>
  </si>
  <si>
    <t>387-5824060</t>
  </si>
  <si>
    <t>R0017200021210</t>
  </si>
  <si>
    <t>X15604</t>
  </si>
  <si>
    <t>REYNOSO CRISTIAN</t>
  </si>
  <si>
    <t>Bº Democracia Mz 13 Casa 13</t>
  </si>
  <si>
    <t>387-6108004</t>
  </si>
  <si>
    <t>R0017200021211</t>
  </si>
  <si>
    <t>X15594</t>
  </si>
  <si>
    <t>ALBARADO MARCOS JOSE BP</t>
  </si>
  <si>
    <t>Talavera 480 Dpto 701</t>
  </si>
  <si>
    <t>387-5975382</t>
  </si>
  <si>
    <t>R0017200021212</t>
  </si>
  <si>
    <t>X15598</t>
  </si>
  <si>
    <t>AVILA OSCAR MAXIMILIANO</t>
  </si>
  <si>
    <t>Pje Anta Mediidor 637</t>
  </si>
  <si>
    <t>Col. Sealy Perf SpiritN140x190</t>
  </si>
  <si>
    <t>387-5805594</t>
  </si>
  <si>
    <t>R0017200021213</t>
  </si>
  <si>
    <t>X15599</t>
  </si>
  <si>
    <t>LIENDRO EDUARDO ANDRES</t>
  </si>
  <si>
    <t>Bº Palo Marcado Mza 3 Casa 33</t>
  </si>
  <si>
    <t>Col. Sealy Perf RainbowN160x200</t>
  </si>
  <si>
    <t>387-5979969</t>
  </si>
  <si>
    <t>R0017200021219</t>
  </si>
  <si>
    <t>X15607</t>
  </si>
  <si>
    <t>AVILA MARTA SILVINA</t>
  </si>
  <si>
    <t>Los Yuchanes 272</t>
  </si>
  <si>
    <t>387-5408577</t>
  </si>
  <si>
    <t>R0017200021220</t>
  </si>
  <si>
    <t>Es un cambio</t>
  </si>
  <si>
    <t>R0017200021222</t>
  </si>
  <si>
    <t>X15610</t>
  </si>
  <si>
    <t>RUIZ CARLOS LUCAS</t>
  </si>
  <si>
    <t>Bº Calchaqui Mza 166B Casa 9</t>
  </si>
  <si>
    <t>387-5546153</t>
  </si>
  <si>
    <t>R0017200021223</t>
  </si>
  <si>
    <t>X04738</t>
  </si>
  <si>
    <t>VAZQUEZ JESICA</t>
  </si>
  <si>
    <t>Luis Burela 357</t>
  </si>
  <si>
    <t>387-4534021</t>
  </si>
  <si>
    <t>R0017200021224</t>
  </si>
  <si>
    <t>R0017200021226</t>
  </si>
  <si>
    <t>X15609</t>
  </si>
  <si>
    <t>MONTOYA SONIA</t>
  </si>
  <si>
    <t>Vº San Antonio, Damian Torino 904</t>
  </si>
  <si>
    <t>387-4114423</t>
  </si>
  <si>
    <t>R0017200021227</t>
  </si>
  <si>
    <t>Col. L.Palladium 160x200x24</t>
  </si>
  <si>
    <t>R0017200021228</t>
  </si>
  <si>
    <t>X15611</t>
  </si>
  <si>
    <t>CEDRON CAROLINA</t>
  </si>
  <si>
    <t>Bº El Huaico, Benjamin Avila Mza 5 Casa 15</t>
  </si>
  <si>
    <t>387-4730908</t>
  </si>
  <si>
    <t>R0017200021229</t>
  </si>
  <si>
    <t>X15612</t>
  </si>
  <si>
    <t>MARTIN MARIA JOSEFINA</t>
  </si>
  <si>
    <t>Balcarce 2302</t>
  </si>
  <si>
    <t>387-4556771</t>
  </si>
  <si>
    <t>R0017200021231</t>
  </si>
  <si>
    <t>X15613</t>
  </si>
  <si>
    <t>MACIEL VALENTINA</t>
  </si>
  <si>
    <t>Bº Sivero Los Ceibos 117</t>
  </si>
  <si>
    <t>387-4824742</t>
  </si>
  <si>
    <t>R0017200021235</t>
  </si>
  <si>
    <t>X15614</t>
  </si>
  <si>
    <t>CEO CONTRUCCIONES SAS</t>
  </si>
  <si>
    <t>Entre Riios 1220</t>
  </si>
  <si>
    <t>387-5184075</t>
  </si>
  <si>
    <t>Enttregar el Viernes</t>
  </si>
  <si>
    <t>R0017200021236</t>
  </si>
  <si>
    <t>R0017200021261</t>
  </si>
  <si>
    <t>X15620</t>
  </si>
  <si>
    <t>GOMEZ MARCELA</t>
  </si>
  <si>
    <t>1º de Julio de 1974 Nº 530</t>
  </si>
  <si>
    <t>387-4590488</t>
  </si>
  <si>
    <t>R0017200021262</t>
  </si>
  <si>
    <t>X15622</t>
  </si>
  <si>
    <t>GALLARDO DARDO</t>
  </si>
  <si>
    <t>Bº La Gringa, Ruta 21 Mza 1 Lote 8</t>
  </si>
  <si>
    <t>387-5832085</t>
  </si>
  <si>
    <t>R0017200021263</t>
  </si>
  <si>
    <t>X15625</t>
  </si>
  <si>
    <t>PAZ NICOLAS LEONEL</t>
  </si>
  <si>
    <t>Bº Santa Ana II Mza 5 Casa 4</t>
  </si>
  <si>
    <t>Col. Herval Colors 160x200</t>
  </si>
  <si>
    <t>387-5124381</t>
  </si>
  <si>
    <t>Som. Generico Gris 080x200</t>
  </si>
  <si>
    <t>R0017200021264</t>
  </si>
  <si>
    <t>X15626</t>
  </si>
  <si>
    <t>CALVO LEANDRO</t>
  </si>
  <si>
    <t>Urb. Los Adobes Mza "O" Casa 9</t>
  </si>
  <si>
    <t>387-5101262</t>
  </si>
  <si>
    <t>R0017200021266</t>
  </si>
  <si>
    <t>X15631</t>
  </si>
  <si>
    <t>ORTEGA ADRIAN</t>
  </si>
  <si>
    <t>Bº Progreso Mza "C" Casa 18</t>
  </si>
  <si>
    <t>Col. L.Palladium 080x190x20</t>
  </si>
  <si>
    <t>387-5316049</t>
  </si>
  <si>
    <t>R0017200021267</t>
  </si>
  <si>
    <t>R0017200021268</t>
  </si>
  <si>
    <t>Bº Alto Valle Los Cardones Mza 13 Casa 21</t>
  </si>
  <si>
    <t>COCCLA080190</t>
  </si>
  <si>
    <t>Col. Sealy Chill Cloud 080x190</t>
  </si>
  <si>
    <t>387-4027186</t>
  </si>
  <si>
    <t>R0017200021269</t>
  </si>
  <si>
    <t>X15623</t>
  </si>
  <si>
    <t>CABRERA MARIA CLAUDIA</t>
  </si>
  <si>
    <t>Bº Huaico Mza 465A Casa 22</t>
  </si>
  <si>
    <t>387-5425999</t>
  </si>
  <si>
    <t>R0017200021270</t>
  </si>
  <si>
    <t>X15633</t>
  </si>
  <si>
    <t>MEDINA ANIBAL ENRIQUE</t>
  </si>
  <si>
    <t>Pje Miguel Araoz 35</t>
  </si>
  <si>
    <t>387-3358975</t>
  </si>
  <si>
    <t>R0017200021271</t>
  </si>
  <si>
    <t>X15628</t>
  </si>
  <si>
    <t>RIOS ESTELA SOLEDAD</t>
  </si>
  <si>
    <t>San Juan 1405</t>
  </si>
  <si>
    <t>387-5988914</t>
  </si>
  <si>
    <t>R0017200021272</t>
  </si>
  <si>
    <t>X15629</t>
  </si>
  <si>
    <t>RIVADENEIRA MARIA JOSE</t>
  </si>
  <si>
    <t>Bº La Gringa, Mza 6, Lote 2</t>
  </si>
  <si>
    <t>381-5173386</t>
  </si>
  <si>
    <t>R0017200021276</t>
  </si>
  <si>
    <t>X15640</t>
  </si>
  <si>
    <t>GUAYMAS MABEL ESTELA</t>
  </si>
  <si>
    <t>BªSn Nicolas 1 MZA 3 Csds 62</t>
  </si>
  <si>
    <t>387-4860901</t>
  </si>
  <si>
    <t>R0017200021304</t>
  </si>
  <si>
    <t>X15652</t>
  </si>
  <si>
    <t>ESTREMADOIRO MICAELA</t>
  </si>
  <si>
    <t>25 de Mayo 87 3º "A"</t>
  </si>
  <si>
    <t>3888-548770</t>
  </si>
  <si>
    <t>R0017200021305</t>
  </si>
  <si>
    <t>X15653</t>
  </si>
  <si>
    <t>CANSINO LOURDES MAGALI</t>
  </si>
  <si>
    <t>Bº Loa Alamos, Las Calandrias Mza11 Lote 6</t>
  </si>
  <si>
    <t>387-5720364</t>
  </si>
  <si>
    <t>R0017200021306</t>
  </si>
  <si>
    <t>X15655</t>
  </si>
  <si>
    <t>CAERO CORDOVA JHONATAN ALBERTO</t>
  </si>
  <si>
    <t>Bº La Tradición Mza 323 D8</t>
  </si>
  <si>
    <t>Col. Eternity Euro 160x200</t>
  </si>
  <si>
    <t>387-4191860</t>
  </si>
  <si>
    <t>Som. Comfort Sens. 080x200</t>
  </si>
  <si>
    <t>R0017200021307</t>
  </si>
  <si>
    <t>X15658</t>
  </si>
  <si>
    <t>BARBOZA WAYAR NOELIA</t>
  </si>
  <si>
    <t>Las Guineas 1787</t>
  </si>
  <si>
    <t>387-6102297</t>
  </si>
  <si>
    <t>R0017200021308</t>
  </si>
  <si>
    <t>X15661</t>
  </si>
  <si>
    <t>CANDELARIA POSADAS</t>
  </si>
  <si>
    <t>Bº Amp Inter. Block 15 2º 5</t>
  </si>
  <si>
    <t>387-5398878</t>
  </si>
  <si>
    <t>R0017200021309</t>
  </si>
  <si>
    <t>X15664</t>
  </si>
  <si>
    <t>MIRANDA DANIELA VANINA</t>
  </si>
  <si>
    <t>Pq Gral Belgrano Et. 3 Mza E Lote 18</t>
  </si>
  <si>
    <t>387-5064501</t>
  </si>
  <si>
    <t>R0017200021310</t>
  </si>
  <si>
    <t>X15665</t>
  </si>
  <si>
    <t>MANJARRES JORGE</t>
  </si>
  <si>
    <t>Av Perón 693</t>
  </si>
  <si>
    <t>387-5855594</t>
  </si>
  <si>
    <t>R0017200021311</t>
  </si>
  <si>
    <t>X15668</t>
  </si>
  <si>
    <t>SOTOMAYOR CARLA</t>
  </si>
  <si>
    <t>Av Marcos Lamas Mz B Casa 24</t>
  </si>
  <si>
    <t>387-5850277</t>
  </si>
  <si>
    <t>R0017200021312</t>
  </si>
  <si>
    <t>X15667</t>
  </si>
  <si>
    <t>SEGOVIA MARIANO</t>
  </si>
  <si>
    <t>Bº Bancario Block W, 3º C</t>
  </si>
  <si>
    <t>Som. Serta Foun Canapé 140x190</t>
  </si>
  <si>
    <t>387-6189455</t>
  </si>
  <si>
    <t>60100.21</t>
  </si>
  <si>
    <t>Col. Delta InduCol. 080x190</t>
  </si>
  <si>
    <t>R0017200021329</t>
  </si>
  <si>
    <t>Col. Detroit Euro 140x190</t>
  </si>
  <si>
    <t>R0017200021314</t>
  </si>
  <si>
    <t>X15674</t>
  </si>
  <si>
    <t>DIAZ MIGUEL ANGEL</t>
  </si>
  <si>
    <t>Bº Santa Rita II Mza 11 Lote 18</t>
  </si>
  <si>
    <t>387-6009595</t>
  </si>
  <si>
    <t>R0017200021315</t>
  </si>
  <si>
    <t>X15645</t>
  </si>
  <si>
    <t>RAMOS OMAR</t>
  </si>
  <si>
    <t>Dean Funes 847</t>
  </si>
  <si>
    <t>387-5664057</t>
  </si>
  <si>
    <t>R0017200021316</t>
  </si>
  <si>
    <t>X15643</t>
  </si>
  <si>
    <t>MOISES DELIA</t>
  </si>
  <si>
    <t>Los Jazmines 570</t>
  </si>
  <si>
    <t>387-2220482</t>
  </si>
  <si>
    <t>Alm. Zlow Essentials 70x40 (x2)</t>
  </si>
  <si>
    <t>R0017200021317</t>
  </si>
  <si>
    <t>X15651</t>
  </si>
  <si>
    <t>HOYOS RAUL ALBERTO</t>
  </si>
  <si>
    <t>Rio Wierna 412</t>
  </si>
  <si>
    <t>387-4581832</t>
  </si>
  <si>
    <t>R0017200021318</t>
  </si>
  <si>
    <t>X15656</t>
  </si>
  <si>
    <t>RUIZ MERCEDES</t>
  </si>
  <si>
    <t>Bº El Huaico Mza 513C Casa 30</t>
  </si>
  <si>
    <t>387-4673603</t>
  </si>
  <si>
    <t>R0017200021319</t>
  </si>
  <si>
    <t>X15660</t>
  </si>
  <si>
    <t>SAAVEDRA MANUEL</t>
  </si>
  <si>
    <t>Gral Güemes 2280 7º "A"</t>
  </si>
  <si>
    <t>11-24768701</t>
  </si>
  <si>
    <t>R0017200021320</t>
  </si>
  <si>
    <t>X15669</t>
  </si>
  <si>
    <t>MARISTAN DIEGO</t>
  </si>
  <si>
    <t>Bº Los Alerces Mza 802C Casa 8</t>
  </si>
  <si>
    <t>387-5042493</t>
  </si>
  <si>
    <t>R0017200021323</t>
  </si>
  <si>
    <t>X15642</t>
  </si>
  <si>
    <t>ROSATTI EMILIA AGUSTINA</t>
  </si>
  <si>
    <t>10 de October 0108</t>
  </si>
  <si>
    <t>387-5358110</t>
  </si>
  <si>
    <t>R0017200021334</t>
  </si>
  <si>
    <t>VY9868</t>
  </si>
  <si>
    <t>Vanesa natalia bejarano</t>
  </si>
  <si>
    <t>Bº Finca Independencia, JV González 162</t>
  </si>
  <si>
    <t>280-4518982</t>
  </si>
  <si>
    <t>R0017200021335</t>
  </si>
  <si>
    <t>VZ0461</t>
  </si>
  <si>
    <t>Marcos Escobar</t>
  </si>
  <si>
    <t>Av Sarmiento 171</t>
  </si>
  <si>
    <t>3878-438472</t>
  </si>
  <si>
    <t>R0017200021336</t>
  </si>
  <si>
    <t>VZ0580</t>
  </si>
  <si>
    <t>Miguel Francisco Carabajal bp</t>
  </si>
  <si>
    <t>Bº 24 de Septiembre Mza 2B Casa 24</t>
  </si>
  <si>
    <t>387-5893318</t>
  </si>
  <si>
    <t>R0017200021349</t>
  </si>
  <si>
    <t>X15681</t>
  </si>
  <si>
    <t>LEITA CARLOS BP</t>
  </si>
  <si>
    <t>Av. Entre Rios 702 5ºB</t>
  </si>
  <si>
    <t>387-2100310</t>
  </si>
  <si>
    <t>R0017200021350</t>
  </si>
  <si>
    <t>X15685</t>
  </si>
  <si>
    <t>PEDRAZA FEDERICO</t>
  </si>
  <si>
    <t>Pasaje Alderete 56</t>
  </si>
  <si>
    <t>387-5285412</t>
  </si>
  <si>
    <t>R0017200021351</t>
  </si>
  <si>
    <t>R0017200021352</t>
  </si>
  <si>
    <t>Bº Intersindical Radiio Cerealista 2789</t>
  </si>
  <si>
    <t>COSFRA160200</t>
  </si>
  <si>
    <t>Col. S&amp;F RockwellBrown 160x200</t>
  </si>
  <si>
    <t>387-4660828</t>
  </si>
  <si>
    <t>R0017200021353</t>
  </si>
  <si>
    <t>X15663</t>
  </si>
  <si>
    <t>FARFAN FLORENCIA</t>
  </si>
  <si>
    <t>Bº El Huaico Block 62 Dpto 11</t>
  </si>
  <si>
    <t>387-5045437</t>
  </si>
  <si>
    <t>R0017200021354</t>
  </si>
  <si>
    <t>X15680</t>
  </si>
  <si>
    <t>SAS ACESORES DE SEGUROS SRL</t>
  </si>
  <si>
    <t>Pueyrredón 359 Dpto 3 P/b</t>
  </si>
  <si>
    <t>Col. Sealy Perf SpiritN080x190</t>
  </si>
  <si>
    <t>387-5101806</t>
  </si>
  <si>
    <t>Col. Sealy Perf SpiritN100x190</t>
  </si>
  <si>
    <t>R0017200021359</t>
  </si>
  <si>
    <t>X15683</t>
  </si>
  <si>
    <t>PADILLA SANDRA ELIZABETH BP</t>
  </si>
  <si>
    <t>Rio Negro 2985</t>
  </si>
  <si>
    <t>387-5327772</t>
  </si>
  <si>
    <t>R0017200021360</t>
  </si>
  <si>
    <t>X15687</t>
  </si>
  <si>
    <t>FIGUEROA RAUL ALEJANDRO</t>
  </si>
  <si>
    <t>Bº Juan Pablo II Block 48 1º5</t>
  </si>
  <si>
    <t>387-5365103</t>
  </si>
  <si>
    <t>R0017200021361</t>
  </si>
  <si>
    <t>X15654</t>
  </si>
  <si>
    <t>CAJAL JESUS OSCAR</t>
  </si>
  <si>
    <t>Cerro Negro Med 173</t>
  </si>
  <si>
    <t>Sal Luis</t>
  </si>
  <si>
    <t>387-4205710</t>
  </si>
  <si>
    <t>R0017200021367</t>
  </si>
  <si>
    <t>X15688</t>
  </si>
  <si>
    <t>CALDERON MARINARO GABRIELA</t>
  </si>
  <si>
    <t>La Razón 3931 Bº El Tribuno</t>
  </si>
  <si>
    <t>387-4078006</t>
  </si>
  <si>
    <t>Protector Matelasse 140x190</t>
  </si>
  <si>
    <t>R0017200021368</t>
  </si>
  <si>
    <t>Los Andes 2546 Bº El Tribuno</t>
  </si>
  <si>
    <t>R0017200021369</t>
  </si>
  <si>
    <t>X15686</t>
  </si>
  <si>
    <t>MARQUEZ CARLOS</t>
  </si>
  <si>
    <t>Bº Parques Nacionales , El Palmar 1492</t>
  </si>
  <si>
    <t>387-4187873</t>
  </si>
  <si>
    <t>R0017200021376</t>
  </si>
  <si>
    <t>X15696</t>
  </si>
  <si>
    <t>CUTIPA GUSTAVO</t>
  </si>
  <si>
    <t>Bº San Carlos Mza 52 Casa 33</t>
  </si>
  <si>
    <t>387-4670485</t>
  </si>
  <si>
    <t>Resp. Creta Liso 160x070</t>
  </si>
  <si>
    <t>R0017200021392</t>
  </si>
  <si>
    <t>X07408</t>
  </si>
  <si>
    <t>SALVATIERRA MIRTA ELENA</t>
  </si>
  <si>
    <t>Ciudad Valdivia Mza 774D Casa 12</t>
  </si>
  <si>
    <t>387-4793653</t>
  </si>
  <si>
    <t>R0017200021393</t>
  </si>
  <si>
    <t>X15711</t>
  </si>
  <si>
    <t>COPA ROMINA ALEJANDRA</t>
  </si>
  <si>
    <t>Laprida 881</t>
  </si>
  <si>
    <t>Col. Sealy Est WoodsB 090x190</t>
  </si>
  <si>
    <t>387-5616365</t>
  </si>
  <si>
    <t>R0017200021394</t>
  </si>
  <si>
    <t>X15698</t>
  </si>
  <si>
    <t>BURGOS MARCELA</t>
  </si>
  <si>
    <t>Maipu 1</t>
  </si>
  <si>
    <t>R0017200021401</t>
  </si>
  <si>
    <t>V61618</t>
  </si>
  <si>
    <t>ROCÍO GASPAR ML</t>
  </si>
  <si>
    <t>COLON 668</t>
  </si>
  <si>
    <t xml:space="preserve">ORAN </t>
  </si>
  <si>
    <t>COMPOA080190</t>
  </si>
  <si>
    <t>Col. Meyer Pocket 080x190</t>
  </si>
  <si>
    <t>387-5366256</t>
  </si>
  <si>
    <t>DNI 32632071</t>
  </si>
  <si>
    <t>R0017200021402</t>
  </si>
  <si>
    <t>X15704</t>
  </si>
  <si>
    <t>CANCINOS ANA MARIA</t>
  </si>
  <si>
    <t>B DOCENTE SUR MZA12 CASA9</t>
  </si>
  <si>
    <t>387-6837893</t>
  </si>
  <si>
    <t>R0017200021403</t>
  </si>
  <si>
    <t>X15716</t>
  </si>
  <si>
    <t>BARUTTI EVANGELINA ALEJANDRA</t>
  </si>
  <si>
    <t>B LOS TARCOS MZA 819A 8</t>
  </si>
  <si>
    <t>Col. Eternity Euro 140x190</t>
  </si>
  <si>
    <t>387-4864154</t>
  </si>
  <si>
    <t>R0017200021404</t>
  </si>
  <si>
    <t>B SCALABRINI ORTIZ MZA275 L24</t>
  </si>
  <si>
    <t>387-5298666</t>
  </si>
  <si>
    <t>COMDPA080190</t>
  </si>
  <si>
    <t>Col. Meyer Dream Plus 080x190</t>
  </si>
  <si>
    <t>R0017200021405</t>
  </si>
  <si>
    <t>X15719</t>
  </si>
  <si>
    <t>FRESCO CESAR ANTONIO</t>
  </si>
  <si>
    <t>B SAN REMO MAR ARABIGO 1271</t>
  </si>
  <si>
    <t>387-4064708</t>
  </si>
  <si>
    <t>R0017200021406</t>
  </si>
  <si>
    <t>X15718</t>
  </si>
  <si>
    <t>LOPEZ ROLANDO</t>
  </si>
  <si>
    <t>B 300 VIVIENDAS MZA132 C14</t>
  </si>
  <si>
    <t>387-5631122</t>
  </si>
  <si>
    <t>R0017200021409</t>
  </si>
  <si>
    <t>X15721</t>
  </si>
  <si>
    <t>DAVALOS MARGARITA</t>
  </si>
  <si>
    <t>ALVARADO 521 2G</t>
  </si>
  <si>
    <t>sosna100190e</t>
  </si>
  <si>
    <t>387-4465360</t>
  </si>
  <si>
    <t>R0017200021417</t>
  </si>
  <si>
    <t>X15679</t>
  </si>
  <si>
    <t>HERRERA CAROLINA</t>
  </si>
  <si>
    <t>CLUB CAMPO EL AYBAL 90</t>
  </si>
  <si>
    <t>387-4141425</t>
  </si>
  <si>
    <t>R0017200021419</t>
  </si>
  <si>
    <t>X15720</t>
  </si>
  <si>
    <t>ATELIER MUNAY SAS</t>
  </si>
  <si>
    <t xml:space="preserve">URBANIZACION ALMERIA </t>
  </si>
  <si>
    <t>113-4375285</t>
  </si>
  <si>
    <t>COMPLEJO ACAZABA</t>
  </si>
  <si>
    <t>R0017200021420</t>
  </si>
  <si>
    <t>X15727</t>
  </si>
  <si>
    <t>MANZUR MAURO RODRIGO</t>
  </si>
  <si>
    <t>FLORES EZQ SAN ROQUE</t>
  </si>
  <si>
    <t>387-2134193</t>
  </si>
  <si>
    <t>R0017200021421</t>
  </si>
  <si>
    <t>X15728</t>
  </si>
  <si>
    <t>PACHECO ROCIO DANIELA</t>
  </si>
  <si>
    <t>B PQUE LA VEGA PB DTO D</t>
  </si>
  <si>
    <t>387-5541650</t>
  </si>
  <si>
    <t>R0017200021428</t>
  </si>
  <si>
    <t>B LEANDRO ALEM MZA6 C 69</t>
  </si>
  <si>
    <t>387-4599911</t>
  </si>
  <si>
    <t>R0017200021432</t>
  </si>
  <si>
    <t>X10769</t>
  </si>
  <si>
    <t>ORTIZ SILVIA</t>
  </si>
  <si>
    <t>B San Remo Mar Antartico 1247</t>
  </si>
  <si>
    <t>387-5818942</t>
  </si>
  <si>
    <t>R0017200021433</t>
  </si>
  <si>
    <t>R0017200021434</t>
  </si>
  <si>
    <t>X10529</t>
  </si>
  <si>
    <t>CARDOZO MARIA CRISTINA</t>
  </si>
  <si>
    <t>Avda Velez Sarfiel 459</t>
  </si>
  <si>
    <t>387-6835815</t>
  </si>
  <si>
    <t>R0017200021451</t>
  </si>
  <si>
    <t>X15747</t>
  </si>
  <si>
    <t>VILTE LOPEZ OSCAR</t>
  </si>
  <si>
    <t>Santa Fe 132 , 2º 2</t>
  </si>
  <si>
    <t>387-4193917</t>
  </si>
  <si>
    <t>R0017200021452</t>
  </si>
  <si>
    <t>X15749</t>
  </si>
  <si>
    <t>ALBINO PAULINA</t>
  </si>
  <si>
    <t>Bº 17 de Octubre Mza 690A Lote 8</t>
  </si>
  <si>
    <t>387-4149824</t>
  </si>
  <si>
    <t>R0017200021453</t>
  </si>
  <si>
    <t>X15750</t>
  </si>
  <si>
    <t>DECIMO ROBERTO</t>
  </si>
  <si>
    <t>Bº Los Lapachos, Los Malvones Esq Las Azucenas</t>
  </si>
  <si>
    <t>387-5129024</t>
  </si>
  <si>
    <t>R0017200021455</t>
  </si>
  <si>
    <t>X15757</t>
  </si>
  <si>
    <t>MAIZA DEBORA</t>
  </si>
  <si>
    <t>SANTA ANA 1 PAJE 20 489</t>
  </si>
  <si>
    <t>COMDPA090190</t>
  </si>
  <si>
    <t>Col. Meyer Dream Plus 090x190</t>
  </si>
  <si>
    <t>387-6123110</t>
  </si>
  <si>
    <t>R0017200021456</t>
  </si>
  <si>
    <t>X15758</t>
  </si>
  <si>
    <t>BRIZUELA SILVIA</t>
  </si>
  <si>
    <t>Bª Pereyra Rosas Manzana 602 Casa 32</t>
  </si>
  <si>
    <t>387-9887789</t>
  </si>
  <si>
    <t>R0017200021457</t>
  </si>
  <si>
    <t>X15759</t>
  </si>
  <si>
    <t>PEREYRA MARTIN</t>
  </si>
  <si>
    <t>Balcarce 1399 8º F</t>
  </si>
  <si>
    <t>387-5861402</t>
  </si>
  <si>
    <t>R0017200021464</t>
  </si>
  <si>
    <t>X15765</t>
  </si>
  <si>
    <t>VALOR DORIS DEL CARMEN</t>
  </si>
  <si>
    <t>Bª Santa Ana 1 Pasaje 18 Casa 871</t>
  </si>
  <si>
    <t>387-4102942</t>
  </si>
  <si>
    <t>R0017200021465</t>
  </si>
  <si>
    <t>Villa Lola Manzana 15 A  10</t>
  </si>
  <si>
    <t>387-4570178</t>
  </si>
  <si>
    <t>R0017200021480</t>
  </si>
  <si>
    <t>1º de Julio de 1974 530</t>
  </si>
  <si>
    <t>R0017200021481</t>
  </si>
  <si>
    <t>San Martín 260</t>
  </si>
  <si>
    <t>La Silleta</t>
  </si>
  <si>
    <t>RETICU10070</t>
  </si>
  <si>
    <t>Resp. Hydra Tiron  100x070</t>
  </si>
  <si>
    <t>387-6148290</t>
  </si>
  <si>
    <t>R0017200021482</t>
  </si>
  <si>
    <t>X15630</t>
  </si>
  <si>
    <t>ACEVEDO SEBASTIAN</t>
  </si>
  <si>
    <t>Cerro Los Tres Zorritos 70</t>
  </si>
  <si>
    <t>387-4743176</t>
  </si>
  <si>
    <t>R0017200021483</t>
  </si>
  <si>
    <t>R0017200021484</t>
  </si>
  <si>
    <t>X15766</t>
  </si>
  <si>
    <t>LOPEZ ANDREA LUCIA</t>
  </si>
  <si>
    <t>Bº San Rafael Mza D, Casa 1</t>
  </si>
  <si>
    <t>387-5388645</t>
  </si>
  <si>
    <t>R0017200021485</t>
  </si>
  <si>
    <t>X15767</t>
  </si>
  <si>
    <t>FLORES ELIZABETH</t>
  </si>
  <si>
    <t>Bº Scalabrini Ortiz Mar Antartico 745</t>
  </si>
  <si>
    <t>387-4649310</t>
  </si>
  <si>
    <t>R0017200021486</t>
  </si>
  <si>
    <t>X15768</t>
  </si>
  <si>
    <t>ESTRADA PAULA IRIR</t>
  </si>
  <si>
    <t>Bº El Huaico Block 56, 2º  10</t>
  </si>
  <si>
    <t>387-4130430</t>
  </si>
  <si>
    <t>R0017200021495</t>
  </si>
  <si>
    <t>X15760</t>
  </si>
  <si>
    <t>BLOTTO SUSANA ALICIA</t>
  </si>
  <si>
    <t>España esquina Misiones</t>
  </si>
  <si>
    <t>Col. Meyer Salud 150x190</t>
  </si>
  <si>
    <t>387-5286974</t>
  </si>
  <si>
    <t>R0017200021496</t>
  </si>
  <si>
    <t>X15782</t>
  </si>
  <si>
    <t>GORSE CHARLES</t>
  </si>
  <si>
    <t>Bº La Aguada Lote 97</t>
  </si>
  <si>
    <t>Col. Sealy Post Quartz 180x200</t>
  </si>
  <si>
    <t>387-5089343</t>
  </si>
  <si>
    <t>R0017200021497</t>
  </si>
  <si>
    <t>X15771</t>
  </si>
  <si>
    <t>ailan carlos daniel</t>
  </si>
  <si>
    <t xml:space="preserve">Bº Santa Teresita Mza35B Casa 13 </t>
  </si>
  <si>
    <t>Güemes</t>
  </si>
  <si>
    <t>387-4623167</t>
  </si>
  <si>
    <t>R0017200021498</t>
  </si>
  <si>
    <t>X15780</t>
  </si>
  <si>
    <t>SOLA CARLOS ALBERTO</t>
  </si>
  <si>
    <t>Miguel Ortiz 587</t>
  </si>
  <si>
    <t>387-4102034</t>
  </si>
  <si>
    <t>R0017200021519</t>
  </si>
  <si>
    <t>X15795</t>
  </si>
  <si>
    <t>GARKUS HORACIO</t>
  </si>
  <si>
    <t>Villa Santa Ana, Derecho Viejo 208</t>
  </si>
  <si>
    <t>387-4424065</t>
  </si>
  <si>
    <t>R0017200021520</t>
  </si>
  <si>
    <t>X15789</t>
  </si>
  <si>
    <t>SOSA FERNANDO</t>
  </si>
  <si>
    <t>Bº Jardín Mza 67B Casa 17 Lote 8</t>
  </si>
  <si>
    <t>387-5649280</t>
  </si>
  <si>
    <t>R0017200021522</t>
  </si>
  <si>
    <t>X15785</t>
  </si>
  <si>
    <t>GUTIERREZ IVANA</t>
  </si>
  <si>
    <t>Nicolas Medina 840</t>
  </si>
  <si>
    <t>387-6348844</t>
  </si>
  <si>
    <t>R0017200021523</t>
  </si>
  <si>
    <t>X15797</t>
  </si>
  <si>
    <t>VERA LISANDRO MARTIN</t>
  </si>
  <si>
    <t>Ampl Santa Ana II Mza 759 Casa 4</t>
  </si>
  <si>
    <t>387-4075231</t>
  </si>
  <si>
    <t>R0017200021525</t>
  </si>
  <si>
    <t>X15801</t>
  </si>
  <si>
    <t>CORREA JULIAN</t>
  </si>
  <si>
    <t>San Mrtín 1056</t>
  </si>
  <si>
    <t>387-5246512</t>
  </si>
  <si>
    <t>R0017200021533</t>
  </si>
  <si>
    <t>X15804</t>
  </si>
  <si>
    <t>FRIAS LAZARTE SOFIA</t>
  </si>
  <si>
    <t>B SAN CARLOS MZA 50 C17</t>
  </si>
  <si>
    <t>387-4120337</t>
  </si>
  <si>
    <t>R0017200021534</t>
  </si>
  <si>
    <t>X15805</t>
  </si>
  <si>
    <t>FABBRONI XAVIER</t>
  </si>
  <si>
    <t>CORDOBA 492</t>
  </si>
  <si>
    <t>387-2210343</t>
  </si>
  <si>
    <t>CORDOBA492</t>
  </si>
  <si>
    <t>R0017200021536</t>
  </si>
  <si>
    <t>X15807</t>
  </si>
  <si>
    <t>BORDONE JOSE ANTONIO</t>
  </si>
  <si>
    <t>CORONEL NORBERTO CARO 28 CHICOANA</t>
  </si>
  <si>
    <t>387-4186128</t>
  </si>
  <si>
    <t>R0017200021537</t>
  </si>
  <si>
    <t>los ciruelos 96 b tres cerritos</t>
  </si>
  <si>
    <t>Sabana FIELDCREST Full Blanca</t>
  </si>
  <si>
    <t>R0017200021541</t>
  </si>
  <si>
    <t>X15784</t>
  </si>
  <si>
    <t>VAZQUEZ EMANUEL JESUS</t>
  </si>
  <si>
    <t>Bº San Rafael Mza D, Casa 17</t>
  </si>
  <si>
    <t>387-4521903</t>
  </si>
  <si>
    <t>R0017200021540</t>
  </si>
  <si>
    <t>X15809</t>
  </si>
  <si>
    <t>GUEVARA ADRIAN MIGUEL</t>
  </si>
  <si>
    <t>Jardines de San Lorenzo Mza 18 Casa 1</t>
  </si>
  <si>
    <t>387-2111260</t>
  </si>
  <si>
    <t>R0017200021544</t>
  </si>
  <si>
    <t>387-5078282</t>
  </si>
  <si>
    <t>R0017200021545</t>
  </si>
  <si>
    <t>X07411</t>
  </si>
  <si>
    <t>CHOCOBAR FRANCO MARTIN LUCIANO</t>
  </si>
  <si>
    <t xml:space="preserve">B SAN JOSE  ACUAZNAGA 2390 </t>
  </si>
  <si>
    <t>387-5762910</t>
  </si>
  <si>
    <t>PROIMP090X190</t>
  </si>
  <si>
    <t>Protector Impermeable 090x190</t>
  </si>
  <si>
    <t>X03762</t>
  </si>
  <si>
    <t>ECONOMO DANIEL HORACIO</t>
  </si>
  <si>
    <t xml:space="preserve">B SAN VICENTE CERRILLOS </t>
  </si>
  <si>
    <t>387-6842297</t>
  </si>
  <si>
    <t>R0017200021556</t>
  </si>
  <si>
    <t>X14560</t>
  </si>
  <si>
    <t>ALANIS JORGE</t>
  </si>
  <si>
    <t>Bº Los Olmos Lote 124</t>
  </si>
  <si>
    <t>387-4858265</t>
  </si>
  <si>
    <t>R0017200021557</t>
  </si>
  <si>
    <t>X15817</t>
  </si>
  <si>
    <t>REALE MARTIN</t>
  </si>
  <si>
    <t>20 de Febrero 764 3º 2</t>
  </si>
  <si>
    <t>387-5100549</t>
  </si>
  <si>
    <t>R0017200021571</t>
  </si>
  <si>
    <t>X15858</t>
  </si>
  <si>
    <t>CAMACHO RUBEN</t>
  </si>
  <si>
    <t xml:space="preserve">Santa Ana 3 Mza. E casa 4 </t>
  </si>
  <si>
    <t>387-6137384</t>
  </si>
  <si>
    <t>R0017200021572</t>
  </si>
  <si>
    <t>X15861</t>
  </si>
  <si>
    <t>AVALOS PABLO</t>
  </si>
  <si>
    <t xml:space="preserve">Palmares De Las Isla Manzana 10 5  </t>
  </si>
  <si>
    <t>COCMEA200200</t>
  </si>
  <si>
    <t>Col. Sealy Chill Memory 200x200</t>
  </si>
  <si>
    <t>387-4658736</t>
  </si>
  <si>
    <t>R0017200021573</t>
  </si>
  <si>
    <t>R0017200021575</t>
  </si>
  <si>
    <t>X15600</t>
  </si>
  <si>
    <t>MONES RUIZ SEBASTIAN PEDRO bp</t>
  </si>
  <si>
    <t>Bº Praderas de San Lorenzo Mza 13  Casa21</t>
  </si>
  <si>
    <t>Col. L.Palladium 090x190x20</t>
  </si>
  <si>
    <t>387-2506755</t>
  </si>
  <si>
    <t>R0017200021574</t>
  </si>
  <si>
    <t>X15863</t>
  </si>
  <si>
    <t>FIGUEROA FLAVIA</t>
  </si>
  <si>
    <t>Av, Usandivaras 766</t>
  </si>
  <si>
    <t>387-5621687</t>
  </si>
  <si>
    <t>R0017200021583</t>
  </si>
  <si>
    <t>X15865</t>
  </si>
  <si>
    <t>GUAYMAS MAURO</t>
  </si>
  <si>
    <t>Bº Palermo 1,  Hipodromo de La Plata 16</t>
  </si>
  <si>
    <t>387-2176124</t>
  </si>
  <si>
    <t>R0017200021584</t>
  </si>
  <si>
    <t>X15866</t>
  </si>
  <si>
    <t>ACOSTA JORGE ADUARDO</t>
  </si>
  <si>
    <t>Bº San Remo, Mar Ártico 1255</t>
  </si>
  <si>
    <t>387-5103615</t>
  </si>
  <si>
    <t>R0017200021590</t>
  </si>
  <si>
    <t>GÜEMES JOSE CARLOS</t>
  </si>
  <si>
    <t>Bº San Remo, Mar Rojo 1305</t>
  </si>
  <si>
    <t>387-6124566</t>
  </si>
  <si>
    <t>R0017200021591</t>
  </si>
  <si>
    <t>X01081</t>
  </si>
  <si>
    <t>CRUZ SILVINA</t>
  </si>
  <si>
    <t>Bº Los Olivos Mza 232 Casa 14</t>
  </si>
  <si>
    <t>387-4084360</t>
  </si>
  <si>
    <t>R0017200021592</t>
  </si>
  <si>
    <t>X15869</t>
  </si>
  <si>
    <t>EVELIN MELINA DEL CARMEN SOTO</t>
  </si>
  <si>
    <t>Bº Grand Bourg, Francisco Beiro 1130</t>
  </si>
  <si>
    <t>387-5502675</t>
  </si>
  <si>
    <t>387-5502676</t>
  </si>
  <si>
    <t>R0017200021595</t>
  </si>
  <si>
    <t>X15874</t>
  </si>
  <si>
    <t>MARCOVICI IVAN FEDERICO</t>
  </si>
  <si>
    <t>Bº Bancario Block G1  3º "A"</t>
  </si>
  <si>
    <t>387-5998186</t>
  </si>
  <si>
    <t>R0017200021596</t>
  </si>
  <si>
    <t>X15871</t>
  </si>
  <si>
    <t>CORDOBA RITA</t>
  </si>
  <si>
    <t xml:space="preserve">Bº La Jorgelina </t>
  </si>
  <si>
    <t>387-5184020</t>
  </si>
  <si>
    <t>ENTREGAR SABADO 14/06</t>
  </si>
  <si>
    <t>R0017200021597</t>
  </si>
  <si>
    <t>Bº 17 de Octubre, Mza 690A Lote 8</t>
  </si>
  <si>
    <t>Promo P. Aluminio Copa</t>
  </si>
  <si>
    <t>COSFHA160200</t>
  </si>
  <si>
    <t>Col. S&amp;F Harmony Brown 160x200</t>
  </si>
  <si>
    <t>R0017200021607</t>
  </si>
  <si>
    <t>X15875</t>
  </si>
  <si>
    <t>juarez dardo alberto</t>
  </si>
  <si>
    <t>La Gaceta 2244</t>
  </si>
  <si>
    <t>387-5147818</t>
  </si>
  <si>
    <t>R0017200021610</t>
  </si>
  <si>
    <t>X15884</t>
  </si>
  <si>
    <t>LOPEZ MARIA SILVANA</t>
  </si>
  <si>
    <t>B CIELOS DEL VALLE MZA 5 CASA 12</t>
  </si>
  <si>
    <t>387-5200319</t>
  </si>
  <si>
    <t>R0017200021611</t>
  </si>
  <si>
    <t>X15883</t>
  </si>
  <si>
    <t>LEYES MARCOS JAVIER</t>
  </si>
  <si>
    <t>B EL BOSQUE BLOCK 47 PISO 3 D15</t>
  </si>
  <si>
    <t>387-6860565</t>
  </si>
  <si>
    <t>R0017200021616</t>
  </si>
  <si>
    <t>X15886</t>
  </si>
  <si>
    <t>MUÑOZ MARIO JOSE</t>
  </si>
  <si>
    <t>Rep. de Siria 82, Piso C Dpto 2</t>
  </si>
  <si>
    <t>387-4522756</t>
  </si>
  <si>
    <t>R0017200021618</t>
  </si>
  <si>
    <t>X15885</t>
  </si>
  <si>
    <t>REYNAGA AZUCENA</t>
  </si>
  <si>
    <t>Pasaje Eleut</t>
  </si>
  <si>
    <t>387-4486114</t>
  </si>
  <si>
    <t>R0017200021617</t>
  </si>
  <si>
    <t>R0017200021622</t>
  </si>
  <si>
    <t>X15891</t>
  </si>
  <si>
    <t>ROMAN VALDIVIEZO</t>
  </si>
  <si>
    <t xml:space="preserve">Finca Las Chacritas </t>
  </si>
  <si>
    <t>387-5349657</t>
  </si>
  <si>
    <t>R0017200021638</t>
  </si>
  <si>
    <t>X15897</t>
  </si>
  <si>
    <t>MARQUEZ ROCIO EUGENIA</t>
  </si>
  <si>
    <t>Bº Docente Sur, Mza 6, Casa 6</t>
  </si>
  <si>
    <t>387-4686320</t>
  </si>
  <si>
    <t>R0017200021639</t>
  </si>
  <si>
    <t>X15901</t>
  </si>
  <si>
    <t>SANTIAGO PEREZ DE ÑA FUENTE</t>
  </si>
  <si>
    <t>Las Heras 35, 2º piso Dpto 8</t>
  </si>
  <si>
    <t>11-34513036</t>
  </si>
  <si>
    <t>R0017200021640</t>
  </si>
  <si>
    <t>X15893</t>
  </si>
  <si>
    <t>VENANCIO RODOLFO</t>
  </si>
  <si>
    <t>Bº Huico Block 8, 1º pis, Dpto 8</t>
  </si>
  <si>
    <t>3877-539687</t>
  </si>
  <si>
    <t>Bº Huico Block 8, 1º piso, Dpto 8</t>
  </si>
  <si>
    <t>R0017200021641</t>
  </si>
  <si>
    <t>R0017200021642</t>
  </si>
  <si>
    <t>X05358</t>
  </si>
  <si>
    <t>ZARIF RAQUEL X</t>
  </si>
  <si>
    <t>Bº El Tipal, Iruya 511</t>
  </si>
  <si>
    <t>387-4547139</t>
  </si>
  <si>
    <t>R0017200021643</t>
  </si>
  <si>
    <t>X15898</t>
  </si>
  <si>
    <t>ALBORNOS RAMIRO ARIEL</t>
  </si>
  <si>
    <t>Coronel Vidt 2225</t>
  </si>
  <si>
    <t>387-4585885</t>
  </si>
  <si>
    <t>R0017200021644</t>
  </si>
  <si>
    <t>Bº Huaico, Mza 451C Casa 13</t>
  </si>
  <si>
    <t>387-5235939</t>
  </si>
  <si>
    <t>R0017200021645</t>
  </si>
  <si>
    <t>X15904</t>
  </si>
  <si>
    <t>SANGEDOLCE SERGIO</t>
  </si>
  <si>
    <t>Cesar Perdiguero 58</t>
  </si>
  <si>
    <t>Col. Sealy Perf SpiritN160x200</t>
  </si>
  <si>
    <t>11-56353916</t>
  </si>
  <si>
    <t>R0017200021646</t>
  </si>
  <si>
    <t>X15906</t>
  </si>
  <si>
    <t>JARRUZ MARIA LUISA</t>
  </si>
  <si>
    <t>PUEYRREDON 844 3B</t>
  </si>
  <si>
    <t>Som. Universal White 090x190</t>
  </si>
  <si>
    <t>387-4695874</t>
  </si>
  <si>
    <t>Col. Cauri Pillow 090x190</t>
  </si>
  <si>
    <t>R0017200021648</t>
  </si>
  <si>
    <t>X15907</t>
  </si>
  <si>
    <t>RUEDA NORA ELIZABETH</t>
  </si>
  <si>
    <t>b norte grande mza 203 b16</t>
  </si>
  <si>
    <t>387-5427113</t>
  </si>
  <si>
    <t>R0017200021650</t>
  </si>
  <si>
    <t>X10972</t>
  </si>
  <si>
    <t>ORTIZ CARLOS DANIEL</t>
  </si>
  <si>
    <t xml:space="preserve">belgrano 402 </t>
  </si>
  <si>
    <t>coronel moldes</t>
  </si>
  <si>
    <t>387-5811971</t>
  </si>
  <si>
    <t>R0017200021663</t>
  </si>
  <si>
    <t>X15910</t>
  </si>
  <si>
    <t>MIRANDA RAUL</t>
  </si>
  <si>
    <t>B FRATERNIDAD MZA 340 A CASA29</t>
  </si>
  <si>
    <t>387-5029150</t>
  </si>
  <si>
    <t>R0017200021664</t>
  </si>
  <si>
    <t>X10776</t>
  </si>
  <si>
    <t>VASQUEZ FLORA BEATRIZ</t>
  </si>
  <si>
    <t>B COSTA AZUL MZA196 CASA 18</t>
  </si>
  <si>
    <t>Col. S&amp;F Prestige Br(N) 140x190</t>
  </si>
  <si>
    <t>387-4737346</t>
  </si>
  <si>
    <t>R0017200021666</t>
  </si>
  <si>
    <t>X15917</t>
  </si>
  <si>
    <t>RAMOREZ ADRIANA</t>
  </si>
  <si>
    <t>MIRASOLES MZA497 A CASA15</t>
  </si>
  <si>
    <t>387-4203564</t>
  </si>
  <si>
    <t>R0017200021667</t>
  </si>
  <si>
    <t>X15911</t>
  </si>
  <si>
    <t>DAVILA CAMILA</t>
  </si>
  <si>
    <t>Jardines de San Lorenzo Mza 17 Casa 3</t>
  </si>
  <si>
    <t>387-4592040</t>
  </si>
  <si>
    <t>R0017200021668</t>
  </si>
  <si>
    <t>R0017200021669</t>
  </si>
  <si>
    <t>X15873</t>
  </si>
  <si>
    <t>JARDINES DE SAN LORENZO MZA18 CASA5</t>
  </si>
  <si>
    <t>387-4590888</t>
  </si>
  <si>
    <t>R0017200021670</t>
  </si>
  <si>
    <t>X15919</t>
  </si>
  <si>
    <t>PUCA WALTER</t>
  </si>
  <si>
    <t xml:space="preserve">PJE BERRUEZO 689 </t>
  </si>
  <si>
    <t>387-2560039</t>
  </si>
  <si>
    <t>R0017200021671</t>
  </si>
  <si>
    <t>X15902</t>
  </si>
  <si>
    <t>CARDENAS FELINDA</t>
  </si>
  <si>
    <t>ET 10 MZA 1 CASA 5 LIMACHE</t>
  </si>
  <si>
    <t>387-4426016</t>
  </si>
  <si>
    <t>R0017200021672</t>
  </si>
  <si>
    <t>R0017200021674</t>
  </si>
  <si>
    <t>R0017200021685</t>
  </si>
  <si>
    <t>X15925</t>
  </si>
  <si>
    <t>EDITH TEJERINA</t>
  </si>
  <si>
    <t>388-4875048</t>
  </si>
  <si>
    <t>R0017200021686</t>
  </si>
  <si>
    <t>R0017200021689</t>
  </si>
  <si>
    <t>X15924</t>
  </si>
  <si>
    <t>GRUPO ORANGE S. R. L.</t>
  </si>
  <si>
    <t xml:space="preserve">Los carolinos 120 Duplex 1 </t>
  </si>
  <si>
    <t>387-4747548</t>
  </si>
  <si>
    <t>X15927</t>
  </si>
  <si>
    <t>WHELAN JAMES</t>
  </si>
  <si>
    <t>El prado Eco Village lote 98</t>
  </si>
  <si>
    <t>11-64301567</t>
  </si>
  <si>
    <t>R0017200021726</t>
  </si>
  <si>
    <t>X15944</t>
  </si>
  <si>
    <t>NOLASCO FANI SONIA</t>
  </si>
  <si>
    <t>Pje Enrique Torino 3155 Bº Islas Malvinas</t>
  </si>
  <si>
    <t>387-4695367</t>
  </si>
  <si>
    <t>R0017200021727</t>
  </si>
  <si>
    <t>X15938</t>
  </si>
  <si>
    <t>GOMEZ LUND OSCAR</t>
  </si>
  <si>
    <t>Bº Casino, Block J Dpto 13 2º piso</t>
  </si>
  <si>
    <t>387-5041194</t>
  </si>
  <si>
    <t>R0017200021728</t>
  </si>
  <si>
    <t>VZ5683</t>
  </si>
  <si>
    <t>Elisa Martina de los Ángeles Sulca</t>
  </si>
  <si>
    <t>AV SAN MARTIN 595 PORTERO 6A</t>
  </si>
  <si>
    <t>387-4611737</t>
  </si>
  <si>
    <t>R0017200021729</t>
  </si>
  <si>
    <t>X15933</t>
  </si>
  <si>
    <t>ZERPA ANGEL ADOLFO</t>
  </si>
  <si>
    <t>Buenos Aires 1150</t>
  </si>
  <si>
    <t>387-4878333</t>
  </si>
  <si>
    <t>R0017200021730</t>
  </si>
  <si>
    <t>X15948</t>
  </si>
  <si>
    <t>FERRUFINO PABLO RAFAEL</t>
  </si>
  <si>
    <t>El Mollar II , Mza 4A, Lote 4</t>
  </si>
  <si>
    <t>Camino a Colón</t>
  </si>
  <si>
    <t>11-68840172</t>
  </si>
  <si>
    <t>Coordinar entrega para despues del miercoles</t>
  </si>
  <si>
    <t>PROIMP140X190</t>
  </si>
  <si>
    <t>Protector Impermeable 140x190</t>
  </si>
  <si>
    <t>R0017200021731</t>
  </si>
  <si>
    <t>X08916</t>
  </si>
  <si>
    <t>MARQUEZ GUZMAN REBECA CANIROVE</t>
  </si>
  <si>
    <t>Bº La Rinconada Medidor 62</t>
  </si>
  <si>
    <t>11-52297481</t>
  </si>
  <si>
    <t>R0017200021732</t>
  </si>
  <si>
    <t>X02269</t>
  </si>
  <si>
    <t>JEREZ MONICA MERCEDES</t>
  </si>
  <si>
    <t>Bº Limache, Block 4, Dpto 1 p/b</t>
  </si>
  <si>
    <t>387-6153357</t>
  </si>
  <si>
    <t>R0017200021733</t>
  </si>
  <si>
    <t>X15955</t>
  </si>
  <si>
    <t>LOZADA HILDA</t>
  </si>
  <si>
    <t>Mariano Boedo 107 (esq Catamarca)</t>
  </si>
  <si>
    <t>387-6230931</t>
  </si>
  <si>
    <t>R0017200021734</t>
  </si>
  <si>
    <t>X15956</t>
  </si>
  <si>
    <t>BURGOS DANIELA ESTEBAN</t>
  </si>
  <si>
    <t>Bº San Ignacio Mza 37 casa27</t>
  </si>
  <si>
    <t>SOSNA 100190E</t>
  </si>
  <si>
    <t>387-5898222</t>
  </si>
  <si>
    <t>R0017200021736</t>
  </si>
  <si>
    <t>X15941</t>
  </si>
  <si>
    <t>PAVONE JOSE</t>
  </si>
  <si>
    <t>Pasaje Los Labradores 1944</t>
  </si>
  <si>
    <t>387-4097766</t>
  </si>
  <si>
    <t>SI</t>
  </si>
  <si>
    <t>Recibio la persona que realizo la compra</t>
  </si>
  <si>
    <t>Remito n°: R0017200021736</t>
  </si>
  <si>
    <t>R0017200021747</t>
  </si>
  <si>
    <t>387-5001507</t>
  </si>
  <si>
    <t>R0017200021748</t>
  </si>
  <si>
    <t>X15959</t>
  </si>
  <si>
    <t>BARRIONUEVO FABIO EMANUEL</t>
  </si>
  <si>
    <t xml:space="preserve">Juan B Justo 370 Rosario de Lerma </t>
  </si>
  <si>
    <t xml:space="preserve">Rosario de lerma </t>
  </si>
  <si>
    <t>R0017200021749</t>
  </si>
  <si>
    <t>R0017200021750</t>
  </si>
  <si>
    <t>X15958</t>
  </si>
  <si>
    <t>CARNICERIAS KOKO S. R. L.</t>
  </si>
  <si>
    <t>Orion Y Venus Villa El sol Ruta 51</t>
  </si>
  <si>
    <t>El Encón</t>
  </si>
  <si>
    <t>387-4444027</t>
  </si>
  <si>
    <t>R0017200021751</t>
  </si>
  <si>
    <t>R0017200021752</t>
  </si>
  <si>
    <t>R0017200021754</t>
  </si>
  <si>
    <t>X15968</t>
  </si>
  <si>
    <t>TEJERINA ALDANA</t>
  </si>
  <si>
    <t>Bº Islas Malvinas Mza A Casa 4</t>
  </si>
  <si>
    <t>387-5678502</t>
  </si>
  <si>
    <t>R0017200021755</t>
  </si>
  <si>
    <t>X15972</t>
  </si>
  <si>
    <t>ESQUIU JORGE</t>
  </si>
  <si>
    <t xml:space="preserve">Las Cigüeñas 3284 </t>
  </si>
  <si>
    <t>387-5119555</t>
  </si>
  <si>
    <t>R0017200021756</t>
  </si>
  <si>
    <t>R0017200021757</t>
  </si>
  <si>
    <t>X15912</t>
  </si>
  <si>
    <t>BACA LEIVA MARIA ROSA</t>
  </si>
  <si>
    <t>Bº San Antonio, Calle Maria Moncho 295</t>
  </si>
  <si>
    <t>El Bordo- Güemes</t>
  </si>
  <si>
    <t>Sabana FIELDCREST King Blanca</t>
  </si>
  <si>
    <t>387-6107406</t>
  </si>
  <si>
    <t>Sabana FIELDCREST King Blue</t>
  </si>
  <si>
    <t>Col. Sealy EstSunshineB 200x200</t>
  </si>
  <si>
    <t>R0017200021758</t>
  </si>
  <si>
    <t>X04829</t>
  </si>
  <si>
    <t>COPA RICARDO</t>
  </si>
  <si>
    <t>Bº Pinino Ferreyra Mza "D" Casa 2</t>
  </si>
  <si>
    <t>387-5198873</t>
  </si>
  <si>
    <t>R0017200021759</t>
  </si>
  <si>
    <t>X15969</t>
  </si>
  <si>
    <t>TOCONAS JUAN ROBERTO</t>
  </si>
  <si>
    <t>Bº Castañares</t>
  </si>
  <si>
    <t>387-5899099</t>
  </si>
  <si>
    <t>R0017200021760</t>
  </si>
  <si>
    <t>X15971</t>
  </si>
  <si>
    <t>PUNTANO JONATAN NICOLAS</t>
  </si>
  <si>
    <t>Dirario El Pregon 2374</t>
  </si>
  <si>
    <t>387-5888620</t>
  </si>
  <si>
    <t>R0017200021769</t>
  </si>
  <si>
    <t>X00349</t>
  </si>
  <si>
    <t>ARAMAYO JULIO</t>
  </si>
  <si>
    <t xml:space="preserve">DIARIO LA OPINION 3700 </t>
  </si>
  <si>
    <t>387-5904562</t>
  </si>
  <si>
    <t>Remito n°: R 0017200021769/70</t>
  </si>
  <si>
    <t>R0017200021770</t>
  </si>
  <si>
    <t>RADI CHACO ETRE RODRI Y GONZA BLOK61</t>
  </si>
  <si>
    <t>Col. Meyer Devas 090x190</t>
  </si>
  <si>
    <t>R0017200021772</t>
  </si>
  <si>
    <t>X15974</t>
  </si>
  <si>
    <t>FRANCO SEBASTIAN NICOLAS</t>
  </si>
  <si>
    <t xml:space="preserve">VIRGILIO TEDIN 149 </t>
  </si>
  <si>
    <t>ROSARIO LERMA</t>
  </si>
  <si>
    <t>387-5220555</t>
  </si>
  <si>
    <t>Recibio un familiar DNI: 11709805</t>
  </si>
  <si>
    <t>Remito n°: R0017200021771/72</t>
  </si>
  <si>
    <t>R0017200021771</t>
  </si>
  <si>
    <t>R0017200021775</t>
  </si>
  <si>
    <t>X15976</t>
  </si>
  <si>
    <t>ORELLANA MOLINS CAMILA ANGELICA</t>
  </si>
  <si>
    <t>IBAZETA 15</t>
  </si>
  <si>
    <t>387-6137894</t>
  </si>
  <si>
    <t>Remito n°: R0017200021775</t>
  </si>
  <si>
    <t>R0017200021776</t>
  </si>
  <si>
    <t>X15977</t>
  </si>
  <si>
    <t>SINGH KEVIN</t>
  </si>
  <si>
    <t>PJE CAFAYATE 754</t>
  </si>
  <si>
    <t>387-5169311</t>
  </si>
  <si>
    <t>Remito n°: R0017200021776/77</t>
  </si>
  <si>
    <t>R0017200021777</t>
  </si>
  <si>
    <t>PAJE CAFAYATE 754</t>
  </si>
  <si>
    <t>R0017200021779</t>
  </si>
  <si>
    <t>X12598</t>
  </si>
  <si>
    <t>COPA JUAN JOSE</t>
  </si>
  <si>
    <t>TOMAS ALLENDE 1500</t>
  </si>
  <si>
    <t>387-4151960</t>
  </si>
  <si>
    <t>Recibio un familiar ( esposa ) DNI: 21792328</t>
  </si>
  <si>
    <t>Remito n°: R0017200021779</t>
  </si>
  <si>
    <t>R0017200021807</t>
  </si>
  <si>
    <t>X15991</t>
  </si>
  <si>
    <t>BRAVO HERNESTINA</t>
  </si>
  <si>
    <t>Ohiggins 480</t>
  </si>
  <si>
    <t>387-2128836</t>
  </si>
  <si>
    <t>R0017200021808</t>
  </si>
  <si>
    <t>X16003</t>
  </si>
  <si>
    <t>SANTIBANEZ HAYDE</t>
  </si>
  <si>
    <t>Bº Juan D. Perón Mza H, Casa 2</t>
  </si>
  <si>
    <t>11-54542324</t>
  </si>
  <si>
    <t>R0017200021809</t>
  </si>
  <si>
    <t>Zuviría 2010</t>
  </si>
  <si>
    <t>387-5631654</t>
  </si>
  <si>
    <t>R0017200021810</t>
  </si>
  <si>
    <t>X16007</t>
  </si>
  <si>
    <t>RODRIGUEZ BETIANA</t>
  </si>
  <si>
    <t>Bº  El Portal de Lesser, Mza 467C, Casa 21</t>
  </si>
  <si>
    <t>280-4861759</t>
  </si>
  <si>
    <t>R0017200021811</t>
  </si>
  <si>
    <t>X16008</t>
  </si>
  <si>
    <t>ORTEGA MAGALI</t>
  </si>
  <si>
    <t>Bº Solidarida Mza 435C Lote 23</t>
  </si>
  <si>
    <t>387-5836690</t>
  </si>
  <si>
    <t>R0017200021812</t>
  </si>
  <si>
    <t>X16009</t>
  </si>
  <si>
    <t>MEDINA CARRAL RAFAEL</t>
  </si>
  <si>
    <t>Bº 31 de Octubre Mza 2 Casa 5</t>
  </si>
  <si>
    <t>387-5801020</t>
  </si>
  <si>
    <t>R0017200021813</t>
  </si>
  <si>
    <t>X15982</t>
  </si>
  <si>
    <t>tolaba alderete guillermo hugo</t>
  </si>
  <si>
    <t>Bº Siglo XXI, Mza 356A, Casa 8</t>
  </si>
  <si>
    <t>387-5311707</t>
  </si>
  <si>
    <t>R0017200021814</t>
  </si>
  <si>
    <t>X15985</t>
  </si>
  <si>
    <t>RAMPULLA DAVID EZEQUIEL</t>
  </si>
  <si>
    <t xml:space="preserve">Bº Limache  </t>
  </si>
  <si>
    <t>Jgo. Sabanas Zlow MicroCoSoftTwB</t>
  </si>
  <si>
    <t>387-5964851</t>
  </si>
  <si>
    <t>R0017200021815</t>
  </si>
  <si>
    <t>X04157</t>
  </si>
  <si>
    <t>ROVALETTI LAGOS ANA LUCRECIA</t>
  </si>
  <si>
    <t>Aniceto Latorre 768 8ºC</t>
  </si>
  <si>
    <t>Col. L.Palladium 080x190x24</t>
  </si>
  <si>
    <t>387-6846539</t>
  </si>
  <si>
    <t>R0017200021816</t>
  </si>
  <si>
    <t>R0017200021817</t>
  </si>
  <si>
    <t>X15992</t>
  </si>
  <si>
    <t>URZAGASTA MARTIN EMILIO</t>
  </si>
  <si>
    <t>Obispo Romero 1280</t>
  </si>
  <si>
    <t>387-6356676</t>
  </si>
  <si>
    <t>R0017200021818</t>
  </si>
  <si>
    <t>X09309</t>
  </si>
  <si>
    <t>CRUZ ROCIO BELEN EMPLEADO</t>
  </si>
  <si>
    <t>Las Araucarias 145</t>
  </si>
  <si>
    <t>387-5227134</t>
  </si>
  <si>
    <t>R0017200021819</t>
  </si>
  <si>
    <t>X15989</t>
  </si>
  <si>
    <t>JANCKO ORTIZ OSCAR</t>
  </si>
  <si>
    <t>Bº La Loma, Ramón Acosta 1224</t>
  </si>
  <si>
    <t>387-6318413</t>
  </si>
  <si>
    <t>R0017200021833</t>
  </si>
  <si>
    <t>387-4548406</t>
  </si>
  <si>
    <t>R0017200021834</t>
  </si>
  <si>
    <t>387-6289009</t>
  </si>
  <si>
    <t>R0017200021835</t>
  </si>
  <si>
    <t>Col. Sealy Post Emerald 090x190</t>
  </si>
  <si>
    <t>R0017200021838</t>
  </si>
  <si>
    <t>X16018</t>
  </si>
  <si>
    <t>JIMENEZ FRANCISCO JOSE</t>
  </si>
  <si>
    <t>Radio JV Gonzalez 2636</t>
  </si>
  <si>
    <t>387-5370185</t>
  </si>
  <si>
    <t>R0017200021839</t>
  </si>
  <si>
    <t>X12923</t>
  </si>
  <si>
    <t>JUSTINIANO JUAN</t>
  </si>
  <si>
    <t>Pje Los Artesanos 247</t>
  </si>
  <si>
    <t>387-5319815</t>
  </si>
  <si>
    <t>R0017200021841</t>
  </si>
  <si>
    <t>X16017</t>
  </si>
  <si>
    <t>TRIGO LUIS ROBERTO</t>
  </si>
  <si>
    <t>Pque La Vega Block 24 Dpto L 2ºº piso</t>
  </si>
  <si>
    <t>387-4666266</t>
  </si>
  <si>
    <t>R0017200021842</t>
  </si>
  <si>
    <t>X16020</t>
  </si>
  <si>
    <t>TINTE CESAR AUGUSTO</t>
  </si>
  <si>
    <t>Bº 16 de Junio Mza "D" Casa 16</t>
  </si>
  <si>
    <t>387-5929473</t>
  </si>
  <si>
    <t>R0017200021843</t>
  </si>
  <si>
    <t>X16025</t>
  </si>
  <si>
    <t>TORRES AGUIRRE OLVER RAMIRO</t>
  </si>
  <si>
    <t>Bº Don Emilio Block 24 , 1º piso, dpto 4</t>
  </si>
  <si>
    <t>387-4476151</t>
  </si>
  <si>
    <t>R0017200021844</t>
  </si>
  <si>
    <t>X16027</t>
  </si>
  <si>
    <t>QUIROGA MIGUEL MARIANO</t>
  </si>
  <si>
    <t>Bº San Roque , Calle Jujuy 861</t>
  </si>
  <si>
    <t>387-5666445</t>
  </si>
  <si>
    <t>R0017200021845</t>
  </si>
  <si>
    <t>X16016</t>
  </si>
  <si>
    <t>FERNANDEZ NIEVE FLORENCIA</t>
  </si>
  <si>
    <t>urbanizacion santa laura mza4 c3</t>
  </si>
  <si>
    <t>387-4209702</t>
  </si>
  <si>
    <t>R0017200021846</t>
  </si>
  <si>
    <t>X16022</t>
  </si>
  <si>
    <t>FIGUEROA LUCAS CAMBIO</t>
  </si>
  <si>
    <t>Bº Limache, Etapa 2, Mza 5, Casa 8</t>
  </si>
  <si>
    <t>387-5833382</t>
  </si>
  <si>
    <t>R0017200021847</t>
  </si>
  <si>
    <t>Wine Village Lote 43</t>
  </si>
  <si>
    <t>11-49755363</t>
  </si>
  <si>
    <t>R0017200021865</t>
  </si>
  <si>
    <t>X16033</t>
  </si>
  <si>
    <t>NAVARRO DANIEL</t>
  </si>
  <si>
    <t>Vicario Toscano 112</t>
  </si>
  <si>
    <t>3878-688288</t>
  </si>
  <si>
    <t>R0017200021866</t>
  </si>
  <si>
    <t>X16031</t>
  </si>
  <si>
    <t>FERNANDEZ OLIVER SRL</t>
  </si>
  <si>
    <t>Los Carolinos 697</t>
  </si>
  <si>
    <t>84204.1</t>
  </si>
  <si>
    <t>Som. Comfort Sens. 140x190</t>
  </si>
  <si>
    <t>387-4447182</t>
  </si>
  <si>
    <t>R0017200021867</t>
  </si>
  <si>
    <t>X13398</t>
  </si>
  <si>
    <t>FALCON SERGIO</t>
  </si>
  <si>
    <t>Bº Juan Pablo II Sur, Block 12, 3º piso, Dpto 16</t>
  </si>
  <si>
    <t>387-5994003</t>
  </si>
  <si>
    <t>R0017200021868</t>
  </si>
  <si>
    <t>X08469</t>
  </si>
  <si>
    <t>VARGAS ANGEL GUSTAVO</t>
  </si>
  <si>
    <t>Bº San Nicolás, Mza 5, Casa 99</t>
  </si>
  <si>
    <t>387-4515262</t>
  </si>
  <si>
    <t>R0017200021869</t>
  </si>
  <si>
    <t>R0017200021870</t>
  </si>
  <si>
    <t>X16030</t>
  </si>
  <si>
    <t>ROMAN FIGUEROA JORGE LUIS</t>
  </si>
  <si>
    <t>Bº Welindo Toledo, Costa de Marfíl 66</t>
  </si>
  <si>
    <t>387-5090299</t>
  </si>
  <si>
    <t>R0017200021871</t>
  </si>
  <si>
    <t>X16036</t>
  </si>
  <si>
    <t>CASTILLA DANTE ALVINO</t>
  </si>
  <si>
    <t>Bº Santa Ana II, Mza 2, Casa 11</t>
  </si>
  <si>
    <t>387-6839951</t>
  </si>
  <si>
    <t>R0017200021872</t>
  </si>
  <si>
    <t>X16032</t>
  </si>
  <si>
    <t>VILLA JOAQUIN</t>
  </si>
  <si>
    <t>Diario La Razón 3666</t>
  </si>
  <si>
    <t>387-2145527</t>
  </si>
  <si>
    <t>R0017200021875</t>
  </si>
  <si>
    <t>X16042</t>
  </si>
  <si>
    <t>ARANDA LUZ MARIA</t>
  </si>
  <si>
    <t>O´Higgins 1928</t>
  </si>
  <si>
    <t>387-5355878</t>
  </si>
  <si>
    <t>R0017200021879</t>
  </si>
  <si>
    <t>X16045</t>
  </si>
  <si>
    <t>Josefo Acuna Martinez</t>
  </si>
  <si>
    <t>GORRITI 518 PB1</t>
  </si>
  <si>
    <t>R0017200021878</t>
  </si>
  <si>
    <t>R0017200021905</t>
  </si>
  <si>
    <t>X07391</t>
  </si>
  <si>
    <t>Robles Angel Ermindo</t>
  </si>
  <si>
    <t>B santa Rita 1 Ruta 26 Manzana  4A Casa 17</t>
  </si>
  <si>
    <t>COCLA140190</t>
  </si>
  <si>
    <t>387-6106115</t>
  </si>
  <si>
    <t xml:space="preserve"> CARENW10140190</t>
  </si>
  <si>
    <t>Cma RespaldoHandyGris 140x190</t>
  </si>
  <si>
    <t>R0017200021910</t>
  </si>
  <si>
    <t>X16048</t>
  </si>
  <si>
    <t>BARRIONUEVO MARIELA LUJAN</t>
  </si>
  <si>
    <t>Bº Casino Block P Dpto 12</t>
  </si>
  <si>
    <t>387-5031432</t>
  </si>
  <si>
    <t>R0017200021911</t>
  </si>
  <si>
    <t>X16051</t>
  </si>
  <si>
    <t>TEJERINA RAMOS YOLANDA MARIA</t>
  </si>
  <si>
    <t>Bº Autódromo, Raul Rigarti 428</t>
  </si>
  <si>
    <t>352-2648662</t>
  </si>
  <si>
    <t>R0017200021912</t>
  </si>
  <si>
    <t>X16053</t>
  </si>
  <si>
    <t>PAYO AKEMEIER FERNANDO JOSE</t>
  </si>
  <si>
    <t>Los Cardones 236</t>
  </si>
  <si>
    <t>387-5391942</t>
  </si>
  <si>
    <t>R0017200021913</t>
  </si>
  <si>
    <t>R0017200021914</t>
  </si>
  <si>
    <t>X02979</t>
  </si>
  <si>
    <t>GUTIERREZ GRACIELA</t>
  </si>
  <si>
    <t>Bº Limache Etapa 13 Mza 3 casa 18</t>
  </si>
  <si>
    <t>387-5316222</t>
  </si>
  <si>
    <t>R0017200021915</t>
  </si>
  <si>
    <t>X16063</t>
  </si>
  <si>
    <t>FIGUEROA CARLOS JONATAN</t>
  </si>
  <si>
    <t>J M Leguizamón 446</t>
  </si>
  <si>
    <t>SOFCABER16</t>
  </si>
  <si>
    <t>Sofá Cama Bernard Gris</t>
  </si>
  <si>
    <t>387-5822218</t>
  </si>
  <si>
    <t>R0017200021916</t>
  </si>
  <si>
    <t>X16043</t>
  </si>
  <si>
    <t>VILLALBA MARIA</t>
  </si>
  <si>
    <t>Bº Pinares Mza 15B Casa 23</t>
  </si>
  <si>
    <t>387-5322577</t>
  </si>
  <si>
    <t>R0017200021917</t>
  </si>
  <si>
    <t>X16050</t>
  </si>
  <si>
    <t>MASCARELO ROSARIO ROQUE</t>
  </si>
  <si>
    <t>Bº El Prado EcoVillage , Algarrobal 316</t>
  </si>
  <si>
    <t>387-6105350</t>
  </si>
  <si>
    <t>R0017200021918</t>
  </si>
  <si>
    <t>X16054</t>
  </si>
  <si>
    <t>ABDOLHAY RICARDO</t>
  </si>
  <si>
    <t>Bº Portal de Lesser, Guillermo Alzaga 1</t>
  </si>
  <si>
    <t>387-6430801</t>
  </si>
  <si>
    <t>R0017200021919</t>
  </si>
  <si>
    <t>X16056</t>
  </si>
  <si>
    <t>PAS GLADYS</t>
  </si>
  <si>
    <t>Carmen Torena 490</t>
  </si>
  <si>
    <t>Alm. Meyer Visco Dream</t>
  </si>
  <si>
    <t>387-2223324</t>
  </si>
  <si>
    <t>R0017200021920</t>
  </si>
  <si>
    <t>X16062</t>
  </si>
  <si>
    <t>GOMEZ HORACIO RENE</t>
  </si>
  <si>
    <t>Ema Solá 14</t>
  </si>
  <si>
    <t>387-5331935</t>
  </si>
  <si>
    <t>Col. Sealy Post Jade 200x200</t>
  </si>
  <si>
    <t>R0017200021921</t>
  </si>
  <si>
    <t>X16068</t>
  </si>
  <si>
    <t>PEREZ FLORES LUISA</t>
  </si>
  <si>
    <t>Los Cedros 9</t>
  </si>
  <si>
    <t>387-5430837</t>
  </si>
  <si>
    <t>R0017200021922</t>
  </si>
  <si>
    <t>X16072</t>
  </si>
  <si>
    <t>AGUEDA ZOLOZA</t>
  </si>
  <si>
    <t>B Autodromo</t>
  </si>
  <si>
    <t>Sabana FIELDCREST Twin Blanco</t>
  </si>
  <si>
    <t>387-4036114</t>
  </si>
  <si>
    <t>R0017200021924</t>
  </si>
  <si>
    <t>X16069</t>
  </si>
  <si>
    <t>PARISI FRANCISCO</t>
  </si>
  <si>
    <t>edificio porton 1 (Pedir ubicación)</t>
  </si>
  <si>
    <t>387-4854080</t>
  </si>
  <si>
    <t>X16073</t>
  </si>
  <si>
    <t>FLORES FRANCISCO</t>
  </si>
  <si>
    <t>Acevedo 80</t>
  </si>
  <si>
    <t>387-3041462</t>
  </si>
  <si>
    <t>R0017200021926</t>
  </si>
  <si>
    <t>R0017200021935</t>
  </si>
  <si>
    <t>X16058</t>
  </si>
  <si>
    <t>CHACANA PATRICIO</t>
  </si>
  <si>
    <t>Pueyrredon 1178</t>
  </si>
  <si>
    <t>387-4129175</t>
  </si>
  <si>
    <t>R0017200021936</t>
  </si>
  <si>
    <t>X04496</t>
  </si>
  <si>
    <t>CARRAL MERCEDES</t>
  </si>
  <si>
    <t>B San Carlos Mza 23 Casa 7</t>
  </si>
  <si>
    <t>387-15938838</t>
  </si>
  <si>
    <t>R0017200021937</t>
  </si>
  <si>
    <t>La Caldera  los gauchos 1</t>
  </si>
  <si>
    <t>Salta -Caldera</t>
  </si>
  <si>
    <t>CORAIB100190</t>
  </si>
  <si>
    <t>Col. Sealy Perf RainbowN100x190</t>
  </si>
  <si>
    <t>387-60144443</t>
  </si>
  <si>
    <t>R0017200021938</t>
  </si>
  <si>
    <t>X16084</t>
  </si>
  <si>
    <t>SANTA CRUZ MARCELO</t>
  </si>
  <si>
    <t xml:space="preserve">Los fresno 147 </t>
  </si>
  <si>
    <t>387-4929634</t>
  </si>
  <si>
    <t>R0017200021946</t>
  </si>
  <si>
    <t>El prado Eco Village lote 211</t>
  </si>
  <si>
    <t>387-6232581</t>
  </si>
  <si>
    <t>R0017200021947</t>
  </si>
  <si>
    <t>X16082</t>
  </si>
  <si>
    <t>INSTITUTO DE CLINICA Y CARDIOLOGIA SRL</t>
  </si>
  <si>
    <t xml:space="preserve">ZABALA 432 </t>
  </si>
  <si>
    <t>387-6130924</t>
  </si>
  <si>
    <t>R0017200021948</t>
  </si>
  <si>
    <t>X09415</t>
  </si>
  <si>
    <t>ESPOZ ROQUE</t>
  </si>
  <si>
    <t>EL FUEGUINO 3032</t>
  </si>
  <si>
    <t>387-4085319</t>
  </si>
  <si>
    <t>R0017200021951</t>
  </si>
  <si>
    <t>X16085</t>
  </si>
  <si>
    <t>SALIM SANDRA</t>
  </si>
  <si>
    <t>B SAN CARLOS MZA 18 C34</t>
  </si>
  <si>
    <t>387-4861845</t>
  </si>
  <si>
    <t>R0017200021952</t>
  </si>
  <si>
    <t>P11543</t>
  </si>
  <si>
    <t>SEGOVIA RODRIGO</t>
  </si>
  <si>
    <t>B CASINO  BLOCK D</t>
  </si>
  <si>
    <t>SOFCABER04</t>
  </si>
  <si>
    <t>Sofá Cama Bernard Gris Claro</t>
  </si>
  <si>
    <t>387-5093472</t>
  </si>
  <si>
    <t>R0017200021953</t>
  </si>
  <si>
    <t>X16074</t>
  </si>
  <si>
    <t>GUTIERREZ RAMONA GALARSA</t>
  </si>
  <si>
    <t>Canal de Beables 565</t>
  </si>
  <si>
    <t>Quijano</t>
  </si>
  <si>
    <t>387-5711114</t>
  </si>
  <si>
    <t>R0017200021954</t>
  </si>
  <si>
    <t>X07034</t>
  </si>
  <si>
    <t>CHOCOBAR NANCY GABRIELA</t>
  </si>
  <si>
    <t>Arturo Davalos 178</t>
  </si>
  <si>
    <t>387-4454233</t>
  </si>
  <si>
    <t>R0017200021955</t>
  </si>
  <si>
    <t>R0017200021956</t>
  </si>
  <si>
    <t>X16077</t>
  </si>
  <si>
    <t>TEJERINA EUGENIO DANIEL</t>
  </si>
  <si>
    <t>Ruta 51 Km 15,5</t>
  </si>
  <si>
    <t>387-5223226</t>
  </si>
  <si>
    <t>R0017200021957</t>
  </si>
  <si>
    <t>X16088</t>
  </si>
  <si>
    <t>CARDOZO MIGUEL ERNESTO</t>
  </si>
  <si>
    <t>B UPCN MZA 193 C</t>
  </si>
  <si>
    <t>387-2102964</t>
  </si>
  <si>
    <t>R0017200021962</t>
  </si>
  <si>
    <t>X09387</t>
  </si>
  <si>
    <t>ARCE RAQUEL PATRICIA</t>
  </si>
  <si>
    <t>Los Zorzales Mza 18 Casa 8</t>
  </si>
  <si>
    <t>293-2522954</t>
  </si>
  <si>
    <t>R0017200021963</t>
  </si>
  <si>
    <t>R0017200021964</t>
  </si>
  <si>
    <t>X05020</t>
  </si>
  <si>
    <t>MADERO MERCEDES</t>
  </si>
  <si>
    <t>La Poma 88</t>
  </si>
  <si>
    <t>387-6442412</t>
  </si>
  <si>
    <t>R0017200021965</t>
  </si>
  <si>
    <t>X16090</t>
  </si>
  <si>
    <t>MORALES PLACIDO VICENTE</t>
  </si>
  <si>
    <t>Bº Casino Block P 3º Piso, dpto 27</t>
  </si>
  <si>
    <t>387-5264634</t>
  </si>
  <si>
    <t>R0017200021993</t>
  </si>
  <si>
    <t>X16091</t>
  </si>
  <si>
    <t>CASTILLO JUAN MANUEL</t>
  </si>
  <si>
    <t>Los Jazmines 31</t>
  </si>
  <si>
    <t>387-5051870</t>
  </si>
  <si>
    <t>R0017200022009</t>
  </si>
  <si>
    <t>X05017</t>
  </si>
  <si>
    <t>SAN MILLAN PEDROSA LEONOR PATRICIA</t>
  </si>
  <si>
    <t>Las Vervenas Calle 5 Lote 9 Bº Las Magdalenas</t>
  </si>
  <si>
    <t>387-4625199</t>
  </si>
  <si>
    <t>R0017200022010</t>
  </si>
  <si>
    <t>X10304</t>
  </si>
  <si>
    <t>ESNAL MAURICIO ALEJANDRO</t>
  </si>
  <si>
    <t>Via Aurelia Mza 42 Casa 24</t>
  </si>
  <si>
    <t>387-6105295</t>
  </si>
  <si>
    <t>R0017200022011</t>
  </si>
  <si>
    <t>X16101</t>
  </si>
  <si>
    <t>YANES RAMON PEDRO</t>
  </si>
  <si>
    <t>O´Higgins 2028</t>
  </si>
  <si>
    <t>387-5722097</t>
  </si>
  <si>
    <t>R0017200022012</t>
  </si>
  <si>
    <t>X16106</t>
  </si>
  <si>
    <t>CEBALLOS MARIO EDUARDO</t>
  </si>
  <si>
    <t>Bº Los Lapachos, mza 470D Casa 11</t>
  </si>
  <si>
    <t>387-5064259</t>
  </si>
  <si>
    <t>R0017200022013</t>
  </si>
  <si>
    <t>X16107</t>
  </si>
  <si>
    <t>RUIZ MORALES LUISA AMELIA</t>
  </si>
  <si>
    <t>Caseros 1850 4ºB</t>
  </si>
  <si>
    <t>387-4698353</t>
  </si>
  <si>
    <t>R0017200022014</t>
  </si>
  <si>
    <t>X05670</t>
  </si>
  <si>
    <t>DACAL VALERIA</t>
  </si>
  <si>
    <t>Clarin 3912</t>
  </si>
  <si>
    <t>387-5389353</t>
  </si>
  <si>
    <t>R0017200022015</t>
  </si>
  <si>
    <t>X16096</t>
  </si>
  <si>
    <t>GOMEZ LIDIA</t>
  </si>
  <si>
    <t>9 de July 0781</t>
  </si>
  <si>
    <t>387-5880982</t>
  </si>
  <si>
    <t>R0017200022016</t>
  </si>
  <si>
    <t>X16116</t>
  </si>
  <si>
    <t>CANCINOS NATALIA</t>
  </si>
  <si>
    <t>Bº San Nicolás Mza 7 Casa 145</t>
  </si>
  <si>
    <t>387-5458640</t>
  </si>
  <si>
    <t>R0017200022017</t>
  </si>
  <si>
    <t>X16123</t>
  </si>
  <si>
    <t>DURAN IVANA</t>
  </si>
  <si>
    <t>Bº Santa Ana I Avda Perón 714</t>
  </si>
  <si>
    <t>387-5328441</t>
  </si>
  <si>
    <t>R0017200022019</t>
  </si>
  <si>
    <t>387-5275964</t>
  </si>
  <si>
    <t>R0017200022020</t>
  </si>
  <si>
    <t>X16130</t>
  </si>
  <si>
    <t>YACQUET MIRTA</t>
  </si>
  <si>
    <t>Mariano Boedo 46 Piso B</t>
  </si>
  <si>
    <t>387-4658624</t>
  </si>
  <si>
    <t>R0017200022021</t>
  </si>
  <si>
    <t>X16131</t>
  </si>
  <si>
    <t>SANTAPICHI LEANDRO</t>
  </si>
  <si>
    <t>Bº San Francisco Mza 229 Lote 12</t>
  </si>
  <si>
    <t xml:space="preserve">PAPROCLA </t>
  </si>
  <si>
    <t>388-6650743</t>
  </si>
  <si>
    <t>Som. Sealy CarbonGray 140x190</t>
  </si>
  <si>
    <t>R0017200022024</t>
  </si>
  <si>
    <t>X16133</t>
  </si>
  <si>
    <t>ANDREA BELEN</t>
  </si>
  <si>
    <t>Julio Cortazar 3943</t>
  </si>
  <si>
    <t>387-5932343</t>
  </si>
  <si>
    <t>R0017200022025</t>
  </si>
  <si>
    <t>X16135</t>
  </si>
  <si>
    <t>LARRAN GUILLERMO</t>
  </si>
  <si>
    <t>ALMIRANTE BROWN 266</t>
  </si>
  <si>
    <t>38-76141305</t>
  </si>
  <si>
    <t>R0017200022028</t>
  </si>
  <si>
    <t>X05686</t>
  </si>
  <si>
    <t>OCHOA FEDERICO</t>
  </si>
  <si>
    <t>Bº Santa Rita Mz 53B Lote 10</t>
  </si>
  <si>
    <t>Rrio de Lerma</t>
  </si>
  <si>
    <t>RELIGO200070</t>
  </si>
  <si>
    <t>Resp. Andros Liso 200x070</t>
  </si>
  <si>
    <t>387-2127340</t>
  </si>
  <si>
    <t>R0017200022029</t>
  </si>
  <si>
    <t>R0017200022049</t>
  </si>
  <si>
    <t>X16148</t>
  </si>
  <si>
    <t>MERCADO MAXIMILIANO</t>
  </si>
  <si>
    <t>B CASTAÑARES MZA 26 CASA 463</t>
  </si>
  <si>
    <t>R0017200022050</t>
  </si>
  <si>
    <t>X16147</t>
  </si>
  <si>
    <t>MERCADO ADELINA</t>
  </si>
  <si>
    <t>VILLA SAN LORENZO ANTAR ARG 1750</t>
  </si>
  <si>
    <t>R0017200022051</t>
  </si>
  <si>
    <t>X16149</t>
  </si>
  <si>
    <t>PUCHETA ABEL</t>
  </si>
  <si>
    <t>GRAL GUEMES 1310</t>
  </si>
  <si>
    <t>R0017200022052</t>
  </si>
  <si>
    <t>X13071</t>
  </si>
  <si>
    <t>CARRION IVANA</t>
  </si>
  <si>
    <t>AV BOLIVIA 3700</t>
  </si>
  <si>
    <t>R0017200022053</t>
  </si>
  <si>
    <t>X16143</t>
  </si>
  <si>
    <t>MEDINA YOLANDA</t>
  </si>
  <si>
    <t>B DOCENTE BLOCK 6 1P DTO 43</t>
  </si>
  <si>
    <t>R0017200022054</t>
  </si>
  <si>
    <t>U15916</t>
  </si>
  <si>
    <t>ROSAS JUAN MANUEL</t>
  </si>
  <si>
    <t>B SOL MZA M CASA 3</t>
  </si>
  <si>
    <t>R0017200022055</t>
  </si>
  <si>
    <t>X16150</t>
  </si>
  <si>
    <t>MOREIRA GABRIELA</t>
  </si>
  <si>
    <t>CHACHAPOYAS 200VIV MZA 101B C3</t>
  </si>
  <si>
    <t>R0017200022064</t>
  </si>
  <si>
    <t>VG1477</t>
  </si>
  <si>
    <t>Macarena Echazu</t>
  </si>
  <si>
    <t>B San Carlos  mza 53 Casa 12</t>
  </si>
  <si>
    <t>387-5758375</t>
  </si>
  <si>
    <t>R0017200022065</t>
  </si>
  <si>
    <t>X16154</t>
  </si>
  <si>
    <t>PEREZ ESTEBAN</t>
  </si>
  <si>
    <t>Balcarce 630</t>
  </si>
  <si>
    <t>387-5034441</t>
  </si>
  <si>
    <t>R0017200022066</t>
  </si>
  <si>
    <t>X16158</t>
  </si>
  <si>
    <t>GIULIANO GOYTIA</t>
  </si>
  <si>
    <t>Godoy cruz 3288 B ª Grand Bourg</t>
  </si>
  <si>
    <t>387-4798609</t>
  </si>
  <si>
    <t>R0017200022067</t>
  </si>
  <si>
    <t>X16157</t>
  </si>
  <si>
    <t>NAVARRO MARCELA</t>
  </si>
  <si>
    <t>Estapa 13 Manzana 1 casa 3 Bº Limache</t>
  </si>
  <si>
    <t>387-5009538</t>
  </si>
  <si>
    <t>R0017200022068</t>
  </si>
  <si>
    <t>X16156</t>
  </si>
  <si>
    <t>CHAUQUI CYNTHIA</t>
  </si>
  <si>
    <t>bª Pinares Manzana 40 Casa 17</t>
  </si>
  <si>
    <t>387-4562956</t>
  </si>
  <si>
    <t>R0017200022069</t>
  </si>
  <si>
    <t>X09770</t>
  </si>
  <si>
    <t>LERA CLAUDIA MABEL</t>
  </si>
  <si>
    <t>Villa los tarcos  Pedro Canepa 341</t>
  </si>
  <si>
    <t>387-5601399</t>
  </si>
  <si>
    <t>R0017200022077</t>
  </si>
  <si>
    <t>X16128</t>
  </si>
  <si>
    <t>RUEDA CESAR JESUS</t>
  </si>
  <si>
    <t>PASAJE TEODORO FELS 1602</t>
  </si>
  <si>
    <t>387-4484488</t>
  </si>
  <si>
    <t>R0017200022110</t>
  </si>
  <si>
    <t>X16089</t>
  </si>
  <si>
    <t>MONTES BRIAN STEVEN</t>
  </si>
  <si>
    <t>Consultar</t>
  </si>
  <si>
    <t>Col. Meyer Dream Plus 180x200</t>
  </si>
  <si>
    <t>387-2283168</t>
  </si>
  <si>
    <t>R0017200022111</t>
  </si>
  <si>
    <t>X16162</t>
  </si>
  <si>
    <t>AGUSTIN CASTELLI</t>
  </si>
  <si>
    <t>Diario El Clarin 3982</t>
  </si>
  <si>
    <t>387-5691162</t>
  </si>
  <si>
    <t>R0017200022112</t>
  </si>
  <si>
    <t>X16165</t>
  </si>
  <si>
    <t>ROMERO MAURO</t>
  </si>
  <si>
    <t>Tierra Mia Mza 50 Casa 6</t>
  </si>
  <si>
    <t>387-5748564</t>
  </si>
  <si>
    <t>R0017200022113</t>
  </si>
  <si>
    <t>R0017200022114</t>
  </si>
  <si>
    <t>X16166</t>
  </si>
  <si>
    <t>valenzuela casandra abigail</t>
  </si>
  <si>
    <t>Belgrano 1564 4º C</t>
  </si>
  <si>
    <t>388-4291943</t>
  </si>
  <si>
    <t>R0017200022115</t>
  </si>
  <si>
    <t>X07022</t>
  </si>
  <si>
    <t>RODRIGUEZ HUGO</t>
  </si>
  <si>
    <t>Bº Los Tarcos. J Velarde 185</t>
  </si>
  <si>
    <t>387-5510381</t>
  </si>
  <si>
    <t>R0017200022116</t>
  </si>
  <si>
    <t>X16170</t>
  </si>
  <si>
    <t>Fernanda Yamila  Díaz zajama</t>
  </si>
  <si>
    <t>Bº San Jorge Mza 34 Lote 14</t>
  </si>
  <si>
    <t>387-2147910</t>
  </si>
  <si>
    <t>R0017200022117</t>
  </si>
  <si>
    <t>X16172</t>
  </si>
  <si>
    <t>MATIAS LAIMES</t>
  </si>
  <si>
    <t>Bº Puesta del Sol Mza B, Casa 35</t>
  </si>
  <si>
    <t>387-2500284</t>
  </si>
  <si>
    <t>R0017200022118</t>
  </si>
  <si>
    <t>X16175</t>
  </si>
  <si>
    <t>LIZARRAGA DIEGO</t>
  </si>
  <si>
    <t>Av Costanera 2240</t>
  </si>
  <si>
    <t>387-4038596</t>
  </si>
  <si>
    <t>R0017200022119</t>
  </si>
  <si>
    <t>R0017200022120</t>
  </si>
  <si>
    <t>X16176</t>
  </si>
  <si>
    <t>PALOMO MARCELA</t>
  </si>
  <si>
    <t>Bº Limache Etapa 13 Mza 3 Casa 15</t>
  </si>
  <si>
    <t>387-5833282</t>
  </si>
  <si>
    <t>R0017200022121</t>
  </si>
  <si>
    <t>R0017200022122</t>
  </si>
  <si>
    <t>X16180</t>
  </si>
  <si>
    <t>RODRIGUEZ VICTERMAN</t>
  </si>
  <si>
    <t>Las Rosas 446</t>
  </si>
  <si>
    <t>387-4126212</t>
  </si>
  <si>
    <t>R0017200022123</t>
  </si>
  <si>
    <t>R0017200022124</t>
  </si>
  <si>
    <t>X16184</t>
  </si>
  <si>
    <t>CASTELLANOS ADRIANA MARCELA</t>
  </si>
  <si>
    <t>Pje Abraham Fernandez 419</t>
  </si>
  <si>
    <t>387-5344052</t>
  </si>
  <si>
    <t>R0017200022125</t>
  </si>
  <si>
    <t>X16122</t>
  </si>
  <si>
    <t>MENTESANA JUAN JOSE</t>
  </si>
  <si>
    <t>387-5758330</t>
  </si>
  <si>
    <t>R0017200022126</t>
  </si>
  <si>
    <t>X16092</t>
  </si>
  <si>
    <t>emanuel hernaez</t>
  </si>
  <si>
    <t>Juan Vucetich 318</t>
  </si>
  <si>
    <t>387-4660274</t>
  </si>
  <si>
    <t>R0017200022127</t>
  </si>
  <si>
    <t>X16190</t>
  </si>
  <si>
    <t>CAPOBIANCO FLORENCIA</t>
  </si>
  <si>
    <t>20 de Febrero 1466 7 I</t>
  </si>
  <si>
    <t>387-4402411</t>
  </si>
  <si>
    <t>R0017200022128</t>
  </si>
  <si>
    <t>R0017200022129</t>
  </si>
  <si>
    <t>La Guillermina Mza 9 Casa 15</t>
  </si>
  <si>
    <t xml:space="preserve">Cerrillos </t>
  </si>
  <si>
    <t>SOFCABOS455</t>
  </si>
  <si>
    <t>Sofá Cama Boston Steel</t>
  </si>
  <si>
    <t>R0017200022130</t>
  </si>
  <si>
    <t>X16178</t>
  </si>
  <si>
    <t>ECHAZU MARCELA</t>
  </si>
  <si>
    <t>Saturno 5350</t>
  </si>
  <si>
    <t>387-4024616</t>
  </si>
  <si>
    <t>R0017200022132</t>
  </si>
  <si>
    <t>R0017200022134</t>
  </si>
  <si>
    <t>X16185</t>
  </si>
  <si>
    <t>BONADEO DAMIAN</t>
  </si>
  <si>
    <t>Bº La Verbena Mza 40 Casa 9</t>
  </si>
  <si>
    <t>387-4814464</t>
  </si>
  <si>
    <t>R0017200022135</t>
  </si>
  <si>
    <t>Bº El Huiaico Mza 460C Casa 3</t>
  </si>
  <si>
    <t>Col. Sealy Post Jade 160x200</t>
  </si>
  <si>
    <t>387-4859192</t>
  </si>
  <si>
    <t>R0017200022136</t>
  </si>
  <si>
    <t>X16192</t>
  </si>
  <si>
    <t>LEGORGURO MARIA ALEJANDRA</t>
  </si>
  <si>
    <t>Olavarria 277 11K</t>
  </si>
  <si>
    <t>387-4654071</t>
  </si>
  <si>
    <t>R0017200022140</t>
  </si>
  <si>
    <t>X16195</t>
  </si>
  <si>
    <t>MARTINEZ JOSE MIGUEL</t>
  </si>
  <si>
    <t xml:space="preserve">b castañares los blancos 171 </t>
  </si>
  <si>
    <t>387-5712653</t>
  </si>
  <si>
    <t>R0017200022141</t>
  </si>
  <si>
    <t>R0017200022163</t>
  </si>
  <si>
    <t>X16207</t>
  </si>
  <si>
    <t>RAMOREZ ALBERTO JOSE</t>
  </si>
  <si>
    <t>Bº El Circulo 4 Mza E Casa 10</t>
  </si>
  <si>
    <t>387-4429028</t>
  </si>
  <si>
    <t>R0017200022164</t>
  </si>
  <si>
    <t>Bº El Bosque Block 12 2º piso 11</t>
  </si>
  <si>
    <t>387-5700119</t>
  </si>
  <si>
    <t>R0017200022165</t>
  </si>
  <si>
    <t>X16210</t>
  </si>
  <si>
    <t>TORO JULIO</t>
  </si>
  <si>
    <t>Arturo Dávalos 224</t>
  </si>
  <si>
    <t>387-4552054</t>
  </si>
  <si>
    <t>R0017200022166</t>
  </si>
  <si>
    <t>X16212</t>
  </si>
  <si>
    <t>RENFIJES MARIA DE LOS ANGELES</t>
  </si>
  <si>
    <t>Bº Santa Rita Mza 5E Lote 13</t>
  </si>
  <si>
    <t>387-4528196</t>
  </si>
  <si>
    <t>R0017200022167</t>
  </si>
  <si>
    <t>X16200</t>
  </si>
  <si>
    <t>TORRES CAREN</t>
  </si>
  <si>
    <t>Bº Los Arcos, 2ª etapa, Mza 45 Lote 24</t>
  </si>
  <si>
    <t>387-5784603</t>
  </si>
  <si>
    <t>R0017200022168</t>
  </si>
  <si>
    <t>X16201</t>
  </si>
  <si>
    <t>Gennaro  Alfarano</t>
  </si>
  <si>
    <t>Balcarce 1247</t>
  </si>
  <si>
    <t>11-30660070</t>
  </si>
  <si>
    <t>R0017200022194</t>
  </si>
  <si>
    <t>X16224</t>
  </si>
  <si>
    <t>CRUZ LUCAS</t>
  </si>
  <si>
    <t>Pje Giorgi 21</t>
  </si>
  <si>
    <t>387-4835788</t>
  </si>
  <si>
    <t>R0017200022195</t>
  </si>
  <si>
    <t>R0017200022196</t>
  </si>
  <si>
    <t>X16227</t>
  </si>
  <si>
    <t>GARCIA DANIEL PEDRO</t>
  </si>
  <si>
    <t>Juan Vucetich 369</t>
  </si>
  <si>
    <t>Protector Matelasse 090x190</t>
  </si>
  <si>
    <t>387-5014434</t>
  </si>
  <si>
    <t>R0017200022197</t>
  </si>
  <si>
    <t>Federico Lacroze 1080</t>
  </si>
  <si>
    <t>387-4835362</t>
  </si>
  <si>
    <t>COSFPB180200</t>
  </si>
  <si>
    <t>Col. S&amp;F Prestige Br(N) 180x200</t>
  </si>
  <si>
    <t>R0017200022198</t>
  </si>
  <si>
    <t>X16228</t>
  </si>
  <si>
    <t>MEDINA JUAN GABRIEL</t>
  </si>
  <si>
    <t>Obispo Romero 1509</t>
  </si>
  <si>
    <t>387-6349626</t>
  </si>
  <si>
    <t>R0017200022199</t>
  </si>
  <si>
    <t>Alvarado 768</t>
  </si>
  <si>
    <t>387-5990777</t>
  </si>
  <si>
    <t>R0017200022200</t>
  </si>
  <si>
    <t>X16240</t>
  </si>
  <si>
    <t>LAMAS MARTA IRENE</t>
  </si>
  <si>
    <t>Alberdi 52</t>
  </si>
  <si>
    <t>387-4588822</t>
  </si>
  <si>
    <t>R0017200022202</t>
  </si>
  <si>
    <t>X16239</t>
  </si>
  <si>
    <t>TOLABA TOMAS ARIEL</t>
  </si>
  <si>
    <t>Corbeta Argentina 3</t>
  </si>
  <si>
    <t>11-59128966</t>
  </si>
  <si>
    <t>R0017200022203</t>
  </si>
  <si>
    <t>X16241</t>
  </si>
  <si>
    <t>SAVIC PATRICIA BELEN</t>
  </si>
  <si>
    <t>Pueyrredon 1126 4to A</t>
  </si>
  <si>
    <t>387-5680284</t>
  </si>
  <si>
    <t>R0017200022206</t>
  </si>
  <si>
    <t>X16243</t>
  </si>
  <si>
    <t>MEDINA CRISTIAN MARTIN</t>
  </si>
  <si>
    <t>Cd. Valdivia Mza 781B Casa 25</t>
  </si>
  <si>
    <t>387-4026304</t>
  </si>
  <si>
    <t>R0017200022207</t>
  </si>
  <si>
    <t>X16244</t>
  </si>
  <si>
    <t>FORMOSO MACHUCA LUIS PABLO</t>
  </si>
  <si>
    <t>Bº Chachapoya Et. 1 Mz 108A Lote 25</t>
  </si>
  <si>
    <t>387-5645300</t>
  </si>
  <si>
    <t>R0017200022213</t>
  </si>
  <si>
    <t>X16246</t>
  </si>
  <si>
    <t>CORREA ENRIQUE</t>
  </si>
  <si>
    <t>Bº Pq Gral Belgrano Mza 10 Casa 12</t>
  </si>
  <si>
    <t>387-6037349</t>
  </si>
  <si>
    <t>R0017200022214</t>
  </si>
  <si>
    <t>X16247</t>
  </si>
  <si>
    <t>BUSTAMANTE ADRIANA ISABEL</t>
  </si>
  <si>
    <t>Bº Casino Block H, Dpto 1 p/b</t>
  </si>
  <si>
    <t>387-4093557</t>
  </si>
  <si>
    <t>R0017200022218</t>
  </si>
  <si>
    <t>X16249</t>
  </si>
  <si>
    <t>INGENIERIA MINERA</t>
  </si>
  <si>
    <t>Bº Ntra. Sra. del Carmen Casa 338</t>
  </si>
  <si>
    <t>387-4667946</t>
  </si>
  <si>
    <t>R0017200022219</t>
  </si>
  <si>
    <t>X16248</t>
  </si>
  <si>
    <t>ALANCAY CARMEN ADRIANA</t>
  </si>
  <si>
    <t>Av Juan Domingo Perón 1700</t>
  </si>
  <si>
    <t>387-5751174</t>
  </si>
  <si>
    <t>R0017200022220</t>
  </si>
  <si>
    <t>X01049</t>
  </si>
  <si>
    <t>RAMIREZ MARIA MERCEDES</t>
  </si>
  <si>
    <t>Vª Palacios Block 32, 3ºA</t>
  </si>
  <si>
    <t>387-6138050</t>
  </si>
  <si>
    <t>Col. Sealy Est WoodsB 180x200</t>
  </si>
  <si>
    <t>R0017200022221</t>
  </si>
  <si>
    <t>X16251</t>
  </si>
  <si>
    <t>DIAZ JOSE DANIEL</t>
  </si>
  <si>
    <t>Calle Marín Peralta Esq. Pardo 301</t>
  </si>
  <si>
    <t>387-5021483</t>
  </si>
  <si>
    <t>R0017200022225</t>
  </si>
  <si>
    <t>X16235</t>
  </si>
  <si>
    <t>HUMADA SILVIA</t>
  </si>
  <si>
    <t>Bº Las Nubes Mza B Casa 3</t>
  </si>
  <si>
    <t>387-6117435</t>
  </si>
  <si>
    <t>R0017200022226</t>
  </si>
  <si>
    <t>El Mollar II, Mza 5B Lote 1</t>
  </si>
  <si>
    <t>Alm. Sealy Lux Extra Soft90x50</t>
  </si>
  <si>
    <t>381-4014661</t>
  </si>
  <si>
    <t>R0017200022227</t>
  </si>
  <si>
    <t>X01927</t>
  </si>
  <si>
    <t>SCHLEGEL MARIA JOSE</t>
  </si>
  <si>
    <t>Bº Est. Alvarado Manuela Pedraza 320 1ºB</t>
  </si>
  <si>
    <t>387-5240030</t>
  </si>
  <si>
    <t>R0017200022228</t>
  </si>
  <si>
    <t>X16253</t>
  </si>
  <si>
    <t>CASTILLO MATIAS</t>
  </si>
  <si>
    <t>Amp. San Carlos Mza 558B Casa 1</t>
  </si>
  <si>
    <t>387-4026397</t>
  </si>
  <si>
    <t>R0017200022230</t>
  </si>
  <si>
    <t>X08366</t>
  </si>
  <si>
    <t>VERNIERI NICOLAS</t>
  </si>
  <si>
    <t>Bº Limache, Et 11, Block 33 , Dpto 1</t>
  </si>
  <si>
    <t>387-4811181</t>
  </si>
  <si>
    <t>R0017200022232</t>
  </si>
  <si>
    <t>X16252</t>
  </si>
  <si>
    <t>LOPEZ JULIO</t>
  </si>
  <si>
    <t>25 de May 0405</t>
  </si>
  <si>
    <t>387-6578156</t>
  </si>
  <si>
    <t>R0017200022239</t>
  </si>
  <si>
    <t>X16254</t>
  </si>
  <si>
    <t>INIGO LAUREANO</t>
  </si>
  <si>
    <t xml:space="preserve">Mar Caspio1150 bª San REmo </t>
  </si>
  <si>
    <t>387-6050252</t>
  </si>
  <si>
    <t>Som. Sealy Carbon Grey 130x190</t>
  </si>
  <si>
    <t>R0017200022240</t>
  </si>
  <si>
    <t>V30548</t>
  </si>
  <si>
    <t>CABRERA JULIO CESAR VT</t>
  </si>
  <si>
    <t xml:space="preserve">Diario Territorio de Misiones 2530 </t>
  </si>
  <si>
    <t>R0017200022241</t>
  </si>
  <si>
    <t>X11092</t>
  </si>
  <si>
    <t>GRANERO MARTA</t>
  </si>
  <si>
    <t>B BUEN CLIMA MZA 4 LOT 111 ATOCHA</t>
  </si>
  <si>
    <t>R0017200022242</t>
  </si>
  <si>
    <t>X16230</t>
  </si>
  <si>
    <t>RADONICH MARTIN</t>
  </si>
  <si>
    <t>JARDINES DE SAN LORENZO MZA2 L5</t>
  </si>
  <si>
    <t>387-4588855</t>
  </si>
  <si>
    <t>R0017200022243</t>
  </si>
  <si>
    <t>X16259</t>
  </si>
  <si>
    <t>MOYA DANIELA SOLEDAD</t>
  </si>
  <si>
    <t>B SAN CARLOS MZA 3 CASA 32</t>
  </si>
  <si>
    <t>R0017200022244</t>
  </si>
  <si>
    <t>X16260</t>
  </si>
  <si>
    <t>LAZARTE SOFIA</t>
  </si>
  <si>
    <t>LOS DURAZNEROS 1017</t>
  </si>
  <si>
    <t>R0017200022245</t>
  </si>
  <si>
    <t>X16262</t>
  </si>
  <si>
    <t xml:space="preserve">CESAR CANEPA VILLA </t>
  </si>
  <si>
    <t>R0017200022246</t>
  </si>
  <si>
    <t>X16258</t>
  </si>
  <si>
    <t>ALZOGARAY ARACELI</t>
  </si>
  <si>
    <t>VILLA  NUEVA EZPER MZA 46 15</t>
  </si>
  <si>
    <t>R0017200022247</t>
  </si>
  <si>
    <t>X16264</t>
  </si>
  <si>
    <t>LUNA NILDA CRISTINA</t>
  </si>
  <si>
    <t>RADIO NEUQUEN 2595</t>
  </si>
  <si>
    <t>Alm. Zlow Cool Memory 70</t>
  </si>
  <si>
    <t>R0017200022248</t>
  </si>
  <si>
    <t>R0017200022250</t>
  </si>
  <si>
    <t>X16267</t>
  </si>
  <si>
    <t>LEMOINE ELIZABETH</t>
  </si>
  <si>
    <t xml:space="preserve">Block 2 B Dtp 12 2 Piso Bª Juan Pablo  Segundo </t>
  </si>
  <si>
    <t>R0017200022252</t>
  </si>
  <si>
    <t>X16269</t>
  </si>
  <si>
    <t>TONINI IGNACIO</t>
  </si>
  <si>
    <t>MARIANO MORENO 239</t>
  </si>
  <si>
    <t>Col. L.Palladium 200x200x24</t>
  </si>
  <si>
    <t>Som. Universal White 100x200</t>
  </si>
  <si>
    <t>R0017200022264</t>
  </si>
  <si>
    <t>X16271</t>
  </si>
  <si>
    <t>CRUZ MARIA ESTER</t>
  </si>
  <si>
    <t>Zabala Villar 161</t>
  </si>
  <si>
    <t>387-5134837</t>
  </si>
  <si>
    <t>R0017200022265</t>
  </si>
  <si>
    <t>X16272</t>
  </si>
  <si>
    <t>BARBOZA NORMA ELIZABETH</t>
  </si>
  <si>
    <t>Dionicio Ramos 1338</t>
  </si>
  <si>
    <t>387-5053054</t>
  </si>
  <si>
    <t>R0017200022266</t>
  </si>
  <si>
    <t>X16274</t>
  </si>
  <si>
    <t>MENDIOROZ FERREIRO</t>
  </si>
  <si>
    <t>Bº Grand Bourg</t>
  </si>
  <si>
    <t>387-5638547</t>
  </si>
  <si>
    <t>Pedir ubicación</t>
  </si>
  <si>
    <t>R0017200022267</t>
  </si>
  <si>
    <t>X14573</t>
  </si>
  <si>
    <t>CALISAYA ADRIANA</t>
  </si>
  <si>
    <t>Bº Pq. Gral Belgrano Et.1 Dpto 1 p/b</t>
  </si>
  <si>
    <t>387-4131979</t>
  </si>
  <si>
    <t>R0017200022268</t>
  </si>
  <si>
    <t>X16275</t>
  </si>
  <si>
    <t>AGUER MARIANA</t>
  </si>
  <si>
    <t>Bº Grand Bourg Almafuerte 3318</t>
  </si>
  <si>
    <t>387-5189289</t>
  </si>
  <si>
    <t>R0017200022269</t>
  </si>
  <si>
    <t>X16278</t>
  </si>
  <si>
    <t>FIGUEROA MATIAS</t>
  </si>
  <si>
    <t>Pedernera 1098</t>
  </si>
  <si>
    <t>Col. L.Palladium 180x200x24</t>
  </si>
  <si>
    <t>387-6157097</t>
  </si>
  <si>
    <t>R0017200022270</t>
  </si>
  <si>
    <t>X16282</t>
  </si>
  <si>
    <t>CERPA PACO GUALBERTA</t>
  </si>
  <si>
    <t>Bº Siglo XXI Mza 360B Casa 13</t>
  </si>
  <si>
    <t>COSFNB160200</t>
  </si>
  <si>
    <t>Col. S&amp;FPrestigeNetBr(N)160x200</t>
  </si>
  <si>
    <t>387-5905497</t>
  </si>
  <si>
    <t>R0017200022271</t>
  </si>
  <si>
    <t>R0017200022282</t>
  </si>
  <si>
    <t>X04310</t>
  </si>
  <si>
    <t>GIMENEZ ALEJANDRO</t>
  </si>
  <si>
    <t>Mitre 2245</t>
  </si>
  <si>
    <t>387-4041644</t>
  </si>
  <si>
    <t>R0017200022283</t>
  </si>
  <si>
    <t>X16290</t>
  </si>
  <si>
    <t>ALANCAY VANESA NATALIA</t>
  </si>
  <si>
    <t>Tomás Cabrera 2848</t>
  </si>
  <si>
    <t>296-6488599</t>
  </si>
  <si>
    <t>X16280</t>
  </si>
  <si>
    <t>MALDONADO MARIA VERONICA</t>
  </si>
  <si>
    <t>B JUAN MANUEL DE ROSAS MZA C13</t>
  </si>
  <si>
    <t>387-4866570</t>
  </si>
  <si>
    <t>R0017200022284</t>
  </si>
  <si>
    <t>R0017200022291</t>
  </si>
  <si>
    <t>X08866</t>
  </si>
  <si>
    <t>PRIETO MAXIMILIANO</t>
  </si>
  <si>
    <t>SOLICITAR DIRECCION</t>
  </si>
  <si>
    <t>387-4149957</t>
  </si>
  <si>
    <t>R0017200022292</t>
  </si>
  <si>
    <t>X16298</t>
  </si>
  <si>
    <t>CAMES ADRIANA LUISA</t>
  </si>
  <si>
    <t>12 OCTUBRE 777 6 604</t>
  </si>
  <si>
    <t>387-4560101</t>
  </si>
  <si>
    <t>R0017200022293</t>
  </si>
  <si>
    <t>X08537</t>
  </si>
  <si>
    <t>MORALES JULIO CESAR</t>
  </si>
  <si>
    <t>Gato y mancha 350</t>
  </si>
  <si>
    <t>387-4027235</t>
  </si>
  <si>
    <t>R0017200022300</t>
  </si>
  <si>
    <t>X16279</t>
  </si>
  <si>
    <t>SEAREZ CARLOS</t>
  </si>
  <si>
    <t>Los Guayacanes 236</t>
  </si>
  <si>
    <t>387-4670505</t>
  </si>
  <si>
    <t>R0017200022301</t>
  </si>
  <si>
    <t>X16288</t>
  </si>
  <si>
    <t>BELTRAN FLORES LOURDES</t>
  </si>
  <si>
    <t>Bº Araoz . J.V. González 2393</t>
  </si>
  <si>
    <t>387-5106309</t>
  </si>
  <si>
    <t>R0017200022302</t>
  </si>
  <si>
    <t>X16289</t>
  </si>
  <si>
    <t>Radio Splendit 2393</t>
  </si>
  <si>
    <t>387-4191995</t>
  </si>
  <si>
    <t>R0017200022303</t>
  </si>
  <si>
    <t>X16302</t>
  </si>
  <si>
    <t>FABIAN CLARA</t>
  </si>
  <si>
    <t>Pje El Carmen 2540</t>
  </si>
  <si>
    <t>387-6033505</t>
  </si>
  <si>
    <t>R0017200022304</t>
  </si>
  <si>
    <t>X16291</t>
  </si>
  <si>
    <t>CARRAL FLAVIA EUGENIA DEL HUERTO</t>
  </si>
  <si>
    <t>San Luis 1521</t>
  </si>
  <si>
    <t>387-5234107</t>
  </si>
  <si>
    <t>R0017200022305</t>
  </si>
  <si>
    <t>X16300</t>
  </si>
  <si>
    <t>ZINGONE MARIA EUGENIA</t>
  </si>
  <si>
    <t>Bº Trinidad II, Mza 425, Lote 18</t>
  </si>
  <si>
    <t>387-4899230</t>
  </si>
  <si>
    <t>R0017200022306</t>
  </si>
  <si>
    <t>X01517</t>
  </si>
  <si>
    <t>SARAVIA NATALIA</t>
  </si>
  <si>
    <t>Comp. Habitacional Sur Mza "D" Casa 28</t>
  </si>
  <si>
    <t>387-5196646</t>
  </si>
  <si>
    <t>R0017200022308</t>
  </si>
  <si>
    <t>X16306</t>
  </si>
  <si>
    <t>ALVAREZ NORMA ESTER</t>
  </si>
  <si>
    <t>los paraisos 170</t>
  </si>
  <si>
    <t>387-4797528</t>
  </si>
  <si>
    <t>R0017200022309</t>
  </si>
  <si>
    <t>R0017200022310</t>
  </si>
  <si>
    <t>X09970</t>
  </si>
  <si>
    <t>BOGLIOLI JOSE LUIS</t>
  </si>
  <si>
    <t>miguel araoz radion colon 25</t>
  </si>
  <si>
    <t>387-4738290</t>
  </si>
  <si>
    <t>R0017200022311</t>
  </si>
  <si>
    <t>X16305</t>
  </si>
  <si>
    <t>BURGOS JESUS</t>
  </si>
  <si>
    <t>b don emilio block 18</t>
  </si>
  <si>
    <t>Col. Meyer Feliz 200x200</t>
  </si>
  <si>
    <t>387-5399673</t>
  </si>
  <si>
    <t>R0017200022312</t>
  </si>
  <si>
    <t>R0017200022333</t>
  </si>
  <si>
    <t>X06257</t>
  </si>
  <si>
    <t>SCHMITD ANDREA</t>
  </si>
  <si>
    <t xml:space="preserve">sargento cabral 269 </t>
  </si>
  <si>
    <t>JV González</t>
  </si>
  <si>
    <t>3877-464990</t>
  </si>
  <si>
    <t>R0017200022334</t>
  </si>
  <si>
    <t>X16317</t>
  </si>
  <si>
    <t>LAMAS RAMON</t>
  </si>
  <si>
    <t>b las victorias mza e casa 14</t>
  </si>
  <si>
    <t>3875-445963</t>
  </si>
  <si>
    <t>387-5445963</t>
  </si>
  <si>
    <t>R0017200022335</t>
  </si>
  <si>
    <t>X16318</t>
  </si>
  <si>
    <t>RODRIGUEZ ANTONELLA</t>
  </si>
  <si>
    <t>B SAN IGNACIO MZA 37 CASA1</t>
  </si>
  <si>
    <t>387-3119721</t>
  </si>
  <si>
    <t>R0017200022336</t>
  </si>
  <si>
    <t>X16324</t>
  </si>
  <si>
    <t>HEREDIA GERALDINE ANDREA</t>
  </si>
  <si>
    <t>b profesionales mza 542 A casa 6</t>
  </si>
  <si>
    <t>387-3561110</t>
  </si>
  <si>
    <t>R0017200022337</t>
  </si>
  <si>
    <t>b profesionales mza 542 A casa6</t>
  </si>
  <si>
    <t>R0017200022338</t>
  </si>
  <si>
    <t>X16325</t>
  </si>
  <si>
    <t>RAMOS MARIA MILAGROS</t>
  </si>
  <si>
    <t>b periodista enrique janin 1748</t>
  </si>
  <si>
    <t>387-6838072</t>
  </si>
  <si>
    <t>R0017200022339</t>
  </si>
  <si>
    <t xml:space="preserve"> b siglo 21 mza360 b 13</t>
  </si>
  <si>
    <t>Som. Serta Foun Canapé 080x200</t>
  </si>
  <si>
    <t>R0017200022340</t>
  </si>
  <si>
    <t>X16314</t>
  </si>
  <si>
    <t>SILVERA ALAVILA CLAUDIA PATRICIA</t>
  </si>
  <si>
    <t>españa 2341</t>
  </si>
  <si>
    <t>R0017200022341</t>
  </si>
  <si>
    <t>X16323</t>
  </si>
  <si>
    <t>IBAÑEZ CLAUDIA MARIA DEL MILAGRO</t>
  </si>
  <si>
    <t>dean funes 877</t>
  </si>
  <si>
    <t>R0017200022342</t>
  </si>
  <si>
    <t>X16326</t>
  </si>
  <si>
    <t>PEREYRA MARIO HUMBERTO</t>
  </si>
  <si>
    <t>mar baltico 1145</t>
  </si>
  <si>
    <t>R0017200022344</t>
  </si>
  <si>
    <t>X04864</t>
  </si>
  <si>
    <t>TULA AZUCENA MILAGROS</t>
  </si>
  <si>
    <t>Bª  Pinares Manzana 40 Casa 10</t>
  </si>
  <si>
    <t>R0017200022345</t>
  </si>
  <si>
    <t>X16328</t>
  </si>
  <si>
    <t>VAZQUEZ MAGALI</t>
  </si>
  <si>
    <t xml:space="preserve"> Av. Fragata Libertad 5</t>
  </si>
  <si>
    <t>Col. Meyer Feliz 080x190</t>
  </si>
  <si>
    <t>R0017200022346</t>
  </si>
  <si>
    <t>X16329</t>
  </si>
  <si>
    <t>EKOSRAY</t>
  </si>
  <si>
    <t>Av San millan 386 Cerrillos</t>
  </si>
  <si>
    <t>R0017200022347</t>
  </si>
  <si>
    <t>X16330</t>
  </si>
  <si>
    <t>DEL BARCO MATIAS SEBASTIAN</t>
  </si>
  <si>
    <t>Los amigos 345 Villa Rebeca</t>
  </si>
  <si>
    <t>R0017200022350</t>
  </si>
  <si>
    <t>X16332</t>
  </si>
  <si>
    <t>TRONCOSO MANUEL JESUS</t>
  </si>
  <si>
    <t>Bº Soem Mza 55B casa 3</t>
  </si>
  <si>
    <t>387-4126960</t>
  </si>
  <si>
    <t>R0017200022351</t>
  </si>
  <si>
    <t>VD7764</t>
  </si>
  <si>
    <t>Maria Eugenia David</t>
  </si>
  <si>
    <t>Los Raulies 38</t>
  </si>
  <si>
    <t>387-4536721</t>
  </si>
  <si>
    <t>R0017200022352</t>
  </si>
  <si>
    <t>X16337</t>
  </si>
  <si>
    <t>SORIA MARIO SEBASTIAN</t>
  </si>
  <si>
    <t>Bº Pq Gral Belgrano, Block 22 1º 3</t>
  </si>
  <si>
    <t>387-6361761</t>
  </si>
  <si>
    <t>Som. Serta Foundation 090x200</t>
  </si>
  <si>
    <t>R0017200022353</t>
  </si>
  <si>
    <t>X16335</t>
  </si>
  <si>
    <t>BANEK BONAHORA GERMAN MATIAS</t>
  </si>
  <si>
    <t>Bº Urb. San Carlos Mza 554B Casa 11</t>
  </si>
  <si>
    <t>387-5060950</t>
  </si>
  <si>
    <t>R0017200022354</t>
  </si>
  <si>
    <t>X16336</t>
  </si>
  <si>
    <t>CARRIZO VICTOR DANIEL</t>
  </si>
  <si>
    <t>Cd. Valvivia Mza 750B Casa 4</t>
  </si>
  <si>
    <t>387-6100806</t>
  </si>
  <si>
    <t>R0017200022355</t>
  </si>
  <si>
    <t>X16338</t>
  </si>
  <si>
    <t>LOPEZ FAUSTINA</t>
  </si>
  <si>
    <t>Bº El Prado, Paseo del Sol 353</t>
  </si>
  <si>
    <t>387-4201223</t>
  </si>
  <si>
    <t>R0017200022357</t>
  </si>
  <si>
    <t>X16311</t>
  </si>
  <si>
    <t>NIEVA ANGEL LORENZO</t>
  </si>
  <si>
    <t>B OBRERO ALEM 712</t>
  </si>
  <si>
    <t>387-5739289</t>
  </si>
  <si>
    <t>R0017200022359</t>
  </si>
  <si>
    <t>X16340</t>
  </si>
  <si>
    <t>MARCHESANI LUIS</t>
  </si>
  <si>
    <t>B PARQUE BELGRANO MZA C CASA3</t>
  </si>
  <si>
    <t>387-4042330</t>
  </si>
  <si>
    <t>R0017200022361</t>
  </si>
  <si>
    <t>X16333</t>
  </si>
  <si>
    <t>SAURA GISELA</t>
  </si>
  <si>
    <t>PJE TILCARA 456</t>
  </si>
  <si>
    <t>11-59565376</t>
  </si>
  <si>
    <t>R0017200022362</t>
  </si>
  <si>
    <t>X16341</t>
  </si>
  <si>
    <t>AVILA JAVIER</t>
  </si>
  <si>
    <t>LA RIOJA 2335</t>
  </si>
  <si>
    <t>387-5512770</t>
  </si>
  <si>
    <t>R0017200022366</t>
  </si>
  <si>
    <t>X16342</t>
  </si>
  <si>
    <t xml:space="preserve">GUANUCO ROMINA </t>
  </si>
  <si>
    <t>Bº Estación Alvarado Mza 18 Casa 26</t>
  </si>
  <si>
    <t>387-6142754</t>
  </si>
  <si>
    <t>R0017200022369</t>
  </si>
  <si>
    <t>X16343</t>
  </si>
  <si>
    <t>RAMIREZ SANDRA</t>
  </si>
  <si>
    <t>Bº Pereyra Rozas Mza 606B Casa 17</t>
  </si>
  <si>
    <t>387-4795775</t>
  </si>
  <si>
    <t>R0017200022370</t>
  </si>
  <si>
    <t>X16334</t>
  </si>
  <si>
    <t>ALVAREZ MARIA EUGENIA</t>
  </si>
  <si>
    <t>Bº San Antonio Medidor 20</t>
  </si>
  <si>
    <t>387-5059625</t>
  </si>
  <si>
    <t>R0017200022371</t>
  </si>
  <si>
    <t>WA2632</t>
  </si>
  <si>
    <t>SCHREINER OSVALDO</t>
  </si>
  <si>
    <t>Corrientes 142 5</t>
  </si>
  <si>
    <t>387-5870010</t>
  </si>
  <si>
    <t>R0017200022381</t>
  </si>
  <si>
    <t>X16347</t>
  </si>
  <si>
    <t>FERMANI MARIA DEL ROSARIO</t>
  </si>
  <si>
    <t>ALBERDI 385</t>
  </si>
  <si>
    <t>3877-598724</t>
  </si>
  <si>
    <t>R0017200022382</t>
  </si>
  <si>
    <t>PROIMP160X200</t>
  </si>
  <si>
    <t>Protector Impermeable 160x200</t>
  </si>
  <si>
    <t>R0017200022384</t>
  </si>
  <si>
    <t>X13814</t>
  </si>
  <si>
    <t>ARIAS MIRTA</t>
  </si>
  <si>
    <t>Pedir direccion</t>
  </si>
  <si>
    <t>R0017200022385</t>
  </si>
  <si>
    <t>R0017200022386</t>
  </si>
  <si>
    <t>X16349</t>
  </si>
  <si>
    <t>PALAZON YOLANDA ELSA</t>
  </si>
  <si>
    <t>El Clariín 3712</t>
  </si>
  <si>
    <t>387-4815624</t>
  </si>
  <si>
    <t>R0017200022395</t>
  </si>
  <si>
    <t>X16355</t>
  </si>
  <si>
    <t>OCHOA GERONIMO</t>
  </si>
  <si>
    <t>Bº Pereyra Rozas Mza 615 Casa 14</t>
  </si>
  <si>
    <t>387-5702878</t>
  </si>
  <si>
    <t>R0017200022396</t>
  </si>
  <si>
    <t>X16352</t>
  </si>
  <si>
    <t>FRESCO MARIA</t>
  </si>
  <si>
    <t>Nevado de Llullaillaco 2880</t>
  </si>
  <si>
    <t xml:space="preserve">San Luis </t>
  </si>
  <si>
    <t>387-4931333</t>
  </si>
  <si>
    <t xml:space="preserve">cambio base </t>
  </si>
  <si>
    <t>R0017200022365</t>
  </si>
  <si>
    <t>80700003293_</t>
  </si>
  <si>
    <t>alm zlow syntheticdubet 70x 50</t>
  </si>
  <si>
    <t>387-5490101</t>
  </si>
  <si>
    <t>R0017200022408</t>
  </si>
  <si>
    <t>X03011</t>
  </si>
  <si>
    <t>CORNEJO JOVANOVICS FACUNDO</t>
  </si>
  <si>
    <t>Iruya 413</t>
  </si>
  <si>
    <t>387-4888323</t>
  </si>
  <si>
    <t>R0017200022409</t>
  </si>
  <si>
    <t>X16363</t>
  </si>
  <si>
    <t>PALACIOS ENZO</t>
  </si>
  <si>
    <t>Bº Pq. Gral Belgrano Mza 201C Casa 8</t>
  </si>
  <si>
    <t>387-5901718</t>
  </si>
  <si>
    <t>R0017200022410</t>
  </si>
  <si>
    <t>R0017200022411</t>
  </si>
  <si>
    <t>X16358</t>
  </si>
  <si>
    <t>Vª Los Tarcos, José María Peralta 276</t>
  </si>
  <si>
    <t>387-4888164</t>
  </si>
  <si>
    <t>R0017200022412</t>
  </si>
  <si>
    <t>R0017200022413</t>
  </si>
  <si>
    <t>R0017200022415</t>
  </si>
  <si>
    <t>X01890</t>
  </si>
  <si>
    <t>MARIA NOGALEDO</t>
  </si>
  <si>
    <t>Bº Portezuelo; El Mirador 783</t>
  </si>
  <si>
    <t>387-4645744</t>
  </si>
  <si>
    <t>R0017200022417</t>
  </si>
  <si>
    <t>X12508</t>
  </si>
  <si>
    <t>GRANADOS JOSE ANTONIO</t>
  </si>
  <si>
    <t>Bº Limache, Block 38, 1º piso, Dpto 7</t>
  </si>
  <si>
    <t>387-4534488</t>
  </si>
  <si>
    <t>R0017200022418</t>
  </si>
  <si>
    <t>X16368</t>
  </si>
  <si>
    <t>JUAREZ SONIA</t>
  </si>
  <si>
    <t>Bº San Carlos, Mza 1 Casa 2</t>
  </si>
  <si>
    <t>387-5455454</t>
  </si>
  <si>
    <t>R0017200022419</t>
  </si>
  <si>
    <t>R0017200022424</t>
  </si>
  <si>
    <t>X16369</t>
  </si>
  <si>
    <t>RODRIGUEZ SIUFFI VIVIANA</t>
  </si>
  <si>
    <t>B PROFESIONALES MZA 507 L 13 A</t>
  </si>
  <si>
    <t>387-6133309</t>
  </si>
  <si>
    <t>R0017200022425</t>
  </si>
  <si>
    <t>R0017200022426</t>
  </si>
  <si>
    <t>X16370</t>
  </si>
  <si>
    <t>ALVARENGA MARIO AQUILES</t>
  </si>
  <si>
    <t>B SANTA ANA 1 PJE 13 523</t>
  </si>
  <si>
    <t>341-6631841</t>
  </si>
  <si>
    <t>R0017200022430</t>
  </si>
  <si>
    <t>Som. Serta Foundation 100x200</t>
  </si>
  <si>
    <t>387-4425469</t>
  </si>
  <si>
    <t>R0017200022431</t>
  </si>
  <si>
    <t>X16371</t>
  </si>
  <si>
    <t>MEDINA LORENA ALEJANDRA</t>
  </si>
  <si>
    <t>Vª Unidad, Mza 3, Casa 67</t>
  </si>
  <si>
    <t>387-4042172</t>
  </si>
  <si>
    <t>R0017200022432</t>
  </si>
  <si>
    <t>R0017200022440</t>
  </si>
  <si>
    <t>X16376</t>
  </si>
  <si>
    <t>CAMACHO CARLA ROCIO</t>
  </si>
  <si>
    <t>Bº Las Vertientes, Los Guacamayo 175</t>
  </si>
  <si>
    <t>387-4421033</t>
  </si>
  <si>
    <t>R0017200022443</t>
  </si>
  <si>
    <t>X13374</t>
  </si>
  <si>
    <t>TRIGO DAVID X</t>
  </si>
  <si>
    <t>Bº Cd. del Milagro, Armada Argentina 436</t>
  </si>
  <si>
    <t>387-4497202</t>
  </si>
  <si>
    <t>R0017200022444</t>
  </si>
  <si>
    <t>X16380</t>
  </si>
  <si>
    <t>ALANIS CASQUET MARTIN</t>
  </si>
  <si>
    <t>Luis Burela Medidor 48 Casa 387</t>
  </si>
  <si>
    <t>387-4592341</t>
  </si>
  <si>
    <t>R0017200022445</t>
  </si>
  <si>
    <t>R0017200022446</t>
  </si>
  <si>
    <t>Bº Los Profesionales Mza 507 Lote 13</t>
  </si>
  <si>
    <t>R0017200022447</t>
  </si>
  <si>
    <t>R0017200022448</t>
  </si>
  <si>
    <t>X16372</t>
  </si>
  <si>
    <t>QUINTANA JOSE RAMON</t>
  </si>
  <si>
    <t>Bº Intersindical Radio S.S de Jujuy 3002</t>
  </si>
  <si>
    <t>387-4640801</t>
  </si>
  <si>
    <t>R0017200022449</t>
  </si>
  <si>
    <t>PEREYRA AIDA (CAMBIO)</t>
  </si>
  <si>
    <t>SANTIAGO DEL STERO 2280 4A</t>
  </si>
  <si>
    <t>COWOOB140200</t>
  </si>
  <si>
    <t>Col. Sealy Est WoodsB 140x200</t>
  </si>
  <si>
    <t>387-5055641</t>
  </si>
  <si>
    <t>R0017200022450</t>
  </si>
  <si>
    <t>El Mollar II Mza 5B Lote 1</t>
  </si>
  <si>
    <t>R0017200022476</t>
  </si>
  <si>
    <t>X16382</t>
  </si>
  <si>
    <t>TURK PATRICIA</t>
  </si>
  <si>
    <t>Bº Univ. Católica Mza A Casa 4</t>
  </si>
  <si>
    <t>387-6856464</t>
  </si>
  <si>
    <t>R0017200022477</t>
  </si>
  <si>
    <t>X16389</t>
  </si>
  <si>
    <t>cristian sacarias x</t>
  </si>
  <si>
    <t>Nevado de Palermo 673</t>
  </si>
  <si>
    <t>Alm. Zlow Cool Memory 90</t>
  </si>
  <si>
    <t>387-2122988</t>
  </si>
  <si>
    <t>R0017200022478</t>
  </si>
  <si>
    <t>X16391</t>
  </si>
  <si>
    <t>CRUZ DARDO RAMON</t>
  </si>
  <si>
    <t>Bº Solidaridad Mza 417C Casa 1</t>
  </si>
  <si>
    <t>387-4153481</t>
  </si>
  <si>
    <t>R0017200022479</t>
  </si>
  <si>
    <t>R0017200022480</t>
  </si>
  <si>
    <t>X16393</t>
  </si>
  <si>
    <t>FLORES SILVANA</t>
  </si>
  <si>
    <t>Santa Ana III Mza K Casa 1</t>
  </si>
  <si>
    <t>387-4628769</t>
  </si>
  <si>
    <t>R0017200022481</t>
  </si>
  <si>
    <t>X16384</t>
  </si>
  <si>
    <t>NUÑEZ LAUTARO JOSE</t>
  </si>
  <si>
    <t>Urb. Sta Laura Mza 7, Lote 11, Dpto 1</t>
  </si>
  <si>
    <t>387-2158746</t>
  </si>
  <si>
    <t>R0017200022482</t>
  </si>
  <si>
    <t>X16390</t>
  </si>
  <si>
    <t>DE LA FUENTE ADRIANA TERESA</t>
  </si>
  <si>
    <t>España 1100</t>
  </si>
  <si>
    <t>387-4159069</t>
  </si>
  <si>
    <t>R0017200022483</t>
  </si>
  <si>
    <t>X16398</t>
  </si>
  <si>
    <t>ARREGUEZ PATRICIA</t>
  </si>
  <si>
    <t>Vª Lola Av. Pilcomayo s/nº</t>
  </si>
  <si>
    <t>387-5223493</t>
  </si>
  <si>
    <t>`¡</t>
  </si>
  <si>
    <t>R0017200022484</t>
  </si>
  <si>
    <t>X16399</t>
  </si>
  <si>
    <t>VIGARRA ALEJANDRA</t>
  </si>
  <si>
    <t>Bº San Silvestre Mza 143 Lote 1</t>
  </si>
  <si>
    <t>387-5183504</t>
  </si>
  <si>
    <t>R0017200022485</t>
  </si>
  <si>
    <t>X16401</t>
  </si>
  <si>
    <t>SULIC PABLO</t>
  </si>
  <si>
    <t>Mariano Moreno 220</t>
  </si>
  <si>
    <t>387-5216457</t>
  </si>
  <si>
    <t>R0017200022486</t>
  </si>
  <si>
    <t>R0017200022487</t>
  </si>
  <si>
    <t>X16402</t>
  </si>
  <si>
    <t>HOYOS ENRIQUE</t>
  </si>
  <si>
    <t>Bº Finca Valdivia Mza 619 Casa 9</t>
  </si>
  <si>
    <t>387-2176364</t>
  </si>
  <si>
    <t>R0017200022488</t>
  </si>
  <si>
    <t>X16406</t>
  </si>
  <si>
    <t>MELIAN CARLOS HUGO</t>
  </si>
  <si>
    <t>Pasaje Calchaqui 32</t>
  </si>
  <si>
    <t>387-4868315</t>
  </si>
  <si>
    <t>COSFJA140190</t>
  </si>
  <si>
    <t>Col. S&amp;F Jasper Brown 140x190</t>
  </si>
  <si>
    <t>R0017200022502</t>
  </si>
  <si>
    <t>b pereyra rozas mza 620 casa9</t>
  </si>
  <si>
    <t>387-6368563</t>
  </si>
  <si>
    <t>R0017200022503</t>
  </si>
  <si>
    <t>mariano moreno 220</t>
  </si>
  <si>
    <t>R0017200022504</t>
  </si>
  <si>
    <t>X16416</t>
  </si>
  <si>
    <t>PEREZ MARTIN</t>
  </si>
  <si>
    <t>Aniceto Latorre 768 2º piso Dpto A</t>
  </si>
  <si>
    <t>387-4024733</t>
  </si>
  <si>
    <t>R0017200022514</t>
  </si>
  <si>
    <t>R0017200022506</t>
  </si>
  <si>
    <t>X16410</t>
  </si>
  <si>
    <t>MAMANI ANAHI</t>
  </si>
  <si>
    <t>Pje Cnel Arias 2287</t>
  </si>
  <si>
    <t>387-4793854</t>
  </si>
  <si>
    <t>R0017200022507</t>
  </si>
  <si>
    <t>X16412</t>
  </si>
  <si>
    <t>MORUCHI MARIANO SEBASTIAN</t>
  </si>
  <si>
    <t>Bº Aire de Los Andes, Mza D, Lote 6</t>
  </si>
  <si>
    <t>387-6841975</t>
  </si>
  <si>
    <t>R0017200022508</t>
  </si>
  <si>
    <t>VC1117</t>
  </si>
  <si>
    <t>Brenda Nara Colque</t>
  </si>
  <si>
    <t>Radio Guaraní 2474</t>
  </si>
  <si>
    <t>387-5034588</t>
  </si>
  <si>
    <t>R0017200022509</t>
  </si>
  <si>
    <t>X16415</t>
  </si>
  <si>
    <t>DUCA ROBERTO</t>
  </si>
  <si>
    <t>Bº Juan Pablo II Sur Block 15 1º piso Dpto 8</t>
  </si>
  <si>
    <t>387-4876292</t>
  </si>
  <si>
    <t>R0017200022510</t>
  </si>
  <si>
    <t>R0017200022511</t>
  </si>
  <si>
    <t>X05473</t>
  </si>
  <si>
    <t>QUINTEROS PABLO DIEGO</t>
  </si>
  <si>
    <t>Eusebiio Mansill 449</t>
  </si>
  <si>
    <t>387-3553692</t>
  </si>
  <si>
    <t>R0017200022512</t>
  </si>
  <si>
    <t>R0017200022513</t>
  </si>
  <si>
    <t>Libertad 152</t>
  </si>
  <si>
    <t>387-4562411</t>
  </si>
  <si>
    <t>R0017200022519</t>
  </si>
  <si>
    <t>X16422</t>
  </si>
  <si>
    <t>ECHAZU HIGA MARIA LOURDES</t>
  </si>
  <si>
    <t>Bª Libertador Pasaje los patos 2319</t>
  </si>
  <si>
    <t>387-5168481</t>
  </si>
  <si>
    <t>R0017200022520</t>
  </si>
  <si>
    <t>X16423</t>
  </si>
  <si>
    <t>mercado rita</t>
  </si>
  <si>
    <t xml:space="preserve">Catamarca 1610 </t>
  </si>
  <si>
    <t>387-5766307</t>
  </si>
  <si>
    <t>R0017200022524</t>
  </si>
  <si>
    <t>Bª Las paltas manzana B casa 34 Chicoana</t>
  </si>
  <si>
    <t>387-4073497</t>
  </si>
  <si>
    <t>COMSPA090190</t>
  </si>
  <si>
    <t>Col. Meyer Sleep Plus 090x190</t>
  </si>
  <si>
    <t>R0017200022525</t>
  </si>
  <si>
    <t>X16425</t>
  </si>
  <si>
    <t>JURADO MARTA</t>
  </si>
  <si>
    <t xml:space="preserve">Bª Docente sur  Manzana 6 Casa 5 </t>
  </si>
  <si>
    <t>387-4562107</t>
  </si>
  <si>
    <t>R0017200022526</t>
  </si>
  <si>
    <t>WA3995</t>
  </si>
  <si>
    <t>SOL MAIRA BURGOS</t>
  </si>
  <si>
    <t>villa juanita costa rica 645</t>
  </si>
  <si>
    <t>387-5748083</t>
  </si>
  <si>
    <t>Remito n°: R0017200022526</t>
  </si>
  <si>
    <t>R0017200022540</t>
  </si>
  <si>
    <t>X10160</t>
  </si>
  <si>
    <t>ANDINA PERFORACIONES SRL</t>
  </si>
  <si>
    <t>Bº Pereyra Rozas Mza 606B Casa 18</t>
  </si>
  <si>
    <t>387-4023967</t>
  </si>
  <si>
    <t>R0017200022541</t>
  </si>
  <si>
    <t>R0017200022542</t>
  </si>
  <si>
    <t>X16419</t>
  </si>
  <si>
    <t>ROMERO FERNANDO FACUNDO</t>
  </si>
  <si>
    <t>Avda Constitución 355</t>
  </si>
  <si>
    <t>Col Telgo Dorado 100x190</t>
  </si>
  <si>
    <t>387-2279573</t>
  </si>
  <si>
    <t>R0017200022543</t>
  </si>
  <si>
    <t>X16440</t>
  </si>
  <si>
    <t>LEDESMA MARIA DEL SOCORRO</t>
  </si>
  <si>
    <t>Bº Mirasoles Mza 488 Casa 11</t>
  </si>
  <si>
    <t>Col Sealy Est WoodsB 100s190</t>
  </si>
  <si>
    <t>387-5543831</t>
  </si>
  <si>
    <t>R0017200022544</t>
  </si>
  <si>
    <t>X16441</t>
  </si>
  <si>
    <t>LOPEZ MARTINEZ ANTONIO</t>
  </si>
  <si>
    <t>Paseo del Sol 353</t>
  </si>
  <si>
    <t>R0017200022545</t>
  </si>
  <si>
    <t>X16430</t>
  </si>
  <si>
    <t>BUHLER MARIO</t>
  </si>
  <si>
    <t>Av Las Golondrinas Block B2 2º A</t>
  </si>
  <si>
    <t>Col. Mejer Dream 140x190</t>
  </si>
  <si>
    <t>387-2245107</t>
  </si>
  <si>
    <t>R0017200022546</t>
  </si>
  <si>
    <t>X16432</t>
  </si>
  <si>
    <t>CHAIRA SUSANA</t>
  </si>
  <si>
    <t>387-5279506</t>
  </si>
  <si>
    <t>R0017200022547</t>
  </si>
  <si>
    <t>España 425 6º E</t>
  </si>
  <si>
    <t>R0017200022550</t>
  </si>
  <si>
    <t>B PARQUE BELGRANO 4 ETAPA MZA 8 2</t>
  </si>
  <si>
    <t>R0017200022551</t>
  </si>
  <si>
    <t>X16433</t>
  </si>
  <si>
    <t>ARAYA GUADALUPE</t>
  </si>
  <si>
    <t>AV. 17 JUNIO 117</t>
  </si>
  <si>
    <t>352-4418060</t>
  </si>
  <si>
    <t>R0017200022552</t>
  </si>
  <si>
    <t>X16331</t>
  </si>
  <si>
    <t>GALVEZ JOSE FRANCISCO</t>
  </si>
  <si>
    <t>B ESTACION ALVARADO MZA 23 17</t>
  </si>
  <si>
    <t>387-4743857</t>
  </si>
  <si>
    <t>EN CONDICION DE PRESTAMO</t>
  </si>
  <si>
    <t>R0017200022553</t>
  </si>
  <si>
    <t>X06146</t>
  </si>
  <si>
    <t>ALSINA ARAOZ CARLOS DIEGO</t>
  </si>
  <si>
    <t>B INVERNADERO MZA 421 5</t>
  </si>
  <si>
    <t>387-4870048</t>
  </si>
  <si>
    <t>R0017200022567</t>
  </si>
  <si>
    <t>X16450</t>
  </si>
  <si>
    <t>VIVEROS NORMA</t>
  </si>
  <si>
    <t>Bº Santa Rita Mza 52A Casa 16</t>
  </si>
  <si>
    <t>11-28380318</t>
  </si>
  <si>
    <t>R0017200022568</t>
  </si>
  <si>
    <t>X16443</t>
  </si>
  <si>
    <t>TEN MABEL DEL MILAGRO</t>
  </si>
  <si>
    <t>Ruta Prov. 95. Calle Madre Selva 3</t>
  </si>
  <si>
    <t>387-4474494</t>
  </si>
  <si>
    <t>R0017200022569</t>
  </si>
  <si>
    <t>X16445</t>
  </si>
  <si>
    <t>TOCONAS CLAUDIA LILIANA</t>
  </si>
  <si>
    <t>Bº Solidaridad Mza 436C Lote 18</t>
  </si>
  <si>
    <t>387-5416015</t>
  </si>
  <si>
    <t>R0017200022570</t>
  </si>
  <si>
    <t>X16452</t>
  </si>
  <si>
    <t>LOPEZ GRACIELA</t>
  </si>
  <si>
    <t>Dean Funes 585</t>
  </si>
  <si>
    <t>387-5209212</t>
  </si>
  <si>
    <t>Remito n°: R0017200022570</t>
  </si>
  <si>
    <t>R0017200022585</t>
  </si>
  <si>
    <t>X16457</t>
  </si>
  <si>
    <t>BOTTONE LUCIANA</t>
  </si>
  <si>
    <t>JARDINES DE SAN LORENZO MZA 10 L12</t>
  </si>
  <si>
    <t>387-5831730</t>
  </si>
  <si>
    <t>R0017200022586</t>
  </si>
  <si>
    <t>X16462</t>
  </si>
  <si>
    <t>TEJERINA CARLA</t>
  </si>
  <si>
    <t>B LOS NOGALES MZA F1</t>
  </si>
  <si>
    <t>Camino a  Colon</t>
  </si>
  <si>
    <t>387-5350750</t>
  </si>
  <si>
    <t>R0017200022587</t>
  </si>
  <si>
    <t>WA4758</t>
  </si>
  <si>
    <t>Carolina Vidal</t>
  </si>
  <si>
    <t>PJE MANUEL CASTRO 265</t>
  </si>
  <si>
    <t>387-5202599</t>
  </si>
  <si>
    <t>R0017200022588</t>
  </si>
  <si>
    <t>WA4814</t>
  </si>
  <si>
    <t>GUILLERMO DAMIAN BONFANTE ML</t>
  </si>
  <si>
    <t>PEDERNERA 223</t>
  </si>
  <si>
    <t>11-56322650</t>
  </si>
  <si>
    <t>R0017200022589</t>
  </si>
  <si>
    <t>WA4819</t>
  </si>
  <si>
    <t>ANA SOLANO ML</t>
  </si>
  <si>
    <t>CANTORES DEL ALBA MZA 323 C20</t>
  </si>
  <si>
    <t>387-4023077</t>
  </si>
  <si>
    <t>R0017200022591</t>
  </si>
  <si>
    <t>X16463</t>
  </si>
  <si>
    <t>ROMERO MARIA SOLEDAD</t>
  </si>
  <si>
    <t>B BANCARIO LOS TEROS 4698</t>
  </si>
  <si>
    <t>387-4628163</t>
  </si>
  <si>
    <t>R0017200022592</t>
  </si>
  <si>
    <t>X16446</t>
  </si>
  <si>
    <t>ESPERANZA DEL PUCARA SOCIEDAD ANONIMA</t>
  </si>
  <si>
    <t>SAN LORENZO Y AV, COSTANERA 1212</t>
  </si>
  <si>
    <t>345-4347828</t>
  </si>
  <si>
    <t>R0017200022599</t>
  </si>
  <si>
    <t>X16438</t>
  </si>
  <si>
    <t>ENSINAS ELEONORA</t>
  </si>
  <si>
    <t>Riveras de Cafayate Mza C Lote 13</t>
  </si>
  <si>
    <t>COCCLA180200</t>
  </si>
  <si>
    <t>Col. Sealy Chill Cloud 180x200</t>
  </si>
  <si>
    <t>387-5760026</t>
  </si>
  <si>
    <t>R0017200022600</t>
  </si>
  <si>
    <t>X16468</t>
  </si>
  <si>
    <t>MARINA ADRIANA BEATRIZ</t>
  </si>
  <si>
    <t>Estancias de Cafayate Lote J Casa 24</t>
  </si>
  <si>
    <t>387-4856128</t>
  </si>
  <si>
    <t>R0017200022601</t>
  </si>
  <si>
    <t>X03275</t>
  </si>
  <si>
    <t>FERREYRA RAMON ALEJANDRO</t>
  </si>
  <si>
    <t>Bº Martinez Saravia Mza3 Casa 12</t>
  </si>
  <si>
    <t>Mosconi</t>
  </si>
  <si>
    <t>3873-335609</t>
  </si>
  <si>
    <t>R0017200022609</t>
  </si>
  <si>
    <t>X16464</t>
  </si>
  <si>
    <t>ANDRES MARIA DELIA</t>
  </si>
  <si>
    <t>B SAN VICENTE MZA 46 1</t>
  </si>
  <si>
    <t>387-4105359</t>
  </si>
  <si>
    <t>R0017200022610</t>
  </si>
  <si>
    <t>X16474</t>
  </si>
  <si>
    <t>GUAIMAS ROBERTO</t>
  </si>
  <si>
    <t>ATOCHA 3 MZA 112 B LOTE 6</t>
  </si>
  <si>
    <t>387-4416856</t>
  </si>
  <si>
    <t>R0017200022619</t>
  </si>
  <si>
    <t>X16480</t>
  </si>
  <si>
    <t>filomarino tania</t>
  </si>
  <si>
    <t>Buenos Aires 251 6º A</t>
  </si>
  <si>
    <t>387-6114770</t>
  </si>
  <si>
    <t>R0017200022620</t>
  </si>
  <si>
    <t>X16455</t>
  </si>
  <si>
    <t>AMENABAL JORGE</t>
  </si>
  <si>
    <t>Bolivar 850</t>
  </si>
  <si>
    <t>387-4654634</t>
  </si>
  <si>
    <t>Solo por la mañana</t>
  </si>
  <si>
    <t>R0017200022621</t>
  </si>
  <si>
    <t>X16481</t>
  </si>
  <si>
    <t>TAPIA CELESTE</t>
  </si>
  <si>
    <t>Bº Balaguer Mza F Casa 15</t>
  </si>
  <si>
    <t>387-5160543</t>
  </si>
  <si>
    <t>R0017200022628</t>
  </si>
  <si>
    <t>X16486</t>
  </si>
  <si>
    <t>SERRANO FLORENCIA</t>
  </si>
  <si>
    <t>20 de February 1277</t>
  </si>
  <si>
    <t>3888-546144</t>
  </si>
  <si>
    <t>R0017200022629</t>
  </si>
  <si>
    <t>VY5051</t>
  </si>
  <si>
    <t>Jesica soledad  Balderrama</t>
  </si>
  <si>
    <t>La Sanlorenceña 298</t>
  </si>
  <si>
    <t>387-5022074</t>
  </si>
  <si>
    <t>R0017200022630</t>
  </si>
  <si>
    <t>WA5155</t>
  </si>
  <si>
    <t>Maria Micaela  Rodriguez Burgos</t>
  </si>
  <si>
    <t>Bº Compl. Hab. Sur Mza E, Casa 24</t>
  </si>
  <si>
    <t>387-6322293</t>
  </si>
  <si>
    <t>R0017200022641</t>
  </si>
  <si>
    <t>X16491</t>
  </si>
  <si>
    <t>SANCHEZ CIRA LILIA</t>
  </si>
  <si>
    <t>Caseros 1580</t>
  </si>
  <si>
    <t>COWOOB150190</t>
  </si>
  <si>
    <t>Col. Sealy Est WoodsB 150x190</t>
  </si>
  <si>
    <t>387-5191580</t>
  </si>
  <si>
    <t>R0017200022654</t>
  </si>
  <si>
    <t>X16487</t>
  </si>
  <si>
    <t>RODRIGUEZ MONICA</t>
  </si>
  <si>
    <t>VILLA LOS SAUCE PJE GARCIA LORCA 427</t>
  </si>
  <si>
    <t>R0017200022655</t>
  </si>
  <si>
    <t>X15740</t>
  </si>
  <si>
    <t>GOMEZ ROSANA MARIEL</t>
  </si>
  <si>
    <t>JUNIN 67</t>
  </si>
  <si>
    <t>R0017200022656</t>
  </si>
  <si>
    <t>X16497</t>
  </si>
  <si>
    <t>CRUZ JOSE ANTONIO</t>
  </si>
  <si>
    <t>B 14 DE MAYO MZA 265C CASA14</t>
  </si>
  <si>
    <t>R0017200022657</t>
  </si>
  <si>
    <t>CARRION IVANA (CAMBIO)</t>
  </si>
  <si>
    <t>SOGGREY080200</t>
  </si>
  <si>
    <t>Som. Generico Grey 080x200</t>
  </si>
  <si>
    <t>R0017200022653</t>
  </si>
  <si>
    <t>COWOODB160200</t>
  </si>
  <si>
    <t>COL. SEALY WOODSB 160X200</t>
  </si>
  <si>
    <t>RETIRO DE PRESTAMO</t>
  </si>
  <si>
    <t>R0017200022665</t>
  </si>
  <si>
    <t>X16501</t>
  </si>
  <si>
    <t>CORDERO ANAHI</t>
  </si>
  <si>
    <t>los carolinos 100</t>
  </si>
  <si>
    <t>R0017200022666</t>
  </si>
  <si>
    <t xml:space="preserve">la lucinda lote 39 </t>
  </si>
  <si>
    <t>R0017200022667</t>
  </si>
  <si>
    <t>R0017200022668</t>
  </si>
  <si>
    <t>av. guemes esquina irigoyen</t>
  </si>
  <si>
    <t>morillo</t>
  </si>
  <si>
    <t>R0017200022669</t>
  </si>
  <si>
    <t>miguel ortiz 587</t>
  </si>
  <si>
    <t>R0017200022673</t>
  </si>
  <si>
    <t>X16500</t>
  </si>
  <si>
    <t>LAXI MARCELO</t>
  </si>
  <si>
    <t>los alcores 22</t>
  </si>
  <si>
    <t>R0017200022674</t>
  </si>
  <si>
    <t>X10787</t>
  </si>
  <si>
    <t>ALMARAS MARIA ROSA</t>
  </si>
  <si>
    <t>los laures 58</t>
  </si>
  <si>
    <t>R0017200022677</t>
  </si>
  <si>
    <t>R0017200022692</t>
  </si>
  <si>
    <t>X16509</t>
  </si>
  <si>
    <t>GONZALEZ BRACERO MACARENA</t>
  </si>
  <si>
    <t>derecho viejo 433</t>
  </si>
  <si>
    <t>R0017200022694</t>
  </si>
  <si>
    <t>X16511</t>
  </si>
  <si>
    <t>VIDELA JOAQUIN</t>
  </si>
  <si>
    <t>arturo davalos 95</t>
  </si>
  <si>
    <t>R0017200022695</t>
  </si>
  <si>
    <t>X16512</t>
  </si>
  <si>
    <t>BORJA ROSA LILIANA</t>
  </si>
  <si>
    <t>b santa ana 1 pje 23 1763</t>
  </si>
  <si>
    <t>salat</t>
  </si>
  <si>
    <t>X07552</t>
  </si>
  <si>
    <t>GT BIENES RAICES S.A</t>
  </si>
  <si>
    <t>AVDA SAVIO 1025</t>
  </si>
  <si>
    <t>la caldera</t>
  </si>
  <si>
    <t>R0017200022709</t>
  </si>
  <si>
    <t>CO.TELGO VIDA 140X190</t>
  </si>
  <si>
    <t>COL.TELGO VIDA 080X190</t>
  </si>
  <si>
    <t>R0017200022710</t>
  </si>
  <si>
    <t>X16518</t>
  </si>
  <si>
    <t>CARRIZO NORMA</t>
  </si>
  <si>
    <t>AV PARAGUAY</t>
  </si>
  <si>
    <t>COL.SEALY LINEN 090X190</t>
  </si>
  <si>
    <t>SOM.UNIVERSAL GREY 090X190E</t>
  </si>
  <si>
    <t>R0017200022711</t>
  </si>
  <si>
    <t>X16519</t>
  </si>
  <si>
    <t>PEREZ RUIZ ANGEL</t>
  </si>
  <si>
    <t>ALBERT EINSTEN 95</t>
  </si>
  <si>
    <t>COL.TELGO VIDA140X190</t>
  </si>
  <si>
    <t>SOM.ALL WHITE 140X190</t>
  </si>
  <si>
    <t>R0017200022723</t>
  </si>
  <si>
    <t>X16339</t>
  </si>
  <si>
    <t>SALVADORES SALOME</t>
  </si>
  <si>
    <t>tucuman 155</t>
  </si>
  <si>
    <t>las lajitas</t>
  </si>
  <si>
    <t>R0017200022724</t>
  </si>
  <si>
    <t>R0017200022725</t>
  </si>
  <si>
    <t>R0017200022726</t>
  </si>
  <si>
    <t>X16527</t>
  </si>
  <si>
    <t>VILTE MARCELO ANTONIO</t>
  </si>
  <si>
    <t>R0017200022727</t>
  </si>
  <si>
    <t>X16528</t>
  </si>
  <si>
    <t>ARANCIBIA ADRIANA</t>
  </si>
  <si>
    <t>R0017200022731</t>
  </si>
  <si>
    <t>X16530</t>
  </si>
  <si>
    <t>MACCARINI ADRIAN</t>
  </si>
  <si>
    <t>Ampliacio San Carlos 22</t>
  </si>
  <si>
    <t xml:space="preserve">salta </t>
  </si>
  <si>
    <t>387-2108991</t>
  </si>
  <si>
    <t>R0017200022739</t>
  </si>
  <si>
    <t>X16514</t>
  </si>
  <si>
    <t>CEJAS MARTA DEL VALLE</t>
  </si>
  <si>
    <t xml:space="preserve">B JUAN PABLO 2 BLOCK 56 </t>
  </si>
  <si>
    <t>R0017200022740</t>
  </si>
  <si>
    <t>X16499</t>
  </si>
  <si>
    <t>GUSTAVO VASVARI</t>
  </si>
  <si>
    <t>B UNIVERSIDAD CATOLICA MZA 541 CAS 11</t>
  </si>
  <si>
    <t>R0017200022741</t>
  </si>
  <si>
    <t>X16532</t>
  </si>
  <si>
    <t>RAMOS OSCAR ARMANDO</t>
  </si>
  <si>
    <t>PEREYRA ROSAS MZA 663 CASA 5</t>
  </si>
  <si>
    <t>Alm. Zlow ViscoelásticCervical</t>
  </si>
  <si>
    <t>R0017200022742</t>
  </si>
  <si>
    <t>R001720022750</t>
  </si>
  <si>
    <t>X16534</t>
  </si>
  <si>
    <t>TOLEDO ANABEL</t>
  </si>
  <si>
    <t>R001720022751</t>
  </si>
  <si>
    <t>X11054</t>
  </si>
  <si>
    <t>SINGH RENE JOSE LUIS</t>
  </si>
  <si>
    <t>SANTA RITA 2 MZA 7 19</t>
  </si>
  <si>
    <t>CERILLOS</t>
  </si>
  <si>
    <t>COSFRA180200</t>
  </si>
  <si>
    <t>Col. S&amp;F RockwellBrown 180x200</t>
  </si>
  <si>
    <t>R001720022752</t>
  </si>
  <si>
    <t>VQ4027</t>
  </si>
  <si>
    <t>ALEJANDRA BEATRIZ COSTILLA ML</t>
  </si>
  <si>
    <t>PJE GORRITI 191</t>
  </si>
  <si>
    <t>EL QUEBRACHAL</t>
  </si>
  <si>
    <t>R001720022764</t>
  </si>
  <si>
    <t>X16538</t>
  </si>
  <si>
    <t>palomo manuela</t>
  </si>
  <si>
    <t>MARIANO BOEDO 45</t>
  </si>
  <si>
    <t>R001720022765</t>
  </si>
  <si>
    <t>X13955</t>
  </si>
  <si>
    <t>NUESCH ANA CAROLINA</t>
  </si>
  <si>
    <t>MZA 481 D DUPLEX 10</t>
  </si>
  <si>
    <t>R001720022766</t>
  </si>
  <si>
    <t>X16541</t>
  </si>
  <si>
    <t>JANDULA FERNANDO JOSE</t>
  </si>
  <si>
    <t>MZA 528 A CASA 17</t>
  </si>
  <si>
    <t>R001720022767</t>
  </si>
  <si>
    <t>WA6346</t>
  </si>
  <si>
    <t>Jorge Nicolas Maldonado</t>
  </si>
  <si>
    <t>PUEYRREDON 1054</t>
  </si>
  <si>
    <t>R001720022768</t>
  </si>
  <si>
    <t>WA6369</t>
  </si>
  <si>
    <t>Andrea Pérez</t>
  </si>
  <si>
    <t>B PEREYRA ROSAS MZA 608 CASA 8</t>
  </si>
  <si>
    <t>COFIEB090190</t>
  </si>
  <si>
    <t>Col. Sealy Essent Field 090x190</t>
  </si>
  <si>
    <t>R0017200022772</t>
  </si>
  <si>
    <t>X16546</t>
  </si>
  <si>
    <t>SANCHEZ ADRIANA ELVIRA</t>
  </si>
  <si>
    <t>b san carlos mza 21 3</t>
  </si>
  <si>
    <t>R0017200022775</t>
  </si>
  <si>
    <t>X16549</t>
  </si>
  <si>
    <t>CARI ENRIQUE NESTOR</t>
  </si>
  <si>
    <t xml:space="preserve">APOLINARIO SARAVIA </t>
  </si>
  <si>
    <t xml:space="preserve">GUACHIPAS </t>
  </si>
  <si>
    <t>R0017200022785</t>
  </si>
  <si>
    <t>X16555</t>
  </si>
  <si>
    <t>DOUGLAS AYRTON EMANUEL</t>
  </si>
  <si>
    <t>IRIARTE 825 3</t>
  </si>
  <si>
    <t>R0017200022787</t>
  </si>
  <si>
    <t>X16504</t>
  </si>
  <si>
    <t>LUNA JAIME SEBASRIAN</t>
  </si>
  <si>
    <t>B SANTA ANA CALLE 5 CASA 3</t>
  </si>
  <si>
    <t>R0017200022788</t>
  </si>
  <si>
    <t>R0017200022789</t>
  </si>
  <si>
    <t>LOS LAPACHOS MZA 476 CASA5</t>
  </si>
  <si>
    <t>R0017200022790</t>
  </si>
  <si>
    <t xml:space="preserve">MANUEL ORTIZ 587 </t>
  </si>
  <si>
    <t>R0017200022791</t>
  </si>
  <si>
    <t>X16545</t>
  </si>
  <si>
    <t>LOPEZ LUCIANA ELIZABETH</t>
  </si>
  <si>
    <t>ALVARADO 1705</t>
  </si>
  <si>
    <t>R0017200022792</t>
  </si>
  <si>
    <t>X16556</t>
  </si>
  <si>
    <t>GALVAN JUANA</t>
  </si>
  <si>
    <t>NUEVO DIARIO DE CATAMARCA 2450</t>
  </si>
  <si>
    <t>R0017200022799</t>
  </si>
  <si>
    <t>X16559</t>
  </si>
  <si>
    <t>virginia salado</t>
  </si>
  <si>
    <t>MANZANA 17 CASA 14 bº ESTACION ALVARADO</t>
  </si>
  <si>
    <t>387-6042553</t>
  </si>
  <si>
    <t>R0017200022800</t>
  </si>
  <si>
    <t>X16561</t>
  </si>
  <si>
    <t>GERONIMO RAUL SERGIO</t>
  </si>
  <si>
    <t>COSTANERA 2640</t>
  </si>
  <si>
    <t>R0017200022801</t>
  </si>
  <si>
    <t>R0017200022802</t>
  </si>
  <si>
    <t>X16560</t>
  </si>
  <si>
    <t>BARNETCHE MARIA DEL PILAR</t>
  </si>
  <si>
    <t xml:space="preserve">ESPAÑA 1851 4 D </t>
  </si>
  <si>
    <t>R0017200022803</t>
  </si>
  <si>
    <t>X16563</t>
  </si>
  <si>
    <t>TAPIA EDGAR LEONEL</t>
  </si>
  <si>
    <t>COMPLEJO ARENALES TORR G 206 3</t>
  </si>
  <si>
    <t>R0017200022805</t>
  </si>
  <si>
    <t>X16565</t>
  </si>
  <si>
    <t>SECAFF SILVIA DE LOS ANGELES</t>
  </si>
  <si>
    <t>AV AUTODROMO 647</t>
  </si>
  <si>
    <t>X16567</t>
  </si>
  <si>
    <t>ANA MARIA CABA MENDEZ</t>
  </si>
  <si>
    <t>R0017200022810</t>
  </si>
  <si>
    <t>X01861</t>
  </si>
  <si>
    <t xml:space="preserve">DIOLI HECTOR FERNANDO </t>
  </si>
  <si>
    <t>B EL MAJON  LOS CARDENALES 22</t>
  </si>
  <si>
    <t>JGO SABANA AZUL</t>
  </si>
  <si>
    <t>R0017200022811</t>
  </si>
  <si>
    <t>R0017200022812</t>
  </si>
  <si>
    <t>X16569</t>
  </si>
  <si>
    <t>alba liliana acosta</t>
  </si>
  <si>
    <t>av 16 setiembre 222</t>
  </si>
  <si>
    <t>R0017200022813</t>
  </si>
  <si>
    <t>X16564</t>
  </si>
  <si>
    <t>CASTILLO ANDREA</t>
  </si>
  <si>
    <t xml:space="preserve">LUIS D"ANDREA 160 </t>
  </si>
  <si>
    <t xml:space="preserve">EL CARRIL </t>
  </si>
  <si>
    <t>R0017200022814</t>
  </si>
  <si>
    <t>X16570</t>
  </si>
  <si>
    <t>TOLABA SILVIA GRACIELA</t>
  </si>
  <si>
    <t>LOS LAPACHOS MZA 470 F17</t>
  </si>
  <si>
    <t>R0017200022820</t>
  </si>
  <si>
    <t xml:space="preserve">CERRILLOS </t>
  </si>
  <si>
    <t>R0017200022819</t>
  </si>
  <si>
    <t>R0017200022817</t>
  </si>
  <si>
    <t>X16571</t>
  </si>
  <si>
    <t>CIBILS CARLOS ADGARDO</t>
  </si>
  <si>
    <t>B LOS ROBLES MZA W CASA 6</t>
  </si>
  <si>
    <t xml:space="preserve">LA SILLETA </t>
  </si>
  <si>
    <t>R0017200022821</t>
  </si>
  <si>
    <t>SAN MILLAN GUSTAVO FRANCISCO</t>
  </si>
  <si>
    <t>JUAN PABLO 2 BLOK 33 DPTO 12</t>
  </si>
  <si>
    <t>R0017200022822</t>
  </si>
  <si>
    <t>OJEDA CINTIA</t>
  </si>
  <si>
    <t>20 DE February 1269</t>
  </si>
  <si>
    <t>OJEDA CINTA</t>
  </si>
  <si>
    <t>Alm. Zlow ViscoelasticCervical</t>
  </si>
  <si>
    <t>R0017200022825</t>
  </si>
  <si>
    <t>X16575</t>
  </si>
  <si>
    <t>CABRERA SANDRA GRACIELA</t>
  </si>
  <si>
    <t>b limache et 13 casa 16</t>
  </si>
  <si>
    <t>R0017200022826</t>
  </si>
  <si>
    <t>X14634</t>
  </si>
  <si>
    <t>VIGLIZZO SILVANA</t>
  </si>
  <si>
    <t>b villa esperanza pascual chuchuy 728</t>
  </si>
  <si>
    <t>R0017200022827</t>
  </si>
  <si>
    <t>R0017200022828</t>
  </si>
  <si>
    <t>X16572</t>
  </si>
  <si>
    <t>GUZMAN MARIA</t>
  </si>
  <si>
    <t>bolivar 386</t>
  </si>
  <si>
    <t>R0017200022833</t>
  </si>
  <si>
    <t>X16510</t>
  </si>
  <si>
    <t>UNION OBREROS Y EMPLEADOS</t>
  </si>
  <si>
    <t>PEREYRA ROSAS MZA 636 CASA 9</t>
  </si>
  <si>
    <t>R0017200022834</t>
  </si>
  <si>
    <t>X16574</t>
  </si>
  <si>
    <t>MEDINA TERESITA</t>
  </si>
  <si>
    <t>CEIBO DEL VALLE MANZANA 5  8</t>
  </si>
  <si>
    <t>R0017200022835</t>
  </si>
  <si>
    <t>X03833</t>
  </si>
  <si>
    <t>CHAMORRO SONIA VIVIANA VT</t>
  </si>
  <si>
    <t>LOMAS DE MEDEIRO</t>
  </si>
  <si>
    <t>387-6055111</t>
  </si>
  <si>
    <t>R0017200022836</t>
  </si>
  <si>
    <t>X16579</t>
  </si>
  <si>
    <t>SUBELZA ROSALIA</t>
  </si>
  <si>
    <t xml:space="preserve">Santa Rita mza,13 casa 5 </t>
  </si>
  <si>
    <t>R0017200022842</t>
  </si>
  <si>
    <t>X16578</t>
  </si>
  <si>
    <t>UÑATES LORENA</t>
  </si>
  <si>
    <t>uCASAL MZA B 16</t>
  </si>
  <si>
    <t>COSPTB090190</t>
  </si>
  <si>
    <t>Col. Sealy Perf SpiritN090x190</t>
  </si>
  <si>
    <t>R0017200022843</t>
  </si>
  <si>
    <t>X16580</t>
  </si>
  <si>
    <t>marisel nolasco</t>
  </si>
  <si>
    <t xml:space="preserve">julio epinoza </t>
  </si>
  <si>
    <t>cp quijano</t>
  </si>
  <si>
    <t>R0017200022846</t>
  </si>
  <si>
    <t xml:space="preserve">NEVADO DE LLULLALLACO </t>
  </si>
  <si>
    <t>COSFHA180200</t>
  </si>
  <si>
    <t>Col. S&amp;F Harmony Brown 180x200</t>
  </si>
  <si>
    <t>R0017200022850</t>
  </si>
  <si>
    <t>X08238</t>
  </si>
  <si>
    <t>ALEJANDRO DORADO</t>
  </si>
  <si>
    <t>VICENTE LOPEZ 1398 6 E</t>
  </si>
  <si>
    <t>R0017200022851</t>
  </si>
  <si>
    <t>X16585</t>
  </si>
  <si>
    <t>FLORES NOELIA</t>
  </si>
  <si>
    <t>ANGASTACO 951</t>
  </si>
  <si>
    <t>R0017200022856</t>
  </si>
  <si>
    <t>X16586</t>
  </si>
  <si>
    <t>CHILO DIAZ ANA MABEL</t>
  </si>
  <si>
    <t>SABALA 464</t>
  </si>
  <si>
    <t>R0017200022858</t>
  </si>
  <si>
    <t>X16588</t>
  </si>
  <si>
    <t>CONDORI ESPINOZA ANA LAURA</t>
  </si>
  <si>
    <t>b la paz mza 396 a lote 17</t>
  </si>
  <si>
    <t>RELIGO100070</t>
  </si>
  <si>
    <t>Resp. Andros Liso 100x070</t>
  </si>
  <si>
    <t xml:space="preserve">B ° Congreso </t>
  </si>
  <si>
    <t>Promo P.Clasica Polipropileno</t>
  </si>
  <si>
    <t>27/102025</t>
  </si>
  <si>
    <t>B° Congreso</t>
  </si>
  <si>
    <t>SOUMBA080200E</t>
  </si>
  <si>
    <t>X05919</t>
  </si>
  <si>
    <t>PEREZ ABUD DANIELA IVANA</t>
  </si>
  <si>
    <t>Bª LAS  LEÑAS 2 MZA 120 A  LOTE 11</t>
  </si>
  <si>
    <t>R0017200022875</t>
  </si>
  <si>
    <t>WA7038</t>
  </si>
  <si>
    <t>Lilian Estefanía Cabana</t>
  </si>
  <si>
    <t xml:space="preserve">nevado de cachi 881 </t>
  </si>
  <si>
    <t>R0017200022876</t>
  </si>
  <si>
    <t>X16596</t>
  </si>
  <si>
    <t>ECHEÑIQUE VICTORIO</t>
  </si>
  <si>
    <t>MZA D LOTE 25</t>
  </si>
  <si>
    <t>R0017200022877</t>
  </si>
  <si>
    <t>X16594</t>
  </si>
  <si>
    <t>GONZALEZ HECTOR DANIEL</t>
  </si>
  <si>
    <t>FRANCISCO ARIAS 823</t>
  </si>
  <si>
    <t>R0017200022882</t>
  </si>
  <si>
    <t>X16597</t>
  </si>
  <si>
    <t>MENDOZA ALBA</t>
  </si>
  <si>
    <t xml:space="preserve">PASAJE ARAPA CHOQUE 350 </t>
  </si>
  <si>
    <t>R0017200022883</t>
  </si>
  <si>
    <t>X16599</t>
  </si>
  <si>
    <t>SINGH ALFREDO GUSTAVO</t>
  </si>
  <si>
    <t xml:space="preserve">DEAN FUNES 781 3 C </t>
  </si>
  <si>
    <t>R0017200022895</t>
  </si>
  <si>
    <t>X05770</t>
  </si>
  <si>
    <t>ALANIZ JUAN</t>
  </si>
  <si>
    <t>B SAN CARLOS MZA 8 11</t>
  </si>
  <si>
    <t>R0017200022896</t>
  </si>
  <si>
    <t>X16600</t>
  </si>
  <si>
    <t>vilca maria fernanda</t>
  </si>
  <si>
    <t>ESTEBAN ECHEVERRIA 599</t>
  </si>
  <si>
    <t>R0017200022900</t>
  </si>
  <si>
    <t>X16601</t>
  </si>
  <si>
    <t>PABLO BELTRAN</t>
  </si>
  <si>
    <t xml:space="preserve">MANZANA H CASA 6 Bª SAN LUIS </t>
  </si>
  <si>
    <t>R0017200022903</t>
  </si>
  <si>
    <t>X16603</t>
  </si>
  <si>
    <t>SEGURA MAGNO CRISTIAN</t>
  </si>
  <si>
    <t>BARRIO COPOSAL MANZANA 384  CASA 19</t>
  </si>
  <si>
    <t>R0017200022921</t>
  </si>
  <si>
    <t>X16616</t>
  </si>
  <si>
    <t>FIGUEROA MARCELO MAURICIO</t>
  </si>
  <si>
    <t>MAR BLANCO 222</t>
  </si>
  <si>
    <t>R0017200022922</t>
  </si>
  <si>
    <t>X16613</t>
  </si>
  <si>
    <t>CENTENO ROQUE RICARDO</t>
  </si>
  <si>
    <t>B CIUDAD DEL MILAGRO HERMES 389</t>
  </si>
  <si>
    <t>R0017200022923</t>
  </si>
  <si>
    <t>X16612</t>
  </si>
  <si>
    <t>VILLAGRAN JULIO</t>
  </si>
  <si>
    <t>B CIUDAD DEL MILAGRO PJE CORONEL ESPEJO</t>
  </si>
  <si>
    <t>R0017200022936</t>
  </si>
  <si>
    <t>X16626</t>
  </si>
  <si>
    <t>CHOCOBAR MIRIAN</t>
  </si>
  <si>
    <t>PASAJE JOSE MANUEL VACA 556</t>
  </si>
  <si>
    <t>R0017200022937</t>
  </si>
  <si>
    <t>X16630</t>
  </si>
  <si>
    <t>pacheco rosa</t>
  </si>
  <si>
    <t>MITRE 2220</t>
  </si>
  <si>
    <t>R0017200022939</t>
  </si>
  <si>
    <t>X16623</t>
  </si>
  <si>
    <t>AVILA MIRNA GRACIELA</t>
  </si>
  <si>
    <t>AV ESTECO 147</t>
  </si>
  <si>
    <t>R0017200022941</t>
  </si>
  <si>
    <t>X16625</t>
  </si>
  <si>
    <t>FORTUNATO SANDRA ELIZABETH</t>
  </si>
  <si>
    <t>DIONICIO RAMOS 1475</t>
  </si>
  <si>
    <t>R0017200022944</t>
  </si>
  <si>
    <t>X16634</t>
  </si>
  <si>
    <t>NUÑEZ JULIETA MARIEL</t>
  </si>
  <si>
    <t>BARRIO MONO AMBIENTE HUAICO BLOCK 50 PB 1</t>
  </si>
  <si>
    <t>R0017200022946</t>
  </si>
  <si>
    <t>05/112025</t>
  </si>
  <si>
    <t>X16632</t>
  </si>
  <si>
    <t>LIQUITAY SILVIA</t>
  </si>
  <si>
    <t>LOS HORNEROS 4445</t>
  </si>
  <si>
    <t>R0017200022947</t>
  </si>
  <si>
    <t>X16608</t>
  </si>
  <si>
    <t>PALMUCCI SARA</t>
  </si>
  <si>
    <t>B SANTA ANA 1 CALLE 5 CASA 1626</t>
  </si>
  <si>
    <t>R0017200022948</t>
  </si>
  <si>
    <t>X16628</t>
  </si>
  <si>
    <t>RAMIREZ ROMINA FERNANDA</t>
  </si>
  <si>
    <t>MARIANO MORENO 167</t>
  </si>
  <si>
    <t>R0017200022949</t>
  </si>
  <si>
    <t>BRCAMBAJN100200</t>
  </si>
  <si>
    <t>Cama Baul Extra Space BR 100x200</t>
  </si>
  <si>
    <t>X16631</t>
  </si>
  <si>
    <t>TOLEDO MARIA ANTONIA</t>
  </si>
  <si>
    <t>B NORTE GRANDE MZA 200G</t>
  </si>
  <si>
    <t>R0017200022958</t>
  </si>
  <si>
    <t>X16640</t>
  </si>
  <si>
    <t>gallardo romina</t>
  </si>
  <si>
    <t>LOS 3 ZORRITOS ESQ CACHI</t>
  </si>
  <si>
    <t>SAN LUIS (SALTA)</t>
  </si>
  <si>
    <t>R0017200022960</t>
  </si>
  <si>
    <t>X16620</t>
  </si>
  <si>
    <t>PEREYRA EDUARDO</t>
  </si>
  <si>
    <t xml:space="preserve">FINCA EL CHURCAL </t>
  </si>
  <si>
    <t>X16636</t>
  </si>
  <si>
    <t>SARMIENTO ERIC LUCIANO</t>
  </si>
  <si>
    <t>LITORAL DE SANTA FE 22333</t>
  </si>
  <si>
    <t>LOS ALAMOS CERRILLOS</t>
  </si>
  <si>
    <t>CO.DREAM PLUS 160X200</t>
  </si>
  <si>
    <t>SOUMBA080160</t>
  </si>
  <si>
    <t>BASE SOUMBA080X200</t>
  </si>
  <si>
    <t>R0017200022974</t>
  </si>
  <si>
    <t>JM CHAVEZ 125</t>
  </si>
  <si>
    <t>R0017200022976</t>
  </si>
  <si>
    <t>X16643</t>
  </si>
  <si>
    <t>SARACHO LUCIANO</t>
  </si>
  <si>
    <t>b san jorge los ceibos 2</t>
  </si>
  <si>
    <t xml:space="preserve">el carril </t>
  </si>
  <si>
    <t>PROIMP200X200</t>
  </si>
  <si>
    <t>Protector Impermeable 200x200</t>
  </si>
  <si>
    <t>R0017200022984</t>
  </si>
  <si>
    <t>X16651</t>
  </si>
  <si>
    <t>QUIROGA JUAN</t>
  </si>
  <si>
    <t>B LOS MOLLES MZA 5310 CASA 9</t>
  </si>
  <si>
    <t>R0017200022987</t>
  </si>
  <si>
    <t>X16652</t>
  </si>
  <si>
    <t>MONTAÑO SEBASTIAN</t>
  </si>
  <si>
    <t>RUTA 24 COLON RETOÑOS DE COLON MZA Ñ LOTE 3</t>
  </si>
  <si>
    <t xml:space="preserve">COLON </t>
  </si>
  <si>
    <t>R0017200022992</t>
  </si>
  <si>
    <t>X16655</t>
  </si>
  <si>
    <t>AGUILERA MARINA GABRIELA</t>
  </si>
  <si>
    <t>RIO NEGRO 3097</t>
  </si>
  <si>
    <t>COCCLA090190</t>
  </si>
  <si>
    <t>Col. Sealy Chill Cloud 090x190</t>
  </si>
  <si>
    <t>R0017200022991</t>
  </si>
  <si>
    <t>R0017200022994</t>
  </si>
  <si>
    <t>X02862</t>
  </si>
  <si>
    <t>CASIMIRO ANGEL EXEQUIEL</t>
  </si>
  <si>
    <t>PJA ABEL RUIZ 24</t>
  </si>
  <si>
    <t>R0017200022007</t>
  </si>
  <si>
    <t>WB0246</t>
  </si>
  <si>
    <t>Guadalupe Macarena Rios</t>
  </si>
  <si>
    <t>RIGANTI 357</t>
  </si>
  <si>
    <t>R0017200023010</t>
  </si>
  <si>
    <t>MINERVA 290</t>
  </si>
  <si>
    <t>R0017200023011</t>
  </si>
  <si>
    <t>X16650</t>
  </si>
  <si>
    <t>SACAL CAMPOS ADOLFO</t>
  </si>
  <si>
    <t>PUERREDON 844 F3</t>
  </si>
  <si>
    <t>R0017200023012</t>
  </si>
  <si>
    <t>R0017200023013</t>
  </si>
  <si>
    <t>X16658</t>
  </si>
  <si>
    <t>BARBITO CLAUDIO CESAR</t>
  </si>
  <si>
    <t>ASTURIA 26</t>
  </si>
  <si>
    <t>R0017200023014</t>
  </si>
  <si>
    <t>X16659</t>
  </si>
  <si>
    <t>GONZALEZ QUINTEROS GABRIELA</t>
  </si>
  <si>
    <t>PUEYRREDON 956</t>
  </si>
  <si>
    <t>R0017200023019</t>
  </si>
  <si>
    <t>R0017200023015</t>
  </si>
  <si>
    <t>X16662</t>
  </si>
  <si>
    <t>TOVI LEONARDO GABRIEL</t>
  </si>
  <si>
    <t>BELGRANO 1185 8  PISO</t>
  </si>
  <si>
    <t>R0017200023016</t>
  </si>
  <si>
    <t>Col. S&amp;FPrestigeNetBr(N)180x200</t>
  </si>
  <si>
    <t>R0017200023017</t>
  </si>
  <si>
    <t>X13697</t>
  </si>
  <si>
    <t>DIAZ MIRTA</t>
  </si>
  <si>
    <t>JUAN DOMINGO PERON 609</t>
  </si>
  <si>
    <t>R0017200023018</t>
  </si>
  <si>
    <t>X14852</t>
  </si>
  <si>
    <t>JUAREZ LEONARDO</t>
  </si>
  <si>
    <t xml:space="preserve">BARRIO SOLIDARIDAD MANZANA 400A  CASA1 </t>
  </si>
  <si>
    <t>R00172000230028</t>
  </si>
  <si>
    <t>ALFONSO MONICA SUSANA</t>
  </si>
  <si>
    <t>BELGRANO 940</t>
  </si>
  <si>
    <t>COCMEA16200</t>
  </si>
  <si>
    <t>R00172000230029</t>
  </si>
  <si>
    <t>CAMABAJN160200</t>
  </si>
  <si>
    <t>CAMA BAUL</t>
  </si>
  <si>
    <t>R00172000230030</t>
  </si>
  <si>
    <t>RUSSO ANDREA</t>
  </si>
  <si>
    <t>B CIUDAD VALDIVIA MZA 752A CASA14</t>
  </si>
  <si>
    <t>R0017200023031</t>
  </si>
  <si>
    <t>BEJARANO FLORENCIA</t>
  </si>
  <si>
    <t>OBISPO VICTORIA 2107</t>
  </si>
  <si>
    <t xml:space="preserve">SALTA </t>
  </si>
  <si>
    <t>ESMERALDA 140</t>
  </si>
  <si>
    <t>SABANA FULL BLANCA</t>
  </si>
  <si>
    <t>R0017200023032</t>
  </si>
  <si>
    <t>CAMACHO ANDREA</t>
  </si>
  <si>
    <t>JARDINES DE SAN LORENZO MZA 15 6</t>
  </si>
  <si>
    <t>LUX EXTRA SOFT 90X50</t>
  </si>
  <si>
    <t>R0017200023033</t>
  </si>
  <si>
    <t>SF 100X200</t>
  </si>
  <si>
    <t>HARMONY BROWN 2X2</t>
  </si>
  <si>
    <t>R0017200023043</t>
  </si>
  <si>
    <t>Adrian Sinanes</t>
  </si>
  <si>
    <t>AV RICARDO BALVIN 1374</t>
  </si>
  <si>
    <t>R0017200023044</t>
  </si>
  <si>
    <t>X16434</t>
  </si>
  <si>
    <t>LOGISTUR S.A.S</t>
  </si>
  <si>
    <t>AV BELGRANO 1731</t>
  </si>
  <si>
    <t>R0017200023045</t>
  </si>
  <si>
    <t>R0017200023046</t>
  </si>
  <si>
    <t>X06759</t>
  </si>
  <si>
    <t>DAY BLANCA STELLA</t>
  </si>
  <si>
    <t xml:space="preserve">AV ING MARIO BANCHIK </t>
  </si>
  <si>
    <t>LA MERCED CHICA</t>
  </si>
  <si>
    <t>R0017200023048</t>
  </si>
  <si>
    <t>X12108</t>
  </si>
  <si>
    <t>ROMERO SILVIA TERESA</t>
  </si>
  <si>
    <t xml:space="preserve">CERRO CRESTON  287 </t>
  </si>
  <si>
    <t>R0017200023051</t>
  </si>
  <si>
    <t>X16674</t>
  </si>
  <si>
    <t>SAMANIEGO FABIANA</t>
  </si>
  <si>
    <t>RUTA 51 17</t>
  </si>
  <si>
    <t>QIJANO</t>
  </si>
  <si>
    <t>R0017200023063</t>
  </si>
  <si>
    <t>WB1422</t>
  </si>
  <si>
    <t>Glady Zapiola</t>
  </si>
  <si>
    <t xml:space="preserve">QUINTANA 1129 </t>
  </si>
  <si>
    <t>R0017200023064</t>
  </si>
  <si>
    <t>X16679</t>
  </si>
  <si>
    <t>cardozo maria noelia</t>
  </si>
  <si>
    <t>MZA F CASA 6</t>
  </si>
  <si>
    <t>R0017200023065</t>
  </si>
  <si>
    <t>X16676</t>
  </si>
  <si>
    <t>PEPA MARCOS</t>
  </si>
  <si>
    <t>RADIO SNTIAGO DEL STERO BLOCK J 18</t>
  </si>
  <si>
    <t>R0017200023066</t>
  </si>
  <si>
    <t>X16672</t>
  </si>
  <si>
    <t>FLORES ENRIQUE MARCELO</t>
  </si>
  <si>
    <t>B 3 DE ABRIL 1</t>
  </si>
  <si>
    <t xml:space="preserve">LAS LAJITAS </t>
  </si>
  <si>
    <t>R0017200023068</t>
  </si>
  <si>
    <t>X16681</t>
  </si>
  <si>
    <t>MAGGIO MAURO</t>
  </si>
  <si>
    <t>PEREYRA ROSAS MZA C 605 27</t>
  </si>
  <si>
    <t>alm.sealy lux extra soft 70x50</t>
  </si>
  <si>
    <t>alm.sealy lux extra soft 90x50</t>
  </si>
  <si>
    <t>JS001W200200GC</t>
  </si>
  <si>
    <t>jgo.sabanas microfiber king gr</t>
  </si>
  <si>
    <t>R0017200023069</t>
  </si>
  <si>
    <t>col.sealy estsunshineb 200x200</t>
  </si>
  <si>
    <t>SOSNA 100200E</t>
  </si>
  <si>
    <t>som.sealy carbon grey 100x200</t>
  </si>
  <si>
    <t>R0017200023071</t>
  </si>
  <si>
    <t>X16682</t>
  </si>
  <si>
    <t>MARIANA JUAREZ MARTINEZ</t>
  </si>
  <si>
    <t>ecovillage zamba del pañuelo</t>
  </si>
  <si>
    <t>JS027W200200BO</t>
  </si>
  <si>
    <t>Jgo. Sabanas Microfiber King BL</t>
  </si>
  <si>
    <t>Col. S&amp;F Prestige Br(N) 200x200</t>
  </si>
  <si>
    <t>R0017200023079</t>
  </si>
  <si>
    <t>X13994</t>
  </si>
  <si>
    <t>CORONADO SAUZA ANA</t>
  </si>
  <si>
    <t>VILLA SANTA ANA CAMBALACHE 352</t>
  </si>
  <si>
    <t>R0017200023080</t>
  </si>
  <si>
    <t>GUEMES ESQ IRIGOYEN</t>
  </si>
  <si>
    <t>R0017200023081</t>
  </si>
  <si>
    <t>X03394</t>
  </si>
  <si>
    <t>NARANJO WALTER</t>
  </si>
  <si>
    <t>PJE MARROCO 1885</t>
  </si>
  <si>
    <t>R0017200023082</t>
  </si>
  <si>
    <t>R0017200023083</t>
  </si>
  <si>
    <t>R0017200023085</t>
  </si>
  <si>
    <t>X01640</t>
  </si>
  <si>
    <t>ALFARANO ERNESTO</t>
  </si>
  <si>
    <t>LA VOZ DEL COMAHUE 3146</t>
  </si>
  <si>
    <t>JS001W160200GC</t>
  </si>
  <si>
    <t>Jgo. Sabanas Microfiber Queen GR</t>
  </si>
  <si>
    <t>R0017200023089</t>
  </si>
  <si>
    <t>X07749</t>
  </si>
  <si>
    <t>HERNANDEZ ANDRES RAFAEL</t>
  </si>
  <si>
    <t>TUCUMAN 451 4C 0</t>
  </si>
  <si>
    <t>20/11/2025/</t>
  </si>
  <si>
    <t>R0017200023090</t>
  </si>
  <si>
    <t>SOFCAEMI19</t>
  </si>
  <si>
    <t>Sofá Cama Emily Beige</t>
  </si>
  <si>
    <t>R0017200023105</t>
  </si>
  <si>
    <t>X00127</t>
  </si>
  <si>
    <t>FLORES MERCEDES</t>
  </si>
  <si>
    <t xml:space="preserve">barrio canillita mza 3 6 </t>
  </si>
  <si>
    <t>R0017200023104</t>
  </si>
  <si>
    <t>R0017200023106</t>
  </si>
  <si>
    <t>X12346</t>
  </si>
  <si>
    <t>TEJERINA EGIDIO</t>
  </si>
  <si>
    <t xml:space="preserve">J CARLOS DAVALOS 26 </t>
  </si>
  <si>
    <t>C QUIJANO</t>
  </si>
  <si>
    <t>R0017200023107</t>
  </si>
  <si>
    <t>X16584</t>
  </si>
  <si>
    <t>GALLO ELVA PATRICIA</t>
  </si>
  <si>
    <t>AV LIBANO 560</t>
  </si>
  <si>
    <t>R0017200023108</t>
  </si>
  <si>
    <t>R0017200023109</t>
  </si>
  <si>
    <t>WB1627</t>
  </si>
  <si>
    <t>Claudio Sanchez</t>
  </si>
  <si>
    <t>RUTA NACIONAL 16 KM 606</t>
  </si>
  <si>
    <t>R0017200023120</t>
  </si>
  <si>
    <t>X16697</t>
  </si>
  <si>
    <t>claudia gonzalez</t>
  </si>
  <si>
    <t>MAR DE JAYA 440</t>
  </si>
  <si>
    <t>R0017200023121</t>
  </si>
  <si>
    <t>R0017200023124</t>
  </si>
  <si>
    <t>X16696</t>
  </si>
  <si>
    <t>RETAMBAY SOFIA</t>
  </si>
  <si>
    <t>VILLA PALACIOS BLOCK 24 1 3 A</t>
  </si>
  <si>
    <t>R0017200023125</t>
  </si>
  <si>
    <t>X05942</t>
  </si>
  <si>
    <t>RASPA CARLOS</t>
  </si>
  <si>
    <t>LAVALLE 184</t>
  </si>
  <si>
    <t>R0017200023126</t>
  </si>
  <si>
    <t>R0017200023127</t>
  </si>
  <si>
    <t>X01473</t>
  </si>
  <si>
    <t>GIL EXEQUIEL</t>
  </si>
  <si>
    <t xml:space="preserve">B CASINO 2 BLOK 1 PB </t>
  </si>
  <si>
    <t>COSFRA200200</t>
  </si>
  <si>
    <t>Col. S&amp;F RockwellBrown 200x200</t>
  </si>
  <si>
    <t>R0017200023128</t>
  </si>
  <si>
    <t>VB8124</t>
  </si>
  <si>
    <t>Marcelo Arias</t>
  </si>
  <si>
    <t>B EL HUAICO MZA 458 B CASA 21</t>
  </si>
  <si>
    <t>R0017200023129</t>
  </si>
  <si>
    <t>R0017200023130</t>
  </si>
  <si>
    <t>WB0032</t>
  </si>
  <si>
    <t>María Laura Nanni</t>
  </si>
  <si>
    <t>el prado ecovillage 126</t>
  </si>
  <si>
    <t>R0017200023135</t>
  </si>
  <si>
    <t>X16706</t>
  </si>
  <si>
    <t>LAUREANO GABRIELA ANALIA</t>
  </si>
  <si>
    <t xml:space="preserve">pje los infernales 1335 </t>
  </si>
  <si>
    <t>R0017200023136</t>
  </si>
  <si>
    <t>X16702</t>
  </si>
  <si>
    <t>CONDE MARIA FLORENCIA</t>
  </si>
  <si>
    <t>TUCUMAN 158</t>
  </si>
  <si>
    <t>R0017200023137</t>
  </si>
  <si>
    <t>X16703</t>
  </si>
  <si>
    <t>MUSSO BARRERA HECTOR RAMON</t>
  </si>
  <si>
    <t>B SANTA ANA 1 PASAJE 9 244</t>
  </si>
  <si>
    <t>R0017200023138</t>
  </si>
  <si>
    <t>X16704</t>
  </si>
  <si>
    <t>GRISELDA VIVEROS</t>
  </si>
  <si>
    <t xml:space="preserve">LAS BANCAS 857 </t>
  </si>
  <si>
    <t>R0017200023139</t>
  </si>
  <si>
    <t>R0017200023140</t>
  </si>
  <si>
    <t>X07109</t>
  </si>
  <si>
    <t>BARRIOS SUSANA DEL VALLE</t>
  </si>
  <si>
    <t>ITUZAINGO 1154</t>
  </si>
  <si>
    <t>R0017200023141</t>
  </si>
  <si>
    <t>X16693</t>
  </si>
  <si>
    <t>BRITO LUIS</t>
  </si>
  <si>
    <t>PARQUE BELGRANO ET 1F 12</t>
  </si>
  <si>
    <t>R0017200023142</t>
  </si>
  <si>
    <t>X16699</t>
  </si>
  <si>
    <t>ROMANO VICTOR OSVALDO</t>
  </si>
  <si>
    <t>B LIMACHE ET 7 MZA 3 CASA 8</t>
  </si>
  <si>
    <t>R0017200023143</t>
  </si>
  <si>
    <t>B HUAICO MZA 520 A CASA 24</t>
  </si>
  <si>
    <t>R0017200023146</t>
  </si>
  <si>
    <t>B EL HUAICO MZA 469A CASA1</t>
  </si>
  <si>
    <t>R0017200023147</t>
  </si>
  <si>
    <t>X16710</t>
  </si>
  <si>
    <t>GARICIA LUIS RICARDO</t>
  </si>
  <si>
    <t>B SOEM MZA 55 CASA 6</t>
  </si>
  <si>
    <t>COLCHON DREAM PLUS 140</t>
  </si>
  <si>
    <t>SOSNA140190</t>
  </si>
  <si>
    <t>BASE CARBON GREY 140</t>
  </si>
  <si>
    <t>R0017200023148</t>
  </si>
  <si>
    <t>X16708</t>
  </si>
  <si>
    <t>REYNOSO MARIA DE LOS ANGELES</t>
  </si>
  <si>
    <t>AV SAN JOSE 311</t>
  </si>
  <si>
    <t>Jgo. Sabanas M.CottonKing Azul</t>
  </si>
  <si>
    <t>Jgo. Sabanas Microfiber King GR</t>
  </si>
  <si>
    <t>R0017200023149</t>
  </si>
  <si>
    <t>R0017200023150</t>
  </si>
  <si>
    <t>X02917</t>
  </si>
  <si>
    <t>PINTO JUAN</t>
  </si>
  <si>
    <t>R0017200023157</t>
  </si>
  <si>
    <t>X16614</t>
  </si>
  <si>
    <t>RAMON VARGAS CRISTIAN</t>
  </si>
  <si>
    <t>R0017200023158</t>
  </si>
  <si>
    <t>R0017200023159</t>
  </si>
  <si>
    <t>X11919</t>
  </si>
  <si>
    <t>YAMPA FEDERICO CESAR JAVIER</t>
  </si>
  <si>
    <t>BARRIO EL BOSQUE 3 BLOCK 3 PB1</t>
  </si>
  <si>
    <t>R0017200023175</t>
  </si>
  <si>
    <t>X16716</t>
  </si>
  <si>
    <t>santillan gonzalez alejandro</t>
  </si>
  <si>
    <t xml:space="preserve">DTO C BLOCK 18 PB </t>
  </si>
  <si>
    <t>Alm. Memory Grid Gel 70x50</t>
  </si>
  <si>
    <t>R0017200023176</t>
  </si>
  <si>
    <t>COEMEA080190</t>
  </si>
  <si>
    <t>Col. Sealy Post Emerald 080x190</t>
  </si>
  <si>
    <t>R0017200023177</t>
  </si>
  <si>
    <t>X16721</t>
  </si>
  <si>
    <t>ARROYO BRIAN</t>
  </si>
  <si>
    <t>B COMPLEJO TERRA VILLAGE</t>
  </si>
  <si>
    <t>R0017200023178</t>
  </si>
  <si>
    <t>X16720</t>
  </si>
  <si>
    <t>JUAREZ CLAUDIA</t>
  </si>
  <si>
    <t>CALLE 3 MZA 3 CASA65</t>
  </si>
  <si>
    <t>R0017200023179</t>
  </si>
  <si>
    <t>X16712</t>
  </si>
  <si>
    <t>BALIN MILAGROS</t>
  </si>
  <si>
    <t>B LAS TUNAS MZA C 52 10</t>
  </si>
  <si>
    <t>R0017200023186</t>
  </si>
  <si>
    <t>X11337</t>
  </si>
  <si>
    <t>TOLABA HECTOR JULIO CESAR</t>
  </si>
  <si>
    <t>B FIRPO SAN MARTIN 914</t>
  </si>
  <si>
    <t>R0017200023184</t>
  </si>
  <si>
    <t>X16686</t>
  </si>
  <si>
    <t>ESTRUCTURAS Y MATERIALES S.A.</t>
  </si>
  <si>
    <t xml:space="preserve">LAS LOMITAS </t>
  </si>
  <si>
    <t>CAMPO QUIJAN</t>
  </si>
  <si>
    <t>R0017200023185</t>
  </si>
  <si>
    <t>R0017200023187</t>
  </si>
  <si>
    <t>VX4046</t>
  </si>
  <si>
    <t>Rita Alejandra Franco</t>
  </si>
  <si>
    <t>PUEYRREDON 94</t>
  </si>
  <si>
    <t>R0017200023188</t>
  </si>
  <si>
    <t>X16722</t>
  </si>
  <si>
    <t>SILVA SANDRA</t>
  </si>
  <si>
    <t>B BANCARIO MONOBLOCK C 10 PB</t>
  </si>
  <si>
    <t>R0017200023189</t>
  </si>
  <si>
    <t>X16727</t>
  </si>
  <si>
    <t>HEINECK MARCELO</t>
  </si>
  <si>
    <t>B SAN BENJAMIN MZA M 8</t>
  </si>
  <si>
    <t>R0017200023190</t>
  </si>
  <si>
    <t>R0017200023191</t>
  </si>
  <si>
    <t>X16725</t>
  </si>
  <si>
    <t>TRONCOSO HECTOR</t>
  </si>
  <si>
    <t>B ARAOZ RADIO CATAMARCA 2560</t>
  </si>
  <si>
    <t>R0017200023192</t>
  </si>
  <si>
    <t>R0017200023193</t>
  </si>
  <si>
    <t>X16714</t>
  </si>
  <si>
    <t>MURILLO PAMELA</t>
  </si>
  <si>
    <t>LAS TIPAS ESQ LAS ROSAS</t>
  </si>
  <si>
    <t>COMDCB090190</t>
  </si>
  <si>
    <t>Col. Meyer DreamCompact (N) 090x190</t>
  </si>
  <si>
    <t>R0017200023194</t>
  </si>
  <si>
    <t>X08213</t>
  </si>
  <si>
    <t>GONZA ELVA</t>
  </si>
  <si>
    <t>AMPL BANCARIO MZA 463 CASA 3</t>
  </si>
  <si>
    <t>R0017200023195</t>
  </si>
  <si>
    <t>X16713</t>
  </si>
  <si>
    <t>selene rebollo</t>
  </si>
  <si>
    <t>ETAPA 8 MZA 2 CASA 11</t>
  </si>
  <si>
    <t>R0017200023196</t>
  </si>
  <si>
    <t>X16728</t>
  </si>
  <si>
    <t>GUERRERO MAXIMILIANO</t>
  </si>
  <si>
    <t xml:space="preserve">LERMA 555 </t>
  </si>
  <si>
    <t>R0017200023210</t>
  </si>
  <si>
    <t>X16731</t>
  </si>
  <si>
    <t>SALVATORE ENZO</t>
  </si>
  <si>
    <t xml:space="preserve">b huayco 517 a casa 13 </t>
  </si>
  <si>
    <t>Col. Eternity EuroPocket160x200</t>
  </si>
  <si>
    <t>R0017200023211</t>
  </si>
  <si>
    <t>X16677</t>
  </si>
  <si>
    <t>lamas aldo armando</t>
  </si>
  <si>
    <t>ZUVIRIA 2942</t>
  </si>
  <si>
    <t>CAMRESW8140190</t>
  </si>
  <si>
    <t>Cama Respaldo Handy Marron 140x190</t>
  </si>
  <si>
    <t>R0017200023213</t>
  </si>
  <si>
    <t>WB2467</t>
  </si>
  <si>
    <t>Julio Benitez</t>
  </si>
  <si>
    <t>Aniceto Latorre 248</t>
  </si>
  <si>
    <t>R0017200023238</t>
  </si>
  <si>
    <t>X09917</t>
  </si>
  <si>
    <t>COSTELLO OLVER IVAN</t>
  </si>
  <si>
    <t>JULIO CORTAZAR 655</t>
  </si>
  <si>
    <t>R0017200023239</t>
  </si>
  <si>
    <t>X05561</t>
  </si>
  <si>
    <t>TORENA LUIS</t>
  </si>
  <si>
    <t>10 DE October 0943</t>
  </si>
  <si>
    <t>R0017200023240</t>
  </si>
  <si>
    <t>X16741</t>
  </si>
  <si>
    <t>ROSALIA CUESTAS</t>
  </si>
  <si>
    <t>LOS PERALES 352</t>
  </si>
  <si>
    <t>R0017200023241</t>
  </si>
  <si>
    <t>VR2420</t>
  </si>
  <si>
    <t>Julieta Araceli Ahumada Martinez</t>
  </si>
  <si>
    <t>loteo ampliación san carlos 0 557 b35</t>
  </si>
  <si>
    <t>COMDCB160200</t>
  </si>
  <si>
    <t>Col. Meyer DreamCompact (N) 160x200</t>
  </si>
  <si>
    <t>R0017200023242</t>
  </si>
  <si>
    <t>WB2186</t>
  </si>
  <si>
    <t>KIBOU TRAVEL SAS</t>
  </si>
  <si>
    <t>EL HUAICO 484 1 1</t>
  </si>
  <si>
    <t>R0017200023243</t>
  </si>
  <si>
    <t>WB2287</t>
  </si>
  <si>
    <t>Ramiro Nicolás Costilla González</t>
  </si>
  <si>
    <t>pasaje 18, Santa Ana, Salta, Argentina 880</t>
  </si>
  <si>
    <t>R0017200023244</t>
  </si>
  <si>
    <t>WB2697</t>
  </si>
  <si>
    <t>Federico Gonza</t>
  </si>
  <si>
    <t>Edvisa Mnz C 4</t>
  </si>
  <si>
    <t>R0017200023246</t>
  </si>
  <si>
    <t>X16742</t>
  </si>
  <si>
    <t>GILARDONI HERNAN</t>
  </si>
  <si>
    <t xml:space="preserve">las vertientes lote 243 </t>
  </si>
  <si>
    <t>vaqueros</t>
  </si>
  <si>
    <t>R0017200023247</t>
  </si>
  <si>
    <t>R0017200023252</t>
  </si>
  <si>
    <t>WB2659</t>
  </si>
  <si>
    <t>Cesar Ángel Herrera</t>
  </si>
  <si>
    <t>Cecilia Grierson 4, Salta, Argentina 4 Barrio 26 d</t>
  </si>
  <si>
    <t>Jgo. Sabanas M.CottonFull Azul</t>
  </si>
  <si>
    <t>R0017200023253</t>
  </si>
  <si>
    <t>X16733</t>
  </si>
  <si>
    <t>ojeda martin</t>
  </si>
  <si>
    <t>pasaje anta medidor 650</t>
  </si>
  <si>
    <t>R0017200023262</t>
  </si>
  <si>
    <t>X16751</t>
  </si>
  <si>
    <t>QUIROGA PABLO MARIO</t>
  </si>
  <si>
    <t>ruta 51 km 2,5</t>
  </si>
  <si>
    <t>R0017200023267</t>
  </si>
  <si>
    <t>X16752</t>
  </si>
  <si>
    <t>URUEÑA VICENTE</t>
  </si>
  <si>
    <t>B PALERMO 2 MZA 441 A LOTE 17</t>
  </si>
  <si>
    <t>R0017200023276</t>
  </si>
  <si>
    <t>LAS BANCAS 857</t>
  </si>
  <si>
    <t>CAMABAJN140190</t>
  </si>
  <si>
    <t>Cama Baul Extra Space 140x190</t>
  </si>
  <si>
    <t>R0017200023277</t>
  </si>
  <si>
    <t>X16755</t>
  </si>
  <si>
    <t>MANSILLA ATILIO ALBERTO</t>
  </si>
  <si>
    <t>B ANTARTIDA ARGENTINA EXTRECHO DE MAGAYANES 113</t>
  </si>
  <si>
    <t>R0017200023278</t>
  </si>
  <si>
    <t>X16757</t>
  </si>
  <si>
    <t>CHINCHILLA RUIZ</t>
  </si>
  <si>
    <t xml:space="preserve">B EL PERIODISTA ILADRIO ASCAZUBI 2063 </t>
  </si>
  <si>
    <t>R0017200023279</t>
  </si>
  <si>
    <t>X16756</t>
  </si>
  <si>
    <t>VICAL INSUMOS S.A.S.</t>
  </si>
  <si>
    <t>NEVADO DE CACHI 101</t>
  </si>
  <si>
    <t>R0017200023281</t>
  </si>
  <si>
    <t>ZULCA MILTON</t>
  </si>
  <si>
    <t>CORONEL MOLDES 480</t>
  </si>
  <si>
    <t>COL. MEYER DREAN PLUS</t>
  </si>
  <si>
    <t>MEYER SUPREM 70X40</t>
  </si>
  <si>
    <t>R0017200023282</t>
  </si>
  <si>
    <t>DIEGO RENE PETRINO</t>
  </si>
  <si>
    <t>LOS NARANJOS 193</t>
  </si>
  <si>
    <t>COL SEALY ESTSUNSHINEB</t>
  </si>
  <si>
    <t>R0017200023289</t>
  </si>
  <si>
    <t>X16763</t>
  </si>
  <si>
    <t>NARVAEZ SILVIA</t>
  </si>
  <si>
    <t>25 May 0229</t>
  </si>
  <si>
    <t>R0017200023293</t>
  </si>
  <si>
    <t>FERNANDEZ BELKI MIRIAM</t>
  </si>
  <si>
    <t>COMPMLEJO HABITACIONAL SUR MZA B CASA 17</t>
  </si>
  <si>
    <t>X16767</t>
  </si>
  <si>
    <t>R0017200023294</t>
  </si>
  <si>
    <t>X06411</t>
  </si>
  <si>
    <t>POMAR JUAN CARLOS</t>
  </si>
  <si>
    <t>PARQ BELGRANO   2 ETAPA BLOCK F DPTO 3 0</t>
  </si>
  <si>
    <t>R0017200023295</t>
  </si>
  <si>
    <t>X16761</t>
  </si>
  <si>
    <t>JOSE MEDINA</t>
  </si>
  <si>
    <t>BS AS 821</t>
  </si>
  <si>
    <t>R0017200023297</t>
  </si>
  <si>
    <t>X16766</t>
  </si>
  <si>
    <t>BUSTAMANTE ADRIANA MABEL</t>
  </si>
  <si>
    <t>SAN MARCOS 4202</t>
  </si>
  <si>
    <t>R0017200023298</t>
  </si>
  <si>
    <t>X16768</t>
  </si>
  <si>
    <t>NOEMI QUISPE</t>
  </si>
  <si>
    <t>AMEGHINO 1667</t>
  </si>
  <si>
    <t>R0017200023300</t>
  </si>
  <si>
    <t>M04997</t>
  </si>
  <si>
    <t>RUIZ LORENA</t>
  </si>
  <si>
    <t>general arenales mza a casa 4 2500</t>
  </si>
  <si>
    <t>R0017200023306</t>
  </si>
  <si>
    <t>X05354</t>
  </si>
  <si>
    <t>SANCHEZ ANABEL</t>
  </si>
  <si>
    <t>juramento 2447</t>
  </si>
  <si>
    <t>R0017200023307</t>
  </si>
  <si>
    <t>WB3018</t>
  </si>
  <si>
    <t>TOMAS FLORES BP</t>
  </si>
  <si>
    <t>Barrio ramon abdala Manzana 28 2</t>
  </si>
  <si>
    <t>R0017200023313</t>
  </si>
  <si>
    <t>X16771</t>
  </si>
  <si>
    <t>GARCIA HERNAN</t>
  </si>
  <si>
    <t>B TIMOTEO CARLOS 2 MZA 3 CASA 4</t>
  </si>
  <si>
    <t>R0017200023314</t>
  </si>
  <si>
    <t>X16773</t>
  </si>
  <si>
    <t>PONCE ALEJANDRA</t>
  </si>
  <si>
    <t>DEAN FUNES 1231 5 C</t>
  </si>
  <si>
    <t>R0017200023319</t>
  </si>
  <si>
    <t>WB4507</t>
  </si>
  <si>
    <t>Tomas agustin Ruppel</t>
  </si>
  <si>
    <t>Barrio Limache etapa 5 manzana 4 casa 2</t>
  </si>
  <si>
    <t>R0017200023322</t>
  </si>
  <si>
    <t>X16777</t>
  </si>
  <si>
    <t>FLORENCIA AVILA</t>
  </si>
  <si>
    <t>PASAJE 20 CASA 1318</t>
  </si>
  <si>
    <t>CAMRESW8160200</t>
  </si>
  <si>
    <t>Cama Respaldo Handy Marron 160x200</t>
  </si>
  <si>
    <t>R0017200023323</t>
  </si>
  <si>
    <t>X16775</t>
  </si>
  <si>
    <t>TEJERINA ELENA ELVIRA</t>
  </si>
  <si>
    <t>BARRIO SAN CARLOS MANZANA 45 CASA 17</t>
  </si>
  <si>
    <t>R0017200023329</t>
  </si>
  <si>
    <t>X16780</t>
  </si>
  <si>
    <t>MARTINEZ CRISTIAN OMAR</t>
  </si>
  <si>
    <t>GAMBOLIN 1633</t>
  </si>
  <si>
    <t>R0017200023338</t>
  </si>
  <si>
    <t>X16785</t>
  </si>
  <si>
    <t>SERRANO RUBEN HORACIO</t>
  </si>
  <si>
    <t>MAR ANTARTICO 834</t>
  </si>
  <si>
    <t>R0017200023341</t>
  </si>
  <si>
    <t>X16719</t>
  </si>
  <si>
    <t>CABEZAS CONSTANZA</t>
  </si>
  <si>
    <t>OLEGARIO ANDRADE 970</t>
  </si>
  <si>
    <t>R0017200023342</t>
  </si>
  <si>
    <t>Col. Serta Chicago 200x200</t>
  </si>
  <si>
    <t>R0017200023343</t>
  </si>
  <si>
    <t>WB4106</t>
  </si>
  <si>
    <t>ANA ARGENTINA DELGADO</t>
  </si>
  <si>
    <t>BARRIO SAN CAYETANO CASA 2</t>
  </si>
  <si>
    <t>R0017200023347</t>
  </si>
  <si>
    <t>CORTI MADERNA LAURA</t>
  </si>
  <si>
    <t>PJE ANTONIO ORTELI Y LUIS PASTEUR 101</t>
  </si>
  <si>
    <t>COL SEALY CHILLCLOUD</t>
  </si>
  <si>
    <t>R0017200023358</t>
  </si>
  <si>
    <t>X16791</t>
  </si>
  <si>
    <t>ZACUR DUEGO</t>
  </si>
  <si>
    <t>PADRADETAS DE SAN LORENZO MZA 16 LOTE 11 11</t>
  </si>
  <si>
    <t>R0017200023359</t>
  </si>
  <si>
    <t>X16792</t>
  </si>
  <si>
    <t>alvarez carlos</t>
  </si>
  <si>
    <t>felix usandivaras 312</t>
  </si>
  <si>
    <t>R0017200023360</t>
  </si>
  <si>
    <t>X06950</t>
  </si>
  <si>
    <t>YANCE CLAUDIA VIVIANA</t>
  </si>
  <si>
    <t>san juan apostol esquina santo thomas 0</t>
  </si>
  <si>
    <t>R0017200023364</t>
  </si>
  <si>
    <t>X16795</t>
  </si>
  <si>
    <t>POSPOS GUSTAVO</t>
  </si>
  <si>
    <t>B SAN FRANCISCO MZA 31F CASA 13</t>
  </si>
  <si>
    <t>COL SEALY LINEN 080X190</t>
  </si>
  <si>
    <t>ALM MEYER SUPREME 70X40</t>
  </si>
  <si>
    <t>R0017200023376</t>
  </si>
  <si>
    <t>X16805</t>
  </si>
  <si>
    <t>CENTENO DALMIRA ADELINA</t>
  </si>
  <si>
    <t>B PARQUE EL AYBAL MZA8 CASA 70</t>
  </si>
  <si>
    <t>R0017200023377</t>
  </si>
  <si>
    <t>R0017200023378</t>
  </si>
  <si>
    <t>X16800</t>
  </si>
  <si>
    <t>yampa lorena</t>
  </si>
  <si>
    <t>almafuerte 334 2</t>
  </si>
  <si>
    <t>R0017200023381</t>
  </si>
  <si>
    <t>X16806</t>
  </si>
  <si>
    <t>ZALAZAR SILVANA</t>
  </si>
  <si>
    <t>Bªestacion alvarado manzana 20 casa 14</t>
  </si>
  <si>
    <t>R0017200023383</t>
  </si>
  <si>
    <t>RUIZ LUIS ANTONIO</t>
  </si>
  <si>
    <t>RADIO EL FUEGUINO 2951</t>
  </si>
  <si>
    <t xml:space="preserve">COL MEYER DREAN PLUS </t>
  </si>
  <si>
    <t>ALM ZLOW SOFT 90X50</t>
  </si>
  <si>
    <t>R0017200023386</t>
  </si>
  <si>
    <t>X09637</t>
  </si>
  <si>
    <t>ORTIZ MARIA CECILIA</t>
  </si>
  <si>
    <t>mza 467 b casa 22</t>
  </si>
  <si>
    <t>COSFNB140190</t>
  </si>
  <si>
    <t>Col. S&amp;FPrestigeNetBr(N)140x190</t>
  </si>
  <si>
    <t>R0017200023389</t>
  </si>
  <si>
    <t>AMADOR MARIA CECILIA</t>
  </si>
  <si>
    <t>PAJARITO VELARDE MANZANA 36 8</t>
  </si>
  <si>
    <t>Alm.Sealy Memory Air 70 x40</t>
  </si>
  <si>
    <t xml:space="preserve"> Alm,Sealy lux Extra Soft 710x50</t>
  </si>
  <si>
    <t>R0017200023397</t>
  </si>
  <si>
    <t>X16810</t>
  </si>
  <si>
    <t>FLORES ROCIO</t>
  </si>
  <si>
    <t>B NUESTRA SEÑORA DEL CARMEN  MZA T 70</t>
  </si>
  <si>
    <t>R0017200023308</t>
  </si>
  <si>
    <t>X16809</t>
  </si>
  <si>
    <t xml:space="preserve">PAJARITO VELARDE  MANZANA 36 8 </t>
  </si>
  <si>
    <t xml:space="preserve">ROSALRIO DE LERMA </t>
  </si>
  <si>
    <t>R0017200023400</t>
  </si>
  <si>
    <t>X16808</t>
  </si>
  <si>
    <t>CRUZ ANA MARIA</t>
  </si>
  <si>
    <t>EL PRADO 172</t>
  </si>
  <si>
    <t>R0017200023401</t>
  </si>
  <si>
    <t>R0017200023405</t>
  </si>
  <si>
    <t>X01228</t>
  </si>
  <si>
    <t>LESCAFFETTE SERGIO MARIO</t>
  </si>
  <si>
    <t>ISLA MALVINAS 550</t>
  </si>
  <si>
    <t>R0017200023406</t>
  </si>
  <si>
    <t>R0017200023407</t>
  </si>
  <si>
    <t>X16814</t>
  </si>
  <si>
    <t>APROSOF SERGIO</t>
  </si>
  <si>
    <t xml:space="preserve">LAS BLANCAS  CERRILLO 1 </t>
  </si>
  <si>
    <t>CERRILLO</t>
  </si>
  <si>
    <t>R0017200023410</t>
  </si>
  <si>
    <t>X08788</t>
  </si>
  <si>
    <t>CASCO RAUL</t>
  </si>
  <si>
    <t xml:space="preserve">raul riganti 649 </t>
  </si>
  <si>
    <t>Base Divan Venecia 100x200</t>
  </si>
  <si>
    <t>R0017200023411</t>
  </si>
  <si>
    <t>R0017200023426</t>
  </si>
  <si>
    <t xml:space="preserve">VARELA FRANCISCO </t>
  </si>
  <si>
    <t>GERVACIO DE POSADAS 690</t>
  </si>
  <si>
    <t>R0017200023427</t>
  </si>
  <si>
    <t>R0017200023446</t>
  </si>
  <si>
    <t>X16830</t>
  </si>
  <si>
    <t>ariel rios</t>
  </si>
  <si>
    <t>ruta 21 km 17 mza f casa 3</t>
  </si>
  <si>
    <t>R0017200023447</t>
  </si>
  <si>
    <t>X16827</t>
  </si>
  <si>
    <t>RIVERA TOCONAS MANUEL ENRIQUE</t>
  </si>
  <si>
    <t>PARQUE BELGRANO 3 ETAPA BLOCK 24 PB 2</t>
  </si>
  <si>
    <t>R0017200023443</t>
  </si>
  <si>
    <t>X16821</t>
  </si>
  <si>
    <t>MAMANI YOLANDA</t>
  </si>
  <si>
    <t>AV. CHILE 186</t>
  </si>
  <si>
    <t>R0017200023444</t>
  </si>
  <si>
    <t>R0017200023445</t>
  </si>
  <si>
    <t>X16826</t>
  </si>
  <si>
    <t>RIVADEO CLAUDIA</t>
  </si>
  <si>
    <t>RUTA 51 KM 8</t>
  </si>
  <si>
    <t>46-490180</t>
  </si>
  <si>
    <t>Cama Cajon Antilla 180 Blanco</t>
  </si>
  <si>
    <t>R0017200023448</t>
  </si>
  <si>
    <t>X16831</t>
  </si>
  <si>
    <t>abrahan guerra</t>
  </si>
  <si>
    <t>juan darienzo 1181</t>
  </si>
  <si>
    <t>CAMABAJN200200</t>
  </si>
  <si>
    <t>Cama Baul Extra Space 200x200</t>
  </si>
  <si>
    <t>R0017200023449</t>
  </si>
  <si>
    <t>X16828</t>
  </si>
  <si>
    <t>YAPURA CRISTIAN</t>
  </si>
  <si>
    <t xml:space="preserve">B SOLIDARIDAD MZA 457 C LOTE ETAPA 1 11 </t>
  </si>
  <si>
    <t>R0017200023453</t>
  </si>
  <si>
    <t>X16832</t>
  </si>
  <si>
    <t>burgos nadia</t>
  </si>
  <si>
    <t>MARIANO MORENO 1898</t>
  </si>
  <si>
    <t>R0017200023454</t>
  </si>
  <si>
    <t>X16833</t>
  </si>
  <si>
    <t>GERMAN SOMMARIVA</t>
  </si>
  <si>
    <t>DIARIO LITORAL DE CORRIENTES 2538</t>
  </si>
  <si>
    <t>R0017200023470</t>
  </si>
  <si>
    <t>05/012026</t>
  </si>
  <si>
    <t>X09255</t>
  </si>
  <si>
    <t>SALAS RAFAEL</t>
  </si>
  <si>
    <t>Gabino Blanco 493</t>
  </si>
  <si>
    <t>R0017200023471</t>
  </si>
  <si>
    <t>X16840</t>
  </si>
  <si>
    <t>GUZMAN DANIELA</t>
  </si>
  <si>
    <t>ARTURO DAVALOS 227</t>
  </si>
  <si>
    <t>R0017200023472</t>
  </si>
  <si>
    <t>R0017200023473</t>
  </si>
  <si>
    <t>X16764</t>
  </si>
  <si>
    <t>MERCADO CLARA VALERIA</t>
  </si>
  <si>
    <t>R0017200023474</t>
  </si>
  <si>
    <t>R0017200023431</t>
  </si>
  <si>
    <t>YAZMIN MICOLE PINAKAS</t>
  </si>
  <si>
    <t>SOM UNIVERSAL GREY 140X190</t>
  </si>
  <si>
    <t>CAMBIO SOLO BASE</t>
  </si>
  <si>
    <t>R0017200023475</t>
  </si>
  <si>
    <t>X16842</t>
  </si>
  <si>
    <t>SALAS JOSE LUIS</t>
  </si>
  <si>
    <t>BARRIO EL HUAICO 2 MZA A 452 9</t>
  </si>
  <si>
    <t>R0017200023476</t>
  </si>
  <si>
    <t>R0017200023477</t>
  </si>
  <si>
    <t>R0017200023486</t>
  </si>
  <si>
    <t>X16844</t>
  </si>
  <si>
    <t>WILK MARIO EDGARDO</t>
  </si>
  <si>
    <t>20 FEBRERO 764 7 3</t>
  </si>
  <si>
    <t>R0017200023508</t>
  </si>
  <si>
    <t>X16849</t>
  </si>
  <si>
    <t>LAVILLA PABLO</t>
  </si>
  <si>
    <t>almirante brown 423 6 a</t>
  </si>
  <si>
    <t>COSFNC160200</t>
  </si>
  <si>
    <t>Col. S&amp;F Prest.Net V25 160x200</t>
  </si>
  <si>
    <t>Sabana FIELDCREST Queen Blanca</t>
  </si>
  <si>
    <t>R0017200023509</t>
  </si>
  <si>
    <t>X00014</t>
  </si>
  <si>
    <t>FLORES CECILIA FERNANDA VT</t>
  </si>
  <si>
    <t>B EL PARQUE MZA 193A CASA 5</t>
  </si>
  <si>
    <t>R0017200023515</t>
  </si>
  <si>
    <t>R0017200023516</t>
  </si>
  <si>
    <t>X16837</t>
  </si>
  <si>
    <t>IBAÑEZ MARTIN</t>
  </si>
  <si>
    <t>LAS HERAS 1605</t>
  </si>
  <si>
    <t>R0017200023517</t>
  </si>
  <si>
    <t>X16853</t>
  </si>
  <si>
    <t>BARRIONUEVO DANIEL</t>
  </si>
  <si>
    <t>B LOS TARCOS MZA 818A CASA 13</t>
  </si>
  <si>
    <t>R0017200023518</t>
  </si>
  <si>
    <t>X16856</t>
  </si>
  <si>
    <t>TALAVERA 480 711</t>
  </si>
  <si>
    <t>R0017200023519</t>
  </si>
  <si>
    <t>X16848</t>
  </si>
  <si>
    <t>LOPEZ OSCAR</t>
  </si>
  <si>
    <t>TERRITORIO DE MISIONES 2933</t>
  </si>
  <si>
    <t>R0017200023521</t>
  </si>
  <si>
    <t>X07711</t>
  </si>
  <si>
    <t>MARTINEZ ANA MARIA</t>
  </si>
  <si>
    <t>ENRIQUE JANIN 1849</t>
  </si>
  <si>
    <t>R0017200023524</t>
  </si>
  <si>
    <t>BO COOPERATIVA PJE LOS ANDES S/N</t>
  </si>
  <si>
    <t>R0017200023525</t>
  </si>
  <si>
    <t>X06525</t>
  </si>
  <si>
    <t>VILLALOBOS VERONICA ALEJANDRA</t>
  </si>
  <si>
    <t>B ISLAS MALVINAS MZA F CASA 16</t>
  </si>
  <si>
    <t>R0017200023526</t>
  </si>
  <si>
    <t>X16855</t>
  </si>
  <si>
    <t>GUANCA MAGAI</t>
  </si>
  <si>
    <t>B ARTURO DANDREA CASA 138</t>
  </si>
  <si>
    <t>R0017200023528</t>
  </si>
  <si>
    <t>X16860</t>
  </si>
  <si>
    <t>PAGANO MIRYAM</t>
  </si>
  <si>
    <t>B MOLLAR 1 MZA 25 D LOTE 8 8</t>
  </si>
  <si>
    <t>R0017200023529</t>
  </si>
  <si>
    <t>X16851</t>
  </si>
  <si>
    <t>DEL MONTE CAROLINA</t>
  </si>
  <si>
    <t xml:space="preserve">Paaje Klein 19 </t>
  </si>
  <si>
    <t>R0017200023530</t>
  </si>
  <si>
    <t>X16841</t>
  </si>
  <si>
    <t>TESEYRA JOSE</t>
  </si>
  <si>
    <t>los cardones 170</t>
  </si>
  <si>
    <t>R0017200023531</t>
  </si>
  <si>
    <t>X16863</t>
  </si>
  <si>
    <t>CASTILLO WILFREDO</t>
  </si>
  <si>
    <t>MZA B LOTE 1 1</t>
  </si>
  <si>
    <t>R0017200023532</t>
  </si>
  <si>
    <t>X16865</t>
  </si>
  <si>
    <t>NUÑEZ YANINA</t>
  </si>
  <si>
    <t>B EDVISA MZA D CASA 8</t>
  </si>
  <si>
    <t>R0017200023538</t>
  </si>
  <si>
    <t>X16845</t>
  </si>
  <si>
    <t>SOMA MARIANA</t>
  </si>
  <si>
    <t>CORONEL SUAREZ 269 3 7</t>
  </si>
  <si>
    <t>R0017200023543</t>
  </si>
  <si>
    <t>X16864</t>
  </si>
  <si>
    <t>CABEZAS EDUARDO</t>
  </si>
  <si>
    <t>B BELGRANO BLOCK 68 DTA 6 5 ESTAPA 68</t>
  </si>
  <si>
    <t>R0017200023544</t>
  </si>
  <si>
    <t>X16872</t>
  </si>
  <si>
    <t>PABLO GARCIA BES</t>
  </si>
  <si>
    <t xml:space="preserve">maza 89 casa 7 </t>
  </si>
  <si>
    <t>R0017200023555</t>
  </si>
  <si>
    <t>X16874</t>
  </si>
  <si>
    <t>SZONYI MAURICIO JAVIER</t>
  </si>
  <si>
    <t>RUTA 24 EL MOLLAR 2 MZA 3B 7</t>
  </si>
  <si>
    <t xml:space="preserve">CAMPO QUIJANO </t>
  </si>
  <si>
    <t>R0017200023556</t>
  </si>
  <si>
    <t>25 DE May 0229</t>
  </si>
  <si>
    <t>R0017200023557</t>
  </si>
  <si>
    <t>R0017200023559</t>
  </si>
  <si>
    <t>X16866</t>
  </si>
  <si>
    <t>GASPAR ELOY</t>
  </si>
  <si>
    <t>MAR ADRIATICO 920</t>
  </si>
  <si>
    <t>R0017200023560</t>
  </si>
  <si>
    <t>R0017200023561</t>
  </si>
  <si>
    <t>X12725</t>
  </si>
  <si>
    <t>MARQUEZ FACUNDO</t>
  </si>
  <si>
    <t>BELGRANO 971 3 C</t>
  </si>
  <si>
    <t>R0017200023562</t>
  </si>
  <si>
    <t>X16876</t>
  </si>
  <si>
    <t>ILVENTO MARGARITA LEONOR</t>
  </si>
  <si>
    <t>dionicio de puch 31 5 1b</t>
  </si>
  <si>
    <t>SE REALIZA CAMBIO SOLO COLCHON X RECLAMO 72 HS</t>
  </si>
  <si>
    <t>R0017200023567</t>
  </si>
  <si>
    <t>X16881</t>
  </si>
  <si>
    <t>DELGADO FERNANDEZ RANDOLF</t>
  </si>
  <si>
    <t>Emma Solá de Solá 1715</t>
  </si>
  <si>
    <t>R0017200023568</t>
  </si>
  <si>
    <t>X13727</t>
  </si>
  <si>
    <t>CARDENAS ORLANDO MARCELO</t>
  </si>
  <si>
    <t>PJE SAN CARLOS 1013</t>
  </si>
  <si>
    <t>R0017200023578</t>
  </si>
  <si>
    <t>ANGEL ROSAS 648</t>
  </si>
  <si>
    <t>R0017200023584</t>
  </si>
  <si>
    <t>WB6150</t>
  </si>
  <si>
    <t>RUBEN ALEJANDRO RIOS</t>
  </si>
  <si>
    <t>av. qua 00</t>
  </si>
  <si>
    <t>ANULADO</t>
  </si>
  <si>
    <t>R0017200023585</t>
  </si>
  <si>
    <t>WB6342</t>
  </si>
  <si>
    <t>María sofia Yarade</t>
  </si>
  <si>
    <t>las magnolias 62</t>
  </si>
  <si>
    <t>R0017200023586</t>
  </si>
  <si>
    <t>X16880</t>
  </si>
  <si>
    <t>FIGUEROA SERGIO DARIO</t>
  </si>
  <si>
    <t>LOS MANDARINOS 708</t>
  </si>
  <si>
    <t>R001700023587</t>
  </si>
  <si>
    <t>PRADERAS DE SAN LORENZO MZA 19 3</t>
  </si>
  <si>
    <t>R001700023588</t>
  </si>
  <si>
    <t>R001720023596</t>
  </si>
  <si>
    <t>NAHUEL HUAPI 2248</t>
  </si>
  <si>
    <t>2966-418695</t>
  </si>
  <si>
    <t xml:space="preserve">MARCELA </t>
  </si>
  <si>
    <t>R001720023597</t>
  </si>
  <si>
    <t>X02784</t>
  </si>
  <si>
    <t>LABARI OSCAR</t>
  </si>
  <si>
    <t>CALLE SAN ROQUE MZA 107 LOTE 2</t>
  </si>
  <si>
    <t>R0017200023626</t>
  </si>
  <si>
    <t>X14125</t>
  </si>
  <si>
    <t>TEMPESTTI CLAUDIA</t>
  </si>
  <si>
    <t>lerma 950 2 A</t>
  </si>
  <si>
    <t>R0017200023630</t>
  </si>
  <si>
    <t>X01881</t>
  </si>
  <si>
    <t>GUEDILLA HUMBERTO</t>
  </si>
  <si>
    <t>PJE LA CANDELARIA 790</t>
  </si>
  <si>
    <t>R0017200023632</t>
  </si>
  <si>
    <t>R0017200023634</t>
  </si>
  <si>
    <t>BARRIO HUAICO MZA 451 26</t>
  </si>
  <si>
    <t>R0017200023635</t>
  </si>
  <si>
    <t>X16900</t>
  </si>
  <si>
    <t>FERREYRA MARCELA ALEJANDRA</t>
  </si>
  <si>
    <t>R0017200023636</t>
  </si>
  <si>
    <t>R0017200023637</t>
  </si>
  <si>
    <t>X16904</t>
  </si>
  <si>
    <t>CAMACHO MIRIAM DEL VALLE</t>
  </si>
  <si>
    <t>SAN JUAN 2529</t>
  </si>
  <si>
    <t>R0017200023640</t>
  </si>
  <si>
    <t>X16905</t>
  </si>
  <si>
    <t>QUESENBERRY LANTHA</t>
  </si>
  <si>
    <t>VIRGILIO GARCIA SN 1</t>
  </si>
  <si>
    <t>R0017200023652</t>
  </si>
  <si>
    <t>X16902</t>
  </si>
  <si>
    <t>AYALA JORGE LUIS</t>
  </si>
  <si>
    <t>LOS ARENALES 155 4 7</t>
  </si>
  <si>
    <t>R0017200023653</t>
  </si>
  <si>
    <t>X16912</t>
  </si>
  <si>
    <t>FIGUEROA CINTHIA CAROLINA</t>
  </si>
  <si>
    <t>BARRIO HUAICO MZA 481 C 36</t>
  </si>
  <si>
    <t>R0017200023654</t>
  </si>
  <si>
    <t>X16913</t>
  </si>
  <si>
    <t>DEL PRADO CLAUDIA</t>
  </si>
  <si>
    <t>RADIO PATAGONIA 3160</t>
  </si>
  <si>
    <t>R0017200023655</t>
  </si>
  <si>
    <t>R0017200023659</t>
  </si>
  <si>
    <t>X02085</t>
  </si>
  <si>
    <t>ATRIO BARUZZO ROCIO DEL VALLE</t>
  </si>
  <si>
    <t>PAYOGASTA 391 EL TIPAL</t>
  </si>
  <si>
    <t>R0017200023657</t>
  </si>
  <si>
    <t xml:space="preserve">LEDESMA MIGUEL ANGEL </t>
  </si>
  <si>
    <t>B EL HUAICO MZA 522 B 11</t>
  </si>
  <si>
    <t>COL SEALY EST LINEN 160X200</t>
  </si>
  <si>
    <t xml:space="preserve">PRESTAMO </t>
  </si>
  <si>
    <t>R0017200023670</t>
  </si>
  <si>
    <t>X05316</t>
  </si>
  <si>
    <t>FIGUEROA PEDRO RODOLFO</t>
  </si>
  <si>
    <t>NEVADO DE CACHI 750</t>
  </si>
  <si>
    <t>R0017200023671</t>
  </si>
  <si>
    <t>R0017200023672</t>
  </si>
  <si>
    <t>X04068</t>
  </si>
  <si>
    <t>LOPEZ GUEVARA CLAUDIA MONICA</t>
  </si>
  <si>
    <t>BARRIO DON EMILIO BLOCK 27 1 4</t>
  </si>
  <si>
    <t>R0017200023673</t>
  </si>
  <si>
    <t>X16920</t>
  </si>
  <si>
    <t>JORGE CASTILLO</t>
  </si>
  <si>
    <t>BARRIO SANTA ANA PASAJE 14 626</t>
  </si>
  <si>
    <t>Cama Baul Extra Space 160x200</t>
  </si>
  <si>
    <t>R0017200023674</t>
  </si>
  <si>
    <t>X09988</t>
  </si>
  <si>
    <t>ACEVEDO OSCAR</t>
  </si>
  <si>
    <t>SANTA ANA 1 PASAJE ACOSTA 818</t>
  </si>
  <si>
    <t>R0017200023675</t>
  </si>
  <si>
    <t>R0017200023677</t>
  </si>
  <si>
    <t>X16923</t>
  </si>
  <si>
    <t>GAITE IVAN</t>
  </si>
  <si>
    <t>SARMIENTO 1210</t>
  </si>
  <si>
    <t>METAN</t>
  </si>
  <si>
    <t>R0017200023684</t>
  </si>
  <si>
    <t>VIRGILIO GARCIA SN SAN LORENZO</t>
  </si>
  <si>
    <t>R0017200023685</t>
  </si>
  <si>
    <t>R0017200023686</t>
  </si>
  <si>
    <t>R0017200023687</t>
  </si>
  <si>
    <t>X16928</t>
  </si>
  <si>
    <t>RIOS HECTOR ALEJANDRO</t>
  </si>
  <si>
    <t>ESTACION ALVARADO BLOCK 25 D5 25 5</t>
  </si>
  <si>
    <t>R0017200023689</t>
  </si>
  <si>
    <t>BARRIO DN EMILIO BLOCK 27</t>
  </si>
  <si>
    <t>COJADA16200</t>
  </si>
  <si>
    <t>Col.Sealy Jade 160x200</t>
  </si>
  <si>
    <t>cambio</t>
  </si>
  <si>
    <t>R0017200023690</t>
  </si>
  <si>
    <t>scacchi</t>
  </si>
  <si>
    <t>R0017200023713</t>
  </si>
  <si>
    <t>X09589</t>
  </si>
  <si>
    <t>PANIAGUA SOFIA</t>
  </si>
  <si>
    <t>B LA MADRID CARLOS FORETS 671</t>
  </si>
  <si>
    <t>R0017200023714</t>
  </si>
  <si>
    <t>X16939</t>
  </si>
  <si>
    <t>JORGE ANALIA</t>
  </si>
  <si>
    <t>B SAN CARLOS MZA 15 CASA 22</t>
  </si>
  <si>
    <t>R0017200023715</t>
  </si>
  <si>
    <t>R0017200023716</t>
  </si>
  <si>
    <t>X03182</t>
  </si>
  <si>
    <t>GARCIA NICOLAS HUGO</t>
  </si>
  <si>
    <t>B SAN ISIDRO MZA D CASA 1</t>
  </si>
  <si>
    <t>R0017200023717</t>
  </si>
  <si>
    <t>R0017200023732</t>
  </si>
  <si>
    <t>X06939</t>
  </si>
  <si>
    <t>MONZON ALICIA CRISTINA</t>
  </si>
  <si>
    <t>LOS MANZANOS 1982</t>
  </si>
  <si>
    <t>R0017200023733</t>
  </si>
  <si>
    <t>X16954</t>
  </si>
  <si>
    <t>UNCOS ANDREA</t>
  </si>
  <si>
    <t>B SANTA ANA PJE 9 CABO JFC CHAILE 249</t>
  </si>
  <si>
    <t>SAL</t>
  </si>
  <si>
    <t>R0017200023737</t>
  </si>
  <si>
    <t>X11015</t>
  </si>
  <si>
    <t>FUNES CLARK GABRIELA RAQUEL</t>
  </si>
  <si>
    <t>B PARQUE LA VEGA TORRE 54 54 PB C</t>
  </si>
  <si>
    <t>R0017200023738</t>
  </si>
  <si>
    <t>WB7842</t>
  </si>
  <si>
    <t>Daniela Soledad Moya</t>
  </si>
  <si>
    <t>Diario la Gaceta 2213</t>
  </si>
  <si>
    <t>R0017200023740</t>
  </si>
  <si>
    <t>R0017200023741</t>
  </si>
  <si>
    <t>R0017200023742</t>
  </si>
  <si>
    <t>X16947</t>
  </si>
  <si>
    <t>VAZQUEZ LEANDRO</t>
  </si>
  <si>
    <t>BARRIO LIMACHE ETAPA2 MZA 5 21</t>
  </si>
  <si>
    <t>R0017200023743</t>
  </si>
  <si>
    <t>R0017200023744</t>
  </si>
  <si>
    <t>X02007</t>
  </si>
  <si>
    <t>LIENDRO PAOLA ELIZABETH</t>
  </si>
  <si>
    <t>TALCAHUANO 214</t>
  </si>
  <si>
    <t>R0017200023746</t>
  </si>
  <si>
    <t>mas cros</t>
  </si>
  <si>
    <t>X16959</t>
  </si>
  <si>
    <t>GONZALEZ ANDREA ELIANA</t>
  </si>
  <si>
    <t>WELINDO TOLEDO MZA 154D 5</t>
  </si>
  <si>
    <t>COSFPB160200</t>
  </si>
  <si>
    <t>Col. S&amp;F Prestige Br(N) 160x200</t>
  </si>
  <si>
    <t>R0017200023773</t>
  </si>
  <si>
    <t>B PIEDRAS MORADAS CALLE 56</t>
  </si>
  <si>
    <t xml:space="preserve">CORONEL MOLDES </t>
  </si>
  <si>
    <t>R0017200023774</t>
  </si>
  <si>
    <t>RADIO SPLENDIT 2893</t>
  </si>
  <si>
    <t>R0017200023775</t>
  </si>
  <si>
    <t>X01206</t>
  </si>
  <si>
    <t>PEREZ GABRIELA</t>
  </si>
  <si>
    <t>AV JB JUSTO CALLE PAMPA 8 PB 8</t>
  </si>
  <si>
    <t>R0017200023776</t>
  </si>
  <si>
    <t>VY4640</t>
  </si>
  <si>
    <t>Analia Pamela Miranda Marengo</t>
  </si>
  <si>
    <t>LAVALLE 522</t>
  </si>
  <si>
    <t>R0017200023777</t>
  </si>
  <si>
    <t>X11944</t>
  </si>
  <si>
    <t>APOLINARIO SARAVIA 290</t>
  </si>
  <si>
    <t>125819CAJA</t>
  </si>
  <si>
    <t>Alm. Cool Memory Box 70</t>
  </si>
  <si>
    <t>R0017200023803</t>
  </si>
  <si>
    <t>X16981</t>
  </si>
  <si>
    <t>RAFAEL JORGE GUANCA</t>
  </si>
  <si>
    <t>SAN RAFAEL ESQUINA EUCALIPTUS 0</t>
  </si>
  <si>
    <t>EL CARRIL-SALTA</t>
  </si>
  <si>
    <t>R0017200023804</t>
  </si>
  <si>
    <t>X08962</t>
  </si>
  <si>
    <t>CONDORI LUCINDA</t>
  </si>
  <si>
    <t>B ROBERTO ROMERO MZA 166 LOTE 9</t>
  </si>
  <si>
    <t>R0017200023805</t>
  </si>
  <si>
    <t>R0017200023809</t>
  </si>
  <si>
    <t>X16962</t>
  </si>
  <si>
    <t>ALDERETE VILA EMILIO EDUA</t>
  </si>
  <si>
    <t>LEGUIZAMON 1  8</t>
  </si>
  <si>
    <t>COQUA140190</t>
  </si>
  <si>
    <t>QUARTZ 140X190</t>
  </si>
  <si>
    <t>SOM CARBON GREY 140X190</t>
  </si>
  <si>
    <t>LEGUIZAMON  1  8</t>
  </si>
  <si>
    <t>R0017200023808</t>
  </si>
  <si>
    <t>X16964</t>
  </si>
  <si>
    <t xml:space="preserve">CASABELLA GASTON </t>
  </si>
  <si>
    <t xml:space="preserve">LEGUIZAMON 625  </t>
  </si>
  <si>
    <t>ALM COOL MEMORY BOX 70</t>
  </si>
  <si>
    <t>SAB FULL BLANCA</t>
  </si>
  <si>
    <t>R0017200023810</t>
  </si>
  <si>
    <t>X16979</t>
  </si>
  <si>
    <t xml:space="preserve">ALFARO CRISTIAN </t>
  </si>
  <si>
    <t>J CRALOS DAVALOS 274</t>
  </si>
  <si>
    <t>COL WOOD 160X200</t>
  </si>
  <si>
    <t>R0017200023814</t>
  </si>
  <si>
    <t>MD SOCIEDAD DE PRODUCTORES DE SEGUROS SRL</t>
  </si>
  <si>
    <t>JUNIN 1269</t>
  </si>
  <si>
    <t>R0017200023815</t>
  </si>
  <si>
    <t>X01652</t>
  </si>
  <si>
    <t>CRUZ ROXANA VT</t>
  </si>
  <si>
    <t>PJE BENITA CAMPOS 983</t>
  </si>
  <si>
    <t>R0017200023816</t>
  </si>
  <si>
    <t>X16986</t>
  </si>
  <si>
    <t>ESTER AVELLINA YAPURA</t>
  </si>
  <si>
    <t>RADIO CEREALISTA 2455</t>
  </si>
  <si>
    <t>R0017200023820</t>
  </si>
  <si>
    <t>X16989</t>
  </si>
  <si>
    <t>LAIME RODRIGO</t>
  </si>
  <si>
    <t>CASEROS 1071 1 C</t>
  </si>
  <si>
    <t>R0017200023821</t>
  </si>
  <si>
    <t>R0017200023825</t>
  </si>
  <si>
    <t>X16992</t>
  </si>
  <si>
    <t>DIP JOSE RODRIGO</t>
  </si>
  <si>
    <t>MAZANA 818 B CASA 18</t>
  </si>
  <si>
    <t>R0017200023829</t>
  </si>
  <si>
    <t>X16994</t>
  </si>
  <si>
    <t>LOPEZ ROMERO MARIA</t>
  </si>
  <si>
    <t>SANTA ELENA 430</t>
  </si>
  <si>
    <t>R0017200023830</t>
  </si>
  <si>
    <t>X16995</t>
  </si>
  <si>
    <t>SABAT MARCELA ANGELINA</t>
  </si>
  <si>
    <t>ONIX MZA 4 LOTE 7</t>
  </si>
  <si>
    <t>R0017200023831</t>
  </si>
  <si>
    <t>R0017200023836</t>
  </si>
  <si>
    <t>ANGELICA GRACIELA VIRGOLINI</t>
  </si>
  <si>
    <t>R0017200023837</t>
  </si>
  <si>
    <t>X16998</t>
  </si>
  <si>
    <t>gomez ricardo</t>
  </si>
  <si>
    <t>calle 5 casa 1541</t>
  </si>
  <si>
    <t>R0017200023838</t>
  </si>
  <si>
    <t>X17000</t>
  </si>
  <si>
    <t>HEIM LUIS MARCOS</t>
  </si>
  <si>
    <t>EL MOLLAR 1 MZA 23 LOTE 10</t>
  </si>
  <si>
    <t>Col. Sealy Perf RainbowN090x190</t>
  </si>
  <si>
    <t>R0017200023839</t>
  </si>
  <si>
    <t>X16997</t>
  </si>
  <si>
    <t>CABALLERO NOEMI</t>
  </si>
  <si>
    <t>SANTA LUCIA BLOCK B DEPARTAMENTO 2 2 B 2</t>
  </si>
  <si>
    <t>R0017200023840</t>
  </si>
  <si>
    <t>X17001</t>
  </si>
  <si>
    <t>ELIAS OFFREDI</t>
  </si>
  <si>
    <t>MZA 22 CASA 1</t>
  </si>
  <si>
    <t>R0017200023841</t>
  </si>
  <si>
    <t>ESPANA 149</t>
  </si>
  <si>
    <t>ESPAÑA 149</t>
  </si>
  <si>
    <t>R0017200023842</t>
  </si>
  <si>
    <t>X16993</t>
  </si>
  <si>
    <t>TAMARA ESTEFANIA UGARTE</t>
  </si>
  <si>
    <t>NECOCHEA 651 2 211</t>
  </si>
  <si>
    <t>R0017200023843</t>
  </si>
  <si>
    <t>R0017200023844</t>
  </si>
  <si>
    <t>Jgo. Sabanas M.CottonFull Nude</t>
  </si>
  <si>
    <t>R0017200023845</t>
  </si>
  <si>
    <t>R0017200023856</t>
  </si>
  <si>
    <t>R0017200023869</t>
  </si>
  <si>
    <t>X05414</t>
  </si>
  <si>
    <t>OROZCO MARIA TERESA</t>
  </si>
  <si>
    <t>AV DE LAS AMERICAS 1028</t>
  </si>
  <si>
    <t>R0017200023870</t>
  </si>
  <si>
    <t>R0017200023871</t>
  </si>
  <si>
    <t>X17004</t>
  </si>
  <si>
    <t>DENOBREGA BRANDO</t>
  </si>
  <si>
    <t>PJE MOLLINEDO 264 4 E</t>
  </si>
  <si>
    <t>R0017200023872</t>
  </si>
  <si>
    <t>X17005</t>
  </si>
  <si>
    <t>MAMANI DORA</t>
  </si>
  <si>
    <t>B 17 DE OCTUBRE MZA 391A CASA 3</t>
  </si>
  <si>
    <t>R0017200023873</t>
  </si>
  <si>
    <t>R0017200023874</t>
  </si>
  <si>
    <t>X17010</t>
  </si>
  <si>
    <t>CEJAS LUIS</t>
  </si>
  <si>
    <t>LOS PETERIBIES 690</t>
  </si>
  <si>
    <t>R0017200023875</t>
  </si>
  <si>
    <t>X16917</t>
  </si>
  <si>
    <t>CARMEN SEGOVIA X</t>
  </si>
  <si>
    <t>mitre 465</t>
  </si>
  <si>
    <t>R0017200023876</t>
  </si>
  <si>
    <t>PEDERNERA 515 Y LEGUIZAMON</t>
  </si>
  <si>
    <t>R0017200023885</t>
  </si>
  <si>
    <t>X12654</t>
  </si>
  <si>
    <t>KUNCAR FRIAS JALIL CARLOS</t>
  </si>
  <si>
    <t>MZA 1 LOTE 9 4</t>
  </si>
  <si>
    <t>R0017200023887</t>
  </si>
  <si>
    <t>X17017</t>
  </si>
  <si>
    <t>LOAIZA DANIEL FAUSTINO</t>
  </si>
  <si>
    <t>B MERCEDES PUERTO BELGRANO 832</t>
  </si>
  <si>
    <t>COMAIB080190</t>
  </si>
  <si>
    <t>Col. Telgo Maitri B 080x190</t>
  </si>
  <si>
    <t>CAMBIO</t>
  </si>
  <si>
    <t>R0017200023891</t>
  </si>
  <si>
    <t>X17023</t>
  </si>
  <si>
    <t>MARTINEZ BRIONES SERGIO</t>
  </si>
  <si>
    <t>ALBERDI 743</t>
  </si>
  <si>
    <t>R017200023899</t>
  </si>
  <si>
    <t>E23757</t>
  </si>
  <si>
    <t>RIOS DANIEL</t>
  </si>
  <si>
    <t xml:space="preserve">b villa el sol antonio feijo 110 </t>
  </si>
  <si>
    <t>R0017200023900</t>
  </si>
  <si>
    <t xml:space="preserve">ruta 21 km 17 loteo las lomitas san agustin </t>
  </si>
  <si>
    <t>R0017200023902</t>
  </si>
  <si>
    <t>X09672</t>
  </si>
  <si>
    <t>GOMEZ MARCOS SEBASTIAN</t>
  </si>
  <si>
    <t>mza h casa 11</t>
  </si>
  <si>
    <t>R0017200023903</t>
  </si>
  <si>
    <t>X17028</t>
  </si>
  <si>
    <t>CRISTIAN SERRANO</t>
  </si>
  <si>
    <t>MZA 47 CASA 6</t>
  </si>
  <si>
    <t>R0017200023904</t>
  </si>
  <si>
    <t>X17029</t>
  </si>
  <si>
    <t>CARDOZO CARLOLINA</t>
  </si>
  <si>
    <t>B 49 LOTES MZA E LOTE 16</t>
  </si>
  <si>
    <t>R0017200023906</t>
  </si>
  <si>
    <t>X17030</t>
  </si>
  <si>
    <t>SANTILLAN ANA MARIA</t>
  </si>
  <si>
    <t>CASEROS 1341</t>
  </si>
  <si>
    <t>R0017200023910</t>
  </si>
  <si>
    <t>X17031</t>
  </si>
  <si>
    <t>LOBERA LILIANA</t>
  </si>
  <si>
    <t>PJE LOS JEUITAS 346</t>
  </si>
  <si>
    <t>R0017200023921</t>
  </si>
  <si>
    <t>X00651</t>
  </si>
  <si>
    <t>ROMERO HERNAN</t>
  </si>
  <si>
    <t>B LOS CEIBOS MZA 539 B CASA 11</t>
  </si>
  <si>
    <t>R0017200023922</t>
  </si>
  <si>
    <t>X17035</t>
  </si>
  <si>
    <t>JONATHAN GRILLO</t>
  </si>
  <si>
    <t>MZA 10 LOTE 17 B</t>
  </si>
  <si>
    <t>R0017200023923</t>
  </si>
  <si>
    <t>B ANTARTIDA ARGENTINA ESTERECHO DE MAGALLANES 113</t>
  </si>
  <si>
    <t>R0017200023924</t>
  </si>
  <si>
    <t>X00206</t>
  </si>
  <si>
    <t>RIOS MARTA</t>
  </si>
  <si>
    <t>BARRIO PARQUE LA CRUZ MZA G 7</t>
  </si>
  <si>
    <t>R0017200023936</t>
  </si>
  <si>
    <t>X12293</t>
  </si>
  <si>
    <t>CORTEZ MARTIN ALBERTO</t>
  </si>
  <si>
    <t>barrio el huaico mza 476c 10</t>
  </si>
  <si>
    <t>R0017200023937</t>
  </si>
  <si>
    <t>X17041</t>
  </si>
  <si>
    <t>CALDERON ELIZABET</t>
  </si>
  <si>
    <t>B AIRES DE LOS ANDES RUTA 51 KM 8.5 MZA386B CASA</t>
  </si>
  <si>
    <t>R0017200023941</t>
  </si>
  <si>
    <t>X17046</t>
  </si>
  <si>
    <t>LOMBARDO NATALIA</t>
  </si>
  <si>
    <t>B SAN BENJAMIN MZA E LOTE 24</t>
  </si>
  <si>
    <t>R0017200023942</t>
  </si>
  <si>
    <t>X17045</t>
  </si>
  <si>
    <t>ESCOBAR RODRIGO</t>
  </si>
  <si>
    <t>EDUARDO RACEDO 1084</t>
  </si>
  <si>
    <t>R0017200023943</t>
  </si>
  <si>
    <t>M09078</t>
  </si>
  <si>
    <t>LUNA RENE</t>
  </si>
  <si>
    <t>montevio 1171</t>
  </si>
  <si>
    <t>R0017200023944</t>
  </si>
  <si>
    <t>R0017200023955</t>
  </si>
  <si>
    <t>X17055</t>
  </si>
  <si>
    <t>AGUILAR GASTON</t>
  </si>
  <si>
    <t>PJE INGENIRO CLEMENT 1264</t>
  </si>
  <si>
    <t>R0017200023956</t>
  </si>
  <si>
    <t>X17056</t>
  </si>
  <si>
    <t>PEREYRA VALVERDI MAGDALENA</t>
  </si>
  <si>
    <t>AMPL. B. EL BOSQUE BLOCK 49 DPT 16</t>
  </si>
  <si>
    <t>R0017200023962</t>
  </si>
  <si>
    <t>X17059</t>
  </si>
  <si>
    <t>QUISPE MARIA</t>
  </si>
  <si>
    <t>B SAN JOSE 12 DE OCTUBRE 173</t>
  </si>
  <si>
    <t>R0017200023963</t>
  </si>
  <si>
    <t>WB9307</t>
  </si>
  <si>
    <t>Maria Laura toranzos</t>
  </si>
  <si>
    <t>Barrio Mirasoles MZA 492 A Casa 7</t>
  </si>
  <si>
    <t>R0017200023964</t>
  </si>
  <si>
    <t>X10346</t>
  </si>
  <si>
    <t>PAZ ROSA ISABEL</t>
  </si>
  <si>
    <t>B PARQUE EL AYBAL CASA N 36 MZA 6 36</t>
  </si>
  <si>
    <t>R0017200023965</t>
  </si>
  <si>
    <t>X07331</t>
  </si>
  <si>
    <t>AGUIRRE LIZ PAOLA</t>
  </si>
  <si>
    <t>B PALENQUE MZA F CASA 8</t>
  </si>
  <si>
    <t>R0017200023971</t>
  </si>
  <si>
    <t xml:space="preserve"> GRAN BURG </t>
  </si>
  <si>
    <t>R0017200023972</t>
  </si>
  <si>
    <t>WB9411</t>
  </si>
  <si>
    <t>Tamara Agüero</t>
  </si>
  <si>
    <t>FERNANDO RAMOS 36</t>
  </si>
  <si>
    <t>R0017200024001</t>
  </si>
  <si>
    <t>X17073</t>
  </si>
  <si>
    <t>PASCULI NELLIDA</t>
  </si>
  <si>
    <t>B MIRASOLES MZA 497D CASA 3</t>
  </si>
  <si>
    <t>R0017200024002</t>
  </si>
  <si>
    <t>R0017200024003</t>
  </si>
  <si>
    <t>X07455</t>
  </si>
  <si>
    <t>PERELLO NICOLAS AGUSTIN</t>
  </si>
  <si>
    <t>b huayco -mza 518 b casa 18</t>
  </si>
  <si>
    <t>R0017200024004</t>
  </si>
  <si>
    <t>X17074</t>
  </si>
  <si>
    <t>ESPINOZA CONSTANZA</t>
  </si>
  <si>
    <t>B J PABLO 2 13 3 14</t>
  </si>
  <si>
    <t>R0017200024005</t>
  </si>
  <si>
    <t>WB9568</t>
  </si>
  <si>
    <t>Octavio Andres Batayan</t>
  </si>
  <si>
    <t>Ing. Horacio Anasagasti 853</t>
  </si>
  <si>
    <t>R0017200024007</t>
  </si>
  <si>
    <t>X17083</t>
  </si>
  <si>
    <t>GUAYMAS LUCIANA DEL MILAGRO</t>
  </si>
  <si>
    <t>CORINA LONA 711</t>
  </si>
  <si>
    <t>R0017200024008</t>
  </si>
  <si>
    <t>X17065</t>
  </si>
  <si>
    <t>PEDREROS CLAUDIO</t>
  </si>
  <si>
    <t>R0017200024009</t>
  </si>
  <si>
    <t>R0017200024020</t>
  </si>
  <si>
    <t>V61243</t>
  </si>
  <si>
    <t>VILLAGOMEZ RAMIRO VT</t>
  </si>
  <si>
    <t>Juan XXIII 207</t>
  </si>
  <si>
    <t>R0017200024021</t>
  </si>
  <si>
    <t>WB9340</t>
  </si>
  <si>
    <t>Hector Tomas Echazu</t>
  </si>
  <si>
    <t>Calle consejal chagra 52</t>
  </si>
  <si>
    <t>R0017200024022</t>
  </si>
  <si>
    <t>TL0071</t>
  </si>
  <si>
    <t>Daniel osvaldo Neme</t>
  </si>
  <si>
    <t>av. diego calvici barrio 238 viviendas, oran 119</t>
  </si>
  <si>
    <t>San Ramón de la Nueva oran</t>
  </si>
  <si>
    <t>Anasagasti Horacio 853</t>
  </si>
  <si>
    <t>R0017200024025</t>
  </si>
  <si>
    <t>X17085</t>
  </si>
  <si>
    <t>LOPEZ MARTIN</t>
  </si>
  <si>
    <t>JUANA AZURDUI 612</t>
  </si>
  <si>
    <t>R0017200024026</t>
  </si>
  <si>
    <t>X05641</t>
  </si>
  <si>
    <t>VELARDE NELIDA</t>
  </si>
  <si>
    <t>LAS GOLONDRINAS 1662</t>
  </si>
  <si>
    <t>Sabana FIELDCREST Full BLUE</t>
  </si>
  <si>
    <t>R0017200024027</t>
  </si>
  <si>
    <t>X17084</t>
  </si>
  <si>
    <t>FELIPE SANCHEZ</t>
  </si>
  <si>
    <t>URQUIZA 143 10 43</t>
  </si>
  <si>
    <t>R0017200024028</t>
  </si>
  <si>
    <t>X17089</t>
  </si>
  <si>
    <t>ARMADI SRL</t>
  </si>
  <si>
    <t>SANTIAGO DEL ESTERO 310</t>
  </si>
  <si>
    <t>R0017200024037</t>
  </si>
  <si>
    <t>VILLA LOS TARCOS VELARDE 235</t>
  </si>
  <si>
    <t>R0017200024038</t>
  </si>
  <si>
    <t>X17093</t>
  </si>
  <si>
    <t>CASTILLO CLAUDIA NOEMI</t>
  </si>
  <si>
    <t>MANUEL J CASTILLA 462</t>
  </si>
  <si>
    <t>R0017200024039</t>
  </si>
  <si>
    <t>X17095</t>
  </si>
  <si>
    <t>SIMKIN MATIAS</t>
  </si>
  <si>
    <t>AV DEL GOLF 39</t>
  </si>
  <si>
    <t>R0017200024041</t>
  </si>
  <si>
    <t>X17097</t>
  </si>
  <si>
    <t>LEONOR RUSSO PASCUAL</t>
  </si>
  <si>
    <t>ESPAÑA 1373 4 A</t>
  </si>
  <si>
    <t>R0017200024040</t>
  </si>
  <si>
    <t>R0017200024042</t>
  </si>
  <si>
    <t>X17087</t>
  </si>
  <si>
    <t>LAFUENTE DANIEL</t>
  </si>
  <si>
    <t>B PORTAL DEL CERRO CASA 28</t>
  </si>
  <si>
    <t>R0017200024045</t>
  </si>
  <si>
    <t>X17092</t>
  </si>
  <si>
    <t>ZAPATA VALENTINA</t>
  </si>
  <si>
    <t>SANTIAGO DEL ESTERO 17 3 D</t>
  </si>
  <si>
    <t>R0017200024055</t>
  </si>
  <si>
    <t>X17103</t>
  </si>
  <si>
    <t>RECCHIUTO PITA MARIA SOFIA</t>
  </si>
  <si>
    <t>GODOY CRUZ 3066</t>
  </si>
  <si>
    <t>R0017200024056</t>
  </si>
  <si>
    <t>X17099</t>
  </si>
  <si>
    <t>CONDORI ROSALBA</t>
  </si>
  <si>
    <t>CORANEL SUAREZ 412</t>
  </si>
  <si>
    <t>R0017200024057</t>
  </si>
  <si>
    <t>B HUAYCO MZA 548 B CASA 18</t>
  </si>
  <si>
    <t>R0017200024072</t>
  </si>
  <si>
    <t>WB9709</t>
  </si>
  <si>
    <t>Micaela Martin</t>
  </si>
  <si>
    <t>Gorriti 40</t>
  </si>
  <si>
    <t>R0017200024073</t>
  </si>
  <si>
    <t>X17105</t>
  </si>
  <si>
    <t>FLORES MARIANO</t>
  </si>
  <si>
    <t>B CASINO BLOCK P 1 PB 8</t>
  </si>
  <si>
    <t>R0017200024074</t>
  </si>
  <si>
    <t>R0017200024075</t>
  </si>
  <si>
    <t>X17108</t>
  </si>
  <si>
    <t>LASTRA JUAN PABLO</t>
  </si>
  <si>
    <t>B SAN CARLOS MZA 58 CASA 15</t>
  </si>
  <si>
    <t>R0017200024076</t>
  </si>
  <si>
    <t>R0017200024077</t>
  </si>
  <si>
    <t>X17111</t>
  </si>
  <si>
    <t>YAPURA PRAGA JIMENA</t>
  </si>
  <si>
    <t>ALBERDI 1045</t>
  </si>
  <si>
    <t>R0017200024078</t>
  </si>
  <si>
    <t>R0017200024079</t>
  </si>
  <si>
    <t>X17104</t>
  </si>
  <si>
    <t>EDUARDO MAURICIO GUAYMAS</t>
  </si>
  <si>
    <t>MZA 484 A CASA 16 BARRIO MIRASOLES 16</t>
  </si>
  <si>
    <t>R0017200024080</t>
  </si>
  <si>
    <t>VM7229</t>
  </si>
  <si>
    <t>Baltazar Acedo Salim BP</t>
  </si>
  <si>
    <t>LEGUIZAMON 835 3 B</t>
  </si>
  <si>
    <t>CAPITAL</t>
  </si>
  <si>
    <t>R0017200024081</t>
  </si>
  <si>
    <t>X12809</t>
  </si>
  <si>
    <t>CATORCENO GLORIA X</t>
  </si>
  <si>
    <t>B NORTE GRANDE MZA 204C CASA6 6</t>
  </si>
  <si>
    <t>R0017200024090</t>
  </si>
  <si>
    <t>X04311</t>
  </si>
  <si>
    <t>CABA RAMIRO</t>
  </si>
  <si>
    <t>rondeau 1078</t>
  </si>
  <si>
    <t>R0017200024102</t>
  </si>
  <si>
    <t>X17077</t>
  </si>
  <si>
    <t>PABLO IGNACIO PUIG</t>
  </si>
  <si>
    <t>GRAND BURG COMODORO RIVADAVIA 2898</t>
  </si>
  <si>
    <t>R0017200024109</t>
  </si>
  <si>
    <t>X17123</t>
  </si>
  <si>
    <t>WAYAR JOSE LUIS</t>
  </si>
  <si>
    <t>B LIMACHE ETAPA 4 MZA 5 CASA 19</t>
  </si>
  <si>
    <t>R0017200024114</t>
  </si>
  <si>
    <t>X17125</t>
  </si>
  <si>
    <t>JULIO GONZA</t>
  </si>
  <si>
    <t>CALLE SANTA 455 ESQUINA AV SALTA 0</t>
  </si>
  <si>
    <t>R0017200024122</t>
  </si>
  <si>
    <t>X17129</t>
  </si>
  <si>
    <t>ERM ARGENTINA S A</t>
  </si>
  <si>
    <t>TERRAZA DE SAN LORENZO 38</t>
  </si>
  <si>
    <t>R0017200024123</t>
  </si>
  <si>
    <t>X17131</t>
  </si>
  <si>
    <t>GALLARDO JOSE MARIA</t>
  </si>
  <si>
    <t>AV SARMIENTO 447 SF</t>
  </si>
  <si>
    <t>R0017200024124</t>
  </si>
  <si>
    <t>R0017200024143</t>
  </si>
  <si>
    <t>QUIROGA BONARI JUAN FACUNDO</t>
  </si>
  <si>
    <t>AV REYES CATOLICO 16174 5 B</t>
  </si>
  <si>
    <t>Sabana FIELDCREST King Gris</t>
  </si>
  <si>
    <t>R0017200024144</t>
  </si>
  <si>
    <t>r00172000024149</t>
  </si>
  <si>
    <t>X17145</t>
  </si>
  <si>
    <t>SUAREZ MARIA</t>
  </si>
  <si>
    <t>la almudena calle 9 6</t>
  </si>
  <si>
    <t>R0017200024150</t>
  </si>
  <si>
    <t>X17146</t>
  </si>
  <si>
    <t>ANDREA ZEBALLOS</t>
  </si>
  <si>
    <t>SANTIAGO APOSTOL MZA 60 CASA 9</t>
  </si>
  <si>
    <t>R0017200024151</t>
  </si>
  <si>
    <t>X01069</t>
  </si>
  <si>
    <t>CORREA CECILIA</t>
  </si>
  <si>
    <t xml:space="preserve">BARCARCE 1478 DPTO 7 A </t>
  </si>
  <si>
    <t>R0017200024154</t>
  </si>
  <si>
    <t>X17147</t>
  </si>
  <si>
    <t>WALTER SAUL AVILA X</t>
  </si>
  <si>
    <t>VALLE ESCONDIDO CALES LAS CHUÑAS LOTE 120</t>
  </si>
  <si>
    <t>R0017300024155</t>
  </si>
  <si>
    <t>X17148</t>
  </si>
  <si>
    <t>CHOCOBAR MONTAGNA LUZ NATALIA</t>
  </si>
  <si>
    <t>PUYRREDON 359 4 B</t>
  </si>
  <si>
    <t>R0017200024156</t>
  </si>
  <si>
    <t>R0017200024157</t>
  </si>
  <si>
    <t>X17088</t>
  </si>
  <si>
    <t>PORTAL NOELIA DAMARIS</t>
  </si>
  <si>
    <t>MAR CASPIO 1239</t>
  </si>
  <si>
    <t>R0017200024161</t>
  </si>
  <si>
    <t>X17149</t>
  </si>
  <si>
    <t>MARTINEZ MARIA ZULEMA</t>
  </si>
  <si>
    <t>B AUTODFROMO AV CARLOS MENDITEGUI 717</t>
  </si>
  <si>
    <t>SOUNBA 080200E</t>
  </si>
  <si>
    <t>Som,Universal Grey 080x200</t>
  </si>
  <si>
    <t>Col. Meyer DSleep Plus 160x200</t>
  </si>
  <si>
    <t>R0017200024162</t>
  </si>
  <si>
    <t>Enzo Gabriel  Molina</t>
  </si>
  <si>
    <t>B CARLOS TIMOTEO BARLETTI 3063</t>
  </si>
  <si>
    <t>R0017200024167</t>
  </si>
  <si>
    <t>X17150</t>
  </si>
  <si>
    <t>RAMON PEREZ</t>
  </si>
  <si>
    <t>B Santa Ana 1 Av Balbin 127</t>
  </si>
  <si>
    <t>R0017200024168</t>
  </si>
  <si>
    <t>WC0244</t>
  </si>
  <si>
    <t>Cintia Rechimont</t>
  </si>
  <si>
    <t>Chacras De santa maria 15</t>
  </si>
  <si>
    <t>R0017200024170</t>
  </si>
  <si>
    <t>X17153</t>
  </si>
  <si>
    <t>HERRERA SEBASTIAN</t>
  </si>
  <si>
    <t>Maipu 176</t>
  </si>
  <si>
    <t>R0017200024181</t>
  </si>
  <si>
    <t>X17162</t>
  </si>
  <si>
    <t>VELAZQUEZ FRANCISCO</t>
  </si>
  <si>
    <t>INGENIERO 2MZA 54A B</t>
  </si>
  <si>
    <t>Alm,Zlow Soft 70x50</t>
  </si>
  <si>
    <t>R0017200024182</t>
  </si>
  <si>
    <t>X17161</t>
  </si>
  <si>
    <t>JUAN BAUTISTA RAMIREZ</t>
  </si>
  <si>
    <t>CLUB CAMPO DE CHACRA STA MARIA LOTE 15</t>
  </si>
  <si>
    <t xml:space="preserve">SAN LORENZO </t>
  </si>
  <si>
    <t>R0017200024183</t>
  </si>
  <si>
    <t>X17158</t>
  </si>
  <si>
    <t>MIRTA ZANNIER</t>
  </si>
  <si>
    <t>LOS MIDTOLES 280</t>
  </si>
  <si>
    <t>125820CAJA</t>
  </si>
  <si>
    <t>Alm. Cool Memory Box 90</t>
  </si>
  <si>
    <t>R0017200024184</t>
  </si>
  <si>
    <t>X17163</t>
  </si>
  <si>
    <t>TAPIA ANGEL ANTONIO</t>
  </si>
  <si>
    <t>NICOLAS MEDIAN 303 20 DE JUNIO</t>
  </si>
  <si>
    <t>R0017200024187</t>
  </si>
  <si>
    <t>X17165</t>
  </si>
  <si>
    <t>YONAR ALEJANDRA</t>
  </si>
  <si>
    <t>DAMIAN TORINO 1011</t>
  </si>
  <si>
    <t>R0017200024188</t>
  </si>
  <si>
    <t>R0017200024190</t>
  </si>
  <si>
    <t>X17169</t>
  </si>
  <si>
    <t>PEIRO SONIA EVELIN</t>
  </si>
  <si>
    <t>CASEROA 1088050A</t>
  </si>
  <si>
    <t>R0017200024191</t>
  </si>
  <si>
    <t>R0017200024199</t>
  </si>
  <si>
    <t>X17079</t>
  </si>
  <si>
    <t>CARMELO RUSSO X</t>
  </si>
  <si>
    <t xml:space="preserve">EL MOLLAR 2 AMPLIACIO MZA 47 A  LOTE 18 </t>
  </si>
  <si>
    <t>R0017200024200</t>
  </si>
  <si>
    <t>X17102</t>
  </si>
  <si>
    <t>LION VALENZUELA GIOIA</t>
  </si>
  <si>
    <t>JULIO CORTAZAR 2100 427</t>
  </si>
  <si>
    <t>R0017200024201</t>
  </si>
  <si>
    <t>X17171</t>
  </si>
  <si>
    <t>LOPEZ SILVIA NOEMI</t>
  </si>
  <si>
    <t>LOZ JAZMINES 635</t>
  </si>
  <si>
    <t>R0017200024205</t>
  </si>
  <si>
    <t>X17175</t>
  </si>
  <si>
    <t>BURGOS ELENA</t>
  </si>
  <si>
    <t xml:space="preserve">B INTER RADIO EL MUNDO ESQ LOS ANDE  BLOCK G </t>
  </si>
  <si>
    <t>R0017200024207</t>
  </si>
  <si>
    <t>X17173</t>
  </si>
  <si>
    <t>GASPAR PATRICIA</t>
  </si>
  <si>
    <t>BARRIO CASTAÑANES GRUPO 108 BLCK L1</t>
  </si>
  <si>
    <t>R0017200024208</t>
  </si>
  <si>
    <t>WC0406</t>
  </si>
  <si>
    <t>Flavia Mariel Meri</t>
  </si>
  <si>
    <t>URBANIZACION VIA AURELIA</t>
  </si>
  <si>
    <t>R0017200024209</t>
  </si>
  <si>
    <t>X17160</t>
  </si>
  <si>
    <t>BACA MONICA ALICIA</t>
  </si>
  <si>
    <t xml:space="preserve">ALVARADO 1226 </t>
  </si>
  <si>
    <t>R0017200024210</t>
  </si>
  <si>
    <t>TL0213</t>
  </si>
  <si>
    <t>Juan Esteban Lestar</t>
  </si>
  <si>
    <t>ANTONIO LOVAGLIO 110</t>
  </si>
  <si>
    <t>R0017200024217</t>
  </si>
  <si>
    <t>X17180</t>
  </si>
  <si>
    <t>BURGOS LUCAS MAXIMILIANO</t>
  </si>
  <si>
    <t>DEAN FUNES 1810</t>
  </si>
  <si>
    <t>R0017200024221</t>
  </si>
  <si>
    <t>X17181</t>
  </si>
  <si>
    <t>SOLALIGUE ROMINA</t>
  </si>
  <si>
    <t xml:space="preserve">CORONEL ROJAS 1211  CEL MILAGRO </t>
  </si>
  <si>
    <t>R0017200024226</t>
  </si>
  <si>
    <t>R0017200024227</t>
  </si>
  <si>
    <t>X17183</t>
  </si>
  <si>
    <t>TEJERINA CARMEN NATALIA</t>
  </si>
  <si>
    <t>BARRIO SAN IGNACIO MZA 35 6</t>
  </si>
  <si>
    <t>R0017200024228</t>
  </si>
  <si>
    <t>E JANIN 1970</t>
  </si>
  <si>
    <t>R0017200024229</t>
  </si>
  <si>
    <t>R0017200024231</t>
  </si>
  <si>
    <t>X17184</t>
  </si>
  <si>
    <t>HUMANO TANIA</t>
  </si>
  <si>
    <t>BARRIO EL CARMEN MZA J 284</t>
  </si>
  <si>
    <t>R0017200024232</t>
  </si>
  <si>
    <t>X17185</t>
  </si>
  <si>
    <t>GUTIERREZ MIRIAN GLADIS</t>
  </si>
  <si>
    <t>LAS QUINAS 150</t>
  </si>
  <si>
    <t>R0017200024233</t>
  </si>
  <si>
    <t>X12177</t>
  </si>
  <si>
    <t>AMADOR MARIA MARCELA</t>
  </si>
  <si>
    <t>B AMPLACIOM 14 DE MAYO MZA B CASA 3</t>
  </si>
  <si>
    <t>R0017200024243</t>
  </si>
  <si>
    <t>X17187</t>
  </si>
  <si>
    <t>vargas isidoro damian</t>
  </si>
  <si>
    <t>OLAVARRIA 279</t>
  </si>
  <si>
    <t>R0017200024244</t>
  </si>
  <si>
    <t>X17190</t>
  </si>
  <si>
    <t>PAZ SONIA DEL VALLE</t>
  </si>
  <si>
    <t>B LIMACHE-ETAPE 7 -MZA 2 -CASA 3</t>
  </si>
  <si>
    <t>R0017200024245</t>
  </si>
  <si>
    <t>X17192</t>
  </si>
  <si>
    <t>IGNACIO MOLINA</t>
  </si>
  <si>
    <t>B STA ANA 1-AV BALBIN 325</t>
  </si>
  <si>
    <t>R0017200024246</t>
  </si>
  <si>
    <t>X11910</t>
  </si>
  <si>
    <t>GARNICA CLARA ROSA</t>
  </si>
  <si>
    <t>VIA AURELIA-MZA M 2 CASA 5</t>
  </si>
  <si>
    <t>R0017200024247</t>
  </si>
  <si>
    <t>X17194</t>
  </si>
  <si>
    <t>JOSE BUSTAMANTE</t>
  </si>
  <si>
    <t>NEVADO DE ACAY 3130</t>
  </si>
  <si>
    <t>R0017200024248</t>
  </si>
  <si>
    <t>X17196</t>
  </si>
  <si>
    <t>MIRANDA LUCAS</t>
  </si>
  <si>
    <t>PASAJE LOS YACONES 1</t>
  </si>
  <si>
    <t>r0017200024251</t>
  </si>
  <si>
    <t>WC0687</t>
  </si>
  <si>
    <t>Paola oviedo</t>
  </si>
  <si>
    <t>las liebres Club de campo</t>
  </si>
  <si>
    <t>R0017200024260</t>
  </si>
  <si>
    <t>X17199</t>
  </si>
  <si>
    <t>CRUZ ELIANA MATILDE</t>
  </si>
  <si>
    <t>BARRIO EL PARQUE MZA 194 5</t>
  </si>
  <si>
    <t>R0017200024261</t>
  </si>
  <si>
    <t>X17200</t>
  </si>
  <si>
    <t>FERNANDEZ WALTER EMANUEL</t>
  </si>
  <si>
    <t xml:space="preserve">BARRIO 15 DE FEBRERO MZA F2 </t>
  </si>
  <si>
    <t>R0017200024262</t>
  </si>
  <si>
    <t>X17201</t>
  </si>
  <si>
    <t>PEREZ PABLO</t>
  </si>
  <si>
    <t>BARRIO JARDINES DE SAN LORENZO MZA 3 19</t>
  </si>
  <si>
    <t>R0017200024263</t>
  </si>
  <si>
    <t>X01946</t>
  </si>
  <si>
    <t>ROMERO GARCIA RAMIRO</t>
  </si>
  <si>
    <t>BARRIO SANTA LUCIA CALLE 6 MEDIDOR 548</t>
  </si>
  <si>
    <t>R0017200024264</t>
  </si>
  <si>
    <t>X17202</t>
  </si>
  <si>
    <t>MICHEL JOSEFINA</t>
  </si>
  <si>
    <t>OLEGARIO ANDRADE 4068</t>
  </si>
  <si>
    <t>R0017200024272</t>
  </si>
  <si>
    <t>X17206</t>
  </si>
  <si>
    <t>RAMIREZ EMANUEL MAXIMILIANO</t>
  </si>
  <si>
    <t>BARRIO JUAN PABLO 2 BLOCK 27 7</t>
  </si>
  <si>
    <t>R0017200024275</t>
  </si>
  <si>
    <t>X12662</t>
  </si>
  <si>
    <t>MARIELA ORTEGA</t>
  </si>
  <si>
    <t>B UNIV CATOLICA -MZA 542 B CASA 11</t>
  </si>
  <si>
    <t>R0017200024282</t>
  </si>
  <si>
    <t>X17208</t>
  </si>
  <si>
    <t>SANTIAGO SANCHEZ</t>
  </si>
  <si>
    <t xml:space="preserve">salta 265 </t>
  </si>
  <si>
    <t>cafayate</t>
  </si>
  <si>
    <t>R0017200024292</t>
  </si>
  <si>
    <t>X17213</t>
  </si>
  <si>
    <t>MEJIA JUSTO RAFAEL</t>
  </si>
  <si>
    <t>PJE VICENTE SOLA 1740</t>
  </si>
  <si>
    <t>R0017200024293</t>
  </si>
  <si>
    <t>R0017200024294</t>
  </si>
  <si>
    <t>X17216</t>
  </si>
  <si>
    <t>CASTILA DANTE EMANUEL</t>
  </si>
  <si>
    <t>B DOCENTE BLOCK A DPTO 22</t>
  </si>
  <si>
    <t>X17225</t>
  </si>
  <si>
    <t>SALAS NATALIA</t>
  </si>
  <si>
    <t>BARRIO DIVINO NIÑO JESUS MZA 456 3</t>
  </si>
  <si>
    <t>X11371</t>
  </si>
  <si>
    <t>GARCIA MARTIN</t>
  </si>
  <si>
    <t>B SANTA SANTA 2 MZA 11 CASA4 4</t>
  </si>
  <si>
    <t>WC0985</t>
  </si>
  <si>
    <t>ROXANA YAPURA</t>
  </si>
  <si>
    <t>Barrio 17 de octubre</t>
  </si>
  <si>
    <t>X17228</t>
  </si>
  <si>
    <t>SANTILLAN VICTOR FRANCISCO</t>
  </si>
  <si>
    <t>VILLA LOS SAUCES GERMAN BUCH 3087</t>
  </si>
  <si>
    <t>X17229</t>
  </si>
  <si>
    <t>VIANO LUIS ALBERTO</t>
  </si>
  <si>
    <t>BARRIO LIMACHE ETAPA 6 MZA 5 P</t>
  </si>
  <si>
    <t>X17230</t>
  </si>
  <si>
    <t>CHEN QUIAN QUIAN X</t>
  </si>
  <si>
    <t>FLORIDA 350</t>
  </si>
  <si>
    <t>Jgo. Sabanas M.CottonKing Gris</t>
  </si>
  <si>
    <t>X17203</t>
  </si>
  <si>
    <t>VOUHID MARIA SILVANA</t>
  </si>
  <si>
    <t>SANTIAGO DEL ESTERO 962</t>
  </si>
  <si>
    <t>R0017200024335</t>
  </si>
  <si>
    <t xml:space="preserve">PJE MOLLINEDO 264 </t>
  </si>
  <si>
    <t>R0017200024341</t>
  </si>
  <si>
    <t>X17238</t>
  </si>
  <si>
    <t>BURGOS GEORGINA</t>
  </si>
  <si>
    <t>JUAN PABLO 2 MZA 361 A CASA 6 ZONA NORTE</t>
  </si>
  <si>
    <t>R0017200024343</t>
  </si>
  <si>
    <t>X17242</t>
  </si>
  <si>
    <t>ALVAREZ YESICA MAGALI</t>
  </si>
  <si>
    <t>B AUTODROMO ONOFRE MARTMON 424</t>
  </si>
  <si>
    <t>R0017200024344</t>
  </si>
  <si>
    <t>R0017200024346</t>
  </si>
  <si>
    <t>X17243</t>
  </si>
  <si>
    <t>PAZ MARCELO</t>
  </si>
  <si>
    <t>LAS HERTAS 2964</t>
  </si>
  <si>
    <t>R0017200024347</t>
  </si>
  <si>
    <t>X17244</t>
  </si>
  <si>
    <t>LORENZETTI PABLO</t>
  </si>
  <si>
    <t>EUSTAQUIO FRIAS 45</t>
  </si>
  <si>
    <t>R0017200024348</t>
  </si>
  <si>
    <t>R0017200024353</t>
  </si>
  <si>
    <t>X17246</t>
  </si>
  <si>
    <t>PAC SAS</t>
  </si>
  <si>
    <t>DEAN FUNES 507</t>
  </si>
  <si>
    <t>R0017200024354</t>
  </si>
  <si>
    <t>GRAL GUEMES 2280 7 A</t>
  </si>
  <si>
    <t>R0017200024355</t>
  </si>
  <si>
    <t>X17247</t>
  </si>
  <si>
    <t>DANIEL BUBBOLINI</t>
  </si>
  <si>
    <t>B HUAYCO -MZA 494 A CASA 11</t>
  </si>
  <si>
    <t>R0017200024356</t>
  </si>
  <si>
    <t>X17249</t>
  </si>
  <si>
    <t>PLAZA CARLOS</t>
  </si>
  <si>
    <t>BARRIO EL CIRCULO 1 MZA 294B 21</t>
  </si>
  <si>
    <t>JS001W140190GC</t>
  </si>
  <si>
    <t>Jgo. Sabanas Microfiber Full GR</t>
  </si>
  <si>
    <t>R0017200024357</t>
  </si>
  <si>
    <t>R0017200024359</t>
  </si>
  <si>
    <t>X17252</t>
  </si>
  <si>
    <t>ACEBO JAVIER</t>
  </si>
  <si>
    <t>B SAN FRANCISCO DE ASIS MZA 31C CASA 13 13</t>
  </si>
  <si>
    <t>R0017200024362</t>
  </si>
  <si>
    <t>X17253</t>
  </si>
  <si>
    <t>BIOQUIMICA DIAGNOSTICA SRL</t>
  </si>
  <si>
    <t>JOSE AHUMADA 376</t>
  </si>
  <si>
    <t>R0017200024364</t>
  </si>
  <si>
    <t>X17255</t>
  </si>
  <si>
    <t>LA FLORINDA SA</t>
  </si>
  <si>
    <t>CONDOMINIO LA TRINIDAD 2</t>
  </si>
  <si>
    <t>COSFNC180200</t>
  </si>
  <si>
    <t>Col. S&amp;F Prest.Net V25 180x200</t>
  </si>
  <si>
    <t>R0017200024367</t>
  </si>
  <si>
    <t>X17256</t>
  </si>
  <si>
    <t>CHAWASI SAS</t>
  </si>
  <si>
    <t>JARDINES DE SAN LORENZO MZA 6 9</t>
  </si>
  <si>
    <t>R0017200024375</t>
  </si>
  <si>
    <t>X17258</t>
  </si>
  <si>
    <t>VALENTINA RODRIGUEZ</t>
  </si>
  <si>
    <t>VILLA LUJAN CIRCUNVALACION 1326</t>
  </si>
  <si>
    <t>R0017200024378</t>
  </si>
  <si>
    <t>WC1207</t>
  </si>
  <si>
    <t>CLAUDIO ARIEL GARIBOLI</t>
  </si>
  <si>
    <t>LAS ACEQUIAS 843</t>
  </si>
  <si>
    <t>R0017200024382</t>
  </si>
  <si>
    <t>X17264</t>
  </si>
  <si>
    <t>OJEDA CLAUDIA MARILIN</t>
  </si>
  <si>
    <t>B LOS ROLBES RUTA 51 KM 905 LOTE 7 MZA 508 7</t>
  </si>
  <si>
    <t>R0017200024383</t>
  </si>
  <si>
    <t>Col. Sealy Chill Memory 200X200</t>
  </si>
  <si>
    <t>R0017200024384</t>
  </si>
  <si>
    <t>R0017200024386</t>
  </si>
  <si>
    <t>X17219</t>
  </si>
  <si>
    <t>ADET NICOLAS</t>
  </si>
  <si>
    <t>RIVADAVIA 234 P 3 D A</t>
  </si>
  <si>
    <t>R0017200024387</t>
  </si>
  <si>
    <t>X17265</t>
  </si>
  <si>
    <t>ABAN NOEL ANAHI</t>
  </si>
  <si>
    <t>B SANTA ANA POLICIAL PILAR SARRIERA 786</t>
  </si>
  <si>
    <t>R0017200024388</t>
  </si>
  <si>
    <t>R0017200024389</t>
  </si>
  <si>
    <t>WC1247</t>
  </si>
  <si>
    <t>NELLY DEL MILAGRO RIOS</t>
  </si>
  <si>
    <t>C. Amaicha 60</t>
  </si>
  <si>
    <t>R0017200024390</t>
  </si>
  <si>
    <t>X17266</t>
  </si>
  <si>
    <t>CENTRO MEDICO PUNTO DOC SAS</t>
  </si>
  <si>
    <t>B PERIODISTA ILARIO ASCASIBI 1718</t>
  </si>
  <si>
    <t>R0017200024408</t>
  </si>
  <si>
    <t>R00172000244010</t>
  </si>
  <si>
    <t>X17277</t>
  </si>
  <si>
    <t>ARANCIBIA TAMARA</t>
  </si>
  <si>
    <t>DIARIO LA OPINION DE BUENOS AIRES 3635</t>
  </si>
  <si>
    <t>R0017200024413</t>
  </si>
  <si>
    <t>R0017200024414</t>
  </si>
  <si>
    <t>WC1131</t>
  </si>
  <si>
    <t>Jesus Luis Gauchat</t>
  </si>
  <si>
    <t>General Paz 39</t>
  </si>
  <si>
    <t>Nueva Oran</t>
  </si>
  <si>
    <t>R0017200024420</t>
  </si>
  <si>
    <t>X17279</t>
  </si>
  <si>
    <t>LUIS DANIEL KOHAN</t>
  </si>
  <si>
    <t>jose felix uriburu 135 (bicentenario al 450)</t>
  </si>
  <si>
    <t>R0017200024423</t>
  </si>
  <si>
    <t>X17282</t>
  </si>
  <si>
    <t>ROMULO MATIAS</t>
  </si>
  <si>
    <t>BARRIOS LOS LAPACHOS MZA 470 D</t>
  </si>
  <si>
    <t>R0017200024424</t>
  </si>
  <si>
    <t>WC1407</t>
  </si>
  <si>
    <t>Silvana Arroyo</t>
  </si>
  <si>
    <t>HIPOLITO HIIRIGOJEN 832</t>
  </si>
  <si>
    <t>R0017200024441</t>
  </si>
  <si>
    <t>X01061</t>
  </si>
  <si>
    <t xml:space="preserve">AGUILERA VOTRICO CLAUDIA </t>
  </si>
  <si>
    <t>B 3 CERRITOS LOS TILOS 49</t>
  </si>
  <si>
    <t>SEALY EMERALD 140X190</t>
  </si>
  <si>
    <t>R0017200024440</t>
  </si>
  <si>
    <t>X11253</t>
  </si>
  <si>
    <t>FERNANDEZ LILIANA ALEJANDRA</t>
  </si>
  <si>
    <t xml:space="preserve">B SANTA ANA PASAJE 11 </t>
  </si>
  <si>
    <t>SEALY QUARTZ 140X190</t>
  </si>
  <si>
    <t>CARBON GREY</t>
  </si>
  <si>
    <t>R0017200024439</t>
  </si>
  <si>
    <t>ZLOW VISCOELASTIC 80X40</t>
  </si>
  <si>
    <t>R0017200024438</t>
  </si>
  <si>
    <t>CARBON GREY 100190</t>
  </si>
  <si>
    <t>RAINBOW 100X190</t>
  </si>
  <si>
    <t>R0017200024437</t>
  </si>
  <si>
    <t>X17286</t>
  </si>
  <si>
    <t>SAAVEDRA NICOLAS</t>
  </si>
  <si>
    <t>PREDERAS SAN LORENZO MZA 7 LOT 21</t>
  </si>
  <si>
    <t>POST QUARTZ</t>
  </si>
  <si>
    <t>R0017200024447</t>
  </si>
  <si>
    <t>b juan pablo 2 block 56 56 2 10</t>
  </si>
  <si>
    <t>COMPOA090190</t>
  </si>
  <si>
    <t>Col. Meyer Pocket 090x190</t>
  </si>
  <si>
    <t>R0017200024455</t>
  </si>
  <si>
    <t>B PARQUE LA VEGA TORRE 54 56 PB D</t>
  </si>
  <si>
    <t>R0017200024456</t>
  </si>
  <si>
    <t>X17296</t>
  </si>
  <si>
    <t>TOLABA CARMEN JOSEFINA</t>
  </si>
  <si>
    <t>J DOMINGO PERON S/N 1</t>
  </si>
  <si>
    <t>CORONEL MOLDES</t>
  </si>
  <si>
    <t>R0017200024461</t>
  </si>
  <si>
    <t>X17301</t>
  </si>
  <si>
    <t>MANSFIELD MINERA SA</t>
  </si>
  <si>
    <t>LAS HERAS 1241 3 A</t>
  </si>
  <si>
    <t>R0017200024462</t>
  </si>
  <si>
    <t>R0017200024463</t>
  </si>
  <si>
    <t>X17302</t>
  </si>
  <si>
    <t>MOLINA FATIMA</t>
  </si>
  <si>
    <t>LAS TUSCAS 59</t>
  </si>
  <si>
    <t>R0017200024464</t>
  </si>
  <si>
    <t>R0017200024467</t>
  </si>
  <si>
    <t>R0017200024404</t>
  </si>
  <si>
    <t xml:space="preserve">KARALE SRL </t>
  </si>
  <si>
    <t>TIPAL CEL 3875-083206</t>
  </si>
  <si>
    <t>ALM. zLOW cOLL mEMORY 70</t>
  </si>
  <si>
    <t>Pata Clasica Polipropileno</t>
  </si>
  <si>
    <t>Som.Sealy Carbon Grey 140x190</t>
  </si>
  <si>
    <t>R0017200024468</t>
  </si>
  <si>
    <t>X14677</t>
  </si>
  <si>
    <t>AVALOS GRADYS NOEMI</t>
  </si>
  <si>
    <t>Amp Barrio El bosque  Block 38 Dpto1</t>
  </si>
  <si>
    <t>SOFCAEMI16</t>
  </si>
  <si>
    <t>Sofá Cama Emily Gris</t>
  </si>
  <si>
    <t>R0017200024470</t>
  </si>
  <si>
    <t>X17304</t>
  </si>
  <si>
    <t>CAVOLO JUAN ENRIQUE</t>
  </si>
  <si>
    <t>Bolivia 368</t>
  </si>
  <si>
    <t>R0017200024473</t>
  </si>
  <si>
    <t>X17305</t>
  </si>
  <si>
    <t>MARIANA AGUERO</t>
  </si>
  <si>
    <t xml:space="preserve">JARDIN DE SAN LORENZO MZA 14 10 </t>
  </si>
  <si>
    <t>R0117200024475</t>
  </si>
  <si>
    <t>X17306</t>
  </si>
  <si>
    <t>NAYRA ARUMA TORREZ</t>
  </si>
  <si>
    <t>B Pereyra rosa  Estapa 7 Mza 625 Casa 28</t>
  </si>
  <si>
    <t>Alm. Memory Grid Gel 90x50</t>
  </si>
  <si>
    <t>r0017200024482</t>
  </si>
  <si>
    <t>R0017200024484</t>
  </si>
  <si>
    <t>X17308</t>
  </si>
  <si>
    <t>PENOVI PABLO MANUEL</t>
  </si>
  <si>
    <t>facundo 1420</t>
  </si>
  <si>
    <t>r0017200024491</t>
  </si>
  <si>
    <t>VR3819</t>
  </si>
  <si>
    <t>Reynaldo Merlo Cayo</t>
  </si>
  <si>
    <t>bARRIO BALAGUER PASAJE CORBALAN 17 0</t>
  </si>
  <si>
    <t>CARRIL</t>
  </si>
  <si>
    <t>R0017200024495</t>
  </si>
  <si>
    <t>X17315</t>
  </si>
  <si>
    <t>LEZAMA MIGUEL ANGEL</t>
  </si>
  <si>
    <t>LA VOZ DE COMAHUE 3022</t>
  </si>
  <si>
    <t>Som. Universal White 090x200</t>
  </si>
  <si>
    <t>R0017200024496</t>
  </si>
  <si>
    <t>X17317</t>
  </si>
  <si>
    <t>EUGENIA MAJUL X</t>
  </si>
  <si>
    <t>JURAMENTO 373</t>
  </si>
  <si>
    <t>R0017200024505</t>
  </si>
  <si>
    <t>X17303</t>
  </si>
  <si>
    <t>SUSANA BARRINGTON</t>
  </si>
  <si>
    <t>ESTANCIA EL SAUSALITO -EL JARDIN 0</t>
  </si>
  <si>
    <t>R0017200024506</t>
  </si>
  <si>
    <t>X17320</t>
  </si>
  <si>
    <t>ESPECHE ALBERTO</t>
  </si>
  <si>
    <t>ESTANISLAO DEL CAMPO 949</t>
  </si>
  <si>
    <t>R0017200024512</t>
  </si>
  <si>
    <t>X17322</t>
  </si>
  <si>
    <t>VANETTA ALVARO JOAQUIN</t>
  </si>
  <si>
    <t>URBANIZACION SAN CARLOS MZA 555 12</t>
  </si>
  <si>
    <t>BRCAMBAJN080200</t>
  </si>
  <si>
    <t>Cama Baul Extra Space BR 080x200</t>
  </si>
  <si>
    <t>R0017200024513</t>
  </si>
  <si>
    <t>X17323</t>
  </si>
  <si>
    <t>MARTA DOBRO</t>
  </si>
  <si>
    <t>VIA AURELIA -MZA 44 LOTE 25 A</t>
  </si>
  <si>
    <t>R0017200024514</t>
  </si>
  <si>
    <t>X17324</t>
  </si>
  <si>
    <t>ALCAZAR GUSTAVO</t>
  </si>
  <si>
    <t>LOS OLMOS 246</t>
  </si>
  <si>
    <t>R0017200024523</t>
  </si>
  <si>
    <t>R0017200024524</t>
  </si>
  <si>
    <t>X17331</t>
  </si>
  <si>
    <t>HERRERA MARISA</t>
  </si>
  <si>
    <t>B JUAN PABLO 2 BLOCK 31 31 8</t>
  </si>
  <si>
    <t>COCHBB200200</t>
  </si>
  <si>
    <t>Col. Sealy Cocoon Hybrid200x200</t>
  </si>
  <si>
    <t>R0017200024538</t>
  </si>
  <si>
    <t>WC0823</t>
  </si>
  <si>
    <t>mariano ghigo</t>
  </si>
  <si>
    <t>b pereyra rosas-etapa 10 mza 636 casa 2</t>
  </si>
  <si>
    <t>R0017200024540</t>
  </si>
  <si>
    <t>X17334</t>
  </si>
  <si>
    <t>ARAMAYO MARTIN</t>
  </si>
  <si>
    <t>LAS HERAS 35 3</t>
  </si>
  <si>
    <t>R0017200024541</t>
  </si>
  <si>
    <t>OSCAR CABALEN 531 B AUTODROMO</t>
  </si>
  <si>
    <t>R0017200024542</t>
  </si>
  <si>
    <t>X17332</t>
  </si>
  <si>
    <t>SARAPURA ESTER ALICIA</t>
  </si>
  <si>
    <t>B SANTA CECILIA 115 VIVIENDAS MZA F CASA 5 5</t>
  </si>
  <si>
    <t>R0017200024544</t>
  </si>
  <si>
    <t>X17341</t>
  </si>
  <si>
    <t>OLGA LAVILLA</t>
  </si>
  <si>
    <t xml:space="preserve">JARDINES DE SAN LORENZO 20 1 </t>
  </si>
  <si>
    <t>R0017200024548</t>
  </si>
  <si>
    <t>ampliacion santa ana 2 mza750 casa 6 pje lamas g</t>
  </si>
  <si>
    <t>R0017200024559</t>
  </si>
  <si>
    <t>X17348</t>
  </si>
  <si>
    <t>FARFAN MARIA DEL VALLE</t>
  </si>
  <si>
    <t>B MARTIN MIGUEL DE GUEMES MZA 6A CASA 14</t>
  </si>
  <si>
    <t>R0017200024560</t>
  </si>
  <si>
    <t>X17344</t>
  </si>
  <si>
    <t>Premar S.A.</t>
  </si>
  <si>
    <t>AV URUGUAY 869</t>
  </si>
  <si>
    <t>R0017200024561</t>
  </si>
  <si>
    <t>X14807</t>
  </si>
  <si>
    <t>TORRES MANUEL</t>
  </si>
  <si>
    <t>Bº GARCIA BASALO MZA 184 A 6</t>
  </si>
  <si>
    <t>R0017200024562</t>
  </si>
  <si>
    <t>mendoza 956  DTO8</t>
  </si>
  <si>
    <t>R0017200024563</t>
  </si>
  <si>
    <t>X17351</t>
  </si>
  <si>
    <t>BERJEIRE JUAN RAMON</t>
  </si>
  <si>
    <t>AV GABRIEL GUEMES BLOCK 19 100 9</t>
  </si>
  <si>
    <t>R0017200024564</t>
  </si>
  <si>
    <t>X11272</t>
  </si>
  <si>
    <t>MUNOZ SUSANA MARIA INES</t>
  </si>
  <si>
    <t>RADIO JV GONZALES 2652</t>
  </si>
  <si>
    <t>R0017200024565</t>
  </si>
  <si>
    <t>X17354</t>
  </si>
  <si>
    <t>GUAYMAS MARINARO PAOLA ANDREA</t>
  </si>
  <si>
    <t>RAFAEL OBLIGADO 431</t>
  </si>
  <si>
    <t>R0017200024567</t>
  </si>
  <si>
    <t>X17353</t>
  </si>
  <si>
    <t>OSCAR JAVIER AGUILAR</t>
  </si>
  <si>
    <t>B SOLIDARIDAD 2 ESTAPA MZA 434 C CASA 13</t>
  </si>
  <si>
    <t>R0017200024568</t>
  </si>
  <si>
    <t>X17355</t>
  </si>
  <si>
    <t>ARANCIBIA NATALIA X</t>
  </si>
  <si>
    <t>DEAN FUNES 781 1 B</t>
  </si>
  <si>
    <t>PROYECTORPRO300</t>
  </si>
  <si>
    <t>Proyector Portatil Pro</t>
  </si>
  <si>
    <t>R0017200024569</t>
  </si>
  <si>
    <t>X17356</t>
  </si>
  <si>
    <t>MOYANO JORGE</t>
  </si>
  <si>
    <t>BARRIO LOS CEIBOS MZA 537A 11</t>
  </si>
  <si>
    <t>R0017200024575</t>
  </si>
  <si>
    <t>Los tarcos 00</t>
  </si>
  <si>
    <t>R0017200024576</t>
  </si>
  <si>
    <t>X17357</t>
  </si>
  <si>
    <t>RUIZ VILLADA LUI</t>
  </si>
  <si>
    <t>B LAS HUELLAS CASA LOTE 2 17</t>
  </si>
  <si>
    <t>X17361</t>
  </si>
  <si>
    <t>CASTELLI CARLOS</t>
  </si>
  <si>
    <t>B SANTA ANA 1 ARDILES 1487</t>
  </si>
  <si>
    <t>R0017200024577</t>
  </si>
  <si>
    <t>X12279</t>
  </si>
  <si>
    <t>arias hector abrahan</t>
  </si>
  <si>
    <t>ruta 68 135</t>
  </si>
  <si>
    <t>COMSPA080190</t>
  </si>
  <si>
    <t>Col. Meyer Sleep Plus 080x190</t>
  </si>
  <si>
    <t>R0017200024578</t>
  </si>
  <si>
    <t>X17360</t>
  </si>
  <si>
    <t>FABIAN AZUCENA IRENE</t>
  </si>
  <si>
    <t>BARRIO ALTO ROSARIO MZA A 24</t>
  </si>
  <si>
    <t>R0017200024580</t>
  </si>
  <si>
    <t>villa palacios block 20 pb d</t>
  </si>
  <si>
    <t>R0017200024581</t>
  </si>
  <si>
    <t>R0017200024583</t>
  </si>
  <si>
    <t>X17363</t>
  </si>
  <si>
    <t>CHAILE JOSE GULLERMO</t>
  </si>
  <si>
    <t>JUAN MANUEL DE ROSAS 414</t>
  </si>
  <si>
    <t>R0017200024594</t>
  </si>
  <si>
    <t>X17365</t>
  </si>
  <si>
    <t>BULLIARD JUAN</t>
  </si>
  <si>
    <t>V REBECA MZA 397A LOTE 15 15</t>
  </si>
  <si>
    <t>R0017200024595</t>
  </si>
  <si>
    <t>X17370</t>
  </si>
  <si>
    <t>VILLAMAYOR MARIA EMILIA</t>
  </si>
  <si>
    <t>B VILLA PALACIOS BLOCK 34 34 2 A</t>
  </si>
  <si>
    <t>R0017200024596</t>
  </si>
  <si>
    <t>X17380</t>
  </si>
  <si>
    <t>OBRIEN ANDRES</t>
  </si>
  <si>
    <t>B LAS VERTIENTES JULIO CORTAZAR 2100 LOTE 492</t>
  </si>
  <si>
    <t>R0017200024597</t>
  </si>
  <si>
    <t>R0017200024598</t>
  </si>
  <si>
    <t>X17367</t>
  </si>
  <si>
    <t>MICHEL CRISTIAN</t>
  </si>
  <si>
    <t>CIRCULO 6 MZA C 9</t>
  </si>
  <si>
    <t>R0017200024599</t>
  </si>
  <si>
    <t>R0017200024600</t>
  </si>
  <si>
    <t>X17369</t>
  </si>
  <si>
    <t>FLORES RAQUEL</t>
  </si>
  <si>
    <t>BARRIO EL HUAICO MZA 451C 27</t>
  </si>
  <si>
    <t>R0017200024601</t>
  </si>
  <si>
    <t>X17371</t>
  </si>
  <si>
    <t>LOPEZ CRISTIAN JESUS</t>
  </si>
  <si>
    <t>PASAJE RICARDO IBAZETA 432</t>
  </si>
  <si>
    <t>R0017200024602</t>
  </si>
  <si>
    <t>R0017200024603</t>
  </si>
  <si>
    <t>X17375</t>
  </si>
  <si>
    <t>DE BIEN DALMA</t>
  </si>
  <si>
    <t>BARRIO CASINO BLOCK B 1 5</t>
  </si>
  <si>
    <t>Jgo. Sabanas M.CottonQueen Blanc</t>
  </si>
  <si>
    <t>R0017200024604</t>
  </si>
  <si>
    <t>X17373</t>
  </si>
  <si>
    <t>AGUERO CARLOS DANIEL</t>
  </si>
  <si>
    <t>RUTA 21 KM 13</t>
  </si>
  <si>
    <t>R0017200024608</t>
  </si>
  <si>
    <t>R0017200024607</t>
  </si>
  <si>
    <t>R0017200024609</t>
  </si>
  <si>
    <t>X11680</t>
  </si>
  <si>
    <t>ETERSEN PFISTER EZEQUIEL SERGIO</t>
  </si>
  <si>
    <t>R0017200024610</t>
  </si>
  <si>
    <t>X17377</t>
  </si>
  <si>
    <t>MENDEZ MAXIMILIANO EDUARDO</t>
  </si>
  <si>
    <t>GATO Y MANCHA BLOCK 8 3 16</t>
  </si>
  <si>
    <t>R0017200024611</t>
  </si>
  <si>
    <t>R0017200024612</t>
  </si>
  <si>
    <t>X17381</t>
  </si>
  <si>
    <t>AGUILAR PATRICIA</t>
  </si>
  <si>
    <t>LIMACHE ETAPA 12 MZA 5 15</t>
  </si>
  <si>
    <t>R0017200024613</t>
  </si>
  <si>
    <t>X17379</t>
  </si>
  <si>
    <t>GUARAQCHI ORTIZ CELIA</t>
  </si>
  <si>
    <t>B SOLIDARIDAD MZA 465 B LOTE 8</t>
  </si>
  <si>
    <t>R0017200024614</t>
  </si>
  <si>
    <t>R0017200024615</t>
  </si>
  <si>
    <t>X14061</t>
  </si>
  <si>
    <t>ZILBERTEIN SAMUEL</t>
  </si>
  <si>
    <t>B SAN CARLOS MZA 60 CASA 14</t>
  </si>
  <si>
    <t>R0017200024617</t>
  </si>
  <si>
    <t>X17383</t>
  </si>
  <si>
    <t>DE GLEE GUILLERMO</t>
  </si>
  <si>
    <t>PRADERAS DE SAN LORENZO MZA 9 L 15</t>
  </si>
  <si>
    <t>R0017200024620</t>
  </si>
  <si>
    <t>B 300 VIVIENDAS MZA 147 CASA 8</t>
  </si>
  <si>
    <t>R0017200024621</t>
  </si>
  <si>
    <t>R0017200024623</t>
  </si>
  <si>
    <t>X17384</t>
  </si>
  <si>
    <t>GASPAR INES</t>
  </si>
  <si>
    <t>FINCA LA CAPILLA RUTA 68 KM 161</t>
  </si>
  <si>
    <t>R0017200024622</t>
  </si>
  <si>
    <t>R0017200024624</t>
  </si>
  <si>
    <t>X17385</t>
  </si>
  <si>
    <t>ORELLANA DOMINGUEZ CARLOS</t>
  </si>
  <si>
    <t>RUTA 68 KM175 175</t>
  </si>
  <si>
    <t>R0017200024625</t>
  </si>
  <si>
    <t>X17386</t>
  </si>
  <si>
    <t>QUIPILDOR EDUARDO</t>
  </si>
  <si>
    <t>VILLA LOS SAUCES Zacarias Yanci 1328</t>
  </si>
  <si>
    <t>R0017200024626</t>
  </si>
  <si>
    <t>R0017200024632</t>
  </si>
  <si>
    <t>1605/2026</t>
  </si>
  <si>
    <t>X17387</t>
  </si>
  <si>
    <t>MARCHEN ANDRES</t>
  </si>
  <si>
    <t>SAN ROQUE 4258</t>
  </si>
  <si>
    <t>R0017200024638</t>
  </si>
  <si>
    <t>X17388</t>
  </si>
  <si>
    <t>MONTEAGUDO PEDRO LUCAS</t>
  </si>
  <si>
    <t>BARRIO 21 DE NOVIEMBRE MZA C 10</t>
  </si>
  <si>
    <t>R0017200024637</t>
  </si>
  <si>
    <t>R0017200024633</t>
  </si>
  <si>
    <t>X17390</t>
  </si>
  <si>
    <t>PARATZ MIGUEL ANGEL</t>
  </si>
  <si>
    <t>ESTEBAN ECHEVERRIA 699</t>
  </si>
  <si>
    <t>R0017200024634</t>
  </si>
  <si>
    <t>R0017200024635</t>
  </si>
  <si>
    <t>R0017200024636</t>
  </si>
  <si>
    <t>X17391</t>
  </si>
  <si>
    <t>JUAN CRUZ</t>
  </si>
  <si>
    <t>B SAN IGNACIO AVDA BORELLI Y DIAZ VILLALVA MZA 4</t>
  </si>
  <si>
    <t>R0017200024640</t>
  </si>
  <si>
    <t>X17393</t>
  </si>
  <si>
    <t>LIENDRO JUSTINIANO DELFIN</t>
  </si>
  <si>
    <t>BARRIO SOLIDARIDAD  3AP ESTAPA MZA 455C LOTE 10</t>
  </si>
  <si>
    <t>R0017200024661</t>
  </si>
  <si>
    <t>X17397</t>
  </si>
  <si>
    <t>SINATRA FACUNDO</t>
  </si>
  <si>
    <t>SANSON CASA 5 2720</t>
  </si>
  <si>
    <t>R0017200024662</t>
  </si>
  <si>
    <t>X17398</t>
  </si>
  <si>
    <t>POLITO ALPIRE MARIA BELEN</t>
  </si>
  <si>
    <t>B COMPLEJO HABITACIONAL SUR MZA B CASA 11</t>
  </si>
  <si>
    <t>R0017200024663</t>
  </si>
  <si>
    <t>R0017200024664</t>
  </si>
  <si>
    <t>X17399</t>
  </si>
  <si>
    <t>VALENCIA NATALIA</t>
  </si>
  <si>
    <t>B SAN FRANCISCO SAN PEDRO 1789</t>
  </si>
  <si>
    <t>R0017200024665</t>
  </si>
  <si>
    <t>X17402</t>
  </si>
  <si>
    <t>MARISCAL JOSE LUIS</t>
  </si>
  <si>
    <t>MANUEL DORREGO 383</t>
  </si>
  <si>
    <t>R0017200024666</t>
  </si>
  <si>
    <t>X17403</t>
  </si>
  <si>
    <t>DREER GUILLERMO DANIEL</t>
  </si>
  <si>
    <t>LOS CHAÑARES 45</t>
  </si>
  <si>
    <t>R0017200024667</t>
  </si>
  <si>
    <t>X17401</t>
  </si>
  <si>
    <t>ALEJANDRO CLEMENT</t>
  </si>
  <si>
    <t>EL TYPAL -CALLE LA PAZ 301</t>
  </si>
  <si>
    <t>R0017200024668</t>
  </si>
  <si>
    <t>X17406</t>
  </si>
  <si>
    <t>MARTINEZ LEONARDO</t>
  </si>
  <si>
    <t>SAN MARTIN MZA 33 32</t>
  </si>
  <si>
    <t>R0017200024669</t>
  </si>
  <si>
    <t>R0017200024670</t>
  </si>
  <si>
    <t>X17407</t>
  </si>
  <si>
    <t>Lourdes camila Vicedo</t>
  </si>
  <si>
    <t>PJE JOSE INGENIERO 250</t>
  </si>
  <si>
    <t>R0017200024671</t>
  </si>
  <si>
    <t>X17411</t>
  </si>
  <si>
    <t>ZUVIRIA SOFIA</t>
  </si>
  <si>
    <t>PJE JACINTO BENAVENTE 851</t>
  </si>
  <si>
    <t>R0017200024672</t>
  </si>
  <si>
    <t>R0017200024673</t>
  </si>
  <si>
    <t>X17410</t>
  </si>
  <si>
    <t>MAMANI MARIA CELESTE</t>
  </si>
  <si>
    <t>EL FUEGUINO 3046</t>
  </si>
  <si>
    <t>R0017200024674</t>
  </si>
  <si>
    <t>X17412</t>
  </si>
  <si>
    <t>RODRIGUEZ HERNAN ALEJANDRO</t>
  </si>
  <si>
    <t>JUAN FERNANDEZ 884</t>
  </si>
  <si>
    <t>Col. Serta Owen 200x200</t>
  </si>
  <si>
    <t>R0017200024675</t>
  </si>
  <si>
    <t>R0017200024678</t>
  </si>
  <si>
    <t>X17408</t>
  </si>
  <si>
    <t>GUTIERREZ NICOLAS</t>
  </si>
  <si>
    <t>REPUBLICA DE SIRIA 1383</t>
  </si>
  <si>
    <t>R0017200024679</t>
  </si>
  <si>
    <t>R0017200024685</t>
  </si>
  <si>
    <t>X17415</t>
  </si>
  <si>
    <t>CRUZ VEGA GUILLERMO</t>
  </si>
  <si>
    <t>Ruiz Díaz de Guzmán 526</t>
  </si>
  <si>
    <t>60101.21</t>
  </si>
  <si>
    <t>Col. Delta InduCol. 090x190</t>
  </si>
  <si>
    <t>R0017200024684</t>
  </si>
  <si>
    <t>R0017200024687</t>
  </si>
  <si>
    <t>X17416</t>
  </si>
  <si>
    <t>COLQUE ESTEBAN CANDIDO</t>
  </si>
  <si>
    <t>ANZOATEGUI 2508</t>
  </si>
  <si>
    <t>R0017200024692</t>
  </si>
  <si>
    <t>X17420</t>
  </si>
  <si>
    <t>GARCIA JOEL GUSTAVO</t>
  </si>
  <si>
    <t>RIO LAVALLEN 2288</t>
  </si>
  <si>
    <t>R0017200024693</t>
  </si>
  <si>
    <t>R0017200024704</t>
  </si>
  <si>
    <t>X17428</t>
  </si>
  <si>
    <t>EDUARDO LUKASIEWICZ</t>
  </si>
  <si>
    <t>LAS CAÑADAS LOTE 141</t>
  </si>
  <si>
    <t>R0017200024705</t>
  </si>
  <si>
    <t>R0017200024710</t>
  </si>
  <si>
    <t>X17417</t>
  </si>
  <si>
    <t>CASTRO SANTIAGO</t>
  </si>
  <si>
    <t>CALLE 20 DE FEBRERO 360</t>
  </si>
  <si>
    <t>R0017200024711</t>
  </si>
  <si>
    <t>X17419</t>
  </si>
  <si>
    <t>FERNANDEZ DE ULIVARRI EUGENIA</t>
  </si>
  <si>
    <t>RIVADAVIA 632 632</t>
  </si>
  <si>
    <t>Som. Light Blue 080x190</t>
  </si>
  <si>
    <t>R0017200024712</t>
  </si>
  <si>
    <t>X17426</t>
  </si>
  <si>
    <t>mario adamo</t>
  </si>
  <si>
    <t>finca el carmen Betania General Guemes 0 0 0</t>
  </si>
  <si>
    <t>R0017200024713</t>
  </si>
  <si>
    <t>X17430</t>
  </si>
  <si>
    <t>ARROYO CRISTIAN</t>
  </si>
  <si>
    <t>BARRIO 25 DE MAYO PARAGUAY 1516</t>
  </si>
  <si>
    <t>GENERAL GÚEMES</t>
  </si>
  <si>
    <t>R0017200024722</t>
  </si>
  <si>
    <t>BARRIO SAN BENJAMIN MZA F CASA 4</t>
  </si>
  <si>
    <t>R0017200024723</t>
  </si>
  <si>
    <t>X05579</t>
  </si>
  <si>
    <t>NICOLAS MARIANO ESNAL HERNANDO</t>
  </si>
  <si>
    <t>B LOS ODONTOLOGOS MZA 101 CASA 8</t>
  </si>
  <si>
    <t>R0017200024724</t>
  </si>
  <si>
    <t>X17436</t>
  </si>
  <si>
    <t>DARGO GUILLERMO VERCHAN</t>
  </si>
  <si>
    <t>PARAJE EL SALDILLO CAMPING MI TATA 1</t>
  </si>
  <si>
    <t>R0017200024728</t>
  </si>
  <si>
    <t>X17438</t>
  </si>
  <si>
    <t>GUSTAVO OMAR RESUCHE X</t>
  </si>
  <si>
    <t>AMP BOSQUE BLOCK 27 DEPTO 13</t>
  </si>
  <si>
    <t>r0017200024733</t>
  </si>
  <si>
    <t>mas pedido q viene x cros</t>
  </si>
  <si>
    <t>R0017200024734</t>
  </si>
  <si>
    <t>X17434</t>
  </si>
  <si>
    <t>BENEGAS FRANCO NICOLAS</t>
  </si>
  <si>
    <t>LA LUCINDA NORTE LOTE 67</t>
  </si>
  <si>
    <t>R0017200024736</t>
  </si>
  <si>
    <t>AMP BOSQUE-BLOCK 27 DPTO 13 3</t>
  </si>
  <si>
    <t>R0017200024737</t>
  </si>
  <si>
    <t>R0017200024738</t>
  </si>
  <si>
    <t>X17440</t>
  </si>
  <si>
    <t>CHOCOBAR FELIX OMAR</t>
  </si>
  <si>
    <t>B LIMACHE ETAPA 3 MZA 3 CASA 5 5</t>
  </si>
  <si>
    <t>R0017200024744</t>
  </si>
  <si>
    <t>X11894</t>
  </si>
  <si>
    <t>SULCA JUAN PABLO</t>
  </si>
  <si>
    <t>B CIRCULO 1 MZA I CASA 23</t>
  </si>
  <si>
    <t>R0017200024745</t>
  </si>
  <si>
    <t>X17442</t>
  </si>
  <si>
    <t>MORENO HECTOR</t>
  </si>
  <si>
    <t>B LEANDRO N ALEM MZA 6 CASA 48</t>
  </si>
  <si>
    <t>R0017200024746</t>
  </si>
  <si>
    <t>X17439</t>
  </si>
  <si>
    <t>CURIOTTO PATRICIA</t>
  </si>
  <si>
    <t>B CASTAÑARES GRUPO 108 BLOCK K 108 2</t>
  </si>
  <si>
    <t>R0017200024772</t>
  </si>
  <si>
    <t>X17453</t>
  </si>
  <si>
    <t>GONZALO ZACHARIAS</t>
  </si>
  <si>
    <t>BARRIO EL HUAICO MZA 473B 27</t>
  </si>
  <si>
    <t>R0017200024775</t>
  </si>
  <si>
    <t>X09082</t>
  </si>
  <si>
    <t>PUPPI MARTIN</t>
  </si>
  <si>
    <t>eco village el prado-el algarrobal 268</t>
  </si>
  <si>
    <t>R0017200024776</t>
  </si>
  <si>
    <t>X12380</t>
  </si>
  <si>
    <t>MIRSA FERNANDEZ</t>
  </si>
  <si>
    <t>MAR ROJO 1147</t>
  </si>
  <si>
    <t>R0017200024777</t>
  </si>
  <si>
    <t>X17451</t>
  </si>
  <si>
    <t>GERONIMO MATIAS</t>
  </si>
  <si>
    <t>DAMIAN TORINO 822</t>
  </si>
  <si>
    <t>R0017200024778</t>
  </si>
  <si>
    <t>R0017200024779</t>
  </si>
  <si>
    <t>X17452</t>
  </si>
  <si>
    <t>MUSSO EDGAR ANIBAL</t>
  </si>
  <si>
    <t>PJE LOS ARTESANOS 457</t>
  </si>
  <si>
    <t>R0017200024780</t>
  </si>
  <si>
    <t>R0017200024781</t>
  </si>
  <si>
    <t>R0017200024782</t>
  </si>
  <si>
    <t>X17446</t>
  </si>
  <si>
    <t>MARTINEZ BRUA CARLOS</t>
  </si>
  <si>
    <t>AV 9 DE JULIO CASA 189</t>
  </si>
  <si>
    <t>QUIJANO</t>
  </si>
  <si>
    <t>R0017200024783</t>
  </si>
  <si>
    <t>84211.1</t>
  </si>
  <si>
    <t>Som. Comfort Sens. 100x200</t>
  </si>
  <si>
    <t>R0017200024794</t>
  </si>
  <si>
    <t>X17330</t>
  </si>
  <si>
    <t>BURKLE OBALLOS MONICA</t>
  </si>
  <si>
    <t>CORONEL SUAREZ 346</t>
  </si>
  <si>
    <t>R0017200024795</t>
  </si>
  <si>
    <t>X17450</t>
  </si>
  <si>
    <t>PEDRO ANGELICA X</t>
  </si>
  <si>
    <t>R0017200024796</t>
  </si>
  <si>
    <t>R0017200024797</t>
  </si>
  <si>
    <t>X17458</t>
  </si>
  <si>
    <t>ENCINA MENDOZA SERGIO ESTEBAN</t>
  </si>
  <si>
    <t>B SANTA ANA 2 MZA A CASA 5</t>
  </si>
  <si>
    <t>R0017200024798</t>
  </si>
  <si>
    <t>barrio inmaculada concepcion 12</t>
  </si>
  <si>
    <t>EL BORDO</t>
  </si>
  <si>
    <t>R0017200024799</t>
  </si>
  <si>
    <t>X17461</t>
  </si>
  <si>
    <t>WILLIAMS KAREN ILEANA</t>
  </si>
  <si>
    <t>VILLA ESMERALDA CLARA VILLAREAL 5240</t>
  </si>
  <si>
    <t>R0017200024800</t>
  </si>
  <si>
    <t>X17464</t>
  </si>
  <si>
    <t>CRUZ MIGUEL</t>
  </si>
  <si>
    <t>B SAN ISIDRO MZA 1A LOTE 12</t>
  </si>
  <si>
    <t>R0017200024801</t>
  </si>
  <si>
    <t>X17465</t>
  </si>
  <si>
    <t>GARCIA D CECCO</t>
  </si>
  <si>
    <t>COMPLEJO CHANCAS CALLE LOS PINOS 1 C</t>
  </si>
  <si>
    <t>R0017200024813</t>
  </si>
  <si>
    <t>R0017200024814</t>
  </si>
  <si>
    <t>X17405</t>
  </si>
  <si>
    <t>GARBAL ALEJANDRA</t>
  </si>
  <si>
    <t>LAS SANLORENZEÑA 184</t>
  </si>
  <si>
    <t>R0017200024815</t>
  </si>
  <si>
    <t>R0017200024817</t>
  </si>
  <si>
    <t>VO1841</t>
  </si>
  <si>
    <t>Fernando Pérez</t>
  </si>
  <si>
    <t>SUCRE 990</t>
  </si>
  <si>
    <t>R0017200024818</t>
  </si>
  <si>
    <t>WC4120</t>
  </si>
  <si>
    <t>Agustin Lopez</t>
  </si>
  <si>
    <t>Calle Pellicel Mz 359B Lote 6</t>
  </si>
  <si>
    <t>R0017200024823</t>
  </si>
  <si>
    <t>X17475</t>
  </si>
  <si>
    <t>R0017200024824</t>
  </si>
  <si>
    <t>X17477</t>
  </si>
  <si>
    <t>LOPEZ VERONICA AZUCENA</t>
  </si>
  <si>
    <t>SAN IGNACIO MZA 21 12</t>
  </si>
  <si>
    <t>R0017200024825</t>
  </si>
  <si>
    <t>R0017200024826</t>
  </si>
  <si>
    <t>X17480</t>
  </si>
  <si>
    <t>RIVERO CARINA</t>
  </si>
  <si>
    <t>PASAJE 21 475</t>
  </si>
  <si>
    <t>R0017200024828</t>
  </si>
  <si>
    <t>X17473</t>
  </si>
  <si>
    <t>ATACO HECTOR BENITO X</t>
  </si>
  <si>
    <t>JUAN MUÑOZ CABRERA 255</t>
  </si>
  <si>
    <t>R0017200024829</t>
  </si>
  <si>
    <t>R0017200024821</t>
  </si>
  <si>
    <t>X17462</t>
  </si>
  <si>
    <t>GUAYMAS DARIO ROLANDO</t>
  </si>
  <si>
    <t>BARRIO SAN SIMON SANMARTIN 12</t>
  </si>
  <si>
    <t>R0017200024834</t>
  </si>
  <si>
    <t>X17362</t>
  </si>
  <si>
    <t>VEGA MARCELO</t>
  </si>
  <si>
    <t>HUAYCO 2 ,ZA 541A CASA 18</t>
  </si>
  <si>
    <t>R0017200024865</t>
  </si>
  <si>
    <t>R0017200024836</t>
  </si>
  <si>
    <t>X17483</t>
  </si>
  <si>
    <t>GATICA MIRIAM DEL CARMEN</t>
  </si>
  <si>
    <t>B SANTA RITA AV ZAMBRANO CARO CASA 7</t>
  </si>
  <si>
    <t xml:space="preserve">CHICOANA </t>
  </si>
  <si>
    <t>R0017200024839</t>
  </si>
  <si>
    <t>VO8189</t>
  </si>
  <si>
    <t>CRISTIAN ARIEL ROMANO ML</t>
  </si>
  <si>
    <t>DIONISIO RAMOS 1490</t>
  </si>
  <si>
    <t>R0017200024853</t>
  </si>
  <si>
    <t>X17487</t>
  </si>
  <si>
    <t>MASCIO EMIGDIO</t>
  </si>
  <si>
    <t>B DON BOSCO CASA 47 47</t>
  </si>
  <si>
    <t>R0017200024854</t>
  </si>
  <si>
    <t>X17491</t>
  </si>
  <si>
    <t>MONZON IVAN MAXIMILIANO</t>
  </si>
  <si>
    <t>AMPL SANTA ANA 2 MZA 758 LOTE 6</t>
  </si>
  <si>
    <t>R0017200024855</t>
  </si>
  <si>
    <t>R0017200024856</t>
  </si>
  <si>
    <t>X14812</t>
  </si>
  <si>
    <t>MENDEZ MARCELO</t>
  </si>
  <si>
    <t>AVELLANEDA 403</t>
  </si>
  <si>
    <t>R0017200024857</t>
  </si>
  <si>
    <t>R0017200024866</t>
  </si>
  <si>
    <t>X17486</t>
  </si>
  <si>
    <t>LACCI</t>
  </si>
  <si>
    <t>barrio ampliacion intersindical block m 2</t>
  </si>
  <si>
    <t>R0017200024867</t>
  </si>
  <si>
    <t>R0017200024868</t>
  </si>
  <si>
    <t>CALLE SAN MARTIN MZA 44 0</t>
  </si>
  <si>
    <t>R0017200024869</t>
  </si>
  <si>
    <t>X09851</t>
  </si>
  <si>
    <t>FLORES ANGEL ROLANDO</t>
  </si>
  <si>
    <t>VILLA LOLA LOS HORNEROS 220</t>
  </si>
  <si>
    <t>R0017200024870</t>
  </si>
  <si>
    <t>X17493</t>
  </si>
  <si>
    <t>SOSA VICTOR</t>
  </si>
  <si>
    <t>B SAN CARLOS MZA 35 CASA 10</t>
  </si>
  <si>
    <t>R0017200024879</t>
  </si>
  <si>
    <t>R0017200024880</t>
  </si>
  <si>
    <t>R0017200024881</t>
  </si>
  <si>
    <t>R0017200024890</t>
  </si>
  <si>
    <t xml:space="preserve">villa los alamos </t>
  </si>
  <si>
    <t>cerrillo</t>
  </si>
  <si>
    <t>R0017200024891</t>
  </si>
  <si>
    <t>X17499</t>
  </si>
  <si>
    <t>BUENA MANDERA SAS</t>
  </si>
  <si>
    <t>los canelos 82</t>
  </si>
  <si>
    <t>R0017200024892</t>
  </si>
  <si>
    <t>R0017200024899</t>
  </si>
  <si>
    <t>Barrio las colinas calle nevado de cachi 13</t>
  </si>
  <si>
    <t>R0017200024900</t>
  </si>
  <si>
    <t>X17503</t>
  </si>
  <si>
    <t>PAZ CRISTINA</t>
  </si>
  <si>
    <t xml:space="preserve">B SAN CARLOS MZA 62 CASA 14 </t>
  </si>
  <si>
    <t>R0017200024901</t>
  </si>
  <si>
    <t>R0017200024902</t>
  </si>
  <si>
    <t>X17504</t>
  </si>
  <si>
    <t>CUGGIA MAGALI</t>
  </si>
  <si>
    <t>LAS PALMERAS 236</t>
  </si>
  <si>
    <t>R0017200024904</t>
  </si>
  <si>
    <t>X17505</t>
  </si>
  <si>
    <t>PORTOCARRERO MERCEDES DEL VALLE</t>
  </si>
  <si>
    <t>CAPITAL DE MAR DEL PLATA 2198</t>
  </si>
  <si>
    <t>R0017200024907</t>
  </si>
  <si>
    <t>X17507</t>
  </si>
  <si>
    <t>RAMOS MIGUEL FERNANDO</t>
  </si>
  <si>
    <t>ENRRIQUE JANIN 1748</t>
  </si>
  <si>
    <t>Completa Logistica Alfaro</t>
  </si>
  <si>
    <t>FECHA RETIRO</t>
  </si>
  <si>
    <t>CODIGO CLIENTE</t>
  </si>
  <si>
    <t>RAZON SOCIAL</t>
  </si>
  <si>
    <t>CANT.</t>
  </si>
  <si>
    <t>TEL</t>
  </si>
  <si>
    <t>Fecha de entrega coordinada</t>
  </si>
  <si>
    <t>Entregado</t>
  </si>
  <si>
    <t>Fecha de rendicion del remito</t>
  </si>
  <si>
    <t>Observacion</t>
  </si>
  <si>
    <t>Remitos Firmados</t>
  </si>
  <si>
    <t>Entrega Registrada</t>
  </si>
  <si>
    <t>Remito n°: 0017800278828</t>
  </si>
  <si>
    <t>387 4118994</t>
  </si>
  <si>
    <t>Remito n°: R0017800279476</t>
  </si>
  <si>
    <t>Remito n°: R0017800279483</t>
  </si>
  <si>
    <t>si</t>
  </si>
  <si>
    <t>Remito n°: R0017800279735</t>
  </si>
  <si>
    <t>Remito n°: R0017800279737</t>
  </si>
  <si>
    <t>Remito n°: R0017800279739</t>
  </si>
  <si>
    <t xml:space="preserve">La Merced    </t>
  </si>
  <si>
    <t>Recibio un familiar DNI: 28259501</t>
  </si>
  <si>
    <t>Remito n°: R0017800279758</t>
  </si>
  <si>
    <t>Recibio un familiar ( padre ) DNI: 25352267</t>
  </si>
  <si>
    <t>Remito n°: R0017800280230</t>
  </si>
  <si>
    <t>Recibio un familiar DNI:29880211</t>
  </si>
  <si>
    <t>Remito n°: R0017800280570</t>
  </si>
  <si>
    <t>Recibio un familiar DNI: 14708641</t>
  </si>
  <si>
    <t>Remito n°: R0017800280573</t>
  </si>
  <si>
    <t>Remito n°: R0017800280580</t>
  </si>
  <si>
    <t>Recibio un familiar ( suegro ) DNI: 1779168</t>
  </si>
  <si>
    <t>Remito n°: R0017800280587</t>
  </si>
  <si>
    <t>Recibio un familiar ( suegra ) DNI: 21896242</t>
  </si>
  <si>
    <t>Remito n°: R0017800280603</t>
  </si>
  <si>
    <t>Remito n°: R0017800281164</t>
  </si>
  <si>
    <t>Remito n°: R0017800281191</t>
  </si>
  <si>
    <t>Recibio un familiar DNI: 11282153</t>
  </si>
  <si>
    <t>Remito n°: R0017800281192</t>
  </si>
  <si>
    <t>Recibio la dueña DNI: 29893291</t>
  </si>
  <si>
    <t>Remito n°: R0017800281196</t>
  </si>
  <si>
    <t>Remito n°: R0017800281600</t>
  </si>
  <si>
    <t>Recibio un familiar DNI: 28616893</t>
  </si>
  <si>
    <t>Remito n°: R0017200023063</t>
  </si>
  <si>
    <t>Remito n°: R0017200023064</t>
  </si>
  <si>
    <t>Remito n°: R0017200023065</t>
  </si>
  <si>
    <t>Recibio un familiar DNI: 36315575</t>
  </si>
  <si>
    <t>Remito n°: R0017200023066</t>
  </si>
  <si>
    <t>Remito n|: R0017200023068/69</t>
  </si>
  <si>
    <t>Recibio un familiar DNI: 29152362</t>
  </si>
  <si>
    <t>Remito n°: R0017200023072</t>
  </si>
  <si>
    <t>Recibio un familiar DNI: 33968992</t>
  </si>
  <si>
    <t>Remito n|°: R0017200023079</t>
  </si>
  <si>
    <t>Recibio un familiar DNI: 28609631</t>
  </si>
  <si>
    <t>Remito n°: R0017200023080</t>
  </si>
  <si>
    <t>Recibio la empleada Romano Romina DNI: 32807453</t>
  </si>
  <si>
    <t>Remito n°: R0017200023083</t>
  </si>
  <si>
    <t>Remito n°: R0017200023085</t>
  </si>
  <si>
    <t>Recibio un familiar DNI: 38732957</t>
  </si>
  <si>
    <t>Remito n°: R0017200023089/90</t>
  </si>
  <si>
    <t>Remito n°: R0017800279730</t>
  </si>
  <si>
    <t>Recibio un familiar DNI:44326611</t>
  </si>
  <si>
    <t>Remito n°: R0017800279732</t>
  </si>
  <si>
    <t>Recibio un familiar DNI: 25727033</t>
  </si>
  <si>
    <t>Remito n°:R0017800281186</t>
  </si>
  <si>
    <t>Remito n°: R0017800281197</t>
  </si>
  <si>
    <t>Recibio un familiar DNI: 37190897</t>
  </si>
  <si>
    <t>Remito n°: R0017800281594</t>
  </si>
  <si>
    <t>Remito n°: R0017800281710</t>
  </si>
  <si>
    <t>Remito n°: R0017800281711/12</t>
  </si>
  <si>
    <t>R0017800281919</t>
  </si>
  <si>
    <t>El prado ecovillage 126</t>
  </si>
  <si>
    <t>Zamba del pañuelo Y La sanlorenceña</t>
  </si>
  <si>
    <t>Remito n°: R0017200023130</t>
  </si>
  <si>
    <t>Remito n°: R0017800281922</t>
  </si>
  <si>
    <t>Recibio un familiar DNI: 36912271</t>
  </si>
  <si>
    <t>Remito n°: R0017800281929</t>
  </si>
  <si>
    <t>Remito n°: R0017800281930</t>
  </si>
  <si>
    <t>Remito n°: R0017800281944</t>
  </si>
  <si>
    <t>SE DEVOLVIO A SUCURSAL SALTA</t>
  </si>
  <si>
    <t>NO</t>
  </si>
  <si>
    <t>RECHAZO LA COMPRA (QUIERE MODIFICAR SU PEDIDO)</t>
  </si>
  <si>
    <t>Remito n°: R0017800281963</t>
  </si>
  <si>
    <t>Recibio un familiar DNI: 12305061</t>
  </si>
  <si>
    <t>Remito n°: R0017800282487</t>
  </si>
  <si>
    <t>Remito n°: R0017800282492</t>
  </si>
  <si>
    <t>Remito n°: R0017800282859</t>
  </si>
  <si>
    <t>Recibio un familiar DNI:14708722</t>
  </si>
  <si>
    <t>Remito n°: R0017800282872</t>
  </si>
  <si>
    <t>Remito n°: R0017800283260</t>
  </si>
  <si>
    <t>Recibio un familiar ( hermano )DNI: 42019762</t>
  </si>
  <si>
    <t>Remito n°: R0017800283449</t>
  </si>
  <si>
    <t>Remito n°: R0017800283458</t>
  </si>
  <si>
    <t>Recibio un familiar DNI: 10582282</t>
  </si>
  <si>
    <t>Remito n°: R0017800283735</t>
  </si>
  <si>
    <t>Recibio un familiar DNI 27001015</t>
  </si>
  <si>
    <t>Remito n°: R0017800283731</t>
  </si>
  <si>
    <t>Recibio un familiar DNI: 27911611</t>
  </si>
  <si>
    <t>Remito n°: R0017800283727</t>
  </si>
  <si>
    <t>Recibio un familiar DNI: 25516370</t>
  </si>
  <si>
    <t>Remito n°: R0017200023104/5</t>
  </si>
  <si>
    <t>Recibio un familiar DNI: 21606751</t>
  </si>
  <si>
    <t>Remito n°: R0017200023106</t>
  </si>
  <si>
    <t>Remito n°: R0017200023107/8</t>
  </si>
  <si>
    <t>SALTA- J.V GONZALEZ</t>
  </si>
  <si>
    <t>Remito n°: R0017200023109</t>
  </si>
  <si>
    <t>SALTA -J.V GONZALEZ</t>
  </si>
  <si>
    <t>SALTA - J.V GONZALEZ</t>
  </si>
  <si>
    <t>Recibio un familiar DNI: 49099458</t>
  </si>
  <si>
    <t>Remito n°: R0017200023120/21</t>
  </si>
  <si>
    <t>Recibiola persona que realizo la compra</t>
  </si>
  <si>
    <t>Remito n°: R0017200023124</t>
  </si>
  <si>
    <t>Remito n°: R0017200023125</t>
  </si>
  <si>
    <t>Rmito n°: R0017200023126</t>
  </si>
  <si>
    <t>Remito n°: R0017200023127</t>
  </si>
  <si>
    <t>Remito n°: R0017200023128/9</t>
  </si>
  <si>
    <t>Remito n°: R0017200023135</t>
  </si>
  <si>
    <t>Remito n°: R0017200023136</t>
  </si>
  <si>
    <t>Recibio un familiar DNI: 18229237</t>
  </si>
  <si>
    <t>Remito n°: R0017200023137</t>
  </si>
  <si>
    <t>Recibio un familiar DNI: 30370719</t>
  </si>
  <si>
    <t>Remito n°: R0017200023139</t>
  </si>
  <si>
    <t>Remito n°: R0017200023138</t>
  </si>
  <si>
    <t>Remito n°: R0017200023140</t>
  </si>
  <si>
    <t>Remito n°: R0017200023141</t>
  </si>
  <si>
    <t>Si</t>
  </si>
  <si>
    <t>Remito n°: R0017200023142</t>
  </si>
  <si>
    <t>Recibio UNA EMPEADA DNI: 28284781</t>
  </si>
  <si>
    <t>Remito n°: R0017200023143/44</t>
  </si>
  <si>
    <t>Remio n°: R0017800284436</t>
  </si>
  <si>
    <t>Remito n°: R0017800284887</t>
  </si>
  <si>
    <t>Recibio un familiar DNI: 13346580</t>
  </si>
  <si>
    <t>Remito n°: R0017800284891</t>
  </si>
  <si>
    <t>Recibio un familiar DNI: 40149276</t>
  </si>
  <si>
    <t>Remito n°: R0017800284894</t>
  </si>
  <si>
    <t xml:space="preserve">SI </t>
  </si>
  <si>
    <t xml:space="preserve">Recibio la persona que realizo la compra </t>
  </si>
  <si>
    <t>Remito n R0017800284897</t>
  </si>
  <si>
    <t>Recibio un familiar DNI: 22405535</t>
  </si>
  <si>
    <t>Remito n°: R0017800284902</t>
  </si>
  <si>
    <t>Remito n R0017800284903</t>
  </si>
  <si>
    <t>Remito n°: R0017800284035</t>
  </si>
  <si>
    <t>Remito : R0017800284197</t>
  </si>
  <si>
    <t>Remito n°: R0017200023146/R0017800284200</t>
  </si>
  <si>
    <t>1O/12</t>
  </si>
  <si>
    <t>Recibio un familiar DNI:35911296</t>
  </si>
  <si>
    <t>Remito n°: R0017200023147</t>
  </si>
  <si>
    <t>Recibio un familiar DNI: 41422570</t>
  </si>
  <si>
    <t>Remito n°: R0017200023148/9</t>
  </si>
  <si>
    <t>Remito n°: R0017200023150</t>
  </si>
  <si>
    <t>Remito n°: ROO17200023157/58</t>
  </si>
  <si>
    <t>Recibio un familiar DNI: 42550230</t>
  </si>
  <si>
    <t>Remito n°: R0017200023159</t>
  </si>
  <si>
    <t>Recibio un familiar DNI: 22414678</t>
  </si>
  <si>
    <t>Remito n°: R0017200023175/76</t>
  </si>
  <si>
    <t>Remito n°: R0017200023177</t>
  </si>
  <si>
    <t>Remito n°: R0017200023178</t>
  </si>
  <si>
    <t>Remito n°: R0017200023179</t>
  </si>
  <si>
    <t>Recibio un familiar DNI: 45181204</t>
  </si>
  <si>
    <t>Remito n°: R0017200023186</t>
  </si>
  <si>
    <t>Recibio un empleado DNI: 42631728</t>
  </si>
  <si>
    <t>Remito n°: R0017200023184/85</t>
  </si>
  <si>
    <t>Remito n°: R0017200023187</t>
  </si>
  <si>
    <t>Recibio un familiar (hijo) DNI: 33428818</t>
  </si>
  <si>
    <t>Remito n°: R0017200023188</t>
  </si>
  <si>
    <t>Remito n°: R0017200023189</t>
  </si>
  <si>
    <t>Recibio un familiar DNI: 8012753</t>
  </si>
  <si>
    <t>Remito n°: R0017200023190</t>
  </si>
  <si>
    <t>Recibio un familiar DNI: 22468037</t>
  </si>
  <si>
    <t>Remito n°: R0017200023191</t>
  </si>
  <si>
    <t>Recibio un familiar DNI: 28748130</t>
  </si>
  <si>
    <t>Remito n°: R0017200023193</t>
  </si>
  <si>
    <t>Recibio un familiar DNI: 36128696</t>
  </si>
  <si>
    <t>Remito n°: R0017200023194</t>
  </si>
  <si>
    <t>Recibio un familiarDNI: 26565262</t>
  </si>
  <si>
    <t>Remito n°: R0017200023195</t>
  </si>
  <si>
    <t>Remito n°: R0017200023196</t>
  </si>
  <si>
    <t>Remito n°: R0017200023210</t>
  </si>
  <si>
    <t>Remito n°: R0017200023211</t>
  </si>
  <si>
    <t xml:space="preserve">Recibio un familiar Laura MARTIN </t>
  </si>
  <si>
    <t>Remito n°: R0017200023213</t>
  </si>
  <si>
    <t>Recibio un familiar DNI: 28760846</t>
  </si>
  <si>
    <t>Remito n°: R0017200023238</t>
  </si>
  <si>
    <t>Remito n°: R0017200023239</t>
  </si>
  <si>
    <t>Remito n°: R0017200023240</t>
  </si>
  <si>
    <t>Remito n°: R0017200023241</t>
  </si>
  <si>
    <t>Recibio un familiar DNI: 31497221</t>
  </si>
  <si>
    <t>Remito n°: R0017200023242</t>
  </si>
  <si>
    <t>Recibio un familiar DNI: 22056599</t>
  </si>
  <si>
    <t>Remito n°: R0017200023243</t>
  </si>
  <si>
    <t>Remito n°: R0017200023244</t>
  </si>
  <si>
    <t>Recibio un familiar DNI: 27096399</t>
  </si>
  <si>
    <t>Remito n°: R0017200023146/47</t>
  </si>
  <si>
    <t>Remito n°: R0017200023252</t>
  </si>
  <si>
    <t>Recibio un familiar DNI: 38506212</t>
  </si>
  <si>
    <t>Remito n°: R0017200023253</t>
  </si>
  <si>
    <t>Recibio un familiar DNI: 3617820</t>
  </si>
  <si>
    <t>Remito n°: R0017800285956</t>
  </si>
  <si>
    <t>Remito n°: R0017800285967</t>
  </si>
  <si>
    <t>Recibio un familiar DNI: 29737371</t>
  </si>
  <si>
    <t>Remito n°: R0017800285968</t>
  </si>
  <si>
    <t>Remito n R0017800286099</t>
  </si>
  <si>
    <t>Remito n°: R0017800286100</t>
  </si>
  <si>
    <t>Recibio un familiar DNI: 22978533</t>
  </si>
  <si>
    <t>Remito n°: R0017800286115</t>
  </si>
  <si>
    <t>Remito n°: R0017800286125</t>
  </si>
  <si>
    <t>Remito n°: 0017800286135</t>
  </si>
  <si>
    <t>Remito n°: R0017800286138</t>
  </si>
  <si>
    <t>Remito n°: R0017800286155</t>
  </si>
  <si>
    <t>Recibio unfamiliar DNI; 40175926</t>
  </si>
  <si>
    <t>Remito n°: R0017800286157</t>
  </si>
  <si>
    <t>Remito n°: R0017200023262</t>
  </si>
  <si>
    <t>Recibio un familiar DNI: 18197148</t>
  </si>
  <si>
    <t>Remito n°: R0017800286752</t>
  </si>
  <si>
    <t>Remito n°: R0017800287063</t>
  </si>
  <si>
    <t>Remito n°: R0017800287078</t>
  </si>
  <si>
    <t>Recibio el conserje DNI: 28616877</t>
  </si>
  <si>
    <t>Remito n°: R0017800287091</t>
  </si>
  <si>
    <t>R0017800287497</t>
  </si>
  <si>
    <t>Remito n°: R0017800288934</t>
  </si>
  <si>
    <t>Remito n°: R0017800287501/05</t>
  </si>
  <si>
    <t>Recibio un familiar DNI: 4232597</t>
  </si>
  <si>
    <t>Remito n°: R0017800287787</t>
  </si>
  <si>
    <t>Remito n R0017800288023</t>
  </si>
  <si>
    <t>Recibio unfamiliar DNI: 34868538</t>
  </si>
  <si>
    <t>Remito n°: R0017800288031</t>
  </si>
  <si>
    <t>Recibio un familiar DNI: 41530912</t>
  </si>
  <si>
    <t>Remito n°: R0017800288049</t>
  </si>
  <si>
    <t>Remito n°: R0017800288050</t>
  </si>
  <si>
    <t>Remito n°: R0017800288053</t>
  </si>
  <si>
    <t>Remito n R0017800288062</t>
  </si>
  <si>
    <t>Recibio un familiar DNI: 26030780</t>
  </si>
  <si>
    <t>Remito n°: R0017800288508</t>
  </si>
  <si>
    <t>Remito n°: R0017200023267</t>
  </si>
  <si>
    <t>Remito n°: R0017200023276</t>
  </si>
  <si>
    <t>Recibio la  persona que realizo la compra</t>
  </si>
  <si>
    <t>Remito n°: R0017200023277</t>
  </si>
  <si>
    <t>Recibio la pesona que realizo la compra</t>
  </si>
  <si>
    <t>Remito n°: R0017200023278</t>
  </si>
  <si>
    <t>Recibio el dueño DNI: 31548310</t>
  </si>
  <si>
    <t>Remito n°: R0017200023279</t>
  </si>
  <si>
    <t>Remito n°: R0017200023289</t>
  </si>
  <si>
    <t>Recibio un familiar DNI: 37913698</t>
  </si>
  <si>
    <t>Remito n°: R0017200023293</t>
  </si>
  <si>
    <t>Remito n°: R0017200023294</t>
  </si>
  <si>
    <t>Recibio su nieto DNI: 44760573</t>
  </si>
  <si>
    <t>Remito n°: R0017200023295</t>
  </si>
  <si>
    <t>recibio la persona que realizo la compra</t>
  </si>
  <si>
    <t>Remito n°: R0017200023297</t>
  </si>
  <si>
    <t>Recibio un familiar DNI: 16753374</t>
  </si>
  <si>
    <t>Remito n°: R0017200023298</t>
  </si>
  <si>
    <t>Recibio un familiar DNI: 46698836</t>
  </si>
  <si>
    <t>Remito n°: R0017200023300</t>
  </si>
  <si>
    <t>Recibio un familiar DNI: 21327842</t>
  </si>
  <si>
    <t>Remito n°: R0017200023306</t>
  </si>
  <si>
    <t>Recibio un familiar (PAPA) DNI:27253719</t>
  </si>
  <si>
    <t>Remito n°: R0017200023307</t>
  </si>
  <si>
    <t>Remito n°: R0017200023313</t>
  </si>
  <si>
    <t>Remito n°: R0017200023314</t>
  </si>
  <si>
    <t>Recibio un familiar DNI: 18741770</t>
  </si>
  <si>
    <t>Remito n°: R0017200023319</t>
  </si>
  <si>
    <t>Remito n°: R0017200023322</t>
  </si>
  <si>
    <t>Remito n°: R0017200023323</t>
  </si>
  <si>
    <t>Recibio un familiar (papa ) DNI: 19950288</t>
  </si>
  <si>
    <t>Remito n°: R0017200023329</t>
  </si>
  <si>
    <t>Remito n°: R0017200023338</t>
  </si>
  <si>
    <t>Recibio un familiar DNI: 34184051</t>
  </si>
  <si>
    <t>Remito n°: R0017200023341</t>
  </si>
  <si>
    <t>Remito n°: R0017200023342</t>
  </si>
  <si>
    <t>Recibio un familiar ( hermana ) DNI:39363787</t>
  </si>
  <si>
    <t>Remito n°: ROO17200023343</t>
  </si>
  <si>
    <t>S</t>
  </si>
  <si>
    <t xml:space="preserve">SUBIDO </t>
  </si>
  <si>
    <t>SUBIDO</t>
  </si>
  <si>
    <t>Recibio un familiar DNI: 11943902</t>
  </si>
  <si>
    <t>Remito n°: R0017800288954</t>
  </si>
  <si>
    <t>Remito n°: R0017800288958</t>
  </si>
  <si>
    <t>Recibio un familiar DNI: 48517326</t>
  </si>
  <si>
    <t>Remito n°: R0017800288965</t>
  </si>
  <si>
    <t>Recibio un familiar (ESPOSO) DNI: 33090682</t>
  </si>
  <si>
    <t>Remito n°: R0017800288967</t>
  </si>
  <si>
    <t>Remito n°: R0017800288972</t>
  </si>
  <si>
    <t>Recibio un familiar DNI:51075893</t>
  </si>
  <si>
    <t>Remito n°: R0017800288992</t>
  </si>
  <si>
    <t>Remito n°: R0017800289002</t>
  </si>
  <si>
    <t>Remito n°: R0017200023358</t>
  </si>
  <si>
    <t xml:space="preserve">Recibio un familiar DNI: 11943347 </t>
  </si>
  <si>
    <t>Remito n°: R0017200023359</t>
  </si>
  <si>
    <t>Recibio un familiar DNI: 21613675</t>
  </si>
  <si>
    <t>Remito n°: R0017200023360</t>
  </si>
  <si>
    <t>Remito n°: R017200023364</t>
  </si>
  <si>
    <t>Remito n°: R0017200023377</t>
  </si>
  <si>
    <t>Remito n°: R0017200023378</t>
  </si>
  <si>
    <t>Recibio un familiar DNI: 17308773</t>
  </si>
  <si>
    <t>Remito n°: R0017200023381/82</t>
  </si>
  <si>
    <t>Remito n°: R0017200023386</t>
  </si>
  <si>
    <t>Remito n°: R0017200023389</t>
  </si>
  <si>
    <t>Recibio su pareja DNI: 37418095</t>
  </si>
  <si>
    <t>Remito n°: R0017200023397</t>
  </si>
  <si>
    <t>Remito n°: R0017200023398/99</t>
  </si>
  <si>
    <t>Remito n°: r0017200023400</t>
  </si>
  <si>
    <t>Remito n°: R0017200023405/06</t>
  </si>
  <si>
    <t>Remito n°: R0017200023407</t>
  </si>
  <si>
    <t>Recibio un familiar DNI: 26806389</t>
  </si>
  <si>
    <t>Remito n°: R0017200023410/11</t>
  </si>
  <si>
    <t>Remito n°: R0017200023427</t>
  </si>
  <si>
    <t>Remito n°: R0017200023446</t>
  </si>
  <si>
    <t>Remito n°: R0017200023447</t>
  </si>
  <si>
    <t>Remito n°: R0017200023443/44</t>
  </si>
  <si>
    <t>Remito n°: R0017200023445</t>
  </si>
  <si>
    <t>Recibio un familiar (hija)DNI: 44499010</t>
  </si>
  <si>
    <t>Remito n°: R0017200023448</t>
  </si>
  <si>
    <t>Remito n°: R0017200023449</t>
  </si>
  <si>
    <t>Recibio un familiar DNI: 30707693</t>
  </si>
  <si>
    <t>Remito n°: R0017200023453</t>
  </si>
  <si>
    <t>Remito n°: R0017200023454</t>
  </si>
  <si>
    <t>Remito n°: R0017200023470</t>
  </si>
  <si>
    <t>Recibio un familiar DNI: 20399780</t>
  </si>
  <si>
    <t>Remito n°: R0017200023471/72</t>
  </si>
  <si>
    <t>Remito n°: R0017200023473/74</t>
  </si>
  <si>
    <t>Remito n°: R0017200023431</t>
  </si>
  <si>
    <t>Remito n°: R0017200023476/77</t>
  </si>
  <si>
    <t>Recibio un familiar DNI: 33978199</t>
  </si>
  <si>
    <t>Remito n°: R0017200023486</t>
  </si>
  <si>
    <t>Som. Sealy Carbon Grey 80x200</t>
  </si>
  <si>
    <t>Remito n|: R0017200023508</t>
  </si>
  <si>
    <t>Recibio un familiar DNI: 28832977</t>
  </si>
  <si>
    <t>Remito n°: R0017200023509</t>
  </si>
  <si>
    <t>R0017200023545</t>
  </si>
  <si>
    <t>Alm. Zlow viscoelasticCervical</t>
  </si>
  <si>
    <t>Remito n°: R0017200023545</t>
  </si>
  <si>
    <t>Remito n°: R0017200023515</t>
  </si>
  <si>
    <t>Recibio un familiar DNI: 24120108</t>
  </si>
  <si>
    <t>Remito n°: R0017200023516</t>
  </si>
  <si>
    <t>Recibio la esposa DNI: 24641654</t>
  </si>
  <si>
    <t>Remito n°: R0017200023517</t>
  </si>
  <si>
    <t>Remito n°: R0017200023518</t>
  </si>
  <si>
    <t>Remito n°: R0017200023519</t>
  </si>
  <si>
    <t>Recibio un familiar DNI:25571905</t>
  </si>
  <si>
    <t>Remito n°: R0017200023521</t>
  </si>
  <si>
    <t>Remito n°: R0017200023524</t>
  </si>
  <si>
    <t>Recibio un familiar DNI: 37419854</t>
  </si>
  <si>
    <t>Remito n°: R0017200023525</t>
  </si>
  <si>
    <t>Remito n°: R0017200023526</t>
  </si>
  <si>
    <t>Recibio un familiar (pareja) DNI: 29545977</t>
  </si>
  <si>
    <t>Remito n°: R0017200023528</t>
  </si>
  <si>
    <t>Remito n°: R0017200023529</t>
  </si>
  <si>
    <t>Remito n°: R0017200023530</t>
  </si>
  <si>
    <t>Recibio un familiar DNI: 28712389</t>
  </si>
  <si>
    <t>Remito n°: R0017200023531</t>
  </si>
  <si>
    <t>Remito n°: R0017200023532</t>
  </si>
  <si>
    <t>Remito n°: R0017200023537/38</t>
  </si>
  <si>
    <t>Recibio un familiar DNI: 18620983</t>
  </si>
  <si>
    <t>Remito n°: R0017200023543</t>
  </si>
  <si>
    <t>Recibio un familiar DNI: 29336787</t>
  </si>
  <si>
    <t>Remito n°: R0017200023544</t>
  </si>
  <si>
    <t>Remito n°: R0017200023555</t>
  </si>
  <si>
    <t>Recibio un familiar DNI:14910185</t>
  </si>
  <si>
    <t>Remito n°: R0017200023556/57</t>
  </si>
  <si>
    <t>Recibio un familiar DNI: 30222584</t>
  </si>
  <si>
    <t>Remito n°: R0017800290050</t>
  </si>
  <si>
    <t>Recibio un familiar DNI: 39896665</t>
  </si>
  <si>
    <t>Remito n°: R0017800290052</t>
  </si>
  <si>
    <t>RETIRO DE SUCURSAL SALTA</t>
  </si>
  <si>
    <t>Recibio un familiar ( esposa ) DNI: 36337778</t>
  </si>
  <si>
    <t>Remito n°: R0017800290426</t>
  </si>
  <si>
    <t>DEVUELTO A SUCURSAL SALTA</t>
  </si>
  <si>
    <t>RECHAZO</t>
  </si>
  <si>
    <t>Remito n°: R0017800290767</t>
  </si>
  <si>
    <t>Recibio un familiar (pareja)DNI: 36707687</t>
  </si>
  <si>
    <t>Remito n°: R0017800290768</t>
  </si>
  <si>
    <t>Recibio un familiar DNI: 31763659</t>
  </si>
  <si>
    <t>Remito n°: R0017800290771</t>
  </si>
  <si>
    <t>FALTA</t>
  </si>
  <si>
    <t>EN SUCURSAL SALTA</t>
  </si>
  <si>
    <t>Recibio un familiar DNI: 34620839</t>
  </si>
  <si>
    <t>Remito n°: R0017800291125</t>
  </si>
  <si>
    <t>Recibio un familiar DNI: 19895608</t>
  </si>
  <si>
    <t>Remito n°: R0017800291494</t>
  </si>
  <si>
    <t>Remito n°: R0017800291724</t>
  </si>
  <si>
    <t>Remito n°: R0017800291730</t>
  </si>
  <si>
    <t>Remito n°: R0017800291731</t>
  </si>
  <si>
    <t>Remito n°: R0017800291784</t>
  </si>
  <si>
    <t>Remito n°: R0017800291799</t>
  </si>
  <si>
    <t>Remito n° : R0017800291802</t>
  </si>
  <si>
    <t>Remito n°: R0017800291805</t>
  </si>
  <si>
    <t>Remito n°: R0017800291806</t>
  </si>
  <si>
    <t>Recibio un familiar DNI: 40515542</t>
  </si>
  <si>
    <t>Remito n°: R0017800291819</t>
  </si>
  <si>
    <t>Recibio un familiar DNI: 18102731</t>
  </si>
  <si>
    <t>Remito n°: R0017800292244</t>
  </si>
  <si>
    <t>Remito n R0017800292245</t>
  </si>
  <si>
    <t>Recibio familiar dni 40113033</t>
  </si>
  <si>
    <t>Remito n R0017800292619</t>
  </si>
  <si>
    <t>Remito n R0017800292626</t>
  </si>
  <si>
    <t>Remito n R0017800292988</t>
  </si>
  <si>
    <t>Recibio familiar dni 38651131</t>
  </si>
  <si>
    <t>Remito n R0017800292989</t>
  </si>
  <si>
    <t>Recibio Familiar (madre) DNI 28021138</t>
  </si>
  <si>
    <t>Remito n R0017800293007</t>
  </si>
  <si>
    <t>Remito n R0017800293195</t>
  </si>
  <si>
    <t>Remito n R0017800293264</t>
  </si>
  <si>
    <t>Remito n R0017800293273</t>
  </si>
  <si>
    <t xml:space="preserve">si </t>
  </si>
  <si>
    <t>Remito n R0017800293287</t>
  </si>
  <si>
    <t>Recibio familiar dni 16416759</t>
  </si>
  <si>
    <t>Remito n R0017800293305</t>
  </si>
  <si>
    <t>Recibio un familiar DNI: 14489955</t>
  </si>
  <si>
    <t>Remito n°: R0017200023559/60</t>
  </si>
  <si>
    <t>Remito n°: R0017200023561</t>
  </si>
  <si>
    <t>Remito n°: R0017200023562</t>
  </si>
  <si>
    <t>Recibio la perona que realizo la compra</t>
  </si>
  <si>
    <t>Remito n°: R0017200023567</t>
  </si>
  <si>
    <t>Recibio un familiar DNI: 34396761</t>
  </si>
  <si>
    <t>Remito n°: R0017200023568</t>
  </si>
  <si>
    <t>Remito n R0017200023578</t>
  </si>
  <si>
    <t xml:space="preserve">Recibio familiar YAMIL YARADE </t>
  </si>
  <si>
    <t>Remito n R0017200023585</t>
  </si>
  <si>
    <t>Recibio familiar (suegro) DNI 11538182</t>
  </si>
  <si>
    <t>Remito n R0017200021586</t>
  </si>
  <si>
    <t>Remito n R001720023587/8</t>
  </si>
  <si>
    <t>Recibio familiar DNI 40387346</t>
  </si>
  <si>
    <t>Remito n R0017200023596</t>
  </si>
  <si>
    <t>Recibio un familiar DNI: 11213223</t>
  </si>
  <si>
    <t>Remito n°: R0017200023597</t>
  </si>
  <si>
    <t>Remito n R0017200023281</t>
  </si>
  <si>
    <t>Recibio familiar DNI 26028433</t>
  </si>
  <si>
    <t>Remito n R0017200023282</t>
  </si>
  <si>
    <t>Remito n R0017200023347</t>
  </si>
  <si>
    <t>Recibio familiar DNI 12352716</t>
  </si>
  <si>
    <t>Remito n R0017200023383</t>
  </si>
  <si>
    <t>Recibio familiar DNI 13977221</t>
  </si>
  <si>
    <t>Remito n R0017200023626</t>
  </si>
  <si>
    <t>Remito n R0017200023632</t>
  </si>
  <si>
    <t xml:space="preserve">Recibio familiar Perez Jose Ignacio </t>
  </si>
  <si>
    <t>Remito n R0017200023634</t>
  </si>
  <si>
    <t>Recibio familiar dni 41020682</t>
  </si>
  <si>
    <t>Remito n R0017200023635</t>
  </si>
  <si>
    <t>Recibio familiar 36805079</t>
  </si>
  <si>
    <t>Remito n R0017200023637</t>
  </si>
  <si>
    <t>Recibio Familiar dni 94336751</t>
  </si>
  <si>
    <t>Remito n R0017200023640</t>
  </si>
  <si>
    <t>Recibio familiar DNI 21768200</t>
  </si>
  <si>
    <t>Remito n R0017800294667</t>
  </si>
  <si>
    <t>Remito n R0017200023652</t>
  </si>
  <si>
    <t>Remito n R0017200023653</t>
  </si>
  <si>
    <t>Remito n R0017200023654</t>
  </si>
  <si>
    <t>Remito n R0017200023659</t>
  </si>
  <si>
    <t>Remito n R0017200023657</t>
  </si>
  <si>
    <t>Recibio familiar DNI 41179090</t>
  </si>
  <si>
    <t>Remito n R0017800294060</t>
  </si>
  <si>
    <t>Col. Sealy EstSunshineB 150190</t>
  </si>
  <si>
    <t xml:space="preserve">Se entrega colchon y se retira el producto dejado en comodato </t>
  </si>
  <si>
    <t>Remito n R0017800295292</t>
  </si>
  <si>
    <t>Remito n R0017800293679</t>
  </si>
  <si>
    <t>Recibio familiar DNI 45364136</t>
  </si>
  <si>
    <t>Remito n R0017800294044</t>
  </si>
  <si>
    <t>Recibio familiar DNI 42210868</t>
  </si>
  <si>
    <t>Remito n R0017800294586</t>
  </si>
  <si>
    <t>Remito n R0017200023670</t>
  </si>
  <si>
    <t>Remito n R0017200023672</t>
  </si>
  <si>
    <t>Remito n R0017200023673</t>
  </si>
  <si>
    <t xml:space="preserve">Recibio familiar DNI 47451134 (leonel Acevedo) </t>
  </si>
  <si>
    <t>Remito n R0017200023674</t>
  </si>
  <si>
    <t>Recibio familiar de la persona DNI 30545767</t>
  </si>
  <si>
    <t>Remito n R0017200023675</t>
  </si>
  <si>
    <t>Remito n R0017800294596</t>
  </si>
  <si>
    <t>Recibio familiar DNI 32543360</t>
  </si>
  <si>
    <t>Remito n R0017800294061</t>
  </si>
  <si>
    <t>Remito n R0017800294042</t>
  </si>
  <si>
    <t>Recibio familiar DNI 18117153</t>
  </si>
  <si>
    <t>Remito n R0017800294660</t>
  </si>
  <si>
    <t>Recibio familiar DNI 10666976</t>
  </si>
  <si>
    <t>Remito n R0017800293683</t>
  </si>
  <si>
    <t>Remito n R0017800294668</t>
  </si>
  <si>
    <t>Remito n R0017200023677</t>
  </si>
  <si>
    <t xml:space="preserve">Recibio familiar Roberto Gregory Quesemberry </t>
  </si>
  <si>
    <t>Remito n R0017200023684</t>
  </si>
  <si>
    <t xml:space="preserve">Cambio del conjunto y retiro </t>
  </si>
  <si>
    <t>Remito n R0017200023690</t>
  </si>
  <si>
    <t>Remito n R0017200023713</t>
  </si>
  <si>
    <t>Remito n R0017200023714</t>
  </si>
  <si>
    <t>Remito n R0017800294048</t>
  </si>
  <si>
    <t>Remito n R0017200023717</t>
  </si>
  <si>
    <t>Recibio familiar DNI 20608684</t>
  </si>
  <si>
    <t>Remito n R0017800295818</t>
  </si>
  <si>
    <t>Remito n R0017800295829</t>
  </si>
  <si>
    <t>Recibio la persona que realizo la compra (divan)</t>
  </si>
  <si>
    <t>Remito n R0017800295830</t>
  </si>
  <si>
    <t>Remito n R0017800295803</t>
  </si>
  <si>
    <t>Recibio familiar DNI 45435515</t>
  </si>
  <si>
    <t>Remito n R0017800295823</t>
  </si>
  <si>
    <t>Recibio familiar DNI 25448741</t>
  </si>
  <si>
    <t>Remito n R0017800295832</t>
  </si>
  <si>
    <t>Remito n R0017800295290</t>
  </si>
  <si>
    <t>Recibio familiar DNI 44160534 (HIJO)</t>
  </si>
  <si>
    <t>Remito n R0017800295831</t>
  </si>
  <si>
    <t>Recibio personal DNI 30222293</t>
  </si>
  <si>
    <t>Remito n R0013400087164</t>
  </si>
  <si>
    <t>Recibio familiar DNI 25741556</t>
  </si>
  <si>
    <t>Remito n R0017800295558</t>
  </si>
  <si>
    <t>Remito n R0017800295124</t>
  </si>
  <si>
    <t xml:space="preserve">Recibio familiar Gabriela Silva </t>
  </si>
  <si>
    <t>Remito n R0017800285833</t>
  </si>
  <si>
    <t>Remito n R0017200023732</t>
  </si>
  <si>
    <t>Remito n R0017200023733</t>
  </si>
  <si>
    <t>Recibio familiar DNI 5494223</t>
  </si>
  <si>
    <t>Remito n R0017200023737</t>
  </si>
  <si>
    <t>Recibio familiar DNI 10582840 (Madre)</t>
  </si>
  <si>
    <t>Remito n R0017200023738</t>
  </si>
  <si>
    <t>Recibio la persona que realizo la compra (colchon)</t>
  </si>
  <si>
    <t>Remito n R0017200023740</t>
  </si>
  <si>
    <t>Remito n R0017200023742</t>
  </si>
  <si>
    <t>Remito n R0017200023744</t>
  </si>
  <si>
    <t>Recibio familiar DNI 28339320</t>
  </si>
  <si>
    <t>Remito n R0017800295133</t>
  </si>
  <si>
    <t>Remito n R0017200023754</t>
  </si>
  <si>
    <t>Remito n R0017200023755</t>
  </si>
  <si>
    <t xml:space="preserve">Falta Agregar a la descripcion bases </t>
  </si>
  <si>
    <t>Remito n R0017200023773</t>
  </si>
  <si>
    <t>Remito n R0017200023774</t>
  </si>
  <si>
    <t>Recibio familiar DNI 43168417</t>
  </si>
  <si>
    <t>Remito n R0017200023775</t>
  </si>
  <si>
    <t>Remito n R0017200523776</t>
  </si>
  <si>
    <t>Recibio familiar DNI 17355383</t>
  </si>
  <si>
    <t>Remito n R0017200023777</t>
  </si>
  <si>
    <t>R0017200023794</t>
  </si>
  <si>
    <t>CRISTIAN FRANCISCO ORLANDO ALFARO</t>
  </si>
  <si>
    <t xml:space="preserve">PURV 120 VILLA SAN LORENZO </t>
  </si>
  <si>
    <t>Recibio conocido DNI 26200681 (amigo)</t>
  </si>
  <si>
    <t>Remito n R0017200023794</t>
  </si>
  <si>
    <t>Retiro de colchon medidas equivocadas y se procede a llevarle colchon correcto DNI 26200681</t>
  </si>
  <si>
    <t>Remito n R0017200023810</t>
  </si>
  <si>
    <t>Remito n R0017200023803</t>
  </si>
  <si>
    <t>Recibio familiar DNI 25526162 (HIJO)</t>
  </si>
  <si>
    <t>Remito n R0017200023805</t>
  </si>
  <si>
    <t xml:space="preserve">CRUZ ROXANA VT </t>
  </si>
  <si>
    <t>PJE ARENITA CAMPOS 983</t>
  </si>
  <si>
    <t>Remito n R0017200023815</t>
  </si>
  <si>
    <t>Recibio familiar DNI 22532152</t>
  </si>
  <si>
    <t>Remito n R0017200023816</t>
  </si>
  <si>
    <t>ester AVELLINA YAPURA</t>
  </si>
  <si>
    <t>Alm.Zlow Cool Memory 70</t>
  </si>
  <si>
    <t>Cama Respaldo Handy Marron 140</t>
  </si>
  <si>
    <t>MD SOCIEDAD DE PRODUCTORES DE SEGUROS</t>
  </si>
  <si>
    <t>Recibio Herrera Daniel DNI 28441129</t>
  </si>
  <si>
    <t>Remito n R0017200023814</t>
  </si>
  <si>
    <t xml:space="preserve">LAIME RODRIGO </t>
  </si>
  <si>
    <t>CASEROS 1071 1C</t>
  </si>
  <si>
    <t xml:space="preserve">Pata Clasica Polipropileno </t>
  </si>
  <si>
    <t>Remito n R0017200023820</t>
  </si>
  <si>
    <t>Alm. Zlow Viscoelastic 80x40 con faja</t>
  </si>
  <si>
    <t xml:space="preserve">DIP JOSE RODRIGO </t>
  </si>
  <si>
    <t xml:space="preserve">MZA 818 B CASA 18 </t>
  </si>
  <si>
    <t>Remito n R0017200023825</t>
  </si>
  <si>
    <t>Remito n R0017200023829</t>
  </si>
  <si>
    <t xml:space="preserve">El titular de la compra rechazo todo cuando la entrega estaba en la puerta por especificaciones que se encuentran en el remito, se procede a dejar todo en sucursal Salta </t>
  </si>
  <si>
    <t>Remito n R0017200023821</t>
  </si>
  <si>
    <t>Recibio Casabella Gaston</t>
  </si>
  <si>
    <t>Remito n R17200023809</t>
  </si>
  <si>
    <t>Remito n R17200023808</t>
  </si>
  <si>
    <t>Remito n R0017800296297</t>
  </si>
  <si>
    <t>Recibio familiar DNI 12683574</t>
  </si>
  <si>
    <t>Remito n R0017800296306</t>
  </si>
  <si>
    <t xml:space="preserve">Agregado en remito y entrega de cross anterior </t>
  </si>
  <si>
    <t>Remito n R0017800296489</t>
  </si>
  <si>
    <t>Recibio familiar DNI 41179517</t>
  </si>
  <si>
    <t>Remito n R0017800296497</t>
  </si>
  <si>
    <t>Recibio familiar DNI 13466235</t>
  </si>
  <si>
    <t>Remito n R0017800296502</t>
  </si>
  <si>
    <t>Remito n R0017800296776</t>
  </si>
  <si>
    <t>Remito n R0017800297067</t>
  </si>
  <si>
    <t>Remito n R0017800297139</t>
  </si>
  <si>
    <t xml:space="preserve">Retiro en sucursal </t>
  </si>
  <si>
    <t xml:space="preserve">Retiro en Sucursal </t>
  </si>
  <si>
    <t>Recibio familiar DNI 32633974</t>
  </si>
  <si>
    <t>Remito n R0017800297153</t>
  </si>
  <si>
    <t xml:space="preserve">NO </t>
  </si>
  <si>
    <t xml:space="preserve">Se rechazo la compra se devolvio a suc salta </t>
  </si>
  <si>
    <t>Remito n R0017800297154</t>
  </si>
  <si>
    <t>Remito n R0017800298060</t>
  </si>
  <si>
    <t>Recibio familiar DNI 29536464</t>
  </si>
  <si>
    <t>Remito n R0017800298195</t>
  </si>
  <si>
    <t>Recibio familiar DNI 18542131</t>
  </si>
  <si>
    <t>Remito n R0017800298208</t>
  </si>
  <si>
    <t>Recibio familiar DNI 17916880</t>
  </si>
  <si>
    <t>Remito n R0017800298472</t>
  </si>
  <si>
    <t>Remito n R0017800298475</t>
  </si>
  <si>
    <t>la persona asegura que solo se hizo una compra y no dos y solo ve en el resumen de su trajtea el cobro por un conjunto</t>
  </si>
  <si>
    <t>Remito n R0017800298477</t>
  </si>
  <si>
    <t>Remito n R0017800298482</t>
  </si>
  <si>
    <t>Recibio familiar DNI 11659025</t>
  </si>
  <si>
    <t>Remito n R0017800298483</t>
  </si>
  <si>
    <t>Remito n R0017800298490</t>
  </si>
  <si>
    <t>Remito n R0017800298503</t>
  </si>
  <si>
    <t>Remito n R0017800298505</t>
  </si>
  <si>
    <t>El cliente rechazo la compra debido a equivocacion de medidas en el colchon de 1 pl y decidio recibir la proxima vez todo junto</t>
  </si>
  <si>
    <t>Remito n R0017200023836</t>
  </si>
  <si>
    <t>Recibio familiar DNI 11538137</t>
  </si>
  <si>
    <t>Remito n R0017200023837</t>
  </si>
  <si>
    <t>Recibio familiar DNI 32723867</t>
  </si>
  <si>
    <t>Remito n R0017200023838</t>
  </si>
  <si>
    <t>Remito n R0017200023839</t>
  </si>
  <si>
    <t>Remito n R0017200023840</t>
  </si>
  <si>
    <t>Recibio familiar DNI 20609670</t>
  </si>
  <si>
    <t>Remito n R0017200023841</t>
  </si>
  <si>
    <t>Remito n R0017200023842</t>
  </si>
  <si>
    <t>Remito n R0017200023843</t>
  </si>
  <si>
    <t>Remito n R0017200023844</t>
  </si>
  <si>
    <t xml:space="preserve">Rechazo la compra </t>
  </si>
  <si>
    <t>Remito n R0017200023845</t>
  </si>
  <si>
    <t>Remito n R0017200023856</t>
  </si>
  <si>
    <t>Recibio familiar DNI 42488003</t>
  </si>
  <si>
    <t>Remito n R0017200023869</t>
  </si>
  <si>
    <t>Remito n R0017200023871</t>
  </si>
  <si>
    <t>Remito n R0017200023872</t>
  </si>
  <si>
    <t>Recibio familiar DNI 21319784</t>
  </si>
  <si>
    <t>Remito n R0017200023874</t>
  </si>
  <si>
    <t>Recibio familiar DNI 50955715</t>
  </si>
  <si>
    <t>Remito n R0017200023875</t>
  </si>
  <si>
    <t>Remito n R0017200023876</t>
  </si>
  <si>
    <t>Remito n R0017200023885</t>
  </si>
  <si>
    <t>Remito n R0017200023886</t>
  </si>
  <si>
    <t>Se procede a hacer el cambio de unidad de sommier</t>
  </si>
  <si>
    <t>Remito n R0017200023891</t>
  </si>
  <si>
    <t>Remito n R0017200023900</t>
  </si>
  <si>
    <t>Recibio familiar DNI 45599518</t>
  </si>
  <si>
    <t>Remito n R0017200023902</t>
  </si>
  <si>
    <t>Remito n R0017200023903</t>
  </si>
  <si>
    <t>Remito n R0017200023904</t>
  </si>
  <si>
    <t>Remito n R0017200023906</t>
  </si>
  <si>
    <t>Remito n R0017200023910</t>
  </si>
  <si>
    <t>Remito n R0017200023921</t>
  </si>
  <si>
    <t>Remito n R0017200023922</t>
  </si>
  <si>
    <t>Remito n R0017200023923</t>
  </si>
  <si>
    <t>Remito n R0017200023942</t>
  </si>
  <si>
    <t>Remito n R0017200023936</t>
  </si>
  <si>
    <t>Remito n R0017200023937</t>
  </si>
  <si>
    <t>Remito n R0017200023941</t>
  </si>
  <si>
    <t>Remito n R0017200023944</t>
  </si>
  <si>
    <t>Remito n R0017200023955</t>
  </si>
  <si>
    <t>Remito n R0017200023956</t>
  </si>
  <si>
    <t>Remito n R0017200023962</t>
  </si>
  <si>
    <t>Recibio familiar DNI 27084056</t>
  </si>
  <si>
    <t>Remito n R0017200023963</t>
  </si>
  <si>
    <t>Recibio familiar DNI 26993763</t>
  </si>
  <si>
    <t>Remito n R0017200023964</t>
  </si>
  <si>
    <t>Recibio familiar DNI 92908734</t>
  </si>
  <si>
    <t>Remito n R0017200023965/6</t>
  </si>
  <si>
    <t>R0017200023968</t>
  </si>
  <si>
    <t xml:space="preserve">ARIAS ORTENCIA RITA </t>
  </si>
  <si>
    <t>B ROBERTO ROMERO CALLE LOS ALPES MZA149 LOTE 15</t>
  </si>
  <si>
    <t>Remito n R0017200023968</t>
  </si>
  <si>
    <t>Recibio familiar DNI 23307661</t>
  </si>
  <si>
    <t>Remito n R0017200023971</t>
  </si>
  <si>
    <t>Recibio familiar DNI 31082500</t>
  </si>
  <si>
    <t>Remito n R0017200023972</t>
  </si>
  <si>
    <t>Recibio familiar DNI 25712537</t>
  </si>
  <si>
    <t>Remito n R0017200024001</t>
  </si>
  <si>
    <t>Remito n R0017200024003</t>
  </si>
  <si>
    <t>Recibio familiar DNI 17417160</t>
  </si>
  <si>
    <t>Remito n R0017200024004</t>
  </si>
  <si>
    <t>Recibio familiar DNI 23316301</t>
  </si>
  <si>
    <t>Remito n R0017200024005</t>
  </si>
  <si>
    <t>Recibio familiar DNI 30221485</t>
  </si>
  <si>
    <t>Remito n R0017200024007</t>
  </si>
  <si>
    <t>Remito n R0017200024008</t>
  </si>
  <si>
    <t xml:space="preserve">Recibio la persona que realizo la  compra </t>
  </si>
  <si>
    <t>Remito n R0017200024020</t>
  </si>
  <si>
    <t>Remito n R00200024021</t>
  </si>
  <si>
    <t>Remito n R0017200024022</t>
  </si>
  <si>
    <t xml:space="preserve">GENERAL GUEMES </t>
  </si>
  <si>
    <t>Remito n R0017200024023</t>
  </si>
  <si>
    <t>Recibio familiar DNI 31644912</t>
  </si>
  <si>
    <t>Remito n R0017200024025</t>
  </si>
  <si>
    <t>Remito n R0017200024026</t>
  </si>
  <si>
    <t xml:space="preserve"> SI </t>
  </si>
  <si>
    <t>Remito n R0017200024027</t>
  </si>
  <si>
    <t>Recibio persona que realizo la compra DNI 29532303</t>
  </si>
  <si>
    <t>Remito n R0017200024028</t>
  </si>
  <si>
    <t>cotizada mas abajo junto con entrega de conjunto</t>
  </si>
  <si>
    <t>Recibio familiar (hijo) DNI 47776966</t>
  </si>
  <si>
    <t>Remito n R0017200024038</t>
  </si>
  <si>
    <t>Recibio familiar (esposa) DNI 26485137</t>
  </si>
  <si>
    <t>Remito n R0017200024039</t>
  </si>
  <si>
    <t>Remito n R0017200024041</t>
  </si>
  <si>
    <t>Remito n R0017200024042</t>
  </si>
  <si>
    <t>Remito n R0017200024045</t>
  </si>
  <si>
    <t>Recibio familiar DNI 46670884 (hermano)</t>
  </si>
  <si>
    <t>Remito n R0017200024055</t>
  </si>
  <si>
    <t>Recibio familiar(esposo) DNI 7257910</t>
  </si>
  <si>
    <t>Remito n R0017200024056</t>
  </si>
  <si>
    <t>Recibio familiar DNI 31548411</t>
  </si>
  <si>
    <t>Remito n R0017200024057</t>
  </si>
  <si>
    <t>Recibio familiar DNI 36420798</t>
  </si>
  <si>
    <t>Remito n R0017200024072</t>
  </si>
  <si>
    <t>Remito n R0017200024074</t>
  </si>
  <si>
    <t>Remito n R0017200024075</t>
  </si>
  <si>
    <t>Recibio Familiar DNI 33090050</t>
  </si>
  <si>
    <t>Remito n R0017200024078</t>
  </si>
  <si>
    <t>Remito n R0017200024079</t>
  </si>
  <si>
    <t>Remito n R0017200024080</t>
  </si>
  <si>
    <t>Remito n R0017200024081</t>
  </si>
  <si>
    <t>Remito n R0017200024090</t>
  </si>
  <si>
    <t>Remito n R0017200024102</t>
  </si>
  <si>
    <t>Recibio familiar (hijo) DNI 31093218</t>
  </si>
  <si>
    <t>Remito n R0017200024109</t>
  </si>
  <si>
    <t>Remito n R0017200024114</t>
  </si>
  <si>
    <t>Recibio persona desiganada DNI 96376586</t>
  </si>
  <si>
    <t>Remito n R0017200024122</t>
  </si>
  <si>
    <t>Remito n R0017200024124</t>
  </si>
  <si>
    <t>R0017200024134</t>
  </si>
  <si>
    <t>X17127</t>
  </si>
  <si>
    <t>AGUERO FRANCISCO</t>
  </si>
  <si>
    <t>SANTA ISABEL 2550</t>
  </si>
  <si>
    <t>sab.fieldcrest full gris</t>
  </si>
  <si>
    <t>Remito n R0017200024134</t>
  </si>
  <si>
    <t>COL.MEYER DREAM PLUS 140X190</t>
  </si>
  <si>
    <t>R0017200024136</t>
  </si>
  <si>
    <t>X17133</t>
  </si>
  <si>
    <t>POSADAS MIRTHA</t>
  </si>
  <si>
    <t>BS  AS 251 0 B</t>
  </si>
  <si>
    <t>SOM.UNIVERSAL GREY 140X190</t>
  </si>
  <si>
    <t>Remito n R0017200024136</t>
  </si>
  <si>
    <t>R0017200024135</t>
  </si>
  <si>
    <t>X1732</t>
  </si>
  <si>
    <t>GONZALEZ VALENTINA</t>
  </si>
  <si>
    <t>AHUMADA 376</t>
  </si>
  <si>
    <t>CILSEAKY POST QUARTZ 200X200</t>
  </si>
  <si>
    <t>Remito n R0017200024135</t>
  </si>
  <si>
    <t>R0017200024137</t>
  </si>
  <si>
    <t>WC0036</t>
  </si>
  <si>
    <t>CLARA AQUIM</t>
  </si>
  <si>
    <t>URQUIZA 1825</t>
  </si>
  <si>
    <t>COL.TELGO MAITRI B140X190</t>
  </si>
  <si>
    <t>Remito n R0017200024137</t>
  </si>
  <si>
    <t>18/032026</t>
  </si>
  <si>
    <t>X06491</t>
  </si>
  <si>
    <t>B TRES CERRITOS JUAN B JUSTO</t>
  </si>
  <si>
    <t>Remito n R0017200024143</t>
  </si>
  <si>
    <t xml:space="preserve">B HUAICO MZA 458 B 21 </t>
  </si>
  <si>
    <t>Remito n R0017800300546</t>
  </si>
  <si>
    <t xml:space="preserve">VILLA LOS TARCOS VELARDE </t>
  </si>
  <si>
    <t>Remito n R0017200024037</t>
  </si>
  <si>
    <t>Ituzaingo 1160</t>
  </si>
  <si>
    <t>Col. Telgo Maitri B140X190</t>
  </si>
  <si>
    <t>Remito n R0017800301375</t>
  </si>
  <si>
    <t>San Rafael esqu. Los Algarrobos 0</t>
  </si>
  <si>
    <t>Remito n R0017800301363</t>
  </si>
  <si>
    <t>Los Raulies 60</t>
  </si>
  <si>
    <t>Recibio familiar DNI 18230642</t>
  </si>
  <si>
    <t>Remito n R0017800301352</t>
  </si>
  <si>
    <t>Col. Sealy Est SunshineB 100x190</t>
  </si>
  <si>
    <t>B SOLARES DE ORTIZ AV LAS ENCINAS 8 H</t>
  </si>
  <si>
    <t>Remito n R0017800301358</t>
  </si>
  <si>
    <t>Pje Sra del Carmen 256</t>
  </si>
  <si>
    <t xml:space="preserve">METAN </t>
  </si>
  <si>
    <t>Recibio familiar DNI 41181641</t>
  </si>
  <si>
    <t>Remito n R0017800301073</t>
  </si>
  <si>
    <t>Col. Sealy  Est Linen 140x190</t>
  </si>
  <si>
    <t>Remito n R0017800302290</t>
  </si>
  <si>
    <t>Recibio familiar DNI 21701861</t>
  </si>
  <si>
    <t>Remito n R0017800302294</t>
  </si>
  <si>
    <t>Se devuelve a sucursal cliente fallecio</t>
  </si>
  <si>
    <t>Remito n R0017800302326</t>
  </si>
  <si>
    <t>Remito n R0017800302339</t>
  </si>
  <si>
    <t>Remito n R0017800302346</t>
  </si>
  <si>
    <t>Recibio familiar DNI 37602308</t>
  </si>
  <si>
    <t>Remito n R0017200024149</t>
  </si>
  <si>
    <t>Recibio familiar DNI 34443282</t>
  </si>
  <si>
    <t>Remito n R0017200024150</t>
  </si>
  <si>
    <t>Remito n R0017200024151</t>
  </si>
  <si>
    <t>Recibio familiar DNI 24050436</t>
  </si>
  <si>
    <t>Remito n R0017200024154</t>
  </si>
  <si>
    <t>Recibio familiar DNI 95208361</t>
  </si>
  <si>
    <t>Remito n R0017200024155</t>
  </si>
  <si>
    <t>r0017200024157</t>
  </si>
  <si>
    <t>Recibio familiar DNI 12640692</t>
  </si>
  <si>
    <t>Remito n R0017200024157</t>
  </si>
  <si>
    <t>Recibio familiar DNI 39039834</t>
  </si>
  <si>
    <t>Remito n R0017200024161</t>
  </si>
  <si>
    <t>Remito n R0017200024162</t>
  </si>
  <si>
    <t>Remito n R0017200024167</t>
  </si>
  <si>
    <t xml:space="preserve">Recibio familiar DNI </t>
  </si>
  <si>
    <t>Remito n R0017200024168</t>
  </si>
  <si>
    <t>Remito n R0017200024170</t>
  </si>
  <si>
    <t>Remito n R0017200024181</t>
  </si>
  <si>
    <t>Remito n R0017200024182</t>
  </si>
  <si>
    <t>Remito n R0017200024183</t>
  </si>
  <si>
    <t>Recibio familiar DNI 32347762 (esposa)</t>
  </si>
  <si>
    <t>Remito n R0017200024184</t>
  </si>
  <si>
    <t>Remito n R0017200024187</t>
  </si>
  <si>
    <t>Remito n R0017200024188</t>
  </si>
  <si>
    <t>Recibio familiar DNI 33249717</t>
  </si>
  <si>
    <t>Remito n R0017200024190</t>
  </si>
  <si>
    <t>Recibio familiar Roberto Chizzi</t>
  </si>
  <si>
    <t>Remito n R0017200024191</t>
  </si>
  <si>
    <t>Remito n R0017200024199</t>
  </si>
  <si>
    <r>
      <rPr>
        <color rgb="FF1155CC"/>
        <u/>
      </rPr>
      <t>Remito n R0017200024200</t>
    </r>
    <r>
      <rPr>
        <color rgb="FF000000"/>
      </rPr>
      <t xml:space="preserve"> </t>
    </r>
  </si>
  <si>
    <t>Recibio familiar DNI 14836940</t>
  </si>
  <si>
    <t>Remito n R0017200024201</t>
  </si>
  <si>
    <t>Remito n R0017200024205</t>
  </si>
  <si>
    <t>Remito n R0017200024207</t>
  </si>
  <si>
    <t>Remito n R0017200024208</t>
  </si>
  <si>
    <t>Recibio familiar DNI 49227884</t>
  </si>
  <si>
    <t>Remito n R0017200024209</t>
  </si>
  <si>
    <t>Recibio familiar (madre) DNI 12028010</t>
  </si>
  <si>
    <t>Remito n R0017200024210</t>
  </si>
  <si>
    <t>Recibio familiar DNI 16128304</t>
  </si>
  <si>
    <t>Remito n R0017200024217</t>
  </si>
  <si>
    <t>Remito n R0017200024221</t>
  </si>
  <si>
    <t>Recibio familiar DNI 18019859</t>
  </si>
  <si>
    <t>Remito n R0017200024226</t>
  </si>
  <si>
    <t>Remito n R0017200024227</t>
  </si>
  <si>
    <t>Recibio familiar DNI 17131449</t>
  </si>
  <si>
    <t>Remito n R0017200024229</t>
  </si>
  <si>
    <t>Remito n R0017200024230</t>
  </si>
  <si>
    <t>Remito n R0017200024232</t>
  </si>
  <si>
    <t>Remito n R0017200024233</t>
  </si>
  <si>
    <t>Remito n R0017200024243</t>
  </si>
  <si>
    <t>Remito n R0017200024244</t>
  </si>
  <si>
    <t>Remito n R0017200024245</t>
  </si>
  <si>
    <t>Remito n R0017200024246</t>
  </si>
  <si>
    <t>Recibio familiar DNI 33428992</t>
  </si>
  <si>
    <t>Remito n R0017200024253</t>
  </si>
  <si>
    <t>Recibio familiar DNI 41296820</t>
  </si>
  <si>
    <t>Remito n R0017200024248</t>
  </si>
  <si>
    <t>Recibio familiar DNI 26280073</t>
  </si>
  <si>
    <t>Remito n R0017200024251</t>
  </si>
  <si>
    <t>Remito n R0017200024260</t>
  </si>
  <si>
    <t>Remito n R0017200024261</t>
  </si>
  <si>
    <t>Remito n R0017200024262</t>
  </si>
  <si>
    <t>Remito n R0017200024263</t>
  </si>
  <si>
    <t>Remito n R0017200024264</t>
  </si>
  <si>
    <t>R0017200024266</t>
  </si>
  <si>
    <t>LUIS JAVIER AGUIRRE</t>
  </si>
  <si>
    <t>CALLE SAN LUIS 412</t>
  </si>
  <si>
    <t>Remito n R0017200024266</t>
  </si>
  <si>
    <t>Recibio familiar DNI 33696915</t>
  </si>
  <si>
    <t>Remito n R0017200024272</t>
  </si>
  <si>
    <t>Recibio familiar DNI 52538464</t>
  </si>
  <si>
    <t>Remito n R0017200024275</t>
  </si>
  <si>
    <t>Remito n R0017200024282</t>
  </si>
  <si>
    <t>Recibio familiar DNI 31766953</t>
  </si>
  <si>
    <t>Remito n R0017200024292</t>
  </si>
  <si>
    <t>Remito n R0017200024294</t>
  </si>
  <si>
    <t>Remito n R0017200024307</t>
  </si>
  <si>
    <t>Recibio familiar DNI 33970253</t>
  </si>
  <si>
    <t>Remito n R0017200024308</t>
  </si>
  <si>
    <t>Recibio familiar (madre) DNI 27699800</t>
  </si>
  <si>
    <t>Remito n R0017200024312</t>
  </si>
  <si>
    <t>Recibio familiar (hijo) DNI 35822382</t>
  </si>
  <si>
    <t>Remito n R0017200024313</t>
  </si>
  <si>
    <t>Remito n R0017200024314</t>
  </si>
  <si>
    <t>Remito n R0017200024315</t>
  </si>
  <si>
    <t>Remito n R0017200024318</t>
  </si>
  <si>
    <t>Remito n R0017200024320</t>
  </si>
  <si>
    <t>Recibio familiar DNI 38340546</t>
  </si>
  <si>
    <t>Remito n R0017200024335</t>
  </si>
  <si>
    <t>Recibio familiar DNI 33539964</t>
  </si>
  <si>
    <t>Remito n R0017800302286</t>
  </si>
  <si>
    <t>Recibio familiar DNI 21578058</t>
  </si>
  <si>
    <t>Remito n R0017800302310</t>
  </si>
  <si>
    <t>Remito n R0017800302325</t>
  </si>
  <si>
    <t>Remito n R0017800302657</t>
  </si>
  <si>
    <t>Remito n R0017800302661</t>
  </si>
  <si>
    <t>Remito n R0017800302663</t>
  </si>
  <si>
    <t>Remito n R0017800302664</t>
  </si>
  <si>
    <t>Recibio familiar DNI 13319510</t>
  </si>
  <si>
    <t>Remito n R0017800302911</t>
  </si>
  <si>
    <t>Remito n R0017800303713</t>
  </si>
  <si>
    <t>Recibio familiar DNI 12701696</t>
  </si>
  <si>
    <t>Remito n R0017800303715</t>
  </si>
  <si>
    <t>Recibio familiar DNI 32501905</t>
  </si>
  <si>
    <t>Remito n R0017800302320</t>
  </si>
  <si>
    <t>Recibio familiar DNI 25411135</t>
  </si>
  <si>
    <t>Remito n R0017800302345</t>
  </si>
  <si>
    <t>Recibio familiar DNI 38032861</t>
  </si>
  <si>
    <t>Remito n R0017800302356</t>
  </si>
  <si>
    <t>Remito n R0017800304033</t>
  </si>
  <si>
    <t>Remito n R0017800304039</t>
  </si>
  <si>
    <t>Recibio familiar DNI 23308224</t>
  </si>
  <si>
    <t>Remito n R0017800304040</t>
  </si>
  <si>
    <t>Remito n R0017800304049</t>
  </si>
  <si>
    <t>Remito n R0017800304050</t>
  </si>
  <si>
    <t xml:space="preserve">Recibio familiar Roberto chiozzi </t>
  </si>
  <si>
    <t>Remito n R0017800304053</t>
  </si>
  <si>
    <t>Recibio familiar DNI 37190875</t>
  </si>
  <si>
    <t>Remito n R0017800304791</t>
  </si>
  <si>
    <t>Recibio la persona que realizo la compra (se devolvio lo adeudado a sucursal Salta)</t>
  </si>
  <si>
    <t>Remito n R0017800304795</t>
  </si>
  <si>
    <t>Recibo n R0017800304819</t>
  </si>
  <si>
    <t>Remito n R0017800305073</t>
  </si>
  <si>
    <t>Remito n R0017800305074</t>
  </si>
  <si>
    <t>Remito n R0017800305080</t>
  </si>
  <si>
    <t>Remito n R0017800305502</t>
  </si>
  <si>
    <t>Recibio familiar DNI 36229249</t>
  </si>
  <si>
    <t>Remito n R0017800305799</t>
  </si>
  <si>
    <t>Remito n R0017800305800</t>
  </si>
  <si>
    <t>Remito n R0017800305827</t>
  </si>
  <si>
    <t>Remito n R0017800305828</t>
  </si>
  <si>
    <t>Remito n R0017200024341</t>
  </si>
  <si>
    <t>Remito n R0017200024344</t>
  </si>
  <si>
    <t>Remito n R0017200024346</t>
  </si>
  <si>
    <t>Remito n R0017200024348</t>
  </si>
  <si>
    <t>Recibio persona designada DNI 35477239</t>
  </si>
  <si>
    <t>Remito n R0017200024353</t>
  </si>
  <si>
    <t>Remito n R0017200024354</t>
  </si>
  <si>
    <t>Remito n R0017200024355</t>
  </si>
  <si>
    <t>Remito n R0017200024356</t>
  </si>
  <si>
    <t>Remito n R0017200024359</t>
  </si>
  <si>
    <t>Recibio persona designada DNI 20501591</t>
  </si>
  <si>
    <t>Remito n R0017200024362</t>
  </si>
  <si>
    <t>Recibio persona designada DNI 16008466</t>
  </si>
  <si>
    <t>Remito n R0017200024364</t>
  </si>
  <si>
    <t>Recibio persona designada DNI 31634218</t>
  </si>
  <si>
    <t>Remito n R0017200024366</t>
  </si>
  <si>
    <t>Remito n R0017800306101</t>
  </si>
  <si>
    <t>Recibio familiar DNI 26045280</t>
  </si>
  <si>
    <t>Remito n R0017800306105</t>
  </si>
  <si>
    <t>Recibio familiar DNI 41053486</t>
  </si>
  <si>
    <t>Remito n R0017800306230</t>
  </si>
  <si>
    <t>Recibio familiar DNI 16128276</t>
  </si>
  <si>
    <t>Remito n R0017800307843</t>
  </si>
  <si>
    <t>Recibio familiar DNI 34723172</t>
  </si>
  <si>
    <t>Remito n R0017800307853</t>
  </si>
  <si>
    <t>Recibio familiar DNI 37746962</t>
  </si>
  <si>
    <t>Remito n R0017800306841</t>
  </si>
  <si>
    <t>Remito n R0017800309199</t>
  </si>
  <si>
    <t>Remito n R0017200024375</t>
  </si>
  <si>
    <t>Remito n R0017200024376</t>
  </si>
  <si>
    <t>Remito n R0017200024382</t>
  </si>
  <si>
    <t>Remito n R0017200024386</t>
  </si>
  <si>
    <t>Remito n R0017200024388</t>
  </si>
  <si>
    <t>Remito n R0017200024389</t>
  </si>
  <si>
    <t>Recibio persona que realizo la compra DNI 11539847</t>
  </si>
  <si>
    <t>Remito n R0017200024390</t>
  </si>
  <si>
    <t>Remito n R0017200024408</t>
  </si>
  <si>
    <t>Remito n R0017200024410</t>
  </si>
  <si>
    <t>Recibio familiar DNI 36135725</t>
  </si>
  <si>
    <t>Remito n R0017200024414</t>
  </si>
  <si>
    <t>Remito n R0017200024420</t>
  </si>
  <si>
    <t>Remito n R0017200024423</t>
  </si>
  <si>
    <t>Recibio familiar DNI 12712186</t>
  </si>
  <si>
    <t>Remito n R0017200024424</t>
  </si>
  <si>
    <t>Recibio familiar DNI 30636109</t>
  </si>
  <si>
    <t>Remito n R0017200024441</t>
  </si>
  <si>
    <t>Remito n R0017200024439</t>
  </si>
  <si>
    <t>Remito n R0017200024437</t>
  </si>
  <si>
    <t>Recibio familiar DNI 39993791</t>
  </si>
  <si>
    <t>Remito n R001720002447</t>
  </si>
  <si>
    <t>Recibio familiar DNI 49035059</t>
  </si>
  <si>
    <t>Remito n R0017200024455</t>
  </si>
  <si>
    <t>Recibio familiar DNI 41623089</t>
  </si>
  <si>
    <t>Remito n R0017200024456</t>
  </si>
  <si>
    <t>Recibio Silvina Llabra DNI 17614915</t>
  </si>
  <si>
    <t>Remito n R0017200024462</t>
  </si>
  <si>
    <t>Recibio familiar DNI 13346340</t>
  </si>
  <si>
    <t>Remito n R0017200024463</t>
  </si>
  <si>
    <t xml:space="preserve">Cambio </t>
  </si>
  <si>
    <t>Remito n R0017200024467</t>
  </si>
  <si>
    <t>Recibio persona designada DNI 29570835</t>
  </si>
  <si>
    <t>Remito n R0017200024404</t>
  </si>
  <si>
    <t>Remito n R0017200024468</t>
  </si>
  <si>
    <t>Remito n R0017200024470</t>
  </si>
  <si>
    <t>Recibio familiar DNI 29094509</t>
  </si>
  <si>
    <t>Remito n R0017200024473</t>
  </si>
  <si>
    <t>Remito n R0017200024475</t>
  </si>
  <si>
    <t>Recibio la persona que realizo la compra se procede a hacer un cambio y retiro de base de 140</t>
  </si>
  <si>
    <t>Remito n R0017200024482</t>
  </si>
  <si>
    <t>Remito n R0017200024484</t>
  </si>
  <si>
    <t>Recibio familiar DNI 26417492</t>
  </si>
  <si>
    <t>Remito n R0017200024491</t>
  </si>
  <si>
    <t>Recibio familiar DNI 35197822</t>
  </si>
  <si>
    <t>Remito n R0017200024495</t>
  </si>
  <si>
    <t>Recibio familiar DNI 22445765</t>
  </si>
  <si>
    <t>Remito n R0017200024496</t>
  </si>
  <si>
    <t>Remito n R0017800310604</t>
  </si>
  <si>
    <t>Remito n R0017800310614</t>
  </si>
  <si>
    <t xml:space="preserve">Recibio familiar Agustin Paco </t>
  </si>
  <si>
    <t>Remito n R0017800310935</t>
  </si>
  <si>
    <t xml:space="preserve">Recibio titular de la compra </t>
  </si>
  <si>
    <t>Remito n R0017800311470</t>
  </si>
  <si>
    <t>Remito n R0017800311481</t>
  </si>
  <si>
    <t>Remito n R0017800311503</t>
  </si>
  <si>
    <t>Remito n R0017800311514</t>
  </si>
  <si>
    <t>Recibio familiar DNI 28633507</t>
  </si>
  <si>
    <t>Remito n R0017800311518</t>
  </si>
  <si>
    <t xml:space="preserve">Cliente rechazo la compra </t>
  </si>
  <si>
    <t>Remito n R0017800311534</t>
  </si>
  <si>
    <t>Remito n R0017800311537</t>
  </si>
  <si>
    <t>Recibio familiar DNI 4813299</t>
  </si>
  <si>
    <t>Remito n R0017800311541</t>
  </si>
  <si>
    <t>Recibio familiar DNI 45774611 (hermano)</t>
  </si>
  <si>
    <t>Remito n R0017800311543</t>
  </si>
  <si>
    <t>Recibio familiar DNI 44661980</t>
  </si>
  <si>
    <t>Remito n R0017800311548</t>
  </si>
  <si>
    <t>Recibio familiar DNI 4372414</t>
  </si>
  <si>
    <t>Remito n R0017200024505</t>
  </si>
  <si>
    <t>Recibio familiar DNI 20482304</t>
  </si>
  <si>
    <t>Remito n R0017200024506</t>
  </si>
  <si>
    <t>Recibio familiar DNI 33428733</t>
  </si>
  <si>
    <t>Remito n R00017200024512</t>
  </si>
  <si>
    <t>Remito n R0017200024513</t>
  </si>
  <si>
    <t>Remito n R0017200024514</t>
  </si>
  <si>
    <t>Remito n R0017200024522</t>
  </si>
  <si>
    <t>Recibio familiar DNI 29737649</t>
  </si>
  <si>
    <t>Remito n R0017200024524</t>
  </si>
  <si>
    <t>Remito n R0017200024538</t>
  </si>
  <si>
    <t>Remito n R0017200024540/1</t>
  </si>
  <si>
    <t>Remito n R0017200024542</t>
  </si>
  <si>
    <t>Remito n R0017200024544</t>
  </si>
  <si>
    <t>Recibio familiar DNI 35172730</t>
  </si>
  <si>
    <t>Remito n R0017200024548</t>
  </si>
  <si>
    <t>Remito n R0017200024559</t>
  </si>
  <si>
    <t>Recibio Martinez Juan DNI 36346347</t>
  </si>
  <si>
    <t>Remito n R0017200024560</t>
  </si>
  <si>
    <t>Remito n R0017200024561</t>
  </si>
  <si>
    <t>Remito n R0017200024562</t>
  </si>
  <si>
    <t>Remito n R0017200024563</t>
  </si>
  <si>
    <t>Remito n R0017200024564</t>
  </si>
  <si>
    <t>Recibio familiar DNI 73316396</t>
  </si>
  <si>
    <t>Remito n R0017200024565</t>
  </si>
  <si>
    <t>Remito n R0017200024567</t>
  </si>
  <si>
    <t>Remito n R0017200024568</t>
  </si>
  <si>
    <t>Remito n R0017200024569</t>
  </si>
  <si>
    <t>Remito n R0017200024579</t>
  </si>
  <si>
    <t>Recibio familiar DNI 10584086</t>
  </si>
  <si>
    <t>Remito n R0017200024576</t>
  </si>
  <si>
    <t>Remito n R0017200024577</t>
  </si>
  <si>
    <t>Remito n R0017200024578</t>
  </si>
  <si>
    <t>Recibio familiar DNI 46790306</t>
  </si>
  <si>
    <t>Recibio familiar DNI 14709343</t>
  </si>
  <si>
    <t>Remito n R0017200024582</t>
  </si>
  <si>
    <t>Remito n R0017200024583</t>
  </si>
  <si>
    <t>Recibio familiar DNI 23610863</t>
  </si>
  <si>
    <t>Remito n R001720004594</t>
  </si>
  <si>
    <t>Recibio familiar DNI 38650092</t>
  </si>
  <si>
    <t>Remito n R0017200024595</t>
  </si>
  <si>
    <t>Recibio empleado DNI 44567478</t>
  </si>
  <si>
    <t>Remito n R0017200024596</t>
  </si>
  <si>
    <t>Remito n R0017200024599</t>
  </si>
  <si>
    <t>Recibio familiar DNI 44402505</t>
  </si>
  <si>
    <t>Remito n R0017200024600</t>
  </si>
  <si>
    <t>Recibio familiar DNI 16166573</t>
  </si>
  <si>
    <t>Remito n R0017200024601</t>
  </si>
  <si>
    <t>Remito n R0017200024603</t>
  </si>
  <si>
    <t>Remito n r0017200024604</t>
  </si>
  <si>
    <t>Recibio la persona que realizo la comprq</t>
  </si>
  <si>
    <t>Remito n R0017200024607</t>
  </si>
  <si>
    <t>Remito n R0017200024609</t>
  </si>
  <si>
    <t>Remito n R0017200024610</t>
  </si>
  <si>
    <t>Recibio familiar DNI 43638870</t>
  </si>
  <si>
    <t>Remito n R0017200024612</t>
  </si>
  <si>
    <t>Recibio familiar DNI 43544588</t>
  </si>
  <si>
    <t>Remito n R0017200024614</t>
  </si>
  <si>
    <t>Remito n R0017200024615</t>
  </si>
  <si>
    <t>Recibio la persina que realizo la compra</t>
  </si>
  <si>
    <t>Remito n R0017200024617</t>
  </si>
  <si>
    <t>Recibio familiar DNI 31193824</t>
  </si>
  <si>
    <t>Remito n R0017200024620</t>
  </si>
  <si>
    <t>Remito n R0017200024623</t>
  </si>
  <si>
    <t>Remito n R0017200024624</t>
  </si>
  <si>
    <t>Recibio familiar DNI 2863451</t>
  </si>
  <si>
    <t>Remito n R0017200024626</t>
  </si>
  <si>
    <t>Recibio familiar DNI 35280781</t>
  </si>
  <si>
    <t>Remito n R0017200024632</t>
  </si>
  <si>
    <t>Remito n R0017200024637</t>
  </si>
  <si>
    <t>Remito n R0017200024633</t>
  </si>
  <si>
    <t>Recibio familiar DNI 13028498</t>
  </si>
  <si>
    <t>Remito n R0017200024636</t>
  </si>
  <si>
    <t>Remito n R0017200024640</t>
  </si>
  <si>
    <t>Remito n R0017200024661</t>
  </si>
  <si>
    <t>Recibio familiar DNI 13577794</t>
  </si>
  <si>
    <t>Remito n R0017200024662</t>
  </si>
  <si>
    <t>Recibio familiar DNI 26907378</t>
  </si>
  <si>
    <t>Remito n R0017200024664</t>
  </si>
  <si>
    <t>Recibio familiar DNI 47449827</t>
  </si>
  <si>
    <t>Remito n R0017200024665</t>
  </si>
  <si>
    <t>Remito n R0017200024666</t>
  </si>
  <si>
    <t>Recibio familiar DNI 31673812</t>
  </si>
  <si>
    <t>Remito n R0017200024667</t>
  </si>
  <si>
    <t>Remito n R0017200024668</t>
  </si>
  <si>
    <t>Recibio familiar DNI 16465370</t>
  </si>
  <si>
    <t>Remito n R0017200024670</t>
  </si>
  <si>
    <t>Recibio familiar DNI 35481269</t>
  </si>
  <si>
    <t>Remito n R0017200024672</t>
  </si>
  <si>
    <t>Recibio familiar DNI 27725443</t>
  </si>
  <si>
    <t>Remito n R0017200024673</t>
  </si>
  <si>
    <t>Recibio familiar DNI 26662740</t>
  </si>
  <si>
    <t>Remito n R0017200024674</t>
  </si>
  <si>
    <t>Remito n R0017200024679</t>
  </si>
  <si>
    <t>Recibio familiar DNI 92126745</t>
  </si>
  <si>
    <t>Remito n R0017800313032</t>
  </si>
  <si>
    <t>Recibio familiar DNI 42079737</t>
  </si>
  <si>
    <t>Remito n R0017800313037</t>
  </si>
  <si>
    <t>Remito n R0017800313814</t>
  </si>
  <si>
    <t>Remito n R0017800313819</t>
  </si>
  <si>
    <t>Remito n R0017800313820</t>
  </si>
  <si>
    <t>Remito n R0017800313831</t>
  </si>
  <si>
    <t>Remito n R0017800313862</t>
  </si>
  <si>
    <t xml:space="preserve">Recibio titluar de la compra </t>
  </si>
  <si>
    <t>Remito n R0017800313872</t>
  </si>
  <si>
    <t>Recibio familiar DNI 42240252</t>
  </si>
  <si>
    <t>Remito n R0017800313880</t>
  </si>
  <si>
    <t>Remito n R0017800314326</t>
  </si>
  <si>
    <t>Remito n R0017800314366</t>
  </si>
  <si>
    <t>Recibio familiar DNI 42131147</t>
  </si>
  <si>
    <t>Remito n R0017800314371</t>
  </si>
  <si>
    <t>Recibio familiar DNI 13507163</t>
  </si>
  <si>
    <t>Remito n R0017800314385</t>
  </si>
  <si>
    <t>Remito n R0017800314392</t>
  </si>
  <si>
    <t>Remito n R0017800314407</t>
  </si>
  <si>
    <t>Remito n R0017800314411</t>
  </si>
  <si>
    <t>Remito n R0017800314423</t>
  </si>
  <si>
    <t>Recibio familiar DNI 43549588</t>
  </si>
  <si>
    <t>Remito n R0017800314431</t>
  </si>
  <si>
    <t>Recibio familiar DNI 27840296</t>
  </si>
  <si>
    <t>Remito n R0017800314832</t>
  </si>
  <si>
    <t>Recibio la persona que realizo la compra (Se retiraron dos colchones que el cliente no queria)</t>
  </si>
  <si>
    <t>Remito n R0017800314843</t>
  </si>
  <si>
    <t>Recibio familiar DNI 34913670</t>
  </si>
  <si>
    <t>Remito n R0017800314845</t>
  </si>
  <si>
    <t>Remito n R0017800314848</t>
  </si>
  <si>
    <t>Remito n R0017800314850</t>
  </si>
  <si>
    <t>Remito n R0017800314852</t>
  </si>
  <si>
    <t>Remito n R0017800314862</t>
  </si>
  <si>
    <t>Remito n R0017800314863</t>
  </si>
  <si>
    <t>Remito n R0017800314885</t>
  </si>
  <si>
    <t>Recibio familiar DNI 27701132</t>
  </si>
  <si>
    <t>Remito n R0017800315443</t>
  </si>
  <si>
    <t>Recibio familiar DNI 26308471</t>
  </si>
  <si>
    <t>Remito n R0017800315458</t>
  </si>
  <si>
    <t>Remito n R0017800315472</t>
  </si>
  <si>
    <t>Recibio familiar DNI 21907072</t>
  </si>
  <si>
    <t>Remito n R0017800314330</t>
  </si>
  <si>
    <t>Recibio familiar DNI 26555915</t>
  </si>
  <si>
    <t>Remito n R0017800314405</t>
  </si>
  <si>
    <t>Remito n R0017800314432</t>
  </si>
  <si>
    <t>Remito n R0017800317687</t>
  </si>
  <si>
    <t>Recibio familiar DNI 92645103</t>
  </si>
  <si>
    <t>Remito n R0017200024685</t>
  </si>
  <si>
    <t>Recibio familiar DNI 26917378</t>
  </si>
  <si>
    <t>Remito n R0017200024684</t>
  </si>
  <si>
    <t>Recibio familiar DNI 33251140</t>
  </si>
  <si>
    <t>Remito n R0017200024687</t>
  </si>
  <si>
    <t>Remito n R0017200024692/3</t>
  </si>
  <si>
    <t>Recibio la persona que realizo la compra (se procede a hacer el cambio)</t>
  </si>
  <si>
    <t>Remito n R0017200024704</t>
  </si>
  <si>
    <t>Remito n  R0017200024705</t>
  </si>
  <si>
    <t>Recibio familiar DNI 23557658</t>
  </si>
  <si>
    <t>Remito n R0017200024710</t>
  </si>
  <si>
    <t>Remito n R0017200024711</t>
  </si>
  <si>
    <t>Remito n R0017200024712</t>
  </si>
  <si>
    <t>Recibio familiar DNI 39004092</t>
  </si>
  <si>
    <t>Remito n R0017200024713</t>
  </si>
  <si>
    <t>Remito n R0017200024722</t>
  </si>
  <si>
    <t>Remito n R0017200024723</t>
  </si>
  <si>
    <t>Recibio familiar DNI 27973034 (pareja)</t>
  </si>
  <si>
    <t>Remito n R0017200024724</t>
  </si>
  <si>
    <t xml:space="preserve">Recibio titular de la  compra </t>
  </si>
  <si>
    <t>Remito n R0017200024728</t>
  </si>
  <si>
    <t>Remito n R0017200024733</t>
  </si>
  <si>
    <t>Remito n R0017200024734</t>
  </si>
  <si>
    <t>Remito n R0017200024736</t>
  </si>
  <si>
    <t>Remito n R0017200024737</t>
  </si>
  <si>
    <t>Remito n R001720004738</t>
  </si>
  <si>
    <t>Recibio familiar DNI 92722435</t>
  </si>
  <si>
    <t>Remito n R0017200024744</t>
  </si>
  <si>
    <t>Remito n R0017200024745</t>
  </si>
  <si>
    <t>Recibio familiar DNI 6221892</t>
  </si>
  <si>
    <t>Remito n R0017200024746</t>
  </si>
  <si>
    <t>Recibio familiar DNI 31074668</t>
  </si>
  <si>
    <t>Remito n R0017200024772</t>
  </si>
  <si>
    <t>Recibio familiar DNI 25063972</t>
  </si>
  <si>
    <t>Remito n R0017200024775</t>
  </si>
  <si>
    <t>Remito n R0017200024776</t>
  </si>
  <si>
    <t>Remito n R0017200024777/8</t>
  </si>
  <si>
    <t>Recibio familiar DNI 4537089</t>
  </si>
  <si>
    <t>Remito n R0017200024779</t>
  </si>
  <si>
    <t>Remito n R0017200024783</t>
  </si>
  <si>
    <t>Remito n R0017800315492</t>
  </si>
  <si>
    <t>Remito n R0017800315496</t>
  </si>
  <si>
    <t>Remito n R0017800315515</t>
  </si>
  <si>
    <t>Recibio familiar DNI 30129054</t>
  </si>
  <si>
    <t>Remito n R0017800315520</t>
  </si>
  <si>
    <t>Remito n R0017800315533</t>
  </si>
  <si>
    <t>Remito n R0017800315554</t>
  </si>
  <si>
    <t>Remito n R0017800315561</t>
  </si>
  <si>
    <t>Remito n R0017800315562</t>
  </si>
  <si>
    <t>Remito n R0017800315577</t>
  </si>
  <si>
    <t>Recibio familiar DNI 27253672</t>
  </si>
  <si>
    <t>Remito n R0017800315593</t>
  </si>
  <si>
    <t>Recibio titular de la compra</t>
  </si>
  <si>
    <t>Remito n R0017800315596</t>
  </si>
  <si>
    <t>Reciibo familiar DNI 25336003</t>
  </si>
  <si>
    <t>Remito n R0017800315607</t>
  </si>
  <si>
    <t>Remito n R0017800316154</t>
  </si>
  <si>
    <t>Remito n R0017800316155</t>
  </si>
  <si>
    <t>Remito n R0017800316936</t>
  </si>
  <si>
    <t>Falta Entregar</t>
  </si>
  <si>
    <t>Remito n R0017800317685</t>
  </si>
  <si>
    <t>No entregar devolver a sucursal</t>
  </si>
  <si>
    <t>Remito n R0017800317690</t>
  </si>
  <si>
    <t>Recibio familiar (Tio) DNI 11262113</t>
  </si>
  <si>
    <t>Remito n R0017800317699</t>
  </si>
  <si>
    <t>Recibio familiar DNI 46030753</t>
  </si>
  <si>
    <t>Remito n R0017800317979</t>
  </si>
  <si>
    <t>Recibio familiar DNI 35261376</t>
  </si>
  <si>
    <t>Remito n R0017800317984</t>
  </si>
  <si>
    <t>Remito n R0017800317988</t>
  </si>
  <si>
    <t>Remito n R0017800318001</t>
  </si>
  <si>
    <t xml:space="preserve">No entregar devolver a sucursal </t>
  </si>
  <si>
    <t>Recibio familiar DNI 12598453</t>
  </si>
  <si>
    <t>Remito n R0017800318025</t>
  </si>
  <si>
    <t>Recibio familiar DNI 40957183</t>
  </si>
  <si>
    <t>Remito n R0017800318037</t>
  </si>
  <si>
    <t>Remito n R0017800318045</t>
  </si>
  <si>
    <t>Remito n R0017800318046</t>
  </si>
  <si>
    <t>Recibio familiar DNI 43438701</t>
  </si>
  <si>
    <t>Remito n R0017200024794</t>
  </si>
  <si>
    <t>Remito n R0017200024795</t>
  </si>
  <si>
    <t>Recibio familiar (Padre) DNI 12220339</t>
  </si>
  <si>
    <t>Remito n R0017200024797</t>
  </si>
  <si>
    <t>Recibio Lucio Huerta DNI 10530527</t>
  </si>
  <si>
    <t>Remito n R0017200024798</t>
  </si>
  <si>
    <t>Recibio familiar (esposo) DNI 13577804</t>
  </si>
  <si>
    <t>Remito n R0017200024799</t>
  </si>
  <si>
    <t>Recibio familiar DNI 13640678</t>
  </si>
  <si>
    <t>Remito n R0017200024800</t>
  </si>
  <si>
    <t>Remito n R0017200024801</t>
  </si>
  <si>
    <t>Remito n R0017200024813</t>
  </si>
  <si>
    <t>Remito n R0017200024814</t>
  </si>
  <si>
    <t>Recibio familiar DNI 32543329</t>
  </si>
  <si>
    <t>Remito n R0017200024817</t>
  </si>
  <si>
    <t>Remito n R0017200024818</t>
  </si>
  <si>
    <t>Remito n R0017200024823</t>
  </si>
  <si>
    <t>Recibio familiar DNI 31338405</t>
  </si>
  <si>
    <t>Remito n R0017200024825</t>
  </si>
  <si>
    <t>Remito n R0017200024826</t>
  </si>
  <si>
    <t>Remito n R0017200024829</t>
  </si>
  <si>
    <t>Remito n R0017200024831</t>
  </si>
  <si>
    <t>Remito n R0017200024834</t>
  </si>
  <si>
    <t>Remito n R0017200024836</t>
  </si>
  <si>
    <t>Remito n R0017200024839</t>
  </si>
  <si>
    <t>Remito n R0017200024853</t>
  </si>
  <si>
    <t>Recibio familiar DNI 37720564</t>
  </si>
  <si>
    <t>Remito n R0017200024855</t>
  </si>
  <si>
    <t>Remito n R0017200024856</t>
  </si>
  <si>
    <t>Recibio familiar DNI 37998692</t>
  </si>
  <si>
    <t>Remito n R0017200024867</t>
  </si>
  <si>
    <t>Remito n R0017200024870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</si>
</sst>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dd/mm"/>
    <numFmt numFmtId="165" formatCode="d&quot; De &quot;mmmm yyyy"/>
    <numFmt numFmtId="166" formatCode="dd/mm/yyyy"/>
    <numFmt numFmtId="167" formatCode="dd-mm"/>
    <numFmt numFmtId="168" formatCode="yyyy.m"/>
    <numFmt numFmtId="169" formatCode="d&quot; de &quot;mmmm yy"/>
    <numFmt numFmtId="170" formatCode="d&quot; de &quot;mmmm yyyy"/>
    <numFmt numFmtId="171" formatCode="d/m"/>
    <numFmt numFmtId="172" formatCode="d&quot; DE &quot;mmmm yyyy"/>
    <numFmt numFmtId="173" formatCode="d-m"/>
    <numFmt numFmtId="174" formatCode="d/m/yyyy"/>
    <numFmt numFmtId="175" formatCode="d/m/yyyy h:mm"/>
    <numFmt numFmtId="176" formatCode="d mmmm yyyy"/>
    <numFmt numFmtId="177" formatCode="d/MM/yyyy"/>
    <numFmt numFmtId="178" formatCode="[$ $]#,##0.00"/>
    <numFmt numFmtId="179" formatCode="#,##0.00\ [$€-1]"/>
  </numFmts>
  <fonts count="44">
    <font>
      <sz val="10.0"/>
      <color rgb="FF000000"/>
      <name val="Arial"/>
      <scheme val="minor"/>
    </font>
    <font>
      <sz val="18.0"/>
      <color theme="1"/>
      <name val="Arial"/>
    </font>
    <font>
      <b/>
      <sz val="18.0"/>
      <color theme="1"/>
      <name val="Arial"/>
    </font>
    <font>
      <b/>
      <sz val="13.0"/>
      <color theme="1"/>
      <name val="Calibri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>
      <u/>
      <color rgb="FF0000FF"/>
      <name val="Arial"/>
    </font>
    <font/>
    <font>
      <u/>
      <color rgb="FF0000FF"/>
    </font>
    <font>
      <u/>
      <color rgb="FF0000FF"/>
    </font>
    <font>
      <u/>
      <color rgb="FF0000FF"/>
    </font>
    <font>
      <sz val="11.0"/>
      <color theme="1"/>
      <name val="Calibri"/>
    </font>
    <font>
      <color rgb="FF0000FF"/>
      <name val="Arial"/>
      <scheme val="minor"/>
    </font>
    <font>
      <color rgb="FF000000"/>
      <name val="Arial"/>
      <scheme val="minor"/>
    </font>
    <font>
      <sz val="11.0"/>
      <color rgb="FF000000"/>
      <name val="&quot;Inter var&quot;"/>
    </font>
    <font>
      <sz val="17.0"/>
      <color theme="1"/>
      <name val="Calibri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color rgb="FF0000FF"/>
    </font>
    <font>
      <b/>
      <color theme="1"/>
      <name val="Arial"/>
    </font>
    <font>
      <b/>
      <sz val="11.0"/>
      <color rgb="FF000000"/>
      <name val="Calibri"/>
    </font>
    <font>
      <u/>
      <color rgb="FF0000FF"/>
    </font>
    <font>
      <color rgb="FF434343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BDD6EE"/>
        <bgColor rgb="FFBDD6EE"/>
      </patternFill>
    </fill>
    <fill>
      <patternFill patternType="solid">
        <fgColor rgb="FFFCE5CD"/>
        <bgColor rgb="FFFCE5CD"/>
      </patternFill>
    </fill>
    <fill>
      <patternFill patternType="solid">
        <fgColor rgb="FFDCE6F1"/>
        <bgColor rgb="FFDCE6F1"/>
      </patternFill>
    </fill>
    <fill>
      <patternFill patternType="solid">
        <fgColor rgb="FF0000FF"/>
        <bgColor rgb="FF0000FF"/>
      </patternFill>
    </fill>
    <fill>
      <patternFill patternType="solid">
        <fgColor rgb="FFDDEBF7"/>
        <bgColor rgb="FFDDEBF7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3D85C6"/>
        <bgColor rgb="FF3D85C6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</fills>
  <borders count="25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bottom style="thick">
        <color rgb="FF0000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ck">
        <color rgb="FF0000FF"/>
      </bottom>
    </border>
    <border>
      <left style="thin">
        <color rgb="FF000000"/>
      </left>
      <top style="thin">
        <color rgb="FF000000"/>
      </top>
      <bottom style="thick">
        <color rgb="FF0000FF"/>
      </bottom>
    </border>
    <border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95B3D7"/>
      </top>
      <bottom style="thin">
        <color rgb="FF95B3D7"/>
      </bottom>
    </border>
    <border>
      <top style="thin">
        <color rgb="FF95B3D7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95B3D7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95B3D7"/>
      </left>
      <top style="thin">
        <color rgb="FF95B3D7"/>
      </top>
    </border>
  </borders>
  <cellStyleXfs count="1">
    <xf borderId="0" fillId="0" fontId="0" numFmtId="0" applyAlignment="1" applyFont="1"/>
  </cellStyleXfs>
  <cellXfs count="6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left" shrinkToFit="0" wrapText="0"/>
    </xf>
    <xf borderId="2" fillId="2" fontId="2" numFmtId="0" xfId="0" applyAlignment="1" applyBorder="1" applyFont="1">
      <alignment horizontal="center" shrinkToFit="0" wrapText="0"/>
    </xf>
    <xf borderId="3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left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3" fillId="4" fontId="4" numFmtId="164" xfId="0" applyAlignment="1" applyBorder="1" applyFill="1" applyFont="1" applyNumberFormat="1">
      <alignment readingOrder="0" shrinkToFit="0" wrapText="1"/>
    </xf>
    <xf borderId="3" fillId="4" fontId="4" numFmtId="0" xfId="0" applyAlignment="1" applyBorder="1" applyFont="1">
      <alignment readingOrder="0" shrinkToFit="0" wrapText="1"/>
    </xf>
    <xf borderId="3" fillId="4" fontId="4" numFmtId="0" xfId="0" applyAlignment="1" applyBorder="1" applyFont="1">
      <alignment horizontal="left" readingOrder="0" shrinkToFit="0" wrapText="1"/>
    </xf>
    <xf borderId="3" fillId="4" fontId="4" numFmtId="0" xfId="0" applyAlignment="1" applyBorder="1" applyFont="1">
      <alignment shrinkToFit="0" wrapText="1"/>
    </xf>
    <xf borderId="3" fillId="0" fontId="4" numFmtId="164" xfId="0" applyAlignment="1" applyBorder="1" applyFont="1" applyNumberForma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horizontal="left" readingOrder="0" shrinkToFit="0" wrapText="1"/>
    </xf>
    <xf borderId="3" fillId="0" fontId="4" numFmtId="0" xfId="0" applyAlignment="1" applyBorder="1" applyFont="1">
      <alignment shrinkToFit="0" wrapText="1"/>
    </xf>
    <xf borderId="3" fillId="0" fontId="4" numFmtId="165" xfId="0" applyAlignment="1" applyBorder="1" applyFont="1" applyNumberFormat="1">
      <alignment readingOrder="0" shrinkToFit="0" wrapText="1"/>
    </xf>
    <xf borderId="3" fillId="4" fontId="5" numFmtId="0" xfId="0" applyAlignment="1" applyBorder="1" applyFont="1">
      <alignment readingOrder="0" shrinkToFit="0" wrapText="1"/>
    </xf>
    <xf borderId="3" fillId="4" fontId="5" numFmtId="0" xfId="0" applyAlignment="1" applyBorder="1" applyFont="1">
      <alignment horizontal="left" readingOrder="0" shrinkToFit="0" wrapText="1"/>
    </xf>
    <xf borderId="3" fillId="4" fontId="5" numFmtId="0" xfId="0" applyAlignment="1" applyBorder="1" applyFont="1">
      <alignment shrinkToFit="0" wrapText="1"/>
    </xf>
    <xf borderId="0" fillId="5" fontId="5" numFmtId="0" xfId="0" applyAlignment="1" applyFill="1" applyFont="1">
      <alignment shrinkToFit="0" wrapText="1"/>
    </xf>
    <xf borderId="0" fillId="5" fontId="5" numFmtId="0" xfId="0" applyAlignment="1" applyFont="1">
      <alignment horizontal="left" shrinkToFit="0" wrapText="1"/>
    </xf>
    <xf borderId="3" fillId="4" fontId="5" numFmtId="166" xfId="0" applyAlignment="1" applyBorder="1" applyFont="1" applyNumberFormat="1">
      <alignment readingOrder="0" shrinkToFit="0" wrapText="1"/>
    </xf>
    <xf borderId="3" fillId="4" fontId="6" numFmtId="0" xfId="0" applyAlignment="1" applyBorder="1" applyFont="1">
      <alignment shrinkToFit="0" vertical="bottom" wrapText="1"/>
    </xf>
    <xf borderId="3" fillId="4" fontId="6" numFmtId="0" xfId="0" applyAlignment="1" applyBorder="1" applyFont="1">
      <alignment horizontal="right" shrinkToFit="0" vertical="bottom" wrapText="1"/>
    </xf>
    <xf borderId="3" fillId="4" fontId="6" numFmtId="0" xfId="0" applyAlignment="1" applyBorder="1" applyFont="1">
      <alignment horizontal="left" shrinkToFit="0" vertical="bottom" wrapText="1"/>
    </xf>
    <xf borderId="3" fillId="0" fontId="5" numFmtId="166" xfId="0" applyAlignment="1" applyBorder="1" applyFont="1" applyNumberFormat="1">
      <alignment readingOrder="0" shrinkToFit="0" wrapText="1"/>
    </xf>
    <xf borderId="3" fillId="0" fontId="5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horizontal="left" readingOrder="0" shrinkToFit="0" wrapText="1"/>
    </xf>
    <xf borderId="3" fillId="0" fontId="5" numFmtId="0" xfId="0" applyAlignment="1" applyBorder="1" applyFont="1">
      <alignment readingOrder="0"/>
    </xf>
    <xf borderId="3" fillId="4" fontId="5" numFmtId="0" xfId="0" applyAlignment="1" applyBorder="1" applyFont="1">
      <alignment readingOrder="0"/>
    </xf>
    <xf borderId="3" fillId="0" fontId="5" numFmtId="0" xfId="0" applyAlignment="1" applyBorder="1" applyFont="1">
      <alignment horizontal="left" readingOrder="0"/>
    </xf>
    <xf borderId="3" fillId="0" fontId="5" numFmtId="0" xfId="0" applyBorder="1" applyFont="1"/>
    <xf borderId="3" fillId="4" fontId="5" numFmtId="0" xfId="0" applyAlignment="1" applyBorder="1" applyFont="1">
      <alignment horizontal="left" readingOrder="0"/>
    </xf>
    <xf borderId="3" fillId="4" fontId="5" numFmtId="0" xfId="0" applyBorder="1" applyFont="1"/>
    <xf borderId="3" fillId="0" fontId="5" numFmtId="0" xfId="0" applyAlignment="1" applyBorder="1" applyFont="1">
      <alignment shrinkToFit="0" wrapText="1"/>
    </xf>
    <xf borderId="3" fillId="4" fontId="5" numFmtId="167" xfId="0" applyAlignment="1" applyBorder="1" applyFont="1" applyNumberFormat="1">
      <alignment readingOrder="0" shrinkToFit="0" wrapText="1"/>
    </xf>
    <xf borderId="3" fillId="0" fontId="5" numFmtId="167" xfId="0" applyAlignment="1" applyBorder="1" applyFont="1" applyNumberFormat="1">
      <alignment readingOrder="0" shrinkToFit="0" wrapText="1"/>
    </xf>
    <xf borderId="3" fillId="4" fontId="5" numFmtId="168" xfId="0" applyAlignment="1" applyBorder="1" applyFont="1" applyNumberFormat="1">
      <alignment readingOrder="0"/>
    </xf>
    <xf borderId="3" fillId="0" fontId="5" numFmtId="169" xfId="0" applyAlignment="1" applyBorder="1" applyFont="1" applyNumberFormat="1">
      <alignment readingOrder="0"/>
    </xf>
    <xf borderId="3" fillId="4" fontId="5" numFmtId="164" xfId="0" applyAlignment="1" applyBorder="1" applyFont="1" applyNumberFormat="1">
      <alignment readingOrder="0" shrinkToFit="0" wrapText="1"/>
    </xf>
    <xf borderId="3" fillId="0" fontId="5" numFmtId="164" xfId="0" applyAlignment="1" applyBorder="1" applyFont="1" applyNumberFormat="1">
      <alignment readingOrder="0" shrinkToFit="0" wrapText="1"/>
    </xf>
    <xf borderId="3" fillId="4" fontId="5" numFmtId="170" xfId="0" applyAlignment="1" applyBorder="1" applyFont="1" applyNumberFormat="1">
      <alignment readingOrder="0"/>
    </xf>
    <xf borderId="3" fillId="4" fontId="4" numFmtId="171" xfId="0" applyAlignment="1" applyBorder="1" applyFont="1" applyNumberFormat="1">
      <alignment readingOrder="0" shrinkToFit="0" wrapText="1"/>
    </xf>
    <xf borderId="3" fillId="4" fontId="4" numFmtId="0" xfId="0" applyAlignment="1" applyBorder="1" applyFont="1">
      <alignment readingOrder="0"/>
    </xf>
    <xf borderId="3" fillId="4" fontId="4" numFmtId="0" xfId="0" applyAlignment="1" applyBorder="1" applyFont="1">
      <alignment horizontal="left" readingOrder="0"/>
    </xf>
    <xf borderId="3" fillId="0" fontId="4" numFmtId="171" xfId="0" applyAlignment="1" applyBorder="1" applyFont="1" applyNumberFormat="1">
      <alignment readingOrder="0" shrinkToFit="0" wrapText="1"/>
    </xf>
    <xf borderId="3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left" readingOrder="0"/>
    </xf>
    <xf borderId="3" fillId="4" fontId="5" numFmtId="171" xfId="0" applyAlignment="1" applyBorder="1" applyFont="1" applyNumberFormat="1">
      <alignment readingOrder="0" shrinkToFit="0" wrapText="1"/>
    </xf>
    <xf borderId="3" fillId="0" fontId="5" numFmtId="171" xfId="0" applyAlignment="1" applyBorder="1" applyFont="1" applyNumberFormat="1">
      <alignment readingOrder="0" shrinkToFit="0" wrapText="1"/>
    </xf>
    <xf borderId="0" fillId="0" fontId="5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shrinkToFit="0" wrapText="1"/>
    </xf>
    <xf borderId="3" fillId="0" fontId="7" numFmtId="0" xfId="0" applyAlignment="1" applyBorder="1" applyFont="1">
      <alignment readingOrder="0"/>
    </xf>
    <xf borderId="3" fillId="0" fontId="5" numFmtId="170" xfId="0" applyAlignment="1" applyBorder="1" applyFont="1" applyNumberFormat="1">
      <alignment readingOrder="0"/>
    </xf>
    <xf borderId="3" fillId="4" fontId="5" numFmtId="172" xfId="0" applyAlignment="1" applyBorder="1" applyFont="1" applyNumberFormat="1">
      <alignment readingOrder="0"/>
    </xf>
    <xf borderId="3" fillId="0" fontId="5" numFmtId="165" xfId="0" applyAlignment="1" applyBorder="1" applyFont="1" applyNumberFormat="1">
      <alignment readingOrder="0"/>
    </xf>
    <xf borderId="3" fillId="5" fontId="5" numFmtId="171" xfId="0" applyAlignment="1" applyBorder="1" applyFont="1" applyNumberFormat="1">
      <alignment readingOrder="0" shrinkToFit="0" wrapText="1"/>
    </xf>
    <xf borderId="3" fillId="5" fontId="5" numFmtId="0" xfId="0" applyAlignment="1" applyBorder="1" applyFont="1">
      <alignment readingOrder="0"/>
    </xf>
    <xf borderId="3" fillId="5" fontId="5" numFmtId="0" xfId="0" applyAlignment="1" applyBorder="1" applyFont="1">
      <alignment horizontal="left" readingOrder="0"/>
    </xf>
    <xf borderId="3" fillId="4" fontId="5" numFmtId="169" xfId="0" applyAlignment="1" applyBorder="1" applyFont="1" applyNumberFormat="1">
      <alignment readingOrder="0"/>
    </xf>
    <xf borderId="3" fillId="6" fontId="5" numFmtId="171" xfId="0" applyAlignment="1" applyBorder="1" applyFill="1" applyFont="1" applyNumberFormat="1">
      <alignment readingOrder="0" shrinkToFit="0" wrapText="1"/>
    </xf>
    <xf borderId="3" fillId="6" fontId="5" numFmtId="0" xfId="0" applyAlignment="1" applyBorder="1" applyFont="1">
      <alignment readingOrder="0"/>
    </xf>
    <xf borderId="3" fillId="6" fontId="5" numFmtId="0" xfId="0" applyAlignment="1" applyBorder="1" applyFont="1">
      <alignment horizontal="left" readingOrder="0"/>
    </xf>
    <xf borderId="3" fillId="6" fontId="5" numFmtId="0" xfId="0" applyBorder="1" applyFont="1"/>
    <xf borderId="3" fillId="0" fontId="5" numFmtId="172" xfId="0" applyAlignment="1" applyBorder="1" applyFont="1" applyNumberFormat="1">
      <alignment readingOrder="0"/>
    </xf>
    <xf borderId="3" fillId="6" fontId="5" numFmtId="164" xfId="0" applyAlignment="1" applyBorder="1" applyFont="1" applyNumberFormat="1">
      <alignment readingOrder="0" shrinkToFit="0" wrapText="1"/>
    </xf>
    <xf borderId="3" fillId="6" fontId="5" numFmtId="172" xfId="0" applyAlignment="1" applyBorder="1" applyFont="1" applyNumberFormat="1">
      <alignment readingOrder="0"/>
    </xf>
    <xf borderId="3" fillId="0" fontId="5" numFmtId="168" xfId="0" applyAlignment="1" applyBorder="1" applyFont="1" applyNumberFormat="1">
      <alignment readingOrder="0" shrinkToFit="0" wrapText="1"/>
    </xf>
    <xf borderId="0" fillId="5" fontId="5" numFmtId="0" xfId="0" applyAlignment="1" applyFont="1">
      <alignment readingOrder="0" shrinkToFit="0" wrapText="1"/>
    </xf>
    <xf borderId="3" fillId="6" fontId="5" numFmtId="3" xfId="0" applyAlignment="1" applyBorder="1" applyFont="1" applyNumberFormat="1">
      <alignment readingOrder="0"/>
    </xf>
    <xf borderId="3" fillId="0" fontId="5" numFmtId="3" xfId="0" applyAlignment="1" applyBorder="1" applyFont="1" applyNumberFormat="1">
      <alignment readingOrder="0"/>
    </xf>
    <xf borderId="0" fillId="5" fontId="5" numFmtId="3" xfId="0" applyAlignment="1" applyFont="1" applyNumberFormat="1">
      <alignment readingOrder="0"/>
    </xf>
    <xf borderId="0" fillId="6" fontId="5" numFmtId="0" xfId="0" applyAlignment="1" applyFont="1">
      <alignment readingOrder="0" shrinkToFit="0" wrapText="1"/>
    </xf>
    <xf borderId="0" fillId="6" fontId="5" numFmtId="0" xfId="0" applyAlignment="1" applyFont="1">
      <alignment readingOrder="0"/>
    </xf>
    <xf borderId="0" fillId="6" fontId="5" numFmtId="0" xfId="0" applyAlignment="1" applyFont="1">
      <alignment shrinkToFit="0" wrapText="1"/>
    </xf>
    <xf borderId="3" fillId="0" fontId="5" numFmtId="0" xfId="0" applyAlignment="1" applyBorder="1" applyFont="1">
      <alignment horizontal="left"/>
    </xf>
    <xf borderId="3" fillId="6" fontId="5" numFmtId="0" xfId="0" applyAlignment="1" applyBorder="1" applyFont="1">
      <alignment shrinkToFit="0" wrapText="1"/>
    </xf>
    <xf borderId="0" fillId="5" fontId="5" numFmtId="171" xfId="0" applyAlignment="1" applyFont="1" applyNumberFormat="1">
      <alignment readingOrder="0" shrinkToFit="0" wrapText="1"/>
    </xf>
    <xf borderId="0" fillId="5" fontId="8" numFmtId="0" xfId="0" applyAlignment="1" applyFont="1">
      <alignment readingOrder="0" shrinkToFit="0" vertical="bottom" wrapText="0"/>
    </xf>
    <xf borderId="0" fillId="5" fontId="5" numFmtId="0" xfId="0" applyAlignment="1" applyFont="1">
      <alignment horizontal="left" readingOrder="0" shrinkToFit="0" wrapText="1"/>
    </xf>
    <xf borderId="3" fillId="0" fontId="5" numFmtId="173" xfId="0" applyAlignment="1" applyBorder="1" applyFont="1" applyNumberFormat="1">
      <alignment readingOrder="0" shrinkToFit="0" wrapText="1"/>
    </xf>
    <xf borderId="0" fillId="6" fontId="5" numFmtId="0" xfId="0" applyFont="1"/>
    <xf borderId="0" fillId="5" fontId="5" numFmtId="173" xfId="0" applyAlignment="1" applyFont="1" applyNumberFormat="1">
      <alignment readingOrder="0" shrinkToFit="0" wrapText="1"/>
    </xf>
    <xf borderId="0" fillId="5" fontId="5" numFmtId="0" xfId="0" applyAlignment="1" applyFont="1">
      <alignment readingOrder="0"/>
    </xf>
    <xf borderId="0" fillId="5" fontId="5" numFmtId="0" xfId="0" applyAlignment="1" applyFont="1">
      <alignment horizontal="left" readingOrder="0"/>
    </xf>
    <xf borderId="0" fillId="5" fontId="5" numFmtId="0" xfId="0" applyFont="1"/>
    <xf borderId="3" fillId="6" fontId="5" numFmtId="173" xfId="0" applyAlignment="1" applyBorder="1" applyFont="1" applyNumberFormat="1">
      <alignment readingOrder="0" shrinkToFit="0" wrapText="1"/>
    </xf>
    <xf borderId="3" fillId="7" fontId="5" numFmtId="173" xfId="0" applyAlignment="1" applyBorder="1" applyFill="1" applyFont="1" applyNumberFormat="1">
      <alignment readingOrder="0" shrinkToFit="0" wrapText="1"/>
    </xf>
    <xf borderId="3" fillId="8" fontId="5" numFmtId="173" xfId="0" applyAlignment="1" applyBorder="1" applyFill="1" applyFont="1" applyNumberFormat="1">
      <alignment readingOrder="0" shrinkToFit="0" wrapText="1"/>
    </xf>
    <xf borderId="3" fillId="9" fontId="5" numFmtId="0" xfId="0" applyAlignment="1" applyBorder="1" applyFill="1" applyFont="1">
      <alignment readingOrder="0"/>
    </xf>
    <xf borderId="3" fillId="10" fontId="5" numFmtId="0" xfId="0" applyAlignment="1" applyBorder="1" applyFill="1" applyFont="1">
      <alignment readingOrder="0"/>
    </xf>
    <xf borderId="3" fillId="5" fontId="5" numFmtId="173" xfId="0" applyAlignment="1" applyBorder="1" applyFont="1" applyNumberFormat="1">
      <alignment readingOrder="0" shrinkToFit="0" wrapText="1"/>
    </xf>
    <xf borderId="3" fillId="5" fontId="5" numFmtId="0" xfId="0" applyBorder="1" applyFont="1"/>
    <xf borderId="3" fillId="11" fontId="5" numFmtId="173" xfId="0" applyAlignment="1" applyBorder="1" applyFill="1" applyFont="1" applyNumberFormat="1">
      <alignment readingOrder="0" shrinkToFit="0" wrapText="1"/>
    </xf>
    <xf borderId="3" fillId="11" fontId="5" numFmtId="0" xfId="0" applyAlignment="1" applyBorder="1" applyFont="1">
      <alignment readingOrder="0"/>
    </xf>
    <xf borderId="3" fillId="11" fontId="5" numFmtId="0" xfId="0" applyAlignment="1" applyBorder="1" applyFont="1">
      <alignment horizontal="left" readingOrder="0"/>
    </xf>
    <xf borderId="3" fillId="11" fontId="5" numFmtId="0" xfId="0" applyBorder="1" applyFont="1"/>
    <xf borderId="3" fillId="0" fontId="8" numFmtId="173" xfId="0" applyAlignment="1" applyBorder="1" applyFont="1" applyNumberFormat="1">
      <alignment horizontal="right" readingOrder="0" shrinkToFit="0" vertical="bottom" wrapText="0"/>
    </xf>
    <xf borderId="3" fillId="0" fontId="8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horizontal="right" readingOrder="0" shrinkToFit="0" vertical="bottom" wrapText="0"/>
    </xf>
    <xf borderId="3" fillId="0" fontId="8" numFmtId="0" xfId="0" applyAlignment="1" applyBorder="1" applyFont="1">
      <alignment shrinkToFit="0" vertical="bottom" wrapText="0"/>
    </xf>
    <xf borderId="3" fillId="0" fontId="8" numFmtId="11" xfId="0" applyAlignment="1" applyBorder="1" applyFont="1" applyNumberFormat="1">
      <alignment horizontal="right" readingOrder="0" shrinkToFit="0" vertical="bottom" wrapText="0"/>
    </xf>
    <xf borderId="3" fillId="7" fontId="5" numFmtId="0" xfId="0" applyAlignment="1" applyBorder="1" applyFont="1">
      <alignment readingOrder="0"/>
    </xf>
    <xf borderId="3" fillId="7" fontId="5" numFmtId="0" xfId="0" applyAlignment="1" applyBorder="1" applyFont="1">
      <alignment horizontal="left" readingOrder="0"/>
    </xf>
    <xf borderId="3" fillId="7" fontId="5" numFmtId="0" xfId="0" applyBorder="1" applyFont="1"/>
    <xf borderId="3" fillId="12" fontId="5" numFmtId="173" xfId="0" applyAlignment="1" applyBorder="1" applyFill="1" applyFont="1" applyNumberFormat="1">
      <alignment readingOrder="0" shrinkToFit="0" wrapText="1"/>
    </xf>
    <xf borderId="3" fillId="12" fontId="5" numFmtId="0" xfId="0" applyAlignment="1" applyBorder="1" applyFont="1">
      <alignment readingOrder="0"/>
    </xf>
    <xf borderId="3" fillId="12" fontId="5" numFmtId="0" xfId="0" applyAlignment="1" applyBorder="1" applyFont="1">
      <alignment horizontal="left" readingOrder="0"/>
    </xf>
    <xf borderId="3" fillId="12" fontId="5" numFmtId="0" xfId="0" applyBorder="1" applyFont="1"/>
    <xf borderId="0" fillId="5" fontId="5" numFmtId="172" xfId="0" applyAlignment="1" applyFont="1" applyNumberFormat="1">
      <alignment readingOrder="0"/>
    </xf>
    <xf borderId="0" fillId="0" fontId="5" numFmtId="173" xfId="0" applyAlignment="1" applyFont="1" applyNumberFormat="1">
      <alignment readingOrder="0" shrinkToFit="0" wrapText="1"/>
    </xf>
    <xf borderId="4" fillId="0" fontId="5" numFmtId="173" xfId="0" applyAlignment="1" applyBorder="1" applyFont="1" applyNumberFormat="1">
      <alignment readingOrder="0" shrinkToFit="0" wrapText="1"/>
    </xf>
    <xf borderId="5" fillId="0" fontId="5" numFmtId="0" xfId="0" applyAlignment="1" applyBorder="1" applyFont="1">
      <alignment readingOrder="0"/>
    </xf>
    <xf borderId="0" fillId="0" fontId="5" numFmtId="172" xfId="0" applyAlignment="1" applyFont="1" applyNumberForma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13" fontId="9" numFmtId="0" xfId="0" applyAlignment="1" applyFill="1" applyFont="1">
      <alignment horizontal="center" shrinkToFit="0" vertical="center" wrapText="1"/>
    </xf>
    <xf borderId="3" fillId="0" fontId="5" numFmtId="166" xfId="0" applyAlignment="1" applyBorder="1" applyFont="1" applyNumberFormat="1">
      <alignment horizontal="left" readingOrder="0"/>
    </xf>
    <xf borderId="3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right" readingOrder="0"/>
    </xf>
    <xf borderId="6" fillId="0" fontId="5" numFmtId="0" xfId="0" applyAlignment="1" applyBorder="1" applyFont="1">
      <alignment horizontal="left" readingOrder="0"/>
    </xf>
    <xf borderId="6" fillId="0" fontId="5" numFmtId="166" xfId="0" applyAlignment="1" applyBorder="1" applyFont="1" applyNumberFormat="1">
      <alignment horizontal="left" readingOrder="0"/>
    </xf>
    <xf borderId="6" fillId="0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right" readingOrder="0"/>
    </xf>
    <xf borderId="6" fillId="0" fontId="5" numFmtId="0" xfId="0" applyBorder="1" applyFont="1"/>
    <xf borderId="8" fillId="0" fontId="5" numFmtId="0" xfId="0" applyAlignment="1" applyBorder="1" applyFont="1">
      <alignment horizontal="left" readingOrder="0"/>
    </xf>
    <xf borderId="8" fillId="0" fontId="5" numFmtId="166" xfId="0" applyAlignment="1" applyBorder="1" applyFont="1" applyNumberFormat="1">
      <alignment horizontal="left" readingOrder="0"/>
    </xf>
    <xf borderId="8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right" readingOrder="0"/>
    </xf>
    <xf borderId="8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8" fillId="0" fontId="5" numFmtId="174" xfId="0" applyAlignment="1" applyBorder="1" applyFont="1" applyNumberFormat="1">
      <alignment horizontal="left" readingOrder="0"/>
    </xf>
    <xf borderId="8" fillId="0" fontId="5" numFmtId="0" xfId="0" applyBorder="1" applyFont="1"/>
    <xf borderId="3" fillId="0" fontId="5" numFmtId="174" xfId="0" applyAlignment="1" applyBorder="1" applyFont="1" applyNumberFormat="1">
      <alignment horizontal="left" readingOrder="0"/>
    </xf>
    <xf borderId="7" fillId="0" fontId="5" numFmtId="0" xfId="0" applyAlignment="1" applyBorder="1" applyFont="1">
      <alignment horizontal="left" readingOrder="0"/>
    </xf>
    <xf borderId="7" fillId="0" fontId="5" numFmtId="166" xfId="0" applyAlignment="1" applyBorder="1" applyFont="1" applyNumberFormat="1">
      <alignment horizontal="left" readingOrder="0"/>
    </xf>
    <xf borderId="7" fillId="0" fontId="5" numFmtId="0" xfId="0" applyAlignment="1" applyBorder="1" applyFont="1">
      <alignment horizontal="right" readingOrder="0"/>
    </xf>
    <xf borderId="3" fillId="0" fontId="5" numFmtId="0" xfId="0" applyAlignment="1" applyBorder="1" applyFont="1">
      <alignment horizontal="center"/>
    </xf>
    <xf borderId="3" fillId="0" fontId="6" numFmtId="0" xfId="0" applyAlignment="1" applyBorder="1" applyFont="1">
      <alignment horizontal="left" readingOrder="0"/>
    </xf>
    <xf borderId="3" fillId="7" fontId="5" numFmtId="0" xfId="0" applyAlignment="1" applyBorder="1" applyFont="1">
      <alignment horizontal="center" readingOrder="0"/>
    </xf>
    <xf borderId="6" fillId="0" fontId="5" numFmtId="174" xfId="0" applyAlignment="1" applyBorder="1" applyFont="1" applyNumberFormat="1">
      <alignment horizontal="left" readingOrder="0"/>
    </xf>
    <xf borderId="9" fillId="0" fontId="5" numFmtId="0" xfId="0" applyAlignment="1" applyBorder="1" applyFont="1">
      <alignment horizontal="left" readingOrder="0"/>
    </xf>
    <xf borderId="9" fillId="0" fontId="5" numFmtId="166" xfId="0" applyAlignment="1" applyBorder="1" applyFont="1" applyNumberFormat="1">
      <alignment horizontal="left" readingOrder="0"/>
    </xf>
    <xf borderId="9" fillId="0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right" readingOrder="0"/>
    </xf>
    <xf borderId="9" fillId="0" fontId="5" numFmtId="0" xfId="0" applyAlignment="1" applyBorder="1" applyFont="1">
      <alignment readingOrder="0"/>
    </xf>
    <xf borderId="3" fillId="0" fontId="6" numFmtId="0" xfId="0" applyAlignment="1" applyBorder="1" applyFont="1">
      <alignment horizontal="left" readingOrder="0" vertical="bottom"/>
    </xf>
    <xf borderId="8" fillId="7" fontId="6" numFmtId="0" xfId="0" applyAlignment="1" applyBorder="1" applyFont="1">
      <alignment horizontal="left" readingOrder="0" vertical="bottom"/>
    </xf>
    <xf borderId="8" fillId="7" fontId="6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horizontal="center" readingOrder="0" vertical="bottom"/>
    </xf>
    <xf borderId="3" fillId="7" fontId="6" numFmtId="0" xfId="0" applyAlignment="1" applyBorder="1" applyFont="1">
      <alignment horizontal="left" readingOrder="0" vertical="bottom"/>
    </xf>
    <xf borderId="3" fillId="0" fontId="6" numFmtId="0" xfId="0" applyAlignment="1" applyBorder="1" applyFont="1">
      <alignment horizontal="right" readingOrder="0" vertical="bottom"/>
    </xf>
    <xf borderId="3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3" fillId="0" fontId="6" numFmtId="174" xfId="0" applyAlignment="1" applyBorder="1" applyFont="1" applyNumberFormat="1">
      <alignment horizontal="left" readingOrder="0" vertical="bottom"/>
    </xf>
    <xf borderId="3" fillId="0" fontId="5" numFmtId="0" xfId="0" applyAlignment="1" applyBorder="1" applyFont="1">
      <alignment horizontal="right" readingOrder="0" shrinkToFit="0" wrapText="0"/>
    </xf>
    <xf borderId="3" fillId="7" fontId="6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horizontal="left" vertical="bottom"/>
    </xf>
    <xf borderId="3" fillId="0" fontId="6" numFmtId="0" xfId="0" applyAlignment="1" applyBorder="1" applyFont="1">
      <alignment horizontal="center" vertical="bottom"/>
    </xf>
    <xf borderId="8" fillId="0" fontId="5" numFmtId="0" xfId="0" applyAlignment="1" applyBorder="1" applyFont="1">
      <alignment horizontal="right" readingOrder="0" shrinkToFit="0" wrapText="0"/>
    </xf>
    <xf borderId="8" fillId="7" fontId="5" numFmtId="0" xfId="0" applyAlignment="1" applyBorder="1" applyFont="1">
      <alignment horizontal="left" readingOrder="0"/>
    </xf>
    <xf borderId="8" fillId="7" fontId="5" numFmtId="166" xfId="0" applyAlignment="1" applyBorder="1" applyFont="1" applyNumberFormat="1">
      <alignment horizontal="left" readingOrder="0"/>
    </xf>
    <xf borderId="8" fillId="7" fontId="5" numFmtId="0" xfId="0" applyAlignment="1" applyBorder="1" applyFont="1">
      <alignment horizontal="center" readingOrder="0"/>
    </xf>
    <xf borderId="8" fillId="7" fontId="5" numFmtId="0" xfId="0" applyAlignment="1" applyBorder="1" applyFont="1">
      <alignment horizontal="right" readingOrder="0"/>
    </xf>
    <xf borderId="8" fillId="7" fontId="5" numFmtId="0" xfId="0" applyAlignment="1" applyBorder="1" applyFont="1">
      <alignment readingOrder="0"/>
    </xf>
    <xf borderId="0" fillId="7" fontId="5" numFmtId="0" xfId="0" applyAlignment="1" applyFont="1">
      <alignment readingOrder="0"/>
    </xf>
    <xf borderId="3" fillId="7" fontId="5" numFmtId="166" xfId="0" applyAlignment="1" applyBorder="1" applyFont="1" applyNumberFormat="1">
      <alignment horizontal="left" readingOrder="0"/>
    </xf>
    <xf borderId="3" fillId="7" fontId="5" numFmtId="0" xfId="0" applyAlignment="1" applyBorder="1" applyFont="1">
      <alignment horizontal="right" readingOrder="0"/>
    </xf>
    <xf borderId="3" fillId="0" fontId="5" numFmtId="0" xfId="0" applyAlignment="1" applyBorder="1" applyFont="1">
      <alignment horizontal="right"/>
    </xf>
    <xf borderId="3" fillId="7" fontId="8" numFmtId="0" xfId="0" applyAlignment="1" applyBorder="1" applyFont="1">
      <alignment horizontal="left" readingOrder="0" shrinkToFit="0" vertical="bottom" wrapText="0"/>
    </xf>
    <xf borderId="3" fillId="7" fontId="8" numFmtId="0" xfId="0" applyAlignment="1" applyBorder="1" applyFont="1">
      <alignment horizontal="center" readingOrder="0" shrinkToFit="0" vertical="bottom" wrapText="0"/>
    </xf>
    <xf borderId="6" fillId="7" fontId="5" numFmtId="0" xfId="0" applyAlignment="1" applyBorder="1" applyFont="1">
      <alignment horizontal="center" readingOrder="0"/>
    </xf>
    <xf borderId="10" fillId="0" fontId="5" numFmtId="0" xfId="0" applyBorder="1" applyFont="1"/>
    <xf borderId="0" fillId="0" fontId="5" numFmtId="0" xfId="0" applyAlignment="1" applyFont="1">
      <alignment horizontal="right"/>
    </xf>
    <xf borderId="6" fillId="0" fontId="5" numFmtId="0" xfId="0" applyAlignment="1" applyBorder="1" applyFont="1">
      <alignment horizontal="right" readingOrder="0" shrinkToFit="0" wrapText="0"/>
    </xf>
    <xf borderId="3" fillId="0" fontId="6" numFmtId="166" xfId="0" applyAlignment="1" applyBorder="1" applyFont="1" applyNumberFormat="1">
      <alignment horizontal="left" readingOrder="0" vertical="bottom"/>
    </xf>
    <xf borderId="3" fillId="0" fontId="6" numFmtId="0" xfId="0" applyAlignment="1" applyBorder="1" applyFont="1">
      <alignment horizontal="left" vertical="bottom"/>
    </xf>
    <xf borderId="3" fillId="0" fontId="6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right" vertical="bottom"/>
    </xf>
    <xf borderId="11" fillId="0" fontId="5" numFmtId="0" xfId="0" applyAlignment="1" applyBorder="1" applyFont="1">
      <alignment horizontal="center" readingOrder="0"/>
    </xf>
    <xf borderId="12" fillId="0" fontId="5" numFmtId="0" xfId="0" applyAlignment="1" applyBorder="1" applyFont="1">
      <alignment horizontal="center" readingOrder="0"/>
    </xf>
    <xf borderId="8" fillId="0" fontId="5" numFmtId="168" xfId="0" applyAlignment="1" applyBorder="1" applyFont="1" applyNumberFormat="1">
      <alignment horizontal="left" readingOrder="0"/>
    </xf>
    <xf borderId="3" fillId="0" fontId="5" numFmtId="168" xfId="0" applyAlignment="1" applyBorder="1" applyFont="1" applyNumberFormat="1">
      <alignment horizontal="left" readingOrder="0"/>
    </xf>
    <xf borderId="3" fillId="0" fontId="5" numFmtId="170" xfId="0" applyAlignment="1" applyBorder="1" applyFont="1" applyNumberFormat="1">
      <alignment horizontal="center" readingOrder="0"/>
    </xf>
    <xf borderId="3" fillId="7" fontId="5" numFmtId="170" xfId="0" applyAlignment="1" applyBorder="1" applyFont="1" applyNumberFormat="1">
      <alignment horizontal="center" readingOrder="0"/>
    </xf>
    <xf borderId="0" fillId="7" fontId="5" numFmtId="0" xfId="0" applyFont="1"/>
    <xf borderId="0" fillId="0" fontId="6" numFmtId="164" xfId="0" applyAlignment="1" applyFont="1" applyNumberForma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10" numFmtId="0" xfId="0" applyAlignment="1" applyFont="1">
      <alignment readingOrder="0" vertical="bottom"/>
    </xf>
    <xf borderId="6" fillId="0" fontId="6" numFmtId="0" xfId="0" applyAlignment="1" applyBorder="1" applyFont="1">
      <alignment horizontal="left" readingOrder="0" vertical="bottom"/>
    </xf>
    <xf borderId="6" fillId="0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right" readingOrder="0" vertical="bottom"/>
    </xf>
    <xf borderId="10" fillId="0" fontId="11" numFmtId="0" xfId="0" applyBorder="1" applyFont="1"/>
    <xf borderId="10" fillId="0" fontId="6" numFmtId="0" xfId="0" applyAlignment="1" applyBorder="1" applyFont="1">
      <alignment vertical="bottom"/>
    </xf>
    <xf borderId="8" fillId="0" fontId="6" numFmtId="0" xfId="0" applyAlignment="1" applyBorder="1" applyFont="1">
      <alignment horizontal="left" readingOrder="0" vertical="bottom"/>
    </xf>
    <xf borderId="8" fillId="0" fontId="6" numFmtId="0" xfId="0" applyAlignment="1" applyBorder="1" applyFont="1">
      <alignment horizontal="right" readingOrder="0" vertical="bottom"/>
    </xf>
    <xf borderId="13" fillId="0" fontId="5" numFmtId="164" xfId="0" applyAlignment="1" applyBorder="1" applyFont="1" applyNumberFormat="1">
      <alignment horizontal="center" readingOrder="0"/>
    </xf>
    <xf borderId="13" fillId="0" fontId="5" numFmtId="0" xfId="0" applyAlignment="1" applyBorder="1" applyFont="1">
      <alignment horizontal="center" readingOrder="0"/>
    </xf>
    <xf borderId="13" fillId="0" fontId="12" numFmtId="0" xfId="0" applyAlignment="1" applyBorder="1" applyFont="1">
      <alignment readingOrder="0"/>
    </xf>
    <xf borderId="8" fillId="0" fontId="11" numFmtId="0" xfId="0" applyBorder="1" applyFont="1"/>
    <xf borderId="3" fillId="0" fontId="5" numFmtId="164" xfId="0" applyAlignment="1" applyBorder="1" applyFont="1" applyNumberFormat="1">
      <alignment horizontal="center" readingOrder="0"/>
    </xf>
    <xf borderId="3" fillId="0" fontId="13" numFmtId="0" xfId="0" applyAlignment="1" applyBorder="1" applyFont="1">
      <alignment readingOrder="0"/>
    </xf>
    <xf borderId="9" fillId="0" fontId="11" numFmtId="0" xfId="0" applyBorder="1" applyFont="1"/>
    <xf borderId="0" fillId="0" fontId="5" numFmtId="0" xfId="0" applyAlignment="1" applyFont="1">
      <alignment horizontal="right" readingOrder="0"/>
    </xf>
    <xf borderId="3" fillId="0" fontId="8" numFmtId="0" xfId="0" applyAlignment="1" applyBorder="1" applyFont="1">
      <alignment horizontal="left" readingOrder="0" shrinkToFit="0" vertical="bottom" wrapText="0"/>
    </xf>
    <xf borderId="8" fillId="14" fontId="5" numFmtId="0" xfId="0" applyAlignment="1" applyBorder="1" applyFill="1" applyFont="1">
      <alignment horizontal="center" readingOrder="0"/>
    </xf>
    <xf borderId="3" fillId="14" fontId="5" numFmtId="0" xfId="0" applyAlignment="1" applyBorder="1" applyFont="1">
      <alignment horizontal="center" readingOrder="0"/>
    </xf>
    <xf borderId="0" fillId="7" fontId="5" numFmtId="0" xfId="0" applyAlignment="1" applyFont="1">
      <alignment horizontal="center" readingOrder="0"/>
    </xf>
    <xf borderId="1" fillId="13" fontId="9" numFmtId="0" xfId="0" applyAlignment="1" applyBorder="1" applyFont="1">
      <alignment horizontal="left" shrinkToFit="0" vertical="center" wrapText="1"/>
    </xf>
    <xf borderId="1" fillId="0" fontId="11" numFmtId="0" xfId="0" applyBorder="1" applyFont="1"/>
    <xf borderId="2" fillId="0" fontId="11" numFmtId="0" xfId="0" applyBorder="1" applyFont="1"/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3" fillId="0" fontId="5" numFmtId="169" xfId="0" applyAlignment="1" applyBorder="1" applyFont="1" applyNumberFormat="1">
      <alignment horizontal="center" readingOrder="0"/>
    </xf>
    <xf borderId="13" fillId="0" fontId="5" numFmtId="0" xfId="0" applyAlignment="1" applyBorder="1" applyFont="1">
      <alignment horizontal="left" readingOrder="0"/>
    </xf>
    <xf borderId="13" fillId="0" fontId="5" numFmtId="0" xfId="0" applyAlignment="1" applyBorder="1" applyFont="1">
      <alignment horizontal="right" readingOrder="0"/>
    </xf>
    <xf borderId="3" fillId="15" fontId="8" numFmtId="0" xfId="0" applyAlignment="1" applyBorder="1" applyFill="1" applyFont="1">
      <alignment horizontal="left" readingOrder="0" shrinkToFit="0" vertical="bottom" wrapText="0"/>
    </xf>
    <xf borderId="3" fillId="16" fontId="5" numFmtId="0" xfId="0" applyAlignment="1" applyBorder="1" applyFill="1" applyFont="1">
      <alignment horizontal="left" readingOrder="0"/>
    </xf>
    <xf borderId="3" fillId="16" fontId="5" numFmtId="166" xfId="0" applyAlignment="1" applyBorder="1" applyFont="1" applyNumberFormat="1">
      <alignment horizontal="left" readingOrder="0"/>
    </xf>
    <xf borderId="3" fillId="16" fontId="5" numFmtId="0" xfId="0" applyAlignment="1" applyBorder="1" applyFont="1">
      <alignment horizontal="center" readingOrder="0"/>
    </xf>
    <xf borderId="3" fillId="16" fontId="5" numFmtId="0" xfId="0" applyAlignment="1" applyBorder="1" applyFont="1">
      <alignment horizontal="right" readingOrder="0"/>
    </xf>
    <xf borderId="0" fillId="16" fontId="5" numFmtId="0" xfId="0" applyFont="1"/>
    <xf borderId="3" fillId="11" fontId="5" numFmtId="166" xfId="0" applyAlignment="1" applyBorder="1" applyFont="1" applyNumberFormat="1">
      <alignment horizontal="left" readingOrder="0"/>
    </xf>
    <xf borderId="3" fillId="11" fontId="5" numFmtId="0" xfId="0" applyAlignment="1" applyBorder="1" applyFont="1">
      <alignment horizontal="center" readingOrder="0"/>
    </xf>
    <xf borderId="3" fillId="11" fontId="5" numFmtId="0" xfId="0" applyAlignment="1" applyBorder="1" applyFont="1">
      <alignment horizontal="right" readingOrder="0"/>
    </xf>
    <xf borderId="0" fillId="11" fontId="5" numFmtId="0" xfId="0" applyFont="1"/>
    <xf borderId="3" fillId="17" fontId="8" numFmtId="0" xfId="0" applyAlignment="1" applyBorder="1" applyFill="1" applyFont="1">
      <alignment horizontal="left" readingOrder="0" shrinkToFit="0" vertical="bottom" wrapText="0"/>
    </xf>
    <xf borderId="3" fillId="17" fontId="8" numFmtId="175" xfId="0" applyAlignment="1" applyBorder="1" applyFont="1" applyNumberFormat="1">
      <alignment horizontal="left" readingOrder="0" shrinkToFit="0" vertical="bottom" wrapText="0"/>
    </xf>
    <xf borderId="3" fillId="0" fontId="8" numFmtId="175" xfId="0" applyAlignment="1" applyBorder="1" applyFont="1" applyNumberFormat="1">
      <alignment horizontal="left" readingOrder="0" shrinkToFit="0" vertical="bottom" wrapText="0"/>
    </xf>
    <xf borderId="3" fillId="17" fontId="8" numFmtId="0" xfId="0" applyAlignment="1" applyBorder="1" applyFont="1">
      <alignment horizontal="center" readingOrder="0" shrinkToFit="0" vertical="bottom" wrapText="0"/>
    </xf>
    <xf borderId="3" fillId="15" fontId="8" numFmtId="166" xfId="0" applyAlignment="1" applyBorder="1" applyFont="1" applyNumberFormat="1">
      <alignment horizontal="left" readingOrder="0" shrinkToFit="0" vertical="bottom" wrapText="0"/>
    </xf>
    <xf borderId="3" fillId="0" fontId="8" numFmtId="166" xfId="0" applyAlignment="1" applyBorder="1" applyFont="1" applyNumberFormat="1">
      <alignment horizontal="left" readingOrder="0" shrinkToFit="0" vertical="bottom" wrapText="0"/>
    </xf>
    <xf borderId="3" fillId="15" fontId="8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horizontal="center" readingOrder="0" shrinkToFit="0" vertical="bottom" wrapText="0"/>
    </xf>
    <xf borderId="3" fillId="15" fontId="8" numFmtId="0" xfId="0" applyAlignment="1" applyBorder="1" applyFont="1">
      <alignment horizontal="center" readingOrder="0" shrinkToFit="0" vertical="bottom" wrapText="0"/>
    </xf>
    <xf borderId="3" fillId="0" fontId="5" numFmtId="172" xfId="0" applyAlignment="1" applyBorder="1" applyFont="1" applyNumberFormat="1">
      <alignment horizontal="center" readingOrder="0"/>
    </xf>
    <xf borderId="0" fillId="11" fontId="5" numFmtId="0" xfId="0" applyAlignment="1" applyFont="1">
      <alignment horizontal="left" readingOrder="0"/>
    </xf>
    <xf borderId="0" fillId="11" fontId="5" numFmtId="166" xfId="0" applyAlignment="1" applyFont="1" applyNumberFormat="1">
      <alignment horizontal="left" readingOrder="0"/>
    </xf>
    <xf borderId="0" fillId="11" fontId="5" numFmtId="0" xfId="0" applyAlignment="1" applyFont="1">
      <alignment horizontal="center" readingOrder="0"/>
    </xf>
    <xf borderId="0" fillId="11" fontId="5" numFmtId="0" xfId="0" applyAlignment="1" applyFont="1">
      <alignment horizontal="right" readingOrder="0"/>
    </xf>
    <xf borderId="3" fillId="15" fontId="8" numFmtId="166" xfId="0" applyAlignment="1" applyBorder="1" applyFont="1" applyNumberFormat="1">
      <alignment horizontal="center" readingOrder="0" shrinkToFit="0" vertical="bottom" wrapText="0"/>
    </xf>
    <xf borderId="3" fillId="0" fontId="8" numFmtId="166" xfId="0" applyAlignment="1" applyBorder="1" applyFont="1" applyNumberFormat="1">
      <alignment horizontal="center" readingOrder="0" shrinkToFit="0" vertical="bottom" wrapText="0"/>
    </xf>
    <xf borderId="3" fillId="0" fontId="6" numFmtId="0" xfId="0" applyAlignment="1" applyBorder="1" applyFont="1">
      <alignment vertical="bottom"/>
    </xf>
    <xf borderId="3" fillId="11" fontId="8" numFmtId="0" xfId="0" applyAlignment="1" applyBorder="1" applyFont="1">
      <alignment readingOrder="0" shrinkToFit="0" vertical="bottom" wrapText="0"/>
    </xf>
    <xf borderId="3" fillId="11" fontId="8" numFmtId="0" xfId="0" applyAlignment="1" applyBorder="1" applyFont="1">
      <alignment horizontal="left" readingOrder="0" shrinkToFit="0" vertical="bottom" wrapText="0"/>
    </xf>
    <xf borderId="3" fillId="11" fontId="8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horizontal="center"/>
    </xf>
    <xf borderId="3" fillId="15" fontId="15" numFmtId="0" xfId="0" applyAlignment="1" applyBorder="1" applyFont="1">
      <alignment vertical="bottom"/>
    </xf>
    <xf borderId="3" fillId="0" fontId="6" numFmtId="0" xfId="0" applyBorder="1" applyFont="1"/>
    <xf borderId="3" fillId="0" fontId="6" numFmtId="0" xfId="0" applyAlignment="1" applyBorder="1" applyFont="1">
      <alignment horizontal="left"/>
    </xf>
    <xf borderId="14" fillId="0" fontId="8" numFmtId="0" xfId="0" applyAlignment="1" applyBorder="1" applyFont="1">
      <alignment horizontal="left" readingOrder="0" shrinkToFit="0" vertical="bottom" wrapText="0"/>
    </xf>
    <xf borderId="14" fillId="0" fontId="8" numFmtId="0" xfId="0" applyAlignment="1" applyBorder="1" applyFont="1">
      <alignment horizontal="center" readingOrder="0" shrinkToFit="0" vertical="bottom" wrapText="0"/>
    </xf>
    <xf borderId="3" fillId="0" fontId="5" numFmtId="174" xfId="0" applyAlignment="1" applyBorder="1" applyFont="1" applyNumberFormat="1">
      <alignment readingOrder="0"/>
    </xf>
    <xf borderId="3" fillId="0" fontId="5" numFmtId="0" xfId="0" applyAlignment="1" applyBorder="1" applyFont="1">
      <alignment horizontal="center" readingOrder="0" vertical="center"/>
    </xf>
    <xf borderId="3" fillId="0" fontId="5" numFmtId="166" xfId="0" applyAlignment="1" applyBorder="1" applyFont="1" applyNumberFormat="1">
      <alignment horizontal="center" readingOrder="0" vertical="center"/>
    </xf>
    <xf borderId="3" fillId="0" fontId="5" numFmtId="0" xfId="0" applyAlignment="1" applyBorder="1" applyFont="1">
      <alignment horizontal="left" readingOrder="0" vertical="center"/>
    </xf>
    <xf borderId="3" fillId="0" fontId="15" numFmtId="0" xfId="0" applyAlignment="1" applyBorder="1" applyFont="1">
      <alignment horizontal="right" vertical="bottom"/>
    </xf>
    <xf borderId="3" fillId="0" fontId="15" numFmtId="0" xfId="0" applyAlignment="1" applyBorder="1" applyFont="1">
      <alignment vertical="bottom"/>
    </xf>
    <xf borderId="3" fillId="0" fontId="15" numFmtId="0" xfId="0" applyAlignment="1" applyBorder="1" applyFont="1">
      <alignment horizontal="left" vertical="bottom"/>
    </xf>
    <xf borderId="3" fillId="0" fontId="15" numFmtId="0" xfId="0" applyAlignment="1" applyBorder="1" applyFont="1">
      <alignment horizontal="center" vertical="bottom"/>
    </xf>
    <xf borderId="3" fillId="15" fontId="15" numFmtId="0" xfId="0" applyAlignment="1" applyBorder="1" applyFont="1">
      <alignment horizontal="right" vertical="bottom"/>
    </xf>
    <xf borderId="3" fillId="15" fontId="15" numFmtId="0" xfId="0" applyAlignment="1" applyBorder="1" applyFont="1">
      <alignment horizontal="left" vertical="bottom"/>
    </xf>
    <xf borderId="3" fillId="15" fontId="15" numFmtId="0" xfId="0" applyAlignment="1" applyBorder="1" applyFont="1">
      <alignment horizontal="center" vertical="bottom"/>
    </xf>
    <xf borderId="0" fillId="11" fontId="8" numFmtId="0" xfId="0" applyAlignment="1" applyFont="1">
      <alignment readingOrder="0" shrinkToFit="0" vertical="bottom" wrapText="0"/>
    </xf>
    <xf borderId="0" fillId="11" fontId="8" numFmtId="0" xfId="0" applyAlignment="1" applyFont="1">
      <alignment horizontal="left" readingOrder="0" shrinkToFit="0" vertical="bottom" wrapText="0"/>
    </xf>
    <xf borderId="0" fillId="11" fontId="8" numFmtId="0" xfId="0" applyAlignment="1" applyFont="1">
      <alignment horizontal="center" readingOrder="0" shrinkToFit="0" vertical="bottom" wrapText="0"/>
    </xf>
    <xf borderId="0" fillId="0" fontId="5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14" fillId="15" fontId="8" numFmtId="0" xfId="0" applyAlignment="1" applyBorder="1" applyFont="1">
      <alignment horizontal="center" readingOrder="0" shrinkToFit="0" vertical="bottom" wrapText="0"/>
    </xf>
    <xf borderId="15" fillId="15" fontId="8" numFmtId="0" xfId="0" applyAlignment="1" applyBorder="1" applyFont="1">
      <alignment horizontal="center" readingOrder="0" shrinkToFit="0" vertical="bottom" wrapText="0"/>
    </xf>
    <xf borderId="3" fillId="0" fontId="5" numFmtId="176" xfId="0" applyAlignment="1" applyBorder="1" applyFont="1" applyNumberFormat="1">
      <alignment horizontal="center" readingOrder="0"/>
    </xf>
    <xf borderId="3" fillId="17" fontId="8" numFmtId="0" xfId="0" applyAlignment="1" applyBorder="1" applyFont="1">
      <alignment readingOrder="0" shrinkToFit="0" vertical="bottom" wrapText="0"/>
    </xf>
    <xf borderId="0" fillId="11" fontId="5" numFmtId="0" xfId="0" applyAlignment="1" applyFont="1">
      <alignment readingOrder="0"/>
    </xf>
    <xf borderId="0" fillId="11" fontId="6" numFmtId="0" xfId="0" applyAlignment="1" applyFont="1">
      <alignment vertical="bottom"/>
    </xf>
    <xf borderId="0" fillId="8" fontId="5" numFmtId="0" xfId="0" applyAlignment="1" applyFont="1">
      <alignment readingOrder="0"/>
    </xf>
    <xf borderId="0" fillId="8" fontId="5" numFmtId="0" xfId="0" applyAlignment="1" applyFont="1">
      <alignment horizontal="left" readingOrder="0"/>
    </xf>
    <xf borderId="0" fillId="8" fontId="5" numFmtId="166" xfId="0" applyAlignment="1" applyFont="1" applyNumberFormat="1">
      <alignment horizontal="left" readingOrder="0"/>
    </xf>
    <xf borderId="0" fillId="8" fontId="8" numFmtId="0" xfId="0" applyAlignment="1" applyFont="1">
      <alignment readingOrder="0" shrinkToFit="0" vertical="bottom" wrapText="0"/>
    </xf>
    <xf borderId="0" fillId="8" fontId="5" numFmtId="0" xfId="0" applyAlignment="1" applyFont="1">
      <alignment horizontal="center" readingOrder="0"/>
    </xf>
    <xf borderId="0" fillId="8" fontId="8" numFmtId="0" xfId="0" applyAlignment="1" applyFont="1">
      <alignment horizontal="left" readingOrder="0" shrinkToFit="0" vertical="bottom" wrapText="0"/>
    </xf>
    <xf borderId="0" fillId="8" fontId="8" numFmtId="0" xfId="0" applyAlignment="1" applyFont="1">
      <alignment horizontal="center" readingOrder="0" shrinkToFit="0" vertical="bottom" wrapText="0"/>
    </xf>
    <xf borderId="0" fillId="8" fontId="5" numFmtId="0" xfId="0" applyAlignment="1" applyFont="1">
      <alignment horizontal="right" readingOrder="0"/>
    </xf>
    <xf borderId="0" fillId="8" fontId="5" numFmtId="0" xfId="0" applyFont="1"/>
    <xf borderId="3" fillId="0" fontId="16" numFmtId="166" xfId="0" applyAlignment="1" applyBorder="1" applyFont="1" applyNumberFormat="1">
      <alignment horizontal="left" readingOrder="0"/>
    </xf>
    <xf borderId="3" fillId="8" fontId="5" numFmtId="0" xfId="0" applyAlignment="1" applyBorder="1" applyFont="1">
      <alignment horizontal="left" readingOrder="0"/>
    </xf>
    <xf borderId="3" fillId="8" fontId="5" numFmtId="166" xfId="0" applyAlignment="1" applyBorder="1" applyFont="1" applyNumberFormat="1">
      <alignment horizontal="left" readingOrder="0"/>
    </xf>
    <xf borderId="3" fillId="8" fontId="8" numFmtId="0" xfId="0" applyAlignment="1" applyBorder="1" applyFont="1">
      <alignment readingOrder="0" shrinkToFit="0" vertical="bottom" wrapText="0"/>
    </xf>
    <xf borderId="3" fillId="8" fontId="8" numFmtId="0" xfId="0" applyAlignment="1" applyBorder="1" applyFont="1">
      <alignment horizontal="center" readingOrder="0" shrinkToFit="0" vertical="bottom" wrapText="0"/>
    </xf>
    <xf borderId="3" fillId="8" fontId="8" numFmtId="0" xfId="0" applyAlignment="1" applyBorder="1" applyFont="1">
      <alignment horizontal="left" readingOrder="0" shrinkToFit="0" vertical="bottom" wrapText="0"/>
    </xf>
    <xf borderId="3" fillId="8" fontId="5" numFmtId="0" xfId="0" applyAlignment="1" applyBorder="1" applyFont="1">
      <alignment horizontal="right" readingOrder="0"/>
    </xf>
    <xf borderId="3" fillId="18" fontId="5" numFmtId="0" xfId="0" applyAlignment="1" applyBorder="1" applyFill="1" applyFont="1">
      <alignment horizontal="left" readingOrder="0"/>
    </xf>
    <xf borderId="3" fillId="18" fontId="5" numFmtId="166" xfId="0" applyAlignment="1" applyBorder="1" applyFont="1" applyNumberFormat="1">
      <alignment horizontal="left" readingOrder="0"/>
    </xf>
    <xf borderId="3" fillId="18" fontId="8" numFmtId="0" xfId="0" applyAlignment="1" applyBorder="1" applyFont="1">
      <alignment readingOrder="0" shrinkToFit="0" vertical="bottom" wrapText="0"/>
    </xf>
    <xf borderId="3" fillId="18" fontId="5" numFmtId="0" xfId="0" applyAlignment="1" applyBorder="1" applyFont="1">
      <alignment horizontal="center" readingOrder="0"/>
    </xf>
    <xf borderId="3" fillId="18" fontId="8" numFmtId="0" xfId="0" applyAlignment="1" applyBorder="1" applyFont="1">
      <alignment horizontal="left" readingOrder="0" shrinkToFit="0" vertical="bottom" wrapText="0"/>
    </xf>
    <xf borderId="3" fillId="18" fontId="8" numFmtId="0" xfId="0" applyAlignment="1" applyBorder="1" applyFont="1">
      <alignment horizontal="center" readingOrder="0" shrinkToFit="0" vertical="bottom" wrapText="0"/>
    </xf>
    <xf borderId="3" fillId="18" fontId="5" numFmtId="0" xfId="0" applyAlignment="1" applyBorder="1" applyFont="1">
      <alignment horizontal="right" readingOrder="0"/>
    </xf>
    <xf borderId="0" fillId="18" fontId="5" numFmtId="0" xfId="0" applyFont="1"/>
    <xf borderId="0" fillId="15" fontId="8" numFmtId="0" xfId="0" applyAlignment="1" applyFont="1">
      <alignment readingOrder="0" shrinkToFit="0" vertical="bottom" wrapText="0"/>
    </xf>
    <xf borderId="3" fillId="0" fontId="8" numFmtId="168" xfId="0" applyAlignment="1" applyBorder="1" applyFont="1" applyNumberFormat="1">
      <alignment horizontal="left" readingOrder="0" shrinkToFit="0" vertical="bottom" wrapText="0"/>
    </xf>
    <xf borderId="3" fillId="11" fontId="8" numFmtId="168" xfId="0" applyAlignment="1" applyBorder="1" applyFont="1" applyNumberFormat="1">
      <alignment horizontal="left" readingOrder="0" shrinkToFit="0" vertical="bottom" wrapText="0"/>
    </xf>
    <xf borderId="3" fillId="15" fontId="8" numFmtId="168" xfId="0" applyAlignment="1" applyBorder="1" applyFont="1" applyNumberFormat="1">
      <alignment horizontal="left" readingOrder="0" shrinkToFit="0" vertical="bottom" wrapText="0"/>
    </xf>
    <xf borderId="0" fillId="0" fontId="5" numFmtId="166" xfId="0" applyAlignment="1" applyFont="1" applyNumberFormat="1">
      <alignment horizontal="left" readingOrder="0"/>
    </xf>
    <xf borderId="15" fillId="15" fontId="8" numFmtId="0" xfId="0" applyAlignment="1" applyBorder="1" applyFont="1">
      <alignment readingOrder="0" shrinkToFit="0" vertical="bottom" wrapText="0"/>
    </xf>
    <xf borderId="15" fillId="15" fontId="8" numFmtId="0" xfId="0" applyAlignment="1" applyBorder="1" applyFont="1">
      <alignment horizontal="left" readingOrder="0" shrinkToFit="0" vertical="bottom" wrapText="0"/>
    </xf>
    <xf borderId="3" fillId="15" fontId="8" numFmtId="166" xfId="0" applyAlignment="1" applyBorder="1" applyFont="1" applyNumberFormat="1">
      <alignment readingOrder="0" shrinkToFit="0" vertical="bottom" wrapText="0"/>
    </xf>
    <xf borderId="3" fillId="12" fontId="5" numFmtId="166" xfId="0" applyAlignment="1" applyBorder="1" applyFont="1" applyNumberFormat="1">
      <alignment horizontal="left" readingOrder="0"/>
    </xf>
    <xf borderId="3" fillId="12" fontId="8" numFmtId="0" xfId="0" applyAlignment="1" applyBorder="1" applyFont="1">
      <alignment readingOrder="0" shrinkToFit="0" vertical="bottom" wrapText="0"/>
    </xf>
    <xf borderId="3" fillId="12" fontId="8" numFmtId="0" xfId="0" applyAlignment="1" applyBorder="1" applyFont="1">
      <alignment horizontal="center" readingOrder="0" shrinkToFit="0" vertical="bottom" wrapText="0"/>
    </xf>
    <xf borderId="3" fillId="12" fontId="8" numFmtId="0" xfId="0" applyAlignment="1" applyBorder="1" applyFont="1">
      <alignment horizontal="left" readingOrder="0" shrinkToFit="0" vertical="bottom" wrapText="0"/>
    </xf>
    <xf borderId="3" fillId="12" fontId="5" numFmtId="0" xfId="0" applyAlignment="1" applyBorder="1" applyFont="1">
      <alignment horizontal="right" readingOrder="0"/>
    </xf>
    <xf borderId="0" fillId="12" fontId="5" numFmtId="0" xfId="0" applyFont="1"/>
    <xf borderId="3" fillId="11" fontId="17" numFmtId="0" xfId="0" applyAlignment="1" applyBorder="1" applyFont="1">
      <alignment horizontal="left" readingOrder="0"/>
    </xf>
    <xf borderId="3" fillId="11" fontId="17" numFmtId="166" xfId="0" applyAlignment="1" applyBorder="1" applyFont="1" applyNumberFormat="1">
      <alignment horizontal="left" readingOrder="0"/>
    </xf>
    <xf borderId="3" fillId="11" fontId="17" numFmtId="0" xfId="0" applyAlignment="1" applyBorder="1" applyFont="1">
      <alignment horizontal="right" readingOrder="0"/>
    </xf>
    <xf borderId="14" fillId="15" fontId="8" numFmtId="0" xfId="0" applyAlignment="1" applyBorder="1" applyFont="1">
      <alignment readingOrder="0" shrinkToFit="0" vertical="bottom" wrapText="0"/>
    </xf>
    <xf borderId="3" fillId="0" fontId="5" numFmtId="166" xfId="0" applyAlignment="1" applyBorder="1" applyFont="1" applyNumberFormat="1">
      <alignment horizontal="right" readingOrder="0"/>
    </xf>
    <xf borderId="0" fillId="15" fontId="8" numFmtId="0" xfId="0" applyAlignment="1" applyFont="1">
      <alignment horizontal="center" readingOrder="0" shrinkToFit="0" vertical="bottom" wrapText="0"/>
    </xf>
    <xf borderId="0" fillId="15" fontId="8" numFmtId="0" xfId="0" applyAlignment="1" applyFont="1">
      <alignment horizontal="left" readingOrder="0" shrinkToFit="0" vertical="bottom" wrapText="0"/>
    </xf>
    <xf borderId="0" fillId="7" fontId="18" numFmtId="0" xfId="0" applyAlignment="1" applyFont="1">
      <alignment horizontal="center" readingOrder="0" shrinkToFit="0" vertical="center" wrapText="0"/>
    </xf>
    <xf borderId="1" fillId="7" fontId="19" numFmtId="177" xfId="0" applyAlignment="1" applyBorder="1" applyFont="1" applyNumberFormat="1">
      <alignment horizontal="center" readingOrder="0" shrinkToFit="0" vertical="center" wrapText="1"/>
    </xf>
    <xf borderId="1" fillId="7" fontId="19" numFmtId="0" xfId="0" applyAlignment="1" applyBorder="1" applyFont="1">
      <alignment horizontal="center" readingOrder="0" shrinkToFit="0" vertical="center" wrapText="1"/>
    </xf>
    <xf borderId="1" fillId="7" fontId="19" numFmtId="0" xfId="0" applyAlignment="1" applyBorder="1" applyFont="1">
      <alignment horizontal="left" readingOrder="0" shrinkToFit="0" vertical="center" wrapText="1"/>
    </xf>
    <xf borderId="1" fillId="13" fontId="19" numFmtId="0" xfId="0" applyAlignment="1" applyBorder="1" applyFont="1">
      <alignment horizontal="left" readingOrder="0" shrinkToFit="0" vertical="center" wrapText="1"/>
    </xf>
    <xf borderId="1" fillId="13" fontId="19" numFmtId="0" xfId="0" applyAlignment="1" applyBorder="1" applyFont="1">
      <alignment horizontal="center" readingOrder="0" shrinkToFit="0" vertical="center" wrapText="1"/>
    </xf>
    <xf borderId="3" fillId="13" fontId="19" numFmtId="0" xfId="0" applyAlignment="1" applyBorder="1" applyFont="1">
      <alignment horizontal="center" readingOrder="0" shrinkToFit="0" vertical="center" wrapText="1"/>
    </xf>
    <xf borderId="1" fillId="19" fontId="20" numFmtId="0" xfId="0" applyAlignment="1" applyBorder="1" applyFill="1" applyFont="1">
      <alignment horizontal="center" readingOrder="0" shrinkToFit="0" vertical="center" wrapText="1"/>
    </xf>
    <xf borderId="0" fillId="19" fontId="20" numFmtId="0" xfId="0" applyAlignment="1" applyFont="1">
      <alignment horizontal="center" readingOrder="0" shrinkToFit="0" vertical="center" wrapText="1"/>
    </xf>
    <xf borderId="3" fillId="7" fontId="3" numFmtId="0" xfId="0" applyAlignment="1" applyBorder="1" applyFont="1">
      <alignment horizontal="center" shrinkToFit="0" vertical="center" wrapText="1"/>
    </xf>
    <xf borderId="3" fillId="7" fontId="3" numFmtId="177" xfId="0" applyAlignment="1" applyBorder="1" applyFont="1" applyNumberFormat="1">
      <alignment horizontal="center" readingOrder="0" shrinkToFit="0" vertical="center" wrapText="1"/>
    </xf>
    <xf borderId="3" fillId="7" fontId="3" numFmtId="0" xfId="0" applyAlignment="1" applyBorder="1" applyFont="1">
      <alignment horizontal="center" readingOrder="0" shrinkToFit="0" vertical="center" wrapText="1"/>
    </xf>
    <xf borderId="3" fillId="7" fontId="3" numFmtId="0" xfId="0" applyAlignment="1" applyBorder="1" applyFont="1">
      <alignment horizontal="left" shrinkToFit="0" vertical="center" wrapText="1"/>
    </xf>
    <xf borderId="3" fillId="13" fontId="3" numFmtId="0" xfId="0" applyAlignment="1" applyBorder="1" applyFont="1">
      <alignment horizontal="left" shrinkToFit="0" vertical="center" wrapText="1"/>
    </xf>
    <xf borderId="3" fillId="13" fontId="3" numFmtId="0" xfId="0" applyAlignment="1" applyBorder="1" applyFont="1">
      <alignment horizontal="center" readingOrder="0" shrinkToFit="0" vertical="center" wrapText="1"/>
    </xf>
    <xf borderId="16" fillId="13" fontId="3" numFmtId="0" xfId="0" applyAlignment="1" applyBorder="1" applyFont="1">
      <alignment horizontal="left" shrinkToFit="0" vertical="center" wrapText="0"/>
    </xf>
    <xf borderId="3" fillId="13" fontId="3" numFmtId="0" xfId="0" applyAlignment="1" applyBorder="1" applyFont="1">
      <alignment horizontal="center" shrinkToFit="0" vertical="center" wrapText="1"/>
    </xf>
    <xf borderId="2" fillId="19" fontId="20" numFmtId="0" xfId="0" applyAlignment="1" applyBorder="1" applyFont="1">
      <alignment horizontal="center" readingOrder="0" shrinkToFit="0" vertical="center" wrapText="1"/>
    </xf>
    <xf borderId="3" fillId="19" fontId="20" numFmtId="0" xfId="0" applyAlignment="1" applyBorder="1" applyFont="1">
      <alignment horizontal="center" readingOrder="0" shrinkToFit="0" vertical="center" wrapText="1"/>
    </xf>
    <xf borderId="3" fillId="19" fontId="21" numFmtId="0" xfId="0" applyAlignment="1" applyBorder="1" applyFont="1">
      <alignment horizontal="center" readingOrder="0" shrinkToFit="0" vertical="center" wrapText="1"/>
    </xf>
    <xf borderId="0" fillId="7" fontId="5" numFmtId="0" xfId="0" applyAlignment="1" applyFont="1">
      <alignment horizontal="center" readingOrder="0" vertical="center"/>
    </xf>
    <xf borderId="0" fillId="7" fontId="5" numFmtId="177" xfId="0" applyAlignment="1" applyFont="1" applyNumberFormat="1">
      <alignment horizontal="center" readingOrder="0" vertical="center"/>
    </xf>
    <xf borderId="0" fillId="7" fontId="5" numFmtId="0" xfId="0" applyAlignment="1" applyFont="1">
      <alignment horizontal="left" readingOrder="0" vertical="center"/>
    </xf>
    <xf borderId="0" fillId="16" fontId="5" numFmtId="0" xfId="0" applyAlignment="1" applyFont="1">
      <alignment horizontal="left" readingOrder="0" vertical="center"/>
    </xf>
    <xf borderId="0" fillId="16" fontId="5" numFmtId="0" xfId="0" applyAlignment="1" applyFont="1">
      <alignment horizontal="center" readingOrder="0" vertical="center"/>
    </xf>
    <xf borderId="3" fillId="16" fontId="5" numFmtId="0" xfId="0" applyAlignment="1" applyBorder="1" applyFont="1">
      <alignment horizontal="center" vertical="center"/>
    </xf>
    <xf borderId="0" fillId="16" fontId="5" numFmtId="0" xfId="0" applyAlignment="1" applyFont="1">
      <alignment horizontal="center" vertical="center"/>
    </xf>
    <xf borderId="0" fillId="16" fontId="5" numFmtId="0" xfId="0" applyAlignment="1" applyFont="1">
      <alignment horizontal="center" readingOrder="0" vertical="center"/>
    </xf>
    <xf borderId="0" fillId="16" fontId="6" numFmtId="178" xfId="0" applyFont="1" applyNumberFormat="1"/>
    <xf borderId="3" fillId="7" fontId="5" numFmtId="177" xfId="0" applyAlignment="1" applyBorder="1" applyFont="1" applyNumberFormat="1">
      <alignment readingOrder="0" shrinkToFit="0" wrapText="1"/>
    </xf>
    <xf borderId="0" fillId="0" fontId="22" numFmtId="0" xfId="0" applyAlignment="1" applyFont="1">
      <alignment horizontal="center" readingOrder="0" vertical="center"/>
    </xf>
    <xf borderId="0" fillId="0" fontId="6" numFmtId="178" xfId="0" applyFont="1" applyNumberFormat="1"/>
    <xf borderId="0" fillId="0" fontId="23" numFmtId="178" xfId="0" applyAlignment="1" applyFont="1" applyNumberFormat="1">
      <alignment horizontal="center"/>
    </xf>
    <xf borderId="3" fillId="7" fontId="5" numFmtId="170" xfId="0" applyAlignment="1" applyBorder="1" applyFont="1" applyNumberFormat="1">
      <alignment readingOrder="0"/>
    </xf>
    <xf borderId="0" fillId="0" fontId="5" numFmtId="171" xfId="0" applyAlignment="1" applyFont="1" applyNumberFormat="1">
      <alignment horizontal="center" readingOrder="0" vertical="center"/>
    </xf>
    <xf borderId="0" fillId="7" fontId="5" numFmtId="177" xfId="0" applyAlignment="1" applyFont="1" applyNumberFormat="1">
      <alignment readingOrder="0"/>
    </xf>
    <xf borderId="14" fillId="7" fontId="8" numFmtId="0" xfId="0" applyAlignment="1" applyBorder="1" applyFont="1">
      <alignment readingOrder="0" shrinkToFit="0" vertical="bottom" wrapText="0"/>
    </xf>
    <xf borderId="14" fillId="0" fontId="8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horizontal="center" vertical="center"/>
    </xf>
    <xf borderId="14" fillId="7" fontId="2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left" readingOrder="0" vertical="center"/>
    </xf>
    <xf borderId="0" fillId="7" fontId="5" numFmtId="0" xfId="0" applyAlignment="1" applyFont="1">
      <alignment horizontal="left" readingOrder="0"/>
    </xf>
    <xf borderId="0" fillId="7" fontId="5" numFmtId="177" xfId="0" applyAlignment="1" applyFont="1" applyNumberFormat="1">
      <alignment horizontal="left" readingOrder="0"/>
    </xf>
    <xf borderId="14" fillId="11" fontId="8" numFmtId="0" xfId="0" applyAlignment="1" applyBorder="1" applyFont="1">
      <alignment readingOrder="0" shrinkToFit="0" vertical="bottom" wrapText="0"/>
    </xf>
    <xf borderId="14" fillId="11" fontId="8" numFmtId="0" xfId="0" applyAlignment="1" applyBorder="1" applyFont="1">
      <alignment horizontal="center" readingOrder="0" shrinkToFit="0" vertical="bottom" wrapText="0"/>
    </xf>
    <xf borderId="3" fillId="7" fontId="8" numFmtId="0" xfId="0" applyAlignment="1" applyBorder="1" applyFont="1">
      <alignment readingOrder="0" shrinkToFit="0" vertical="bottom" wrapText="0"/>
    </xf>
    <xf borderId="3" fillId="7" fontId="8" numFmtId="177" xfId="0" applyAlignment="1" applyBorder="1" applyFont="1" applyNumberFormat="1">
      <alignment horizontal="right" readingOrder="0" shrinkToFit="0" vertical="bottom" wrapText="0"/>
    </xf>
    <xf borderId="3" fillId="7" fontId="8" numFmtId="0" xfId="0" applyAlignment="1" applyBorder="1" applyFont="1">
      <alignment horizontal="right" readingOrder="0" shrinkToFit="0" vertical="bottom" wrapText="0"/>
    </xf>
    <xf borderId="3" fillId="11" fontId="8" numFmtId="0" xfId="0" applyAlignment="1" applyBorder="1" applyFont="1">
      <alignment horizontal="right" readingOrder="0" shrinkToFit="0" vertical="bottom" wrapText="0"/>
    </xf>
    <xf borderId="3" fillId="7" fontId="5" numFmtId="177" xfId="0" applyAlignment="1" applyBorder="1" applyFont="1" applyNumberFormat="1">
      <alignment horizontal="left" readingOrder="0"/>
    </xf>
    <xf borderId="3" fillId="7" fontId="6" numFmtId="0" xfId="0" applyAlignment="1" applyBorder="1" applyFont="1">
      <alignment vertical="bottom"/>
    </xf>
    <xf borderId="3" fillId="7" fontId="15" numFmtId="0" xfId="0" applyAlignment="1" applyBorder="1" applyFont="1">
      <alignment horizontal="right" vertical="bottom"/>
    </xf>
    <xf borderId="3" fillId="7" fontId="15" numFmtId="0" xfId="0" applyAlignment="1" applyBorder="1" applyFont="1">
      <alignment vertical="bottom"/>
    </xf>
    <xf borderId="3" fillId="7" fontId="6" numFmtId="0" xfId="0" applyAlignment="1" applyBorder="1" applyFont="1">
      <alignment readingOrder="0" vertical="bottom"/>
    </xf>
    <xf borderId="3" fillId="7" fontId="15" numFmtId="0" xfId="0" applyAlignment="1" applyBorder="1" applyFont="1">
      <alignment horizontal="left" vertical="bottom"/>
    </xf>
    <xf borderId="0" fillId="7" fontId="8" numFmtId="0" xfId="0" applyAlignment="1" applyFont="1">
      <alignment readingOrder="0" shrinkToFit="0" vertical="bottom" wrapText="0"/>
    </xf>
    <xf borderId="0" fillId="7" fontId="8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center" vertical="center"/>
    </xf>
    <xf borderId="3" fillId="7" fontId="5" numFmtId="0" xfId="0" applyAlignment="1" applyBorder="1" applyFont="1">
      <alignment horizontal="center" vertical="center"/>
    </xf>
    <xf borderId="0" fillId="7" fontId="5" numFmtId="171" xfId="0" applyAlignment="1" applyFont="1" applyNumberFormat="1">
      <alignment horizontal="center" readingOrder="0" vertical="center"/>
    </xf>
    <xf borderId="0" fillId="7" fontId="5" numFmtId="0" xfId="0" applyAlignment="1" applyFont="1">
      <alignment horizontal="center" vertical="center"/>
    </xf>
    <xf borderId="0" fillId="7" fontId="25" numFmtId="0" xfId="0" applyAlignment="1" applyFont="1">
      <alignment horizontal="center" readingOrder="0" vertical="center"/>
    </xf>
    <xf borderId="0" fillId="7" fontId="6" numFmtId="178" xfId="0" applyFont="1" applyNumberFormat="1"/>
    <xf borderId="0" fillId="7" fontId="5" numFmtId="164" xfId="0" applyAlignment="1" applyFont="1" applyNumberFormat="1">
      <alignment horizontal="center" readingOrder="0" vertical="center"/>
    </xf>
    <xf borderId="0" fillId="7" fontId="23" numFmtId="178" xfId="0" applyAlignment="1" applyFont="1" applyNumberFormat="1">
      <alignment horizontal="center"/>
    </xf>
    <xf borderId="17" fillId="7" fontId="8" numFmtId="0" xfId="0" applyAlignment="1" applyBorder="1" applyFont="1">
      <alignment readingOrder="0" shrinkToFit="0" vertical="bottom" wrapText="0"/>
    </xf>
    <xf borderId="17" fillId="7" fontId="8" numFmtId="0" xfId="0" applyAlignment="1" applyBorder="1" applyFont="1">
      <alignment horizontal="left" readingOrder="0" shrinkToFit="0" vertical="bottom" wrapText="0"/>
    </xf>
    <xf borderId="17" fillId="7" fontId="8" numFmtId="0" xfId="0" applyAlignment="1" applyBorder="1" applyFont="1">
      <alignment horizontal="center" readingOrder="0" shrinkToFit="0" vertical="bottom" wrapText="0"/>
    </xf>
    <xf borderId="17" fillId="11" fontId="8" numFmtId="0" xfId="0" applyAlignment="1" applyBorder="1" applyFont="1">
      <alignment readingOrder="0" shrinkToFit="0" vertical="bottom" wrapText="0"/>
    </xf>
    <xf borderId="17" fillId="11" fontId="8" numFmtId="0" xfId="0" applyAlignment="1" applyBorder="1" applyFont="1">
      <alignment horizontal="center" readingOrder="0" shrinkToFit="0" vertical="bottom" wrapText="0"/>
    </xf>
    <xf borderId="14" fillId="7" fontId="8" numFmtId="0" xfId="0" applyAlignment="1" applyBorder="1" applyFont="1">
      <alignment horizontal="left" readingOrder="0" shrinkToFit="0" vertical="bottom" wrapText="0"/>
    </xf>
    <xf borderId="14" fillId="7" fontId="8" numFmtId="0" xfId="0" applyAlignment="1" applyBorder="1" applyFont="1">
      <alignment horizontal="center" readingOrder="0" shrinkToFit="0" vertical="bottom" wrapText="0"/>
    </xf>
    <xf borderId="0" fillId="7" fontId="5" numFmtId="172" xfId="0" applyAlignment="1" applyFont="1" applyNumberFormat="1">
      <alignment horizontal="left" readingOrder="0"/>
    </xf>
    <xf borderId="13" fillId="7" fontId="5" numFmtId="0" xfId="0" applyAlignment="1" applyBorder="1" applyFont="1">
      <alignment horizontal="center" readingOrder="0" vertical="center"/>
    </xf>
    <xf borderId="0" fillId="7" fontId="5" numFmtId="0" xfId="0" applyAlignment="1" applyFont="1">
      <alignment horizontal="right" readingOrder="0"/>
    </xf>
    <xf borderId="0" fillId="7" fontId="5" numFmtId="171" xfId="0" applyAlignment="1" applyFont="1" applyNumberFormat="1">
      <alignment readingOrder="0"/>
    </xf>
    <xf borderId="0" fillId="7" fontId="5" numFmtId="177" xfId="0" applyAlignment="1" applyFont="1" applyNumberFormat="1">
      <alignment readingOrder="0" shrinkToFit="0" wrapText="1"/>
    </xf>
    <xf borderId="3" fillId="7" fontId="5" numFmtId="172" xfId="0" applyAlignment="1" applyBorder="1" applyFont="1" applyNumberFormat="1">
      <alignment readingOrder="0"/>
    </xf>
    <xf borderId="0" fillId="0" fontId="5" numFmtId="179" xfId="0" applyAlignment="1" applyFont="1" applyNumberFormat="1">
      <alignment horizontal="center" readingOrder="0" vertical="center"/>
    </xf>
    <xf borderId="0" fillId="0" fontId="6" numFmtId="0" xfId="0" applyFont="1"/>
    <xf borderId="0" fillId="0" fontId="5" numFmtId="171" xfId="0" applyAlignment="1" applyFont="1" applyNumberFormat="1">
      <alignment horizontal="center" readingOrder="0"/>
    </xf>
    <xf borderId="15" fillId="7" fontId="8" numFmtId="0" xfId="0" applyAlignment="1" applyBorder="1" applyFont="1">
      <alignment horizontal="left" readingOrder="0" shrinkToFit="0" vertical="bottom" wrapText="0"/>
    </xf>
    <xf borderId="15" fillId="7" fontId="8" numFmtId="0" xfId="0" applyAlignment="1" applyBorder="1" applyFont="1">
      <alignment readingOrder="0" shrinkToFit="0" vertical="bottom" wrapText="0"/>
    </xf>
    <xf borderId="3" fillId="7" fontId="5" numFmtId="176" xfId="0" applyAlignment="1" applyBorder="1" applyFont="1" applyNumberFormat="1">
      <alignment horizontal="center" readingOrder="0"/>
    </xf>
    <xf borderId="3" fillId="0" fontId="5" numFmtId="171" xfId="0" applyAlignment="1" applyBorder="1" applyFont="1" applyNumberFormat="1">
      <alignment horizontal="center" readingOrder="0"/>
    </xf>
    <xf borderId="13" fillId="0" fontId="5" numFmtId="171" xfId="0" applyAlignment="1" applyBorder="1" applyFont="1" applyNumberFormat="1">
      <alignment horizontal="center" readingOrder="0"/>
    </xf>
    <xf borderId="3" fillId="7" fontId="8" numFmtId="177" xfId="0" applyAlignment="1" applyBorder="1" applyFont="1" applyNumberFormat="1">
      <alignment horizontal="center" readingOrder="0" shrinkToFit="0" vertical="bottom" wrapText="0"/>
    </xf>
    <xf borderId="0" fillId="0" fontId="26" numFmtId="0" xfId="0" applyAlignment="1" applyFont="1">
      <alignment horizontal="center" readingOrder="0" vertical="center"/>
    </xf>
    <xf borderId="14" fillId="7" fontId="8" numFmtId="177" xfId="0" applyAlignment="1" applyBorder="1" applyFont="1" applyNumberFormat="1">
      <alignment horizontal="center" readingOrder="0" shrinkToFit="0" vertical="bottom" wrapText="0"/>
    </xf>
    <xf borderId="3" fillId="7" fontId="5" numFmtId="172" xfId="0" applyAlignment="1" applyBorder="1" applyFont="1" applyNumberFormat="1">
      <alignment horizontal="center" readingOrder="0"/>
    </xf>
    <xf borderId="0" fillId="7" fontId="8" numFmtId="0" xfId="0" applyAlignment="1" applyFont="1">
      <alignment horizontal="center" readingOrder="0" shrinkToFit="0" vertical="bottom" wrapText="0"/>
    </xf>
    <xf borderId="0" fillId="7" fontId="5" numFmtId="173" xfId="0" applyAlignment="1" applyFont="1" applyNumberFormat="1">
      <alignment readingOrder="0" shrinkToFit="0" wrapText="1"/>
    </xf>
    <xf borderId="18" fillId="0" fontId="5" numFmtId="0" xfId="0" applyAlignment="1" applyBorder="1" applyFont="1">
      <alignment horizontal="center" readingOrder="0" vertical="center"/>
    </xf>
    <xf borderId="19" fillId="0" fontId="11" numFmtId="0" xfId="0" applyBorder="1" applyFont="1"/>
    <xf borderId="20" fillId="0" fontId="11" numFmtId="0" xfId="0" applyBorder="1" applyFont="1"/>
    <xf borderId="21" fillId="0" fontId="11" numFmtId="0" xfId="0" applyBorder="1" applyFont="1"/>
    <xf borderId="22" fillId="0" fontId="11" numFmtId="0" xfId="0" applyBorder="1" applyFont="1"/>
    <xf borderId="4" fillId="0" fontId="11" numFmtId="0" xfId="0" applyBorder="1" applyFont="1"/>
    <xf borderId="5" fillId="0" fontId="11" numFmtId="0" xfId="0" applyBorder="1" applyFont="1"/>
    <xf borderId="23" fillId="0" fontId="11" numFmtId="0" xfId="0" applyBorder="1" applyFont="1"/>
    <xf borderId="13" fillId="0" fontId="5" numFmtId="164" xfId="0" applyAlignment="1" applyBorder="1" applyFont="1" applyNumberFormat="1">
      <alignment horizontal="center" readingOrder="0" vertical="center"/>
    </xf>
    <xf borderId="13" fillId="0" fontId="5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center" vertical="center"/>
    </xf>
    <xf borderId="13" fillId="0" fontId="27" numFmtId="0" xfId="0" applyAlignment="1" applyBorder="1" applyFont="1">
      <alignment horizontal="center" readingOrder="0" vertical="center"/>
    </xf>
    <xf borderId="3" fillId="0" fontId="5" numFmtId="164" xfId="0" applyAlignment="1" applyBorder="1" applyFont="1" applyNumberFormat="1">
      <alignment horizontal="center" readingOrder="0" vertical="center"/>
    </xf>
    <xf borderId="3" fillId="0" fontId="28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vertical="center"/>
    </xf>
    <xf borderId="3" fillId="11" fontId="6" numFmtId="0" xfId="0" applyAlignment="1" applyBorder="1" applyFont="1">
      <alignment vertical="bottom"/>
    </xf>
    <xf borderId="3" fillId="7" fontId="8" numFmtId="166" xfId="0" applyAlignment="1" applyBorder="1" applyFont="1" applyNumberFormat="1">
      <alignment horizontal="center" readingOrder="0" shrinkToFit="0" vertical="bottom" wrapText="0"/>
    </xf>
    <xf borderId="3" fillId="7" fontId="5" numFmtId="164" xfId="0" applyAlignment="1" applyBorder="1" applyFont="1" applyNumberFormat="1">
      <alignment readingOrder="0"/>
    </xf>
    <xf borderId="0" fillId="7" fontId="5" numFmtId="166" xfId="0" applyAlignment="1" applyFont="1" applyNumberFormat="1">
      <alignment horizontal="left" readingOrder="0"/>
    </xf>
    <xf borderId="3" fillId="8" fontId="5" numFmtId="0" xfId="0" applyAlignment="1" applyBorder="1" applyFont="1">
      <alignment horizontal="center" vertical="center"/>
    </xf>
    <xf borderId="3" fillId="8" fontId="5" numFmtId="164" xfId="0" applyAlignment="1" applyBorder="1" applyFont="1" applyNumberFormat="1">
      <alignment horizontal="center" readingOrder="0" vertical="center"/>
    </xf>
    <xf borderId="3" fillId="8" fontId="5" numFmtId="0" xfId="0" applyAlignment="1" applyBorder="1" applyFont="1">
      <alignment horizontal="center" readingOrder="0" vertical="center"/>
    </xf>
    <xf borderId="3" fillId="8" fontId="5" numFmtId="0" xfId="0" applyAlignment="1" applyBorder="1" applyFont="1">
      <alignment horizontal="center" readingOrder="0" vertical="center"/>
    </xf>
    <xf borderId="13" fillId="7" fontId="6" numFmtId="164" xfId="0" applyAlignment="1" applyBorder="1" applyFont="1" applyNumberFormat="1">
      <alignment horizontal="center"/>
    </xf>
    <xf borderId="13" fillId="7" fontId="6" numFmtId="0" xfId="0" applyAlignment="1" applyBorder="1" applyFont="1">
      <alignment horizontal="center"/>
    </xf>
    <xf borderId="13" fillId="7" fontId="6" numFmtId="0" xfId="0" applyBorder="1" applyFont="1"/>
    <xf borderId="13" fillId="7" fontId="29" numFmtId="0" xfId="0" applyAlignment="1" applyBorder="1" applyFont="1">
      <alignment horizontal="center"/>
    </xf>
    <xf borderId="3" fillId="7" fontId="5" numFmtId="177" xfId="0" applyAlignment="1" applyBorder="1" applyFont="1" applyNumberFormat="1">
      <alignment readingOrder="0"/>
    </xf>
    <xf borderId="3" fillId="0" fontId="5" numFmtId="0" xfId="0" applyAlignment="1" applyBorder="1" applyFont="1">
      <alignment horizontal="center" readingOrder="0" vertical="center"/>
    </xf>
    <xf borderId="3" fillId="7" fontId="6" numFmtId="166" xfId="0" applyAlignment="1" applyBorder="1" applyFont="1" applyNumberFormat="1">
      <alignment vertical="bottom"/>
    </xf>
    <xf borderId="3" fillId="7" fontId="15" numFmtId="0" xfId="0" applyAlignment="1" applyBorder="1" applyFont="1">
      <alignment horizontal="center" vertical="bottom"/>
    </xf>
    <xf borderId="3" fillId="7" fontId="6" numFmtId="0" xfId="0" applyAlignment="1" applyBorder="1" applyFont="1">
      <alignment horizontal="right" vertical="bottom"/>
    </xf>
    <xf borderId="3" fillId="7" fontId="6" numFmtId="0" xfId="0" applyBorder="1" applyFont="1"/>
    <xf borderId="3" fillId="7" fontId="6" numFmtId="164" xfId="0" applyAlignment="1" applyBorder="1" applyFont="1" applyNumberFormat="1">
      <alignment horizontal="center"/>
    </xf>
    <xf borderId="3" fillId="7" fontId="6" numFmtId="0" xfId="0" applyAlignment="1" applyBorder="1" applyFont="1">
      <alignment horizontal="center"/>
    </xf>
    <xf borderId="3" fillId="0" fontId="6" numFmtId="0" xfId="0" applyBorder="1" applyFont="1"/>
    <xf borderId="3" fillId="0" fontId="30" numFmtId="0" xfId="0" applyAlignment="1" applyBorder="1" applyFont="1">
      <alignment horizontal="center"/>
    </xf>
    <xf borderId="13" fillId="0" fontId="6" numFmtId="0" xfId="0" applyBorder="1" applyFont="1"/>
    <xf borderId="13" fillId="0" fontId="6" numFmtId="0" xfId="0" applyAlignment="1" applyBorder="1" applyFont="1">
      <alignment horizontal="center" shrinkToFit="0" wrapText="1"/>
    </xf>
    <xf borderId="13" fillId="0" fontId="31" numFmtId="0" xfId="0" applyAlignment="1" applyBorder="1" applyFont="1">
      <alignment horizontal="center"/>
    </xf>
    <xf borderId="13" fillId="0" fontId="6" numFmtId="164" xfId="0" applyAlignment="1" applyBorder="1" applyFont="1" applyNumberFormat="1">
      <alignment horizontal="center"/>
    </xf>
    <xf borderId="13" fillId="0" fontId="6" numFmtId="0" xfId="0" applyAlignment="1" applyBorder="1" applyFont="1">
      <alignment horizontal="center"/>
    </xf>
    <xf borderId="0" fillId="8" fontId="5" numFmtId="0" xfId="0" applyAlignment="1" applyFont="1">
      <alignment horizontal="center" vertical="center"/>
    </xf>
    <xf borderId="0" fillId="8" fontId="5" numFmtId="164" xfId="0" applyAlignment="1" applyFont="1" applyNumberFormat="1">
      <alignment horizontal="center" readingOrder="0" vertical="center"/>
    </xf>
    <xf borderId="0" fillId="8" fontId="5" numFmtId="0" xfId="0" applyAlignment="1" applyFont="1">
      <alignment horizontal="center" readingOrder="0" vertical="center"/>
    </xf>
    <xf borderId="0" fillId="8" fontId="5" numFmtId="0" xfId="0" applyAlignment="1" applyFont="1">
      <alignment horizontal="center" readingOrder="0" vertical="center"/>
    </xf>
    <xf borderId="3" fillId="7" fontId="6" numFmtId="0" xfId="0" applyAlignment="1" applyBorder="1" applyFont="1">
      <alignment horizontal="center"/>
    </xf>
    <xf borderId="3" fillId="7" fontId="32" numFmtId="0" xfId="0" applyAlignment="1" applyBorder="1" applyFont="1">
      <alignment horizontal="center"/>
    </xf>
    <xf borderId="13" fillId="0" fontId="5" numFmtId="171" xfId="0" applyAlignment="1" applyBorder="1" applyFont="1" applyNumberFormat="1">
      <alignment horizontal="center" readingOrder="0" vertical="center"/>
    </xf>
    <xf borderId="3" fillId="14" fontId="5" numFmtId="0" xfId="0" applyAlignment="1" applyBorder="1" applyFont="1">
      <alignment readingOrder="0"/>
    </xf>
    <xf borderId="3" fillId="14" fontId="5" numFmtId="0" xfId="0" applyAlignment="1" applyBorder="1" applyFont="1">
      <alignment horizontal="left" readingOrder="0"/>
    </xf>
    <xf borderId="9" fillId="14" fontId="5" numFmtId="0" xfId="0" applyAlignment="1" applyBorder="1" applyFont="1">
      <alignment horizontal="center" vertical="center"/>
    </xf>
    <xf borderId="9" fillId="14" fontId="5" numFmtId="0" xfId="0" applyAlignment="1" applyBorder="1" applyFont="1">
      <alignment horizontal="center" readingOrder="0" vertical="center"/>
    </xf>
    <xf borderId="9" fillId="14" fontId="5" numFmtId="0" xfId="0" applyAlignment="1" applyBorder="1" applyFont="1">
      <alignment horizontal="center" readingOrder="0" vertical="center"/>
    </xf>
    <xf borderId="9" fillId="14" fontId="5" numFmtId="0" xfId="0" applyAlignment="1" applyBorder="1" applyFont="1">
      <alignment horizontal="center" readingOrder="0" shrinkToFit="0" vertical="center" wrapText="1"/>
    </xf>
    <xf borderId="8" fillId="14" fontId="5" numFmtId="0" xfId="0" applyAlignment="1" applyBorder="1" applyFont="1">
      <alignment horizontal="center" vertical="center"/>
    </xf>
    <xf borderId="8" fillId="14" fontId="5" numFmtId="0" xfId="0" applyAlignment="1" applyBorder="1" applyFont="1">
      <alignment horizontal="center" readingOrder="0" vertical="center"/>
    </xf>
    <xf borderId="8" fillId="14" fontId="5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center" readingOrder="0" shrinkToFit="0" vertical="center" wrapText="1"/>
    </xf>
    <xf borderId="13" fillId="7" fontId="5" numFmtId="164" xfId="0" applyAlignment="1" applyBorder="1" applyFont="1" applyNumberFormat="1">
      <alignment horizontal="center" readingOrder="0" vertical="center"/>
    </xf>
    <xf borderId="3" fillId="7" fontId="5" numFmtId="164" xfId="0" applyAlignment="1" applyBorder="1" applyFont="1" applyNumberFormat="1">
      <alignment horizontal="center" readingOrder="0" vertical="center"/>
    </xf>
    <xf borderId="3" fillId="7" fontId="17" numFmtId="166" xfId="0" applyAlignment="1" applyBorder="1" applyFont="1" applyNumberFormat="1">
      <alignment horizontal="left" readingOrder="0"/>
    </xf>
    <xf borderId="3" fillId="5" fontId="8" numFmtId="0" xfId="0" applyAlignment="1" applyBorder="1" applyFont="1">
      <alignment readingOrder="0" shrinkToFit="0" vertical="bottom" wrapText="0"/>
    </xf>
    <xf borderId="3" fillId="5" fontId="8" numFmtId="0" xfId="0" applyAlignment="1" applyBorder="1" applyFont="1">
      <alignment horizontal="center" readingOrder="0" shrinkToFit="0" vertical="bottom" wrapText="0"/>
    </xf>
    <xf borderId="3" fillId="5" fontId="5" numFmtId="0" xfId="0" applyAlignment="1" applyBorder="1" applyFont="1">
      <alignment horizontal="right" readingOrder="0"/>
    </xf>
    <xf borderId="13" fillId="7" fontId="6" numFmtId="164" xfId="0" applyAlignment="1" applyBorder="1" applyFont="1" applyNumberFormat="1">
      <alignment horizontal="center" vertical="center"/>
    </xf>
    <xf borderId="13" fillId="7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vertical="center"/>
    </xf>
    <xf borderId="13" fillId="0" fontId="6" numFmtId="0" xfId="0" applyAlignment="1" applyBorder="1" applyFont="1">
      <alignment horizontal="center" vertical="center"/>
    </xf>
    <xf borderId="13" fillId="0" fontId="33" numFmtId="0" xfId="0" applyAlignment="1" applyBorder="1" applyFont="1">
      <alignment horizontal="center" vertical="center"/>
    </xf>
    <xf borderId="3" fillId="7" fontId="6" numFmtId="166" xfId="0" applyAlignment="1" applyBorder="1" applyFont="1" applyNumberFormat="1">
      <alignment horizontal="right" readingOrder="0" vertical="bottom"/>
    </xf>
    <xf borderId="3" fillId="7" fontId="15" numFmtId="0" xfId="0" applyAlignment="1" applyBorder="1" applyFont="1">
      <alignment readingOrder="0" vertical="bottom"/>
    </xf>
    <xf borderId="3" fillId="7" fontId="15" numFmtId="0" xfId="0" applyAlignment="1" applyBorder="1" applyFont="1">
      <alignment horizontal="center" readingOrder="0" vertical="bottom"/>
    </xf>
    <xf borderId="3" fillId="7" fontId="6" numFmtId="0" xfId="0" applyAlignment="1" applyBorder="1" applyFont="1">
      <alignment horizontal="right" readingOrder="0" vertical="bottom"/>
    </xf>
    <xf borderId="13" fillId="7" fontId="6" numFmtId="164" xfId="0" applyAlignment="1" applyBorder="1" applyFont="1" applyNumberFormat="1">
      <alignment horizontal="center" readingOrder="0" vertical="center"/>
    </xf>
    <xf borderId="13" fillId="7" fontId="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13" fillId="0" fontId="34" numFmtId="0" xfId="0" applyAlignment="1" applyBorder="1" applyFont="1">
      <alignment horizontal="center" readingOrder="0" vertical="center"/>
    </xf>
    <xf borderId="3" fillId="7" fontId="6" numFmtId="166" xfId="0" applyAlignment="1" applyBorder="1" applyFont="1" applyNumberFormat="1">
      <alignment horizontal="right" vertical="bottom"/>
    </xf>
    <xf borderId="3" fillId="7" fontId="6" numFmtId="0" xfId="0" applyAlignment="1" applyBorder="1" applyFont="1">
      <alignment horizontal="center" vertical="bottom"/>
    </xf>
    <xf borderId="3" fillId="20" fontId="5" numFmtId="0" xfId="0" applyAlignment="1" applyBorder="1" applyFill="1" applyFont="1">
      <alignment horizontal="left" readingOrder="0"/>
    </xf>
    <xf borderId="3" fillId="20" fontId="5" numFmtId="166" xfId="0" applyAlignment="1" applyBorder="1" applyFont="1" applyNumberFormat="1">
      <alignment horizontal="left" readingOrder="0"/>
    </xf>
    <xf borderId="3" fillId="20" fontId="8" numFmtId="0" xfId="0" applyAlignment="1" applyBorder="1" applyFont="1">
      <alignment readingOrder="0" shrinkToFit="0" vertical="bottom" wrapText="0"/>
    </xf>
    <xf borderId="3" fillId="20" fontId="8" numFmtId="0" xfId="0" applyAlignment="1" applyBorder="1" applyFont="1">
      <alignment horizontal="center" readingOrder="0" shrinkToFit="0" vertical="bottom" wrapText="0"/>
    </xf>
    <xf borderId="3" fillId="20" fontId="8" numFmtId="0" xfId="0" applyAlignment="1" applyBorder="1" applyFont="1">
      <alignment horizontal="left" readingOrder="0" shrinkToFit="0" vertical="bottom" wrapText="0"/>
    </xf>
    <xf borderId="3" fillId="20" fontId="5" numFmtId="0" xfId="0" applyAlignment="1" applyBorder="1" applyFont="1">
      <alignment horizontal="right" readingOrder="0"/>
    </xf>
    <xf borderId="8" fillId="0" fontId="5" numFmtId="0" xfId="0" applyAlignment="1" applyBorder="1" applyFont="1">
      <alignment horizontal="center" vertical="center"/>
    </xf>
    <xf borderId="3" fillId="21" fontId="5" numFmtId="0" xfId="0" applyAlignment="1" applyBorder="1" applyFill="1" applyFont="1">
      <alignment horizontal="left" readingOrder="0"/>
    </xf>
    <xf borderId="3" fillId="21" fontId="5" numFmtId="166" xfId="0" applyAlignment="1" applyBorder="1" applyFont="1" applyNumberFormat="1">
      <alignment horizontal="left" readingOrder="0"/>
    </xf>
    <xf borderId="3" fillId="21" fontId="8" numFmtId="0" xfId="0" applyAlignment="1" applyBorder="1" applyFont="1">
      <alignment readingOrder="0" shrinkToFit="0" vertical="bottom" wrapText="0"/>
    </xf>
    <xf borderId="3" fillId="21" fontId="8" numFmtId="0" xfId="0" applyAlignment="1" applyBorder="1" applyFont="1">
      <alignment horizontal="center" readingOrder="0" shrinkToFit="0" vertical="bottom" wrapText="0"/>
    </xf>
    <xf borderId="3" fillId="21" fontId="8" numFmtId="0" xfId="0" applyAlignment="1" applyBorder="1" applyFont="1">
      <alignment horizontal="left" readingOrder="0" shrinkToFit="0" vertical="bottom" wrapText="0"/>
    </xf>
    <xf borderId="3" fillId="21" fontId="5" numFmtId="0" xfId="0" applyAlignment="1" applyBorder="1" applyFont="1">
      <alignment horizontal="right" readingOrder="0"/>
    </xf>
    <xf borderId="0" fillId="21" fontId="5" numFmtId="0" xfId="0" applyAlignment="1" applyFont="1">
      <alignment horizontal="left" readingOrder="0"/>
    </xf>
    <xf borderId="0" fillId="21" fontId="5" numFmtId="177" xfId="0" applyAlignment="1" applyFont="1" applyNumberFormat="1">
      <alignment horizontal="left" readingOrder="0"/>
    </xf>
    <xf borderId="0" fillId="21" fontId="8" numFmtId="0" xfId="0" applyAlignment="1" applyFont="1">
      <alignment readingOrder="0" shrinkToFit="0" vertical="bottom" wrapText="0"/>
    </xf>
    <xf borderId="0" fillId="21" fontId="5" numFmtId="0" xfId="0" applyAlignment="1" applyFont="1">
      <alignment horizontal="center" readingOrder="0"/>
    </xf>
    <xf borderId="0" fillId="21" fontId="8" numFmtId="0" xfId="0" applyAlignment="1" applyFont="1">
      <alignment horizontal="center" readingOrder="0" shrinkToFit="0" vertical="bottom" wrapText="0"/>
    </xf>
    <xf borderId="0" fillId="21" fontId="8" numFmtId="0" xfId="0" applyAlignment="1" applyFont="1">
      <alignment horizontal="left" readingOrder="0" shrinkToFit="0" vertical="bottom" wrapText="0"/>
    </xf>
    <xf borderId="0" fillId="21" fontId="5" numFmtId="0" xfId="0" applyAlignment="1" applyFont="1">
      <alignment horizontal="right" readingOrder="0"/>
    </xf>
    <xf borderId="3" fillId="7" fontId="15" numFmtId="166" xfId="0" applyAlignment="1" applyBorder="1" applyFont="1" applyNumberFormat="1">
      <alignment horizontal="right" vertical="bottom"/>
    </xf>
    <xf borderId="3" fillId="7" fontId="6" numFmtId="177" xfId="0" applyAlignment="1" applyBorder="1" applyFont="1" applyNumberFormat="1">
      <alignment vertical="bottom"/>
    </xf>
    <xf borderId="3" fillId="21" fontId="5" numFmtId="0" xfId="0" applyAlignment="1" applyBorder="1" applyFont="1">
      <alignment horizontal="center" readingOrder="0"/>
    </xf>
    <xf borderId="3" fillId="0" fontId="6" numFmtId="173" xfId="0" applyAlignment="1" applyBorder="1" applyFont="1" applyNumberFormat="1">
      <alignment horizontal="right" shrinkToFit="0" vertical="bottom" wrapText="1"/>
    </xf>
    <xf borderId="3" fillId="22" fontId="5" numFmtId="173" xfId="0" applyAlignment="1" applyBorder="1" applyFill="1" applyFont="1" applyNumberFormat="1">
      <alignment readingOrder="0" shrinkToFit="0" wrapText="1"/>
    </xf>
    <xf borderId="3" fillId="22" fontId="5" numFmtId="0" xfId="0" applyAlignment="1" applyBorder="1" applyFont="1">
      <alignment readingOrder="0"/>
    </xf>
    <xf borderId="3" fillId="22" fontId="5" numFmtId="0" xfId="0" applyAlignment="1" applyBorder="1" applyFont="1">
      <alignment horizontal="left" readingOrder="0"/>
    </xf>
    <xf borderId="3" fillId="22" fontId="5" numFmtId="0" xfId="0" applyAlignment="1" applyBorder="1" applyFont="1">
      <alignment horizontal="center" vertical="center"/>
    </xf>
    <xf borderId="3" fillId="22" fontId="5" numFmtId="0" xfId="0" applyAlignment="1" applyBorder="1" applyFont="1">
      <alignment horizontal="center" readingOrder="0" vertical="center"/>
    </xf>
    <xf borderId="3" fillId="22" fontId="5" numFmtId="0" xfId="0" applyAlignment="1" applyBorder="1" applyFont="1">
      <alignment horizontal="center" readingOrder="0" vertical="center"/>
    </xf>
    <xf borderId="3" fillId="7" fontId="5" numFmtId="0" xfId="0" applyAlignment="1" applyBorder="1" applyFont="1">
      <alignment horizontal="center" readingOrder="0" vertical="center"/>
    </xf>
    <xf borderId="3" fillId="7" fontId="35" numFmtId="0" xfId="0" applyAlignment="1" applyBorder="1" applyFont="1">
      <alignment horizontal="center" readingOrder="0" vertical="center"/>
    </xf>
    <xf borderId="13" fillId="7" fontId="5" numFmtId="171" xfId="0" applyAlignment="1" applyBorder="1" applyFont="1" applyNumberFormat="1">
      <alignment horizontal="center" readingOrder="0" vertical="center"/>
    </xf>
    <xf borderId="13" fillId="7" fontId="5" numFmtId="0" xfId="0" applyAlignment="1" applyBorder="1" applyFont="1">
      <alignment horizontal="center" vertical="center"/>
    </xf>
    <xf borderId="13" fillId="7" fontId="36" numFmtId="0" xfId="0" applyAlignment="1" applyBorder="1" applyFont="1">
      <alignment horizontal="center" readingOrder="0" vertical="center"/>
    </xf>
    <xf borderId="0" fillId="23" fontId="5" numFmtId="0" xfId="0" applyAlignment="1" applyFill="1" applyFont="1">
      <alignment horizontal="left" readingOrder="0"/>
    </xf>
    <xf borderId="0" fillId="23" fontId="5" numFmtId="177" xfId="0" applyAlignment="1" applyFont="1" applyNumberFormat="1">
      <alignment horizontal="left" readingOrder="0"/>
    </xf>
    <xf borderId="0" fillId="23" fontId="8" numFmtId="0" xfId="0" applyAlignment="1" applyFont="1">
      <alignment readingOrder="0" shrinkToFit="0" vertical="bottom" wrapText="0"/>
    </xf>
    <xf borderId="0" fillId="23" fontId="5" numFmtId="0" xfId="0" applyAlignment="1" applyFont="1">
      <alignment horizontal="center" readingOrder="0"/>
    </xf>
    <xf borderId="0" fillId="23" fontId="8" numFmtId="0" xfId="0" applyAlignment="1" applyFont="1">
      <alignment horizontal="center" readingOrder="0" shrinkToFit="0" vertical="bottom" wrapText="0"/>
    </xf>
    <xf borderId="0" fillId="23" fontId="8" numFmtId="0" xfId="0" applyAlignment="1" applyFont="1">
      <alignment horizontal="left" readingOrder="0" shrinkToFit="0" vertical="bottom" wrapText="0"/>
    </xf>
    <xf borderId="0" fillId="23" fontId="5" numFmtId="0" xfId="0" applyAlignment="1" applyFont="1">
      <alignment horizontal="right" readingOrder="0"/>
    </xf>
    <xf borderId="9" fillId="0" fontId="37" numFmtId="0" xfId="0" applyAlignment="1" applyBorder="1" applyFont="1">
      <alignment horizontal="center" readingOrder="0" vertical="center"/>
    </xf>
    <xf borderId="3" fillId="12" fontId="5" numFmtId="0" xfId="0" applyAlignment="1" applyBorder="1" applyFont="1">
      <alignment horizontal="center" readingOrder="0"/>
    </xf>
    <xf borderId="3" fillId="3" fontId="5" numFmtId="0" xfId="0" applyAlignment="1" applyBorder="1" applyFont="1">
      <alignment horizontal="left" readingOrder="0"/>
    </xf>
    <xf borderId="3" fillId="3" fontId="5" numFmtId="166" xfId="0" applyAlignment="1" applyBorder="1" applyFont="1" applyNumberFormat="1">
      <alignment horizontal="left" readingOrder="0"/>
    </xf>
    <xf borderId="3" fillId="3" fontId="8" numFmtId="0" xfId="0" applyAlignment="1" applyBorder="1" applyFont="1">
      <alignment readingOrder="0" shrinkToFit="0" vertical="bottom" wrapText="0"/>
    </xf>
    <xf borderId="3" fillId="3" fontId="5" numFmtId="0" xfId="0" applyAlignment="1" applyBorder="1" applyFont="1">
      <alignment horizontal="center" readingOrder="0"/>
    </xf>
    <xf borderId="3" fillId="3" fontId="8" numFmtId="0" xfId="0" applyAlignment="1" applyBorder="1" applyFont="1">
      <alignment horizontal="left" readingOrder="0" shrinkToFit="0" vertical="bottom" wrapText="0"/>
    </xf>
    <xf borderId="3" fillId="3" fontId="8" numFmtId="0" xfId="0" applyAlignment="1" applyBorder="1" applyFont="1">
      <alignment horizontal="center" readingOrder="0" shrinkToFit="0" vertical="bottom" wrapText="0"/>
    </xf>
    <xf borderId="3" fillId="3" fontId="5" numFmtId="0" xfId="0" applyAlignment="1" applyBorder="1" applyFont="1">
      <alignment horizontal="right" readingOrder="0"/>
    </xf>
    <xf borderId="0" fillId="3" fontId="5" numFmtId="0" xfId="0" applyAlignment="1" applyFont="1">
      <alignment horizontal="left" readingOrder="0"/>
    </xf>
    <xf borderId="0" fillId="3" fontId="5" numFmtId="166" xfId="0" applyAlignment="1" applyFont="1" applyNumberFormat="1">
      <alignment horizontal="left" readingOrder="0"/>
    </xf>
    <xf borderId="0" fillId="3" fontId="8" numFmtId="0" xfId="0" applyAlignment="1" applyFont="1">
      <alignment readingOrder="0" shrinkToFit="0" vertical="bottom" wrapText="0"/>
    </xf>
    <xf borderId="0" fillId="3" fontId="5" numFmtId="0" xfId="0" applyAlignment="1" applyFont="1">
      <alignment horizontal="center" readingOrder="0"/>
    </xf>
    <xf borderId="0" fillId="3" fontId="8" numFmtId="0" xfId="0" applyAlignment="1" applyFont="1">
      <alignment horizontal="left" readingOrder="0" shrinkToFit="0" vertical="bottom" wrapText="0"/>
    </xf>
    <xf borderId="0" fillId="3" fontId="8" numFmtId="0" xfId="0" applyAlignment="1" applyFont="1">
      <alignment horizontal="center" readingOrder="0" shrinkToFit="0" vertical="bottom" wrapText="0"/>
    </xf>
    <xf borderId="0" fillId="3" fontId="5" numFmtId="0" xfId="0" applyAlignment="1" applyFont="1">
      <alignment horizontal="right" readingOrder="0"/>
    </xf>
    <xf borderId="13" fillId="3" fontId="5" numFmtId="164" xfId="0" applyAlignment="1" applyBorder="1" applyFont="1" applyNumberFormat="1">
      <alignment horizontal="center" readingOrder="0" vertical="center"/>
    </xf>
    <xf borderId="13" fillId="3" fontId="5" numFmtId="0" xfId="0" applyAlignment="1" applyBorder="1" applyFont="1">
      <alignment horizontal="center" readingOrder="0" vertical="center"/>
    </xf>
    <xf borderId="13" fillId="3" fontId="5" numFmtId="0" xfId="0" applyAlignment="1" applyBorder="1" applyFont="1">
      <alignment horizontal="center" vertical="center"/>
    </xf>
    <xf borderId="13" fillId="3" fontId="38" numFmtId="0" xfId="0" applyAlignment="1" applyBorder="1" applyFont="1">
      <alignment horizontal="center" readingOrder="0" vertical="center"/>
    </xf>
    <xf borderId="3" fillId="7" fontId="5" numFmtId="164" xfId="0" applyAlignment="1" applyBorder="1" applyFont="1" applyNumberFormat="1">
      <alignment horizontal="center" readingOrder="0"/>
    </xf>
    <xf borderId="3" fillId="3" fontId="5" numFmtId="164" xfId="0" applyAlignment="1" applyBorder="1" applyFont="1" applyNumberFormat="1">
      <alignment horizontal="center" readingOrder="0"/>
    </xf>
    <xf borderId="3" fillId="3" fontId="5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readingOrder="0" vertical="center"/>
    </xf>
    <xf borderId="3" fillId="3" fontId="39" numFmtId="0" xfId="0" applyAlignment="1" applyBorder="1" applyFont="1">
      <alignment horizontal="center" readingOrder="0" vertical="center"/>
    </xf>
    <xf borderId="3" fillId="24" fontId="5" numFmtId="173" xfId="0" applyAlignment="1" applyBorder="1" applyFill="1" applyFont="1" applyNumberFormat="1">
      <alignment readingOrder="0" shrinkToFit="0" wrapText="1"/>
    </xf>
    <xf borderId="3" fillId="24" fontId="5" numFmtId="0" xfId="0" applyAlignment="1" applyBorder="1" applyFont="1">
      <alignment readingOrder="0"/>
    </xf>
    <xf borderId="13" fillId="7" fontId="5" numFmtId="171" xfId="0" applyAlignment="1" applyBorder="1" applyFont="1" applyNumberFormat="1">
      <alignment horizontal="center" readingOrder="0"/>
    </xf>
    <xf borderId="13" fillId="7" fontId="5" numFmtId="0" xfId="0" applyAlignment="1" applyBorder="1" applyFont="1">
      <alignment horizontal="center" readingOrder="0"/>
    </xf>
    <xf borderId="3" fillId="7" fontId="5" numFmtId="171" xfId="0" applyAlignment="1" applyBorder="1" applyFont="1" applyNumberFormat="1">
      <alignment horizontal="center" readingOrder="0"/>
    </xf>
    <xf borderId="13" fillId="7" fontId="5" numFmtId="164" xfId="0" applyAlignment="1" applyBorder="1" applyFont="1" applyNumberFormat="1">
      <alignment horizontal="center" readingOrder="0"/>
    </xf>
    <xf borderId="0" fillId="24" fontId="5" numFmtId="173" xfId="0" applyAlignment="1" applyFont="1" applyNumberFormat="1">
      <alignment readingOrder="0" shrinkToFit="0" wrapText="1"/>
    </xf>
    <xf borderId="0" fillId="24" fontId="5" numFmtId="0" xfId="0" applyAlignment="1" applyFont="1">
      <alignment readingOrder="0"/>
    </xf>
    <xf borderId="0" fillId="24" fontId="5" numFmtId="0" xfId="0" applyAlignment="1" applyFont="1">
      <alignment horizontal="left" readingOrder="0"/>
    </xf>
    <xf borderId="3" fillId="7" fontId="5" numFmtId="0" xfId="0" applyAlignment="1" applyBorder="1" applyFont="1">
      <alignment horizontal="center"/>
    </xf>
    <xf borderId="3" fillId="3" fontId="5" numFmtId="173" xfId="0" applyAlignment="1" applyBorder="1" applyFont="1" applyNumberFormat="1">
      <alignment readingOrder="0" shrinkToFit="0" wrapText="1"/>
    </xf>
    <xf borderId="3" fillId="3" fontId="5" numFmtId="0" xfId="0" applyAlignment="1" applyBorder="1" applyFont="1">
      <alignment readingOrder="0"/>
    </xf>
    <xf borderId="3" fillId="3" fontId="5" numFmtId="164" xfId="0" applyAlignment="1" applyBorder="1" applyFont="1" applyNumberFormat="1">
      <alignment horizontal="center" readingOrder="0" vertical="center"/>
    </xf>
    <xf borderId="3" fillId="3" fontId="5" numFmtId="0" xfId="0" applyBorder="1" applyFont="1"/>
    <xf borderId="3" fillId="3" fontId="5" numFmtId="0" xfId="0" applyAlignment="1" applyBorder="1" applyFont="1">
      <alignment horizontal="center" readingOrder="0" vertical="center"/>
    </xf>
    <xf borderId="3" fillId="14" fontId="5" numFmtId="173" xfId="0" applyAlignment="1" applyBorder="1" applyFont="1" applyNumberFormat="1">
      <alignment readingOrder="0" shrinkToFit="0" wrapText="1"/>
    </xf>
    <xf borderId="13" fillId="14" fontId="5" numFmtId="164" xfId="0" applyAlignment="1" applyBorder="1" applyFont="1" applyNumberFormat="1">
      <alignment horizontal="center" readingOrder="0" vertical="center"/>
    </xf>
    <xf borderId="13" fillId="14" fontId="5" numFmtId="0" xfId="0" applyAlignment="1" applyBorder="1" applyFont="1">
      <alignment horizontal="center" readingOrder="0" vertical="center"/>
    </xf>
    <xf borderId="13" fillId="14" fontId="5" numFmtId="0" xfId="0" applyAlignment="1" applyBorder="1" applyFont="1">
      <alignment horizontal="center" vertical="center"/>
    </xf>
    <xf borderId="13" fillId="14" fontId="40" numFmtId="0" xfId="0" applyAlignment="1" applyBorder="1" applyFont="1">
      <alignment horizontal="center" readingOrder="0" vertical="center"/>
    </xf>
    <xf borderId="3" fillId="14" fontId="5" numFmtId="164" xfId="0" applyAlignment="1" applyBorder="1" applyFont="1" applyNumberFormat="1">
      <alignment horizontal="center" readingOrder="0"/>
    </xf>
    <xf borderId="3" fillId="14" fontId="5" numFmtId="0" xfId="0" applyAlignment="1" applyBorder="1" applyFont="1">
      <alignment horizontal="center" vertical="center"/>
    </xf>
    <xf borderId="3" fillId="14" fontId="5" numFmtId="0" xfId="0" applyAlignment="1" applyBorder="1" applyFont="1">
      <alignment horizontal="center" readingOrder="0" vertical="center"/>
    </xf>
    <xf borderId="3" fillId="14" fontId="41" numFmtId="0" xfId="0" applyAlignment="1" applyBorder="1" applyFont="1">
      <alignment horizontal="center" readingOrder="0" vertical="center"/>
    </xf>
    <xf borderId="0" fillId="24" fontId="5" numFmtId="177" xfId="0" applyAlignment="1" applyFont="1" applyNumberFormat="1">
      <alignment horizontal="left" readingOrder="0"/>
    </xf>
    <xf borderId="0" fillId="24" fontId="8" numFmtId="0" xfId="0" applyAlignment="1" applyFont="1">
      <alignment readingOrder="0" shrinkToFit="0" vertical="bottom" wrapText="0"/>
    </xf>
    <xf borderId="0" fillId="24" fontId="5" numFmtId="0" xfId="0" applyAlignment="1" applyFont="1">
      <alignment horizontal="center" readingOrder="0"/>
    </xf>
    <xf borderId="0" fillId="24" fontId="8" numFmtId="0" xfId="0" applyAlignment="1" applyFont="1">
      <alignment horizontal="center" readingOrder="0" shrinkToFit="0" vertical="bottom" wrapText="0"/>
    </xf>
    <xf borderId="0" fillId="24" fontId="8" numFmtId="0" xfId="0" applyAlignment="1" applyFont="1">
      <alignment horizontal="left" readingOrder="0" shrinkToFit="0" vertical="bottom" wrapText="0"/>
    </xf>
    <xf borderId="3" fillId="24" fontId="5" numFmtId="0" xfId="0" applyAlignment="1" applyBorder="1" applyFont="1">
      <alignment horizontal="center" vertical="center"/>
    </xf>
    <xf borderId="13" fillId="7" fontId="6" numFmtId="0" xfId="0" applyAlignment="1" applyBorder="1" applyFont="1">
      <alignment vertical="center"/>
    </xf>
    <xf borderId="3" fillId="0" fontId="5" numFmtId="177" xfId="0" applyAlignment="1" applyBorder="1" applyFont="1" applyNumberFormat="1">
      <alignment horizontal="left" readingOrder="0" shrinkToFit="0" wrapText="1"/>
    </xf>
    <xf borderId="0" fillId="25" fontId="5" numFmtId="173" xfId="0" applyAlignment="1" applyFill="1" applyFont="1" applyNumberFormat="1">
      <alignment readingOrder="0" shrinkToFit="0" wrapText="1"/>
    </xf>
    <xf borderId="0" fillId="25" fontId="5" numFmtId="0" xfId="0" applyAlignment="1" applyFont="1">
      <alignment readingOrder="0"/>
    </xf>
    <xf borderId="3" fillId="25" fontId="5" numFmtId="0" xfId="0" applyAlignment="1" applyBorder="1" applyFont="1">
      <alignment horizontal="left" readingOrder="0"/>
    </xf>
    <xf borderId="3" fillId="25" fontId="5" numFmtId="166" xfId="0" applyAlignment="1" applyBorder="1" applyFont="1" applyNumberFormat="1">
      <alignment horizontal="left" readingOrder="0"/>
    </xf>
    <xf borderId="3" fillId="25" fontId="8" numFmtId="0" xfId="0" applyAlignment="1" applyBorder="1" applyFont="1">
      <alignment readingOrder="0" shrinkToFit="0" vertical="bottom" wrapText="0"/>
    </xf>
    <xf borderId="3" fillId="25" fontId="8" numFmtId="0" xfId="0" applyAlignment="1" applyBorder="1" applyFont="1">
      <alignment horizontal="center" readingOrder="0" shrinkToFit="0" vertical="bottom" wrapText="0"/>
    </xf>
    <xf borderId="3" fillId="25" fontId="8" numFmtId="0" xfId="0" applyAlignment="1" applyBorder="1" applyFont="1">
      <alignment horizontal="left" readingOrder="0" shrinkToFit="0" vertical="bottom" wrapText="0"/>
    </xf>
    <xf borderId="3" fillId="25" fontId="5" numFmtId="0" xfId="0" applyAlignment="1" applyBorder="1" applyFont="1">
      <alignment horizontal="right" readingOrder="0"/>
    </xf>
    <xf borderId="0" fillId="26" fontId="5" numFmtId="0" xfId="0" applyAlignment="1" applyFill="1" applyFont="1">
      <alignment horizontal="left" readingOrder="0"/>
    </xf>
    <xf borderId="0" fillId="26" fontId="5" numFmtId="166" xfId="0" applyAlignment="1" applyFont="1" applyNumberFormat="1">
      <alignment horizontal="left" readingOrder="0"/>
    </xf>
    <xf borderId="0" fillId="26" fontId="8" numFmtId="0" xfId="0" applyAlignment="1" applyFont="1">
      <alignment readingOrder="0" shrinkToFit="0" vertical="bottom" wrapText="0"/>
    </xf>
    <xf borderId="0" fillId="26" fontId="8" numFmtId="0" xfId="0" applyAlignment="1" applyFont="1">
      <alignment horizontal="center" readingOrder="0" shrinkToFit="0" vertical="bottom" wrapText="0"/>
    </xf>
    <xf borderId="0" fillId="26" fontId="8" numFmtId="0" xfId="0" applyAlignment="1" applyFont="1">
      <alignment horizontal="left" readingOrder="0" shrinkToFit="0" vertical="bottom" wrapText="0"/>
    </xf>
    <xf borderId="0" fillId="26" fontId="5" numFmtId="0" xfId="0" applyAlignment="1" applyFont="1">
      <alignment horizontal="right" readingOrder="0"/>
    </xf>
    <xf borderId="3" fillId="7" fontId="8" numFmtId="168" xfId="0" applyAlignment="1" applyBorder="1" applyFont="1" applyNumberFormat="1">
      <alignment horizontal="left" readingOrder="0" shrinkToFit="0" vertical="bottom" wrapText="0"/>
    </xf>
    <xf borderId="0" fillId="25" fontId="5" numFmtId="0" xfId="0" applyAlignment="1" applyFont="1">
      <alignment horizontal="left" readingOrder="0"/>
    </xf>
    <xf borderId="0" fillId="25" fontId="5" numFmtId="166" xfId="0" applyAlignment="1" applyFont="1" applyNumberFormat="1">
      <alignment horizontal="left" readingOrder="0"/>
    </xf>
    <xf borderId="0" fillId="25" fontId="8" numFmtId="0" xfId="0" applyAlignment="1" applyFont="1">
      <alignment readingOrder="0" shrinkToFit="0" vertical="bottom" wrapText="0"/>
    </xf>
    <xf borderId="0" fillId="25" fontId="8" numFmtId="0" xfId="0" applyAlignment="1" applyFont="1">
      <alignment horizontal="center" readingOrder="0" shrinkToFit="0" vertical="bottom" wrapText="0"/>
    </xf>
    <xf borderId="0" fillId="25" fontId="5" numFmtId="0" xfId="0" applyAlignment="1" applyFont="1">
      <alignment horizontal="right" readingOrder="0"/>
    </xf>
    <xf borderId="13" fillId="7" fontId="5" numFmtId="0" xfId="0" applyAlignment="1" applyBorder="1" applyFont="1">
      <alignment readingOrder="0"/>
    </xf>
    <xf borderId="13" fillId="7" fontId="5" numFmtId="0" xfId="0" applyBorder="1" applyFont="1"/>
    <xf borderId="13" fillId="0" fontId="5" numFmtId="0" xfId="0" applyAlignment="1" applyBorder="1" applyFont="1">
      <alignment horizontal="center" readingOrder="0" vertical="center"/>
    </xf>
    <xf borderId="13" fillId="7" fontId="42" numFmtId="0" xfId="0" applyAlignment="1" applyBorder="1" applyFont="1">
      <alignment horizontal="center" vertical="center"/>
    </xf>
    <xf borderId="3" fillId="27" fontId="5" numFmtId="0" xfId="0" applyAlignment="1" applyBorder="1" applyFill="1" applyFont="1">
      <alignment horizontal="left" readingOrder="0"/>
    </xf>
    <xf borderId="3" fillId="27" fontId="5" numFmtId="166" xfId="0" applyAlignment="1" applyBorder="1" applyFont="1" applyNumberFormat="1">
      <alignment horizontal="left" readingOrder="0"/>
    </xf>
    <xf borderId="3" fillId="27" fontId="8" numFmtId="0" xfId="0" applyAlignment="1" applyBorder="1" applyFont="1">
      <alignment readingOrder="0" shrinkToFit="0" vertical="bottom" wrapText="0"/>
    </xf>
    <xf borderId="3" fillId="27" fontId="8" numFmtId="0" xfId="0" applyAlignment="1" applyBorder="1" applyFont="1">
      <alignment horizontal="center" readingOrder="0" shrinkToFit="0" vertical="bottom" wrapText="0"/>
    </xf>
    <xf borderId="3" fillId="27" fontId="8" numFmtId="0" xfId="0" applyAlignment="1" applyBorder="1" applyFont="1">
      <alignment horizontal="left" readingOrder="0" shrinkToFit="0" vertical="bottom" wrapText="0"/>
    </xf>
    <xf borderId="3" fillId="27" fontId="5" numFmtId="0" xfId="0" applyAlignment="1" applyBorder="1" applyFont="1">
      <alignment horizontal="right" readingOrder="0"/>
    </xf>
    <xf borderId="3" fillId="27" fontId="8" numFmtId="168" xfId="0" applyAlignment="1" applyBorder="1" applyFont="1" applyNumberFormat="1">
      <alignment horizontal="left" readingOrder="0" shrinkToFit="0" vertical="bottom" wrapText="0"/>
    </xf>
    <xf borderId="3" fillId="25" fontId="8" numFmtId="168" xfId="0" applyAlignment="1" applyBorder="1" applyFont="1" applyNumberFormat="1">
      <alignment horizontal="left" readingOrder="0" shrinkToFit="0" vertical="bottom" wrapText="0"/>
    </xf>
    <xf borderId="0" fillId="27" fontId="5" numFmtId="0" xfId="0" applyAlignment="1" applyFont="1">
      <alignment horizontal="left" readingOrder="0"/>
    </xf>
    <xf borderId="0" fillId="27" fontId="5" numFmtId="166" xfId="0" applyAlignment="1" applyFont="1" applyNumberFormat="1">
      <alignment horizontal="left" readingOrder="0"/>
    </xf>
    <xf borderId="15" fillId="27" fontId="8" numFmtId="0" xfId="0" applyAlignment="1" applyBorder="1" applyFont="1">
      <alignment readingOrder="0" shrinkToFit="0" vertical="bottom" wrapText="0"/>
    </xf>
    <xf borderId="15" fillId="27" fontId="8" numFmtId="0" xfId="0" applyAlignment="1" applyBorder="1" applyFont="1">
      <alignment horizontal="center" readingOrder="0" shrinkToFit="0" vertical="bottom" wrapText="0"/>
    </xf>
    <xf borderId="15" fillId="27" fontId="8" numFmtId="0" xfId="0" applyAlignment="1" applyBorder="1" applyFont="1">
      <alignment horizontal="left" readingOrder="0" shrinkToFit="0" vertical="bottom" wrapText="0"/>
    </xf>
    <xf borderId="0" fillId="27" fontId="5" numFmtId="0" xfId="0" applyAlignment="1" applyFont="1">
      <alignment horizontal="right" readingOrder="0"/>
    </xf>
    <xf borderId="3" fillId="7" fontId="8" numFmtId="168" xfId="0" applyAlignment="1" applyBorder="1" applyFont="1" applyNumberFormat="1">
      <alignment readingOrder="0" shrinkToFit="0" vertical="bottom" wrapText="0"/>
    </xf>
    <xf borderId="24" fillId="28" fontId="8" numFmtId="0" xfId="0" applyAlignment="1" applyBorder="1" applyFill="1" applyFont="1">
      <alignment horizontal="center" readingOrder="0" shrinkToFit="0" vertical="bottom" wrapText="0"/>
    </xf>
    <xf borderId="15" fillId="28" fontId="8" numFmtId="166" xfId="0" applyAlignment="1" applyBorder="1" applyFont="1" applyNumberFormat="1">
      <alignment horizontal="center" readingOrder="0" shrinkToFit="0" vertical="bottom" wrapText="0"/>
    </xf>
    <xf borderId="15" fillId="28" fontId="8" numFmtId="0" xfId="0" applyAlignment="1" applyBorder="1" applyFont="1">
      <alignment readingOrder="0" shrinkToFit="0" vertical="bottom" wrapText="0"/>
    </xf>
    <xf borderId="3" fillId="28" fontId="8" numFmtId="0" xfId="0" applyAlignment="1" applyBorder="1" applyFont="1">
      <alignment horizontal="center" readingOrder="0" shrinkToFit="0" vertical="bottom" wrapText="0"/>
    </xf>
    <xf borderId="3" fillId="28" fontId="5" numFmtId="0" xfId="0" applyAlignment="1" applyBorder="1" applyFont="1">
      <alignment horizontal="right" readingOrder="0"/>
    </xf>
    <xf borderId="3" fillId="7" fontId="8" numFmtId="173" xfId="0" applyAlignment="1" applyBorder="1" applyFont="1" applyNumberFormat="1">
      <alignment horizontal="center" readingOrder="0" shrinkToFit="0" vertical="bottom" wrapText="0"/>
    </xf>
    <xf borderId="3" fillId="7" fontId="5" numFmtId="173" xfId="0" applyAlignment="1" applyBorder="1" applyFont="1" applyNumberFormat="1">
      <alignment horizontal="left" readingOrder="0"/>
    </xf>
    <xf borderId="3" fillId="7" fontId="6" numFmtId="164" xfId="0" applyAlignment="1" applyBorder="1" applyFont="1" applyNumberFormat="1">
      <alignment horizontal="center" vertical="center"/>
    </xf>
    <xf borderId="3" fillId="7" fontId="6" numFmtId="0" xfId="0" applyAlignment="1" applyBorder="1" applyFont="1">
      <alignment horizontal="center" vertical="center"/>
    </xf>
    <xf borderId="3" fillId="7" fontId="6" numFmtId="0" xfId="0" applyAlignment="1" applyBorder="1" applyFont="1">
      <alignment vertical="center"/>
    </xf>
    <xf borderId="3" fillId="7" fontId="6" numFmtId="0" xfId="0" applyAlignment="1" applyBorder="1" applyFont="1">
      <alignment horizontal="center" vertical="center"/>
    </xf>
    <xf borderId="3" fillId="7" fontId="43" numFmtId="0" xfId="0" applyAlignment="1" applyBorder="1" applyFont="1">
      <alignment horizontal="center" vertical="center"/>
    </xf>
    <xf borderId="3" fillId="25" fontId="5" numFmtId="173" xfId="0" applyAlignment="1" applyBorder="1" applyFont="1" applyNumberFormat="1">
      <alignment horizontal="left" readingOrder="0"/>
    </xf>
    <xf borderId="3" fillId="7" fontId="8" numFmtId="166" xfId="0" applyAlignment="1" applyBorder="1" applyFont="1" applyNumberFormat="1">
      <alignment readingOrder="0" shrinkToFit="0" vertical="bottom" wrapText="0"/>
    </xf>
    <xf borderId="3" fillId="26" fontId="5" numFmtId="0" xfId="0" applyAlignment="1" applyBorder="1" applyFont="1">
      <alignment horizontal="left" readingOrder="0"/>
    </xf>
    <xf borderId="3" fillId="26" fontId="5" numFmtId="166" xfId="0" applyAlignment="1" applyBorder="1" applyFont="1" applyNumberFormat="1">
      <alignment horizontal="left" readingOrder="0"/>
    </xf>
    <xf borderId="3" fillId="26" fontId="8" numFmtId="0" xfId="0" applyAlignment="1" applyBorder="1" applyFont="1">
      <alignment readingOrder="0" shrinkToFit="0" vertical="bottom" wrapText="0"/>
    </xf>
    <xf borderId="3" fillId="26" fontId="8" numFmtId="0" xfId="0" applyAlignment="1" applyBorder="1" applyFont="1">
      <alignment horizontal="center" readingOrder="0" shrinkToFit="0" vertical="bottom" wrapText="0"/>
    </xf>
    <xf borderId="3" fillId="26" fontId="8" numFmtId="0" xfId="0" applyAlignment="1" applyBorder="1" applyFont="1">
      <alignment horizontal="left" readingOrder="0" shrinkToFit="0" vertical="bottom" wrapText="0"/>
    </xf>
    <xf borderId="3" fillId="26" fontId="5" numFmtId="0" xfId="0" applyAlignment="1" applyBorder="1" applyFont="1">
      <alignment horizontal="right" readingOrder="0"/>
    </xf>
    <xf borderId="13" fillId="7" fontId="6" numFmtId="0" xfId="0" applyAlignment="1" applyBorder="1" applyFont="1">
      <alignment horizontal="center" vertical="center"/>
    </xf>
    <xf borderId="3" fillId="29" fontId="5" numFmtId="173" xfId="0" applyAlignment="1" applyBorder="1" applyFill="1" applyFont="1" applyNumberFormat="1">
      <alignment horizontal="left" readingOrder="0"/>
    </xf>
    <xf borderId="3" fillId="29" fontId="5" numFmtId="0" xfId="0" applyAlignment="1" applyBorder="1" applyFont="1">
      <alignment horizontal="left" readingOrder="0"/>
    </xf>
    <xf borderId="3" fillId="29" fontId="8" numFmtId="0" xfId="0" applyAlignment="1" applyBorder="1" applyFont="1">
      <alignment readingOrder="0" shrinkToFit="0" vertical="bottom" wrapText="0"/>
    </xf>
    <xf borderId="3" fillId="29" fontId="8" numFmtId="172" xfId="0" applyAlignment="1" applyBorder="1" applyFont="1" applyNumberFormat="1">
      <alignment horizontal="center" readingOrder="0" shrinkToFit="0" vertical="bottom" wrapText="0"/>
    </xf>
    <xf borderId="3" fillId="29" fontId="8" numFmtId="0" xfId="0" applyAlignment="1" applyBorder="1" applyFont="1">
      <alignment horizontal="center" readingOrder="0" shrinkToFit="0" vertical="bottom" wrapText="0"/>
    </xf>
    <xf borderId="3" fillId="29" fontId="5" numFmtId="0" xfId="0" applyAlignment="1" applyBorder="1" applyFont="1">
      <alignment horizontal="right" readingOrder="0"/>
    </xf>
    <xf borderId="3" fillId="29" fontId="5" numFmtId="0" xfId="0" applyAlignment="1" applyBorder="1" applyFont="1">
      <alignment horizontal="center" readingOrder="0" vertical="center"/>
    </xf>
    <xf borderId="3" fillId="24" fontId="5" numFmtId="0" xfId="0" applyAlignment="1" applyBorder="1" applyFont="1">
      <alignment horizontal="left" readingOrder="0"/>
    </xf>
    <xf borderId="3" fillId="24" fontId="5" numFmtId="0" xfId="0" applyAlignment="1" applyBorder="1" applyFont="1">
      <alignment horizontal="center" readingOrder="0" vertical="center"/>
    </xf>
    <xf borderId="3" fillId="24" fontId="5" numFmtId="0" xfId="0" applyAlignment="1" applyBorder="1" applyFont="1">
      <alignment horizontal="center" readingOrder="0" vertical="center"/>
    </xf>
    <xf borderId="3" fillId="25" fontId="5" numFmtId="0" xfId="0" applyAlignment="1" applyBorder="1" applyFont="1">
      <alignment horizontal="center" vertical="center"/>
    </xf>
    <xf borderId="3" fillId="7" fontId="17" numFmtId="0" xfId="0" applyAlignment="1" applyBorder="1" applyFont="1">
      <alignment horizontal="left" readingOrder="0"/>
    </xf>
    <xf borderId="3" fillId="30" fontId="17" numFmtId="166" xfId="0" applyAlignment="1" applyBorder="1" applyFill="1" applyFont="1" applyNumberFormat="1">
      <alignment horizontal="left" readingOrder="0"/>
    </xf>
    <xf borderId="3" fillId="30" fontId="8" numFmtId="0" xfId="0" applyAlignment="1" applyBorder="1" applyFont="1">
      <alignment readingOrder="0" shrinkToFit="0" vertical="bottom" wrapText="0"/>
    </xf>
    <xf borderId="3" fillId="30" fontId="8" numFmtId="0" xfId="0" applyAlignment="1" applyBorder="1" applyFont="1">
      <alignment horizontal="center" readingOrder="0" shrinkToFit="0" vertical="bottom" wrapText="0"/>
    </xf>
    <xf borderId="3" fillId="30" fontId="8" numFmtId="0" xfId="0" applyAlignment="1" applyBorder="1" applyFont="1">
      <alignment horizontal="left" readingOrder="0" shrinkToFit="0" vertical="bottom" wrapText="0"/>
    </xf>
    <xf borderId="3" fillId="30" fontId="17" numFmtId="0" xfId="0" applyAlignment="1" applyBorder="1" applyFont="1">
      <alignment horizontal="right" readingOrder="0"/>
    </xf>
    <xf borderId="0" fillId="30" fontId="5" numFmtId="0" xfId="0" applyAlignment="1" applyFont="1">
      <alignment horizontal="left" readingOrder="0"/>
    </xf>
    <xf borderId="0" fillId="30" fontId="5" numFmtId="166" xfId="0" applyAlignment="1" applyFont="1" applyNumberFormat="1">
      <alignment horizontal="left" readingOrder="0"/>
    </xf>
    <xf borderId="0" fillId="30" fontId="8" numFmtId="0" xfId="0" applyAlignment="1" applyFont="1">
      <alignment readingOrder="0" shrinkToFit="0" vertical="bottom" wrapText="0"/>
    </xf>
    <xf borderId="0" fillId="30" fontId="8" numFmtId="0" xfId="0" applyAlignment="1" applyFont="1">
      <alignment horizontal="center" readingOrder="0" shrinkToFit="0" vertical="bottom" wrapText="0"/>
    </xf>
    <xf borderId="0" fillId="30" fontId="8" numFmtId="0" xfId="0" applyAlignment="1" applyFont="1">
      <alignment horizontal="left" readingOrder="0" shrinkToFit="0" vertical="bottom" wrapText="0"/>
    </xf>
    <xf borderId="0" fillId="30" fontId="5" numFmtId="0" xfId="0" applyAlignment="1" applyFont="1">
      <alignment horizontal="right" readingOrder="0"/>
    </xf>
    <xf borderId="3" fillId="27" fontId="5" numFmtId="166" xfId="0" applyAlignment="1" applyBorder="1" applyFont="1" applyNumberFormat="1">
      <alignment horizontal="right" readingOrder="0"/>
    </xf>
    <xf borderId="3" fillId="27" fontId="8" numFmtId="168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v_aydub7K0KifeKmld1DnYdMPCThpKZ/view?usp=sharing" TargetMode="External"/><Relationship Id="rId2" Type="http://schemas.openxmlformats.org/officeDocument/2006/relationships/hyperlink" Target="https://drive.google.com/file/d/1cLefKEPx2h2FVCrHjJE-ZZoTvoEZeDue/view?usp=sharing" TargetMode="External"/><Relationship Id="rId3" Type="http://schemas.openxmlformats.org/officeDocument/2006/relationships/hyperlink" Target="https://drive.google.com/file/d/1BJlagjYL2G_Kl3T7-yJnWEDPwWDOmVi3/view?usp=sharing" TargetMode="External"/><Relationship Id="rId4" Type="http://schemas.openxmlformats.org/officeDocument/2006/relationships/hyperlink" Target="https://drive.google.com/file/d/1XglZraGhnAwogw-RCkbzU6Pg42Ue0mci/view?usp=sharing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rive.google.com/file/d/1cg5smGIxtb0oEXMBij4jke2m4HFG-f6u/view?usp=sharing" TargetMode="External"/><Relationship Id="rId6" Type="http://schemas.openxmlformats.org/officeDocument/2006/relationships/hyperlink" Target="https://drive.google.com/file/d/15IctmNbR5NjfEZqV3KROpt2OczZhl1Vf/view?usp=sharing" TargetMode="External"/><Relationship Id="rId7" Type="http://schemas.openxmlformats.org/officeDocument/2006/relationships/hyperlink" Target="https://drive.google.com/file/d/1P8srNUywAr4Mjev3aETKE9v8BJvd713p/view?usp=sharing" TargetMode="External"/><Relationship Id="rId8" Type="http://schemas.openxmlformats.org/officeDocument/2006/relationships/hyperlink" Target="https://drive.google.com/file/d/18v8CCRIjq8tD5oNeCgwNPShNgdZfVZz4/view?usp=sharing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UEW9QanR36Klb7H0gCxQReOO96ZCACSi/view?usp=sharing" TargetMode="External"/><Relationship Id="rId194" Type="http://schemas.openxmlformats.org/officeDocument/2006/relationships/hyperlink" Target="https://drive.google.com/file/d/1AZcoK-nBegbqnJWAwXqY9ztOBi0zXY0J/view?usp=sharing" TargetMode="External"/><Relationship Id="rId193" Type="http://schemas.openxmlformats.org/officeDocument/2006/relationships/hyperlink" Target="https://drive.google.com/file/d/1gqvZy3omwkSlmDRjursVUzZHpp2urV9h/view?usp=sharing" TargetMode="External"/><Relationship Id="rId192" Type="http://schemas.openxmlformats.org/officeDocument/2006/relationships/hyperlink" Target="https://drive.google.com/file/d/1QcDOgAn6jOKAVVm9jkOH1V5nH9fFXlLN/view?usp=sharing" TargetMode="External"/><Relationship Id="rId191" Type="http://schemas.openxmlformats.org/officeDocument/2006/relationships/hyperlink" Target="https://drive.google.com/file/d/1KPVvZjv74iXN5z5VH2EWDk6tXsoLekqH/view?usp=sharing" TargetMode="External"/><Relationship Id="rId187" Type="http://schemas.openxmlformats.org/officeDocument/2006/relationships/hyperlink" Target="https://drive.google.com/file/d/1s_SxoFxKSB_iKzz_7hBl5eRo8MwNftgc/view?usp=sharing" TargetMode="External"/><Relationship Id="rId186" Type="http://schemas.openxmlformats.org/officeDocument/2006/relationships/hyperlink" Target="https://drive.google.com/file/d/1pf48dBM4QQDLnQrP19QiEMAYiMpd7zr_/view?usp=sharing" TargetMode="External"/><Relationship Id="rId185" Type="http://schemas.openxmlformats.org/officeDocument/2006/relationships/hyperlink" Target="https://drive.google.com/file/d/1KEGqjufKpI8HQOfPWojbL5dXxfYsVpKz/view?usp=sharing" TargetMode="External"/><Relationship Id="rId184" Type="http://schemas.openxmlformats.org/officeDocument/2006/relationships/hyperlink" Target="https://drive.google.com/file/d/1iPgJ4zFdYeHORqvcutXOJxHCkUCh2SX6/view?usp=sharing" TargetMode="External"/><Relationship Id="rId189" Type="http://schemas.openxmlformats.org/officeDocument/2006/relationships/hyperlink" Target="https://drive.google.com/file/d/1Ua8z05aCvGYXqTW_O38_vPNp-ioBE5wX/view?usp=sharing" TargetMode="External"/><Relationship Id="rId188" Type="http://schemas.openxmlformats.org/officeDocument/2006/relationships/hyperlink" Target="https://drive.google.com/file/d/12o4z40undAwV04zXHVExi4CXQkZ8Jx-b/view?usp=sharing" TargetMode="External"/><Relationship Id="rId183" Type="http://schemas.openxmlformats.org/officeDocument/2006/relationships/hyperlink" Target="https://drive.google.com/file/d/16lY4FnUCCOeX4pOezTn9TBXfwgSVlR_s/view?usp=sharing" TargetMode="External"/><Relationship Id="rId182" Type="http://schemas.openxmlformats.org/officeDocument/2006/relationships/hyperlink" Target="https://drive.google.com/file/d/1RJDRGhxuopIh_vqfSsrjDZRG0LKg0WER/view?usp=sharing" TargetMode="External"/><Relationship Id="rId181" Type="http://schemas.openxmlformats.org/officeDocument/2006/relationships/hyperlink" Target="https://drive.google.com/file/d/1QFoxzdzYZiBIV_y4Xt-mhdVRw_z2aywU/view?usp=sharing" TargetMode="External"/><Relationship Id="rId180" Type="http://schemas.openxmlformats.org/officeDocument/2006/relationships/hyperlink" Target="https://drive.google.com/file/d/1wR1Wl-hCby3PHPHTapWKEHX5vNEHUsXv/view?usp=sharing" TargetMode="External"/><Relationship Id="rId176" Type="http://schemas.openxmlformats.org/officeDocument/2006/relationships/hyperlink" Target="https://drive.google.com/file/d/1cbl-EHAGAZLEzZS5G6Cwib_aOa8w6Vk2/view?usp=sharing" TargetMode="External"/><Relationship Id="rId175" Type="http://schemas.openxmlformats.org/officeDocument/2006/relationships/hyperlink" Target="https://drive.google.com/file/d/1YTSjv2G3PdnChrXWvCuLc-KM3hApt5tr/view?usp=sharing" TargetMode="External"/><Relationship Id="rId174" Type="http://schemas.openxmlformats.org/officeDocument/2006/relationships/hyperlink" Target="https://drive.google.com/file/d/1MQ7e3WZEiV1fyB74CalMf1PO7ROnsQGs/view?usp=sharing" TargetMode="External"/><Relationship Id="rId173" Type="http://schemas.openxmlformats.org/officeDocument/2006/relationships/hyperlink" Target="https://drive.google.com/file/d/1vxYLHBkk30D_ksuCtPdveSVtPjAo55Su/view?usp=sharing" TargetMode="External"/><Relationship Id="rId179" Type="http://schemas.openxmlformats.org/officeDocument/2006/relationships/hyperlink" Target="https://drive.google.com/file/d/18Im0XrhAFnzEcqvg5alI6iuajjfoQXka/view?usp=sharing" TargetMode="External"/><Relationship Id="rId178" Type="http://schemas.openxmlformats.org/officeDocument/2006/relationships/hyperlink" Target="https://drive.google.com/file/d/10KIs34cDVUEOpP0j_h9RLvr8bhWlz7Hi/view?usp=sharing" TargetMode="External"/><Relationship Id="rId177" Type="http://schemas.openxmlformats.org/officeDocument/2006/relationships/hyperlink" Target="https://drive.google.com/file/d/1wCDrBu_uxnZXJY6p1n_REB-8_dFBhT8x/view?usp=sharing" TargetMode="External"/><Relationship Id="rId198" Type="http://schemas.openxmlformats.org/officeDocument/2006/relationships/hyperlink" Target="https://drive.google.com/file/d/1WAfObq8M2cI55YqmVVmjfUZqai7qC6I4/view?usp=sharing" TargetMode="External"/><Relationship Id="rId197" Type="http://schemas.openxmlformats.org/officeDocument/2006/relationships/hyperlink" Target="https://drive.google.com/file/d/1SGLJ43NRvJ8TK48mnvFGwj9xUwL6_hiR/view?usp=sharing" TargetMode="External"/><Relationship Id="rId196" Type="http://schemas.openxmlformats.org/officeDocument/2006/relationships/hyperlink" Target="https://drive.google.com/file/d/1GPeJRy2rLQyqdv9OyCyhLYbpjLLveT72/view?usp=sharing" TargetMode="External"/><Relationship Id="rId195" Type="http://schemas.openxmlformats.org/officeDocument/2006/relationships/hyperlink" Target="https://drive.google.com/file/d/1Su6BXYbyX5slFS9K1lHeTEi3mPZ7j8AM/view?usp=sharing" TargetMode="External"/><Relationship Id="rId199" Type="http://schemas.openxmlformats.org/officeDocument/2006/relationships/hyperlink" Target="https://drive.google.com/file/d/17gLPJAgPnzefh79HfC12XdhmdbRvgNCT/view?usp=sharing" TargetMode="External"/><Relationship Id="rId150" Type="http://schemas.openxmlformats.org/officeDocument/2006/relationships/hyperlink" Target="https://drive.google.com/file/d/1G7B9GNUEDLvLvs05wML8okc0YqImWghB/view?usp=sharing" TargetMode="External"/><Relationship Id="rId392" Type="http://schemas.openxmlformats.org/officeDocument/2006/relationships/hyperlink" Target="https://drive.google.com/file/d/15C4awaVCvTAGu3fG9g1E_BsnGxGCkqaT/view?usp=sharing" TargetMode="External"/><Relationship Id="rId391" Type="http://schemas.openxmlformats.org/officeDocument/2006/relationships/hyperlink" Target="https://drive.google.com/file/d/1zsDcwjMS-l3LOkk1WDNLqExQErt_X7cI/view?usp=sharing" TargetMode="External"/><Relationship Id="rId390" Type="http://schemas.openxmlformats.org/officeDocument/2006/relationships/hyperlink" Target="https://drive.google.com/file/d/10jdkvrJ8BbfQOeBFEmHwdkxtqeM5xVui/view?usp=sharing" TargetMode="External"/><Relationship Id="rId1" Type="http://schemas.openxmlformats.org/officeDocument/2006/relationships/hyperlink" Target="https://drive.google.com/file/d/1Lm0jopOZ0usdqr6I3KTOQtTErYKXgQin/view?usp=sharing" TargetMode="External"/><Relationship Id="rId2" Type="http://schemas.openxmlformats.org/officeDocument/2006/relationships/hyperlink" Target="https://drive.google.com/file/d/1impuMJLkt_-3Z4j21lx41qKdPcGuoUhJ/view?usp=sharing" TargetMode="External"/><Relationship Id="rId3" Type="http://schemas.openxmlformats.org/officeDocument/2006/relationships/hyperlink" Target="https://drive.google.com/file/d/1x3wd1-tggX5x4s812VwfmEgamY5T-qIt/view?usp=sharing" TargetMode="External"/><Relationship Id="rId149" Type="http://schemas.openxmlformats.org/officeDocument/2006/relationships/hyperlink" Target="https://drive.google.com/file/d/1qg_9ecqq0mDaV-FQeRSMCcgGl9oLNmKG/view?usp=sharing" TargetMode="External"/><Relationship Id="rId4" Type="http://schemas.openxmlformats.org/officeDocument/2006/relationships/hyperlink" Target="https://drive.google.com/file/d/1_imHA5qL60lydeTH3sA6uZTRZ_jhTw3X/view?usp=sharing" TargetMode="External"/><Relationship Id="rId148" Type="http://schemas.openxmlformats.org/officeDocument/2006/relationships/hyperlink" Target="https://drive.google.com/file/d/1ObE9qa3edk1buLEb_X98HrGNBoioN02C/view?usp=sharing" TargetMode="External"/><Relationship Id="rId9" Type="http://schemas.openxmlformats.org/officeDocument/2006/relationships/hyperlink" Target="https://drive.google.com/file/d/1915s-RgNkU_l6GWHi9NrxJ9fSVwyQ4i6/view?usp=sharing" TargetMode="External"/><Relationship Id="rId143" Type="http://schemas.openxmlformats.org/officeDocument/2006/relationships/hyperlink" Target="https://drive.google.com/file/d/1F76yMeR3IUB6XZm_Sr5W3AY-A6KGz8nt/view?usp=sharing" TargetMode="External"/><Relationship Id="rId385" Type="http://schemas.openxmlformats.org/officeDocument/2006/relationships/hyperlink" Target="https://drive.google.com/file/d/1LJ-WLLc2qLAGUNJKzTjr_qgxeenIpGKT/view?usp=sharing" TargetMode="External"/><Relationship Id="rId142" Type="http://schemas.openxmlformats.org/officeDocument/2006/relationships/hyperlink" Target="https://drive.google.com/file/d/1MELPMZAhciRf04hr2tIVRdG9ycvppQay/view?usp=sharing" TargetMode="External"/><Relationship Id="rId384" Type="http://schemas.openxmlformats.org/officeDocument/2006/relationships/hyperlink" Target="https://drive.google.com/file/d/1iZAX9tgeVqDIQF8KfKwfwIQtAQHBm27W/view?usp=sharing" TargetMode="External"/><Relationship Id="rId141" Type="http://schemas.openxmlformats.org/officeDocument/2006/relationships/hyperlink" Target="https://drive.google.com/file/d/152mpt4yf2vdC_ALpeAMkFWM3cAEFJxKg/view?usp=sharing" TargetMode="External"/><Relationship Id="rId383" Type="http://schemas.openxmlformats.org/officeDocument/2006/relationships/hyperlink" Target="https://drive.google.com/file/d/11xcppB_E_Lu3B29OWX0LHd_rHGdNzozf/view?usp=sharing" TargetMode="External"/><Relationship Id="rId140" Type="http://schemas.openxmlformats.org/officeDocument/2006/relationships/hyperlink" Target="https://drive.google.com/file/d/1-uV2D2Dgp3dSe-ExuNXA2sQmEyfkzmMW/view?usp=sharing" TargetMode="External"/><Relationship Id="rId382" Type="http://schemas.openxmlformats.org/officeDocument/2006/relationships/hyperlink" Target="https://drive.google.com/file/d/14fDfoY9X3PokndGFZBKfE_B4_g5cAg9D/view?usp=sharing" TargetMode="External"/><Relationship Id="rId5" Type="http://schemas.openxmlformats.org/officeDocument/2006/relationships/hyperlink" Target="https://drive.google.com/file/d/1CcHwa-m2MdWYnxgYxClaDNDGyS_1EMAd/view?usp=sharing" TargetMode="External"/><Relationship Id="rId147" Type="http://schemas.openxmlformats.org/officeDocument/2006/relationships/hyperlink" Target="https://drive.google.com/file/d/15CQ7DTSVotKXs0ImL5gcYewvY7USEzIj/view?usp=sharing" TargetMode="External"/><Relationship Id="rId389" Type="http://schemas.openxmlformats.org/officeDocument/2006/relationships/hyperlink" Target="https://drive.google.com/file/d/1JuYpKfeLzeuQbUW6h0o25Irji9wmoSsw/view?usp=sharing" TargetMode="External"/><Relationship Id="rId6" Type="http://schemas.openxmlformats.org/officeDocument/2006/relationships/hyperlink" Target="https://drive.google.com/file/d/16OGBuYaN6GbCGdhPoZ6H9cxMBXFBg25P/view?usp=sharing" TargetMode="External"/><Relationship Id="rId146" Type="http://schemas.openxmlformats.org/officeDocument/2006/relationships/hyperlink" Target="https://drive.google.com/file/d/1JYtH48u-p_5MlHENiKRd3FYTXxTwH4QK/view?usp=sharing" TargetMode="External"/><Relationship Id="rId388" Type="http://schemas.openxmlformats.org/officeDocument/2006/relationships/hyperlink" Target="https://drive.google.com/file/d/1hxQmwySYI6UhsZR4Ig5oDY7bMSIVy8Hh/view?usp=sharing" TargetMode="External"/><Relationship Id="rId7" Type="http://schemas.openxmlformats.org/officeDocument/2006/relationships/hyperlink" Target="https://drive.google.com/file/d/1C_3zoxDSjulXE6d3Ejix8p7M1LJxFdhV/view?usp=sharing" TargetMode="External"/><Relationship Id="rId145" Type="http://schemas.openxmlformats.org/officeDocument/2006/relationships/hyperlink" Target="https://drive.google.com/file/d/1TyEUq0A7f38uON96iFketsb3ZE6Our4t/view?usp=sharing" TargetMode="External"/><Relationship Id="rId387" Type="http://schemas.openxmlformats.org/officeDocument/2006/relationships/hyperlink" Target="https://drive.google.com/file/d/1_PKI-C1s3Kd6hZRBkj30OS8rKGvT-DEv/view?usp=sharing" TargetMode="External"/><Relationship Id="rId8" Type="http://schemas.openxmlformats.org/officeDocument/2006/relationships/hyperlink" Target="https://drive.google.com/file/d/1PvGMifGVcgecretXXEAyJjJepPsnAXkj/view?usp=sharing" TargetMode="External"/><Relationship Id="rId144" Type="http://schemas.openxmlformats.org/officeDocument/2006/relationships/hyperlink" Target="https://drive.google.com/file/d/1QmFLcU6XJb-iSy5MbTX51_EdOfg7LQ2x/view?usp=sharing" TargetMode="External"/><Relationship Id="rId386" Type="http://schemas.openxmlformats.org/officeDocument/2006/relationships/hyperlink" Target="https://drive.google.com/file/d/1QYNGXrj8WJ9kTw-RRL08PRwgk5uwMYQe/view?usp=sharing" TargetMode="External"/><Relationship Id="rId381" Type="http://schemas.openxmlformats.org/officeDocument/2006/relationships/hyperlink" Target="https://drive.google.com/file/d/1gKo8QEJO7hRdaNbLDIjjNOGE1z7r3nNm/view?usp=sharing" TargetMode="External"/><Relationship Id="rId380" Type="http://schemas.openxmlformats.org/officeDocument/2006/relationships/hyperlink" Target="https://drive.google.com/file/d/1pv6s396xqEeJDFqS_PI6g75RvLgCx-vu/view?usp=sharing" TargetMode="External"/><Relationship Id="rId139" Type="http://schemas.openxmlformats.org/officeDocument/2006/relationships/hyperlink" Target="https://drive.google.com/file/d/1EP8B_yMqKztgfs3DE4Vr9LtVMTBo2Pq5/view?usp=sharing" TargetMode="External"/><Relationship Id="rId138" Type="http://schemas.openxmlformats.org/officeDocument/2006/relationships/hyperlink" Target="https://drive.google.com/file/d/1hduvaCKzQRBQq5LIHf698Rp3zKZXQ-u1/view?usp=sharing" TargetMode="External"/><Relationship Id="rId137" Type="http://schemas.openxmlformats.org/officeDocument/2006/relationships/hyperlink" Target="https://drive.google.com/file/d/13EEVE4lus6aeHv3ZveYmycxpC4qAi1Th/view?usp=sharing" TargetMode="External"/><Relationship Id="rId379" Type="http://schemas.openxmlformats.org/officeDocument/2006/relationships/hyperlink" Target="https://drive.google.com/file/d/152XXnasK6bxbAbp9AniJvgWQDI5WcEfa/view?usp=sharing" TargetMode="External"/><Relationship Id="rId132" Type="http://schemas.openxmlformats.org/officeDocument/2006/relationships/hyperlink" Target="https://drive.google.com/file/d/1mxGBlgDRSIwbI2YGPCV_NXaXADNubJY_/view?usp=sharing" TargetMode="External"/><Relationship Id="rId374" Type="http://schemas.openxmlformats.org/officeDocument/2006/relationships/hyperlink" Target="https://drive.google.com/file/d/184QTa6tfpDcR44t90xx5ETGcB3vSUllJ/view?usp=sharing" TargetMode="External"/><Relationship Id="rId131" Type="http://schemas.openxmlformats.org/officeDocument/2006/relationships/hyperlink" Target="https://drive.google.com/file/d/1tXoHTHM_iiOvHPPc6uXahHehuhig7q72/view?usp=sharing" TargetMode="External"/><Relationship Id="rId373" Type="http://schemas.openxmlformats.org/officeDocument/2006/relationships/hyperlink" Target="https://drive.google.com/file/d/1x8Pm1a_gFwi6aF9F_pRLXbd1kH57pjqa/view?usp=sharing" TargetMode="External"/><Relationship Id="rId130" Type="http://schemas.openxmlformats.org/officeDocument/2006/relationships/hyperlink" Target="https://drive.google.com/file/d/1-aIwLxw6qsva7YMCbMYv6E8M_gO5ap0R/view?usp=sharing" TargetMode="External"/><Relationship Id="rId372" Type="http://schemas.openxmlformats.org/officeDocument/2006/relationships/hyperlink" Target="https://drive.google.com/file/d/1QG1-1y2nARr4U31hBxlJOJXDopEuhbhb/view?usp=sharing" TargetMode="External"/><Relationship Id="rId371" Type="http://schemas.openxmlformats.org/officeDocument/2006/relationships/hyperlink" Target="https://drive.google.com/file/d/1mo5XtnfXW9Oc41PsBIKX3Wj5UNdZnh5v/view?usp=sharing" TargetMode="External"/><Relationship Id="rId136" Type="http://schemas.openxmlformats.org/officeDocument/2006/relationships/hyperlink" Target="https://drive.google.com/file/d/1U4GE0Iq-JXyVlCIGY48ZMBCJISIrbW9R/view?usp=sharing" TargetMode="External"/><Relationship Id="rId378" Type="http://schemas.openxmlformats.org/officeDocument/2006/relationships/hyperlink" Target="https://drive.google.com/file/d/1byHMWW9RKmHWQPdNZlEWHz8JawQvK-iA/view?usp=sharing" TargetMode="External"/><Relationship Id="rId135" Type="http://schemas.openxmlformats.org/officeDocument/2006/relationships/hyperlink" Target="https://drive.google.com/file/d/1M-K7OWfP3Uy3WqO7r6jZM8SZ-DvFWwjB/view?usp=sharing" TargetMode="External"/><Relationship Id="rId377" Type="http://schemas.openxmlformats.org/officeDocument/2006/relationships/hyperlink" Target="https://drive.google.com/file/d/1uilQRkMgXP6bZP8XdziQKQnhl_oFKtcs/view?usp=sharing" TargetMode="External"/><Relationship Id="rId134" Type="http://schemas.openxmlformats.org/officeDocument/2006/relationships/hyperlink" Target="https://drive.google.com/file/d/1q27uTQWayzN2xO71qULmTI-XBDJTvDvx/view?usp=sharing" TargetMode="External"/><Relationship Id="rId376" Type="http://schemas.openxmlformats.org/officeDocument/2006/relationships/hyperlink" Target="https://drive.google.com/file/d/1bfx-hHf4iaHL3DQUiseP_JHYyVGCf7Y8/view?usp=sharing" TargetMode="External"/><Relationship Id="rId133" Type="http://schemas.openxmlformats.org/officeDocument/2006/relationships/hyperlink" Target="https://drive.google.com/file/d/1ofIO_jNU9dym5EdbSqb0v4oC5fnd8IM4/view?usp=sharing" TargetMode="External"/><Relationship Id="rId375" Type="http://schemas.openxmlformats.org/officeDocument/2006/relationships/hyperlink" Target="https://drive.google.com/file/d/1Hhtrm2R_pooFou4guIW_Uk55YTiTEQ7f/view?usp=sharing" TargetMode="External"/><Relationship Id="rId172" Type="http://schemas.openxmlformats.org/officeDocument/2006/relationships/hyperlink" Target="https://drive.google.com/file/d/1_OpSxD6enHJvjjzC9wVN6H1YNpHsW6Q5/view?usp=sharing" TargetMode="External"/><Relationship Id="rId171" Type="http://schemas.openxmlformats.org/officeDocument/2006/relationships/hyperlink" Target="https://drive.google.com/file/d/1xB6D6k8WQHTQ-CZOW7HgisJFI6EMMlLG/view?usp=sharing" TargetMode="External"/><Relationship Id="rId170" Type="http://schemas.openxmlformats.org/officeDocument/2006/relationships/hyperlink" Target="https://drive.google.com/file/d/1jviTqzcPKAp1t2n0mKe45vvp2GrgHmLV/view?usp=sharing" TargetMode="External"/><Relationship Id="rId165" Type="http://schemas.openxmlformats.org/officeDocument/2006/relationships/hyperlink" Target="https://drive.google.com/file/d/1VJHSQvBgAeLNZQZxlJeir1RXVWjbHi_H/view?usp=sharing" TargetMode="External"/><Relationship Id="rId164" Type="http://schemas.openxmlformats.org/officeDocument/2006/relationships/hyperlink" Target="https://drive.google.com/file/d/1oLBYr41hlhjcCWnTB5oCywOQe64tDU4C/view?usp=sharing" TargetMode="External"/><Relationship Id="rId163" Type="http://schemas.openxmlformats.org/officeDocument/2006/relationships/hyperlink" Target="https://drive.google.com/file/d/1WaG_aNLU7-l1PbSoj03d5t9KbbQ9ABSO/view?usp=sharing" TargetMode="External"/><Relationship Id="rId162" Type="http://schemas.openxmlformats.org/officeDocument/2006/relationships/hyperlink" Target="https://drive.google.com/file/d/17xGB-6z-VI2eSuJPNYpqqj81u-PGmGGT/view?usp=sharing" TargetMode="External"/><Relationship Id="rId169" Type="http://schemas.openxmlformats.org/officeDocument/2006/relationships/hyperlink" Target="https://drive.google.com/file/d/1p3eh5CDAw9W9dIXvQy9-ps6OfOLHhFxT/view?usp=sharing" TargetMode="External"/><Relationship Id="rId168" Type="http://schemas.openxmlformats.org/officeDocument/2006/relationships/hyperlink" Target="https://drive.google.com/file/d/1fmqAtqfN61wuXdshC1fOC0CmX2M_LW2s/view?usp=sharing" TargetMode="External"/><Relationship Id="rId167" Type="http://schemas.openxmlformats.org/officeDocument/2006/relationships/hyperlink" Target="https://drive.google.com/file/d/13mFbOvGZZ-PiKujaalGRpkbIVIy84zgJ/view?usp=sharing" TargetMode="External"/><Relationship Id="rId166" Type="http://schemas.openxmlformats.org/officeDocument/2006/relationships/hyperlink" Target="https://drive.google.com/file/d/187Wk4pIgqKaRrDkveCP3AcpVO3U_2uX1/view?usp=sharing" TargetMode="External"/><Relationship Id="rId161" Type="http://schemas.openxmlformats.org/officeDocument/2006/relationships/hyperlink" Target="https://drive.google.com/file/d/1zWl-zkwr4zUBRxuw9dTNfQAP9EB4k23d/view?usp=sharing" TargetMode="External"/><Relationship Id="rId160" Type="http://schemas.openxmlformats.org/officeDocument/2006/relationships/hyperlink" Target="https://drive.google.com/file/d/1DK2rIlum1qHMalDqTnkw4_EJjL5HFE2H/view?usp=sharing" TargetMode="External"/><Relationship Id="rId159" Type="http://schemas.openxmlformats.org/officeDocument/2006/relationships/hyperlink" Target="https://drive.google.com/file/d/1egwzWB-O75_g68mHqvn3Xppk1OtnD_Eb/view?usp=sharing" TargetMode="External"/><Relationship Id="rId154" Type="http://schemas.openxmlformats.org/officeDocument/2006/relationships/hyperlink" Target="https://drive.google.com/file/d/1BcwHibJ3gfbPN5j1NBcHJjlklqddlTby/view?usp=sharing" TargetMode="External"/><Relationship Id="rId396" Type="http://schemas.openxmlformats.org/officeDocument/2006/relationships/hyperlink" Target="https://drive.google.com/file/d/1AnJL35hnEMlsd6EFPA8bphFA1llBvOX1/view?usp=sharing" TargetMode="External"/><Relationship Id="rId153" Type="http://schemas.openxmlformats.org/officeDocument/2006/relationships/hyperlink" Target="https://drive.google.com/file/d/1bto5P_zFLaxAeoMe4KIeFZNp9JzOQhLS/view?usp=sharing" TargetMode="External"/><Relationship Id="rId395" Type="http://schemas.openxmlformats.org/officeDocument/2006/relationships/hyperlink" Target="https://drive.google.com/file/d/1SZXj4zVuQ_SbkweZ54LLNfCEQt5LPNxK/view?usp=sharing" TargetMode="External"/><Relationship Id="rId152" Type="http://schemas.openxmlformats.org/officeDocument/2006/relationships/hyperlink" Target="https://drive.google.com/file/d/1L4M7y_GSyUVK541ufFNE3NgAA8ZIeYCp/view?usp=sharing" TargetMode="External"/><Relationship Id="rId394" Type="http://schemas.openxmlformats.org/officeDocument/2006/relationships/hyperlink" Target="https://drive.google.com/file/d/1zHazl8UeqavDjAdvq4ef0E4BtCo-C0Tg/view?usp=sharing" TargetMode="External"/><Relationship Id="rId151" Type="http://schemas.openxmlformats.org/officeDocument/2006/relationships/hyperlink" Target="https://drive.google.com/file/d/189pQYxnrpipJo50bUWZcKHfu66CvldxL/view?usp=sharing" TargetMode="External"/><Relationship Id="rId393" Type="http://schemas.openxmlformats.org/officeDocument/2006/relationships/hyperlink" Target="https://drive.google.com/file/d/154o1GEsrkovwS7lFK0flppuKByKgm3PX/view?usp=sharing" TargetMode="External"/><Relationship Id="rId158" Type="http://schemas.openxmlformats.org/officeDocument/2006/relationships/hyperlink" Target="https://drive.google.com/file/d/1XzN0JkFbtJX6qCTc4vUUFgZHV85v-y2b/view?usp=sharing" TargetMode="External"/><Relationship Id="rId157" Type="http://schemas.openxmlformats.org/officeDocument/2006/relationships/hyperlink" Target="https://drive.google.com/file/d/1jbmgRRU27IepOLzlVEe31RqE_ZXucq6p/view?usp=sharing" TargetMode="External"/><Relationship Id="rId399" Type="http://schemas.openxmlformats.org/officeDocument/2006/relationships/hyperlink" Target="https://drive.google.com/file/d/1NBiv-kfgZdFx9MfsfMj10tilbeF_D7Tc/view?usp=sharing" TargetMode="External"/><Relationship Id="rId156" Type="http://schemas.openxmlformats.org/officeDocument/2006/relationships/hyperlink" Target="https://drive.google.com/file/d/1hQqAwEtxFiZK9KbycDndWQdIpZZUtK4t/view?usp=sharing" TargetMode="External"/><Relationship Id="rId398" Type="http://schemas.openxmlformats.org/officeDocument/2006/relationships/hyperlink" Target="https://drive.google.com/file/d/1zhH3RwaxhYZvyknFMDzmGiEqAGhHOY05/view?usp=sharing" TargetMode="External"/><Relationship Id="rId155" Type="http://schemas.openxmlformats.org/officeDocument/2006/relationships/hyperlink" Target="https://drive.google.com/file/d/1roUfS6NtFuoXCM1V23qm0aNy7WGHqWsB/view?usp=sharing" TargetMode="External"/><Relationship Id="rId397" Type="http://schemas.openxmlformats.org/officeDocument/2006/relationships/hyperlink" Target="https://drive.google.com/file/d/1gOCPmmXXbUAcWnrsFZO2Vv1X0nOkANDh/view?usp=sharing" TargetMode="External"/><Relationship Id="rId800" Type="http://schemas.openxmlformats.org/officeDocument/2006/relationships/drawing" Target="../drawings/drawing3.xml"/><Relationship Id="rId40" Type="http://schemas.openxmlformats.org/officeDocument/2006/relationships/hyperlink" Target="https://drive.google.com/file/d/1f7tdnI2cmRd7olHLkm_0uQg1nsVaMmqg/view?usp=sharing" TargetMode="External"/><Relationship Id="rId42" Type="http://schemas.openxmlformats.org/officeDocument/2006/relationships/hyperlink" Target="https://drive.google.com/file/d/1WdPjXyOYVbvP2QV_qvgvSX-Mu8aRdna0/view?usp=sharing" TargetMode="External"/><Relationship Id="rId41" Type="http://schemas.openxmlformats.org/officeDocument/2006/relationships/hyperlink" Target="https://drive.google.com/file/d/1ctQOtWUwLTOZblz4b-9hr4c2_EMaQXmt/view?usp=sharing" TargetMode="External"/><Relationship Id="rId44" Type="http://schemas.openxmlformats.org/officeDocument/2006/relationships/hyperlink" Target="https://drive.google.com/file/d/1IpPo6NtCXYFSPcMkc90Ol6sZK1jEs6ht/view?usp=sharing" TargetMode="External"/><Relationship Id="rId43" Type="http://schemas.openxmlformats.org/officeDocument/2006/relationships/hyperlink" Target="https://drive.google.com/file/d/1iAFd4NfD-rAup6vVXDnj0Mo3alnAVCtK/view?usp=sharing" TargetMode="External"/><Relationship Id="rId46" Type="http://schemas.openxmlformats.org/officeDocument/2006/relationships/hyperlink" Target="https://drive.google.com/file/d/1gGFb40v51TjvlmndqF9D6_qoV9G2SDn6/view?usp=sharing" TargetMode="External"/><Relationship Id="rId45" Type="http://schemas.openxmlformats.org/officeDocument/2006/relationships/hyperlink" Target="https://drive.google.com/file/d/1e4_eXm-JQVuqkt6gkkLu9R2-IN1u4rjV/view?usp=sharing" TargetMode="External"/><Relationship Id="rId509" Type="http://schemas.openxmlformats.org/officeDocument/2006/relationships/hyperlink" Target="https://drive.google.com/file/d/1Rx9Q1zxnTYDbxPSZSY-CYr3KZhmdr4Hy/view?usp=sharing" TargetMode="External"/><Relationship Id="rId508" Type="http://schemas.openxmlformats.org/officeDocument/2006/relationships/hyperlink" Target="https://drive.google.com/file/d/1hClLnLjq2yZ_4SUzKxlgjL5AoUOidF3_/view?usp=sharing" TargetMode="External"/><Relationship Id="rId503" Type="http://schemas.openxmlformats.org/officeDocument/2006/relationships/hyperlink" Target="https://drive.google.com/file/d/1Cp1JtkG0TqBsyL2Pj_EtSBdzVgSbG_Ie/view?usp=sharing" TargetMode="External"/><Relationship Id="rId745" Type="http://schemas.openxmlformats.org/officeDocument/2006/relationships/hyperlink" Target="https://drive.google.com/file/d/104mWBxs70g8ktNCYFtvDzG57eaGBWQor/view?usp=sharing" TargetMode="External"/><Relationship Id="rId502" Type="http://schemas.openxmlformats.org/officeDocument/2006/relationships/hyperlink" Target="https://drive.google.com/file/d/13Y5plWe4oAmuan0JiKgqE4QI96gBsf5P/view?usp=sharing" TargetMode="External"/><Relationship Id="rId744" Type="http://schemas.openxmlformats.org/officeDocument/2006/relationships/hyperlink" Target="https://drive.google.com/file/d/1jG4lJm318fnWWH0uYMnTuD_uTmkywy8c/view?usp=sharing" TargetMode="External"/><Relationship Id="rId501" Type="http://schemas.openxmlformats.org/officeDocument/2006/relationships/hyperlink" Target="https://drive.google.com/file/d/1zajuJT_lkZnMl4TVcO9jpTkjzCoajYmE/view?usp=sharing" TargetMode="External"/><Relationship Id="rId743" Type="http://schemas.openxmlformats.org/officeDocument/2006/relationships/hyperlink" Target="https://drive.google.com/file/d/1Rnmk_1ff28doRrnD4fdHzKl1UdZS3sjK/view?usp=sharing" TargetMode="External"/><Relationship Id="rId500" Type="http://schemas.openxmlformats.org/officeDocument/2006/relationships/hyperlink" Target="https://drive.google.com/file/d/12Lv6pdHpBKVnhngOgio8xlL_RhAXwdu0/view?usp=sharing" TargetMode="External"/><Relationship Id="rId742" Type="http://schemas.openxmlformats.org/officeDocument/2006/relationships/hyperlink" Target="https://drive.google.com/file/d/1tNKh83KxRbXOyizqvRWUir6QjfHHpOYc/view?usp=sharing" TargetMode="External"/><Relationship Id="rId507" Type="http://schemas.openxmlformats.org/officeDocument/2006/relationships/hyperlink" Target="https://drive.google.com/file/d/1jhdGGBe7BV_iFin3rjkJzzIEeHNvHK8o/view?usp=sharing" TargetMode="External"/><Relationship Id="rId749" Type="http://schemas.openxmlformats.org/officeDocument/2006/relationships/hyperlink" Target="https://drive.google.com/file/d/1ehVfj5iIISK4rdCY8VdA_qElBCwfqS8y/view?usp=sharing" TargetMode="External"/><Relationship Id="rId506" Type="http://schemas.openxmlformats.org/officeDocument/2006/relationships/hyperlink" Target="https://drive.google.com/file/d/1SoH2DLsFJ7Nlfhf0e2uC_PC-o4YnDeYx/view?usp=sharing" TargetMode="External"/><Relationship Id="rId748" Type="http://schemas.openxmlformats.org/officeDocument/2006/relationships/hyperlink" Target="https://drive.google.com/file/d/1KvuPa56g67Boj63u3sjtkMlPYPPxEsBh/view?usp=sharing" TargetMode="External"/><Relationship Id="rId505" Type="http://schemas.openxmlformats.org/officeDocument/2006/relationships/hyperlink" Target="https://drive.google.com/file/d/1eQq6PmRk9yJX6Z7RmqcrHME6OiK3v6I7/view?usp=sharing" TargetMode="External"/><Relationship Id="rId747" Type="http://schemas.openxmlformats.org/officeDocument/2006/relationships/hyperlink" Target="https://drive.google.com/file/d/1UNLIkyYDoOiG3ChYCXIb4fLlR-Oox3TJ/view?usp=sharing" TargetMode="External"/><Relationship Id="rId504" Type="http://schemas.openxmlformats.org/officeDocument/2006/relationships/hyperlink" Target="https://drive.google.com/file/d/1RU85c2wNrmm-v4u6DMFi8i_mBdHlwshd/view?usp=sharing" TargetMode="External"/><Relationship Id="rId746" Type="http://schemas.openxmlformats.org/officeDocument/2006/relationships/hyperlink" Target="https://drive.google.com/file/d/1D3fipJkRNsrpPp0HBUwrdXyprWopRVaM/view?usp=sharing" TargetMode="External"/><Relationship Id="rId48" Type="http://schemas.openxmlformats.org/officeDocument/2006/relationships/hyperlink" Target="https://drive.google.com/file/d/1Ifuu4TsfnEG90Vkww0K-cUEDxVXGAm2P/view?usp=sharing" TargetMode="External"/><Relationship Id="rId47" Type="http://schemas.openxmlformats.org/officeDocument/2006/relationships/hyperlink" Target="https://drive.google.com/file/d/1D8nJH9QxeCrktXoOayZwZVBKsU0KzIeH/view?usp=sharing" TargetMode="External"/><Relationship Id="rId49" Type="http://schemas.openxmlformats.org/officeDocument/2006/relationships/hyperlink" Target="https://drive.google.com/file/d/12rVa6A3I7L-pyqzl53VrmRmpnPQhAc-T/view?usp=sharing" TargetMode="External"/><Relationship Id="rId741" Type="http://schemas.openxmlformats.org/officeDocument/2006/relationships/hyperlink" Target="https://drive.google.com/file/d/1IKkjo1rF83mXw4TTKWf9AHqxTivNPS0s/view?usp=sharing" TargetMode="External"/><Relationship Id="rId740" Type="http://schemas.openxmlformats.org/officeDocument/2006/relationships/hyperlink" Target="https://drive.google.com/file/d/1ZRezm6mCsFlOOGYfxyN2eRBZudrVEJw9/view?usp=sharing" TargetMode="External"/><Relationship Id="rId31" Type="http://schemas.openxmlformats.org/officeDocument/2006/relationships/hyperlink" Target="https://drive.google.com/file/d/1cyIrBFoKSTHduOO5Ucb2fLXGjKpKdIkb/view?usp=sharing" TargetMode="External"/><Relationship Id="rId30" Type="http://schemas.openxmlformats.org/officeDocument/2006/relationships/hyperlink" Target="https://drive.google.com/file/d/1msJlxvSMxM0mZ9BnJMoZS1N26upeFQab/view?usp=sharing" TargetMode="External"/><Relationship Id="rId33" Type="http://schemas.openxmlformats.org/officeDocument/2006/relationships/hyperlink" Target="https://drive.google.com/file/d/1LbBypFr83SviaEbF_xRagiK5JqJskGYL/view?usp=sharing" TargetMode="External"/><Relationship Id="rId32" Type="http://schemas.openxmlformats.org/officeDocument/2006/relationships/hyperlink" Target="https://drive.google.com/file/d/1F78FosLk6znbJ2NCR3ZCLURKt5mJbQVC/view?usp=sharing" TargetMode="External"/><Relationship Id="rId35" Type="http://schemas.openxmlformats.org/officeDocument/2006/relationships/hyperlink" Target="https://drive.google.com/file/d/14re83R65-ESNDumor1l01LkYDrrbzdnA/view?usp=sharing" TargetMode="External"/><Relationship Id="rId34" Type="http://schemas.openxmlformats.org/officeDocument/2006/relationships/hyperlink" Target="https://drive.google.com/file/d/1nA1uIGqN1g6NbAmELMPYrm0Og60Wg-Pe/view?usp=sharing" TargetMode="External"/><Relationship Id="rId739" Type="http://schemas.openxmlformats.org/officeDocument/2006/relationships/hyperlink" Target="https://drive.google.com/file/d/12gmMgfAyDWQa5d8yfvVRDEVCCPgBCPrc/view?usp=sharing" TargetMode="External"/><Relationship Id="rId734" Type="http://schemas.openxmlformats.org/officeDocument/2006/relationships/hyperlink" Target="https://drive.google.com/file/d/1e-2i3DuYKnRhW4CF_QSJ7DDnd1HFQQJq/view?usp=sharing" TargetMode="External"/><Relationship Id="rId733" Type="http://schemas.openxmlformats.org/officeDocument/2006/relationships/hyperlink" Target="https://drive.google.com/file/d/1oK6TwA5DkB-d5_ziKQjRNt-OQ3ldWj1x/view?usp=sharing" TargetMode="External"/><Relationship Id="rId732" Type="http://schemas.openxmlformats.org/officeDocument/2006/relationships/hyperlink" Target="https://drive.google.com/file/d/1opuSy5f-YbfPWTE0RVOPSqA1BoSm1f3e/view?usp=sharing" TargetMode="External"/><Relationship Id="rId731" Type="http://schemas.openxmlformats.org/officeDocument/2006/relationships/hyperlink" Target="https://drive.google.com/file/d/1gfaXV3G8isVQ8vqMQM1ZL0FXp7bHW5fr/view?usp=sharing" TargetMode="External"/><Relationship Id="rId738" Type="http://schemas.openxmlformats.org/officeDocument/2006/relationships/hyperlink" Target="https://drive.google.com/file/d/1LlPbbBxPqiq6hFixxxCDXR6ZZsiORPNN/view?usp=sharing" TargetMode="External"/><Relationship Id="rId737" Type="http://schemas.openxmlformats.org/officeDocument/2006/relationships/hyperlink" Target="https://drive.google.com/file/d/1GqmGRjpoW0yseM2dgPMypLbJ3Cj3HUAh/view?usp=sharing" TargetMode="External"/><Relationship Id="rId736" Type="http://schemas.openxmlformats.org/officeDocument/2006/relationships/hyperlink" Target="https://drive.google.com/file/d/1en9HS_3v8VKZ8_pebyTtF4h11HL3q0y9/view?usp=sharing" TargetMode="External"/><Relationship Id="rId735" Type="http://schemas.openxmlformats.org/officeDocument/2006/relationships/hyperlink" Target="https://drive.google.com/file/d/1kggMGLCmwW4kuohBOxCuMJEx8jT5CW-4/view?usp=sharing" TargetMode="External"/><Relationship Id="rId37" Type="http://schemas.openxmlformats.org/officeDocument/2006/relationships/hyperlink" Target="https://drive.google.com/file/d/1mXszWYMyLJpUi36OFXIZjrrFT9mPO0Li/view?usp=sharing" TargetMode="External"/><Relationship Id="rId36" Type="http://schemas.openxmlformats.org/officeDocument/2006/relationships/hyperlink" Target="https://drive.google.com/file/d/1vKQBHvM6_w5qEKAuWTGwCa3bQglcxmXF/view?usp=sharing" TargetMode="External"/><Relationship Id="rId39" Type="http://schemas.openxmlformats.org/officeDocument/2006/relationships/hyperlink" Target="https://drive.google.com/file/d/1j_bC3B5Pge7ShwUkXDzYLmxqWU36JRlG/view?usp=sharing" TargetMode="External"/><Relationship Id="rId38" Type="http://schemas.openxmlformats.org/officeDocument/2006/relationships/hyperlink" Target="https://drive.google.com/file/d/1kknu7d44oSa8rNQJ6Ym8Dls2udb4vP--/view?usp=sharing" TargetMode="External"/><Relationship Id="rId730" Type="http://schemas.openxmlformats.org/officeDocument/2006/relationships/hyperlink" Target="https://drive.google.com/file/d/1vpJdRoq8viCNA4xtEEPKi7xp2KxvCwv3/view?usp=sharing" TargetMode="External"/><Relationship Id="rId20" Type="http://schemas.openxmlformats.org/officeDocument/2006/relationships/hyperlink" Target="https://drive.google.com/file/d/1AU75aRFuus2y2oHp9gbGYTuAHMliAW25/view?usp=sharing" TargetMode="External"/><Relationship Id="rId22" Type="http://schemas.openxmlformats.org/officeDocument/2006/relationships/hyperlink" Target="https://drive.google.com/file/d/1lsZa_kHt4nLk5QsRbDECE6DbLg1171Fe/view?usp=sharing" TargetMode="External"/><Relationship Id="rId21" Type="http://schemas.openxmlformats.org/officeDocument/2006/relationships/hyperlink" Target="https://drive.google.com/file/d/1i-xck1Go94VAaIl01HN2Ml6CkBoDuAkQ/view?usp=sharing" TargetMode="External"/><Relationship Id="rId24" Type="http://schemas.openxmlformats.org/officeDocument/2006/relationships/hyperlink" Target="https://drive.google.com/file/d/1I5jg6X3FuAxSQjtMQrSBTvDvQSujyrPt/view?usp=sharing" TargetMode="External"/><Relationship Id="rId23" Type="http://schemas.openxmlformats.org/officeDocument/2006/relationships/hyperlink" Target="https://drive.google.com/file/d/1cN_dnC3ydQV8PMI5s6P7Pf2NIt-PVnLL/view?usp=sharing" TargetMode="External"/><Relationship Id="rId525" Type="http://schemas.openxmlformats.org/officeDocument/2006/relationships/hyperlink" Target="https://drive.google.com/file/d/1FYtZy1-GBRSZfD7OW6rH_g9VNGzFVTrb/view?usp=sharing" TargetMode="External"/><Relationship Id="rId767" Type="http://schemas.openxmlformats.org/officeDocument/2006/relationships/hyperlink" Target="https://drive.google.com/file/d/1IQv21SwhTOq8_mnz01Kb7Pbzzewx_mJg/view?usp=sharing" TargetMode="External"/><Relationship Id="rId524" Type="http://schemas.openxmlformats.org/officeDocument/2006/relationships/hyperlink" Target="https://drive.google.com/file/d/1R1uehReRUauAtYO9CZV4HSgFxxPT-aUF/view?usp=sharing" TargetMode="External"/><Relationship Id="rId766" Type="http://schemas.openxmlformats.org/officeDocument/2006/relationships/hyperlink" Target="https://drive.google.com/file/d/1xkbbUydOIXqBRGYxYbkhAwwnBWKDgnL0/view?usp=sharing" TargetMode="External"/><Relationship Id="rId523" Type="http://schemas.openxmlformats.org/officeDocument/2006/relationships/hyperlink" Target="https://drive.google.com/file/d/17fAF5qHT9_qU-vq8-C2KUHo1ZZ_XkJh9/view?usp=sharing" TargetMode="External"/><Relationship Id="rId765" Type="http://schemas.openxmlformats.org/officeDocument/2006/relationships/hyperlink" Target="https://drive.google.com/file/d/1BH-DrMZHTwqz98JYgY7MJYuBwF-n7-1s/view?usp=sharing" TargetMode="External"/><Relationship Id="rId522" Type="http://schemas.openxmlformats.org/officeDocument/2006/relationships/hyperlink" Target="https://drive.google.com/file/d/1BBN2-sLPGyt1AdYxcwM-V8hCU8CuonEU/view?usp=sharing" TargetMode="External"/><Relationship Id="rId764" Type="http://schemas.openxmlformats.org/officeDocument/2006/relationships/hyperlink" Target="https://drive.google.com/file/d/1f2bqC6t-B7P2evx7Ujdep-btof4_Lt8j/view?usp=sharing" TargetMode="External"/><Relationship Id="rId529" Type="http://schemas.openxmlformats.org/officeDocument/2006/relationships/hyperlink" Target="https://drive.google.com/file/d/1e8wDhdqkmvbT4j_92o2TjjkA-cqCbE7M/view?usp=sharing" TargetMode="External"/><Relationship Id="rId528" Type="http://schemas.openxmlformats.org/officeDocument/2006/relationships/hyperlink" Target="https://drive.google.com/file/d/18kEmOkTS5EUayBffdosEorlm0MRbyQIo/view?usp=sharing" TargetMode="External"/><Relationship Id="rId527" Type="http://schemas.openxmlformats.org/officeDocument/2006/relationships/hyperlink" Target="https://drive.google.com/file/d/1GQ8lS3txzkW-SXFFEONitEZ4tHsD8WC1/view?usp=sharing" TargetMode="External"/><Relationship Id="rId769" Type="http://schemas.openxmlformats.org/officeDocument/2006/relationships/hyperlink" Target="https://drive.google.com/file/d/1W8Yyz-6kPOzO06Uq-CQDrV22UfT7dOdD/view?usp=sharing" TargetMode="External"/><Relationship Id="rId526" Type="http://schemas.openxmlformats.org/officeDocument/2006/relationships/hyperlink" Target="https://drive.google.com/file/d/1km7pXK1GIny28zlo7qhe0eXOHGbv0C0L/view?usp=sharing" TargetMode="External"/><Relationship Id="rId768" Type="http://schemas.openxmlformats.org/officeDocument/2006/relationships/hyperlink" Target="https://drive.google.com/file/d/1PotzJGp0vUSCAF1xMSLRks23vUeynfsK/view?usp=sharing" TargetMode="External"/><Relationship Id="rId26" Type="http://schemas.openxmlformats.org/officeDocument/2006/relationships/hyperlink" Target="https://drive.google.com/file/d/1UMLJjhQDWNLLNnIQW1wKHujyoVS1LksI/view?usp=sharing" TargetMode="External"/><Relationship Id="rId25" Type="http://schemas.openxmlformats.org/officeDocument/2006/relationships/hyperlink" Target="https://drive.google.com/file/d/1hX7PC-nLP4B2keHewzxqWYmTqcFLHadU/view?usp=sharing" TargetMode="External"/><Relationship Id="rId28" Type="http://schemas.openxmlformats.org/officeDocument/2006/relationships/hyperlink" Target="https://drive.google.com/file/d/1xJ9z0h5orDrabYcO-g03B-RwZW1hrNdW/view?usp=sharing" TargetMode="External"/><Relationship Id="rId27" Type="http://schemas.openxmlformats.org/officeDocument/2006/relationships/hyperlink" Target="https://drive.google.com/file/d/1PwOVrV51FQBFdS4sPh-sl4OhhbvLV9AG/view?usp=sharing" TargetMode="External"/><Relationship Id="rId521" Type="http://schemas.openxmlformats.org/officeDocument/2006/relationships/hyperlink" Target="https://drive.google.com/file/d/1tUeUSl4mGTnI4_hI-min1nGlpcoqdF6V/view?usp=sharing" TargetMode="External"/><Relationship Id="rId763" Type="http://schemas.openxmlformats.org/officeDocument/2006/relationships/hyperlink" Target="https://drive.google.com/file/d/15ez3La-kvggjKHIodKl7rz6rFiYBjQyD/view?usp=sharing" TargetMode="External"/><Relationship Id="rId29" Type="http://schemas.openxmlformats.org/officeDocument/2006/relationships/hyperlink" Target="https://drive.google.com/file/d/1ORdOTgc968F27RFkL0dcG8s8c1EXNEmC/view?usp=sharing" TargetMode="External"/><Relationship Id="rId520" Type="http://schemas.openxmlformats.org/officeDocument/2006/relationships/hyperlink" Target="https://drive.google.com/file/d/13we5EJADXbzRgP5d63kM5TWIpw-LOJjZ/view?usp=sharing" TargetMode="External"/><Relationship Id="rId762" Type="http://schemas.openxmlformats.org/officeDocument/2006/relationships/hyperlink" Target="https://drive.google.com/file/d/1c-O44JLINhOarQe45HfJpIOW1_yfafWJ/view?usp=sharing" TargetMode="External"/><Relationship Id="rId761" Type="http://schemas.openxmlformats.org/officeDocument/2006/relationships/hyperlink" Target="https://drive.google.com/file/d/1ud3mWZFn9qmaSXrWZvSZPb9jBqt_wWt3/view?usp=sharing" TargetMode="External"/><Relationship Id="rId760" Type="http://schemas.openxmlformats.org/officeDocument/2006/relationships/hyperlink" Target="https://drive.google.com/file/d/1yFywLMytCD6cVp4v5rYxnVKS6706HMsn/view?usp=sharing" TargetMode="External"/><Relationship Id="rId11" Type="http://schemas.openxmlformats.org/officeDocument/2006/relationships/hyperlink" Target="https://drive.google.com/file/d/1ERf-WKsRjP7daA05X0-ytifWbxzMYqwF/view?usp=sharing" TargetMode="External"/><Relationship Id="rId10" Type="http://schemas.openxmlformats.org/officeDocument/2006/relationships/hyperlink" Target="https://drive.google.com/file/d/1cfF6V76FQWOeyjinUHQcF60vhEII5o2J/view?usp=sharing" TargetMode="External"/><Relationship Id="rId13" Type="http://schemas.openxmlformats.org/officeDocument/2006/relationships/hyperlink" Target="https://drive.google.com/file/d/1pNgybAnfgOlXqiAwXbkD0-LomyLk7AMj/view?usp=sharing" TargetMode="External"/><Relationship Id="rId12" Type="http://schemas.openxmlformats.org/officeDocument/2006/relationships/hyperlink" Target="https://drive.google.com/file/d/1YIGU5uck4TB58ec_6tAEiiMZ6inL6Y3_/view?usp=sharing" TargetMode="External"/><Relationship Id="rId519" Type="http://schemas.openxmlformats.org/officeDocument/2006/relationships/hyperlink" Target="https://drive.google.com/file/d/1pvVLd47KDYtDPwLTrtlbEtCQmj1Zo3y4/view?usp=sharing" TargetMode="External"/><Relationship Id="rId514" Type="http://schemas.openxmlformats.org/officeDocument/2006/relationships/hyperlink" Target="https://drive.google.com/file/d/17ymqiVUx5Fj74BdNndO__oh2h1ZlCBqM/view?usp=sharing" TargetMode="External"/><Relationship Id="rId756" Type="http://schemas.openxmlformats.org/officeDocument/2006/relationships/hyperlink" Target="https://drive.google.com/file/d/1Fy3SFrIDF3GIzDzgjNWFQ6esVw-gc-Bt/view?usp=sharing" TargetMode="External"/><Relationship Id="rId513" Type="http://schemas.openxmlformats.org/officeDocument/2006/relationships/hyperlink" Target="https://drive.google.com/file/d/1dreijyt3jyfy-P0NX1FTGEyY_Yw3PDBX/view?usp=sharing" TargetMode="External"/><Relationship Id="rId755" Type="http://schemas.openxmlformats.org/officeDocument/2006/relationships/hyperlink" Target="https://drive.google.com/file/d/1962SiK7LyDra5gzCFlnS57o-Ht652-OO/view?usp=sharing" TargetMode="External"/><Relationship Id="rId512" Type="http://schemas.openxmlformats.org/officeDocument/2006/relationships/hyperlink" Target="https://drive.google.com/file/d/1U9KHF4VJhnir1DVUp0hDAYUOoUJKufjo/view?usp=sharing" TargetMode="External"/><Relationship Id="rId754" Type="http://schemas.openxmlformats.org/officeDocument/2006/relationships/hyperlink" Target="https://drive.google.com/file/d/1fvmRMb6uV1jRnSF_Qy4FNFkUOHKA4sM5/view?usp=sharing" TargetMode="External"/><Relationship Id="rId511" Type="http://schemas.openxmlformats.org/officeDocument/2006/relationships/hyperlink" Target="https://drive.google.com/file/d/1aqLat0N5SdX4j7fPV7MlKgwjEnVc8U_0/view?usp=sharing" TargetMode="External"/><Relationship Id="rId753" Type="http://schemas.openxmlformats.org/officeDocument/2006/relationships/hyperlink" Target="https://drive.google.com/file/d/1KKf9f1YqbfDMBDggiB8tkxYu0Nx5zU-0/view?usp=sharing" TargetMode="External"/><Relationship Id="rId518" Type="http://schemas.openxmlformats.org/officeDocument/2006/relationships/hyperlink" Target="https://drive.google.com/file/d/1BjAMHgv0uzUvJF1tbVXJyRg0FEbsbRjS/view?usp=sharing" TargetMode="External"/><Relationship Id="rId517" Type="http://schemas.openxmlformats.org/officeDocument/2006/relationships/hyperlink" Target="https://drive.google.com/file/d/18DRDuqZx4hpDxokX_1McJ7lf3v5LL5IM/view?usp=sharing" TargetMode="External"/><Relationship Id="rId759" Type="http://schemas.openxmlformats.org/officeDocument/2006/relationships/hyperlink" Target="https://drive.google.com/file/d/1PpsAfivfLLeboEir2MkXziKfGJs5BoJQ/view?usp=sharing" TargetMode="External"/><Relationship Id="rId516" Type="http://schemas.openxmlformats.org/officeDocument/2006/relationships/hyperlink" Target="https://drive.google.com/file/d/1c4CVv-ZgSMnmXRGoeMk3PlaWb_X2w9sl/view?usp=sharing" TargetMode="External"/><Relationship Id="rId758" Type="http://schemas.openxmlformats.org/officeDocument/2006/relationships/hyperlink" Target="https://drive.google.com/file/d/1BeMsDqT7Y2D9nZnIOvqctinjQYCb4p6E/view?usp=sharing" TargetMode="External"/><Relationship Id="rId515" Type="http://schemas.openxmlformats.org/officeDocument/2006/relationships/hyperlink" Target="https://drive.google.com/file/d/1GYUstsAaM2WzbbyB71hlX-W7Gy19z9tK/view?usp=sharing" TargetMode="External"/><Relationship Id="rId757" Type="http://schemas.openxmlformats.org/officeDocument/2006/relationships/hyperlink" Target="https://drive.google.com/file/d/10utzAwxtPbfar_XjDkZ4rEmcVUVDDEB4/view?usp=sharing" TargetMode="External"/><Relationship Id="rId15" Type="http://schemas.openxmlformats.org/officeDocument/2006/relationships/hyperlink" Target="https://drive.google.com/file/d/1V6woe8_sScPaHgOCTl8kobCFph22Oa3M/view?usp=sharing" TargetMode="External"/><Relationship Id="rId14" Type="http://schemas.openxmlformats.org/officeDocument/2006/relationships/hyperlink" Target="https://drive.google.com/file/d/1Og6RcP184vGnlsbEp4335lIKDo-DTC5L/view?usp=sharing" TargetMode="External"/><Relationship Id="rId17" Type="http://schemas.openxmlformats.org/officeDocument/2006/relationships/hyperlink" Target="https://drive.google.com/file/d/1TAtX6kcV9sTPX1x0HG_YkC7TUqISiKvR/view?usp=sharing" TargetMode="External"/><Relationship Id="rId16" Type="http://schemas.openxmlformats.org/officeDocument/2006/relationships/hyperlink" Target="https://drive.google.com/file/d/1pRoo3DtoBSE49UZmzWPiMms_6NBi2fUO/view?usp=sharing" TargetMode="External"/><Relationship Id="rId19" Type="http://schemas.openxmlformats.org/officeDocument/2006/relationships/hyperlink" Target="https://drive.google.com/file/d/1jJu_DtHs_MXWH1t-mZU6r_ttlg_vkonI/view?usp=sharing" TargetMode="External"/><Relationship Id="rId510" Type="http://schemas.openxmlformats.org/officeDocument/2006/relationships/hyperlink" Target="https://drive.google.com/file/d/1ZhhjUl9t2NWJwe3h2sE3X8VX1fHt8TTu/view?usp=sharing" TargetMode="External"/><Relationship Id="rId752" Type="http://schemas.openxmlformats.org/officeDocument/2006/relationships/hyperlink" Target="https://drive.google.com/file/d/178BE1LZ57aBN3zv8RFRjZnxYbgy--eCq/view?usp=sharing" TargetMode="External"/><Relationship Id="rId18" Type="http://schemas.openxmlformats.org/officeDocument/2006/relationships/hyperlink" Target="https://drive.google.com/file/d/1fIWRZg78_6WUuRRoPQ33betmljEZNOmb/view?usp=sharing" TargetMode="External"/><Relationship Id="rId751" Type="http://schemas.openxmlformats.org/officeDocument/2006/relationships/hyperlink" Target="https://drive.google.com/file/d/1-JwoCpf-5SgRb05Zd76lG7QiH56asB4W/view?usp=sharing" TargetMode="External"/><Relationship Id="rId750" Type="http://schemas.openxmlformats.org/officeDocument/2006/relationships/hyperlink" Target="https://drive.google.com/file/d/1gyNy4FtZEvrApqs5XBwu7cQmrAKzWuy6/view?usp=sharing" TargetMode="External"/><Relationship Id="rId84" Type="http://schemas.openxmlformats.org/officeDocument/2006/relationships/hyperlink" Target="https://drive.google.com/file/d/1gCpE4dd0xhNno5YRYTrLR5RRTcHdcN_V/view?usp=sharing" TargetMode="External"/><Relationship Id="rId83" Type="http://schemas.openxmlformats.org/officeDocument/2006/relationships/hyperlink" Target="https://drive.google.com/file/d/1M_lK03oRdyNfJ7CQw-Fgrx8gNFEaBsHo/view?usp=sharing" TargetMode="External"/><Relationship Id="rId86" Type="http://schemas.openxmlformats.org/officeDocument/2006/relationships/hyperlink" Target="https://drive.google.com/file/d/1UK53hOKkG_L04hTFR8EYTykjpFo3JDQJ/view?usp=sharing" TargetMode="External"/><Relationship Id="rId85" Type="http://schemas.openxmlformats.org/officeDocument/2006/relationships/hyperlink" Target="https://drive.google.com/file/d/1yXtCRYn5RNGL0sRToiRrz7VmT-lccywa/view?usp=sharing" TargetMode="External"/><Relationship Id="rId88" Type="http://schemas.openxmlformats.org/officeDocument/2006/relationships/hyperlink" Target="https://drive.google.com/file/d/16e3j3YSRDcCN6-PfXrwvMCqJmCovc4iw/view?usp=sharing" TargetMode="External"/><Relationship Id="rId87" Type="http://schemas.openxmlformats.org/officeDocument/2006/relationships/hyperlink" Target="https://drive.google.com/file/d/1qUM_CtyLOwyGH5otJTplwldQCnUQaSnx/view?usp=sharing" TargetMode="External"/><Relationship Id="rId89" Type="http://schemas.openxmlformats.org/officeDocument/2006/relationships/hyperlink" Target="https://drive.google.com/file/d/1E1DVdW2JwJzkxDNtL9Ja1apixOa-AFmC/view?usp=sharing" TargetMode="External"/><Relationship Id="rId709" Type="http://schemas.openxmlformats.org/officeDocument/2006/relationships/hyperlink" Target="https://drive.google.com/file/d/1i8YtnsoTU23iFRiaB8c6HWz8DW6Ua409/view?usp=sharing" TargetMode="External"/><Relationship Id="rId708" Type="http://schemas.openxmlformats.org/officeDocument/2006/relationships/hyperlink" Target="https://drive.google.com/file/d/1nShLyp7IE-TN03c4tGds3ftmMcvpTTte/view?usp=sharing" TargetMode="External"/><Relationship Id="rId707" Type="http://schemas.openxmlformats.org/officeDocument/2006/relationships/hyperlink" Target="https://drive.google.com/file/d/1Amc4MC9-PbGwI7p7Q3b5jmy7WL1lJ_Fk/view?usp=sharing" TargetMode="External"/><Relationship Id="rId706" Type="http://schemas.openxmlformats.org/officeDocument/2006/relationships/hyperlink" Target="https://drive.google.com/file/d/1d4kPfy803B7xKlve0INzVJjaNJ2aP4Y_/view?usp=sharing" TargetMode="External"/><Relationship Id="rId80" Type="http://schemas.openxmlformats.org/officeDocument/2006/relationships/hyperlink" Target="https://drive.google.com/file/d/1IWqcHmb8VCPHf280ohOUcbMQpmD4fb1y/view?usp=sharing" TargetMode="External"/><Relationship Id="rId82" Type="http://schemas.openxmlformats.org/officeDocument/2006/relationships/hyperlink" Target="https://drive.google.com/file/d/1TSZv6Vvs0xle9Gxx0Zno2R49d7wSfOb5/view?usp=sharing" TargetMode="External"/><Relationship Id="rId81" Type="http://schemas.openxmlformats.org/officeDocument/2006/relationships/hyperlink" Target="https://drive.google.com/file/d/1vYo578tECAfCP9CdkWRFhTMCARc1KfV8/view?usp=sharing" TargetMode="External"/><Relationship Id="rId701" Type="http://schemas.openxmlformats.org/officeDocument/2006/relationships/hyperlink" Target="https://drive.google.com/file/d/1ZXJS6TfFzsnjklc4cEdZbx5pO0Iz1KiT/view?usp=sharing" TargetMode="External"/><Relationship Id="rId700" Type="http://schemas.openxmlformats.org/officeDocument/2006/relationships/hyperlink" Target="https://drive.google.com/file/d/1Q4zw0r0fpw7HmHVQGfGmPjXRsd_ZU6pI/view?usp=sharing" TargetMode="External"/><Relationship Id="rId705" Type="http://schemas.openxmlformats.org/officeDocument/2006/relationships/hyperlink" Target="https://drive.google.com/file/d/1AFwrkxIcXshx2DI9DZUfpGBGXxILaZws/view?usp=sharing" TargetMode="External"/><Relationship Id="rId704" Type="http://schemas.openxmlformats.org/officeDocument/2006/relationships/hyperlink" Target="https://drive.google.com/file/d/1u5_YtK3Ju-o2sTM7lPbqRkC6D06LgskG/view?usp=sharing" TargetMode="External"/><Relationship Id="rId703" Type="http://schemas.openxmlformats.org/officeDocument/2006/relationships/hyperlink" Target="https://drive.google.com/file/d/1BxGVbi5z89psUf_0Wlor5bHc5wTPJAB2/view?usp=sharing" TargetMode="External"/><Relationship Id="rId702" Type="http://schemas.openxmlformats.org/officeDocument/2006/relationships/hyperlink" Target="https://drive.google.com/file/d/1907ucXzQ67fy97eNcFkoo7nxUAXFYLtA/view?usp=sharing" TargetMode="External"/><Relationship Id="rId73" Type="http://schemas.openxmlformats.org/officeDocument/2006/relationships/hyperlink" Target="https://drive.google.com/file/d/1Sw6AbYCgcswzIYjl4VgeXB8bsvDFTcdX/view?usp=sharing" TargetMode="External"/><Relationship Id="rId72" Type="http://schemas.openxmlformats.org/officeDocument/2006/relationships/hyperlink" Target="https://drive.google.com/file/d/1B-fHyHi4JiEzb3GaCIXNCO3Qq2HHhSXF/view?usp=sharing" TargetMode="External"/><Relationship Id="rId75" Type="http://schemas.openxmlformats.org/officeDocument/2006/relationships/hyperlink" Target="https://drive.google.com/file/d/12ZZNDXir5nzhS8VYrBWZJ825MmYq14LK/view?usp=sharing" TargetMode="External"/><Relationship Id="rId74" Type="http://schemas.openxmlformats.org/officeDocument/2006/relationships/hyperlink" Target="https://drive.google.com/file/d/1lGQ39S6GXAg55jOOrzkYkJ-eTCJ-OSw0/view?usp=sharing" TargetMode="External"/><Relationship Id="rId77" Type="http://schemas.openxmlformats.org/officeDocument/2006/relationships/hyperlink" Target="https://drive.google.com/file/d/1cf3PqGF5vDF9oCQSESPRlcuJx1I2YZQn/view?usp=sharing" TargetMode="External"/><Relationship Id="rId76" Type="http://schemas.openxmlformats.org/officeDocument/2006/relationships/hyperlink" Target="https://drive.google.com/file/d/1zK4uzFxvny5y7hdJQX6adVwaorAMW2-K/view?usp=sharing" TargetMode="External"/><Relationship Id="rId79" Type="http://schemas.openxmlformats.org/officeDocument/2006/relationships/hyperlink" Target="https://drive.google.com/file/d/1zBPsVg_Q8EWgMsmkp17yNz0Y6UrWiAwf/view?usp=sharing" TargetMode="External"/><Relationship Id="rId78" Type="http://schemas.openxmlformats.org/officeDocument/2006/relationships/hyperlink" Target="https://drive.google.com/file/d/1JU3gXyWrJ9JNUMkMyZxr4Ow2tqLjO1C-/view?usp=sharing" TargetMode="External"/><Relationship Id="rId71" Type="http://schemas.openxmlformats.org/officeDocument/2006/relationships/hyperlink" Target="https://drive.google.com/file/d/17NMCHy4aJhjASZDfBw-vX6ZFHUav8xY_/view?usp=sharing" TargetMode="External"/><Relationship Id="rId70" Type="http://schemas.openxmlformats.org/officeDocument/2006/relationships/hyperlink" Target="https://drive.google.com/file/d/1eChgGcwIPbokwIaTY10yCAexm6MPoqft/view?usp=sharing" TargetMode="External"/><Relationship Id="rId62" Type="http://schemas.openxmlformats.org/officeDocument/2006/relationships/hyperlink" Target="https://drive.google.com/file/d/1BFUPE8nMlTeretrFIjZ4yJ6w2VSOgmho/view?usp=sharing" TargetMode="External"/><Relationship Id="rId61" Type="http://schemas.openxmlformats.org/officeDocument/2006/relationships/hyperlink" Target="https://drive.google.com/file/d/12A3avtRPTh-Ldb-UeVKmymWRht6c-TUh/view?usp=sharing" TargetMode="External"/><Relationship Id="rId64" Type="http://schemas.openxmlformats.org/officeDocument/2006/relationships/hyperlink" Target="https://drive.google.com/file/d/1xvMuPl8nui9TXxAjgFbk6g_hBaR3cEJU/view?usp=sharing" TargetMode="External"/><Relationship Id="rId63" Type="http://schemas.openxmlformats.org/officeDocument/2006/relationships/hyperlink" Target="https://drive.google.com/file/d/1mXszWYMyLJpUi36OFXIZjrrFT9mPO0Li/view?usp=sharing" TargetMode="External"/><Relationship Id="rId66" Type="http://schemas.openxmlformats.org/officeDocument/2006/relationships/hyperlink" Target="https://drive.google.com/file/d/1vtc_o2feH2oTignuSX_F33ZoeSMVl-Mz/view?usp=sharing" TargetMode="External"/><Relationship Id="rId65" Type="http://schemas.openxmlformats.org/officeDocument/2006/relationships/hyperlink" Target="https://drive.google.com/file/d/1-zGHw4kgqm2dDGw3Q3BKpvr9e7fqnCII/view?usp=sharing" TargetMode="External"/><Relationship Id="rId68" Type="http://schemas.openxmlformats.org/officeDocument/2006/relationships/hyperlink" Target="https://drive.google.com/file/d/17Ik4KLOK3vTXZfRGCXqttf1OoLNhZRyP/view?usp=sharing" TargetMode="External"/><Relationship Id="rId67" Type="http://schemas.openxmlformats.org/officeDocument/2006/relationships/hyperlink" Target="https://drive.google.com/file/d/1twDLoSvgrieXXSgRSGG2C_u3Cdd79eky/view?usp=sharing" TargetMode="External"/><Relationship Id="rId729" Type="http://schemas.openxmlformats.org/officeDocument/2006/relationships/hyperlink" Target="https://drive.google.com/file/d/1WJnY-E7xqs4FGZnJhVqeRyJwmhHigUaS/view?usp=sharing" TargetMode="External"/><Relationship Id="rId728" Type="http://schemas.openxmlformats.org/officeDocument/2006/relationships/hyperlink" Target="https://drive.google.com/file/d/1n50WGIunEHWckRwi27d-KnPhdoSttiVW/view?usp=sharing" TargetMode="External"/><Relationship Id="rId60" Type="http://schemas.openxmlformats.org/officeDocument/2006/relationships/hyperlink" Target="https://drive.google.com/file/d/1dxsUJxZTpJ1I0Miq_T8dOfaebIRMF8SP/view?usp=sharing" TargetMode="External"/><Relationship Id="rId723" Type="http://schemas.openxmlformats.org/officeDocument/2006/relationships/hyperlink" Target="https://drive.google.com/file/d/19YIahYf2kYMxUgYBe1Bkwj10EdhYs7Tb/view?usp=sharing" TargetMode="External"/><Relationship Id="rId722" Type="http://schemas.openxmlformats.org/officeDocument/2006/relationships/hyperlink" Target="https://drive.google.com/file/d/1RAcHjAEuufS42-BrOABpDnWZoXH1N_YH/view?usp=sharing" TargetMode="External"/><Relationship Id="rId721" Type="http://schemas.openxmlformats.org/officeDocument/2006/relationships/hyperlink" Target="https://drive.google.com/file/d/1srb6p0OK6N8bMHSqNKgtRtnIEPW5PoBY/view?usp=sharing" TargetMode="External"/><Relationship Id="rId720" Type="http://schemas.openxmlformats.org/officeDocument/2006/relationships/hyperlink" Target="https://drive.google.com/file/d/1TPFmkR0yntkacO-cd51AQLgmLOrFwmS2/view?usp=sharing" TargetMode="External"/><Relationship Id="rId727" Type="http://schemas.openxmlformats.org/officeDocument/2006/relationships/hyperlink" Target="https://drive.google.com/file/d/1etiNv79w1fzwX1RcemMZj9-jOjfaiMCi/view?usp=sharing" TargetMode="External"/><Relationship Id="rId726" Type="http://schemas.openxmlformats.org/officeDocument/2006/relationships/hyperlink" Target="https://drive.google.com/file/d/1x_MFBKbmyLWn2pXTwVpnEyz_fYRwPwqY/view?usp=sharing" TargetMode="External"/><Relationship Id="rId725" Type="http://schemas.openxmlformats.org/officeDocument/2006/relationships/hyperlink" Target="https://drive.google.com/file/d/158um0tQZzmEj-DnGhNCTEjupzjZyvOdL/view?usp=sharing" TargetMode="External"/><Relationship Id="rId724" Type="http://schemas.openxmlformats.org/officeDocument/2006/relationships/hyperlink" Target="https://drive.google.com/file/d/1oT0Ta4gXJsA0MTIZ_usVmW3VKzunJGiv/view?usp=sharing" TargetMode="External"/><Relationship Id="rId69" Type="http://schemas.openxmlformats.org/officeDocument/2006/relationships/hyperlink" Target="https://drive.google.com/file/d/1PkExegmONFnvONsGsdGkv2aDjrkewmOM/view?usp=sharing" TargetMode="External"/><Relationship Id="rId51" Type="http://schemas.openxmlformats.org/officeDocument/2006/relationships/hyperlink" Target="https://drive.google.com/file/d/14Y-cGqyrIGN4zJfEqiWC7JsP5zChFbN-/view?usp=sharing" TargetMode="External"/><Relationship Id="rId50" Type="http://schemas.openxmlformats.org/officeDocument/2006/relationships/hyperlink" Target="https://drive.google.com/file/d/115snuL0chEkXs8YbLM-iXV5TBxpW3q06/view?usp=sharing" TargetMode="External"/><Relationship Id="rId53" Type="http://schemas.openxmlformats.org/officeDocument/2006/relationships/hyperlink" Target="https://drive.google.com/file/d/14pZNbllbEHLYaIXAF1mlRfu3MZAKM1ot/view?usp=sharing" TargetMode="External"/><Relationship Id="rId52" Type="http://schemas.openxmlformats.org/officeDocument/2006/relationships/hyperlink" Target="https://drive.google.com/file/d/15eeM5JLN4yc4lkh18k27kpCdvgbNz-H_/view?usp=sharing" TargetMode="External"/><Relationship Id="rId55" Type="http://schemas.openxmlformats.org/officeDocument/2006/relationships/hyperlink" Target="https://drive.google.com/file/d/1W6j4OMUlvHn2VORWRsxHsVHoNVzJtNVc/view?usp=sharing" TargetMode="External"/><Relationship Id="rId54" Type="http://schemas.openxmlformats.org/officeDocument/2006/relationships/hyperlink" Target="https://drive.google.com/file/d/1MV8Ud7ZpQejJg4ZFVEeWbas-3YtciWvB/view?usp=sharing" TargetMode="External"/><Relationship Id="rId57" Type="http://schemas.openxmlformats.org/officeDocument/2006/relationships/hyperlink" Target="https://drive.google.com/file/d/1MOJKAKd3Kq9kNcCxcDCf-E5WXQSBcM14/view?usp=sharing" TargetMode="External"/><Relationship Id="rId56" Type="http://schemas.openxmlformats.org/officeDocument/2006/relationships/hyperlink" Target="https://drive.google.com/file/d/1rnPbj6kjBTZRm0XT5SpKbbkzm0jJIHpU/view?usp=sharing" TargetMode="External"/><Relationship Id="rId719" Type="http://schemas.openxmlformats.org/officeDocument/2006/relationships/hyperlink" Target="https://drive.google.com/file/d/1ea91Tn3039o9UwI13afluVJRzMXEeAtN/view?usp=sharing" TargetMode="External"/><Relationship Id="rId718" Type="http://schemas.openxmlformats.org/officeDocument/2006/relationships/hyperlink" Target="https://drive.google.com/file/d/1Hbql3Z9VaNvs_j2phHqhM9KrvCufMuYM/view?usp=sharing" TargetMode="External"/><Relationship Id="rId717" Type="http://schemas.openxmlformats.org/officeDocument/2006/relationships/hyperlink" Target="https://drive.google.com/file/d/1FKf9KpD6PcpzTijI8E57xqBCqY6_BxPM/view?usp=sharing" TargetMode="External"/><Relationship Id="rId712" Type="http://schemas.openxmlformats.org/officeDocument/2006/relationships/hyperlink" Target="https://drive.google.com/file/d/1Q2gBhbc9LiGHSBJ4mi8GPcoalUbDMoRk/view?usp=sharing" TargetMode="External"/><Relationship Id="rId711" Type="http://schemas.openxmlformats.org/officeDocument/2006/relationships/hyperlink" Target="https://drive.google.com/file/d/1TBeIY8Q5Q0PP2FDOEg_U7Ldx33qYudDR/view?usp=sharing" TargetMode="External"/><Relationship Id="rId710" Type="http://schemas.openxmlformats.org/officeDocument/2006/relationships/hyperlink" Target="https://drive.google.com/file/d/1B3-0N0WlTAIP9JXTRK8gqLRIAQHUwLBq/view?usp=sharing" TargetMode="External"/><Relationship Id="rId716" Type="http://schemas.openxmlformats.org/officeDocument/2006/relationships/hyperlink" Target="https://drive.google.com/file/d/1fUsJr8Q7QrAHIInBn9MNjayav8bjhAT1/view?usp=sharing" TargetMode="External"/><Relationship Id="rId715" Type="http://schemas.openxmlformats.org/officeDocument/2006/relationships/hyperlink" Target="https://drive.google.com/file/d/1fnDHb5Kryq5f8BxL-x3ry-jtBLU-G_uA/view?usp=sharing" TargetMode="External"/><Relationship Id="rId714" Type="http://schemas.openxmlformats.org/officeDocument/2006/relationships/hyperlink" Target="https://drive.google.com/file/d/1r2PAbWD5WxzvHvhKWatQbB6xWiVQwxdx/view?usp=sharing" TargetMode="External"/><Relationship Id="rId713" Type="http://schemas.openxmlformats.org/officeDocument/2006/relationships/hyperlink" Target="https://drive.google.com/file/d/1QPXRj26ht6doAQ4Xa40f3AAspr4Ow-tk/view?usp=sharing" TargetMode="External"/><Relationship Id="rId59" Type="http://schemas.openxmlformats.org/officeDocument/2006/relationships/hyperlink" Target="https://drive.google.com/file/d/1RTZ6PkGv5MBnppR2mW8Qj5sf8cDxzB8O/view?usp=sharing" TargetMode="External"/><Relationship Id="rId58" Type="http://schemas.openxmlformats.org/officeDocument/2006/relationships/hyperlink" Target="https://drive.google.com/file/d/1CM-Mzg5WmqKRaZSGTxZ4PFKxWZRQBbIY/view?usp=sharing" TargetMode="External"/><Relationship Id="rId590" Type="http://schemas.openxmlformats.org/officeDocument/2006/relationships/hyperlink" Target="https://drive.google.com/file/d/1xI-hxildqMFHQPOodqrnSf346ZMF67QH/view?usp=sharing" TargetMode="External"/><Relationship Id="rId107" Type="http://schemas.openxmlformats.org/officeDocument/2006/relationships/hyperlink" Target="https://drive.google.com/file/d/1aNsZgSTCcfvMVV9MYMmQ8yNg-SUsll8z/view?usp=sharing" TargetMode="External"/><Relationship Id="rId349" Type="http://schemas.openxmlformats.org/officeDocument/2006/relationships/hyperlink" Target="https://drive.google.com/file/d/1X-Ua8OvLHKe60t7l_VkqlxhyTWNBZcXx/view?usp=sharing" TargetMode="External"/><Relationship Id="rId106" Type="http://schemas.openxmlformats.org/officeDocument/2006/relationships/hyperlink" Target="https://drive.google.com/file/d/1WZtM2TdpNW2kMU3iAjRNxAjs2pl_9RBA/view?usp=sharing" TargetMode="External"/><Relationship Id="rId348" Type="http://schemas.openxmlformats.org/officeDocument/2006/relationships/hyperlink" Target="https://drive.google.com/file/d/1XCJofF8oeG7PluZhWkJNwW-OQYtAnZjN/view?usp=sharing" TargetMode="External"/><Relationship Id="rId105" Type="http://schemas.openxmlformats.org/officeDocument/2006/relationships/hyperlink" Target="https://drive.google.com/file/d/1x5dgBvwtRRv9xZiV6-H3TzmOEYC6Hi1E/view?usp=sharing" TargetMode="External"/><Relationship Id="rId347" Type="http://schemas.openxmlformats.org/officeDocument/2006/relationships/hyperlink" Target="https://drive.google.com/file/d/1Vglc8_nMnLmU_yFthhN8eG8EgESsUb-2/view?usp=sharing" TargetMode="External"/><Relationship Id="rId589" Type="http://schemas.openxmlformats.org/officeDocument/2006/relationships/hyperlink" Target="https://drive.google.com/file/d/1yV7gSf9T2dRgMe_KzaTaOhc7XeADvkH-/view?usp=sharing" TargetMode="External"/><Relationship Id="rId104" Type="http://schemas.openxmlformats.org/officeDocument/2006/relationships/hyperlink" Target="https://drive.google.com/file/d/1ZV7fkhCQSJS9Ph89GE-MV_zzzL4Kt9aM/view?usp=sharing" TargetMode="External"/><Relationship Id="rId346" Type="http://schemas.openxmlformats.org/officeDocument/2006/relationships/hyperlink" Target="https://drive.google.com/file/d/1cUT2ii91ttN4RBGPqeu0KhkkoDuFYM9r/view?usp=sharing" TargetMode="External"/><Relationship Id="rId588" Type="http://schemas.openxmlformats.org/officeDocument/2006/relationships/hyperlink" Target="https://drive.google.com/file/d/1Lxslgi-BAopaPRQGXtAipc4c6A_5f5YB/view?usp=sharing" TargetMode="External"/><Relationship Id="rId109" Type="http://schemas.openxmlformats.org/officeDocument/2006/relationships/hyperlink" Target="https://drive.google.com/file/d/1oF3Nz52GsN4Qmifxu9uA8oJIGN5H-P_V/view?usp=sharing" TargetMode="External"/><Relationship Id="rId108" Type="http://schemas.openxmlformats.org/officeDocument/2006/relationships/hyperlink" Target="https://drive.google.com/file/d/1gViRwTRIfH4h_dpyDUKoUftiOgcwGuEJ/view?usp=sharing" TargetMode="External"/><Relationship Id="rId341" Type="http://schemas.openxmlformats.org/officeDocument/2006/relationships/hyperlink" Target="https://drive.google.com/file/d/18J7_TqdqJZOll5B_bOVw4Mt_K1TeoeYn/view?usp=sharing" TargetMode="External"/><Relationship Id="rId583" Type="http://schemas.openxmlformats.org/officeDocument/2006/relationships/hyperlink" Target="https://drive.google.com/file/d/1a4-GD3-aFxWNi0a5JcNeotia9iDuu1I_/view?usp=sharing" TargetMode="External"/><Relationship Id="rId340" Type="http://schemas.openxmlformats.org/officeDocument/2006/relationships/hyperlink" Target="https://drive.google.com/file/d/1m0JSYyZ26hl2pXvxtlk5MIVd--15rKnr/view?usp=sharing" TargetMode="External"/><Relationship Id="rId582" Type="http://schemas.openxmlformats.org/officeDocument/2006/relationships/hyperlink" Target="https://drive.google.com/file/d/1U3Gn2JKXfJSZGK3z8X-aXzlfB6YkKEGL/view?usp=sharing" TargetMode="External"/><Relationship Id="rId581" Type="http://schemas.openxmlformats.org/officeDocument/2006/relationships/hyperlink" Target="https://drive.google.com/file/d/1JTgovCAox9lX-ofbWKIVeXorjJ8uZhbs/view?usp=sharing" TargetMode="External"/><Relationship Id="rId580" Type="http://schemas.openxmlformats.org/officeDocument/2006/relationships/hyperlink" Target="https://drive.google.com/file/d/1MTIMUbc3E24K-HrsBS1avJIISfWvlL2D/view?usp=sharing" TargetMode="External"/><Relationship Id="rId103" Type="http://schemas.openxmlformats.org/officeDocument/2006/relationships/hyperlink" Target="https://drive.google.com/file/d/13uDPA0AaikgjoMdIeoqtyXgzbRaDLyol/view?usp=sharing" TargetMode="External"/><Relationship Id="rId345" Type="http://schemas.openxmlformats.org/officeDocument/2006/relationships/hyperlink" Target="https://drive.google.com/file/d/1wri6QzOGMMZ7iLYSCpoxKh9QFMP4PrYI/view?usp=sharing" TargetMode="External"/><Relationship Id="rId587" Type="http://schemas.openxmlformats.org/officeDocument/2006/relationships/hyperlink" Target="https://drive.google.com/file/d/1s4Fpl-E1EBT6SNjCU91xzeKk_bCmGSD_/view?usp=sharing" TargetMode="External"/><Relationship Id="rId102" Type="http://schemas.openxmlformats.org/officeDocument/2006/relationships/hyperlink" Target="https://drive.google.com/file/d/1kqtnZLclAfRNLjwYBmnE6njQ749ZSuwp/view?usp=sharing" TargetMode="External"/><Relationship Id="rId344" Type="http://schemas.openxmlformats.org/officeDocument/2006/relationships/hyperlink" Target="https://drive.google.com/file/d/1ARtQsR48MjAMMW8Oqau6_p5wxV82qvF9/view?usp=sharing" TargetMode="External"/><Relationship Id="rId586" Type="http://schemas.openxmlformats.org/officeDocument/2006/relationships/hyperlink" Target="https://drive.google.com/file/d/1kUzyPydXeuAr8vnZzbggCsY2_RpdJspU/view?usp=sharing" TargetMode="External"/><Relationship Id="rId101" Type="http://schemas.openxmlformats.org/officeDocument/2006/relationships/hyperlink" Target="https://drive.google.com/file/d/1m5AXMprBTYg5kZFqV7_Q1umEEwvkY8SO/view?usp=sharing" TargetMode="External"/><Relationship Id="rId343" Type="http://schemas.openxmlformats.org/officeDocument/2006/relationships/hyperlink" Target="https://drive.google.com/file/d/18zr0To3M_6dy58Zygkp9RCH04EAF9NRC/view?usp=sharing" TargetMode="External"/><Relationship Id="rId585" Type="http://schemas.openxmlformats.org/officeDocument/2006/relationships/hyperlink" Target="https://drive.google.com/file/d/1B80p5cvzFnZhw5D5ON-E_mcIg40rKLiI/view?usp=sharing" TargetMode="External"/><Relationship Id="rId100" Type="http://schemas.openxmlformats.org/officeDocument/2006/relationships/hyperlink" Target="https://drive.google.com/file/d/1xGvTsMRdZTyUy5LX-JJFKMz3mFxGqIOl/view?usp=sharing" TargetMode="External"/><Relationship Id="rId342" Type="http://schemas.openxmlformats.org/officeDocument/2006/relationships/hyperlink" Target="https://drive.google.com/file/d/1Dmhd36-tfbB7QtAmaeu0SdDnwZB0e3ex/view?usp=sharing" TargetMode="External"/><Relationship Id="rId584" Type="http://schemas.openxmlformats.org/officeDocument/2006/relationships/hyperlink" Target="https://drive.google.com/file/d/13to-Hgl5RyYQAVzr4Tp6NYZe2y8JRSPk/view?usp=sharing" TargetMode="External"/><Relationship Id="rId338" Type="http://schemas.openxmlformats.org/officeDocument/2006/relationships/hyperlink" Target="https://drive.google.com/file/d/12U6p8KC75tbmiHFzz2R_wHngjdgd2Ls2/view?usp=sharing" TargetMode="External"/><Relationship Id="rId337" Type="http://schemas.openxmlformats.org/officeDocument/2006/relationships/hyperlink" Target="https://drive.google.com/file/d/1YdUL0QhRZDSt8dWzWyb32FaUt4_-0P5T/view?usp=sharing" TargetMode="External"/><Relationship Id="rId579" Type="http://schemas.openxmlformats.org/officeDocument/2006/relationships/hyperlink" Target="https://drive.google.com/file/d/10fc6i92z6ytGw6VviCGRw42S2c7ZR3rH/view?usp=sharing" TargetMode="External"/><Relationship Id="rId336" Type="http://schemas.openxmlformats.org/officeDocument/2006/relationships/hyperlink" Target="https://drive.google.com/file/d/1fwbPCPQZleuWomKziHIYBGvDAytnTOAo/view?usp=sharing" TargetMode="External"/><Relationship Id="rId578" Type="http://schemas.openxmlformats.org/officeDocument/2006/relationships/hyperlink" Target="https://drive.google.com/file/d/1C-4L2TFw8nFnLTFd7EX-izvmoGhLfKwo/view?usp=sharing" TargetMode="External"/><Relationship Id="rId335" Type="http://schemas.openxmlformats.org/officeDocument/2006/relationships/hyperlink" Target="https://drive.google.com/file/d/1Jh_oKiNbXvlMH1jTVrWZPKPWE7SlFLij/view?usp=sharing" TargetMode="External"/><Relationship Id="rId577" Type="http://schemas.openxmlformats.org/officeDocument/2006/relationships/hyperlink" Target="https://drive.google.com/file/d/17X-3m8qsrT7eT11I_8M7jfgrTwAD8cHf/view?usp=sharing" TargetMode="External"/><Relationship Id="rId339" Type="http://schemas.openxmlformats.org/officeDocument/2006/relationships/hyperlink" Target="https://drive.google.com/file/d/1q7uRdhsw2H8-SVt_C8GDunpgkKJrUSQT/view?usp=sharing" TargetMode="External"/><Relationship Id="rId330" Type="http://schemas.openxmlformats.org/officeDocument/2006/relationships/hyperlink" Target="https://drive.google.com/file/d/1I6z2ZFiBVJvAWQVIVjZgKd0hX-6xPB_q/view?usp=sharing" TargetMode="External"/><Relationship Id="rId572" Type="http://schemas.openxmlformats.org/officeDocument/2006/relationships/hyperlink" Target="https://drive.google.com/file/d/12Y6fbKl5Zdw6d07J1xJBaj4lAPROmazI/view?usp=sharing" TargetMode="External"/><Relationship Id="rId571" Type="http://schemas.openxmlformats.org/officeDocument/2006/relationships/hyperlink" Target="https://drive.google.com/file/d/1ABdds2MdQUVQf9VyxBc2j9nG3BlkhKkx/view?usp=sharing" TargetMode="External"/><Relationship Id="rId570" Type="http://schemas.openxmlformats.org/officeDocument/2006/relationships/hyperlink" Target="https://drive.google.com/file/d/1Q6rkEO8DpAgAgRtnJn8XueOld0eKKBY-/view?usp=sharing" TargetMode="External"/><Relationship Id="rId334" Type="http://schemas.openxmlformats.org/officeDocument/2006/relationships/hyperlink" Target="https://drive.google.com/file/d/1P-ccklEzGSr1nZIKfyrlq5OA9jgoGxcu/view?usp=sharing" TargetMode="External"/><Relationship Id="rId576" Type="http://schemas.openxmlformats.org/officeDocument/2006/relationships/hyperlink" Target="https://drive.google.com/file/d/11d3FGOSZx9Ij8wsmtkVJcfMcv_hiPfph/view?usp=sharing" TargetMode="External"/><Relationship Id="rId333" Type="http://schemas.openxmlformats.org/officeDocument/2006/relationships/hyperlink" Target="https://drive.google.com/file/d/1xjxD10GzWwrS9AD-3uk7IFGRlth9yuk7/view?usp=sharing" TargetMode="External"/><Relationship Id="rId575" Type="http://schemas.openxmlformats.org/officeDocument/2006/relationships/hyperlink" Target="https://drive.google.com/file/d/1X_Tdug5Eq7sQlixUP7cyqhnuOQkXU0fv/view?usp=sharing" TargetMode="External"/><Relationship Id="rId332" Type="http://schemas.openxmlformats.org/officeDocument/2006/relationships/hyperlink" Target="https://drive.google.com/file/d/1sapI8zTlfCvT73IpLELzeo_5qMNNOJ-x/view?usp=sharing" TargetMode="External"/><Relationship Id="rId574" Type="http://schemas.openxmlformats.org/officeDocument/2006/relationships/hyperlink" Target="https://drive.google.com/file/d/1MT9M21HHq1d44nK2ro2AxYhz8w8jYylj/view?usp=sharing" TargetMode="External"/><Relationship Id="rId331" Type="http://schemas.openxmlformats.org/officeDocument/2006/relationships/hyperlink" Target="https://drive.google.com/file/d/1gntyxeOpsu5GB0MI5i0AYSO-lmlfOFFB/view?usp=sharing" TargetMode="External"/><Relationship Id="rId573" Type="http://schemas.openxmlformats.org/officeDocument/2006/relationships/hyperlink" Target="https://drive.google.com/file/d/1hTdh2Rt8gtO_3sByWoAxPdxszy1Gd50X/view?usp=sharing" TargetMode="External"/><Relationship Id="rId370" Type="http://schemas.openxmlformats.org/officeDocument/2006/relationships/hyperlink" Target="https://drive.google.com/file/d/1FJsdOgVA0Ojfu4CByJLL3aKP3bP2Ku15/view?usp=sharing" TargetMode="External"/><Relationship Id="rId129" Type="http://schemas.openxmlformats.org/officeDocument/2006/relationships/hyperlink" Target="https://drive.google.com/file/d/15UbW-sn2QMaNLZOxcW4Fv0MnL8xJnh-Y/view?usp=sharing" TargetMode="External"/><Relationship Id="rId128" Type="http://schemas.openxmlformats.org/officeDocument/2006/relationships/hyperlink" Target="https://drive.google.com/file/d/1dfLvKm7zoLeOOGkWTigpOWpFgjANnIiH/view?usp=sharing" TargetMode="External"/><Relationship Id="rId127" Type="http://schemas.openxmlformats.org/officeDocument/2006/relationships/hyperlink" Target="https://drive.google.com/file/d/1BTH36yC_fwNxQRKK3WuR0tMOaBVImXeT/view?usp=sharing" TargetMode="External"/><Relationship Id="rId369" Type="http://schemas.openxmlformats.org/officeDocument/2006/relationships/hyperlink" Target="https://drive.google.com/file/d/14KFYk-nkDDoN8qTZPWcjlDKtTwQ2n4j7/view?usp=sharing" TargetMode="External"/><Relationship Id="rId126" Type="http://schemas.openxmlformats.org/officeDocument/2006/relationships/hyperlink" Target="https://drive.google.com/file/d/1Aaq1RexSKVNiaNUZFwfcftUmOdqa2LGk/view?usp=sharing" TargetMode="External"/><Relationship Id="rId368" Type="http://schemas.openxmlformats.org/officeDocument/2006/relationships/hyperlink" Target="https://drive.google.com/file/d/14AOdAZnANz46vLWFazJUg5JgUe70LiAC/view?usp=sharing" TargetMode="External"/><Relationship Id="rId121" Type="http://schemas.openxmlformats.org/officeDocument/2006/relationships/hyperlink" Target="https://drive.google.com/file/d/17KVjH0qTz3ylPmgPnfNM7u21htOs9us0/view?usp=sharing" TargetMode="External"/><Relationship Id="rId363" Type="http://schemas.openxmlformats.org/officeDocument/2006/relationships/hyperlink" Target="https://drive.google.com/file/d/1FXy6PTNa19JJfWNytoHDrpq6X9uH1y4F/view?usp=sharing" TargetMode="External"/><Relationship Id="rId120" Type="http://schemas.openxmlformats.org/officeDocument/2006/relationships/hyperlink" Target="https://drive.google.com/file/d/1dQad9X5NrUh-_eG9AVTQikYXo0-QmDR8/view?usp=sharing" TargetMode="External"/><Relationship Id="rId362" Type="http://schemas.openxmlformats.org/officeDocument/2006/relationships/hyperlink" Target="https://drive.google.com/file/d/1cs5eegHvIwKPkWlD-49p1ZqvEXIbdgJu/view?usp=sharing" TargetMode="External"/><Relationship Id="rId361" Type="http://schemas.openxmlformats.org/officeDocument/2006/relationships/hyperlink" Target="https://drive.google.com/file/d/1kjhyeV83ITxa3cyhNtZzcO6yhECVdEYR/view?usp=sharing" TargetMode="External"/><Relationship Id="rId360" Type="http://schemas.openxmlformats.org/officeDocument/2006/relationships/hyperlink" Target="https://drive.google.com/file/d/173Qzbfy-qv8bLRmdvMP8542xSyKFNsbH/view?usp=sharing" TargetMode="External"/><Relationship Id="rId125" Type="http://schemas.openxmlformats.org/officeDocument/2006/relationships/hyperlink" Target="https://drive.google.com/file/d/16StgEyp2L5J0UGlUJDhy04u6mYwKYIux/view?usp=sharing" TargetMode="External"/><Relationship Id="rId367" Type="http://schemas.openxmlformats.org/officeDocument/2006/relationships/hyperlink" Target="https://drive.google.com/file/d/18sv3RVcCvqaaxOZEzS7EkwGbS4A9lnDW/view?usp=sharing" TargetMode="External"/><Relationship Id="rId124" Type="http://schemas.openxmlformats.org/officeDocument/2006/relationships/hyperlink" Target="https://drive.google.com/file/d/1lPKTJyMOvbGSwD7r40k_JfNvbZ_1qFfa/view?usp=sharing" TargetMode="External"/><Relationship Id="rId366" Type="http://schemas.openxmlformats.org/officeDocument/2006/relationships/hyperlink" Target="https://drive.google.com/file/d/1K9efIs3IiJFKhhB4V3RDmWCS0PjZm3n8/view?usp=sharing" TargetMode="External"/><Relationship Id="rId123" Type="http://schemas.openxmlformats.org/officeDocument/2006/relationships/hyperlink" Target="https://drive.google.com/file/d/1YJTR6Rz6oDzqKX3YFenAtnO591peiEzq/view?usp=sharing" TargetMode="External"/><Relationship Id="rId365" Type="http://schemas.openxmlformats.org/officeDocument/2006/relationships/hyperlink" Target="https://drive.google.com/file/d/1DVLmKCJ9JDSWor_yQvd58452PPCFJHOh/view?usp=sharing" TargetMode="External"/><Relationship Id="rId122" Type="http://schemas.openxmlformats.org/officeDocument/2006/relationships/hyperlink" Target="https://drive.google.com/file/d/1wu4_Py7DvtiXrhycbPGgixhd67vqQZ8q/view?usp=sharing" TargetMode="External"/><Relationship Id="rId364" Type="http://schemas.openxmlformats.org/officeDocument/2006/relationships/hyperlink" Target="https://drive.google.com/file/d/1o9V-9BHxAtZlTGHqaGmwQRor-qFZzF3_/view?usp=sharing" TargetMode="External"/><Relationship Id="rId95" Type="http://schemas.openxmlformats.org/officeDocument/2006/relationships/hyperlink" Target="https://drive.google.com/file/d/1J52L0ur_J2nZfMfRKd2Bvo56C2DKr58Y/view?usp=sharing" TargetMode="External"/><Relationship Id="rId94" Type="http://schemas.openxmlformats.org/officeDocument/2006/relationships/hyperlink" Target="https://drive.google.com/file/d/1L3dPeYEu50Q1dDs_Ri4KlOW6rmnn3E9N/view?usp=sharing" TargetMode="External"/><Relationship Id="rId97" Type="http://schemas.openxmlformats.org/officeDocument/2006/relationships/hyperlink" Target="https://drive.google.com/file/d/1DsVHL5p9eMZq63tQeNFWxAkMlN73ov16/view?usp=sharing" TargetMode="External"/><Relationship Id="rId96" Type="http://schemas.openxmlformats.org/officeDocument/2006/relationships/hyperlink" Target="https://drive.google.com/file/d/1grr0cCoBaQrb01oHjUKDlXXEdjbIRXRu/view?usp=sharing" TargetMode="External"/><Relationship Id="rId99" Type="http://schemas.openxmlformats.org/officeDocument/2006/relationships/hyperlink" Target="https://drive.google.com/file/d/1lP_9vSeYWYq5-KrAF-jxjAamwnGCONA7/view?usp=sharing" TargetMode="External"/><Relationship Id="rId98" Type="http://schemas.openxmlformats.org/officeDocument/2006/relationships/hyperlink" Target="https://drive.google.com/file/d/1piNe0PcGVzfOOd-1weIuamBY06z6CVGg/view?usp=sharing" TargetMode="External"/><Relationship Id="rId91" Type="http://schemas.openxmlformats.org/officeDocument/2006/relationships/hyperlink" Target="https://drive.google.com/file/d/1NMNJKsoc65EGaPbKiF1chCgiHylx_tSl/view?usp=sharing" TargetMode="External"/><Relationship Id="rId90" Type="http://schemas.openxmlformats.org/officeDocument/2006/relationships/hyperlink" Target="https://drive.google.com/file/d/1KqxuFwJ8mB3ME_P4ZLKzxqAj04wzP7i5/view?usp=sharing" TargetMode="External"/><Relationship Id="rId93" Type="http://schemas.openxmlformats.org/officeDocument/2006/relationships/hyperlink" Target="https://drive.google.com/file/d/1Ez-ndeRQ706ENMny2690dwsNQVe8jkMp/view?usp=sharing" TargetMode="External"/><Relationship Id="rId92" Type="http://schemas.openxmlformats.org/officeDocument/2006/relationships/hyperlink" Target="https://drive.google.com/file/d/15HR5peev9Kx71lpYDyhL5huGQGMy91x4/view?usp=sharing" TargetMode="External"/><Relationship Id="rId118" Type="http://schemas.openxmlformats.org/officeDocument/2006/relationships/hyperlink" Target="https://drive.google.com/file/d/1aqRkPTddfUUF4QT48Uw23Q2pfSOvcCDC/view?usp=sharing" TargetMode="External"/><Relationship Id="rId117" Type="http://schemas.openxmlformats.org/officeDocument/2006/relationships/hyperlink" Target="https://drive.google.com/file/d/1u1TQ-FfIu2bR_OE1DFr7UQkMZeYoUB8X/view?usp=sharing" TargetMode="External"/><Relationship Id="rId359" Type="http://schemas.openxmlformats.org/officeDocument/2006/relationships/hyperlink" Target="https://drive.google.com/file/d/1TeBcwwZA77gU02t2HdIuPJW25HO4HFZi/view?usp=sharing" TargetMode="External"/><Relationship Id="rId116" Type="http://schemas.openxmlformats.org/officeDocument/2006/relationships/hyperlink" Target="https://drive.google.com/file/d/1g6fcJjfkTnaAQ1ch5xqkJA4FJBFXU3RA/view?usp=sharing" TargetMode="External"/><Relationship Id="rId358" Type="http://schemas.openxmlformats.org/officeDocument/2006/relationships/hyperlink" Target="https://drive.google.com/file/d/1f9WdgbV1LlYLvMdXAwFfYwarOg0RBs6i/view?usp=sharing" TargetMode="External"/><Relationship Id="rId115" Type="http://schemas.openxmlformats.org/officeDocument/2006/relationships/hyperlink" Target="https://drive.google.com/file/d/1_nEH9CaQDRhXFKO63zj3udZSS7T8ejIh/view?usp=sharing" TargetMode="External"/><Relationship Id="rId357" Type="http://schemas.openxmlformats.org/officeDocument/2006/relationships/hyperlink" Target="https://drive.google.com/file/d/16E8Evrk7a-zJhtaQEG0vePYWZULXcfRf/view?usp=sharing" TargetMode="External"/><Relationship Id="rId599" Type="http://schemas.openxmlformats.org/officeDocument/2006/relationships/hyperlink" Target="https://drive.google.com/file/d/1YcRf9I0BpgZDTcbCPjdzb1UTAsIYi3oa/view?usp=sharing" TargetMode="External"/><Relationship Id="rId119" Type="http://schemas.openxmlformats.org/officeDocument/2006/relationships/hyperlink" Target="https://drive.google.com/file/d/1Cyx6De70x9mVwXc1v_DEzTfYPFZUAhYu/view?usp=sharing" TargetMode="External"/><Relationship Id="rId110" Type="http://schemas.openxmlformats.org/officeDocument/2006/relationships/hyperlink" Target="https://drive.google.com/file/d/1jS0jmwh_k2ajj-Wy_1MPqw0I7wW2k45C/view?usp=sharing" TargetMode="External"/><Relationship Id="rId352" Type="http://schemas.openxmlformats.org/officeDocument/2006/relationships/hyperlink" Target="https://drive.google.com/file/d/1Z1s-RBPYV4G9SAduy5o7BHCWg6Y1Ur87/view?usp=sharing" TargetMode="External"/><Relationship Id="rId594" Type="http://schemas.openxmlformats.org/officeDocument/2006/relationships/hyperlink" Target="https://drive.google.com/file/d/19Osn6u_SG3bSJCYGUuvQdKRSL3PMO2yG/view?usp=sharing" TargetMode="External"/><Relationship Id="rId351" Type="http://schemas.openxmlformats.org/officeDocument/2006/relationships/hyperlink" Target="https://drive.google.com/file/d/11wuj85q9vhW0k_fdBtaLbHMezzKKL2JA/view?usp=sharing" TargetMode="External"/><Relationship Id="rId593" Type="http://schemas.openxmlformats.org/officeDocument/2006/relationships/hyperlink" Target="https://drive.google.com/file/d/1pSYzXyDXrmhVEuDx7AISTTIxm-CajnHz/view?usp=sharing" TargetMode="External"/><Relationship Id="rId350" Type="http://schemas.openxmlformats.org/officeDocument/2006/relationships/hyperlink" Target="https://drive.google.com/file/d/17IEvXGrcvpJjgRmWj_rd9sIop1BQXCdT/view?usp=sharing" TargetMode="External"/><Relationship Id="rId592" Type="http://schemas.openxmlformats.org/officeDocument/2006/relationships/hyperlink" Target="https://drive.google.com/file/d/1xxbhO3SChTAvufmr3Q7QDjQ_m6X34_Zq/view?usp=sharing" TargetMode="External"/><Relationship Id="rId591" Type="http://schemas.openxmlformats.org/officeDocument/2006/relationships/hyperlink" Target="https://drive.google.com/file/d/16Tbzjuy7qXG7NbVuiwRaD_s6ql_JKFkm/view?usp=sharing" TargetMode="External"/><Relationship Id="rId114" Type="http://schemas.openxmlformats.org/officeDocument/2006/relationships/hyperlink" Target="https://drive.google.com/file/d/1rWNudH9bZz-T4KKgfHXCB7a2fW-Lhymq/view?usp=sharing" TargetMode="External"/><Relationship Id="rId356" Type="http://schemas.openxmlformats.org/officeDocument/2006/relationships/hyperlink" Target="https://drive.google.com/file/d/1IKSg8rwvMe2iJrWoyN4vu4T1JC9UEWmM/view?usp=sharing" TargetMode="External"/><Relationship Id="rId598" Type="http://schemas.openxmlformats.org/officeDocument/2006/relationships/hyperlink" Target="https://drive.google.com/file/d/1iw1FRzuUFNOYDgiSaKHX2-HSI_oMe19U/view?usp=sharing" TargetMode="External"/><Relationship Id="rId113" Type="http://schemas.openxmlformats.org/officeDocument/2006/relationships/hyperlink" Target="https://drive.google.com/file/d/1Ljtlg7qOXG165nwrNUVjwahAIIAeJahx/view?usp=sharing" TargetMode="External"/><Relationship Id="rId355" Type="http://schemas.openxmlformats.org/officeDocument/2006/relationships/hyperlink" Target="https://drive.google.com/file/d/1XgJldfKjU3NlVT3DstAy2arV4EASxt_A/view?usp=sharing" TargetMode="External"/><Relationship Id="rId597" Type="http://schemas.openxmlformats.org/officeDocument/2006/relationships/hyperlink" Target="https://drive.google.com/file/d/13T8Q5f_STvnFJhlYDvqBWtfOQi6lM9gH/view?usp=sharing" TargetMode="External"/><Relationship Id="rId112" Type="http://schemas.openxmlformats.org/officeDocument/2006/relationships/hyperlink" Target="https://drive.google.com/file/d/1mx_0sRL-VdB6m0Elny9rvOFOmTNBzBpM/view?usp=sharing" TargetMode="External"/><Relationship Id="rId354" Type="http://schemas.openxmlformats.org/officeDocument/2006/relationships/hyperlink" Target="https://drive.google.com/file/d/1d-OXjCUznntsySG7SjWtTgOtLjCRQzwl/view?usp=sharing" TargetMode="External"/><Relationship Id="rId596" Type="http://schemas.openxmlformats.org/officeDocument/2006/relationships/hyperlink" Target="https://drive.google.com/file/d/18vEdn2gnvhla8wZkrlx8UggirZxVc0zC/view?usp=sharing" TargetMode="External"/><Relationship Id="rId111" Type="http://schemas.openxmlformats.org/officeDocument/2006/relationships/hyperlink" Target="https://drive.google.com/file/d/1mvpVHhiH_tZqMdn8pSZKA5uekrxVaK9M/view?usp=sharing" TargetMode="External"/><Relationship Id="rId353" Type="http://schemas.openxmlformats.org/officeDocument/2006/relationships/hyperlink" Target="https://drive.google.com/file/d/1E5Itn5FLJpl3vXEkFhyx0h2dmVR6PTVN/view?usp=sharing" TargetMode="External"/><Relationship Id="rId595" Type="http://schemas.openxmlformats.org/officeDocument/2006/relationships/hyperlink" Target="https://drive.google.com/file/d/1fREh8rWrtG0V8G9JM9Au3ZH24waBTn_I/view?usp=sharing" TargetMode="External"/><Relationship Id="rId305" Type="http://schemas.openxmlformats.org/officeDocument/2006/relationships/hyperlink" Target="https://drive.google.com/file/d/1giF16a6g5I1GN1gaMLQBtgzk-6gb4_Cv/view?usp=sharing" TargetMode="External"/><Relationship Id="rId547" Type="http://schemas.openxmlformats.org/officeDocument/2006/relationships/hyperlink" Target="https://drive.google.com/file/d/1lx-OPDIScLHa8x9vA-ms9-lI-o9cEdGY/view?usp=sharing" TargetMode="External"/><Relationship Id="rId789" Type="http://schemas.openxmlformats.org/officeDocument/2006/relationships/hyperlink" Target="https://drive.google.com/file/d/1KryLF5gVcCwInTN7K6kp3bEq1BUrWuVU/view?usp=sharing" TargetMode="External"/><Relationship Id="rId304" Type="http://schemas.openxmlformats.org/officeDocument/2006/relationships/hyperlink" Target="https://drive.google.com/file/d/1ZelIDO3KJm0MFKZzKhgBApQahhEaeWsr/view?usp=sharing" TargetMode="External"/><Relationship Id="rId546" Type="http://schemas.openxmlformats.org/officeDocument/2006/relationships/hyperlink" Target="https://drive.google.com/file/d/1gljb-Rc_U0KSX4Q7OILaBtOISWuy9J4r/view?usp=sharing" TargetMode="External"/><Relationship Id="rId788" Type="http://schemas.openxmlformats.org/officeDocument/2006/relationships/hyperlink" Target="https://drive.google.com/file/d/1hNFmGFWOg4LXUtLe6rlN-ppmh92_0L28/view?usp=sharing" TargetMode="External"/><Relationship Id="rId303" Type="http://schemas.openxmlformats.org/officeDocument/2006/relationships/hyperlink" Target="https://drive.google.com/file/d/1CbgXPrY-_NaXUlMI4McbqKU_lV4IgXa6/view?usp=sharing" TargetMode="External"/><Relationship Id="rId545" Type="http://schemas.openxmlformats.org/officeDocument/2006/relationships/hyperlink" Target="https://drive.google.com/file/d/1mfP1YY6zJ6GMueK_WdAvU9gnJi-IJybs/view?usp=sharing" TargetMode="External"/><Relationship Id="rId787" Type="http://schemas.openxmlformats.org/officeDocument/2006/relationships/hyperlink" Target="https://drive.google.com/file/d/1UoGISSdiLjzNRaMLEolaT4zttUt8BZ4x/view?usp=sharing" TargetMode="External"/><Relationship Id="rId302" Type="http://schemas.openxmlformats.org/officeDocument/2006/relationships/hyperlink" Target="https://drive.google.com/file/d/1k_mbn-XiYU5fsHBudVNyFiYoXVAqX2Dh/view?usp=sharing" TargetMode="External"/><Relationship Id="rId544" Type="http://schemas.openxmlformats.org/officeDocument/2006/relationships/hyperlink" Target="https://drive.google.com/file/d/1og5xt6ZoGWC9fXGGjcX6oi5fm9oIBjby/view?usp=sharing" TargetMode="External"/><Relationship Id="rId786" Type="http://schemas.openxmlformats.org/officeDocument/2006/relationships/hyperlink" Target="https://drive.google.com/file/d/1ZDPtZaQfecphMrhZiCmYwWPEWwHYNNIC/view?usp=sharing" TargetMode="External"/><Relationship Id="rId309" Type="http://schemas.openxmlformats.org/officeDocument/2006/relationships/hyperlink" Target="https://drive.google.com/file/d/1Fm6Yg1KAjOeY79DrY0_Ej01Q6Lx6daan/view?usp=sharing" TargetMode="External"/><Relationship Id="rId308" Type="http://schemas.openxmlformats.org/officeDocument/2006/relationships/hyperlink" Target="https://drive.google.com/file/d/1PW0j2dpJZQ5KAS8D66mVgSuTmW5J5sH5/view?usp=sharing" TargetMode="External"/><Relationship Id="rId307" Type="http://schemas.openxmlformats.org/officeDocument/2006/relationships/hyperlink" Target="https://drive.google.com/file/d/14lAM2QNfUvX5xFoA3k2FF-_i6UZyPPXy/view?usp=sharing" TargetMode="External"/><Relationship Id="rId549" Type="http://schemas.openxmlformats.org/officeDocument/2006/relationships/hyperlink" Target="https://drive.google.com/file/d/1cJLlEwE7KlQXL0fniZPss03c3OWy4dbL/view?usp=sharing" TargetMode="External"/><Relationship Id="rId306" Type="http://schemas.openxmlformats.org/officeDocument/2006/relationships/hyperlink" Target="https://drive.google.com/file/d/17tf1Mm5xHWF4PZw0c9jFeFvxYOVCfpG_/view?usp=sharing" TargetMode="External"/><Relationship Id="rId548" Type="http://schemas.openxmlformats.org/officeDocument/2006/relationships/hyperlink" Target="https://drive.google.com/file/d/1TBLzQ7qk1qBt4FBvwuLQzFUIRvybIQrm/view?usp=sharing" TargetMode="External"/><Relationship Id="rId781" Type="http://schemas.openxmlformats.org/officeDocument/2006/relationships/hyperlink" Target="https://drive.google.com/file/d/1K7V99UHznN_y5KO21M73U9bxga0wzf7B/view?usp=sharing" TargetMode="External"/><Relationship Id="rId780" Type="http://schemas.openxmlformats.org/officeDocument/2006/relationships/hyperlink" Target="https://drive.google.com/file/d/1C1rDXBF2GfOhg4f12Ktub-Cnq5FavP1K/view?usp=sharing" TargetMode="External"/><Relationship Id="rId301" Type="http://schemas.openxmlformats.org/officeDocument/2006/relationships/hyperlink" Target="https://drive.google.com/file/d/1SHnamMhcQOV9N6pqQ0qRKKJW3s9ELOTM/view?usp=sharing" TargetMode="External"/><Relationship Id="rId543" Type="http://schemas.openxmlformats.org/officeDocument/2006/relationships/hyperlink" Target="https://drive.google.com/file/d/1QXsOoyYdcObX7zEPiMfYiLNs7kJN3bIc/view?usp=sharing" TargetMode="External"/><Relationship Id="rId785" Type="http://schemas.openxmlformats.org/officeDocument/2006/relationships/hyperlink" Target="https://drive.google.com/file/d/1NfBiHuWDfyZk3hBrU4yz1jip8qPaTp6q/view?usp=sharing" TargetMode="External"/><Relationship Id="rId300" Type="http://schemas.openxmlformats.org/officeDocument/2006/relationships/hyperlink" Target="https://drive.google.com/file/d/1kugbdul3f9aa0K_dJSf87nuuwVsSzlYq/view?usp=sharing" TargetMode="External"/><Relationship Id="rId542" Type="http://schemas.openxmlformats.org/officeDocument/2006/relationships/hyperlink" Target="https://drive.google.com/file/d/122682v-FR8R3mcqRRuCy6SlS9uGvtX2F/view?usp=sharing" TargetMode="External"/><Relationship Id="rId784" Type="http://schemas.openxmlformats.org/officeDocument/2006/relationships/hyperlink" Target="https://drive.google.com/file/d/1xQqQ9KPknofWPFnanDRKj9vF8RnJDwXZ/view?usp=sharing" TargetMode="External"/><Relationship Id="rId541" Type="http://schemas.openxmlformats.org/officeDocument/2006/relationships/hyperlink" Target="https://drive.google.com/file/d/1F1E1QRD1m0LGYuzgb05cIfHyNMgBzuzg/view?usp=sharing" TargetMode="External"/><Relationship Id="rId783" Type="http://schemas.openxmlformats.org/officeDocument/2006/relationships/hyperlink" Target="https://drive.google.com/file/d/1kI-ULubdkYOTQ0pYoiyIPx2ncQai7GOL/view?usp=sharing" TargetMode="External"/><Relationship Id="rId540" Type="http://schemas.openxmlformats.org/officeDocument/2006/relationships/hyperlink" Target="https://drive.google.com/file/d/1cSWgU5y-4LUJyNA7-OGbFlDvy6ozUP_-/view?usp=sharing" TargetMode="External"/><Relationship Id="rId782" Type="http://schemas.openxmlformats.org/officeDocument/2006/relationships/hyperlink" Target="https://drive.google.com/file/d/16RW5cHpD4nI8zOIT07fZ-n4VqHmx_8fK/view?usp=sharing" TargetMode="External"/><Relationship Id="rId536" Type="http://schemas.openxmlformats.org/officeDocument/2006/relationships/hyperlink" Target="https://drive.google.com/file/d/1XpAsogdR6EF4NR1_VcLgFCpsUdv00RWy/view?usp=sharing" TargetMode="External"/><Relationship Id="rId778" Type="http://schemas.openxmlformats.org/officeDocument/2006/relationships/hyperlink" Target="https://drive.google.com/file/d/1cjt2imPKifjFhwKtRJB0_WoyGm72_srL/view?usp=sharing" TargetMode="External"/><Relationship Id="rId535" Type="http://schemas.openxmlformats.org/officeDocument/2006/relationships/hyperlink" Target="https://drive.google.com/file/d/1nZs-7oL5UvKDzrqq-zsbM9IW0E8LYs1T/view?usp=sharing" TargetMode="External"/><Relationship Id="rId777" Type="http://schemas.openxmlformats.org/officeDocument/2006/relationships/hyperlink" Target="https://drive.google.com/file/d/1EHDUoht6DNotE6LLsdO7brtl6Y2BCmRL/view?usp=sharing" TargetMode="External"/><Relationship Id="rId534" Type="http://schemas.openxmlformats.org/officeDocument/2006/relationships/hyperlink" Target="https://drive.google.com/file/d/1leK4-2Ltuez6ha8WzEE-PVYE4KqYodk4/view?usp=sharing" TargetMode="External"/><Relationship Id="rId776" Type="http://schemas.openxmlformats.org/officeDocument/2006/relationships/hyperlink" Target="https://drive.google.com/file/d/1657n0ULXfT230k64stpEXkU-cqsZpHQs/view?usp=sharing" TargetMode="External"/><Relationship Id="rId533" Type="http://schemas.openxmlformats.org/officeDocument/2006/relationships/hyperlink" Target="https://drive.google.com/file/d/1Ehznlh2ie3qc6PJOmLE4CqANBFws8gRw/view?usp=sharing" TargetMode="External"/><Relationship Id="rId775" Type="http://schemas.openxmlformats.org/officeDocument/2006/relationships/hyperlink" Target="https://drive.google.com/file/d/1QLxjlNSL5zU0FZXrIh8fZwE8f3_PTFhY/view?usp=sharing" TargetMode="External"/><Relationship Id="rId539" Type="http://schemas.openxmlformats.org/officeDocument/2006/relationships/hyperlink" Target="https://drive.google.com/file/d/1mQYtZUMOw-N2BaBNv-PZLuAl5qI2894t/view?usp=sharing" TargetMode="External"/><Relationship Id="rId538" Type="http://schemas.openxmlformats.org/officeDocument/2006/relationships/hyperlink" Target="https://drive.google.com/file/d/1AxYunuczqEb1ZjOrZOsxGO6-yCocuUT-/view?usp=sharing" TargetMode="External"/><Relationship Id="rId537" Type="http://schemas.openxmlformats.org/officeDocument/2006/relationships/hyperlink" Target="https://drive.google.com/file/d/1VSR070GnRtALNbwLvM2OFzvGO9V5O5gm/view?usp=sharing" TargetMode="External"/><Relationship Id="rId779" Type="http://schemas.openxmlformats.org/officeDocument/2006/relationships/hyperlink" Target="https://drive.google.com/file/d/1whUzH3YuJf3tnM3IGGNgxVrTTH5JXVVa/view?usp=sharing" TargetMode="External"/><Relationship Id="rId770" Type="http://schemas.openxmlformats.org/officeDocument/2006/relationships/hyperlink" Target="https://drive.google.com/file/d/1ncRFehdg__3yXlvO5G9fOGl5kUFGaDVG/view?usp=sharing" TargetMode="External"/><Relationship Id="rId532" Type="http://schemas.openxmlformats.org/officeDocument/2006/relationships/hyperlink" Target="https://drive.google.com/file/d/1bv0wXl5V8mSsTJI0VhLqcW7nrE_78UeP/view?usp=sharing" TargetMode="External"/><Relationship Id="rId774" Type="http://schemas.openxmlformats.org/officeDocument/2006/relationships/hyperlink" Target="https://drive.google.com/file/d/1z3pkRvTxVKf2FjzYBAyC69dkw_YN4zqJ/view?usp=sharing" TargetMode="External"/><Relationship Id="rId531" Type="http://schemas.openxmlformats.org/officeDocument/2006/relationships/hyperlink" Target="https://drive.google.com/file/d/1tZlzkkTRKquQVXBlEgxQcr-rSWDqIwt9/view?usp=sharing" TargetMode="External"/><Relationship Id="rId773" Type="http://schemas.openxmlformats.org/officeDocument/2006/relationships/hyperlink" Target="https://drive.google.com/file/d/1bquJy4qVAfpfWMMnUUaLP6qRrlETLQxn/view?usp=sharing" TargetMode="External"/><Relationship Id="rId530" Type="http://schemas.openxmlformats.org/officeDocument/2006/relationships/hyperlink" Target="https://drive.google.com/file/d/10gLuHS_BdUuDwqfVAiDR-2EKUonPg-Rz/view?usp=sharing" TargetMode="External"/><Relationship Id="rId772" Type="http://schemas.openxmlformats.org/officeDocument/2006/relationships/hyperlink" Target="https://drive.google.com/file/d/1GDTflkPYmZbszS2rKg7DwR6yiv9svqqT/view?usp=sharing" TargetMode="External"/><Relationship Id="rId771" Type="http://schemas.openxmlformats.org/officeDocument/2006/relationships/hyperlink" Target="https://drive.google.com/file/d/1hRZc6KaxT0aY3gN7jVwY0B1AIHa-yD6r/view?usp=sharing" TargetMode="External"/><Relationship Id="rId327" Type="http://schemas.openxmlformats.org/officeDocument/2006/relationships/hyperlink" Target="https://drive.google.com/file/d/1K5JCNjBDT0jw6l5V8mXFpPzkvQH12ZzT/view?usp=sharing" TargetMode="External"/><Relationship Id="rId569" Type="http://schemas.openxmlformats.org/officeDocument/2006/relationships/hyperlink" Target="https://drive.google.com/file/d/1Pv_s0UsgTzo5IXC1Re1alk5M8k9Uux62/view?usp=sharing" TargetMode="External"/><Relationship Id="rId326" Type="http://schemas.openxmlformats.org/officeDocument/2006/relationships/hyperlink" Target="https://drive.google.com/file/d/16Z5N2OZu_3SybcQtW5ZTltmHVFMYDeIS/view?usp=sharing" TargetMode="External"/><Relationship Id="rId568" Type="http://schemas.openxmlformats.org/officeDocument/2006/relationships/hyperlink" Target="https://drive.google.com/file/d/1YjBSyz1-5Fv0FS11LKOymUm5d3xBfkgZ/view?usp=sharing" TargetMode="External"/><Relationship Id="rId325" Type="http://schemas.openxmlformats.org/officeDocument/2006/relationships/hyperlink" Target="https://drive.google.com/file/d/1cWTXiPVApHfDMXQdNqoTVRsJdN_5EQ-k/view?usp=sharing" TargetMode="External"/><Relationship Id="rId567" Type="http://schemas.openxmlformats.org/officeDocument/2006/relationships/hyperlink" Target="https://drive.google.com/file/d/15WQqgFqfkgxXqzRH8_qF1EBL4YnRKW6L/view?usp=sharing" TargetMode="External"/><Relationship Id="rId324" Type="http://schemas.openxmlformats.org/officeDocument/2006/relationships/hyperlink" Target="https://drive.google.com/file/d/1v5aK83IZZSN9szvtu1y3rgdbaQaUH8wN/view?usp=sharing" TargetMode="External"/><Relationship Id="rId566" Type="http://schemas.openxmlformats.org/officeDocument/2006/relationships/hyperlink" Target="https://drive.google.com/file/d/1CR7CMpvJ4xUzfPBikKP62LC1vV_otWqh/view?usp=sharing" TargetMode="External"/><Relationship Id="rId329" Type="http://schemas.openxmlformats.org/officeDocument/2006/relationships/hyperlink" Target="https://drive.google.com/file/d/1V0THG8yZGR2bHGFt0OVXDwsYw58gujf0/view?usp=sharing" TargetMode="External"/><Relationship Id="rId328" Type="http://schemas.openxmlformats.org/officeDocument/2006/relationships/hyperlink" Target="https://drive.google.com/file/d/1rmve01L17tyQDwygUZVR25no63T93iDq/view?usp=sharing" TargetMode="External"/><Relationship Id="rId561" Type="http://schemas.openxmlformats.org/officeDocument/2006/relationships/hyperlink" Target="https://drive.google.com/file/d/1VV0GGAfLYntlJw6H5GuSk8n8u3lXY3Zh/view?usp=sharing" TargetMode="External"/><Relationship Id="rId560" Type="http://schemas.openxmlformats.org/officeDocument/2006/relationships/hyperlink" Target="https://drive.google.com/file/d/1Ldc6K6Q2klfgGWzjiWiYFUS393T37-_9/view?usp=sharing" TargetMode="External"/><Relationship Id="rId323" Type="http://schemas.openxmlformats.org/officeDocument/2006/relationships/hyperlink" Target="https://drive.google.com/file/d/1lq_eXerc_0kzI4R_my2ibrVNx-GlYWm9/view?usp=sharing" TargetMode="External"/><Relationship Id="rId565" Type="http://schemas.openxmlformats.org/officeDocument/2006/relationships/hyperlink" Target="https://drive.google.com/file/d/1cwDCJR88rLAJac0-YjnTARaHiPR5C76z/view?usp=sharing" TargetMode="External"/><Relationship Id="rId322" Type="http://schemas.openxmlformats.org/officeDocument/2006/relationships/hyperlink" Target="https://drive.google.com/file/d/1EkIdEUAkrX3o3R3gWuJc3neg1pXESc7e/view?usp=sharing" TargetMode="External"/><Relationship Id="rId564" Type="http://schemas.openxmlformats.org/officeDocument/2006/relationships/hyperlink" Target="https://drive.google.com/file/d/1l79oPzomvjY-cMng0R7-I-OkXMdurYr2/view?usp=sharing" TargetMode="External"/><Relationship Id="rId321" Type="http://schemas.openxmlformats.org/officeDocument/2006/relationships/hyperlink" Target="https://drive.google.com/file/d/1wG8cNWjoc-NHpTHv8IcOAbmaU2tqZscH/view?usp=sharing" TargetMode="External"/><Relationship Id="rId563" Type="http://schemas.openxmlformats.org/officeDocument/2006/relationships/hyperlink" Target="https://drive.google.com/file/d/1Pham6AYVPREWWwVQjbjZhKhsHXkPlOWU/view?usp=sharing" TargetMode="External"/><Relationship Id="rId320" Type="http://schemas.openxmlformats.org/officeDocument/2006/relationships/hyperlink" Target="https://drive.google.com/file/d/1tC8ZSy9lwhwhPXq2ej1QrF-gJg0zyGnG/view?usp=sharing" TargetMode="External"/><Relationship Id="rId562" Type="http://schemas.openxmlformats.org/officeDocument/2006/relationships/hyperlink" Target="https://drive.google.com/file/d/199jhN_10TtTwOVbdU8XnDVdLIYz2BMGu/view?usp=sharing" TargetMode="External"/><Relationship Id="rId316" Type="http://schemas.openxmlformats.org/officeDocument/2006/relationships/hyperlink" Target="https://drive.google.com/file/d/1Mb1eUZ3aWGlangGwoC_EGVo_19_xs9s8/view?usp=sharing" TargetMode="External"/><Relationship Id="rId558" Type="http://schemas.openxmlformats.org/officeDocument/2006/relationships/hyperlink" Target="https://drive.google.com/file/d/1f3dAtGwyI2I46JBfzwE8F1A1yx0Jsp1M/view?usp=sharing" TargetMode="External"/><Relationship Id="rId315" Type="http://schemas.openxmlformats.org/officeDocument/2006/relationships/hyperlink" Target="https://drive.google.com/file/d/1bKJ7qVRgFpW_TmU4l03i1qow5tocME_n/view?usp=sharing" TargetMode="External"/><Relationship Id="rId557" Type="http://schemas.openxmlformats.org/officeDocument/2006/relationships/hyperlink" Target="https://drive.google.com/file/d/1EZRUtnVnu3hKBQrhVMKbH_EUxWW4ybX6/view?usp=sharing" TargetMode="External"/><Relationship Id="rId799" Type="http://schemas.openxmlformats.org/officeDocument/2006/relationships/hyperlink" Target="https://drive.google.com/file/d/1BOMlSgKJPyL9uiD2KmV_uAWZ9stQogLo/view?usp=sharing" TargetMode="External"/><Relationship Id="rId314" Type="http://schemas.openxmlformats.org/officeDocument/2006/relationships/hyperlink" Target="https://drive.google.com/file/d/1ptszjeTsdwg9HvJJ7Nm-cOhxKYyzUYu3/view?usp=sharing" TargetMode="External"/><Relationship Id="rId556" Type="http://schemas.openxmlformats.org/officeDocument/2006/relationships/hyperlink" Target="https://drive.google.com/file/d/1HlhuXxg7h9PI44pFYDfH7O6xRcCW_Izg/view?usp=sharing" TargetMode="External"/><Relationship Id="rId798" Type="http://schemas.openxmlformats.org/officeDocument/2006/relationships/hyperlink" Target="https://drive.google.com/file/d/16CUD81eslCfx8jTF1K3DZizC912bSgD8/view?usp=sharing" TargetMode="External"/><Relationship Id="rId313" Type="http://schemas.openxmlformats.org/officeDocument/2006/relationships/hyperlink" Target="https://drive.google.com/file/d/12C2lYhK1UPLxB9FpC7OgEgkSt5QsY8bu/view?usp=sharing" TargetMode="External"/><Relationship Id="rId555" Type="http://schemas.openxmlformats.org/officeDocument/2006/relationships/hyperlink" Target="https://drive.google.com/file/d/17PbyCPH-OaujEgI74qdAi7aIosa6WYND/view?usp=sharing" TargetMode="External"/><Relationship Id="rId797" Type="http://schemas.openxmlformats.org/officeDocument/2006/relationships/hyperlink" Target="https://drive.google.com/file/d/1oa1ov4WLhvoFIQwgVKtc2g0s6cI9zrMY/view?usp=sharing" TargetMode="External"/><Relationship Id="rId319" Type="http://schemas.openxmlformats.org/officeDocument/2006/relationships/hyperlink" Target="https://drive.google.com/file/d/1ak59S9__3ffT8KahdEM858jLNAIcN5Bq/view?usp=sharing" TargetMode="External"/><Relationship Id="rId318" Type="http://schemas.openxmlformats.org/officeDocument/2006/relationships/hyperlink" Target="https://drive.google.com/file/d/1KzleBd87FCilbF29Xu7fqDlLTA_ILW4N/view?usp=sharing" TargetMode="External"/><Relationship Id="rId317" Type="http://schemas.openxmlformats.org/officeDocument/2006/relationships/hyperlink" Target="https://drive.google.com/file/d/1bSlpTNlHUfeJ2mz9oFb_DNkXdyYeJpOf/view?usp=sharing" TargetMode="External"/><Relationship Id="rId559" Type="http://schemas.openxmlformats.org/officeDocument/2006/relationships/hyperlink" Target="https://drive.google.com/file/d/1XU3XlvxLfX2-QNQxhWM53XdqFwn7q5Bs/view?usp=sharing" TargetMode="External"/><Relationship Id="rId550" Type="http://schemas.openxmlformats.org/officeDocument/2006/relationships/hyperlink" Target="https://drive.google.com/file/d/1wCoJvjPs2FfIjROdNclj102WULFj6iY1/view?usp=sharing" TargetMode="External"/><Relationship Id="rId792" Type="http://schemas.openxmlformats.org/officeDocument/2006/relationships/hyperlink" Target="https://drive.google.com/file/d/1VNFNS92d8klYONMlcwhLxCBx07yNnQYq/view?usp=sharing" TargetMode="External"/><Relationship Id="rId791" Type="http://schemas.openxmlformats.org/officeDocument/2006/relationships/hyperlink" Target="https://drive.google.com/file/d/1GT7Mxo_IprUuG7QlBTMndXMarY4oObzP/view?usp=sharing" TargetMode="External"/><Relationship Id="rId790" Type="http://schemas.openxmlformats.org/officeDocument/2006/relationships/hyperlink" Target="https://drive.google.com/file/d/1uYyiVHRD-UEW9mggbBEoxp7L1ZOFob9j/view?usp=sharing" TargetMode="External"/><Relationship Id="rId312" Type="http://schemas.openxmlformats.org/officeDocument/2006/relationships/hyperlink" Target="https://drive.google.com/file/d/1gXaNvZMdLW7AzFO9hxhfPn7oPgoWd8EJ/view?usp=sharing" TargetMode="External"/><Relationship Id="rId554" Type="http://schemas.openxmlformats.org/officeDocument/2006/relationships/hyperlink" Target="https://drive.google.com/file/d/1SYTfyUXxhddRT2zkU3Pno-f0jTONBQgt/view?usp=sharing" TargetMode="External"/><Relationship Id="rId796" Type="http://schemas.openxmlformats.org/officeDocument/2006/relationships/hyperlink" Target="https://drive.google.com/file/d/1dtk1kUTLzR4TsUw2Qpua_387_3ucp7-w/view?usp=sharing" TargetMode="External"/><Relationship Id="rId311" Type="http://schemas.openxmlformats.org/officeDocument/2006/relationships/hyperlink" Target="https://drive.google.com/file/d/1Bm41W2PLp8C3nGtRhSauhwSIFxHZKWZ-/view?usp=sharing" TargetMode="External"/><Relationship Id="rId553" Type="http://schemas.openxmlformats.org/officeDocument/2006/relationships/hyperlink" Target="https://drive.google.com/file/d/1kzb6N0ukpP461pTLbVko4loZlmz-C4KM/view?usp=sharing" TargetMode="External"/><Relationship Id="rId795" Type="http://schemas.openxmlformats.org/officeDocument/2006/relationships/hyperlink" Target="https://drive.google.com/file/d/1kxZ3XK5a7GeAXEF7DejI7GyBb5euvpZY/view?usp=sharing" TargetMode="External"/><Relationship Id="rId310" Type="http://schemas.openxmlformats.org/officeDocument/2006/relationships/hyperlink" Target="https://drive.google.com/file/d/1diYE8ek0sF-wSIj_zYgY4JyhH5mF_6QJ/view?usp=sharing" TargetMode="External"/><Relationship Id="rId552" Type="http://schemas.openxmlformats.org/officeDocument/2006/relationships/hyperlink" Target="https://drive.google.com/file/d/1uL2Ru5QR2PvmEdS28DM_SvFBJK4vh6U3/view?usp=sharing" TargetMode="External"/><Relationship Id="rId794" Type="http://schemas.openxmlformats.org/officeDocument/2006/relationships/hyperlink" Target="https://drive.google.com/file/d/1yGmC5GybVw_e2o-g5YPoDLhnaeYdpng8/view?usp=sharing" TargetMode="External"/><Relationship Id="rId551" Type="http://schemas.openxmlformats.org/officeDocument/2006/relationships/hyperlink" Target="https://drive.google.com/file/d/1jOxWa3sSZm2Ld6SWEi9fNIWRx6bjSTQc/view?usp=sharing" TargetMode="External"/><Relationship Id="rId793" Type="http://schemas.openxmlformats.org/officeDocument/2006/relationships/hyperlink" Target="https://drive.google.com/file/d/1WBRAopaTJcF-IHoN4z5Fm49HD-iil0HU/view?usp=sharing" TargetMode="External"/><Relationship Id="rId297" Type="http://schemas.openxmlformats.org/officeDocument/2006/relationships/hyperlink" Target="https://drive.google.com/file/d/1joPUOjGmyP03Ne1IpKWPLzSUk0ZqnNPi/view?usp=sharing" TargetMode="External"/><Relationship Id="rId296" Type="http://schemas.openxmlformats.org/officeDocument/2006/relationships/hyperlink" Target="https://drive.google.com/file/d/1LszPhwD3E0pkN0B99LULphqY6sTN-LTu/view?usp=sharing" TargetMode="External"/><Relationship Id="rId295" Type="http://schemas.openxmlformats.org/officeDocument/2006/relationships/hyperlink" Target="https://drive.google.com/file/d/1hPZtlIEwfCG3nZT8fazq9Q4uSqxabJdS/view?usp=sharing" TargetMode="External"/><Relationship Id="rId294" Type="http://schemas.openxmlformats.org/officeDocument/2006/relationships/hyperlink" Target="https://drive.google.com/file/d/1tlZm_65N9Otcz0V2jHgVHnCUXVjhOQQS/view?usp=sharing" TargetMode="External"/><Relationship Id="rId299" Type="http://schemas.openxmlformats.org/officeDocument/2006/relationships/hyperlink" Target="https://drive.google.com/file/d/1gS7o5zEv0_5lqkfSUdaK2mQtXs0TRW9r/view?usp=sharing" TargetMode="External"/><Relationship Id="rId298" Type="http://schemas.openxmlformats.org/officeDocument/2006/relationships/hyperlink" Target="https://drive.google.com/file/d/1rSSldSrn7GUnro-ZGTQNralpMH0hGUMQ/view?usp=sharing" TargetMode="External"/><Relationship Id="rId271" Type="http://schemas.openxmlformats.org/officeDocument/2006/relationships/hyperlink" Target="https://drive.google.com/file/d/1HTYjQoD-g7pEHkObig4tM4g63LblJfW4/view?usp=sharing" TargetMode="External"/><Relationship Id="rId270" Type="http://schemas.openxmlformats.org/officeDocument/2006/relationships/hyperlink" Target="https://drive.google.com/file/d/10Fnn7ngjwqOLPHEJZP50uGnyn3QOIO4s/view?usp=sharing" TargetMode="External"/><Relationship Id="rId269" Type="http://schemas.openxmlformats.org/officeDocument/2006/relationships/hyperlink" Target="https://drive.google.com/file/d/1G76oGVqLN5_NwItTLUeurbQnL9Gvn_R0/view?usp=sharing" TargetMode="External"/><Relationship Id="rId264" Type="http://schemas.openxmlformats.org/officeDocument/2006/relationships/hyperlink" Target="https://drive.google.com/file/d/1qJDLTRBWtIPebF2qUwNJ4F-trPs7Bsqe/view?usp=sharing" TargetMode="External"/><Relationship Id="rId263" Type="http://schemas.openxmlformats.org/officeDocument/2006/relationships/hyperlink" Target="https://drive.google.com/file/d/1uuSY2IDcHLOvGmp5AVUu-HhFSeehjYko/view?usp=sharing" TargetMode="External"/><Relationship Id="rId262" Type="http://schemas.openxmlformats.org/officeDocument/2006/relationships/hyperlink" Target="https://drive.google.com/file/d/1BSPCshNJU87lEyZfxBSbj1ZvyI0Q0-L-/view?usp=sharing" TargetMode="External"/><Relationship Id="rId261" Type="http://schemas.openxmlformats.org/officeDocument/2006/relationships/hyperlink" Target="https://drive.google.com/file/d/12hZ58by79-yrMECfW-6g_9qbyS9agoPk/view?usp=sharing" TargetMode="External"/><Relationship Id="rId268" Type="http://schemas.openxmlformats.org/officeDocument/2006/relationships/hyperlink" Target="https://drive.google.com/file/d/114POD2Cr6mWTmfiN2OrcRTS893BpX1Y9/view?usp=sharing" TargetMode="External"/><Relationship Id="rId267" Type="http://schemas.openxmlformats.org/officeDocument/2006/relationships/hyperlink" Target="https://drive.google.com/file/d/1Jm-jOzrhWtCV_Bvwld8O33aeIPX5dN-O/view?usp=sharing" TargetMode="External"/><Relationship Id="rId266" Type="http://schemas.openxmlformats.org/officeDocument/2006/relationships/hyperlink" Target="https://drive.google.com/file/d/1AyIYaIAzAmbUX0sldJPD8kvVFltM89JF/view?usp=sharing" TargetMode="External"/><Relationship Id="rId265" Type="http://schemas.openxmlformats.org/officeDocument/2006/relationships/hyperlink" Target="https://drive.google.com/file/d/1NLe8WJUFOxr9uIyYYnb8XVzmMffg0Hig/view?usp=sharing" TargetMode="External"/><Relationship Id="rId260" Type="http://schemas.openxmlformats.org/officeDocument/2006/relationships/hyperlink" Target="https://drive.google.com/file/d/1zyrNM8_OYlmD7GVRCKPuO4ovaz-vs6-T/view?usp=sharing" TargetMode="External"/><Relationship Id="rId259" Type="http://schemas.openxmlformats.org/officeDocument/2006/relationships/hyperlink" Target="https://drive.google.com/file/d/1iBRLmBwyC0v48i33RTsB5seN0z0lnBlH/view?usp=sharing" TargetMode="External"/><Relationship Id="rId258" Type="http://schemas.openxmlformats.org/officeDocument/2006/relationships/hyperlink" Target="https://drive.google.com/file/d/1bzVYxJAR4o1eazx1gQOyx-2WWMjHOLPx/view?usp=sharing" TargetMode="External"/><Relationship Id="rId253" Type="http://schemas.openxmlformats.org/officeDocument/2006/relationships/hyperlink" Target="https://drive.google.com/file/d/1L-6G9A7YJuRRAQXmFsTU4EtySuMnM356/view?usp=sharing" TargetMode="External"/><Relationship Id="rId495" Type="http://schemas.openxmlformats.org/officeDocument/2006/relationships/hyperlink" Target="https://drive.google.com/file/d/1_RJUlmnAdnC8aK_xp29mFDcpjge-05sk/view?usp=sharing" TargetMode="External"/><Relationship Id="rId252" Type="http://schemas.openxmlformats.org/officeDocument/2006/relationships/hyperlink" Target="https://drive.google.com/file/d/11YjkJCIUJR1ZK0mbdkQLmTphia_AesjI/view?usp=sharing" TargetMode="External"/><Relationship Id="rId494" Type="http://schemas.openxmlformats.org/officeDocument/2006/relationships/hyperlink" Target="https://drive.google.com/file/d/19cRqx3uA_7bUVLH8cuDz0R2iOR9P3GFq/view?usp=sharing" TargetMode="External"/><Relationship Id="rId251" Type="http://schemas.openxmlformats.org/officeDocument/2006/relationships/hyperlink" Target="https://drive.google.com/file/d/1pKAvAfOPseAtmTbQLLlYud_oZcf_E0gH/view?usp=sharing" TargetMode="External"/><Relationship Id="rId493" Type="http://schemas.openxmlformats.org/officeDocument/2006/relationships/hyperlink" Target="https://drive.google.com/file/d/1wjvIv8Spsp_0rFsB6_SQZKL5w2cB_ws_/view?usp=sharing" TargetMode="External"/><Relationship Id="rId250" Type="http://schemas.openxmlformats.org/officeDocument/2006/relationships/hyperlink" Target="https://drive.google.com/file/d/11r2363G7d-yk8N7TkcVgiUinwMK3BiQz/view?usp=sharing" TargetMode="External"/><Relationship Id="rId492" Type="http://schemas.openxmlformats.org/officeDocument/2006/relationships/hyperlink" Target="https://drive.google.com/file/d/1_r5tkocKiDj-E_SRi9TNFUd7wTdxKY5e/view?usp=sharing" TargetMode="External"/><Relationship Id="rId257" Type="http://schemas.openxmlformats.org/officeDocument/2006/relationships/hyperlink" Target="https://drive.google.com/file/d/13tVLEkpIDuPMLnk-a1SFZVbrEFF8S4Tv/view?usp=sharing" TargetMode="External"/><Relationship Id="rId499" Type="http://schemas.openxmlformats.org/officeDocument/2006/relationships/hyperlink" Target="https://drive.google.com/file/d/1HKy8b6PG_im8MVRIcfInTuNU797YATdf/view?usp=sharing" TargetMode="External"/><Relationship Id="rId256" Type="http://schemas.openxmlformats.org/officeDocument/2006/relationships/hyperlink" Target="https://drive.google.com/file/d/1JDY9mRANeniUuK7xqRj5sAq5fKrRpAtG/view?usp=sharing" TargetMode="External"/><Relationship Id="rId498" Type="http://schemas.openxmlformats.org/officeDocument/2006/relationships/hyperlink" Target="https://drive.google.com/file/d/1YOPRUeMzvSWE8EPo3az5ntJA4t5QR1d8/view?usp=sharing" TargetMode="External"/><Relationship Id="rId255" Type="http://schemas.openxmlformats.org/officeDocument/2006/relationships/hyperlink" Target="https://drive.google.com/file/d/1yo_ZeTMP98kz4rx7evNVZRZLEKB8Jr5H/view?usp=sharing" TargetMode="External"/><Relationship Id="rId497" Type="http://schemas.openxmlformats.org/officeDocument/2006/relationships/hyperlink" Target="https://drive.google.com/file/d/1UOgD4V5y-7KAdSdZ0Ro4Qp4yUZm-1s4Z/view?usp=sharing" TargetMode="External"/><Relationship Id="rId254" Type="http://schemas.openxmlformats.org/officeDocument/2006/relationships/hyperlink" Target="https://drive.google.com/file/d/1Oj5AwpeYTSfmHAg32wkqswZRybZDXwqt/view?usp=sharing" TargetMode="External"/><Relationship Id="rId496" Type="http://schemas.openxmlformats.org/officeDocument/2006/relationships/hyperlink" Target="https://drive.google.com/file/d/1nB136W-vBTpvhhn9bR_cCKeC59qpd7US/view?usp=sharing" TargetMode="External"/><Relationship Id="rId293" Type="http://schemas.openxmlformats.org/officeDocument/2006/relationships/hyperlink" Target="https://drive.google.com/file/d/1n5Bpv7h-OruBAWYIZ-3wJpzSNXQCRfgy/view?usp=sharing" TargetMode="External"/><Relationship Id="rId292" Type="http://schemas.openxmlformats.org/officeDocument/2006/relationships/hyperlink" Target="https://drive.google.com/file/d/1LMw-o4c-mo1U29MenRDFnqDfpbFxqD1k/view?usp=sharing" TargetMode="External"/><Relationship Id="rId291" Type="http://schemas.openxmlformats.org/officeDocument/2006/relationships/hyperlink" Target="https://drive.google.com/file/d/1DMjxtQqWkkikDmOZUdddakZ2UZPSj90D/view?usp=sharing" TargetMode="External"/><Relationship Id="rId290" Type="http://schemas.openxmlformats.org/officeDocument/2006/relationships/hyperlink" Target="https://drive.google.com/file/d/1V4_PO15P5aGiGQyUG6P6YI-69QAChMU7/view?usp=sharing" TargetMode="External"/><Relationship Id="rId286" Type="http://schemas.openxmlformats.org/officeDocument/2006/relationships/hyperlink" Target="https://drive.google.com/file/d/1exW0vSz70u8jNP2QP1b-DQusQNIpl3Eg/view?usp=sharing" TargetMode="External"/><Relationship Id="rId285" Type="http://schemas.openxmlformats.org/officeDocument/2006/relationships/hyperlink" Target="https://drive.google.com/file/d/1IVpKAciIxHjnfuBbsDCOWWMMUH4_4axZ/view?usp=sharing" TargetMode="External"/><Relationship Id="rId284" Type="http://schemas.openxmlformats.org/officeDocument/2006/relationships/hyperlink" Target="https://drive.google.com/file/d/1xGz0GvK9dM5aMCcqkDyb8Q9BTTtQJeJe/view?usp=sharing" TargetMode="External"/><Relationship Id="rId283" Type="http://schemas.openxmlformats.org/officeDocument/2006/relationships/hyperlink" Target="https://drive.google.com/file/d/1aBLY3eQRS7NtZ4TZhWaQftzNB-iFa8Xz/view?usp=sharing" TargetMode="External"/><Relationship Id="rId289" Type="http://schemas.openxmlformats.org/officeDocument/2006/relationships/hyperlink" Target="https://drive.google.com/file/d/1ZAKPoU8-bpdNekreKyDsD72SUIRmA35Q/view?usp=sharing" TargetMode="External"/><Relationship Id="rId288" Type="http://schemas.openxmlformats.org/officeDocument/2006/relationships/hyperlink" Target="https://drive.google.com/file/d/1EZwkY0JMT1f5I5SzWvAMkP1XOAlk8zRY/view?usp=sharing" TargetMode="External"/><Relationship Id="rId287" Type="http://schemas.openxmlformats.org/officeDocument/2006/relationships/hyperlink" Target="https://drive.google.com/file/d/1NDOAAUOhOwaHtcuk9T1SENI4RmG1Iu_f/view?usp=sharing" TargetMode="External"/><Relationship Id="rId282" Type="http://schemas.openxmlformats.org/officeDocument/2006/relationships/hyperlink" Target="https://drive.google.com/file/d/1G4UozVwU5wFT5UcBLhiEuWWv-uZ8xpuR/view?usp=sharing" TargetMode="External"/><Relationship Id="rId281" Type="http://schemas.openxmlformats.org/officeDocument/2006/relationships/hyperlink" Target="https://drive.google.com/file/d/1HEN5IHxD43eKDqyEQy2OHcuxVkphwT6C/view?usp=sharing" TargetMode="External"/><Relationship Id="rId280" Type="http://schemas.openxmlformats.org/officeDocument/2006/relationships/hyperlink" Target="https://drive.google.com/file/d/1pMVCDaiVy0NbJFGHymRkYP-0wpC8tHMr/view?usp=sharing" TargetMode="External"/><Relationship Id="rId275" Type="http://schemas.openxmlformats.org/officeDocument/2006/relationships/hyperlink" Target="https://drive.google.com/file/d/1HjuDzzgCbKuZfIOgF9k3UwW2-Ufd4Qbc/view?usp=sharing" TargetMode="External"/><Relationship Id="rId274" Type="http://schemas.openxmlformats.org/officeDocument/2006/relationships/hyperlink" Target="https://drive.google.com/file/d/1Px8eQmDY0iPyE7A1wUT5Pc8OhjRoeqqy/view?usp=sharing" TargetMode="External"/><Relationship Id="rId273" Type="http://schemas.openxmlformats.org/officeDocument/2006/relationships/hyperlink" Target="https://drive.google.com/file/d/1KYSYRoCJe15q-tV42ZzKRFCm_rVQuyjC/view?usp=sharing" TargetMode="External"/><Relationship Id="rId272" Type="http://schemas.openxmlformats.org/officeDocument/2006/relationships/hyperlink" Target="https://drive.google.com/file/d/1agNZJe1GBWRFQnHeizkx18RBXeVQRNV1/view?usp=sharing" TargetMode="External"/><Relationship Id="rId279" Type="http://schemas.openxmlformats.org/officeDocument/2006/relationships/hyperlink" Target="https://drive.google.com/file/d/1ouUXX963YOuIXq0HN2K0J6-2XM97Uuca/view?usp=sharing" TargetMode="External"/><Relationship Id="rId278" Type="http://schemas.openxmlformats.org/officeDocument/2006/relationships/hyperlink" Target="https://drive.google.com/file/d/1I8mpVYz_BsW1pB139SzCQppDPWJh_iz1/view?usp=sharing" TargetMode="External"/><Relationship Id="rId277" Type="http://schemas.openxmlformats.org/officeDocument/2006/relationships/hyperlink" Target="https://drive.google.com/file/d/1beceEmq3eODppvVJD7Dh0W0abMY1e_Cl/view?usp=sharing" TargetMode="External"/><Relationship Id="rId276" Type="http://schemas.openxmlformats.org/officeDocument/2006/relationships/hyperlink" Target="https://drive.google.com/file/d/1bFSLSkNSua4S5QPzbJzI8wA4BX4qE9fq/view?usp=sharing" TargetMode="External"/><Relationship Id="rId629" Type="http://schemas.openxmlformats.org/officeDocument/2006/relationships/hyperlink" Target="https://drive.google.com/file/d/14c2w9mUHWWW4qTESIZfqpL6XH95X32-O/view?usp=sharing" TargetMode="External"/><Relationship Id="rId624" Type="http://schemas.openxmlformats.org/officeDocument/2006/relationships/hyperlink" Target="https://drive.google.com/file/d/1qQKBU_Gm1QVbxJ16wlE3PbqOKC0b6Cn5/view?usp=sharing" TargetMode="External"/><Relationship Id="rId623" Type="http://schemas.openxmlformats.org/officeDocument/2006/relationships/hyperlink" Target="https://drive.google.com/file/d/1yj5_5JOpRFP81kur0NuqW_YA379ilGnI/view?usp=drive_link" TargetMode="External"/><Relationship Id="rId622" Type="http://schemas.openxmlformats.org/officeDocument/2006/relationships/hyperlink" Target="https://drive.google.com/file/d/144OyBpNWLdFcgS9F6RV3S60dwa1rr5gv/view?usp=sharing" TargetMode="External"/><Relationship Id="rId621" Type="http://schemas.openxmlformats.org/officeDocument/2006/relationships/hyperlink" Target="https://drive.google.com/file/d/1yv0UCawcMhVzDb9xKJ2-vRIp-l5gYc_V/view?usp=sharing" TargetMode="External"/><Relationship Id="rId628" Type="http://schemas.openxmlformats.org/officeDocument/2006/relationships/hyperlink" Target="https://drive.google.com/file/d/1dPihLhfpHki-xq70Y-YMUwxKk3IJez5X/view?usp=sharing" TargetMode="External"/><Relationship Id="rId627" Type="http://schemas.openxmlformats.org/officeDocument/2006/relationships/hyperlink" Target="https://drive.google.com/file/d/1DWwzgaiRkJTLw1sxDc284X7IDz-dPHIk/view?usp=sharing" TargetMode="External"/><Relationship Id="rId626" Type="http://schemas.openxmlformats.org/officeDocument/2006/relationships/hyperlink" Target="https://drive.google.com/file/d/1YpMjJ7WOx_Aw655TmcnbdXyJKGlqnGsc/view?usp=sharing" TargetMode="External"/><Relationship Id="rId625" Type="http://schemas.openxmlformats.org/officeDocument/2006/relationships/hyperlink" Target="https://drive.google.com/file/d/1Bmf5jEPgLCqPbYN5bPV-R5SzdZhbTzL6/view?usp=sharing" TargetMode="External"/><Relationship Id="rId620" Type="http://schemas.openxmlformats.org/officeDocument/2006/relationships/hyperlink" Target="https://drive.google.com/file/d/1I-uHRQWfOrlZF2G6x6ADBC16IkeZTzbo/view?usp=sharing" TargetMode="External"/><Relationship Id="rId619" Type="http://schemas.openxmlformats.org/officeDocument/2006/relationships/hyperlink" Target="https://drive.google.com/file/d/1dhx8egU6LZaX2maFL7M-rAn9O44BJJAh/view?usp=sharing" TargetMode="External"/><Relationship Id="rId618" Type="http://schemas.openxmlformats.org/officeDocument/2006/relationships/hyperlink" Target="https://drive.google.com/file/d/1cwmzQ-PzEONMKnSjVAKhmFTIuVjUqbvI/view?usp=sharing" TargetMode="External"/><Relationship Id="rId613" Type="http://schemas.openxmlformats.org/officeDocument/2006/relationships/hyperlink" Target="https://drive.google.com/file/d/1aYdQUE6BUOlOoeWpXwPudh2ldbwm0yJY/view?usp=sharing" TargetMode="External"/><Relationship Id="rId612" Type="http://schemas.openxmlformats.org/officeDocument/2006/relationships/hyperlink" Target="https://drive.google.com/file/d/1EqSOu7TJJx-DBNtYdn7tK3gRNpwpA_Z0/view?usp=sharing" TargetMode="External"/><Relationship Id="rId611" Type="http://schemas.openxmlformats.org/officeDocument/2006/relationships/hyperlink" Target="https://drive.google.com/file/d/115iWg26qYOmjueA4SBmzUNi39-mBLDF1/view?usp=sharing" TargetMode="External"/><Relationship Id="rId610" Type="http://schemas.openxmlformats.org/officeDocument/2006/relationships/hyperlink" Target="https://drive.google.com/file/d/1rmDwj3zIVMcGeFxZa8E1D3WzYh0-3sS-/view?usp=sharing" TargetMode="External"/><Relationship Id="rId617" Type="http://schemas.openxmlformats.org/officeDocument/2006/relationships/hyperlink" Target="https://drive.google.com/file/d/13szNRj4mkCb5kNhTTdJe74RE8SkqD21_/view?usp=sharing" TargetMode="External"/><Relationship Id="rId616" Type="http://schemas.openxmlformats.org/officeDocument/2006/relationships/hyperlink" Target="https://drive.google.com/file/d/1uOC9Yu5qYQ83JHOIZRe7lPoYyn1FkYrT/view?usp=sharing" TargetMode="External"/><Relationship Id="rId615" Type="http://schemas.openxmlformats.org/officeDocument/2006/relationships/hyperlink" Target="https://drive.google.com/file/d/1lBjtbS6JIQx3O4FPWOuNbMe22X3NPhsk/view?usp=sharing" TargetMode="External"/><Relationship Id="rId614" Type="http://schemas.openxmlformats.org/officeDocument/2006/relationships/hyperlink" Target="https://drive.google.com/file/d/1sOc1sWDPtODoJXkcv5JpHYUM_d8q_YgF/view?usp=sharing" TargetMode="External"/><Relationship Id="rId409" Type="http://schemas.openxmlformats.org/officeDocument/2006/relationships/hyperlink" Target="https://drive.google.com/file/d/1VqJNBvQL7DzJYfjL_bD7bhFDzzM6cHDy/view?usp=sharing" TargetMode="External"/><Relationship Id="rId404" Type="http://schemas.openxmlformats.org/officeDocument/2006/relationships/hyperlink" Target="https://drive.google.com/file/d/10TxEA59sMF36G2hI7taK_9YPPVUEhH6i/view?usp=sharing" TargetMode="External"/><Relationship Id="rId646" Type="http://schemas.openxmlformats.org/officeDocument/2006/relationships/hyperlink" Target="https://drive.google.com/file/d/12LsDBgN1bg_Ad8jfh_Vlf6lAK3HDqSd9/view?usp=sharing" TargetMode="External"/><Relationship Id="rId403" Type="http://schemas.openxmlformats.org/officeDocument/2006/relationships/hyperlink" Target="https://drive.google.com/file/d/1CuM7HfFIVHIib7adwmvtl4CFCOjDxz4X/view?usp=sharing" TargetMode="External"/><Relationship Id="rId645" Type="http://schemas.openxmlformats.org/officeDocument/2006/relationships/hyperlink" Target="https://drive.google.com/file/d/1VaGQ4kpxc3VS7GIAVHlbU-23xtDiGNkR/view?usp=sharing" TargetMode="External"/><Relationship Id="rId402" Type="http://schemas.openxmlformats.org/officeDocument/2006/relationships/hyperlink" Target="https://drive.google.com/file/d/1DBJEOy6MRzko0aSXR7qvRwWeT37CuV1O/view?usp=sharing" TargetMode="External"/><Relationship Id="rId644" Type="http://schemas.openxmlformats.org/officeDocument/2006/relationships/hyperlink" Target="https://drive.google.com/file/d/1iMWM4mTWoDw_OGMdSWlpmke8aY7xerce/view?usp=sharing" TargetMode="External"/><Relationship Id="rId401" Type="http://schemas.openxmlformats.org/officeDocument/2006/relationships/hyperlink" Target="https://drive.google.com/file/d/19iibNv3TqTzPg4NCyGdCXBqBGfvlzjtC/view?usp=sharing" TargetMode="External"/><Relationship Id="rId643" Type="http://schemas.openxmlformats.org/officeDocument/2006/relationships/hyperlink" Target="https://drive.google.com/file/d/1-W2L5jpK3xpvvKfiQCsvTO3C66aC-Ggg/view?usp=sharing" TargetMode="External"/><Relationship Id="rId408" Type="http://schemas.openxmlformats.org/officeDocument/2006/relationships/hyperlink" Target="https://drive.google.com/file/d/1QFjg3EXBbLMj2fvnePUlkyei8XS-PK2e/view?usp=sharing" TargetMode="External"/><Relationship Id="rId407" Type="http://schemas.openxmlformats.org/officeDocument/2006/relationships/hyperlink" Target="https://drive.google.com/file/d/1XzTC3pihMCez1ifHvHdkLXHn1Y6alDDk/view?usp=sharing" TargetMode="External"/><Relationship Id="rId649" Type="http://schemas.openxmlformats.org/officeDocument/2006/relationships/hyperlink" Target="https://drive.google.com/file/d/1eX4Bw9Vmssg2bpGx-8WHc2Dhwb2_smSL/view?usp=sharing" TargetMode="External"/><Relationship Id="rId406" Type="http://schemas.openxmlformats.org/officeDocument/2006/relationships/hyperlink" Target="https://drive.google.com/file/d/1mTa_b8LAm4XYr37vZ4MmBdMqYV1uSTul/view?usp=sharing" TargetMode="External"/><Relationship Id="rId648" Type="http://schemas.openxmlformats.org/officeDocument/2006/relationships/hyperlink" Target="https://drive.google.com/file/d/162u5LmNtEpMYYzsR58JOb-mvMyfPTozX/view?usp=sharing" TargetMode="External"/><Relationship Id="rId405" Type="http://schemas.openxmlformats.org/officeDocument/2006/relationships/hyperlink" Target="https://drive.google.com/file/d/1JglA-NYtPlPHDaGJwrd2mzVTZ8L21Q68/view?usp=sharing" TargetMode="External"/><Relationship Id="rId647" Type="http://schemas.openxmlformats.org/officeDocument/2006/relationships/hyperlink" Target="https://drive.google.com/file/d/18HefIpexXKbfXDl5Q_6jlPx_jE06_es_/view?usp=sharing" TargetMode="External"/><Relationship Id="rId400" Type="http://schemas.openxmlformats.org/officeDocument/2006/relationships/hyperlink" Target="https://drive.google.com/file/d/1X-5Rc7_G540XTamfuPa_gnriVB6ZBI_c/view?usp=sharing" TargetMode="External"/><Relationship Id="rId642" Type="http://schemas.openxmlformats.org/officeDocument/2006/relationships/hyperlink" Target="https://drive.google.com/file/d/158e6vl2xiTyKGW6LtQv8dqooVt-nldVj/view?usp=sharing" TargetMode="External"/><Relationship Id="rId641" Type="http://schemas.openxmlformats.org/officeDocument/2006/relationships/hyperlink" Target="https://drive.google.com/file/d/1OoUUoXIh3IFeQ9ztDabq3hhu1v7nWAZD/view?usp=sharing" TargetMode="External"/><Relationship Id="rId640" Type="http://schemas.openxmlformats.org/officeDocument/2006/relationships/hyperlink" Target="https://drive.google.com/file/d/1h29MM3z8Ew7dniVU30xqfuxQi5_mZrgi/view?usp=sharing" TargetMode="External"/><Relationship Id="rId635" Type="http://schemas.openxmlformats.org/officeDocument/2006/relationships/hyperlink" Target="https://drive.google.com/file/d/14T1rwE3zsry_9c-FE5ixEEmfoS1J6t3M/view?usp=sharing" TargetMode="External"/><Relationship Id="rId634" Type="http://schemas.openxmlformats.org/officeDocument/2006/relationships/hyperlink" Target="https://drive.google.com/file/d/1_f5BsY6REdu_F2QvdhMuTuXtpP-BvafV/view?usp=sharing" TargetMode="External"/><Relationship Id="rId633" Type="http://schemas.openxmlformats.org/officeDocument/2006/relationships/hyperlink" Target="https://drive.google.com/file/d/1u2rcLq0kIDhK2uM5Yat8S5Q8vxaGKVlF/view?usp=sharing" TargetMode="External"/><Relationship Id="rId632" Type="http://schemas.openxmlformats.org/officeDocument/2006/relationships/hyperlink" Target="https://drive.google.com/file/d/1bVIkOm8nU0mYeth6V8-IakxnqoeHUzEp/view?usp=sharing" TargetMode="External"/><Relationship Id="rId639" Type="http://schemas.openxmlformats.org/officeDocument/2006/relationships/hyperlink" Target="https://drive.google.com/file/d/1uHGK9p19hpvUg4pV6Scb_PftpThV2nQC/view?usp=sharing" TargetMode="External"/><Relationship Id="rId638" Type="http://schemas.openxmlformats.org/officeDocument/2006/relationships/hyperlink" Target="https://drive.google.com/file/d/1AtAAEwIi_M0o9gX9hMNDkW8rt3EoS1Pr/view?usp=sharing" TargetMode="External"/><Relationship Id="rId637" Type="http://schemas.openxmlformats.org/officeDocument/2006/relationships/hyperlink" Target="https://drive.google.com/file/d/1S3VooBwI8-0XzeArYibEXRdt96EYjhJW/view?usp=sharing" TargetMode="External"/><Relationship Id="rId636" Type="http://schemas.openxmlformats.org/officeDocument/2006/relationships/hyperlink" Target="https://drive.google.com/file/d/10jR-kaLmju_tEKstSblmCrlKTGtF6yXs/view?usp=sharing" TargetMode="External"/><Relationship Id="rId631" Type="http://schemas.openxmlformats.org/officeDocument/2006/relationships/hyperlink" Target="https://drive.google.com/file/d/1okC5FeefA62LDx7K8sucxHwmkGLBjEI3/view?usp=sharing" TargetMode="External"/><Relationship Id="rId630" Type="http://schemas.openxmlformats.org/officeDocument/2006/relationships/hyperlink" Target="https://drive.google.com/file/d/1-4uLifOJtnw5bMHQr4q40uZvI-_UiI8s/view?usp=sharing" TargetMode="External"/><Relationship Id="rId609" Type="http://schemas.openxmlformats.org/officeDocument/2006/relationships/hyperlink" Target="https://drive.google.com/file/d/1Ora-w3ww4vreWkFssRVaOlffJfcoHoZb/view?usp=sharing" TargetMode="External"/><Relationship Id="rId608" Type="http://schemas.openxmlformats.org/officeDocument/2006/relationships/hyperlink" Target="https://drive.google.com/file/d/1D8z2n2VHEVHeArqMNqgRohB2BFrH-cDl/view?usp=sharing" TargetMode="External"/><Relationship Id="rId607" Type="http://schemas.openxmlformats.org/officeDocument/2006/relationships/hyperlink" Target="https://drive.google.com/file/d/1anspgAl85PyWzfRzrZ_MpY8y6kNZC95l/view?usp=sharing" TargetMode="External"/><Relationship Id="rId602" Type="http://schemas.openxmlformats.org/officeDocument/2006/relationships/hyperlink" Target="https://drive.google.com/file/d/1p_v_wTefrjVDVNyNhMdlVMM8RCOa3jiP/view?usp=sharing" TargetMode="External"/><Relationship Id="rId601" Type="http://schemas.openxmlformats.org/officeDocument/2006/relationships/hyperlink" Target="https://drive.google.com/file/d/146eJrAjPU2UGbIpmG3LGFSleEX7Wgfs1/view?usp=sharing" TargetMode="External"/><Relationship Id="rId600" Type="http://schemas.openxmlformats.org/officeDocument/2006/relationships/hyperlink" Target="https://drive.google.com/file/d/1ad6WjzX80UKDrX8S31j6RG7-wEWxyt1d/view?usp=sharing" TargetMode="External"/><Relationship Id="rId606" Type="http://schemas.openxmlformats.org/officeDocument/2006/relationships/hyperlink" Target="https://drive.google.com/file/d/1lCzO5Kq4gXhShRAx-479sFr86EyzXakW/view?usp=sharing" TargetMode="External"/><Relationship Id="rId605" Type="http://schemas.openxmlformats.org/officeDocument/2006/relationships/hyperlink" Target="https://drive.google.com/file/d/1fizgFlNCAEnjKAkiwpcqm0_3RQBdg4ol/view?usp=sharing" TargetMode="External"/><Relationship Id="rId604" Type="http://schemas.openxmlformats.org/officeDocument/2006/relationships/hyperlink" Target="https://drive.google.com/file/d/15K-2ThVTIYl2m8cQCjxNkkFhpmRKmd2h/view?usp=sharing" TargetMode="External"/><Relationship Id="rId603" Type="http://schemas.openxmlformats.org/officeDocument/2006/relationships/hyperlink" Target="https://drive.google.com/file/d/1KSAxsIbDItk3YO2F6XaMSC4V_zYgogct/view?usp=sharing" TargetMode="External"/><Relationship Id="rId228" Type="http://schemas.openxmlformats.org/officeDocument/2006/relationships/hyperlink" Target="https://drive.google.com/file/d/13YmgrVqT2dQ7mZVpxfG7RynkBG7quWkF/view?usp=sharing" TargetMode="External"/><Relationship Id="rId227" Type="http://schemas.openxmlformats.org/officeDocument/2006/relationships/hyperlink" Target="https://drive.google.com/file/d/1C57P4BIFckBRX3NIGtJCZ_PRSAXPKelr/view?usp=sharing" TargetMode="External"/><Relationship Id="rId469" Type="http://schemas.openxmlformats.org/officeDocument/2006/relationships/hyperlink" Target="https://drive.google.com/file/d/1GMxIQ-lERZVy_TQX3jeGDEW8AEl7Vl98/view?usp=sharing" TargetMode="External"/><Relationship Id="rId226" Type="http://schemas.openxmlformats.org/officeDocument/2006/relationships/hyperlink" Target="https://drive.google.com/file/d/13QZ6myd6BTUw5vc4lw7Uz7xsrT1kjusZ/view?usp=sharing" TargetMode="External"/><Relationship Id="rId468" Type="http://schemas.openxmlformats.org/officeDocument/2006/relationships/hyperlink" Target="https://drive.google.com/file/d/18PcvK_hiuJU5vt_6sEhZcdPr3dYTUT6S/view?usp=sharing" TargetMode="External"/><Relationship Id="rId225" Type="http://schemas.openxmlformats.org/officeDocument/2006/relationships/hyperlink" Target="https://drive.google.com/file/d/1rrjeeL6K6--NLuRtYzfnjHG9KMrmR8CH/view?usp=sharing" TargetMode="External"/><Relationship Id="rId467" Type="http://schemas.openxmlformats.org/officeDocument/2006/relationships/hyperlink" Target="https://drive.google.com/file/d/1e7fzOpS7hKcS6E8toUVC2s3SWYqDAHw7/view?usp=sharing" TargetMode="External"/><Relationship Id="rId229" Type="http://schemas.openxmlformats.org/officeDocument/2006/relationships/hyperlink" Target="https://drive.google.com/file/d/1y1J44WAKFWcEMzcmx90xJKZcQxZJ-J8e/view?usp=sharing" TargetMode="External"/><Relationship Id="rId220" Type="http://schemas.openxmlformats.org/officeDocument/2006/relationships/hyperlink" Target="https://drive.google.com/file/d/1JM6k6d0mrd2r4mRkjjwS7vxD6H5E__zV/view?usp=sharing" TargetMode="External"/><Relationship Id="rId462" Type="http://schemas.openxmlformats.org/officeDocument/2006/relationships/hyperlink" Target="https://drive.google.com/file/d/1NE_BnXQ4tBxmJ9DImbvALoDjtQf53VzH/view?usp=sharing" TargetMode="External"/><Relationship Id="rId461" Type="http://schemas.openxmlformats.org/officeDocument/2006/relationships/hyperlink" Target="https://drive.google.com/file/d/1cr6aejtYMtthucE1XnrnU7_rOFboifLv/view?usp=sharing" TargetMode="External"/><Relationship Id="rId460" Type="http://schemas.openxmlformats.org/officeDocument/2006/relationships/hyperlink" Target="https://drive.google.com/file/d/1PgRsPXK_coXP6Q-TG41Ub5MlUwGUGqt4/view?usp=sharing" TargetMode="External"/><Relationship Id="rId224" Type="http://schemas.openxmlformats.org/officeDocument/2006/relationships/hyperlink" Target="https://drive.google.com/file/d/1IX6TNthe5447LgrW74_io0IQMlpRzcrz/view?usp=sharing" TargetMode="External"/><Relationship Id="rId466" Type="http://schemas.openxmlformats.org/officeDocument/2006/relationships/hyperlink" Target="https://drive.google.com/file/d/1HgoKGTrv6XAs9wva4S1aQQEDEYmpJ2ci/view?usp=sharing" TargetMode="External"/><Relationship Id="rId223" Type="http://schemas.openxmlformats.org/officeDocument/2006/relationships/hyperlink" Target="https://drive.google.com/file/d/1asf6_tztM721pMePpzbNQr5ENK-22i-D/view?usp=sharing" TargetMode="External"/><Relationship Id="rId465" Type="http://schemas.openxmlformats.org/officeDocument/2006/relationships/hyperlink" Target="https://drive.google.com/file/d/1hWO9JMiG3N5ZUOfbZJi29foJMhv2acY1/view?usp=sharing" TargetMode="External"/><Relationship Id="rId222" Type="http://schemas.openxmlformats.org/officeDocument/2006/relationships/hyperlink" Target="https://drive.google.com/file/d/1OVCqggYqZzc51yqgyEt_auEJZ26LO7lM/view?usp=sharing" TargetMode="External"/><Relationship Id="rId464" Type="http://schemas.openxmlformats.org/officeDocument/2006/relationships/hyperlink" Target="https://drive.google.com/file/d/15nnCubCEL-yaPK_UbbRyYYUfLMqHV1Ta/view?usp=sharing" TargetMode="External"/><Relationship Id="rId221" Type="http://schemas.openxmlformats.org/officeDocument/2006/relationships/hyperlink" Target="https://drive.google.com/file/d/1OBarJKzDZJQcG6pWbwnfRql2ikBVnCNs/view?usp=sharing" TargetMode="External"/><Relationship Id="rId463" Type="http://schemas.openxmlformats.org/officeDocument/2006/relationships/hyperlink" Target="https://drive.google.com/file/d/1WNOV_iwq-Bqlq_1JYqdkH1MPL5QTX_9y/view?usp=sharing" TargetMode="External"/><Relationship Id="rId217" Type="http://schemas.openxmlformats.org/officeDocument/2006/relationships/hyperlink" Target="https://drive.google.com/file/d/1VGnqD0SbxP_aoDxtEEanbexGcbGe82fu/view?usp=sharing" TargetMode="External"/><Relationship Id="rId459" Type="http://schemas.openxmlformats.org/officeDocument/2006/relationships/hyperlink" Target="https://drive.google.com/file/d/1c8jycK102VZjM9fd5wE5KdsPEOHJIU5R/view?usp=sharing" TargetMode="External"/><Relationship Id="rId216" Type="http://schemas.openxmlformats.org/officeDocument/2006/relationships/hyperlink" Target="https://drive.google.com/file/d/1D_-6QOqhMvRU97lJx4Lkq5aegd9nh_FK/view?usp=sharing" TargetMode="External"/><Relationship Id="rId458" Type="http://schemas.openxmlformats.org/officeDocument/2006/relationships/hyperlink" Target="https://drive.google.com/file/d/1XFrWqPLwmTyW1mQZVgC0yYQsFbDf3hhB/view?usp=sharing" TargetMode="External"/><Relationship Id="rId215" Type="http://schemas.openxmlformats.org/officeDocument/2006/relationships/hyperlink" Target="https://drive.google.com/file/d/1s2vFQ5BYiIbTKwr9uh0nRAos0GCr8Oxh/view?usp=sharing" TargetMode="External"/><Relationship Id="rId457" Type="http://schemas.openxmlformats.org/officeDocument/2006/relationships/hyperlink" Target="https://drive.google.com/file/d/1lLcyQVVBI4WC5NEszxPf8HGedkz1KMP-/view?usp=sharing" TargetMode="External"/><Relationship Id="rId699" Type="http://schemas.openxmlformats.org/officeDocument/2006/relationships/hyperlink" Target="https://drive.google.com/file/d/1g74ol2qLirVN0q74NOfn36kDVZZcRVgt/view?usp=sharing" TargetMode="External"/><Relationship Id="rId214" Type="http://schemas.openxmlformats.org/officeDocument/2006/relationships/hyperlink" Target="https://drive.google.com/file/d/1bcWkOfS4hCkiHjE1PvTSYX7n0cKeHBHO/view?usp=sharing" TargetMode="External"/><Relationship Id="rId456" Type="http://schemas.openxmlformats.org/officeDocument/2006/relationships/hyperlink" Target="https://drive.google.com/file/d/1tR6udwXrxUVW56FLGwfS7VbFGUTaeAvR/view?usp=sharing" TargetMode="External"/><Relationship Id="rId698" Type="http://schemas.openxmlformats.org/officeDocument/2006/relationships/hyperlink" Target="https://drive.google.com/file/d/1G6x3CVHxvN5ZQpe-Bag6WGHMd9I1_C2t/view?usp=sharing" TargetMode="External"/><Relationship Id="rId219" Type="http://schemas.openxmlformats.org/officeDocument/2006/relationships/hyperlink" Target="https://drive.google.com/file/d/1nCglAFtDA-Q7Nkx45JYUZAtqNdEvmtXi/view?usp=sharing" TargetMode="External"/><Relationship Id="rId218" Type="http://schemas.openxmlformats.org/officeDocument/2006/relationships/hyperlink" Target="https://drive.google.com/file/d/1aMZGKt0W1NYWUnhcWiJGGSaQKo3yExqQ/view?usp=sharing" TargetMode="External"/><Relationship Id="rId451" Type="http://schemas.openxmlformats.org/officeDocument/2006/relationships/hyperlink" Target="https://drive.google.com/file/d/1ByFf-4E3cjpfORLbCySWSrvM2iQgs8VC/view?usp=sharing" TargetMode="External"/><Relationship Id="rId693" Type="http://schemas.openxmlformats.org/officeDocument/2006/relationships/hyperlink" Target="https://drive.google.com/file/d/1E1LYpdZ9tYK4vIGElgHJA2HGO5fheRDJ/view?usp=sharing" TargetMode="External"/><Relationship Id="rId450" Type="http://schemas.openxmlformats.org/officeDocument/2006/relationships/hyperlink" Target="https://drive.google.com/file/d/1pumOVBkk8GETav4e5v-YwhykDSWzZkaU/view?usp=sharing" TargetMode="External"/><Relationship Id="rId692" Type="http://schemas.openxmlformats.org/officeDocument/2006/relationships/hyperlink" Target="https://drive.google.com/file/d/1vfTThA73Ny9HrPxcYGrRVQ1iHQI3GzzW/view?usp=sharing" TargetMode="External"/><Relationship Id="rId691" Type="http://schemas.openxmlformats.org/officeDocument/2006/relationships/hyperlink" Target="https://drive.google.com/file/d/1UtvEn3mwWXID6l3Y76xKJtDLz7XfkYOT/view?usp=sharing" TargetMode="External"/><Relationship Id="rId690" Type="http://schemas.openxmlformats.org/officeDocument/2006/relationships/hyperlink" Target="https://drive.google.com/file/d/1Gi0-kU4QO31p4a9rmh9hxLKdnS0KdQDn/view?usp=sharing" TargetMode="External"/><Relationship Id="rId213" Type="http://schemas.openxmlformats.org/officeDocument/2006/relationships/hyperlink" Target="https://drive.google.com/file/d/1Ftu0mkGsnM2opZHi2YVTgQ7JZBzI1ihd/view?usp=sharing" TargetMode="External"/><Relationship Id="rId455" Type="http://schemas.openxmlformats.org/officeDocument/2006/relationships/hyperlink" Target="https://drive.google.com/file/d/1VajwEaMRPMokimJ2DCi7MdFYepCfa3ny/view?usp=drive_link" TargetMode="External"/><Relationship Id="rId697" Type="http://schemas.openxmlformats.org/officeDocument/2006/relationships/hyperlink" Target="https://drive.google.com/file/d/1oucno8G6Pjxlnb4HZFV_In8ouWNDCOnd/view?usp=sharing" TargetMode="External"/><Relationship Id="rId212" Type="http://schemas.openxmlformats.org/officeDocument/2006/relationships/hyperlink" Target="https://drive.google.com/file/d/1pkP3s1EuXQrVLzKlIeu6xu2RZXNjlh0Y/view?usp=sharing" TargetMode="External"/><Relationship Id="rId454" Type="http://schemas.openxmlformats.org/officeDocument/2006/relationships/hyperlink" Target="https://drive.google.com/file/d/1qsHszDdJ5-8MkVDT5HfJZhADs_sPRVTm/view?usp=sharing" TargetMode="External"/><Relationship Id="rId696" Type="http://schemas.openxmlformats.org/officeDocument/2006/relationships/hyperlink" Target="https://drive.google.com/file/d/1YQmoFmJSVmNRv0fM2F6A79Q6afp5K0J7/view?usp=sharing" TargetMode="External"/><Relationship Id="rId211" Type="http://schemas.openxmlformats.org/officeDocument/2006/relationships/hyperlink" Target="https://drive.google.com/file/d/1fMPnbzS6nmU64EZzca61VofKR-63c1B_/view?usp=sharing" TargetMode="External"/><Relationship Id="rId453" Type="http://schemas.openxmlformats.org/officeDocument/2006/relationships/hyperlink" Target="https://drive.google.com/file/d/10SCdCy6A2loObElrSjxKlGKBGU_xSh7u/view?usp=sharing" TargetMode="External"/><Relationship Id="rId695" Type="http://schemas.openxmlformats.org/officeDocument/2006/relationships/hyperlink" Target="https://drive.google.com/file/d/15b72Ev47viSHq3jiXqWn8tWb5svf9tyw/view?usp=sharing" TargetMode="External"/><Relationship Id="rId210" Type="http://schemas.openxmlformats.org/officeDocument/2006/relationships/hyperlink" Target="https://drive.google.com/file/d/13XB92DM59oh6V5SSsB8xnIqnMx9lJiwp/view?usp=sharing" TargetMode="External"/><Relationship Id="rId452" Type="http://schemas.openxmlformats.org/officeDocument/2006/relationships/hyperlink" Target="https://drive.google.com/file/d/1YaJbe0sFSxrgmfNPQjjywc8LRHekQiPu/view?usp=sharing" TargetMode="External"/><Relationship Id="rId694" Type="http://schemas.openxmlformats.org/officeDocument/2006/relationships/hyperlink" Target="https://drive.google.com/file/d/1_UtY7rI4FR_Qw2CqRUUvPD6dnBDwDr_L/view?usp=sharing" TargetMode="External"/><Relationship Id="rId491" Type="http://schemas.openxmlformats.org/officeDocument/2006/relationships/hyperlink" Target="https://drive.google.com/file/d/13a1djW61h0CEqf41hj80EOwSmImWLdxn/view?usp=sharing" TargetMode="External"/><Relationship Id="rId490" Type="http://schemas.openxmlformats.org/officeDocument/2006/relationships/hyperlink" Target="https://drive.google.com/file/d/1RAT8QmCm5m1Pa_g6Rxr2BgD1sl_bNzkl/view?usp=sharing" TargetMode="External"/><Relationship Id="rId249" Type="http://schemas.openxmlformats.org/officeDocument/2006/relationships/hyperlink" Target="https://drive.google.com/file/d/1XEa-GQUffs-Hn_gZUPFx7BvQrtxlE1hD/view?usp=sharing" TargetMode="External"/><Relationship Id="rId248" Type="http://schemas.openxmlformats.org/officeDocument/2006/relationships/hyperlink" Target="https://drive.google.com/file/d/13T2MxmjO7HhwabRdzX96O0KaYHYw_3Jy/view?usp=sharing" TargetMode="External"/><Relationship Id="rId247" Type="http://schemas.openxmlformats.org/officeDocument/2006/relationships/hyperlink" Target="https://drive.google.com/file/d/1ZDwJwfg8fauBdy6gNo2uVQhayn62cb7M/view?usp=sharing" TargetMode="External"/><Relationship Id="rId489" Type="http://schemas.openxmlformats.org/officeDocument/2006/relationships/hyperlink" Target="https://drive.google.com/file/d/15zWyMZnXsauP5m860ohiZyMojbFlxv3A/view?usp=sharing" TargetMode="External"/><Relationship Id="rId242" Type="http://schemas.openxmlformats.org/officeDocument/2006/relationships/hyperlink" Target="https://drive.google.com/file/d/1z-8I_rhBbH_D9dPCjaMKGeyhPp2bFGgo/view?usp=sharing" TargetMode="External"/><Relationship Id="rId484" Type="http://schemas.openxmlformats.org/officeDocument/2006/relationships/hyperlink" Target="https://drive.google.com/file/d/1FSiZf345O-U7potANFLJQTynprmgJVX_/view?usp=sharing" TargetMode="External"/><Relationship Id="rId241" Type="http://schemas.openxmlformats.org/officeDocument/2006/relationships/hyperlink" Target="https://drive.google.com/file/d/1Wns2595HYBJ67zzOrmmWaZbeWRJUHXfc/view?usp=sharing" TargetMode="External"/><Relationship Id="rId483" Type="http://schemas.openxmlformats.org/officeDocument/2006/relationships/hyperlink" Target="https://drive.google.com/file/d/1vV9Ri33oHcMnPoC1ZCCA1MB0luqeeabN/view?usp=sharing" TargetMode="External"/><Relationship Id="rId240" Type="http://schemas.openxmlformats.org/officeDocument/2006/relationships/hyperlink" Target="https://drive.google.com/file/d/1oPucc2-WcQCYhHQqzBfKGE1hWf0HklAo/view?usp=sharing" TargetMode="External"/><Relationship Id="rId482" Type="http://schemas.openxmlformats.org/officeDocument/2006/relationships/hyperlink" Target="https://drive.google.com/file/d/1nhuYdiPEeHojLfy3R6gpx8MKuJ1qRVzk/view?usp=sharing" TargetMode="External"/><Relationship Id="rId481" Type="http://schemas.openxmlformats.org/officeDocument/2006/relationships/hyperlink" Target="https://drive.google.com/file/d/1ygo6_b-OiBf79TtdcmYspa-fQ4YrsSyl/view?usp=sharing" TargetMode="External"/><Relationship Id="rId246" Type="http://schemas.openxmlformats.org/officeDocument/2006/relationships/hyperlink" Target="https://drive.google.com/file/d/1xtZnuygFyXKYyRmQczNESPXgYX9J3Xsn/view?usp=sharing" TargetMode="External"/><Relationship Id="rId488" Type="http://schemas.openxmlformats.org/officeDocument/2006/relationships/hyperlink" Target="https://drive.google.com/file/d/1c2l2f0q9dB3Kw8NB_3wsuGmHL5l_iOMA/view?usp=sharing" TargetMode="External"/><Relationship Id="rId245" Type="http://schemas.openxmlformats.org/officeDocument/2006/relationships/hyperlink" Target="https://drive.google.com/file/d/1YK2WJV46u7E5y1CKxtk6UWMcjFJjBgiR/view?usp=sharing" TargetMode="External"/><Relationship Id="rId487" Type="http://schemas.openxmlformats.org/officeDocument/2006/relationships/hyperlink" Target="https://drive.google.com/file/d/1xpOXzAUOhfIuUWishup40I-evlHpkswD/view?usp=sharing" TargetMode="External"/><Relationship Id="rId244" Type="http://schemas.openxmlformats.org/officeDocument/2006/relationships/hyperlink" Target="https://drive.google.com/file/d/1MJ5bnpZa39QLDPSuB57jtf8iouHYCnoe/view?usp=sharing" TargetMode="External"/><Relationship Id="rId486" Type="http://schemas.openxmlformats.org/officeDocument/2006/relationships/hyperlink" Target="https://drive.google.com/file/d/1M-KTVk7ZQFlocHEnFDkS59LHktRaIa_O/view?usp=sharing" TargetMode="External"/><Relationship Id="rId243" Type="http://schemas.openxmlformats.org/officeDocument/2006/relationships/hyperlink" Target="https://drive.google.com/file/d/1Bd6sjQK5JLhqWpN3lrz0p8tgCZ9KzRxA/view?usp=sharing" TargetMode="External"/><Relationship Id="rId485" Type="http://schemas.openxmlformats.org/officeDocument/2006/relationships/hyperlink" Target="https://drive.google.com/file/d/1XYaLk5-hLYSZuCQGNB-XZZSLzZSJt0mk/view?usp=sharing" TargetMode="External"/><Relationship Id="rId480" Type="http://schemas.openxmlformats.org/officeDocument/2006/relationships/hyperlink" Target="https://drive.google.com/file/d/1RKZ4P6hIR9QHDj7uXEcQXcWNQTjWYJbk/view?usp=sharing" TargetMode="External"/><Relationship Id="rId239" Type="http://schemas.openxmlformats.org/officeDocument/2006/relationships/hyperlink" Target="https://drive.google.com/file/d/1qa_I6yQppDkgyd85Atoxl7a3m03iKfTN/view?usp=sharing" TargetMode="External"/><Relationship Id="rId238" Type="http://schemas.openxmlformats.org/officeDocument/2006/relationships/hyperlink" Target="https://drive.google.com/file/d/1ZA5qu0ynIAOv0q97n_kGkeRk9i1JmSQG/view?usp=sharing" TargetMode="External"/><Relationship Id="rId237" Type="http://schemas.openxmlformats.org/officeDocument/2006/relationships/hyperlink" Target="https://drive.google.com/file/d/1UEbaytHacVp3GVu5Muv3UW17HuMLs8WI/view?usp=sharing" TargetMode="External"/><Relationship Id="rId479" Type="http://schemas.openxmlformats.org/officeDocument/2006/relationships/hyperlink" Target="https://drive.google.com/file/d/1Yz5XdRH8SZGhs-tMoYCS0i5t2C55U1g6/view?usp=sharing" TargetMode="External"/><Relationship Id="rId236" Type="http://schemas.openxmlformats.org/officeDocument/2006/relationships/hyperlink" Target="https://drive.google.com/file/d/13Su_CbD-dzmliYrrXTFEoUe6TZHmV7vY/view?usp=sharing" TargetMode="External"/><Relationship Id="rId478" Type="http://schemas.openxmlformats.org/officeDocument/2006/relationships/hyperlink" Target="https://drive.google.com/file/d/1JR-7x62pNWxkrryXVuRZJBEvehDk0_7t/view?usp=sharing" TargetMode="External"/><Relationship Id="rId231" Type="http://schemas.openxmlformats.org/officeDocument/2006/relationships/hyperlink" Target="https://drive.google.com/file/d/1ogC0QHx6aZlERw3ilhNGIqd-LL6lbRJG/view?usp=sharing" TargetMode="External"/><Relationship Id="rId473" Type="http://schemas.openxmlformats.org/officeDocument/2006/relationships/hyperlink" Target="https://drive.google.com/file/d/1_Cu1YXHGJqCBwYBM6xlz0Eke5wRg8q5f/view?usp=sharing" TargetMode="External"/><Relationship Id="rId230" Type="http://schemas.openxmlformats.org/officeDocument/2006/relationships/hyperlink" Target="https://drive.google.com/file/d/1K4o2Q4da5_EYAjanmdz3aCLqiLu338N8/view?usp=sharing" TargetMode="External"/><Relationship Id="rId472" Type="http://schemas.openxmlformats.org/officeDocument/2006/relationships/hyperlink" Target="https://drive.google.com/file/d/1UcONQlXQ5AHyBqgK6Hw_fjVR5pu_hQ-i/view?usp=sharing" TargetMode="External"/><Relationship Id="rId471" Type="http://schemas.openxmlformats.org/officeDocument/2006/relationships/hyperlink" Target="https://drive.google.com/file/d/1h83EU2g1NGNT6w5tr-aPW3zDZo-V7ZnD/view?usp=sharing" TargetMode="External"/><Relationship Id="rId470" Type="http://schemas.openxmlformats.org/officeDocument/2006/relationships/hyperlink" Target="https://drive.google.com/file/d/1D_fk3gFZLuhyZYBYdZSuN8ISwaj6ao67/view?usp=sharing" TargetMode="External"/><Relationship Id="rId235" Type="http://schemas.openxmlformats.org/officeDocument/2006/relationships/hyperlink" Target="https://drive.google.com/file/d/1dsrM0hk-Wfd_1dF-82yQpPsY3_jEqSRd/view?usp=sharing" TargetMode="External"/><Relationship Id="rId477" Type="http://schemas.openxmlformats.org/officeDocument/2006/relationships/hyperlink" Target="https://drive.google.com/file/d/1OFAUd8s41j-6vbcv9u8DBKLuXxBc6NJL/view?usp=sharing" TargetMode="External"/><Relationship Id="rId234" Type="http://schemas.openxmlformats.org/officeDocument/2006/relationships/hyperlink" Target="https://drive.google.com/file/d/1JSjsCCQdDF2sJBMUlkhlxIGGJS6E_FjB/view?usp=sharing" TargetMode="External"/><Relationship Id="rId476" Type="http://schemas.openxmlformats.org/officeDocument/2006/relationships/hyperlink" Target="https://drive.google.com/file/d/1cBKIl5PqesigcDt0aQzoqcG2nTuvB-R7/view?usp=sharing" TargetMode="External"/><Relationship Id="rId233" Type="http://schemas.openxmlformats.org/officeDocument/2006/relationships/hyperlink" Target="https://drive.google.com/file/d/1EyOQLfYs7SCxoooO6KXzqzQGgyqQdTHl/view?usp=sharing" TargetMode="External"/><Relationship Id="rId475" Type="http://schemas.openxmlformats.org/officeDocument/2006/relationships/hyperlink" Target="https://drive.google.com/file/d/16kmAVAtlTZ6446_YTRKqmt-OOiaHqnVM/view?usp=sharing" TargetMode="External"/><Relationship Id="rId232" Type="http://schemas.openxmlformats.org/officeDocument/2006/relationships/hyperlink" Target="https://drive.google.com/file/d/1Zl3tySpHBFAbiZmmexpxfZ5sENO2-3wm/view?usp=sharing" TargetMode="External"/><Relationship Id="rId474" Type="http://schemas.openxmlformats.org/officeDocument/2006/relationships/hyperlink" Target="https://drive.google.com/file/d/1wqYq0U6AGlW6DXjepl1nUxRaD8dlEspo/view?usp=sharing" TargetMode="External"/><Relationship Id="rId426" Type="http://schemas.openxmlformats.org/officeDocument/2006/relationships/hyperlink" Target="https://drive.google.com/file/d/1RGOxOaQKrCiD1bzW8Ls5lUEXKoqnY16b/view?usp=sharing" TargetMode="External"/><Relationship Id="rId668" Type="http://schemas.openxmlformats.org/officeDocument/2006/relationships/hyperlink" Target="https://drive.google.com/file/d/1zO8hedD4hiYZK65Ow-W_ccX2f2Zq-41a/view?usp=sharing" TargetMode="External"/><Relationship Id="rId425" Type="http://schemas.openxmlformats.org/officeDocument/2006/relationships/hyperlink" Target="https://drive.google.com/file/d/15xogirExy150xuEStFYHvxMC5nDV-SOq/view?usp=sharing" TargetMode="External"/><Relationship Id="rId667" Type="http://schemas.openxmlformats.org/officeDocument/2006/relationships/hyperlink" Target="https://drive.google.com/file/d/1r1ffsOSTOEx-arQGstDYkCNfLz4Ji4fS/view?usp=sharing" TargetMode="External"/><Relationship Id="rId424" Type="http://schemas.openxmlformats.org/officeDocument/2006/relationships/hyperlink" Target="https://drive.google.com/file/d/1AfDqn3Ad6jMaKL9GPc4x3L_Gs61rHIML/view?usp=sharing" TargetMode="External"/><Relationship Id="rId666" Type="http://schemas.openxmlformats.org/officeDocument/2006/relationships/hyperlink" Target="https://drive.google.com/file/d/1-02tBzEPTy4VpoAl1A0Xn8w-GQWfL752/view?usp=sharing" TargetMode="External"/><Relationship Id="rId423" Type="http://schemas.openxmlformats.org/officeDocument/2006/relationships/hyperlink" Target="https://drive.google.com/file/d/11Euql12Er3wplQEEFw0Apt9cT2WFWdrH/view?usp=sharing" TargetMode="External"/><Relationship Id="rId665" Type="http://schemas.openxmlformats.org/officeDocument/2006/relationships/hyperlink" Target="https://drive.google.com/file/d/1gbphzMj2_STveYakDUGEz_nRqZ2XsurF/view?usp=sharing" TargetMode="External"/><Relationship Id="rId429" Type="http://schemas.openxmlformats.org/officeDocument/2006/relationships/hyperlink" Target="https://drive.google.com/file/d/1_whfH63RcceTtVdQxNmfHHIkDOficxP-/view?usp=sharing" TargetMode="External"/><Relationship Id="rId428" Type="http://schemas.openxmlformats.org/officeDocument/2006/relationships/hyperlink" Target="https://drive.google.com/file/d/1ZfXu0lzP8q-OGSxKoiqAcmEl7SHdCMrU/view?usp=sharing" TargetMode="External"/><Relationship Id="rId427" Type="http://schemas.openxmlformats.org/officeDocument/2006/relationships/hyperlink" Target="https://drive.google.com/file/d/1adt_9bGvx23GHXJ5TtjtW7hJ9ZEKNRVk/view?usp=sharing" TargetMode="External"/><Relationship Id="rId669" Type="http://schemas.openxmlformats.org/officeDocument/2006/relationships/hyperlink" Target="https://drive.google.com/file/d/14q5tNkcT1a17S_khuxoNQNEEjp02sIXv/view?usp=sharing" TargetMode="External"/><Relationship Id="rId660" Type="http://schemas.openxmlformats.org/officeDocument/2006/relationships/hyperlink" Target="https://drive.google.com/file/d/10fvfVfWAYVEpK-sglWRJ19reqbv34spP/view?usp=sharing" TargetMode="External"/><Relationship Id="rId422" Type="http://schemas.openxmlformats.org/officeDocument/2006/relationships/hyperlink" Target="https://drive.google.com/file/d/1Jou5IzRffw_nV4bDEfWVgYtTmGIEW3X4/view?usp=sharing" TargetMode="External"/><Relationship Id="rId664" Type="http://schemas.openxmlformats.org/officeDocument/2006/relationships/hyperlink" Target="https://drive.google.com/file/d/1O8FOVPW9u0DOhyR989LemNe0ByQcptP3/view?usp=sharing" TargetMode="External"/><Relationship Id="rId421" Type="http://schemas.openxmlformats.org/officeDocument/2006/relationships/hyperlink" Target="https://drive.google.com/file/d/1-hdIkybkeGYyqXkeywuYWVJPnpYJtMvd/view?usp=sharing" TargetMode="External"/><Relationship Id="rId663" Type="http://schemas.openxmlformats.org/officeDocument/2006/relationships/hyperlink" Target="https://drive.google.com/file/d/1buBsppdVomafTNDeuRY0ByA0RWE6Z7VQ/view?usp=sharing" TargetMode="External"/><Relationship Id="rId420" Type="http://schemas.openxmlformats.org/officeDocument/2006/relationships/hyperlink" Target="https://drive.google.com/file/d/1567OTLWJ_4PVeUrEIeS2zncfIw2lywWF/view?usp=sharing" TargetMode="External"/><Relationship Id="rId662" Type="http://schemas.openxmlformats.org/officeDocument/2006/relationships/hyperlink" Target="https://drive.google.com/file/d/1KFRlw5V3MzcIUzAaT3EpsF4PHLHpXGBM/view?usp=sharing" TargetMode="External"/><Relationship Id="rId661" Type="http://schemas.openxmlformats.org/officeDocument/2006/relationships/hyperlink" Target="https://drive.google.com/file/d/1G_JCYFT2z9Ugj_jfqs3aUyIxCAHiL6YH/view?usp=sharing" TargetMode="External"/><Relationship Id="rId415" Type="http://schemas.openxmlformats.org/officeDocument/2006/relationships/hyperlink" Target="https://drive.google.com/file/d/1BCpt7Cz7lT7XpjvFM2nAklbHNt_1HRYA/view?usp=sharing" TargetMode="External"/><Relationship Id="rId657" Type="http://schemas.openxmlformats.org/officeDocument/2006/relationships/hyperlink" Target="https://drive.google.com/file/d/1JOYGPJRvp96lnXMqvfqh11g04SbRP8qZ/view?usp=sharing" TargetMode="External"/><Relationship Id="rId414" Type="http://schemas.openxmlformats.org/officeDocument/2006/relationships/hyperlink" Target="https://drive.google.com/file/d/1v0go5YhhF2ex4s3DeavrelMdfrwie1Ka/view?usp=sharing" TargetMode="External"/><Relationship Id="rId656" Type="http://schemas.openxmlformats.org/officeDocument/2006/relationships/hyperlink" Target="https://drive.google.com/file/d/1BbQ1oeX7geYHJmpXEfIifsnixNP-6zHU/view?usp=sharing" TargetMode="External"/><Relationship Id="rId413" Type="http://schemas.openxmlformats.org/officeDocument/2006/relationships/hyperlink" Target="https://drive.google.com/file/d/1BUppA0WoOfkCNHYovL58ywcbM7deku--/view?usp=sharing" TargetMode="External"/><Relationship Id="rId655" Type="http://schemas.openxmlformats.org/officeDocument/2006/relationships/hyperlink" Target="https://drive.google.com/file/d/1CU87dCpa_Apb5UDCVv2eM_ySVLcOe2tz/view?usp=sharing" TargetMode="External"/><Relationship Id="rId412" Type="http://schemas.openxmlformats.org/officeDocument/2006/relationships/hyperlink" Target="https://drive.google.com/file/d/1yP2lrFL9JwVb6lX9ZthVDIuB8AeU2zNN/view?usp=sharing" TargetMode="External"/><Relationship Id="rId654" Type="http://schemas.openxmlformats.org/officeDocument/2006/relationships/hyperlink" Target="https://drive.google.com/file/d/1kpAQSNNa7foSbI2HPf6W0W0MLoamQyez/view?usp=sharing" TargetMode="External"/><Relationship Id="rId419" Type="http://schemas.openxmlformats.org/officeDocument/2006/relationships/hyperlink" Target="https://drive.google.com/file/d/1GekpKPnFfggTBqY-M77r7m-RJ5I05oCL/view?usp=sharing" TargetMode="External"/><Relationship Id="rId418" Type="http://schemas.openxmlformats.org/officeDocument/2006/relationships/hyperlink" Target="https://drive.google.com/file/d/1gF-AfG9cVu58qy5rU_kexG6E-HhaEH70/view?usp=sharing" TargetMode="External"/><Relationship Id="rId417" Type="http://schemas.openxmlformats.org/officeDocument/2006/relationships/hyperlink" Target="https://drive.google.com/file/d/1rhuCuV_WJfuRmkkVLEkb3DrQsYpXv3eb/view?usp=sharing" TargetMode="External"/><Relationship Id="rId659" Type="http://schemas.openxmlformats.org/officeDocument/2006/relationships/hyperlink" Target="https://drive.google.com/file/d/15hpk1f9nvqecDV1KVfZVJb7r_zH4EDPW/view?usp=sharing" TargetMode="External"/><Relationship Id="rId416" Type="http://schemas.openxmlformats.org/officeDocument/2006/relationships/hyperlink" Target="https://drive.google.com/file/d/1s_cklwTls07v7NCiNx73c413wn_yJxbQ/view?usp=sharing" TargetMode="External"/><Relationship Id="rId658" Type="http://schemas.openxmlformats.org/officeDocument/2006/relationships/hyperlink" Target="https://drive.google.com/file/d/1nnsjspsKWNvoWh4XNtTuVHs2BDSWfiZB/view?usp=sharing" TargetMode="External"/><Relationship Id="rId411" Type="http://schemas.openxmlformats.org/officeDocument/2006/relationships/hyperlink" Target="https://drive.google.com/file/d/1kt5pV8cSf1pL-TFkZ4Hn3rN7rmorhp7M/view?usp=sharing" TargetMode="External"/><Relationship Id="rId653" Type="http://schemas.openxmlformats.org/officeDocument/2006/relationships/hyperlink" Target="https://drive.google.com/file/d/1dH5PWelMrHkbfGv6cwhqRzVHGsWRc0Cf/view?usp=sharing" TargetMode="External"/><Relationship Id="rId410" Type="http://schemas.openxmlformats.org/officeDocument/2006/relationships/hyperlink" Target="https://drive.google.com/file/d/1CM-VafSmjfa1buHqEnQtjSK6HWxyHb6t/view?usp=sharing" TargetMode="External"/><Relationship Id="rId652" Type="http://schemas.openxmlformats.org/officeDocument/2006/relationships/hyperlink" Target="https://drive.google.com/file/d/1IaGSmnU4_s-WudqkAJIibHDnzcggkCMk/view?usp=sharing" TargetMode="External"/><Relationship Id="rId651" Type="http://schemas.openxmlformats.org/officeDocument/2006/relationships/hyperlink" Target="https://drive.google.com/file/d/1MFhKPE0TV-gIpwodI6UwQ-Nt-1Rrvs66/view?usp=drive_link" TargetMode="External"/><Relationship Id="rId650" Type="http://schemas.openxmlformats.org/officeDocument/2006/relationships/hyperlink" Target="https://drive.google.com/file/d/1-JrEXLZmXdJB9p83ClYv217DAb_Qor9A/view?usp=sharing" TargetMode="External"/><Relationship Id="rId206" Type="http://schemas.openxmlformats.org/officeDocument/2006/relationships/hyperlink" Target="https://drive.google.com/file/d/1cZ8Pg93WySbYcfS3m6TXEjwYyioEeLJW/view?usp=sharing" TargetMode="External"/><Relationship Id="rId448" Type="http://schemas.openxmlformats.org/officeDocument/2006/relationships/hyperlink" Target="https://drive.google.com/file/d/1OR4-_gLhxlEslbNZ8OFdhfK39AEYzwK0/view?usp=sharing" TargetMode="External"/><Relationship Id="rId205" Type="http://schemas.openxmlformats.org/officeDocument/2006/relationships/hyperlink" Target="https://drive.google.com/file/d/1f9TCwrRjJZ_2IF1h0cnlpuOyaUOA31xa/view?usp=sharing" TargetMode="External"/><Relationship Id="rId447" Type="http://schemas.openxmlformats.org/officeDocument/2006/relationships/hyperlink" Target="https://drive.google.com/file/d/1_6Ng2JYxSmFwJQKoXWeqHXXk5CEFTn5D/view?usp=sharing" TargetMode="External"/><Relationship Id="rId689" Type="http://schemas.openxmlformats.org/officeDocument/2006/relationships/hyperlink" Target="https://drive.google.com/file/d/1mssmnbjXQU0-qYth-tAz8sAYP_dcqJAj/view?usp=sharing" TargetMode="External"/><Relationship Id="rId204" Type="http://schemas.openxmlformats.org/officeDocument/2006/relationships/hyperlink" Target="https://drive.google.com/file/d/1o12hczwQ1FaxxvINF1p-yToEYe4rs7c4/view?usp=sharing" TargetMode="External"/><Relationship Id="rId446" Type="http://schemas.openxmlformats.org/officeDocument/2006/relationships/hyperlink" Target="https://drive.google.com/file/d/10iWlAoYjZHzjP0oT93lRibhu7SLG35w3/view?usp=sharing" TargetMode="External"/><Relationship Id="rId688" Type="http://schemas.openxmlformats.org/officeDocument/2006/relationships/hyperlink" Target="https://drive.google.com/file/d/1Kvw0Gh2EZXsE4Bx5XI8y4SlZSoL7lXJk/view?usp=sharing" TargetMode="External"/><Relationship Id="rId203" Type="http://schemas.openxmlformats.org/officeDocument/2006/relationships/hyperlink" Target="https://drive.google.com/file/d/1ng6T1MmVenV7dmRHTdN1i8siU0tG45Y0/view?usp=sharing" TargetMode="External"/><Relationship Id="rId445" Type="http://schemas.openxmlformats.org/officeDocument/2006/relationships/hyperlink" Target="https://drive.google.com/file/d/12jMcD5lJ1VPR93L1Tk4Z-vZy2ELZ9Zgq/view?usp=sharing" TargetMode="External"/><Relationship Id="rId687" Type="http://schemas.openxmlformats.org/officeDocument/2006/relationships/hyperlink" Target="https://drive.google.com/file/d/11PHIeOaDgge5h3bKh6He9Q9TeQwDRmeM/view?usp=sharing" TargetMode="External"/><Relationship Id="rId209" Type="http://schemas.openxmlformats.org/officeDocument/2006/relationships/hyperlink" Target="https://drive.google.com/file/d/1kYywAmV4P_wgYz0NRvNu7uRUDg-DYdUE/view?usp=sharing" TargetMode="External"/><Relationship Id="rId208" Type="http://schemas.openxmlformats.org/officeDocument/2006/relationships/hyperlink" Target="https://drive.google.com/file/d/1eu2agUCefIHihO8ppT_MOZgLtUa5F4R8/view?usp=sharing" TargetMode="External"/><Relationship Id="rId207" Type="http://schemas.openxmlformats.org/officeDocument/2006/relationships/hyperlink" Target="https://drive.google.com/file/d/16aJgp6PfWRDoktEUSwO2Hz4G4E3a2JvQ/view?usp=sharing" TargetMode="External"/><Relationship Id="rId449" Type="http://schemas.openxmlformats.org/officeDocument/2006/relationships/hyperlink" Target="https://drive.google.com/file/d/1jr67Ws8_z7JStj0kghhKEHagD4RFWnP3/view?usp=sharing" TargetMode="External"/><Relationship Id="rId440" Type="http://schemas.openxmlformats.org/officeDocument/2006/relationships/hyperlink" Target="https://drive.google.com/file/d/13K30WtzqQmtsAoMrBYRB5oG-zIXTeRmu/view?usp=sharing" TargetMode="External"/><Relationship Id="rId682" Type="http://schemas.openxmlformats.org/officeDocument/2006/relationships/hyperlink" Target="https://drive.google.com/file/d/1TxHYVmy8IyL32u4pyf_a3DQwx0gxjvDY/view?usp=sharing" TargetMode="External"/><Relationship Id="rId681" Type="http://schemas.openxmlformats.org/officeDocument/2006/relationships/hyperlink" Target="https://drive.google.com/file/d/1RFpu4hOTYciHQ5hSkHU0l89C8NeZu5R7/view?usp=sharing" TargetMode="External"/><Relationship Id="rId680" Type="http://schemas.openxmlformats.org/officeDocument/2006/relationships/hyperlink" Target="https://drive.google.com/file/d/11J4d3y_NnojDiPgSiGm79MK8FTnAarYa/view?usp=sharing" TargetMode="External"/><Relationship Id="rId202" Type="http://schemas.openxmlformats.org/officeDocument/2006/relationships/hyperlink" Target="https://drive.google.com/file/d/1SQN6XxtSaONtZwphBQH_lZaFrN0Mt6x-/view?usp=sharing" TargetMode="External"/><Relationship Id="rId444" Type="http://schemas.openxmlformats.org/officeDocument/2006/relationships/hyperlink" Target="https://drive.google.com/file/d/1O3AQlXNXFIdAodutcg8S5h16c7QcrTY5/view?usp=sharing" TargetMode="External"/><Relationship Id="rId686" Type="http://schemas.openxmlformats.org/officeDocument/2006/relationships/hyperlink" Target="https://drive.google.com/file/d/1urD7qY7WOkJ0kRHJ-Hl06uPgSVoFUHJU/view?usp=sharing" TargetMode="External"/><Relationship Id="rId201" Type="http://schemas.openxmlformats.org/officeDocument/2006/relationships/hyperlink" Target="https://drive.google.com/file/d/1kdi9hmB2QObGHHxC971LK7U3jhywYiVG/view?usp=sharing" TargetMode="External"/><Relationship Id="rId443" Type="http://schemas.openxmlformats.org/officeDocument/2006/relationships/hyperlink" Target="https://drive.google.com/file/d/1rFQC7J2QlHajFvIChLsuDpq3x5hlXIe8/view?usp=sharing" TargetMode="External"/><Relationship Id="rId685" Type="http://schemas.openxmlformats.org/officeDocument/2006/relationships/hyperlink" Target="https://drive.google.com/file/d/1LaNzRVl_hZBHf557EQZwRwOQSWxV8EyN/view?usp=sharing" TargetMode="External"/><Relationship Id="rId200" Type="http://schemas.openxmlformats.org/officeDocument/2006/relationships/hyperlink" Target="https://drive.google.com/file/d/14-ZmqiGqHExsK4I4hntwPTcXkuLNEDRD/view?usp=sharing" TargetMode="External"/><Relationship Id="rId442" Type="http://schemas.openxmlformats.org/officeDocument/2006/relationships/hyperlink" Target="https://drive.google.com/file/d/1f4oVOHyzEZxZB31ugYXiRfYIx9XcADya/view?usp=sharing" TargetMode="External"/><Relationship Id="rId684" Type="http://schemas.openxmlformats.org/officeDocument/2006/relationships/hyperlink" Target="https://drive.google.com/file/d/19vg7ktA60wuY1wKB1xofSKUYHhZYUhPG/view?usp=sharing" TargetMode="External"/><Relationship Id="rId441" Type="http://schemas.openxmlformats.org/officeDocument/2006/relationships/hyperlink" Target="https://drive.google.com/file/d/1nwtRgxG_rs0DP9AGs9dtCXzytFvJfAOw/view?usp=sharing" TargetMode="External"/><Relationship Id="rId683" Type="http://schemas.openxmlformats.org/officeDocument/2006/relationships/hyperlink" Target="https://drive.google.com/file/d/1rdKIspX91WPFvdQNKZyYdWJfYQsFteEz/view?usp=sharing" TargetMode="External"/><Relationship Id="rId437" Type="http://schemas.openxmlformats.org/officeDocument/2006/relationships/hyperlink" Target="https://drive.google.com/file/d/1cWeZWo1G1hLW8G4EZr0Tw3R64TL7fXXd/view?usp=sharing" TargetMode="External"/><Relationship Id="rId679" Type="http://schemas.openxmlformats.org/officeDocument/2006/relationships/hyperlink" Target="https://drive.google.com/file/d/1985jwpoVX6abFgj9e7MREXjzbp6Abga7/view?usp=sharing" TargetMode="External"/><Relationship Id="rId436" Type="http://schemas.openxmlformats.org/officeDocument/2006/relationships/hyperlink" Target="https://drive.google.com/file/d/13cykidn3Py-USvMKtVNKUAkb-FpDWXqL/view?usp=sharing" TargetMode="External"/><Relationship Id="rId678" Type="http://schemas.openxmlformats.org/officeDocument/2006/relationships/hyperlink" Target="https://drive.google.com/file/d/1FhBJHaoCnUJyfMxU8GHjmOIN0TNrX5bC/view?usp=sharing" TargetMode="External"/><Relationship Id="rId435" Type="http://schemas.openxmlformats.org/officeDocument/2006/relationships/hyperlink" Target="https://drive.google.com/file/d/13Xa6uN8zxeB0MBNIES-Ku_JG5VjSbVgj/view?usp=sharing" TargetMode="External"/><Relationship Id="rId677" Type="http://schemas.openxmlformats.org/officeDocument/2006/relationships/hyperlink" Target="https://drive.google.com/file/d/1JAi-VSgINJ5g-j5xIwGC_JQE0coRE7_c/view?usp=sharing" TargetMode="External"/><Relationship Id="rId434" Type="http://schemas.openxmlformats.org/officeDocument/2006/relationships/hyperlink" Target="https://drive.google.com/file/d/10LrXNZppqG7TDCaZhfSu0dn0ueZTTP3p/view?usp=sharing" TargetMode="External"/><Relationship Id="rId676" Type="http://schemas.openxmlformats.org/officeDocument/2006/relationships/hyperlink" Target="https://drive.google.com/file/d/17GiC8-DpFnpZHhpEau3plXB-FdKhOOm8/view?usp=sharing" TargetMode="External"/><Relationship Id="rId439" Type="http://schemas.openxmlformats.org/officeDocument/2006/relationships/hyperlink" Target="https://drive.google.com/file/d/1AYNfwe9BAyiJkFmG50RezJXkmIwGQ5k0/view?usp=sharing" TargetMode="External"/><Relationship Id="rId438" Type="http://schemas.openxmlformats.org/officeDocument/2006/relationships/hyperlink" Target="https://drive.google.com/file/d/1JEcdxOzuL-NBXM1IzRLLoe3HjXDTWaRg/view?usp=sharing" TargetMode="External"/><Relationship Id="rId671" Type="http://schemas.openxmlformats.org/officeDocument/2006/relationships/hyperlink" Target="https://drive.google.com/file/d/1jNs6EpyG5ftEELqOfppQxkKhPpVHl5Qm/view?usp=sharing" TargetMode="External"/><Relationship Id="rId670" Type="http://schemas.openxmlformats.org/officeDocument/2006/relationships/hyperlink" Target="https://drive.google.com/file/d/10w_j7a4GCw2RKk-0-xjkZRfguD9CfRT9/view?usp=sharing" TargetMode="External"/><Relationship Id="rId433" Type="http://schemas.openxmlformats.org/officeDocument/2006/relationships/hyperlink" Target="https://drive.google.com/file/d/1bxPUyzxp7rB_vwOGjzHd6jPkqPhVo9h2/view?usp=sharing" TargetMode="External"/><Relationship Id="rId675" Type="http://schemas.openxmlformats.org/officeDocument/2006/relationships/hyperlink" Target="https://drive.google.com/file/d/16yVgxgOIOcppIl7MwmWzJ-nG6jx6wA7O/view?usp=sharing" TargetMode="External"/><Relationship Id="rId432" Type="http://schemas.openxmlformats.org/officeDocument/2006/relationships/hyperlink" Target="https://drive.google.com/file/d/15wOQ3JW0hiErL0yG3a2-_Y00Xq1bzphy/view?usp=sharing" TargetMode="External"/><Relationship Id="rId674" Type="http://schemas.openxmlformats.org/officeDocument/2006/relationships/hyperlink" Target="https://drive.google.com/file/d/1hiRU0DA1Xmc7Z9AO-BSl80g5eN_ltdJD/view?usp=sharing" TargetMode="External"/><Relationship Id="rId431" Type="http://schemas.openxmlformats.org/officeDocument/2006/relationships/hyperlink" Target="https://drive.google.com/file/d/1adx2lE9Fg0tSEoXra9haNvhPFjJa9eTx/view?usp=sharing" TargetMode="External"/><Relationship Id="rId673" Type="http://schemas.openxmlformats.org/officeDocument/2006/relationships/hyperlink" Target="https://drive.google.com/file/d/1Z7khzrWIBJY7dPkv5ySl575xVxc64Uyo/view?usp=sharing" TargetMode="External"/><Relationship Id="rId430" Type="http://schemas.openxmlformats.org/officeDocument/2006/relationships/hyperlink" Target="https://drive.google.com/file/d/1pX-PMtWocjFRjc7ExGcTAbMrx-bEmAvD/view?usp=sharing" TargetMode="External"/><Relationship Id="rId672" Type="http://schemas.openxmlformats.org/officeDocument/2006/relationships/hyperlink" Target="https://drive.google.com/file/d/15of7W-KCjZud6oUUCBPyRF0fUZGrEaAe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11.5"/>
    <col customWidth="1" min="2" max="2" width="15.63"/>
    <col customWidth="1" min="3" max="3" width="18.13"/>
    <col customWidth="1" min="5" max="5" width="34.75"/>
    <col customWidth="1" min="6" max="6" width="36.0"/>
    <col customWidth="1" min="7" max="7" width="20.63"/>
    <col customWidth="1" min="8" max="8" width="14.25"/>
    <col customWidth="1" min="9" max="9" width="5.88"/>
    <col customWidth="1" min="10" max="10" width="12.25"/>
    <col customWidth="1" min="11" max="11" width="16.88"/>
    <col customWidth="1" min="12" max="12" width="28.38"/>
    <col customWidth="1" min="14" max="14" width="26.88"/>
    <col customWidth="1" min="15" max="15" width="56.25"/>
  </cols>
  <sheetData>
    <row r="1">
      <c r="A1" s="1"/>
      <c r="B1" s="2"/>
      <c r="C1" s="2"/>
      <c r="D1" s="2"/>
      <c r="E1" s="2"/>
      <c r="F1" s="2"/>
      <c r="G1" s="3" t="s">
        <v>0</v>
      </c>
      <c r="H1" s="2"/>
      <c r="I1" s="2"/>
      <c r="J1" s="2"/>
      <c r="K1" s="2"/>
      <c r="L1" s="2"/>
      <c r="M1" s="4"/>
      <c r="N1" s="2"/>
      <c r="O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8" t="s">
        <v>13</v>
      </c>
      <c r="N2" s="7" t="s">
        <v>14</v>
      </c>
      <c r="O2" s="9" t="s">
        <v>15</v>
      </c>
    </row>
    <row r="3">
      <c r="A3" s="10">
        <v>45517.0</v>
      </c>
      <c r="B3" s="11" t="s">
        <v>16</v>
      </c>
      <c r="C3" s="11">
        <v>8.05011477276E11</v>
      </c>
      <c r="D3" s="11" t="s">
        <v>17</v>
      </c>
      <c r="E3" s="11" t="s">
        <v>18</v>
      </c>
      <c r="F3" s="11" t="s">
        <v>19</v>
      </c>
      <c r="G3" s="11" t="s">
        <v>20</v>
      </c>
      <c r="H3" s="11" t="s">
        <v>20</v>
      </c>
      <c r="I3" s="11">
        <v>4400.0</v>
      </c>
      <c r="J3" s="11" t="s">
        <v>21</v>
      </c>
      <c r="K3" s="11" t="s">
        <v>22</v>
      </c>
      <c r="L3" s="11" t="s">
        <v>23</v>
      </c>
      <c r="M3" s="12">
        <v>1.0</v>
      </c>
      <c r="N3" s="11" t="s">
        <v>24</v>
      </c>
      <c r="O3" s="13"/>
    </row>
    <row r="4">
      <c r="A4" s="10">
        <v>45517.0</v>
      </c>
      <c r="B4" s="11" t="s">
        <v>16</v>
      </c>
      <c r="C4" s="11">
        <v>8.05011477276E11</v>
      </c>
      <c r="D4" s="11" t="s">
        <v>17</v>
      </c>
      <c r="E4" s="11" t="s">
        <v>18</v>
      </c>
      <c r="F4" s="11" t="s">
        <v>19</v>
      </c>
      <c r="G4" s="11" t="s">
        <v>20</v>
      </c>
      <c r="H4" s="11" t="s">
        <v>20</v>
      </c>
      <c r="I4" s="11">
        <v>4400.0</v>
      </c>
      <c r="J4" s="11" t="s">
        <v>21</v>
      </c>
      <c r="K4" s="11" t="s">
        <v>25</v>
      </c>
      <c r="L4" s="11" t="s">
        <v>26</v>
      </c>
      <c r="M4" s="12">
        <v>1.0</v>
      </c>
      <c r="N4" s="11" t="s">
        <v>24</v>
      </c>
      <c r="O4" s="13"/>
    </row>
    <row r="5">
      <c r="A5" s="14">
        <v>45517.0</v>
      </c>
      <c r="B5" s="15" t="s">
        <v>27</v>
      </c>
      <c r="C5" s="15">
        <v>8.05011477463E11</v>
      </c>
      <c r="D5" s="15" t="s">
        <v>28</v>
      </c>
      <c r="E5" s="15" t="s">
        <v>29</v>
      </c>
      <c r="F5" s="15" t="s">
        <v>30</v>
      </c>
      <c r="G5" s="15" t="s">
        <v>20</v>
      </c>
      <c r="H5" s="15" t="s">
        <v>20</v>
      </c>
      <c r="I5" s="15">
        <v>4400.0</v>
      </c>
      <c r="J5" s="15" t="s">
        <v>31</v>
      </c>
      <c r="K5" s="15" t="s">
        <v>32</v>
      </c>
      <c r="L5" s="15" t="s">
        <v>33</v>
      </c>
      <c r="M5" s="16">
        <v>1.0</v>
      </c>
      <c r="N5" s="15" t="s">
        <v>34</v>
      </c>
      <c r="O5" s="17"/>
    </row>
    <row r="6">
      <c r="A6" s="14">
        <v>45517.0</v>
      </c>
      <c r="B6" s="15" t="s">
        <v>27</v>
      </c>
      <c r="C6" s="15">
        <v>8.05011477463E11</v>
      </c>
      <c r="D6" s="15" t="s">
        <v>28</v>
      </c>
      <c r="E6" s="15" t="s">
        <v>29</v>
      </c>
      <c r="F6" s="15" t="s">
        <v>30</v>
      </c>
      <c r="G6" s="15" t="s">
        <v>20</v>
      </c>
      <c r="H6" s="15" t="s">
        <v>20</v>
      </c>
      <c r="I6" s="15">
        <v>4400.0</v>
      </c>
      <c r="J6" s="15" t="s">
        <v>31</v>
      </c>
      <c r="K6" s="15" t="s">
        <v>35</v>
      </c>
      <c r="L6" s="15" t="s">
        <v>36</v>
      </c>
      <c r="M6" s="16">
        <v>1.0</v>
      </c>
      <c r="N6" s="15" t="s">
        <v>34</v>
      </c>
      <c r="O6" s="17"/>
    </row>
    <row r="7">
      <c r="A7" s="10">
        <v>45517.0</v>
      </c>
      <c r="B7" s="11" t="s">
        <v>37</v>
      </c>
      <c r="C7" s="11">
        <v>8.05011477751E11</v>
      </c>
      <c r="D7" s="11" t="s">
        <v>38</v>
      </c>
      <c r="E7" s="11" t="s">
        <v>39</v>
      </c>
      <c r="F7" s="11" t="s">
        <v>40</v>
      </c>
      <c r="G7" s="11" t="s">
        <v>41</v>
      </c>
      <c r="H7" s="11" t="s">
        <v>20</v>
      </c>
      <c r="I7" s="11">
        <v>4560.0</v>
      </c>
      <c r="J7" s="11" t="s">
        <v>42</v>
      </c>
      <c r="K7" s="11" t="s">
        <v>35</v>
      </c>
      <c r="L7" s="11" t="s">
        <v>36</v>
      </c>
      <c r="M7" s="12">
        <v>1.0</v>
      </c>
      <c r="N7" s="11" t="s">
        <v>43</v>
      </c>
      <c r="O7" s="13"/>
    </row>
    <row r="8">
      <c r="A8" s="10">
        <v>45517.0</v>
      </c>
      <c r="B8" s="11" t="s">
        <v>37</v>
      </c>
      <c r="C8" s="11">
        <v>8.05011477751E11</v>
      </c>
      <c r="D8" s="11" t="s">
        <v>38</v>
      </c>
      <c r="E8" s="11" t="s">
        <v>39</v>
      </c>
      <c r="F8" s="11" t="s">
        <v>40</v>
      </c>
      <c r="G8" s="11" t="s">
        <v>41</v>
      </c>
      <c r="H8" s="11" t="s">
        <v>20</v>
      </c>
      <c r="I8" s="11">
        <v>4560.0</v>
      </c>
      <c r="J8" s="11" t="s">
        <v>42</v>
      </c>
      <c r="K8" s="11" t="s">
        <v>32</v>
      </c>
      <c r="L8" s="11" t="s">
        <v>33</v>
      </c>
      <c r="M8" s="12">
        <v>1.0</v>
      </c>
      <c r="N8" s="11" t="s">
        <v>43</v>
      </c>
      <c r="O8" s="13"/>
    </row>
    <row r="9">
      <c r="A9" s="14">
        <v>45517.0</v>
      </c>
      <c r="B9" s="15" t="s">
        <v>44</v>
      </c>
      <c r="C9" s="15">
        <v>8.05011478772E11</v>
      </c>
      <c r="D9" s="15" t="s">
        <v>45</v>
      </c>
      <c r="E9" s="15" t="s">
        <v>46</v>
      </c>
      <c r="F9" s="15" t="s">
        <v>47</v>
      </c>
      <c r="G9" s="15" t="s">
        <v>48</v>
      </c>
      <c r="H9" s="15" t="s">
        <v>20</v>
      </c>
      <c r="I9" s="15">
        <v>4427.0</v>
      </c>
      <c r="J9" s="15" t="s">
        <v>49</v>
      </c>
      <c r="K9" s="15" t="s">
        <v>50</v>
      </c>
      <c r="L9" s="15" t="s">
        <v>51</v>
      </c>
      <c r="M9" s="16">
        <v>1.0</v>
      </c>
      <c r="N9" s="15" t="s">
        <v>52</v>
      </c>
      <c r="O9" s="15" t="s">
        <v>53</v>
      </c>
    </row>
    <row r="10">
      <c r="A10" s="14">
        <v>45517.0</v>
      </c>
      <c r="B10" s="15" t="s">
        <v>44</v>
      </c>
      <c r="C10" s="15">
        <v>8.05011478772E11</v>
      </c>
      <c r="D10" s="15" t="s">
        <v>45</v>
      </c>
      <c r="E10" s="15" t="s">
        <v>46</v>
      </c>
      <c r="F10" s="15" t="s">
        <v>47</v>
      </c>
      <c r="G10" s="15" t="s">
        <v>48</v>
      </c>
      <c r="H10" s="15" t="s">
        <v>20</v>
      </c>
      <c r="I10" s="15">
        <v>4427.0</v>
      </c>
      <c r="J10" s="15" t="s">
        <v>49</v>
      </c>
      <c r="K10" s="15" t="s">
        <v>25</v>
      </c>
      <c r="L10" s="15" t="s">
        <v>26</v>
      </c>
      <c r="M10" s="16">
        <v>1.0</v>
      </c>
      <c r="N10" s="15" t="s">
        <v>52</v>
      </c>
      <c r="O10" s="15" t="s">
        <v>53</v>
      </c>
    </row>
    <row r="11">
      <c r="A11" s="10">
        <v>45517.0</v>
      </c>
      <c r="B11" s="11" t="s">
        <v>54</v>
      </c>
      <c r="C11" s="11">
        <v>8.05011479547E11</v>
      </c>
      <c r="D11" s="11" t="s">
        <v>55</v>
      </c>
      <c r="E11" s="11" t="s">
        <v>56</v>
      </c>
      <c r="F11" s="11" t="s">
        <v>57</v>
      </c>
      <c r="G11" s="11" t="s">
        <v>58</v>
      </c>
      <c r="H11" s="11" t="s">
        <v>20</v>
      </c>
      <c r="I11" s="11">
        <v>4400.0</v>
      </c>
      <c r="J11" s="11" t="s">
        <v>59</v>
      </c>
      <c r="K11" s="11" t="s">
        <v>60</v>
      </c>
      <c r="L11" s="11" t="s">
        <v>61</v>
      </c>
      <c r="M11" s="12">
        <v>1.0</v>
      </c>
      <c r="N11" s="11" t="s">
        <v>62</v>
      </c>
      <c r="O11" s="13"/>
    </row>
    <row r="12">
      <c r="A12" s="10">
        <v>45517.0</v>
      </c>
      <c r="B12" s="11" t="s">
        <v>54</v>
      </c>
      <c r="C12" s="11">
        <v>8.05011479547E11</v>
      </c>
      <c r="D12" s="11" t="s">
        <v>55</v>
      </c>
      <c r="E12" s="11" t="s">
        <v>63</v>
      </c>
      <c r="F12" s="11" t="s">
        <v>57</v>
      </c>
      <c r="G12" s="11" t="s">
        <v>58</v>
      </c>
      <c r="H12" s="11" t="s">
        <v>20</v>
      </c>
      <c r="I12" s="11">
        <v>4400.0</v>
      </c>
      <c r="J12" s="11" t="s">
        <v>59</v>
      </c>
      <c r="K12" s="11" t="s">
        <v>64</v>
      </c>
      <c r="L12" s="11" t="s">
        <v>65</v>
      </c>
      <c r="M12" s="12">
        <v>1.0</v>
      </c>
      <c r="N12" s="11" t="s">
        <v>62</v>
      </c>
      <c r="O12" s="13"/>
    </row>
    <row r="13">
      <c r="A13" s="14">
        <v>45517.0</v>
      </c>
      <c r="B13" s="15" t="s">
        <v>66</v>
      </c>
      <c r="C13" s="15">
        <v>8.05011480728E11</v>
      </c>
      <c r="D13" s="15" t="s">
        <v>67</v>
      </c>
      <c r="E13" s="15" t="s">
        <v>68</v>
      </c>
      <c r="F13" s="18">
        <v>36942.0</v>
      </c>
      <c r="G13" s="15" t="s">
        <v>69</v>
      </c>
      <c r="H13" s="15" t="s">
        <v>20</v>
      </c>
      <c r="I13" s="15">
        <v>4449.0</v>
      </c>
      <c r="J13" s="15" t="s">
        <v>70</v>
      </c>
      <c r="K13" s="15" t="s">
        <v>32</v>
      </c>
      <c r="L13" s="15" t="s">
        <v>33</v>
      </c>
      <c r="M13" s="16">
        <v>1.0</v>
      </c>
      <c r="N13" s="15" t="s">
        <v>71</v>
      </c>
      <c r="O13" s="17"/>
    </row>
    <row r="14">
      <c r="A14" s="10">
        <v>45517.0</v>
      </c>
      <c r="B14" s="19" t="s">
        <v>72</v>
      </c>
      <c r="C14" s="19">
        <v>8.05011479254E11</v>
      </c>
      <c r="D14" s="19" t="s">
        <v>73</v>
      </c>
      <c r="E14" s="19" t="s">
        <v>74</v>
      </c>
      <c r="F14" s="19" t="s">
        <v>75</v>
      </c>
      <c r="G14" s="19" t="s">
        <v>76</v>
      </c>
      <c r="H14" s="19" t="s">
        <v>20</v>
      </c>
      <c r="I14" s="19">
        <v>4400.0</v>
      </c>
      <c r="J14" s="19" t="s">
        <v>77</v>
      </c>
      <c r="K14" s="19" t="s">
        <v>78</v>
      </c>
      <c r="L14" s="19" t="s">
        <v>79</v>
      </c>
      <c r="M14" s="20">
        <v>1.0</v>
      </c>
      <c r="N14" s="19" t="s">
        <v>80</v>
      </c>
      <c r="O14" s="21"/>
    </row>
    <row r="15">
      <c r="A15" s="10">
        <v>45517.0</v>
      </c>
      <c r="B15" s="19" t="s">
        <v>72</v>
      </c>
      <c r="C15" s="19">
        <v>8.05011479254E11</v>
      </c>
      <c r="D15" s="19" t="s">
        <v>73</v>
      </c>
      <c r="E15" s="19" t="s">
        <v>74</v>
      </c>
      <c r="F15" s="19" t="s">
        <v>75</v>
      </c>
      <c r="G15" s="19" t="s">
        <v>76</v>
      </c>
      <c r="H15" s="19" t="s">
        <v>20</v>
      </c>
      <c r="I15" s="19">
        <v>4400.0</v>
      </c>
      <c r="J15" s="19" t="s">
        <v>77</v>
      </c>
      <c r="K15" s="19" t="s">
        <v>81</v>
      </c>
      <c r="L15" s="19" t="s">
        <v>82</v>
      </c>
      <c r="M15" s="20">
        <v>1.0</v>
      </c>
      <c r="N15" s="19" t="s">
        <v>80</v>
      </c>
      <c r="O15" s="21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  <c r="N16" s="22"/>
      <c r="O16" s="22"/>
    </row>
    <row r="17">
      <c r="A17" s="24">
        <v>45534.0</v>
      </c>
      <c r="B17" s="25" t="s">
        <v>83</v>
      </c>
      <c r="C17" s="26">
        <v>8.05011482067E11</v>
      </c>
      <c r="D17" s="25" t="s">
        <v>84</v>
      </c>
      <c r="E17" s="25" t="s">
        <v>85</v>
      </c>
      <c r="F17" s="25" t="s">
        <v>86</v>
      </c>
      <c r="G17" s="25" t="s">
        <v>20</v>
      </c>
      <c r="H17" s="25" t="s">
        <v>20</v>
      </c>
      <c r="I17" s="26">
        <v>4400.0</v>
      </c>
      <c r="J17" s="25" t="s">
        <v>87</v>
      </c>
      <c r="K17" s="25" t="s">
        <v>88</v>
      </c>
      <c r="L17" s="25" t="s">
        <v>89</v>
      </c>
      <c r="M17" s="27">
        <v>1.0</v>
      </c>
      <c r="N17" s="19" t="s">
        <v>90</v>
      </c>
      <c r="O17" s="21"/>
    </row>
    <row r="18">
      <c r="A18" s="24">
        <v>45534.0</v>
      </c>
      <c r="B18" s="25" t="s">
        <v>83</v>
      </c>
      <c r="C18" s="26">
        <v>8.05011482067E11</v>
      </c>
      <c r="D18" s="25" t="s">
        <v>84</v>
      </c>
      <c r="E18" s="25" t="s">
        <v>85</v>
      </c>
      <c r="F18" s="25" t="s">
        <v>86</v>
      </c>
      <c r="G18" s="25" t="s">
        <v>20</v>
      </c>
      <c r="H18" s="25" t="s">
        <v>20</v>
      </c>
      <c r="I18" s="26">
        <v>4400.0</v>
      </c>
      <c r="J18" s="25" t="s">
        <v>87</v>
      </c>
      <c r="K18" s="25" t="s">
        <v>32</v>
      </c>
      <c r="L18" s="25" t="s">
        <v>33</v>
      </c>
      <c r="M18" s="27">
        <v>1.0</v>
      </c>
      <c r="N18" s="19" t="s">
        <v>90</v>
      </c>
      <c r="O18" s="21"/>
    </row>
    <row r="19">
      <c r="A19" s="28">
        <v>45534.0</v>
      </c>
      <c r="B19" s="29" t="s">
        <v>91</v>
      </c>
      <c r="C19" s="29">
        <v>8.05011482819E11</v>
      </c>
      <c r="D19" s="29" t="s">
        <v>92</v>
      </c>
      <c r="E19" s="29" t="s">
        <v>93</v>
      </c>
      <c r="F19" s="29" t="s">
        <v>94</v>
      </c>
      <c r="G19" s="29" t="s">
        <v>20</v>
      </c>
      <c r="H19" s="29" t="s">
        <v>20</v>
      </c>
      <c r="I19" s="29">
        <v>4400.0</v>
      </c>
      <c r="J19" s="29" t="s">
        <v>95</v>
      </c>
      <c r="K19" s="29" t="s">
        <v>88</v>
      </c>
      <c r="L19" s="29" t="s">
        <v>89</v>
      </c>
      <c r="M19" s="30">
        <v>1.0</v>
      </c>
      <c r="N19" s="29" t="s">
        <v>96</v>
      </c>
      <c r="O19" s="31" t="s">
        <v>97</v>
      </c>
    </row>
    <row r="20">
      <c r="A20" s="28">
        <v>45534.0</v>
      </c>
      <c r="B20" s="29" t="s">
        <v>91</v>
      </c>
      <c r="C20" s="29">
        <v>8.05011482819E11</v>
      </c>
      <c r="D20" s="29" t="s">
        <v>92</v>
      </c>
      <c r="E20" s="29" t="s">
        <v>93</v>
      </c>
      <c r="F20" s="29" t="s">
        <v>94</v>
      </c>
      <c r="G20" s="29" t="s">
        <v>20</v>
      </c>
      <c r="H20" s="29" t="s">
        <v>20</v>
      </c>
      <c r="I20" s="29">
        <v>4400.0</v>
      </c>
      <c r="J20" s="29" t="s">
        <v>95</v>
      </c>
      <c r="K20" s="29" t="s">
        <v>98</v>
      </c>
      <c r="L20" s="29" t="s">
        <v>99</v>
      </c>
      <c r="M20" s="30">
        <v>1.0</v>
      </c>
      <c r="N20" s="29" t="s">
        <v>96</v>
      </c>
      <c r="O20" s="31" t="s">
        <v>97</v>
      </c>
    </row>
    <row r="21">
      <c r="A21" s="24">
        <v>45534.0</v>
      </c>
      <c r="B21" s="19" t="s">
        <v>100</v>
      </c>
      <c r="C21" s="19">
        <v>8.06015083932E11</v>
      </c>
      <c r="D21" s="19" t="s">
        <v>101</v>
      </c>
      <c r="E21" s="19" t="s">
        <v>102</v>
      </c>
      <c r="F21" s="19" t="s">
        <v>103</v>
      </c>
      <c r="G21" s="19" t="s">
        <v>104</v>
      </c>
      <c r="H21" s="19" t="s">
        <v>20</v>
      </c>
      <c r="I21" s="19">
        <v>4400.0</v>
      </c>
      <c r="J21" s="19" t="s">
        <v>105</v>
      </c>
      <c r="K21" s="19" t="s">
        <v>106</v>
      </c>
      <c r="L21" s="19" t="s">
        <v>107</v>
      </c>
      <c r="M21" s="20">
        <v>1.0</v>
      </c>
      <c r="N21" s="19" t="s">
        <v>108</v>
      </c>
      <c r="O21" s="32" t="s">
        <v>109</v>
      </c>
    </row>
    <row r="22">
      <c r="A22" s="24">
        <v>45534.0</v>
      </c>
      <c r="B22" s="19" t="s">
        <v>100</v>
      </c>
      <c r="C22" s="19">
        <v>8.06015083932E11</v>
      </c>
      <c r="D22" s="19" t="s">
        <v>101</v>
      </c>
      <c r="E22" s="19" t="s">
        <v>102</v>
      </c>
      <c r="F22" s="19" t="s">
        <v>103</v>
      </c>
      <c r="G22" s="19" t="s">
        <v>104</v>
      </c>
      <c r="H22" s="19" t="s">
        <v>20</v>
      </c>
      <c r="I22" s="19">
        <v>4400.0</v>
      </c>
      <c r="J22" s="19" t="s">
        <v>105</v>
      </c>
      <c r="K22" s="19" t="s">
        <v>110</v>
      </c>
      <c r="L22" s="19" t="s">
        <v>111</v>
      </c>
      <c r="M22" s="20">
        <v>1.0</v>
      </c>
      <c r="N22" s="19" t="s">
        <v>108</v>
      </c>
      <c r="O22" s="32" t="s">
        <v>109</v>
      </c>
    </row>
    <row r="23">
      <c r="A23" s="28">
        <v>45534.0</v>
      </c>
      <c r="B23" s="31" t="s">
        <v>112</v>
      </c>
      <c r="C23" s="31">
        <v>8.07025026582E11</v>
      </c>
      <c r="D23" s="31" t="s">
        <v>113</v>
      </c>
      <c r="E23" s="31" t="s">
        <v>114</v>
      </c>
      <c r="F23" s="31" t="s">
        <v>115</v>
      </c>
      <c r="G23" s="31" t="s">
        <v>116</v>
      </c>
      <c r="H23" s="31" t="s">
        <v>20</v>
      </c>
      <c r="I23" s="31">
        <v>4400.0</v>
      </c>
      <c r="J23" s="31" t="s">
        <v>117</v>
      </c>
      <c r="K23" s="31" t="s">
        <v>118</v>
      </c>
      <c r="L23" s="31" t="s">
        <v>119</v>
      </c>
      <c r="M23" s="33">
        <v>1.0</v>
      </c>
      <c r="N23" s="31" t="s">
        <v>120</v>
      </c>
      <c r="O23" s="34"/>
    </row>
    <row r="24">
      <c r="A24" s="28">
        <v>45534.0</v>
      </c>
      <c r="B24" s="31" t="s">
        <v>112</v>
      </c>
      <c r="C24" s="31">
        <v>8.07025026582E11</v>
      </c>
      <c r="D24" s="31" t="s">
        <v>113</v>
      </c>
      <c r="E24" s="31" t="s">
        <v>114</v>
      </c>
      <c r="F24" s="31" t="s">
        <v>115</v>
      </c>
      <c r="G24" s="31" t="s">
        <v>116</v>
      </c>
      <c r="H24" s="31" t="s">
        <v>20</v>
      </c>
      <c r="I24" s="31">
        <v>4400.0</v>
      </c>
      <c r="J24" s="31" t="s">
        <v>117</v>
      </c>
      <c r="K24" s="31" t="s">
        <v>121</v>
      </c>
      <c r="L24" s="31" t="s">
        <v>122</v>
      </c>
      <c r="M24" s="33">
        <v>2.0</v>
      </c>
      <c r="N24" s="31" t="s">
        <v>120</v>
      </c>
      <c r="O24" s="34"/>
    </row>
    <row r="25">
      <c r="A25" s="24">
        <v>45534.0</v>
      </c>
      <c r="B25" s="32" t="s">
        <v>123</v>
      </c>
      <c r="C25" s="32">
        <v>8.07025026623E11</v>
      </c>
      <c r="D25" s="32" t="s">
        <v>124</v>
      </c>
      <c r="E25" s="32" t="s">
        <v>125</v>
      </c>
      <c r="F25" s="32" t="s">
        <v>126</v>
      </c>
      <c r="G25" s="32" t="s">
        <v>127</v>
      </c>
      <c r="H25" s="32" t="s">
        <v>20</v>
      </c>
      <c r="I25" s="32">
        <v>4400.0</v>
      </c>
      <c r="J25" s="32" t="s">
        <v>128</v>
      </c>
      <c r="K25" s="32" t="s">
        <v>129</v>
      </c>
      <c r="L25" s="32" t="s">
        <v>130</v>
      </c>
      <c r="M25" s="35">
        <v>2.0</v>
      </c>
      <c r="N25" s="32" t="s">
        <v>131</v>
      </c>
      <c r="O25" s="36"/>
    </row>
    <row r="26">
      <c r="A26" s="28">
        <v>45534.0</v>
      </c>
      <c r="B26" s="31" t="s">
        <v>132</v>
      </c>
      <c r="C26" s="31">
        <v>8.05011483232E11</v>
      </c>
      <c r="D26" s="31" t="s">
        <v>133</v>
      </c>
      <c r="E26" s="31" t="s">
        <v>134</v>
      </c>
      <c r="F26" s="31" t="s">
        <v>135</v>
      </c>
      <c r="G26" s="31" t="s">
        <v>127</v>
      </c>
      <c r="H26" s="31" t="s">
        <v>20</v>
      </c>
      <c r="I26" s="31">
        <v>4400.0</v>
      </c>
      <c r="J26" s="31" t="s">
        <v>136</v>
      </c>
      <c r="K26" s="31" t="s">
        <v>106</v>
      </c>
      <c r="L26" s="31" t="s">
        <v>107</v>
      </c>
      <c r="M26" s="33">
        <v>1.0</v>
      </c>
      <c r="N26" s="31" t="s">
        <v>137</v>
      </c>
      <c r="O26" s="31" t="s">
        <v>138</v>
      </c>
    </row>
    <row r="27">
      <c r="A27" s="28">
        <v>45534.0</v>
      </c>
      <c r="B27" s="31" t="s">
        <v>132</v>
      </c>
      <c r="C27" s="31">
        <v>8.05011483232E11</v>
      </c>
      <c r="D27" s="31" t="s">
        <v>133</v>
      </c>
      <c r="E27" s="31" t="s">
        <v>134</v>
      </c>
      <c r="F27" s="31" t="s">
        <v>139</v>
      </c>
      <c r="G27" s="31" t="s">
        <v>127</v>
      </c>
      <c r="H27" s="31" t="s">
        <v>20</v>
      </c>
      <c r="I27" s="31">
        <v>4400.0</v>
      </c>
      <c r="J27" s="31" t="s">
        <v>136</v>
      </c>
      <c r="K27" s="31" t="s">
        <v>110</v>
      </c>
      <c r="L27" s="31" t="s">
        <v>111</v>
      </c>
      <c r="M27" s="33">
        <v>1.0</v>
      </c>
      <c r="N27" s="31" t="s">
        <v>137</v>
      </c>
      <c r="O27" s="31" t="s">
        <v>138</v>
      </c>
    </row>
    <row r="28">
      <c r="A28" s="28">
        <v>45534.0</v>
      </c>
      <c r="B28" s="31" t="s">
        <v>140</v>
      </c>
      <c r="C28" s="31">
        <v>8.0702502705E11</v>
      </c>
      <c r="D28" s="31" t="s">
        <v>141</v>
      </c>
      <c r="E28" s="31" t="s">
        <v>142</v>
      </c>
      <c r="F28" s="31" t="s">
        <v>143</v>
      </c>
      <c r="G28" s="31" t="s">
        <v>116</v>
      </c>
      <c r="H28" s="31" t="s">
        <v>20</v>
      </c>
      <c r="I28" s="31">
        <v>4400.0</v>
      </c>
      <c r="J28" s="31" t="s">
        <v>144</v>
      </c>
      <c r="K28" s="31" t="s">
        <v>145</v>
      </c>
      <c r="L28" s="31" t="s">
        <v>146</v>
      </c>
      <c r="M28" s="33">
        <v>1.0</v>
      </c>
      <c r="N28" s="31" t="s">
        <v>147</v>
      </c>
      <c r="O28" s="31" t="s">
        <v>148</v>
      </c>
    </row>
    <row r="29">
      <c r="A29" s="28">
        <v>45534.0</v>
      </c>
      <c r="B29" s="31" t="s">
        <v>140</v>
      </c>
      <c r="C29" s="31">
        <v>8.0702502705E11</v>
      </c>
      <c r="D29" s="31" t="s">
        <v>141</v>
      </c>
      <c r="E29" s="31" t="s">
        <v>142</v>
      </c>
      <c r="F29" s="31" t="s">
        <v>143</v>
      </c>
      <c r="G29" s="31" t="s">
        <v>116</v>
      </c>
      <c r="H29" s="31" t="s">
        <v>20</v>
      </c>
      <c r="I29" s="31">
        <v>4400.0</v>
      </c>
      <c r="J29" s="31" t="s">
        <v>144</v>
      </c>
      <c r="K29" s="31" t="s">
        <v>149</v>
      </c>
      <c r="L29" s="31" t="s">
        <v>150</v>
      </c>
      <c r="M29" s="33">
        <v>2.0</v>
      </c>
      <c r="N29" s="31" t="s">
        <v>147</v>
      </c>
      <c r="O29" s="31" t="s">
        <v>148</v>
      </c>
    </row>
    <row r="30">
      <c r="A30" s="24">
        <v>45534.0</v>
      </c>
      <c r="B30" s="32" t="s">
        <v>151</v>
      </c>
      <c r="C30" s="32">
        <v>8.05011483609E11</v>
      </c>
      <c r="D30" s="32" t="s">
        <v>152</v>
      </c>
      <c r="E30" s="32" t="s">
        <v>153</v>
      </c>
      <c r="F30" s="32" t="s">
        <v>154</v>
      </c>
      <c r="G30" s="32" t="s">
        <v>155</v>
      </c>
      <c r="H30" s="32" t="s">
        <v>20</v>
      </c>
      <c r="I30" s="32">
        <v>4405.0</v>
      </c>
      <c r="J30" s="32" t="s">
        <v>156</v>
      </c>
      <c r="K30" s="32" t="s">
        <v>32</v>
      </c>
      <c r="L30" s="32" t="s">
        <v>33</v>
      </c>
      <c r="M30" s="35">
        <v>1.0</v>
      </c>
      <c r="N30" s="32" t="s">
        <v>157</v>
      </c>
      <c r="O30" s="36"/>
    </row>
    <row r="31">
      <c r="A31" s="28">
        <v>45534.0</v>
      </c>
      <c r="B31" s="31" t="s">
        <v>158</v>
      </c>
      <c r="C31" s="31">
        <v>8.05011483608E11</v>
      </c>
      <c r="D31" s="31" t="s">
        <v>152</v>
      </c>
      <c r="E31" s="31" t="s">
        <v>153</v>
      </c>
      <c r="F31" s="31" t="s">
        <v>154</v>
      </c>
      <c r="G31" s="31" t="s">
        <v>155</v>
      </c>
      <c r="H31" s="31" t="s">
        <v>20</v>
      </c>
      <c r="I31" s="31">
        <v>4405.0</v>
      </c>
      <c r="J31" s="31" t="s">
        <v>156</v>
      </c>
      <c r="K31" s="31" t="s">
        <v>88</v>
      </c>
      <c r="L31" s="31" t="s">
        <v>89</v>
      </c>
      <c r="M31" s="33">
        <v>1.0</v>
      </c>
      <c r="N31" s="31" t="s">
        <v>157</v>
      </c>
      <c r="O31" s="34"/>
    </row>
    <row r="32">
      <c r="A32" s="24">
        <v>45534.0</v>
      </c>
      <c r="B32" s="32" t="s">
        <v>159</v>
      </c>
      <c r="C32" s="32">
        <v>8.05011483538E11</v>
      </c>
      <c r="D32" s="32" t="s">
        <v>160</v>
      </c>
      <c r="E32" s="32" t="s">
        <v>161</v>
      </c>
      <c r="F32" s="32" t="s">
        <v>162</v>
      </c>
      <c r="G32" s="32" t="s">
        <v>163</v>
      </c>
      <c r="H32" s="32" t="s">
        <v>20</v>
      </c>
      <c r="I32" s="32">
        <v>4448.0</v>
      </c>
      <c r="J32" s="32" t="s">
        <v>164</v>
      </c>
      <c r="K32" s="32" t="s">
        <v>165</v>
      </c>
      <c r="L32" s="32" t="s">
        <v>166</v>
      </c>
      <c r="M32" s="35">
        <v>1.0</v>
      </c>
      <c r="N32" s="32" t="s">
        <v>167</v>
      </c>
      <c r="O32" s="32" t="s">
        <v>168</v>
      </c>
    </row>
    <row r="33">
      <c r="A33" s="24">
        <v>45534.0</v>
      </c>
      <c r="B33" s="32" t="s">
        <v>159</v>
      </c>
      <c r="C33" s="32">
        <v>8.05011483538E11</v>
      </c>
      <c r="D33" s="32" t="s">
        <v>160</v>
      </c>
      <c r="E33" s="32" t="s">
        <v>161</v>
      </c>
      <c r="F33" s="32" t="s">
        <v>162</v>
      </c>
      <c r="G33" s="32" t="s">
        <v>163</v>
      </c>
      <c r="H33" s="32" t="s">
        <v>20</v>
      </c>
      <c r="I33" s="32">
        <v>4448.0</v>
      </c>
      <c r="J33" s="32" t="s">
        <v>164</v>
      </c>
      <c r="K33" s="32" t="s">
        <v>169</v>
      </c>
      <c r="L33" s="32" t="s">
        <v>170</v>
      </c>
      <c r="M33" s="35">
        <v>2.0</v>
      </c>
      <c r="N33" s="32" t="s">
        <v>167</v>
      </c>
      <c r="O33" s="32" t="s">
        <v>168</v>
      </c>
    </row>
    <row r="34">
      <c r="A34" s="28">
        <v>45534.0</v>
      </c>
      <c r="B34" s="31" t="s">
        <v>171</v>
      </c>
      <c r="C34" s="31">
        <v>8.070250271E11</v>
      </c>
      <c r="D34" s="31" t="s">
        <v>172</v>
      </c>
      <c r="E34" s="31" t="s">
        <v>173</v>
      </c>
      <c r="F34" s="31" t="s">
        <v>174</v>
      </c>
      <c r="G34" s="31" t="s">
        <v>127</v>
      </c>
      <c r="H34" s="31" t="s">
        <v>20</v>
      </c>
      <c r="I34" s="31">
        <v>4400.0</v>
      </c>
      <c r="J34" s="31" t="s">
        <v>175</v>
      </c>
      <c r="K34" s="31" t="s">
        <v>176</v>
      </c>
      <c r="L34" s="31" t="s">
        <v>177</v>
      </c>
      <c r="M34" s="33">
        <v>1.0</v>
      </c>
      <c r="N34" s="31" t="s">
        <v>178</v>
      </c>
      <c r="O34" s="31" t="s">
        <v>179</v>
      </c>
    </row>
    <row r="35">
      <c r="A35" s="28">
        <v>45534.0</v>
      </c>
      <c r="B35" s="31" t="s">
        <v>171</v>
      </c>
      <c r="C35" s="31">
        <v>8.070250271E11</v>
      </c>
      <c r="D35" s="31" t="s">
        <v>172</v>
      </c>
      <c r="E35" s="31" t="s">
        <v>173</v>
      </c>
      <c r="F35" s="31" t="s">
        <v>174</v>
      </c>
      <c r="G35" s="31" t="s">
        <v>127</v>
      </c>
      <c r="H35" s="31" t="s">
        <v>20</v>
      </c>
      <c r="I35" s="31">
        <v>4400.0</v>
      </c>
      <c r="J35" s="31" t="s">
        <v>175</v>
      </c>
      <c r="K35" s="31" t="s">
        <v>110</v>
      </c>
      <c r="L35" s="31" t="s">
        <v>111</v>
      </c>
      <c r="M35" s="33">
        <v>1.0</v>
      </c>
      <c r="N35" s="31" t="s">
        <v>178</v>
      </c>
      <c r="O35" s="31" t="s">
        <v>179</v>
      </c>
    </row>
    <row r="36">
      <c r="A36" s="24">
        <v>45534.0</v>
      </c>
      <c r="B36" s="32" t="s">
        <v>180</v>
      </c>
      <c r="C36" s="32">
        <v>8.0702502637E11</v>
      </c>
      <c r="D36" s="32" t="s">
        <v>181</v>
      </c>
      <c r="E36" s="32" t="s">
        <v>182</v>
      </c>
      <c r="F36" s="32" t="s">
        <v>115</v>
      </c>
      <c r="G36" s="32" t="s">
        <v>116</v>
      </c>
      <c r="H36" s="32" t="s">
        <v>20</v>
      </c>
      <c r="I36" s="32">
        <v>4400.0</v>
      </c>
      <c r="J36" s="32" t="s">
        <v>183</v>
      </c>
      <c r="K36" s="32" t="s">
        <v>184</v>
      </c>
      <c r="L36" s="32" t="s">
        <v>185</v>
      </c>
      <c r="M36" s="35">
        <v>1.0</v>
      </c>
      <c r="N36" s="21"/>
      <c r="O36" s="21"/>
    </row>
    <row r="37">
      <c r="A37" s="24">
        <v>45534.0</v>
      </c>
      <c r="B37" s="32" t="s">
        <v>186</v>
      </c>
      <c r="C37" s="32">
        <v>8.07025026583E11</v>
      </c>
      <c r="D37" s="32" t="s">
        <v>187</v>
      </c>
      <c r="E37" s="32" t="s">
        <v>188</v>
      </c>
      <c r="F37" s="32" t="s">
        <v>115</v>
      </c>
      <c r="G37" s="32" t="s">
        <v>116</v>
      </c>
      <c r="H37" s="32" t="s">
        <v>20</v>
      </c>
      <c r="I37" s="32">
        <v>4400.0</v>
      </c>
      <c r="J37" s="32" t="s">
        <v>189</v>
      </c>
      <c r="K37" s="32" t="s">
        <v>190</v>
      </c>
      <c r="L37" s="32" t="s">
        <v>191</v>
      </c>
      <c r="M37" s="35">
        <v>1.0</v>
      </c>
      <c r="N37" s="21"/>
      <c r="O37" s="21"/>
    </row>
    <row r="38">
      <c r="A38" s="28">
        <v>45534.0</v>
      </c>
      <c r="B38" s="31" t="s">
        <v>192</v>
      </c>
      <c r="C38" s="31">
        <v>8.0702502698E11</v>
      </c>
      <c r="D38" s="31" t="s">
        <v>193</v>
      </c>
      <c r="E38" s="31" t="s">
        <v>194</v>
      </c>
      <c r="F38" s="31" t="s">
        <v>115</v>
      </c>
      <c r="G38" s="31" t="s">
        <v>127</v>
      </c>
      <c r="H38" s="31" t="s">
        <v>20</v>
      </c>
      <c r="I38" s="31">
        <v>4400.0</v>
      </c>
      <c r="J38" s="31" t="s">
        <v>195</v>
      </c>
      <c r="K38" s="31" t="s">
        <v>196</v>
      </c>
      <c r="L38" s="31" t="s">
        <v>197</v>
      </c>
      <c r="M38" s="33">
        <v>1.0</v>
      </c>
      <c r="N38" s="37"/>
      <c r="O38" s="37"/>
    </row>
    <row r="39">
      <c r="A39" s="24">
        <v>45534.0</v>
      </c>
      <c r="B39" s="32" t="s">
        <v>198</v>
      </c>
      <c r="C39" s="32">
        <v>8.07025026655E11</v>
      </c>
      <c r="D39" s="32" t="s">
        <v>199</v>
      </c>
      <c r="E39" s="32" t="s">
        <v>200</v>
      </c>
      <c r="F39" s="32" t="s">
        <v>201</v>
      </c>
      <c r="G39" s="32" t="s">
        <v>116</v>
      </c>
      <c r="H39" s="32" t="s">
        <v>20</v>
      </c>
      <c r="I39" s="32">
        <v>4400.0</v>
      </c>
      <c r="J39" s="32" t="s">
        <v>202</v>
      </c>
      <c r="K39" s="32" t="s">
        <v>118</v>
      </c>
      <c r="L39" s="32" t="s">
        <v>119</v>
      </c>
      <c r="M39" s="35">
        <v>1.0</v>
      </c>
      <c r="N39" s="21"/>
      <c r="O39" s="21"/>
    </row>
    <row r="40">
      <c r="A40" s="24">
        <v>45534.0</v>
      </c>
      <c r="B40" s="32" t="s">
        <v>198</v>
      </c>
      <c r="C40" s="32">
        <v>8.07025026655E11</v>
      </c>
      <c r="D40" s="32" t="s">
        <v>199</v>
      </c>
      <c r="E40" s="32" t="s">
        <v>200</v>
      </c>
      <c r="F40" s="32" t="s">
        <v>201</v>
      </c>
      <c r="G40" s="32" t="s">
        <v>116</v>
      </c>
      <c r="H40" s="32" t="s">
        <v>20</v>
      </c>
      <c r="I40" s="32">
        <v>4400.0</v>
      </c>
      <c r="J40" s="32" t="s">
        <v>202</v>
      </c>
      <c r="K40" s="32" t="s">
        <v>121</v>
      </c>
      <c r="L40" s="32" t="s">
        <v>122</v>
      </c>
      <c r="M40" s="35">
        <v>2.0</v>
      </c>
      <c r="N40" s="21"/>
      <c r="O40" s="21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3"/>
      <c r="N41" s="22"/>
      <c r="O41" s="22"/>
    </row>
    <row r="42">
      <c r="A42" s="38">
        <v>45539.0</v>
      </c>
      <c r="B42" s="32" t="s">
        <v>203</v>
      </c>
      <c r="C42" s="32">
        <v>8.05011483645E11</v>
      </c>
      <c r="D42" s="32" t="s">
        <v>204</v>
      </c>
      <c r="E42" s="32" t="s">
        <v>205</v>
      </c>
      <c r="F42" s="32" t="s">
        <v>206</v>
      </c>
      <c r="G42" s="32" t="s">
        <v>207</v>
      </c>
      <c r="H42" s="32" t="s">
        <v>20</v>
      </c>
      <c r="I42" s="32">
        <v>4400.0</v>
      </c>
      <c r="J42" s="32" t="s">
        <v>208</v>
      </c>
      <c r="K42" s="32" t="s">
        <v>98</v>
      </c>
      <c r="L42" s="32" t="s">
        <v>99</v>
      </c>
      <c r="M42" s="35">
        <v>1.0</v>
      </c>
      <c r="N42" s="32" t="s">
        <v>209</v>
      </c>
      <c r="O42" s="32" t="s">
        <v>210</v>
      </c>
    </row>
    <row r="43">
      <c r="A43" s="38">
        <v>45539.0</v>
      </c>
      <c r="B43" s="32" t="s">
        <v>203</v>
      </c>
      <c r="C43" s="32">
        <v>8.05011483645E11</v>
      </c>
      <c r="D43" s="32" t="s">
        <v>204</v>
      </c>
      <c r="E43" s="32" t="s">
        <v>205</v>
      </c>
      <c r="F43" s="32" t="s">
        <v>206</v>
      </c>
      <c r="G43" s="32" t="s">
        <v>207</v>
      </c>
      <c r="H43" s="32" t="s">
        <v>20</v>
      </c>
      <c r="I43" s="32">
        <v>4400.0</v>
      </c>
      <c r="J43" s="32" t="s">
        <v>208</v>
      </c>
      <c r="K43" s="32" t="s">
        <v>35</v>
      </c>
      <c r="L43" s="32" t="s">
        <v>36</v>
      </c>
      <c r="M43" s="35">
        <v>1.0</v>
      </c>
      <c r="N43" s="32" t="s">
        <v>209</v>
      </c>
      <c r="O43" s="32" t="s">
        <v>210</v>
      </c>
    </row>
    <row r="44">
      <c r="A44" s="39">
        <v>45539.0</v>
      </c>
      <c r="B44" s="31" t="s">
        <v>211</v>
      </c>
      <c r="C44" s="31">
        <v>8.07025027107E11</v>
      </c>
      <c r="D44" s="31" t="s">
        <v>212</v>
      </c>
      <c r="E44" s="31" t="s">
        <v>213</v>
      </c>
      <c r="F44" s="31" t="s">
        <v>214</v>
      </c>
      <c r="G44" s="31" t="s">
        <v>127</v>
      </c>
      <c r="H44" s="31" t="s">
        <v>20</v>
      </c>
      <c r="I44" s="31">
        <v>4400.0</v>
      </c>
      <c r="J44" s="31" t="s">
        <v>215</v>
      </c>
      <c r="K44" s="31" t="s">
        <v>121</v>
      </c>
      <c r="L44" s="31" t="s">
        <v>122</v>
      </c>
      <c r="M44" s="33">
        <v>2.0</v>
      </c>
      <c r="N44" s="31" t="s">
        <v>216</v>
      </c>
      <c r="O44" s="31" t="s">
        <v>217</v>
      </c>
    </row>
    <row r="45">
      <c r="A45" s="39">
        <v>45539.0</v>
      </c>
      <c r="B45" s="31" t="s">
        <v>211</v>
      </c>
      <c r="C45" s="31">
        <v>8.07025027107E11</v>
      </c>
      <c r="D45" s="31" t="s">
        <v>212</v>
      </c>
      <c r="E45" s="31" t="s">
        <v>213</v>
      </c>
      <c r="F45" s="31" t="s">
        <v>214</v>
      </c>
      <c r="G45" s="31" t="s">
        <v>127</v>
      </c>
      <c r="H45" s="31" t="s">
        <v>20</v>
      </c>
      <c r="I45" s="31">
        <v>4400.0</v>
      </c>
      <c r="J45" s="31" t="s">
        <v>215</v>
      </c>
      <c r="K45" s="31" t="s">
        <v>218</v>
      </c>
      <c r="L45" s="31" t="s">
        <v>219</v>
      </c>
      <c r="M45" s="33">
        <v>1.0</v>
      </c>
      <c r="N45" s="31" t="s">
        <v>216</v>
      </c>
      <c r="O45" s="31" t="s">
        <v>217</v>
      </c>
    </row>
    <row r="46">
      <c r="A46" s="38">
        <v>45539.0</v>
      </c>
      <c r="B46" s="32" t="s">
        <v>220</v>
      </c>
      <c r="C46" s="32">
        <v>8.05011483923E11</v>
      </c>
      <c r="D46" s="32" t="s">
        <v>221</v>
      </c>
      <c r="E46" s="32" t="s">
        <v>222</v>
      </c>
      <c r="F46" s="32" t="s">
        <v>223</v>
      </c>
      <c r="G46" s="32" t="s">
        <v>20</v>
      </c>
      <c r="H46" s="32" t="s">
        <v>20</v>
      </c>
      <c r="I46" s="32">
        <v>4400.0</v>
      </c>
      <c r="J46" s="32" t="s">
        <v>224</v>
      </c>
      <c r="K46" s="32" t="s">
        <v>225</v>
      </c>
      <c r="L46" s="32" t="s">
        <v>226</v>
      </c>
      <c r="M46" s="35">
        <v>1.0</v>
      </c>
      <c r="N46" s="32" t="s">
        <v>227</v>
      </c>
      <c r="O46" s="36"/>
    </row>
    <row r="47">
      <c r="A47" s="39">
        <v>45539.0</v>
      </c>
      <c r="B47" s="31" t="s">
        <v>228</v>
      </c>
      <c r="C47" s="31">
        <v>8.07025027106E11</v>
      </c>
      <c r="D47" s="31" t="s">
        <v>229</v>
      </c>
      <c r="E47" s="31" t="s">
        <v>230</v>
      </c>
      <c r="F47" s="31" t="s">
        <v>231</v>
      </c>
      <c r="G47" s="31" t="s">
        <v>116</v>
      </c>
      <c r="H47" s="31" t="s">
        <v>20</v>
      </c>
      <c r="I47" s="31">
        <v>4400.0</v>
      </c>
      <c r="J47" s="31" t="s">
        <v>232</v>
      </c>
      <c r="K47" s="31" t="s">
        <v>233</v>
      </c>
      <c r="L47" s="31" t="s">
        <v>234</v>
      </c>
      <c r="M47" s="33">
        <v>2.0</v>
      </c>
      <c r="N47" s="31" t="s">
        <v>235</v>
      </c>
      <c r="O47" s="31" t="s">
        <v>236</v>
      </c>
    </row>
    <row r="48">
      <c r="A48" s="39">
        <v>45539.0</v>
      </c>
      <c r="B48" s="31" t="s">
        <v>228</v>
      </c>
      <c r="C48" s="31">
        <v>8.07025027106E11</v>
      </c>
      <c r="D48" s="31" t="s">
        <v>229</v>
      </c>
      <c r="E48" s="31" t="s">
        <v>230</v>
      </c>
      <c r="F48" s="31" t="s">
        <v>231</v>
      </c>
      <c r="G48" s="31" t="s">
        <v>116</v>
      </c>
      <c r="H48" s="31" t="s">
        <v>20</v>
      </c>
      <c r="I48" s="31">
        <v>4400.0</v>
      </c>
      <c r="J48" s="31" t="s">
        <v>232</v>
      </c>
      <c r="K48" s="31">
        <v>125807.0</v>
      </c>
      <c r="L48" s="31" t="s">
        <v>237</v>
      </c>
      <c r="M48" s="33">
        <v>2.0</v>
      </c>
      <c r="N48" s="31" t="s">
        <v>235</v>
      </c>
      <c r="O48" s="31" t="s">
        <v>236</v>
      </c>
    </row>
    <row r="49">
      <c r="A49" s="39">
        <v>45539.0</v>
      </c>
      <c r="B49" s="31" t="s">
        <v>228</v>
      </c>
      <c r="C49" s="31">
        <v>8.07025027106E11</v>
      </c>
      <c r="D49" s="31" t="s">
        <v>229</v>
      </c>
      <c r="E49" s="31" t="s">
        <v>230</v>
      </c>
      <c r="F49" s="31" t="s">
        <v>231</v>
      </c>
      <c r="G49" s="31" t="s">
        <v>116</v>
      </c>
      <c r="H49" s="31" t="s">
        <v>20</v>
      </c>
      <c r="I49" s="31">
        <v>4400.0</v>
      </c>
      <c r="J49" s="31" t="s">
        <v>232</v>
      </c>
      <c r="K49" s="31" t="s">
        <v>238</v>
      </c>
      <c r="L49" s="31" t="s">
        <v>239</v>
      </c>
      <c r="M49" s="33">
        <v>1.0</v>
      </c>
      <c r="N49" s="31" t="s">
        <v>235</v>
      </c>
      <c r="O49" s="31" t="s">
        <v>236</v>
      </c>
    </row>
    <row r="50">
      <c r="A50" s="38">
        <v>45539.0</v>
      </c>
      <c r="B50" s="32" t="s">
        <v>240</v>
      </c>
      <c r="C50" s="32">
        <v>8.05011482962E11</v>
      </c>
      <c r="D50" s="32" t="s">
        <v>204</v>
      </c>
      <c r="E50" s="32" t="s">
        <v>205</v>
      </c>
      <c r="F50" s="32" t="s">
        <v>241</v>
      </c>
      <c r="G50" s="32" t="s">
        <v>242</v>
      </c>
      <c r="H50" s="32" t="s">
        <v>20</v>
      </c>
      <c r="I50" s="32">
        <v>4400.0</v>
      </c>
      <c r="J50" s="32" t="s">
        <v>208</v>
      </c>
      <c r="K50" s="32" t="s">
        <v>98</v>
      </c>
      <c r="L50" s="32" t="s">
        <v>99</v>
      </c>
      <c r="M50" s="35">
        <v>1.0</v>
      </c>
      <c r="N50" s="32" t="s">
        <v>209</v>
      </c>
      <c r="O50" s="32" t="s">
        <v>210</v>
      </c>
    </row>
    <row r="51">
      <c r="A51" s="38">
        <v>45539.0</v>
      </c>
      <c r="B51" s="32" t="s">
        <v>240</v>
      </c>
      <c r="C51" s="32">
        <v>8.05011482962E11</v>
      </c>
      <c r="D51" s="32" t="s">
        <v>204</v>
      </c>
      <c r="E51" s="32" t="s">
        <v>205</v>
      </c>
      <c r="F51" s="32" t="s">
        <v>241</v>
      </c>
      <c r="G51" s="32" t="s">
        <v>242</v>
      </c>
      <c r="H51" s="32" t="s">
        <v>20</v>
      </c>
      <c r="I51" s="32">
        <v>4400.0</v>
      </c>
      <c r="J51" s="32" t="s">
        <v>208</v>
      </c>
      <c r="K51" s="32" t="s">
        <v>35</v>
      </c>
      <c r="L51" s="32" t="s">
        <v>36</v>
      </c>
      <c r="M51" s="35">
        <v>1.0</v>
      </c>
      <c r="N51" s="32" t="s">
        <v>209</v>
      </c>
      <c r="O51" s="32" t="s">
        <v>210</v>
      </c>
    </row>
    <row r="52">
      <c r="A52" s="39">
        <v>45539.0</v>
      </c>
      <c r="B52" s="31" t="s">
        <v>243</v>
      </c>
      <c r="C52" s="31">
        <v>8.05011484128E11</v>
      </c>
      <c r="D52" s="31" t="s">
        <v>244</v>
      </c>
      <c r="E52" s="31" t="s">
        <v>245</v>
      </c>
      <c r="F52" s="31" t="s">
        <v>246</v>
      </c>
      <c r="G52" s="31" t="s">
        <v>247</v>
      </c>
      <c r="H52" s="31" t="s">
        <v>20</v>
      </c>
      <c r="I52" s="31">
        <v>4400.0</v>
      </c>
      <c r="J52" s="31" t="s">
        <v>248</v>
      </c>
      <c r="K52" s="31" t="s">
        <v>249</v>
      </c>
      <c r="L52" s="31" t="s">
        <v>250</v>
      </c>
      <c r="M52" s="33">
        <v>1.0</v>
      </c>
      <c r="N52" s="31" t="s">
        <v>251</v>
      </c>
      <c r="O52" s="31" t="s">
        <v>252</v>
      </c>
    </row>
    <row r="53">
      <c r="A53" s="38">
        <v>45539.0</v>
      </c>
      <c r="B53" s="32" t="s">
        <v>253</v>
      </c>
      <c r="C53" s="32">
        <v>8.05011484275E11</v>
      </c>
      <c r="D53" s="32" t="s">
        <v>254</v>
      </c>
      <c r="E53" s="32" t="s">
        <v>255</v>
      </c>
      <c r="F53" s="32" t="s">
        <v>256</v>
      </c>
      <c r="G53" s="32" t="s">
        <v>20</v>
      </c>
      <c r="H53" s="32" t="s">
        <v>20</v>
      </c>
      <c r="I53" s="32">
        <v>4400.0</v>
      </c>
      <c r="J53" s="32" t="s">
        <v>257</v>
      </c>
      <c r="K53" s="32" t="s">
        <v>258</v>
      </c>
      <c r="L53" s="32" t="s">
        <v>259</v>
      </c>
      <c r="M53" s="35">
        <v>2.0</v>
      </c>
      <c r="N53" s="32" t="s">
        <v>260</v>
      </c>
      <c r="O53" s="32" t="s">
        <v>261</v>
      </c>
    </row>
    <row r="54">
      <c r="A54" s="38">
        <v>45539.0</v>
      </c>
      <c r="B54" s="32" t="s">
        <v>253</v>
      </c>
      <c r="C54" s="32">
        <v>8.05011484275E11</v>
      </c>
      <c r="D54" s="32" t="s">
        <v>254</v>
      </c>
      <c r="E54" s="32" t="s">
        <v>255</v>
      </c>
      <c r="F54" s="32" t="s">
        <v>256</v>
      </c>
      <c r="G54" s="32" t="s">
        <v>20</v>
      </c>
      <c r="H54" s="32" t="s">
        <v>20</v>
      </c>
      <c r="I54" s="32">
        <v>4400.0</v>
      </c>
      <c r="J54" s="32" t="s">
        <v>257</v>
      </c>
      <c r="K54" s="32" t="s">
        <v>262</v>
      </c>
      <c r="L54" s="32" t="s">
        <v>263</v>
      </c>
      <c r="M54" s="35">
        <v>1.0</v>
      </c>
      <c r="N54" s="32" t="s">
        <v>260</v>
      </c>
      <c r="O54" s="32" t="s">
        <v>261</v>
      </c>
    </row>
    <row r="55">
      <c r="A55" s="39">
        <v>45539.0</v>
      </c>
      <c r="B55" s="31" t="s">
        <v>264</v>
      </c>
      <c r="C55" s="31">
        <v>8.07025027133E11</v>
      </c>
      <c r="D55" s="31" t="s">
        <v>265</v>
      </c>
      <c r="E55" s="31" t="s">
        <v>266</v>
      </c>
      <c r="F55" s="31" t="s">
        <v>267</v>
      </c>
      <c r="G55" s="31" t="s">
        <v>116</v>
      </c>
      <c r="H55" s="31" t="s">
        <v>20</v>
      </c>
      <c r="I55" s="31">
        <v>4400.0</v>
      </c>
      <c r="J55" s="31" t="s">
        <v>268</v>
      </c>
      <c r="K55" s="31" t="s">
        <v>269</v>
      </c>
      <c r="L55" s="31" t="s">
        <v>270</v>
      </c>
      <c r="M55" s="33">
        <v>1.0</v>
      </c>
      <c r="N55" s="31" t="s">
        <v>271</v>
      </c>
      <c r="O55" s="31" t="s">
        <v>272</v>
      </c>
    </row>
    <row r="56">
      <c r="A56" s="39">
        <v>45539.0</v>
      </c>
      <c r="B56" s="31" t="s">
        <v>264</v>
      </c>
      <c r="C56" s="31">
        <v>8.07025027133E11</v>
      </c>
      <c r="D56" s="31" t="s">
        <v>265</v>
      </c>
      <c r="E56" s="31" t="s">
        <v>266</v>
      </c>
      <c r="F56" s="31" t="s">
        <v>267</v>
      </c>
      <c r="G56" s="31" t="s">
        <v>116</v>
      </c>
      <c r="H56" s="31" t="s">
        <v>20</v>
      </c>
      <c r="I56" s="31">
        <v>4400.0</v>
      </c>
      <c r="J56" s="31" t="s">
        <v>268</v>
      </c>
      <c r="K56" s="31" t="s">
        <v>273</v>
      </c>
      <c r="L56" s="31" t="s">
        <v>274</v>
      </c>
      <c r="M56" s="33">
        <v>1.0</v>
      </c>
      <c r="N56" s="31" t="s">
        <v>271</v>
      </c>
      <c r="O56" s="31" t="s">
        <v>272</v>
      </c>
    </row>
    <row r="57">
      <c r="A57" s="38">
        <v>45539.0</v>
      </c>
      <c r="B57" s="32" t="s">
        <v>275</v>
      </c>
      <c r="C57" s="32">
        <v>8.07025027136E11</v>
      </c>
      <c r="D57" s="32" t="s">
        <v>276</v>
      </c>
      <c r="E57" s="32" t="s">
        <v>277</v>
      </c>
      <c r="F57" s="32" t="s">
        <v>115</v>
      </c>
      <c r="G57" s="32" t="s">
        <v>278</v>
      </c>
      <c r="H57" s="32" t="s">
        <v>20</v>
      </c>
      <c r="I57" s="32">
        <v>4400.0</v>
      </c>
      <c r="J57" s="32" t="s">
        <v>279</v>
      </c>
      <c r="K57" s="32" t="s">
        <v>280</v>
      </c>
      <c r="L57" s="32" t="s">
        <v>281</v>
      </c>
      <c r="M57" s="35">
        <v>1.0</v>
      </c>
      <c r="N57" s="32" t="s">
        <v>282</v>
      </c>
      <c r="O57" s="32" t="s">
        <v>283</v>
      </c>
    </row>
    <row r="58">
      <c r="A58" s="39">
        <v>45539.0</v>
      </c>
      <c r="B58" s="31" t="s">
        <v>284</v>
      </c>
      <c r="C58" s="31">
        <v>8.07025027141E11</v>
      </c>
      <c r="D58" s="31" t="s">
        <v>285</v>
      </c>
      <c r="E58" s="31" t="s">
        <v>286</v>
      </c>
      <c r="F58" s="31" t="s">
        <v>287</v>
      </c>
      <c r="G58" s="31" t="s">
        <v>127</v>
      </c>
      <c r="H58" s="31" t="s">
        <v>20</v>
      </c>
      <c r="I58" s="31">
        <v>4400.0</v>
      </c>
      <c r="J58" s="31" t="s">
        <v>288</v>
      </c>
      <c r="K58" s="31" t="s">
        <v>289</v>
      </c>
      <c r="L58" s="31" t="s">
        <v>290</v>
      </c>
      <c r="M58" s="33">
        <v>3.0</v>
      </c>
      <c r="N58" s="31" t="s">
        <v>291</v>
      </c>
      <c r="O58" s="31" t="s">
        <v>292</v>
      </c>
    </row>
    <row r="59">
      <c r="A59" s="39">
        <v>45539.0</v>
      </c>
      <c r="B59" s="31" t="s">
        <v>284</v>
      </c>
      <c r="C59" s="31">
        <v>8.07025027141E11</v>
      </c>
      <c r="D59" s="31" t="s">
        <v>285</v>
      </c>
      <c r="E59" s="31" t="s">
        <v>286</v>
      </c>
      <c r="F59" s="31" t="s">
        <v>287</v>
      </c>
      <c r="G59" s="31" t="s">
        <v>127</v>
      </c>
      <c r="H59" s="31" t="s">
        <v>20</v>
      </c>
      <c r="I59" s="31">
        <v>4400.0</v>
      </c>
      <c r="J59" s="31" t="s">
        <v>288</v>
      </c>
      <c r="K59" s="31" t="s">
        <v>273</v>
      </c>
      <c r="L59" s="31" t="s">
        <v>274</v>
      </c>
      <c r="M59" s="33">
        <v>3.0</v>
      </c>
      <c r="N59" s="31" t="s">
        <v>291</v>
      </c>
      <c r="O59" s="31" t="s">
        <v>292</v>
      </c>
    </row>
    <row r="60">
      <c r="A60" s="38">
        <v>45539.0</v>
      </c>
      <c r="B60" s="32" t="s">
        <v>293</v>
      </c>
      <c r="C60" s="32">
        <v>8.07025027157E11</v>
      </c>
      <c r="D60" s="32" t="s">
        <v>294</v>
      </c>
      <c r="E60" s="32" t="s">
        <v>295</v>
      </c>
      <c r="F60" s="32" t="s">
        <v>115</v>
      </c>
      <c r="G60" s="32" t="s">
        <v>296</v>
      </c>
      <c r="H60" s="32" t="s">
        <v>20</v>
      </c>
      <c r="I60" s="32">
        <v>4400.0</v>
      </c>
      <c r="J60" s="32" t="s">
        <v>297</v>
      </c>
      <c r="K60" s="32" t="s">
        <v>298</v>
      </c>
      <c r="L60" s="32" t="s">
        <v>299</v>
      </c>
      <c r="M60" s="35">
        <v>1.0</v>
      </c>
      <c r="N60" s="32" t="s">
        <v>300</v>
      </c>
      <c r="O60" s="32" t="s">
        <v>301</v>
      </c>
    </row>
    <row r="61">
      <c r="A61" s="38">
        <v>45539.0</v>
      </c>
      <c r="B61" s="32" t="s">
        <v>293</v>
      </c>
      <c r="C61" s="32">
        <v>8.07025027157E11</v>
      </c>
      <c r="D61" s="32" t="s">
        <v>294</v>
      </c>
      <c r="E61" s="32" t="s">
        <v>295</v>
      </c>
      <c r="F61" s="32" t="s">
        <v>115</v>
      </c>
      <c r="G61" s="32" t="s">
        <v>296</v>
      </c>
      <c r="H61" s="32" t="s">
        <v>20</v>
      </c>
      <c r="I61" s="32">
        <v>4400.0</v>
      </c>
      <c r="J61" s="32" t="s">
        <v>297</v>
      </c>
      <c r="K61" s="32" t="s">
        <v>302</v>
      </c>
      <c r="L61" s="32" t="s">
        <v>303</v>
      </c>
      <c r="M61" s="35">
        <v>1.0</v>
      </c>
      <c r="N61" s="32" t="s">
        <v>300</v>
      </c>
      <c r="O61" s="32" t="s">
        <v>301</v>
      </c>
    </row>
    <row r="62">
      <c r="A62" s="39">
        <v>45539.0</v>
      </c>
      <c r="B62" s="31" t="s">
        <v>304</v>
      </c>
      <c r="C62" s="31">
        <v>8.07025027164E11</v>
      </c>
      <c r="D62" s="31" t="s">
        <v>305</v>
      </c>
      <c r="E62" s="31" t="s">
        <v>306</v>
      </c>
      <c r="F62" s="31" t="s">
        <v>115</v>
      </c>
      <c r="G62" s="31" t="s">
        <v>116</v>
      </c>
      <c r="H62" s="31" t="s">
        <v>20</v>
      </c>
      <c r="I62" s="31">
        <v>4400.0</v>
      </c>
      <c r="J62" s="31" t="s">
        <v>307</v>
      </c>
      <c r="K62" s="31" t="s">
        <v>176</v>
      </c>
      <c r="L62" s="31" t="s">
        <v>177</v>
      </c>
      <c r="M62" s="33">
        <v>1.0</v>
      </c>
      <c r="N62" s="31" t="s">
        <v>308</v>
      </c>
      <c r="O62" s="31" t="s">
        <v>309</v>
      </c>
    </row>
    <row r="63">
      <c r="A63" s="39">
        <v>45539.0</v>
      </c>
      <c r="B63" s="31" t="s">
        <v>304</v>
      </c>
      <c r="C63" s="31">
        <v>8.07025027164E11</v>
      </c>
      <c r="D63" s="31" t="s">
        <v>305</v>
      </c>
      <c r="E63" s="31" t="s">
        <v>306</v>
      </c>
      <c r="F63" s="31" t="s">
        <v>115</v>
      </c>
      <c r="G63" s="31" t="s">
        <v>116</v>
      </c>
      <c r="H63" s="31" t="s">
        <v>20</v>
      </c>
      <c r="I63" s="31">
        <v>4400.0</v>
      </c>
      <c r="J63" s="31" t="s">
        <v>307</v>
      </c>
      <c r="K63" s="31" t="s">
        <v>110</v>
      </c>
      <c r="L63" s="31" t="s">
        <v>111</v>
      </c>
      <c r="M63" s="33">
        <v>1.0</v>
      </c>
      <c r="N63" s="31" t="s">
        <v>308</v>
      </c>
      <c r="O63" s="31" t="s">
        <v>309</v>
      </c>
    </row>
    <row r="64">
      <c r="A64" s="38">
        <v>45539.0</v>
      </c>
      <c r="B64" s="32" t="s">
        <v>310</v>
      </c>
      <c r="C64" s="32">
        <v>8.07025027167E11</v>
      </c>
      <c r="D64" s="32" t="s">
        <v>311</v>
      </c>
      <c r="E64" s="32" t="s">
        <v>312</v>
      </c>
      <c r="F64" s="32" t="s">
        <v>115</v>
      </c>
      <c r="G64" s="32" t="s">
        <v>127</v>
      </c>
      <c r="H64" s="32" t="s">
        <v>20</v>
      </c>
      <c r="I64" s="32">
        <v>4400.0</v>
      </c>
      <c r="J64" s="32" t="s">
        <v>313</v>
      </c>
      <c r="K64" s="32">
        <v>87602.0</v>
      </c>
      <c r="L64" s="32" t="s">
        <v>314</v>
      </c>
      <c r="M64" s="35">
        <v>1.0</v>
      </c>
      <c r="N64" s="32" t="s">
        <v>315</v>
      </c>
      <c r="O64" s="32" t="s">
        <v>316</v>
      </c>
    </row>
    <row r="65">
      <c r="A65" s="38">
        <v>45539.0</v>
      </c>
      <c r="B65" s="32" t="s">
        <v>310</v>
      </c>
      <c r="C65" s="32">
        <v>8.07025027167E11</v>
      </c>
      <c r="D65" s="32" t="s">
        <v>311</v>
      </c>
      <c r="E65" s="32" t="s">
        <v>312</v>
      </c>
      <c r="F65" s="32" t="s">
        <v>115</v>
      </c>
      <c r="G65" s="32" t="s">
        <v>127</v>
      </c>
      <c r="H65" s="32" t="s">
        <v>20</v>
      </c>
      <c r="I65" s="32">
        <v>4400.0</v>
      </c>
      <c r="J65" s="32" t="s">
        <v>313</v>
      </c>
      <c r="K65" s="40">
        <v>840971.0</v>
      </c>
      <c r="L65" s="32" t="s">
        <v>317</v>
      </c>
      <c r="M65" s="35">
        <v>1.0</v>
      </c>
      <c r="N65" s="32" t="s">
        <v>315</v>
      </c>
      <c r="O65" s="32" t="s">
        <v>316</v>
      </c>
    </row>
    <row r="66">
      <c r="A66" s="39">
        <v>45539.0</v>
      </c>
      <c r="B66" s="31" t="s">
        <v>318</v>
      </c>
      <c r="C66" s="31">
        <v>8.07025027184E11</v>
      </c>
      <c r="D66" s="31" t="s">
        <v>319</v>
      </c>
      <c r="E66" s="31" t="s">
        <v>320</v>
      </c>
      <c r="F66" s="31" t="s">
        <v>321</v>
      </c>
      <c r="G66" s="31" t="s">
        <v>116</v>
      </c>
      <c r="H66" s="31" t="s">
        <v>20</v>
      </c>
      <c r="I66" s="31">
        <v>4400.0</v>
      </c>
      <c r="J66" s="31" t="s">
        <v>322</v>
      </c>
      <c r="K66" s="31" t="s">
        <v>323</v>
      </c>
      <c r="L66" s="31" t="s">
        <v>324</v>
      </c>
      <c r="M66" s="33">
        <v>1.0</v>
      </c>
      <c r="N66" s="31" t="s">
        <v>325</v>
      </c>
      <c r="O66" s="31" t="s">
        <v>326</v>
      </c>
    </row>
    <row r="67">
      <c r="A67" s="38">
        <v>45539.0</v>
      </c>
      <c r="B67" s="32" t="s">
        <v>327</v>
      </c>
      <c r="C67" s="32">
        <v>8.07025027189E11</v>
      </c>
      <c r="D67" s="32" t="s">
        <v>328</v>
      </c>
      <c r="E67" s="32" t="s">
        <v>329</v>
      </c>
      <c r="F67" s="32" t="s">
        <v>330</v>
      </c>
      <c r="G67" s="32" t="s">
        <v>116</v>
      </c>
      <c r="H67" s="32" t="s">
        <v>20</v>
      </c>
      <c r="I67" s="32">
        <v>4400.0</v>
      </c>
      <c r="J67" s="32" t="s">
        <v>331</v>
      </c>
      <c r="K67" s="32" t="s">
        <v>332</v>
      </c>
      <c r="L67" s="32" t="s">
        <v>333</v>
      </c>
      <c r="M67" s="35">
        <v>1.0</v>
      </c>
      <c r="N67" s="32" t="s">
        <v>334</v>
      </c>
      <c r="O67" s="32" t="s">
        <v>335</v>
      </c>
    </row>
    <row r="68">
      <c r="A68" s="39">
        <v>45539.0</v>
      </c>
      <c r="B68" s="31" t="s">
        <v>336</v>
      </c>
      <c r="C68" s="31">
        <v>8.0702502718E11</v>
      </c>
      <c r="D68" s="31" t="s">
        <v>337</v>
      </c>
      <c r="E68" s="31" t="s">
        <v>338</v>
      </c>
      <c r="F68" s="31" t="s">
        <v>115</v>
      </c>
      <c r="G68" s="31" t="s">
        <v>116</v>
      </c>
      <c r="H68" s="31" t="s">
        <v>20</v>
      </c>
      <c r="I68" s="31">
        <v>4400.0</v>
      </c>
      <c r="J68" s="31" t="s">
        <v>339</v>
      </c>
      <c r="K68" s="31" t="s">
        <v>340</v>
      </c>
      <c r="L68" s="31" t="s">
        <v>341</v>
      </c>
      <c r="M68" s="33">
        <v>2.0</v>
      </c>
      <c r="N68" s="31" t="s">
        <v>342</v>
      </c>
      <c r="O68" s="31" t="s">
        <v>343</v>
      </c>
    </row>
    <row r="69">
      <c r="A69" s="39">
        <v>45539.0</v>
      </c>
      <c r="B69" s="31" t="s">
        <v>336</v>
      </c>
      <c r="C69" s="31">
        <v>8.0702502718E11</v>
      </c>
      <c r="D69" s="31" t="s">
        <v>337</v>
      </c>
      <c r="E69" s="31" t="s">
        <v>338</v>
      </c>
      <c r="F69" s="31" t="s">
        <v>115</v>
      </c>
      <c r="G69" s="31" t="s">
        <v>116</v>
      </c>
      <c r="H69" s="31" t="s">
        <v>20</v>
      </c>
      <c r="I69" s="31">
        <v>4400.0</v>
      </c>
      <c r="J69" s="31" t="s">
        <v>339</v>
      </c>
      <c r="K69" s="31" t="s">
        <v>344</v>
      </c>
      <c r="L69" s="31" t="s">
        <v>345</v>
      </c>
      <c r="M69" s="33">
        <v>1.0</v>
      </c>
      <c r="N69" s="31" t="s">
        <v>342</v>
      </c>
      <c r="O69" s="31" t="s">
        <v>343</v>
      </c>
    </row>
    <row r="70">
      <c r="A70" s="38">
        <v>45539.0</v>
      </c>
      <c r="B70" s="32" t="s">
        <v>346</v>
      </c>
      <c r="C70" s="32">
        <v>8.05011484465E11</v>
      </c>
      <c r="D70" s="32" t="s">
        <v>347</v>
      </c>
      <c r="E70" s="32" t="s">
        <v>348</v>
      </c>
      <c r="F70" s="32" t="s">
        <v>349</v>
      </c>
      <c r="G70" s="32" t="s">
        <v>350</v>
      </c>
      <c r="H70" s="32" t="s">
        <v>20</v>
      </c>
      <c r="I70" s="32">
        <v>4401.0</v>
      </c>
      <c r="J70" s="32" t="s">
        <v>351</v>
      </c>
      <c r="K70" s="32" t="s">
        <v>352</v>
      </c>
      <c r="L70" s="32" t="s">
        <v>353</v>
      </c>
      <c r="M70" s="35">
        <v>1.0</v>
      </c>
      <c r="N70" s="32" t="s">
        <v>354</v>
      </c>
      <c r="O70" s="36"/>
    </row>
    <row r="71">
      <c r="A71" s="38">
        <v>45539.0</v>
      </c>
      <c r="B71" s="32" t="s">
        <v>355</v>
      </c>
      <c r="C71" s="32">
        <v>8.0501148457E11</v>
      </c>
      <c r="D71" s="32" t="s">
        <v>356</v>
      </c>
      <c r="E71" s="32" t="s">
        <v>357</v>
      </c>
      <c r="F71" s="32" t="s">
        <v>358</v>
      </c>
      <c r="G71" s="32" t="s">
        <v>20</v>
      </c>
      <c r="H71" s="32" t="s">
        <v>20</v>
      </c>
      <c r="I71" s="32">
        <v>4400.0</v>
      </c>
      <c r="J71" s="32" t="s">
        <v>359</v>
      </c>
      <c r="K71" s="32" t="s">
        <v>360</v>
      </c>
      <c r="L71" s="32" t="s">
        <v>361</v>
      </c>
      <c r="M71" s="35">
        <v>1.0</v>
      </c>
      <c r="N71" s="32" t="s">
        <v>362</v>
      </c>
      <c r="O71" s="32" t="s">
        <v>363</v>
      </c>
    </row>
    <row r="72">
      <c r="A72" s="39">
        <v>45539.0</v>
      </c>
      <c r="B72" s="31" t="s">
        <v>355</v>
      </c>
      <c r="C72" s="31">
        <v>8.0501148457E11</v>
      </c>
      <c r="D72" s="31" t="s">
        <v>356</v>
      </c>
      <c r="E72" s="31" t="s">
        <v>357</v>
      </c>
      <c r="F72" s="31" t="s">
        <v>358</v>
      </c>
      <c r="G72" s="31" t="s">
        <v>20</v>
      </c>
      <c r="H72" s="31" t="s">
        <v>20</v>
      </c>
      <c r="I72" s="31">
        <v>4400.0</v>
      </c>
      <c r="J72" s="31" t="s">
        <v>359</v>
      </c>
      <c r="K72" s="31" t="s">
        <v>25</v>
      </c>
      <c r="L72" s="31" t="s">
        <v>26</v>
      </c>
      <c r="M72" s="33">
        <v>1.0</v>
      </c>
      <c r="N72" s="31" t="s">
        <v>362</v>
      </c>
      <c r="O72" s="31" t="s">
        <v>363</v>
      </c>
    </row>
    <row r="73">
      <c r="A73" s="38">
        <v>45539.0</v>
      </c>
      <c r="B73" s="32" t="s">
        <v>364</v>
      </c>
      <c r="C73" s="32">
        <v>8.05011484928E11</v>
      </c>
      <c r="D73" s="32" t="s">
        <v>365</v>
      </c>
      <c r="E73" s="32" t="s">
        <v>366</v>
      </c>
      <c r="F73" s="32" t="s">
        <v>367</v>
      </c>
      <c r="G73" s="32" t="s">
        <v>368</v>
      </c>
      <c r="H73" s="32" t="s">
        <v>20</v>
      </c>
      <c r="I73" s="32">
        <v>4530.0</v>
      </c>
      <c r="J73" s="32" t="s">
        <v>369</v>
      </c>
      <c r="K73" s="32" t="s">
        <v>88</v>
      </c>
      <c r="L73" s="32" t="s">
        <v>89</v>
      </c>
      <c r="M73" s="35">
        <v>1.0</v>
      </c>
      <c r="N73" s="32" t="s">
        <v>370</v>
      </c>
      <c r="O73" s="36"/>
    </row>
    <row r="74">
      <c r="A74" s="39">
        <v>45539.0</v>
      </c>
      <c r="B74" s="31" t="s">
        <v>371</v>
      </c>
      <c r="C74" s="31">
        <v>8.05011484929E11</v>
      </c>
      <c r="D74" s="31" t="s">
        <v>365</v>
      </c>
      <c r="E74" s="31" t="s">
        <v>366</v>
      </c>
      <c r="F74" s="31" t="s">
        <v>367</v>
      </c>
      <c r="G74" s="31" t="s">
        <v>368</v>
      </c>
      <c r="H74" s="31" t="s">
        <v>20</v>
      </c>
      <c r="I74" s="31">
        <v>4530.0</v>
      </c>
      <c r="J74" s="31" t="s">
        <v>369</v>
      </c>
      <c r="K74" s="31" t="s">
        <v>98</v>
      </c>
      <c r="L74" s="31" t="s">
        <v>99</v>
      </c>
      <c r="M74" s="33">
        <v>1.0</v>
      </c>
      <c r="N74" s="31" t="s">
        <v>370</v>
      </c>
      <c r="O74" s="34"/>
    </row>
    <row r="75">
      <c r="A75" s="38">
        <v>45539.0</v>
      </c>
      <c r="B75" s="32" t="s">
        <v>372</v>
      </c>
      <c r="C75" s="32">
        <v>8.05011485014E11</v>
      </c>
      <c r="D75" s="32" t="s">
        <v>373</v>
      </c>
      <c r="E75" s="32" t="s">
        <v>374</v>
      </c>
      <c r="F75" s="32" t="s">
        <v>375</v>
      </c>
      <c r="G75" s="32" t="s">
        <v>376</v>
      </c>
      <c r="H75" s="32" t="s">
        <v>20</v>
      </c>
      <c r="I75" s="32">
        <v>4421.0</v>
      </c>
      <c r="J75" s="32" t="s">
        <v>377</v>
      </c>
      <c r="K75" s="32" t="s">
        <v>378</v>
      </c>
      <c r="L75" s="32" t="s">
        <v>379</v>
      </c>
      <c r="M75" s="35">
        <v>1.0</v>
      </c>
      <c r="N75" s="32" t="s">
        <v>380</v>
      </c>
      <c r="O75" s="36"/>
    </row>
    <row r="76">
      <c r="A76" s="38">
        <v>45539.0</v>
      </c>
      <c r="B76" s="32" t="s">
        <v>372</v>
      </c>
      <c r="C76" s="32">
        <v>8.05011485014E11</v>
      </c>
      <c r="D76" s="32" t="s">
        <v>373</v>
      </c>
      <c r="E76" s="32" t="s">
        <v>374</v>
      </c>
      <c r="F76" s="32" t="s">
        <v>375</v>
      </c>
      <c r="G76" s="32" t="s">
        <v>376</v>
      </c>
      <c r="H76" s="32" t="s">
        <v>20</v>
      </c>
      <c r="I76" s="32">
        <v>4421.0</v>
      </c>
      <c r="J76" s="32" t="s">
        <v>377</v>
      </c>
      <c r="K76" s="32" t="s">
        <v>381</v>
      </c>
      <c r="L76" s="32" t="s">
        <v>382</v>
      </c>
      <c r="M76" s="35">
        <v>2.0</v>
      </c>
      <c r="N76" s="32" t="s">
        <v>380</v>
      </c>
      <c r="O76" s="36"/>
    </row>
    <row r="77">
      <c r="A77" s="39">
        <v>45539.0</v>
      </c>
      <c r="B77" s="31" t="s">
        <v>383</v>
      </c>
      <c r="C77" s="31">
        <v>8.0702502719E11</v>
      </c>
      <c r="D77" s="31" t="s">
        <v>384</v>
      </c>
      <c r="E77" s="31" t="s">
        <v>385</v>
      </c>
      <c r="F77" s="31" t="s">
        <v>386</v>
      </c>
      <c r="G77" s="31" t="s">
        <v>127</v>
      </c>
      <c r="H77" s="31" t="s">
        <v>20</v>
      </c>
      <c r="I77" s="31">
        <v>4400.0</v>
      </c>
      <c r="J77" s="31" t="s">
        <v>387</v>
      </c>
      <c r="K77" s="31" t="s">
        <v>106</v>
      </c>
      <c r="L77" s="31" t="s">
        <v>107</v>
      </c>
      <c r="M77" s="33">
        <v>1.0</v>
      </c>
      <c r="N77" s="31" t="s">
        <v>388</v>
      </c>
      <c r="O77" s="31" t="s">
        <v>389</v>
      </c>
    </row>
    <row r="78">
      <c r="A78" s="39">
        <v>45539.0</v>
      </c>
      <c r="B78" s="31" t="s">
        <v>383</v>
      </c>
      <c r="C78" s="31">
        <v>8.0702502719E11</v>
      </c>
      <c r="D78" s="31" t="s">
        <v>384</v>
      </c>
      <c r="E78" s="31" t="s">
        <v>385</v>
      </c>
      <c r="F78" s="31" t="s">
        <v>386</v>
      </c>
      <c r="G78" s="31" t="s">
        <v>127</v>
      </c>
      <c r="H78" s="31" t="s">
        <v>20</v>
      </c>
      <c r="I78" s="31">
        <v>4400.0</v>
      </c>
      <c r="J78" s="31" t="s">
        <v>387</v>
      </c>
      <c r="K78" s="31" t="s">
        <v>269</v>
      </c>
      <c r="L78" s="31" t="s">
        <v>270</v>
      </c>
      <c r="M78" s="33">
        <v>1.0</v>
      </c>
      <c r="N78" s="31" t="s">
        <v>388</v>
      </c>
      <c r="O78" s="31" t="s">
        <v>389</v>
      </c>
    </row>
    <row r="79">
      <c r="A79" s="39">
        <v>45539.0</v>
      </c>
      <c r="B79" s="31" t="s">
        <v>383</v>
      </c>
      <c r="C79" s="31">
        <v>8.0702502719E11</v>
      </c>
      <c r="D79" s="31" t="s">
        <v>384</v>
      </c>
      <c r="E79" s="31" t="s">
        <v>385</v>
      </c>
      <c r="F79" s="31" t="s">
        <v>386</v>
      </c>
      <c r="G79" s="31" t="s">
        <v>127</v>
      </c>
      <c r="H79" s="31" t="s">
        <v>20</v>
      </c>
      <c r="I79" s="31">
        <v>4400.0</v>
      </c>
      <c r="J79" s="31" t="s">
        <v>387</v>
      </c>
      <c r="K79" s="31" t="s">
        <v>273</v>
      </c>
      <c r="L79" s="31" t="s">
        <v>274</v>
      </c>
      <c r="M79" s="33">
        <v>1.0</v>
      </c>
      <c r="N79" s="31" t="s">
        <v>388</v>
      </c>
      <c r="O79" s="31" t="s">
        <v>389</v>
      </c>
    </row>
    <row r="80">
      <c r="A80" s="38">
        <v>45539.0</v>
      </c>
      <c r="B80" s="32" t="s">
        <v>390</v>
      </c>
      <c r="C80" s="32">
        <v>8.07025027198E11</v>
      </c>
      <c r="D80" s="32" t="s">
        <v>391</v>
      </c>
      <c r="E80" s="32" t="s">
        <v>392</v>
      </c>
      <c r="F80" s="32" t="s">
        <v>393</v>
      </c>
      <c r="G80" s="32" t="s">
        <v>116</v>
      </c>
      <c r="H80" s="32" t="s">
        <v>20</v>
      </c>
      <c r="I80" s="32">
        <v>4400.0</v>
      </c>
      <c r="J80" s="32" t="s">
        <v>394</v>
      </c>
      <c r="K80" s="32" t="s">
        <v>129</v>
      </c>
      <c r="L80" s="32" t="s">
        <v>130</v>
      </c>
      <c r="M80" s="35">
        <v>1.0</v>
      </c>
      <c r="N80" s="32" t="s">
        <v>395</v>
      </c>
      <c r="O80" s="32" t="s">
        <v>396</v>
      </c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3"/>
      <c r="N81" s="22"/>
      <c r="O81" s="22"/>
    </row>
    <row r="82">
      <c r="A82" s="38">
        <v>45546.0</v>
      </c>
      <c r="B82" s="32" t="s">
        <v>397</v>
      </c>
      <c r="C82" s="32">
        <v>8.05011484539E11</v>
      </c>
      <c r="D82" s="32" t="s">
        <v>398</v>
      </c>
      <c r="E82" s="32" t="s">
        <v>399</v>
      </c>
      <c r="F82" s="32" t="s">
        <v>400</v>
      </c>
      <c r="G82" s="32" t="s">
        <v>20</v>
      </c>
      <c r="H82" s="32" t="s">
        <v>20</v>
      </c>
      <c r="I82" s="32">
        <v>4400.0</v>
      </c>
      <c r="J82" s="32" t="s">
        <v>401</v>
      </c>
      <c r="K82" s="32" t="s">
        <v>88</v>
      </c>
      <c r="L82" s="32" t="s">
        <v>89</v>
      </c>
      <c r="M82" s="35">
        <v>1.0</v>
      </c>
      <c r="N82" s="32" t="s">
        <v>402</v>
      </c>
      <c r="O82" s="32" t="s">
        <v>403</v>
      </c>
    </row>
    <row r="83">
      <c r="A83" s="38">
        <v>45546.0</v>
      </c>
      <c r="B83" s="32" t="s">
        <v>397</v>
      </c>
      <c r="C83" s="32">
        <v>8.05011484539E11</v>
      </c>
      <c r="D83" s="32" t="s">
        <v>398</v>
      </c>
      <c r="E83" s="32" t="s">
        <v>399</v>
      </c>
      <c r="F83" s="32" t="s">
        <v>400</v>
      </c>
      <c r="G83" s="32" t="s">
        <v>20</v>
      </c>
      <c r="H83" s="32" t="s">
        <v>20</v>
      </c>
      <c r="I83" s="32">
        <v>4400.0</v>
      </c>
      <c r="J83" s="32" t="s">
        <v>401</v>
      </c>
      <c r="K83" s="32" t="s">
        <v>32</v>
      </c>
      <c r="L83" s="32" t="s">
        <v>33</v>
      </c>
      <c r="M83" s="35">
        <v>1.0</v>
      </c>
      <c r="N83" s="32" t="s">
        <v>402</v>
      </c>
      <c r="O83" s="32" t="s">
        <v>403</v>
      </c>
    </row>
    <row r="84">
      <c r="A84" s="39">
        <v>45546.0</v>
      </c>
      <c r="B84" s="31" t="s">
        <v>404</v>
      </c>
      <c r="C84" s="31">
        <v>8.05011484914E11</v>
      </c>
      <c r="D84" s="31" t="s">
        <v>405</v>
      </c>
      <c r="E84" s="31" t="s">
        <v>406</v>
      </c>
      <c r="F84" s="31" t="s">
        <v>407</v>
      </c>
      <c r="G84" s="31" t="s">
        <v>20</v>
      </c>
      <c r="H84" s="31" t="s">
        <v>20</v>
      </c>
      <c r="I84" s="31">
        <v>4400.0</v>
      </c>
      <c r="J84" s="31" t="s">
        <v>408</v>
      </c>
      <c r="K84" s="31" t="s">
        <v>176</v>
      </c>
      <c r="L84" s="31" t="s">
        <v>177</v>
      </c>
      <c r="M84" s="33">
        <v>1.0</v>
      </c>
      <c r="N84" s="31" t="s">
        <v>409</v>
      </c>
      <c r="O84" s="34"/>
    </row>
    <row r="85">
      <c r="A85" s="39">
        <v>45546.0</v>
      </c>
      <c r="B85" s="31" t="s">
        <v>404</v>
      </c>
      <c r="C85" s="31">
        <v>8.05011484914E11</v>
      </c>
      <c r="D85" s="31" t="s">
        <v>405</v>
      </c>
      <c r="E85" s="31" t="s">
        <v>406</v>
      </c>
      <c r="F85" s="31" t="s">
        <v>407</v>
      </c>
      <c r="G85" s="31" t="s">
        <v>20</v>
      </c>
      <c r="H85" s="31" t="s">
        <v>20</v>
      </c>
      <c r="I85" s="31">
        <v>4400.0</v>
      </c>
      <c r="J85" s="31" t="s">
        <v>408</v>
      </c>
      <c r="K85" s="31" t="s">
        <v>410</v>
      </c>
      <c r="L85" s="31" t="s">
        <v>411</v>
      </c>
      <c r="M85" s="33">
        <v>1.0</v>
      </c>
      <c r="N85" s="31" t="s">
        <v>409</v>
      </c>
      <c r="O85" s="34"/>
    </row>
    <row r="86">
      <c r="A86" s="39">
        <v>45546.0</v>
      </c>
      <c r="B86" s="31" t="s">
        <v>404</v>
      </c>
      <c r="C86" s="31">
        <v>8.05011484914E11</v>
      </c>
      <c r="D86" s="31" t="s">
        <v>405</v>
      </c>
      <c r="E86" s="31" t="s">
        <v>406</v>
      </c>
      <c r="F86" s="31" t="s">
        <v>407</v>
      </c>
      <c r="G86" s="31" t="s">
        <v>20</v>
      </c>
      <c r="H86" s="31" t="s">
        <v>20</v>
      </c>
      <c r="I86" s="31">
        <v>4400.0</v>
      </c>
      <c r="J86" s="31" t="s">
        <v>408</v>
      </c>
      <c r="K86" s="31" t="s">
        <v>412</v>
      </c>
      <c r="L86" s="31" t="s">
        <v>413</v>
      </c>
      <c r="M86" s="33">
        <v>2.0</v>
      </c>
      <c r="N86" s="31" t="s">
        <v>409</v>
      </c>
      <c r="O86" s="34"/>
    </row>
    <row r="87">
      <c r="A87" s="38">
        <v>45546.0</v>
      </c>
      <c r="B87" s="32" t="s">
        <v>414</v>
      </c>
      <c r="C87" s="32">
        <v>8.07025027215E11</v>
      </c>
      <c r="D87" s="32" t="s">
        <v>415</v>
      </c>
      <c r="E87" s="32" t="s">
        <v>416</v>
      </c>
      <c r="F87" s="32" t="s">
        <v>417</v>
      </c>
      <c r="G87" s="32" t="s">
        <v>292</v>
      </c>
      <c r="H87" s="32" t="s">
        <v>20</v>
      </c>
      <c r="I87" s="32">
        <v>4400.0</v>
      </c>
      <c r="J87" s="32" t="s">
        <v>418</v>
      </c>
      <c r="K87" s="32" t="s">
        <v>218</v>
      </c>
      <c r="L87" s="32" t="s">
        <v>219</v>
      </c>
      <c r="M87" s="35">
        <v>1.0</v>
      </c>
      <c r="N87" s="32" t="s">
        <v>419</v>
      </c>
      <c r="O87" s="32" t="s">
        <v>420</v>
      </c>
    </row>
    <row r="88">
      <c r="A88" s="38">
        <v>45546.0</v>
      </c>
      <c r="B88" s="32" t="s">
        <v>414</v>
      </c>
      <c r="C88" s="32">
        <v>8.07025027215E11</v>
      </c>
      <c r="D88" s="32" t="s">
        <v>415</v>
      </c>
      <c r="E88" s="32" t="s">
        <v>416</v>
      </c>
      <c r="F88" s="32" t="s">
        <v>417</v>
      </c>
      <c r="G88" s="32" t="s">
        <v>292</v>
      </c>
      <c r="H88" s="32" t="s">
        <v>20</v>
      </c>
      <c r="I88" s="32">
        <v>4400.0</v>
      </c>
      <c r="J88" s="32" t="s">
        <v>418</v>
      </c>
      <c r="K88" s="32" t="s">
        <v>121</v>
      </c>
      <c r="L88" s="32" t="s">
        <v>122</v>
      </c>
      <c r="M88" s="35">
        <v>2.0</v>
      </c>
      <c r="N88" s="32" t="s">
        <v>419</v>
      </c>
      <c r="O88" s="32" t="s">
        <v>420</v>
      </c>
    </row>
    <row r="89">
      <c r="A89" s="39">
        <v>45546.0</v>
      </c>
      <c r="B89" s="31" t="s">
        <v>421</v>
      </c>
      <c r="C89" s="31">
        <v>8.05011485428E11</v>
      </c>
      <c r="D89" s="31" t="s">
        <v>422</v>
      </c>
      <c r="E89" s="31" t="s">
        <v>423</v>
      </c>
      <c r="F89" s="31" t="s">
        <v>424</v>
      </c>
      <c r="G89" s="31" t="s">
        <v>425</v>
      </c>
      <c r="H89" s="31" t="s">
        <v>20</v>
      </c>
      <c r="I89" s="31">
        <v>4407.0</v>
      </c>
      <c r="J89" s="31" t="s">
        <v>426</v>
      </c>
      <c r="K89" s="31" t="s">
        <v>273</v>
      </c>
      <c r="L89" s="31" t="s">
        <v>274</v>
      </c>
      <c r="M89" s="33">
        <v>3.0</v>
      </c>
      <c r="N89" s="31" t="s">
        <v>427</v>
      </c>
      <c r="O89" s="31" t="s">
        <v>428</v>
      </c>
    </row>
    <row r="90">
      <c r="A90" s="39">
        <v>45546.0</v>
      </c>
      <c r="B90" s="31" t="s">
        <v>421</v>
      </c>
      <c r="C90" s="31">
        <v>8.05011485428E11</v>
      </c>
      <c r="D90" s="31" t="s">
        <v>422</v>
      </c>
      <c r="E90" s="31" t="s">
        <v>423</v>
      </c>
      <c r="F90" s="31" t="s">
        <v>424</v>
      </c>
      <c r="G90" s="31" t="s">
        <v>425</v>
      </c>
      <c r="H90" s="31" t="s">
        <v>20</v>
      </c>
      <c r="I90" s="31">
        <v>4407.0</v>
      </c>
      <c r="J90" s="31" t="s">
        <v>426</v>
      </c>
      <c r="K90" s="31" t="s">
        <v>50</v>
      </c>
      <c r="L90" s="31" t="s">
        <v>51</v>
      </c>
      <c r="M90" s="33">
        <v>1.0</v>
      </c>
      <c r="N90" s="31" t="s">
        <v>427</v>
      </c>
      <c r="O90" s="31" t="s">
        <v>428</v>
      </c>
    </row>
    <row r="91">
      <c r="A91" s="39">
        <v>45546.0</v>
      </c>
      <c r="B91" s="31" t="s">
        <v>421</v>
      </c>
      <c r="C91" s="31">
        <v>8.05011485428E11</v>
      </c>
      <c r="D91" s="31" t="s">
        <v>422</v>
      </c>
      <c r="E91" s="31" t="s">
        <v>423</v>
      </c>
      <c r="F91" s="31" t="s">
        <v>424</v>
      </c>
      <c r="G91" s="31" t="s">
        <v>425</v>
      </c>
      <c r="H91" s="31" t="s">
        <v>20</v>
      </c>
      <c r="I91" s="31">
        <v>4407.0</v>
      </c>
      <c r="J91" s="31" t="s">
        <v>426</v>
      </c>
      <c r="K91" s="31" t="s">
        <v>25</v>
      </c>
      <c r="L91" s="31" t="s">
        <v>26</v>
      </c>
      <c r="M91" s="33">
        <v>1.0</v>
      </c>
      <c r="N91" s="31" t="s">
        <v>427</v>
      </c>
      <c r="O91" s="31" t="s">
        <v>428</v>
      </c>
    </row>
    <row r="92">
      <c r="A92" s="39">
        <v>45546.0</v>
      </c>
      <c r="B92" s="31" t="s">
        <v>421</v>
      </c>
      <c r="C92" s="31">
        <v>8.05011485428E11</v>
      </c>
      <c r="D92" s="31" t="s">
        <v>422</v>
      </c>
      <c r="E92" s="31" t="s">
        <v>423</v>
      </c>
      <c r="F92" s="31" t="s">
        <v>424</v>
      </c>
      <c r="G92" s="31" t="s">
        <v>425</v>
      </c>
      <c r="H92" s="31" t="s">
        <v>20</v>
      </c>
      <c r="I92" s="31">
        <v>4407.0</v>
      </c>
      <c r="J92" s="31" t="s">
        <v>426</v>
      </c>
      <c r="K92" s="31" t="s">
        <v>289</v>
      </c>
      <c r="L92" s="31" t="s">
        <v>290</v>
      </c>
      <c r="M92" s="33">
        <v>3.0</v>
      </c>
      <c r="N92" s="31" t="s">
        <v>427</v>
      </c>
      <c r="O92" s="31" t="s">
        <v>428</v>
      </c>
    </row>
    <row r="93">
      <c r="A93" s="38">
        <v>45546.0</v>
      </c>
      <c r="B93" s="32" t="s">
        <v>429</v>
      </c>
      <c r="C93" s="32">
        <v>8.05011485879E11</v>
      </c>
      <c r="D93" s="32" t="s">
        <v>430</v>
      </c>
      <c r="E93" s="32" t="s">
        <v>431</v>
      </c>
      <c r="F93" s="32" t="s">
        <v>432</v>
      </c>
      <c r="G93" s="32" t="s">
        <v>433</v>
      </c>
      <c r="H93" s="32" t="s">
        <v>20</v>
      </c>
      <c r="I93" s="32">
        <v>4560.0</v>
      </c>
      <c r="J93" s="32" t="s">
        <v>434</v>
      </c>
      <c r="K93" s="32" t="s">
        <v>32</v>
      </c>
      <c r="L93" s="32" t="s">
        <v>33</v>
      </c>
      <c r="M93" s="35">
        <v>1.0</v>
      </c>
      <c r="N93" s="32" t="s">
        <v>435</v>
      </c>
      <c r="O93" s="36"/>
    </row>
    <row r="94">
      <c r="A94" s="39">
        <v>45546.0</v>
      </c>
      <c r="B94" s="31" t="s">
        <v>436</v>
      </c>
      <c r="C94" s="31">
        <v>8.05011474217E11</v>
      </c>
      <c r="D94" s="31" t="s">
        <v>437</v>
      </c>
      <c r="E94" s="31" t="s">
        <v>438</v>
      </c>
      <c r="F94" s="41">
        <v>34966.0</v>
      </c>
      <c r="G94" s="31" t="s">
        <v>439</v>
      </c>
      <c r="H94" s="31" t="s">
        <v>20</v>
      </c>
      <c r="I94" s="31">
        <v>4560.0</v>
      </c>
      <c r="J94" s="31" t="s">
        <v>440</v>
      </c>
      <c r="K94" s="31" t="s">
        <v>441</v>
      </c>
      <c r="L94" s="31" t="s">
        <v>442</v>
      </c>
      <c r="M94" s="33">
        <v>1.0</v>
      </c>
      <c r="N94" s="31" t="s">
        <v>443</v>
      </c>
      <c r="O94" s="34"/>
    </row>
    <row r="95">
      <c r="A95" s="39">
        <v>45546.0</v>
      </c>
      <c r="B95" s="31" t="s">
        <v>436</v>
      </c>
      <c r="C95" s="31">
        <v>8.05011474217E11</v>
      </c>
      <c r="D95" s="31" t="s">
        <v>437</v>
      </c>
      <c r="E95" s="31" t="s">
        <v>444</v>
      </c>
      <c r="F95" s="41">
        <v>34966.0</v>
      </c>
      <c r="G95" s="31" t="s">
        <v>439</v>
      </c>
      <c r="H95" s="31" t="s">
        <v>20</v>
      </c>
      <c r="I95" s="31">
        <v>4560.0</v>
      </c>
      <c r="J95" s="31" t="s">
        <v>440</v>
      </c>
      <c r="K95" s="31" t="s">
        <v>445</v>
      </c>
      <c r="L95" s="31" t="s">
        <v>446</v>
      </c>
      <c r="M95" s="33">
        <v>1.0</v>
      </c>
      <c r="N95" s="31" t="s">
        <v>443</v>
      </c>
      <c r="O95" s="34"/>
    </row>
    <row r="96">
      <c r="A96" s="38">
        <v>45546.0</v>
      </c>
      <c r="B96" s="32" t="s">
        <v>447</v>
      </c>
      <c r="C96" s="32">
        <v>8.05011485615E11</v>
      </c>
      <c r="D96" s="32" t="s">
        <v>448</v>
      </c>
      <c r="E96" s="32" t="s">
        <v>449</v>
      </c>
      <c r="F96" s="32" t="s">
        <v>450</v>
      </c>
      <c r="G96" s="32" t="s">
        <v>20</v>
      </c>
      <c r="H96" s="32" t="s">
        <v>20</v>
      </c>
      <c r="I96" s="32">
        <v>4400.0</v>
      </c>
      <c r="J96" s="32" t="s">
        <v>451</v>
      </c>
      <c r="K96" s="32" t="s">
        <v>88</v>
      </c>
      <c r="L96" s="32" t="s">
        <v>89</v>
      </c>
      <c r="M96" s="35">
        <v>1.0</v>
      </c>
      <c r="N96" s="32" t="s">
        <v>452</v>
      </c>
      <c r="O96" s="36"/>
    </row>
    <row r="97">
      <c r="A97" s="39">
        <v>45546.0</v>
      </c>
      <c r="B97" s="31" t="s">
        <v>453</v>
      </c>
      <c r="C97" s="31">
        <v>8.05011485616E11</v>
      </c>
      <c r="D97" s="31" t="s">
        <v>448</v>
      </c>
      <c r="E97" s="32" t="s">
        <v>454</v>
      </c>
      <c r="F97" s="31" t="s">
        <v>450</v>
      </c>
      <c r="G97" s="31" t="s">
        <v>20</v>
      </c>
      <c r="H97" s="31" t="s">
        <v>20</v>
      </c>
      <c r="I97" s="31">
        <v>4400.0</v>
      </c>
      <c r="J97" s="31" t="s">
        <v>451</v>
      </c>
      <c r="K97" s="31" t="s">
        <v>32</v>
      </c>
      <c r="L97" s="31" t="s">
        <v>33</v>
      </c>
      <c r="M97" s="33">
        <v>1.0</v>
      </c>
      <c r="N97" s="31" t="s">
        <v>452</v>
      </c>
      <c r="O97" s="34"/>
    </row>
    <row r="98">
      <c r="A98" s="38">
        <v>45546.0</v>
      </c>
      <c r="B98" s="32" t="s">
        <v>455</v>
      </c>
      <c r="C98" s="32">
        <v>8.05011486163E11</v>
      </c>
      <c r="D98" s="32" t="s">
        <v>456</v>
      </c>
      <c r="F98" s="32" t="s">
        <v>457</v>
      </c>
      <c r="G98" s="32" t="s">
        <v>458</v>
      </c>
      <c r="H98" s="32" t="s">
        <v>20</v>
      </c>
      <c r="I98" s="32">
        <v>4190.0</v>
      </c>
      <c r="J98" s="32" t="s">
        <v>459</v>
      </c>
      <c r="K98" s="32" t="s">
        <v>98</v>
      </c>
      <c r="L98" s="32" t="s">
        <v>99</v>
      </c>
      <c r="M98" s="35">
        <v>1.0</v>
      </c>
      <c r="N98" s="32" t="s">
        <v>460</v>
      </c>
      <c r="O98" s="36"/>
    </row>
    <row r="99">
      <c r="A99" s="39">
        <v>45546.0</v>
      </c>
      <c r="B99" s="31" t="s">
        <v>461</v>
      </c>
      <c r="C99" s="31">
        <v>8.05011486234E11</v>
      </c>
      <c r="D99" s="31" t="s">
        <v>462</v>
      </c>
      <c r="E99" s="31" t="s">
        <v>463</v>
      </c>
      <c r="F99" s="31" t="s">
        <v>464</v>
      </c>
      <c r="G99" s="31" t="s">
        <v>465</v>
      </c>
      <c r="H99" s="31" t="s">
        <v>20</v>
      </c>
      <c r="I99" s="31">
        <v>4554.0</v>
      </c>
      <c r="J99" s="31" t="s">
        <v>466</v>
      </c>
      <c r="K99" s="31" t="s">
        <v>32</v>
      </c>
      <c r="L99" s="31" t="s">
        <v>33</v>
      </c>
      <c r="M99" s="33">
        <v>1.0</v>
      </c>
      <c r="N99" s="31" t="s">
        <v>467</v>
      </c>
      <c r="O99" s="34"/>
    </row>
    <row r="100">
      <c r="A100" s="38">
        <v>45546.0</v>
      </c>
      <c r="B100" s="32" t="s">
        <v>468</v>
      </c>
      <c r="C100" s="32">
        <v>8.0501148666E11</v>
      </c>
      <c r="D100" s="32" t="s">
        <v>469</v>
      </c>
      <c r="E100" s="32" t="s">
        <v>470</v>
      </c>
      <c r="F100" s="32" t="s">
        <v>471</v>
      </c>
      <c r="G100" s="32" t="s">
        <v>20</v>
      </c>
      <c r="H100" s="32" t="s">
        <v>20</v>
      </c>
      <c r="I100" s="32">
        <v>4400.0</v>
      </c>
      <c r="J100" s="32" t="s">
        <v>472</v>
      </c>
      <c r="K100" s="32" t="s">
        <v>98</v>
      </c>
      <c r="L100" s="32" t="s">
        <v>99</v>
      </c>
      <c r="M100" s="35">
        <v>1.0</v>
      </c>
      <c r="N100" s="32" t="s">
        <v>473</v>
      </c>
      <c r="O100" s="36"/>
    </row>
    <row r="101" ht="7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3"/>
      <c r="N101" s="22"/>
      <c r="O101" s="22"/>
    </row>
    <row r="102">
      <c r="A102" s="38">
        <v>45553.0</v>
      </c>
      <c r="B102" s="32" t="s">
        <v>474</v>
      </c>
      <c r="C102" s="32">
        <v>8.0601508422E11</v>
      </c>
      <c r="D102" s="32" t="s">
        <v>475</v>
      </c>
      <c r="E102" s="32" t="s">
        <v>476</v>
      </c>
      <c r="F102" s="32" t="s">
        <v>477</v>
      </c>
      <c r="G102" s="32" t="s">
        <v>116</v>
      </c>
      <c r="H102" s="32" t="s">
        <v>20</v>
      </c>
      <c r="I102" s="32">
        <v>4400.0</v>
      </c>
      <c r="J102" s="32" t="s">
        <v>478</v>
      </c>
      <c r="K102" s="32">
        <v>87600.0</v>
      </c>
      <c r="L102" s="32" t="s">
        <v>479</v>
      </c>
      <c r="M102" s="35">
        <v>6.0</v>
      </c>
      <c r="N102" s="21"/>
      <c r="O102" s="21"/>
    </row>
    <row r="103">
      <c r="A103" s="38">
        <v>45553.0</v>
      </c>
      <c r="B103" s="32" t="s">
        <v>474</v>
      </c>
      <c r="C103" s="32">
        <v>8.0601508422E11</v>
      </c>
      <c r="D103" s="32" t="s">
        <v>475</v>
      </c>
      <c r="E103" s="32" t="s">
        <v>476</v>
      </c>
      <c r="F103" s="32" t="s">
        <v>477</v>
      </c>
      <c r="G103" s="32" t="s">
        <v>116</v>
      </c>
      <c r="H103" s="32" t="s">
        <v>20</v>
      </c>
      <c r="I103" s="32">
        <v>4400.0</v>
      </c>
      <c r="J103" s="32" t="s">
        <v>478</v>
      </c>
      <c r="K103" s="32">
        <v>87604.0</v>
      </c>
      <c r="L103" s="32" t="s">
        <v>480</v>
      </c>
      <c r="M103" s="35">
        <v>1.0</v>
      </c>
      <c r="N103" s="21"/>
      <c r="O103" s="21"/>
    </row>
    <row r="104">
      <c r="A104" s="38">
        <v>45553.0</v>
      </c>
      <c r="B104" s="32" t="s">
        <v>474</v>
      </c>
      <c r="C104" s="32">
        <v>8.0601508422E11</v>
      </c>
      <c r="D104" s="32" t="s">
        <v>475</v>
      </c>
      <c r="E104" s="32" t="s">
        <v>476</v>
      </c>
      <c r="F104" s="32" t="s">
        <v>477</v>
      </c>
      <c r="G104" s="32" t="s">
        <v>116</v>
      </c>
      <c r="H104" s="32" t="s">
        <v>20</v>
      </c>
      <c r="I104" s="32">
        <v>4400.0</v>
      </c>
      <c r="J104" s="32" t="s">
        <v>478</v>
      </c>
      <c r="K104" s="32">
        <v>208501.0</v>
      </c>
      <c r="L104" s="32" t="s">
        <v>481</v>
      </c>
      <c r="M104" s="35">
        <v>10.0</v>
      </c>
      <c r="N104" s="21"/>
      <c r="O104" s="21"/>
    </row>
    <row r="105">
      <c r="A105" s="38">
        <v>45553.0</v>
      </c>
      <c r="B105" s="32" t="s">
        <v>482</v>
      </c>
      <c r="C105" s="32">
        <v>8.05011487063E11</v>
      </c>
      <c r="D105" s="32" t="s">
        <v>483</v>
      </c>
      <c r="E105" s="32" t="s">
        <v>484</v>
      </c>
      <c r="F105" s="32" t="s">
        <v>485</v>
      </c>
      <c r="G105" s="32" t="s">
        <v>486</v>
      </c>
      <c r="H105" s="32" t="s">
        <v>20</v>
      </c>
      <c r="I105" s="32">
        <v>4440.0</v>
      </c>
      <c r="J105" s="32" t="s">
        <v>487</v>
      </c>
      <c r="K105" s="32" t="s">
        <v>98</v>
      </c>
      <c r="L105" s="32" t="s">
        <v>99</v>
      </c>
      <c r="M105" s="35">
        <v>1.0</v>
      </c>
      <c r="N105" s="21"/>
      <c r="O105" s="21"/>
    </row>
    <row r="106">
      <c r="A106" s="39">
        <v>45553.0</v>
      </c>
      <c r="B106" s="31" t="s">
        <v>488</v>
      </c>
      <c r="C106" s="31">
        <v>8.05011487354E11</v>
      </c>
      <c r="D106" s="31" t="s">
        <v>489</v>
      </c>
      <c r="E106" s="31" t="s">
        <v>490</v>
      </c>
      <c r="F106" s="31" t="s">
        <v>491</v>
      </c>
      <c r="G106" s="31" t="s">
        <v>20</v>
      </c>
      <c r="H106" s="31" t="s">
        <v>20</v>
      </c>
      <c r="I106" s="31">
        <v>4400.0</v>
      </c>
      <c r="J106" s="31" t="s">
        <v>492</v>
      </c>
      <c r="K106" s="31" t="s">
        <v>493</v>
      </c>
      <c r="L106" s="31" t="s">
        <v>494</v>
      </c>
      <c r="M106" s="33">
        <v>1.0</v>
      </c>
      <c r="N106" s="37"/>
      <c r="O106" s="37"/>
    </row>
    <row r="107">
      <c r="A107" s="39">
        <v>45553.0</v>
      </c>
      <c r="B107" s="31" t="s">
        <v>488</v>
      </c>
      <c r="C107" s="31">
        <v>8.05011487354E11</v>
      </c>
      <c r="D107" s="31" t="s">
        <v>489</v>
      </c>
      <c r="E107" s="31" t="s">
        <v>490</v>
      </c>
      <c r="F107" s="31" t="s">
        <v>491</v>
      </c>
      <c r="G107" s="31" t="s">
        <v>20</v>
      </c>
      <c r="H107" s="31" t="s">
        <v>20</v>
      </c>
      <c r="I107" s="31">
        <v>4400.0</v>
      </c>
      <c r="J107" s="31" t="s">
        <v>492</v>
      </c>
      <c r="K107" s="31" t="s">
        <v>495</v>
      </c>
      <c r="L107" s="31" t="s">
        <v>496</v>
      </c>
      <c r="M107" s="33">
        <v>2.0</v>
      </c>
      <c r="N107" s="37"/>
      <c r="O107" s="37"/>
    </row>
    <row r="108">
      <c r="A108" s="38">
        <v>45553.0</v>
      </c>
      <c r="B108" s="32" t="s">
        <v>497</v>
      </c>
      <c r="C108" s="32">
        <v>8.0702502715E11</v>
      </c>
      <c r="D108" s="32" t="s">
        <v>498</v>
      </c>
      <c r="E108" s="32" t="s">
        <v>499</v>
      </c>
      <c r="F108" s="32" t="s">
        <v>500</v>
      </c>
      <c r="G108" s="32" t="s">
        <v>116</v>
      </c>
      <c r="H108" s="32" t="s">
        <v>20</v>
      </c>
      <c r="I108" s="32">
        <v>4400.0</v>
      </c>
      <c r="J108" s="32" t="s">
        <v>501</v>
      </c>
      <c r="K108" s="32" t="s">
        <v>502</v>
      </c>
      <c r="L108" s="32" t="s">
        <v>503</v>
      </c>
      <c r="M108" s="35">
        <v>2.0</v>
      </c>
      <c r="N108" s="21"/>
      <c r="O108" s="21" t="s">
        <v>504</v>
      </c>
    </row>
    <row r="109" ht="6.0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3"/>
      <c r="N109" s="22"/>
      <c r="O109" s="22"/>
    </row>
    <row r="110">
      <c r="A110" s="42">
        <v>45567.0</v>
      </c>
      <c r="B110" s="32" t="s">
        <v>505</v>
      </c>
      <c r="C110" s="32">
        <v>8.07025027473E11</v>
      </c>
      <c r="D110" s="32" t="s">
        <v>506</v>
      </c>
      <c r="E110" s="32" t="s">
        <v>507</v>
      </c>
      <c r="F110" s="32" t="s">
        <v>508</v>
      </c>
      <c r="G110" s="32" t="s">
        <v>116</v>
      </c>
      <c r="H110" s="32" t="s">
        <v>20</v>
      </c>
      <c r="I110" s="32">
        <v>4400.0</v>
      </c>
      <c r="J110" s="32" t="s">
        <v>509</v>
      </c>
      <c r="K110" s="32" t="s">
        <v>78</v>
      </c>
      <c r="L110" s="32" t="s">
        <v>79</v>
      </c>
      <c r="M110" s="35">
        <v>1.0</v>
      </c>
      <c r="N110" s="32" t="s">
        <v>510</v>
      </c>
      <c r="O110" s="32" t="s">
        <v>511</v>
      </c>
    </row>
    <row r="111">
      <c r="A111" s="42">
        <v>45567.0</v>
      </c>
      <c r="B111" s="32" t="s">
        <v>505</v>
      </c>
      <c r="C111" s="32">
        <v>8.07025027473E11</v>
      </c>
      <c r="D111" s="32" t="s">
        <v>506</v>
      </c>
      <c r="E111" s="32" t="s">
        <v>507</v>
      </c>
      <c r="F111" s="32" t="s">
        <v>508</v>
      </c>
      <c r="G111" s="32" t="s">
        <v>116</v>
      </c>
      <c r="H111" s="32" t="s">
        <v>20</v>
      </c>
      <c r="I111" s="32">
        <v>4400.0</v>
      </c>
      <c r="J111" s="32" t="s">
        <v>509</v>
      </c>
      <c r="K111" s="32" t="s">
        <v>512</v>
      </c>
      <c r="L111" s="32" t="s">
        <v>513</v>
      </c>
      <c r="M111" s="35">
        <v>6.0</v>
      </c>
      <c r="N111" s="32" t="s">
        <v>510</v>
      </c>
      <c r="O111" s="32" t="s">
        <v>511</v>
      </c>
    </row>
    <row r="112">
      <c r="A112" s="42">
        <v>45567.0</v>
      </c>
      <c r="B112" s="32" t="s">
        <v>505</v>
      </c>
      <c r="C112" s="32">
        <v>8.07025027473E11</v>
      </c>
      <c r="D112" s="32" t="s">
        <v>506</v>
      </c>
      <c r="E112" s="32" t="s">
        <v>507</v>
      </c>
      <c r="F112" s="32" t="s">
        <v>508</v>
      </c>
      <c r="G112" s="32" t="s">
        <v>116</v>
      </c>
      <c r="H112" s="32" t="s">
        <v>20</v>
      </c>
      <c r="I112" s="32">
        <v>4400.0</v>
      </c>
      <c r="J112" s="32" t="s">
        <v>509</v>
      </c>
      <c r="K112" s="32" t="s">
        <v>121</v>
      </c>
      <c r="L112" s="32" t="s">
        <v>122</v>
      </c>
      <c r="M112" s="35">
        <v>1.0</v>
      </c>
      <c r="N112" s="32" t="s">
        <v>510</v>
      </c>
      <c r="O112" s="32" t="s">
        <v>511</v>
      </c>
    </row>
    <row r="113">
      <c r="A113" s="43">
        <v>45567.0</v>
      </c>
      <c r="B113" s="31" t="s">
        <v>514</v>
      </c>
      <c r="C113" s="31">
        <v>8.05011490877E11</v>
      </c>
      <c r="D113" s="31" t="s">
        <v>515</v>
      </c>
      <c r="E113" s="31" t="s">
        <v>516</v>
      </c>
      <c r="F113" s="31" t="s">
        <v>517</v>
      </c>
      <c r="G113" s="31" t="s">
        <v>350</v>
      </c>
      <c r="H113" s="31" t="s">
        <v>20</v>
      </c>
      <c r="I113" s="31">
        <v>4401.0</v>
      </c>
      <c r="J113" s="31" t="s">
        <v>518</v>
      </c>
      <c r="K113" s="31" t="s">
        <v>519</v>
      </c>
      <c r="L113" s="31" t="s">
        <v>520</v>
      </c>
      <c r="M113" s="33">
        <v>1.0</v>
      </c>
      <c r="N113" s="31" t="s">
        <v>521</v>
      </c>
      <c r="O113" s="34"/>
    </row>
    <row r="114">
      <c r="A114" s="42">
        <v>45567.0</v>
      </c>
      <c r="B114" s="32" t="s">
        <v>522</v>
      </c>
      <c r="C114" s="32">
        <v>8.05011490951E11</v>
      </c>
      <c r="D114" s="32" t="s">
        <v>523</v>
      </c>
      <c r="E114" s="32" t="s">
        <v>524</v>
      </c>
      <c r="F114" s="44">
        <v>8452.0</v>
      </c>
      <c r="G114" s="32" t="s">
        <v>20</v>
      </c>
      <c r="H114" s="32" t="s">
        <v>20</v>
      </c>
      <c r="I114" s="32">
        <v>4400.0</v>
      </c>
      <c r="J114" s="32" t="s">
        <v>525</v>
      </c>
      <c r="K114" s="32" t="s">
        <v>98</v>
      </c>
      <c r="L114" s="32" t="s">
        <v>99</v>
      </c>
      <c r="M114" s="35">
        <v>1.0</v>
      </c>
      <c r="N114" s="32" t="s">
        <v>526</v>
      </c>
      <c r="O114" s="32" t="s">
        <v>527</v>
      </c>
    </row>
    <row r="115">
      <c r="A115" s="43">
        <v>45567.0</v>
      </c>
      <c r="B115" s="31" t="s">
        <v>528</v>
      </c>
      <c r="C115" s="31">
        <v>8.05011490993E11</v>
      </c>
      <c r="D115" s="31" t="s">
        <v>529</v>
      </c>
      <c r="E115" s="31" t="s">
        <v>530</v>
      </c>
      <c r="F115" s="31" t="s">
        <v>531</v>
      </c>
      <c r="G115" s="31" t="s">
        <v>532</v>
      </c>
      <c r="H115" s="31" t="s">
        <v>20</v>
      </c>
      <c r="I115" s="31">
        <v>4427.0</v>
      </c>
      <c r="J115" s="31" t="s">
        <v>533</v>
      </c>
      <c r="K115" s="31" t="s">
        <v>98</v>
      </c>
      <c r="L115" s="31" t="s">
        <v>99</v>
      </c>
      <c r="M115" s="33">
        <v>1.0</v>
      </c>
      <c r="N115" s="31" t="s">
        <v>534</v>
      </c>
      <c r="O115" s="31" t="s">
        <v>261</v>
      </c>
    </row>
    <row r="116">
      <c r="A116" s="42">
        <v>45567.0</v>
      </c>
      <c r="B116" s="32" t="s">
        <v>535</v>
      </c>
      <c r="C116" s="32">
        <v>8.05011490979E11</v>
      </c>
      <c r="D116" s="32" t="s">
        <v>536</v>
      </c>
      <c r="E116" s="32" t="s">
        <v>537</v>
      </c>
      <c r="F116" s="32" t="s">
        <v>538</v>
      </c>
      <c r="G116" s="32" t="s">
        <v>539</v>
      </c>
      <c r="H116" s="32" t="s">
        <v>20</v>
      </c>
      <c r="I116" s="32">
        <v>4405.0</v>
      </c>
      <c r="J116" s="32" t="s">
        <v>540</v>
      </c>
      <c r="K116" s="32" t="s">
        <v>541</v>
      </c>
      <c r="L116" s="32" t="s">
        <v>542</v>
      </c>
      <c r="M116" s="35">
        <v>1.0</v>
      </c>
      <c r="N116" s="32" t="s">
        <v>543</v>
      </c>
      <c r="O116" s="32" t="s">
        <v>544</v>
      </c>
    </row>
    <row r="117">
      <c r="A117" s="43">
        <v>45567.0</v>
      </c>
      <c r="B117" s="31" t="s">
        <v>545</v>
      </c>
      <c r="C117" s="31">
        <v>8.0501149113E11</v>
      </c>
      <c r="D117" s="31" t="s">
        <v>546</v>
      </c>
      <c r="E117" s="31" t="s">
        <v>547</v>
      </c>
      <c r="F117" s="31" t="s">
        <v>548</v>
      </c>
      <c r="G117" s="31" t="s">
        <v>20</v>
      </c>
      <c r="H117" s="31" t="s">
        <v>20</v>
      </c>
      <c r="I117" s="31">
        <v>4400.0</v>
      </c>
      <c r="J117" s="31" t="s">
        <v>549</v>
      </c>
      <c r="K117" s="31">
        <v>63302.0</v>
      </c>
      <c r="L117" s="31" t="s">
        <v>550</v>
      </c>
      <c r="M117" s="33">
        <v>1.0</v>
      </c>
      <c r="N117" s="31" t="s">
        <v>551</v>
      </c>
      <c r="O117" s="31" t="s">
        <v>552</v>
      </c>
    </row>
    <row r="118">
      <c r="A118" s="42">
        <v>45567.0</v>
      </c>
      <c r="B118" s="32" t="s">
        <v>553</v>
      </c>
      <c r="C118" s="32">
        <v>8.07025027553E11</v>
      </c>
      <c r="D118" s="32" t="s">
        <v>554</v>
      </c>
      <c r="E118" s="32" t="s">
        <v>555</v>
      </c>
      <c r="F118" s="32" t="s">
        <v>556</v>
      </c>
      <c r="G118" s="32" t="s">
        <v>116</v>
      </c>
      <c r="H118" s="32" t="s">
        <v>20</v>
      </c>
      <c r="I118" s="32">
        <v>4400.0</v>
      </c>
      <c r="J118" s="32" t="s">
        <v>557</v>
      </c>
      <c r="K118" s="32" t="s">
        <v>512</v>
      </c>
      <c r="L118" s="32" t="s">
        <v>513</v>
      </c>
      <c r="M118" s="35">
        <v>6.0</v>
      </c>
      <c r="N118" s="32" t="s">
        <v>558</v>
      </c>
      <c r="O118" s="32" t="s">
        <v>559</v>
      </c>
    </row>
    <row r="119">
      <c r="A119" s="43">
        <v>45567.0</v>
      </c>
      <c r="B119" s="31" t="s">
        <v>560</v>
      </c>
      <c r="C119" s="31">
        <v>8.07025027556E11</v>
      </c>
      <c r="D119" s="31" t="s">
        <v>554</v>
      </c>
      <c r="E119" s="31" t="s">
        <v>555</v>
      </c>
      <c r="F119" s="31" t="s">
        <v>556</v>
      </c>
      <c r="G119" s="31" t="s">
        <v>116</v>
      </c>
      <c r="H119" s="31" t="s">
        <v>20</v>
      </c>
      <c r="I119" s="31">
        <v>4400.0</v>
      </c>
      <c r="J119" s="31" t="s">
        <v>557</v>
      </c>
      <c r="K119" s="31" t="s">
        <v>561</v>
      </c>
      <c r="L119" s="31" t="s">
        <v>562</v>
      </c>
      <c r="M119" s="33">
        <v>1.0</v>
      </c>
      <c r="N119" s="31" t="s">
        <v>558</v>
      </c>
      <c r="O119" s="31" t="s">
        <v>559</v>
      </c>
    </row>
    <row r="120">
      <c r="A120" s="43">
        <v>45567.0</v>
      </c>
      <c r="B120" s="31" t="s">
        <v>560</v>
      </c>
      <c r="C120" s="31">
        <v>8.07025027556E11</v>
      </c>
      <c r="D120" s="31" t="s">
        <v>554</v>
      </c>
      <c r="E120" s="31" t="s">
        <v>555</v>
      </c>
      <c r="F120" s="31" t="s">
        <v>556</v>
      </c>
      <c r="G120" s="31" t="s">
        <v>116</v>
      </c>
      <c r="H120" s="31" t="s">
        <v>20</v>
      </c>
      <c r="I120" s="31">
        <v>4400.0</v>
      </c>
      <c r="J120" s="31" t="s">
        <v>557</v>
      </c>
      <c r="K120" s="31" t="s">
        <v>35</v>
      </c>
      <c r="L120" s="31" t="s">
        <v>36</v>
      </c>
      <c r="M120" s="33">
        <v>1.0</v>
      </c>
      <c r="N120" s="31" t="s">
        <v>558</v>
      </c>
      <c r="O120" s="31" t="s">
        <v>559</v>
      </c>
    </row>
    <row r="121" ht="15.75" customHeight="1">
      <c r="A121" s="42">
        <v>45567.0</v>
      </c>
      <c r="B121" s="32" t="s">
        <v>563</v>
      </c>
      <c r="C121" s="32">
        <v>8.05011491335E11</v>
      </c>
      <c r="D121" s="32" t="s">
        <v>564</v>
      </c>
      <c r="E121" s="32" t="s">
        <v>565</v>
      </c>
      <c r="F121" s="32" t="s">
        <v>566</v>
      </c>
      <c r="G121" s="32" t="s">
        <v>20</v>
      </c>
      <c r="H121" s="32" t="s">
        <v>20</v>
      </c>
      <c r="I121" s="32">
        <v>4400.0</v>
      </c>
      <c r="J121" s="32" t="s">
        <v>567</v>
      </c>
      <c r="K121" s="32" t="s">
        <v>568</v>
      </c>
      <c r="L121" s="32" t="s">
        <v>569</v>
      </c>
      <c r="M121" s="35">
        <v>1.0</v>
      </c>
      <c r="N121" s="32" t="s">
        <v>570</v>
      </c>
      <c r="O121" s="21"/>
    </row>
    <row r="122" ht="6.0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3"/>
      <c r="N122" s="22"/>
      <c r="O122" s="22"/>
    </row>
    <row r="123">
      <c r="A123" s="45">
        <v>45581.0</v>
      </c>
      <c r="B123" s="46" t="s">
        <v>571</v>
      </c>
      <c r="C123" s="46">
        <v>8.0501149217E11</v>
      </c>
      <c r="D123" s="46" t="s">
        <v>56</v>
      </c>
      <c r="E123" s="46" t="s">
        <v>572</v>
      </c>
      <c r="F123" s="46" t="s">
        <v>573</v>
      </c>
      <c r="G123" s="46" t="s">
        <v>20</v>
      </c>
      <c r="H123" s="46" t="s">
        <v>20</v>
      </c>
      <c r="I123" s="46">
        <v>4400.0</v>
      </c>
      <c r="J123" s="46" t="s">
        <v>574</v>
      </c>
      <c r="K123" s="46" t="s">
        <v>575</v>
      </c>
      <c r="L123" s="46" t="s">
        <v>576</v>
      </c>
      <c r="M123" s="47">
        <v>4.0</v>
      </c>
      <c r="N123" s="46" t="s">
        <v>577</v>
      </c>
      <c r="O123" s="13"/>
    </row>
    <row r="124">
      <c r="A124" s="48">
        <v>45581.0</v>
      </c>
      <c r="B124" s="49" t="s">
        <v>578</v>
      </c>
      <c r="C124" s="49">
        <v>8.05011492414E11</v>
      </c>
      <c r="D124" s="49" t="s">
        <v>579</v>
      </c>
      <c r="E124" s="49" t="s">
        <v>580</v>
      </c>
      <c r="F124" s="49" t="s">
        <v>581</v>
      </c>
      <c r="G124" s="49" t="s">
        <v>582</v>
      </c>
      <c r="H124" s="49" t="s">
        <v>20</v>
      </c>
      <c r="I124" s="49">
        <v>4407.0</v>
      </c>
      <c r="J124" s="49" t="s">
        <v>583</v>
      </c>
      <c r="K124" s="49">
        <v>63301.0</v>
      </c>
      <c r="L124" s="49" t="s">
        <v>584</v>
      </c>
      <c r="M124" s="50">
        <v>2.0</v>
      </c>
      <c r="N124" s="49" t="s">
        <v>585</v>
      </c>
      <c r="O124" s="17"/>
    </row>
    <row r="125">
      <c r="A125" s="48">
        <v>45581.0</v>
      </c>
      <c r="B125" s="49" t="s">
        <v>578</v>
      </c>
      <c r="C125" s="49">
        <v>8.05011492414E11</v>
      </c>
      <c r="D125" s="49" t="s">
        <v>579</v>
      </c>
      <c r="E125" s="49" t="s">
        <v>580</v>
      </c>
      <c r="F125" s="49" t="s">
        <v>581</v>
      </c>
      <c r="G125" s="49" t="s">
        <v>582</v>
      </c>
      <c r="H125" s="49" t="s">
        <v>20</v>
      </c>
      <c r="I125" s="49">
        <v>4407.0</v>
      </c>
      <c r="J125" s="49" t="s">
        <v>583</v>
      </c>
      <c r="K125" s="49" t="s">
        <v>586</v>
      </c>
      <c r="L125" s="49" t="s">
        <v>587</v>
      </c>
      <c r="M125" s="50">
        <v>2.0</v>
      </c>
      <c r="N125" s="49" t="s">
        <v>585</v>
      </c>
      <c r="O125" s="17"/>
    </row>
    <row r="126">
      <c r="A126" s="45">
        <v>45581.0</v>
      </c>
      <c r="B126" s="46" t="s">
        <v>588</v>
      </c>
      <c r="C126" s="46">
        <v>8.05011492639E11</v>
      </c>
      <c r="D126" s="46" t="s">
        <v>589</v>
      </c>
      <c r="E126" s="46" t="s">
        <v>590</v>
      </c>
      <c r="F126" s="46" t="s">
        <v>591</v>
      </c>
      <c r="G126" s="46" t="s">
        <v>592</v>
      </c>
      <c r="H126" s="46" t="s">
        <v>20</v>
      </c>
      <c r="I126" s="46">
        <v>4417.0</v>
      </c>
      <c r="J126" s="46" t="s">
        <v>593</v>
      </c>
      <c r="K126" s="46">
        <v>63302.0</v>
      </c>
      <c r="L126" s="46" t="s">
        <v>550</v>
      </c>
      <c r="M126" s="47">
        <v>1.0</v>
      </c>
      <c r="N126" s="46" t="s">
        <v>594</v>
      </c>
      <c r="O126" s="13"/>
    </row>
    <row r="127">
      <c r="A127" s="48">
        <v>45581.0</v>
      </c>
      <c r="B127" s="49" t="s">
        <v>595</v>
      </c>
      <c r="C127" s="49">
        <v>8.05011492715E11</v>
      </c>
      <c r="D127" s="49" t="s">
        <v>596</v>
      </c>
      <c r="E127" s="49" t="s">
        <v>597</v>
      </c>
      <c r="F127" s="49" t="s">
        <v>598</v>
      </c>
      <c r="G127" s="49" t="s">
        <v>20</v>
      </c>
      <c r="H127" s="49" t="s">
        <v>20</v>
      </c>
      <c r="I127" s="49">
        <v>4400.0</v>
      </c>
      <c r="J127" s="49" t="s">
        <v>599</v>
      </c>
      <c r="K127" s="49" t="s">
        <v>98</v>
      </c>
      <c r="L127" s="49" t="s">
        <v>99</v>
      </c>
      <c r="M127" s="50">
        <v>1.0</v>
      </c>
      <c r="N127" s="49" t="s">
        <v>600</v>
      </c>
      <c r="O127" s="17"/>
    </row>
    <row r="128" ht="6.0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3"/>
      <c r="N128" s="22"/>
      <c r="O128" s="22"/>
    </row>
    <row r="129">
      <c r="A129" s="51">
        <v>45596.0</v>
      </c>
      <c r="B129" s="32" t="s">
        <v>601</v>
      </c>
      <c r="C129" s="32">
        <v>8.05011493399E11</v>
      </c>
      <c r="D129" s="32" t="s">
        <v>602</v>
      </c>
      <c r="E129" s="32" t="s">
        <v>603</v>
      </c>
      <c r="F129" s="32" t="s">
        <v>604</v>
      </c>
      <c r="G129" s="32" t="s">
        <v>247</v>
      </c>
      <c r="H129" s="32" t="s">
        <v>20</v>
      </c>
      <c r="I129" s="32">
        <v>4400.0</v>
      </c>
      <c r="J129" s="32" t="s">
        <v>605</v>
      </c>
      <c r="K129" s="32" t="s">
        <v>606</v>
      </c>
      <c r="L129" s="32" t="s">
        <v>607</v>
      </c>
      <c r="M129" s="35">
        <v>1.0</v>
      </c>
      <c r="N129" s="32" t="s">
        <v>608</v>
      </c>
      <c r="O129" s="21"/>
    </row>
    <row r="130">
      <c r="A130" s="51">
        <v>45596.0</v>
      </c>
      <c r="B130" s="32" t="s">
        <v>601</v>
      </c>
      <c r="C130" s="32">
        <v>8.05011493399E11</v>
      </c>
      <c r="D130" s="32" t="s">
        <v>602</v>
      </c>
      <c r="E130" s="32" t="s">
        <v>603</v>
      </c>
      <c r="F130" s="32" t="s">
        <v>604</v>
      </c>
      <c r="G130" s="32" t="s">
        <v>247</v>
      </c>
      <c r="H130" s="32" t="s">
        <v>20</v>
      </c>
      <c r="I130" s="32">
        <v>4400.0</v>
      </c>
      <c r="J130" s="32" t="s">
        <v>605</v>
      </c>
      <c r="K130" s="32" t="s">
        <v>609</v>
      </c>
      <c r="L130" s="32" t="s">
        <v>610</v>
      </c>
      <c r="M130" s="35">
        <v>1.0</v>
      </c>
      <c r="N130" s="32" t="s">
        <v>608</v>
      </c>
      <c r="O130" s="36"/>
    </row>
    <row r="131">
      <c r="A131" s="52">
        <v>45596.0</v>
      </c>
      <c r="B131" s="31" t="s">
        <v>611</v>
      </c>
      <c r="C131" s="31">
        <v>8.05011494066E11</v>
      </c>
      <c r="D131" s="31" t="s">
        <v>612</v>
      </c>
      <c r="E131" s="31" t="s">
        <v>613</v>
      </c>
      <c r="F131" s="31" t="s">
        <v>614</v>
      </c>
      <c r="G131" s="31" t="s">
        <v>615</v>
      </c>
      <c r="H131" s="31" t="s">
        <v>20</v>
      </c>
      <c r="I131" s="31">
        <v>4400.0</v>
      </c>
      <c r="J131" s="31" t="s">
        <v>616</v>
      </c>
      <c r="K131" s="31" t="s">
        <v>617</v>
      </c>
      <c r="L131" s="31" t="s">
        <v>618</v>
      </c>
      <c r="M131" s="33">
        <v>1.0</v>
      </c>
      <c r="N131" s="34"/>
      <c r="O131" s="31" t="s">
        <v>619</v>
      </c>
    </row>
    <row r="132">
      <c r="A132" s="52">
        <v>45596.0</v>
      </c>
      <c r="B132" s="31" t="s">
        <v>611</v>
      </c>
      <c r="C132" s="31">
        <v>8.05011494066E11</v>
      </c>
      <c r="D132" s="31" t="s">
        <v>612</v>
      </c>
      <c r="E132" s="31" t="s">
        <v>613</v>
      </c>
      <c r="F132" s="31" t="s">
        <v>614</v>
      </c>
      <c r="G132" s="31" t="s">
        <v>615</v>
      </c>
      <c r="H132" s="31" t="s">
        <v>20</v>
      </c>
      <c r="I132" s="31">
        <v>4400.0</v>
      </c>
      <c r="J132" s="31" t="s">
        <v>616</v>
      </c>
      <c r="K132" s="31" t="s">
        <v>233</v>
      </c>
      <c r="L132" s="31" t="s">
        <v>234</v>
      </c>
      <c r="M132" s="33">
        <v>2.0</v>
      </c>
      <c r="N132" s="34"/>
      <c r="O132" s="31" t="s">
        <v>619</v>
      </c>
    </row>
    <row r="133">
      <c r="A133" s="52">
        <v>45596.0</v>
      </c>
      <c r="B133" s="31" t="s">
        <v>611</v>
      </c>
      <c r="C133" s="31">
        <v>8.05011494066E11</v>
      </c>
      <c r="D133" s="31" t="s">
        <v>612</v>
      </c>
      <c r="E133" s="31" t="s">
        <v>613</v>
      </c>
      <c r="F133" s="31" t="s">
        <v>614</v>
      </c>
      <c r="G133" s="31" t="s">
        <v>615</v>
      </c>
      <c r="H133" s="31" t="s">
        <v>20</v>
      </c>
      <c r="I133" s="31">
        <v>4400.0</v>
      </c>
      <c r="J133" s="31" t="s">
        <v>616</v>
      </c>
      <c r="K133" s="31" t="s">
        <v>512</v>
      </c>
      <c r="L133" s="31" t="s">
        <v>513</v>
      </c>
      <c r="M133" s="33">
        <v>2.0</v>
      </c>
      <c r="N133" s="34"/>
      <c r="O133" s="31" t="s">
        <v>619</v>
      </c>
    </row>
    <row r="134">
      <c r="A134" s="51">
        <v>45596.0</v>
      </c>
      <c r="B134" s="32" t="s">
        <v>620</v>
      </c>
      <c r="C134" s="32">
        <v>8.05011494267E11</v>
      </c>
      <c r="D134" s="32" t="s">
        <v>621</v>
      </c>
      <c r="E134" s="32" t="s">
        <v>622</v>
      </c>
      <c r="F134" s="32" t="s">
        <v>623</v>
      </c>
      <c r="G134" s="32" t="s">
        <v>624</v>
      </c>
      <c r="H134" s="32" t="s">
        <v>20</v>
      </c>
      <c r="I134" s="32">
        <v>4403.0</v>
      </c>
      <c r="J134" s="32" t="s">
        <v>625</v>
      </c>
      <c r="K134" s="32" t="s">
        <v>269</v>
      </c>
      <c r="L134" s="32" t="s">
        <v>270</v>
      </c>
      <c r="M134" s="35">
        <v>1.0</v>
      </c>
      <c r="N134" s="32" t="s">
        <v>626</v>
      </c>
      <c r="O134" s="21"/>
    </row>
    <row r="135">
      <c r="A135" s="51">
        <v>45596.0</v>
      </c>
      <c r="B135" s="32" t="s">
        <v>620</v>
      </c>
      <c r="C135" s="32">
        <v>8.05011494267E11</v>
      </c>
      <c r="D135" s="32" t="s">
        <v>621</v>
      </c>
      <c r="E135" s="32" t="s">
        <v>622</v>
      </c>
      <c r="F135" s="32" t="s">
        <v>623</v>
      </c>
      <c r="G135" s="32" t="s">
        <v>624</v>
      </c>
      <c r="H135" s="32" t="s">
        <v>20</v>
      </c>
      <c r="I135" s="32">
        <v>4403.0</v>
      </c>
      <c r="J135" s="32" t="s">
        <v>625</v>
      </c>
      <c r="K135" s="32" t="s">
        <v>627</v>
      </c>
      <c r="L135" s="32" t="s">
        <v>628</v>
      </c>
      <c r="M135" s="35">
        <v>1.0</v>
      </c>
      <c r="N135" s="32" t="s">
        <v>626</v>
      </c>
      <c r="O135" s="21"/>
    </row>
    <row r="136" ht="10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3"/>
      <c r="N136" s="22"/>
      <c r="O136" s="22"/>
    </row>
    <row r="137">
      <c r="A137" s="53">
        <v>45602.0</v>
      </c>
      <c r="B137" s="54" t="s">
        <v>629</v>
      </c>
      <c r="C137" s="54">
        <v>8.05011495175E11</v>
      </c>
      <c r="D137" s="54" t="s">
        <v>630</v>
      </c>
      <c r="E137" s="54" t="s">
        <v>631</v>
      </c>
      <c r="F137" s="54" t="s">
        <v>632</v>
      </c>
      <c r="G137" s="54" t="s">
        <v>127</v>
      </c>
      <c r="H137" s="54" t="s">
        <v>20</v>
      </c>
      <c r="I137" s="54">
        <v>4400.0</v>
      </c>
      <c r="J137" s="54" t="s">
        <v>633</v>
      </c>
      <c r="K137" s="54" t="s">
        <v>634</v>
      </c>
      <c r="L137" s="54" t="s">
        <v>635</v>
      </c>
      <c r="M137" s="55">
        <v>1.0</v>
      </c>
      <c r="N137" s="54" t="s">
        <v>636</v>
      </c>
      <c r="O137" s="56"/>
    </row>
    <row r="138">
      <c r="A138" s="53">
        <v>45602.0</v>
      </c>
      <c r="B138" s="54" t="s">
        <v>629</v>
      </c>
      <c r="C138" s="54">
        <v>8.05011495175E11</v>
      </c>
      <c r="D138" s="54" t="s">
        <v>630</v>
      </c>
      <c r="E138" s="54" t="s">
        <v>631</v>
      </c>
      <c r="F138" s="54" t="s">
        <v>632</v>
      </c>
      <c r="G138" s="54" t="s">
        <v>127</v>
      </c>
      <c r="H138" s="54" t="s">
        <v>20</v>
      </c>
      <c r="I138" s="54">
        <v>4400.0</v>
      </c>
      <c r="J138" s="54" t="s">
        <v>633</v>
      </c>
      <c r="K138" s="54" t="s">
        <v>609</v>
      </c>
      <c r="L138" s="54" t="s">
        <v>610</v>
      </c>
      <c r="M138" s="55">
        <v>1.0</v>
      </c>
      <c r="N138" s="54" t="s">
        <v>636</v>
      </c>
      <c r="O138" s="56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3"/>
      <c r="N139" s="22"/>
      <c r="O139" s="22"/>
    </row>
    <row r="140">
      <c r="A140" s="51">
        <v>45609.0</v>
      </c>
      <c r="B140" s="32" t="s">
        <v>637</v>
      </c>
      <c r="C140" s="32">
        <v>8.05011495737E11</v>
      </c>
      <c r="D140" s="32" t="s">
        <v>638</v>
      </c>
      <c r="E140" s="32" t="s">
        <v>639</v>
      </c>
      <c r="F140" s="32" t="s">
        <v>640</v>
      </c>
      <c r="G140" s="32" t="s">
        <v>641</v>
      </c>
      <c r="H140" s="32" t="s">
        <v>20</v>
      </c>
      <c r="I140" s="32">
        <v>4400.0</v>
      </c>
      <c r="J140" s="32" t="s">
        <v>642</v>
      </c>
      <c r="K140" s="32" t="s">
        <v>262</v>
      </c>
      <c r="L140" s="32" t="s">
        <v>263</v>
      </c>
      <c r="M140" s="35">
        <v>1.0</v>
      </c>
      <c r="N140" s="32" t="s">
        <v>643</v>
      </c>
      <c r="O140" s="32" t="s">
        <v>644</v>
      </c>
    </row>
    <row r="141">
      <c r="A141" s="51">
        <v>45609.0</v>
      </c>
      <c r="B141" s="32" t="s">
        <v>637</v>
      </c>
      <c r="C141" s="32">
        <v>8.05011495737E11</v>
      </c>
      <c r="D141" s="32" t="s">
        <v>638</v>
      </c>
      <c r="E141" s="32" t="s">
        <v>639</v>
      </c>
      <c r="F141" s="32" t="s">
        <v>640</v>
      </c>
      <c r="G141" s="32" t="s">
        <v>641</v>
      </c>
      <c r="H141" s="32" t="s">
        <v>20</v>
      </c>
      <c r="I141" s="32">
        <v>4400.0</v>
      </c>
      <c r="J141" s="32" t="s">
        <v>642</v>
      </c>
      <c r="K141" s="32" t="s">
        <v>512</v>
      </c>
      <c r="L141" s="32" t="s">
        <v>513</v>
      </c>
      <c r="M141" s="35">
        <v>2.0</v>
      </c>
      <c r="N141" s="32" t="s">
        <v>643</v>
      </c>
      <c r="O141" s="32" t="s">
        <v>644</v>
      </c>
    </row>
    <row r="142">
      <c r="A142" s="51">
        <v>45609.0</v>
      </c>
      <c r="B142" s="32" t="s">
        <v>637</v>
      </c>
      <c r="C142" s="32">
        <v>8.05011495737E11</v>
      </c>
      <c r="D142" s="32" t="s">
        <v>638</v>
      </c>
      <c r="E142" s="32" t="s">
        <v>639</v>
      </c>
      <c r="F142" s="32" t="s">
        <v>640</v>
      </c>
      <c r="G142" s="32" t="s">
        <v>641</v>
      </c>
      <c r="H142" s="32" t="s">
        <v>20</v>
      </c>
      <c r="I142" s="32">
        <v>4400.0</v>
      </c>
      <c r="J142" s="32" t="s">
        <v>642</v>
      </c>
      <c r="K142" s="32" t="s">
        <v>645</v>
      </c>
      <c r="L142" s="32" t="s">
        <v>646</v>
      </c>
      <c r="M142" s="35">
        <v>2.0</v>
      </c>
      <c r="N142" s="32" t="s">
        <v>643</v>
      </c>
      <c r="O142" s="32" t="s">
        <v>644</v>
      </c>
    </row>
    <row r="143">
      <c r="A143" s="52">
        <v>45609.0</v>
      </c>
      <c r="B143" s="31" t="s">
        <v>647</v>
      </c>
      <c r="C143" s="31">
        <v>8.05011495488E11</v>
      </c>
      <c r="D143" s="31" t="s">
        <v>648</v>
      </c>
      <c r="E143" s="31" t="s">
        <v>649</v>
      </c>
      <c r="F143" s="31" t="s">
        <v>650</v>
      </c>
      <c r="G143" s="31" t="s">
        <v>20</v>
      </c>
      <c r="H143" s="31" t="s">
        <v>20</v>
      </c>
      <c r="I143" s="31">
        <v>4400.0</v>
      </c>
      <c r="J143" s="31" t="s">
        <v>651</v>
      </c>
      <c r="K143" s="31" t="s">
        <v>35</v>
      </c>
      <c r="L143" s="31" t="s">
        <v>36</v>
      </c>
      <c r="M143" s="33">
        <v>1.0</v>
      </c>
      <c r="N143" s="31" t="s">
        <v>652</v>
      </c>
      <c r="O143" s="34"/>
    </row>
    <row r="144">
      <c r="A144" s="52">
        <v>45609.0</v>
      </c>
      <c r="B144" s="31" t="s">
        <v>647</v>
      </c>
      <c r="C144" s="31">
        <v>8.05011495488E11</v>
      </c>
      <c r="D144" s="31" t="s">
        <v>648</v>
      </c>
      <c r="E144" s="31" t="s">
        <v>649</v>
      </c>
      <c r="F144" s="31" t="s">
        <v>650</v>
      </c>
      <c r="G144" s="31" t="s">
        <v>20</v>
      </c>
      <c r="H144" s="31" t="s">
        <v>20</v>
      </c>
      <c r="I144" s="31">
        <v>4400.0</v>
      </c>
      <c r="J144" s="31" t="s">
        <v>651</v>
      </c>
      <c r="K144" s="31" t="s">
        <v>512</v>
      </c>
      <c r="L144" s="31" t="s">
        <v>513</v>
      </c>
      <c r="M144" s="33">
        <v>1.0</v>
      </c>
      <c r="N144" s="31" t="s">
        <v>652</v>
      </c>
      <c r="O144" s="34"/>
    </row>
    <row r="145">
      <c r="A145" s="52">
        <v>45609.0</v>
      </c>
      <c r="B145" s="31" t="s">
        <v>647</v>
      </c>
      <c r="C145" s="31">
        <v>8.05011495488E11</v>
      </c>
      <c r="D145" s="31" t="s">
        <v>648</v>
      </c>
      <c r="E145" s="31" t="s">
        <v>649</v>
      </c>
      <c r="F145" s="31" t="s">
        <v>650</v>
      </c>
      <c r="G145" s="31" t="s">
        <v>20</v>
      </c>
      <c r="H145" s="31" t="s">
        <v>20</v>
      </c>
      <c r="I145" s="31">
        <v>4400.0</v>
      </c>
      <c r="J145" s="31" t="s">
        <v>651</v>
      </c>
      <c r="K145" s="31" t="s">
        <v>32</v>
      </c>
      <c r="L145" s="31" t="s">
        <v>33</v>
      </c>
      <c r="M145" s="33">
        <v>1.0</v>
      </c>
      <c r="N145" s="31" t="s">
        <v>652</v>
      </c>
      <c r="O145" s="34"/>
    </row>
    <row r="146">
      <c r="A146" s="51">
        <v>45609.0</v>
      </c>
      <c r="B146" s="32" t="s">
        <v>653</v>
      </c>
      <c r="C146" s="32">
        <v>8.07025028007E11</v>
      </c>
      <c r="D146" s="32" t="s">
        <v>654</v>
      </c>
      <c r="E146" s="32" t="s">
        <v>655</v>
      </c>
      <c r="F146" s="32" t="s">
        <v>656</v>
      </c>
      <c r="G146" s="32" t="s">
        <v>657</v>
      </c>
      <c r="H146" s="32" t="s">
        <v>20</v>
      </c>
      <c r="I146" s="32">
        <v>4560.0</v>
      </c>
      <c r="J146" s="32" t="s">
        <v>658</v>
      </c>
      <c r="K146" s="32" t="s">
        <v>659</v>
      </c>
      <c r="L146" s="32" t="s">
        <v>660</v>
      </c>
      <c r="M146" s="35">
        <v>1.0</v>
      </c>
      <c r="N146" s="32" t="s">
        <v>661</v>
      </c>
      <c r="O146" s="32" t="s">
        <v>662</v>
      </c>
    </row>
    <row r="147">
      <c r="A147" s="51">
        <v>45609.0</v>
      </c>
      <c r="B147" s="32" t="s">
        <v>653</v>
      </c>
      <c r="C147" s="32">
        <v>8.07025028007E11</v>
      </c>
      <c r="D147" s="32" t="s">
        <v>654</v>
      </c>
      <c r="E147" s="32" t="s">
        <v>655</v>
      </c>
      <c r="F147" s="32" t="s">
        <v>656</v>
      </c>
      <c r="G147" s="32" t="s">
        <v>657</v>
      </c>
      <c r="H147" s="32" t="s">
        <v>20</v>
      </c>
      <c r="I147" s="32">
        <v>4560.0</v>
      </c>
      <c r="J147" s="32" t="s">
        <v>658</v>
      </c>
      <c r="K147" s="32" t="s">
        <v>512</v>
      </c>
      <c r="L147" s="32" t="s">
        <v>513</v>
      </c>
      <c r="M147" s="35">
        <v>1.0</v>
      </c>
      <c r="N147" s="32" t="s">
        <v>661</v>
      </c>
      <c r="O147" s="32" t="s">
        <v>662</v>
      </c>
    </row>
    <row r="148">
      <c r="A148" s="51">
        <v>45609.0</v>
      </c>
      <c r="B148" s="32" t="s">
        <v>653</v>
      </c>
      <c r="C148" s="32">
        <v>8.07025028007E11</v>
      </c>
      <c r="D148" s="32" t="s">
        <v>654</v>
      </c>
      <c r="E148" s="32" t="s">
        <v>655</v>
      </c>
      <c r="F148" s="32" t="s">
        <v>656</v>
      </c>
      <c r="G148" s="32" t="s">
        <v>657</v>
      </c>
      <c r="H148" s="32" t="s">
        <v>20</v>
      </c>
      <c r="I148" s="32">
        <v>4560.0</v>
      </c>
      <c r="J148" s="32" t="s">
        <v>658</v>
      </c>
      <c r="K148" s="32" t="s">
        <v>35</v>
      </c>
      <c r="L148" s="32" t="s">
        <v>36</v>
      </c>
      <c r="M148" s="35">
        <v>1.0</v>
      </c>
      <c r="N148" s="32" t="s">
        <v>661</v>
      </c>
      <c r="O148" s="32" t="s">
        <v>662</v>
      </c>
    </row>
    <row r="149">
      <c r="A149" s="52">
        <v>45609.0</v>
      </c>
      <c r="B149" s="31" t="s">
        <v>663</v>
      </c>
      <c r="C149" s="31">
        <v>8.0702502801E11</v>
      </c>
      <c r="D149" s="31" t="s">
        <v>664</v>
      </c>
      <c r="E149" s="31" t="s">
        <v>665</v>
      </c>
      <c r="F149" s="31" t="s">
        <v>666</v>
      </c>
      <c r="G149" s="31" t="s">
        <v>116</v>
      </c>
      <c r="H149" s="31" t="s">
        <v>20</v>
      </c>
      <c r="I149" s="31">
        <v>4400.0</v>
      </c>
      <c r="J149" s="31" t="s">
        <v>667</v>
      </c>
      <c r="K149" s="31" t="s">
        <v>32</v>
      </c>
      <c r="L149" s="31" t="s">
        <v>33</v>
      </c>
      <c r="M149" s="33">
        <v>1.0</v>
      </c>
      <c r="N149" s="31" t="s">
        <v>668</v>
      </c>
      <c r="O149" s="31" t="s">
        <v>669</v>
      </c>
    </row>
    <row r="150">
      <c r="A150" s="52">
        <v>45609.0</v>
      </c>
      <c r="B150" s="31" t="s">
        <v>663</v>
      </c>
      <c r="C150" s="31">
        <v>8.0702502801E11</v>
      </c>
      <c r="D150" s="31" t="s">
        <v>664</v>
      </c>
      <c r="E150" s="31" t="s">
        <v>665</v>
      </c>
      <c r="F150" s="31" t="s">
        <v>666</v>
      </c>
      <c r="G150" s="31" t="s">
        <v>116</v>
      </c>
      <c r="H150" s="31" t="s">
        <v>20</v>
      </c>
      <c r="I150" s="31">
        <v>4400.0</v>
      </c>
      <c r="J150" s="31" t="s">
        <v>667</v>
      </c>
      <c r="K150" s="31" t="s">
        <v>512</v>
      </c>
      <c r="L150" s="31" t="s">
        <v>513</v>
      </c>
      <c r="M150" s="33">
        <v>1.0</v>
      </c>
      <c r="N150" s="31" t="s">
        <v>668</v>
      </c>
      <c r="O150" s="31" t="s">
        <v>669</v>
      </c>
    </row>
    <row r="151">
      <c r="A151" s="52">
        <v>45609.0</v>
      </c>
      <c r="B151" s="31" t="s">
        <v>663</v>
      </c>
      <c r="C151" s="31">
        <v>8.0702502801E11</v>
      </c>
      <c r="D151" s="31" t="s">
        <v>664</v>
      </c>
      <c r="E151" s="31" t="s">
        <v>665</v>
      </c>
      <c r="F151" s="31" t="s">
        <v>666</v>
      </c>
      <c r="G151" s="31" t="s">
        <v>116</v>
      </c>
      <c r="H151" s="31" t="s">
        <v>20</v>
      </c>
      <c r="I151" s="31">
        <v>4400.0</v>
      </c>
      <c r="J151" s="31" t="s">
        <v>667</v>
      </c>
      <c r="K151" s="31" t="s">
        <v>670</v>
      </c>
      <c r="L151" s="31" t="s">
        <v>671</v>
      </c>
      <c r="M151" s="33">
        <v>1.0</v>
      </c>
      <c r="N151" s="31" t="s">
        <v>668</v>
      </c>
      <c r="O151" s="31" t="s">
        <v>669</v>
      </c>
    </row>
    <row r="152">
      <c r="A152" s="51">
        <v>45609.0</v>
      </c>
      <c r="B152" s="32" t="s">
        <v>672</v>
      </c>
      <c r="C152" s="32">
        <v>8.07025028012E11</v>
      </c>
      <c r="D152" s="32" t="s">
        <v>673</v>
      </c>
      <c r="E152" s="32" t="s">
        <v>674</v>
      </c>
      <c r="F152" s="32" t="s">
        <v>675</v>
      </c>
      <c r="G152" s="32" t="s">
        <v>127</v>
      </c>
      <c r="H152" s="32" t="s">
        <v>20</v>
      </c>
      <c r="I152" s="32">
        <v>4400.0</v>
      </c>
      <c r="J152" s="32" t="s">
        <v>676</v>
      </c>
      <c r="K152" s="32" t="s">
        <v>677</v>
      </c>
      <c r="L152" s="32" t="s">
        <v>678</v>
      </c>
      <c r="M152" s="35">
        <v>1.0</v>
      </c>
      <c r="N152" s="32" t="s">
        <v>679</v>
      </c>
      <c r="O152" s="32" t="s">
        <v>680</v>
      </c>
    </row>
    <row r="153">
      <c r="A153" s="52">
        <v>45609.0</v>
      </c>
      <c r="B153" s="31" t="s">
        <v>681</v>
      </c>
      <c r="C153" s="31">
        <v>8.05011497066E11</v>
      </c>
      <c r="D153" s="31" t="s">
        <v>682</v>
      </c>
      <c r="E153" s="31" t="s">
        <v>683</v>
      </c>
      <c r="F153" s="31" t="s">
        <v>684</v>
      </c>
      <c r="G153" s="31" t="s">
        <v>20</v>
      </c>
      <c r="H153" s="31" t="s">
        <v>20</v>
      </c>
      <c r="I153" s="31">
        <v>4400.0</v>
      </c>
      <c r="J153" s="31" t="s">
        <v>685</v>
      </c>
      <c r="K153" s="31" t="s">
        <v>32</v>
      </c>
      <c r="L153" s="31" t="s">
        <v>33</v>
      </c>
      <c r="M153" s="33">
        <v>1.0</v>
      </c>
      <c r="N153" s="31" t="s">
        <v>686</v>
      </c>
      <c r="O153" s="34"/>
    </row>
    <row r="154">
      <c r="A154" s="52">
        <v>45609.0</v>
      </c>
      <c r="B154" s="31" t="s">
        <v>681</v>
      </c>
      <c r="C154" s="31">
        <v>8.05011497066E11</v>
      </c>
      <c r="D154" s="31" t="s">
        <v>682</v>
      </c>
      <c r="E154" s="31" t="s">
        <v>683</v>
      </c>
      <c r="F154" s="31" t="s">
        <v>684</v>
      </c>
      <c r="G154" s="31" t="s">
        <v>20</v>
      </c>
      <c r="H154" s="31" t="s">
        <v>20</v>
      </c>
      <c r="I154" s="31">
        <v>4400.0</v>
      </c>
      <c r="J154" s="31" t="s">
        <v>685</v>
      </c>
      <c r="K154" s="31" t="s">
        <v>512</v>
      </c>
      <c r="L154" s="31" t="s">
        <v>513</v>
      </c>
      <c r="M154" s="33">
        <v>1.0</v>
      </c>
      <c r="N154" s="31" t="s">
        <v>686</v>
      </c>
      <c r="O154" s="34"/>
    </row>
    <row r="155">
      <c r="A155" s="52">
        <v>45609.0</v>
      </c>
      <c r="B155" s="31" t="s">
        <v>681</v>
      </c>
      <c r="C155" s="31">
        <v>8.05011497066E11</v>
      </c>
      <c r="D155" s="31" t="s">
        <v>682</v>
      </c>
      <c r="E155" s="31" t="s">
        <v>683</v>
      </c>
      <c r="F155" s="31" t="s">
        <v>684</v>
      </c>
      <c r="G155" s="31" t="s">
        <v>20</v>
      </c>
      <c r="H155" s="31" t="s">
        <v>20</v>
      </c>
      <c r="I155" s="31">
        <v>4400.0</v>
      </c>
      <c r="J155" s="31" t="s">
        <v>685</v>
      </c>
      <c r="K155" s="31" t="s">
        <v>670</v>
      </c>
      <c r="L155" s="31" t="s">
        <v>671</v>
      </c>
      <c r="M155" s="33">
        <v>1.0</v>
      </c>
      <c r="N155" s="31" t="s">
        <v>686</v>
      </c>
      <c r="O155" s="34"/>
    </row>
    <row r="156">
      <c r="A156" s="51">
        <v>45609.0</v>
      </c>
      <c r="B156" s="32" t="s">
        <v>687</v>
      </c>
      <c r="C156" s="32">
        <v>8.05011496672E11</v>
      </c>
      <c r="D156" s="32" t="s">
        <v>688</v>
      </c>
      <c r="E156" s="32" t="s">
        <v>689</v>
      </c>
      <c r="F156" s="32" t="s">
        <v>690</v>
      </c>
      <c r="G156" s="32" t="s">
        <v>592</v>
      </c>
      <c r="H156" s="32" t="s">
        <v>20</v>
      </c>
      <c r="I156" s="32">
        <v>4417.0</v>
      </c>
      <c r="J156" s="32" t="s">
        <v>691</v>
      </c>
      <c r="K156" s="32" t="s">
        <v>512</v>
      </c>
      <c r="L156" s="32" t="s">
        <v>513</v>
      </c>
      <c r="M156" s="35">
        <v>1.0</v>
      </c>
      <c r="N156" s="32" t="s">
        <v>692</v>
      </c>
      <c r="O156" s="36"/>
    </row>
    <row r="157">
      <c r="A157" s="51">
        <v>45609.0</v>
      </c>
      <c r="B157" s="32" t="s">
        <v>687</v>
      </c>
      <c r="C157" s="32">
        <v>8.05011496672E11</v>
      </c>
      <c r="D157" s="32" t="s">
        <v>688</v>
      </c>
      <c r="E157" s="32" t="s">
        <v>689</v>
      </c>
      <c r="F157" s="32" t="s">
        <v>690</v>
      </c>
      <c r="G157" s="32" t="s">
        <v>592</v>
      </c>
      <c r="H157" s="32" t="s">
        <v>20</v>
      </c>
      <c r="I157" s="32">
        <v>4417.0</v>
      </c>
      <c r="J157" s="32" t="s">
        <v>691</v>
      </c>
      <c r="K157" s="32" t="s">
        <v>35</v>
      </c>
      <c r="L157" s="32" t="s">
        <v>36</v>
      </c>
      <c r="M157" s="35">
        <v>1.0</v>
      </c>
      <c r="N157" s="32" t="s">
        <v>692</v>
      </c>
      <c r="O157" s="36"/>
    </row>
    <row r="158">
      <c r="A158" s="51">
        <v>45609.0</v>
      </c>
      <c r="B158" s="32" t="s">
        <v>687</v>
      </c>
      <c r="C158" s="32">
        <v>8.05011496672E11</v>
      </c>
      <c r="D158" s="32" t="s">
        <v>688</v>
      </c>
      <c r="E158" s="32" t="s">
        <v>689</v>
      </c>
      <c r="F158" s="32" t="s">
        <v>690</v>
      </c>
      <c r="G158" s="32" t="s">
        <v>592</v>
      </c>
      <c r="H158" s="32" t="s">
        <v>20</v>
      </c>
      <c r="I158" s="32">
        <v>4417.0</v>
      </c>
      <c r="J158" s="32" t="s">
        <v>691</v>
      </c>
      <c r="K158" s="32" t="s">
        <v>32</v>
      </c>
      <c r="L158" s="32" t="s">
        <v>33</v>
      </c>
      <c r="M158" s="35">
        <v>1.0</v>
      </c>
      <c r="N158" s="32" t="s">
        <v>692</v>
      </c>
      <c r="O158" s="36"/>
    </row>
    <row r="159">
      <c r="A159" s="52">
        <v>45609.0</v>
      </c>
      <c r="B159" s="31" t="s">
        <v>693</v>
      </c>
      <c r="C159" s="31">
        <v>8.05011496703E11</v>
      </c>
      <c r="D159" s="31" t="s">
        <v>694</v>
      </c>
      <c r="E159" s="31" t="s">
        <v>695</v>
      </c>
      <c r="F159" s="31" t="s">
        <v>696</v>
      </c>
      <c r="G159" s="31" t="s">
        <v>20</v>
      </c>
      <c r="H159" s="31" t="s">
        <v>20</v>
      </c>
      <c r="I159" s="31">
        <v>4400.0</v>
      </c>
      <c r="J159" s="31" t="s">
        <v>697</v>
      </c>
      <c r="K159" s="31" t="s">
        <v>698</v>
      </c>
      <c r="L159" s="31" t="s">
        <v>699</v>
      </c>
      <c r="M159" s="33">
        <v>1.0</v>
      </c>
      <c r="N159" s="31" t="s">
        <v>700</v>
      </c>
      <c r="O159" s="34"/>
    </row>
    <row r="160">
      <c r="A160" s="52">
        <v>45609.0</v>
      </c>
      <c r="B160" s="31" t="s">
        <v>693</v>
      </c>
      <c r="C160" s="31">
        <v>8.05011496703E11</v>
      </c>
      <c r="D160" s="31" t="s">
        <v>694</v>
      </c>
      <c r="E160" s="31" t="s">
        <v>695</v>
      </c>
      <c r="F160" s="31" t="s">
        <v>696</v>
      </c>
      <c r="G160" s="31" t="s">
        <v>20</v>
      </c>
      <c r="H160" s="31" t="s">
        <v>20</v>
      </c>
      <c r="I160" s="31">
        <v>4400.0</v>
      </c>
      <c r="J160" s="31" t="s">
        <v>697</v>
      </c>
      <c r="K160" s="31" t="s">
        <v>701</v>
      </c>
      <c r="L160" s="31" t="s">
        <v>702</v>
      </c>
      <c r="M160" s="33">
        <v>1.0</v>
      </c>
      <c r="N160" s="31" t="s">
        <v>700</v>
      </c>
      <c r="O160" s="34"/>
    </row>
    <row r="161">
      <c r="A161" s="51">
        <v>45609.0</v>
      </c>
      <c r="B161" s="32" t="s">
        <v>703</v>
      </c>
      <c r="C161" s="32">
        <v>8.05011496605E11</v>
      </c>
      <c r="D161" s="32" t="s">
        <v>704</v>
      </c>
      <c r="E161" s="32" t="s">
        <v>705</v>
      </c>
      <c r="F161" s="32" t="s">
        <v>706</v>
      </c>
      <c r="G161" s="32" t="s">
        <v>41</v>
      </c>
      <c r="H161" s="32" t="s">
        <v>20</v>
      </c>
      <c r="I161" s="32">
        <v>4560.0</v>
      </c>
      <c r="J161" s="32" t="s">
        <v>707</v>
      </c>
      <c r="K161" s="32" t="s">
        <v>98</v>
      </c>
      <c r="L161" s="32" t="s">
        <v>99</v>
      </c>
      <c r="M161" s="35">
        <v>1.0</v>
      </c>
      <c r="N161" s="32" t="s">
        <v>708</v>
      </c>
      <c r="O161" s="36"/>
    </row>
    <row r="162">
      <c r="A162" s="51">
        <v>45609.0</v>
      </c>
      <c r="B162" s="32" t="s">
        <v>703</v>
      </c>
      <c r="C162" s="32">
        <v>8.05011496605E11</v>
      </c>
      <c r="D162" s="32" t="s">
        <v>704</v>
      </c>
      <c r="E162" s="32" t="s">
        <v>705</v>
      </c>
      <c r="F162" s="32" t="s">
        <v>706</v>
      </c>
      <c r="G162" s="32" t="s">
        <v>41</v>
      </c>
      <c r="H162" s="32" t="s">
        <v>20</v>
      </c>
      <c r="I162" s="32">
        <v>4560.0</v>
      </c>
      <c r="J162" s="32" t="s">
        <v>707</v>
      </c>
      <c r="K162" s="32" t="s">
        <v>512</v>
      </c>
      <c r="L162" s="32" t="s">
        <v>513</v>
      </c>
      <c r="M162" s="35">
        <v>1.0</v>
      </c>
      <c r="N162" s="32" t="s">
        <v>708</v>
      </c>
      <c r="O162" s="36"/>
    </row>
    <row r="163">
      <c r="A163" s="51">
        <v>45609.0</v>
      </c>
      <c r="B163" s="32" t="s">
        <v>703</v>
      </c>
      <c r="C163" s="32">
        <v>8.05011496605E11</v>
      </c>
      <c r="D163" s="32" t="s">
        <v>704</v>
      </c>
      <c r="E163" s="32" t="s">
        <v>705</v>
      </c>
      <c r="F163" s="32" t="s">
        <v>706</v>
      </c>
      <c r="G163" s="32" t="s">
        <v>41</v>
      </c>
      <c r="H163" s="32" t="s">
        <v>20</v>
      </c>
      <c r="I163" s="32">
        <v>4560.0</v>
      </c>
      <c r="J163" s="32" t="s">
        <v>707</v>
      </c>
      <c r="K163" s="32" t="s">
        <v>670</v>
      </c>
      <c r="L163" s="32" t="s">
        <v>671</v>
      </c>
      <c r="M163" s="35">
        <v>1.0</v>
      </c>
      <c r="N163" s="32" t="s">
        <v>708</v>
      </c>
      <c r="O163" s="36"/>
    </row>
    <row r="164">
      <c r="A164" s="52">
        <v>45609.0</v>
      </c>
      <c r="B164" s="31" t="s">
        <v>709</v>
      </c>
      <c r="C164" s="31">
        <v>8.05011496077E11</v>
      </c>
      <c r="D164" s="31" t="s">
        <v>710</v>
      </c>
      <c r="E164" s="31" t="s">
        <v>711</v>
      </c>
      <c r="F164" s="31" t="s">
        <v>712</v>
      </c>
      <c r="G164" s="31" t="s">
        <v>20</v>
      </c>
      <c r="H164" s="31" t="s">
        <v>20</v>
      </c>
      <c r="I164" s="31">
        <v>4400.0</v>
      </c>
      <c r="J164" s="31" t="s">
        <v>713</v>
      </c>
      <c r="K164" s="31" t="s">
        <v>714</v>
      </c>
      <c r="L164" s="31" t="s">
        <v>715</v>
      </c>
      <c r="M164" s="33">
        <v>1.0</v>
      </c>
      <c r="N164" s="31" t="s">
        <v>716</v>
      </c>
      <c r="O164" s="34"/>
    </row>
    <row r="165">
      <c r="A165" s="51">
        <v>45609.0</v>
      </c>
      <c r="B165" s="32" t="s">
        <v>717</v>
      </c>
      <c r="C165" s="32">
        <v>8.05011497328E11</v>
      </c>
      <c r="D165" s="32" t="s">
        <v>718</v>
      </c>
      <c r="E165" s="32" t="s">
        <v>719</v>
      </c>
      <c r="F165" s="32" t="s">
        <v>720</v>
      </c>
      <c r="G165" s="32" t="s">
        <v>721</v>
      </c>
      <c r="H165" s="32" t="s">
        <v>20</v>
      </c>
      <c r="I165" s="32">
        <v>4562.0</v>
      </c>
      <c r="J165" s="32" t="s">
        <v>722</v>
      </c>
      <c r="K165" s="32" t="s">
        <v>723</v>
      </c>
      <c r="L165" s="32" t="s">
        <v>724</v>
      </c>
      <c r="M165" s="35">
        <v>1.0</v>
      </c>
      <c r="N165" s="32" t="s">
        <v>725</v>
      </c>
      <c r="O165" s="32" t="s">
        <v>726</v>
      </c>
    </row>
    <row r="166">
      <c r="A166" s="51">
        <v>45609.0</v>
      </c>
      <c r="B166" s="32" t="s">
        <v>717</v>
      </c>
      <c r="C166" s="32">
        <v>8.05011497328E11</v>
      </c>
      <c r="D166" s="32" t="s">
        <v>718</v>
      </c>
      <c r="E166" s="32" t="s">
        <v>719</v>
      </c>
      <c r="F166" s="32" t="s">
        <v>720</v>
      </c>
      <c r="G166" s="32" t="s">
        <v>721</v>
      </c>
      <c r="H166" s="32" t="s">
        <v>20</v>
      </c>
      <c r="I166" s="32">
        <v>4562.0</v>
      </c>
      <c r="J166" s="32" t="s">
        <v>722</v>
      </c>
      <c r="K166" s="32" t="s">
        <v>512</v>
      </c>
      <c r="L166" s="32" t="s">
        <v>513</v>
      </c>
      <c r="M166" s="35">
        <v>2.0</v>
      </c>
      <c r="N166" s="32" t="s">
        <v>725</v>
      </c>
      <c r="O166" s="32" t="s">
        <v>726</v>
      </c>
    </row>
    <row r="167">
      <c r="A167" s="51">
        <v>45609.0</v>
      </c>
      <c r="B167" s="32" t="s">
        <v>717</v>
      </c>
      <c r="C167" s="32">
        <v>8.05011497328E11</v>
      </c>
      <c r="D167" s="32" t="s">
        <v>718</v>
      </c>
      <c r="E167" s="32" t="s">
        <v>719</v>
      </c>
      <c r="F167" s="32" t="s">
        <v>720</v>
      </c>
      <c r="G167" s="32" t="s">
        <v>721</v>
      </c>
      <c r="H167" s="32" t="s">
        <v>20</v>
      </c>
      <c r="I167" s="32">
        <v>4562.0</v>
      </c>
      <c r="J167" s="32" t="s">
        <v>722</v>
      </c>
      <c r="K167" s="32" t="s">
        <v>727</v>
      </c>
      <c r="L167" s="32" t="s">
        <v>728</v>
      </c>
      <c r="M167" s="35">
        <v>2.0</v>
      </c>
      <c r="N167" s="32" t="s">
        <v>725</v>
      </c>
      <c r="O167" s="32" t="s">
        <v>726</v>
      </c>
    </row>
    <row r="168">
      <c r="A168" s="52">
        <v>45609.0</v>
      </c>
      <c r="B168" s="31" t="s">
        <v>729</v>
      </c>
      <c r="C168" s="31">
        <v>8.05011497056E11</v>
      </c>
      <c r="D168" s="31" t="s">
        <v>730</v>
      </c>
      <c r="E168" s="31" t="s">
        <v>731</v>
      </c>
      <c r="F168" s="31" t="s">
        <v>732</v>
      </c>
      <c r="G168" s="31" t="s">
        <v>20</v>
      </c>
      <c r="H168" s="31" t="s">
        <v>20</v>
      </c>
      <c r="I168" s="31">
        <v>4400.0</v>
      </c>
      <c r="J168" s="31" t="s">
        <v>733</v>
      </c>
      <c r="K168" s="31" t="s">
        <v>196</v>
      </c>
      <c r="L168" s="31" t="s">
        <v>197</v>
      </c>
      <c r="M168" s="33">
        <v>1.0</v>
      </c>
      <c r="N168" s="31" t="s">
        <v>734</v>
      </c>
      <c r="O168" s="34"/>
    </row>
    <row r="169">
      <c r="A169" s="52">
        <v>45609.0</v>
      </c>
      <c r="B169" s="31" t="s">
        <v>729</v>
      </c>
      <c r="C169" s="31">
        <v>8.05011497056E11</v>
      </c>
      <c r="D169" s="31" t="s">
        <v>730</v>
      </c>
      <c r="E169" s="31" t="s">
        <v>731</v>
      </c>
      <c r="F169" s="31" t="s">
        <v>732</v>
      </c>
      <c r="G169" s="31" t="s">
        <v>20</v>
      </c>
      <c r="H169" s="31" t="s">
        <v>20</v>
      </c>
      <c r="I169" s="31">
        <v>4400.0</v>
      </c>
      <c r="J169" s="31" t="s">
        <v>733</v>
      </c>
      <c r="K169" s="31" t="s">
        <v>512</v>
      </c>
      <c r="L169" s="31" t="s">
        <v>513</v>
      </c>
      <c r="M169" s="33">
        <v>2.0</v>
      </c>
      <c r="N169" s="31" t="s">
        <v>734</v>
      </c>
      <c r="O169" s="34"/>
    </row>
    <row r="170">
      <c r="A170" s="52">
        <v>45609.0</v>
      </c>
      <c r="B170" s="31" t="s">
        <v>729</v>
      </c>
      <c r="C170" s="31">
        <v>8.05011497056E11</v>
      </c>
      <c r="D170" s="31" t="s">
        <v>730</v>
      </c>
      <c r="E170" s="31" t="s">
        <v>731</v>
      </c>
      <c r="F170" s="31" t="s">
        <v>732</v>
      </c>
      <c r="G170" s="31" t="s">
        <v>20</v>
      </c>
      <c r="H170" s="31" t="s">
        <v>20</v>
      </c>
      <c r="I170" s="31">
        <v>4400.0</v>
      </c>
      <c r="J170" s="31" t="s">
        <v>733</v>
      </c>
      <c r="K170" s="31" t="s">
        <v>381</v>
      </c>
      <c r="L170" s="31" t="s">
        <v>382</v>
      </c>
      <c r="M170" s="33">
        <v>2.0</v>
      </c>
      <c r="N170" s="31" t="s">
        <v>734</v>
      </c>
      <c r="O170" s="34"/>
    </row>
    <row r="171">
      <c r="A171" s="51">
        <v>45609.0</v>
      </c>
      <c r="B171" s="32" t="s">
        <v>735</v>
      </c>
      <c r="C171" s="32">
        <v>8.05011496772E11</v>
      </c>
      <c r="D171" s="32" t="s">
        <v>736</v>
      </c>
      <c r="E171" s="32" t="s">
        <v>737</v>
      </c>
      <c r="F171" s="32" t="s">
        <v>738</v>
      </c>
      <c r="G171" s="32" t="s">
        <v>739</v>
      </c>
      <c r="H171" s="32" t="s">
        <v>20</v>
      </c>
      <c r="I171" s="32">
        <v>4424.0</v>
      </c>
      <c r="J171" s="32" t="s">
        <v>740</v>
      </c>
      <c r="K171" s="32" t="s">
        <v>741</v>
      </c>
      <c r="L171" s="32" t="s">
        <v>742</v>
      </c>
      <c r="M171" s="35">
        <v>1.0</v>
      </c>
      <c r="N171" s="32" t="s">
        <v>743</v>
      </c>
      <c r="O171" s="36"/>
    </row>
    <row r="172">
      <c r="A172" s="51">
        <v>45609.0</v>
      </c>
      <c r="B172" s="32" t="s">
        <v>735</v>
      </c>
      <c r="C172" s="32">
        <v>8.05011496772E11</v>
      </c>
      <c r="D172" s="32" t="s">
        <v>736</v>
      </c>
      <c r="E172" s="32" t="s">
        <v>737</v>
      </c>
      <c r="F172" s="32" t="s">
        <v>738</v>
      </c>
      <c r="G172" s="32" t="s">
        <v>739</v>
      </c>
      <c r="H172" s="32" t="s">
        <v>20</v>
      </c>
      <c r="I172" s="32">
        <v>4424.0</v>
      </c>
      <c r="J172" s="32" t="s">
        <v>740</v>
      </c>
      <c r="K172" s="32" t="s">
        <v>744</v>
      </c>
      <c r="L172" s="32" t="s">
        <v>745</v>
      </c>
      <c r="M172" s="35">
        <v>1.0</v>
      </c>
      <c r="N172" s="32" t="s">
        <v>743</v>
      </c>
      <c r="O172" s="36"/>
    </row>
    <row r="173">
      <c r="A173" s="52">
        <v>45609.0</v>
      </c>
      <c r="B173" s="31" t="s">
        <v>746</v>
      </c>
      <c r="C173" s="31">
        <v>8.05011497154E11</v>
      </c>
      <c r="D173" s="31" t="s">
        <v>747</v>
      </c>
      <c r="E173" s="31" t="s">
        <v>748</v>
      </c>
      <c r="F173" s="31" t="s">
        <v>749</v>
      </c>
      <c r="G173" s="31" t="s">
        <v>750</v>
      </c>
      <c r="H173" s="31" t="s">
        <v>20</v>
      </c>
      <c r="I173" s="57">
        <v>4566.0</v>
      </c>
      <c r="J173" s="31" t="s">
        <v>751</v>
      </c>
      <c r="K173" s="31" t="s">
        <v>106</v>
      </c>
      <c r="L173" s="31" t="s">
        <v>107</v>
      </c>
      <c r="M173" s="33">
        <v>1.0</v>
      </c>
      <c r="N173" s="31" t="s">
        <v>752</v>
      </c>
      <c r="O173" s="34"/>
    </row>
    <row r="174">
      <c r="A174" s="52">
        <v>45609.0</v>
      </c>
      <c r="B174" s="31" t="s">
        <v>746</v>
      </c>
      <c r="C174" s="31">
        <v>8.05011497154E11</v>
      </c>
      <c r="D174" s="31" t="s">
        <v>747</v>
      </c>
      <c r="E174" s="31" t="s">
        <v>748</v>
      </c>
      <c r="F174" s="31" t="s">
        <v>749</v>
      </c>
      <c r="G174" s="31" t="s">
        <v>750</v>
      </c>
      <c r="H174" s="31" t="s">
        <v>20</v>
      </c>
      <c r="I174" s="31">
        <v>4566.0</v>
      </c>
      <c r="J174" s="31" t="s">
        <v>751</v>
      </c>
      <c r="K174" s="31" t="s">
        <v>512</v>
      </c>
      <c r="L174" s="31" t="s">
        <v>513</v>
      </c>
      <c r="M174" s="33">
        <v>1.0</v>
      </c>
      <c r="N174" s="31" t="s">
        <v>752</v>
      </c>
      <c r="O174" s="34"/>
    </row>
    <row r="175">
      <c r="A175" s="52">
        <v>45609.0</v>
      </c>
      <c r="B175" s="31" t="s">
        <v>746</v>
      </c>
      <c r="C175" s="31">
        <v>8.05011497154E11</v>
      </c>
      <c r="D175" s="31" t="s">
        <v>747</v>
      </c>
      <c r="E175" s="31" t="s">
        <v>748</v>
      </c>
      <c r="F175" s="31" t="s">
        <v>749</v>
      </c>
      <c r="G175" s="31" t="s">
        <v>750</v>
      </c>
      <c r="H175" s="31" t="s">
        <v>20</v>
      </c>
      <c r="I175" s="31">
        <v>4566.0</v>
      </c>
      <c r="J175" s="31" t="s">
        <v>751</v>
      </c>
      <c r="K175" s="31" t="s">
        <v>110</v>
      </c>
      <c r="L175" s="31" t="s">
        <v>111</v>
      </c>
      <c r="M175" s="33">
        <v>1.0</v>
      </c>
      <c r="N175" s="31" t="s">
        <v>752</v>
      </c>
      <c r="O175" s="34"/>
    </row>
    <row r="176">
      <c r="A176" s="51">
        <v>45609.0</v>
      </c>
      <c r="B176" s="32" t="s">
        <v>753</v>
      </c>
      <c r="C176" s="32">
        <v>8.05011496956E11</v>
      </c>
      <c r="D176" s="32" t="s">
        <v>754</v>
      </c>
      <c r="E176" s="32" t="s">
        <v>755</v>
      </c>
      <c r="F176" s="32" t="s">
        <v>756</v>
      </c>
      <c r="G176" s="32" t="s">
        <v>20</v>
      </c>
      <c r="H176" s="32" t="s">
        <v>20</v>
      </c>
      <c r="I176" s="32">
        <v>4400.0</v>
      </c>
      <c r="J176" s="32" t="s">
        <v>757</v>
      </c>
      <c r="K176" s="32" t="s">
        <v>758</v>
      </c>
      <c r="L176" s="32" t="s">
        <v>759</v>
      </c>
      <c r="M176" s="35">
        <v>2.0</v>
      </c>
      <c r="N176" s="32" t="s">
        <v>760</v>
      </c>
      <c r="O176" s="36"/>
    </row>
    <row r="177">
      <c r="A177" s="51">
        <v>45609.0</v>
      </c>
      <c r="B177" s="32" t="s">
        <v>753</v>
      </c>
      <c r="C177" s="32">
        <v>8.05011496956E11</v>
      </c>
      <c r="D177" s="32" t="s">
        <v>754</v>
      </c>
      <c r="E177" s="32" t="s">
        <v>755</v>
      </c>
      <c r="F177" s="32" t="s">
        <v>756</v>
      </c>
      <c r="G177" s="32" t="s">
        <v>20</v>
      </c>
      <c r="H177" s="32" t="s">
        <v>20</v>
      </c>
      <c r="I177" s="32">
        <v>4400.0</v>
      </c>
      <c r="J177" s="32" t="s">
        <v>757</v>
      </c>
      <c r="K177" s="32" t="s">
        <v>761</v>
      </c>
      <c r="L177" s="32" t="s">
        <v>762</v>
      </c>
      <c r="M177" s="35">
        <v>1.0</v>
      </c>
      <c r="N177" s="32" t="s">
        <v>760</v>
      </c>
      <c r="O177" s="36"/>
    </row>
    <row r="178">
      <c r="A178" s="51">
        <v>45609.0</v>
      </c>
      <c r="B178" s="32" t="s">
        <v>753</v>
      </c>
      <c r="C178" s="32">
        <v>8.05011496956E11</v>
      </c>
      <c r="D178" s="32" t="s">
        <v>754</v>
      </c>
      <c r="E178" s="32" t="s">
        <v>755</v>
      </c>
      <c r="F178" s="32" t="s">
        <v>756</v>
      </c>
      <c r="G178" s="32" t="s">
        <v>20</v>
      </c>
      <c r="H178" s="32" t="s">
        <v>20</v>
      </c>
      <c r="I178" s="32">
        <v>4400.0</v>
      </c>
      <c r="J178" s="32" t="s">
        <v>757</v>
      </c>
      <c r="K178" s="32" t="s">
        <v>512</v>
      </c>
      <c r="L178" s="32" t="s">
        <v>513</v>
      </c>
      <c r="M178" s="35">
        <v>2.0</v>
      </c>
      <c r="N178" s="32" t="s">
        <v>760</v>
      </c>
      <c r="O178" s="36"/>
    </row>
    <row r="179">
      <c r="A179" s="52">
        <v>45609.0</v>
      </c>
      <c r="B179" s="31" t="s">
        <v>763</v>
      </c>
      <c r="C179" s="31">
        <v>8.07025028014E11</v>
      </c>
      <c r="D179" s="31" t="s">
        <v>764</v>
      </c>
      <c r="E179" s="31" t="s">
        <v>765</v>
      </c>
      <c r="F179" s="31" t="s">
        <v>766</v>
      </c>
      <c r="G179" s="31" t="s">
        <v>127</v>
      </c>
      <c r="H179" s="31" t="s">
        <v>20</v>
      </c>
      <c r="I179" s="31">
        <v>4400.0</v>
      </c>
      <c r="J179" s="31" t="s">
        <v>767</v>
      </c>
      <c r="K179" s="31" t="s">
        <v>768</v>
      </c>
      <c r="L179" s="31" t="s">
        <v>769</v>
      </c>
      <c r="M179" s="33">
        <v>1.0</v>
      </c>
      <c r="N179" s="31" t="s">
        <v>770</v>
      </c>
      <c r="O179" s="31" t="s">
        <v>771</v>
      </c>
    </row>
    <row r="180">
      <c r="A180" s="52">
        <v>45609.0</v>
      </c>
      <c r="B180" s="31" t="s">
        <v>763</v>
      </c>
      <c r="C180" s="31">
        <v>8.07025028014E11</v>
      </c>
      <c r="D180" s="31" t="s">
        <v>764</v>
      </c>
      <c r="E180" s="31" t="s">
        <v>765</v>
      </c>
      <c r="F180" s="31" t="s">
        <v>766</v>
      </c>
      <c r="G180" s="31" t="s">
        <v>127</v>
      </c>
      <c r="H180" s="31" t="s">
        <v>20</v>
      </c>
      <c r="I180" s="31">
        <v>4400.0</v>
      </c>
      <c r="J180" s="31" t="s">
        <v>767</v>
      </c>
      <c r="K180" s="31" t="s">
        <v>512</v>
      </c>
      <c r="L180" s="31" t="s">
        <v>513</v>
      </c>
      <c r="M180" s="33">
        <v>2.0</v>
      </c>
      <c r="N180" s="31" t="s">
        <v>770</v>
      </c>
      <c r="O180" s="31" t="s">
        <v>771</v>
      </c>
    </row>
    <row r="181">
      <c r="A181" s="52">
        <v>45609.0</v>
      </c>
      <c r="B181" s="31" t="s">
        <v>763</v>
      </c>
      <c r="C181" s="31">
        <v>8.07025028014E11</v>
      </c>
      <c r="D181" s="31" t="s">
        <v>764</v>
      </c>
      <c r="E181" s="31" t="s">
        <v>765</v>
      </c>
      <c r="F181" s="31" t="s">
        <v>766</v>
      </c>
      <c r="G181" s="31" t="s">
        <v>127</v>
      </c>
      <c r="H181" s="31" t="s">
        <v>20</v>
      </c>
      <c r="I181" s="31">
        <v>4400.0</v>
      </c>
      <c r="J181" s="31" t="s">
        <v>767</v>
      </c>
      <c r="K181" s="31" t="s">
        <v>772</v>
      </c>
      <c r="L181" s="31" t="s">
        <v>773</v>
      </c>
      <c r="M181" s="33">
        <v>2.0</v>
      </c>
      <c r="N181" s="31" t="s">
        <v>770</v>
      </c>
      <c r="O181" s="31" t="s">
        <v>771</v>
      </c>
    </row>
    <row r="182">
      <c r="A182" s="51">
        <v>45609.0</v>
      </c>
      <c r="B182" s="32" t="s">
        <v>774</v>
      </c>
      <c r="C182" s="32">
        <v>8.05011497237E11</v>
      </c>
      <c r="D182" s="32" t="s">
        <v>775</v>
      </c>
      <c r="E182" s="32" t="s">
        <v>776</v>
      </c>
      <c r="F182" s="32" t="s">
        <v>777</v>
      </c>
      <c r="G182" s="32" t="s">
        <v>592</v>
      </c>
      <c r="H182" s="32" t="s">
        <v>20</v>
      </c>
      <c r="I182" s="32">
        <v>4417.0</v>
      </c>
      <c r="J182" s="32" t="s">
        <v>778</v>
      </c>
      <c r="K182" s="32" t="s">
        <v>744</v>
      </c>
      <c r="L182" s="32" t="s">
        <v>745</v>
      </c>
      <c r="M182" s="35">
        <v>1.0</v>
      </c>
      <c r="N182" s="32" t="s">
        <v>779</v>
      </c>
      <c r="O182" s="36"/>
    </row>
    <row r="183">
      <c r="A183" s="51">
        <v>45609.0</v>
      </c>
      <c r="B183" s="32" t="s">
        <v>774</v>
      </c>
      <c r="C183" s="32">
        <v>8.05011497237E11</v>
      </c>
      <c r="D183" s="32" t="s">
        <v>775</v>
      </c>
      <c r="E183" s="32" t="s">
        <v>776</v>
      </c>
      <c r="F183" s="32" t="s">
        <v>777</v>
      </c>
      <c r="G183" s="32" t="s">
        <v>592</v>
      </c>
      <c r="H183" s="32" t="s">
        <v>20</v>
      </c>
      <c r="I183" s="32">
        <v>4417.0</v>
      </c>
      <c r="J183" s="32" t="s">
        <v>778</v>
      </c>
      <c r="K183" s="32" t="s">
        <v>741</v>
      </c>
      <c r="L183" s="32" t="s">
        <v>742</v>
      </c>
      <c r="M183" s="35">
        <v>1.0</v>
      </c>
      <c r="N183" s="32" t="s">
        <v>779</v>
      </c>
      <c r="O183" s="36"/>
    </row>
    <row r="184">
      <c r="A184" s="52">
        <v>45609.0</v>
      </c>
      <c r="B184" s="31" t="s">
        <v>780</v>
      </c>
      <c r="C184" s="31">
        <v>8.07025028061E11</v>
      </c>
      <c r="D184" s="31" t="s">
        <v>781</v>
      </c>
      <c r="E184" s="31" t="s">
        <v>782</v>
      </c>
      <c r="F184" s="31" t="s">
        <v>783</v>
      </c>
      <c r="G184" s="31" t="s">
        <v>116</v>
      </c>
      <c r="H184" s="31" t="s">
        <v>20</v>
      </c>
      <c r="I184" s="31">
        <v>4400.0</v>
      </c>
      <c r="J184" s="31" t="s">
        <v>784</v>
      </c>
      <c r="K184" s="31" t="s">
        <v>785</v>
      </c>
      <c r="L184" s="31" t="s">
        <v>786</v>
      </c>
      <c r="M184" s="33">
        <v>1.0</v>
      </c>
      <c r="N184" s="31" t="s">
        <v>787</v>
      </c>
      <c r="O184" s="31" t="s">
        <v>788</v>
      </c>
    </row>
    <row r="185">
      <c r="A185" s="51">
        <v>45609.0</v>
      </c>
      <c r="B185" s="32" t="s">
        <v>789</v>
      </c>
      <c r="C185" s="32">
        <v>8.05011497561E11</v>
      </c>
      <c r="D185" s="32" t="s">
        <v>790</v>
      </c>
      <c r="E185" s="32" t="s">
        <v>791</v>
      </c>
      <c r="F185" s="32" t="s">
        <v>792</v>
      </c>
      <c r="G185" s="32" t="s">
        <v>793</v>
      </c>
      <c r="H185" s="32" t="s">
        <v>20</v>
      </c>
      <c r="I185" s="32">
        <v>4530.0</v>
      </c>
      <c r="J185" s="32" t="s">
        <v>794</v>
      </c>
      <c r="K185" s="32" t="s">
        <v>795</v>
      </c>
      <c r="L185" s="32" t="s">
        <v>796</v>
      </c>
      <c r="M185" s="35">
        <v>1.0</v>
      </c>
      <c r="N185" s="32" t="s">
        <v>797</v>
      </c>
      <c r="O185" s="36"/>
    </row>
    <row r="186">
      <c r="A186" s="52">
        <v>45609.0</v>
      </c>
      <c r="B186" s="31" t="s">
        <v>798</v>
      </c>
      <c r="C186" s="31">
        <v>8.05914062042E11</v>
      </c>
      <c r="D186" s="31" t="s">
        <v>799</v>
      </c>
      <c r="E186" s="31" t="s">
        <v>800</v>
      </c>
      <c r="F186" s="31" t="s">
        <v>801</v>
      </c>
      <c r="G186" s="31" t="s">
        <v>127</v>
      </c>
      <c r="H186" s="31" t="s">
        <v>20</v>
      </c>
      <c r="I186" s="31">
        <v>4400.0</v>
      </c>
      <c r="J186" s="31" t="s">
        <v>802</v>
      </c>
      <c r="K186" s="31" t="s">
        <v>519</v>
      </c>
      <c r="L186" s="31" t="s">
        <v>520</v>
      </c>
      <c r="M186" s="33">
        <v>1.0</v>
      </c>
      <c r="N186" s="31" t="s">
        <v>803</v>
      </c>
      <c r="O186" s="31" t="s">
        <v>804</v>
      </c>
    </row>
    <row r="187">
      <c r="A187" s="52">
        <v>45609.0</v>
      </c>
      <c r="B187" s="31" t="s">
        <v>798</v>
      </c>
      <c r="C187" s="31">
        <v>8.05914062042E11</v>
      </c>
      <c r="D187" s="31" t="s">
        <v>799</v>
      </c>
      <c r="E187" s="31" t="s">
        <v>800</v>
      </c>
      <c r="F187" s="31" t="s">
        <v>801</v>
      </c>
      <c r="G187" s="31" t="s">
        <v>127</v>
      </c>
      <c r="H187" s="31" t="s">
        <v>20</v>
      </c>
      <c r="I187" s="31">
        <v>4400.0</v>
      </c>
      <c r="J187" s="31" t="s">
        <v>802</v>
      </c>
      <c r="K187" s="31" t="s">
        <v>805</v>
      </c>
      <c r="L187" s="31" t="s">
        <v>806</v>
      </c>
      <c r="M187" s="33">
        <v>1.0</v>
      </c>
      <c r="N187" s="31" t="s">
        <v>803</v>
      </c>
      <c r="O187" s="31" t="s">
        <v>804</v>
      </c>
    </row>
    <row r="188">
      <c r="A188" s="51">
        <v>45609.0</v>
      </c>
      <c r="B188" s="32" t="s">
        <v>807</v>
      </c>
      <c r="C188" s="32">
        <v>8.07025028049E11</v>
      </c>
      <c r="D188" s="32" t="s">
        <v>808</v>
      </c>
      <c r="E188" s="32" t="s">
        <v>809</v>
      </c>
      <c r="F188" s="32" t="s">
        <v>810</v>
      </c>
      <c r="G188" s="32" t="s">
        <v>425</v>
      </c>
      <c r="H188" s="32" t="s">
        <v>20</v>
      </c>
      <c r="I188" s="32">
        <v>4407.0</v>
      </c>
      <c r="J188" s="32" t="s">
        <v>811</v>
      </c>
      <c r="K188" s="32" t="s">
        <v>812</v>
      </c>
      <c r="L188" s="32" t="s">
        <v>813</v>
      </c>
      <c r="M188" s="35">
        <v>1.0</v>
      </c>
      <c r="N188" s="32" t="s">
        <v>814</v>
      </c>
      <c r="O188" s="32" t="s">
        <v>815</v>
      </c>
    </row>
    <row r="189">
      <c r="A189" s="52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3"/>
      <c r="N189" s="31"/>
      <c r="O189" s="31"/>
    </row>
    <row r="190">
      <c r="A190" s="51">
        <v>45609.0</v>
      </c>
      <c r="B190" s="32" t="s">
        <v>816</v>
      </c>
      <c r="C190" s="32">
        <v>8.05011498362E11</v>
      </c>
      <c r="D190" s="32" t="s">
        <v>817</v>
      </c>
      <c r="E190" s="32" t="s">
        <v>818</v>
      </c>
      <c r="F190" s="32" t="s">
        <v>819</v>
      </c>
      <c r="G190" s="32" t="s">
        <v>20</v>
      </c>
      <c r="H190" s="32" t="s">
        <v>20</v>
      </c>
      <c r="I190" s="32">
        <v>4400.0</v>
      </c>
      <c r="J190" s="32" t="s">
        <v>820</v>
      </c>
      <c r="K190" s="32" t="s">
        <v>98</v>
      </c>
      <c r="L190" s="32" t="s">
        <v>99</v>
      </c>
      <c r="M190" s="35">
        <v>1.0</v>
      </c>
      <c r="N190" s="32" t="s">
        <v>821</v>
      </c>
      <c r="O190" s="36"/>
    </row>
    <row r="191">
      <c r="A191" s="52">
        <v>45609.0</v>
      </c>
      <c r="B191" s="31" t="s">
        <v>822</v>
      </c>
      <c r="C191" s="31">
        <v>8.05011498102E11</v>
      </c>
      <c r="D191" s="31" t="s">
        <v>823</v>
      </c>
      <c r="E191" s="31" t="s">
        <v>824</v>
      </c>
      <c r="F191" s="58" t="s">
        <v>825</v>
      </c>
      <c r="G191" s="31" t="s">
        <v>826</v>
      </c>
      <c r="H191" s="31" t="s">
        <v>20</v>
      </c>
      <c r="I191" s="31">
        <v>4530.0</v>
      </c>
      <c r="J191" s="31" t="s">
        <v>827</v>
      </c>
      <c r="K191" s="31" t="s">
        <v>828</v>
      </c>
      <c r="L191" s="31" t="s">
        <v>829</v>
      </c>
      <c r="M191" s="33">
        <v>4.0</v>
      </c>
      <c r="N191" s="31" t="s">
        <v>830</v>
      </c>
      <c r="O191" s="34"/>
    </row>
    <row r="192">
      <c r="A192" s="51">
        <v>45609.0</v>
      </c>
      <c r="B192" s="32" t="s">
        <v>831</v>
      </c>
      <c r="C192" s="32">
        <v>8.0501149819E11</v>
      </c>
      <c r="D192" s="32" t="s">
        <v>832</v>
      </c>
      <c r="E192" s="32" t="s">
        <v>833</v>
      </c>
      <c r="F192" s="32" t="s">
        <v>834</v>
      </c>
      <c r="G192" s="32" t="s">
        <v>835</v>
      </c>
      <c r="H192" s="32" t="s">
        <v>20</v>
      </c>
      <c r="I192" s="32">
        <v>4550.0</v>
      </c>
      <c r="J192" s="32" t="s">
        <v>836</v>
      </c>
      <c r="K192" s="32" t="s">
        <v>744</v>
      </c>
      <c r="L192" s="32" t="s">
        <v>745</v>
      </c>
      <c r="M192" s="35">
        <v>2.0</v>
      </c>
      <c r="N192" s="32" t="s">
        <v>837</v>
      </c>
      <c r="O192" s="36"/>
    </row>
    <row r="193">
      <c r="A193" s="51">
        <v>45609.0</v>
      </c>
      <c r="B193" s="32" t="s">
        <v>831</v>
      </c>
      <c r="C193" s="32">
        <v>8.0501149819E11</v>
      </c>
      <c r="D193" s="32" t="s">
        <v>832</v>
      </c>
      <c r="E193" s="32" t="s">
        <v>833</v>
      </c>
      <c r="F193" s="32" t="s">
        <v>834</v>
      </c>
      <c r="G193" s="32" t="s">
        <v>835</v>
      </c>
      <c r="H193" s="32" t="s">
        <v>20</v>
      </c>
      <c r="I193" s="32">
        <v>4550.0</v>
      </c>
      <c r="J193" s="32" t="s">
        <v>836</v>
      </c>
      <c r="K193" s="32" t="s">
        <v>741</v>
      </c>
      <c r="L193" s="32" t="s">
        <v>742</v>
      </c>
      <c r="M193" s="35">
        <v>2.0</v>
      </c>
      <c r="N193" s="32" t="s">
        <v>837</v>
      </c>
      <c r="O193" s="36"/>
    </row>
    <row r="194">
      <c r="A194" s="52">
        <v>45609.0</v>
      </c>
      <c r="B194" s="31" t="s">
        <v>838</v>
      </c>
      <c r="C194" s="31">
        <v>8.0501149491E11</v>
      </c>
      <c r="D194" s="31" t="s">
        <v>839</v>
      </c>
      <c r="E194" s="31" t="s">
        <v>840</v>
      </c>
      <c r="F194" s="31" t="s">
        <v>841</v>
      </c>
      <c r="G194" s="31" t="s">
        <v>842</v>
      </c>
      <c r="H194" s="31" t="s">
        <v>843</v>
      </c>
      <c r="I194" s="31">
        <v>4600.0</v>
      </c>
      <c r="J194" s="31" t="s">
        <v>844</v>
      </c>
      <c r="K194" s="31" t="s">
        <v>845</v>
      </c>
      <c r="L194" s="31" t="s">
        <v>846</v>
      </c>
      <c r="M194" s="33">
        <v>1.0</v>
      </c>
      <c r="N194" s="31" t="s">
        <v>847</v>
      </c>
      <c r="O194" s="34"/>
    </row>
    <row r="195">
      <c r="A195" s="51">
        <v>45609.0</v>
      </c>
      <c r="B195" s="32" t="s">
        <v>848</v>
      </c>
      <c r="C195" s="32">
        <v>8.05011496206E11</v>
      </c>
      <c r="D195" s="32" t="s">
        <v>849</v>
      </c>
      <c r="E195" s="32" t="s">
        <v>850</v>
      </c>
      <c r="F195" s="32" t="s">
        <v>851</v>
      </c>
      <c r="G195" s="32" t="s">
        <v>278</v>
      </c>
      <c r="H195" s="32" t="s">
        <v>20</v>
      </c>
      <c r="I195" s="32">
        <v>4400.0</v>
      </c>
      <c r="J195" s="32" t="s">
        <v>852</v>
      </c>
      <c r="K195" s="32" t="s">
        <v>845</v>
      </c>
      <c r="L195" s="32" t="s">
        <v>846</v>
      </c>
      <c r="M195" s="35">
        <v>1.0</v>
      </c>
      <c r="N195" s="32" t="s">
        <v>853</v>
      </c>
      <c r="O195" s="36"/>
    </row>
    <row r="196">
      <c r="A196" s="52">
        <v>45609.0</v>
      </c>
      <c r="B196" s="31" t="s">
        <v>854</v>
      </c>
      <c r="C196" s="31">
        <v>8.05011497242E11</v>
      </c>
      <c r="D196" s="31" t="s">
        <v>855</v>
      </c>
      <c r="E196" s="31" t="s">
        <v>856</v>
      </c>
      <c r="F196" s="31" t="s">
        <v>857</v>
      </c>
      <c r="G196" s="31" t="s">
        <v>858</v>
      </c>
      <c r="H196" s="31" t="s">
        <v>20</v>
      </c>
      <c r="I196" s="31">
        <v>4554.0</v>
      </c>
      <c r="J196" s="31" t="s">
        <v>859</v>
      </c>
      <c r="K196" s="31" t="s">
        <v>845</v>
      </c>
      <c r="L196" s="31" t="s">
        <v>846</v>
      </c>
      <c r="M196" s="33">
        <v>2.0</v>
      </c>
      <c r="N196" s="31" t="s">
        <v>860</v>
      </c>
      <c r="O196" s="34"/>
    </row>
    <row r="197">
      <c r="A197" s="51">
        <v>45609.0</v>
      </c>
      <c r="B197" s="32" t="s">
        <v>861</v>
      </c>
      <c r="C197" s="32">
        <v>8.07025028076E11</v>
      </c>
      <c r="D197" s="32" t="s">
        <v>862</v>
      </c>
      <c r="E197" s="32" t="s">
        <v>863</v>
      </c>
      <c r="F197" s="32" t="s">
        <v>864</v>
      </c>
      <c r="G197" s="32" t="s">
        <v>865</v>
      </c>
      <c r="H197" s="32" t="s">
        <v>20</v>
      </c>
      <c r="I197" s="32">
        <v>4444.0</v>
      </c>
      <c r="J197" s="32" t="s">
        <v>866</v>
      </c>
      <c r="K197" s="32" t="s">
        <v>867</v>
      </c>
      <c r="L197" s="32" t="s">
        <v>868</v>
      </c>
      <c r="M197" s="35">
        <v>1.0</v>
      </c>
      <c r="N197" s="32" t="s">
        <v>869</v>
      </c>
      <c r="O197" s="32" t="s">
        <v>870</v>
      </c>
    </row>
    <row r="198">
      <c r="A198" s="51">
        <v>45609.0</v>
      </c>
      <c r="B198" s="32" t="s">
        <v>861</v>
      </c>
      <c r="C198" s="32">
        <v>8.07025028076E11</v>
      </c>
      <c r="D198" s="32" t="s">
        <v>862</v>
      </c>
      <c r="E198" s="32" t="s">
        <v>863</v>
      </c>
      <c r="F198" s="32" t="s">
        <v>864</v>
      </c>
      <c r="G198" s="32" t="s">
        <v>865</v>
      </c>
      <c r="H198" s="32" t="s">
        <v>20</v>
      </c>
      <c r="I198" s="32">
        <v>4444.0</v>
      </c>
      <c r="J198" s="32" t="s">
        <v>866</v>
      </c>
      <c r="K198" s="32" t="s">
        <v>512</v>
      </c>
      <c r="L198" s="32" t="s">
        <v>513</v>
      </c>
      <c r="M198" s="35">
        <v>2.0</v>
      </c>
      <c r="N198" s="32" t="s">
        <v>869</v>
      </c>
      <c r="O198" s="32" t="s">
        <v>870</v>
      </c>
    </row>
    <row r="199">
      <c r="A199" s="51">
        <v>45609.0</v>
      </c>
      <c r="B199" s="32" t="s">
        <v>861</v>
      </c>
      <c r="C199" s="32">
        <v>8.07025028076E11</v>
      </c>
      <c r="D199" s="32" t="s">
        <v>862</v>
      </c>
      <c r="E199" s="32" t="s">
        <v>863</v>
      </c>
      <c r="F199" s="32" t="s">
        <v>864</v>
      </c>
      <c r="G199" s="32" t="s">
        <v>865</v>
      </c>
      <c r="H199" s="32" t="s">
        <v>20</v>
      </c>
      <c r="I199" s="32">
        <v>4444.0</v>
      </c>
      <c r="J199" s="32" t="s">
        <v>866</v>
      </c>
      <c r="K199" s="32" t="s">
        <v>340</v>
      </c>
      <c r="L199" s="32" t="s">
        <v>341</v>
      </c>
      <c r="M199" s="35">
        <v>2.0</v>
      </c>
      <c r="N199" s="32" t="s">
        <v>869</v>
      </c>
      <c r="O199" s="32" t="s">
        <v>870</v>
      </c>
    </row>
    <row r="200">
      <c r="A200" s="51">
        <v>45609.0</v>
      </c>
      <c r="B200" s="32" t="s">
        <v>861</v>
      </c>
      <c r="C200" s="32">
        <v>8.07025028076E11</v>
      </c>
      <c r="D200" s="32" t="s">
        <v>862</v>
      </c>
      <c r="E200" s="32" t="s">
        <v>863</v>
      </c>
      <c r="F200" s="32" t="s">
        <v>864</v>
      </c>
      <c r="G200" s="32" t="s">
        <v>865</v>
      </c>
      <c r="H200" s="32" t="s">
        <v>20</v>
      </c>
      <c r="I200" s="32">
        <v>4444.0</v>
      </c>
      <c r="J200" s="32" t="s">
        <v>866</v>
      </c>
      <c r="K200" s="32" t="s">
        <v>871</v>
      </c>
      <c r="L200" s="32" t="s">
        <v>872</v>
      </c>
      <c r="M200" s="35">
        <v>1.0</v>
      </c>
      <c r="N200" s="32" t="s">
        <v>869</v>
      </c>
      <c r="O200" s="32" t="s">
        <v>870</v>
      </c>
    </row>
    <row r="201">
      <c r="A201" s="51">
        <v>45609.0</v>
      </c>
      <c r="B201" s="32" t="s">
        <v>861</v>
      </c>
      <c r="C201" s="32">
        <v>8.07025028076E11</v>
      </c>
      <c r="D201" s="32" t="s">
        <v>862</v>
      </c>
      <c r="E201" s="32" t="s">
        <v>863</v>
      </c>
      <c r="F201" s="32" t="s">
        <v>864</v>
      </c>
      <c r="G201" s="32" t="s">
        <v>865</v>
      </c>
      <c r="H201" s="32" t="s">
        <v>20</v>
      </c>
      <c r="I201" s="32">
        <v>4444.0</v>
      </c>
      <c r="J201" s="32" t="s">
        <v>866</v>
      </c>
      <c r="K201" s="32" t="s">
        <v>233</v>
      </c>
      <c r="L201" s="32" t="s">
        <v>234</v>
      </c>
      <c r="M201" s="35">
        <v>1.0</v>
      </c>
      <c r="N201" s="32" t="s">
        <v>869</v>
      </c>
      <c r="O201" s="32" t="s">
        <v>870</v>
      </c>
    </row>
    <row r="202">
      <c r="A202" s="52">
        <v>45609.0</v>
      </c>
      <c r="B202" s="31" t="s">
        <v>873</v>
      </c>
      <c r="C202" s="31">
        <v>8.07025028094E11</v>
      </c>
      <c r="D202" s="31" t="s">
        <v>874</v>
      </c>
      <c r="E202" s="31" t="s">
        <v>875</v>
      </c>
      <c r="F202" s="31" t="s">
        <v>876</v>
      </c>
      <c r="G202" s="31" t="s">
        <v>127</v>
      </c>
      <c r="H202" s="31" t="s">
        <v>20</v>
      </c>
      <c r="I202" s="31">
        <v>4400.0</v>
      </c>
      <c r="J202" s="31" t="s">
        <v>877</v>
      </c>
      <c r="K202" s="31" t="s">
        <v>32</v>
      </c>
      <c r="L202" s="31" t="s">
        <v>33</v>
      </c>
      <c r="M202" s="33">
        <v>1.0</v>
      </c>
      <c r="N202" s="31" t="s">
        <v>878</v>
      </c>
      <c r="O202" s="31" t="s">
        <v>879</v>
      </c>
    </row>
    <row r="203">
      <c r="A203" s="52">
        <v>45609.0</v>
      </c>
      <c r="B203" s="31" t="s">
        <v>873</v>
      </c>
      <c r="C203" s="31">
        <v>8.07025028094E11</v>
      </c>
      <c r="D203" s="31" t="s">
        <v>874</v>
      </c>
      <c r="E203" s="31" t="s">
        <v>875</v>
      </c>
      <c r="F203" s="31" t="s">
        <v>876</v>
      </c>
      <c r="G203" s="31" t="s">
        <v>127</v>
      </c>
      <c r="H203" s="31" t="s">
        <v>20</v>
      </c>
      <c r="I203" s="31">
        <v>4400.0</v>
      </c>
      <c r="J203" s="31" t="s">
        <v>877</v>
      </c>
      <c r="K203" s="31" t="s">
        <v>512</v>
      </c>
      <c r="L203" s="31" t="s">
        <v>513</v>
      </c>
      <c r="M203" s="33">
        <v>1.0</v>
      </c>
      <c r="N203" s="31" t="s">
        <v>878</v>
      </c>
      <c r="O203" s="31" t="s">
        <v>879</v>
      </c>
    </row>
    <row r="204">
      <c r="A204" s="52">
        <v>45609.0</v>
      </c>
      <c r="B204" s="31" t="s">
        <v>873</v>
      </c>
      <c r="C204" s="31">
        <v>8.07025028094E11</v>
      </c>
      <c r="D204" s="31" t="s">
        <v>874</v>
      </c>
      <c r="E204" s="31" t="s">
        <v>875</v>
      </c>
      <c r="F204" s="31" t="s">
        <v>876</v>
      </c>
      <c r="G204" s="31" t="s">
        <v>127</v>
      </c>
      <c r="H204" s="31" t="s">
        <v>20</v>
      </c>
      <c r="I204" s="31">
        <v>4400.0</v>
      </c>
      <c r="J204" s="31" t="s">
        <v>877</v>
      </c>
      <c r="K204" s="31" t="s">
        <v>670</v>
      </c>
      <c r="L204" s="31" t="s">
        <v>671</v>
      </c>
      <c r="M204" s="33">
        <v>1.0</v>
      </c>
      <c r="N204" s="31" t="s">
        <v>878</v>
      </c>
      <c r="O204" s="31" t="s">
        <v>879</v>
      </c>
    </row>
    <row r="205">
      <c r="A205" s="51">
        <v>45609.0</v>
      </c>
      <c r="B205" s="32" t="s">
        <v>880</v>
      </c>
      <c r="C205" s="32">
        <v>8.05011497792E11</v>
      </c>
      <c r="D205" s="32" t="s">
        <v>881</v>
      </c>
      <c r="E205" s="32" t="s">
        <v>882</v>
      </c>
      <c r="F205" s="32" t="s">
        <v>883</v>
      </c>
      <c r="G205" s="32" t="s">
        <v>58</v>
      </c>
      <c r="H205" s="32" t="s">
        <v>20</v>
      </c>
      <c r="I205" s="32">
        <v>4400.0</v>
      </c>
      <c r="J205" s="32" t="s">
        <v>884</v>
      </c>
      <c r="K205" s="32" t="s">
        <v>32</v>
      </c>
      <c r="L205" s="32" t="s">
        <v>33</v>
      </c>
      <c r="M205" s="35">
        <v>1.0</v>
      </c>
      <c r="N205" s="32" t="s">
        <v>885</v>
      </c>
      <c r="O205" s="36"/>
    </row>
    <row r="206">
      <c r="A206" s="51">
        <v>45609.0</v>
      </c>
      <c r="B206" s="32" t="s">
        <v>880</v>
      </c>
      <c r="C206" s="32">
        <v>8.05011497792E11</v>
      </c>
      <c r="D206" s="32" t="s">
        <v>881</v>
      </c>
      <c r="E206" s="32" t="s">
        <v>882</v>
      </c>
      <c r="F206" s="32" t="s">
        <v>883</v>
      </c>
      <c r="G206" s="32" t="s">
        <v>58</v>
      </c>
      <c r="H206" s="32" t="s">
        <v>20</v>
      </c>
      <c r="I206" s="32">
        <v>4400.0</v>
      </c>
      <c r="J206" s="32" t="s">
        <v>884</v>
      </c>
      <c r="K206" s="32" t="s">
        <v>512</v>
      </c>
      <c r="L206" s="32" t="s">
        <v>513</v>
      </c>
      <c r="M206" s="35">
        <v>1.0</v>
      </c>
      <c r="N206" s="32" t="s">
        <v>885</v>
      </c>
      <c r="O206" s="36"/>
    </row>
    <row r="207">
      <c r="A207" s="51">
        <v>45609.0</v>
      </c>
      <c r="B207" s="32" t="s">
        <v>880</v>
      </c>
      <c r="C207" s="32">
        <v>8.05011497792E11</v>
      </c>
      <c r="D207" s="32" t="s">
        <v>881</v>
      </c>
      <c r="E207" s="32" t="s">
        <v>882</v>
      </c>
      <c r="F207" s="32" t="s">
        <v>883</v>
      </c>
      <c r="G207" s="32" t="s">
        <v>58</v>
      </c>
      <c r="H207" s="32" t="s">
        <v>20</v>
      </c>
      <c r="I207" s="32">
        <v>4400.0</v>
      </c>
      <c r="J207" s="32" t="s">
        <v>884</v>
      </c>
      <c r="K207" s="32" t="s">
        <v>670</v>
      </c>
      <c r="L207" s="32" t="s">
        <v>671</v>
      </c>
      <c r="M207" s="35">
        <v>1.0</v>
      </c>
      <c r="N207" s="32" t="s">
        <v>885</v>
      </c>
      <c r="O207" s="36"/>
    </row>
    <row r="208">
      <c r="A208" s="52">
        <v>45609.0</v>
      </c>
      <c r="B208" s="31" t="s">
        <v>886</v>
      </c>
      <c r="C208" s="31">
        <v>8.05011498226E11</v>
      </c>
      <c r="D208" s="31" t="s">
        <v>887</v>
      </c>
      <c r="E208" s="31" t="s">
        <v>888</v>
      </c>
      <c r="F208" s="31" t="s">
        <v>889</v>
      </c>
      <c r="G208" s="31" t="s">
        <v>20</v>
      </c>
      <c r="H208" s="31" t="s">
        <v>20</v>
      </c>
      <c r="I208" s="31">
        <v>4400.0</v>
      </c>
      <c r="J208" s="31" t="s">
        <v>890</v>
      </c>
      <c r="K208" s="31" t="s">
        <v>32</v>
      </c>
      <c r="L208" s="31" t="s">
        <v>33</v>
      </c>
      <c r="M208" s="33">
        <v>1.0</v>
      </c>
      <c r="N208" s="31" t="s">
        <v>891</v>
      </c>
      <c r="O208" s="34"/>
    </row>
    <row r="209">
      <c r="A209" s="52">
        <v>45609.0</v>
      </c>
      <c r="B209" s="31" t="s">
        <v>886</v>
      </c>
      <c r="C209" s="31">
        <v>8.05011498226E11</v>
      </c>
      <c r="D209" s="31" t="s">
        <v>887</v>
      </c>
      <c r="E209" s="31" t="s">
        <v>888</v>
      </c>
      <c r="F209" s="31" t="s">
        <v>889</v>
      </c>
      <c r="G209" s="31" t="s">
        <v>20</v>
      </c>
      <c r="H209" s="31" t="s">
        <v>20</v>
      </c>
      <c r="I209" s="31">
        <v>4400.0</v>
      </c>
      <c r="J209" s="31" t="s">
        <v>890</v>
      </c>
      <c r="K209" s="31" t="s">
        <v>512</v>
      </c>
      <c r="L209" s="31" t="s">
        <v>513</v>
      </c>
      <c r="M209" s="33">
        <v>1.0</v>
      </c>
      <c r="N209" s="31" t="s">
        <v>891</v>
      </c>
      <c r="O209" s="34"/>
    </row>
    <row r="210">
      <c r="A210" s="52">
        <v>45609.0</v>
      </c>
      <c r="B210" s="31" t="s">
        <v>886</v>
      </c>
      <c r="C210" s="31">
        <v>8.05011498226E11</v>
      </c>
      <c r="D210" s="31" t="s">
        <v>887</v>
      </c>
      <c r="E210" s="31" t="s">
        <v>888</v>
      </c>
      <c r="F210" s="31" t="s">
        <v>889</v>
      </c>
      <c r="G210" s="31" t="s">
        <v>20</v>
      </c>
      <c r="H210" s="31" t="s">
        <v>20</v>
      </c>
      <c r="I210" s="31">
        <v>4400.0</v>
      </c>
      <c r="J210" s="31" t="s">
        <v>890</v>
      </c>
      <c r="K210" s="31" t="s">
        <v>670</v>
      </c>
      <c r="L210" s="31" t="s">
        <v>671</v>
      </c>
      <c r="M210" s="33">
        <v>1.0</v>
      </c>
      <c r="N210" s="31" t="s">
        <v>891</v>
      </c>
      <c r="O210" s="34"/>
    </row>
    <row r="211">
      <c r="A211" s="51">
        <v>45609.0</v>
      </c>
      <c r="B211" s="32" t="s">
        <v>892</v>
      </c>
      <c r="C211" s="32">
        <v>8.05011497732E11</v>
      </c>
      <c r="D211" s="32" t="s">
        <v>893</v>
      </c>
      <c r="E211" s="32" t="s">
        <v>894</v>
      </c>
      <c r="F211" s="32" t="s">
        <v>895</v>
      </c>
      <c r="G211" s="32" t="s">
        <v>896</v>
      </c>
      <c r="H211" s="32" t="s">
        <v>20</v>
      </c>
      <c r="I211" s="32">
        <v>4530.0</v>
      </c>
      <c r="J211" s="32" t="s">
        <v>897</v>
      </c>
      <c r="K211" s="32" t="s">
        <v>617</v>
      </c>
      <c r="L211" s="32" t="s">
        <v>618</v>
      </c>
      <c r="M211" s="35">
        <v>1.0</v>
      </c>
      <c r="N211" s="32" t="s">
        <v>898</v>
      </c>
      <c r="O211" s="36"/>
    </row>
    <row r="212">
      <c r="A212" s="51">
        <v>45609.0</v>
      </c>
      <c r="B212" s="32" t="s">
        <v>892</v>
      </c>
      <c r="C212" s="32">
        <v>8.05011497732E11</v>
      </c>
      <c r="D212" s="32" t="s">
        <v>893</v>
      </c>
      <c r="E212" s="32" t="s">
        <v>894</v>
      </c>
      <c r="F212" s="32" t="s">
        <v>895</v>
      </c>
      <c r="G212" s="32" t="s">
        <v>896</v>
      </c>
      <c r="H212" s="32" t="s">
        <v>20</v>
      </c>
      <c r="I212" s="32">
        <v>4530.0</v>
      </c>
      <c r="J212" s="32" t="s">
        <v>897</v>
      </c>
      <c r="K212" s="32" t="s">
        <v>512</v>
      </c>
      <c r="L212" s="32" t="s">
        <v>513</v>
      </c>
      <c r="M212" s="35">
        <v>2.0</v>
      </c>
      <c r="N212" s="32" t="s">
        <v>898</v>
      </c>
      <c r="O212" s="36"/>
    </row>
    <row r="213">
      <c r="A213" s="51">
        <v>45609.0</v>
      </c>
      <c r="B213" s="32" t="s">
        <v>892</v>
      </c>
      <c r="C213" s="32">
        <v>8.05011497732E11</v>
      </c>
      <c r="D213" s="32" t="s">
        <v>893</v>
      </c>
      <c r="E213" s="32" t="s">
        <v>894</v>
      </c>
      <c r="F213" s="32" t="s">
        <v>895</v>
      </c>
      <c r="G213" s="32" t="s">
        <v>896</v>
      </c>
      <c r="H213" s="32" t="s">
        <v>20</v>
      </c>
      <c r="I213" s="32">
        <v>4530.0</v>
      </c>
      <c r="J213" s="32" t="s">
        <v>897</v>
      </c>
      <c r="K213" s="32" t="s">
        <v>233</v>
      </c>
      <c r="L213" s="32" t="s">
        <v>234</v>
      </c>
      <c r="M213" s="35">
        <v>2.0</v>
      </c>
      <c r="N213" s="32" t="s">
        <v>898</v>
      </c>
      <c r="O213" s="36"/>
    </row>
    <row r="214">
      <c r="A214" s="52">
        <v>45609.0</v>
      </c>
      <c r="B214" s="31" t="s">
        <v>899</v>
      </c>
      <c r="C214" s="31">
        <v>8.05011498346E11</v>
      </c>
      <c r="D214" s="31" t="s">
        <v>900</v>
      </c>
      <c r="E214" s="31" t="s">
        <v>901</v>
      </c>
      <c r="F214" s="31" t="s">
        <v>902</v>
      </c>
      <c r="G214" s="31" t="s">
        <v>155</v>
      </c>
      <c r="H214" s="31" t="s">
        <v>20</v>
      </c>
      <c r="I214" s="31">
        <v>4405.0</v>
      </c>
      <c r="J214" s="31" t="s">
        <v>903</v>
      </c>
      <c r="K214" s="31" t="s">
        <v>32</v>
      </c>
      <c r="L214" s="31" t="s">
        <v>33</v>
      </c>
      <c r="M214" s="33">
        <v>1.0</v>
      </c>
      <c r="N214" s="31" t="s">
        <v>904</v>
      </c>
      <c r="O214" s="34"/>
    </row>
    <row r="215">
      <c r="A215" s="52">
        <v>45609.0</v>
      </c>
      <c r="B215" s="31" t="s">
        <v>899</v>
      </c>
      <c r="C215" s="31">
        <v>8.05011498346E11</v>
      </c>
      <c r="D215" s="31" t="s">
        <v>900</v>
      </c>
      <c r="E215" s="31" t="s">
        <v>901</v>
      </c>
      <c r="F215" s="31" t="s">
        <v>902</v>
      </c>
      <c r="G215" s="31" t="s">
        <v>155</v>
      </c>
      <c r="H215" s="31" t="s">
        <v>20</v>
      </c>
      <c r="I215" s="31">
        <v>4405.0</v>
      </c>
      <c r="J215" s="31" t="s">
        <v>903</v>
      </c>
      <c r="K215" s="31" t="s">
        <v>512</v>
      </c>
      <c r="L215" s="31" t="s">
        <v>513</v>
      </c>
      <c r="M215" s="33">
        <v>1.0</v>
      </c>
      <c r="N215" s="31" t="s">
        <v>904</v>
      </c>
      <c r="O215" s="34"/>
    </row>
    <row r="216">
      <c r="A216" s="52">
        <v>45609.0</v>
      </c>
      <c r="B216" s="31" t="s">
        <v>899</v>
      </c>
      <c r="C216" s="31">
        <v>8.05011498346E11</v>
      </c>
      <c r="D216" s="31" t="s">
        <v>900</v>
      </c>
      <c r="E216" s="31" t="s">
        <v>901</v>
      </c>
      <c r="F216" s="31" t="s">
        <v>902</v>
      </c>
      <c r="G216" s="31" t="s">
        <v>155</v>
      </c>
      <c r="H216" s="31" t="s">
        <v>20</v>
      </c>
      <c r="I216" s="31">
        <v>4405.0</v>
      </c>
      <c r="J216" s="31" t="s">
        <v>903</v>
      </c>
      <c r="K216" s="31" t="s">
        <v>670</v>
      </c>
      <c r="L216" s="31" t="s">
        <v>671</v>
      </c>
      <c r="M216" s="33">
        <v>1.0</v>
      </c>
      <c r="N216" s="31" t="s">
        <v>904</v>
      </c>
      <c r="O216" s="34"/>
    </row>
    <row r="217">
      <c r="A217" s="51">
        <v>45609.0</v>
      </c>
      <c r="B217" s="32" t="s">
        <v>905</v>
      </c>
      <c r="C217" s="32">
        <v>8.05011498315E11</v>
      </c>
      <c r="D217" s="32" t="s">
        <v>906</v>
      </c>
      <c r="E217" s="32" t="s">
        <v>907</v>
      </c>
      <c r="F217" s="32" t="s">
        <v>908</v>
      </c>
      <c r="G217" s="32" t="s">
        <v>532</v>
      </c>
      <c r="H217" s="32" t="s">
        <v>20</v>
      </c>
      <c r="I217" s="32">
        <v>4427.0</v>
      </c>
      <c r="J217" s="32" t="s">
        <v>909</v>
      </c>
      <c r="K217" s="32" t="s">
        <v>32</v>
      </c>
      <c r="L217" s="32" t="s">
        <v>33</v>
      </c>
      <c r="M217" s="35">
        <v>1.0</v>
      </c>
      <c r="N217" s="32" t="s">
        <v>910</v>
      </c>
      <c r="O217" s="36"/>
    </row>
    <row r="218">
      <c r="A218" s="51">
        <v>45609.0</v>
      </c>
      <c r="B218" s="32" t="s">
        <v>905</v>
      </c>
      <c r="C218" s="32">
        <v>8.05011498315E11</v>
      </c>
      <c r="D218" s="32" t="s">
        <v>906</v>
      </c>
      <c r="E218" s="32" t="s">
        <v>907</v>
      </c>
      <c r="F218" s="32" t="s">
        <v>908</v>
      </c>
      <c r="G218" s="32" t="s">
        <v>532</v>
      </c>
      <c r="H218" s="32" t="s">
        <v>20</v>
      </c>
      <c r="I218" s="32">
        <v>4427.0</v>
      </c>
      <c r="J218" s="32" t="s">
        <v>909</v>
      </c>
      <c r="K218" s="32" t="s">
        <v>512</v>
      </c>
      <c r="L218" s="32" t="s">
        <v>513</v>
      </c>
      <c r="M218" s="35">
        <v>1.0</v>
      </c>
      <c r="N218" s="32" t="s">
        <v>910</v>
      </c>
      <c r="O218" s="36"/>
    </row>
    <row r="219">
      <c r="A219" s="51">
        <v>45609.0</v>
      </c>
      <c r="B219" s="32" t="s">
        <v>905</v>
      </c>
      <c r="C219" s="32">
        <v>8.05011498315E11</v>
      </c>
      <c r="D219" s="32" t="s">
        <v>906</v>
      </c>
      <c r="E219" s="32" t="s">
        <v>907</v>
      </c>
      <c r="F219" s="32" t="s">
        <v>908</v>
      </c>
      <c r="G219" s="32" t="s">
        <v>532</v>
      </c>
      <c r="H219" s="32" t="s">
        <v>20</v>
      </c>
      <c r="I219" s="32">
        <v>4427.0</v>
      </c>
      <c r="J219" s="32" t="s">
        <v>909</v>
      </c>
      <c r="K219" s="32" t="s">
        <v>670</v>
      </c>
      <c r="L219" s="32" t="s">
        <v>671</v>
      </c>
      <c r="M219" s="35">
        <v>1.0</v>
      </c>
      <c r="N219" s="32" t="s">
        <v>910</v>
      </c>
      <c r="O219" s="36"/>
    </row>
    <row r="220">
      <c r="A220" s="52">
        <v>45609.0</v>
      </c>
      <c r="B220" s="31" t="s">
        <v>911</v>
      </c>
      <c r="C220" s="31">
        <v>8.0501149771E11</v>
      </c>
      <c r="D220" s="31" t="s">
        <v>912</v>
      </c>
      <c r="E220" s="31" t="s">
        <v>913</v>
      </c>
      <c r="F220" s="31" t="s">
        <v>914</v>
      </c>
      <c r="G220" s="31" t="s">
        <v>20</v>
      </c>
      <c r="H220" s="31" t="s">
        <v>20</v>
      </c>
      <c r="I220" s="31">
        <v>4400.0</v>
      </c>
      <c r="J220" s="31" t="s">
        <v>915</v>
      </c>
      <c r="K220" s="31" t="s">
        <v>845</v>
      </c>
      <c r="L220" s="31" t="s">
        <v>846</v>
      </c>
      <c r="M220" s="33">
        <v>1.0</v>
      </c>
      <c r="N220" s="31" t="s">
        <v>916</v>
      </c>
      <c r="O220" s="34"/>
    </row>
    <row r="221">
      <c r="A221" s="51">
        <v>45609.0</v>
      </c>
      <c r="B221" s="32" t="s">
        <v>917</v>
      </c>
      <c r="C221" s="32">
        <v>8.05011498468E11</v>
      </c>
      <c r="D221" s="32" t="s">
        <v>918</v>
      </c>
      <c r="E221" s="32" t="s">
        <v>919</v>
      </c>
      <c r="F221" s="32" t="s">
        <v>920</v>
      </c>
      <c r="G221" s="32" t="s">
        <v>921</v>
      </c>
      <c r="H221" s="32" t="s">
        <v>20</v>
      </c>
      <c r="I221" s="32">
        <v>4405.0</v>
      </c>
      <c r="J221" s="32" t="s">
        <v>922</v>
      </c>
      <c r="K221" s="32" t="s">
        <v>32</v>
      </c>
      <c r="L221" s="32" t="s">
        <v>33</v>
      </c>
      <c r="M221" s="35">
        <v>1.0</v>
      </c>
      <c r="N221" s="32" t="s">
        <v>923</v>
      </c>
      <c r="O221" s="36"/>
    </row>
    <row r="222">
      <c r="A222" s="51">
        <v>45609.0</v>
      </c>
      <c r="B222" s="32" t="s">
        <v>917</v>
      </c>
      <c r="C222" s="32">
        <v>8.05011498468E11</v>
      </c>
      <c r="D222" s="32" t="s">
        <v>918</v>
      </c>
      <c r="E222" s="32" t="s">
        <v>919</v>
      </c>
      <c r="F222" s="32" t="s">
        <v>920</v>
      </c>
      <c r="G222" s="32" t="s">
        <v>921</v>
      </c>
      <c r="H222" s="32" t="s">
        <v>20</v>
      </c>
      <c r="I222" s="32">
        <v>4405.0</v>
      </c>
      <c r="J222" s="32" t="s">
        <v>922</v>
      </c>
      <c r="K222" s="32" t="s">
        <v>512</v>
      </c>
      <c r="L222" s="32" t="s">
        <v>513</v>
      </c>
      <c r="M222" s="35">
        <v>1.0</v>
      </c>
      <c r="N222" s="32" t="s">
        <v>923</v>
      </c>
      <c r="O222" s="36"/>
    </row>
    <row r="223">
      <c r="A223" s="51">
        <v>45609.0</v>
      </c>
      <c r="B223" s="32" t="s">
        <v>917</v>
      </c>
      <c r="C223" s="32">
        <v>8.05011498468E11</v>
      </c>
      <c r="D223" s="32" t="s">
        <v>918</v>
      </c>
      <c r="E223" s="32" t="s">
        <v>919</v>
      </c>
      <c r="F223" s="32" t="s">
        <v>920</v>
      </c>
      <c r="G223" s="32" t="s">
        <v>921</v>
      </c>
      <c r="H223" s="32" t="s">
        <v>20</v>
      </c>
      <c r="I223" s="32">
        <v>4405.0</v>
      </c>
      <c r="J223" s="32" t="s">
        <v>922</v>
      </c>
      <c r="K223" s="32" t="s">
        <v>670</v>
      </c>
      <c r="L223" s="32" t="s">
        <v>671</v>
      </c>
      <c r="M223" s="35">
        <v>1.0</v>
      </c>
      <c r="N223" s="32" t="s">
        <v>923</v>
      </c>
      <c r="O223" s="36"/>
    </row>
    <row r="224">
      <c r="A224" s="52">
        <v>45609.0</v>
      </c>
      <c r="B224" s="31" t="s">
        <v>924</v>
      </c>
      <c r="C224" s="31">
        <v>8.05011498178E11</v>
      </c>
      <c r="D224" s="31" t="s">
        <v>925</v>
      </c>
      <c r="E224" s="31" t="s">
        <v>926</v>
      </c>
      <c r="F224" s="31" t="s">
        <v>927</v>
      </c>
      <c r="G224" s="31" t="s">
        <v>20</v>
      </c>
      <c r="H224" s="31" t="s">
        <v>20</v>
      </c>
      <c r="I224" s="31">
        <v>4400.0</v>
      </c>
      <c r="J224" s="34" t="str">
        <f>+541154756655// +54 9
11
54756655</f>
        <v>#ERROR!</v>
      </c>
      <c r="K224" s="31" t="s">
        <v>768</v>
      </c>
      <c r="L224" s="31" t="s">
        <v>769</v>
      </c>
      <c r="M224" s="33">
        <v>1.0</v>
      </c>
      <c r="N224" s="31" t="s">
        <v>928</v>
      </c>
      <c r="O224" s="34"/>
    </row>
    <row r="225">
      <c r="A225" s="52">
        <v>45609.0</v>
      </c>
      <c r="B225" s="31" t="s">
        <v>924</v>
      </c>
      <c r="C225" s="31">
        <v>8.05011498178E11</v>
      </c>
      <c r="D225" s="31" t="s">
        <v>925</v>
      </c>
      <c r="E225" s="31" t="s">
        <v>926</v>
      </c>
      <c r="F225" s="31" t="s">
        <v>927</v>
      </c>
      <c r="G225" s="31" t="s">
        <v>20</v>
      </c>
      <c r="H225" s="31" t="s">
        <v>20</v>
      </c>
      <c r="I225" s="31">
        <v>4400.0</v>
      </c>
      <c r="J225" s="34" t="str">
        <f>+541154756655// +54 9
11
54756655</f>
        <v>#ERROR!</v>
      </c>
      <c r="K225" s="31" t="s">
        <v>512</v>
      </c>
      <c r="L225" s="31" t="s">
        <v>513</v>
      </c>
      <c r="M225" s="33">
        <v>2.0</v>
      </c>
      <c r="N225" s="31" t="s">
        <v>928</v>
      </c>
      <c r="O225" s="34"/>
    </row>
    <row r="226">
      <c r="A226" s="52">
        <v>45609.0</v>
      </c>
      <c r="B226" s="31" t="s">
        <v>924</v>
      </c>
      <c r="C226" s="31">
        <v>8.05011498178E11</v>
      </c>
      <c r="D226" s="31" t="s">
        <v>925</v>
      </c>
      <c r="E226" s="31" t="s">
        <v>926</v>
      </c>
      <c r="F226" s="31" t="s">
        <v>927</v>
      </c>
      <c r="G226" s="31" t="s">
        <v>20</v>
      </c>
      <c r="H226" s="31" t="s">
        <v>20</v>
      </c>
      <c r="I226" s="31">
        <v>4400.0</v>
      </c>
      <c r="J226" s="34" t="str">
        <f>+541154756655// +54 9
11
54756655</f>
        <v>#ERROR!</v>
      </c>
      <c r="K226" s="31" t="s">
        <v>772</v>
      </c>
      <c r="L226" s="31" t="s">
        <v>773</v>
      </c>
      <c r="M226" s="33">
        <v>2.0</v>
      </c>
      <c r="N226" s="31" t="s">
        <v>928</v>
      </c>
      <c r="O226" s="34"/>
    </row>
    <row r="227">
      <c r="A227" s="51">
        <v>45609.0</v>
      </c>
      <c r="B227" s="32" t="s">
        <v>929</v>
      </c>
      <c r="C227" s="32">
        <v>8.05011498224E11</v>
      </c>
      <c r="D227" s="32" t="s">
        <v>930</v>
      </c>
      <c r="E227" s="32" t="s">
        <v>931</v>
      </c>
      <c r="F227" s="32" t="s">
        <v>932</v>
      </c>
      <c r="G227" s="32" t="s">
        <v>20</v>
      </c>
      <c r="H227" s="32" t="s">
        <v>20</v>
      </c>
      <c r="I227" s="32">
        <v>4400.0</v>
      </c>
      <c r="J227" s="32" t="s">
        <v>933</v>
      </c>
      <c r="K227" s="32" t="s">
        <v>617</v>
      </c>
      <c r="L227" s="32" t="s">
        <v>618</v>
      </c>
      <c r="M227" s="35">
        <v>1.0</v>
      </c>
      <c r="N227" s="32" t="s">
        <v>934</v>
      </c>
      <c r="O227" s="36"/>
    </row>
    <row r="228">
      <c r="A228" s="51">
        <v>45609.0</v>
      </c>
      <c r="B228" s="32" t="s">
        <v>929</v>
      </c>
      <c r="C228" s="32">
        <v>8.05011498224E11</v>
      </c>
      <c r="D228" s="32" t="s">
        <v>930</v>
      </c>
      <c r="E228" s="32" t="s">
        <v>931</v>
      </c>
      <c r="F228" s="32" t="s">
        <v>932</v>
      </c>
      <c r="G228" s="32" t="s">
        <v>20</v>
      </c>
      <c r="H228" s="32" t="s">
        <v>20</v>
      </c>
      <c r="I228" s="32">
        <v>4400.0</v>
      </c>
      <c r="J228" s="32" t="s">
        <v>933</v>
      </c>
      <c r="K228" s="32" t="s">
        <v>512</v>
      </c>
      <c r="L228" s="32" t="s">
        <v>513</v>
      </c>
      <c r="M228" s="35">
        <v>2.0</v>
      </c>
      <c r="N228" s="32" t="s">
        <v>934</v>
      </c>
      <c r="O228" s="36"/>
    </row>
    <row r="229">
      <c r="A229" s="51">
        <v>45609.0</v>
      </c>
      <c r="B229" s="32" t="s">
        <v>929</v>
      </c>
      <c r="C229" s="32">
        <v>8.05011498224E11</v>
      </c>
      <c r="D229" s="32" t="s">
        <v>930</v>
      </c>
      <c r="E229" s="32" t="s">
        <v>931</v>
      </c>
      <c r="F229" s="32" t="s">
        <v>932</v>
      </c>
      <c r="G229" s="32" t="s">
        <v>20</v>
      </c>
      <c r="H229" s="32" t="s">
        <v>20</v>
      </c>
      <c r="I229" s="32">
        <v>4400.0</v>
      </c>
      <c r="J229" s="32" t="s">
        <v>933</v>
      </c>
      <c r="K229" s="32" t="s">
        <v>645</v>
      </c>
      <c r="L229" s="32" t="s">
        <v>646</v>
      </c>
      <c r="M229" s="35">
        <v>2.0</v>
      </c>
      <c r="N229" s="32" t="s">
        <v>934</v>
      </c>
      <c r="O229" s="36"/>
    </row>
    <row r="230">
      <c r="A230" s="52">
        <v>45609.0</v>
      </c>
      <c r="B230" s="31" t="s">
        <v>935</v>
      </c>
      <c r="C230" s="31">
        <v>8.05011498215E11</v>
      </c>
      <c r="D230" s="31" t="s">
        <v>936</v>
      </c>
      <c r="E230" s="31" t="s">
        <v>937</v>
      </c>
      <c r="F230" s="31" t="s">
        <v>938</v>
      </c>
      <c r="G230" s="31" t="s">
        <v>939</v>
      </c>
      <c r="H230" s="31" t="s">
        <v>20</v>
      </c>
      <c r="I230" s="31">
        <v>4400.0</v>
      </c>
      <c r="J230" s="31" t="s">
        <v>940</v>
      </c>
      <c r="K230" s="31" t="s">
        <v>606</v>
      </c>
      <c r="L230" s="31" t="s">
        <v>607</v>
      </c>
      <c r="M230" s="33">
        <v>1.0</v>
      </c>
      <c r="N230" s="31" t="s">
        <v>941</v>
      </c>
      <c r="O230" s="34"/>
    </row>
    <row r="231">
      <c r="A231" s="52">
        <v>45609.0</v>
      </c>
      <c r="B231" s="31" t="s">
        <v>935</v>
      </c>
      <c r="C231" s="31">
        <v>8.05011498215E11</v>
      </c>
      <c r="D231" s="31" t="s">
        <v>936</v>
      </c>
      <c r="E231" s="31" t="s">
        <v>937</v>
      </c>
      <c r="F231" s="31" t="s">
        <v>938</v>
      </c>
      <c r="G231" s="31" t="s">
        <v>939</v>
      </c>
      <c r="H231" s="31" t="s">
        <v>20</v>
      </c>
      <c r="I231" s="31">
        <v>4400.0</v>
      </c>
      <c r="J231" s="31" t="s">
        <v>940</v>
      </c>
      <c r="K231" s="31" t="s">
        <v>609</v>
      </c>
      <c r="L231" s="31" t="s">
        <v>610</v>
      </c>
      <c r="M231" s="33">
        <v>1.0</v>
      </c>
      <c r="N231" s="31" t="s">
        <v>941</v>
      </c>
      <c r="O231" s="34"/>
    </row>
    <row r="232">
      <c r="A232" s="51">
        <v>45609.0</v>
      </c>
      <c r="B232" s="32" t="s">
        <v>942</v>
      </c>
      <c r="C232" s="32">
        <v>8.05011498887E11</v>
      </c>
      <c r="D232" s="32" t="s">
        <v>943</v>
      </c>
      <c r="E232" s="32" t="s">
        <v>944</v>
      </c>
      <c r="F232" s="32" t="s">
        <v>945</v>
      </c>
      <c r="G232" s="32" t="s">
        <v>58</v>
      </c>
      <c r="H232" s="32" t="s">
        <v>20</v>
      </c>
      <c r="I232" s="32">
        <v>4400.0</v>
      </c>
      <c r="J232" s="32" t="s">
        <v>946</v>
      </c>
      <c r="K232" s="32" t="s">
        <v>947</v>
      </c>
      <c r="L232" s="32" t="s">
        <v>948</v>
      </c>
      <c r="M232" s="35">
        <v>1.0</v>
      </c>
      <c r="N232" s="32" t="s">
        <v>949</v>
      </c>
      <c r="O232" s="36"/>
    </row>
    <row r="233">
      <c r="A233" s="52">
        <v>45609.0</v>
      </c>
      <c r="B233" s="31" t="s">
        <v>950</v>
      </c>
      <c r="C233" s="31">
        <v>8.05011498781E11</v>
      </c>
      <c r="D233" s="31" t="s">
        <v>951</v>
      </c>
      <c r="E233" s="31" t="s">
        <v>952</v>
      </c>
      <c r="F233" s="31" t="s">
        <v>953</v>
      </c>
      <c r="G233" s="31" t="s">
        <v>20</v>
      </c>
      <c r="H233" s="31" t="s">
        <v>20</v>
      </c>
      <c r="I233" s="31">
        <v>4400.0</v>
      </c>
      <c r="J233" s="31" t="s">
        <v>954</v>
      </c>
      <c r="K233" s="31" t="s">
        <v>176</v>
      </c>
      <c r="L233" s="31" t="s">
        <v>177</v>
      </c>
      <c r="M233" s="33">
        <v>1.0</v>
      </c>
      <c r="N233" s="31" t="s">
        <v>955</v>
      </c>
      <c r="O233" s="34"/>
    </row>
    <row r="234">
      <c r="A234" s="51">
        <v>45609.0</v>
      </c>
      <c r="B234" s="32" t="s">
        <v>956</v>
      </c>
      <c r="C234" s="32">
        <v>8.07025028105E11</v>
      </c>
      <c r="D234" s="32" t="s">
        <v>957</v>
      </c>
      <c r="E234" s="32" t="s">
        <v>958</v>
      </c>
      <c r="F234" s="59" t="s">
        <v>959</v>
      </c>
      <c r="G234" s="32" t="s">
        <v>657</v>
      </c>
      <c r="H234" s="32" t="s">
        <v>20</v>
      </c>
      <c r="I234" s="32">
        <v>4560.0</v>
      </c>
      <c r="J234" s="32" t="s">
        <v>960</v>
      </c>
      <c r="K234" s="32" t="s">
        <v>218</v>
      </c>
      <c r="L234" s="32" t="s">
        <v>219</v>
      </c>
      <c r="M234" s="35">
        <v>1.0</v>
      </c>
      <c r="N234" s="32" t="s">
        <v>961</v>
      </c>
      <c r="O234" s="32" t="s">
        <v>962</v>
      </c>
    </row>
    <row r="235">
      <c r="A235" s="51">
        <v>45609.0</v>
      </c>
      <c r="B235" s="32" t="s">
        <v>956</v>
      </c>
      <c r="C235" s="32">
        <v>8.07025028105E11</v>
      </c>
      <c r="D235" s="32" t="s">
        <v>957</v>
      </c>
      <c r="E235" s="32" t="s">
        <v>958</v>
      </c>
      <c r="F235" s="59" t="s">
        <v>959</v>
      </c>
      <c r="G235" s="32" t="s">
        <v>657</v>
      </c>
      <c r="H235" s="32" t="s">
        <v>20</v>
      </c>
      <c r="I235" s="32">
        <v>4560.0</v>
      </c>
      <c r="J235" s="32" t="s">
        <v>960</v>
      </c>
      <c r="K235" s="32" t="s">
        <v>121</v>
      </c>
      <c r="L235" s="32" t="s">
        <v>122</v>
      </c>
      <c r="M235" s="35">
        <v>2.0</v>
      </c>
      <c r="N235" s="32" t="s">
        <v>961</v>
      </c>
      <c r="O235" s="32" t="s">
        <v>962</v>
      </c>
    </row>
    <row r="236">
      <c r="A236" s="52">
        <v>45609.0</v>
      </c>
      <c r="B236" s="31" t="s">
        <v>963</v>
      </c>
      <c r="C236" s="31">
        <v>8.0501149958E11</v>
      </c>
      <c r="D236" s="31" t="s">
        <v>964</v>
      </c>
      <c r="E236" s="31" t="s">
        <v>965</v>
      </c>
      <c r="F236" s="31" t="s">
        <v>966</v>
      </c>
      <c r="G236" s="31" t="s">
        <v>20</v>
      </c>
      <c r="H236" s="31" t="s">
        <v>20</v>
      </c>
      <c r="I236" s="31">
        <v>4400.0</v>
      </c>
      <c r="J236" s="31" t="s">
        <v>967</v>
      </c>
      <c r="K236" s="31" t="s">
        <v>512</v>
      </c>
      <c r="L236" s="31" t="s">
        <v>513</v>
      </c>
      <c r="M236" s="33">
        <v>1.0</v>
      </c>
      <c r="N236" s="31" t="s">
        <v>968</v>
      </c>
      <c r="O236" s="34"/>
    </row>
    <row r="237">
      <c r="A237" s="52">
        <v>45609.0</v>
      </c>
      <c r="B237" s="31" t="s">
        <v>963</v>
      </c>
      <c r="C237" s="31">
        <v>8.0501149958E11</v>
      </c>
      <c r="D237" s="31" t="s">
        <v>964</v>
      </c>
      <c r="E237" s="31" t="s">
        <v>965</v>
      </c>
      <c r="F237" s="31" t="s">
        <v>966</v>
      </c>
      <c r="G237" s="31" t="s">
        <v>20</v>
      </c>
      <c r="H237" s="31" t="s">
        <v>20</v>
      </c>
      <c r="I237" s="31">
        <v>4400.0</v>
      </c>
      <c r="J237" s="31" t="s">
        <v>967</v>
      </c>
      <c r="K237" s="31" t="s">
        <v>969</v>
      </c>
      <c r="L237" s="31" t="s">
        <v>970</v>
      </c>
      <c r="M237" s="33">
        <v>1.0</v>
      </c>
      <c r="N237" s="31" t="s">
        <v>968</v>
      </c>
      <c r="O237" s="34"/>
    </row>
    <row r="238">
      <c r="A238" s="52">
        <v>45609.0</v>
      </c>
      <c r="B238" s="31" t="s">
        <v>963</v>
      </c>
      <c r="C238" s="31">
        <v>8.0501149958E11</v>
      </c>
      <c r="D238" s="31" t="s">
        <v>964</v>
      </c>
      <c r="E238" s="31" t="s">
        <v>965</v>
      </c>
      <c r="F238" s="31" t="s">
        <v>966</v>
      </c>
      <c r="G238" s="31" t="s">
        <v>20</v>
      </c>
      <c r="H238" s="31" t="s">
        <v>20</v>
      </c>
      <c r="I238" s="31">
        <v>4400.0</v>
      </c>
      <c r="J238" s="31" t="s">
        <v>967</v>
      </c>
      <c r="K238" s="31" t="s">
        <v>971</v>
      </c>
      <c r="L238" s="31" t="s">
        <v>972</v>
      </c>
      <c r="M238" s="33">
        <v>1.0</v>
      </c>
      <c r="N238" s="31" t="s">
        <v>968</v>
      </c>
      <c r="O238" s="34"/>
    </row>
    <row r="239">
      <c r="A239" s="51">
        <v>45609.0</v>
      </c>
      <c r="B239" s="32" t="s">
        <v>973</v>
      </c>
      <c r="C239" s="32">
        <v>8.05011499841E11</v>
      </c>
      <c r="D239" s="32" t="s">
        <v>974</v>
      </c>
      <c r="E239" s="32" t="s">
        <v>975</v>
      </c>
      <c r="F239" s="32" t="s">
        <v>976</v>
      </c>
      <c r="G239" s="32" t="s">
        <v>20</v>
      </c>
      <c r="H239" s="32" t="s">
        <v>20</v>
      </c>
      <c r="I239" s="32">
        <v>4400.0</v>
      </c>
      <c r="J239" s="32" t="s">
        <v>977</v>
      </c>
      <c r="K239" s="32" t="s">
        <v>512</v>
      </c>
      <c r="L239" s="32" t="s">
        <v>513</v>
      </c>
      <c r="M239" s="35">
        <v>2.0</v>
      </c>
      <c r="N239" s="32" t="s">
        <v>978</v>
      </c>
      <c r="O239" s="36"/>
    </row>
    <row r="240">
      <c r="A240" s="51">
        <v>45609.0</v>
      </c>
      <c r="B240" s="32" t="s">
        <v>973</v>
      </c>
      <c r="C240" s="32">
        <v>8.05011499841E11</v>
      </c>
      <c r="D240" s="32" t="s">
        <v>974</v>
      </c>
      <c r="E240" s="32" t="s">
        <v>975</v>
      </c>
      <c r="F240" s="32" t="s">
        <v>976</v>
      </c>
      <c r="G240" s="32" t="s">
        <v>20</v>
      </c>
      <c r="H240" s="32" t="s">
        <v>20</v>
      </c>
      <c r="I240" s="32">
        <v>4400.0</v>
      </c>
      <c r="J240" s="32" t="s">
        <v>977</v>
      </c>
      <c r="K240" s="32" t="s">
        <v>233</v>
      </c>
      <c r="L240" s="32" t="s">
        <v>234</v>
      </c>
      <c r="M240" s="35">
        <v>2.0</v>
      </c>
      <c r="N240" s="32" t="s">
        <v>978</v>
      </c>
      <c r="O240" s="36"/>
    </row>
    <row r="241">
      <c r="A241" s="51">
        <v>45609.0</v>
      </c>
      <c r="B241" s="32" t="s">
        <v>973</v>
      </c>
      <c r="C241" s="32">
        <v>8.05011499841E11</v>
      </c>
      <c r="D241" s="32" t="s">
        <v>974</v>
      </c>
      <c r="E241" s="32" t="s">
        <v>975</v>
      </c>
      <c r="F241" s="32" t="s">
        <v>976</v>
      </c>
      <c r="G241" s="32" t="s">
        <v>20</v>
      </c>
      <c r="H241" s="32" t="s">
        <v>20</v>
      </c>
      <c r="I241" s="32">
        <v>4400.0</v>
      </c>
      <c r="J241" s="32" t="s">
        <v>977</v>
      </c>
      <c r="K241" s="32" t="s">
        <v>617</v>
      </c>
      <c r="L241" s="32" t="s">
        <v>618</v>
      </c>
      <c r="M241" s="35">
        <v>1.0</v>
      </c>
      <c r="N241" s="32" t="s">
        <v>978</v>
      </c>
      <c r="O241" s="36"/>
    </row>
    <row r="242">
      <c r="A242" s="52">
        <v>45609.0</v>
      </c>
      <c r="B242" s="31" t="s">
        <v>979</v>
      </c>
      <c r="C242" s="31">
        <v>8.05011499374E11</v>
      </c>
      <c r="D242" s="31" t="s">
        <v>980</v>
      </c>
      <c r="E242" s="31" t="s">
        <v>981</v>
      </c>
      <c r="F242" s="31" t="s">
        <v>982</v>
      </c>
      <c r="G242" s="31" t="s">
        <v>983</v>
      </c>
      <c r="H242" s="31" t="s">
        <v>20</v>
      </c>
      <c r="I242" s="31">
        <v>4400.0</v>
      </c>
      <c r="J242" s="31" t="s">
        <v>984</v>
      </c>
      <c r="K242" s="31" t="s">
        <v>985</v>
      </c>
      <c r="L242" s="31" t="s">
        <v>986</v>
      </c>
      <c r="M242" s="33">
        <v>1.0</v>
      </c>
      <c r="N242" s="31" t="s">
        <v>987</v>
      </c>
      <c r="O242" s="31" t="s">
        <v>988</v>
      </c>
    </row>
    <row r="243">
      <c r="A243" s="52">
        <v>45609.0</v>
      </c>
      <c r="B243" s="31" t="s">
        <v>979</v>
      </c>
      <c r="C243" s="31">
        <v>8.05011499374E11</v>
      </c>
      <c r="D243" s="31" t="s">
        <v>980</v>
      </c>
      <c r="E243" s="31" t="s">
        <v>981</v>
      </c>
      <c r="F243" s="31" t="s">
        <v>982</v>
      </c>
      <c r="G243" s="31" t="s">
        <v>983</v>
      </c>
      <c r="H243" s="31" t="s">
        <v>20</v>
      </c>
      <c r="I243" s="31">
        <v>4400.0</v>
      </c>
      <c r="J243" s="31" t="s">
        <v>984</v>
      </c>
      <c r="K243" s="31" t="s">
        <v>512</v>
      </c>
      <c r="L243" s="31" t="s">
        <v>513</v>
      </c>
      <c r="M243" s="33">
        <v>1.0</v>
      </c>
      <c r="N243" s="31" t="s">
        <v>987</v>
      </c>
      <c r="O243" s="31" t="s">
        <v>988</v>
      </c>
    </row>
    <row r="244">
      <c r="A244" s="52">
        <v>45609.0</v>
      </c>
      <c r="B244" s="31" t="s">
        <v>979</v>
      </c>
      <c r="C244" s="31">
        <v>8.05011499374E11</v>
      </c>
      <c r="D244" s="31" t="s">
        <v>980</v>
      </c>
      <c r="E244" s="31" t="s">
        <v>981</v>
      </c>
      <c r="F244" s="31" t="s">
        <v>982</v>
      </c>
      <c r="G244" s="31" t="s">
        <v>983</v>
      </c>
      <c r="H244" s="31" t="s">
        <v>20</v>
      </c>
      <c r="I244" s="31">
        <v>4400.0</v>
      </c>
      <c r="J244" s="31" t="s">
        <v>984</v>
      </c>
      <c r="K244" s="31" t="s">
        <v>35</v>
      </c>
      <c r="L244" s="31" t="s">
        <v>36</v>
      </c>
      <c r="M244" s="33">
        <v>1.0</v>
      </c>
      <c r="N244" s="31" t="s">
        <v>987</v>
      </c>
      <c r="O244" s="31" t="s">
        <v>988</v>
      </c>
    </row>
    <row r="245">
      <c r="A245" s="51">
        <v>45609.0</v>
      </c>
      <c r="B245" s="32" t="s">
        <v>989</v>
      </c>
      <c r="C245" s="32">
        <v>8.05011499784E11</v>
      </c>
      <c r="D245" s="32" t="s">
        <v>990</v>
      </c>
      <c r="E245" s="32" t="s">
        <v>991</v>
      </c>
      <c r="F245" s="32" t="s">
        <v>992</v>
      </c>
      <c r="G245" s="32" t="s">
        <v>993</v>
      </c>
      <c r="H245" s="32" t="s">
        <v>20</v>
      </c>
      <c r="I245" s="32">
        <v>4400.0</v>
      </c>
      <c r="J245" s="32" t="s">
        <v>994</v>
      </c>
      <c r="K245" s="32" t="s">
        <v>634</v>
      </c>
      <c r="L245" s="32" t="s">
        <v>635</v>
      </c>
      <c r="M245" s="35">
        <v>1.0</v>
      </c>
      <c r="N245" s="36"/>
      <c r="O245" s="36"/>
    </row>
    <row r="246">
      <c r="A246" s="52">
        <v>45609.0</v>
      </c>
      <c r="B246" s="31" t="s">
        <v>995</v>
      </c>
      <c r="C246" s="31">
        <v>8.05011499595E11</v>
      </c>
      <c r="D246" s="31" t="s">
        <v>996</v>
      </c>
      <c r="E246" s="31" t="s">
        <v>997</v>
      </c>
      <c r="F246" s="31" t="s">
        <v>998</v>
      </c>
      <c r="G246" s="31" t="s">
        <v>999</v>
      </c>
      <c r="H246" s="31" t="s">
        <v>20</v>
      </c>
      <c r="I246" s="31">
        <v>4401.0</v>
      </c>
      <c r="J246" s="31" t="s">
        <v>1000</v>
      </c>
      <c r="K246" s="31" t="s">
        <v>761</v>
      </c>
      <c r="L246" s="31" t="s">
        <v>762</v>
      </c>
      <c r="M246" s="33">
        <v>1.0</v>
      </c>
      <c r="N246" s="31" t="s">
        <v>1001</v>
      </c>
      <c r="O246" s="34"/>
    </row>
    <row r="247">
      <c r="A247" s="52">
        <v>45609.0</v>
      </c>
      <c r="B247" s="31" t="s">
        <v>995</v>
      </c>
      <c r="C247" s="31">
        <v>8.05011499595E11</v>
      </c>
      <c r="D247" s="31" t="s">
        <v>996</v>
      </c>
      <c r="E247" s="31" t="s">
        <v>997</v>
      </c>
      <c r="F247" s="31" t="s">
        <v>998</v>
      </c>
      <c r="G247" s="31" t="s">
        <v>999</v>
      </c>
      <c r="H247" s="31" t="s">
        <v>20</v>
      </c>
      <c r="I247" s="31">
        <v>4401.0</v>
      </c>
      <c r="J247" s="31" t="s">
        <v>1000</v>
      </c>
      <c r="K247" s="31" t="s">
        <v>512</v>
      </c>
      <c r="L247" s="31" t="s">
        <v>513</v>
      </c>
      <c r="M247" s="33">
        <v>2.0</v>
      </c>
      <c r="N247" s="31" t="s">
        <v>1001</v>
      </c>
      <c r="O247" s="34"/>
    </row>
    <row r="248">
      <c r="A248" s="52">
        <v>45609.0</v>
      </c>
      <c r="B248" s="31" t="s">
        <v>995</v>
      </c>
      <c r="C248" s="31">
        <v>8.05011499595E11</v>
      </c>
      <c r="D248" s="31" t="s">
        <v>996</v>
      </c>
      <c r="E248" s="31" t="s">
        <v>997</v>
      </c>
      <c r="F248" s="31" t="s">
        <v>998</v>
      </c>
      <c r="G248" s="31" t="s">
        <v>999</v>
      </c>
      <c r="H248" s="31" t="s">
        <v>20</v>
      </c>
      <c r="I248" s="31">
        <v>4401.0</v>
      </c>
      <c r="J248" s="31" t="s">
        <v>1000</v>
      </c>
      <c r="K248" s="31" t="s">
        <v>340</v>
      </c>
      <c r="L248" s="31" t="s">
        <v>341</v>
      </c>
      <c r="M248" s="33">
        <v>2.0</v>
      </c>
      <c r="N248" s="31" t="s">
        <v>1001</v>
      </c>
      <c r="O248" s="34"/>
    </row>
    <row r="249">
      <c r="A249" s="51">
        <v>45609.0</v>
      </c>
      <c r="B249" s="32" t="s">
        <v>1002</v>
      </c>
      <c r="C249" s="32">
        <v>8.05011499752E11</v>
      </c>
      <c r="D249" s="32" t="s">
        <v>951</v>
      </c>
      <c r="E249" s="32" t="s">
        <v>952</v>
      </c>
      <c r="F249" s="32" t="s">
        <v>1003</v>
      </c>
      <c r="G249" s="32" t="s">
        <v>20</v>
      </c>
      <c r="H249" s="32" t="s">
        <v>20</v>
      </c>
      <c r="I249" s="32">
        <v>4400.0</v>
      </c>
      <c r="J249" s="32" t="s">
        <v>954</v>
      </c>
      <c r="K249" s="32" t="s">
        <v>1004</v>
      </c>
      <c r="L249" s="32" t="s">
        <v>1005</v>
      </c>
      <c r="M249" s="35">
        <v>1.0</v>
      </c>
      <c r="N249" s="32" t="s">
        <v>955</v>
      </c>
      <c r="O249" s="32" t="s">
        <v>1006</v>
      </c>
    </row>
    <row r="250">
      <c r="A250" s="52">
        <v>45609.0</v>
      </c>
      <c r="B250" s="31" t="s">
        <v>1007</v>
      </c>
      <c r="C250" s="31">
        <v>8.05011499478E11</v>
      </c>
      <c r="D250" s="31" t="s">
        <v>1008</v>
      </c>
      <c r="E250" s="31" t="s">
        <v>1009</v>
      </c>
      <c r="F250" s="60" t="s">
        <v>1010</v>
      </c>
      <c r="G250" s="31" t="s">
        <v>458</v>
      </c>
      <c r="H250" s="31" t="s">
        <v>20</v>
      </c>
      <c r="I250" s="31">
        <v>4190.0</v>
      </c>
      <c r="J250" s="31" t="s">
        <v>1011</v>
      </c>
      <c r="K250" s="31" t="s">
        <v>176</v>
      </c>
      <c r="L250" s="31" t="s">
        <v>177</v>
      </c>
      <c r="M250" s="33">
        <v>1.0</v>
      </c>
      <c r="N250" s="31" t="s">
        <v>1012</v>
      </c>
      <c r="O250" s="34"/>
    </row>
    <row r="251">
      <c r="A251" s="51">
        <v>45609.0</v>
      </c>
      <c r="B251" s="32" t="s">
        <v>1013</v>
      </c>
      <c r="C251" s="32">
        <v>8.05011499915E11</v>
      </c>
      <c r="D251" s="32" t="s">
        <v>1014</v>
      </c>
      <c r="E251" s="32" t="s">
        <v>1015</v>
      </c>
      <c r="F251" s="32" t="s">
        <v>1016</v>
      </c>
      <c r="G251" s="32" t="s">
        <v>1017</v>
      </c>
      <c r="H251" s="32" t="s">
        <v>20</v>
      </c>
      <c r="I251" s="32">
        <v>4562.0</v>
      </c>
      <c r="J251" s="32" t="s">
        <v>1018</v>
      </c>
      <c r="K251" s="32" t="s">
        <v>744</v>
      </c>
      <c r="L251" s="32" t="s">
        <v>745</v>
      </c>
      <c r="M251" s="35">
        <v>1.0</v>
      </c>
      <c r="N251" s="36"/>
      <c r="O251" s="36"/>
    </row>
    <row r="252">
      <c r="A252" s="51">
        <v>45609.0</v>
      </c>
      <c r="B252" s="32" t="s">
        <v>1013</v>
      </c>
      <c r="C252" s="32">
        <v>8.05011499915E11</v>
      </c>
      <c r="D252" s="32" t="s">
        <v>1014</v>
      </c>
      <c r="E252" s="32" t="s">
        <v>1015</v>
      </c>
      <c r="F252" s="32" t="s">
        <v>1016</v>
      </c>
      <c r="G252" s="32" t="s">
        <v>1017</v>
      </c>
      <c r="H252" s="32" t="s">
        <v>20</v>
      </c>
      <c r="I252" s="32">
        <v>4562.0</v>
      </c>
      <c r="J252" s="32" t="s">
        <v>1018</v>
      </c>
      <c r="K252" s="32" t="s">
        <v>741</v>
      </c>
      <c r="L252" s="32" t="s">
        <v>742</v>
      </c>
      <c r="M252" s="35">
        <v>1.0</v>
      </c>
      <c r="N252" s="36"/>
      <c r="O252" s="36"/>
    </row>
    <row r="253">
      <c r="A253" s="52">
        <v>45609.0</v>
      </c>
      <c r="B253" s="31" t="s">
        <v>1019</v>
      </c>
      <c r="C253" s="31">
        <v>8.05011494767E11</v>
      </c>
      <c r="D253" s="31" t="s">
        <v>1020</v>
      </c>
      <c r="E253" s="31" t="s">
        <v>1021</v>
      </c>
      <c r="F253" s="31" t="s">
        <v>1022</v>
      </c>
      <c r="G253" s="31" t="s">
        <v>1023</v>
      </c>
      <c r="H253" s="31" t="s">
        <v>20</v>
      </c>
      <c r="I253" s="31">
        <v>4568.0</v>
      </c>
      <c r="J253" s="31" t="s">
        <v>1024</v>
      </c>
      <c r="K253" s="31" t="s">
        <v>1025</v>
      </c>
      <c r="L253" s="31" t="s">
        <v>1026</v>
      </c>
      <c r="M253" s="33">
        <v>1.0</v>
      </c>
      <c r="N253" s="31" t="s">
        <v>1027</v>
      </c>
      <c r="O253" s="34"/>
    </row>
    <row r="254">
      <c r="A254" s="51">
        <v>45609.0</v>
      </c>
      <c r="B254" s="32" t="s">
        <v>1028</v>
      </c>
      <c r="C254" s="32">
        <v>8.05011496584E11</v>
      </c>
      <c r="D254" s="32" t="s">
        <v>1029</v>
      </c>
      <c r="E254" s="32" t="s">
        <v>1030</v>
      </c>
      <c r="F254" s="32" t="s">
        <v>1031</v>
      </c>
      <c r="G254" s="32" t="s">
        <v>20</v>
      </c>
      <c r="H254" s="32" t="s">
        <v>20</v>
      </c>
      <c r="I254" s="32">
        <v>4400.0</v>
      </c>
      <c r="J254" s="32" t="s">
        <v>1032</v>
      </c>
      <c r="K254" s="32" t="s">
        <v>1025</v>
      </c>
      <c r="L254" s="32" t="s">
        <v>1026</v>
      </c>
      <c r="M254" s="35">
        <v>1.0</v>
      </c>
      <c r="N254" s="32" t="s">
        <v>1033</v>
      </c>
      <c r="O254" s="36"/>
    </row>
    <row r="255">
      <c r="A255" s="52">
        <v>45609.0</v>
      </c>
      <c r="B255" s="31" t="s">
        <v>1034</v>
      </c>
      <c r="C255" s="31">
        <v>8.05011500036E11</v>
      </c>
      <c r="D255" s="31" t="s">
        <v>1035</v>
      </c>
      <c r="E255" s="31" t="s">
        <v>1036</v>
      </c>
      <c r="F255" s="31" t="s">
        <v>1037</v>
      </c>
      <c r="G255" s="31" t="s">
        <v>1038</v>
      </c>
      <c r="H255" s="31" t="s">
        <v>20</v>
      </c>
      <c r="I255" s="31">
        <v>4401.0</v>
      </c>
      <c r="J255" s="31" t="s">
        <v>1039</v>
      </c>
      <c r="K255" s="31" t="s">
        <v>1040</v>
      </c>
      <c r="L255" s="31" t="s">
        <v>1041</v>
      </c>
      <c r="M255" s="33">
        <v>1.0</v>
      </c>
      <c r="N255" s="31" t="s">
        <v>1042</v>
      </c>
      <c r="O255" s="34"/>
    </row>
    <row r="256">
      <c r="A256" s="51">
        <v>45609.0</v>
      </c>
      <c r="B256" s="32" t="s">
        <v>1043</v>
      </c>
      <c r="C256" s="32">
        <v>8.05011499373E11</v>
      </c>
      <c r="D256" s="32" t="s">
        <v>980</v>
      </c>
      <c r="E256" s="32" t="s">
        <v>981</v>
      </c>
      <c r="F256" s="32" t="s">
        <v>982</v>
      </c>
      <c r="G256" s="32" t="s">
        <v>983</v>
      </c>
      <c r="H256" s="32" t="s">
        <v>20</v>
      </c>
      <c r="I256" s="32">
        <v>4400.0</v>
      </c>
      <c r="J256" s="32" t="s">
        <v>984</v>
      </c>
      <c r="K256" s="32" t="s">
        <v>1044</v>
      </c>
      <c r="L256" s="32" t="s">
        <v>1045</v>
      </c>
      <c r="M256" s="35">
        <v>1.0</v>
      </c>
      <c r="N256" s="32" t="s">
        <v>987</v>
      </c>
      <c r="O256" s="32" t="s">
        <v>988</v>
      </c>
    </row>
    <row r="257">
      <c r="A257" s="52">
        <v>45609.0</v>
      </c>
      <c r="B257" s="31" t="s">
        <v>1046</v>
      </c>
      <c r="C257" s="31">
        <v>8.05011500221E11</v>
      </c>
      <c r="D257" s="31" t="s">
        <v>1047</v>
      </c>
      <c r="E257" s="31" t="s">
        <v>1048</v>
      </c>
      <c r="F257" s="31" t="s">
        <v>1049</v>
      </c>
      <c r="G257" s="31" t="s">
        <v>1050</v>
      </c>
      <c r="H257" s="31" t="s">
        <v>20</v>
      </c>
      <c r="I257" s="31">
        <v>4401.0</v>
      </c>
      <c r="J257" s="31" t="s">
        <v>1051</v>
      </c>
      <c r="K257" s="31" t="s">
        <v>761</v>
      </c>
      <c r="L257" s="31" t="s">
        <v>762</v>
      </c>
      <c r="M257" s="33">
        <v>1.0</v>
      </c>
      <c r="N257" s="31" t="s">
        <v>1052</v>
      </c>
      <c r="O257" s="31" t="s">
        <v>261</v>
      </c>
    </row>
    <row r="258">
      <c r="A258" s="51">
        <v>45609.0</v>
      </c>
      <c r="B258" s="32" t="s">
        <v>1053</v>
      </c>
      <c r="C258" s="32">
        <v>8.05011502387E11</v>
      </c>
      <c r="D258" s="32" t="s">
        <v>1054</v>
      </c>
      <c r="E258" s="32" t="s">
        <v>1055</v>
      </c>
      <c r="F258" s="32" t="s">
        <v>1056</v>
      </c>
      <c r="G258" s="32" t="s">
        <v>20</v>
      </c>
      <c r="H258" s="32" t="s">
        <v>20</v>
      </c>
      <c r="I258" s="32">
        <v>4400.0</v>
      </c>
      <c r="J258" s="32" t="s">
        <v>1057</v>
      </c>
      <c r="K258" s="32" t="s">
        <v>1058</v>
      </c>
      <c r="L258" s="32" t="s">
        <v>1059</v>
      </c>
      <c r="M258" s="35">
        <v>1.0</v>
      </c>
      <c r="N258" s="32" t="s">
        <v>1060</v>
      </c>
      <c r="O258" s="32"/>
    </row>
    <row r="259">
      <c r="A259" s="51">
        <v>45609.0</v>
      </c>
      <c r="B259" s="32" t="s">
        <v>1053</v>
      </c>
      <c r="C259" s="32">
        <v>8.05011502387E11</v>
      </c>
      <c r="D259" s="32" t="s">
        <v>1054</v>
      </c>
      <c r="E259" s="32" t="s">
        <v>1055</v>
      </c>
      <c r="F259" s="32" t="s">
        <v>1056</v>
      </c>
      <c r="G259" s="32" t="s">
        <v>20</v>
      </c>
      <c r="H259" s="32" t="s">
        <v>20</v>
      </c>
      <c r="I259" s="32">
        <v>4400.0</v>
      </c>
      <c r="J259" s="32" t="s">
        <v>1057</v>
      </c>
      <c r="K259" s="32" t="s">
        <v>1061</v>
      </c>
      <c r="L259" s="32" t="s">
        <v>1062</v>
      </c>
      <c r="M259" s="35">
        <v>1.0</v>
      </c>
      <c r="N259" s="32" t="s">
        <v>1060</v>
      </c>
      <c r="O259" s="32"/>
    </row>
    <row r="260">
      <c r="A260" s="61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3"/>
      <c r="N260" s="62"/>
      <c r="O260" s="62"/>
    </row>
    <row r="261">
      <c r="A261" s="61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3"/>
      <c r="N261" s="62"/>
      <c r="O261" s="62"/>
    </row>
    <row r="262">
      <c r="A262" s="51">
        <v>45616.0</v>
      </c>
      <c r="B262" s="32" t="s">
        <v>1063</v>
      </c>
      <c r="C262" s="32">
        <v>8.07025028129E11</v>
      </c>
      <c r="D262" s="32" t="s">
        <v>1064</v>
      </c>
      <c r="E262" s="32" t="s">
        <v>1065</v>
      </c>
      <c r="F262" s="32" t="s">
        <v>1066</v>
      </c>
      <c r="G262" s="32" t="s">
        <v>127</v>
      </c>
      <c r="H262" s="32" t="s">
        <v>20</v>
      </c>
      <c r="I262" s="32">
        <v>4400.0</v>
      </c>
      <c r="J262" s="32" t="s">
        <v>1067</v>
      </c>
      <c r="K262" s="32" t="s">
        <v>812</v>
      </c>
      <c r="L262" s="32" t="s">
        <v>813</v>
      </c>
      <c r="M262" s="35">
        <v>1.0</v>
      </c>
      <c r="N262" s="32" t="s">
        <v>1068</v>
      </c>
      <c r="O262" s="32" t="s">
        <v>1069</v>
      </c>
    </row>
    <row r="263">
      <c r="A263" s="51">
        <v>45616.0</v>
      </c>
      <c r="B263" s="32" t="s">
        <v>1063</v>
      </c>
      <c r="C263" s="32">
        <v>8.07025028129E11</v>
      </c>
      <c r="D263" s="32" t="s">
        <v>1064</v>
      </c>
      <c r="E263" s="32" t="s">
        <v>1065</v>
      </c>
      <c r="F263" s="32" t="s">
        <v>1066</v>
      </c>
      <c r="G263" s="32" t="s">
        <v>127</v>
      </c>
      <c r="H263" s="32" t="s">
        <v>20</v>
      </c>
      <c r="I263" s="32">
        <v>4400.0</v>
      </c>
      <c r="J263" s="32" t="s">
        <v>1067</v>
      </c>
      <c r="K263" s="32" t="s">
        <v>512</v>
      </c>
      <c r="L263" s="32" t="s">
        <v>513</v>
      </c>
      <c r="M263" s="35">
        <v>1.0</v>
      </c>
      <c r="N263" s="32" t="s">
        <v>1068</v>
      </c>
      <c r="O263" s="32" t="s">
        <v>1069</v>
      </c>
    </row>
    <row r="264">
      <c r="A264" s="51">
        <v>45616.0</v>
      </c>
      <c r="B264" s="32" t="s">
        <v>1063</v>
      </c>
      <c r="C264" s="32">
        <v>8.07025028129E11</v>
      </c>
      <c r="D264" s="32" t="s">
        <v>1064</v>
      </c>
      <c r="E264" s="32" t="s">
        <v>1065</v>
      </c>
      <c r="F264" s="32" t="s">
        <v>1066</v>
      </c>
      <c r="G264" s="32" t="s">
        <v>127</v>
      </c>
      <c r="H264" s="32" t="s">
        <v>20</v>
      </c>
      <c r="I264" s="32">
        <v>4400.0</v>
      </c>
      <c r="J264" s="32" t="s">
        <v>1067</v>
      </c>
      <c r="K264" s="32" t="s">
        <v>35</v>
      </c>
      <c r="L264" s="32" t="s">
        <v>36</v>
      </c>
      <c r="M264" s="35">
        <v>1.0</v>
      </c>
      <c r="N264" s="32" t="s">
        <v>1068</v>
      </c>
      <c r="O264" s="32" t="s">
        <v>1069</v>
      </c>
    </row>
    <row r="265">
      <c r="A265" s="52">
        <v>45616.0</v>
      </c>
      <c r="B265" s="31" t="s">
        <v>1070</v>
      </c>
      <c r="C265" s="31">
        <v>8.07025028151E11</v>
      </c>
      <c r="D265" s="31" t="s">
        <v>1071</v>
      </c>
      <c r="E265" s="31" t="s">
        <v>1072</v>
      </c>
      <c r="F265" s="31" t="s">
        <v>1073</v>
      </c>
      <c r="G265" s="31" t="s">
        <v>127</v>
      </c>
      <c r="H265" s="31" t="s">
        <v>20</v>
      </c>
      <c r="I265" s="31">
        <v>4400.0</v>
      </c>
      <c r="J265" s="31" t="s">
        <v>1074</v>
      </c>
      <c r="K265" s="31" t="s">
        <v>1075</v>
      </c>
      <c r="L265" s="31" t="s">
        <v>1076</v>
      </c>
      <c r="M265" s="33">
        <v>1.0</v>
      </c>
      <c r="N265" s="31" t="s">
        <v>1077</v>
      </c>
      <c r="O265" s="34"/>
    </row>
    <row r="266">
      <c r="A266" s="52">
        <v>45616.0</v>
      </c>
      <c r="B266" s="31" t="s">
        <v>1070</v>
      </c>
      <c r="C266" s="31">
        <v>8.07025028151E11</v>
      </c>
      <c r="D266" s="31" t="s">
        <v>1071</v>
      </c>
      <c r="E266" s="31" t="s">
        <v>1072</v>
      </c>
      <c r="F266" s="31" t="s">
        <v>1073</v>
      </c>
      <c r="G266" s="31" t="s">
        <v>127</v>
      </c>
      <c r="H266" s="31" t="s">
        <v>20</v>
      </c>
      <c r="I266" s="31">
        <v>4400.0</v>
      </c>
      <c r="J266" s="31" t="s">
        <v>1074</v>
      </c>
      <c r="K266" s="31" t="s">
        <v>381</v>
      </c>
      <c r="L266" s="31" t="s">
        <v>382</v>
      </c>
      <c r="M266" s="33">
        <v>2.0</v>
      </c>
      <c r="N266" s="31" t="s">
        <v>1077</v>
      </c>
      <c r="O266" s="34"/>
    </row>
    <row r="267">
      <c r="A267" s="51">
        <v>45616.0</v>
      </c>
      <c r="B267" s="32" t="s">
        <v>1078</v>
      </c>
      <c r="C267" s="32">
        <v>8.07025028153E11</v>
      </c>
      <c r="D267" s="32" t="s">
        <v>1079</v>
      </c>
      <c r="E267" s="32" t="s">
        <v>1080</v>
      </c>
      <c r="F267" s="32" t="s">
        <v>1081</v>
      </c>
      <c r="G267" s="32" t="s">
        <v>127</v>
      </c>
      <c r="H267" s="32" t="s">
        <v>20</v>
      </c>
      <c r="I267" s="32">
        <v>4400.0</v>
      </c>
      <c r="J267" s="32" t="s">
        <v>1082</v>
      </c>
      <c r="K267" s="32" t="s">
        <v>1083</v>
      </c>
      <c r="L267" s="32" t="s">
        <v>1084</v>
      </c>
      <c r="M267" s="35">
        <v>1.0</v>
      </c>
      <c r="N267" s="32" t="s">
        <v>1085</v>
      </c>
      <c r="O267" s="32" t="s">
        <v>1086</v>
      </c>
    </row>
    <row r="268">
      <c r="A268" s="51">
        <v>45616.0</v>
      </c>
      <c r="B268" s="32" t="s">
        <v>1078</v>
      </c>
      <c r="C268" s="32">
        <v>8.07025028153E11</v>
      </c>
      <c r="D268" s="32" t="s">
        <v>1079</v>
      </c>
      <c r="E268" s="32" t="s">
        <v>1080</v>
      </c>
      <c r="F268" s="32" t="s">
        <v>1081</v>
      </c>
      <c r="G268" s="32" t="s">
        <v>127</v>
      </c>
      <c r="H268" s="32" t="s">
        <v>20</v>
      </c>
      <c r="I268" s="32">
        <v>4400.0</v>
      </c>
      <c r="J268" s="32" t="s">
        <v>1082</v>
      </c>
      <c r="K268" s="32" t="s">
        <v>512</v>
      </c>
      <c r="L268" s="32" t="s">
        <v>513</v>
      </c>
      <c r="M268" s="35">
        <v>2.0</v>
      </c>
      <c r="N268" s="32" t="s">
        <v>1085</v>
      </c>
      <c r="O268" s="32" t="s">
        <v>1086</v>
      </c>
    </row>
    <row r="269">
      <c r="A269" s="51">
        <v>45616.0</v>
      </c>
      <c r="B269" s="32" t="s">
        <v>1078</v>
      </c>
      <c r="C269" s="32">
        <v>8.07025028153E11</v>
      </c>
      <c r="D269" s="32" t="s">
        <v>1079</v>
      </c>
      <c r="E269" s="32" t="s">
        <v>1080</v>
      </c>
      <c r="F269" s="32" t="s">
        <v>1081</v>
      </c>
      <c r="G269" s="32" t="s">
        <v>127</v>
      </c>
      <c r="H269" s="32" t="s">
        <v>20</v>
      </c>
      <c r="I269" s="32">
        <v>4400.0</v>
      </c>
      <c r="J269" s="32" t="s">
        <v>1082</v>
      </c>
      <c r="K269" s="32" t="s">
        <v>121</v>
      </c>
      <c r="L269" s="32" t="s">
        <v>122</v>
      </c>
      <c r="M269" s="35">
        <v>2.0</v>
      </c>
      <c r="N269" s="32" t="s">
        <v>1085</v>
      </c>
      <c r="O269" s="32" t="s">
        <v>1086</v>
      </c>
    </row>
    <row r="270">
      <c r="A270" s="52">
        <v>45616.0</v>
      </c>
      <c r="B270" s="31" t="s">
        <v>1087</v>
      </c>
      <c r="C270" s="31">
        <v>8.0742900432E11</v>
      </c>
      <c r="D270" s="31" t="s">
        <v>1088</v>
      </c>
      <c r="E270" s="31" t="s">
        <v>1089</v>
      </c>
      <c r="F270" s="31" t="s">
        <v>1090</v>
      </c>
      <c r="G270" s="31" t="s">
        <v>1091</v>
      </c>
      <c r="H270" s="31" t="s">
        <v>20</v>
      </c>
      <c r="I270" s="31">
        <v>4401.0</v>
      </c>
      <c r="J270" s="31" t="s">
        <v>1092</v>
      </c>
      <c r="K270" s="31" t="s">
        <v>768</v>
      </c>
      <c r="L270" s="31" t="s">
        <v>769</v>
      </c>
      <c r="M270" s="33">
        <v>1.0</v>
      </c>
      <c r="N270" s="31" t="s">
        <v>1093</v>
      </c>
      <c r="O270" s="31" t="s">
        <v>1094</v>
      </c>
    </row>
    <row r="271">
      <c r="A271" s="52">
        <v>45616.0</v>
      </c>
      <c r="B271" s="31" t="s">
        <v>1087</v>
      </c>
      <c r="C271" s="31">
        <v>8.0742900432E11</v>
      </c>
      <c r="D271" s="31" t="s">
        <v>1088</v>
      </c>
      <c r="E271" s="31" t="s">
        <v>1089</v>
      </c>
      <c r="F271" s="31" t="s">
        <v>1090</v>
      </c>
      <c r="G271" s="31" t="s">
        <v>1091</v>
      </c>
      <c r="H271" s="31" t="s">
        <v>20</v>
      </c>
      <c r="I271" s="31">
        <v>4401.0</v>
      </c>
      <c r="J271" s="31" t="s">
        <v>1092</v>
      </c>
      <c r="K271" s="31" t="s">
        <v>512</v>
      </c>
      <c r="L271" s="31" t="s">
        <v>513</v>
      </c>
      <c r="M271" s="33">
        <v>2.0</v>
      </c>
      <c r="N271" s="31" t="s">
        <v>1093</v>
      </c>
      <c r="O271" s="31" t="s">
        <v>1094</v>
      </c>
    </row>
    <row r="272">
      <c r="A272" s="52">
        <v>45616.0</v>
      </c>
      <c r="B272" s="31" t="s">
        <v>1087</v>
      </c>
      <c r="C272" s="31">
        <v>8.0742900432E11</v>
      </c>
      <c r="D272" s="31" t="s">
        <v>1088</v>
      </c>
      <c r="E272" s="31" t="s">
        <v>1089</v>
      </c>
      <c r="F272" s="31" t="s">
        <v>1090</v>
      </c>
      <c r="G272" s="31" t="s">
        <v>1091</v>
      </c>
      <c r="H272" s="31" t="s">
        <v>20</v>
      </c>
      <c r="I272" s="31">
        <v>4401.0</v>
      </c>
      <c r="J272" s="31" t="s">
        <v>1092</v>
      </c>
      <c r="K272" s="31" t="s">
        <v>772</v>
      </c>
      <c r="L272" s="31" t="s">
        <v>773</v>
      </c>
      <c r="M272" s="33">
        <v>2.0</v>
      </c>
      <c r="N272" s="31" t="s">
        <v>1093</v>
      </c>
      <c r="O272" s="31" t="s">
        <v>1094</v>
      </c>
    </row>
    <row r="273">
      <c r="A273" s="51">
        <v>45616.0</v>
      </c>
      <c r="B273" s="32" t="s">
        <v>1095</v>
      </c>
      <c r="C273" s="32">
        <v>8.05011500074E11</v>
      </c>
      <c r="D273" s="32" t="s">
        <v>1096</v>
      </c>
      <c r="E273" s="32" t="s">
        <v>1097</v>
      </c>
      <c r="F273" s="32" t="s">
        <v>1098</v>
      </c>
      <c r="G273" s="32" t="s">
        <v>20</v>
      </c>
      <c r="H273" s="32" t="s">
        <v>20</v>
      </c>
      <c r="I273" s="32">
        <v>4400.0</v>
      </c>
      <c r="J273" s="32" t="s">
        <v>1099</v>
      </c>
      <c r="K273" s="32" t="s">
        <v>1100</v>
      </c>
      <c r="L273" s="32" t="s">
        <v>1101</v>
      </c>
      <c r="M273" s="35">
        <v>1.0</v>
      </c>
      <c r="N273" s="32" t="s">
        <v>1102</v>
      </c>
      <c r="O273" s="36"/>
    </row>
    <row r="274">
      <c r="A274" s="51">
        <v>45616.0</v>
      </c>
      <c r="B274" s="32" t="s">
        <v>1095</v>
      </c>
      <c r="C274" s="32">
        <v>8.05011500074E11</v>
      </c>
      <c r="D274" s="32" t="s">
        <v>1096</v>
      </c>
      <c r="E274" s="32" t="s">
        <v>1097</v>
      </c>
      <c r="F274" s="32" t="s">
        <v>1098</v>
      </c>
      <c r="G274" s="32" t="s">
        <v>20</v>
      </c>
      <c r="H274" s="32" t="s">
        <v>20</v>
      </c>
      <c r="I274" s="32">
        <v>4400.0</v>
      </c>
      <c r="J274" s="32" t="s">
        <v>1099</v>
      </c>
      <c r="K274" s="32" t="s">
        <v>512</v>
      </c>
      <c r="L274" s="32" t="s">
        <v>513</v>
      </c>
      <c r="M274" s="35">
        <v>2.0</v>
      </c>
      <c r="N274" s="32" t="s">
        <v>1102</v>
      </c>
      <c r="O274" s="36"/>
    </row>
    <row r="275">
      <c r="A275" s="51">
        <v>45616.0</v>
      </c>
      <c r="B275" s="32" t="s">
        <v>1095</v>
      </c>
      <c r="C275" s="32">
        <v>8.05011500074E11</v>
      </c>
      <c r="D275" s="32" t="s">
        <v>1096</v>
      </c>
      <c r="E275" s="32" t="s">
        <v>1097</v>
      </c>
      <c r="F275" s="32" t="s">
        <v>1098</v>
      </c>
      <c r="G275" s="32" t="s">
        <v>20</v>
      </c>
      <c r="H275" s="32" t="s">
        <v>20</v>
      </c>
      <c r="I275" s="32">
        <v>4400.0</v>
      </c>
      <c r="J275" s="32" t="s">
        <v>1099</v>
      </c>
      <c r="K275" s="32" t="s">
        <v>727</v>
      </c>
      <c r="L275" s="32" t="s">
        <v>728</v>
      </c>
      <c r="M275" s="35">
        <v>2.0</v>
      </c>
      <c r="N275" s="32" t="s">
        <v>1102</v>
      </c>
      <c r="O275" s="36"/>
    </row>
    <row r="276">
      <c r="A276" s="52">
        <v>45616.0</v>
      </c>
      <c r="B276" s="31" t="s">
        <v>1103</v>
      </c>
      <c r="C276" s="31">
        <v>8.05011500663E11</v>
      </c>
      <c r="D276" s="31" t="s">
        <v>1104</v>
      </c>
      <c r="E276" s="31" t="s">
        <v>1105</v>
      </c>
      <c r="F276" s="31" t="s">
        <v>1106</v>
      </c>
      <c r="G276" s="31" t="s">
        <v>20</v>
      </c>
      <c r="H276" s="31" t="s">
        <v>20</v>
      </c>
      <c r="I276" s="31">
        <v>4400.0</v>
      </c>
      <c r="J276" s="31" t="s">
        <v>1107</v>
      </c>
      <c r="K276" s="31" t="s">
        <v>761</v>
      </c>
      <c r="L276" s="31" t="s">
        <v>762</v>
      </c>
      <c r="M276" s="33">
        <v>1.0</v>
      </c>
      <c r="N276" s="31" t="s">
        <v>1108</v>
      </c>
      <c r="O276" s="31" t="s">
        <v>261</v>
      </c>
    </row>
    <row r="277">
      <c r="A277" s="52">
        <v>45616.0</v>
      </c>
      <c r="B277" s="31" t="s">
        <v>1103</v>
      </c>
      <c r="C277" s="31">
        <v>8.05011500663E11</v>
      </c>
      <c r="D277" s="31" t="s">
        <v>1104</v>
      </c>
      <c r="E277" s="31" t="s">
        <v>1105</v>
      </c>
      <c r="F277" s="31" t="s">
        <v>1106</v>
      </c>
      <c r="G277" s="31" t="s">
        <v>20</v>
      </c>
      <c r="H277" s="31" t="s">
        <v>20</v>
      </c>
      <c r="I277" s="31">
        <v>4400.0</v>
      </c>
      <c r="J277" s="31" t="s">
        <v>1107</v>
      </c>
      <c r="K277" s="31" t="s">
        <v>512</v>
      </c>
      <c r="L277" s="31" t="s">
        <v>513</v>
      </c>
      <c r="M277" s="33">
        <v>2.0</v>
      </c>
      <c r="N277" s="31" t="s">
        <v>1108</v>
      </c>
      <c r="O277" s="31" t="s">
        <v>261</v>
      </c>
    </row>
    <row r="278">
      <c r="A278" s="52">
        <v>45616.0</v>
      </c>
      <c r="B278" s="31" t="s">
        <v>1103</v>
      </c>
      <c r="C278" s="31">
        <v>8.05011500663E11</v>
      </c>
      <c r="D278" s="31" t="s">
        <v>1104</v>
      </c>
      <c r="E278" s="31" t="s">
        <v>1105</v>
      </c>
      <c r="F278" s="31" t="s">
        <v>1106</v>
      </c>
      <c r="G278" s="31" t="s">
        <v>20</v>
      </c>
      <c r="H278" s="31" t="s">
        <v>20</v>
      </c>
      <c r="I278" s="31">
        <v>4400.0</v>
      </c>
      <c r="J278" s="31" t="s">
        <v>1107</v>
      </c>
      <c r="K278" s="31" t="s">
        <v>758</v>
      </c>
      <c r="L278" s="31" t="s">
        <v>759</v>
      </c>
      <c r="M278" s="33">
        <v>2.0</v>
      </c>
      <c r="N278" s="31" t="s">
        <v>1108</v>
      </c>
      <c r="O278" s="31" t="s">
        <v>261</v>
      </c>
    </row>
    <row r="279">
      <c r="A279" s="51">
        <v>45616.0</v>
      </c>
      <c r="B279" s="32" t="s">
        <v>1109</v>
      </c>
      <c r="C279" s="32">
        <v>8.05011500159E11</v>
      </c>
      <c r="D279" s="32" t="s">
        <v>1110</v>
      </c>
      <c r="E279" s="32" t="s">
        <v>1111</v>
      </c>
      <c r="F279" s="32" t="s">
        <v>1112</v>
      </c>
      <c r="G279" s="32" t="s">
        <v>1113</v>
      </c>
      <c r="H279" s="32" t="s">
        <v>20</v>
      </c>
      <c r="I279" s="32">
        <v>4401.0</v>
      </c>
      <c r="J279" s="32" t="s">
        <v>1114</v>
      </c>
      <c r="K279" s="32" t="s">
        <v>1115</v>
      </c>
      <c r="L279" s="32" t="s">
        <v>1116</v>
      </c>
      <c r="M279" s="35">
        <v>1.0</v>
      </c>
      <c r="N279" s="32" t="s">
        <v>1117</v>
      </c>
      <c r="O279" s="36"/>
    </row>
    <row r="280">
      <c r="A280" s="52">
        <v>45616.0</v>
      </c>
      <c r="B280" s="31" t="s">
        <v>1118</v>
      </c>
      <c r="C280" s="31">
        <v>8.050115002E11</v>
      </c>
      <c r="D280" s="31" t="s">
        <v>1119</v>
      </c>
      <c r="E280" s="31" t="s">
        <v>1120</v>
      </c>
      <c r="F280" s="31" t="s">
        <v>1121</v>
      </c>
      <c r="G280" s="31" t="s">
        <v>58</v>
      </c>
      <c r="H280" s="31" t="s">
        <v>20</v>
      </c>
      <c r="I280" s="31">
        <v>4400.0</v>
      </c>
      <c r="J280" s="31" t="s">
        <v>1122</v>
      </c>
      <c r="K280" s="31" t="s">
        <v>761</v>
      </c>
      <c r="L280" s="31" t="s">
        <v>762</v>
      </c>
      <c r="M280" s="33">
        <v>1.0</v>
      </c>
      <c r="N280" s="31" t="s">
        <v>1123</v>
      </c>
      <c r="O280" s="34"/>
    </row>
    <row r="281">
      <c r="A281" s="52">
        <v>45616.0</v>
      </c>
      <c r="B281" s="31" t="s">
        <v>1118</v>
      </c>
      <c r="C281" s="31">
        <v>8.050115002E11</v>
      </c>
      <c r="D281" s="31" t="s">
        <v>1119</v>
      </c>
      <c r="E281" s="31" t="s">
        <v>1120</v>
      </c>
      <c r="F281" s="31" t="s">
        <v>1121</v>
      </c>
      <c r="G281" s="31" t="s">
        <v>58</v>
      </c>
      <c r="H281" s="31" t="s">
        <v>20</v>
      </c>
      <c r="I281" s="31">
        <v>4400.0</v>
      </c>
      <c r="J281" s="31" t="s">
        <v>1122</v>
      </c>
      <c r="K281" s="31" t="s">
        <v>512</v>
      </c>
      <c r="L281" s="31" t="s">
        <v>513</v>
      </c>
      <c r="M281" s="33">
        <v>2.0</v>
      </c>
      <c r="N281" s="31" t="s">
        <v>1123</v>
      </c>
      <c r="O281" s="34"/>
    </row>
    <row r="282">
      <c r="A282" s="52">
        <v>45616.0</v>
      </c>
      <c r="B282" s="31" t="s">
        <v>1118</v>
      </c>
      <c r="C282" s="31">
        <v>8.050115002E11</v>
      </c>
      <c r="D282" s="31" t="s">
        <v>1119</v>
      </c>
      <c r="E282" s="31" t="s">
        <v>1120</v>
      </c>
      <c r="F282" s="31" t="s">
        <v>1121</v>
      </c>
      <c r="G282" s="31" t="s">
        <v>58</v>
      </c>
      <c r="H282" s="31" t="s">
        <v>20</v>
      </c>
      <c r="I282" s="31">
        <v>4400.0</v>
      </c>
      <c r="J282" s="31" t="s">
        <v>1122</v>
      </c>
      <c r="K282" s="31" t="s">
        <v>758</v>
      </c>
      <c r="L282" s="31" t="s">
        <v>759</v>
      </c>
      <c r="M282" s="33">
        <v>2.0</v>
      </c>
      <c r="N282" s="31" t="s">
        <v>1123</v>
      </c>
      <c r="O282" s="34"/>
    </row>
    <row r="283">
      <c r="A283" s="51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5"/>
      <c r="N283" s="32"/>
      <c r="O283" s="32"/>
    </row>
    <row r="284">
      <c r="A284" s="51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5"/>
      <c r="N284" s="32"/>
      <c r="O284" s="32"/>
    </row>
    <row r="285">
      <c r="A285" s="51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5"/>
      <c r="N285" s="32"/>
      <c r="O285" s="32"/>
    </row>
    <row r="286">
      <c r="A286" s="52">
        <v>45616.0</v>
      </c>
      <c r="B286" s="31" t="s">
        <v>1124</v>
      </c>
      <c r="C286" s="31">
        <v>8.05011500337E11</v>
      </c>
      <c r="D286" s="31" t="s">
        <v>1125</v>
      </c>
      <c r="E286" s="31" t="s">
        <v>1126</v>
      </c>
      <c r="F286" s="31" t="s">
        <v>1127</v>
      </c>
      <c r="G286" s="31" t="s">
        <v>20</v>
      </c>
      <c r="H286" s="31" t="s">
        <v>20</v>
      </c>
      <c r="I286" s="31">
        <v>4400.0</v>
      </c>
      <c r="J286" s="31" t="s">
        <v>1128</v>
      </c>
      <c r="K286" s="31" t="s">
        <v>1129</v>
      </c>
      <c r="L286" s="31" t="s">
        <v>1130</v>
      </c>
      <c r="M286" s="33">
        <v>1.0</v>
      </c>
      <c r="N286" s="31" t="s">
        <v>1131</v>
      </c>
      <c r="O286" s="34"/>
    </row>
    <row r="287">
      <c r="A287" s="52">
        <v>45616.0</v>
      </c>
      <c r="B287" s="31" t="s">
        <v>1124</v>
      </c>
      <c r="C287" s="31">
        <v>8.05011500337E11</v>
      </c>
      <c r="D287" s="31" t="s">
        <v>1125</v>
      </c>
      <c r="E287" s="31" t="s">
        <v>1126</v>
      </c>
      <c r="F287" s="31" t="s">
        <v>1127</v>
      </c>
      <c r="G287" s="31" t="s">
        <v>20</v>
      </c>
      <c r="H287" s="31" t="s">
        <v>20</v>
      </c>
      <c r="I287" s="31">
        <v>4400.0</v>
      </c>
      <c r="J287" s="31" t="s">
        <v>1128</v>
      </c>
      <c r="K287" s="31" t="s">
        <v>512</v>
      </c>
      <c r="L287" s="31" t="s">
        <v>513</v>
      </c>
      <c r="M287" s="33">
        <v>1.0</v>
      </c>
      <c r="N287" s="31" t="s">
        <v>1131</v>
      </c>
      <c r="O287" s="34"/>
    </row>
    <row r="288">
      <c r="A288" s="52">
        <v>45616.0</v>
      </c>
      <c r="B288" s="31" t="s">
        <v>1124</v>
      </c>
      <c r="C288" s="31">
        <v>8.05011500337E11</v>
      </c>
      <c r="D288" s="31" t="s">
        <v>1125</v>
      </c>
      <c r="E288" s="31" t="s">
        <v>1126</v>
      </c>
      <c r="F288" s="31" t="s">
        <v>1127</v>
      </c>
      <c r="G288" s="31" t="s">
        <v>20</v>
      </c>
      <c r="H288" s="31" t="s">
        <v>20</v>
      </c>
      <c r="I288" s="31">
        <v>4400.0</v>
      </c>
      <c r="J288" s="31" t="s">
        <v>1128</v>
      </c>
      <c r="K288" s="31" t="s">
        <v>110</v>
      </c>
      <c r="L288" s="31" t="s">
        <v>111</v>
      </c>
      <c r="M288" s="33">
        <v>1.0</v>
      </c>
      <c r="N288" s="31" t="s">
        <v>1131</v>
      </c>
      <c r="O288" s="34"/>
    </row>
    <row r="289">
      <c r="A289" s="51">
        <v>45616.0</v>
      </c>
      <c r="B289" s="32" t="s">
        <v>1132</v>
      </c>
      <c r="C289" s="32">
        <v>8.05011500579E11</v>
      </c>
      <c r="D289" s="32" t="s">
        <v>1133</v>
      </c>
      <c r="E289" s="32" t="s">
        <v>1134</v>
      </c>
      <c r="F289" s="32" t="s">
        <v>1135</v>
      </c>
      <c r="G289" s="32" t="s">
        <v>20</v>
      </c>
      <c r="H289" s="32" t="s">
        <v>20</v>
      </c>
      <c r="I289" s="32">
        <v>4400.0</v>
      </c>
      <c r="J289" s="32" t="s">
        <v>1136</v>
      </c>
      <c r="K289" s="32" t="s">
        <v>617</v>
      </c>
      <c r="L289" s="32" t="s">
        <v>618</v>
      </c>
      <c r="M289" s="35">
        <v>1.0</v>
      </c>
      <c r="N289" s="32" t="s">
        <v>1137</v>
      </c>
      <c r="O289" s="36"/>
    </row>
    <row r="290">
      <c r="A290" s="51">
        <v>45616.0</v>
      </c>
      <c r="B290" s="32" t="s">
        <v>1132</v>
      </c>
      <c r="C290" s="32">
        <v>8.05011500579E11</v>
      </c>
      <c r="D290" s="32" t="s">
        <v>1133</v>
      </c>
      <c r="E290" s="32" t="s">
        <v>1134</v>
      </c>
      <c r="F290" s="32" t="s">
        <v>1135</v>
      </c>
      <c r="G290" s="32" t="s">
        <v>20</v>
      </c>
      <c r="H290" s="32" t="s">
        <v>20</v>
      </c>
      <c r="I290" s="32">
        <v>4400.0</v>
      </c>
      <c r="J290" s="32" t="s">
        <v>1136</v>
      </c>
      <c r="K290" s="32" t="s">
        <v>512</v>
      </c>
      <c r="L290" s="32" t="s">
        <v>513</v>
      </c>
      <c r="M290" s="35">
        <v>2.0</v>
      </c>
      <c r="N290" s="32" t="s">
        <v>1137</v>
      </c>
      <c r="O290" s="36"/>
    </row>
    <row r="291">
      <c r="A291" s="51">
        <v>45616.0</v>
      </c>
      <c r="B291" s="32" t="s">
        <v>1132</v>
      </c>
      <c r="C291" s="32">
        <v>8.05011500579E11</v>
      </c>
      <c r="D291" s="32" t="s">
        <v>1133</v>
      </c>
      <c r="E291" s="32" t="s">
        <v>1134</v>
      </c>
      <c r="F291" s="32" t="s">
        <v>1135</v>
      </c>
      <c r="G291" s="32" t="s">
        <v>20</v>
      </c>
      <c r="H291" s="32" t="s">
        <v>20</v>
      </c>
      <c r="I291" s="32">
        <v>4400.0</v>
      </c>
      <c r="J291" s="32" t="s">
        <v>1136</v>
      </c>
      <c r="K291" s="32" t="s">
        <v>645</v>
      </c>
      <c r="L291" s="32" t="s">
        <v>646</v>
      </c>
      <c r="M291" s="35">
        <v>2.0</v>
      </c>
      <c r="N291" s="32" t="s">
        <v>1137</v>
      </c>
      <c r="O291" s="36"/>
    </row>
    <row r="292">
      <c r="A292" s="52">
        <v>45616.0</v>
      </c>
      <c r="B292" s="31" t="s">
        <v>1138</v>
      </c>
      <c r="C292" s="31">
        <v>8.05011500471E11</v>
      </c>
      <c r="D292" s="31" t="s">
        <v>1139</v>
      </c>
      <c r="E292" s="31" t="s">
        <v>1140</v>
      </c>
      <c r="F292" s="31" t="s">
        <v>1141</v>
      </c>
      <c r="G292" s="31" t="s">
        <v>1142</v>
      </c>
      <c r="H292" s="31" t="s">
        <v>20</v>
      </c>
      <c r="I292" s="31">
        <v>4430.0</v>
      </c>
      <c r="J292" s="31" t="s">
        <v>1143</v>
      </c>
      <c r="K292" s="31" t="s">
        <v>32</v>
      </c>
      <c r="L292" s="31" t="s">
        <v>33</v>
      </c>
      <c r="M292" s="33">
        <v>1.0</v>
      </c>
      <c r="N292" s="31" t="s">
        <v>1144</v>
      </c>
      <c r="O292" s="34"/>
    </row>
    <row r="293">
      <c r="A293" s="52">
        <v>45616.0</v>
      </c>
      <c r="B293" s="31" t="s">
        <v>1138</v>
      </c>
      <c r="C293" s="31">
        <v>8.05011500471E11</v>
      </c>
      <c r="D293" s="31" t="s">
        <v>1139</v>
      </c>
      <c r="E293" s="31" t="s">
        <v>1140</v>
      </c>
      <c r="F293" s="31" t="s">
        <v>1141</v>
      </c>
      <c r="G293" s="31" t="s">
        <v>1142</v>
      </c>
      <c r="H293" s="31" t="s">
        <v>20</v>
      </c>
      <c r="I293" s="31">
        <v>4430.0</v>
      </c>
      <c r="J293" s="31" t="s">
        <v>1143</v>
      </c>
      <c r="K293" s="31" t="s">
        <v>35</v>
      </c>
      <c r="L293" s="31" t="s">
        <v>36</v>
      </c>
      <c r="M293" s="33">
        <v>1.0</v>
      </c>
      <c r="N293" s="31" t="s">
        <v>1144</v>
      </c>
      <c r="O293" s="34"/>
    </row>
    <row r="294">
      <c r="A294" s="52">
        <v>45616.0</v>
      </c>
      <c r="B294" s="31" t="s">
        <v>1138</v>
      </c>
      <c r="C294" s="31">
        <v>8.05011500471E11</v>
      </c>
      <c r="D294" s="31" t="s">
        <v>1139</v>
      </c>
      <c r="E294" s="31" t="s">
        <v>1140</v>
      </c>
      <c r="F294" s="31" t="s">
        <v>1141</v>
      </c>
      <c r="G294" s="31" t="s">
        <v>1142</v>
      </c>
      <c r="H294" s="31" t="s">
        <v>20</v>
      </c>
      <c r="I294" s="31">
        <v>4430.0</v>
      </c>
      <c r="J294" s="31" t="s">
        <v>1143</v>
      </c>
      <c r="K294" s="31" t="s">
        <v>512</v>
      </c>
      <c r="L294" s="31" t="s">
        <v>513</v>
      </c>
      <c r="M294" s="33">
        <v>1.0</v>
      </c>
      <c r="N294" s="31" t="s">
        <v>1144</v>
      </c>
      <c r="O294" s="34"/>
    </row>
    <row r="295">
      <c r="A295" s="51">
        <v>45616.0</v>
      </c>
      <c r="B295" s="32" t="s">
        <v>1145</v>
      </c>
      <c r="C295" s="32">
        <v>8.0501150073E11</v>
      </c>
      <c r="D295" s="32" t="s">
        <v>1146</v>
      </c>
      <c r="E295" s="32" t="s">
        <v>1147</v>
      </c>
      <c r="F295" s="32" t="s">
        <v>1148</v>
      </c>
      <c r="G295" s="32" t="s">
        <v>1149</v>
      </c>
      <c r="H295" s="32" t="s">
        <v>20</v>
      </c>
      <c r="I295" s="32">
        <v>4400.0</v>
      </c>
      <c r="J295" s="32" t="s">
        <v>1150</v>
      </c>
      <c r="K295" s="32" t="s">
        <v>1025</v>
      </c>
      <c r="L295" s="32" t="s">
        <v>1026</v>
      </c>
      <c r="M295" s="35">
        <v>1.0</v>
      </c>
      <c r="N295" s="32" t="s">
        <v>1151</v>
      </c>
      <c r="O295" s="36"/>
    </row>
    <row r="296">
      <c r="A296" s="52">
        <v>45616.0</v>
      </c>
      <c r="B296" s="31" t="s">
        <v>1152</v>
      </c>
      <c r="C296" s="31">
        <v>8.07025028194E11</v>
      </c>
      <c r="D296" s="31" t="s">
        <v>1153</v>
      </c>
      <c r="E296" s="31" t="s">
        <v>1154</v>
      </c>
      <c r="F296" s="31" t="s">
        <v>1155</v>
      </c>
      <c r="G296" s="31" t="s">
        <v>1156</v>
      </c>
      <c r="H296" s="31" t="s">
        <v>20</v>
      </c>
      <c r="I296" s="31">
        <v>4531.0</v>
      </c>
      <c r="J296" s="31" t="s">
        <v>1157</v>
      </c>
      <c r="K296" s="31" t="s">
        <v>98</v>
      </c>
      <c r="L296" s="31" t="s">
        <v>99</v>
      </c>
      <c r="M296" s="33">
        <v>1.0</v>
      </c>
      <c r="N296" s="31" t="s">
        <v>1158</v>
      </c>
      <c r="O296" s="31" t="s">
        <v>1159</v>
      </c>
    </row>
    <row r="297">
      <c r="A297" s="51">
        <v>45616.0</v>
      </c>
      <c r="B297" s="32" t="s">
        <v>1160</v>
      </c>
      <c r="C297" s="32">
        <v>8.05011501166E11</v>
      </c>
      <c r="D297" s="32" t="s">
        <v>1161</v>
      </c>
      <c r="E297" s="32" t="s">
        <v>1162</v>
      </c>
      <c r="F297" s="32" t="s">
        <v>1163</v>
      </c>
      <c r="G297" s="32" t="s">
        <v>20</v>
      </c>
      <c r="H297" s="32" t="s">
        <v>20</v>
      </c>
      <c r="I297" s="32">
        <v>4400.0</v>
      </c>
      <c r="J297" s="32" t="s">
        <v>1164</v>
      </c>
      <c r="K297" s="32" t="s">
        <v>845</v>
      </c>
      <c r="L297" s="32" t="s">
        <v>846</v>
      </c>
      <c r="M297" s="35">
        <v>1.0</v>
      </c>
      <c r="N297" s="32" t="s">
        <v>1165</v>
      </c>
      <c r="O297" s="36"/>
    </row>
    <row r="298">
      <c r="A298" s="52">
        <v>45616.0</v>
      </c>
      <c r="B298" s="31" t="s">
        <v>1166</v>
      </c>
      <c r="C298" s="31">
        <v>8.05011501312E11</v>
      </c>
      <c r="D298" s="31" t="s">
        <v>1167</v>
      </c>
      <c r="E298" s="31" t="s">
        <v>1168</v>
      </c>
      <c r="F298" s="31" t="s">
        <v>1169</v>
      </c>
      <c r="G298" s="31" t="s">
        <v>20</v>
      </c>
      <c r="H298" s="31" t="s">
        <v>20</v>
      </c>
      <c r="I298" s="31">
        <v>4400.0</v>
      </c>
      <c r="J298" s="31" t="s">
        <v>1170</v>
      </c>
      <c r="K298" s="31" t="s">
        <v>98</v>
      </c>
      <c r="L298" s="31" t="s">
        <v>99</v>
      </c>
      <c r="M298" s="33">
        <v>1.0</v>
      </c>
      <c r="N298" s="31" t="s">
        <v>1171</v>
      </c>
      <c r="O298" s="34"/>
    </row>
    <row r="299">
      <c r="A299" s="51">
        <v>45616.0</v>
      </c>
      <c r="B299" s="32" t="s">
        <v>1172</v>
      </c>
      <c r="C299" s="32">
        <v>8.05011501104E11</v>
      </c>
      <c r="D299" s="32" t="s">
        <v>1173</v>
      </c>
      <c r="E299" s="32" t="s">
        <v>1174</v>
      </c>
      <c r="F299" s="32" t="s">
        <v>1175</v>
      </c>
      <c r="G299" s="32" t="s">
        <v>1038</v>
      </c>
      <c r="H299" s="32" t="s">
        <v>20</v>
      </c>
      <c r="I299" s="32">
        <v>4401.0</v>
      </c>
      <c r="J299" s="32" t="s">
        <v>1176</v>
      </c>
      <c r="K299" s="32" t="s">
        <v>1177</v>
      </c>
      <c r="L299" s="32" t="s">
        <v>1178</v>
      </c>
      <c r="M299" s="35">
        <v>2.0</v>
      </c>
      <c r="N299" s="32" t="s">
        <v>1179</v>
      </c>
      <c r="O299" s="36"/>
    </row>
    <row r="300">
      <c r="A300" s="51">
        <v>45616.0</v>
      </c>
      <c r="B300" s="32" t="s">
        <v>1172</v>
      </c>
      <c r="C300" s="32">
        <v>8.05011501104E11</v>
      </c>
      <c r="D300" s="32" t="s">
        <v>1173</v>
      </c>
      <c r="E300" s="32" t="s">
        <v>1174</v>
      </c>
      <c r="F300" s="32" t="s">
        <v>1175</v>
      </c>
      <c r="G300" s="32" t="s">
        <v>1038</v>
      </c>
      <c r="H300" s="32" t="s">
        <v>20</v>
      </c>
      <c r="I300" s="32">
        <v>4401.0</v>
      </c>
      <c r="J300" s="32" t="s">
        <v>1176</v>
      </c>
      <c r="K300" s="32" t="s">
        <v>768</v>
      </c>
      <c r="L300" s="32" t="s">
        <v>769</v>
      </c>
      <c r="M300" s="35">
        <v>1.0</v>
      </c>
      <c r="N300" s="32" t="s">
        <v>1179</v>
      </c>
      <c r="O300" s="36"/>
    </row>
    <row r="301">
      <c r="A301" s="52">
        <v>45616.0</v>
      </c>
      <c r="B301" s="31" t="s">
        <v>1180</v>
      </c>
      <c r="C301" s="31">
        <v>8.05011501076E11</v>
      </c>
      <c r="D301" s="31" t="s">
        <v>1181</v>
      </c>
      <c r="E301" s="31" t="s">
        <v>1182</v>
      </c>
      <c r="F301" s="31" t="s">
        <v>1183</v>
      </c>
      <c r="G301" s="31" t="s">
        <v>1184</v>
      </c>
      <c r="H301" s="31" t="s">
        <v>20</v>
      </c>
      <c r="I301" s="31">
        <v>4400.0</v>
      </c>
      <c r="J301" s="31" t="s">
        <v>1185</v>
      </c>
      <c r="K301" s="31" t="s">
        <v>225</v>
      </c>
      <c r="L301" s="31" t="s">
        <v>226</v>
      </c>
      <c r="M301" s="33">
        <v>1.0</v>
      </c>
      <c r="N301" s="31" t="s">
        <v>1186</v>
      </c>
      <c r="O301" s="34"/>
    </row>
    <row r="302">
      <c r="A302" s="51">
        <v>45616.0</v>
      </c>
      <c r="B302" s="32" t="s">
        <v>1187</v>
      </c>
      <c r="C302" s="32">
        <v>8.05011500815E11</v>
      </c>
      <c r="D302" s="32" t="s">
        <v>1188</v>
      </c>
      <c r="E302" s="32" t="s">
        <v>1189</v>
      </c>
      <c r="F302" s="64">
        <v>17357.0</v>
      </c>
      <c r="G302" s="32" t="s">
        <v>1190</v>
      </c>
      <c r="H302" s="32" t="s">
        <v>20</v>
      </c>
      <c r="I302" s="32">
        <v>4423.0</v>
      </c>
      <c r="J302" s="32" t="s">
        <v>1191</v>
      </c>
      <c r="K302" s="32" t="s">
        <v>129</v>
      </c>
      <c r="L302" s="32" t="s">
        <v>130</v>
      </c>
      <c r="M302" s="35">
        <v>1.0</v>
      </c>
      <c r="N302" s="32" t="s">
        <v>1192</v>
      </c>
      <c r="O302" s="36"/>
    </row>
    <row r="303">
      <c r="A303" s="52">
        <v>45616.0</v>
      </c>
      <c r="B303" s="31" t="s">
        <v>1193</v>
      </c>
      <c r="C303" s="31">
        <v>8.0501150124E11</v>
      </c>
      <c r="D303" s="31" t="s">
        <v>1194</v>
      </c>
      <c r="E303" s="31" t="s">
        <v>1195</v>
      </c>
      <c r="F303" s="31" t="s">
        <v>1196</v>
      </c>
      <c r="G303" s="31" t="s">
        <v>1197</v>
      </c>
      <c r="H303" s="31" t="s">
        <v>20</v>
      </c>
      <c r="I303" s="31">
        <v>4449.0</v>
      </c>
      <c r="J303" s="31" t="s">
        <v>1198</v>
      </c>
      <c r="K303" s="31" t="s">
        <v>617</v>
      </c>
      <c r="L303" s="31" t="s">
        <v>618</v>
      </c>
      <c r="M303" s="33">
        <v>1.0</v>
      </c>
      <c r="N303" s="31" t="s">
        <v>1199</v>
      </c>
      <c r="O303" s="34"/>
    </row>
    <row r="304">
      <c r="A304" s="52">
        <v>45616.0</v>
      </c>
      <c r="B304" s="31" t="s">
        <v>1193</v>
      </c>
      <c r="C304" s="31">
        <v>8.0501150124E11</v>
      </c>
      <c r="D304" s="31" t="s">
        <v>1194</v>
      </c>
      <c r="E304" s="31" t="s">
        <v>1195</v>
      </c>
      <c r="F304" s="31" t="s">
        <v>1196</v>
      </c>
      <c r="G304" s="31" t="s">
        <v>1197</v>
      </c>
      <c r="H304" s="31" t="s">
        <v>20</v>
      </c>
      <c r="I304" s="31">
        <v>4449.0</v>
      </c>
      <c r="J304" s="31" t="s">
        <v>1198</v>
      </c>
      <c r="K304" s="31" t="s">
        <v>512</v>
      </c>
      <c r="L304" s="31" t="s">
        <v>513</v>
      </c>
      <c r="M304" s="33">
        <v>2.0</v>
      </c>
      <c r="N304" s="31" t="s">
        <v>1199</v>
      </c>
      <c r="O304" s="34"/>
    </row>
    <row r="305">
      <c r="A305" s="52">
        <v>45616.0</v>
      </c>
      <c r="B305" s="31" t="s">
        <v>1193</v>
      </c>
      <c r="C305" s="31">
        <v>8.0501150124E11</v>
      </c>
      <c r="D305" s="31" t="s">
        <v>1194</v>
      </c>
      <c r="E305" s="31" t="s">
        <v>1195</v>
      </c>
      <c r="F305" s="31" t="s">
        <v>1196</v>
      </c>
      <c r="G305" s="31" t="s">
        <v>1197</v>
      </c>
      <c r="H305" s="31" t="s">
        <v>20</v>
      </c>
      <c r="I305" s="31">
        <v>4449.0</v>
      </c>
      <c r="J305" s="31" t="s">
        <v>1198</v>
      </c>
      <c r="K305" s="31" t="s">
        <v>233</v>
      </c>
      <c r="L305" s="31" t="s">
        <v>234</v>
      </c>
      <c r="M305" s="33">
        <v>2.0</v>
      </c>
      <c r="N305" s="31" t="s">
        <v>1199</v>
      </c>
      <c r="O305" s="34"/>
    </row>
    <row r="306">
      <c r="A306" s="52">
        <v>45616.0</v>
      </c>
      <c r="B306" s="31" t="s">
        <v>1200</v>
      </c>
      <c r="C306" s="31">
        <v>8.05011501395E11</v>
      </c>
      <c r="D306" s="31" t="s">
        <v>1201</v>
      </c>
      <c r="E306" s="31" t="s">
        <v>1202</v>
      </c>
      <c r="F306" s="31" t="s">
        <v>1203</v>
      </c>
      <c r="G306" s="31" t="s">
        <v>1204</v>
      </c>
      <c r="H306" s="31" t="s">
        <v>20</v>
      </c>
      <c r="I306" s="31">
        <v>4417.0</v>
      </c>
      <c r="J306" s="31" t="s">
        <v>1205</v>
      </c>
      <c r="K306" s="31" t="s">
        <v>98</v>
      </c>
      <c r="L306" s="31" t="s">
        <v>99</v>
      </c>
      <c r="M306" s="33">
        <v>1.0</v>
      </c>
      <c r="N306" s="31" t="s">
        <v>1206</v>
      </c>
      <c r="O306" s="34"/>
    </row>
    <row r="307">
      <c r="A307" s="51">
        <v>45616.0</v>
      </c>
      <c r="B307" s="32" t="s">
        <v>1207</v>
      </c>
      <c r="C307" s="32">
        <v>8.05011501572E11</v>
      </c>
      <c r="D307" s="32" t="s">
        <v>1208</v>
      </c>
      <c r="E307" s="32" t="s">
        <v>1209</v>
      </c>
      <c r="F307" s="32" t="s">
        <v>1210</v>
      </c>
      <c r="G307" s="32" t="s">
        <v>247</v>
      </c>
      <c r="H307" s="32" t="s">
        <v>20</v>
      </c>
      <c r="I307" s="32">
        <v>4400.0</v>
      </c>
      <c r="J307" s="32" t="s">
        <v>1211</v>
      </c>
      <c r="K307" s="32" t="s">
        <v>985</v>
      </c>
      <c r="L307" s="32" t="s">
        <v>986</v>
      </c>
      <c r="M307" s="35">
        <v>1.0</v>
      </c>
      <c r="N307" s="32" t="s">
        <v>1212</v>
      </c>
      <c r="O307" s="36"/>
    </row>
    <row r="308">
      <c r="A308" s="52">
        <v>45616.0</v>
      </c>
      <c r="B308" s="31" t="s">
        <v>1213</v>
      </c>
      <c r="C308" s="31">
        <v>8.05011501703E11</v>
      </c>
      <c r="D308" s="31" t="s">
        <v>1214</v>
      </c>
      <c r="E308" s="31" t="s">
        <v>1215</v>
      </c>
      <c r="F308" s="31" t="s">
        <v>1216</v>
      </c>
      <c r="G308" s="31" t="s">
        <v>41</v>
      </c>
      <c r="H308" s="31" t="s">
        <v>20</v>
      </c>
      <c r="I308" s="31">
        <v>4560.0</v>
      </c>
      <c r="J308" s="31" t="s">
        <v>1217</v>
      </c>
      <c r="K308" s="31" t="s">
        <v>88</v>
      </c>
      <c r="L308" s="31" t="s">
        <v>89</v>
      </c>
      <c r="M308" s="33">
        <v>1.0</v>
      </c>
      <c r="N308" s="31" t="s">
        <v>1218</v>
      </c>
      <c r="O308" s="31" t="s">
        <v>1219</v>
      </c>
    </row>
    <row r="309">
      <c r="A309" s="52">
        <v>45616.0</v>
      </c>
      <c r="B309" s="31" t="s">
        <v>1213</v>
      </c>
      <c r="C309" s="31">
        <v>8.05011501703E11</v>
      </c>
      <c r="D309" s="31" t="s">
        <v>1214</v>
      </c>
      <c r="E309" s="31" t="s">
        <v>1215</v>
      </c>
      <c r="F309" s="31" t="s">
        <v>1216</v>
      </c>
      <c r="G309" s="31" t="s">
        <v>41</v>
      </c>
      <c r="H309" s="31" t="s">
        <v>20</v>
      </c>
      <c r="I309" s="31">
        <v>4560.0</v>
      </c>
      <c r="J309" s="31" t="s">
        <v>1217</v>
      </c>
      <c r="K309" s="31" t="s">
        <v>98</v>
      </c>
      <c r="L309" s="31" t="s">
        <v>99</v>
      </c>
      <c r="M309" s="33">
        <v>1.0</v>
      </c>
      <c r="N309" s="31" t="s">
        <v>1218</v>
      </c>
      <c r="O309" s="31" t="s">
        <v>1219</v>
      </c>
    </row>
    <row r="310">
      <c r="A310" s="51">
        <v>45616.0</v>
      </c>
      <c r="B310" s="32" t="s">
        <v>1220</v>
      </c>
      <c r="C310" s="32">
        <v>8.05011500578E11</v>
      </c>
      <c r="D310" s="32" t="s">
        <v>1221</v>
      </c>
      <c r="E310" s="32" t="s">
        <v>1222</v>
      </c>
      <c r="F310" s="32" t="s">
        <v>1223</v>
      </c>
      <c r="G310" s="32" t="s">
        <v>1224</v>
      </c>
      <c r="H310" s="32" t="s">
        <v>20</v>
      </c>
      <c r="I310" s="32">
        <v>4432.0</v>
      </c>
      <c r="J310" s="32" t="s">
        <v>1225</v>
      </c>
      <c r="K310" s="32" t="s">
        <v>947</v>
      </c>
      <c r="L310" s="32" t="s">
        <v>948</v>
      </c>
      <c r="M310" s="35">
        <v>1.0</v>
      </c>
      <c r="N310" s="32" t="s">
        <v>1226</v>
      </c>
      <c r="O310" s="36"/>
    </row>
    <row r="311">
      <c r="A311" s="52">
        <v>45616.0</v>
      </c>
      <c r="B311" s="31" t="s">
        <v>1227</v>
      </c>
      <c r="C311" s="31">
        <v>8.05011501821E11</v>
      </c>
      <c r="D311" s="31" t="s">
        <v>1228</v>
      </c>
      <c r="E311" s="31" t="s">
        <v>1229</v>
      </c>
      <c r="F311" s="31" t="s">
        <v>1230</v>
      </c>
      <c r="G311" s="31" t="s">
        <v>20</v>
      </c>
      <c r="H311" s="31" t="s">
        <v>20</v>
      </c>
      <c r="I311" s="31">
        <v>4400.0</v>
      </c>
      <c r="J311" s="31" t="s">
        <v>1231</v>
      </c>
      <c r="K311" s="31" t="s">
        <v>98</v>
      </c>
      <c r="L311" s="31" t="s">
        <v>99</v>
      </c>
      <c r="M311" s="33">
        <v>1.0</v>
      </c>
      <c r="N311" s="31" t="s">
        <v>1232</v>
      </c>
      <c r="O311" s="34"/>
    </row>
    <row r="312">
      <c r="A312" s="51">
        <v>45616.0</v>
      </c>
      <c r="B312" s="32" t="s">
        <v>1233</v>
      </c>
      <c r="C312" s="32">
        <v>8.07025028266E11</v>
      </c>
      <c r="D312" s="32" t="s">
        <v>1234</v>
      </c>
      <c r="E312" s="32" t="s">
        <v>1235</v>
      </c>
      <c r="F312" s="32" t="s">
        <v>1236</v>
      </c>
      <c r="G312" s="32" t="s">
        <v>127</v>
      </c>
      <c r="H312" s="32" t="s">
        <v>20</v>
      </c>
      <c r="I312" s="32">
        <v>4400.0</v>
      </c>
      <c r="J312" s="32" t="s">
        <v>1237</v>
      </c>
      <c r="K312" s="32" t="s">
        <v>947</v>
      </c>
      <c r="L312" s="32" t="s">
        <v>948</v>
      </c>
      <c r="M312" s="35">
        <v>1.0</v>
      </c>
      <c r="N312" s="32" t="s">
        <v>300</v>
      </c>
      <c r="O312" s="32" t="s">
        <v>1238</v>
      </c>
    </row>
    <row r="313">
      <c r="A313" s="51">
        <v>45616.0</v>
      </c>
      <c r="B313" s="32" t="s">
        <v>1233</v>
      </c>
      <c r="C313" s="32">
        <v>8.07025028266E11</v>
      </c>
      <c r="D313" s="32" t="s">
        <v>1234</v>
      </c>
      <c r="E313" s="32" t="s">
        <v>1235</v>
      </c>
      <c r="F313" s="32" t="s">
        <v>1236</v>
      </c>
      <c r="G313" s="32" t="s">
        <v>127</v>
      </c>
      <c r="H313" s="32" t="s">
        <v>20</v>
      </c>
      <c r="I313" s="32">
        <v>4400.0</v>
      </c>
      <c r="J313" s="32" t="s">
        <v>1237</v>
      </c>
      <c r="K313" s="32" t="s">
        <v>35</v>
      </c>
      <c r="L313" s="32" t="s">
        <v>36</v>
      </c>
      <c r="M313" s="35">
        <v>1.0</v>
      </c>
      <c r="N313" s="32" t="s">
        <v>300</v>
      </c>
      <c r="O313" s="32" t="s">
        <v>1238</v>
      </c>
    </row>
    <row r="314">
      <c r="A314" s="52">
        <v>45616.0</v>
      </c>
      <c r="B314" s="31" t="s">
        <v>1239</v>
      </c>
      <c r="C314" s="31">
        <v>8.05011501998E11</v>
      </c>
      <c r="D314" s="31" t="s">
        <v>688</v>
      </c>
      <c r="E314" s="31" t="s">
        <v>689</v>
      </c>
      <c r="F314" s="31" t="s">
        <v>1240</v>
      </c>
      <c r="G314" s="31" t="s">
        <v>592</v>
      </c>
      <c r="H314" s="31" t="s">
        <v>20</v>
      </c>
      <c r="I314" s="31">
        <v>4417.0</v>
      </c>
      <c r="J314" s="31" t="s">
        <v>691</v>
      </c>
      <c r="K314" s="31" t="s">
        <v>1241</v>
      </c>
      <c r="L314" s="31" t="s">
        <v>1242</v>
      </c>
      <c r="M314" s="33">
        <v>1.0</v>
      </c>
      <c r="N314" s="31" t="s">
        <v>692</v>
      </c>
      <c r="O314" s="34"/>
    </row>
    <row r="315">
      <c r="A315" s="51">
        <v>45616.0</v>
      </c>
      <c r="B315" s="32" t="s">
        <v>1243</v>
      </c>
      <c r="C315" s="32">
        <v>8.05011501879E11</v>
      </c>
      <c r="D315" s="32" t="s">
        <v>1244</v>
      </c>
      <c r="E315" s="32" t="s">
        <v>1245</v>
      </c>
      <c r="F315" s="32" t="s">
        <v>1246</v>
      </c>
      <c r="G315" s="32" t="s">
        <v>486</v>
      </c>
      <c r="H315" s="32" t="s">
        <v>20</v>
      </c>
      <c r="I315" s="32">
        <v>4440.0</v>
      </c>
      <c r="J315" s="32" t="s">
        <v>1247</v>
      </c>
      <c r="K315" s="32" t="s">
        <v>50</v>
      </c>
      <c r="L315" s="32" t="s">
        <v>51</v>
      </c>
      <c r="M315" s="35">
        <v>1.0</v>
      </c>
      <c r="N315" s="32" t="s">
        <v>1248</v>
      </c>
      <c r="O315" s="36"/>
    </row>
    <row r="316">
      <c r="A316" s="51">
        <v>45616.0</v>
      </c>
      <c r="B316" s="32" t="s">
        <v>1243</v>
      </c>
      <c r="C316" s="32">
        <v>8.05011501879E11</v>
      </c>
      <c r="D316" s="32" t="s">
        <v>1244</v>
      </c>
      <c r="E316" s="32" t="s">
        <v>1245</v>
      </c>
      <c r="F316" s="32" t="s">
        <v>1246</v>
      </c>
      <c r="G316" s="32" t="s">
        <v>486</v>
      </c>
      <c r="H316" s="32" t="s">
        <v>20</v>
      </c>
      <c r="I316" s="32">
        <v>4440.0</v>
      </c>
      <c r="J316" s="32" t="s">
        <v>1247</v>
      </c>
      <c r="K316" s="32" t="s">
        <v>741</v>
      </c>
      <c r="L316" s="32" t="s">
        <v>742</v>
      </c>
      <c r="M316" s="35">
        <v>1.0</v>
      </c>
      <c r="N316" s="32" t="s">
        <v>1248</v>
      </c>
      <c r="O316" s="36"/>
    </row>
    <row r="317">
      <c r="A317" s="52">
        <v>45616.0</v>
      </c>
      <c r="B317" s="31" t="s">
        <v>1249</v>
      </c>
      <c r="C317" s="31">
        <v>8.05011501924E11</v>
      </c>
      <c r="D317" s="31" t="s">
        <v>1250</v>
      </c>
      <c r="E317" s="31" t="s">
        <v>1251</v>
      </c>
      <c r="F317" s="31" t="s">
        <v>1252</v>
      </c>
      <c r="G317" s="31" t="s">
        <v>1253</v>
      </c>
      <c r="H317" s="31" t="s">
        <v>20</v>
      </c>
      <c r="I317" s="31">
        <v>4427.0</v>
      </c>
      <c r="J317" s="31" t="s">
        <v>1254</v>
      </c>
      <c r="K317" s="31" t="s">
        <v>1255</v>
      </c>
      <c r="L317" s="31" t="s">
        <v>1256</v>
      </c>
      <c r="M317" s="33">
        <v>2.0</v>
      </c>
      <c r="N317" s="31" t="s">
        <v>1257</v>
      </c>
      <c r="O317" s="34"/>
    </row>
    <row r="318">
      <c r="A318" s="52">
        <v>45616.0</v>
      </c>
      <c r="B318" s="31" t="s">
        <v>1249</v>
      </c>
      <c r="C318" s="31">
        <v>8.05011501924E11</v>
      </c>
      <c r="D318" s="31" t="s">
        <v>1250</v>
      </c>
      <c r="E318" s="31" t="s">
        <v>1251</v>
      </c>
      <c r="F318" s="31" t="s">
        <v>1252</v>
      </c>
      <c r="G318" s="31" t="s">
        <v>1253</v>
      </c>
      <c r="H318" s="31" t="s">
        <v>20</v>
      </c>
      <c r="I318" s="31">
        <v>4427.0</v>
      </c>
      <c r="J318" s="31" t="s">
        <v>1254</v>
      </c>
      <c r="K318" s="31" t="s">
        <v>698</v>
      </c>
      <c r="L318" s="31" t="s">
        <v>699</v>
      </c>
      <c r="M318" s="33">
        <v>2.0</v>
      </c>
      <c r="N318" s="31" t="s">
        <v>1257</v>
      </c>
      <c r="O318" s="34"/>
    </row>
    <row r="319">
      <c r="A319" s="51">
        <v>45616.0</v>
      </c>
      <c r="B319" s="51" t="s">
        <v>1258</v>
      </c>
      <c r="C319" s="51">
        <v>8.07025028283E11</v>
      </c>
      <c r="D319" s="51" t="s">
        <v>1259</v>
      </c>
      <c r="E319" s="51" t="s">
        <v>1260</v>
      </c>
      <c r="F319" s="51" t="s">
        <v>126</v>
      </c>
      <c r="G319" s="51" t="s">
        <v>127</v>
      </c>
      <c r="H319" s="51" t="s">
        <v>20</v>
      </c>
      <c r="I319" s="19">
        <v>4400.0</v>
      </c>
      <c r="J319" s="51" t="s">
        <v>1261</v>
      </c>
      <c r="K319" s="51" t="s">
        <v>32</v>
      </c>
      <c r="L319" s="51" t="s">
        <v>33</v>
      </c>
      <c r="M319" s="20">
        <v>1.0</v>
      </c>
      <c r="N319" s="51"/>
      <c r="O319" s="51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3"/>
      <c r="N320" s="22"/>
      <c r="O320" s="22"/>
    </row>
    <row r="321">
      <c r="A321" s="65">
        <v>45623.0</v>
      </c>
      <c r="B321" s="66" t="s">
        <v>1262</v>
      </c>
      <c r="C321" s="66">
        <v>8.05011501829E11</v>
      </c>
      <c r="D321" s="66" t="s">
        <v>1263</v>
      </c>
      <c r="E321" s="66" t="s">
        <v>1264</v>
      </c>
      <c r="F321" s="66" t="s">
        <v>1265</v>
      </c>
      <c r="G321" s="66" t="s">
        <v>20</v>
      </c>
      <c r="H321" s="66" t="s">
        <v>20</v>
      </c>
      <c r="I321" s="66">
        <v>4400.0</v>
      </c>
      <c r="J321" s="66" t="s">
        <v>1266</v>
      </c>
      <c r="K321" s="66" t="s">
        <v>768</v>
      </c>
      <c r="L321" s="66" t="s">
        <v>769</v>
      </c>
      <c r="M321" s="67">
        <v>1.0</v>
      </c>
      <c r="N321" s="66" t="s">
        <v>1267</v>
      </c>
      <c r="O321" s="68"/>
    </row>
    <row r="322">
      <c r="A322" s="65">
        <v>45623.0</v>
      </c>
      <c r="B322" s="66" t="s">
        <v>1262</v>
      </c>
      <c r="C322" s="66">
        <v>8.05011501829E11</v>
      </c>
      <c r="D322" s="66" t="s">
        <v>1263</v>
      </c>
      <c r="E322" s="66" t="s">
        <v>1264</v>
      </c>
      <c r="F322" s="66" t="s">
        <v>1265</v>
      </c>
      <c r="G322" s="66" t="s">
        <v>20</v>
      </c>
      <c r="H322" s="66" t="s">
        <v>20</v>
      </c>
      <c r="I322" s="66">
        <v>4400.0</v>
      </c>
      <c r="J322" s="66" t="s">
        <v>1266</v>
      </c>
      <c r="K322" s="66" t="s">
        <v>512</v>
      </c>
      <c r="L322" s="66" t="s">
        <v>513</v>
      </c>
      <c r="M322" s="67">
        <v>12.0</v>
      </c>
      <c r="N322" s="66" t="s">
        <v>1267</v>
      </c>
      <c r="O322" s="68"/>
    </row>
    <row r="323">
      <c r="A323" s="65">
        <v>45623.0</v>
      </c>
      <c r="B323" s="66" t="s">
        <v>1262</v>
      </c>
      <c r="C323" s="66">
        <v>8.05011501829E11</v>
      </c>
      <c r="D323" s="66" t="s">
        <v>1263</v>
      </c>
      <c r="E323" s="66" t="s">
        <v>1264</v>
      </c>
      <c r="F323" s="66" t="s">
        <v>1265</v>
      </c>
      <c r="G323" s="66" t="s">
        <v>20</v>
      </c>
      <c r="H323" s="66" t="s">
        <v>20</v>
      </c>
      <c r="I323" s="66">
        <v>4400.0</v>
      </c>
      <c r="J323" s="66" t="s">
        <v>1266</v>
      </c>
      <c r="K323" s="66" t="s">
        <v>772</v>
      </c>
      <c r="L323" s="66" t="s">
        <v>773</v>
      </c>
      <c r="M323" s="67">
        <v>2.0</v>
      </c>
      <c r="N323" s="66" t="s">
        <v>1267</v>
      </c>
      <c r="O323" s="68"/>
    </row>
    <row r="324">
      <c r="A324" s="52">
        <v>45623.0</v>
      </c>
      <c r="B324" s="31" t="s">
        <v>1268</v>
      </c>
      <c r="C324" s="31">
        <v>8.0702502827E11</v>
      </c>
      <c r="D324" s="31" t="s">
        <v>1269</v>
      </c>
      <c r="E324" s="31" t="s">
        <v>1270</v>
      </c>
      <c r="F324" s="31" t="s">
        <v>1271</v>
      </c>
      <c r="G324" s="31" t="s">
        <v>127</v>
      </c>
      <c r="H324" s="31" t="s">
        <v>20</v>
      </c>
      <c r="I324" s="31">
        <v>4400.0</v>
      </c>
      <c r="J324" s="31" t="s">
        <v>1272</v>
      </c>
      <c r="K324" s="31" t="s">
        <v>785</v>
      </c>
      <c r="L324" s="31" t="s">
        <v>786</v>
      </c>
      <c r="M324" s="33">
        <v>1.0</v>
      </c>
      <c r="N324" s="31" t="s">
        <v>1273</v>
      </c>
      <c r="O324" s="31" t="s">
        <v>1274</v>
      </c>
    </row>
    <row r="325">
      <c r="A325" s="52">
        <v>45623.0</v>
      </c>
      <c r="B325" s="31" t="s">
        <v>1268</v>
      </c>
      <c r="C325" s="31">
        <v>8.0702502827E11</v>
      </c>
      <c r="D325" s="31" t="s">
        <v>1269</v>
      </c>
      <c r="E325" s="31" t="s">
        <v>1270</v>
      </c>
      <c r="F325" s="31" t="s">
        <v>1271</v>
      </c>
      <c r="G325" s="31" t="s">
        <v>127</v>
      </c>
      <c r="H325" s="31" t="s">
        <v>20</v>
      </c>
      <c r="I325" s="31">
        <v>4400.0</v>
      </c>
      <c r="J325" s="31" t="s">
        <v>1272</v>
      </c>
      <c r="K325" s="31" t="s">
        <v>512</v>
      </c>
      <c r="L325" s="31" t="s">
        <v>513</v>
      </c>
      <c r="M325" s="33">
        <v>6.0</v>
      </c>
      <c r="N325" s="31" t="s">
        <v>1273</v>
      </c>
      <c r="O325" s="31" t="s">
        <v>1274</v>
      </c>
    </row>
    <row r="326">
      <c r="A326" s="52">
        <v>45623.0</v>
      </c>
      <c r="B326" s="31" t="s">
        <v>1268</v>
      </c>
      <c r="C326" s="31">
        <v>8.0702502827E11</v>
      </c>
      <c r="D326" s="31" t="s">
        <v>1269</v>
      </c>
      <c r="E326" s="31" t="s">
        <v>1270</v>
      </c>
      <c r="F326" s="31" t="s">
        <v>1271</v>
      </c>
      <c r="G326" s="31" t="s">
        <v>127</v>
      </c>
      <c r="H326" s="31" t="s">
        <v>20</v>
      </c>
      <c r="I326" s="31">
        <v>4400.0</v>
      </c>
      <c r="J326" s="31" t="s">
        <v>1272</v>
      </c>
      <c r="K326" s="31" t="s">
        <v>1275</v>
      </c>
      <c r="L326" s="31" t="s">
        <v>1276</v>
      </c>
      <c r="M326" s="33">
        <v>1.0</v>
      </c>
      <c r="N326" s="31" t="s">
        <v>1273</v>
      </c>
      <c r="O326" s="31" t="s">
        <v>1274</v>
      </c>
    </row>
    <row r="327">
      <c r="A327" s="65">
        <v>45623.0</v>
      </c>
      <c r="B327" s="66" t="s">
        <v>1277</v>
      </c>
      <c r="C327" s="66">
        <v>8.06015086486E11</v>
      </c>
      <c r="D327" s="66" t="s">
        <v>1278</v>
      </c>
      <c r="E327" s="66" t="s">
        <v>1279</v>
      </c>
      <c r="F327" s="66" t="s">
        <v>1280</v>
      </c>
      <c r="G327" s="66" t="s">
        <v>104</v>
      </c>
      <c r="H327" s="66" t="s">
        <v>20</v>
      </c>
      <c r="I327" s="66">
        <v>4400.0</v>
      </c>
      <c r="J327" s="66" t="s">
        <v>1281</v>
      </c>
      <c r="K327" s="66" t="s">
        <v>32</v>
      </c>
      <c r="L327" s="66" t="s">
        <v>33</v>
      </c>
      <c r="M327" s="67">
        <v>1.0</v>
      </c>
      <c r="N327" s="66" t="s">
        <v>1282</v>
      </c>
      <c r="O327" s="66" t="s">
        <v>1283</v>
      </c>
    </row>
    <row r="328">
      <c r="A328" s="65">
        <v>45623.0</v>
      </c>
      <c r="B328" s="66" t="s">
        <v>1277</v>
      </c>
      <c r="C328" s="66">
        <v>8.06015086486E11</v>
      </c>
      <c r="D328" s="66" t="s">
        <v>1278</v>
      </c>
      <c r="E328" s="66" t="s">
        <v>1279</v>
      </c>
      <c r="F328" s="66" t="s">
        <v>1280</v>
      </c>
      <c r="G328" s="66" t="s">
        <v>104</v>
      </c>
      <c r="H328" s="66" t="s">
        <v>20</v>
      </c>
      <c r="I328" s="66">
        <v>4400.0</v>
      </c>
      <c r="J328" s="66" t="s">
        <v>1281</v>
      </c>
      <c r="K328" s="66" t="s">
        <v>512</v>
      </c>
      <c r="L328" s="66" t="s">
        <v>513</v>
      </c>
      <c r="M328" s="67">
        <v>6.0</v>
      </c>
      <c r="N328" s="66" t="s">
        <v>1282</v>
      </c>
      <c r="O328" s="66" t="s">
        <v>1283</v>
      </c>
    </row>
    <row r="329">
      <c r="A329" s="65">
        <v>45623.0</v>
      </c>
      <c r="B329" s="66" t="s">
        <v>1277</v>
      </c>
      <c r="C329" s="66">
        <v>8.06015086486E11</v>
      </c>
      <c r="D329" s="66" t="s">
        <v>1278</v>
      </c>
      <c r="E329" s="66" t="s">
        <v>1279</v>
      </c>
      <c r="F329" s="66" t="s">
        <v>1280</v>
      </c>
      <c r="G329" s="66" t="s">
        <v>104</v>
      </c>
      <c r="H329" s="66" t="s">
        <v>20</v>
      </c>
      <c r="I329" s="66">
        <v>4400.0</v>
      </c>
      <c r="J329" s="66" t="s">
        <v>1281</v>
      </c>
      <c r="K329" s="66" t="s">
        <v>670</v>
      </c>
      <c r="L329" s="66" t="s">
        <v>671</v>
      </c>
      <c r="M329" s="67">
        <v>1.0</v>
      </c>
      <c r="N329" s="66" t="s">
        <v>1282</v>
      </c>
      <c r="O329" s="66" t="s">
        <v>1283</v>
      </c>
    </row>
    <row r="330">
      <c r="A330" s="52">
        <v>45623.0</v>
      </c>
      <c r="B330" s="31" t="s">
        <v>1284</v>
      </c>
      <c r="C330" s="31">
        <v>8.0501150236E11</v>
      </c>
      <c r="D330" s="31" t="s">
        <v>1285</v>
      </c>
      <c r="E330" s="31" t="s">
        <v>1286</v>
      </c>
      <c r="F330" s="31" t="s">
        <v>1287</v>
      </c>
      <c r="G330" s="31" t="s">
        <v>1288</v>
      </c>
      <c r="H330" s="31" t="s">
        <v>20</v>
      </c>
      <c r="I330" s="31">
        <v>4407.0</v>
      </c>
      <c r="J330" s="31" t="s">
        <v>1289</v>
      </c>
      <c r="K330" s="31" t="s">
        <v>768</v>
      </c>
      <c r="L330" s="31" t="s">
        <v>769</v>
      </c>
      <c r="M330" s="33">
        <v>1.0</v>
      </c>
      <c r="N330" s="31" t="s">
        <v>1290</v>
      </c>
      <c r="O330" s="31" t="s">
        <v>1291</v>
      </c>
    </row>
    <row r="331">
      <c r="A331" s="52">
        <v>45623.0</v>
      </c>
      <c r="B331" s="31" t="s">
        <v>1284</v>
      </c>
      <c r="C331" s="31">
        <v>8.0501150236E11</v>
      </c>
      <c r="D331" s="31" t="s">
        <v>1285</v>
      </c>
      <c r="E331" s="31" t="s">
        <v>1286</v>
      </c>
      <c r="F331" s="31" t="s">
        <v>1287</v>
      </c>
      <c r="G331" s="31" t="s">
        <v>1288</v>
      </c>
      <c r="H331" s="31" t="s">
        <v>20</v>
      </c>
      <c r="I331" s="31">
        <v>4407.0</v>
      </c>
      <c r="J331" s="31" t="s">
        <v>1289</v>
      </c>
      <c r="K331" s="31" t="s">
        <v>1177</v>
      </c>
      <c r="L331" s="31" t="s">
        <v>1178</v>
      </c>
      <c r="M331" s="33">
        <v>2.0</v>
      </c>
      <c r="N331" s="31" t="s">
        <v>1290</v>
      </c>
      <c r="O331" s="31" t="s">
        <v>1291</v>
      </c>
    </row>
    <row r="332">
      <c r="A332" s="65">
        <v>45623.0</v>
      </c>
      <c r="B332" s="66" t="s">
        <v>1292</v>
      </c>
      <c r="C332" s="66">
        <v>8.05011502318E11</v>
      </c>
      <c r="D332" s="66" t="s">
        <v>1293</v>
      </c>
      <c r="E332" s="66" t="s">
        <v>1294</v>
      </c>
      <c r="F332" s="66" t="s">
        <v>1295</v>
      </c>
      <c r="G332" s="66" t="s">
        <v>1142</v>
      </c>
      <c r="H332" s="66" t="s">
        <v>20</v>
      </c>
      <c r="I332" s="66">
        <v>4430.0</v>
      </c>
      <c r="J332" s="66" t="s">
        <v>1296</v>
      </c>
      <c r="K332" s="66" t="s">
        <v>32</v>
      </c>
      <c r="L332" s="66" t="s">
        <v>33</v>
      </c>
      <c r="M332" s="67">
        <v>1.0</v>
      </c>
      <c r="N332" s="66" t="s">
        <v>1297</v>
      </c>
      <c r="O332" s="66" t="s">
        <v>261</v>
      </c>
    </row>
    <row r="333">
      <c r="A333" s="52">
        <v>45623.0</v>
      </c>
      <c r="B333" s="31" t="s">
        <v>1298</v>
      </c>
      <c r="C333" s="31">
        <v>8.05011502298E11</v>
      </c>
      <c r="D333" s="31" t="s">
        <v>1299</v>
      </c>
      <c r="E333" s="31" t="s">
        <v>1300</v>
      </c>
      <c r="F333" s="58" t="s">
        <v>825</v>
      </c>
      <c r="G333" s="31" t="s">
        <v>368</v>
      </c>
      <c r="H333" s="31" t="s">
        <v>20</v>
      </c>
      <c r="I333" s="31">
        <v>4530.0</v>
      </c>
      <c r="J333" s="31" t="s">
        <v>1301</v>
      </c>
      <c r="K333" s="31" t="s">
        <v>812</v>
      </c>
      <c r="L333" s="31" t="s">
        <v>813</v>
      </c>
      <c r="M333" s="33">
        <v>1.0</v>
      </c>
      <c r="N333" s="31" t="s">
        <v>830</v>
      </c>
      <c r="O333" s="34"/>
    </row>
    <row r="334">
      <c r="A334" s="52">
        <v>45623.0</v>
      </c>
      <c r="B334" s="31" t="s">
        <v>1298</v>
      </c>
      <c r="C334" s="31">
        <v>8.05011502298E11</v>
      </c>
      <c r="D334" s="31" t="s">
        <v>1299</v>
      </c>
      <c r="E334" s="31" t="s">
        <v>1300</v>
      </c>
      <c r="F334" s="58" t="s">
        <v>825</v>
      </c>
      <c r="G334" s="31" t="s">
        <v>368</v>
      </c>
      <c r="H334" s="31" t="s">
        <v>20</v>
      </c>
      <c r="I334" s="31">
        <v>4530.0</v>
      </c>
      <c r="J334" s="31" t="s">
        <v>1301</v>
      </c>
      <c r="K334" s="31" t="s">
        <v>512</v>
      </c>
      <c r="L334" s="31" t="s">
        <v>513</v>
      </c>
      <c r="M334" s="33">
        <v>6.0</v>
      </c>
      <c r="N334" s="31" t="s">
        <v>830</v>
      </c>
      <c r="O334" s="34"/>
    </row>
    <row r="335">
      <c r="A335" s="52">
        <v>45623.0</v>
      </c>
      <c r="B335" s="31" t="s">
        <v>1298</v>
      </c>
      <c r="C335" s="31">
        <v>8.05011502298E11</v>
      </c>
      <c r="D335" s="31" t="s">
        <v>1299</v>
      </c>
      <c r="E335" s="31" t="s">
        <v>1300</v>
      </c>
      <c r="F335" s="58" t="s">
        <v>825</v>
      </c>
      <c r="G335" s="31" t="s">
        <v>368</v>
      </c>
      <c r="H335" s="31" t="s">
        <v>20</v>
      </c>
      <c r="I335" s="31">
        <v>4530.0</v>
      </c>
      <c r="J335" s="31" t="s">
        <v>1301</v>
      </c>
      <c r="K335" s="31" t="s">
        <v>35</v>
      </c>
      <c r="L335" s="31" t="s">
        <v>36</v>
      </c>
      <c r="M335" s="33">
        <v>1.0</v>
      </c>
      <c r="N335" s="31" t="s">
        <v>830</v>
      </c>
      <c r="O335" s="34"/>
    </row>
    <row r="336">
      <c r="A336" s="65">
        <v>45623.0</v>
      </c>
      <c r="B336" s="66" t="s">
        <v>1302</v>
      </c>
      <c r="C336" s="66">
        <v>8.05011500197E11</v>
      </c>
      <c r="D336" s="66" t="s">
        <v>1303</v>
      </c>
      <c r="E336" s="66" t="s">
        <v>1304</v>
      </c>
      <c r="F336" s="66" t="s">
        <v>1305</v>
      </c>
      <c r="G336" s="66" t="s">
        <v>20</v>
      </c>
      <c r="H336" s="66" t="s">
        <v>20</v>
      </c>
      <c r="I336" s="66">
        <v>4400.0</v>
      </c>
      <c r="J336" s="68" t="str">
        <f t="shared" ref="J336:J337" si="1">"+5493878454347"</f>
        <v>+5493878454347</v>
      </c>
      <c r="K336" s="66" t="s">
        <v>360</v>
      </c>
      <c r="L336" s="66" t="s">
        <v>361</v>
      </c>
      <c r="M336" s="67">
        <v>1.0</v>
      </c>
      <c r="N336" s="66" t="s">
        <v>1306</v>
      </c>
      <c r="O336" s="68"/>
    </row>
    <row r="337">
      <c r="A337" s="65">
        <v>45623.0</v>
      </c>
      <c r="B337" s="66" t="s">
        <v>1302</v>
      </c>
      <c r="C337" s="66">
        <v>8.05011500197E11</v>
      </c>
      <c r="D337" s="66" t="s">
        <v>1303</v>
      </c>
      <c r="E337" s="66" t="s">
        <v>1304</v>
      </c>
      <c r="F337" s="66" t="s">
        <v>1305</v>
      </c>
      <c r="G337" s="66" t="s">
        <v>20</v>
      </c>
      <c r="H337" s="66" t="s">
        <v>20</v>
      </c>
      <c r="I337" s="66">
        <v>4400.0</v>
      </c>
      <c r="J337" s="68" t="str">
        <f t="shared" si="1"/>
        <v>+5493878454347</v>
      </c>
      <c r="K337" s="66" t="s">
        <v>741</v>
      </c>
      <c r="L337" s="66" t="s">
        <v>742</v>
      </c>
      <c r="M337" s="67">
        <v>1.0</v>
      </c>
      <c r="N337" s="66" t="s">
        <v>1306</v>
      </c>
      <c r="O337" s="68"/>
    </row>
    <row r="338">
      <c r="A338" s="52">
        <v>45623.0</v>
      </c>
      <c r="B338" s="31" t="s">
        <v>1307</v>
      </c>
      <c r="C338" s="31">
        <v>8.05011500818E11</v>
      </c>
      <c r="D338" s="31" t="s">
        <v>1308</v>
      </c>
      <c r="E338" s="31" t="s">
        <v>1309</v>
      </c>
      <c r="F338" s="31" t="s">
        <v>1310</v>
      </c>
      <c r="G338" s="31" t="s">
        <v>278</v>
      </c>
      <c r="H338" s="31" t="s">
        <v>20</v>
      </c>
      <c r="I338" s="31">
        <v>4400.0</v>
      </c>
      <c r="J338" s="31" t="s">
        <v>1311</v>
      </c>
      <c r="K338" s="31" t="s">
        <v>768</v>
      </c>
      <c r="L338" s="31" t="s">
        <v>769</v>
      </c>
      <c r="M338" s="33">
        <v>1.0</v>
      </c>
      <c r="N338" s="31" t="s">
        <v>1312</v>
      </c>
      <c r="O338" s="31" t="s">
        <v>261</v>
      </c>
    </row>
    <row r="339">
      <c r="A339" s="52">
        <v>45623.0</v>
      </c>
      <c r="B339" s="31" t="s">
        <v>1307</v>
      </c>
      <c r="C339" s="31">
        <v>8.05011500818E11</v>
      </c>
      <c r="D339" s="31" t="s">
        <v>1308</v>
      </c>
      <c r="E339" s="31" t="s">
        <v>1309</v>
      </c>
      <c r="F339" s="31" t="s">
        <v>1310</v>
      </c>
      <c r="G339" s="31" t="s">
        <v>278</v>
      </c>
      <c r="H339" s="31" t="s">
        <v>20</v>
      </c>
      <c r="I339" s="31">
        <v>4400.0</v>
      </c>
      <c r="J339" s="31" t="s">
        <v>1311</v>
      </c>
      <c r="K339" s="31" t="s">
        <v>512</v>
      </c>
      <c r="L339" s="31" t="s">
        <v>513</v>
      </c>
      <c r="M339" s="33">
        <v>12.0</v>
      </c>
      <c r="N339" s="31" t="s">
        <v>1312</v>
      </c>
      <c r="O339" s="31" t="s">
        <v>261</v>
      </c>
    </row>
    <row r="340">
      <c r="A340" s="52">
        <v>45623.0</v>
      </c>
      <c r="B340" s="31" t="s">
        <v>1307</v>
      </c>
      <c r="C340" s="31">
        <v>8.05011500818E11</v>
      </c>
      <c r="D340" s="31" t="s">
        <v>1308</v>
      </c>
      <c r="E340" s="31" t="s">
        <v>1309</v>
      </c>
      <c r="F340" s="31" t="s">
        <v>1310</v>
      </c>
      <c r="G340" s="31" t="s">
        <v>278</v>
      </c>
      <c r="H340" s="31" t="s">
        <v>20</v>
      </c>
      <c r="I340" s="31">
        <v>4400.0</v>
      </c>
      <c r="J340" s="31" t="s">
        <v>1311</v>
      </c>
      <c r="K340" s="31" t="s">
        <v>772</v>
      </c>
      <c r="L340" s="31" t="s">
        <v>773</v>
      </c>
      <c r="M340" s="33">
        <v>2.0</v>
      </c>
      <c r="N340" s="31" t="s">
        <v>1312</v>
      </c>
      <c r="O340" s="31" t="s">
        <v>261</v>
      </c>
    </row>
    <row r="341">
      <c r="A341" s="65">
        <v>45623.0</v>
      </c>
      <c r="B341" s="66" t="s">
        <v>1313</v>
      </c>
      <c r="C341" s="66">
        <v>8.05011502749E11</v>
      </c>
      <c r="D341" s="66" t="s">
        <v>1314</v>
      </c>
      <c r="E341" s="66" t="s">
        <v>1315</v>
      </c>
      <c r="F341" s="66" t="s">
        <v>1316</v>
      </c>
      <c r="G341" s="66" t="s">
        <v>20</v>
      </c>
      <c r="H341" s="66" t="s">
        <v>20</v>
      </c>
      <c r="I341" s="66">
        <v>4400.0</v>
      </c>
      <c r="J341" s="66" t="s">
        <v>1317</v>
      </c>
      <c r="K341" s="66" t="s">
        <v>519</v>
      </c>
      <c r="L341" s="66" t="s">
        <v>520</v>
      </c>
      <c r="M341" s="67">
        <v>1.0</v>
      </c>
      <c r="N341" s="66" t="s">
        <v>1318</v>
      </c>
      <c r="O341" s="68"/>
    </row>
    <row r="342">
      <c r="A342" s="65">
        <v>45623.0</v>
      </c>
      <c r="B342" s="66" t="s">
        <v>1313</v>
      </c>
      <c r="C342" s="66">
        <v>8.05011502749E11</v>
      </c>
      <c r="D342" s="66" t="s">
        <v>1314</v>
      </c>
      <c r="E342" s="66" t="s">
        <v>1315</v>
      </c>
      <c r="F342" s="66" t="s">
        <v>1316</v>
      </c>
      <c r="G342" s="66" t="s">
        <v>20</v>
      </c>
      <c r="H342" s="66" t="s">
        <v>20</v>
      </c>
      <c r="I342" s="66">
        <v>4400.0</v>
      </c>
      <c r="J342" s="66" t="s">
        <v>1317</v>
      </c>
      <c r="K342" s="66" t="s">
        <v>805</v>
      </c>
      <c r="L342" s="66" t="s">
        <v>806</v>
      </c>
      <c r="M342" s="67">
        <v>1.0</v>
      </c>
      <c r="N342" s="66" t="s">
        <v>1318</v>
      </c>
      <c r="O342" s="68"/>
    </row>
    <row r="343">
      <c r="A343" s="52">
        <v>45623.0</v>
      </c>
      <c r="B343" s="31" t="s">
        <v>1319</v>
      </c>
      <c r="C343" s="31">
        <v>8.070250283E11</v>
      </c>
      <c r="D343" s="31" t="s">
        <v>1320</v>
      </c>
      <c r="E343" s="31" t="s">
        <v>1321</v>
      </c>
      <c r="F343" s="31" t="s">
        <v>1322</v>
      </c>
      <c r="G343" s="31" t="s">
        <v>116</v>
      </c>
      <c r="H343" s="31" t="s">
        <v>20</v>
      </c>
      <c r="I343" s="31">
        <v>4400.0</v>
      </c>
      <c r="J343" s="31" t="s">
        <v>1323</v>
      </c>
      <c r="K343" s="31" t="s">
        <v>410</v>
      </c>
      <c r="L343" s="31" t="s">
        <v>411</v>
      </c>
      <c r="M343" s="33">
        <v>1.0</v>
      </c>
      <c r="N343" s="31" t="s">
        <v>1324</v>
      </c>
      <c r="O343" s="31" t="s">
        <v>1325</v>
      </c>
    </row>
    <row r="344">
      <c r="A344" s="65">
        <v>45623.0</v>
      </c>
      <c r="B344" s="66" t="s">
        <v>1326</v>
      </c>
      <c r="C344" s="66">
        <v>8.05011502979E11</v>
      </c>
      <c r="D344" s="66" t="s">
        <v>1327</v>
      </c>
      <c r="E344" s="66" t="s">
        <v>1328</v>
      </c>
      <c r="F344" s="66" t="s">
        <v>1329</v>
      </c>
      <c r="G344" s="66" t="s">
        <v>20</v>
      </c>
      <c r="H344" s="66" t="s">
        <v>20</v>
      </c>
      <c r="I344" s="66">
        <v>4400.0</v>
      </c>
      <c r="J344" s="66" t="s">
        <v>1330</v>
      </c>
      <c r="K344" s="66" t="s">
        <v>32</v>
      </c>
      <c r="L344" s="66" t="s">
        <v>33</v>
      </c>
      <c r="M344" s="67">
        <v>1.0</v>
      </c>
      <c r="N344" s="66" t="s">
        <v>1331</v>
      </c>
      <c r="O344" s="68"/>
    </row>
    <row r="345">
      <c r="A345" s="52">
        <v>45623.0</v>
      </c>
      <c r="B345" s="31" t="s">
        <v>1332</v>
      </c>
      <c r="C345" s="31">
        <v>8.05011502992E11</v>
      </c>
      <c r="D345" s="31" t="s">
        <v>1333</v>
      </c>
      <c r="E345" s="31" t="s">
        <v>1334</v>
      </c>
      <c r="F345" s="31" t="s">
        <v>1335</v>
      </c>
      <c r="G345" s="31" t="s">
        <v>20</v>
      </c>
      <c r="H345" s="31" t="s">
        <v>20</v>
      </c>
      <c r="I345" s="31">
        <v>4400.0</v>
      </c>
      <c r="J345" s="31" t="s">
        <v>1336</v>
      </c>
      <c r="K345" s="31" t="s">
        <v>1337</v>
      </c>
      <c r="L345" s="31" t="s">
        <v>1338</v>
      </c>
      <c r="M345" s="33">
        <v>1.0</v>
      </c>
      <c r="N345" s="31" t="s">
        <v>1339</v>
      </c>
      <c r="O345" s="34"/>
    </row>
    <row r="346">
      <c r="A346" s="52">
        <v>45623.0</v>
      </c>
      <c r="B346" s="31" t="s">
        <v>1332</v>
      </c>
      <c r="C346" s="31">
        <v>8.05011502992E11</v>
      </c>
      <c r="D346" s="31" t="s">
        <v>1333</v>
      </c>
      <c r="E346" s="31" t="s">
        <v>1334</v>
      </c>
      <c r="F346" s="31" t="s">
        <v>1335</v>
      </c>
      <c r="G346" s="31" t="s">
        <v>20</v>
      </c>
      <c r="H346" s="31" t="s">
        <v>20</v>
      </c>
      <c r="I346" s="31">
        <v>4400.0</v>
      </c>
      <c r="J346" s="31" t="s">
        <v>1336</v>
      </c>
      <c r="K346" s="31" t="s">
        <v>512</v>
      </c>
      <c r="L346" s="31" t="s">
        <v>513</v>
      </c>
      <c r="M346" s="33">
        <v>12.0</v>
      </c>
      <c r="N346" s="31" t="s">
        <v>1339</v>
      </c>
      <c r="O346" s="34"/>
    </row>
    <row r="347">
      <c r="A347" s="52">
        <v>45623.0</v>
      </c>
      <c r="B347" s="31" t="s">
        <v>1332</v>
      </c>
      <c r="C347" s="31">
        <v>8.05011502992E11</v>
      </c>
      <c r="D347" s="31" t="s">
        <v>1333</v>
      </c>
      <c r="E347" s="31" t="s">
        <v>1334</v>
      </c>
      <c r="F347" s="31" t="s">
        <v>1335</v>
      </c>
      <c r="G347" s="31" t="s">
        <v>20</v>
      </c>
      <c r="H347" s="31" t="s">
        <v>20</v>
      </c>
      <c r="I347" s="31">
        <v>4400.0</v>
      </c>
      <c r="J347" s="31" t="s">
        <v>1336</v>
      </c>
      <c r="K347" s="31" t="s">
        <v>233</v>
      </c>
      <c r="L347" s="31" t="s">
        <v>234</v>
      </c>
      <c r="M347" s="33">
        <v>2.0</v>
      </c>
      <c r="N347" s="31" t="s">
        <v>1339</v>
      </c>
      <c r="O347" s="34"/>
    </row>
    <row r="348">
      <c r="A348" s="65">
        <v>45623.0</v>
      </c>
      <c r="B348" s="66" t="s">
        <v>1340</v>
      </c>
      <c r="C348" s="66">
        <v>8.05011503055E11</v>
      </c>
      <c r="D348" s="66" t="s">
        <v>1341</v>
      </c>
      <c r="E348" s="66" t="s">
        <v>1342</v>
      </c>
      <c r="F348" s="66" t="s">
        <v>1343</v>
      </c>
      <c r="G348" s="66" t="s">
        <v>20</v>
      </c>
      <c r="H348" s="66" t="s">
        <v>20</v>
      </c>
      <c r="I348" s="66">
        <v>4400.0</v>
      </c>
      <c r="J348" s="66" t="s">
        <v>1344</v>
      </c>
      <c r="K348" s="66" t="s">
        <v>1345</v>
      </c>
      <c r="L348" s="66" t="s">
        <v>1346</v>
      </c>
      <c r="M348" s="67">
        <v>1.0</v>
      </c>
      <c r="N348" s="66" t="s">
        <v>1347</v>
      </c>
      <c r="O348" s="66" t="s">
        <v>1348</v>
      </c>
    </row>
    <row r="349">
      <c r="A349" s="65">
        <v>45623.0</v>
      </c>
      <c r="B349" s="66" t="s">
        <v>1340</v>
      </c>
      <c r="C349" s="66">
        <v>8.05011503055E11</v>
      </c>
      <c r="D349" s="66" t="s">
        <v>1341</v>
      </c>
      <c r="E349" s="66" t="s">
        <v>1342</v>
      </c>
      <c r="F349" s="66" t="s">
        <v>1343</v>
      </c>
      <c r="G349" s="66" t="s">
        <v>20</v>
      </c>
      <c r="H349" s="66" t="s">
        <v>20</v>
      </c>
      <c r="I349" s="66">
        <v>4400.0</v>
      </c>
      <c r="J349" s="66" t="s">
        <v>1344</v>
      </c>
      <c r="K349" s="66" t="s">
        <v>541</v>
      </c>
      <c r="L349" s="66" t="s">
        <v>542</v>
      </c>
      <c r="M349" s="67">
        <v>1.0</v>
      </c>
      <c r="N349" s="66" t="s">
        <v>1347</v>
      </c>
      <c r="O349" s="66" t="s">
        <v>1348</v>
      </c>
    </row>
    <row r="350">
      <c r="A350" s="65">
        <v>45623.0</v>
      </c>
      <c r="B350" s="66" t="s">
        <v>1340</v>
      </c>
      <c r="C350" s="66">
        <v>8.05011503055E11</v>
      </c>
      <c r="D350" s="66" t="s">
        <v>1341</v>
      </c>
      <c r="E350" s="66" t="s">
        <v>1342</v>
      </c>
      <c r="F350" s="66" t="s">
        <v>1343</v>
      </c>
      <c r="G350" s="66" t="s">
        <v>20</v>
      </c>
      <c r="H350" s="66" t="s">
        <v>20</v>
      </c>
      <c r="I350" s="66">
        <v>4400.0</v>
      </c>
      <c r="J350" s="66" t="s">
        <v>1344</v>
      </c>
      <c r="K350" s="66" t="s">
        <v>512</v>
      </c>
      <c r="L350" s="66" t="s">
        <v>513</v>
      </c>
      <c r="M350" s="67">
        <v>6.0</v>
      </c>
      <c r="N350" s="66" t="s">
        <v>1347</v>
      </c>
      <c r="O350" s="66" t="s">
        <v>1348</v>
      </c>
    </row>
    <row r="351">
      <c r="A351" s="52">
        <v>45623.0</v>
      </c>
      <c r="B351" s="31" t="s">
        <v>1349</v>
      </c>
      <c r="C351" s="31">
        <v>8.05011503226E11</v>
      </c>
      <c r="D351" s="31" t="s">
        <v>1350</v>
      </c>
      <c r="E351" s="31" t="s">
        <v>1351</v>
      </c>
      <c r="F351" s="31" t="s">
        <v>1352</v>
      </c>
      <c r="G351" s="31" t="s">
        <v>20</v>
      </c>
      <c r="H351" s="31" t="s">
        <v>20</v>
      </c>
      <c r="I351" s="31">
        <v>4400.0</v>
      </c>
      <c r="J351" s="31" t="s">
        <v>1353</v>
      </c>
      <c r="K351" s="31" t="s">
        <v>947</v>
      </c>
      <c r="L351" s="31" t="s">
        <v>948</v>
      </c>
      <c r="M351" s="33">
        <v>1.0</v>
      </c>
      <c r="N351" s="31" t="s">
        <v>1354</v>
      </c>
      <c r="O351" s="34"/>
    </row>
    <row r="352">
      <c r="A352" s="52">
        <v>45623.0</v>
      </c>
      <c r="B352" s="31" t="s">
        <v>1349</v>
      </c>
      <c r="C352" s="31">
        <v>8.05011503226E11</v>
      </c>
      <c r="D352" s="31" t="s">
        <v>1350</v>
      </c>
      <c r="E352" s="31" t="s">
        <v>1351</v>
      </c>
      <c r="F352" s="31" t="s">
        <v>1352</v>
      </c>
      <c r="G352" s="31" t="s">
        <v>20</v>
      </c>
      <c r="H352" s="31" t="s">
        <v>20</v>
      </c>
      <c r="I352" s="31">
        <v>4400.0</v>
      </c>
      <c r="J352" s="31" t="s">
        <v>1353</v>
      </c>
      <c r="K352" s="31" t="s">
        <v>512</v>
      </c>
      <c r="L352" s="31" t="s">
        <v>513</v>
      </c>
      <c r="M352" s="33">
        <v>6.0</v>
      </c>
      <c r="N352" s="31" t="s">
        <v>1354</v>
      </c>
      <c r="O352" s="34"/>
    </row>
    <row r="353">
      <c r="A353" s="52">
        <v>45623.0</v>
      </c>
      <c r="B353" s="31" t="s">
        <v>1349</v>
      </c>
      <c r="C353" s="31">
        <v>8.05011503226E11</v>
      </c>
      <c r="D353" s="31" t="s">
        <v>1350</v>
      </c>
      <c r="E353" s="31" t="s">
        <v>1351</v>
      </c>
      <c r="F353" s="31" t="s">
        <v>1352</v>
      </c>
      <c r="G353" s="31" t="s">
        <v>20</v>
      </c>
      <c r="H353" s="31" t="s">
        <v>20</v>
      </c>
      <c r="I353" s="31">
        <v>4400.0</v>
      </c>
      <c r="J353" s="31" t="s">
        <v>1353</v>
      </c>
      <c r="K353" s="31" t="s">
        <v>35</v>
      </c>
      <c r="L353" s="31" t="s">
        <v>36</v>
      </c>
      <c r="M353" s="33">
        <v>1.0</v>
      </c>
      <c r="N353" s="31" t="s">
        <v>1354</v>
      </c>
      <c r="O353" s="34"/>
    </row>
    <row r="354">
      <c r="A354" s="65">
        <v>45623.0</v>
      </c>
      <c r="B354" s="66" t="s">
        <v>1355</v>
      </c>
      <c r="C354" s="66">
        <v>8.05011503285E11</v>
      </c>
      <c r="D354" s="66" t="s">
        <v>1356</v>
      </c>
      <c r="E354" s="66" t="s">
        <v>1357</v>
      </c>
      <c r="F354" s="66" t="s">
        <v>1358</v>
      </c>
      <c r="G354" s="66" t="s">
        <v>20</v>
      </c>
      <c r="H354" s="66" t="s">
        <v>20</v>
      </c>
      <c r="I354" s="66">
        <v>4400.0</v>
      </c>
      <c r="J354" s="66" t="s">
        <v>1359</v>
      </c>
      <c r="K354" s="66" t="s">
        <v>1360</v>
      </c>
      <c r="L354" s="66" t="s">
        <v>1361</v>
      </c>
      <c r="M354" s="67">
        <v>1.0</v>
      </c>
      <c r="N354" s="66" t="s">
        <v>1362</v>
      </c>
      <c r="O354" s="68"/>
    </row>
    <row r="355">
      <c r="A355" s="52">
        <v>45623.0</v>
      </c>
      <c r="B355" s="31" t="s">
        <v>1363</v>
      </c>
      <c r="C355" s="31">
        <v>8.06015085949E11</v>
      </c>
      <c r="D355" s="31" t="s">
        <v>1364</v>
      </c>
      <c r="E355" s="31" t="s">
        <v>1365</v>
      </c>
      <c r="F355" s="31" t="s">
        <v>1366</v>
      </c>
      <c r="G355" s="31" t="s">
        <v>1367</v>
      </c>
      <c r="H355" s="31" t="s">
        <v>20</v>
      </c>
      <c r="I355" s="31">
        <v>4400.0</v>
      </c>
      <c r="J355" s="31" t="s">
        <v>1368</v>
      </c>
      <c r="K355" s="31" t="s">
        <v>1369</v>
      </c>
      <c r="L355" s="31" t="s">
        <v>1370</v>
      </c>
      <c r="M355" s="33">
        <v>1.0</v>
      </c>
      <c r="N355" s="31" t="s">
        <v>1371</v>
      </c>
      <c r="O355" s="31" t="s">
        <v>1372</v>
      </c>
    </row>
    <row r="356">
      <c r="A356" s="52">
        <v>45623.0</v>
      </c>
      <c r="B356" s="31" t="s">
        <v>1363</v>
      </c>
      <c r="C356" s="31">
        <v>8.06015085949E11</v>
      </c>
      <c r="D356" s="31" t="s">
        <v>1364</v>
      </c>
      <c r="E356" s="31" t="s">
        <v>1365</v>
      </c>
      <c r="F356" s="31" t="s">
        <v>1366</v>
      </c>
      <c r="G356" s="31" t="s">
        <v>1367</v>
      </c>
      <c r="H356" s="31" t="s">
        <v>20</v>
      </c>
      <c r="I356" s="31">
        <v>4400.0</v>
      </c>
      <c r="J356" s="31" t="s">
        <v>1368</v>
      </c>
      <c r="K356" s="31" t="s">
        <v>512</v>
      </c>
      <c r="L356" s="31" t="s">
        <v>513</v>
      </c>
      <c r="M356" s="33">
        <v>6.0</v>
      </c>
      <c r="N356" s="31" t="s">
        <v>1371</v>
      </c>
      <c r="O356" s="31" t="s">
        <v>1372</v>
      </c>
    </row>
    <row r="357">
      <c r="A357" s="52">
        <v>45623.0</v>
      </c>
      <c r="B357" s="31" t="s">
        <v>1363</v>
      </c>
      <c r="C357" s="31">
        <v>8.06015085949E11</v>
      </c>
      <c r="D357" s="31" t="s">
        <v>1364</v>
      </c>
      <c r="E357" s="31" t="s">
        <v>1365</v>
      </c>
      <c r="F357" s="31" t="s">
        <v>1366</v>
      </c>
      <c r="G357" s="31" t="s">
        <v>1367</v>
      </c>
      <c r="H357" s="31" t="s">
        <v>20</v>
      </c>
      <c r="I357" s="31">
        <v>4400.0</v>
      </c>
      <c r="J357" s="31" t="s">
        <v>1368</v>
      </c>
      <c r="K357" s="31" t="s">
        <v>1275</v>
      </c>
      <c r="L357" s="31" t="s">
        <v>1276</v>
      </c>
      <c r="M357" s="33">
        <v>1.0</v>
      </c>
      <c r="N357" s="31" t="s">
        <v>1371</v>
      </c>
      <c r="O357" s="31" t="s">
        <v>1372</v>
      </c>
    </row>
    <row r="358">
      <c r="A358" s="65">
        <v>45623.0</v>
      </c>
      <c r="B358" s="66" t="s">
        <v>1373</v>
      </c>
      <c r="C358" s="66">
        <v>8.07025028339E11</v>
      </c>
      <c r="D358" s="66" t="s">
        <v>1374</v>
      </c>
      <c r="E358" s="66" t="s">
        <v>1375</v>
      </c>
      <c r="F358" s="66" t="s">
        <v>1376</v>
      </c>
      <c r="G358" s="66" t="s">
        <v>1377</v>
      </c>
      <c r="H358" s="66" t="s">
        <v>20</v>
      </c>
      <c r="I358" s="66">
        <v>4600.0</v>
      </c>
      <c r="J358" s="66" t="s">
        <v>1378</v>
      </c>
      <c r="K358" s="66" t="s">
        <v>1379</v>
      </c>
      <c r="L358" s="66" t="s">
        <v>1380</v>
      </c>
      <c r="M358" s="67">
        <v>1.0</v>
      </c>
      <c r="N358" s="66" t="s">
        <v>1381</v>
      </c>
      <c r="O358" s="66" t="s">
        <v>1382</v>
      </c>
    </row>
    <row r="359">
      <c r="A359" s="65">
        <v>45623.0</v>
      </c>
      <c r="B359" s="66" t="s">
        <v>1373</v>
      </c>
      <c r="C359" s="66">
        <v>8.07025028339E11</v>
      </c>
      <c r="D359" s="66" t="s">
        <v>1374</v>
      </c>
      <c r="E359" s="66" t="s">
        <v>1375</v>
      </c>
      <c r="F359" s="66" t="s">
        <v>1376</v>
      </c>
      <c r="G359" s="66" t="s">
        <v>1377</v>
      </c>
      <c r="H359" s="66" t="s">
        <v>20</v>
      </c>
      <c r="I359" s="66">
        <v>4600.0</v>
      </c>
      <c r="J359" s="66" t="s">
        <v>1378</v>
      </c>
      <c r="K359" s="66" t="s">
        <v>512</v>
      </c>
      <c r="L359" s="66" t="s">
        <v>513</v>
      </c>
      <c r="M359" s="67">
        <v>6.0</v>
      </c>
      <c r="N359" s="66" t="s">
        <v>1381</v>
      </c>
      <c r="O359" s="66" t="s">
        <v>1382</v>
      </c>
    </row>
    <row r="360">
      <c r="A360" s="65">
        <v>45623.0</v>
      </c>
      <c r="B360" s="66" t="s">
        <v>1373</v>
      </c>
      <c r="C360" s="66">
        <v>8.07025028339E11</v>
      </c>
      <c r="D360" s="66" t="s">
        <v>1374</v>
      </c>
      <c r="E360" s="66" t="s">
        <v>1375</v>
      </c>
      <c r="F360" s="66" t="s">
        <v>1376</v>
      </c>
      <c r="G360" s="66" t="s">
        <v>1377</v>
      </c>
      <c r="H360" s="66" t="s">
        <v>20</v>
      </c>
      <c r="I360" s="66">
        <v>4600.0</v>
      </c>
      <c r="J360" s="66" t="s">
        <v>1378</v>
      </c>
      <c r="K360" s="66" t="s">
        <v>35</v>
      </c>
      <c r="L360" s="66" t="s">
        <v>36</v>
      </c>
      <c r="M360" s="67">
        <v>1.0</v>
      </c>
      <c r="N360" s="66" t="s">
        <v>1381</v>
      </c>
      <c r="O360" s="66" t="s">
        <v>1382</v>
      </c>
    </row>
    <row r="361">
      <c r="A361" s="52">
        <v>45623.0</v>
      </c>
      <c r="B361" s="31" t="s">
        <v>1383</v>
      </c>
      <c r="C361" s="31">
        <v>8.05011500181E11</v>
      </c>
      <c r="D361" s="31" t="s">
        <v>1384</v>
      </c>
      <c r="E361" s="31" t="s">
        <v>1385</v>
      </c>
      <c r="F361" s="69" t="s">
        <v>1386</v>
      </c>
      <c r="G361" s="31" t="s">
        <v>1387</v>
      </c>
      <c r="H361" s="31" t="s">
        <v>20</v>
      </c>
      <c r="I361" s="31">
        <v>4430.0</v>
      </c>
      <c r="J361" s="31" t="s">
        <v>1388</v>
      </c>
      <c r="K361" s="31" t="s">
        <v>269</v>
      </c>
      <c r="L361" s="31" t="s">
        <v>270</v>
      </c>
      <c r="M361" s="33">
        <v>1.0</v>
      </c>
      <c r="N361" s="31" t="s">
        <v>1389</v>
      </c>
      <c r="O361" s="34"/>
    </row>
    <row r="362">
      <c r="A362" s="52">
        <v>45623.0</v>
      </c>
      <c r="B362" s="31" t="s">
        <v>1383</v>
      </c>
      <c r="C362" s="31">
        <v>8.05011500181E11</v>
      </c>
      <c r="D362" s="31" t="s">
        <v>1384</v>
      </c>
      <c r="E362" s="31" t="s">
        <v>1385</v>
      </c>
      <c r="F362" s="69" t="s">
        <v>1386</v>
      </c>
      <c r="G362" s="31" t="s">
        <v>1387</v>
      </c>
      <c r="H362" s="31" t="s">
        <v>20</v>
      </c>
      <c r="I362" s="31">
        <v>4430.0</v>
      </c>
      <c r="J362" s="31" t="s">
        <v>1388</v>
      </c>
      <c r="K362" s="31" t="s">
        <v>627</v>
      </c>
      <c r="L362" s="31" t="s">
        <v>628</v>
      </c>
      <c r="M362" s="33">
        <v>1.0</v>
      </c>
      <c r="N362" s="31" t="s">
        <v>1389</v>
      </c>
      <c r="O362" s="34"/>
    </row>
    <row r="363">
      <c r="A363" s="65">
        <v>45623.0</v>
      </c>
      <c r="B363" s="66" t="s">
        <v>1390</v>
      </c>
      <c r="C363" s="66">
        <v>8.05011501479E11</v>
      </c>
      <c r="D363" s="66" t="s">
        <v>1391</v>
      </c>
      <c r="E363" s="66" t="s">
        <v>1392</v>
      </c>
      <c r="F363" s="66" t="s">
        <v>1393</v>
      </c>
      <c r="G363" s="66" t="s">
        <v>278</v>
      </c>
      <c r="H363" s="66" t="s">
        <v>20</v>
      </c>
      <c r="I363" s="66">
        <v>4400.0</v>
      </c>
      <c r="J363" s="66" t="s">
        <v>1394</v>
      </c>
      <c r="K363" s="66" t="s">
        <v>269</v>
      </c>
      <c r="L363" s="66" t="s">
        <v>270</v>
      </c>
      <c r="M363" s="67">
        <v>1.0</v>
      </c>
      <c r="N363" s="66" t="s">
        <v>1395</v>
      </c>
      <c r="O363" s="68"/>
    </row>
    <row r="364">
      <c r="A364" s="65">
        <v>45623.0</v>
      </c>
      <c r="B364" s="66" t="s">
        <v>1390</v>
      </c>
      <c r="C364" s="66">
        <v>8.05011501479E11</v>
      </c>
      <c r="D364" s="66" t="s">
        <v>1391</v>
      </c>
      <c r="E364" s="66" t="s">
        <v>1392</v>
      </c>
      <c r="F364" s="66" t="s">
        <v>1393</v>
      </c>
      <c r="G364" s="66" t="s">
        <v>278</v>
      </c>
      <c r="H364" s="66" t="s">
        <v>20</v>
      </c>
      <c r="I364" s="66">
        <v>4400.0</v>
      </c>
      <c r="J364" s="66" t="s">
        <v>1394</v>
      </c>
      <c r="K364" s="66" t="s">
        <v>627</v>
      </c>
      <c r="L364" s="66" t="s">
        <v>628</v>
      </c>
      <c r="M364" s="67">
        <v>1.0</v>
      </c>
      <c r="N364" s="66" t="s">
        <v>1395</v>
      </c>
      <c r="O364" s="68"/>
    </row>
    <row r="365">
      <c r="A365" s="52">
        <v>45623.0</v>
      </c>
      <c r="B365" s="31" t="s">
        <v>1396</v>
      </c>
      <c r="C365" s="31">
        <v>8.05011500085E11</v>
      </c>
      <c r="D365" s="31" t="s">
        <v>1397</v>
      </c>
      <c r="E365" s="31" t="s">
        <v>1398</v>
      </c>
      <c r="F365" s="31" t="s">
        <v>1399</v>
      </c>
      <c r="G365" s="31" t="s">
        <v>41</v>
      </c>
      <c r="H365" s="31" t="s">
        <v>20</v>
      </c>
      <c r="I365" s="31">
        <v>4560.0</v>
      </c>
      <c r="J365" s="31" t="s">
        <v>1400</v>
      </c>
      <c r="K365" s="31" t="s">
        <v>744</v>
      </c>
      <c r="L365" s="31" t="s">
        <v>745</v>
      </c>
      <c r="M365" s="33">
        <v>1.0</v>
      </c>
      <c r="N365" s="31" t="s">
        <v>1401</v>
      </c>
      <c r="O365" s="31" t="s">
        <v>1402</v>
      </c>
    </row>
    <row r="366">
      <c r="A366" s="65">
        <v>45623.0</v>
      </c>
      <c r="B366" s="66" t="s">
        <v>1403</v>
      </c>
      <c r="C366" s="66">
        <v>8.0702502841E11</v>
      </c>
      <c r="D366" s="66" t="s">
        <v>1404</v>
      </c>
      <c r="E366" s="66" t="s">
        <v>1405</v>
      </c>
      <c r="F366" s="66" t="s">
        <v>1406</v>
      </c>
      <c r="G366" s="66" t="s">
        <v>127</v>
      </c>
      <c r="H366" s="66" t="s">
        <v>20</v>
      </c>
      <c r="I366" s="66">
        <v>4400.0</v>
      </c>
      <c r="J366" s="66" t="s">
        <v>1407</v>
      </c>
      <c r="K366" s="66" t="s">
        <v>1408</v>
      </c>
      <c r="L366" s="66" t="s">
        <v>1409</v>
      </c>
      <c r="M366" s="67">
        <v>1.0</v>
      </c>
      <c r="N366" s="66" t="s">
        <v>1410</v>
      </c>
      <c r="O366" s="66" t="s">
        <v>1411</v>
      </c>
    </row>
    <row r="367">
      <c r="A367" s="52">
        <v>45623.0</v>
      </c>
      <c r="B367" s="31" t="s">
        <v>1412</v>
      </c>
      <c r="C367" s="31">
        <v>8.07025028409E11</v>
      </c>
      <c r="D367" s="31" t="s">
        <v>1413</v>
      </c>
      <c r="E367" s="31" t="s">
        <v>1414</v>
      </c>
      <c r="F367" s="31" t="s">
        <v>1415</v>
      </c>
      <c r="G367" s="31" t="s">
        <v>116</v>
      </c>
      <c r="H367" s="31" t="s">
        <v>20</v>
      </c>
      <c r="I367" s="31">
        <v>4400.0</v>
      </c>
      <c r="J367" s="31" t="s">
        <v>1416</v>
      </c>
      <c r="K367" s="31">
        <v>208501.0</v>
      </c>
      <c r="L367" s="31" t="s">
        <v>481</v>
      </c>
      <c r="M367" s="33">
        <v>8.0</v>
      </c>
      <c r="N367" s="31" t="s">
        <v>1417</v>
      </c>
      <c r="O367" s="31" t="s">
        <v>1418</v>
      </c>
    </row>
    <row r="368">
      <c r="A368" s="52">
        <v>45623.0</v>
      </c>
      <c r="B368" s="31" t="s">
        <v>1412</v>
      </c>
      <c r="C368" s="31">
        <v>8.07025028409E11</v>
      </c>
      <c r="D368" s="31" t="s">
        <v>1413</v>
      </c>
      <c r="E368" s="31" t="s">
        <v>1414</v>
      </c>
      <c r="F368" s="31" t="s">
        <v>1415</v>
      </c>
      <c r="G368" s="31" t="s">
        <v>116</v>
      </c>
      <c r="H368" s="31" t="s">
        <v>20</v>
      </c>
      <c r="I368" s="31">
        <v>4400.0</v>
      </c>
      <c r="J368" s="31" t="s">
        <v>1416</v>
      </c>
      <c r="K368" s="31" t="s">
        <v>1419</v>
      </c>
      <c r="L368" s="31" t="s">
        <v>1420</v>
      </c>
      <c r="M368" s="33">
        <v>2.0</v>
      </c>
      <c r="N368" s="31" t="s">
        <v>1417</v>
      </c>
      <c r="O368" s="31" t="s">
        <v>1418</v>
      </c>
    </row>
    <row r="369">
      <c r="A369" s="52">
        <v>45623.0</v>
      </c>
      <c r="B369" s="31" t="s">
        <v>1412</v>
      </c>
      <c r="C369" s="31">
        <v>8.07025028409E11</v>
      </c>
      <c r="D369" s="31" t="s">
        <v>1413</v>
      </c>
      <c r="E369" s="31" t="s">
        <v>1414</v>
      </c>
      <c r="F369" s="31" t="s">
        <v>1415</v>
      </c>
      <c r="G369" s="31" t="s">
        <v>116</v>
      </c>
      <c r="H369" s="31" t="s">
        <v>20</v>
      </c>
      <c r="I369" s="31">
        <v>4400.0</v>
      </c>
      <c r="J369" s="31" t="s">
        <v>1416</v>
      </c>
      <c r="K369" s="31" t="s">
        <v>512</v>
      </c>
      <c r="L369" s="31" t="s">
        <v>513</v>
      </c>
      <c r="M369" s="33">
        <v>12.0</v>
      </c>
      <c r="N369" s="31" t="s">
        <v>1417</v>
      </c>
      <c r="O369" s="31" t="s">
        <v>1418</v>
      </c>
    </row>
    <row r="370">
      <c r="A370" s="52">
        <v>45623.0</v>
      </c>
      <c r="B370" s="31" t="s">
        <v>1412</v>
      </c>
      <c r="C370" s="31">
        <v>8.07025028409E11</v>
      </c>
      <c r="D370" s="31" t="s">
        <v>1413</v>
      </c>
      <c r="E370" s="31" t="s">
        <v>1414</v>
      </c>
      <c r="F370" s="31" t="s">
        <v>1415</v>
      </c>
      <c r="G370" s="31" t="s">
        <v>116</v>
      </c>
      <c r="H370" s="31" t="s">
        <v>20</v>
      </c>
      <c r="I370" s="31">
        <v>4400.0</v>
      </c>
      <c r="J370" s="31" t="s">
        <v>1416</v>
      </c>
      <c r="K370" s="31" t="s">
        <v>169</v>
      </c>
      <c r="L370" s="31" t="s">
        <v>170</v>
      </c>
      <c r="M370" s="33">
        <v>2.0</v>
      </c>
      <c r="N370" s="31" t="s">
        <v>1417</v>
      </c>
      <c r="O370" s="31" t="s">
        <v>1418</v>
      </c>
    </row>
    <row r="371">
      <c r="A371" s="52">
        <v>45623.0</v>
      </c>
      <c r="B371" s="31" t="s">
        <v>1412</v>
      </c>
      <c r="C371" s="31">
        <v>8.07025028409E11</v>
      </c>
      <c r="D371" s="31" t="s">
        <v>1413</v>
      </c>
      <c r="E371" s="31" t="s">
        <v>1414</v>
      </c>
      <c r="F371" s="31" t="s">
        <v>1415</v>
      </c>
      <c r="G371" s="31" t="s">
        <v>116</v>
      </c>
      <c r="H371" s="31" t="s">
        <v>20</v>
      </c>
      <c r="I371" s="31">
        <v>4400.0</v>
      </c>
      <c r="J371" s="31" t="s">
        <v>1416</v>
      </c>
      <c r="K371" s="31" t="s">
        <v>1421</v>
      </c>
      <c r="L371" s="31" t="s">
        <v>1422</v>
      </c>
      <c r="M371" s="33">
        <v>3.0</v>
      </c>
      <c r="N371" s="31" t="s">
        <v>1417</v>
      </c>
      <c r="O371" s="31" t="s">
        <v>1418</v>
      </c>
    </row>
    <row r="372">
      <c r="A372" s="52">
        <v>45623.0</v>
      </c>
      <c r="B372" s="31" t="s">
        <v>1412</v>
      </c>
      <c r="C372" s="31">
        <v>8.07025028409E11</v>
      </c>
      <c r="D372" s="31" t="s">
        <v>1413</v>
      </c>
      <c r="E372" s="31" t="s">
        <v>1414</v>
      </c>
      <c r="F372" s="31" t="s">
        <v>1415</v>
      </c>
      <c r="G372" s="31" t="s">
        <v>116</v>
      </c>
      <c r="H372" s="31" t="s">
        <v>20</v>
      </c>
      <c r="I372" s="31">
        <v>4400.0</v>
      </c>
      <c r="J372" s="31" t="s">
        <v>1416</v>
      </c>
      <c r="K372" s="31" t="s">
        <v>969</v>
      </c>
      <c r="L372" s="31" t="s">
        <v>970</v>
      </c>
      <c r="M372" s="33">
        <v>3.0</v>
      </c>
      <c r="N372" s="31" t="s">
        <v>1417</v>
      </c>
      <c r="O372" s="31" t="s">
        <v>1418</v>
      </c>
    </row>
    <row r="373">
      <c r="A373" s="65">
        <v>45623.0</v>
      </c>
      <c r="B373" s="66" t="s">
        <v>1423</v>
      </c>
      <c r="C373" s="66">
        <v>8.05011503571E11</v>
      </c>
      <c r="D373" s="66" t="s">
        <v>1424</v>
      </c>
      <c r="E373" s="66" t="s">
        <v>1425</v>
      </c>
      <c r="F373" s="66" t="s">
        <v>1426</v>
      </c>
      <c r="G373" s="66" t="s">
        <v>1427</v>
      </c>
      <c r="H373" s="66" t="s">
        <v>20</v>
      </c>
      <c r="I373" s="66">
        <v>4400.0</v>
      </c>
      <c r="J373" s="66" t="s">
        <v>1428</v>
      </c>
      <c r="K373" s="66" t="s">
        <v>225</v>
      </c>
      <c r="L373" s="66" t="s">
        <v>226</v>
      </c>
      <c r="M373" s="67">
        <v>1.0</v>
      </c>
      <c r="N373" s="68"/>
      <c r="O373" s="66" t="s">
        <v>1429</v>
      </c>
    </row>
    <row r="374">
      <c r="A374" s="52">
        <v>45623.0</v>
      </c>
      <c r="B374" s="31" t="s">
        <v>1430</v>
      </c>
      <c r="C374" s="31">
        <v>8.05011503777E11</v>
      </c>
      <c r="D374" s="31" t="s">
        <v>1431</v>
      </c>
      <c r="E374" s="31" t="s">
        <v>1432</v>
      </c>
      <c r="F374" s="31" t="s">
        <v>1433</v>
      </c>
      <c r="G374" s="31" t="s">
        <v>296</v>
      </c>
      <c r="H374" s="31" t="s">
        <v>20</v>
      </c>
      <c r="I374" s="31">
        <v>4400.0</v>
      </c>
      <c r="J374" s="31" t="s">
        <v>1434</v>
      </c>
      <c r="K374" s="31" t="s">
        <v>1435</v>
      </c>
      <c r="L374" s="31" t="s">
        <v>1436</v>
      </c>
      <c r="M374" s="33">
        <v>1.0</v>
      </c>
      <c r="N374" s="31" t="s">
        <v>1437</v>
      </c>
      <c r="O374" s="37"/>
    </row>
    <row r="375">
      <c r="A375" s="52">
        <v>45623.0</v>
      </c>
      <c r="B375" s="31" t="s">
        <v>1430</v>
      </c>
      <c r="C375" s="31">
        <v>8.05011503777E11</v>
      </c>
      <c r="D375" s="31" t="s">
        <v>1431</v>
      </c>
      <c r="E375" s="31" t="s">
        <v>1432</v>
      </c>
      <c r="F375" s="31" t="s">
        <v>1433</v>
      </c>
      <c r="G375" s="31" t="s">
        <v>296</v>
      </c>
      <c r="H375" s="31" t="s">
        <v>20</v>
      </c>
      <c r="I375" s="31">
        <v>4400.0</v>
      </c>
      <c r="J375" s="31" t="s">
        <v>1434</v>
      </c>
      <c r="K375" s="31" t="s">
        <v>98</v>
      </c>
      <c r="L375" s="31" t="s">
        <v>99</v>
      </c>
      <c r="M375" s="33">
        <v>1.0</v>
      </c>
      <c r="N375" s="31" t="s">
        <v>1437</v>
      </c>
      <c r="O375" s="37"/>
    </row>
    <row r="376" ht="9.0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3"/>
      <c r="N376" s="22"/>
      <c r="O376" s="22"/>
    </row>
    <row r="377">
      <c r="A377" s="70">
        <v>45630.0</v>
      </c>
      <c r="B377" s="66" t="s">
        <v>1438</v>
      </c>
      <c r="C377" s="66">
        <v>8.05011503817E11</v>
      </c>
      <c r="D377" s="66" t="s">
        <v>1439</v>
      </c>
      <c r="E377" s="66" t="s">
        <v>1440</v>
      </c>
      <c r="F377" s="66" t="s">
        <v>1441</v>
      </c>
      <c r="G377" s="66" t="s">
        <v>1442</v>
      </c>
      <c r="H377" s="66" t="s">
        <v>20</v>
      </c>
      <c r="I377" s="66">
        <v>4400.0</v>
      </c>
      <c r="J377" s="66" t="s">
        <v>1443</v>
      </c>
      <c r="K377" s="66" t="s">
        <v>1444</v>
      </c>
      <c r="L377" s="66" t="s">
        <v>1445</v>
      </c>
      <c r="M377" s="67">
        <v>3.0</v>
      </c>
      <c r="N377" s="66" t="s">
        <v>1446</v>
      </c>
      <c r="O377" s="68"/>
    </row>
    <row r="378">
      <c r="A378" s="70">
        <v>45630.0</v>
      </c>
      <c r="B378" s="66" t="s">
        <v>1438</v>
      </c>
      <c r="C378" s="66">
        <v>8.05011503817E11</v>
      </c>
      <c r="D378" s="66" t="s">
        <v>1439</v>
      </c>
      <c r="E378" s="66" t="s">
        <v>1440</v>
      </c>
      <c r="F378" s="66" t="s">
        <v>1441</v>
      </c>
      <c r="G378" s="66" t="s">
        <v>1442</v>
      </c>
      <c r="H378" s="66" t="s">
        <v>20</v>
      </c>
      <c r="I378" s="66">
        <v>4400.0</v>
      </c>
      <c r="J378" s="66" t="s">
        <v>1443</v>
      </c>
      <c r="K378" s="66" t="s">
        <v>512</v>
      </c>
      <c r="L378" s="66" t="s">
        <v>513</v>
      </c>
      <c r="M378" s="67">
        <v>18.0</v>
      </c>
      <c r="N378" s="66" t="s">
        <v>1446</v>
      </c>
      <c r="O378" s="68"/>
    </row>
    <row r="379">
      <c r="A379" s="70">
        <v>45630.0</v>
      </c>
      <c r="B379" s="66" t="s">
        <v>1438</v>
      </c>
      <c r="C379" s="66">
        <v>8.05011503817E11</v>
      </c>
      <c r="D379" s="66" t="s">
        <v>1439</v>
      </c>
      <c r="E379" s="66" t="s">
        <v>1440</v>
      </c>
      <c r="F379" s="66" t="s">
        <v>1441</v>
      </c>
      <c r="G379" s="66" t="s">
        <v>1442</v>
      </c>
      <c r="H379" s="66" t="s">
        <v>20</v>
      </c>
      <c r="I379" s="66">
        <v>4400.0</v>
      </c>
      <c r="J379" s="66" t="s">
        <v>1443</v>
      </c>
      <c r="K379" s="66" t="s">
        <v>969</v>
      </c>
      <c r="L379" s="66" t="s">
        <v>970</v>
      </c>
      <c r="M379" s="67">
        <v>3.0</v>
      </c>
      <c r="N379" s="66" t="s">
        <v>1446</v>
      </c>
      <c r="O379" s="68"/>
    </row>
    <row r="380">
      <c r="A380" s="43">
        <v>45630.0</v>
      </c>
      <c r="B380" s="31" t="s">
        <v>1447</v>
      </c>
      <c r="C380" s="31">
        <v>8.05011503985E11</v>
      </c>
      <c r="D380" s="31" t="s">
        <v>1448</v>
      </c>
      <c r="E380" s="31" t="s">
        <v>1449</v>
      </c>
      <c r="F380" s="31" t="s">
        <v>1450</v>
      </c>
      <c r="G380" s="31" t="s">
        <v>41</v>
      </c>
      <c r="H380" s="31" t="s">
        <v>20</v>
      </c>
      <c r="I380" s="31">
        <v>4560.0</v>
      </c>
      <c r="J380" s="31" t="s">
        <v>1451</v>
      </c>
      <c r="K380" s="31" t="s">
        <v>1452</v>
      </c>
      <c r="L380" s="31" t="s">
        <v>1453</v>
      </c>
      <c r="M380" s="33">
        <v>4.0</v>
      </c>
      <c r="N380" s="31" t="s">
        <v>1454</v>
      </c>
      <c r="O380" s="34"/>
    </row>
    <row r="381">
      <c r="A381" s="43">
        <v>45630.0</v>
      </c>
      <c r="B381" s="31" t="s">
        <v>1455</v>
      </c>
      <c r="C381" s="31">
        <v>8.0501150398E11</v>
      </c>
      <c r="D381" s="31" t="s">
        <v>1448</v>
      </c>
      <c r="E381" s="31" t="s">
        <v>1449</v>
      </c>
      <c r="F381" s="31" t="s">
        <v>1456</v>
      </c>
      <c r="G381" s="31" t="s">
        <v>41</v>
      </c>
      <c r="H381" s="31" t="s">
        <v>20</v>
      </c>
      <c r="I381" s="31">
        <v>4560.0</v>
      </c>
      <c r="J381" s="31" t="s">
        <v>1451</v>
      </c>
      <c r="K381" s="31" t="s">
        <v>1457</v>
      </c>
      <c r="L381" s="31" t="s">
        <v>1458</v>
      </c>
      <c r="M381" s="33">
        <v>1.0</v>
      </c>
      <c r="N381" s="31" t="s">
        <v>1454</v>
      </c>
      <c r="O381" s="34"/>
    </row>
    <row r="382">
      <c r="A382" s="43">
        <v>45630.0</v>
      </c>
      <c r="B382" s="31" t="s">
        <v>1455</v>
      </c>
      <c r="C382" s="31">
        <v>8.0501150398E11</v>
      </c>
      <c r="D382" s="31" t="s">
        <v>1448</v>
      </c>
      <c r="E382" s="31" t="s">
        <v>1449</v>
      </c>
      <c r="F382" s="31" t="s">
        <v>1456</v>
      </c>
      <c r="G382" s="31" t="s">
        <v>41</v>
      </c>
      <c r="H382" s="31" t="s">
        <v>20</v>
      </c>
      <c r="I382" s="31">
        <v>4560.0</v>
      </c>
      <c r="J382" s="31" t="s">
        <v>1451</v>
      </c>
      <c r="K382" s="31" t="s">
        <v>98</v>
      </c>
      <c r="L382" s="31" t="s">
        <v>99</v>
      </c>
      <c r="M382" s="33">
        <v>1.0</v>
      </c>
      <c r="N382" s="31" t="s">
        <v>1454</v>
      </c>
      <c r="O382" s="34"/>
    </row>
    <row r="383">
      <c r="A383" s="43">
        <v>45630.0</v>
      </c>
      <c r="B383" s="31" t="s">
        <v>1459</v>
      </c>
      <c r="C383" s="31">
        <v>8.05011503981E11</v>
      </c>
      <c r="D383" s="31" t="s">
        <v>1448</v>
      </c>
      <c r="E383" s="31" t="s">
        <v>1449</v>
      </c>
      <c r="F383" s="31" t="s">
        <v>1450</v>
      </c>
      <c r="G383" s="31" t="s">
        <v>41</v>
      </c>
      <c r="H383" s="31" t="s">
        <v>20</v>
      </c>
      <c r="I383" s="31">
        <v>4560.0</v>
      </c>
      <c r="J383" s="31" t="s">
        <v>1451</v>
      </c>
      <c r="K383" s="31" t="s">
        <v>98</v>
      </c>
      <c r="L383" s="31" t="s">
        <v>99</v>
      </c>
      <c r="M383" s="33">
        <v>1.0</v>
      </c>
      <c r="N383" s="31" t="s">
        <v>1454</v>
      </c>
      <c r="O383" s="34"/>
    </row>
    <row r="384">
      <c r="A384" s="70">
        <v>45630.0</v>
      </c>
      <c r="B384" s="66" t="s">
        <v>1460</v>
      </c>
      <c r="C384" s="66">
        <v>8.05011500467E11</v>
      </c>
      <c r="D384" s="66" t="s">
        <v>1461</v>
      </c>
      <c r="E384" s="66" t="s">
        <v>1462</v>
      </c>
      <c r="F384" s="66" t="s">
        <v>1463</v>
      </c>
      <c r="G384" s="66" t="s">
        <v>793</v>
      </c>
      <c r="H384" s="66" t="s">
        <v>20</v>
      </c>
      <c r="I384" s="66">
        <v>4530.0</v>
      </c>
      <c r="J384" s="66" t="s">
        <v>1464</v>
      </c>
      <c r="K384" s="66" t="s">
        <v>741</v>
      </c>
      <c r="L384" s="66" t="s">
        <v>742</v>
      </c>
      <c r="M384" s="67">
        <v>1.0</v>
      </c>
      <c r="N384" s="66" t="s">
        <v>1465</v>
      </c>
      <c r="O384" s="66" t="s">
        <v>1466</v>
      </c>
    </row>
    <row r="385">
      <c r="A385" s="70">
        <v>45630.0</v>
      </c>
      <c r="B385" s="66" t="s">
        <v>1460</v>
      </c>
      <c r="C385" s="66">
        <v>8.05011500467E11</v>
      </c>
      <c r="D385" s="66" t="s">
        <v>1461</v>
      </c>
      <c r="E385" s="66" t="s">
        <v>1462</v>
      </c>
      <c r="F385" s="66" t="s">
        <v>1463</v>
      </c>
      <c r="G385" s="66" t="s">
        <v>793</v>
      </c>
      <c r="H385" s="66" t="s">
        <v>20</v>
      </c>
      <c r="I385" s="66">
        <v>4530.0</v>
      </c>
      <c r="J385" s="66" t="s">
        <v>1464</v>
      </c>
      <c r="K385" s="66" t="s">
        <v>744</v>
      </c>
      <c r="L385" s="66" t="s">
        <v>745</v>
      </c>
      <c r="M385" s="67">
        <v>1.0</v>
      </c>
      <c r="N385" s="66" t="s">
        <v>1465</v>
      </c>
      <c r="O385" s="66" t="s">
        <v>1466</v>
      </c>
    </row>
    <row r="386">
      <c r="A386" s="43">
        <v>45630.0</v>
      </c>
      <c r="B386" s="31" t="s">
        <v>1467</v>
      </c>
      <c r="C386" s="31">
        <v>8.05011500669E11</v>
      </c>
      <c r="D386" s="31" t="s">
        <v>1468</v>
      </c>
      <c r="E386" s="31" t="s">
        <v>1469</v>
      </c>
      <c r="F386" s="31" t="s">
        <v>1470</v>
      </c>
      <c r="G386" s="31" t="s">
        <v>376</v>
      </c>
      <c r="H386" s="31" t="s">
        <v>20</v>
      </c>
      <c r="I386" s="31">
        <v>4421.0</v>
      </c>
      <c r="J386" s="31" t="s">
        <v>1471</v>
      </c>
      <c r="K386" s="31" t="s">
        <v>744</v>
      </c>
      <c r="L386" s="31" t="s">
        <v>745</v>
      </c>
      <c r="M386" s="33">
        <v>1.0</v>
      </c>
      <c r="N386" s="31" t="s">
        <v>1472</v>
      </c>
      <c r="O386" s="34"/>
    </row>
    <row r="387">
      <c r="A387" s="43">
        <v>45630.0</v>
      </c>
      <c r="B387" s="31" t="s">
        <v>1467</v>
      </c>
      <c r="C387" s="31">
        <v>8.05011500669E11</v>
      </c>
      <c r="D387" s="31" t="s">
        <v>1468</v>
      </c>
      <c r="E387" s="31" t="s">
        <v>1469</v>
      </c>
      <c r="F387" s="31" t="s">
        <v>1470</v>
      </c>
      <c r="G387" s="31" t="s">
        <v>376</v>
      </c>
      <c r="H387" s="31" t="s">
        <v>20</v>
      </c>
      <c r="I387" s="31">
        <v>4421.0</v>
      </c>
      <c r="J387" s="31" t="s">
        <v>1471</v>
      </c>
      <c r="K387" s="31" t="s">
        <v>741</v>
      </c>
      <c r="L387" s="31" t="s">
        <v>742</v>
      </c>
      <c r="M387" s="33">
        <v>1.0</v>
      </c>
      <c r="N387" s="31" t="s">
        <v>1472</v>
      </c>
      <c r="O387" s="34"/>
    </row>
    <row r="388">
      <c r="A388" s="70">
        <v>45630.0</v>
      </c>
      <c r="B388" s="66" t="s">
        <v>1473</v>
      </c>
      <c r="C388" s="66">
        <v>8.05011500127E11</v>
      </c>
      <c r="D388" s="66" t="s">
        <v>1474</v>
      </c>
      <c r="E388" s="66" t="s">
        <v>1475</v>
      </c>
      <c r="F388" s="66" t="s">
        <v>1476</v>
      </c>
      <c r="G388" s="66" t="s">
        <v>1477</v>
      </c>
      <c r="H388" s="66" t="s">
        <v>20</v>
      </c>
      <c r="I388" s="66">
        <v>4550.0</v>
      </c>
      <c r="J388" s="66" t="s">
        <v>1478</v>
      </c>
      <c r="K388" s="66" t="s">
        <v>741</v>
      </c>
      <c r="L388" s="66" t="s">
        <v>742</v>
      </c>
      <c r="M388" s="67">
        <v>1.0</v>
      </c>
      <c r="N388" s="66" t="s">
        <v>1479</v>
      </c>
      <c r="O388" s="68"/>
    </row>
    <row r="389">
      <c r="A389" s="70">
        <v>45630.0</v>
      </c>
      <c r="B389" s="66" t="s">
        <v>1473</v>
      </c>
      <c r="C389" s="66">
        <v>8.05011500127E11</v>
      </c>
      <c r="D389" s="66" t="s">
        <v>1474</v>
      </c>
      <c r="E389" s="66" t="s">
        <v>1475</v>
      </c>
      <c r="F389" s="66" t="s">
        <v>1476</v>
      </c>
      <c r="G389" s="66" t="s">
        <v>1477</v>
      </c>
      <c r="H389" s="66" t="s">
        <v>20</v>
      </c>
      <c r="I389" s="66">
        <v>4550.0</v>
      </c>
      <c r="J389" s="66" t="s">
        <v>1478</v>
      </c>
      <c r="K389" s="66" t="s">
        <v>744</v>
      </c>
      <c r="L389" s="66" t="s">
        <v>745</v>
      </c>
      <c r="M389" s="67">
        <v>1.0</v>
      </c>
      <c r="N389" s="66" t="s">
        <v>1479</v>
      </c>
      <c r="O389" s="68"/>
    </row>
    <row r="390">
      <c r="A390" s="43">
        <v>45630.0</v>
      </c>
      <c r="B390" s="31" t="s">
        <v>1480</v>
      </c>
      <c r="C390" s="31">
        <v>8.05011500099E11</v>
      </c>
      <c r="D390" s="31" t="s">
        <v>1481</v>
      </c>
      <c r="E390" s="31" t="s">
        <v>1482</v>
      </c>
      <c r="F390" s="69" t="s">
        <v>1483</v>
      </c>
      <c r="G390" s="31" t="s">
        <v>532</v>
      </c>
      <c r="H390" s="31" t="s">
        <v>20</v>
      </c>
      <c r="I390" s="31">
        <v>4427.0</v>
      </c>
      <c r="J390" s="31" t="s">
        <v>1484</v>
      </c>
      <c r="K390" s="31" t="s">
        <v>744</v>
      </c>
      <c r="L390" s="31" t="s">
        <v>745</v>
      </c>
      <c r="M390" s="33">
        <v>1.0</v>
      </c>
      <c r="N390" s="31" t="s">
        <v>1485</v>
      </c>
      <c r="O390" s="31" t="s">
        <v>1486</v>
      </c>
    </row>
    <row r="391">
      <c r="A391" s="43">
        <v>45630.0</v>
      </c>
      <c r="B391" s="31" t="s">
        <v>1480</v>
      </c>
      <c r="C391" s="31">
        <v>8.05011500099E11</v>
      </c>
      <c r="D391" s="31" t="s">
        <v>1481</v>
      </c>
      <c r="E391" s="31" t="s">
        <v>1482</v>
      </c>
      <c r="F391" s="69" t="s">
        <v>1483</v>
      </c>
      <c r="G391" s="31" t="s">
        <v>532</v>
      </c>
      <c r="H391" s="31" t="s">
        <v>20</v>
      </c>
      <c r="I391" s="31">
        <v>4427.0</v>
      </c>
      <c r="J391" s="31" t="s">
        <v>1484</v>
      </c>
      <c r="K391" s="31" t="s">
        <v>741</v>
      </c>
      <c r="L391" s="31" t="s">
        <v>742</v>
      </c>
      <c r="M391" s="33">
        <v>1.0</v>
      </c>
      <c r="N391" s="31" t="s">
        <v>1485</v>
      </c>
      <c r="O391" s="31" t="s">
        <v>1486</v>
      </c>
    </row>
    <row r="392">
      <c r="A392" s="70">
        <v>45630.0</v>
      </c>
      <c r="B392" s="66" t="s">
        <v>1487</v>
      </c>
      <c r="C392" s="66">
        <v>8.05011501176E11</v>
      </c>
      <c r="D392" s="66" t="s">
        <v>1488</v>
      </c>
      <c r="E392" s="66" t="s">
        <v>1489</v>
      </c>
      <c r="F392" s="66" t="s">
        <v>1490</v>
      </c>
      <c r="G392" s="66" t="s">
        <v>368</v>
      </c>
      <c r="H392" s="66" t="s">
        <v>20</v>
      </c>
      <c r="I392" s="66">
        <v>4530.0</v>
      </c>
      <c r="J392" s="66" t="s">
        <v>1491</v>
      </c>
      <c r="K392" s="66" t="s">
        <v>744</v>
      </c>
      <c r="L392" s="66" t="s">
        <v>745</v>
      </c>
      <c r="M392" s="67">
        <v>1.0</v>
      </c>
      <c r="N392" s="66" t="s">
        <v>1492</v>
      </c>
      <c r="O392" s="66" t="s">
        <v>1493</v>
      </c>
    </row>
    <row r="393">
      <c r="A393" s="70">
        <v>45630.0</v>
      </c>
      <c r="B393" s="66" t="s">
        <v>1487</v>
      </c>
      <c r="C393" s="66">
        <v>8.05011501176E11</v>
      </c>
      <c r="D393" s="66" t="s">
        <v>1488</v>
      </c>
      <c r="E393" s="66" t="s">
        <v>1489</v>
      </c>
      <c r="F393" s="66" t="s">
        <v>1490</v>
      </c>
      <c r="G393" s="66" t="s">
        <v>368</v>
      </c>
      <c r="H393" s="66" t="s">
        <v>20</v>
      </c>
      <c r="I393" s="66">
        <v>4530.0</v>
      </c>
      <c r="J393" s="66" t="s">
        <v>1491</v>
      </c>
      <c r="K393" s="66" t="s">
        <v>741</v>
      </c>
      <c r="L393" s="66" t="s">
        <v>742</v>
      </c>
      <c r="M393" s="67">
        <v>1.0</v>
      </c>
      <c r="N393" s="66" t="s">
        <v>1492</v>
      </c>
      <c r="O393" s="66" t="s">
        <v>1493</v>
      </c>
    </row>
    <row r="394">
      <c r="A394" s="43">
        <v>45630.0</v>
      </c>
      <c r="B394" s="31" t="s">
        <v>1494</v>
      </c>
      <c r="C394" s="31">
        <v>8.05011502765E11</v>
      </c>
      <c r="D394" s="31" t="s">
        <v>1495</v>
      </c>
      <c r="E394" s="31" t="s">
        <v>1496</v>
      </c>
      <c r="F394" s="31" t="s">
        <v>1497</v>
      </c>
      <c r="G394" s="31" t="s">
        <v>127</v>
      </c>
      <c r="H394" s="31" t="s">
        <v>20</v>
      </c>
      <c r="I394" s="31">
        <v>4400.0</v>
      </c>
      <c r="J394" s="31" t="s">
        <v>1498</v>
      </c>
      <c r="K394" s="31" t="s">
        <v>360</v>
      </c>
      <c r="L394" s="31" t="s">
        <v>361</v>
      </c>
      <c r="M394" s="33">
        <v>1.0</v>
      </c>
      <c r="N394" s="31" t="s">
        <v>1499</v>
      </c>
      <c r="O394" s="31" t="s">
        <v>1500</v>
      </c>
    </row>
    <row r="395">
      <c r="A395" s="43">
        <v>45630.0</v>
      </c>
      <c r="B395" s="31" t="s">
        <v>1494</v>
      </c>
      <c r="C395" s="31">
        <v>8.05011502765E11</v>
      </c>
      <c r="D395" s="31" t="s">
        <v>1495</v>
      </c>
      <c r="E395" s="31" t="s">
        <v>1496</v>
      </c>
      <c r="F395" s="31" t="s">
        <v>1497</v>
      </c>
      <c r="G395" s="31" t="s">
        <v>127</v>
      </c>
      <c r="H395" s="31" t="s">
        <v>20</v>
      </c>
      <c r="I395" s="31">
        <v>4400.0</v>
      </c>
      <c r="J395" s="31" t="s">
        <v>1498</v>
      </c>
      <c r="K395" s="31" t="s">
        <v>741</v>
      </c>
      <c r="L395" s="31" t="s">
        <v>742</v>
      </c>
      <c r="M395" s="33">
        <v>1.0</v>
      </c>
      <c r="N395" s="31" t="s">
        <v>1499</v>
      </c>
      <c r="O395" s="31" t="s">
        <v>1500</v>
      </c>
    </row>
    <row r="396">
      <c r="A396" s="70">
        <v>45630.0</v>
      </c>
      <c r="B396" s="66" t="s">
        <v>1501</v>
      </c>
      <c r="C396" s="66">
        <v>8.05011504146E11</v>
      </c>
      <c r="D396" s="66" t="s">
        <v>1502</v>
      </c>
      <c r="E396" s="66" t="s">
        <v>1503</v>
      </c>
      <c r="F396" s="66" t="s">
        <v>1504</v>
      </c>
      <c r="G396" s="66" t="s">
        <v>20</v>
      </c>
      <c r="H396" s="66" t="s">
        <v>20</v>
      </c>
      <c r="I396" s="66">
        <v>4400.0</v>
      </c>
      <c r="J396" s="66" t="s">
        <v>1505</v>
      </c>
      <c r="K396" s="66" t="s">
        <v>50</v>
      </c>
      <c r="L396" s="66" t="s">
        <v>51</v>
      </c>
      <c r="M396" s="67">
        <v>1.0</v>
      </c>
      <c r="N396" s="66" t="s">
        <v>1506</v>
      </c>
      <c r="O396" s="68"/>
    </row>
    <row r="397">
      <c r="A397" s="70">
        <v>45630.0</v>
      </c>
      <c r="B397" s="66" t="s">
        <v>1501</v>
      </c>
      <c r="C397" s="66">
        <v>8.05011504146E11</v>
      </c>
      <c r="D397" s="66" t="s">
        <v>1502</v>
      </c>
      <c r="E397" s="66" t="s">
        <v>1503</v>
      </c>
      <c r="F397" s="66" t="s">
        <v>1504</v>
      </c>
      <c r="G397" s="66" t="s">
        <v>20</v>
      </c>
      <c r="H397" s="66" t="s">
        <v>20</v>
      </c>
      <c r="I397" s="66">
        <v>4400.0</v>
      </c>
      <c r="J397" s="66" t="s">
        <v>1505</v>
      </c>
      <c r="K397" s="66" t="s">
        <v>741</v>
      </c>
      <c r="L397" s="66" t="s">
        <v>742</v>
      </c>
      <c r="M397" s="67">
        <v>1.0</v>
      </c>
      <c r="N397" s="66" t="s">
        <v>1506</v>
      </c>
      <c r="O397" s="68"/>
    </row>
    <row r="398">
      <c r="A398" s="43">
        <v>45630.0</v>
      </c>
      <c r="B398" s="31" t="s">
        <v>1507</v>
      </c>
      <c r="C398" s="31">
        <v>8.05011504026E11</v>
      </c>
      <c r="D398" s="31" t="s">
        <v>1508</v>
      </c>
      <c r="E398" s="31" t="s">
        <v>1509</v>
      </c>
      <c r="F398" s="31" t="s">
        <v>1510</v>
      </c>
      <c r="G398" s="31" t="s">
        <v>20</v>
      </c>
      <c r="H398" s="31" t="s">
        <v>20</v>
      </c>
      <c r="I398" s="31">
        <v>4412.0</v>
      </c>
      <c r="J398" s="31" t="s">
        <v>1511</v>
      </c>
      <c r="K398" s="31" t="s">
        <v>88</v>
      </c>
      <c r="L398" s="31" t="s">
        <v>89</v>
      </c>
      <c r="M398" s="33">
        <v>1.0</v>
      </c>
      <c r="N398" s="31" t="s">
        <v>1512</v>
      </c>
      <c r="O398" s="34"/>
    </row>
    <row r="399">
      <c r="A399" s="43">
        <v>45630.0</v>
      </c>
      <c r="B399" s="31" t="s">
        <v>1507</v>
      </c>
      <c r="C399" s="31">
        <v>8.05011504026E11</v>
      </c>
      <c r="D399" s="31" t="s">
        <v>1508</v>
      </c>
      <c r="E399" s="31" t="s">
        <v>1509</v>
      </c>
      <c r="F399" s="31" t="s">
        <v>1510</v>
      </c>
      <c r="G399" s="31" t="s">
        <v>20</v>
      </c>
      <c r="H399" s="31" t="s">
        <v>20</v>
      </c>
      <c r="I399" s="31">
        <v>4412.0</v>
      </c>
      <c r="J399" s="31" t="s">
        <v>1511</v>
      </c>
      <c r="K399" s="31" t="s">
        <v>98</v>
      </c>
      <c r="L399" s="31" t="s">
        <v>99</v>
      </c>
      <c r="M399" s="33">
        <v>1.0</v>
      </c>
      <c r="N399" s="31" t="s">
        <v>1512</v>
      </c>
      <c r="O399" s="34"/>
    </row>
    <row r="400">
      <c r="A400" s="70">
        <v>45630.0</v>
      </c>
      <c r="B400" s="66" t="s">
        <v>1513</v>
      </c>
      <c r="C400" s="66">
        <v>8.05011504103E11</v>
      </c>
      <c r="D400" s="66" t="s">
        <v>1514</v>
      </c>
      <c r="E400" s="66" t="s">
        <v>1515</v>
      </c>
      <c r="F400" s="66" t="s">
        <v>1516</v>
      </c>
      <c r="G400" s="66" t="s">
        <v>20</v>
      </c>
      <c r="H400" s="66" t="s">
        <v>20</v>
      </c>
      <c r="I400" s="66">
        <v>4400.0</v>
      </c>
      <c r="J400" s="66" t="s">
        <v>1517</v>
      </c>
      <c r="K400" s="66" t="s">
        <v>269</v>
      </c>
      <c r="L400" s="66" t="s">
        <v>270</v>
      </c>
      <c r="M400" s="67">
        <v>1.0</v>
      </c>
      <c r="N400" s="66" t="s">
        <v>1518</v>
      </c>
      <c r="O400" s="68"/>
    </row>
    <row r="401">
      <c r="A401" s="70">
        <v>45630.0</v>
      </c>
      <c r="B401" s="66" t="s">
        <v>1513</v>
      </c>
      <c r="C401" s="66">
        <v>8.05011504103E11</v>
      </c>
      <c r="D401" s="66" t="s">
        <v>1514</v>
      </c>
      <c r="E401" s="66" t="s">
        <v>1515</v>
      </c>
      <c r="F401" s="66" t="s">
        <v>1516</v>
      </c>
      <c r="G401" s="66" t="s">
        <v>20</v>
      </c>
      <c r="H401" s="66" t="s">
        <v>20</v>
      </c>
      <c r="I401" s="66">
        <v>4400.0</v>
      </c>
      <c r="J401" s="66" t="s">
        <v>1517</v>
      </c>
      <c r="K401" s="66" t="s">
        <v>627</v>
      </c>
      <c r="L401" s="66" t="s">
        <v>628</v>
      </c>
      <c r="M401" s="67">
        <v>1.0</v>
      </c>
      <c r="N401" s="66" t="s">
        <v>1518</v>
      </c>
      <c r="O401" s="68"/>
    </row>
    <row r="402">
      <c r="A402" s="43">
        <v>45630.0</v>
      </c>
      <c r="B402" s="31" t="s">
        <v>1519</v>
      </c>
      <c r="C402" s="31">
        <v>8.0702502779E11</v>
      </c>
      <c r="D402" s="31" t="s">
        <v>1520</v>
      </c>
      <c r="E402" s="31" t="s">
        <v>1521</v>
      </c>
      <c r="F402" s="31" t="s">
        <v>1522</v>
      </c>
      <c r="G402" s="31" t="s">
        <v>127</v>
      </c>
      <c r="H402" s="31" t="s">
        <v>20</v>
      </c>
      <c r="I402" s="31">
        <v>4400.0</v>
      </c>
      <c r="J402" s="31" t="s">
        <v>1523</v>
      </c>
      <c r="K402" s="31" t="s">
        <v>302</v>
      </c>
      <c r="L402" s="31" t="s">
        <v>303</v>
      </c>
      <c r="M402" s="33">
        <v>1.0</v>
      </c>
      <c r="N402" s="31" t="s">
        <v>1524</v>
      </c>
      <c r="O402" s="34"/>
    </row>
    <row r="403">
      <c r="A403" s="70">
        <v>45630.0</v>
      </c>
      <c r="B403" s="66" t="s">
        <v>1525</v>
      </c>
      <c r="C403" s="66">
        <v>8.07025028494E11</v>
      </c>
      <c r="D403" s="66" t="s">
        <v>1526</v>
      </c>
      <c r="E403" s="66" t="s">
        <v>1527</v>
      </c>
      <c r="F403" s="66" t="s">
        <v>1528</v>
      </c>
      <c r="G403" s="66" t="s">
        <v>1529</v>
      </c>
      <c r="H403" s="66" t="s">
        <v>20</v>
      </c>
      <c r="I403" s="66">
        <v>4407.0</v>
      </c>
      <c r="J403" s="66" t="s">
        <v>1530</v>
      </c>
      <c r="K403" s="66" t="s">
        <v>121</v>
      </c>
      <c r="L403" s="66" t="s">
        <v>122</v>
      </c>
      <c r="M403" s="67">
        <v>2.0</v>
      </c>
      <c r="N403" s="66" t="s">
        <v>1531</v>
      </c>
      <c r="O403" s="66" t="s">
        <v>1532</v>
      </c>
    </row>
    <row r="404">
      <c r="A404" s="70">
        <v>45630.0</v>
      </c>
      <c r="B404" s="66" t="s">
        <v>1525</v>
      </c>
      <c r="C404" s="66">
        <v>8.07025028494E11</v>
      </c>
      <c r="D404" s="66" t="s">
        <v>1526</v>
      </c>
      <c r="E404" s="66" t="s">
        <v>1527</v>
      </c>
      <c r="F404" s="66" t="s">
        <v>1528</v>
      </c>
      <c r="G404" s="66" t="s">
        <v>1529</v>
      </c>
      <c r="H404" s="66" t="s">
        <v>20</v>
      </c>
      <c r="I404" s="66">
        <v>4407.0</v>
      </c>
      <c r="J404" s="66" t="s">
        <v>1530</v>
      </c>
      <c r="K404" s="66" t="s">
        <v>1533</v>
      </c>
      <c r="L404" s="66" t="s">
        <v>1534</v>
      </c>
      <c r="M404" s="67">
        <v>1.0</v>
      </c>
      <c r="N404" s="66" t="s">
        <v>1531</v>
      </c>
      <c r="O404" s="66" t="s">
        <v>1532</v>
      </c>
    </row>
    <row r="405">
      <c r="A405" s="70">
        <v>45630.0</v>
      </c>
      <c r="B405" s="66" t="s">
        <v>1525</v>
      </c>
      <c r="C405" s="66">
        <v>8.07025028494E11</v>
      </c>
      <c r="D405" s="66" t="s">
        <v>1526</v>
      </c>
      <c r="E405" s="66" t="s">
        <v>1527</v>
      </c>
      <c r="F405" s="66" t="s">
        <v>1528</v>
      </c>
      <c r="G405" s="66" t="s">
        <v>1529</v>
      </c>
      <c r="H405" s="66" t="s">
        <v>20</v>
      </c>
      <c r="I405" s="66">
        <v>4407.0</v>
      </c>
      <c r="J405" s="66" t="s">
        <v>1530</v>
      </c>
      <c r="K405" s="66" t="s">
        <v>512</v>
      </c>
      <c r="L405" s="66" t="s">
        <v>513</v>
      </c>
      <c r="M405" s="67">
        <v>12.0</v>
      </c>
      <c r="N405" s="66" t="s">
        <v>1531</v>
      </c>
      <c r="O405" s="66" t="s">
        <v>1532</v>
      </c>
    </row>
    <row r="406">
      <c r="A406" s="43">
        <v>45630.0</v>
      </c>
      <c r="B406" s="31" t="s">
        <v>1535</v>
      </c>
      <c r="C406" s="31">
        <v>8.07025028501E11</v>
      </c>
      <c r="D406" s="31" t="s">
        <v>1536</v>
      </c>
      <c r="E406" s="31" t="s">
        <v>1537</v>
      </c>
      <c r="F406" s="31" t="s">
        <v>1538</v>
      </c>
      <c r="G406" s="31" t="s">
        <v>116</v>
      </c>
      <c r="H406" s="31" t="s">
        <v>20</v>
      </c>
      <c r="I406" s="31">
        <v>4400.0</v>
      </c>
      <c r="J406" s="31" t="s">
        <v>1539</v>
      </c>
      <c r="K406" s="31" t="s">
        <v>1540</v>
      </c>
      <c r="L406" s="31" t="s">
        <v>1541</v>
      </c>
      <c r="M406" s="33">
        <v>2.0</v>
      </c>
      <c r="N406" s="31" t="s">
        <v>1542</v>
      </c>
      <c r="O406" s="31" t="s">
        <v>1543</v>
      </c>
    </row>
    <row r="407">
      <c r="A407" s="43">
        <v>45630.0</v>
      </c>
      <c r="B407" s="31" t="s">
        <v>1535</v>
      </c>
      <c r="C407" s="31">
        <v>8.07025028501E11</v>
      </c>
      <c r="D407" s="31" t="s">
        <v>1536</v>
      </c>
      <c r="E407" s="31" t="s">
        <v>1537</v>
      </c>
      <c r="F407" s="31" t="s">
        <v>1538</v>
      </c>
      <c r="G407" s="31" t="s">
        <v>116</v>
      </c>
      <c r="H407" s="31" t="s">
        <v>20</v>
      </c>
      <c r="I407" s="31">
        <v>4400.0</v>
      </c>
      <c r="J407" s="31" t="s">
        <v>1539</v>
      </c>
      <c r="K407" s="31" t="s">
        <v>512</v>
      </c>
      <c r="L407" s="31" t="s">
        <v>513</v>
      </c>
      <c r="M407" s="33">
        <v>12.0</v>
      </c>
      <c r="N407" s="31" t="s">
        <v>1542</v>
      </c>
      <c r="O407" s="31" t="s">
        <v>1543</v>
      </c>
    </row>
    <row r="408">
      <c r="A408" s="43">
        <v>45630.0</v>
      </c>
      <c r="B408" s="31" t="s">
        <v>1535</v>
      </c>
      <c r="C408" s="31">
        <v>8.07025028501E11</v>
      </c>
      <c r="D408" s="31" t="s">
        <v>1536</v>
      </c>
      <c r="E408" s="31" t="s">
        <v>1537</v>
      </c>
      <c r="F408" s="31" t="s">
        <v>1538</v>
      </c>
      <c r="G408" s="31" t="s">
        <v>116</v>
      </c>
      <c r="H408" s="31" t="s">
        <v>20</v>
      </c>
      <c r="I408" s="31">
        <v>4400.0</v>
      </c>
      <c r="J408" s="31" t="s">
        <v>1539</v>
      </c>
      <c r="K408" s="31" t="s">
        <v>1544</v>
      </c>
      <c r="L408" s="31" t="s">
        <v>1545</v>
      </c>
      <c r="M408" s="33">
        <v>2.0</v>
      </c>
      <c r="N408" s="31" t="s">
        <v>1542</v>
      </c>
      <c r="O408" s="31" t="s">
        <v>1543</v>
      </c>
    </row>
    <row r="409">
      <c r="A409" s="70">
        <v>45630.0</v>
      </c>
      <c r="B409" s="66" t="s">
        <v>1546</v>
      </c>
      <c r="C409" s="66">
        <v>8.07025028508E11</v>
      </c>
      <c r="D409" s="66" t="s">
        <v>1547</v>
      </c>
      <c r="E409" s="66" t="s">
        <v>1548</v>
      </c>
      <c r="F409" s="66" t="s">
        <v>1549</v>
      </c>
      <c r="G409" s="66" t="s">
        <v>1550</v>
      </c>
      <c r="H409" s="66" t="s">
        <v>20</v>
      </c>
      <c r="I409" s="66">
        <v>4401.0</v>
      </c>
      <c r="J409" s="66" t="s">
        <v>1551</v>
      </c>
      <c r="K409" s="66" t="s">
        <v>298</v>
      </c>
      <c r="L409" s="66" t="s">
        <v>299</v>
      </c>
      <c r="M409" s="67">
        <v>1.0</v>
      </c>
      <c r="N409" s="66" t="s">
        <v>1552</v>
      </c>
      <c r="O409" s="66" t="s">
        <v>1553</v>
      </c>
    </row>
    <row r="410">
      <c r="A410" s="43">
        <v>45630.0</v>
      </c>
      <c r="B410" s="31" t="s">
        <v>1554</v>
      </c>
      <c r="C410" s="31">
        <v>8.07025028513E11</v>
      </c>
      <c r="D410" s="31" t="s">
        <v>1555</v>
      </c>
      <c r="E410" s="31" t="s">
        <v>1556</v>
      </c>
      <c r="F410" s="31" t="s">
        <v>1557</v>
      </c>
      <c r="G410" s="31" t="s">
        <v>127</v>
      </c>
      <c r="H410" s="31" t="s">
        <v>20</v>
      </c>
      <c r="I410" s="31">
        <v>4400.0</v>
      </c>
      <c r="J410" s="31" t="s">
        <v>1558</v>
      </c>
      <c r="K410" s="31" t="s">
        <v>1559</v>
      </c>
      <c r="L410" s="31" t="s">
        <v>1560</v>
      </c>
      <c r="M410" s="33">
        <v>1.0</v>
      </c>
      <c r="N410" s="31" t="s">
        <v>1561</v>
      </c>
      <c r="O410" s="31" t="s">
        <v>1562</v>
      </c>
    </row>
    <row r="411">
      <c r="A411" s="43">
        <v>45630.0</v>
      </c>
      <c r="B411" s="31" t="s">
        <v>1554</v>
      </c>
      <c r="C411" s="31">
        <v>8.07025028513E11</v>
      </c>
      <c r="D411" s="31" t="s">
        <v>1555</v>
      </c>
      <c r="E411" s="31" t="s">
        <v>1556</v>
      </c>
      <c r="F411" s="31" t="s">
        <v>1557</v>
      </c>
      <c r="G411" s="31" t="s">
        <v>127</v>
      </c>
      <c r="H411" s="31" t="s">
        <v>20</v>
      </c>
      <c r="I411" s="31">
        <v>4400.0</v>
      </c>
      <c r="J411" s="31" t="s">
        <v>1558</v>
      </c>
      <c r="K411" s="31" t="s">
        <v>701</v>
      </c>
      <c r="L411" s="31" t="s">
        <v>702</v>
      </c>
      <c r="M411" s="33">
        <v>1.0</v>
      </c>
      <c r="N411" s="31" t="s">
        <v>1561</v>
      </c>
      <c r="O411" s="31" t="s">
        <v>1562</v>
      </c>
    </row>
    <row r="412">
      <c r="A412" s="70">
        <v>45630.0</v>
      </c>
      <c r="B412" s="66" t="s">
        <v>1563</v>
      </c>
      <c r="C412" s="66">
        <v>8.07025028521E11</v>
      </c>
      <c r="D412" s="66" t="s">
        <v>1564</v>
      </c>
      <c r="E412" s="66" t="s">
        <v>1565</v>
      </c>
      <c r="F412" s="66" t="s">
        <v>1566</v>
      </c>
      <c r="G412" s="66" t="s">
        <v>1567</v>
      </c>
      <c r="H412" s="66" t="s">
        <v>20</v>
      </c>
      <c r="I412" s="66">
        <v>4401.0</v>
      </c>
      <c r="J412" s="66" t="s">
        <v>1568</v>
      </c>
      <c r="K412" s="66" t="s">
        <v>971</v>
      </c>
      <c r="L412" s="66" t="s">
        <v>972</v>
      </c>
      <c r="M412" s="67">
        <v>2.0</v>
      </c>
      <c r="N412" s="66" t="s">
        <v>1569</v>
      </c>
      <c r="O412" s="66" t="s">
        <v>1570</v>
      </c>
    </row>
    <row r="413">
      <c r="A413" s="70">
        <v>45630.0</v>
      </c>
      <c r="B413" s="66" t="s">
        <v>1563</v>
      </c>
      <c r="C413" s="66">
        <v>8.07025028521E11</v>
      </c>
      <c r="D413" s="66" t="s">
        <v>1564</v>
      </c>
      <c r="E413" s="66" t="s">
        <v>1565</v>
      </c>
      <c r="F413" s="66" t="s">
        <v>1566</v>
      </c>
      <c r="G413" s="66" t="s">
        <v>1567</v>
      </c>
      <c r="H413" s="66" t="s">
        <v>20</v>
      </c>
      <c r="I413" s="66">
        <v>4401.0</v>
      </c>
      <c r="J413" s="66" t="s">
        <v>1568</v>
      </c>
      <c r="K413" s="66" t="s">
        <v>512</v>
      </c>
      <c r="L413" s="66" t="s">
        <v>513</v>
      </c>
      <c r="M413" s="67">
        <v>12.0</v>
      </c>
      <c r="N413" s="66" t="s">
        <v>1569</v>
      </c>
      <c r="O413" s="66" t="s">
        <v>1570</v>
      </c>
    </row>
    <row r="414">
      <c r="A414" s="70">
        <v>45630.0</v>
      </c>
      <c r="B414" s="66" t="s">
        <v>1563</v>
      </c>
      <c r="C414" s="66">
        <v>8.07025028521E11</v>
      </c>
      <c r="D414" s="66" t="s">
        <v>1564</v>
      </c>
      <c r="E414" s="66" t="s">
        <v>1565</v>
      </c>
      <c r="F414" s="66" t="s">
        <v>1566</v>
      </c>
      <c r="G414" s="66" t="s">
        <v>1567</v>
      </c>
      <c r="H414" s="66" t="s">
        <v>20</v>
      </c>
      <c r="I414" s="66">
        <v>4401.0</v>
      </c>
      <c r="J414" s="66" t="s">
        <v>1568</v>
      </c>
      <c r="K414" s="66" t="s">
        <v>969</v>
      </c>
      <c r="L414" s="66" t="s">
        <v>970</v>
      </c>
      <c r="M414" s="67">
        <v>2.0</v>
      </c>
      <c r="N414" s="66" t="s">
        <v>1569</v>
      </c>
      <c r="O414" s="66" t="s">
        <v>1570</v>
      </c>
    </row>
    <row r="415">
      <c r="A415" s="43">
        <v>45630.0</v>
      </c>
      <c r="B415" s="31" t="s">
        <v>1571</v>
      </c>
      <c r="C415" s="31">
        <v>8.07025028534E11</v>
      </c>
      <c r="D415" s="31" t="s">
        <v>1572</v>
      </c>
      <c r="E415" s="31" t="s">
        <v>1573</v>
      </c>
      <c r="F415" s="31" t="s">
        <v>1574</v>
      </c>
      <c r="G415" s="31" t="s">
        <v>1529</v>
      </c>
      <c r="H415" s="31" t="s">
        <v>20</v>
      </c>
      <c r="I415" s="31">
        <v>4407.0</v>
      </c>
      <c r="J415" s="31" t="s">
        <v>1575</v>
      </c>
      <c r="K415" s="31" t="s">
        <v>519</v>
      </c>
      <c r="L415" s="31" t="s">
        <v>520</v>
      </c>
      <c r="M415" s="33">
        <v>1.0</v>
      </c>
      <c r="N415" s="31" t="s">
        <v>1576</v>
      </c>
      <c r="O415" s="31" t="s">
        <v>1577</v>
      </c>
    </row>
    <row r="416">
      <c r="A416" s="43">
        <v>45630.0</v>
      </c>
      <c r="B416" s="31" t="s">
        <v>1571</v>
      </c>
      <c r="C416" s="31">
        <v>8.07025028534E11</v>
      </c>
      <c r="D416" s="31" t="s">
        <v>1572</v>
      </c>
      <c r="E416" s="31" t="s">
        <v>1573</v>
      </c>
      <c r="F416" s="31" t="s">
        <v>1574</v>
      </c>
      <c r="G416" s="31" t="s">
        <v>1529</v>
      </c>
      <c r="H416" s="31" t="s">
        <v>20</v>
      </c>
      <c r="I416" s="31">
        <v>4407.0</v>
      </c>
      <c r="J416" s="31" t="s">
        <v>1575</v>
      </c>
      <c r="K416" s="31" t="s">
        <v>805</v>
      </c>
      <c r="L416" s="31" t="s">
        <v>806</v>
      </c>
      <c r="M416" s="33">
        <v>1.0</v>
      </c>
      <c r="N416" s="31" t="s">
        <v>1576</v>
      </c>
      <c r="O416" s="31" t="s">
        <v>1577</v>
      </c>
    </row>
    <row r="417">
      <c r="A417" s="43">
        <v>45630.0</v>
      </c>
      <c r="B417" s="31" t="s">
        <v>1578</v>
      </c>
      <c r="C417" s="31">
        <v>8.07025028541E11</v>
      </c>
      <c r="D417" s="31" t="s">
        <v>1572</v>
      </c>
      <c r="E417" s="31" t="s">
        <v>1573</v>
      </c>
      <c r="F417" s="31" t="s">
        <v>1574</v>
      </c>
      <c r="G417" s="31" t="s">
        <v>1529</v>
      </c>
      <c r="H417" s="31" t="s">
        <v>20</v>
      </c>
      <c r="I417" s="31">
        <v>4407.0</v>
      </c>
      <c r="J417" s="31" t="s">
        <v>1575</v>
      </c>
      <c r="K417" s="31" t="s">
        <v>1579</v>
      </c>
      <c r="L417" s="31" t="s">
        <v>1580</v>
      </c>
      <c r="M417" s="33">
        <v>1.0</v>
      </c>
      <c r="N417" s="31" t="s">
        <v>1576</v>
      </c>
      <c r="O417" s="31" t="s">
        <v>1577</v>
      </c>
    </row>
    <row r="418">
      <c r="A418" s="70">
        <v>45630.0</v>
      </c>
      <c r="B418" s="66" t="s">
        <v>1581</v>
      </c>
      <c r="C418" s="66">
        <v>8.07025028544E11</v>
      </c>
      <c r="D418" s="66" t="s">
        <v>1582</v>
      </c>
      <c r="E418" s="66" t="s">
        <v>1583</v>
      </c>
      <c r="F418" s="66" t="s">
        <v>1584</v>
      </c>
      <c r="G418" s="66" t="s">
        <v>116</v>
      </c>
      <c r="H418" s="66" t="s">
        <v>20</v>
      </c>
      <c r="I418" s="66">
        <v>4400.0</v>
      </c>
      <c r="J418" s="66" t="s">
        <v>1585</v>
      </c>
      <c r="K418" s="66" t="s">
        <v>617</v>
      </c>
      <c r="L418" s="66" t="s">
        <v>618</v>
      </c>
      <c r="M418" s="67">
        <v>1.0</v>
      </c>
      <c r="N418" s="66" t="s">
        <v>1586</v>
      </c>
      <c r="O418" s="66" t="s">
        <v>1587</v>
      </c>
    </row>
    <row r="419">
      <c r="A419" s="70">
        <v>45630.0</v>
      </c>
      <c r="B419" s="66" t="s">
        <v>1581</v>
      </c>
      <c r="C419" s="66">
        <v>8.07025028544E11</v>
      </c>
      <c r="D419" s="66" t="s">
        <v>1582</v>
      </c>
      <c r="E419" s="66" t="s">
        <v>1583</v>
      </c>
      <c r="F419" s="66" t="s">
        <v>1584</v>
      </c>
      <c r="G419" s="66" t="s">
        <v>116</v>
      </c>
      <c r="H419" s="66" t="s">
        <v>20</v>
      </c>
      <c r="I419" s="66">
        <v>4400.0</v>
      </c>
      <c r="J419" s="66" t="s">
        <v>1585</v>
      </c>
      <c r="K419" s="66" t="s">
        <v>512</v>
      </c>
      <c r="L419" s="66" t="s">
        <v>513</v>
      </c>
      <c r="M419" s="67">
        <v>12.0</v>
      </c>
      <c r="N419" s="66" t="s">
        <v>1586</v>
      </c>
      <c r="O419" s="66" t="s">
        <v>1587</v>
      </c>
    </row>
    <row r="420">
      <c r="A420" s="70">
        <v>45630.0</v>
      </c>
      <c r="B420" s="66" t="s">
        <v>1581</v>
      </c>
      <c r="C420" s="66">
        <v>8.07025028544E11</v>
      </c>
      <c r="D420" s="66" t="s">
        <v>1582</v>
      </c>
      <c r="E420" s="66" t="s">
        <v>1583</v>
      </c>
      <c r="F420" s="66" t="s">
        <v>1584</v>
      </c>
      <c r="G420" s="66" t="s">
        <v>116</v>
      </c>
      <c r="H420" s="66" t="s">
        <v>20</v>
      </c>
      <c r="I420" s="66">
        <v>4400.0</v>
      </c>
      <c r="J420" s="66" t="s">
        <v>1585</v>
      </c>
      <c r="K420" s="66" t="s">
        <v>645</v>
      </c>
      <c r="L420" s="66" t="s">
        <v>646</v>
      </c>
      <c r="M420" s="67">
        <v>2.0</v>
      </c>
      <c r="N420" s="66" t="s">
        <v>1586</v>
      </c>
      <c r="O420" s="66" t="s">
        <v>1587</v>
      </c>
    </row>
    <row r="421">
      <c r="A421" s="43">
        <v>45630.0</v>
      </c>
      <c r="B421" s="31" t="s">
        <v>1588</v>
      </c>
      <c r="C421" s="31">
        <v>8.07025028546E11</v>
      </c>
      <c r="D421" s="31" t="s">
        <v>1589</v>
      </c>
      <c r="E421" s="31" t="s">
        <v>1590</v>
      </c>
      <c r="F421" s="31" t="s">
        <v>1591</v>
      </c>
      <c r="G421" s="31" t="s">
        <v>127</v>
      </c>
      <c r="H421" s="31" t="s">
        <v>20</v>
      </c>
      <c r="I421" s="31">
        <v>4400.0</v>
      </c>
      <c r="J421" s="31" t="s">
        <v>1592</v>
      </c>
      <c r="K421" s="31" t="s">
        <v>1593</v>
      </c>
      <c r="L421" s="31" t="s">
        <v>1594</v>
      </c>
      <c r="M421" s="33">
        <v>1.0</v>
      </c>
      <c r="N421" s="31" t="s">
        <v>1595</v>
      </c>
      <c r="O421" s="31" t="s">
        <v>1596</v>
      </c>
    </row>
    <row r="422">
      <c r="A422" s="43">
        <v>45630.0</v>
      </c>
      <c r="B422" s="31" t="s">
        <v>1588</v>
      </c>
      <c r="C422" s="31">
        <v>8.07025028546E11</v>
      </c>
      <c r="D422" s="31" t="s">
        <v>1589</v>
      </c>
      <c r="E422" s="31" t="s">
        <v>1590</v>
      </c>
      <c r="F422" s="31" t="s">
        <v>1591</v>
      </c>
      <c r="G422" s="31" t="s">
        <v>127</v>
      </c>
      <c r="H422" s="31" t="s">
        <v>20</v>
      </c>
      <c r="I422" s="31">
        <v>4400.0</v>
      </c>
      <c r="J422" s="31" t="s">
        <v>1592</v>
      </c>
      <c r="K422" s="31" t="s">
        <v>727</v>
      </c>
      <c r="L422" s="31" t="s">
        <v>728</v>
      </c>
      <c r="M422" s="33">
        <v>2.0</v>
      </c>
      <c r="N422" s="31" t="s">
        <v>1595</v>
      </c>
      <c r="O422" s="31" t="s">
        <v>1596</v>
      </c>
    </row>
    <row r="423">
      <c r="A423" s="70">
        <v>45630.0</v>
      </c>
      <c r="B423" s="66" t="s">
        <v>1597</v>
      </c>
      <c r="C423" s="66">
        <v>8.06520044199E11</v>
      </c>
      <c r="D423" s="66" t="s">
        <v>1598</v>
      </c>
      <c r="E423" s="66" t="s">
        <v>1599</v>
      </c>
      <c r="F423" s="66" t="s">
        <v>1600</v>
      </c>
      <c r="G423" s="66" t="s">
        <v>127</v>
      </c>
      <c r="H423" s="66" t="s">
        <v>20</v>
      </c>
      <c r="I423" s="66" t="s">
        <v>1601</v>
      </c>
      <c r="J423" s="66" t="s">
        <v>1602</v>
      </c>
      <c r="K423" s="66" t="s">
        <v>110</v>
      </c>
      <c r="L423" s="66" t="s">
        <v>111</v>
      </c>
      <c r="M423" s="67">
        <v>1.0</v>
      </c>
      <c r="N423" s="66" t="s">
        <v>1603</v>
      </c>
      <c r="O423" s="66" t="s">
        <v>1604</v>
      </c>
    </row>
    <row r="424">
      <c r="A424" s="70">
        <v>45630.0</v>
      </c>
      <c r="B424" s="66" t="s">
        <v>1605</v>
      </c>
      <c r="C424" s="66">
        <v>8.065200442E11</v>
      </c>
      <c r="D424" s="66" t="s">
        <v>1598</v>
      </c>
      <c r="E424" s="66" t="s">
        <v>1599</v>
      </c>
      <c r="F424" s="66" t="s">
        <v>1600</v>
      </c>
      <c r="G424" s="66" t="s">
        <v>127</v>
      </c>
      <c r="H424" s="66" t="s">
        <v>20</v>
      </c>
      <c r="I424" s="66" t="s">
        <v>1601</v>
      </c>
      <c r="J424" s="66" t="s">
        <v>1602</v>
      </c>
      <c r="K424" s="66" t="s">
        <v>50</v>
      </c>
      <c r="L424" s="66" t="s">
        <v>51</v>
      </c>
      <c r="M424" s="67">
        <v>1.0</v>
      </c>
      <c r="N424" s="66" t="s">
        <v>1603</v>
      </c>
      <c r="O424" s="66" t="s">
        <v>1604</v>
      </c>
    </row>
    <row r="425">
      <c r="A425" s="70">
        <v>45630.0</v>
      </c>
      <c r="B425" s="66" t="s">
        <v>1605</v>
      </c>
      <c r="C425" s="66">
        <v>8.065200442E11</v>
      </c>
      <c r="D425" s="66" t="s">
        <v>1598</v>
      </c>
      <c r="E425" s="66" t="s">
        <v>1599</v>
      </c>
      <c r="F425" s="66" t="s">
        <v>1600</v>
      </c>
      <c r="G425" s="66" t="s">
        <v>127</v>
      </c>
      <c r="H425" s="66" t="s">
        <v>20</v>
      </c>
      <c r="I425" s="66" t="s">
        <v>1601</v>
      </c>
      <c r="J425" s="66" t="s">
        <v>1602</v>
      </c>
      <c r="K425" s="66" t="s">
        <v>512</v>
      </c>
      <c r="L425" s="66" t="s">
        <v>513</v>
      </c>
      <c r="M425" s="67">
        <v>6.0</v>
      </c>
      <c r="N425" s="66" t="s">
        <v>1603</v>
      </c>
      <c r="O425" s="66" t="s">
        <v>1604</v>
      </c>
    </row>
    <row r="426">
      <c r="A426" s="43">
        <v>45630.0</v>
      </c>
      <c r="B426" s="31" t="s">
        <v>1606</v>
      </c>
      <c r="C426" s="31">
        <v>8.05011504741E11</v>
      </c>
      <c r="D426" s="31" t="s">
        <v>1607</v>
      </c>
      <c r="E426" s="31" t="s">
        <v>1608</v>
      </c>
      <c r="F426" s="58" t="s">
        <v>1609</v>
      </c>
      <c r="G426" s="31" t="s">
        <v>20</v>
      </c>
      <c r="H426" s="31" t="s">
        <v>20</v>
      </c>
      <c r="I426" s="31">
        <v>4400.0</v>
      </c>
      <c r="J426" s="31" t="s">
        <v>1610</v>
      </c>
      <c r="K426" s="31" t="s">
        <v>176</v>
      </c>
      <c r="L426" s="31" t="s">
        <v>177</v>
      </c>
      <c r="M426" s="33">
        <v>1.0</v>
      </c>
      <c r="N426" s="31" t="s">
        <v>1611</v>
      </c>
      <c r="O426" s="34"/>
    </row>
    <row r="427">
      <c r="A427" s="43">
        <v>45630.0</v>
      </c>
      <c r="B427" s="31" t="s">
        <v>1606</v>
      </c>
      <c r="C427" s="31">
        <v>8.05011504741E11</v>
      </c>
      <c r="D427" s="31" t="s">
        <v>1607</v>
      </c>
      <c r="E427" s="31" t="s">
        <v>1608</v>
      </c>
      <c r="F427" s="58" t="s">
        <v>1609</v>
      </c>
      <c r="G427" s="31" t="s">
        <v>20</v>
      </c>
      <c r="H427" s="31" t="s">
        <v>20</v>
      </c>
      <c r="I427" s="31">
        <v>4400.0</v>
      </c>
      <c r="J427" s="31" t="s">
        <v>1610</v>
      </c>
      <c r="K427" s="31" t="s">
        <v>512</v>
      </c>
      <c r="L427" s="31" t="s">
        <v>513</v>
      </c>
      <c r="M427" s="33">
        <v>6.0</v>
      </c>
      <c r="N427" s="31" t="s">
        <v>1611</v>
      </c>
      <c r="O427" s="34"/>
    </row>
    <row r="428">
      <c r="A428" s="43">
        <v>45630.0</v>
      </c>
      <c r="B428" s="31" t="s">
        <v>1606</v>
      </c>
      <c r="C428" s="31">
        <v>8.05011504741E11</v>
      </c>
      <c r="D428" s="31" t="s">
        <v>1607</v>
      </c>
      <c r="E428" s="31" t="s">
        <v>1608</v>
      </c>
      <c r="F428" s="58" t="s">
        <v>1609</v>
      </c>
      <c r="G428" s="31" t="s">
        <v>20</v>
      </c>
      <c r="H428" s="31" t="s">
        <v>20</v>
      </c>
      <c r="I428" s="31">
        <v>4400.0</v>
      </c>
      <c r="J428" s="31" t="s">
        <v>1610</v>
      </c>
      <c r="K428" s="31" t="s">
        <v>110</v>
      </c>
      <c r="L428" s="31" t="s">
        <v>111</v>
      </c>
      <c r="M428" s="33">
        <v>1.0</v>
      </c>
      <c r="N428" s="31" t="s">
        <v>1611</v>
      </c>
      <c r="O428" s="34"/>
    </row>
    <row r="429">
      <c r="A429" s="70">
        <v>45630.0</v>
      </c>
      <c r="B429" s="66" t="s">
        <v>1612</v>
      </c>
      <c r="C429" s="66">
        <v>8.05011504622E11</v>
      </c>
      <c r="D429" s="66" t="s">
        <v>1613</v>
      </c>
      <c r="E429" s="66" t="s">
        <v>1614</v>
      </c>
      <c r="F429" s="66" t="s">
        <v>1615</v>
      </c>
      <c r="G429" s="66" t="s">
        <v>20</v>
      </c>
      <c r="H429" s="66" t="s">
        <v>20</v>
      </c>
      <c r="I429" s="66">
        <v>4400.0</v>
      </c>
      <c r="J429" s="66" t="s">
        <v>1616</v>
      </c>
      <c r="K429" s="66" t="s">
        <v>129</v>
      </c>
      <c r="L429" s="66" t="s">
        <v>130</v>
      </c>
      <c r="M429" s="67">
        <v>1.0</v>
      </c>
      <c r="N429" s="66" t="s">
        <v>1617</v>
      </c>
      <c r="O429" s="68"/>
    </row>
    <row r="430">
      <c r="A430" s="70">
        <v>45630.0</v>
      </c>
      <c r="B430" s="66" t="s">
        <v>1612</v>
      </c>
      <c r="C430" s="66">
        <v>8.05011504622E11</v>
      </c>
      <c r="D430" s="66" t="s">
        <v>1613</v>
      </c>
      <c r="E430" s="66" t="s">
        <v>1614</v>
      </c>
      <c r="F430" s="66" t="s">
        <v>1615</v>
      </c>
      <c r="G430" s="66" t="s">
        <v>20</v>
      </c>
      <c r="H430" s="66" t="s">
        <v>20</v>
      </c>
      <c r="I430" s="66">
        <v>4400.0</v>
      </c>
      <c r="J430" s="66" t="s">
        <v>1616</v>
      </c>
      <c r="K430" s="66" t="s">
        <v>512</v>
      </c>
      <c r="L430" s="66" t="s">
        <v>513</v>
      </c>
      <c r="M430" s="67">
        <v>6.0</v>
      </c>
      <c r="N430" s="66" t="s">
        <v>1617</v>
      </c>
      <c r="O430" s="68"/>
    </row>
    <row r="431">
      <c r="A431" s="70">
        <v>45630.0</v>
      </c>
      <c r="B431" s="66" t="s">
        <v>1612</v>
      </c>
      <c r="C431" s="66">
        <v>8.05011504622E11</v>
      </c>
      <c r="D431" s="66" t="s">
        <v>1613</v>
      </c>
      <c r="E431" s="66" t="s">
        <v>1614</v>
      </c>
      <c r="F431" s="66" t="s">
        <v>1615</v>
      </c>
      <c r="G431" s="66" t="s">
        <v>20</v>
      </c>
      <c r="H431" s="66" t="s">
        <v>20</v>
      </c>
      <c r="I431" s="66">
        <v>4400.0</v>
      </c>
      <c r="J431" s="66" t="s">
        <v>1616</v>
      </c>
      <c r="K431" s="66" t="s">
        <v>1544</v>
      </c>
      <c r="L431" s="66" t="s">
        <v>1545</v>
      </c>
      <c r="M431" s="67">
        <v>1.0</v>
      </c>
      <c r="N431" s="66" t="s">
        <v>1617</v>
      </c>
      <c r="O431" s="68"/>
    </row>
    <row r="432">
      <c r="A432" s="43">
        <v>45630.0</v>
      </c>
      <c r="B432" s="31" t="s">
        <v>1618</v>
      </c>
      <c r="C432" s="31">
        <v>8.05011504748E11</v>
      </c>
      <c r="D432" s="31" t="s">
        <v>1619</v>
      </c>
      <c r="E432" s="31" t="s">
        <v>1620</v>
      </c>
      <c r="F432" s="31" t="s">
        <v>1621</v>
      </c>
      <c r="G432" s="31" t="s">
        <v>20</v>
      </c>
      <c r="H432" s="31" t="s">
        <v>20</v>
      </c>
      <c r="I432" s="31">
        <v>4400.0</v>
      </c>
      <c r="J432" s="31" t="s">
        <v>1622</v>
      </c>
      <c r="K432" s="31" t="s">
        <v>50</v>
      </c>
      <c r="L432" s="31" t="s">
        <v>51</v>
      </c>
      <c r="M432" s="33">
        <v>1.0</v>
      </c>
      <c r="N432" s="31" t="s">
        <v>1623</v>
      </c>
      <c r="O432" s="34"/>
    </row>
    <row r="433">
      <c r="A433" s="70">
        <v>45630.0</v>
      </c>
      <c r="B433" s="66" t="s">
        <v>1624</v>
      </c>
      <c r="C433" s="66">
        <v>8.07025028556E11</v>
      </c>
      <c r="D433" s="66" t="s">
        <v>1625</v>
      </c>
      <c r="E433" s="66" t="s">
        <v>1626</v>
      </c>
      <c r="F433" s="66" t="s">
        <v>1627</v>
      </c>
      <c r="G433" s="66" t="s">
        <v>116</v>
      </c>
      <c r="H433" s="66" t="s">
        <v>20</v>
      </c>
      <c r="I433" s="66">
        <v>4400.0</v>
      </c>
      <c r="J433" s="66" t="s">
        <v>1628</v>
      </c>
      <c r="K433" s="66" t="s">
        <v>1629</v>
      </c>
      <c r="L433" s="66" t="s">
        <v>1630</v>
      </c>
      <c r="M433" s="67">
        <v>1.0</v>
      </c>
      <c r="N433" s="66" t="s">
        <v>1631</v>
      </c>
      <c r="O433" s="66" t="s">
        <v>1632</v>
      </c>
    </row>
    <row r="434">
      <c r="A434" s="70">
        <v>45630.0</v>
      </c>
      <c r="B434" s="66" t="s">
        <v>1624</v>
      </c>
      <c r="C434" s="66">
        <v>8.07025028556E11</v>
      </c>
      <c r="D434" s="66" t="s">
        <v>1625</v>
      </c>
      <c r="E434" s="66" t="s">
        <v>1626</v>
      </c>
      <c r="F434" s="66" t="s">
        <v>1627</v>
      </c>
      <c r="G434" s="66" t="s">
        <v>116</v>
      </c>
      <c r="H434" s="66" t="s">
        <v>20</v>
      </c>
      <c r="I434" s="66">
        <v>4400.0</v>
      </c>
      <c r="J434" s="66" t="s">
        <v>1628</v>
      </c>
      <c r="K434" s="66" t="s">
        <v>512</v>
      </c>
      <c r="L434" s="66" t="s">
        <v>513</v>
      </c>
      <c r="M434" s="67">
        <v>12.0</v>
      </c>
      <c r="N434" s="66" t="s">
        <v>1631</v>
      </c>
      <c r="O434" s="66" t="s">
        <v>1632</v>
      </c>
    </row>
    <row r="435">
      <c r="A435" s="70">
        <v>45630.0</v>
      </c>
      <c r="B435" s="66" t="s">
        <v>1624</v>
      </c>
      <c r="C435" s="66">
        <v>8.07025028556E11</v>
      </c>
      <c r="D435" s="66" t="s">
        <v>1625</v>
      </c>
      <c r="E435" s="66" t="s">
        <v>1626</v>
      </c>
      <c r="F435" s="66" t="s">
        <v>1627</v>
      </c>
      <c r="G435" s="66" t="s">
        <v>116</v>
      </c>
      <c r="H435" s="66" t="s">
        <v>20</v>
      </c>
      <c r="I435" s="66">
        <v>4400.0</v>
      </c>
      <c r="J435" s="66" t="s">
        <v>1628</v>
      </c>
      <c r="K435" s="66" t="s">
        <v>233</v>
      </c>
      <c r="L435" s="66" t="s">
        <v>234</v>
      </c>
      <c r="M435" s="67">
        <v>2.0</v>
      </c>
      <c r="N435" s="66" t="s">
        <v>1631</v>
      </c>
      <c r="O435" s="66" t="s">
        <v>1632</v>
      </c>
    </row>
    <row r="436">
      <c r="A436" s="43">
        <v>45630.0</v>
      </c>
      <c r="B436" s="31" t="s">
        <v>1633</v>
      </c>
      <c r="C436" s="31">
        <v>8.05011504863E11</v>
      </c>
      <c r="D436" s="31" t="s">
        <v>1634</v>
      </c>
      <c r="E436" s="31" t="s">
        <v>1635</v>
      </c>
      <c r="F436" s="31" t="s">
        <v>1636</v>
      </c>
      <c r="G436" s="31" t="s">
        <v>615</v>
      </c>
      <c r="H436" s="31" t="s">
        <v>20</v>
      </c>
      <c r="I436" s="31">
        <v>4400.0</v>
      </c>
      <c r="J436" s="31" t="s">
        <v>1637</v>
      </c>
      <c r="K436" s="31" t="s">
        <v>617</v>
      </c>
      <c r="L436" s="31" t="s">
        <v>618</v>
      </c>
      <c r="M436" s="33">
        <v>1.0</v>
      </c>
      <c r="N436" s="31" t="s">
        <v>1638</v>
      </c>
      <c r="O436" s="34"/>
    </row>
    <row r="437">
      <c r="A437" s="70">
        <v>45630.0</v>
      </c>
      <c r="B437" s="66" t="s">
        <v>1639</v>
      </c>
      <c r="C437" s="66">
        <v>8.05011504778E11</v>
      </c>
      <c r="D437" s="66" t="s">
        <v>1640</v>
      </c>
      <c r="E437" s="66" t="s">
        <v>1641</v>
      </c>
      <c r="F437" s="66" t="s">
        <v>1642</v>
      </c>
      <c r="G437" s="66" t="s">
        <v>20</v>
      </c>
      <c r="H437" s="66" t="s">
        <v>20</v>
      </c>
      <c r="I437" s="66">
        <v>4400.0</v>
      </c>
      <c r="J437" s="66" t="s">
        <v>1643</v>
      </c>
      <c r="K437" s="66" t="s">
        <v>761</v>
      </c>
      <c r="L437" s="66" t="s">
        <v>762</v>
      </c>
      <c r="M437" s="67">
        <v>1.0</v>
      </c>
      <c r="N437" s="66"/>
      <c r="O437" s="68"/>
    </row>
    <row r="438">
      <c r="A438" s="70">
        <v>45630.0</v>
      </c>
      <c r="B438" s="66" t="s">
        <v>1639</v>
      </c>
      <c r="C438" s="66">
        <v>8.05011504778E11</v>
      </c>
      <c r="D438" s="66" t="s">
        <v>1640</v>
      </c>
      <c r="E438" s="66" t="s">
        <v>1641</v>
      </c>
      <c r="F438" s="66" t="s">
        <v>1642</v>
      </c>
      <c r="G438" s="66" t="s">
        <v>20</v>
      </c>
      <c r="H438" s="66" t="s">
        <v>20</v>
      </c>
      <c r="I438" s="66">
        <v>4400.0</v>
      </c>
      <c r="J438" s="66" t="s">
        <v>1643</v>
      </c>
      <c r="K438" s="66" t="s">
        <v>512</v>
      </c>
      <c r="L438" s="66" t="s">
        <v>513</v>
      </c>
      <c r="M438" s="67">
        <v>12.0</v>
      </c>
      <c r="N438" s="66" t="s">
        <v>1644</v>
      </c>
      <c r="O438" s="68"/>
    </row>
    <row r="439">
      <c r="A439" s="70">
        <v>45630.0</v>
      </c>
      <c r="B439" s="66" t="s">
        <v>1639</v>
      </c>
      <c r="C439" s="66">
        <v>8.05011504778E11</v>
      </c>
      <c r="D439" s="66" t="s">
        <v>1640</v>
      </c>
      <c r="E439" s="66" t="s">
        <v>1641</v>
      </c>
      <c r="F439" s="66" t="s">
        <v>1642</v>
      </c>
      <c r="G439" s="66" t="s">
        <v>20</v>
      </c>
      <c r="H439" s="66" t="s">
        <v>20</v>
      </c>
      <c r="I439" s="66">
        <v>4400.0</v>
      </c>
      <c r="J439" s="66" t="s">
        <v>1643</v>
      </c>
      <c r="K439" s="66" t="s">
        <v>758</v>
      </c>
      <c r="L439" s="66" t="s">
        <v>759</v>
      </c>
      <c r="M439" s="67">
        <v>2.0</v>
      </c>
      <c r="N439" s="66" t="s">
        <v>1644</v>
      </c>
      <c r="O439" s="66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3"/>
      <c r="N440" s="22"/>
      <c r="O440" s="22"/>
    </row>
    <row r="441">
      <c r="A441" s="65">
        <v>45639.0</v>
      </c>
      <c r="B441" s="66" t="s">
        <v>1645</v>
      </c>
      <c r="C441" s="66">
        <v>8.07025028571E11</v>
      </c>
      <c r="D441" s="66" t="s">
        <v>1646</v>
      </c>
      <c r="E441" s="66" t="s">
        <v>1647</v>
      </c>
      <c r="F441" s="66" t="s">
        <v>1648</v>
      </c>
      <c r="G441" s="66" t="s">
        <v>116</v>
      </c>
      <c r="H441" s="66" t="s">
        <v>20</v>
      </c>
      <c r="I441" s="66">
        <v>4400.0</v>
      </c>
      <c r="J441" s="66" t="s">
        <v>1649</v>
      </c>
      <c r="K441" s="66" t="s">
        <v>867</v>
      </c>
      <c r="L441" s="66" t="s">
        <v>868</v>
      </c>
      <c r="M441" s="67">
        <v>1.0</v>
      </c>
      <c r="N441" s="66" t="s">
        <v>1650</v>
      </c>
      <c r="O441" s="66" t="s">
        <v>1651</v>
      </c>
    </row>
    <row r="442">
      <c r="A442" s="52">
        <v>45639.0</v>
      </c>
      <c r="B442" s="31" t="s">
        <v>1652</v>
      </c>
      <c r="C442" s="31">
        <v>8.07025028575E11</v>
      </c>
      <c r="D442" s="31" t="s">
        <v>1653</v>
      </c>
      <c r="E442" s="31" t="s">
        <v>1654</v>
      </c>
      <c r="F442" s="31" t="s">
        <v>1655</v>
      </c>
      <c r="G442" s="31" t="s">
        <v>1656</v>
      </c>
      <c r="H442" s="31" t="s">
        <v>20</v>
      </c>
      <c r="I442" s="31">
        <v>4430.0</v>
      </c>
      <c r="J442" s="31" t="s">
        <v>1657</v>
      </c>
      <c r="K442" s="31" t="s">
        <v>1658</v>
      </c>
      <c r="L442" s="31" t="s">
        <v>1659</v>
      </c>
      <c r="M442" s="33">
        <v>1.0</v>
      </c>
      <c r="N442" s="31" t="s">
        <v>1660</v>
      </c>
      <c r="O442" s="31" t="s">
        <v>1656</v>
      </c>
    </row>
    <row r="443">
      <c r="A443" s="52">
        <v>45639.0</v>
      </c>
      <c r="B443" s="31" t="s">
        <v>1652</v>
      </c>
      <c r="C443" s="31">
        <v>8.07025028575E11</v>
      </c>
      <c r="D443" s="31" t="s">
        <v>1653</v>
      </c>
      <c r="E443" s="31" t="s">
        <v>1654</v>
      </c>
      <c r="F443" s="31" t="s">
        <v>1655</v>
      </c>
      <c r="G443" s="31" t="s">
        <v>1656</v>
      </c>
      <c r="H443" s="31" t="s">
        <v>20</v>
      </c>
      <c r="I443" s="31">
        <v>4430.0</v>
      </c>
      <c r="J443" s="31" t="s">
        <v>1657</v>
      </c>
      <c r="K443" s="31" t="s">
        <v>512</v>
      </c>
      <c r="L443" s="31" t="s">
        <v>513</v>
      </c>
      <c r="M443" s="33">
        <v>12.0</v>
      </c>
      <c r="N443" s="31" t="s">
        <v>1660</v>
      </c>
      <c r="O443" s="31" t="s">
        <v>1656</v>
      </c>
    </row>
    <row r="444">
      <c r="A444" s="52">
        <v>45639.0</v>
      </c>
      <c r="B444" s="31" t="s">
        <v>1652</v>
      </c>
      <c r="C444" s="31">
        <v>8.07025028575E11</v>
      </c>
      <c r="D444" s="31" t="s">
        <v>1653</v>
      </c>
      <c r="E444" s="31" t="s">
        <v>1654</v>
      </c>
      <c r="F444" s="31" t="s">
        <v>1655</v>
      </c>
      <c r="G444" s="31" t="s">
        <v>1656</v>
      </c>
      <c r="H444" s="31" t="s">
        <v>20</v>
      </c>
      <c r="I444" s="31">
        <v>4430.0</v>
      </c>
      <c r="J444" s="31" t="s">
        <v>1657</v>
      </c>
      <c r="K444" s="31" t="s">
        <v>727</v>
      </c>
      <c r="L444" s="31" t="s">
        <v>728</v>
      </c>
      <c r="M444" s="33">
        <v>2.0</v>
      </c>
      <c r="N444" s="31" t="s">
        <v>1660</v>
      </c>
      <c r="O444" s="31" t="s">
        <v>1656</v>
      </c>
    </row>
    <row r="445">
      <c r="A445" s="65">
        <v>45639.0</v>
      </c>
      <c r="B445" s="66" t="s">
        <v>1661</v>
      </c>
      <c r="C445" s="66">
        <v>8.07025028586E11</v>
      </c>
      <c r="D445" s="66" t="s">
        <v>1662</v>
      </c>
      <c r="E445" s="66" t="s">
        <v>1663</v>
      </c>
      <c r="F445" s="66" t="s">
        <v>1664</v>
      </c>
      <c r="G445" s="66" t="s">
        <v>127</v>
      </c>
      <c r="H445" s="66" t="s">
        <v>20</v>
      </c>
      <c r="I445" s="66">
        <v>4400.0</v>
      </c>
      <c r="J445" s="66" t="s">
        <v>1665</v>
      </c>
      <c r="K445" s="66" t="s">
        <v>812</v>
      </c>
      <c r="L445" s="66" t="s">
        <v>813</v>
      </c>
      <c r="M445" s="67">
        <v>1.0</v>
      </c>
      <c r="N445" s="66" t="s">
        <v>1666</v>
      </c>
      <c r="O445" s="66" t="s">
        <v>1667</v>
      </c>
    </row>
    <row r="446">
      <c r="A446" s="65">
        <v>45639.0</v>
      </c>
      <c r="B446" s="66" t="s">
        <v>1661</v>
      </c>
      <c r="C446" s="66">
        <v>8.07025028586E11</v>
      </c>
      <c r="D446" s="66" t="s">
        <v>1662</v>
      </c>
      <c r="E446" s="66" t="s">
        <v>1663</v>
      </c>
      <c r="F446" s="66" t="s">
        <v>1664</v>
      </c>
      <c r="G446" s="66" t="s">
        <v>127</v>
      </c>
      <c r="H446" s="66" t="s">
        <v>20</v>
      </c>
      <c r="I446" s="66">
        <v>4400.0</v>
      </c>
      <c r="J446" s="66" t="s">
        <v>1665</v>
      </c>
      <c r="K446" s="66" t="s">
        <v>35</v>
      </c>
      <c r="L446" s="66" t="s">
        <v>36</v>
      </c>
      <c r="M446" s="67">
        <v>1.0</v>
      </c>
      <c r="N446" s="66" t="s">
        <v>1666</v>
      </c>
      <c r="O446" s="66" t="s">
        <v>1667</v>
      </c>
    </row>
    <row r="447">
      <c r="A447" s="52">
        <v>45639.0</v>
      </c>
      <c r="B447" s="31" t="s">
        <v>1668</v>
      </c>
      <c r="C447" s="31">
        <v>8.07025028588E11</v>
      </c>
      <c r="D447" s="31" t="s">
        <v>1669</v>
      </c>
      <c r="E447" s="31" t="s">
        <v>1670</v>
      </c>
      <c r="F447" s="31" t="s">
        <v>1671</v>
      </c>
      <c r="G447" s="31" t="s">
        <v>127</v>
      </c>
      <c r="H447" s="31" t="s">
        <v>20</v>
      </c>
      <c r="I447" s="31">
        <v>4400.0</v>
      </c>
      <c r="J447" s="31" t="s">
        <v>1672</v>
      </c>
      <c r="K447" s="31" t="s">
        <v>493</v>
      </c>
      <c r="L447" s="31" t="s">
        <v>494</v>
      </c>
      <c r="M447" s="33">
        <v>1.0</v>
      </c>
      <c r="N447" s="31" t="s">
        <v>1673</v>
      </c>
      <c r="O447" s="31" t="s">
        <v>1674</v>
      </c>
    </row>
    <row r="448">
      <c r="A448" s="52">
        <v>45639.0</v>
      </c>
      <c r="B448" s="31" t="s">
        <v>1668</v>
      </c>
      <c r="C448" s="31">
        <v>8.07025028588E11</v>
      </c>
      <c r="D448" s="31" t="s">
        <v>1669</v>
      </c>
      <c r="E448" s="31" t="s">
        <v>1670</v>
      </c>
      <c r="F448" s="31" t="s">
        <v>1671</v>
      </c>
      <c r="G448" s="31" t="s">
        <v>127</v>
      </c>
      <c r="H448" s="31" t="s">
        <v>20</v>
      </c>
      <c r="I448" s="31">
        <v>4400.0</v>
      </c>
      <c r="J448" s="31" t="s">
        <v>1672</v>
      </c>
      <c r="K448" s="31" t="s">
        <v>758</v>
      </c>
      <c r="L448" s="31" t="s">
        <v>759</v>
      </c>
      <c r="M448" s="33">
        <v>2.0</v>
      </c>
      <c r="N448" s="31" t="s">
        <v>1673</v>
      </c>
      <c r="O448" s="31" t="s">
        <v>1674</v>
      </c>
    </row>
    <row r="449">
      <c r="A449" s="65">
        <v>45639.0</v>
      </c>
      <c r="B449" s="66" t="s">
        <v>1675</v>
      </c>
      <c r="C449" s="66">
        <v>8.07025028595E11</v>
      </c>
      <c r="D449" s="66" t="s">
        <v>1676</v>
      </c>
      <c r="E449" s="66" t="s">
        <v>1677</v>
      </c>
      <c r="F449" s="66" t="s">
        <v>1678</v>
      </c>
      <c r="G449" s="66" t="s">
        <v>1387</v>
      </c>
      <c r="H449" s="66" t="s">
        <v>20</v>
      </c>
      <c r="I449" s="66">
        <v>4430.0</v>
      </c>
      <c r="J449" s="66" t="s">
        <v>1679</v>
      </c>
      <c r="K449" s="66" t="s">
        <v>289</v>
      </c>
      <c r="L449" s="66" t="s">
        <v>290</v>
      </c>
      <c r="M449" s="67">
        <v>2.0</v>
      </c>
      <c r="N449" s="66" t="s">
        <v>1680</v>
      </c>
      <c r="O449" s="66" t="s">
        <v>1681</v>
      </c>
    </row>
    <row r="450">
      <c r="A450" s="65">
        <v>45639.0</v>
      </c>
      <c r="B450" s="66" t="s">
        <v>1675</v>
      </c>
      <c r="C450" s="66">
        <v>8.07025028595E11</v>
      </c>
      <c r="D450" s="66" t="s">
        <v>1676</v>
      </c>
      <c r="E450" s="66" t="s">
        <v>1677</v>
      </c>
      <c r="F450" s="66" t="s">
        <v>1678</v>
      </c>
      <c r="G450" s="66" t="s">
        <v>1387</v>
      </c>
      <c r="H450" s="66" t="s">
        <v>20</v>
      </c>
      <c r="I450" s="66">
        <v>4430.0</v>
      </c>
      <c r="J450" s="66" t="s">
        <v>1679</v>
      </c>
      <c r="K450" s="66" t="s">
        <v>627</v>
      </c>
      <c r="L450" s="66" t="s">
        <v>628</v>
      </c>
      <c r="M450" s="67">
        <v>2.0</v>
      </c>
      <c r="N450" s="66" t="s">
        <v>1680</v>
      </c>
      <c r="O450" s="66" t="s">
        <v>1681</v>
      </c>
    </row>
    <row r="451">
      <c r="A451" s="52">
        <v>45639.0</v>
      </c>
      <c r="B451" s="31" t="s">
        <v>1682</v>
      </c>
      <c r="C451" s="31">
        <v>8.05011505188E11</v>
      </c>
      <c r="D451" s="31" t="s">
        <v>1683</v>
      </c>
      <c r="E451" s="31" t="s">
        <v>1684</v>
      </c>
      <c r="F451" s="31" t="s">
        <v>1685</v>
      </c>
      <c r="G451" s="31" t="s">
        <v>20</v>
      </c>
      <c r="H451" s="31" t="s">
        <v>20</v>
      </c>
      <c r="I451" s="31">
        <v>4400.0</v>
      </c>
      <c r="J451" s="31" t="s">
        <v>1686</v>
      </c>
      <c r="K451" s="31" t="s">
        <v>493</v>
      </c>
      <c r="L451" s="31" t="s">
        <v>494</v>
      </c>
      <c r="M451" s="33">
        <v>1.0</v>
      </c>
      <c r="N451" s="31" t="s">
        <v>1687</v>
      </c>
      <c r="O451" s="34"/>
    </row>
    <row r="452">
      <c r="A452" s="52">
        <v>45639.0</v>
      </c>
      <c r="B452" s="31" t="s">
        <v>1682</v>
      </c>
      <c r="C452" s="31">
        <v>8.05011505188E11</v>
      </c>
      <c r="D452" s="31" t="s">
        <v>1683</v>
      </c>
      <c r="E452" s="31" t="s">
        <v>1684</v>
      </c>
      <c r="F452" s="31" t="s">
        <v>1685</v>
      </c>
      <c r="G452" s="31" t="s">
        <v>20</v>
      </c>
      <c r="H452" s="31" t="s">
        <v>20</v>
      </c>
      <c r="I452" s="31">
        <v>4400.0</v>
      </c>
      <c r="J452" s="31" t="s">
        <v>1688</v>
      </c>
      <c r="K452" s="31" t="s">
        <v>512</v>
      </c>
      <c r="L452" s="31" t="s">
        <v>513</v>
      </c>
      <c r="M452" s="33">
        <v>12.0</v>
      </c>
      <c r="N452" s="31" t="s">
        <v>1687</v>
      </c>
      <c r="O452" s="34"/>
    </row>
    <row r="453">
      <c r="A453" s="52">
        <v>45639.0</v>
      </c>
      <c r="B453" s="31" t="s">
        <v>1682</v>
      </c>
      <c r="C453" s="31">
        <v>8.05011505188E11</v>
      </c>
      <c r="D453" s="31" t="s">
        <v>1683</v>
      </c>
      <c r="E453" s="31" t="s">
        <v>1684</v>
      </c>
      <c r="F453" s="31" t="s">
        <v>1685</v>
      </c>
      <c r="G453" s="31" t="s">
        <v>20</v>
      </c>
      <c r="H453" s="31" t="s">
        <v>20</v>
      </c>
      <c r="I453" s="31">
        <v>4400.0</v>
      </c>
      <c r="J453" s="31" t="s">
        <v>1688</v>
      </c>
      <c r="K453" s="31" t="s">
        <v>758</v>
      </c>
      <c r="L453" s="31" t="s">
        <v>759</v>
      </c>
      <c r="M453" s="33">
        <v>2.0</v>
      </c>
      <c r="N453" s="31" t="s">
        <v>1687</v>
      </c>
      <c r="O453" s="34"/>
    </row>
    <row r="454">
      <c r="A454" s="65">
        <v>45639.0</v>
      </c>
      <c r="B454" s="66" t="s">
        <v>1689</v>
      </c>
      <c r="C454" s="66">
        <v>8.0501150521E11</v>
      </c>
      <c r="D454" s="66" t="s">
        <v>1690</v>
      </c>
      <c r="E454" s="66" t="s">
        <v>1691</v>
      </c>
      <c r="F454" s="66" t="s">
        <v>1692</v>
      </c>
      <c r="G454" s="66" t="s">
        <v>20</v>
      </c>
      <c r="H454" s="66" t="s">
        <v>20</v>
      </c>
      <c r="I454" s="66">
        <v>4400.0</v>
      </c>
      <c r="J454" s="66" t="s">
        <v>1693</v>
      </c>
      <c r="K454" s="66" t="s">
        <v>1241</v>
      </c>
      <c r="L454" s="66" t="s">
        <v>1242</v>
      </c>
      <c r="M454" s="67">
        <v>1.0</v>
      </c>
      <c r="N454" s="66" t="s">
        <v>1694</v>
      </c>
      <c r="O454" s="68"/>
    </row>
    <row r="455">
      <c r="A455" s="52">
        <v>45639.0</v>
      </c>
      <c r="B455" s="31" t="s">
        <v>1695</v>
      </c>
      <c r="C455" s="31">
        <v>8.05011505156E11</v>
      </c>
      <c r="D455" s="31" t="s">
        <v>1696</v>
      </c>
      <c r="E455" s="31" t="s">
        <v>1697</v>
      </c>
      <c r="F455" s="31" t="s">
        <v>1698</v>
      </c>
      <c r="G455" s="31" t="s">
        <v>1699</v>
      </c>
      <c r="H455" s="31" t="s">
        <v>20</v>
      </c>
      <c r="I455" s="31">
        <v>4400.0</v>
      </c>
      <c r="J455" s="31" t="s">
        <v>1700</v>
      </c>
      <c r="K455" s="31" t="s">
        <v>634</v>
      </c>
      <c r="L455" s="31" t="s">
        <v>635</v>
      </c>
      <c r="M455" s="33">
        <v>2.0</v>
      </c>
      <c r="N455" s="31" t="s">
        <v>1701</v>
      </c>
      <c r="O455" s="31" t="s">
        <v>1702</v>
      </c>
    </row>
    <row r="456">
      <c r="A456" s="52">
        <v>45639.0</v>
      </c>
      <c r="B456" s="31" t="s">
        <v>1695</v>
      </c>
      <c r="C456" s="31">
        <v>8.05011505156E11</v>
      </c>
      <c r="D456" s="31" t="s">
        <v>1696</v>
      </c>
      <c r="E456" s="31" t="s">
        <v>1697</v>
      </c>
      <c r="F456" s="31" t="s">
        <v>1698</v>
      </c>
      <c r="G456" s="31" t="s">
        <v>1699</v>
      </c>
      <c r="H456" s="31" t="s">
        <v>20</v>
      </c>
      <c r="I456" s="31">
        <v>4400.0</v>
      </c>
      <c r="J456" s="31" t="s">
        <v>1700</v>
      </c>
      <c r="K456" s="31" t="s">
        <v>50</v>
      </c>
      <c r="L456" s="31" t="s">
        <v>51</v>
      </c>
      <c r="M456" s="33">
        <v>1.0</v>
      </c>
      <c r="N456" s="31" t="s">
        <v>1701</v>
      </c>
      <c r="O456" s="31" t="s">
        <v>1702</v>
      </c>
    </row>
    <row r="457">
      <c r="A457" s="52">
        <v>45639.0</v>
      </c>
      <c r="B457" s="31" t="s">
        <v>1695</v>
      </c>
      <c r="C457" s="31">
        <v>8.05011505156E11</v>
      </c>
      <c r="D457" s="31" t="s">
        <v>1696</v>
      </c>
      <c r="E457" s="31" t="s">
        <v>1697</v>
      </c>
      <c r="F457" s="31" t="s">
        <v>1698</v>
      </c>
      <c r="G457" s="31" t="s">
        <v>1699</v>
      </c>
      <c r="H457" s="31" t="s">
        <v>20</v>
      </c>
      <c r="I457" s="31">
        <v>4400.0</v>
      </c>
      <c r="J457" s="31" t="s">
        <v>1700</v>
      </c>
      <c r="K457" s="31" t="s">
        <v>741</v>
      </c>
      <c r="L457" s="31" t="s">
        <v>742</v>
      </c>
      <c r="M457" s="33">
        <v>1.0</v>
      </c>
      <c r="N457" s="31" t="s">
        <v>1701</v>
      </c>
      <c r="O457" s="31" t="s">
        <v>1702</v>
      </c>
    </row>
    <row r="458">
      <c r="A458" s="65">
        <v>45639.0</v>
      </c>
      <c r="B458" s="66" t="s">
        <v>1703</v>
      </c>
      <c r="C458" s="66">
        <v>8.07025028606E11</v>
      </c>
      <c r="D458" s="66" t="s">
        <v>1704</v>
      </c>
      <c r="E458" s="66" t="s">
        <v>1705</v>
      </c>
      <c r="F458" s="66" t="s">
        <v>1706</v>
      </c>
      <c r="G458" s="66" t="s">
        <v>127</v>
      </c>
      <c r="H458" s="66" t="s">
        <v>20</v>
      </c>
      <c r="I458" s="66">
        <v>4400.0</v>
      </c>
      <c r="J458" s="66" t="s">
        <v>1707</v>
      </c>
      <c r="K458" s="66" t="s">
        <v>176</v>
      </c>
      <c r="L458" s="66" t="s">
        <v>177</v>
      </c>
      <c r="M458" s="67">
        <v>1.0</v>
      </c>
      <c r="N458" s="66" t="s">
        <v>1708</v>
      </c>
      <c r="O458" s="66" t="s">
        <v>1709</v>
      </c>
    </row>
    <row r="459">
      <c r="A459" s="65">
        <v>45639.0</v>
      </c>
      <c r="B459" s="66" t="s">
        <v>1703</v>
      </c>
      <c r="C459" s="66">
        <v>8.07025028606E11</v>
      </c>
      <c r="D459" s="66" t="s">
        <v>1704</v>
      </c>
      <c r="E459" s="66" t="s">
        <v>1705</v>
      </c>
      <c r="F459" s="66" t="s">
        <v>1706</v>
      </c>
      <c r="G459" s="66" t="s">
        <v>127</v>
      </c>
      <c r="H459" s="66" t="s">
        <v>20</v>
      </c>
      <c r="I459" s="66">
        <v>4400.0</v>
      </c>
      <c r="J459" s="66" t="s">
        <v>1707</v>
      </c>
      <c r="K459" s="66" t="s">
        <v>110</v>
      </c>
      <c r="L459" s="66" t="s">
        <v>111</v>
      </c>
      <c r="M459" s="67">
        <v>1.0</v>
      </c>
      <c r="N459" s="66" t="s">
        <v>1708</v>
      </c>
      <c r="O459" s="66" t="s">
        <v>1709</v>
      </c>
    </row>
    <row r="460">
      <c r="A460" s="52">
        <v>45639.0</v>
      </c>
      <c r="B460" s="31" t="s">
        <v>1710</v>
      </c>
      <c r="C460" s="31">
        <v>8.05011505288E11</v>
      </c>
      <c r="D460" s="31" t="s">
        <v>1711</v>
      </c>
      <c r="E460" s="31" t="s">
        <v>1712</v>
      </c>
      <c r="F460" s="31" t="s">
        <v>1713</v>
      </c>
      <c r="G460" s="31" t="s">
        <v>1714</v>
      </c>
      <c r="H460" s="31" t="s">
        <v>20</v>
      </c>
      <c r="I460" s="31">
        <v>4512.0</v>
      </c>
      <c r="J460" s="31" t="s">
        <v>1688</v>
      </c>
      <c r="K460" s="31" t="s">
        <v>493</v>
      </c>
      <c r="L460" s="31" t="s">
        <v>494</v>
      </c>
      <c r="M460" s="33">
        <v>1.0</v>
      </c>
      <c r="N460" s="31" t="s">
        <v>1715</v>
      </c>
      <c r="O460" s="34"/>
    </row>
    <row r="461">
      <c r="A461" s="52">
        <v>45639.0</v>
      </c>
      <c r="B461" s="31" t="s">
        <v>1710</v>
      </c>
      <c r="C461" s="31">
        <v>8.05011505288E11</v>
      </c>
      <c r="D461" s="31" t="s">
        <v>1711</v>
      </c>
      <c r="E461" s="31" t="s">
        <v>1712</v>
      </c>
      <c r="F461" s="31" t="s">
        <v>1713</v>
      </c>
      <c r="G461" s="31" t="s">
        <v>1714</v>
      </c>
      <c r="H461" s="31" t="s">
        <v>20</v>
      </c>
      <c r="I461" s="31">
        <v>4512.0</v>
      </c>
      <c r="J461" s="31" t="s">
        <v>1688</v>
      </c>
      <c r="K461" s="31" t="s">
        <v>512</v>
      </c>
      <c r="L461" s="31" t="s">
        <v>513</v>
      </c>
      <c r="M461" s="33">
        <v>12.0</v>
      </c>
      <c r="N461" s="31" t="s">
        <v>1715</v>
      </c>
      <c r="O461" s="34"/>
    </row>
    <row r="462">
      <c r="A462" s="52">
        <v>45639.0</v>
      </c>
      <c r="B462" s="31" t="s">
        <v>1710</v>
      </c>
      <c r="C462" s="31">
        <v>8.05011505288E11</v>
      </c>
      <c r="D462" s="31" t="s">
        <v>1711</v>
      </c>
      <c r="E462" s="31" t="s">
        <v>1712</v>
      </c>
      <c r="F462" s="31" t="s">
        <v>1713</v>
      </c>
      <c r="G462" s="31" t="s">
        <v>1714</v>
      </c>
      <c r="H462" s="31" t="s">
        <v>20</v>
      </c>
      <c r="I462" s="31">
        <v>4512.0</v>
      </c>
      <c r="J462" s="31" t="s">
        <v>1688</v>
      </c>
      <c r="K462" s="31" t="s">
        <v>758</v>
      </c>
      <c r="L462" s="31" t="s">
        <v>759</v>
      </c>
      <c r="M462" s="33">
        <v>2.0</v>
      </c>
      <c r="N462" s="31" t="s">
        <v>1715</v>
      </c>
      <c r="O462" s="34"/>
    </row>
    <row r="463">
      <c r="A463" s="65">
        <v>45639.0</v>
      </c>
      <c r="B463" s="66" t="s">
        <v>1716</v>
      </c>
      <c r="C463" s="66">
        <v>8.07025028503E11</v>
      </c>
      <c r="D463" s="66" t="s">
        <v>1717</v>
      </c>
      <c r="E463" s="66" t="s">
        <v>1718</v>
      </c>
      <c r="F463" s="66" t="s">
        <v>1719</v>
      </c>
      <c r="G463" s="66" t="s">
        <v>420</v>
      </c>
      <c r="H463" s="66" t="s">
        <v>20</v>
      </c>
      <c r="I463" s="66">
        <v>4400.0</v>
      </c>
      <c r="J463" s="66" t="s">
        <v>1720</v>
      </c>
      <c r="K463" s="66" t="s">
        <v>1721</v>
      </c>
      <c r="L463" s="66" t="s">
        <v>1722</v>
      </c>
      <c r="M463" s="67">
        <v>1.0</v>
      </c>
      <c r="N463" s="66" t="s">
        <v>1723</v>
      </c>
      <c r="O463" s="66" t="s">
        <v>1724</v>
      </c>
    </row>
    <row r="464">
      <c r="A464" s="52">
        <v>45639.0</v>
      </c>
      <c r="B464" s="31" t="s">
        <v>1725</v>
      </c>
      <c r="C464" s="31">
        <v>8.07025028504E11</v>
      </c>
      <c r="D464" s="31" t="s">
        <v>1717</v>
      </c>
      <c r="E464" s="31" t="s">
        <v>1718</v>
      </c>
      <c r="F464" s="31" t="s">
        <v>1719</v>
      </c>
      <c r="G464" s="31" t="s">
        <v>420</v>
      </c>
      <c r="H464" s="31" t="s">
        <v>20</v>
      </c>
      <c r="I464" s="31">
        <v>4400.0</v>
      </c>
      <c r="J464" s="31" t="s">
        <v>1720</v>
      </c>
      <c r="K464" s="31" t="s">
        <v>541</v>
      </c>
      <c r="L464" s="31" t="s">
        <v>542</v>
      </c>
      <c r="M464" s="33">
        <v>4.0</v>
      </c>
      <c r="N464" s="31" t="s">
        <v>1723</v>
      </c>
      <c r="O464" s="31" t="s">
        <v>1724</v>
      </c>
    </row>
    <row r="465">
      <c r="A465" s="65">
        <v>45639.0</v>
      </c>
      <c r="B465" s="66" t="s">
        <v>1726</v>
      </c>
      <c r="C465" s="66">
        <v>8.07025028614E11</v>
      </c>
      <c r="D465" s="66" t="s">
        <v>1727</v>
      </c>
      <c r="E465" s="66" t="s">
        <v>1728</v>
      </c>
      <c r="F465" s="66" t="s">
        <v>1729</v>
      </c>
      <c r="G465" s="66" t="s">
        <v>116</v>
      </c>
      <c r="H465" s="66" t="s">
        <v>20</v>
      </c>
      <c r="I465" s="66">
        <v>4400.0</v>
      </c>
      <c r="J465" s="66" t="s">
        <v>1730</v>
      </c>
      <c r="K465" s="66" t="s">
        <v>1731</v>
      </c>
      <c r="L465" s="66" t="s">
        <v>1732</v>
      </c>
      <c r="M465" s="67">
        <v>1.0</v>
      </c>
      <c r="N465" s="66" t="s">
        <v>1733</v>
      </c>
      <c r="O465" s="66" t="s">
        <v>1734</v>
      </c>
    </row>
    <row r="466">
      <c r="A466" s="52">
        <v>45639.0</v>
      </c>
      <c r="B466" s="31" t="s">
        <v>1735</v>
      </c>
      <c r="C466" s="31">
        <v>8.05011505694E11</v>
      </c>
      <c r="D466" s="31" t="s">
        <v>1736</v>
      </c>
      <c r="E466" s="31" t="s">
        <v>1737</v>
      </c>
      <c r="F466" s="31" t="s">
        <v>1738</v>
      </c>
      <c r="G466" s="31" t="s">
        <v>41</v>
      </c>
      <c r="H466" s="31" t="s">
        <v>20</v>
      </c>
      <c r="I466" s="31">
        <v>4560.0</v>
      </c>
      <c r="J466" s="31" t="s">
        <v>1739</v>
      </c>
      <c r="K466" s="31" t="s">
        <v>35</v>
      </c>
      <c r="L466" s="31" t="s">
        <v>36</v>
      </c>
      <c r="M466" s="33">
        <v>1.0</v>
      </c>
      <c r="N466" s="34"/>
      <c r="O466" s="34"/>
    </row>
    <row r="467">
      <c r="A467" s="52">
        <v>45639.0</v>
      </c>
      <c r="B467" s="31" t="s">
        <v>1735</v>
      </c>
      <c r="C467" s="31">
        <v>8.05011505694E11</v>
      </c>
      <c r="D467" s="31" t="s">
        <v>1736</v>
      </c>
      <c r="E467" s="31" t="s">
        <v>1737</v>
      </c>
      <c r="F467" s="31" t="s">
        <v>1738</v>
      </c>
      <c r="G467" s="31" t="s">
        <v>41</v>
      </c>
      <c r="H467" s="31" t="s">
        <v>20</v>
      </c>
      <c r="I467" s="31">
        <v>4560.0</v>
      </c>
      <c r="J467" s="31" t="s">
        <v>1739</v>
      </c>
      <c r="K467" s="31" t="s">
        <v>32</v>
      </c>
      <c r="L467" s="31" t="s">
        <v>33</v>
      </c>
      <c r="M467" s="33">
        <v>1.0</v>
      </c>
      <c r="N467" s="34"/>
      <c r="O467" s="34"/>
    </row>
    <row r="468">
      <c r="A468" s="52">
        <v>45639.0</v>
      </c>
      <c r="B468" s="31" t="s">
        <v>1735</v>
      </c>
      <c r="C468" s="31">
        <v>8.05011505694E11</v>
      </c>
      <c r="D468" s="31" t="s">
        <v>1736</v>
      </c>
      <c r="E468" s="31" t="s">
        <v>1737</v>
      </c>
      <c r="F468" s="31" t="s">
        <v>1738</v>
      </c>
      <c r="G468" s="31" t="s">
        <v>41</v>
      </c>
      <c r="H468" s="31" t="s">
        <v>20</v>
      </c>
      <c r="I468" s="31">
        <v>4560.0</v>
      </c>
      <c r="J468" s="31" t="s">
        <v>1739</v>
      </c>
      <c r="K468" s="31" t="s">
        <v>512</v>
      </c>
      <c r="L468" s="31" t="s">
        <v>513</v>
      </c>
      <c r="M468" s="33">
        <v>6.0</v>
      </c>
      <c r="N468" s="34"/>
      <c r="O468" s="34"/>
    </row>
    <row r="469">
      <c r="A469" s="65">
        <v>45639.0</v>
      </c>
      <c r="B469" s="66" t="s">
        <v>1740</v>
      </c>
      <c r="C469" s="66">
        <v>8.07025028631E11</v>
      </c>
      <c r="D469" s="66" t="s">
        <v>1741</v>
      </c>
      <c r="E469" s="66" t="s">
        <v>1742</v>
      </c>
      <c r="F469" s="66" t="s">
        <v>1743</v>
      </c>
      <c r="G469" s="66" t="s">
        <v>116</v>
      </c>
      <c r="H469" s="66" t="s">
        <v>20</v>
      </c>
      <c r="I469" s="66">
        <v>4400.0</v>
      </c>
      <c r="J469" s="66" t="s">
        <v>1744</v>
      </c>
      <c r="K469" s="66" t="s">
        <v>88</v>
      </c>
      <c r="L469" s="66" t="s">
        <v>89</v>
      </c>
      <c r="M469" s="67">
        <v>2.0</v>
      </c>
      <c r="N469" s="66" t="s">
        <v>1745</v>
      </c>
      <c r="O469" s="66" t="s">
        <v>1746</v>
      </c>
    </row>
    <row r="470">
      <c r="A470" s="65">
        <v>45639.0</v>
      </c>
      <c r="B470" s="66" t="s">
        <v>1740</v>
      </c>
      <c r="C470" s="66">
        <v>8.07025028631E11</v>
      </c>
      <c r="D470" s="66" t="s">
        <v>1741</v>
      </c>
      <c r="E470" s="66" t="s">
        <v>1742</v>
      </c>
      <c r="F470" s="66" t="s">
        <v>1743</v>
      </c>
      <c r="G470" s="66" t="s">
        <v>116</v>
      </c>
      <c r="H470" s="66" t="s">
        <v>20</v>
      </c>
      <c r="I470" s="66">
        <v>4400.0</v>
      </c>
      <c r="J470" s="66" t="s">
        <v>1744</v>
      </c>
      <c r="K470" s="66" t="s">
        <v>98</v>
      </c>
      <c r="L470" s="66" t="s">
        <v>99</v>
      </c>
      <c r="M470" s="67">
        <v>2.0</v>
      </c>
      <c r="N470" s="66" t="s">
        <v>1745</v>
      </c>
      <c r="O470" s="66" t="s">
        <v>1746</v>
      </c>
    </row>
    <row r="471">
      <c r="A471" s="65">
        <v>45639.0</v>
      </c>
      <c r="B471" s="66" t="s">
        <v>1740</v>
      </c>
      <c r="C471" s="66">
        <v>8.07025028631E11</v>
      </c>
      <c r="D471" s="66" t="s">
        <v>1741</v>
      </c>
      <c r="E471" s="66" t="s">
        <v>1742</v>
      </c>
      <c r="F471" s="66" t="s">
        <v>1743</v>
      </c>
      <c r="G471" s="66" t="s">
        <v>116</v>
      </c>
      <c r="H471" s="66" t="s">
        <v>20</v>
      </c>
      <c r="I471" s="66">
        <v>4400.0</v>
      </c>
      <c r="J471" s="66" t="s">
        <v>1744</v>
      </c>
      <c r="K471" s="66" t="s">
        <v>1747</v>
      </c>
      <c r="L471" s="66" t="s">
        <v>1748</v>
      </c>
      <c r="M471" s="67">
        <v>2.0</v>
      </c>
      <c r="N471" s="66" t="s">
        <v>1745</v>
      </c>
      <c r="O471" s="66" t="s">
        <v>1746</v>
      </c>
    </row>
    <row r="472">
      <c r="A472" s="65">
        <v>45639.0</v>
      </c>
      <c r="B472" s="66" t="s">
        <v>1740</v>
      </c>
      <c r="C472" s="66">
        <v>8.07025028631E11</v>
      </c>
      <c r="D472" s="66" t="s">
        <v>1741</v>
      </c>
      <c r="E472" s="66" t="s">
        <v>1742</v>
      </c>
      <c r="F472" s="66" t="s">
        <v>1743</v>
      </c>
      <c r="G472" s="66" t="s">
        <v>116</v>
      </c>
      <c r="H472" s="66" t="s">
        <v>20</v>
      </c>
      <c r="I472" s="66">
        <v>4400.0</v>
      </c>
      <c r="J472" s="66" t="s">
        <v>1744</v>
      </c>
      <c r="K472" s="66" t="s">
        <v>1749</v>
      </c>
      <c r="L472" s="66" t="s">
        <v>1750</v>
      </c>
      <c r="M472" s="67">
        <v>2.0</v>
      </c>
      <c r="N472" s="66" t="s">
        <v>1745</v>
      </c>
      <c r="O472" s="66" t="s">
        <v>1746</v>
      </c>
    </row>
    <row r="473">
      <c r="A473" s="52">
        <v>45639.0</v>
      </c>
      <c r="B473" s="31" t="s">
        <v>1751</v>
      </c>
      <c r="C473" s="31">
        <v>8.07025028632E11</v>
      </c>
      <c r="D473" s="31" t="s">
        <v>1752</v>
      </c>
      <c r="E473" s="31" t="s">
        <v>1753</v>
      </c>
      <c r="F473" s="31" t="s">
        <v>1754</v>
      </c>
      <c r="G473" s="31" t="s">
        <v>127</v>
      </c>
      <c r="H473" s="31" t="s">
        <v>20</v>
      </c>
      <c r="I473" s="31">
        <v>4400.0</v>
      </c>
      <c r="J473" s="31" t="s">
        <v>1755</v>
      </c>
      <c r="K473" s="31" t="s">
        <v>1756</v>
      </c>
      <c r="L473" s="31" t="s">
        <v>1757</v>
      </c>
      <c r="M473" s="33">
        <v>1.0</v>
      </c>
      <c r="N473" s="31" t="s">
        <v>1758</v>
      </c>
      <c r="O473" s="31" t="s">
        <v>1746</v>
      </c>
    </row>
    <row r="474">
      <c r="A474" s="52">
        <v>45639.0</v>
      </c>
      <c r="B474" s="31" t="s">
        <v>1751</v>
      </c>
      <c r="C474" s="31">
        <v>8.07025028632E11</v>
      </c>
      <c r="D474" s="31" t="s">
        <v>1752</v>
      </c>
      <c r="E474" s="31" t="s">
        <v>1753</v>
      </c>
      <c r="F474" s="31" t="s">
        <v>1754</v>
      </c>
      <c r="G474" s="31" t="s">
        <v>127</v>
      </c>
      <c r="H474" s="31" t="s">
        <v>20</v>
      </c>
      <c r="I474" s="31">
        <v>4400.0</v>
      </c>
      <c r="J474" s="31" t="s">
        <v>1755</v>
      </c>
      <c r="K474" s="31" t="s">
        <v>1759</v>
      </c>
      <c r="L474" s="31" t="s">
        <v>1760</v>
      </c>
      <c r="M474" s="33">
        <v>1.0</v>
      </c>
      <c r="N474" s="31" t="s">
        <v>1758</v>
      </c>
      <c r="O474" s="31" t="s">
        <v>1746</v>
      </c>
    </row>
    <row r="475">
      <c r="A475" s="65">
        <v>45639.0</v>
      </c>
      <c r="B475" s="66" t="s">
        <v>1761</v>
      </c>
      <c r="C475" s="66">
        <v>8.07025028638E11</v>
      </c>
      <c r="D475" s="66" t="s">
        <v>1762</v>
      </c>
      <c r="E475" s="66" t="s">
        <v>1763</v>
      </c>
      <c r="F475" s="66" t="s">
        <v>1764</v>
      </c>
      <c r="G475" s="66" t="s">
        <v>1567</v>
      </c>
      <c r="H475" s="66" t="s">
        <v>20</v>
      </c>
      <c r="I475" s="66">
        <v>4400.0</v>
      </c>
      <c r="J475" s="66" t="s">
        <v>1765</v>
      </c>
      <c r="K475" s="66" t="s">
        <v>1766</v>
      </c>
      <c r="L475" s="66" t="s">
        <v>1767</v>
      </c>
      <c r="M475" s="67">
        <v>1.0</v>
      </c>
      <c r="N475" s="66" t="s">
        <v>1768</v>
      </c>
      <c r="O475" s="66" t="s">
        <v>261</v>
      </c>
    </row>
    <row r="476">
      <c r="A476" s="65">
        <v>45639.0</v>
      </c>
      <c r="B476" s="66" t="s">
        <v>1761</v>
      </c>
      <c r="C476" s="66">
        <v>8.07025028638E11</v>
      </c>
      <c r="D476" s="66" t="s">
        <v>1762</v>
      </c>
      <c r="E476" s="66" t="s">
        <v>1763</v>
      </c>
      <c r="F476" s="66" t="s">
        <v>1764</v>
      </c>
      <c r="G476" s="66" t="s">
        <v>1567</v>
      </c>
      <c r="H476" s="66" t="s">
        <v>20</v>
      </c>
      <c r="I476" s="66">
        <v>4400.0</v>
      </c>
      <c r="J476" s="66" t="s">
        <v>1765</v>
      </c>
      <c r="K476" s="66" t="s">
        <v>512</v>
      </c>
      <c r="L476" s="66" t="s">
        <v>513</v>
      </c>
      <c r="M476" s="67">
        <v>12.0</v>
      </c>
      <c r="N476" s="66" t="s">
        <v>1768</v>
      </c>
      <c r="O476" s="66" t="s">
        <v>261</v>
      </c>
    </row>
    <row r="477">
      <c r="A477" s="65">
        <v>45639.0</v>
      </c>
      <c r="B477" s="66" t="s">
        <v>1761</v>
      </c>
      <c r="C477" s="66">
        <v>8.07025028638E11</v>
      </c>
      <c r="D477" s="66" t="s">
        <v>1762</v>
      </c>
      <c r="E477" s="66" t="s">
        <v>1763</v>
      </c>
      <c r="F477" s="66" t="s">
        <v>1764</v>
      </c>
      <c r="G477" s="66" t="s">
        <v>1567</v>
      </c>
      <c r="H477" s="66" t="s">
        <v>20</v>
      </c>
      <c r="I477" s="66">
        <v>4400.0</v>
      </c>
      <c r="J477" s="66" t="s">
        <v>1765</v>
      </c>
      <c r="K477" s="66" t="s">
        <v>233</v>
      </c>
      <c r="L477" s="66" t="s">
        <v>234</v>
      </c>
      <c r="M477" s="67">
        <v>2.0</v>
      </c>
      <c r="N477" s="66" t="s">
        <v>1768</v>
      </c>
      <c r="O477" s="66" t="s">
        <v>261</v>
      </c>
    </row>
    <row r="478">
      <c r="A478" s="52">
        <v>45639.0</v>
      </c>
      <c r="B478" s="31" t="s">
        <v>1769</v>
      </c>
      <c r="C478" s="31">
        <v>8.05011505784E11</v>
      </c>
      <c r="D478" s="31" t="s">
        <v>1770</v>
      </c>
      <c r="E478" s="31" t="s">
        <v>1771</v>
      </c>
      <c r="F478" s="31" t="s">
        <v>1772</v>
      </c>
      <c r="G478" s="31" t="s">
        <v>1773</v>
      </c>
      <c r="H478" s="31" t="s">
        <v>20</v>
      </c>
      <c r="I478" s="31">
        <v>4530.0</v>
      </c>
      <c r="J478" s="66" t="s">
        <v>1774</v>
      </c>
      <c r="K478" s="31" t="s">
        <v>617</v>
      </c>
      <c r="L478" s="31" t="s">
        <v>618</v>
      </c>
      <c r="M478" s="33">
        <v>1.0</v>
      </c>
      <c r="N478" s="31" t="s">
        <v>1775</v>
      </c>
      <c r="O478" s="34"/>
    </row>
    <row r="479">
      <c r="A479" s="52">
        <v>45639.0</v>
      </c>
      <c r="B479" s="31" t="s">
        <v>1769</v>
      </c>
      <c r="C479" s="31">
        <v>8.05011505784E11</v>
      </c>
      <c r="D479" s="31" t="s">
        <v>1770</v>
      </c>
      <c r="E479" s="31" t="s">
        <v>1771</v>
      </c>
      <c r="F479" s="31" t="s">
        <v>1772</v>
      </c>
      <c r="G479" s="31" t="s">
        <v>1773</v>
      </c>
      <c r="H479" s="31" t="s">
        <v>20</v>
      </c>
      <c r="I479" s="31">
        <v>4530.0</v>
      </c>
      <c r="J479" s="66" t="s">
        <v>1774</v>
      </c>
      <c r="K479" s="31" t="s">
        <v>512</v>
      </c>
      <c r="L479" s="31" t="s">
        <v>513</v>
      </c>
      <c r="M479" s="33">
        <v>12.0</v>
      </c>
      <c r="N479" s="31" t="s">
        <v>1775</v>
      </c>
      <c r="O479" s="34"/>
    </row>
    <row r="480">
      <c r="A480" s="52">
        <v>45639.0</v>
      </c>
      <c r="B480" s="31" t="s">
        <v>1769</v>
      </c>
      <c r="C480" s="31">
        <v>8.05011505784E11</v>
      </c>
      <c r="D480" s="31" t="s">
        <v>1770</v>
      </c>
      <c r="E480" s="31" t="s">
        <v>1771</v>
      </c>
      <c r="F480" s="31" t="s">
        <v>1772</v>
      </c>
      <c r="G480" s="31" t="s">
        <v>1773</v>
      </c>
      <c r="H480" s="31" t="s">
        <v>20</v>
      </c>
      <c r="I480" s="31">
        <v>4530.0</v>
      </c>
      <c r="J480" s="31" t="s">
        <v>1776</v>
      </c>
      <c r="K480" s="31" t="s">
        <v>645</v>
      </c>
      <c r="L480" s="31" t="s">
        <v>646</v>
      </c>
      <c r="M480" s="33">
        <v>2.0</v>
      </c>
      <c r="N480" s="31" t="s">
        <v>1775</v>
      </c>
      <c r="O480" s="34"/>
    </row>
    <row r="481">
      <c r="A481" s="65">
        <v>45639.0</v>
      </c>
      <c r="B481" s="66" t="s">
        <v>1777</v>
      </c>
      <c r="C481" s="66">
        <v>8.05011506019E11</v>
      </c>
      <c r="D481" s="66" t="s">
        <v>1778</v>
      </c>
      <c r="E481" s="66" t="s">
        <v>1779</v>
      </c>
      <c r="F481" s="66" t="s">
        <v>1780</v>
      </c>
      <c r="G481" s="66" t="s">
        <v>1190</v>
      </c>
      <c r="H481" s="66" t="s">
        <v>20</v>
      </c>
      <c r="I481" s="66">
        <v>4423.0</v>
      </c>
      <c r="J481" s="66" t="s">
        <v>1774</v>
      </c>
      <c r="K481" s="66" t="s">
        <v>606</v>
      </c>
      <c r="L481" s="66" t="s">
        <v>607</v>
      </c>
      <c r="M481" s="67">
        <v>2.0</v>
      </c>
      <c r="N481" s="66" t="s">
        <v>1781</v>
      </c>
      <c r="O481" s="66" t="s">
        <v>1782</v>
      </c>
    </row>
    <row r="482">
      <c r="A482" s="65">
        <v>45639.0</v>
      </c>
      <c r="B482" s="66" t="s">
        <v>1777</v>
      </c>
      <c r="C482" s="66">
        <v>8.05011506019E11</v>
      </c>
      <c r="D482" s="66" t="s">
        <v>1778</v>
      </c>
      <c r="E482" s="66" t="s">
        <v>1779</v>
      </c>
      <c r="F482" s="66" t="s">
        <v>1780</v>
      </c>
      <c r="G482" s="66" t="s">
        <v>1190</v>
      </c>
      <c r="H482" s="66" t="s">
        <v>20</v>
      </c>
      <c r="I482" s="66">
        <v>4423.0</v>
      </c>
      <c r="J482" s="66" t="s">
        <v>1774</v>
      </c>
      <c r="K482" s="66">
        <v>87600.0</v>
      </c>
      <c r="L482" s="66" t="s">
        <v>479</v>
      </c>
      <c r="M482" s="67">
        <v>2.0</v>
      </c>
      <c r="N482" s="66" t="s">
        <v>1781</v>
      </c>
      <c r="O482" s="66" t="s">
        <v>1782</v>
      </c>
    </row>
    <row r="483">
      <c r="A483" s="52">
        <v>45639.0</v>
      </c>
      <c r="B483" s="31" t="s">
        <v>1783</v>
      </c>
      <c r="C483" s="31">
        <v>8.05011505541E11</v>
      </c>
      <c r="D483" s="31" t="s">
        <v>1784</v>
      </c>
      <c r="E483" s="31" t="s">
        <v>1785</v>
      </c>
      <c r="F483" s="31" t="s">
        <v>1786</v>
      </c>
      <c r="G483" s="31" t="s">
        <v>20</v>
      </c>
      <c r="H483" s="31" t="s">
        <v>20</v>
      </c>
      <c r="I483" s="31">
        <v>4400.0</v>
      </c>
      <c r="J483" s="31" t="s">
        <v>1787</v>
      </c>
      <c r="K483" s="31" t="s">
        <v>360</v>
      </c>
      <c r="L483" s="31" t="s">
        <v>361</v>
      </c>
      <c r="M483" s="33">
        <v>1.0</v>
      </c>
      <c r="N483" s="31" t="s">
        <v>1788</v>
      </c>
      <c r="O483" s="34"/>
    </row>
    <row r="484">
      <c r="A484" s="52">
        <v>45639.0</v>
      </c>
      <c r="B484" s="31" t="s">
        <v>1783</v>
      </c>
      <c r="C484" s="31">
        <v>8.05011505541E11</v>
      </c>
      <c r="D484" s="31" t="s">
        <v>1784</v>
      </c>
      <c r="E484" s="31" t="s">
        <v>1785</v>
      </c>
      <c r="F484" s="31" t="s">
        <v>1786</v>
      </c>
      <c r="G484" s="31" t="s">
        <v>20</v>
      </c>
      <c r="H484" s="31" t="s">
        <v>20</v>
      </c>
      <c r="I484" s="31">
        <v>4400.0</v>
      </c>
      <c r="J484" s="31" t="s">
        <v>1787</v>
      </c>
      <c r="K484" s="31" t="s">
        <v>741</v>
      </c>
      <c r="L484" s="31" t="s">
        <v>742</v>
      </c>
      <c r="M484" s="33">
        <v>1.0</v>
      </c>
      <c r="N484" s="31" t="s">
        <v>1788</v>
      </c>
      <c r="O484" s="34"/>
    </row>
    <row r="485">
      <c r="A485" s="65">
        <v>45639.0</v>
      </c>
      <c r="B485" s="66" t="s">
        <v>1789</v>
      </c>
      <c r="C485" s="66">
        <v>8.06722028062E11</v>
      </c>
      <c r="D485" s="66" t="s">
        <v>1790</v>
      </c>
      <c r="E485" s="66" t="s">
        <v>1791</v>
      </c>
      <c r="F485" s="66" t="s">
        <v>1792</v>
      </c>
      <c r="G485" s="66" t="s">
        <v>127</v>
      </c>
      <c r="H485" s="66" t="s">
        <v>20</v>
      </c>
      <c r="I485" s="66">
        <v>4400.0</v>
      </c>
      <c r="J485" s="66" t="s">
        <v>1793</v>
      </c>
      <c r="K485" s="66" t="s">
        <v>280</v>
      </c>
      <c r="L485" s="66" t="s">
        <v>281</v>
      </c>
      <c r="M485" s="67">
        <v>1.0</v>
      </c>
      <c r="N485" s="66" t="s">
        <v>1794</v>
      </c>
      <c r="O485" s="66" t="s">
        <v>1795</v>
      </c>
    </row>
    <row r="486">
      <c r="A486" s="65">
        <v>45639.0</v>
      </c>
      <c r="B486" s="66" t="s">
        <v>1796</v>
      </c>
      <c r="C486" s="66">
        <v>8.06722028063E11</v>
      </c>
      <c r="D486" s="66" t="s">
        <v>1790</v>
      </c>
      <c r="E486" s="66" t="s">
        <v>1791</v>
      </c>
      <c r="F486" s="66" t="s">
        <v>1792</v>
      </c>
      <c r="G486" s="66" t="s">
        <v>127</v>
      </c>
      <c r="H486" s="66" t="s">
        <v>20</v>
      </c>
      <c r="I486" s="66">
        <v>4400.0</v>
      </c>
      <c r="J486" s="66" t="s">
        <v>1793</v>
      </c>
      <c r="K486" s="66" t="s">
        <v>512</v>
      </c>
      <c r="L486" s="66" t="s">
        <v>513</v>
      </c>
      <c r="M486" s="67">
        <v>12.0</v>
      </c>
      <c r="N486" s="66" t="s">
        <v>1794</v>
      </c>
      <c r="O486" s="66" t="s">
        <v>1795</v>
      </c>
    </row>
    <row r="487">
      <c r="A487" s="65">
        <v>45639.0</v>
      </c>
      <c r="B487" s="66" t="s">
        <v>1797</v>
      </c>
      <c r="C487" s="66">
        <v>8.06722028064E11</v>
      </c>
      <c r="D487" s="66" t="s">
        <v>1790</v>
      </c>
      <c r="E487" s="66" t="s">
        <v>1791</v>
      </c>
      <c r="F487" s="66" t="s">
        <v>1792</v>
      </c>
      <c r="G487" s="66" t="s">
        <v>127</v>
      </c>
      <c r="H487" s="66" t="s">
        <v>20</v>
      </c>
      <c r="I487" s="66">
        <v>4400.0</v>
      </c>
      <c r="J487" s="66" t="s">
        <v>1793</v>
      </c>
      <c r="K487" s="66" t="s">
        <v>340</v>
      </c>
      <c r="L487" s="66" t="s">
        <v>341</v>
      </c>
      <c r="M487" s="67">
        <v>2.0</v>
      </c>
      <c r="N487" s="66" t="s">
        <v>1794</v>
      </c>
      <c r="O487" s="66" t="s">
        <v>1795</v>
      </c>
    </row>
    <row r="488">
      <c r="A488" s="52">
        <v>45639.0</v>
      </c>
      <c r="B488" s="31" t="s">
        <v>1798</v>
      </c>
      <c r="C488" s="31">
        <v>8.0501150595E11</v>
      </c>
      <c r="D488" s="31" t="s">
        <v>1799</v>
      </c>
      <c r="E488" s="31" t="s">
        <v>1800</v>
      </c>
      <c r="F488" s="31" t="s">
        <v>1801</v>
      </c>
      <c r="G488" s="31" t="s">
        <v>1142</v>
      </c>
      <c r="H488" s="31" t="s">
        <v>20</v>
      </c>
      <c r="I488" s="31">
        <v>4430.0</v>
      </c>
      <c r="J488" s="31" t="s">
        <v>1802</v>
      </c>
      <c r="K488" s="31" t="s">
        <v>512</v>
      </c>
      <c r="L488" s="31" t="s">
        <v>513</v>
      </c>
      <c r="M488" s="33">
        <v>6.0</v>
      </c>
      <c r="N488" s="34"/>
      <c r="O488" s="34"/>
    </row>
    <row r="489">
      <c r="A489" s="52">
        <v>45639.0</v>
      </c>
      <c r="B489" s="31" t="s">
        <v>1798</v>
      </c>
      <c r="C489" s="31">
        <v>8.0501150595E11</v>
      </c>
      <c r="D489" s="31" t="s">
        <v>1799</v>
      </c>
      <c r="E489" s="31" t="s">
        <v>1800</v>
      </c>
      <c r="F489" s="31" t="s">
        <v>1801</v>
      </c>
      <c r="G489" s="31" t="s">
        <v>1142</v>
      </c>
      <c r="H489" s="31" t="s">
        <v>20</v>
      </c>
      <c r="I489" s="31">
        <v>4430.0</v>
      </c>
      <c r="J489" s="31" t="s">
        <v>1802</v>
      </c>
      <c r="K489" s="31" t="s">
        <v>32</v>
      </c>
      <c r="L489" s="31" t="s">
        <v>33</v>
      </c>
      <c r="M489" s="33">
        <v>1.0</v>
      </c>
      <c r="N489" s="34"/>
      <c r="O489" s="34"/>
    </row>
    <row r="490">
      <c r="A490" s="52">
        <v>45639.0</v>
      </c>
      <c r="B490" s="31" t="s">
        <v>1798</v>
      </c>
      <c r="C490" s="31">
        <v>8.0501150595E11</v>
      </c>
      <c r="D490" s="31" t="s">
        <v>1799</v>
      </c>
      <c r="E490" s="31" t="s">
        <v>1800</v>
      </c>
      <c r="F490" s="31" t="s">
        <v>1801</v>
      </c>
      <c r="G490" s="31" t="s">
        <v>1142</v>
      </c>
      <c r="H490" s="31" t="s">
        <v>20</v>
      </c>
      <c r="I490" s="31">
        <v>4430.0</v>
      </c>
      <c r="J490" s="31" t="s">
        <v>1802</v>
      </c>
      <c r="K490" s="31" t="s">
        <v>35</v>
      </c>
      <c r="L490" s="31" t="s">
        <v>36</v>
      </c>
      <c r="M490" s="33">
        <v>1.0</v>
      </c>
      <c r="N490" s="34"/>
      <c r="O490" s="34"/>
    </row>
    <row r="491">
      <c r="A491" s="65">
        <v>45639.0</v>
      </c>
      <c r="B491" s="66" t="s">
        <v>1803</v>
      </c>
      <c r="C491" s="66">
        <v>8.05011505865E11</v>
      </c>
      <c r="D491" s="66" t="s">
        <v>1804</v>
      </c>
      <c r="E491" s="66" t="s">
        <v>1805</v>
      </c>
      <c r="F491" s="66" t="s">
        <v>1806</v>
      </c>
      <c r="G491" s="66" t="s">
        <v>1807</v>
      </c>
      <c r="H491" s="66" t="s">
        <v>20</v>
      </c>
      <c r="I491" s="66">
        <v>4400.0</v>
      </c>
      <c r="J491" s="66" t="s">
        <v>1808</v>
      </c>
      <c r="K491" s="66" t="s">
        <v>512</v>
      </c>
      <c r="L491" s="66" t="s">
        <v>513</v>
      </c>
      <c r="M491" s="67">
        <v>12.0</v>
      </c>
      <c r="N491" s="68"/>
      <c r="O491" s="68"/>
    </row>
    <row r="492">
      <c r="A492" s="65">
        <v>45639.0</v>
      </c>
      <c r="B492" s="66" t="s">
        <v>1803</v>
      </c>
      <c r="C492" s="66">
        <v>8.05011505865E11</v>
      </c>
      <c r="D492" s="66" t="s">
        <v>1804</v>
      </c>
      <c r="E492" s="66" t="s">
        <v>1805</v>
      </c>
      <c r="F492" s="66" t="s">
        <v>1806</v>
      </c>
      <c r="G492" s="66" t="s">
        <v>1807</v>
      </c>
      <c r="H492" s="66" t="s">
        <v>20</v>
      </c>
      <c r="I492" s="66">
        <v>4400.0</v>
      </c>
      <c r="J492" s="66" t="s">
        <v>1808</v>
      </c>
      <c r="K492" s="66" t="s">
        <v>768</v>
      </c>
      <c r="L492" s="66" t="s">
        <v>769</v>
      </c>
      <c r="M492" s="67">
        <v>1.0</v>
      </c>
      <c r="N492" s="68"/>
      <c r="O492" s="68"/>
    </row>
    <row r="493">
      <c r="A493" s="65">
        <v>45639.0</v>
      </c>
      <c r="B493" s="66" t="s">
        <v>1803</v>
      </c>
      <c r="C493" s="66">
        <v>8.05011505865E11</v>
      </c>
      <c r="D493" s="66" t="s">
        <v>1804</v>
      </c>
      <c r="E493" s="66" t="s">
        <v>1805</v>
      </c>
      <c r="F493" s="66" t="s">
        <v>1806</v>
      </c>
      <c r="G493" s="66" t="s">
        <v>1807</v>
      </c>
      <c r="H493" s="66" t="s">
        <v>20</v>
      </c>
      <c r="I493" s="66">
        <v>4400.0</v>
      </c>
      <c r="J493" s="66" t="s">
        <v>1808</v>
      </c>
      <c r="K493" s="66" t="s">
        <v>121</v>
      </c>
      <c r="L493" s="66" t="s">
        <v>122</v>
      </c>
      <c r="M493" s="67">
        <v>2.0</v>
      </c>
      <c r="N493" s="68"/>
      <c r="O493" s="68"/>
    </row>
    <row r="494">
      <c r="A494" s="52">
        <v>45639.0</v>
      </c>
      <c r="B494" s="31" t="s">
        <v>1809</v>
      </c>
      <c r="C494" s="31">
        <v>8.07025028651E11</v>
      </c>
      <c r="D494" s="31" t="s">
        <v>1810</v>
      </c>
      <c r="E494" s="31" t="s">
        <v>1235</v>
      </c>
      <c r="F494" s="31" t="s">
        <v>1811</v>
      </c>
      <c r="G494" s="31" t="s">
        <v>127</v>
      </c>
      <c r="H494" s="31" t="s">
        <v>20</v>
      </c>
      <c r="I494" s="31">
        <v>4400.0</v>
      </c>
      <c r="J494" s="31" t="s">
        <v>1812</v>
      </c>
      <c r="K494" s="31" t="s">
        <v>1593</v>
      </c>
      <c r="L494" s="31" t="s">
        <v>1594</v>
      </c>
      <c r="M494" s="33">
        <v>1.0</v>
      </c>
      <c r="N494" s="31" t="s">
        <v>1813</v>
      </c>
      <c r="O494" s="31" t="s">
        <v>1734</v>
      </c>
    </row>
    <row r="495">
      <c r="A495" s="52">
        <v>45639.0</v>
      </c>
      <c r="B495" s="31" t="s">
        <v>1809</v>
      </c>
      <c r="C495" s="31">
        <v>8.07025028651E11</v>
      </c>
      <c r="D495" s="31" t="s">
        <v>1810</v>
      </c>
      <c r="E495" s="31" t="s">
        <v>1235</v>
      </c>
      <c r="F495" s="31" t="s">
        <v>1811</v>
      </c>
      <c r="G495" s="31" t="s">
        <v>127</v>
      </c>
      <c r="H495" s="31" t="s">
        <v>20</v>
      </c>
      <c r="I495" s="31">
        <v>4400.0</v>
      </c>
      <c r="J495" s="31" t="s">
        <v>1812</v>
      </c>
      <c r="K495" s="31" t="s">
        <v>512</v>
      </c>
      <c r="L495" s="31" t="s">
        <v>513</v>
      </c>
      <c r="M495" s="33">
        <v>12.0</v>
      </c>
      <c r="N495" s="31" t="s">
        <v>1813</v>
      </c>
      <c r="O495" s="31" t="s">
        <v>1734</v>
      </c>
    </row>
    <row r="496">
      <c r="A496" s="52">
        <v>45639.0</v>
      </c>
      <c r="B496" s="31" t="s">
        <v>1809</v>
      </c>
      <c r="C496" s="31">
        <v>8.07025028651E11</v>
      </c>
      <c r="D496" s="31" t="s">
        <v>1810</v>
      </c>
      <c r="E496" s="31" t="s">
        <v>1235</v>
      </c>
      <c r="F496" s="31" t="s">
        <v>1811</v>
      </c>
      <c r="G496" s="31" t="s">
        <v>127</v>
      </c>
      <c r="H496" s="31" t="s">
        <v>20</v>
      </c>
      <c r="I496" s="31">
        <v>4400.0</v>
      </c>
      <c r="J496" s="31" t="s">
        <v>1812</v>
      </c>
      <c r="K496" s="31" t="s">
        <v>727</v>
      </c>
      <c r="L496" s="31" t="s">
        <v>728</v>
      </c>
      <c r="M496" s="33">
        <v>2.0</v>
      </c>
      <c r="N496" s="31" t="s">
        <v>1813</v>
      </c>
      <c r="O496" s="31" t="s">
        <v>1734</v>
      </c>
    </row>
    <row r="497">
      <c r="A497" s="65">
        <v>45639.0</v>
      </c>
      <c r="B497" s="66" t="s">
        <v>1814</v>
      </c>
      <c r="C497" s="66">
        <v>8.05011506137E11</v>
      </c>
      <c r="D497" s="66" t="s">
        <v>1815</v>
      </c>
      <c r="E497" s="66" t="s">
        <v>1816</v>
      </c>
      <c r="F497" s="66" t="s">
        <v>1817</v>
      </c>
      <c r="G497" s="66" t="s">
        <v>20</v>
      </c>
      <c r="H497" s="66" t="s">
        <v>20</v>
      </c>
      <c r="I497" s="66">
        <v>4400.0</v>
      </c>
      <c r="J497" s="66" t="s">
        <v>1818</v>
      </c>
      <c r="K497" s="66" t="s">
        <v>88</v>
      </c>
      <c r="L497" s="66" t="s">
        <v>89</v>
      </c>
      <c r="M497" s="67">
        <v>1.0</v>
      </c>
      <c r="N497" s="66" t="s">
        <v>1819</v>
      </c>
      <c r="O497" s="68"/>
    </row>
    <row r="498">
      <c r="A498" s="52">
        <v>45639.0</v>
      </c>
      <c r="B498" s="31" t="s">
        <v>1820</v>
      </c>
      <c r="C498" s="31">
        <v>8.05011506138E11</v>
      </c>
      <c r="D498" s="31" t="s">
        <v>1815</v>
      </c>
      <c r="E498" s="31" t="s">
        <v>1816</v>
      </c>
      <c r="F498" s="31" t="s">
        <v>1817</v>
      </c>
      <c r="G498" s="31" t="s">
        <v>20</v>
      </c>
      <c r="H498" s="31" t="s">
        <v>20</v>
      </c>
      <c r="I498" s="31">
        <v>4400.0</v>
      </c>
      <c r="J498" s="31" t="s">
        <v>1818</v>
      </c>
      <c r="K498" s="31" t="s">
        <v>32</v>
      </c>
      <c r="L498" s="31" t="s">
        <v>33</v>
      </c>
      <c r="M498" s="33">
        <v>1.0</v>
      </c>
      <c r="N498" s="31" t="s">
        <v>1819</v>
      </c>
      <c r="O498" s="34"/>
    </row>
    <row r="499">
      <c r="A499" s="65">
        <v>45639.0</v>
      </c>
      <c r="B499" s="66" t="s">
        <v>1821</v>
      </c>
      <c r="C499" s="66">
        <v>8.07025028663E11</v>
      </c>
      <c r="D499" s="66" t="s">
        <v>1822</v>
      </c>
      <c r="E499" s="66" t="s">
        <v>1823</v>
      </c>
      <c r="F499" s="66" t="s">
        <v>477</v>
      </c>
      <c r="G499" s="66" t="s">
        <v>116</v>
      </c>
      <c r="H499" s="66" t="s">
        <v>20</v>
      </c>
      <c r="I499" s="66">
        <v>4400.0</v>
      </c>
      <c r="J499" s="66" t="s">
        <v>1824</v>
      </c>
      <c r="K499" s="66" t="s">
        <v>512</v>
      </c>
      <c r="L499" s="66" t="s">
        <v>513</v>
      </c>
      <c r="M499" s="67">
        <v>36.0</v>
      </c>
      <c r="N499" s="66" t="s">
        <v>1825</v>
      </c>
      <c r="O499" s="66" t="s">
        <v>1826</v>
      </c>
    </row>
    <row r="500">
      <c r="A500" s="65">
        <v>45639.0</v>
      </c>
      <c r="B500" s="66" t="s">
        <v>1821</v>
      </c>
      <c r="C500" s="66">
        <v>8.07025028663E11</v>
      </c>
      <c r="D500" s="66" t="s">
        <v>1822</v>
      </c>
      <c r="E500" s="66" t="s">
        <v>1823</v>
      </c>
      <c r="F500" s="66" t="s">
        <v>477</v>
      </c>
      <c r="G500" s="66" t="s">
        <v>116</v>
      </c>
      <c r="H500" s="66" t="s">
        <v>20</v>
      </c>
      <c r="I500" s="66">
        <v>4400.0</v>
      </c>
      <c r="J500" s="66" t="s">
        <v>1824</v>
      </c>
      <c r="K500" s="66" t="s">
        <v>1827</v>
      </c>
      <c r="L500" s="66" t="s">
        <v>1828</v>
      </c>
      <c r="M500" s="67">
        <v>6.0</v>
      </c>
      <c r="N500" s="66" t="s">
        <v>1825</v>
      </c>
      <c r="O500" s="66" t="s">
        <v>1826</v>
      </c>
    </row>
    <row r="501">
      <c r="A501" s="65">
        <v>45639.0</v>
      </c>
      <c r="B501" s="66" t="s">
        <v>1821</v>
      </c>
      <c r="C501" s="66">
        <v>8.07025028663E11</v>
      </c>
      <c r="D501" s="66" t="s">
        <v>1822</v>
      </c>
      <c r="E501" s="66" t="s">
        <v>1823</v>
      </c>
      <c r="F501" s="66" t="s">
        <v>477</v>
      </c>
      <c r="G501" s="66" t="s">
        <v>116</v>
      </c>
      <c r="H501" s="66" t="s">
        <v>20</v>
      </c>
      <c r="I501" s="66">
        <v>4400.0</v>
      </c>
      <c r="J501" s="66" t="s">
        <v>1824</v>
      </c>
      <c r="K501" s="66" t="s">
        <v>1829</v>
      </c>
      <c r="L501" s="66" t="s">
        <v>1830</v>
      </c>
      <c r="M501" s="67">
        <v>6.0</v>
      </c>
      <c r="N501" s="66" t="s">
        <v>1825</v>
      </c>
      <c r="O501" s="66" t="s">
        <v>1826</v>
      </c>
    </row>
    <row r="502">
      <c r="A502" s="52">
        <v>45639.0</v>
      </c>
      <c r="B502" s="31" t="s">
        <v>1831</v>
      </c>
      <c r="C502" s="31">
        <v>8.07025028667E11</v>
      </c>
      <c r="D502" s="31" t="s">
        <v>1832</v>
      </c>
      <c r="E502" s="31" t="s">
        <v>1833</v>
      </c>
      <c r="F502" s="31" t="s">
        <v>1834</v>
      </c>
      <c r="G502" s="31" t="s">
        <v>247</v>
      </c>
      <c r="H502" s="31" t="s">
        <v>20</v>
      </c>
      <c r="I502" s="31">
        <v>4400.0</v>
      </c>
      <c r="J502" s="31" t="s">
        <v>1835</v>
      </c>
      <c r="K502" s="31" t="s">
        <v>269</v>
      </c>
      <c r="L502" s="31" t="s">
        <v>270</v>
      </c>
      <c r="M502" s="33">
        <v>2.0</v>
      </c>
      <c r="N502" s="31" t="s">
        <v>1836</v>
      </c>
      <c r="O502" s="31" t="s">
        <v>1837</v>
      </c>
    </row>
    <row r="503">
      <c r="A503" s="52">
        <v>45639.0</v>
      </c>
      <c r="B503" s="31" t="s">
        <v>1831</v>
      </c>
      <c r="C503" s="31">
        <v>8.07025028667E11</v>
      </c>
      <c r="D503" s="31" t="s">
        <v>1832</v>
      </c>
      <c r="E503" s="31" t="s">
        <v>1833</v>
      </c>
      <c r="F503" s="31" t="s">
        <v>1834</v>
      </c>
      <c r="G503" s="31" t="s">
        <v>247</v>
      </c>
      <c r="H503" s="31" t="s">
        <v>20</v>
      </c>
      <c r="I503" s="31">
        <v>4400.0</v>
      </c>
      <c r="J503" s="31" t="s">
        <v>1835</v>
      </c>
      <c r="K503" s="31" t="s">
        <v>360</v>
      </c>
      <c r="L503" s="31" t="s">
        <v>361</v>
      </c>
      <c r="M503" s="33">
        <v>1.0</v>
      </c>
      <c r="N503" s="31" t="s">
        <v>1836</v>
      </c>
      <c r="O503" s="31" t="s">
        <v>1837</v>
      </c>
    </row>
    <row r="504">
      <c r="A504" s="65">
        <v>45639.0</v>
      </c>
      <c r="B504" s="66" t="s">
        <v>1838</v>
      </c>
      <c r="C504" s="66">
        <v>8.07025028674E11</v>
      </c>
      <c r="D504" s="66" t="s">
        <v>1839</v>
      </c>
      <c r="E504" s="66" t="s">
        <v>1840</v>
      </c>
      <c r="F504" s="66" t="s">
        <v>1841</v>
      </c>
      <c r="G504" s="66" t="s">
        <v>116</v>
      </c>
      <c r="H504" s="66" t="s">
        <v>20</v>
      </c>
      <c r="I504" s="66">
        <v>4400.0</v>
      </c>
      <c r="J504" s="66" t="s">
        <v>1842</v>
      </c>
      <c r="K504" s="66" t="s">
        <v>1843</v>
      </c>
      <c r="L504" s="66" t="s">
        <v>1844</v>
      </c>
      <c r="M504" s="67">
        <v>1.0</v>
      </c>
      <c r="N504" s="66" t="s">
        <v>1845</v>
      </c>
      <c r="O504" s="66" t="s">
        <v>1846</v>
      </c>
    </row>
    <row r="505">
      <c r="A505" s="65">
        <v>45639.0</v>
      </c>
      <c r="B505" s="66" t="s">
        <v>1838</v>
      </c>
      <c r="C505" s="66">
        <v>8.07025028674E11</v>
      </c>
      <c r="D505" s="66" t="s">
        <v>1839</v>
      </c>
      <c r="E505" s="66" t="s">
        <v>1840</v>
      </c>
      <c r="F505" s="66" t="s">
        <v>1841</v>
      </c>
      <c r="G505" s="66" t="s">
        <v>116</v>
      </c>
      <c r="H505" s="66" t="s">
        <v>20</v>
      </c>
      <c r="I505" s="66">
        <v>4400.0</v>
      </c>
      <c r="J505" s="66" t="s">
        <v>1842</v>
      </c>
      <c r="K505" s="66" t="s">
        <v>512</v>
      </c>
      <c r="L505" s="66" t="s">
        <v>513</v>
      </c>
      <c r="M505" s="67">
        <v>6.0</v>
      </c>
      <c r="N505" s="66" t="s">
        <v>1845</v>
      </c>
      <c r="O505" s="66" t="s">
        <v>1846</v>
      </c>
    </row>
    <row r="506">
      <c r="A506" s="65">
        <v>45639.0</v>
      </c>
      <c r="B506" s="66" t="s">
        <v>1838</v>
      </c>
      <c r="C506" s="66">
        <v>8.07025028674E11</v>
      </c>
      <c r="D506" s="66" t="s">
        <v>1839</v>
      </c>
      <c r="E506" s="66" t="s">
        <v>1840</v>
      </c>
      <c r="F506" s="66" t="s">
        <v>1841</v>
      </c>
      <c r="G506" s="66" t="s">
        <v>116</v>
      </c>
      <c r="H506" s="66" t="s">
        <v>20</v>
      </c>
      <c r="I506" s="66">
        <v>4400.0</v>
      </c>
      <c r="J506" s="66" t="s">
        <v>1842</v>
      </c>
      <c r="K506" s="66" t="s">
        <v>1847</v>
      </c>
      <c r="L506" s="66" t="s">
        <v>1848</v>
      </c>
      <c r="M506" s="67">
        <v>1.0</v>
      </c>
      <c r="N506" s="66" t="s">
        <v>1845</v>
      </c>
      <c r="O506" s="66" t="s">
        <v>1846</v>
      </c>
    </row>
    <row r="507">
      <c r="A507" s="52">
        <v>45639.0</v>
      </c>
      <c r="B507" s="31" t="s">
        <v>1849</v>
      </c>
      <c r="C507" s="31">
        <v>8.07025028677E11</v>
      </c>
      <c r="D507" s="31" t="s">
        <v>1850</v>
      </c>
      <c r="E507" s="31" t="s">
        <v>1851</v>
      </c>
      <c r="F507" s="31" t="s">
        <v>1852</v>
      </c>
      <c r="G507" s="31" t="s">
        <v>116</v>
      </c>
      <c r="H507" s="31" t="s">
        <v>20</v>
      </c>
      <c r="I507" s="31">
        <v>4400.0</v>
      </c>
      <c r="J507" s="31" t="s">
        <v>1853</v>
      </c>
      <c r="K507" s="31" t="s">
        <v>298</v>
      </c>
      <c r="L507" s="31" t="s">
        <v>299</v>
      </c>
      <c r="M507" s="33">
        <v>1.0</v>
      </c>
      <c r="N507" s="31" t="s">
        <v>1854</v>
      </c>
      <c r="O507" s="31" t="s">
        <v>1746</v>
      </c>
    </row>
    <row r="508">
      <c r="A508" s="52">
        <v>45639.0</v>
      </c>
      <c r="B508" s="31" t="s">
        <v>1849</v>
      </c>
      <c r="C508" s="31">
        <v>8.07025028677E11</v>
      </c>
      <c r="D508" s="31" t="s">
        <v>1850</v>
      </c>
      <c r="E508" s="31" t="s">
        <v>1851</v>
      </c>
      <c r="F508" s="31" t="s">
        <v>1852</v>
      </c>
      <c r="G508" s="31" t="s">
        <v>116</v>
      </c>
      <c r="H508" s="31" t="s">
        <v>20</v>
      </c>
      <c r="I508" s="31">
        <v>4400.0</v>
      </c>
      <c r="J508" s="31" t="s">
        <v>1853</v>
      </c>
      <c r="K508" s="31" t="s">
        <v>340</v>
      </c>
      <c r="L508" s="31" t="s">
        <v>341</v>
      </c>
      <c r="M508" s="33">
        <v>2.0</v>
      </c>
      <c r="N508" s="31" t="s">
        <v>1854</v>
      </c>
      <c r="O508" s="31" t="s">
        <v>1746</v>
      </c>
    </row>
    <row r="509">
      <c r="A509" s="65">
        <v>45639.0</v>
      </c>
      <c r="B509" s="66" t="s">
        <v>1855</v>
      </c>
      <c r="C509" s="66">
        <v>8.07025028685E11</v>
      </c>
      <c r="D509" s="66" t="s">
        <v>1856</v>
      </c>
      <c r="E509" s="66" t="s">
        <v>1857</v>
      </c>
      <c r="F509" s="71" t="s">
        <v>1858</v>
      </c>
      <c r="G509" s="66" t="s">
        <v>1859</v>
      </c>
      <c r="H509" s="66" t="s">
        <v>20</v>
      </c>
      <c r="I509" s="66">
        <v>4403.0</v>
      </c>
      <c r="J509" s="66" t="s">
        <v>1860</v>
      </c>
      <c r="K509" s="66" t="s">
        <v>495</v>
      </c>
      <c r="L509" s="66" t="s">
        <v>496</v>
      </c>
      <c r="M509" s="67">
        <v>2.0</v>
      </c>
      <c r="N509" s="66" t="s">
        <v>1861</v>
      </c>
      <c r="O509" s="66" t="s">
        <v>1862</v>
      </c>
    </row>
    <row r="510">
      <c r="A510" s="65">
        <v>45639.0</v>
      </c>
      <c r="B510" s="66" t="s">
        <v>1855</v>
      </c>
      <c r="C510" s="66">
        <v>8.07025028685E11</v>
      </c>
      <c r="D510" s="66" t="s">
        <v>1856</v>
      </c>
      <c r="E510" s="66" t="s">
        <v>1857</v>
      </c>
      <c r="F510" s="71" t="s">
        <v>1858</v>
      </c>
      <c r="G510" s="66" t="s">
        <v>1859</v>
      </c>
      <c r="H510" s="66" t="s">
        <v>20</v>
      </c>
      <c r="I510" s="66">
        <v>4403.0</v>
      </c>
      <c r="J510" s="66" t="s">
        <v>1860</v>
      </c>
      <c r="K510" s="66" t="s">
        <v>761</v>
      </c>
      <c r="L510" s="66" t="s">
        <v>762</v>
      </c>
      <c r="M510" s="67">
        <v>1.0</v>
      </c>
      <c r="N510" s="66" t="s">
        <v>1861</v>
      </c>
      <c r="O510" s="66" t="s">
        <v>1862</v>
      </c>
    </row>
    <row r="511">
      <c r="A511" s="52">
        <v>45639.0</v>
      </c>
      <c r="B511" s="31" t="s">
        <v>1863</v>
      </c>
      <c r="C511" s="31">
        <v>8.07025028681E11</v>
      </c>
      <c r="D511" s="31" t="s">
        <v>1864</v>
      </c>
      <c r="E511" s="31" t="s">
        <v>1865</v>
      </c>
      <c r="F511" s="31" t="s">
        <v>115</v>
      </c>
      <c r="G511" s="31" t="s">
        <v>127</v>
      </c>
      <c r="H511" s="31" t="s">
        <v>20</v>
      </c>
      <c r="I511" s="31">
        <v>4400.0</v>
      </c>
      <c r="J511" s="31" t="s">
        <v>1866</v>
      </c>
      <c r="K511" s="31" t="s">
        <v>218</v>
      </c>
      <c r="L511" s="31" t="s">
        <v>219</v>
      </c>
      <c r="M511" s="33">
        <v>1.0</v>
      </c>
      <c r="N511" s="31" t="s">
        <v>1867</v>
      </c>
      <c r="O511" s="31" t="s">
        <v>301</v>
      </c>
    </row>
    <row r="512">
      <c r="A512" s="52">
        <v>45639.0</v>
      </c>
      <c r="B512" s="31" t="s">
        <v>1863</v>
      </c>
      <c r="C512" s="31">
        <v>8.07025028681E11</v>
      </c>
      <c r="D512" s="31" t="s">
        <v>1864</v>
      </c>
      <c r="E512" s="31" t="s">
        <v>1865</v>
      </c>
      <c r="F512" s="31" t="s">
        <v>115</v>
      </c>
      <c r="G512" s="31" t="s">
        <v>127</v>
      </c>
      <c r="H512" s="31" t="s">
        <v>20</v>
      </c>
      <c r="I512" s="31">
        <v>4400.0</v>
      </c>
      <c r="J512" s="31" t="s">
        <v>1866</v>
      </c>
      <c r="K512" s="31" t="s">
        <v>121</v>
      </c>
      <c r="L512" s="31" t="s">
        <v>122</v>
      </c>
      <c r="M512" s="33">
        <v>2.0</v>
      </c>
      <c r="N512" s="31" t="s">
        <v>1867</v>
      </c>
      <c r="O512" s="31" t="s">
        <v>301</v>
      </c>
    </row>
    <row r="513">
      <c r="A513" s="65">
        <v>45639.0</v>
      </c>
      <c r="B513" s="66" t="s">
        <v>1868</v>
      </c>
      <c r="C513" s="66">
        <v>8.05011506412E11</v>
      </c>
      <c r="D513" s="66" t="s">
        <v>1869</v>
      </c>
      <c r="E513" s="66" t="s">
        <v>1870</v>
      </c>
      <c r="F513" s="66" t="s">
        <v>1871</v>
      </c>
      <c r="G513" s="66" t="s">
        <v>20</v>
      </c>
      <c r="H513" s="66" t="s">
        <v>20</v>
      </c>
      <c r="I513" s="66">
        <v>4404.0</v>
      </c>
      <c r="J513" s="66" t="s">
        <v>1872</v>
      </c>
      <c r="K513" s="66" t="s">
        <v>50</v>
      </c>
      <c r="L513" s="66" t="s">
        <v>51</v>
      </c>
      <c r="M513" s="67">
        <v>1.0</v>
      </c>
      <c r="N513" s="66" t="s">
        <v>1873</v>
      </c>
      <c r="O513" s="68"/>
    </row>
    <row r="514">
      <c r="A514" s="65">
        <v>45639.0</v>
      </c>
      <c r="B514" s="66" t="s">
        <v>1868</v>
      </c>
      <c r="C514" s="66">
        <v>8.05011506412E11</v>
      </c>
      <c r="D514" s="66" t="s">
        <v>1869</v>
      </c>
      <c r="E514" s="66" t="s">
        <v>1870</v>
      </c>
      <c r="F514" s="66" t="s">
        <v>1871</v>
      </c>
      <c r="G514" s="66" t="s">
        <v>20</v>
      </c>
      <c r="H514" s="66" t="s">
        <v>20</v>
      </c>
      <c r="I514" s="66">
        <v>4404.0</v>
      </c>
      <c r="J514" s="66" t="s">
        <v>1872</v>
      </c>
      <c r="K514" s="66" t="s">
        <v>741</v>
      </c>
      <c r="L514" s="66" t="s">
        <v>742</v>
      </c>
      <c r="M514" s="67">
        <v>1.0</v>
      </c>
      <c r="N514" s="66" t="s">
        <v>1873</v>
      </c>
      <c r="O514" s="68"/>
    </row>
    <row r="515">
      <c r="A515" s="52">
        <v>45639.0</v>
      </c>
      <c r="B515" s="31" t="s">
        <v>1874</v>
      </c>
      <c r="C515" s="31">
        <v>8.05011506549E11</v>
      </c>
      <c r="D515" s="31" t="s">
        <v>1875</v>
      </c>
      <c r="E515" s="31" t="s">
        <v>1876</v>
      </c>
      <c r="F515" s="31" t="s">
        <v>1877</v>
      </c>
      <c r="G515" s="31" t="s">
        <v>20</v>
      </c>
      <c r="H515" s="31" t="s">
        <v>20</v>
      </c>
      <c r="I515" s="31" t="s">
        <v>1878</v>
      </c>
      <c r="J515" s="31" t="s">
        <v>1879</v>
      </c>
      <c r="K515" s="31" t="s">
        <v>50</v>
      </c>
      <c r="L515" s="31" t="s">
        <v>51</v>
      </c>
      <c r="M515" s="33">
        <v>1.0</v>
      </c>
      <c r="N515" s="31" t="s">
        <v>1880</v>
      </c>
      <c r="O515" s="31">
        <v>1.0</v>
      </c>
    </row>
    <row r="516">
      <c r="A516" s="52">
        <v>45639.0</v>
      </c>
      <c r="B516" s="31" t="s">
        <v>1874</v>
      </c>
      <c r="C516" s="31">
        <v>8.05011506549E11</v>
      </c>
      <c r="D516" s="31" t="s">
        <v>1875</v>
      </c>
      <c r="E516" s="31" t="s">
        <v>1876</v>
      </c>
      <c r="F516" s="31" t="s">
        <v>1877</v>
      </c>
      <c r="G516" s="31" t="s">
        <v>20</v>
      </c>
      <c r="H516" s="31" t="s">
        <v>20</v>
      </c>
      <c r="I516" s="31" t="s">
        <v>1878</v>
      </c>
      <c r="J516" s="31" t="s">
        <v>1879</v>
      </c>
      <c r="K516" s="33">
        <v>87604.0</v>
      </c>
      <c r="L516" s="31" t="s">
        <v>480</v>
      </c>
      <c r="M516" s="33">
        <v>1.0</v>
      </c>
      <c r="N516" s="31" t="s">
        <v>1880</v>
      </c>
      <c r="O516" s="31">
        <v>1.0</v>
      </c>
    </row>
    <row r="517">
      <c r="A517" s="52">
        <v>45639.0</v>
      </c>
      <c r="B517" s="29" t="s">
        <v>1881</v>
      </c>
      <c r="C517" s="29">
        <v>8.05011506784E11</v>
      </c>
      <c r="D517" s="29" t="s">
        <v>1882</v>
      </c>
      <c r="E517" s="29" t="s">
        <v>1883</v>
      </c>
      <c r="F517" s="29" t="s">
        <v>1884</v>
      </c>
      <c r="G517" s="31" t="s">
        <v>1885</v>
      </c>
      <c r="H517" s="31" t="s">
        <v>20</v>
      </c>
      <c r="I517" s="29">
        <v>4421.0</v>
      </c>
      <c r="J517" s="29">
        <v>3.875124512E9</v>
      </c>
      <c r="K517" s="72">
        <v>915116.0</v>
      </c>
      <c r="L517" s="29" t="s">
        <v>1886</v>
      </c>
      <c r="M517" s="30">
        <v>1.0</v>
      </c>
      <c r="N517" s="37"/>
      <c r="O517" s="37"/>
    </row>
    <row r="518">
      <c r="A518" s="52">
        <v>45639.0</v>
      </c>
      <c r="B518" s="29" t="s">
        <v>1881</v>
      </c>
      <c r="C518" s="29">
        <v>8.05011506784E11</v>
      </c>
      <c r="D518" s="29" t="s">
        <v>1882</v>
      </c>
      <c r="E518" s="29" t="s">
        <v>1883</v>
      </c>
      <c r="F518" s="29" t="s">
        <v>1884</v>
      </c>
      <c r="G518" s="31" t="s">
        <v>1885</v>
      </c>
      <c r="H518" s="31" t="s">
        <v>20</v>
      </c>
      <c r="I518" s="29">
        <v>4421.0</v>
      </c>
      <c r="J518" s="29">
        <v>3.875124512E9</v>
      </c>
      <c r="K518" s="29" t="s">
        <v>805</v>
      </c>
      <c r="L518" s="29" t="s">
        <v>806</v>
      </c>
      <c r="M518" s="30">
        <v>1.0</v>
      </c>
      <c r="N518" s="37"/>
      <c r="O518" s="37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73"/>
      <c r="M519" s="23"/>
      <c r="N519" s="22"/>
      <c r="O519" s="22"/>
    </row>
    <row r="520">
      <c r="A520" s="65">
        <v>45644.0</v>
      </c>
      <c r="B520" s="66" t="s">
        <v>1887</v>
      </c>
      <c r="C520" s="66">
        <v>8.07025028639E11</v>
      </c>
      <c r="D520" s="66" t="s">
        <v>1888</v>
      </c>
      <c r="E520" s="66" t="s">
        <v>1889</v>
      </c>
      <c r="F520" s="66" t="s">
        <v>1890</v>
      </c>
      <c r="G520" s="66" t="s">
        <v>1891</v>
      </c>
      <c r="H520" s="66" t="s">
        <v>20</v>
      </c>
      <c r="I520" s="66">
        <v>4427.0</v>
      </c>
      <c r="J520" s="66" t="s">
        <v>1892</v>
      </c>
      <c r="K520" s="66" t="s">
        <v>1893</v>
      </c>
      <c r="L520" s="66" t="s">
        <v>1894</v>
      </c>
      <c r="M520" s="67">
        <v>3.0</v>
      </c>
      <c r="N520" s="66" t="s">
        <v>1895</v>
      </c>
      <c r="O520" s="66" t="s">
        <v>1896</v>
      </c>
    </row>
    <row r="521">
      <c r="A521" s="65">
        <v>45644.0</v>
      </c>
      <c r="B521" s="66" t="s">
        <v>1887</v>
      </c>
      <c r="C521" s="66">
        <v>8.07025028639E11</v>
      </c>
      <c r="D521" s="66" t="s">
        <v>1888</v>
      </c>
      <c r="E521" s="66" t="s">
        <v>1889</v>
      </c>
      <c r="F521" s="66" t="s">
        <v>1890</v>
      </c>
      <c r="G521" s="66" t="s">
        <v>1891</v>
      </c>
      <c r="H521" s="66" t="s">
        <v>20</v>
      </c>
      <c r="I521" s="66">
        <v>4427.0</v>
      </c>
      <c r="J521" s="66" t="s">
        <v>1892</v>
      </c>
      <c r="K521" s="66" t="s">
        <v>512</v>
      </c>
      <c r="L521" s="66" t="s">
        <v>513</v>
      </c>
      <c r="M521" s="67">
        <v>18.0</v>
      </c>
      <c r="N521" s="66" t="s">
        <v>1895</v>
      </c>
      <c r="O521" s="66" t="s">
        <v>1896</v>
      </c>
    </row>
    <row r="522">
      <c r="A522" s="65">
        <v>45644.0</v>
      </c>
      <c r="B522" s="66" t="s">
        <v>1887</v>
      </c>
      <c r="C522" s="66">
        <v>8.07025028639E11</v>
      </c>
      <c r="D522" s="66" t="s">
        <v>1888</v>
      </c>
      <c r="E522" s="66" t="s">
        <v>1889</v>
      </c>
      <c r="F522" s="66" t="s">
        <v>1890</v>
      </c>
      <c r="G522" s="66" t="s">
        <v>1891</v>
      </c>
      <c r="H522" s="66" t="s">
        <v>20</v>
      </c>
      <c r="I522" s="66">
        <v>4427.0</v>
      </c>
      <c r="J522" s="66" t="s">
        <v>1892</v>
      </c>
      <c r="K522" s="66" t="s">
        <v>1897</v>
      </c>
      <c r="L522" s="66" t="s">
        <v>1898</v>
      </c>
      <c r="M522" s="67">
        <v>3.0</v>
      </c>
      <c r="N522" s="66" t="s">
        <v>1895</v>
      </c>
      <c r="O522" s="66" t="s">
        <v>1896</v>
      </c>
    </row>
    <row r="523">
      <c r="A523" s="52">
        <v>45644.0</v>
      </c>
      <c r="B523" s="31" t="s">
        <v>1899</v>
      </c>
      <c r="C523" s="31">
        <v>8.07025028699E11</v>
      </c>
      <c r="D523" s="31" t="s">
        <v>1900</v>
      </c>
      <c r="E523" s="31" t="s">
        <v>1901</v>
      </c>
      <c r="F523" s="31" t="s">
        <v>1902</v>
      </c>
      <c r="G523" s="31" t="s">
        <v>116</v>
      </c>
      <c r="H523" s="31" t="s">
        <v>20</v>
      </c>
      <c r="I523" s="31">
        <v>4400.0</v>
      </c>
      <c r="J523" s="31" t="s">
        <v>1903</v>
      </c>
      <c r="K523" s="31" t="s">
        <v>110</v>
      </c>
      <c r="L523" s="31" t="s">
        <v>111</v>
      </c>
      <c r="M523" s="33">
        <v>1.0</v>
      </c>
      <c r="N523" s="31" t="s">
        <v>1904</v>
      </c>
      <c r="O523" s="31" t="s">
        <v>1746</v>
      </c>
    </row>
    <row r="524">
      <c r="A524" s="52">
        <v>45644.0</v>
      </c>
      <c r="B524" s="31" t="s">
        <v>1905</v>
      </c>
      <c r="C524" s="31">
        <v>8.070250287E11</v>
      </c>
      <c r="D524" s="31" t="s">
        <v>1900</v>
      </c>
      <c r="E524" s="31" t="s">
        <v>1901</v>
      </c>
      <c r="F524" s="31" t="s">
        <v>1902</v>
      </c>
      <c r="G524" s="31" t="s">
        <v>116</v>
      </c>
      <c r="H524" s="31" t="s">
        <v>20</v>
      </c>
      <c r="I524" s="31">
        <v>4400.0</v>
      </c>
      <c r="J524" s="31" t="s">
        <v>1903</v>
      </c>
      <c r="K524" s="31" t="s">
        <v>360</v>
      </c>
      <c r="L524" s="31" t="s">
        <v>361</v>
      </c>
      <c r="M524" s="33">
        <v>1.0</v>
      </c>
      <c r="N524" s="31" t="s">
        <v>1904</v>
      </c>
      <c r="O524" s="31" t="s">
        <v>1746</v>
      </c>
    </row>
    <row r="525">
      <c r="A525" s="52">
        <v>45644.0</v>
      </c>
      <c r="B525" s="31" t="s">
        <v>1905</v>
      </c>
      <c r="C525" s="31">
        <v>8.070250287E11</v>
      </c>
      <c r="D525" s="31" t="s">
        <v>1900</v>
      </c>
      <c r="E525" s="31" t="s">
        <v>1901</v>
      </c>
      <c r="F525" s="31" t="s">
        <v>1902</v>
      </c>
      <c r="G525" s="31" t="s">
        <v>116</v>
      </c>
      <c r="H525" s="31" t="s">
        <v>20</v>
      </c>
      <c r="I525" s="31">
        <v>4400.0</v>
      </c>
      <c r="J525" s="31" t="s">
        <v>1903</v>
      </c>
      <c r="K525" s="31" t="s">
        <v>606</v>
      </c>
      <c r="L525" s="31" t="s">
        <v>607</v>
      </c>
      <c r="M525" s="33">
        <v>1.0</v>
      </c>
      <c r="N525" s="31" t="s">
        <v>1904</v>
      </c>
      <c r="O525" s="31" t="s">
        <v>1746</v>
      </c>
    </row>
    <row r="526">
      <c r="A526" s="65">
        <v>45644.0</v>
      </c>
      <c r="B526" s="66" t="s">
        <v>1906</v>
      </c>
      <c r="C526" s="66">
        <v>8.05011506609E11</v>
      </c>
      <c r="D526" s="66" t="s">
        <v>1907</v>
      </c>
      <c r="E526" s="66" t="s">
        <v>1908</v>
      </c>
      <c r="F526" s="66" t="s">
        <v>1909</v>
      </c>
      <c r="G526" s="66" t="s">
        <v>1142</v>
      </c>
      <c r="H526" s="66" t="s">
        <v>20</v>
      </c>
      <c r="I526" s="66">
        <v>4430.0</v>
      </c>
      <c r="J526" s="66" t="s">
        <v>1910</v>
      </c>
      <c r="K526" s="66" t="s">
        <v>1911</v>
      </c>
      <c r="L526" s="66" t="s">
        <v>1912</v>
      </c>
      <c r="M526" s="67">
        <v>1.0</v>
      </c>
      <c r="N526" s="66" t="s">
        <v>1913</v>
      </c>
      <c r="O526" s="68"/>
    </row>
    <row r="527">
      <c r="A527" s="65">
        <v>45644.0</v>
      </c>
      <c r="B527" s="66" t="s">
        <v>1906</v>
      </c>
      <c r="C527" s="66">
        <v>8.05011506609E11</v>
      </c>
      <c r="D527" s="66" t="s">
        <v>1907</v>
      </c>
      <c r="E527" s="66" t="s">
        <v>1908</v>
      </c>
      <c r="F527" s="66" t="s">
        <v>1909</v>
      </c>
      <c r="G527" s="66" t="s">
        <v>1142</v>
      </c>
      <c r="H527" s="66" t="s">
        <v>20</v>
      </c>
      <c r="I527" s="66">
        <v>4430.0</v>
      </c>
      <c r="J527" s="66" t="s">
        <v>1910</v>
      </c>
      <c r="K527" s="66" t="s">
        <v>512</v>
      </c>
      <c r="L527" s="66" t="s">
        <v>513</v>
      </c>
      <c r="M527" s="67">
        <v>6.0</v>
      </c>
      <c r="N527" s="66" t="s">
        <v>1913</v>
      </c>
      <c r="O527" s="68"/>
    </row>
    <row r="528">
      <c r="A528" s="65">
        <v>45644.0</v>
      </c>
      <c r="B528" s="66" t="s">
        <v>1906</v>
      </c>
      <c r="C528" s="66">
        <v>8.05011506609E11</v>
      </c>
      <c r="D528" s="66" t="s">
        <v>1907</v>
      </c>
      <c r="E528" s="66" t="s">
        <v>1908</v>
      </c>
      <c r="F528" s="66" t="s">
        <v>1909</v>
      </c>
      <c r="G528" s="66" t="s">
        <v>1142</v>
      </c>
      <c r="H528" s="66" t="s">
        <v>20</v>
      </c>
      <c r="I528" s="66">
        <v>4430.0</v>
      </c>
      <c r="J528" s="66" t="s">
        <v>1910</v>
      </c>
      <c r="K528" s="66" t="s">
        <v>1914</v>
      </c>
      <c r="L528" s="66" t="s">
        <v>1915</v>
      </c>
      <c r="M528" s="67">
        <v>1.0</v>
      </c>
      <c r="N528" s="66" t="s">
        <v>1913</v>
      </c>
      <c r="O528" s="68"/>
    </row>
    <row r="529">
      <c r="A529" s="52">
        <v>45644.0</v>
      </c>
      <c r="B529" s="31" t="s">
        <v>1916</v>
      </c>
      <c r="C529" s="31">
        <v>8.05011506685E11</v>
      </c>
      <c r="D529" s="31" t="s">
        <v>1917</v>
      </c>
      <c r="E529" s="31" t="s">
        <v>1918</v>
      </c>
      <c r="F529" s="31" t="s">
        <v>1919</v>
      </c>
      <c r="G529" s="31" t="s">
        <v>20</v>
      </c>
      <c r="H529" s="31" t="s">
        <v>20</v>
      </c>
      <c r="I529" s="31">
        <v>4400.0</v>
      </c>
      <c r="J529" s="31" t="s">
        <v>1920</v>
      </c>
      <c r="K529" s="31" t="s">
        <v>50</v>
      </c>
      <c r="L529" s="31" t="s">
        <v>51</v>
      </c>
      <c r="M529" s="33">
        <v>1.0</v>
      </c>
      <c r="N529" s="31" t="s">
        <v>1921</v>
      </c>
      <c r="O529" s="34"/>
    </row>
    <row r="530">
      <c r="A530" s="52">
        <v>45644.0</v>
      </c>
      <c r="B530" s="31" t="s">
        <v>1916</v>
      </c>
      <c r="C530" s="31">
        <v>8.05011506685E11</v>
      </c>
      <c r="D530" s="31" t="s">
        <v>1917</v>
      </c>
      <c r="E530" s="31" t="s">
        <v>1918</v>
      </c>
      <c r="F530" s="31" t="s">
        <v>1919</v>
      </c>
      <c r="G530" s="31" t="s">
        <v>20</v>
      </c>
      <c r="H530" s="31" t="s">
        <v>20</v>
      </c>
      <c r="I530" s="31">
        <v>4400.0</v>
      </c>
      <c r="J530" s="31" t="s">
        <v>1920</v>
      </c>
      <c r="K530" s="31" t="s">
        <v>741</v>
      </c>
      <c r="L530" s="31" t="s">
        <v>742</v>
      </c>
      <c r="M530" s="33">
        <v>1.0</v>
      </c>
      <c r="N530" s="31" t="s">
        <v>1921</v>
      </c>
      <c r="O530" s="34"/>
    </row>
    <row r="531">
      <c r="A531" s="65">
        <v>45644.0</v>
      </c>
      <c r="B531" s="66" t="s">
        <v>1922</v>
      </c>
      <c r="C531" s="66">
        <v>8.07025028719E11</v>
      </c>
      <c r="D531" s="66" t="s">
        <v>1923</v>
      </c>
      <c r="E531" s="66" t="s">
        <v>1924</v>
      </c>
      <c r="F531" s="66" t="s">
        <v>1925</v>
      </c>
      <c r="G531" s="66" t="s">
        <v>116</v>
      </c>
      <c r="H531" s="66" t="s">
        <v>20</v>
      </c>
      <c r="I531" s="66">
        <v>4400.0</v>
      </c>
      <c r="J531" s="66" t="s">
        <v>1926</v>
      </c>
      <c r="K531" s="66" t="s">
        <v>1004</v>
      </c>
      <c r="L531" s="66" t="s">
        <v>1005</v>
      </c>
      <c r="M531" s="67">
        <v>1.0</v>
      </c>
      <c r="N531" s="66" t="s">
        <v>1927</v>
      </c>
      <c r="O531" s="66" t="s">
        <v>1928</v>
      </c>
    </row>
    <row r="532">
      <c r="A532" s="65">
        <v>45644.0</v>
      </c>
      <c r="B532" s="66" t="s">
        <v>1922</v>
      </c>
      <c r="C532" s="66">
        <v>8.07025028719E11</v>
      </c>
      <c r="D532" s="66" t="s">
        <v>1923</v>
      </c>
      <c r="E532" s="66" t="s">
        <v>1924</v>
      </c>
      <c r="F532" s="66" t="s">
        <v>1925</v>
      </c>
      <c r="G532" s="66" t="s">
        <v>116</v>
      </c>
      <c r="H532" s="66" t="s">
        <v>20</v>
      </c>
      <c r="I532" s="66">
        <v>4400.0</v>
      </c>
      <c r="J532" s="66" t="s">
        <v>1926</v>
      </c>
      <c r="K532" s="66" t="s">
        <v>701</v>
      </c>
      <c r="L532" s="66" t="s">
        <v>702</v>
      </c>
      <c r="M532" s="67">
        <v>1.0</v>
      </c>
      <c r="N532" s="66" t="s">
        <v>1927</v>
      </c>
      <c r="O532" s="66" t="s">
        <v>1928</v>
      </c>
    </row>
    <row r="533">
      <c r="A533" s="52">
        <v>45644.0</v>
      </c>
      <c r="B533" s="31" t="s">
        <v>1929</v>
      </c>
      <c r="C533" s="31">
        <v>8.05011505541E11</v>
      </c>
      <c r="D533" s="31" t="s">
        <v>1784</v>
      </c>
      <c r="E533" s="31" t="s">
        <v>1785</v>
      </c>
      <c r="F533" s="31" t="s">
        <v>1786</v>
      </c>
      <c r="G533" s="31" t="s">
        <v>20</v>
      </c>
      <c r="H533" s="31" t="s">
        <v>20</v>
      </c>
      <c r="I533" s="31">
        <v>4400.0</v>
      </c>
      <c r="J533" s="31" t="s">
        <v>1930</v>
      </c>
      <c r="K533" s="31" t="s">
        <v>360</v>
      </c>
      <c r="L533" s="31" t="s">
        <v>361</v>
      </c>
      <c r="M533" s="33">
        <v>1.0</v>
      </c>
      <c r="N533" s="31" t="s">
        <v>1788</v>
      </c>
      <c r="O533" s="34"/>
    </row>
    <row r="534">
      <c r="A534" s="52">
        <v>45644.0</v>
      </c>
      <c r="B534" s="31" t="s">
        <v>1929</v>
      </c>
      <c r="C534" s="31">
        <v>8.05011505541E11</v>
      </c>
      <c r="D534" s="31" t="s">
        <v>1784</v>
      </c>
      <c r="E534" s="31" t="s">
        <v>1785</v>
      </c>
      <c r="F534" s="31" t="s">
        <v>1786</v>
      </c>
      <c r="G534" s="31" t="s">
        <v>20</v>
      </c>
      <c r="H534" s="31" t="s">
        <v>20</v>
      </c>
      <c r="I534" s="31">
        <v>4400.0</v>
      </c>
      <c r="J534" s="31" t="s">
        <v>1930</v>
      </c>
      <c r="K534" s="31" t="s">
        <v>741</v>
      </c>
      <c r="L534" s="31" t="s">
        <v>742</v>
      </c>
      <c r="M534" s="33">
        <v>1.0</v>
      </c>
      <c r="N534" s="31" t="s">
        <v>1788</v>
      </c>
      <c r="O534" s="34"/>
    </row>
    <row r="535">
      <c r="A535" s="65">
        <v>45644.0</v>
      </c>
      <c r="B535" s="66" t="s">
        <v>1931</v>
      </c>
      <c r="C535" s="66">
        <v>8.07025028744E11</v>
      </c>
      <c r="D535" s="66" t="s">
        <v>1932</v>
      </c>
      <c r="E535" s="66" t="s">
        <v>1933</v>
      </c>
      <c r="F535" s="66" t="s">
        <v>1934</v>
      </c>
      <c r="G535" s="66" t="s">
        <v>1935</v>
      </c>
      <c r="H535" s="66" t="s">
        <v>20</v>
      </c>
      <c r="I535" s="66">
        <v>4401.0</v>
      </c>
      <c r="J535" s="66" t="s">
        <v>1936</v>
      </c>
      <c r="K535" s="66" t="s">
        <v>1937</v>
      </c>
      <c r="L535" s="66" t="s">
        <v>1938</v>
      </c>
      <c r="M535" s="67">
        <v>1.0</v>
      </c>
      <c r="N535" s="66" t="s">
        <v>1939</v>
      </c>
      <c r="O535" s="66" t="s">
        <v>1940</v>
      </c>
    </row>
    <row r="536">
      <c r="A536" s="65">
        <v>45644.0</v>
      </c>
      <c r="B536" s="66" t="s">
        <v>1931</v>
      </c>
      <c r="C536" s="66">
        <v>8.07025028744E11</v>
      </c>
      <c r="D536" s="66" t="s">
        <v>1932</v>
      </c>
      <c r="E536" s="66" t="s">
        <v>1933</v>
      </c>
      <c r="F536" s="66" t="s">
        <v>1934</v>
      </c>
      <c r="G536" s="66" t="s">
        <v>1935</v>
      </c>
      <c r="H536" s="66" t="s">
        <v>20</v>
      </c>
      <c r="I536" s="66">
        <v>4401.0</v>
      </c>
      <c r="J536" s="66" t="s">
        <v>1936</v>
      </c>
      <c r="K536" s="66" t="s">
        <v>512</v>
      </c>
      <c r="L536" s="66" t="s">
        <v>513</v>
      </c>
      <c r="M536" s="67">
        <v>12.0</v>
      </c>
      <c r="N536" s="66" t="s">
        <v>1939</v>
      </c>
      <c r="O536" s="66" t="s">
        <v>1940</v>
      </c>
    </row>
    <row r="537">
      <c r="A537" s="65">
        <v>45644.0</v>
      </c>
      <c r="B537" s="66" t="s">
        <v>1931</v>
      </c>
      <c r="C537" s="66">
        <v>8.07025028744E11</v>
      </c>
      <c r="D537" s="66" t="s">
        <v>1932</v>
      </c>
      <c r="E537" s="66" t="s">
        <v>1933</v>
      </c>
      <c r="F537" s="66" t="s">
        <v>1934</v>
      </c>
      <c r="G537" s="66" t="s">
        <v>1935</v>
      </c>
      <c r="H537" s="66" t="s">
        <v>20</v>
      </c>
      <c r="I537" s="66">
        <v>4401.0</v>
      </c>
      <c r="J537" s="66" t="s">
        <v>1936</v>
      </c>
      <c r="K537" s="66" t="s">
        <v>233</v>
      </c>
      <c r="L537" s="66" t="s">
        <v>234</v>
      </c>
      <c r="M537" s="67">
        <v>2.0</v>
      </c>
      <c r="N537" s="66" t="s">
        <v>1939</v>
      </c>
      <c r="O537" s="66" t="s">
        <v>1940</v>
      </c>
    </row>
    <row r="538">
      <c r="A538" s="52">
        <v>45644.0</v>
      </c>
      <c r="B538" s="31" t="s">
        <v>1941</v>
      </c>
      <c r="C538" s="31">
        <v>8.07025028757E11</v>
      </c>
      <c r="D538" s="31" t="s">
        <v>1942</v>
      </c>
      <c r="E538" s="31" t="s">
        <v>1943</v>
      </c>
      <c r="F538" s="31" t="s">
        <v>1944</v>
      </c>
      <c r="G538" s="31" t="s">
        <v>1859</v>
      </c>
      <c r="H538" s="31" t="s">
        <v>20</v>
      </c>
      <c r="I538" s="31">
        <v>4401.0</v>
      </c>
      <c r="J538" s="31" t="s">
        <v>1945</v>
      </c>
      <c r="K538" s="31" t="s">
        <v>495</v>
      </c>
      <c r="L538" s="31" t="s">
        <v>496</v>
      </c>
      <c r="M538" s="33">
        <v>2.0</v>
      </c>
      <c r="N538" s="31" t="s">
        <v>1946</v>
      </c>
      <c r="O538" s="31" t="s">
        <v>1746</v>
      </c>
    </row>
    <row r="539">
      <c r="A539" s="52">
        <v>45644.0</v>
      </c>
      <c r="B539" s="31" t="s">
        <v>1941</v>
      </c>
      <c r="C539" s="31">
        <v>8.07025028757E11</v>
      </c>
      <c r="D539" s="31" t="s">
        <v>1942</v>
      </c>
      <c r="E539" s="31" t="s">
        <v>1943</v>
      </c>
      <c r="F539" s="31" t="s">
        <v>1944</v>
      </c>
      <c r="G539" s="31" t="s">
        <v>1859</v>
      </c>
      <c r="H539" s="31" t="s">
        <v>20</v>
      </c>
      <c r="I539" s="31">
        <v>4401.0</v>
      </c>
      <c r="J539" s="31" t="s">
        <v>1945</v>
      </c>
      <c r="K539" s="31" t="s">
        <v>493</v>
      </c>
      <c r="L539" s="31" t="s">
        <v>494</v>
      </c>
      <c r="M539" s="33">
        <v>1.0</v>
      </c>
      <c r="N539" s="31" t="s">
        <v>1946</v>
      </c>
      <c r="O539" s="31" t="s">
        <v>1746</v>
      </c>
    </row>
    <row r="540">
      <c r="A540" s="65">
        <v>45644.0</v>
      </c>
      <c r="B540" s="66" t="s">
        <v>1947</v>
      </c>
      <c r="C540" s="66">
        <v>8.0702502876E11</v>
      </c>
      <c r="D540" s="66" t="s">
        <v>1948</v>
      </c>
      <c r="E540" s="66" t="s">
        <v>1949</v>
      </c>
      <c r="F540" s="66" t="s">
        <v>1950</v>
      </c>
      <c r="G540" s="66" t="s">
        <v>116</v>
      </c>
      <c r="H540" s="66" t="s">
        <v>20</v>
      </c>
      <c r="I540" s="66">
        <v>4400.0</v>
      </c>
      <c r="J540" s="66" t="s">
        <v>1951</v>
      </c>
      <c r="K540" s="66" t="s">
        <v>176</v>
      </c>
      <c r="L540" s="66" t="s">
        <v>177</v>
      </c>
      <c r="M540" s="67">
        <v>1.0</v>
      </c>
      <c r="N540" s="66" t="s">
        <v>1952</v>
      </c>
      <c r="O540" s="66" t="s">
        <v>1734</v>
      </c>
    </row>
    <row r="541">
      <c r="A541" s="52">
        <v>45644.0</v>
      </c>
      <c r="B541" s="31" t="s">
        <v>1953</v>
      </c>
      <c r="C541" s="31">
        <v>8.07025028771E11</v>
      </c>
      <c r="D541" s="31" t="s">
        <v>1954</v>
      </c>
      <c r="E541" s="31" t="s">
        <v>1955</v>
      </c>
      <c r="F541" s="31" t="s">
        <v>115</v>
      </c>
      <c r="G541" s="31" t="s">
        <v>116</v>
      </c>
      <c r="H541" s="31" t="s">
        <v>20</v>
      </c>
      <c r="I541" s="31">
        <v>4400.0</v>
      </c>
      <c r="J541" s="31" t="s">
        <v>1956</v>
      </c>
      <c r="K541" s="31" t="s">
        <v>867</v>
      </c>
      <c r="L541" s="31" t="s">
        <v>868</v>
      </c>
      <c r="M541" s="33">
        <v>1.0</v>
      </c>
      <c r="N541" s="31" t="s">
        <v>1957</v>
      </c>
      <c r="O541" s="31" t="s">
        <v>1958</v>
      </c>
    </row>
    <row r="542">
      <c r="A542" s="52">
        <v>45644.0</v>
      </c>
      <c r="B542" s="31" t="s">
        <v>1953</v>
      </c>
      <c r="C542" s="31">
        <v>8.07025028771E11</v>
      </c>
      <c r="D542" s="31" t="s">
        <v>1954</v>
      </c>
      <c r="E542" s="31" t="s">
        <v>1955</v>
      </c>
      <c r="F542" s="31" t="s">
        <v>115</v>
      </c>
      <c r="G542" s="31" t="s">
        <v>116</v>
      </c>
      <c r="H542" s="31" t="s">
        <v>20</v>
      </c>
      <c r="I542" s="31">
        <v>4400.0</v>
      </c>
      <c r="J542" s="31" t="s">
        <v>1956</v>
      </c>
      <c r="K542" s="31" t="s">
        <v>1959</v>
      </c>
      <c r="L542" s="31" t="s">
        <v>1960</v>
      </c>
      <c r="M542" s="33">
        <v>1.0</v>
      </c>
      <c r="N542" s="31" t="s">
        <v>1957</v>
      </c>
      <c r="O542" s="31" t="s">
        <v>1958</v>
      </c>
    </row>
    <row r="543">
      <c r="A543" s="65">
        <v>45644.0</v>
      </c>
      <c r="B543" s="66" t="s">
        <v>1961</v>
      </c>
      <c r="C543" s="66">
        <v>8.05011506928E11</v>
      </c>
      <c r="D543" s="66" t="s">
        <v>1962</v>
      </c>
      <c r="E543" s="66" t="s">
        <v>1963</v>
      </c>
      <c r="F543" s="66" t="s">
        <v>1964</v>
      </c>
      <c r="G543" s="66" t="s">
        <v>1965</v>
      </c>
      <c r="H543" s="66" t="s">
        <v>20</v>
      </c>
      <c r="I543" s="66">
        <v>4432.0</v>
      </c>
      <c r="J543" s="66" t="s">
        <v>1966</v>
      </c>
      <c r="K543" s="66" t="s">
        <v>609</v>
      </c>
      <c r="L543" s="66" t="s">
        <v>610</v>
      </c>
      <c r="M543" s="67">
        <v>1.0</v>
      </c>
      <c r="N543" s="66" t="s">
        <v>1967</v>
      </c>
      <c r="O543" s="68"/>
    </row>
    <row r="544">
      <c r="A544" s="65">
        <v>45644.0</v>
      </c>
      <c r="B544" s="66" t="s">
        <v>1961</v>
      </c>
      <c r="C544" s="66">
        <v>8.05011506928E11</v>
      </c>
      <c r="D544" s="66" t="s">
        <v>1962</v>
      </c>
      <c r="E544" s="66" t="s">
        <v>1963</v>
      </c>
      <c r="F544" s="66" t="s">
        <v>1964</v>
      </c>
      <c r="G544" s="66" t="s">
        <v>1965</v>
      </c>
      <c r="H544" s="66" t="s">
        <v>20</v>
      </c>
      <c r="I544" s="66">
        <v>4432.0</v>
      </c>
      <c r="J544" s="66" t="s">
        <v>1966</v>
      </c>
      <c r="K544" s="66" t="s">
        <v>634</v>
      </c>
      <c r="L544" s="66" t="s">
        <v>635</v>
      </c>
      <c r="M544" s="67">
        <v>1.0</v>
      </c>
      <c r="N544" s="66" t="s">
        <v>1967</v>
      </c>
      <c r="O544" s="68"/>
    </row>
    <row r="545">
      <c r="A545" s="52">
        <v>45644.0</v>
      </c>
      <c r="B545" s="31" t="s">
        <v>1968</v>
      </c>
      <c r="C545" s="31">
        <v>8.05011507183E11</v>
      </c>
      <c r="D545" s="31" t="s">
        <v>1969</v>
      </c>
      <c r="E545" s="31" t="s">
        <v>1970</v>
      </c>
      <c r="F545" s="31" t="s">
        <v>1971</v>
      </c>
      <c r="G545" s="31" t="s">
        <v>20</v>
      </c>
      <c r="H545" s="31" t="s">
        <v>20</v>
      </c>
      <c r="I545" s="31">
        <v>4400.0</v>
      </c>
      <c r="J545" s="31" t="s">
        <v>1972</v>
      </c>
      <c r="K545" s="31" t="s">
        <v>88</v>
      </c>
      <c r="L545" s="31" t="s">
        <v>89</v>
      </c>
      <c r="M545" s="33">
        <v>1.0</v>
      </c>
      <c r="N545" s="31" t="s">
        <v>1973</v>
      </c>
      <c r="O545" s="34"/>
    </row>
    <row r="546">
      <c r="A546" s="52">
        <v>45644.0</v>
      </c>
      <c r="B546" s="31" t="s">
        <v>1974</v>
      </c>
      <c r="C546" s="31">
        <v>8.05011507184E11</v>
      </c>
      <c r="D546" s="31" t="s">
        <v>1969</v>
      </c>
      <c r="E546" s="31" t="s">
        <v>1970</v>
      </c>
      <c r="F546" s="31" t="s">
        <v>1971</v>
      </c>
      <c r="G546" s="31" t="s">
        <v>20</v>
      </c>
      <c r="H546" s="31" t="s">
        <v>20</v>
      </c>
      <c r="I546" s="31">
        <v>4400.0</v>
      </c>
      <c r="J546" s="31" t="s">
        <v>1972</v>
      </c>
      <c r="K546" s="31" t="s">
        <v>32</v>
      </c>
      <c r="L546" s="31" t="s">
        <v>33</v>
      </c>
      <c r="M546" s="33">
        <v>1.0</v>
      </c>
      <c r="N546" s="31" t="s">
        <v>1973</v>
      </c>
      <c r="O546" s="34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3"/>
      <c r="N547" s="22"/>
      <c r="O547" s="22"/>
    </row>
    <row r="548">
      <c r="A548" s="65">
        <v>45656.0</v>
      </c>
      <c r="B548" s="66" t="s">
        <v>1975</v>
      </c>
      <c r="C548" s="66">
        <v>8.05011507182E11</v>
      </c>
      <c r="D548" s="66" t="s">
        <v>1976</v>
      </c>
      <c r="E548" s="66" t="s">
        <v>1977</v>
      </c>
      <c r="F548" s="66" t="s">
        <v>1971</v>
      </c>
      <c r="G548" s="66" t="s">
        <v>20</v>
      </c>
      <c r="H548" s="66" t="s">
        <v>20</v>
      </c>
      <c r="I548" s="66">
        <v>4400.0</v>
      </c>
      <c r="J548" s="66" t="s">
        <v>1978</v>
      </c>
      <c r="K548" s="66" t="s">
        <v>32</v>
      </c>
      <c r="L548" s="66" t="s">
        <v>33</v>
      </c>
      <c r="M548" s="67">
        <v>2.0</v>
      </c>
      <c r="N548" s="66" t="s">
        <v>1973</v>
      </c>
      <c r="O548" s="68"/>
    </row>
    <row r="549">
      <c r="A549" s="52">
        <v>45656.0</v>
      </c>
      <c r="B549" s="31" t="s">
        <v>1979</v>
      </c>
      <c r="C549" s="31">
        <v>8.07025028821E11</v>
      </c>
      <c r="D549" s="31" t="s">
        <v>1980</v>
      </c>
      <c r="E549" s="31" t="s">
        <v>1981</v>
      </c>
      <c r="F549" s="31" t="s">
        <v>1982</v>
      </c>
      <c r="G549" s="31" t="s">
        <v>1983</v>
      </c>
      <c r="H549" s="31" t="s">
        <v>20</v>
      </c>
      <c r="I549" s="31">
        <v>4403.0</v>
      </c>
      <c r="J549" s="31" t="s">
        <v>1984</v>
      </c>
      <c r="K549" s="31" t="s">
        <v>88</v>
      </c>
      <c r="L549" s="31" t="s">
        <v>89</v>
      </c>
      <c r="M549" s="33">
        <v>1.0</v>
      </c>
      <c r="N549" s="31" t="s">
        <v>1985</v>
      </c>
      <c r="O549" s="31" t="s">
        <v>1986</v>
      </c>
    </row>
    <row r="550">
      <c r="A550" s="52">
        <v>45656.0</v>
      </c>
      <c r="B550" s="31" t="s">
        <v>1979</v>
      </c>
      <c r="C550" s="31">
        <v>8.07025028821E11</v>
      </c>
      <c r="D550" s="31" t="s">
        <v>1980</v>
      </c>
      <c r="E550" s="31" t="s">
        <v>1981</v>
      </c>
      <c r="F550" s="31" t="s">
        <v>1982</v>
      </c>
      <c r="G550" s="31" t="s">
        <v>1983</v>
      </c>
      <c r="H550" s="31" t="s">
        <v>20</v>
      </c>
      <c r="I550" s="31">
        <v>4403.0</v>
      </c>
      <c r="J550" s="31" t="s">
        <v>1984</v>
      </c>
      <c r="K550" s="31" t="s">
        <v>32</v>
      </c>
      <c r="L550" s="31" t="s">
        <v>33</v>
      </c>
      <c r="M550" s="33">
        <v>1.0</v>
      </c>
      <c r="N550" s="31" t="s">
        <v>1985</v>
      </c>
      <c r="O550" s="31" t="s">
        <v>1986</v>
      </c>
    </row>
    <row r="551">
      <c r="A551" s="65">
        <v>45656.0</v>
      </c>
      <c r="B551" s="66" t="s">
        <v>1987</v>
      </c>
      <c r="C551" s="66">
        <v>8.05011504988E11</v>
      </c>
      <c r="D551" s="66" t="s">
        <v>1988</v>
      </c>
      <c r="E551" s="66" t="s">
        <v>1989</v>
      </c>
      <c r="F551" s="66" t="s">
        <v>1990</v>
      </c>
      <c r="G551" s="66" t="s">
        <v>20</v>
      </c>
      <c r="H551" s="66" t="s">
        <v>20</v>
      </c>
      <c r="I551" s="66" t="s">
        <v>1878</v>
      </c>
      <c r="J551" s="66" t="s">
        <v>1991</v>
      </c>
      <c r="K551" s="66" t="s">
        <v>50</v>
      </c>
      <c r="L551" s="66" t="s">
        <v>51</v>
      </c>
      <c r="M551" s="67">
        <v>1.0</v>
      </c>
      <c r="N551" s="68"/>
      <c r="O551" s="68"/>
    </row>
    <row r="552">
      <c r="A552" s="65">
        <v>45656.0</v>
      </c>
      <c r="B552" s="66" t="s">
        <v>1987</v>
      </c>
      <c r="C552" s="66">
        <v>8.05011504988E11</v>
      </c>
      <c r="D552" s="66" t="s">
        <v>1988</v>
      </c>
      <c r="E552" s="66" t="s">
        <v>1989</v>
      </c>
      <c r="F552" s="66" t="s">
        <v>1990</v>
      </c>
      <c r="G552" s="66" t="s">
        <v>20</v>
      </c>
      <c r="H552" s="66" t="s">
        <v>20</v>
      </c>
      <c r="I552" s="66" t="s">
        <v>1878</v>
      </c>
      <c r="J552" s="66" t="s">
        <v>1991</v>
      </c>
      <c r="K552" s="66" t="s">
        <v>741</v>
      </c>
      <c r="L552" s="66" t="s">
        <v>742</v>
      </c>
      <c r="M552" s="67">
        <v>1.0</v>
      </c>
      <c r="N552" s="68"/>
      <c r="O552" s="68"/>
    </row>
    <row r="553">
      <c r="A553" s="52">
        <v>45656.0</v>
      </c>
      <c r="B553" s="31" t="s">
        <v>1992</v>
      </c>
      <c r="C553" s="31">
        <v>8.05011507663E11</v>
      </c>
      <c r="D553" s="31" t="s">
        <v>1993</v>
      </c>
      <c r="E553" s="31" t="s">
        <v>1994</v>
      </c>
      <c r="F553" s="31" t="s">
        <v>1995</v>
      </c>
      <c r="G553" s="31" t="s">
        <v>20</v>
      </c>
      <c r="H553" s="31" t="s">
        <v>20</v>
      </c>
      <c r="I553" s="31">
        <v>4400.0</v>
      </c>
      <c r="J553" s="31" t="s">
        <v>1996</v>
      </c>
      <c r="K553" s="31" t="s">
        <v>541</v>
      </c>
      <c r="L553" s="31" t="s">
        <v>542</v>
      </c>
      <c r="M553" s="33">
        <v>1.0</v>
      </c>
      <c r="N553" s="31" t="s">
        <v>1997</v>
      </c>
      <c r="O553" s="34"/>
    </row>
    <row r="554">
      <c r="A554" s="65">
        <v>45656.0</v>
      </c>
      <c r="B554" s="66" t="s">
        <v>1998</v>
      </c>
      <c r="C554" s="66">
        <v>8.05011507662E11</v>
      </c>
      <c r="D554" s="66" t="s">
        <v>1993</v>
      </c>
      <c r="E554" s="66" t="s">
        <v>1994</v>
      </c>
      <c r="F554" s="66" t="s">
        <v>1995</v>
      </c>
      <c r="G554" s="66" t="s">
        <v>20</v>
      </c>
      <c r="H554" s="66" t="s">
        <v>20</v>
      </c>
      <c r="I554" s="66">
        <v>4400.0</v>
      </c>
      <c r="J554" s="66" t="s">
        <v>1996</v>
      </c>
      <c r="K554" s="66" t="s">
        <v>1999</v>
      </c>
      <c r="L554" s="66" t="s">
        <v>2000</v>
      </c>
      <c r="M554" s="67">
        <v>1.0</v>
      </c>
      <c r="N554" s="66" t="s">
        <v>1997</v>
      </c>
      <c r="O554" s="68"/>
    </row>
    <row r="555">
      <c r="A555" s="52">
        <v>45656.0</v>
      </c>
      <c r="B555" s="31" t="s">
        <v>2001</v>
      </c>
      <c r="C555" s="31">
        <v>8.0501150766E11</v>
      </c>
      <c r="D555" s="31" t="s">
        <v>2002</v>
      </c>
      <c r="E555" s="31" t="s">
        <v>2003</v>
      </c>
      <c r="F555" s="31" t="s">
        <v>2004</v>
      </c>
      <c r="G555" s="31" t="s">
        <v>104</v>
      </c>
      <c r="H555" s="31" t="s">
        <v>20</v>
      </c>
      <c r="I555" s="31">
        <v>4400.0</v>
      </c>
      <c r="J555" s="31" t="s">
        <v>2005</v>
      </c>
      <c r="K555" s="31" t="s">
        <v>2006</v>
      </c>
      <c r="L555" s="31" t="s">
        <v>2007</v>
      </c>
      <c r="M555" s="33">
        <v>1.0</v>
      </c>
      <c r="N555" s="31" t="s">
        <v>2008</v>
      </c>
      <c r="O555" s="34"/>
    </row>
    <row r="556">
      <c r="A556" s="65">
        <v>45656.0</v>
      </c>
      <c r="B556" s="66" t="s">
        <v>2009</v>
      </c>
      <c r="C556" s="66">
        <v>8.07025028908E11</v>
      </c>
      <c r="D556" s="66" t="s">
        <v>2010</v>
      </c>
      <c r="E556" s="66" t="s">
        <v>2011</v>
      </c>
      <c r="F556" s="66" t="s">
        <v>2012</v>
      </c>
      <c r="G556" s="66" t="s">
        <v>296</v>
      </c>
      <c r="H556" s="66" t="s">
        <v>20</v>
      </c>
      <c r="I556" s="66">
        <v>4400.0</v>
      </c>
      <c r="J556" s="66" t="s">
        <v>2013</v>
      </c>
      <c r="K556" s="66" t="s">
        <v>1766</v>
      </c>
      <c r="L556" s="66" t="s">
        <v>1767</v>
      </c>
      <c r="M556" s="67">
        <v>1.0</v>
      </c>
      <c r="N556" s="66" t="s">
        <v>2014</v>
      </c>
      <c r="O556" s="66" t="s">
        <v>2015</v>
      </c>
    </row>
    <row r="557">
      <c r="A557" s="65">
        <v>45656.0</v>
      </c>
      <c r="B557" s="66" t="s">
        <v>2009</v>
      </c>
      <c r="C557" s="66">
        <v>8.07025028908E11</v>
      </c>
      <c r="D557" s="66" t="s">
        <v>2010</v>
      </c>
      <c r="E557" s="66" t="s">
        <v>2011</v>
      </c>
      <c r="F557" s="66" t="s">
        <v>2012</v>
      </c>
      <c r="G557" s="66" t="s">
        <v>296</v>
      </c>
      <c r="H557" s="66" t="s">
        <v>20</v>
      </c>
      <c r="I557" s="66">
        <v>4400.0</v>
      </c>
      <c r="J557" s="74" t="s">
        <v>2013</v>
      </c>
      <c r="K557" s="66" t="s">
        <v>233</v>
      </c>
      <c r="L557" s="66" t="s">
        <v>234</v>
      </c>
      <c r="M557" s="67">
        <v>2.0</v>
      </c>
      <c r="N557" s="66" t="s">
        <v>2014</v>
      </c>
      <c r="O557" s="66" t="s">
        <v>2015</v>
      </c>
    </row>
    <row r="558">
      <c r="A558" s="52">
        <v>45656.0</v>
      </c>
      <c r="B558" s="31" t="s">
        <v>2016</v>
      </c>
      <c r="C558" s="31">
        <v>8.05011507774E11</v>
      </c>
      <c r="D558" s="31" t="s">
        <v>2017</v>
      </c>
      <c r="E558" s="31" t="s">
        <v>2018</v>
      </c>
      <c r="F558" s="31" t="s">
        <v>2019</v>
      </c>
      <c r="G558" s="31" t="s">
        <v>2020</v>
      </c>
      <c r="H558" s="31" t="s">
        <v>20</v>
      </c>
      <c r="I558" s="31">
        <v>4400.0</v>
      </c>
      <c r="J558" s="31" t="s">
        <v>2021</v>
      </c>
      <c r="K558" s="31" t="s">
        <v>1999</v>
      </c>
      <c r="L558" s="31" t="s">
        <v>2000</v>
      </c>
      <c r="M558" s="33">
        <v>1.0</v>
      </c>
      <c r="N558" s="31" t="s">
        <v>2022</v>
      </c>
      <c r="O558" s="34"/>
    </row>
    <row r="559">
      <c r="A559" s="52">
        <v>45656.0</v>
      </c>
      <c r="B559" s="31" t="s">
        <v>2016</v>
      </c>
      <c r="C559" s="31">
        <v>8.05011507774E11</v>
      </c>
      <c r="D559" s="31" t="s">
        <v>2017</v>
      </c>
      <c r="E559" s="31" t="s">
        <v>2018</v>
      </c>
      <c r="F559" s="31" t="s">
        <v>2019</v>
      </c>
      <c r="G559" s="31" t="s">
        <v>2020</v>
      </c>
      <c r="H559" s="31" t="s">
        <v>20</v>
      </c>
      <c r="I559" s="31">
        <v>4400.0</v>
      </c>
      <c r="J559" s="75" t="s">
        <v>2021</v>
      </c>
      <c r="K559" s="31" t="s">
        <v>88</v>
      </c>
      <c r="L559" s="31" t="s">
        <v>89</v>
      </c>
      <c r="M559" s="33">
        <v>1.0</v>
      </c>
      <c r="N559" s="31" t="s">
        <v>2022</v>
      </c>
      <c r="O559" s="34"/>
    </row>
    <row r="560">
      <c r="A560" s="65">
        <v>45656.0</v>
      </c>
      <c r="B560" s="66" t="s">
        <v>2023</v>
      </c>
      <c r="C560" s="66">
        <v>8.05011507775E11</v>
      </c>
      <c r="D560" s="66" t="s">
        <v>2017</v>
      </c>
      <c r="E560" s="66" t="s">
        <v>2018</v>
      </c>
      <c r="F560" s="66" t="s">
        <v>2019</v>
      </c>
      <c r="G560" s="66" t="s">
        <v>2020</v>
      </c>
      <c r="H560" s="66" t="s">
        <v>20</v>
      </c>
      <c r="I560" s="66">
        <v>4400.0</v>
      </c>
      <c r="J560" s="74" t="s">
        <v>2021</v>
      </c>
      <c r="K560" s="66" t="s">
        <v>634</v>
      </c>
      <c r="L560" s="66" t="s">
        <v>635</v>
      </c>
      <c r="M560" s="67">
        <v>1.0</v>
      </c>
      <c r="N560" s="66" t="s">
        <v>2022</v>
      </c>
      <c r="O560" s="68"/>
    </row>
    <row r="561">
      <c r="A561" s="65">
        <v>45656.0</v>
      </c>
      <c r="B561" s="66" t="s">
        <v>2023</v>
      </c>
      <c r="C561" s="66">
        <v>8.05011507775E11</v>
      </c>
      <c r="D561" s="66" t="s">
        <v>2017</v>
      </c>
      <c r="E561" s="66" t="s">
        <v>2018</v>
      </c>
      <c r="F561" s="66" t="s">
        <v>2019</v>
      </c>
      <c r="G561" s="66" t="s">
        <v>2020</v>
      </c>
      <c r="H561" s="66" t="s">
        <v>20</v>
      </c>
      <c r="I561" s="66">
        <v>4400.0</v>
      </c>
      <c r="J561" s="74" t="s">
        <v>2021</v>
      </c>
      <c r="K561" s="66" t="s">
        <v>541</v>
      </c>
      <c r="L561" s="66" t="s">
        <v>542</v>
      </c>
      <c r="M561" s="67">
        <v>1.0</v>
      </c>
      <c r="N561" s="66" t="s">
        <v>2022</v>
      </c>
      <c r="O561" s="68"/>
    </row>
    <row r="562">
      <c r="A562" s="65">
        <v>45656.0</v>
      </c>
      <c r="B562" s="66" t="s">
        <v>2023</v>
      </c>
      <c r="C562" s="66">
        <v>8.05011507775E11</v>
      </c>
      <c r="D562" s="66" t="s">
        <v>2017</v>
      </c>
      <c r="E562" s="66" t="s">
        <v>2018</v>
      </c>
      <c r="F562" s="66" t="s">
        <v>2019</v>
      </c>
      <c r="G562" s="66" t="s">
        <v>2020</v>
      </c>
      <c r="H562" s="66" t="s">
        <v>20</v>
      </c>
      <c r="I562" s="66">
        <v>4400.0</v>
      </c>
      <c r="J562" s="74" t="s">
        <v>2021</v>
      </c>
      <c r="K562" s="66" t="s">
        <v>32</v>
      </c>
      <c r="L562" s="66" t="s">
        <v>33</v>
      </c>
      <c r="M562" s="67">
        <v>1.0</v>
      </c>
      <c r="N562" s="66" t="s">
        <v>2022</v>
      </c>
      <c r="O562" s="68"/>
    </row>
    <row r="563">
      <c r="A563" s="52">
        <v>45656.0</v>
      </c>
      <c r="B563" s="31" t="s">
        <v>2024</v>
      </c>
      <c r="C563" s="31">
        <v>8.07025028926E11</v>
      </c>
      <c r="D563" s="31" t="s">
        <v>2025</v>
      </c>
      <c r="E563" s="31" t="s">
        <v>2026</v>
      </c>
      <c r="F563" s="31" t="s">
        <v>2027</v>
      </c>
      <c r="G563" s="31" t="s">
        <v>116</v>
      </c>
      <c r="H563" s="31" t="s">
        <v>20</v>
      </c>
      <c r="I563" s="31">
        <v>4400.0</v>
      </c>
      <c r="J563" s="75" t="s">
        <v>2028</v>
      </c>
      <c r="K563" s="31" t="s">
        <v>81</v>
      </c>
      <c r="L563" s="31" t="s">
        <v>82</v>
      </c>
      <c r="M563" s="33">
        <v>1.0</v>
      </c>
      <c r="N563" s="31" t="s">
        <v>2029</v>
      </c>
      <c r="O563" s="31" t="s">
        <v>2030</v>
      </c>
    </row>
    <row r="564">
      <c r="A564" s="52">
        <v>45656.0</v>
      </c>
      <c r="B564" s="31" t="s">
        <v>2024</v>
      </c>
      <c r="C564" s="31">
        <v>8.07025028926E11</v>
      </c>
      <c r="D564" s="31" t="s">
        <v>2025</v>
      </c>
      <c r="E564" s="31" t="s">
        <v>2026</v>
      </c>
      <c r="F564" s="31" t="s">
        <v>2027</v>
      </c>
      <c r="G564" s="31" t="s">
        <v>116</v>
      </c>
      <c r="H564" s="31" t="s">
        <v>20</v>
      </c>
      <c r="I564" s="31">
        <v>4400.0</v>
      </c>
      <c r="J564" s="75" t="s">
        <v>2028</v>
      </c>
      <c r="K564" s="31" t="s">
        <v>502</v>
      </c>
      <c r="L564" s="31" t="s">
        <v>503</v>
      </c>
      <c r="M564" s="33">
        <v>1.0</v>
      </c>
      <c r="N564" s="31" t="s">
        <v>2029</v>
      </c>
      <c r="O564" s="31" t="s">
        <v>2030</v>
      </c>
    </row>
    <row r="565">
      <c r="A565" s="52">
        <v>45656.0</v>
      </c>
      <c r="B565" s="31" t="s">
        <v>2024</v>
      </c>
      <c r="C565" s="31">
        <v>8.07025028926E11</v>
      </c>
      <c r="D565" s="31" t="s">
        <v>2025</v>
      </c>
      <c r="E565" s="31" t="s">
        <v>2026</v>
      </c>
      <c r="F565" s="31" t="s">
        <v>2027</v>
      </c>
      <c r="G565" s="31" t="s">
        <v>116</v>
      </c>
      <c r="H565" s="31" t="s">
        <v>20</v>
      </c>
      <c r="I565" s="31">
        <v>4400.0</v>
      </c>
      <c r="J565" s="75" t="s">
        <v>2028</v>
      </c>
      <c r="K565" s="31" t="s">
        <v>1040</v>
      </c>
      <c r="L565" s="31" t="s">
        <v>1041</v>
      </c>
      <c r="M565" s="33">
        <v>1.0</v>
      </c>
      <c r="N565" s="31" t="s">
        <v>2029</v>
      </c>
      <c r="O565" s="31" t="s">
        <v>2030</v>
      </c>
    </row>
    <row r="566">
      <c r="A566" s="52">
        <v>45656.0</v>
      </c>
      <c r="B566" s="31" t="s">
        <v>2024</v>
      </c>
      <c r="C566" s="31">
        <v>8.07025028926E11</v>
      </c>
      <c r="D566" s="31" t="s">
        <v>2025</v>
      </c>
      <c r="E566" s="31" t="s">
        <v>2026</v>
      </c>
      <c r="F566" s="31" t="s">
        <v>2027</v>
      </c>
      <c r="G566" s="31" t="s">
        <v>116</v>
      </c>
      <c r="H566" s="31" t="s">
        <v>20</v>
      </c>
      <c r="I566" s="31">
        <v>4400.0</v>
      </c>
      <c r="J566" s="75" t="s">
        <v>2028</v>
      </c>
      <c r="K566" s="31" t="s">
        <v>512</v>
      </c>
      <c r="L566" s="31" t="s">
        <v>513</v>
      </c>
      <c r="M566" s="33">
        <v>6.0</v>
      </c>
      <c r="N566" s="31" t="s">
        <v>2029</v>
      </c>
      <c r="O566" s="31" t="s">
        <v>2030</v>
      </c>
    </row>
    <row r="567">
      <c r="A567" s="52">
        <v>45656.0</v>
      </c>
      <c r="B567" s="31" t="s">
        <v>2024</v>
      </c>
      <c r="C567" s="31">
        <v>8.07025028926E11</v>
      </c>
      <c r="D567" s="31" t="s">
        <v>2025</v>
      </c>
      <c r="E567" s="31" t="s">
        <v>2026</v>
      </c>
      <c r="F567" s="31" t="s">
        <v>2027</v>
      </c>
      <c r="G567" s="31" t="s">
        <v>116</v>
      </c>
      <c r="H567" s="31" t="s">
        <v>20</v>
      </c>
      <c r="I567" s="31">
        <v>4400.0</v>
      </c>
      <c r="J567" s="75" t="s">
        <v>2028</v>
      </c>
      <c r="K567" s="31" t="s">
        <v>2031</v>
      </c>
      <c r="L567" s="31" t="s">
        <v>2032</v>
      </c>
      <c r="M567" s="33">
        <v>1.0</v>
      </c>
      <c r="N567" s="31" t="s">
        <v>2029</v>
      </c>
      <c r="O567" s="31" t="s">
        <v>2030</v>
      </c>
    </row>
    <row r="568">
      <c r="A568" s="65">
        <v>45656.0</v>
      </c>
      <c r="B568" s="66" t="s">
        <v>2033</v>
      </c>
      <c r="C568" s="66">
        <v>8.07025028928E11</v>
      </c>
      <c r="D568" s="66" t="s">
        <v>2034</v>
      </c>
      <c r="E568" s="66" t="s">
        <v>2035</v>
      </c>
      <c r="F568" s="66" t="s">
        <v>2036</v>
      </c>
      <c r="G568" s="66" t="s">
        <v>1859</v>
      </c>
      <c r="H568" s="66" t="s">
        <v>20</v>
      </c>
      <c r="I568" s="66">
        <v>4403.0</v>
      </c>
      <c r="J568" s="74" t="s">
        <v>2037</v>
      </c>
      <c r="K568" s="66" t="s">
        <v>495</v>
      </c>
      <c r="L568" s="66" t="s">
        <v>496</v>
      </c>
      <c r="M568" s="67">
        <v>2.0</v>
      </c>
      <c r="N568" s="66" t="s">
        <v>2038</v>
      </c>
      <c r="O568" s="66" t="s">
        <v>2039</v>
      </c>
    </row>
    <row r="569">
      <c r="A569" s="65">
        <v>45656.0</v>
      </c>
      <c r="B569" s="66" t="s">
        <v>2033</v>
      </c>
      <c r="C569" s="66">
        <v>8.07025028928E11</v>
      </c>
      <c r="D569" s="66" t="s">
        <v>2034</v>
      </c>
      <c r="E569" s="66" t="s">
        <v>2035</v>
      </c>
      <c r="F569" s="66" t="s">
        <v>2036</v>
      </c>
      <c r="G569" s="66" t="s">
        <v>1859</v>
      </c>
      <c r="H569" s="66" t="s">
        <v>20</v>
      </c>
      <c r="I569" s="66">
        <v>4403.0</v>
      </c>
      <c r="J569" s="74" t="s">
        <v>2037</v>
      </c>
      <c r="K569" s="66" t="s">
        <v>761</v>
      </c>
      <c r="L569" s="66" t="s">
        <v>762</v>
      </c>
      <c r="M569" s="67">
        <v>1.0</v>
      </c>
      <c r="N569" s="66" t="s">
        <v>2038</v>
      </c>
      <c r="O569" s="66" t="s">
        <v>2039</v>
      </c>
    </row>
    <row r="570">
      <c r="A570" s="52">
        <v>45656.0</v>
      </c>
      <c r="B570" s="31" t="s">
        <v>2040</v>
      </c>
      <c r="C570" s="31">
        <v>8.07025028949E11</v>
      </c>
      <c r="D570" s="31" t="s">
        <v>2041</v>
      </c>
      <c r="E570" s="31" t="s">
        <v>2042</v>
      </c>
      <c r="F570" s="31" t="s">
        <v>115</v>
      </c>
      <c r="G570" s="31" t="s">
        <v>116</v>
      </c>
      <c r="H570" s="31" t="s">
        <v>20</v>
      </c>
      <c r="I570" s="31">
        <v>4400.0</v>
      </c>
      <c r="J570" s="75" t="s">
        <v>2043</v>
      </c>
      <c r="K570" s="31" t="s">
        <v>606</v>
      </c>
      <c r="L570" s="31" t="s">
        <v>607</v>
      </c>
      <c r="M570" s="33">
        <v>1.0</v>
      </c>
      <c r="N570" s="31" t="s">
        <v>2044</v>
      </c>
      <c r="O570" s="31" t="s">
        <v>2045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76"/>
      <c r="K571" s="22"/>
      <c r="L571" s="22"/>
      <c r="M571" s="23"/>
      <c r="N571" s="22"/>
      <c r="O571" s="22"/>
    </row>
    <row r="572">
      <c r="A572" s="70">
        <v>45665.0</v>
      </c>
      <c r="B572" s="66" t="s">
        <v>2046</v>
      </c>
      <c r="C572" s="66">
        <v>8.05011507592E11</v>
      </c>
      <c r="D572" s="66" t="s">
        <v>2047</v>
      </c>
      <c r="E572" s="66" t="s">
        <v>2048</v>
      </c>
      <c r="F572" s="66" t="s">
        <v>2049</v>
      </c>
      <c r="G572" s="66" t="s">
        <v>2050</v>
      </c>
      <c r="H572" s="66" t="s">
        <v>20</v>
      </c>
      <c r="I572" s="66">
        <v>4400.0</v>
      </c>
      <c r="J572" s="74" t="s">
        <v>2051</v>
      </c>
      <c r="K572" s="66" t="s">
        <v>360</v>
      </c>
      <c r="L572" s="66" t="s">
        <v>361</v>
      </c>
      <c r="M572" s="67">
        <v>1.0</v>
      </c>
      <c r="N572" s="66" t="s">
        <v>2052</v>
      </c>
      <c r="O572" s="66" t="s">
        <v>2053</v>
      </c>
    </row>
    <row r="573">
      <c r="A573" s="70">
        <v>45665.0</v>
      </c>
      <c r="B573" s="66" t="s">
        <v>2046</v>
      </c>
      <c r="C573" s="66">
        <v>8.05011507592E11</v>
      </c>
      <c r="D573" s="66" t="s">
        <v>2047</v>
      </c>
      <c r="E573" s="66" t="s">
        <v>2048</v>
      </c>
      <c r="F573" s="66" t="s">
        <v>2049</v>
      </c>
      <c r="G573" s="66" t="s">
        <v>2050</v>
      </c>
      <c r="H573" s="66" t="s">
        <v>20</v>
      </c>
      <c r="I573" s="66">
        <v>4400.0</v>
      </c>
      <c r="J573" s="74" t="s">
        <v>2051</v>
      </c>
      <c r="K573" s="66">
        <v>87604.0</v>
      </c>
      <c r="L573" s="66" t="s">
        <v>480</v>
      </c>
      <c r="M573" s="67">
        <v>1.0</v>
      </c>
      <c r="N573" s="66" t="s">
        <v>2052</v>
      </c>
      <c r="O573" s="66" t="s">
        <v>2053</v>
      </c>
    </row>
    <row r="574">
      <c r="A574" s="43">
        <v>45665.0</v>
      </c>
      <c r="B574" s="31" t="s">
        <v>2054</v>
      </c>
      <c r="C574" s="31">
        <v>8.07025028969E11</v>
      </c>
      <c r="D574" s="31" t="s">
        <v>2055</v>
      </c>
      <c r="E574" s="31" t="s">
        <v>2056</v>
      </c>
      <c r="F574" s="31" t="s">
        <v>2057</v>
      </c>
      <c r="G574" s="31" t="s">
        <v>2058</v>
      </c>
      <c r="H574" s="31" t="s">
        <v>20</v>
      </c>
      <c r="I574" s="31">
        <v>4430.0</v>
      </c>
      <c r="J574" s="75" t="s">
        <v>2059</v>
      </c>
      <c r="K574" s="31" t="s">
        <v>2060</v>
      </c>
      <c r="L574" s="31" t="s">
        <v>2061</v>
      </c>
      <c r="M574" s="33">
        <v>1.0</v>
      </c>
      <c r="N574" s="31" t="s">
        <v>2062</v>
      </c>
      <c r="O574" s="31" t="s">
        <v>2063</v>
      </c>
    </row>
    <row r="575">
      <c r="A575" s="70">
        <v>45665.0</v>
      </c>
      <c r="B575" s="66" t="s">
        <v>2064</v>
      </c>
      <c r="C575" s="66">
        <v>8.05011508068E11</v>
      </c>
      <c r="D575" s="66" t="s">
        <v>2065</v>
      </c>
      <c r="E575" s="66" t="s">
        <v>2066</v>
      </c>
      <c r="F575" s="66" t="s">
        <v>2067</v>
      </c>
      <c r="G575" s="66" t="s">
        <v>2068</v>
      </c>
      <c r="H575" s="66" t="s">
        <v>20</v>
      </c>
      <c r="I575" s="66">
        <v>4001.0</v>
      </c>
      <c r="J575" s="74" t="s">
        <v>2069</v>
      </c>
      <c r="K575" s="66" t="s">
        <v>262</v>
      </c>
      <c r="L575" s="66" t="s">
        <v>263</v>
      </c>
      <c r="M575" s="67">
        <v>1.0</v>
      </c>
      <c r="N575" s="66" t="s">
        <v>2070</v>
      </c>
      <c r="O575" s="66">
        <v>1.0</v>
      </c>
    </row>
    <row r="576">
      <c r="A576" s="70">
        <v>45665.0</v>
      </c>
      <c r="B576" s="66" t="s">
        <v>2064</v>
      </c>
      <c r="C576" s="66">
        <v>8.05011508068E11</v>
      </c>
      <c r="D576" s="66" t="s">
        <v>2065</v>
      </c>
      <c r="E576" s="66" t="s">
        <v>2066</v>
      </c>
      <c r="F576" s="66" t="s">
        <v>2067</v>
      </c>
      <c r="G576" s="66" t="s">
        <v>2068</v>
      </c>
      <c r="H576" s="66" t="s">
        <v>20</v>
      </c>
      <c r="I576" s="66">
        <v>4001.0</v>
      </c>
      <c r="J576" s="74" t="s">
        <v>2069</v>
      </c>
      <c r="K576" s="66" t="s">
        <v>512</v>
      </c>
      <c r="L576" s="66" t="s">
        <v>513</v>
      </c>
      <c r="M576" s="67">
        <v>12.0</v>
      </c>
      <c r="N576" s="66" t="s">
        <v>2070</v>
      </c>
      <c r="O576" s="66">
        <v>1.0</v>
      </c>
    </row>
    <row r="577">
      <c r="A577" s="70">
        <v>45665.0</v>
      </c>
      <c r="B577" s="66" t="s">
        <v>2064</v>
      </c>
      <c r="C577" s="66">
        <v>8.05011508068E11</v>
      </c>
      <c r="D577" s="66" t="s">
        <v>2065</v>
      </c>
      <c r="E577" s="66" t="s">
        <v>2066</v>
      </c>
      <c r="F577" s="66" t="s">
        <v>2067</v>
      </c>
      <c r="G577" s="66" t="s">
        <v>2068</v>
      </c>
      <c r="H577" s="66" t="s">
        <v>20</v>
      </c>
      <c r="I577" s="66">
        <v>4001.0</v>
      </c>
      <c r="J577" s="74" t="s">
        <v>2069</v>
      </c>
      <c r="K577" s="66" t="s">
        <v>645</v>
      </c>
      <c r="L577" s="66" t="s">
        <v>646</v>
      </c>
      <c r="M577" s="67">
        <v>2.0</v>
      </c>
      <c r="N577" s="66" t="s">
        <v>2070</v>
      </c>
      <c r="O577" s="66">
        <v>1.0</v>
      </c>
    </row>
    <row r="578">
      <c r="A578" s="43">
        <v>45665.0</v>
      </c>
      <c r="B578" s="31" t="s">
        <v>2071</v>
      </c>
      <c r="C578" s="31">
        <v>8.07025029007E11</v>
      </c>
      <c r="D578" s="31" t="s">
        <v>2072</v>
      </c>
      <c r="E578" s="31" t="s">
        <v>2073</v>
      </c>
      <c r="F578" s="31" t="s">
        <v>2074</v>
      </c>
      <c r="G578" s="31" t="s">
        <v>127</v>
      </c>
      <c r="H578" s="31" t="s">
        <v>20</v>
      </c>
      <c r="I578" s="31">
        <v>4400.0</v>
      </c>
      <c r="J578" s="75" t="s">
        <v>2075</v>
      </c>
      <c r="K578" s="31" t="s">
        <v>2076</v>
      </c>
      <c r="L578" s="31" t="s">
        <v>2077</v>
      </c>
      <c r="M578" s="33">
        <v>1.0</v>
      </c>
      <c r="N578" s="31" t="s">
        <v>2078</v>
      </c>
      <c r="O578" s="31" t="s">
        <v>2079</v>
      </c>
    </row>
    <row r="579">
      <c r="A579" s="43">
        <v>45665.0</v>
      </c>
      <c r="B579" s="31" t="s">
        <v>2071</v>
      </c>
      <c r="C579" s="31">
        <v>8.07025029007E11</v>
      </c>
      <c r="D579" s="31" t="s">
        <v>2072</v>
      </c>
      <c r="E579" s="31" t="s">
        <v>2073</v>
      </c>
      <c r="F579" s="31" t="s">
        <v>2074</v>
      </c>
      <c r="G579" s="31" t="s">
        <v>127</v>
      </c>
      <c r="H579" s="31" t="s">
        <v>20</v>
      </c>
      <c r="I579" s="31">
        <v>4400.0</v>
      </c>
      <c r="J579" s="75" t="s">
        <v>2075</v>
      </c>
      <c r="K579" s="31" t="s">
        <v>110</v>
      </c>
      <c r="L579" s="31" t="s">
        <v>111</v>
      </c>
      <c r="M579" s="33">
        <v>1.0</v>
      </c>
      <c r="N579" s="31" t="s">
        <v>2078</v>
      </c>
      <c r="O579" s="31" t="s">
        <v>2079</v>
      </c>
    </row>
    <row r="580">
      <c r="A580" s="70">
        <v>45665.0</v>
      </c>
      <c r="B580" s="66" t="s">
        <v>2080</v>
      </c>
      <c r="C580" s="66">
        <v>8.05011508192E11</v>
      </c>
      <c r="D580" s="66" t="s">
        <v>2081</v>
      </c>
      <c r="E580" s="66" t="s">
        <v>2082</v>
      </c>
      <c r="F580" s="66" t="s">
        <v>2083</v>
      </c>
      <c r="G580" s="66" t="s">
        <v>20</v>
      </c>
      <c r="H580" s="66" t="s">
        <v>20</v>
      </c>
      <c r="I580" s="66">
        <v>4407.0</v>
      </c>
      <c r="J580" s="66" t="s">
        <v>2084</v>
      </c>
      <c r="K580" s="66" t="s">
        <v>617</v>
      </c>
      <c r="L580" s="66" t="s">
        <v>618</v>
      </c>
      <c r="M580" s="67">
        <v>1.0</v>
      </c>
      <c r="N580" s="66" t="s">
        <v>2085</v>
      </c>
      <c r="O580" s="66" t="s">
        <v>2086</v>
      </c>
    </row>
    <row r="581">
      <c r="A581" s="70">
        <v>45665.0</v>
      </c>
      <c r="B581" s="66" t="s">
        <v>2080</v>
      </c>
      <c r="C581" s="66">
        <v>8.05011508192E11</v>
      </c>
      <c r="D581" s="66" t="s">
        <v>2081</v>
      </c>
      <c r="E581" s="66" t="s">
        <v>2082</v>
      </c>
      <c r="F581" s="66" t="s">
        <v>2083</v>
      </c>
      <c r="G581" s="66" t="s">
        <v>20</v>
      </c>
      <c r="H581" s="66" t="s">
        <v>20</v>
      </c>
      <c r="I581" s="66">
        <v>4407.0</v>
      </c>
      <c r="J581" s="66" t="s">
        <v>2084</v>
      </c>
      <c r="K581" s="66" t="s">
        <v>512</v>
      </c>
      <c r="L581" s="66" t="s">
        <v>513</v>
      </c>
      <c r="M581" s="67">
        <v>12.0</v>
      </c>
      <c r="N581" s="66" t="s">
        <v>2085</v>
      </c>
      <c r="O581" s="66" t="s">
        <v>2086</v>
      </c>
    </row>
    <row r="582">
      <c r="A582" s="70">
        <v>45665.0</v>
      </c>
      <c r="B582" s="66" t="s">
        <v>2080</v>
      </c>
      <c r="C582" s="66">
        <v>8.05011508192E11</v>
      </c>
      <c r="D582" s="66" t="s">
        <v>2081</v>
      </c>
      <c r="E582" s="66" t="s">
        <v>2082</v>
      </c>
      <c r="F582" s="66" t="s">
        <v>2083</v>
      </c>
      <c r="G582" s="66" t="s">
        <v>20</v>
      </c>
      <c r="H582" s="66" t="s">
        <v>20</v>
      </c>
      <c r="I582" s="66">
        <v>4407.0</v>
      </c>
      <c r="J582" s="74" t="s">
        <v>2084</v>
      </c>
      <c r="K582" s="66" t="s">
        <v>645</v>
      </c>
      <c r="L582" s="66" t="s">
        <v>646</v>
      </c>
      <c r="M582" s="67">
        <v>2.0</v>
      </c>
      <c r="N582" s="66" t="s">
        <v>2085</v>
      </c>
      <c r="O582" s="66" t="s">
        <v>2086</v>
      </c>
    </row>
    <row r="583">
      <c r="A583" s="43">
        <v>45665.0</v>
      </c>
      <c r="B583" s="31" t="s">
        <v>2087</v>
      </c>
      <c r="C583" s="31">
        <v>8.05011508195E11</v>
      </c>
      <c r="D583" s="31" t="s">
        <v>2088</v>
      </c>
      <c r="E583" s="31" t="s">
        <v>2089</v>
      </c>
      <c r="F583" s="31" t="s">
        <v>2090</v>
      </c>
      <c r="G583" s="31" t="s">
        <v>20</v>
      </c>
      <c r="H583" s="31" t="s">
        <v>20</v>
      </c>
      <c r="I583" s="31">
        <v>4400.0</v>
      </c>
      <c r="J583" s="75" t="s">
        <v>2091</v>
      </c>
      <c r="K583" s="31" t="s">
        <v>1025</v>
      </c>
      <c r="L583" s="31" t="s">
        <v>1026</v>
      </c>
      <c r="M583" s="33">
        <v>1.0</v>
      </c>
      <c r="N583" s="31" t="s">
        <v>2092</v>
      </c>
      <c r="O583" s="34"/>
    </row>
    <row r="584">
      <c r="A584" s="70">
        <v>45665.0</v>
      </c>
      <c r="B584" s="66" t="s">
        <v>2093</v>
      </c>
      <c r="C584" s="66">
        <v>8.07025028939E11</v>
      </c>
      <c r="D584" s="66" t="s">
        <v>2094</v>
      </c>
      <c r="E584" s="66" t="s">
        <v>2095</v>
      </c>
      <c r="F584" s="66" t="s">
        <v>2096</v>
      </c>
      <c r="G584" s="66" t="s">
        <v>116</v>
      </c>
      <c r="H584" s="66" t="s">
        <v>20</v>
      </c>
      <c r="I584" s="66">
        <v>4400.0</v>
      </c>
      <c r="J584" s="74" t="s">
        <v>2097</v>
      </c>
      <c r="K584" s="66" t="s">
        <v>2098</v>
      </c>
      <c r="L584" s="66" t="s">
        <v>2099</v>
      </c>
      <c r="M584" s="67">
        <v>1.0</v>
      </c>
      <c r="N584" s="66" t="s">
        <v>2100</v>
      </c>
      <c r="O584" s="66" t="s">
        <v>2101</v>
      </c>
    </row>
    <row r="585">
      <c r="A585" s="70">
        <v>45665.0</v>
      </c>
      <c r="B585" s="66" t="s">
        <v>2093</v>
      </c>
      <c r="C585" s="66">
        <v>8.07025028939E11</v>
      </c>
      <c r="D585" s="66" t="s">
        <v>2094</v>
      </c>
      <c r="E585" s="66" t="s">
        <v>2095</v>
      </c>
      <c r="F585" s="66" t="s">
        <v>2096</v>
      </c>
      <c r="G585" s="66" t="s">
        <v>116</v>
      </c>
      <c r="H585" s="66" t="s">
        <v>20</v>
      </c>
      <c r="I585" s="66">
        <v>4400.0</v>
      </c>
      <c r="J585" s="74" t="s">
        <v>2097</v>
      </c>
      <c r="K585" s="66" t="s">
        <v>659</v>
      </c>
      <c r="L585" s="66" t="s">
        <v>660</v>
      </c>
      <c r="M585" s="67">
        <v>1.0</v>
      </c>
      <c r="N585" s="66" t="s">
        <v>2100</v>
      </c>
      <c r="O585" s="66" t="s">
        <v>2101</v>
      </c>
    </row>
    <row r="586">
      <c r="A586" s="43">
        <v>45665.0</v>
      </c>
      <c r="B586" s="31" t="s">
        <v>2102</v>
      </c>
      <c r="C586" s="31">
        <v>8.07025028948E11</v>
      </c>
      <c r="D586" s="31" t="s">
        <v>2041</v>
      </c>
      <c r="E586" s="31" t="s">
        <v>2042</v>
      </c>
      <c r="F586" s="31" t="s">
        <v>115</v>
      </c>
      <c r="G586" s="31" t="s">
        <v>116</v>
      </c>
      <c r="H586" s="31" t="s">
        <v>20</v>
      </c>
      <c r="I586" s="31">
        <v>4400.0</v>
      </c>
      <c r="J586" s="75" t="s">
        <v>2043</v>
      </c>
      <c r="K586" s="31" t="s">
        <v>606</v>
      </c>
      <c r="L586" s="31" t="s">
        <v>607</v>
      </c>
      <c r="M586" s="33">
        <v>2.0</v>
      </c>
      <c r="N586" s="31" t="s">
        <v>2044</v>
      </c>
      <c r="O586" s="31" t="s">
        <v>2045</v>
      </c>
    </row>
    <row r="587">
      <c r="A587" s="70">
        <v>45665.0</v>
      </c>
      <c r="B587" s="66" t="s">
        <v>2103</v>
      </c>
      <c r="C587" s="66">
        <v>8.05011508612E11</v>
      </c>
      <c r="D587" s="66" t="s">
        <v>2104</v>
      </c>
      <c r="E587" s="66" t="s">
        <v>2105</v>
      </c>
      <c r="F587" s="66" t="s">
        <v>2106</v>
      </c>
      <c r="G587" s="66" t="s">
        <v>20</v>
      </c>
      <c r="H587" s="66" t="s">
        <v>20</v>
      </c>
      <c r="I587" s="66">
        <v>4400.0</v>
      </c>
      <c r="J587" s="74" t="s">
        <v>2107</v>
      </c>
      <c r="K587" s="66" t="s">
        <v>541</v>
      </c>
      <c r="L587" s="66" t="s">
        <v>542</v>
      </c>
      <c r="M587" s="67">
        <v>1.0</v>
      </c>
      <c r="N587" s="66" t="s">
        <v>2108</v>
      </c>
      <c r="O587" s="68"/>
    </row>
    <row r="588">
      <c r="A588" s="43">
        <v>45665.0</v>
      </c>
      <c r="B588" s="31" t="s">
        <v>2109</v>
      </c>
      <c r="C588" s="31">
        <v>8.05011508609E11</v>
      </c>
      <c r="D588" s="31" t="s">
        <v>2110</v>
      </c>
      <c r="E588" s="31" t="s">
        <v>2111</v>
      </c>
      <c r="F588" s="31" t="s">
        <v>2112</v>
      </c>
      <c r="G588" s="31" t="s">
        <v>20</v>
      </c>
      <c r="H588" s="31" t="s">
        <v>20</v>
      </c>
      <c r="I588" s="31">
        <v>4400.0</v>
      </c>
      <c r="J588" s="75" t="s">
        <v>2113</v>
      </c>
      <c r="K588" s="31" t="s">
        <v>541</v>
      </c>
      <c r="L588" s="31" t="s">
        <v>542</v>
      </c>
      <c r="M588" s="33">
        <v>1.0</v>
      </c>
      <c r="N588" s="31" t="s">
        <v>2114</v>
      </c>
      <c r="O588" s="34"/>
    </row>
    <row r="589">
      <c r="A589" s="70">
        <v>45665.0</v>
      </c>
      <c r="B589" s="66" t="s">
        <v>2115</v>
      </c>
      <c r="C589" s="66">
        <v>8.07025029056E11</v>
      </c>
      <c r="D589" s="66" t="s">
        <v>2116</v>
      </c>
      <c r="E589" s="66" t="s">
        <v>2117</v>
      </c>
      <c r="F589" s="66" t="s">
        <v>2118</v>
      </c>
      <c r="G589" s="66" t="s">
        <v>127</v>
      </c>
      <c r="H589" s="66" t="s">
        <v>20</v>
      </c>
      <c r="I589" s="66">
        <v>4400.0</v>
      </c>
      <c r="J589" s="74" t="s">
        <v>2119</v>
      </c>
      <c r="K589" s="66" t="s">
        <v>659</v>
      </c>
      <c r="L589" s="66" t="s">
        <v>660</v>
      </c>
      <c r="M589" s="67">
        <v>1.0</v>
      </c>
      <c r="N589" s="66" t="s">
        <v>2120</v>
      </c>
      <c r="O589" s="66" t="s">
        <v>2121</v>
      </c>
    </row>
    <row r="590">
      <c r="A590" s="43">
        <v>45665.0</v>
      </c>
      <c r="B590" s="31" t="s">
        <v>2122</v>
      </c>
      <c r="C590" s="31">
        <v>8.07025029063E11</v>
      </c>
      <c r="D590" s="31" t="s">
        <v>2123</v>
      </c>
      <c r="E590" s="31" t="s">
        <v>2124</v>
      </c>
      <c r="F590" s="31" t="s">
        <v>2125</v>
      </c>
      <c r="G590" s="31" t="s">
        <v>127</v>
      </c>
      <c r="H590" s="31" t="s">
        <v>20</v>
      </c>
      <c r="I590" s="31">
        <v>4400.0</v>
      </c>
      <c r="J590" s="31" t="s">
        <v>2126</v>
      </c>
      <c r="K590" s="31" t="s">
        <v>2076</v>
      </c>
      <c r="L590" s="31" t="s">
        <v>2077</v>
      </c>
      <c r="M590" s="33">
        <v>1.0</v>
      </c>
      <c r="N590" s="31" t="s">
        <v>2127</v>
      </c>
      <c r="O590" s="31" t="s">
        <v>2128</v>
      </c>
    </row>
    <row r="591">
      <c r="A591" s="43">
        <v>45665.0</v>
      </c>
      <c r="B591" s="31" t="s">
        <v>2122</v>
      </c>
      <c r="C591" s="31">
        <v>8.07025029063E11</v>
      </c>
      <c r="D591" s="31" t="s">
        <v>2123</v>
      </c>
      <c r="E591" s="31" t="s">
        <v>2124</v>
      </c>
      <c r="F591" s="31" t="s">
        <v>2125</v>
      </c>
      <c r="G591" s="31" t="s">
        <v>127</v>
      </c>
      <c r="H591" s="31" t="s">
        <v>20</v>
      </c>
      <c r="I591" s="31">
        <v>4400.0</v>
      </c>
      <c r="J591" s="75" t="s">
        <v>2126</v>
      </c>
      <c r="K591" s="31" t="s">
        <v>110</v>
      </c>
      <c r="L591" s="31" t="s">
        <v>111</v>
      </c>
      <c r="M591" s="33">
        <v>1.0</v>
      </c>
      <c r="N591" s="31" t="s">
        <v>2127</v>
      </c>
      <c r="O591" s="31" t="s">
        <v>2128</v>
      </c>
    </row>
    <row r="592">
      <c r="A592" s="70">
        <v>45665.0</v>
      </c>
      <c r="B592" s="66" t="s">
        <v>2129</v>
      </c>
      <c r="C592" s="66">
        <v>8.0501150869E11</v>
      </c>
      <c r="D592" s="66" t="s">
        <v>2130</v>
      </c>
      <c r="E592" s="66" t="s">
        <v>2131</v>
      </c>
      <c r="F592" s="66" t="s">
        <v>2132</v>
      </c>
      <c r="G592" s="66" t="s">
        <v>2133</v>
      </c>
      <c r="H592" s="66" t="s">
        <v>20</v>
      </c>
      <c r="I592" s="66">
        <v>4427.0</v>
      </c>
      <c r="J592" s="74" t="s">
        <v>2134</v>
      </c>
      <c r="K592" s="66" t="s">
        <v>2135</v>
      </c>
      <c r="L592" s="66" t="s">
        <v>2136</v>
      </c>
      <c r="M592" s="67">
        <v>1.0</v>
      </c>
      <c r="N592" s="66" t="s">
        <v>2137</v>
      </c>
      <c r="O592" s="66" t="s">
        <v>2138</v>
      </c>
    </row>
    <row r="593">
      <c r="A593" s="43">
        <v>45665.0</v>
      </c>
      <c r="B593" s="31" t="s">
        <v>2139</v>
      </c>
      <c r="C593" s="31">
        <v>8.05011508691E11</v>
      </c>
      <c r="D593" s="31" t="s">
        <v>2130</v>
      </c>
      <c r="E593" s="31" t="s">
        <v>2131</v>
      </c>
      <c r="F593" s="31" t="s">
        <v>2132</v>
      </c>
      <c r="G593" s="31" t="s">
        <v>2133</v>
      </c>
      <c r="H593" s="31" t="s">
        <v>20</v>
      </c>
      <c r="I593" s="31">
        <v>4427.0</v>
      </c>
      <c r="J593" s="75" t="s">
        <v>2134</v>
      </c>
      <c r="K593" s="31" t="s">
        <v>2140</v>
      </c>
      <c r="L593" s="31" t="s">
        <v>2141</v>
      </c>
      <c r="M593" s="33">
        <v>1.0</v>
      </c>
      <c r="N593" s="31" t="s">
        <v>2137</v>
      </c>
      <c r="O593" s="31" t="s">
        <v>2138</v>
      </c>
    </row>
    <row r="594">
      <c r="A594" s="70">
        <v>45665.0</v>
      </c>
      <c r="B594" s="66" t="s">
        <v>2142</v>
      </c>
      <c r="C594" s="66">
        <v>8.05011508698E11</v>
      </c>
      <c r="D594" s="66" t="s">
        <v>2143</v>
      </c>
      <c r="E594" s="66" t="s">
        <v>2144</v>
      </c>
      <c r="F594" s="66" t="s">
        <v>2145</v>
      </c>
      <c r="G594" s="66" t="s">
        <v>20</v>
      </c>
      <c r="H594" s="66" t="s">
        <v>20</v>
      </c>
      <c r="I594" s="66">
        <v>4400.0</v>
      </c>
      <c r="J594" s="74" t="s">
        <v>2146</v>
      </c>
      <c r="K594" s="66" t="s">
        <v>1075</v>
      </c>
      <c r="L594" s="66" t="s">
        <v>1076</v>
      </c>
      <c r="M594" s="67">
        <v>1.0</v>
      </c>
      <c r="N594" s="66" t="s">
        <v>2147</v>
      </c>
      <c r="O594" s="68"/>
    </row>
    <row r="595">
      <c r="A595" s="70">
        <v>45665.0</v>
      </c>
      <c r="B595" s="66" t="s">
        <v>2142</v>
      </c>
      <c r="C595" s="66">
        <v>8.05011508698E11</v>
      </c>
      <c r="D595" s="66" t="s">
        <v>2143</v>
      </c>
      <c r="E595" s="66" t="s">
        <v>2144</v>
      </c>
      <c r="F595" s="66" t="s">
        <v>2145</v>
      </c>
      <c r="G595" s="66" t="s">
        <v>20</v>
      </c>
      <c r="H595" s="66" t="s">
        <v>20</v>
      </c>
      <c r="I595" s="66">
        <v>4400.0</v>
      </c>
      <c r="J595" s="74" t="s">
        <v>2146</v>
      </c>
      <c r="K595" s="66" t="s">
        <v>512</v>
      </c>
      <c r="L595" s="66" t="s">
        <v>513</v>
      </c>
      <c r="M595" s="67">
        <v>12.0</v>
      </c>
      <c r="N595" s="66" t="s">
        <v>2147</v>
      </c>
      <c r="O595" s="68"/>
    </row>
    <row r="596">
      <c r="A596" s="70">
        <v>45665.0</v>
      </c>
      <c r="B596" s="66" t="s">
        <v>2142</v>
      </c>
      <c r="C596" s="66">
        <v>8.05011508698E11</v>
      </c>
      <c r="D596" s="66" t="s">
        <v>2143</v>
      </c>
      <c r="E596" s="66" t="s">
        <v>2144</v>
      </c>
      <c r="F596" s="66" t="s">
        <v>2145</v>
      </c>
      <c r="G596" s="66" t="s">
        <v>20</v>
      </c>
      <c r="H596" s="66" t="s">
        <v>20</v>
      </c>
      <c r="I596" s="66">
        <v>4400.0</v>
      </c>
      <c r="J596" s="66" t="s">
        <v>2146</v>
      </c>
      <c r="K596" s="66" t="s">
        <v>381</v>
      </c>
      <c r="L596" s="66" t="s">
        <v>382</v>
      </c>
      <c r="M596" s="67">
        <v>2.0</v>
      </c>
      <c r="N596" s="66" t="s">
        <v>2147</v>
      </c>
      <c r="O596" s="68"/>
    </row>
    <row r="597">
      <c r="A597" s="43">
        <v>45665.0</v>
      </c>
      <c r="B597" s="31" t="s">
        <v>2148</v>
      </c>
      <c r="C597" s="31">
        <v>8.05011508661E11</v>
      </c>
      <c r="D597" s="31" t="s">
        <v>2149</v>
      </c>
      <c r="E597" s="31" t="s">
        <v>2150</v>
      </c>
      <c r="F597" s="31" t="s">
        <v>2151</v>
      </c>
      <c r="G597" s="31" t="s">
        <v>127</v>
      </c>
      <c r="H597" s="31" t="s">
        <v>20</v>
      </c>
      <c r="I597" s="31">
        <v>4400.0</v>
      </c>
      <c r="J597" s="75" t="s">
        <v>2152</v>
      </c>
      <c r="K597" s="31" t="s">
        <v>289</v>
      </c>
      <c r="L597" s="31" t="s">
        <v>290</v>
      </c>
      <c r="M597" s="33">
        <v>1.0</v>
      </c>
      <c r="N597" s="31" t="s">
        <v>2153</v>
      </c>
      <c r="O597" s="31" t="s">
        <v>261</v>
      </c>
    </row>
    <row r="598">
      <c r="A598" s="43">
        <v>45665.0</v>
      </c>
      <c r="B598" s="31" t="s">
        <v>2148</v>
      </c>
      <c r="C598" s="31">
        <v>8.05011508661E11</v>
      </c>
      <c r="D598" s="31" t="s">
        <v>2149</v>
      </c>
      <c r="E598" s="31" t="s">
        <v>2150</v>
      </c>
      <c r="F598" s="31" t="s">
        <v>2151</v>
      </c>
      <c r="G598" s="31" t="s">
        <v>127</v>
      </c>
      <c r="H598" s="31" t="s">
        <v>20</v>
      </c>
      <c r="I598" s="31">
        <v>4400.0</v>
      </c>
      <c r="J598" s="75" t="s">
        <v>2152</v>
      </c>
      <c r="K598" s="31" t="s">
        <v>627</v>
      </c>
      <c r="L598" s="31" t="s">
        <v>628</v>
      </c>
      <c r="M598" s="33">
        <v>1.0</v>
      </c>
      <c r="N598" s="31" t="s">
        <v>2153</v>
      </c>
      <c r="O598" s="31" t="s">
        <v>261</v>
      </c>
    </row>
    <row r="599">
      <c r="A599" s="70">
        <v>45665.0</v>
      </c>
      <c r="B599" s="77" t="s">
        <v>2154</v>
      </c>
      <c r="C599" s="77">
        <v>8.05011509006E11</v>
      </c>
      <c r="D599" s="77" t="s">
        <v>2155</v>
      </c>
      <c r="E599" s="77" t="s">
        <v>2156</v>
      </c>
      <c r="F599" s="77" t="s">
        <v>2157</v>
      </c>
      <c r="G599" s="66" t="s">
        <v>20</v>
      </c>
      <c r="H599" s="66" t="s">
        <v>20</v>
      </c>
      <c r="I599" s="66">
        <v>4400.0</v>
      </c>
      <c r="J599" s="78">
        <v>3.875751834E9</v>
      </c>
      <c r="K599" s="66" t="s">
        <v>741</v>
      </c>
      <c r="L599" s="66" t="s">
        <v>742</v>
      </c>
      <c r="M599" s="67">
        <v>1.0</v>
      </c>
      <c r="N599" s="77" t="s">
        <v>2158</v>
      </c>
      <c r="O599" s="79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76"/>
      <c r="K600" s="22"/>
      <c r="L600" s="22"/>
      <c r="M600" s="23"/>
      <c r="N600" s="22"/>
      <c r="O600" s="22"/>
    </row>
    <row r="601">
      <c r="A601" s="70">
        <v>45672.0</v>
      </c>
      <c r="B601" s="66" t="s">
        <v>2159</v>
      </c>
      <c r="C601" s="66">
        <v>8.07025029138E11</v>
      </c>
      <c r="D601" s="66" t="s">
        <v>2160</v>
      </c>
      <c r="E601" s="66" t="s">
        <v>2161</v>
      </c>
      <c r="F601" s="66" t="s">
        <v>2162</v>
      </c>
      <c r="G601" s="66" t="s">
        <v>127</v>
      </c>
      <c r="H601" s="66" t="s">
        <v>20</v>
      </c>
      <c r="I601" s="66">
        <v>4400.0</v>
      </c>
      <c r="J601" s="74" t="s">
        <v>2163</v>
      </c>
      <c r="K601" s="66" t="s">
        <v>1337</v>
      </c>
      <c r="L601" s="66" t="s">
        <v>1338</v>
      </c>
      <c r="M601" s="67">
        <v>1.0</v>
      </c>
      <c r="N601" s="66" t="s">
        <v>2164</v>
      </c>
      <c r="O601" s="68"/>
    </row>
    <row r="602">
      <c r="A602" s="43"/>
      <c r="B602" s="34"/>
      <c r="C602" s="34"/>
      <c r="D602" s="34"/>
      <c r="E602" s="34"/>
      <c r="F602" s="34"/>
      <c r="G602" s="34"/>
      <c r="H602" s="34"/>
      <c r="I602" s="34"/>
      <c r="J602" s="75"/>
      <c r="K602" s="34"/>
      <c r="L602" s="34"/>
      <c r="M602" s="80"/>
      <c r="N602" s="34"/>
      <c r="O602" s="34"/>
    </row>
    <row r="603">
      <c r="A603" s="43">
        <v>45672.0</v>
      </c>
      <c r="B603" s="31" t="s">
        <v>2165</v>
      </c>
      <c r="C603" s="31">
        <v>8.07025029154E11</v>
      </c>
      <c r="D603" s="31" t="s">
        <v>2166</v>
      </c>
      <c r="E603" s="31" t="s">
        <v>2167</v>
      </c>
      <c r="F603" s="31" t="s">
        <v>2168</v>
      </c>
      <c r="G603" s="31" t="s">
        <v>2169</v>
      </c>
      <c r="H603" s="31" t="s">
        <v>20</v>
      </c>
      <c r="I603" s="31">
        <v>4608.0</v>
      </c>
      <c r="J603" s="75" t="s">
        <v>2170</v>
      </c>
      <c r="K603" s="31" t="s">
        <v>2171</v>
      </c>
      <c r="L603" s="31" t="s">
        <v>2172</v>
      </c>
      <c r="M603" s="33">
        <v>10.0</v>
      </c>
      <c r="N603" s="31" t="s">
        <v>2014</v>
      </c>
      <c r="O603" s="34"/>
    </row>
    <row r="604">
      <c r="A604" s="70">
        <v>45672.0</v>
      </c>
      <c r="B604" s="66" t="s">
        <v>2173</v>
      </c>
      <c r="C604" s="66">
        <v>8.05011509219E11</v>
      </c>
      <c r="D604" s="66" t="s">
        <v>2174</v>
      </c>
      <c r="E604" s="66" t="s">
        <v>2175</v>
      </c>
      <c r="F604" s="66" t="s">
        <v>2176</v>
      </c>
      <c r="G604" s="66" t="s">
        <v>2177</v>
      </c>
      <c r="H604" s="66" t="s">
        <v>20</v>
      </c>
      <c r="I604" s="66">
        <v>4430.0</v>
      </c>
      <c r="J604" s="74" t="s">
        <v>2178</v>
      </c>
      <c r="K604" s="66" t="s">
        <v>617</v>
      </c>
      <c r="L604" s="66" t="s">
        <v>618</v>
      </c>
      <c r="M604" s="67">
        <v>1.0</v>
      </c>
      <c r="N604" s="66" t="s">
        <v>2179</v>
      </c>
      <c r="O604" s="68"/>
    </row>
    <row r="605">
      <c r="A605" s="43">
        <v>45672.0</v>
      </c>
      <c r="B605" s="31" t="s">
        <v>2180</v>
      </c>
      <c r="C605" s="31">
        <v>8.07025029172E11</v>
      </c>
      <c r="D605" s="31" t="s">
        <v>2181</v>
      </c>
      <c r="E605" s="31" t="s">
        <v>2182</v>
      </c>
      <c r="F605" s="31" t="s">
        <v>2183</v>
      </c>
      <c r="G605" s="31" t="s">
        <v>116</v>
      </c>
      <c r="H605" s="31" t="s">
        <v>20</v>
      </c>
      <c r="I605" s="31">
        <v>4400.0</v>
      </c>
      <c r="J605" s="75" t="s">
        <v>2184</v>
      </c>
      <c r="K605" s="31" t="s">
        <v>2185</v>
      </c>
      <c r="L605" s="31" t="s">
        <v>2186</v>
      </c>
      <c r="M605" s="33">
        <v>1.0</v>
      </c>
      <c r="N605" s="31" t="s">
        <v>2187</v>
      </c>
      <c r="O605" s="34"/>
    </row>
    <row r="606">
      <c r="A606" s="43">
        <v>45672.0</v>
      </c>
      <c r="B606" s="31" t="s">
        <v>2180</v>
      </c>
      <c r="C606" s="31">
        <v>8.07025029172E11</v>
      </c>
      <c r="D606" s="31" t="s">
        <v>2181</v>
      </c>
      <c r="E606" s="31" t="s">
        <v>2182</v>
      </c>
      <c r="F606" s="31" t="s">
        <v>2183</v>
      </c>
      <c r="G606" s="31" t="s">
        <v>116</v>
      </c>
      <c r="H606" s="31" t="s">
        <v>20</v>
      </c>
      <c r="I606" s="31">
        <v>4400.0</v>
      </c>
      <c r="J606" s="75" t="s">
        <v>2184</v>
      </c>
      <c r="K606" s="31" t="s">
        <v>512</v>
      </c>
      <c r="L606" s="31" t="s">
        <v>513</v>
      </c>
      <c r="M606" s="33">
        <v>12.0</v>
      </c>
      <c r="N606" s="31" t="s">
        <v>2187</v>
      </c>
      <c r="O606" s="34"/>
    </row>
    <row r="607">
      <c r="A607" s="43">
        <v>45672.0</v>
      </c>
      <c r="B607" s="31" t="s">
        <v>2180</v>
      </c>
      <c r="C607" s="31">
        <v>8.07025029172E11</v>
      </c>
      <c r="D607" s="31" t="s">
        <v>2181</v>
      </c>
      <c r="E607" s="31" t="s">
        <v>2182</v>
      </c>
      <c r="F607" s="31" t="s">
        <v>2183</v>
      </c>
      <c r="G607" s="31" t="s">
        <v>116</v>
      </c>
      <c r="H607" s="31" t="s">
        <v>20</v>
      </c>
      <c r="I607" s="31">
        <v>4400.0</v>
      </c>
      <c r="J607" s="75" t="s">
        <v>2184</v>
      </c>
      <c r="K607" s="31" t="s">
        <v>149</v>
      </c>
      <c r="L607" s="31" t="s">
        <v>150</v>
      </c>
      <c r="M607" s="33">
        <v>2.0</v>
      </c>
      <c r="N607" s="31" t="s">
        <v>2187</v>
      </c>
      <c r="O607" s="34"/>
    </row>
    <row r="608">
      <c r="A608" s="70">
        <v>45672.0</v>
      </c>
      <c r="B608" s="66" t="s">
        <v>2188</v>
      </c>
      <c r="C608" s="66">
        <v>8.07025029189E11</v>
      </c>
      <c r="D608" s="66" t="s">
        <v>2189</v>
      </c>
      <c r="E608" s="66" t="s">
        <v>2190</v>
      </c>
      <c r="F608" s="66" t="s">
        <v>2191</v>
      </c>
      <c r="G608" s="66" t="s">
        <v>116</v>
      </c>
      <c r="H608" s="66" t="s">
        <v>20</v>
      </c>
      <c r="I608" s="66">
        <v>4400.0</v>
      </c>
      <c r="J608" s="74" t="s">
        <v>2192</v>
      </c>
      <c r="K608" s="66" t="s">
        <v>2185</v>
      </c>
      <c r="L608" s="66" t="s">
        <v>2186</v>
      </c>
      <c r="M608" s="67">
        <v>1.0</v>
      </c>
      <c r="N608" s="66" t="s">
        <v>2193</v>
      </c>
      <c r="O608" s="68"/>
    </row>
    <row r="609">
      <c r="A609" s="70">
        <v>45672.0</v>
      </c>
      <c r="B609" s="66" t="s">
        <v>2188</v>
      </c>
      <c r="C609" s="66">
        <v>8.07025029189E11</v>
      </c>
      <c r="D609" s="66" t="s">
        <v>2189</v>
      </c>
      <c r="E609" s="66" t="s">
        <v>2190</v>
      </c>
      <c r="F609" s="66" t="s">
        <v>2191</v>
      </c>
      <c r="G609" s="66" t="s">
        <v>116</v>
      </c>
      <c r="H609" s="66" t="s">
        <v>20</v>
      </c>
      <c r="I609" s="66">
        <v>4400.0</v>
      </c>
      <c r="J609" s="74" t="s">
        <v>2192</v>
      </c>
      <c r="K609" s="66" t="s">
        <v>512</v>
      </c>
      <c r="L609" s="66" t="s">
        <v>513</v>
      </c>
      <c r="M609" s="67">
        <v>12.0</v>
      </c>
      <c r="N609" s="66" t="s">
        <v>2193</v>
      </c>
      <c r="O609" s="68"/>
    </row>
    <row r="610">
      <c r="A610" s="70">
        <v>45672.0</v>
      </c>
      <c r="B610" s="66" t="s">
        <v>2188</v>
      </c>
      <c r="C610" s="66">
        <v>8.07025029189E11</v>
      </c>
      <c r="D610" s="66" t="s">
        <v>2189</v>
      </c>
      <c r="E610" s="66" t="s">
        <v>2190</v>
      </c>
      <c r="F610" s="66" t="s">
        <v>2191</v>
      </c>
      <c r="G610" s="66" t="s">
        <v>116</v>
      </c>
      <c r="H610" s="66" t="s">
        <v>20</v>
      </c>
      <c r="I610" s="66">
        <v>4400.0</v>
      </c>
      <c r="J610" s="74" t="s">
        <v>2192</v>
      </c>
      <c r="K610" s="66" t="s">
        <v>149</v>
      </c>
      <c r="L610" s="66" t="s">
        <v>150</v>
      </c>
      <c r="M610" s="67">
        <v>2.0</v>
      </c>
      <c r="N610" s="66" t="s">
        <v>2193</v>
      </c>
      <c r="O610" s="68"/>
    </row>
    <row r="611">
      <c r="A611" s="43"/>
      <c r="B611" s="34"/>
      <c r="C611" s="34"/>
      <c r="D611" s="34"/>
      <c r="E611" s="34"/>
      <c r="F611" s="34"/>
      <c r="G611" s="34"/>
      <c r="H611" s="34"/>
      <c r="I611" s="34"/>
      <c r="J611" s="75"/>
      <c r="K611" s="34"/>
      <c r="L611" s="34"/>
      <c r="M611" s="80"/>
      <c r="N611" s="34"/>
      <c r="O611" s="34"/>
    </row>
    <row r="612">
      <c r="A612" s="43">
        <v>45672.0</v>
      </c>
      <c r="B612" s="31" t="s">
        <v>2194</v>
      </c>
      <c r="C612" s="31">
        <v>8.05011509412E11</v>
      </c>
      <c r="D612" s="31" t="s">
        <v>2195</v>
      </c>
      <c r="E612" s="31" t="s">
        <v>2196</v>
      </c>
      <c r="F612" s="31" t="s">
        <v>2197</v>
      </c>
      <c r="G612" s="31" t="s">
        <v>1017</v>
      </c>
      <c r="H612" s="31" t="s">
        <v>20</v>
      </c>
      <c r="I612" s="31">
        <v>4562.0</v>
      </c>
      <c r="J612" s="75" t="s">
        <v>2198</v>
      </c>
      <c r="K612" s="31" t="s">
        <v>32</v>
      </c>
      <c r="L612" s="31" t="s">
        <v>33</v>
      </c>
      <c r="M612" s="33">
        <v>1.0</v>
      </c>
      <c r="N612" s="34"/>
      <c r="O612" s="34"/>
    </row>
    <row r="613">
      <c r="A613" s="43">
        <v>45672.0</v>
      </c>
      <c r="B613" s="31" t="s">
        <v>2194</v>
      </c>
      <c r="C613" s="31">
        <v>8.05011509412E11</v>
      </c>
      <c r="D613" s="31" t="s">
        <v>2195</v>
      </c>
      <c r="E613" s="31" t="s">
        <v>2196</v>
      </c>
      <c r="F613" s="31" t="s">
        <v>2197</v>
      </c>
      <c r="G613" s="31" t="s">
        <v>1017</v>
      </c>
      <c r="H613" s="31" t="s">
        <v>20</v>
      </c>
      <c r="I613" s="31">
        <v>4562.0</v>
      </c>
      <c r="J613" s="75" t="s">
        <v>2198</v>
      </c>
      <c r="K613" s="31" t="s">
        <v>512</v>
      </c>
      <c r="L613" s="31" t="s">
        <v>513</v>
      </c>
      <c r="M613" s="33">
        <v>6.0</v>
      </c>
      <c r="N613" s="34"/>
      <c r="O613" s="34"/>
    </row>
    <row r="614">
      <c r="A614" s="43">
        <v>45672.0</v>
      </c>
      <c r="B614" s="31" t="s">
        <v>2194</v>
      </c>
      <c r="C614" s="31">
        <v>8.05011509412E11</v>
      </c>
      <c r="D614" s="31" t="s">
        <v>2195</v>
      </c>
      <c r="E614" s="31" t="s">
        <v>2196</v>
      </c>
      <c r="F614" s="31" t="s">
        <v>2197</v>
      </c>
      <c r="G614" s="31" t="s">
        <v>1017</v>
      </c>
      <c r="H614" s="31" t="s">
        <v>20</v>
      </c>
      <c r="I614" s="31">
        <v>4562.0</v>
      </c>
      <c r="J614" s="75" t="s">
        <v>2198</v>
      </c>
      <c r="K614" s="31" t="s">
        <v>35</v>
      </c>
      <c r="L614" s="31" t="s">
        <v>36</v>
      </c>
      <c r="M614" s="33">
        <v>1.0</v>
      </c>
      <c r="N614" s="34"/>
      <c r="O614" s="34"/>
    </row>
    <row r="615">
      <c r="A615" s="70">
        <v>45672.0</v>
      </c>
      <c r="B615" s="66" t="s">
        <v>2199</v>
      </c>
      <c r="C615" s="66">
        <v>8.05011509928E11</v>
      </c>
      <c r="D615" s="66" t="s">
        <v>2200</v>
      </c>
      <c r="E615" s="66" t="s">
        <v>2201</v>
      </c>
      <c r="F615" s="66" t="s">
        <v>2202</v>
      </c>
      <c r="G615" s="66" t="s">
        <v>20</v>
      </c>
      <c r="H615" s="66" t="s">
        <v>20</v>
      </c>
      <c r="I615" s="66">
        <v>4400.0</v>
      </c>
      <c r="J615" s="74" t="s">
        <v>2203</v>
      </c>
      <c r="K615" s="66" t="s">
        <v>184</v>
      </c>
      <c r="L615" s="32" t="s">
        <v>185</v>
      </c>
      <c r="M615" s="67">
        <v>1.0</v>
      </c>
      <c r="N615" s="66" t="s">
        <v>2204</v>
      </c>
      <c r="O615" s="68"/>
    </row>
    <row r="616">
      <c r="A616" s="70">
        <v>45672.0</v>
      </c>
      <c r="B616" s="66" t="s">
        <v>2205</v>
      </c>
      <c r="C616" s="66">
        <v>8.05011509678E11</v>
      </c>
      <c r="D616" s="66" t="s">
        <v>2200</v>
      </c>
      <c r="E616" s="66" t="s">
        <v>2201</v>
      </c>
      <c r="F616" s="66" t="s">
        <v>2202</v>
      </c>
      <c r="G616" s="66" t="s">
        <v>20</v>
      </c>
      <c r="H616" s="66" t="s">
        <v>20</v>
      </c>
      <c r="I616" s="66">
        <v>4400.0</v>
      </c>
      <c r="J616" s="74" t="s">
        <v>2203</v>
      </c>
      <c r="K616" s="66" t="s">
        <v>627</v>
      </c>
      <c r="L616" s="66" t="s">
        <v>628</v>
      </c>
      <c r="M616" s="67">
        <v>1.0</v>
      </c>
      <c r="N616" s="66" t="s">
        <v>2204</v>
      </c>
      <c r="O616" s="68"/>
    </row>
    <row r="617">
      <c r="A617" s="43">
        <v>45672.0</v>
      </c>
      <c r="B617" s="31" t="s">
        <v>2206</v>
      </c>
      <c r="C617" s="31">
        <v>8.07025029233E11</v>
      </c>
      <c r="D617" s="31" t="s">
        <v>2207</v>
      </c>
      <c r="E617" s="31" t="s">
        <v>2208</v>
      </c>
      <c r="F617" s="31" t="s">
        <v>2209</v>
      </c>
      <c r="G617" s="31" t="s">
        <v>116</v>
      </c>
      <c r="H617" s="31" t="s">
        <v>20</v>
      </c>
      <c r="I617" s="31">
        <v>4400.0</v>
      </c>
      <c r="J617" s="75" t="s">
        <v>2210</v>
      </c>
      <c r="K617" s="31" t="s">
        <v>2211</v>
      </c>
      <c r="L617" s="31" t="s">
        <v>2212</v>
      </c>
      <c r="M617" s="33">
        <v>1.0</v>
      </c>
      <c r="N617" s="31" t="s">
        <v>2213</v>
      </c>
      <c r="O617" s="31" t="s">
        <v>2214</v>
      </c>
    </row>
    <row r="618">
      <c r="A618" s="43">
        <v>45672.0</v>
      </c>
      <c r="B618" s="31" t="s">
        <v>2206</v>
      </c>
      <c r="C618" s="31">
        <v>8.07025029233E11</v>
      </c>
      <c r="D618" s="31" t="s">
        <v>2207</v>
      </c>
      <c r="E618" s="31" t="s">
        <v>2208</v>
      </c>
      <c r="F618" s="31" t="s">
        <v>2209</v>
      </c>
      <c r="G618" s="31" t="s">
        <v>116</v>
      </c>
      <c r="H618" s="31" t="s">
        <v>20</v>
      </c>
      <c r="I618" s="31">
        <v>4400.0</v>
      </c>
      <c r="J618" s="75" t="s">
        <v>2210</v>
      </c>
      <c r="K618" s="31" t="s">
        <v>871</v>
      </c>
      <c r="L618" s="31" t="s">
        <v>872</v>
      </c>
      <c r="M618" s="33">
        <v>1.0</v>
      </c>
      <c r="N618" s="31" t="s">
        <v>2213</v>
      </c>
      <c r="O618" s="31" t="s">
        <v>2214</v>
      </c>
    </row>
    <row r="619">
      <c r="A619" s="70">
        <v>45672.0</v>
      </c>
      <c r="B619" s="66" t="s">
        <v>2215</v>
      </c>
      <c r="C619" s="66">
        <v>8.05011509539E11</v>
      </c>
      <c r="D619" s="66" t="s">
        <v>2216</v>
      </c>
      <c r="E619" s="66" t="s">
        <v>2217</v>
      </c>
      <c r="F619" s="66" t="s">
        <v>2218</v>
      </c>
      <c r="G619" s="66" t="s">
        <v>750</v>
      </c>
      <c r="H619" s="66" t="s">
        <v>20</v>
      </c>
      <c r="I619" s="66">
        <v>4566.0</v>
      </c>
      <c r="J619" s="74" t="s">
        <v>2219</v>
      </c>
      <c r="K619" s="66" t="s">
        <v>744</v>
      </c>
      <c r="L619" s="66" t="s">
        <v>745</v>
      </c>
      <c r="M619" s="67">
        <v>1.0</v>
      </c>
      <c r="N619" s="68"/>
      <c r="O619" s="66" t="s">
        <v>2220</v>
      </c>
    </row>
    <row r="620">
      <c r="A620" s="70">
        <v>45672.0</v>
      </c>
      <c r="B620" s="66" t="s">
        <v>2215</v>
      </c>
      <c r="C620" s="66">
        <v>8.05011509539E11</v>
      </c>
      <c r="D620" s="66" t="s">
        <v>2216</v>
      </c>
      <c r="E620" s="66" t="s">
        <v>2217</v>
      </c>
      <c r="F620" s="66" t="s">
        <v>2218</v>
      </c>
      <c r="G620" s="66" t="s">
        <v>750</v>
      </c>
      <c r="H620" s="66" t="s">
        <v>20</v>
      </c>
      <c r="I620" s="66">
        <v>4566.0</v>
      </c>
      <c r="J620" s="66" t="s">
        <v>2219</v>
      </c>
      <c r="K620" s="66" t="s">
        <v>741</v>
      </c>
      <c r="L620" s="66" t="s">
        <v>742</v>
      </c>
      <c r="M620" s="67">
        <v>1.0</v>
      </c>
      <c r="N620" s="68"/>
      <c r="O620" s="66" t="s">
        <v>2220</v>
      </c>
    </row>
    <row r="621">
      <c r="A621" s="43">
        <v>45672.0</v>
      </c>
      <c r="B621" s="31" t="s">
        <v>2221</v>
      </c>
      <c r="C621" s="31">
        <v>8.05011509798E11</v>
      </c>
      <c r="D621" s="31" t="s">
        <v>2222</v>
      </c>
      <c r="E621" s="31" t="s">
        <v>2223</v>
      </c>
      <c r="F621" s="31" t="s">
        <v>2224</v>
      </c>
      <c r="G621" s="31" t="s">
        <v>20</v>
      </c>
      <c r="H621" s="31" t="s">
        <v>20</v>
      </c>
      <c r="I621" s="31">
        <v>4400.0</v>
      </c>
      <c r="J621" s="31" t="s">
        <v>2225</v>
      </c>
      <c r="K621" s="31" t="s">
        <v>741</v>
      </c>
      <c r="L621" s="31" t="s">
        <v>742</v>
      </c>
      <c r="M621" s="33">
        <v>1.0</v>
      </c>
      <c r="N621" s="31" t="s">
        <v>2226</v>
      </c>
      <c r="O621" s="31" t="s">
        <v>2227</v>
      </c>
    </row>
    <row r="622">
      <c r="A622" s="43">
        <v>45672.0</v>
      </c>
      <c r="B622" s="31" t="s">
        <v>2221</v>
      </c>
      <c r="C622" s="31">
        <v>8.05011509798E11</v>
      </c>
      <c r="D622" s="31" t="s">
        <v>2222</v>
      </c>
      <c r="E622" s="31" t="s">
        <v>2223</v>
      </c>
      <c r="F622" s="31" t="s">
        <v>2224</v>
      </c>
      <c r="G622" s="31" t="s">
        <v>20</v>
      </c>
      <c r="H622" s="31" t="s">
        <v>20</v>
      </c>
      <c r="I622" s="31">
        <v>4400.0</v>
      </c>
      <c r="J622" s="75" t="s">
        <v>2225</v>
      </c>
      <c r="K622" s="31" t="s">
        <v>744</v>
      </c>
      <c r="L622" s="31" t="s">
        <v>745</v>
      </c>
      <c r="M622" s="33">
        <v>1.0</v>
      </c>
      <c r="N622" s="31" t="s">
        <v>2226</v>
      </c>
      <c r="O622" s="31" t="s">
        <v>2227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76"/>
      <c r="K623" s="22"/>
      <c r="L623" s="22"/>
      <c r="M623" s="23"/>
      <c r="N623" s="22"/>
      <c r="O623" s="22"/>
    </row>
    <row r="624">
      <c r="A624" s="70">
        <v>45679.0</v>
      </c>
      <c r="B624" s="66" t="s">
        <v>2228</v>
      </c>
      <c r="C624" s="66">
        <v>8.07025029277E11</v>
      </c>
      <c r="D624" s="66" t="s">
        <v>2229</v>
      </c>
      <c r="E624" s="66" t="s">
        <v>2230</v>
      </c>
      <c r="F624" s="66" t="s">
        <v>115</v>
      </c>
      <c r="G624" s="66" t="s">
        <v>127</v>
      </c>
      <c r="H624" s="66" t="s">
        <v>20</v>
      </c>
      <c r="I624" s="66">
        <v>4400.0</v>
      </c>
      <c r="J624" s="74" t="s">
        <v>2231</v>
      </c>
      <c r="K624" s="66" t="s">
        <v>1937</v>
      </c>
      <c r="L624" s="66" t="s">
        <v>1938</v>
      </c>
      <c r="M624" s="67">
        <v>1.0</v>
      </c>
      <c r="N624" s="66" t="s">
        <v>2232</v>
      </c>
      <c r="O624" s="66" t="s">
        <v>301</v>
      </c>
    </row>
    <row r="625">
      <c r="A625" s="70">
        <v>45679.0</v>
      </c>
      <c r="B625" s="66" t="s">
        <v>2228</v>
      </c>
      <c r="C625" s="66">
        <v>8.07025029277E11</v>
      </c>
      <c r="D625" s="66" t="s">
        <v>2229</v>
      </c>
      <c r="E625" s="66" t="s">
        <v>2230</v>
      </c>
      <c r="F625" s="66" t="s">
        <v>115</v>
      </c>
      <c r="G625" s="66" t="s">
        <v>127</v>
      </c>
      <c r="H625" s="66" t="s">
        <v>20</v>
      </c>
      <c r="I625" s="66">
        <v>4400.0</v>
      </c>
      <c r="J625" s="74" t="s">
        <v>2231</v>
      </c>
      <c r="K625" s="66" t="s">
        <v>233</v>
      </c>
      <c r="L625" s="66" t="s">
        <v>234</v>
      </c>
      <c r="M625" s="67">
        <v>2.0</v>
      </c>
      <c r="N625" s="66" t="s">
        <v>2232</v>
      </c>
      <c r="O625" s="66" t="s">
        <v>301</v>
      </c>
    </row>
    <row r="626">
      <c r="A626" s="70">
        <v>45679.0</v>
      </c>
      <c r="B626" s="66" t="s">
        <v>2228</v>
      </c>
      <c r="C626" s="66">
        <v>8.07025029277E11</v>
      </c>
      <c r="D626" s="66" t="s">
        <v>2229</v>
      </c>
      <c r="E626" s="66" t="s">
        <v>2230</v>
      </c>
      <c r="F626" s="66" t="s">
        <v>115</v>
      </c>
      <c r="G626" s="66" t="s">
        <v>127</v>
      </c>
      <c r="H626" s="66" t="s">
        <v>20</v>
      </c>
      <c r="I626" s="66">
        <v>4400.0</v>
      </c>
      <c r="J626" s="74" t="s">
        <v>2231</v>
      </c>
      <c r="K626" s="66" t="s">
        <v>2233</v>
      </c>
      <c r="L626" s="66" t="s">
        <v>2234</v>
      </c>
      <c r="M626" s="67">
        <v>3.0</v>
      </c>
      <c r="N626" s="66" t="s">
        <v>2232</v>
      </c>
      <c r="O626" s="66" t="s">
        <v>301</v>
      </c>
    </row>
    <row r="627">
      <c r="A627" s="70">
        <v>45679.0</v>
      </c>
      <c r="B627" s="66" t="s">
        <v>2228</v>
      </c>
      <c r="C627" s="66">
        <v>8.07025029277E11</v>
      </c>
      <c r="D627" s="66" t="s">
        <v>2229</v>
      </c>
      <c r="E627" s="66" t="s">
        <v>2230</v>
      </c>
      <c r="F627" s="66" t="s">
        <v>115</v>
      </c>
      <c r="G627" s="66" t="s">
        <v>127</v>
      </c>
      <c r="H627" s="66" t="s">
        <v>20</v>
      </c>
      <c r="I627" s="66">
        <v>4400.0</v>
      </c>
      <c r="J627" s="74" t="s">
        <v>2231</v>
      </c>
      <c r="K627" s="66" t="s">
        <v>969</v>
      </c>
      <c r="L627" s="66" t="s">
        <v>970</v>
      </c>
      <c r="M627" s="67">
        <v>3.0</v>
      </c>
      <c r="N627" s="66" t="s">
        <v>2232</v>
      </c>
      <c r="O627" s="66" t="s">
        <v>301</v>
      </c>
    </row>
    <row r="628">
      <c r="A628" s="43">
        <v>45679.0</v>
      </c>
      <c r="B628" s="31" t="s">
        <v>2235</v>
      </c>
      <c r="C628" s="31">
        <v>8.07025029283E11</v>
      </c>
      <c r="D628" s="31" t="s">
        <v>2236</v>
      </c>
      <c r="E628" s="31" t="s">
        <v>2237</v>
      </c>
      <c r="F628" s="31" t="s">
        <v>2238</v>
      </c>
      <c r="G628" s="31" t="s">
        <v>116</v>
      </c>
      <c r="H628" s="31" t="s">
        <v>20</v>
      </c>
      <c r="I628" s="31">
        <v>4400.0</v>
      </c>
      <c r="J628" s="75" t="s">
        <v>2239</v>
      </c>
      <c r="K628" s="31" t="s">
        <v>985</v>
      </c>
      <c r="L628" s="31" t="s">
        <v>986</v>
      </c>
      <c r="M628" s="33">
        <v>1.0</v>
      </c>
      <c r="N628" s="31" t="s">
        <v>2240</v>
      </c>
      <c r="O628" s="34"/>
    </row>
    <row r="629">
      <c r="A629" s="70">
        <v>45679.0</v>
      </c>
      <c r="B629" s="66" t="s">
        <v>2241</v>
      </c>
      <c r="C629" s="66">
        <v>8.07025029293E11</v>
      </c>
      <c r="D629" s="66" t="s">
        <v>2242</v>
      </c>
      <c r="E629" s="66" t="s">
        <v>2243</v>
      </c>
      <c r="F629" s="66" t="s">
        <v>2244</v>
      </c>
      <c r="G629" s="66" t="s">
        <v>116</v>
      </c>
      <c r="H629" s="66" t="s">
        <v>20</v>
      </c>
      <c r="I629" s="66">
        <v>4400.0</v>
      </c>
      <c r="J629" s="74" t="s">
        <v>2245</v>
      </c>
      <c r="K629" s="66" t="s">
        <v>2185</v>
      </c>
      <c r="L629" s="66" t="s">
        <v>2186</v>
      </c>
      <c r="M629" s="67">
        <v>1.0</v>
      </c>
      <c r="N629" s="66" t="s">
        <v>2240</v>
      </c>
      <c r="O629" s="68"/>
    </row>
    <row r="630">
      <c r="A630" s="70">
        <v>45679.0</v>
      </c>
      <c r="B630" s="66" t="s">
        <v>2241</v>
      </c>
      <c r="C630" s="66">
        <v>8.07025029293E11</v>
      </c>
      <c r="D630" s="66" t="s">
        <v>2242</v>
      </c>
      <c r="E630" s="66" t="s">
        <v>2243</v>
      </c>
      <c r="F630" s="66" t="s">
        <v>2244</v>
      </c>
      <c r="G630" s="66" t="s">
        <v>116</v>
      </c>
      <c r="H630" s="66" t="s">
        <v>20</v>
      </c>
      <c r="I630" s="66">
        <v>4400.0</v>
      </c>
      <c r="J630" s="74" t="s">
        <v>2245</v>
      </c>
      <c r="K630" s="66" t="s">
        <v>512</v>
      </c>
      <c r="L630" s="66" t="s">
        <v>513</v>
      </c>
      <c r="M630" s="67">
        <v>12.0</v>
      </c>
      <c r="N630" s="66" t="s">
        <v>2240</v>
      </c>
      <c r="O630" s="68"/>
    </row>
    <row r="631">
      <c r="A631" s="70">
        <v>45679.0</v>
      </c>
      <c r="B631" s="66" t="s">
        <v>2241</v>
      </c>
      <c r="C631" s="66">
        <v>8.07025029293E11</v>
      </c>
      <c r="D631" s="66" t="s">
        <v>2242</v>
      </c>
      <c r="E631" s="66" t="s">
        <v>2243</v>
      </c>
      <c r="F631" s="66" t="s">
        <v>2244</v>
      </c>
      <c r="G631" s="66" t="s">
        <v>116</v>
      </c>
      <c r="H631" s="66" t="s">
        <v>20</v>
      </c>
      <c r="I631" s="66">
        <v>4400.0</v>
      </c>
      <c r="J631" s="74" t="s">
        <v>2245</v>
      </c>
      <c r="K631" s="66" t="s">
        <v>149</v>
      </c>
      <c r="L631" s="66" t="s">
        <v>150</v>
      </c>
      <c r="M631" s="67">
        <v>2.0</v>
      </c>
      <c r="N631" s="66" t="s">
        <v>2240</v>
      </c>
      <c r="O631" s="68"/>
    </row>
    <row r="632">
      <c r="A632" s="43">
        <v>45679.0</v>
      </c>
      <c r="B632" s="31" t="s">
        <v>2246</v>
      </c>
      <c r="C632" s="31">
        <v>8.05011509888E11</v>
      </c>
      <c r="D632" s="31" t="s">
        <v>2247</v>
      </c>
      <c r="E632" s="31" t="s">
        <v>2248</v>
      </c>
      <c r="F632" s="31" t="s">
        <v>2249</v>
      </c>
      <c r="G632" s="31" t="s">
        <v>20</v>
      </c>
      <c r="H632" s="31" t="s">
        <v>20</v>
      </c>
      <c r="I632" s="31">
        <v>4400.0</v>
      </c>
      <c r="J632" s="31" t="s">
        <v>2250</v>
      </c>
      <c r="K632" s="31" t="s">
        <v>744</v>
      </c>
      <c r="L632" s="31" t="s">
        <v>745</v>
      </c>
      <c r="M632" s="33">
        <v>1.0</v>
      </c>
      <c r="N632" s="31" t="s">
        <v>2251</v>
      </c>
      <c r="O632" s="34"/>
    </row>
    <row r="633">
      <c r="A633" s="43">
        <v>45679.0</v>
      </c>
      <c r="B633" s="31" t="s">
        <v>2246</v>
      </c>
      <c r="C633" s="31">
        <v>8.05011509888E11</v>
      </c>
      <c r="D633" s="31" t="s">
        <v>2247</v>
      </c>
      <c r="E633" s="31" t="s">
        <v>2248</v>
      </c>
      <c r="F633" s="31" t="s">
        <v>2249</v>
      </c>
      <c r="G633" s="31" t="s">
        <v>20</v>
      </c>
      <c r="H633" s="31" t="s">
        <v>20</v>
      </c>
      <c r="I633" s="31">
        <v>4400.0</v>
      </c>
      <c r="J633" s="75" t="s">
        <v>2250</v>
      </c>
      <c r="K633" s="31" t="s">
        <v>741</v>
      </c>
      <c r="L633" s="31" t="s">
        <v>742</v>
      </c>
      <c r="M633" s="33">
        <v>1.0</v>
      </c>
      <c r="N633" s="31" t="s">
        <v>2251</v>
      </c>
      <c r="O633" s="34"/>
    </row>
    <row r="634">
      <c r="A634" s="70">
        <v>45679.0</v>
      </c>
      <c r="B634" s="66" t="s">
        <v>2252</v>
      </c>
      <c r="C634" s="66">
        <v>8.05011510115E11</v>
      </c>
      <c r="D634" s="66" t="s">
        <v>2253</v>
      </c>
      <c r="E634" s="66" t="s">
        <v>2254</v>
      </c>
      <c r="F634" s="66" t="s">
        <v>2255</v>
      </c>
      <c r="G634" s="66" t="s">
        <v>2256</v>
      </c>
      <c r="H634" s="66" t="s">
        <v>20</v>
      </c>
      <c r="I634" s="66">
        <v>4530.0</v>
      </c>
      <c r="J634" s="74" t="s">
        <v>2257</v>
      </c>
      <c r="K634" s="66" t="s">
        <v>744</v>
      </c>
      <c r="L634" s="66" t="s">
        <v>745</v>
      </c>
      <c r="M634" s="67">
        <v>1.0</v>
      </c>
      <c r="N634" s="66" t="s">
        <v>2258</v>
      </c>
      <c r="O634" s="68"/>
    </row>
    <row r="635">
      <c r="A635" s="70">
        <v>45679.0</v>
      </c>
      <c r="B635" s="66" t="s">
        <v>2252</v>
      </c>
      <c r="C635" s="66">
        <v>8.05011510115E11</v>
      </c>
      <c r="D635" s="66" t="s">
        <v>2253</v>
      </c>
      <c r="E635" s="66" t="s">
        <v>2254</v>
      </c>
      <c r="F635" s="66" t="s">
        <v>2255</v>
      </c>
      <c r="G635" s="66" t="s">
        <v>2256</v>
      </c>
      <c r="H635" s="66" t="s">
        <v>20</v>
      </c>
      <c r="I635" s="66">
        <v>4530.0</v>
      </c>
      <c r="J635" s="74" t="s">
        <v>2257</v>
      </c>
      <c r="K635" s="66" t="s">
        <v>741</v>
      </c>
      <c r="L635" s="66" t="s">
        <v>742</v>
      </c>
      <c r="M635" s="67">
        <v>1.0</v>
      </c>
      <c r="N635" s="66" t="s">
        <v>2258</v>
      </c>
      <c r="O635" s="68"/>
    </row>
    <row r="636">
      <c r="A636" s="43">
        <v>45679.0</v>
      </c>
      <c r="B636" s="31" t="s">
        <v>2259</v>
      </c>
      <c r="C636" s="31">
        <v>8.05011510051E11</v>
      </c>
      <c r="D636" s="31" t="s">
        <v>2260</v>
      </c>
      <c r="E636" s="31" t="s">
        <v>2261</v>
      </c>
      <c r="F636" s="31" t="s">
        <v>2262</v>
      </c>
      <c r="G636" s="31" t="s">
        <v>376</v>
      </c>
      <c r="H636" s="31" t="s">
        <v>20</v>
      </c>
      <c r="I636" s="31">
        <v>4421.0</v>
      </c>
      <c r="J636" s="75" t="s">
        <v>2263</v>
      </c>
      <c r="K636" s="31" t="s">
        <v>744</v>
      </c>
      <c r="L636" s="31" t="s">
        <v>745</v>
      </c>
      <c r="M636" s="33">
        <v>1.0</v>
      </c>
      <c r="N636" s="31" t="s">
        <v>2264</v>
      </c>
      <c r="O636" s="34"/>
    </row>
    <row r="637">
      <c r="A637" s="43">
        <v>45679.0</v>
      </c>
      <c r="B637" s="31" t="s">
        <v>2259</v>
      </c>
      <c r="C637" s="31">
        <v>8.05011510051E11</v>
      </c>
      <c r="D637" s="31" t="s">
        <v>2260</v>
      </c>
      <c r="E637" s="31" t="s">
        <v>2261</v>
      </c>
      <c r="F637" s="31" t="s">
        <v>2262</v>
      </c>
      <c r="G637" s="31" t="s">
        <v>376</v>
      </c>
      <c r="H637" s="31" t="s">
        <v>20</v>
      </c>
      <c r="I637" s="31">
        <v>4421.0</v>
      </c>
      <c r="J637" s="31" t="s">
        <v>2263</v>
      </c>
      <c r="K637" s="31" t="s">
        <v>741</v>
      </c>
      <c r="L637" s="31" t="s">
        <v>742</v>
      </c>
      <c r="M637" s="33">
        <v>1.0</v>
      </c>
      <c r="N637" s="31" t="s">
        <v>2264</v>
      </c>
      <c r="O637" s="34"/>
    </row>
    <row r="638">
      <c r="A638" s="70">
        <v>45679.0</v>
      </c>
      <c r="B638" s="66" t="s">
        <v>2265</v>
      </c>
      <c r="C638" s="66">
        <v>8.07025029299E11</v>
      </c>
      <c r="D638" s="66" t="s">
        <v>2266</v>
      </c>
      <c r="E638" s="66" t="s">
        <v>2267</v>
      </c>
      <c r="F638" s="66" t="s">
        <v>2268</v>
      </c>
      <c r="G638" s="66" t="s">
        <v>2269</v>
      </c>
      <c r="H638" s="66" t="s">
        <v>20</v>
      </c>
      <c r="I638" s="66">
        <v>4440.0</v>
      </c>
      <c r="J638" s="66" t="s">
        <v>2270</v>
      </c>
      <c r="K638" s="66" t="s">
        <v>1083</v>
      </c>
      <c r="L638" s="66" t="s">
        <v>1084</v>
      </c>
      <c r="M638" s="67">
        <v>1.0</v>
      </c>
      <c r="N638" s="66" t="s">
        <v>2271</v>
      </c>
      <c r="O638" s="66" t="s">
        <v>2272</v>
      </c>
    </row>
    <row r="639">
      <c r="A639" s="43">
        <v>45679.0</v>
      </c>
      <c r="B639" s="31" t="s">
        <v>2273</v>
      </c>
      <c r="C639" s="31">
        <v>8.07025029308E11</v>
      </c>
      <c r="D639" s="31" t="s">
        <v>2274</v>
      </c>
      <c r="E639" s="31" t="s">
        <v>2275</v>
      </c>
      <c r="F639" s="31" t="s">
        <v>2276</v>
      </c>
      <c r="G639" s="31" t="s">
        <v>116</v>
      </c>
      <c r="H639" s="31" t="s">
        <v>20</v>
      </c>
      <c r="I639" s="31">
        <v>4400.0</v>
      </c>
      <c r="J639" s="31" t="s">
        <v>2277</v>
      </c>
      <c r="K639" s="31" t="s">
        <v>617</v>
      </c>
      <c r="L639" s="31" t="s">
        <v>618</v>
      </c>
      <c r="M639" s="33">
        <v>1.0</v>
      </c>
      <c r="N639" s="31" t="s">
        <v>2278</v>
      </c>
      <c r="O639" s="31" t="s">
        <v>2279</v>
      </c>
    </row>
    <row r="640">
      <c r="A640" s="43">
        <v>45679.0</v>
      </c>
      <c r="B640" s="31" t="s">
        <v>2273</v>
      </c>
      <c r="C640" s="31">
        <v>8.07025029308E11</v>
      </c>
      <c r="D640" s="31" t="s">
        <v>2274</v>
      </c>
      <c r="E640" s="31" t="s">
        <v>2275</v>
      </c>
      <c r="F640" s="31" t="s">
        <v>2276</v>
      </c>
      <c r="G640" s="31" t="s">
        <v>116</v>
      </c>
      <c r="H640" s="31" t="s">
        <v>20</v>
      </c>
      <c r="I640" s="31">
        <v>4400.0</v>
      </c>
      <c r="J640" s="31" t="s">
        <v>2277</v>
      </c>
      <c r="K640" s="31" t="s">
        <v>512</v>
      </c>
      <c r="L640" s="31" t="s">
        <v>513</v>
      </c>
      <c r="M640" s="33">
        <v>12.0</v>
      </c>
      <c r="N640" s="31" t="s">
        <v>2278</v>
      </c>
      <c r="O640" s="31" t="s">
        <v>2279</v>
      </c>
    </row>
    <row r="641">
      <c r="A641" s="43">
        <v>45679.0</v>
      </c>
      <c r="B641" s="31" t="s">
        <v>2273</v>
      </c>
      <c r="C641" s="31">
        <v>8.07025029308E11</v>
      </c>
      <c r="D641" s="31" t="s">
        <v>2274</v>
      </c>
      <c r="E641" s="31" t="s">
        <v>2275</v>
      </c>
      <c r="F641" s="31" t="s">
        <v>2276</v>
      </c>
      <c r="G641" s="31" t="s">
        <v>116</v>
      </c>
      <c r="H641" s="31" t="s">
        <v>20</v>
      </c>
      <c r="I641" s="31">
        <v>4400.0</v>
      </c>
      <c r="J641" s="31" t="s">
        <v>2277</v>
      </c>
      <c r="K641" s="31" t="s">
        <v>645</v>
      </c>
      <c r="L641" s="31" t="s">
        <v>646</v>
      </c>
      <c r="M641" s="33">
        <v>2.0</v>
      </c>
      <c r="N641" s="31" t="s">
        <v>2278</v>
      </c>
      <c r="O641" s="31" t="s">
        <v>2279</v>
      </c>
    </row>
    <row r="642">
      <c r="A642" s="70">
        <v>45679.0</v>
      </c>
      <c r="B642" s="66" t="s">
        <v>2280</v>
      </c>
      <c r="C642" s="66">
        <v>8.05011510544E11</v>
      </c>
      <c r="D642" s="66" t="s">
        <v>2281</v>
      </c>
      <c r="E642" s="66" t="s">
        <v>2282</v>
      </c>
      <c r="F642" s="66" t="s">
        <v>2283</v>
      </c>
      <c r="G642" s="66" t="s">
        <v>1017</v>
      </c>
      <c r="H642" s="66" t="s">
        <v>20</v>
      </c>
      <c r="I642" s="66">
        <v>4562.0</v>
      </c>
      <c r="J642" s="66" t="s">
        <v>2284</v>
      </c>
      <c r="K642" s="66" t="s">
        <v>2285</v>
      </c>
      <c r="L642" s="66" t="s">
        <v>2286</v>
      </c>
      <c r="M642" s="67">
        <v>2.0</v>
      </c>
      <c r="N642" s="66" t="s">
        <v>2287</v>
      </c>
      <c r="O642" s="68"/>
    </row>
    <row r="643">
      <c r="A643" s="70">
        <v>45679.0</v>
      </c>
      <c r="B643" s="66" t="s">
        <v>2280</v>
      </c>
      <c r="C643" s="66">
        <v>8.05011510544E11</v>
      </c>
      <c r="D643" s="66" t="s">
        <v>2281</v>
      </c>
      <c r="E643" s="66" t="s">
        <v>2282</v>
      </c>
      <c r="F643" s="66" t="s">
        <v>2283</v>
      </c>
      <c r="G643" s="66" t="s">
        <v>1017</v>
      </c>
      <c r="H643" s="66" t="s">
        <v>20</v>
      </c>
      <c r="I643" s="66">
        <v>4562.0</v>
      </c>
      <c r="J643" s="66" t="s">
        <v>2284</v>
      </c>
      <c r="K643" s="66" t="s">
        <v>627</v>
      </c>
      <c r="L643" s="66" t="s">
        <v>628</v>
      </c>
      <c r="M643" s="67">
        <v>2.0</v>
      </c>
      <c r="N643" s="66" t="s">
        <v>2287</v>
      </c>
      <c r="O643" s="68"/>
    </row>
    <row r="644">
      <c r="A644" s="43">
        <v>45679.0</v>
      </c>
      <c r="B644" s="31" t="s">
        <v>2288</v>
      </c>
      <c r="C644" s="31">
        <v>8.07025029334E11</v>
      </c>
      <c r="D644" s="31" t="s">
        <v>2289</v>
      </c>
      <c r="E644" s="31" t="s">
        <v>2290</v>
      </c>
      <c r="F644" s="31" t="s">
        <v>2291</v>
      </c>
      <c r="G644" s="31" t="s">
        <v>2292</v>
      </c>
      <c r="H644" s="31" t="s">
        <v>20</v>
      </c>
      <c r="I644" s="31">
        <v>4400.0</v>
      </c>
      <c r="J644" s="31" t="s">
        <v>2293</v>
      </c>
      <c r="K644" s="31" t="s">
        <v>2294</v>
      </c>
      <c r="L644" s="31" t="s">
        <v>2295</v>
      </c>
      <c r="M644" s="33">
        <v>1.0</v>
      </c>
      <c r="N644" s="31" t="s">
        <v>2296</v>
      </c>
      <c r="O644" s="31" t="s">
        <v>1746</v>
      </c>
    </row>
    <row r="645">
      <c r="A645" s="43">
        <v>45679.0</v>
      </c>
      <c r="B645" s="31" t="s">
        <v>2288</v>
      </c>
      <c r="C645" s="31">
        <v>8.07025029334E11</v>
      </c>
      <c r="D645" s="31" t="s">
        <v>2289</v>
      </c>
      <c r="E645" s="31" t="s">
        <v>2290</v>
      </c>
      <c r="F645" s="31" t="s">
        <v>2291</v>
      </c>
      <c r="G645" s="31" t="s">
        <v>2292</v>
      </c>
      <c r="H645" s="31" t="s">
        <v>20</v>
      </c>
      <c r="I645" s="31">
        <v>4400.0</v>
      </c>
      <c r="J645" s="31" t="s">
        <v>2293</v>
      </c>
      <c r="K645" s="31" t="s">
        <v>1759</v>
      </c>
      <c r="L645" s="31" t="s">
        <v>1760</v>
      </c>
      <c r="M645" s="33">
        <v>1.0</v>
      </c>
      <c r="N645" s="31" t="s">
        <v>2296</v>
      </c>
      <c r="O645" s="31" t="s">
        <v>1746</v>
      </c>
    </row>
    <row r="646">
      <c r="A646" s="70">
        <v>45679.0</v>
      </c>
      <c r="B646" s="66" t="s">
        <v>2297</v>
      </c>
      <c r="C646" s="66">
        <v>8.07025029342E11</v>
      </c>
      <c r="D646" s="66" t="s">
        <v>2298</v>
      </c>
      <c r="E646" s="66" t="s">
        <v>2299</v>
      </c>
      <c r="F646" s="66" t="s">
        <v>2300</v>
      </c>
      <c r="G646" s="66" t="s">
        <v>2301</v>
      </c>
      <c r="H646" s="66" t="s">
        <v>20</v>
      </c>
      <c r="I646" s="66">
        <v>4448.0</v>
      </c>
      <c r="J646" s="66" t="s">
        <v>2302</v>
      </c>
      <c r="K646" s="66" t="s">
        <v>2303</v>
      </c>
      <c r="L646" s="66" t="s">
        <v>2304</v>
      </c>
      <c r="M646" s="67">
        <v>1.0</v>
      </c>
      <c r="N646" s="66" t="s">
        <v>2305</v>
      </c>
      <c r="O646" s="66" t="s">
        <v>2306</v>
      </c>
    </row>
    <row r="647">
      <c r="A647" s="70">
        <v>45679.0</v>
      </c>
      <c r="B647" s="66" t="s">
        <v>2297</v>
      </c>
      <c r="C647" s="66">
        <v>8.07025029342E11</v>
      </c>
      <c r="D647" s="66" t="s">
        <v>2298</v>
      </c>
      <c r="E647" s="66" t="s">
        <v>2299</v>
      </c>
      <c r="F647" s="66" t="s">
        <v>2300</v>
      </c>
      <c r="G647" s="66" t="s">
        <v>2301</v>
      </c>
      <c r="H647" s="66" t="s">
        <v>20</v>
      </c>
      <c r="I647" s="66">
        <v>4448.0</v>
      </c>
      <c r="J647" s="66" t="s">
        <v>2302</v>
      </c>
      <c r="K647" s="66" t="s">
        <v>512</v>
      </c>
      <c r="L647" s="66" t="s">
        <v>513</v>
      </c>
      <c r="M647" s="67">
        <v>6.0</v>
      </c>
      <c r="N647" s="66" t="s">
        <v>2305</v>
      </c>
      <c r="O647" s="66" t="s">
        <v>2306</v>
      </c>
    </row>
    <row r="648">
      <c r="A648" s="70">
        <v>45679.0</v>
      </c>
      <c r="B648" s="66" t="s">
        <v>2297</v>
      </c>
      <c r="C648" s="66">
        <v>8.07025029342E11</v>
      </c>
      <c r="D648" s="66" t="s">
        <v>2298</v>
      </c>
      <c r="E648" s="66" t="s">
        <v>2299</v>
      </c>
      <c r="F648" s="66" t="s">
        <v>2300</v>
      </c>
      <c r="G648" s="66" t="s">
        <v>2301</v>
      </c>
      <c r="H648" s="66" t="s">
        <v>20</v>
      </c>
      <c r="I648" s="66">
        <v>4448.0</v>
      </c>
      <c r="J648" s="66" t="s">
        <v>2302</v>
      </c>
      <c r="K648" s="66" t="s">
        <v>2307</v>
      </c>
      <c r="L648" s="66" t="s">
        <v>2308</v>
      </c>
      <c r="M648" s="67">
        <v>1.0</v>
      </c>
      <c r="N648" s="66" t="s">
        <v>2305</v>
      </c>
      <c r="O648" s="66" t="s">
        <v>2306</v>
      </c>
    </row>
    <row r="649">
      <c r="A649" s="43">
        <v>45679.0</v>
      </c>
      <c r="B649" s="31" t="s">
        <v>2309</v>
      </c>
      <c r="C649" s="31">
        <v>8.07025029348E11</v>
      </c>
      <c r="D649" s="31" t="s">
        <v>2310</v>
      </c>
      <c r="E649" s="31" t="s">
        <v>2311</v>
      </c>
      <c r="F649" s="31" t="s">
        <v>2312</v>
      </c>
      <c r="G649" s="31" t="s">
        <v>116</v>
      </c>
      <c r="H649" s="31" t="s">
        <v>20</v>
      </c>
      <c r="I649" s="31">
        <v>4400.0</v>
      </c>
      <c r="J649" s="31" t="s">
        <v>2313</v>
      </c>
      <c r="K649" s="31" t="s">
        <v>2314</v>
      </c>
      <c r="L649" s="31" t="s">
        <v>2315</v>
      </c>
      <c r="M649" s="33">
        <v>1.0</v>
      </c>
      <c r="N649" s="31" t="s">
        <v>2316</v>
      </c>
      <c r="O649" s="31" t="s">
        <v>1746</v>
      </c>
    </row>
    <row r="650">
      <c r="A650" s="43">
        <v>45679.0</v>
      </c>
      <c r="B650" s="31" t="s">
        <v>2309</v>
      </c>
      <c r="C650" s="31">
        <v>8.07025029348E11</v>
      </c>
      <c r="D650" s="31" t="s">
        <v>2310</v>
      </c>
      <c r="E650" s="31" t="s">
        <v>2311</v>
      </c>
      <c r="F650" s="31" t="s">
        <v>2312</v>
      </c>
      <c r="G650" s="31" t="s">
        <v>116</v>
      </c>
      <c r="H650" s="31" t="s">
        <v>20</v>
      </c>
      <c r="I650" s="31">
        <v>4400.0</v>
      </c>
      <c r="J650" s="31" t="s">
        <v>2313</v>
      </c>
      <c r="K650" s="31" t="s">
        <v>493</v>
      </c>
      <c r="L650" s="31" t="s">
        <v>494</v>
      </c>
      <c r="M650" s="33">
        <v>1.0</v>
      </c>
      <c r="N650" s="31" t="s">
        <v>2316</v>
      </c>
      <c r="O650" s="31" t="s">
        <v>1746</v>
      </c>
    </row>
    <row r="651">
      <c r="A651" s="70">
        <v>45679.0</v>
      </c>
      <c r="B651" s="66" t="s">
        <v>2317</v>
      </c>
      <c r="C651" s="66">
        <v>8.07025029352E11</v>
      </c>
      <c r="D651" s="66" t="s">
        <v>2318</v>
      </c>
      <c r="E651" s="66" t="s">
        <v>2319</v>
      </c>
      <c r="F651" s="66" t="s">
        <v>2320</v>
      </c>
      <c r="G651" s="66" t="s">
        <v>127</v>
      </c>
      <c r="H651" s="66" t="s">
        <v>20</v>
      </c>
      <c r="I651" s="66">
        <v>4400.0</v>
      </c>
      <c r="J651" s="66" t="s">
        <v>2321</v>
      </c>
      <c r="K651" s="66" t="s">
        <v>1911</v>
      </c>
      <c r="L651" s="66" t="s">
        <v>1912</v>
      </c>
      <c r="M651" s="67">
        <v>1.0</v>
      </c>
      <c r="N651" s="66" t="s">
        <v>2322</v>
      </c>
      <c r="O651" s="66" t="s">
        <v>2323</v>
      </c>
    </row>
    <row r="652">
      <c r="A652" s="70">
        <v>45679.0</v>
      </c>
      <c r="B652" s="66" t="s">
        <v>2317</v>
      </c>
      <c r="C652" s="66">
        <v>8.07025029352E11</v>
      </c>
      <c r="D652" s="66" t="s">
        <v>2318</v>
      </c>
      <c r="E652" s="66" t="s">
        <v>2319</v>
      </c>
      <c r="F652" s="66" t="s">
        <v>2320</v>
      </c>
      <c r="G652" s="66" t="s">
        <v>127</v>
      </c>
      <c r="H652" s="66" t="s">
        <v>20</v>
      </c>
      <c r="I652" s="66">
        <v>4400.0</v>
      </c>
      <c r="J652" s="66" t="s">
        <v>2321</v>
      </c>
      <c r="K652" s="66" t="s">
        <v>512</v>
      </c>
      <c r="L652" s="66" t="s">
        <v>513</v>
      </c>
      <c r="M652" s="67">
        <v>6.0</v>
      </c>
      <c r="N652" s="66" t="s">
        <v>2322</v>
      </c>
      <c r="O652" s="66" t="s">
        <v>2323</v>
      </c>
    </row>
    <row r="653">
      <c r="A653" s="70">
        <v>45679.0</v>
      </c>
      <c r="B653" s="66" t="s">
        <v>2317</v>
      </c>
      <c r="C653" s="66">
        <v>8.07025029352E11</v>
      </c>
      <c r="D653" s="66" t="s">
        <v>2318</v>
      </c>
      <c r="E653" s="66" t="s">
        <v>2319</v>
      </c>
      <c r="F653" s="66" t="s">
        <v>2320</v>
      </c>
      <c r="G653" s="66" t="s">
        <v>127</v>
      </c>
      <c r="H653" s="66" t="s">
        <v>20</v>
      </c>
      <c r="I653" s="66">
        <v>4400.0</v>
      </c>
      <c r="J653" s="66" t="s">
        <v>2321</v>
      </c>
      <c r="K653" s="66" t="s">
        <v>1914</v>
      </c>
      <c r="L653" s="66" t="s">
        <v>1915</v>
      </c>
      <c r="M653" s="67">
        <v>1.0</v>
      </c>
      <c r="N653" s="66" t="s">
        <v>2322</v>
      </c>
      <c r="O653" s="66" t="s">
        <v>2323</v>
      </c>
    </row>
    <row r="654">
      <c r="A654" s="43">
        <v>45679.0</v>
      </c>
      <c r="B654" s="31" t="s">
        <v>2324</v>
      </c>
      <c r="C654" s="31">
        <v>8.07025029361E11</v>
      </c>
      <c r="D654" s="31" t="s">
        <v>2325</v>
      </c>
      <c r="E654" s="31" t="s">
        <v>2326</v>
      </c>
      <c r="F654" s="31" t="s">
        <v>2327</v>
      </c>
      <c r="G654" s="31" t="s">
        <v>2328</v>
      </c>
      <c r="H654" s="31" t="s">
        <v>20</v>
      </c>
      <c r="I654" s="31">
        <v>4417.0</v>
      </c>
      <c r="J654" s="31" t="s">
        <v>2329</v>
      </c>
      <c r="K654" s="31" t="s">
        <v>2076</v>
      </c>
      <c r="L654" s="31" t="s">
        <v>2077</v>
      </c>
      <c r="M654" s="33">
        <v>1.0</v>
      </c>
      <c r="N654" s="31" t="s">
        <v>2330</v>
      </c>
      <c r="O654" s="31" t="s">
        <v>2331</v>
      </c>
    </row>
    <row r="655">
      <c r="A655" s="70">
        <v>45679.0</v>
      </c>
      <c r="B655" s="66" t="s">
        <v>2332</v>
      </c>
      <c r="C655" s="66">
        <v>8.07025029362E11</v>
      </c>
      <c r="D655" s="66" t="s">
        <v>2325</v>
      </c>
      <c r="E655" s="66" t="s">
        <v>2326</v>
      </c>
      <c r="F655" s="66" t="s">
        <v>2327</v>
      </c>
      <c r="G655" s="66" t="s">
        <v>2328</v>
      </c>
      <c r="H655" s="66" t="s">
        <v>20</v>
      </c>
      <c r="I655" s="66">
        <v>4417.0</v>
      </c>
      <c r="J655" s="66" t="s">
        <v>2329</v>
      </c>
      <c r="K655" s="66" t="s">
        <v>129</v>
      </c>
      <c r="L655" s="66" t="s">
        <v>130</v>
      </c>
      <c r="M655" s="67">
        <v>1.0</v>
      </c>
      <c r="N655" s="66" t="s">
        <v>2330</v>
      </c>
      <c r="O655" s="66" t="s">
        <v>2331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3"/>
      <c r="N656" s="22"/>
      <c r="O656" s="22"/>
    </row>
    <row r="657">
      <c r="A657" s="70">
        <v>45686.0</v>
      </c>
      <c r="B657" s="66" t="s">
        <v>2333</v>
      </c>
      <c r="C657" s="66">
        <v>8.07025029237E11</v>
      </c>
      <c r="D657" s="66" t="s">
        <v>2334</v>
      </c>
      <c r="E657" s="66" t="s">
        <v>2335</v>
      </c>
      <c r="F657" s="66" t="s">
        <v>2336</v>
      </c>
      <c r="G657" s="66" t="s">
        <v>116</v>
      </c>
      <c r="H657" s="66" t="s">
        <v>20</v>
      </c>
      <c r="I657" s="66">
        <v>4400.0</v>
      </c>
      <c r="J657" s="66" t="s">
        <v>2337</v>
      </c>
      <c r="K657" s="66" t="s">
        <v>1083</v>
      </c>
      <c r="L657" s="66" t="s">
        <v>1084</v>
      </c>
      <c r="M657" s="67">
        <v>1.0</v>
      </c>
      <c r="N657" s="66" t="s">
        <v>2338</v>
      </c>
      <c r="O657" s="66" t="s">
        <v>2339</v>
      </c>
    </row>
    <row r="658">
      <c r="A658" s="43">
        <v>45686.0</v>
      </c>
      <c r="B658" s="31" t="s">
        <v>2340</v>
      </c>
      <c r="C658" s="31">
        <v>8.07025029392E11</v>
      </c>
      <c r="D658" s="31" t="s">
        <v>2341</v>
      </c>
      <c r="E658" s="31" t="s">
        <v>2342</v>
      </c>
      <c r="F658" s="31" t="s">
        <v>2343</v>
      </c>
      <c r="G658" s="31" t="s">
        <v>2344</v>
      </c>
      <c r="H658" s="31" t="s">
        <v>20</v>
      </c>
      <c r="I658" s="31">
        <v>4705.0</v>
      </c>
      <c r="J658" s="31" t="s">
        <v>2345</v>
      </c>
      <c r="K658" s="31" t="s">
        <v>98</v>
      </c>
      <c r="L658" s="31" t="s">
        <v>99</v>
      </c>
      <c r="M658" s="33">
        <v>1.0</v>
      </c>
      <c r="N658" s="31" t="s">
        <v>2346</v>
      </c>
      <c r="O658" s="31" t="s">
        <v>261</v>
      </c>
    </row>
    <row r="659">
      <c r="A659" s="43">
        <v>45686.0</v>
      </c>
      <c r="B659" s="31" t="s">
        <v>2347</v>
      </c>
      <c r="C659" s="31">
        <v>8.07025029394E11</v>
      </c>
      <c r="D659" s="31" t="s">
        <v>2341</v>
      </c>
      <c r="E659" s="31" t="s">
        <v>2342</v>
      </c>
      <c r="F659" s="31" t="s">
        <v>2343</v>
      </c>
      <c r="G659" s="31" t="s">
        <v>2344</v>
      </c>
      <c r="H659" s="31" t="s">
        <v>20</v>
      </c>
      <c r="I659" s="31">
        <v>4705.0</v>
      </c>
      <c r="J659" s="31" t="s">
        <v>2345</v>
      </c>
      <c r="K659" s="31" t="s">
        <v>1747</v>
      </c>
      <c r="L659" s="31" t="s">
        <v>1748</v>
      </c>
      <c r="M659" s="33">
        <v>4.0</v>
      </c>
      <c r="N659" s="31" t="s">
        <v>2346</v>
      </c>
      <c r="O659" s="31" t="s">
        <v>261</v>
      </c>
    </row>
    <row r="660">
      <c r="A660" s="43">
        <v>45686.0</v>
      </c>
      <c r="B660" s="31" t="s">
        <v>2347</v>
      </c>
      <c r="C660" s="31">
        <v>8.07025029394E11</v>
      </c>
      <c r="D660" s="31" t="s">
        <v>2341</v>
      </c>
      <c r="E660" s="31" t="s">
        <v>2342</v>
      </c>
      <c r="F660" s="31" t="s">
        <v>2343</v>
      </c>
      <c r="G660" s="31" t="s">
        <v>2344</v>
      </c>
      <c r="H660" s="31" t="s">
        <v>20</v>
      </c>
      <c r="I660" s="31">
        <v>4705.0</v>
      </c>
      <c r="J660" s="31" t="s">
        <v>2345</v>
      </c>
      <c r="K660" s="31" t="s">
        <v>512</v>
      </c>
      <c r="L660" s="31" t="s">
        <v>513</v>
      </c>
      <c r="M660" s="33">
        <v>24.0</v>
      </c>
      <c r="N660" s="31" t="s">
        <v>2346</v>
      </c>
      <c r="O660" s="31" t="s">
        <v>261</v>
      </c>
    </row>
    <row r="661">
      <c r="A661" s="43">
        <v>45686.0</v>
      </c>
      <c r="B661" s="31" t="s">
        <v>2347</v>
      </c>
      <c r="C661" s="31">
        <v>8.07025029394E11</v>
      </c>
      <c r="D661" s="31" t="s">
        <v>2341</v>
      </c>
      <c r="E661" s="31" t="s">
        <v>2342</v>
      </c>
      <c r="F661" s="31" t="s">
        <v>2343</v>
      </c>
      <c r="G661" s="31" t="s">
        <v>2344</v>
      </c>
      <c r="H661" s="31" t="s">
        <v>20</v>
      </c>
      <c r="I661" s="31">
        <v>4705.0</v>
      </c>
      <c r="J661" s="31" t="s">
        <v>2345</v>
      </c>
      <c r="K661" s="31" t="s">
        <v>1749</v>
      </c>
      <c r="L661" s="31" t="s">
        <v>1750</v>
      </c>
      <c r="M661" s="33">
        <v>4.0</v>
      </c>
      <c r="N661" s="31" t="s">
        <v>2346</v>
      </c>
      <c r="O661" s="31" t="s">
        <v>261</v>
      </c>
    </row>
    <row r="662">
      <c r="A662" s="70">
        <v>45686.0</v>
      </c>
      <c r="B662" s="66" t="s">
        <v>2348</v>
      </c>
      <c r="C662" s="66">
        <v>8.06015088266E11</v>
      </c>
      <c r="D662" s="66" t="s">
        <v>2349</v>
      </c>
      <c r="E662" s="66" t="s">
        <v>2350</v>
      </c>
      <c r="F662" s="66" t="s">
        <v>2351</v>
      </c>
      <c r="G662" s="66" t="s">
        <v>104</v>
      </c>
      <c r="H662" s="66" t="s">
        <v>20</v>
      </c>
      <c r="I662" s="66">
        <v>4400.0</v>
      </c>
      <c r="J662" s="66" t="s">
        <v>2352</v>
      </c>
      <c r="K662" s="66" t="s">
        <v>495</v>
      </c>
      <c r="L662" s="66" t="s">
        <v>496</v>
      </c>
      <c r="M662" s="67">
        <v>2.0</v>
      </c>
      <c r="N662" s="66" t="s">
        <v>2353</v>
      </c>
      <c r="O662" s="66" t="s">
        <v>104</v>
      </c>
    </row>
    <row r="663">
      <c r="A663" s="70">
        <v>45686.0</v>
      </c>
      <c r="B663" s="66" t="s">
        <v>2348</v>
      </c>
      <c r="C663" s="66">
        <v>8.06015088266E11</v>
      </c>
      <c r="D663" s="66" t="s">
        <v>2349</v>
      </c>
      <c r="E663" s="66" t="s">
        <v>2350</v>
      </c>
      <c r="F663" s="66" t="s">
        <v>2351</v>
      </c>
      <c r="G663" s="66" t="s">
        <v>104</v>
      </c>
      <c r="H663" s="66" t="s">
        <v>20</v>
      </c>
      <c r="I663" s="66">
        <v>4400.0</v>
      </c>
      <c r="J663" s="66" t="s">
        <v>2352</v>
      </c>
      <c r="K663" s="66" t="s">
        <v>493</v>
      </c>
      <c r="L663" s="66" t="s">
        <v>494</v>
      </c>
      <c r="M663" s="67">
        <v>1.0</v>
      </c>
      <c r="N663" s="66" t="s">
        <v>2353</v>
      </c>
      <c r="O663" s="66" t="s">
        <v>104</v>
      </c>
    </row>
    <row r="664">
      <c r="A664" s="43">
        <v>45686.0</v>
      </c>
      <c r="B664" s="31" t="s">
        <v>2354</v>
      </c>
      <c r="C664" s="31">
        <v>8.05011511215E11</v>
      </c>
      <c r="D664" s="31" t="s">
        <v>2355</v>
      </c>
      <c r="E664" s="31" t="s">
        <v>2356</v>
      </c>
      <c r="F664" s="31" t="s">
        <v>2357</v>
      </c>
      <c r="G664" s="31" t="s">
        <v>1017</v>
      </c>
      <c r="H664" s="31" t="s">
        <v>20</v>
      </c>
      <c r="I664" s="31">
        <v>4562.0</v>
      </c>
      <c r="J664" s="31" t="s">
        <v>2358</v>
      </c>
      <c r="K664" s="31" t="s">
        <v>2359</v>
      </c>
      <c r="L664" s="31" t="s">
        <v>2360</v>
      </c>
      <c r="M664" s="33">
        <v>1.0</v>
      </c>
      <c r="N664" s="34"/>
      <c r="O664" s="34"/>
    </row>
    <row r="665">
      <c r="A665" s="70">
        <v>45686.0</v>
      </c>
      <c r="B665" s="66" t="s">
        <v>2361</v>
      </c>
      <c r="C665" s="66">
        <v>8.05011511279E11</v>
      </c>
      <c r="D665" s="66" t="s">
        <v>2362</v>
      </c>
      <c r="E665" s="66" t="s">
        <v>2363</v>
      </c>
      <c r="F665" s="66" t="s">
        <v>2364</v>
      </c>
      <c r="G665" s="66" t="s">
        <v>41</v>
      </c>
      <c r="H665" s="66" t="s">
        <v>20</v>
      </c>
      <c r="I665" s="66">
        <v>4560.0</v>
      </c>
      <c r="J665" s="66" t="s">
        <v>2365</v>
      </c>
      <c r="K665" s="66" t="s">
        <v>32</v>
      </c>
      <c r="L665" s="66" t="s">
        <v>33</v>
      </c>
      <c r="M665" s="67">
        <v>1.0</v>
      </c>
      <c r="N665" s="66" t="s">
        <v>2366</v>
      </c>
      <c r="O665" s="68"/>
    </row>
    <row r="666">
      <c r="A666" s="43">
        <v>45686.0</v>
      </c>
      <c r="B666" s="31" t="s">
        <v>2367</v>
      </c>
      <c r="C666" s="31">
        <v>8.07025029401E11</v>
      </c>
      <c r="D666" s="31" t="s">
        <v>2368</v>
      </c>
      <c r="E666" s="31" t="s">
        <v>2369</v>
      </c>
      <c r="F666" s="31" t="s">
        <v>2370</v>
      </c>
      <c r="G666" s="31" t="s">
        <v>116</v>
      </c>
      <c r="H666" s="31" t="s">
        <v>20</v>
      </c>
      <c r="I666" s="31">
        <v>4400.0</v>
      </c>
      <c r="J666" s="31" t="s">
        <v>2371</v>
      </c>
      <c r="K666" s="31" t="s">
        <v>2372</v>
      </c>
      <c r="L666" s="31" t="s">
        <v>2373</v>
      </c>
      <c r="M666" s="33">
        <v>1.0</v>
      </c>
      <c r="N666" s="31" t="s">
        <v>2374</v>
      </c>
      <c r="O666" s="31" t="s">
        <v>2375</v>
      </c>
    </row>
    <row r="667">
      <c r="A667" s="43">
        <v>45686.0</v>
      </c>
      <c r="B667" s="31" t="s">
        <v>2367</v>
      </c>
      <c r="C667" s="31">
        <v>8.07025029401E11</v>
      </c>
      <c r="D667" s="31" t="s">
        <v>2368</v>
      </c>
      <c r="E667" s="31" t="s">
        <v>2369</v>
      </c>
      <c r="F667" s="31" t="s">
        <v>2370</v>
      </c>
      <c r="G667" s="31" t="s">
        <v>116</v>
      </c>
      <c r="H667" s="31" t="s">
        <v>20</v>
      </c>
      <c r="I667" s="31">
        <v>4400.0</v>
      </c>
      <c r="J667" s="31" t="s">
        <v>2371</v>
      </c>
      <c r="K667" s="31" t="s">
        <v>35</v>
      </c>
      <c r="L667" s="31" t="s">
        <v>36</v>
      </c>
      <c r="M667" s="33">
        <v>1.0</v>
      </c>
      <c r="N667" s="31" t="s">
        <v>2374</v>
      </c>
      <c r="O667" s="31" t="s">
        <v>2375</v>
      </c>
    </row>
    <row r="668">
      <c r="A668" s="70">
        <v>45686.0</v>
      </c>
      <c r="B668" s="66" t="s">
        <v>2376</v>
      </c>
      <c r="C668" s="66">
        <v>8.05011508612E11</v>
      </c>
      <c r="D668" s="66" t="s">
        <v>2104</v>
      </c>
      <c r="E668" s="66" t="s">
        <v>2105</v>
      </c>
      <c r="F668" s="66" t="s">
        <v>2106</v>
      </c>
      <c r="G668" s="66" t="s">
        <v>20</v>
      </c>
      <c r="H668" s="66" t="s">
        <v>20</v>
      </c>
      <c r="I668" s="66">
        <v>4400.0</v>
      </c>
      <c r="J668" s="66" t="s">
        <v>2377</v>
      </c>
      <c r="K668" s="66" t="s">
        <v>541</v>
      </c>
      <c r="L668" s="66" t="s">
        <v>542</v>
      </c>
      <c r="M668" s="67">
        <v>1.0</v>
      </c>
      <c r="N668" s="66" t="s">
        <v>2108</v>
      </c>
      <c r="O668" s="68"/>
    </row>
    <row r="669">
      <c r="A669" s="43">
        <v>45686.0</v>
      </c>
      <c r="B669" s="31" t="s">
        <v>2378</v>
      </c>
      <c r="C669" s="31">
        <v>8.05011508609E11</v>
      </c>
      <c r="D669" s="31" t="s">
        <v>2110</v>
      </c>
      <c r="E669" s="31" t="s">
        <v>2111</v>
      </c>
      <c r="F669" s="31" t="s">
        <v>2112</v>
      </c>
      <c r="G669" s="31" t="s">
        <v>20</v>
      </c>
      <c r="H669" s="31" t="s">
        <v>20</v>
      </c>
      <c r="I669" s="31">
        <v>4400.0</v>
      </c>
      <c r="J669" s="31" t="s">
        <v>2379</v>
      </c>
      <c r="K669" s="31" t="s">
        <v>541</v>
      </c>
      <c r="L669" s="31" t="s">
        <v>542</v>
      </c>
      <c r="M669" s="33">
        <v>1.0</v>
      </c>
      <c r="N669" s="31" t="s">
        <v>2114</v>
      </c>
      <c r="O669" s="34"/>
    </row>
    <row r="670">
      <c r="A670" s="70">
        <v>45686.0</v>
      </c>
      <c r="B670" s="66" t="s">
        <v>2380</v>
      </c>
      <c r="C670" s="66">
        <v>8.05011511451E11</v>
      </c>
      <c r="D670" s="66" t="s">
        <v>2381</v>
      </c>
      <c r="E670" s="66" t="s">
        <v>2382</v>
      </c>
      <c r="F670" s="66" t="s">
        <v>2383</v>
      </c>
      <c r="G670" s="66" t="s">
        <v>20</v>
      </c>
      <c r="H670" s="66" t="s">
        <v>20</v>
      </c>
      <c r="I670" s="66">
        <v>4400.0</v>
      </c>
      <c r="J670" s="66" t="s">
        <v>2384</v>
      </c>
      <c r="K670" s="66" t="s">
        <v>761</v>
      </c>
      <c r="L670" s="66" t="s">
        <v>762</v>
      </c>
      <c r="M670" s="67">
        <v>1.0</v>
      </c>
      <c r="N670" s="68"/>
      <c r="O670" s="68"/>
    </row>
    <row r="671">
      <c r="A671" s="43">
        <v>45686.0</v>
      </c>
      <c r="B671" s="31" t="s">
        <v>2385</v>
      </c>
      <c r="C671" s="31">
        <v>8.05011511485E11</v>
      </c>
      <c r="D671" s="31" t="s">
        <v>2386</v>
      </c>
      <c r="E671" s="31" t="s">
        <v>2387</v>
      </c>
      <c r="F671" s="31" t="s">
        <v>2388</v>
      </c>
      <c r="G671" s="31" t="s">
        <v>247</v>
      </c>
      <c r="H671" s="31" t="s">
        <v>20</v>
      </c>
      <c r="I671" s="31">
        <v>4400.0</v>
      </c>
      <c r="J671" s="31" t="s">
        <v>2389</v>
      </c>
      <c r="K671" s="31" t="s">
        <v>495</v>
      </c>
      <c r="L671" s="31" t="s">
        <v>496</v>
      </c>
      <c r="M671" s="33">
        <v>2.0</v>
      </c>
      <c r="N671" s="31" t="s">
        <v>2390</v>
      </c>
      <c r="O671" s="31" t="s">
        <v>2391</v>
      </c>
    </row>
    <row r="672">
      <c r="A672" s="43">
        <v>45686.0</v>
      </c>
      <c r="B672" s="31" t="s">
        <v>2385</v>
      </c>
      <c r="C672" s="31">
        <v>8.05011511485E11</v>
      </c>
      <c r="D672" s="31" t="s">
        <v>2386</v>
      </c>
      <c r="E672" s="31" t="s">
        <v>2387</v>
      </c>
      <c r="F672" s="31" t="s">
        <v>2388</v>
      </c>
      <c r="G672" s="31" t="s">
        <v>247</v>
      </c>
      <c r="H672" s="31" t="s">
        <v>20</v>
      </c>
      <c r="I672" s="31">
        <v>4400.0</v>
      </c>
      <c r="J672" s="31" t="s">
        <v>2389</v>
      </c>
      <c r="K672" s="31" t="s">
        <v>761</v>
      </c>
      <c r="L672" s="31" t="s">
        <v>762</v>
      </c>
      <c r="M672" s="33">
        <v>1.0</v>
      </c>
      <c r="N672" s="31" t="s">
        <v>2390</v>
      </c>
      <c r="O672" s="31" t="s">
        <v>2391</v>
      </c>
    </row>
    <row r="673">
      <c r="A673" s="70">
        <v>45686.0</v>
      </c>
      <c r="B673" s="66" t="s">
        <v>2392</v>
      </c>
      <c r="C673" s="66">
        <v>8.07025029422E11</v>
      </c>
      <c r="D673" s="66" t="s">
        <v>2393</v>
      </c>
      <c r="E673" s="66" t="s">
        <v>2394</v>
      </c>
      <c r="F673" s="66" t="s">
        <v>2395</v>
      </c>
      <c r="G673" s="66" t="s">
        <v>116</v>
      </c>
      <c r="H673" s="66" t="s">
        <v>20</v>
      </c>
      <c r="I673" s="66">
        <v>4400.0</v>
      </c>
      <c r="J673" s="66" t="s">
        <v>2396</v>
      </c>
      <c r="K673" s="66" t="s">
        <v>2397</v>
      </c>
      <c r="L673" s="66" t="s">
        <v>2398</v>
      </c>
      <c r="M673" s="67">
        <v>1.0</v>
      </c>
      <c r="N673" s="66" t="s">
        <v>2240</v>
      </c>
      <c r="O673" s="66" t="s">
        <v>1746</v>
      </c>
    </row>
    <row r="674">
      <c r="A674" s="43">
        <v>45686.0</v>
      </c>
      <c r="B674" s="31" t="s">
        <v>2399</v>
      </c>
      <c r="C674" s="31">
        <v>8.07025029427E11</v>
      </c>
      <c r="D674" s="31" t="s">
        <v>2400</v>
      </c>
      <c r="E674" s="31" t="s">
        <v>2401</v>
      </c>
      <c r="F674" s="31" t="s">
        <v>2402</v>
      </c>
      <c r="G674" s="31" t="s">
        <v>116</v>
      </c>
      <c r="H674" s="31" t="s">
        <v>20</v>
      </c>
      <c r="I674" s="31">
        <v>4400.0</v>
      </c>
      <c r="J674" s="31" t="s">
        <v>2403</v>
      </c>
      <c r="K674" s="31" t="s">
        <v>32</v>
      </c>
      <c r="L674" s="31" t="s">
        <v>33</v>
      </c>
      <c r="M674" s="33">
        <v>1.0</v>
      </c>
      <c r="N674" s="31" t="s">
        <v>2240</v>
      </c>
      <c r="O674" s="31" t="s">
        <v>1746</v>
      </c>
    </row>
    <row r="675">
      <c r="A675" s="43">
        <v>45686.0</v>
      </c>
      <c r="B675" s="31" t="s">
        <v>2399</v>
      </c>
      <c r="C675" s="31">
        <v>8.07025029427E11</v>
      </c>
      <c r="D675" s="31" t="s">
        <v>2400</v>
      </c>
      <c r="E675" s="31" t="s">
        <v>2401</v>
      </c>
      <c r="F675" s="31" t="s">
        <v>2402</v>
      </c>
      <c r="G675" s="31" t="s">
        <v>116</v>
      </c>
      <c r="H675" s="31" t="s">
        <v>20</v>
      </c>
      <c r="I675" s="31">
        <v>4400.0</v>
      </c>
      <c r="J675" s="31" t="s">
        <v>2403</v>
      </c>
      <c r="K675" s="31" t="s">
        <v>1241</v>
      </c>
      <c r="L675" s="31" t="s">
        <v>1242</v>
      </c>
      <c r="M675" s="33">
        <v>1.0</v>
      </c>
      <c r="N675" s="31" t="s">
        <v>2240</v>
      </c>
      <c r="O675" s="31" t="s">
        <v>1746</v>
      </c>
    </row>
    <row r="676">
      <c r="A676" s="43">
        <v>45686.0</v>
      </c>
      <c r="B676" s="31" t="s">
        <v>2404</v>
      </c>
      <c r="C676" s="31">
        <v>8.07025029428E11</v>
      </c>
      <c r="D676" s="31" t="s">
        <v>2400</v>
      </c>
      <c r="E676" s="31" t="s">
        <v>2401</v>
      </c>
      <c r="F676" s="31" t="s">
        <v>2402</v>
      </c>
      <c r="G676" s="31" t="s">
        <v>116</v>
      </c>
      <c r="H676" s="31" t="s">
        <v>20</v>
      </c>
      <c r="I676" s="31">
        <v>4400.0</v>
      </c>
      <c r="J676" s="31" t="s">
        <v>2403</v>
      </c>
      <c r="K676" s="31" t="s">
        <v>1241</v>
      </c>
      <c r="L676" s="31" t="s">
        <v>1242</v>
      </c>
      <c r="M676" s="33">
        <v>1.0</v>
      </c>
      <c r="N676" s="31" t="s">
        <v>2240</v>
      </c>
      <c r="O676" s="31" t="s">
        <v>1746</v>
      </c>
    </row>
    <row r="677">
      <c r="A677" s="70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7"/>
      <c r="N677" s="66"/>
      <c r="O677" s="66"/>
    </row>
    <row r="678">
      <c r="A678" s="43">
        <v>45686.0</v>
      </c>
      <c r="B678" s="31" t="s">
        <v>2405</v>
      </c>
      <c r="C678" s="31">
        <v>8.07025029455E11</v>
      </c>
      <c r="D678" s="31" t="s">
        <v>2406</v>
      </c>
      <c r="E678" s="31" t="s">
        <v>2407</v>
      </c>
      <c r="F678" s="31" t="s">
        <v>2408</v>
      </c>
      <c r="G678" s="31" t="s">
        <v>116</v>
      </c>
      <c r="H678" s="31" t="s">
        <v>20</v>
      </c>
      <c r="I678" s="31">
        <v>4400.0</v>
      </c>
      <c r="J678" s="31" t="s">
        <v>2409</v>
      </c>
      <c r="K678" s="31" t="s">
        <v>2410</v>
      </c>
      <c r="L678" s="31" t="s">
        <v>2411</v>
      </c>
      <c r="M678" s="33">
        <v>1.0</v>
      </c>
      <c r="N678" s="31" t="s">
        <v>2240</v>
      </c>
      <c r="O678" s="31" t="s">
        <v>1746</v>
      </c>
    </row>
    <row r="679">
      <c r="A679" s="43">
        <v>45686.0</v>
      </c>
      <c r="B679" s="31" t="s">
        <v>2405</v>
      </c>
      <c r="C679" s="31">
        <v>8.07025029455E11</v>
      </c>
      <c r="D679" s="31" t="s">
        <v>2406</v>
      </c>
      <c r="E679" s="31" t="s">
        <v>2407</v>
      </c>
      <c r="F679" s="31" t="s">
        <v>2408</v>
      </c>
      <c r="G679" s="31" t="s">
        <v>116</v>
      </c>
      <c r="H679" s="31" t="s">
        <v>20</v>
      </c>
      <c r="I679" s="31">
        <v>4400.0</v>
      </c>
      <c r="J679" s="31" t="s">
        <v>2409</v>
      </c>
      <c r="K679" s="31" t="s">
        <v>2412</v>
      </c>
      <c r="L679" s="31" t="s">
        <v>2413</v>
      </c>
      <c r="M679" s="33">
        <v>1.0</v>
      </c>
      <c r="N679" s="31" t="s">
        <v>2240</v>
      </c>
      <c r="O679" s="31" t="s">
        <v>1746</v>
      </c>
    </row>
    <row r="680">
      <c r="A680" s="70">
        <v>45686.0</v>
      </c>
      <c r="B680" s="66" t="s">
        <v>2414</v>
      </c>
      <c r="C680" s="66">
        <v>8.0702502946E11</v>
      </c>
      <c r="D680" s="66" t="s">
        <v>2415</v>
      </c>
      <c r="E680" s="66" t="s">
        <v>2416</v>
      </c>
      <c r="F680" s="66" t="s">
        <v>2417</v>
      </c>
      <c r="G680" s="66" t="s">
        <v>296</v>
      </c>
      <c r="H680" s="66" t="s">
        <v>20</v>
      </c>
      <c r="I680" s="66">
        <v>4400.0</v>
      </c>
      <c r="J680" s="66" t="s">
        <v>2418</v>
      </c>
      <c r="K680" s="66" t="s">
        <v>2419</v>
      </c>
      <c r="L680" s="66" t="s">
        <v>2420</v>
      </c>
      <c r="M680" s="67">
        <v>1.0</v>
      </c>
      <c r="N680" s="66" t="s">
        <v>2421</v>
      </c>
      <c r="O680" s="66" t="s">
        <v>2422</v>
      </c>
    </row>
    <row r="681">
      <c r="A681" s="43">
        <v>45686.0</v>
      </c>
      <c r="B681" s="31" t="s">
        <v>2423</v>
      </c>
      <c r="C681" s="31">
        <v>8.05011511685E11</v>
      </c>
      <c r="D681" s="31" t="s">
        <v>2424</v>
      </c>
      <c r="E681" s="31" t="s">
        <v>2425</v>
      </c>
      <c r="F681" s="31" t="s">
        <v>2426</v>
      </c>
      <c r="G681" s="31" t="s">
        <v>2068</v>
      </c>
      <c r="H681" s="31" t="s">
        <v>20</v>
      </c>
      <c r="I681" s="31">
        <v>4403.0</v>
      </c>
      <c r="J681" s="31" t="s">
        <v>2427</v>
      </c>
      <c r="K681" s="31" t="s">
        <v>495</v>
      </c>
      <c r="L681" s="31" t="s">
        <v>496</v>
      </c>
      <c r="M681" s="33">
        <v>2.0</v>
      </c>
      <c r="N681" s="31" t="s">
        <v>2428</v>
      </c>
      <c r="O681" s="31">
        <v>1.0</v>
      </c>
    </row>
    <row r="682">
      <c r="A682" s="43">
        <v>45686.0</v>
      </c>
      <c r="B682" s="31" t="s">
        <v>2423</v>
      </c>
      <c r="C682" s="31">
        <v>8.05011511685E11</v>
      </c>
      <c r="D682" s="31" t="s">
        <v>2424</v>
      </c>
      <c r="E682" s="31" t="s">
        <v>2425</v>
      </c>
      <c r="F682" s="31" t="s">
        <v>2426</v>
      </c>
      <c r="G682" s="31" t="s">
        <v>2068</v>
      </c>
      <c r="H682" s="31" t="s">
        <v>20</v>
      </c>
      <c r="I682" s="31">
        <v>4403.0</v>
      </c>
      <c r="J682" s="31" t="s">
        <v>2427</v>
      </c>
      <c r="K682" s="31" t="s">
        <v>761</v>
      </c>
      <c r="L682" s="31" t="s">
        <v>762</v>
      </c>
      <c r="M682" s="33">
        <v>1.0</v>
      </c>
      <c r="N682" s="31" t="s">
        <v>2428</v>
      </c>
      <c r="O682" s="31">
        <v>1.0</v>
      </c>
    </row>
    <row r="683">
      <c r="A683" s="70">
        <v>45686.0</v>
      </c>
      <c r="B683" s="66" t="s">
        <v>2429</v>
      </c>
      <c r="C683" s="66">
        <v>8.05011511506E11</v>
      </c>
      <c r="D683" s="66" t="s">
        <v>2430</v>
      </c>
      <c r="E683" s="66" t="s">
        <v>2431</v>
      </c>
      <c r="F683" s="66" t="s">
        <v>2432</v>
      </c>
      <c r="G683" s="66" t="s">
        <v>296</v>
      </c>
      <c r="H683" s="66" t="s">
        <v>20</v>
      </c>
      <c r="I683" s="66">
        <v>4400.0</v>
      </c>
      <c r="J683" s="66" t="s">
        <v>2433</v>
      </c>
      <c r="K683" s="66" t="s">
        <v>262</v>
      </c>
      <c r="L683" s="66" t="s">
        <v>263</v>
      </c>
      <c r="M683" s="67">
        <v>1.0</v>
      </c>
      <c r="N683" s="66" t="s">
        <v>2434</v>
      </c>
      <c r="O683" s="66" t="s">
        <v>2435</v>
      </c>
    </row>
    <row r="684">
      <c r="A684" s="70">
        <v>45686.0</v>
      </c>
      <c r="B684" s="66" t="s">
        <v>2429</v>
      </c>
      <c r="C684" s="66">
        <v>8.05011511506E11</v>
      </c>
      <c r="D684" s="66" t="s">
        <v>2430</v>
      </c>
      <c r="E684" s="66" t="s">
        <v>2431</v>
      </c>
      <c r="F684" s="66" t="s">
        <v>2432</v>
      </c>
      <c r="G684" s="66" t="s">
        <v>296</v>
      </c>
      <c r="H684" s="66" t="s">
        <v>20</v>
      </c>
      <c r="I684" s="66">
        <v>4400.0</v>
      </c>
      <c r="J684" s="66" t="s">
        <v>2433</v>
      </c>
      <c r="K684" s="66" t="s">
        <v>512</v>
      </c>
      <c r="L684" s="66" t="s">
        <v>513</v>
      </c>
      <c r="M684" s="67">
        <v>12.0</v>
      </c>
      <c r="N684" s="66" t="s">
        <v>2434</v>
      </c>
      <c r="O684" s="66" t="s">
        <v>2435</v>
      </c>
    </row>
    <row r="685">
      <c r="A685" s="70">
        <v>45686.0</v>
      </c>
      <c r="B685" s="66" t="s">
        <v>2429</v>
      </c>
      <c r="C685" s="66">
        <v>8.05011511506E11</v>
      </c>
      <c r="D685" s="66" t="s">
        <v>2430</v>
      </c>
      <c r="E685" s="66" t="s">
        <v>2431</v>
      </c>
      <c r="F685" s="66" t="s">
        <v>2432</v>
      </c>
      <c r="G685" s="66" t="s">
        <v>296</v>
      </c>
      <c r="H685" s="66" t="s">
        <v>20</v>
      </c>
      <c r="I685" s="66">
        <v>4400.0</v>
      </c>
      <c r="J685" s="66" t="s">
        <v>2433</v>
      </c>
      <c r="K685" s="66" t="s">
        <v>645</v>
      </c>
      <c r="L685" s="66" t="s">
        <v>646</v>
      </c>
      <c r="M685" s="67">
        <v>2.0</v>
      </c>
      <c r="N685" s="66" t="s">
        <v>2434</v>
      </c>
      <c r="O685" s="66" t="s">
        <v>2435</v>
      </c>
    </row>
    <row r="686" ht="9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3"/>
      <c r="N686" s="22"/>
      <c r="O686" s="22"/>
    </row>
    <row r="687">
      <c r="A687" s="70">
        <v>45693.0</v>
      </c>
      <c r="B687" s="66" t="s">
        <v>2436</v>
      </c>
      <c r="C687" s="66">
        <v>8.05011511939E11</v>
      </c>
      <c r="D687" s="66" t="s">
        <v>2437</v>
      </c>
      <c r="E687" s="66" t="s">
        <v>2438</v>
      </c>
      <c r="F687" s="66" t="s">
        <v>2439</v>
      </c>
      <c r="G687" s="66" t="s">
        <v>20</v>
      </c>
      <c r="H687" s="66" t="s">
        <v>20</v>
      </c>
      <c r="I687" s="66">
        <v>4400.0</v>
      </c>
      <c r="J687" s="66" t="s">
        <v>2440</v>
      </c>
      <c r="K687" s="66" t="s">
        <v>32</v>
      </c>
      <c r="L687" s="66" t="s">
        <v>33</v>
      </c>
      <c r="M687" s="67">
        <v>1.0</v>
      </c>
      <c r="N687" s="66" t="s">
        <v>2441</v>
      </c>
      <c r="O687" s="68"/>
    </row>
    <row r="688">
      <c r="A688" s="43">
        <v>45693.0</v>
      </c>
      <c r="B688" s="31" t="s">
        <v>2442</v>
      </c>
      <c r="C688" s="31">
        <v>8.0702502949E11</v>
      </c>
      <c r="D688" s="31" t="s">
        <v>2443</v>
      </c>
      <c r="E688" s="31" t="s">
        <v>2444</v>
      </c>
      <c r="F688" s="31" t="s">
        <v>2445</v>
      </c>
      <c r="G688" s="31" t="s">
        <v>2446</v>
      </c>
      <c r="H688" s="31" t="s">
        <v>20</v>
      </c>
      <c r="I688" s="31">
        <v>4512.0</v>
      </c>
      <c r="J688" s="31" t="s">
        <v>2447</v>
      </c>
      <c r="K688" s="31" t="s">
        <v>98</v>
      </c>
      <c r="L688" s="31" t="s">
        <v>99</v>
      </c>
      <c r="M688" s="33">
        <v>1.0</v>
      </c>
      <c r="N688" s="31" t="s">
        <v>2193</v>
      </c>
      <c r="O688" s="34"/>
    </row>
    <row r="689">
      <c r="A689" s="43">
        <v>45693.0</v>
      </c>
      <c r="B689" s="31" t="s">
        <v>2442</v>
      </c>
      <c r="C689" s="31">
        <v>8.0702502949E11</v>
      </c>
      <c r="D689" s="31" t="s">
        <v>2443</v>
      </c>
      <c r="E689" s="31" t="s">
        <v>2444</v>
      </c>
      <c r="F689" s="31" t="s">
        <v>2445</v>
      </c>
      <c r="G689" s="31" t="s">
        <v>2446</v>
      </c>
      <c r="H689" s="31" t="s">
        <v>20</v>
      </c>
      <c r="I689" s="31">
        <v>4512.0</v>
      </c>
      <c r="J689" s="31" t="s">
        <v>2447</v>
      </c>
      <c r="K689" s="31" t="s">
        <v>2412</v>
      </c>
      <c r="L689" s="31" t="s">
        <v>2413</v>
      </c>
      <c r="M689" s="33">
        <v>1.0</v>
      </c>
      <c r="N689" s="31" t="s">
        <v>2193</v>
      </c>
      <c r="O689" s="34"/>
    </row>
    <row r="690">
      <c r="A690" s="70">
        <v>45693.0</v>
      </c>
      <c r="B690" s="66" t="s">
        <v>2448</v>
      </c>
      <c r="C690" s="66">
        <v>8.07025029491E11</v>
      </c>
      <c r="D690" s="66" t="s">
        <v>2449</v>
      </c>
      <c r="E690" s="66" t="s">
        <v>2450</v>
      </c>
      <c r="F690" s="66" t="s">
        <v>2451</v>
      </c>
      <c r="G690" s="66" t="s">
        <v>116</v>
      </c>
      <c r="H690" s="66" t="s">
        <v>20</v>
      </c>
      <c r="I690" s="66">
        <v>4400.0</v>
      </c>
      <c r="J690" s="66" t="s">
        <v>2452</v>
      </c>
      <c r="K690" s="66" t="s">
        <v>98</v>
      </c>
      <c r="L690" s="66" t="s">
        <v>99</v>
      </c>
      <c r="M690" s="67">
        <v>1.0</v>
      </c>
      <c r="N690" s="66" t="s">
        <v>2240</v>
      </c>
      <c r="O690" s="68"/>
    </row>
    <row r="691">
      <c r="A691" s="70">
        <v>45693.0</v>
      </c>
      <c r="B691" s="66" t="s">
        <v>2448</v>
      </c>
      <c r="C691" s="66">
        <v>8.07025029491E11</v>
      </c>
      <c r="D691" s="66" t="s">
        <v>2449</v>
      </c>
      <c r="E691" s="66" t="s">
        <v>2450</v>
      </c>
      <c r="F691" s="66" t="s">
        <v>2451</v>
      </c>
      <c r="G691" s="66" t="s">
        <v>116</v>
      </c>
      <c r="H691" s="66" t="s">
        <v>20</v>
      </c>
      <c r="I691" s="66">
        <v>4400.0</v>
      </c>
      <c r="J691" s="66" t="s">
        <v>2452</v>
      </c>
      <c r="K691" s="66" t="s">
        <v>2412</v>
      </c>
      <c r="L691" s="66" t="s">
        <v>2413</v>
      </c>
      <c r="M691" s="67">
        <v>1.0</v>
      </c>
      <c r="N691" s="66" t="s">
        <v>2240</v>
      </c>
      <c r="O691" s="68"/>
    </row>
    <row r="692">
      <c r="A692" s="43">
        <v>45693.0</v>
      </c>
      <c r="B692" s="31" t="s">
        <v>2453</v>
      </c>
      <c r="C692" s="31">
        <v>8.05011512037E11</v>
      </c>
      <c r="D692" s="31" t="s">
        <v>2454</v>
      </c>
      <c r="E692" s="31" t="s">
        <v>2455</v>
      </c>
      <c r="F692" s="31" t="s">
        <v>2456</v>
      </c>
      <c r="G692" s="31" t="s">
        <v>539</v>
      </c>
      <c r="H692" s="31" t="s">
        <v>20</v>
      </c>
      <c r="I692" s="31">
        <v>4405.0</v>
      </c>
      <c r="J692" s="31" t="s">
        <v>2457</v>
      </c>
      <c r="K692" s="31" t="s">
        <v>741</v>
      </c>
      <c r="L692" s="31" t="s">
        <v>742</v>
      </c>
      <c r="M692" s="33">
        <v>1.0</v>
      </c>
      <c r="N692" s="34"/>
      <c r="O692" s="31" t="s">
        <v>2458</v>
      </c>
    </row>
    <row r="693">
      <c r="A693" s="43">
        <v>45693.0</v>
      </c>
      <c r="B693" s="31" t="s">
        <v>2453</v>
      </c>
      <c r="C693" s="31">
        <v>8.05011512037E11</v>
      </c>
      <c r="D693" s="31" t="s">
        <v>2454</v>
      </c>
      <c r="E693" s="31" t="s">
        <v>2455</v>
      </c>
      <c r="F693" s="31" t="s">
        <v>2456</v>
      </c>
      <c r="G693" s="31" t="s">
        <v>539</v>
      </c>
      <c r="H693" s="31" t="s">
        <v>20</v>
      </c>
      <c r="I693" s="31">
        <v>4405.0</v>
      </c>
      <c r="J693" s="31" t="s">
        <v>2457</v>
      </c>
      <c r="K693" s="31" t="s">
        <v>744</v>
      </c>
      <c r="L693" s="31" t="s">
        <v>745</v>
      </c>
      <c r="M693" s="33">
        <v>1.0</v>
      </c>
      <c r="N693" s="34"/>
      <c r="O693" s="31" t="s">
        <v>2458</v>
      </c>
    </row>
    <row r="694">
      <c r="A694" s="70">
        <v>45693.0</v>
      </c>
      <c r="B694" s="66" t="s">
        <v>2459</v>
      </c>
      <c r="C694" s="66">
        <v>8.05011512064E11</v>
      </c>
      <c r="D694" s="66" t="s">
        <v>2460</v>
      </c>
      <c r="E694" s="66" t="s">
        <v>2461</v>
      </c>
      <c r="F694" s="66" t="s">
        <v>2462</v>
      </c>
      <c r="G694" s="66" t="s">
        <v>2463</v>
      </c>
      <c r="H694" s="66" t="s">
        <v>20</v>
      </c>
      <c r="I694" s="66">
        <v>4530.0</v>
      </c>
      <c r="J694" s="66" t="s">
        <v>2464</v>
      </c>
      <c r="K694" s="66" t="s">
        <v>32</v>
      </c>
      <c r="L694" s="66" t="s">
        <v>33</v>
      </c>
      <c r="M694" s="67">
        <v>1.0</v>
      </c>
      <c r="N694" s="66" t="s">
        <v>2465</v>
      </c>
      <c r="O694" s="68"/>
    </row>
    <row r="695">
      <c r="A695" s="70">
        <v>45693.0</v>
      </c>
      <c r="B695" s="66" t="s">
        <v>2459</v>
      </c>
      <c r="C695" s="66">
        <v>8.05011512064E11</v>
      </c>
      <c r="D695" s="66" t="s">
        <v>2460</v>
      </c>
      <c r="E695" s="66" t="s">
        <v>2461</v>
      </c>
      <c r="F695" s="66" t="s">
        <v>2462</v>
      </c>
      <c r="G695" s="66" t="s">
        <v>2463</v>
      </c>
      <c r="H695" s="66" t="s">
        <v>20</v>
      </c>
      <c r="I695" s="66">
        <v>4530.0</v>
      </c>
      <c r="J695" s="66" t="s">
        <v>2464</v>
      </c>
      <c r="K695" s="66" t="s">
        <v>35</v>
      </c>
      <c r="L695" s="66" t="s">
        <v>36</v>
      </c>
      <c r="M695" s="67">
        <v>1.0</v>
      </c>
      <c r="N695" s="66" t="s">
        <v>2465</v>
      </c>
      <c r="O695" s="68"/>
    </row>
    <row r="696">
      <c r="A696" s="70">
        <v>45693.0</v>
      </c>
      <c r="B696" s="66" t="s">
        <v>2459</v>
      </c>
      <c r="C696" s="66">
        <v>8.05011512064E11</v>
      </c>
      <c r="D696" s="66" t="s">
        <v>2460</v>
      </c>
      <c r="E696" s="66" t="s">
        <v>2461</v>
      </c>
      <c r="F696" s="66" t="s">
        <v>2462</v>
      </c>
      <c r="G696" s="66" t="s">
        <v>2463</v>
      </c>
      <c r="H696" s="66" t="s">
        <v>20</v>
      </c>
      <c r="I696" s="66">
        <v>4530.0</v>
      </c>
      <c r="J696" s="66" t="s">
        <v>2464</v>
      </c>
      <c r="K696" s="66" t="s">
        <v>512</v>
      </c>
      <c r="L696" s="66" t="s">
        <v>513</v>
      </c>
      <c r="M696" s="67">
        <v>6.0</v>
      </c>
      <c r="N696" s="66" t="s">
        <v>2465</v>
      </c>
      <c r="O696" s="68"/>
    </row>
    <row r="697">
      <c r="A697" s="43">
        <v>45693.0</v>
      </c>
      <c r="B697" s="31" t="s">
        <v>2466</v>
      </c>
      <c r="C697" s="31">
        <v>8.05011512069E11</v>
      </c>
      <c r="D697" s="31" t="s">
        <v>2467</v>
      </c>
      <c r="E697" s="31" t="s">
        <v>2468</v>
      </c>
      <c r="F697" s="31" t="s">
        <v>2469</v>
      </c>
      <c r="G697" s="31" t="s">
        <v>20</v>
      </c>
      <c r="H697" s="31" t="s">
        <v>20</v>
      </c>
      <c r="I697" s="31">
        <v>4400.0</v>
      </c>
      <c r="J697" s="31" t="s">
        <v>2470</v>
      </c>
      <c r="K697" s="31" t="s">
        <v>541</v>
      </c>
      <c r="L697" s="31" t="s">
        <v>542</v>
      </c>
      <c r="M697" s="33">
        <v>1.0</v>
      </c>
      <c r="N697" s="31" t="s">
        <v>2471</v>
      </c>
      <c r="O697" s="34"/>
    </row>
    <row r="698">
      <c r="A698" s="43">
        <v>45693.0</v>
      </c>
      <c r="B698" s="31" t="s">
        <v>2466</v>
      </c>
      <c r="C698" s="31">
        <v>8.05011512069E11</v>
      </c>
      <c r="D698" s="31" t="s">
        <v>2467</v>
      </c>
      <c r="E698" s="31" t="s">
        <v>2468</v>
      </c>
      <c r="F698" s="31" t="s">
        <v>2469</v>
      </c>
      <c r="G698" s="31" t="s">
        <v>20</v>
      </c>
      <c r="H698" s="31" t="s">
        <v>20</v>
      </c>
      <c r="I698" s="31">
        <v>4400.0</v>
      </c>
      <c r="J698" s="31" t="s">
        <v>2470</v>
      </c>
      <c r="K698" s="31" t="s">
        <v>512</v>
      </c>
      <c r="L698" s="31" t="s">
        <v>513</v>
      </c>
      <c r="M698" s="33">
        <v>6.0</v>
      </c>
      <c r="N698" s="31" t="s">
        <v>2471</v>
      </c>
      <c r="O698" s="34"/>
    </row>
    <row r="699">
      <c r="A699" s="43">
        <v>45693.0</v>
      </c>
      <c r="B699" s="31" t="s">
        <v>2466</v>
      </c>
      <c r="C699" s="31">
        <v>8.05011512069E11</v>
      </c>
      <c r="D699" s="31" t="s">
        <v>2467</v>
      </c>
      <c r="E699" s="31" t="s">
        <v>2468</v>
      </c>
      <c r="F699" s="31" t="s">
        <v>2469</v>
      </c>
      <c r="G699" s="31" t="s">
        <v>20</v>
      </c>
      <c r="H699" s="31" t="s">
        <v>20</v>
      </c>
      <c r="I699" s="31">
        <v>4400.0</v>
      </c>
      <c r="J699" s="31" t="s">
        <v>2470</v>
      </c>
      <c r="K699" s="31" t="s">
        <v>1345</v>
      </c>
      <c r="L699" s="31" t="s">
        <v>1346</v>
      </c>
      <c r="M699" s="33">
        <v>1.0</v>
      </c>
      <c r="N699" s="31" t="s">
        <v>2471</v>
      </c>
      <c r="O699" s="34"/>
    </row>
    <row r="700">
      <c r="A700" s="70">
        <v>45693.0</v>
      </c>
      <c r="B700" s="66" t="s">
        <v>2472</v>
      </c>
      <c r="C700" s="66">
        <v>8.05011512047E11</v>
      </c>
      <c r="D700" s="66" t="s">
        <v>2473</v>
      </c>
      <c r="E700" s="66" t="s">
        <v>2474</v>
      </c>
      <c r="F700" s="66" t="s">
        <v>2475</v>
      </c>
      <c r="G700" s="66" t="s">
        <v>20</v>
      </c>
      <c r="H700" s="66" t="s">
        <v>20</v>
      </c>
      <c r="I700" s="66">
        <v>4400.0</v>
      </c>
      <c r="J700" s="66" t="s">
        <v>2476</v>
      </c>
      <c r="K700" s="66" t="s">
        <v>98</v>
      </c>
      <c r="L700" s="66" t="s">
        <v>99</v>
      </c>
      <c r="M700" s="67">
        <v>1.0</v>
      </c>
      <c r="N700" s="66" t="s">
        <v>2477</v>
      </c>
      <c r="O700" s="66" t="s">
        <v>2478</v>
      </c>
    </row>
    <row r="701">
      <c r="A701" s="43">
        <v>45693.0</v>
      </c>
      <c r="B701" s="31" t="s">
        <v>2479</v>
      </c>
      <c r="C701" s="31">
        <v>8.05011512031E11</v>
      </c>
      <c r="D701" s="31" t="s">
        <v>2480</v>
      </c>
      <c r="E701" s="31" t="s">
        <v>2481</v>
      </c>
      <c r="F701" s="31" t="s">
        <v>2482</v>
      </c>
      <c r="G701" s="31" t="s">
        <v>58</v>
      </c>
      <c r="H701" s="31" t="s">
        <v>20</v>
      </c>
      <c r="I701" s="31">
        <v>4400.0</v>
      </c>
      <c r="J701" s="31" t="s">
        <v>2483</v>
      </c>
      <c r="K701" s="31" t="s">
        <v>2359</v>
      </c>
      <c r="L701" s="31" t="s">
        <v>2360</v>
      </c>
      <c r="M701" s="33">
        <v>1.0</v>
      </c>
      <c r="N701" s="31" t="s">
        <v>2484</v>
      </c>
      <c r="O701" s="34"/>
    </row>
    <row r="702">
      <c r="A702" s="70">
        <v>45693.0</v>
      </c>
      <c r="B702" s="66" t="s">
        <v>2485</v>
      </c>
      <c r="C702" s="66">
        <v>8.05011512033E11</v>
      </c>
      <c r="D702" s="66" t="s">
        <v>2486</v>
      </c>
      <c r="E702" s="66" t="s">
        <v>2487</v>
      </c>
      <c r="F702" s="66" t="s">
        <v>2488</v>
      </c>
      <c r="G702" s="66" t="s">
        <v>1142</v>
      </c>
      <c r="H702" s="66" t="s">
        <v>20</v>
      </c>
      <c r="I702" s="66">
        <v>4430.0</v>
      </c>
      <c r="J702" s="66" t="s">
        <v>2489</v>
      </c>
      <c r="K702" s="66" t="s">
        <v>2490</v>
      </c>
      <c r="L702" s="66" t="s">
        <v>2491</v>
      </c>
      <c r="M702" s="67">
        <v>1.0</v>
      </c>
      <c r="N702" s="68"/>
      <c r="O702" s="68"/>
    </row>
    <row r="703">
      <c r="A703" s="43">
        <v>45693.0</v>
      </c>
      <c r="B703" s="31" t="s">
        <v>2492</v>
      </c>
      <c r="C703" s="31">
        <v>8.070250295E11</v>
      </c>
      <c r="D703" s="31" t="s">
        <v>2493</v>
      </c>
      <c r="E703" s="31" t="s">
        <v>2494</v>
      </c>
      <c r="F703" s="31" t="s">
        <v>2495</v>
      </c>
      <c r="G703" s="31" t="s">
        <v>1859</v>
      </c>
      <c r="H703" s="31" t="s">
        <v>20</v>
      </c>
      <c r="I703" s="31">
        <v>4403.0</v>
      </c>
      <c r="J703" s="31" t="s">
        <v>2496</v>
      </c>
      <c r="K703" s="31" t="s">
        <v>88</v>
      </c>
      <c r="L703" s="31" t="s">
        <v>89</v>
      </c>
      <c r="M703" s="33">
        <v>1.0</v>
      </c>
      <c r="N703" s="31" t="s">
        <v>2497</v>
      </c>
      <c r="O703" s="31" t="s">
        <v>1986</v>
      </c>
    </row>
    <row r="704">
      <c r="A704" s="43">
        <v>45693.0</v>
      </c>
      <c r="B704" s="31" t="s">
        <v>2492</v>
      </c>
      <c r="C704" s="31">
        <v>8.070250295E11</v>
      </c>
      <c r="D704" s="31" t="s">
        <v>2493</v>
      </c>
      <c r="E704" s="31" t="s">
        <v>2494</v>
      </c>
      <c r="F704" s="31" t="s">
        <v>2495</v>
      </c>
      <c r="G704" s="31" t="s">
        <v>1859</v>
      </c>
      <c r="H704" s="31" t="s">
        <v>20</v>
      </c>
      <c r="I704" s="31">
        <v>4403.0</v>
      </c>
      <c r="J704" s="31" t="s">
        <v>2496</v>
      </c>
      <c r="K704" s="31" t="s">
        <v>98</v>
      </c>
      <c r="L704" s="31" t="s">
        <v>99</v>
      </c>
      <c r="M704" s="33">
        <v>1.0</v>
      </c>
      <c r="N704" s="31" t="s">
        <v>2497</v>
      </c>
      <c r="O704" s="31" t="s">
        <v>1986</v>
      </c>
    </row>
    <row r="705">
      <c r="A705" s="70">
        <v>45693.0</v>
      </c>
      <c r="B705" s="66" t="s">
        <v>2498</v>
      </c>
      <c r="C705" s="66">
        <v>8.0702502951E11</v>
      </c>
      <c r="D705" s="66" t="s">
        <v>2499</v>
      </c>
      <c r="E705" s="66" t="s">
        <v>2500</v>
      </c>
      <c r="F705" s="66" t="s">
        <v>2501</v>
      </c>
      <c r="G705" s="66" t="s">
        <v>2502</v>
      </c>
      <c r="H705" s="66" t="s">
        <v>20</v>
      </c>
      <c r="I705" s="66">
        <v>4401.0</v>
      </c>
      <c r="J705" s="66" t="s">
        <v>2503</v>
      </c>
      <c r="K705" s="66" t="s">
        <v>495</v>
      </c>
      <c r="L705" s="66" t="s">
        <v>496</v>
      </c>
      <c r="M705" s="67">
        <v>2.0</v>
      </c>
      <c r="N705" s="66" t="s">
        <v>2504</v>
      </c>
      <c r="O705" s="66" t="s">
        <v>2505</v>
      </c>
    </row>
    <row r="706">
      <c r="A706" s="70">
        <v>45693.0</v>
      </c>
      <c r="B706" s="66" t="s">
        <v>2498</v>
      </c>
      <c r="C706" s="66">
        <v>8.0702502951E11</v>
      </c>
      <c r="D706" s="66" t="s">
        <v>2499</v>
      </c>
      <c r="E706" s="66" t="s">
        <v>2500</v>
      </c>
      <c r="F706" s="66" t="s">
        <v>2501</v>
      </c>
      <c r="G706" s="66" t="s">
        <v>2502</v>
      </c>
      <c r="H706" s="66" t="s">
        <v>20</v>
      </c>
      <c r="I706" s="66">
        <v>4401.0</v>
      </c>
      <c r="J706" s="66" t="s">
        <v>2503</v>
      </c>
      <c r="K706" s="66" t="s">
        <v>761</v>
      </c>
      <c r="L706" s="66" t="s">
        <v>762</v>
      </c>
      <c r="M706" s="67">
        <v>1.0</v>
      </c>
      <c r="N706" s="66" t="s">
        <v>2504</v>
      </c>
      <c r="O706" s="66" t="s">
        <v>2505</v>
      </c>
    </row>
    <row r="707">
      <c r="A707" s="43">
        <v>45693.0</v>
      </c>
      <c r="B707" s="31" t="s">
        <v>2506</v>
      </c>
      <c r="C707" s="31">
        <v>8.0501151165E11</v>
      </c>
      <c r="D707" s="31" t="s">
        <v>2507</v>
      </c>
      <c r="E707" s="31" t="s">
        <v>2508</v>
      </c>
      <c r="F707" s="31" t="s">
        <v>2509</v>
      </c>
      <c r="G707" s="31" t="s">
        <v>20</v>
      </c>
      <c r="H707" s="31" t="s">
        <v>20</v>
      </c>
      <c r="I707" s="31">
        <v>4400.0</v>
      </c>
      <c r="J707" s="31" t="s">
        <v>2510</v>
      </c>
      <c r="K707" s="31" t="s">
        <v>698</v>
      </c>
      <c r="L707" s="31" t="s">
        <v>699</v>
      </c>
      <c r="M707" s="33">
        <v>2.0</v>
      </c>
      <c r="N707" s="31" t="s">
        <v>2511</v>
      </c>
      <c r="O707" s="34"/>
    </row>
    <row r="708">
      <c r="A708" s="43">
        <v>45693.0</v>
      </c>
      <c r="B708" s="31" t="s">
        <v>2506</v>
      </c>
      <c r="C708" s="31">
        <v>8.0501151165E11</v>
      </c>
      <c r="D708" s="31" t="s">
        <v>2507</v>
      </c>
      <c r="E708" s="31" t="s">
        <v>2508</v>
      </c>
      <c r="F708" s="31" t="s">
        <v>2509</v>
      </c>
      <c r="G708" s="31" t="s">
        <v>20</v>
      </c>
      <c r="H708" s="31" t="s">
        <v>20</v>
      </c>
      <c r="I708" s="31">
        <v>4400.0</v>
      </c>
      <c r="J708" s="31" t="s">
        <v>2510</v>
      </c>
      <c r="K708" s="31" t="s">
        <v>701</v>
      </c>
      <c r="L708" s="31" t="s">
        <v>702</v>
      </c>
      <c r="M708" s="33">
        <v>2.0</v>
      </c>
      <c r="N708" s="31" t="s">
        <v>2511</v>
      </c>
      <c r="O708" s="34"/>
    </row>
    <row r="709">
      <c r="A709" s="70">
        <v>45693.0</v>
      </c>
      <c r="B709" s="66" t="s">
        <v>2512</v>
      </c>
      <c r="C709" s="66">
        <v>8.05011512129E11</v>
      </c>
      <c r="D709" s="66" t="s">
        <v>2513</v>
      </c>
      <c r="E709" s="66" t="s">
        <v>2514</v>
      </c>
      <c r="F709" s="66" t="s">
        <v>2515</v>
      </c>
      <c r="G709" s="66" t="s">
        <v>532</v>
      </c>
      <c r="H709" s="66" t="s">
        <v>20</v>
      </c>
      <c r="I709" s="66">
        <v>4427.0</v>
      </c>
      <c r="J709" s="66" t="s">
        <v>2516</v>
      </c>
      <c r="K709" s="66" t="s">
        <v>129</v>
      </c>
      <c r="L709" s="66" t="s">
        <v>130</v>
      </c>
      <c r="M709" s="67">
        <v>1.0</v>
      </c>
      <c r="N709" s="66" t="s">
        <v>2517</v>
      </c>
      <c r="O709" s="68"/>
    </row>
    <row r="710">
      <c r="A710" s="43">
        <v>45693.0</v>
      </c>
      <c r="B710" s="31" t="s">
        <v>2518</v>
      </c>
      <c r="C710" s="31">
        <v>8.0501151216E11</v>
      </c>
      <c r="D710" s="31" t="s">
        <v>2519</v>
      </c>
      <c r="E710" s="31" t="s">
        <v>2520</v>
      </c>
      <c r="F710" s="31" t="s">
        <v>2521</v>
      </c>
      <c r="G710" s="31" t="s">
        <v>2522</v>
      </c>
      <c r="H710" s="31" t="s">
        <v>20</v>
      </c>
      <c r="I710" s="31">
        <v>4415.0</v>
      </c>
      <c r="J710" s="31" t="s">
        <v>2523</v>
      </c>
      <c r="K710" s="31" t="s">
        <v>541</v>
      </c>
      <c r="L710" s="31" t="s">
        <v>542</v>
      </c>
      <c r="M710" s="33">
        <v>1.0</v>
      </c>
      <c r="N710" s="31" t="s">
        <v>2524</v>
      </c>
      <c r="O710" s="34"/>
    </row>
    <row r="711">
      <c r="A711" s="70">
        <v>45693.0</v>
      </c>
      <c r="B711" s="66" t="s">
        <v>2525</v>
      </c>
      <c r="C711" s="66">
        <v>8.07025029516E11</v>
      </c>
      <c r="D711" s="66" t="s">
        <v>2526</v>
      </c>
      <c r="E711" s="66" t="s">
        <v>2527</v>
      </c>
      <c r="F711" s="66" t="s">
        <v>2528</v>
      </c>
      <c r="G711" s="66" t="s">
        <v>116</v>
      </c>
      <c r="H711" s="66" t="s">
        <v>20</v>
      </c>
      <c r="I711" s="66">
        <v>4400.0</v>
      </c>
      <c r="J711" s="66" t="s">
        <v>2529</v>
      </c>
      <c r="K711" s="66" t="s">
        <v>1766</v>
      </c>
      <c r="L711" s="66" t="s">
        <v>1767</v>
      </c>
      <c r="M711" s="67">
        <v>1.0</v>
      </c>
      <c r="N711" s="66" t="s">
        <v>2530</v>
      </c>
      <c r="O711" s="66" t="s">
        <v>2531</v>
      </c>
    </row>
    <row r="712">
      <c r="A712" s="70">
        <v>45693.0</v>
      </c>
      <c r="B712" s="66" t="s">
        <v>2525</v>
      </c>
      <c r="C712" s="66">
        <v>8.07025029516E11</v>
      </c>
      <c r="D712" s="66" t="s">
        <v>2526</v>
      </c>
      <c r="E712" s="66" t="s">
        <v>2527</v>
      </c>
      <c r="F712" s="66" t="s">
        <v>2528</v>
      </c>
      <c r="G712" s="66" t="s">
        <v>116</v>
      </c>
      <c r="H712" s="66" t="s">
        <v>20</v>
      </c>
      <c r="I712" s="66">
        <v>4400.0</v>
      </c>
      <c r="J712" s="66" t="s">
        <v>2529</v>
      </c>
      <c r="K712" s="66" t="s">
        <v>512</v>
      </c>
      <c r="L712" s="66" t="s">
        <v>513</v>
      </c>
      <c r="M712" s="67">
        <v>12.0</v>
      </c>
      <c r="N712" s="66" t="s">
        <v>2530</v>
      </c>
      <c r="O712" s="66" t="s">
        <v>2531</v>
      </c>
    </row>
    <row r="713">
      <c r="A713" s="70">
        <v>45693.0</v>
      </c>
      <c r="B713" s="66" t="s">
        <v>2525</v>
      </c>
      <c r="C713" s="66">
        <v>8.07025029516E11</v>
      </c>
      <c r="D713" s="66" t="s">
        <v>2526</v>
      </c>
      <c r="E713" s="66" t="s">
        <v>2527</v>
      </c>
      <c r="F713" s="66" t="s">
        <v>2528</v>
      </c>
      <c r="G713" s="66" t="s">
        <v>116</v>
      </c>
      <c r="H713" s="66" t="s">
        <v>20</v>
      </c>
      <c r="I713" s="66">
        <v>4400.0</v>
      </c>
      <c r="J713" s="66" t="s">
        <v>2529</v>
      </c>
      <c r="K713" s="66" t="s">
        <v>233</v>
      </c>
      <c r="L713" s="66" t="s">
        <v>234</v>
      </c>
      <c r="M713" s="67">
        <v>2.0</v>
      </c>
      <c r="N713" s="66" t="s">
        <v>2530</v>
      </c>
      <c r="O713" s="66" t="s">
        <v>2531</v>
      </c>
    </row>
    <row r="714">
      <c r="A714" s="70">
        <v>45693.0</v>
      </c>
      <c r="B714" s="66" t="s">
        <v>2532</v>
      </c>
      <c r="C714" s="66">
        <v>8.0702502953E11</v>
      </c>
      <c r="D714" s="66" t="s">
        <v>2533</v>
      </c>
      <c r="E714" s="66" t="s">
        <v>2534</v>
      </c>
      <c r="F714" s="66" t="s">
        <v>2535</v>
      </c>
      <c r="G714" s="66" t="s">
        <v>116</v>
      </c>
      <c r="H714" s="66" t="s">
        <v>20</v>
      </c>
      <c r="I714" s="66">
        <v>4400.0</v>
      </c>
      <c r="J714" s="66" t="s">
        <v>2536</v>
      </c>
      <c r="K714" s="66" t="s">
        <v>2537</v>
      </c>
      <c r="L714" s="66" t="s">
        <v>2538</v>
      </c>
      <c r="M714" s="67">
        <v>1.0</v>
      </c>
      <c r="N714" s="66" t="s">
        <v>2539</v>
      </c>
      <c r="O714" s="66" t="s">
        <v>2540</v>
      </c>
    </row>
    <row r="715">
      <c r="A715" s="70">
        <v>45693.0</v>
      </c>
      <c r="B715" s="66" t="s">
        <v>2532</v>
      </c>
      <c r="C715" s="66">
        <v>8.0702502953E11</v>
      </c>
      <c r="D715" s="66" t="s">
        <v>2533</v>
      </c>
      <c r="E715" s="66" t="s">
        <v>2534</v>
      </c>
      <c r="F715" s="66" t="s">
        <v>2535</v>
      </c>
      <c r="G715" s="66" t="s">
        <v>116</v>
      </c>
      <c r="H715" s="66" t="s">
        <v>20</v>
      </c>
      <c r="I715" s="66">
        <v>4400.0</v>
      </c>
      <c r="J715" s="66" t="s">
        <v>2536</v>
      </c>
      <c r="K715" s="66" t="s">
        <v>512</v>
      </c>
      <c r="L715" s="66" t="s">
        <v>513</v>
      </c>
      <c r="M715" s="67">
        <v>12.0</v>
      </c>
      <c r="N715" s="66" t="s">
        <v>2539</v>
      </c>
      <c r="O715" s="66" t="s">
        <v>2540</v>
      </c>
    </row>
    <row r="716">
      <c r="A716" s="70">
        <v>45693.0</v>
      </c>
      <c r="B716" s="66" t="s">
        <v>2532</v>
      </c>
      <c r="C716" s="66">
        <v>8.0702502953E11</v>
      </c>
      <c r="D716" s="66" t="s">
        <v>2533</v>
      </c>
      <c r="E716" s="66" t="s">
        <v>2534</v>
      </c>
      <c r="F716" s="66" t="s">
        <v>2535</v>
      </c>
      <c r="G716" s="66" t="s">
        <v>116</v>
      </c>
      <c r="H716" s="66" t="s">
        <v>20</v>
      </c>
      <c r="I716" s="66">
        <v>4400.0</v>
      </c>
      <c r="J716" s="66" t="s">
        <v>2536</v>
      </c>
      <c r="K716" s="66" t="s">
        <v>340</v>
      </c>
      <c r="L716" s="66" t="s">
        <v>341</v>
      </c>
      <c r="M716" s="67">
        <v>2.0</v>
      </c>
      <c r="N716" s="66" t="s">
        <v>2539</v>
      </c>
      <c r="O716" s="66" t="s">
        <v>2540</v>
      </c>
    </row>
    <row r="717">
      <c r="A717" s="43">
        <v>45693.0</v>
      </c>
      <c r="B717" s="31" t="s">
        <v>2541</v>
      </c>
      <c r="C717" s="31">
        <v>8.06116050999E11</v>
      </c>
      <c r="D717" s="31" t="s">
        <v>2542</v>
      </c>
      <c r="E717" s="31" t="s">
        <v>2543</v>
      </c>
      <c r="F717" s="31" t="s">
        <v>2544</v>
      </c>
      <c r="G717" s="31" t="s">
        <v>116</v>
      </c>
      <c r="H717" s="31" t="s">
        <v>20</v>
      </c>
      <c r="I717" s="31">
        <v>4400.0</v>
      </c>
      <c r="J717" s="31" t="s">
        <v>2545</v>
      </c>
      <c r="K717" s="31" t="s">
        <v>2546</v>
      </c>
      <c r="L717" s="31" t="s">
        <v>2547</v>
      </c>
      <c r="M717" s="33">
        <v>1.0</v>
      </c>
      <c r="N717" s="31" t="s">
        <v>2548</v>
      </c>
      <c r="O717" s="31" t="s">
        <v>2549</v>
      </c>
    </row>
    <row r="718">
      <c r="A718" s="43">
        <v>45693.0</v>
      </c>
      <c r="B718" s="31" t="s">
        <v>2541</v>
      </c>
      <c r="C718" s="31">
        <v>8.06116050999E11</v>
      </c>
      <c r="D718" s="31" t="s">
        <v>2542</v>
      </c>
      <c r="E718" s="31" t="s">
        <v>2543</v>
      </c>
      <c r="F718" s="31" t="s">
        <v>2544</v>
      </c>
      <c r="G718" s="31" t="s">
        <v>116</v>
      </c>
      <c r="H718" s="31" t="s">
        <v>20</v>
      </c>
      <c r="I718" s="31">
        <v>4400.0</v>
      </c>
      <c r="J718" s="31" t="s">
        <v>2545</v>
      </c>
      <c r="K718" s="31" t="s">
        <v>512</v>
      </c>
      <c r="L718" s="31" t="s">
        <v>513</v>
      </c>
      <c r="M718" s="33">
        <v>6.0</v>
      </c>
      <c r="N718" s="31" t="s">
        <v>2548</v>
      </c>
      <c r="O718" s="31" t="s">
        <v>2549</v>
      </c>
    </row>
    <row r="719">
      <c r="A719" s="43">
        <v>45693.0</v>
      </c>
      <c r="B719" s="31" t="s">
        <v>2541</v>
      </c>
      <c r="C719" s="31">
        <v>8.06116050999E11</v>
      </c>
      <c r="D719" s="31" t="s">
        <v>2542</v>
      </c>
      <c r="E719" s="31" t="s">
        <v>2543</v>
      </c>
      <c r="F719" s="31" t="s">
        <v>2544</v>
      </c>
      <c r="G719" s="31" t="s">
        <v>116</v>
      </c>
      <c r="H719" s="31" t="s">
        <v>20</v>
      </c>
      <c r="I719" s="31">
        <v>4400.0</v>
      </c>
      <c r="J719" s="31" t="s">
        <v>2545</v>
      </c>
      <c r="K719" s="31" t="s">
        <v>1544</v>
      </c>
      <c r="L719" s="31" t="s">
        <v>1545</v>
      </c>
      <c r="M719" s="33">
        <v>1.0</v>
      </c>
      <c r="N719" s="31" t="s">
        <v>2548</v>
      </c>
      <c r="O719" s="31" t="s">
        <v>2549</v>
      </c>
    </row>
    <row r="720">
      <c r="A720" s="43">
        <v>45693.0</v>
      </c>
      <c r="B720" s="31" t="s">
        <v>2550</v>
      </c>
      <c r="C720" s="31">
        <v>8.06116051E11</v>
      </c>
      <c r="D720" s="31" t="s">
        <v>2542</v>
      </c>
      <c r="E720" s="31" t="s">
        <v>2543</v>
      </c>
      <c r="F720" s="31" t="s">
        <v>2544</v>
      </c>
      <c r="G720" s="31" t="s">
        <v>116</v>
      </c>
      <c r="H720" s="31" t="s">
        <v>20</v>
      </c>
      <c r="I720" s="31">
        <v>4400.0</v>
      </c>
      <c r="J720" s="31" t="s">
        <v>2545</v>
      </c>
      <c r="K720" s="31">
        <v>125807.0</v>
      </c>
      <c r="L720" s="31" t="s">
        <v>237</v>
      </c>
      <c r="M720" s="33">
        <v>1.0</v>
      </c>
      <c r="N720" s="31" t="s">
        <v>2548</v>
      </c>
      <c r="O720" s="31" t="s">
        <v>2549</v>
      </c>
    </row>
    <row r="721">
      <c r="A721" s="70">
        <v>45693.0</v>
      </c>
      <c r="B721" s="66" t="s">
        <v>2551</v>
      </c>
      <c r="C721" s="66">
        <v>8.07025029319E11</v>
      </c>
      <c r="D721" s="66" t="s">
        <v>2552</v>
      </c>
      <c r="E721" s="66" t="s">
        <v>2553</v>
      </c>
      <c r="F721" s="66" t="s">
        <v>2554</v>
      </c>
      <c r="G721" s="66" t="s">
        <v>127</v>
      </c>
      <c r="H721" s="66" t="s">
        <v>20</v>
      </c>
      <c r="I721" s="66">
        <v>4400.0</v>
      </c>
      <c r="J721" s="66" t="s">
        <v>2555</v>
      </c>
      <c r="K721" s="66" t="s">
        <v>269</v>
      </c>
      <c r="L721" s="66" t="s">
        <v>270</v>
      </c>
      <c r="M721" s="67">
        <v>1.0</v>
      </c>
      <c r="N721" s="66" t="s">
        <v>2556</v>
      </c>
      <c r="O721" s="66" t="s">
        <v>2557</v>
      </c>
    </row>
    <row r="722">
      <c r="A722" s="70">
        <v>45693.0</v>
      </c>
      <c r="B722" s="66" t="s">
        <v>2551</v>
      </c>
      <c r="C722" s="66">
        <v>8.07025029319E11</v>
      </c>
      <c r="D722" s="66" t="s">
        <v>2552</v>
      </c>
      <c r="E722" s="66" t="s">
        <v>2553</v>
      </c>
      <c r="F722" s="66" t="s">
        <v>2554</v>
      </c>
      <c r="G722" s="66" t="s">
        <v>127</v>
      </c>
      <c r="H722" s="66" t="s">
        <v>20</v>
      </c>
      <c r="I722" s="66">
        <v>4400.0</v>
      </c>
      <c r="J722" s="66" t="s">
        <v>2555</v>
      </c>
      <c r="K722" s="66" t="s">
        <v>627</v>
      </c>
      <c r="L722" s="66" t="s">
        <v>628</v>
      </c>
      <c r="M722" s="67">
        <v>1.0</v>
      </c>
      <c r="N722" s="66" t="s">
        <v>2556</v>
      </c>
      <c r="O722" s="66" t="s">
        <v>2557</v>
      </c>
    </row>
    <row r="723">
      <c r="A723" s="70">
        <v>45693.0</v>
      </c>
      <c r="B723" s="66" t="s">
        <v>2558</v>
      </c>
      <c r="C723" s="66">
        <v>8.07025029321E11</v>
      </c>
      <c r="D723" s="66" t="s">
        <v>2552</v>
      </c>
      <c r="E723" s="66" t="s">
        <v>2553</v>
      </c>
      <c r="F723" s="66" t="s">
        <v>2554</v>
      </c>
      <c r="G723" s="66" t="s">
        <v>127</v>
      </c>
      <c r="H723" s="66" t="s">
        <v>20</v>
      </c>
      <c r="I723" s="66">
        <v>4400.0</v>
      </c>
      <c r="J723" s="66" t="s">
        <v>2555</v>
      </c>
      <c r="K723" s="66" t="s">
        <v>269</v>
      </c>
      <c r="L723" s="66" t="s">
        <v>270</v>
      </c>
      <c r="M723" s="67">
        <v>1.0</v>
      </c>
      <c r="N723" s="66" t="s">
        <v>2556</v>
      </c>
      <c r="O723" s="66" t="s">
        <v>2557</v>
      </c>
    </row>
    <row r="724">
      <c r="A724" s="70">
        <v>45693.0</v>
      </c>
      <c r="B724" s="66" t="s">
        <v>2558</v>
      </c>
      <c r="C724" s="66">
        <v>8.07025029321E11</v>
      </c>
      <c r="D724" s="66" t="s">
        <v>2552</v>
      </c>
      <c r="E724" s="66" t="s">
        <v>2553</v>
      </c>
      <c r="F724" s="66" t="s">
        <v>2554</v>
      </c>
      <c r="G724" s="66" t="s">
        <v>127</v>
      </c>
      <c r="H724" s="66" t="s">
        <v>20</v>
      </c>
      <c r="I724" s="66">
        <v>4400.0</v>
      </c>
      <c r="J724" s="66" t="s">
        <v>2555</v>
      </c>
      <c r="K724" s="66" t="s">
        <v>627</v>
      </c>
      <c r="L724" s="66" t="s">
        <v>628</v>
      </c>
      <c r="M724" s="67">
        <v>1.0</v>
      </c>
      <c r="N724" s="66" t="s">
        <v>2556</v>
      </c>
      <c r="O724" s="66" t="s">
        <v>2557</v>
      </c>
    </row>
    <row r="725">
      <c r="A725" s="43">
        <v>45693.0</v>
      </c>
      <c r="B725" s="31" t="s">
        <v>2559</v>
      </c>
      <c r="C725" s="31">
        <v>8.06015088491E11</v>
      </c>
      <c r="D725" s="31" t="s">
        <v>2560</v>
      </c>
      <c r="E725" s="31" t="s">
        <v>2561</v>
      </c>
      <c r="F725" s="31" t="s">
        <v>2562</v>
      </c>
      <c r="G725" s="31" t="s">
        <v>104</v>
      </c>
      <c r="H725" s="31" t="s">
        <v>20</v>
      </c>
      <c r="I725" s="31">
        <v>4400.0</v>
      </c>
      <c r="J725" s="31" t="s">
        <v>2563</v>
      </c>
      <c r="K725" s="31" t="s">
        <v>262</v>
      </c>
      <c r="L725" s="31" t="s">
        <v>263</v>
      </c>
      <c r="M725" s="33">
        <v>1.0</v>
      </c>
      <c r="N725" s="31" t="s">
        <v>2564</v>
      </c>
      <c r="O725" s="31" t="s">
        <v>2565</v>
      </c>
    </row>
    <row r="726">
      <c r="A726" s="43">
        <v>45693.0</v>
      </c>
      <c r="B726" s="31" t="s">
        <v>2559</v>
      </c>
      <c r="C726" s="31">
        <v>8.06015088491E11</v>
      </c>
      <c r="D726" s="31" t="s">
        <v>2560</v>
      </c>
      <c r="E726" s="31" t="s">
        <v>2561</v>
      </c>
      <c r="F726" s="31" t="s">
        <v>2562</v>
      </c>
      <c r="G726" s="31" t="s">
        <v>104</v>
      </c>
      <c r="H726" s="31" t="s">
        <v>20</v>
      </c>
      <c r="I726" s="31">
        <v>4400.0</v>
      </c>
      <c r="J726" s="31" t="s">
        <v>2563</v>
      </c>
      <c r="K726" s="31" t="s">
        <v>512</v>
      </c>
      <c r="L726" s="31" t="s">
        <v>513</v>
      </c>
      <c r="M726" s="33">
        <v>12.0</v>
      </c>
      <c r="N726" s="31" t="s">
        <v>2564</v>
      </c>
      <c r="O726" s="31" t="s">
        <v>2565</v>
      </c>
    </row>
    <row r="727">
      <c r="A727" s="43">
        <v>45693.0</v>
      </c>
      <c r="B727" s="31" t="s">
        <v>2559</v>
      </c>
      <c r="C727" s="31">
        <v>8.06015088491E11</v>
      </c>
      <c r="D727" s="31" t="s">
        <v>2560</v>
      </c>
      <c r="E727" s="31" t="s">
        <v>2561</v>
      </c>
      <c r="F727" s="31" t="s">
        <v>2562</v>
      </c>
      <c r="G727" s="31" t="s">
        <v>104</v>
      </c>
      <c r="H727" s="31" t="s">
        <v>20</v>
      </c>
      <c r="I727" s="31">
        <v>4400.0</v>
      </c>
      <c r="J727" s="31" t="s">
        <v>2563</v>
      </c>
      <c r="K727" s="31" t="s">
        <v>645</v>
      </c>
      <c r="L727" s="31" t="s">
        <v>646</v>
      </c>
      <c r="M727" s="33">
        <v>2.0</v>
      </c>
      <c r="N727" s="31" t="s">
        <v>2564</v>
      </c>
      <c r="O727" s="31" t="s">
        <v>2565</v>
      </c>
    </row>
    <row r="728">
      <c r="A728" s="70">
        <v>45693.0</v>
      </c>
      <c r="B728" s="66" t="s">
        <v>2566</v>
      </c>
      <c r="C728" s="66">
        <v>8.05011512312E11</v>
      </c>
      <c r="D728" s="66" t="s">
        <v>2567</v>
      </c>
      <c r="E728" s="66" t="s">
        <v>2568</v>
      </c>
      <c r="F728" s="66" t="s">
        <v>2569</v>
      </c>
      <c r="G728" s="66" t="s">
        <v>20</v>
      </c>
      <c r="H728" s="66" t="s">
        <v>20</v>
      </c>
      <c r="I728" s="66">
        <v>4400.0</v>
      </c>
      <c r="J728" s="66" t="s">
        <v>2570</v>
      </c>
      <c r="K728" s="66" t="s">
        <v>606</v>
      </c>
      <c r="L728" s="66" t="s">
        <v>607</v>
      </c>
      <c r="M728" s="67">
        <v>1.0</v>
      </c>
      <c r="N728" s="66" t="s">
        <v>2571</v>
      </c>
      <c r="O728" s="68"/>
    </row>
    <row r="729">
      <c r="A729" s="43">
        <v>45693.0</v>
      </c>
      <c r="B729" s="31" t="s">
        <v>2572</v>
      </c>
      <c r="C729" s="31">
        <v>8.07025029546E11</v>
      </c>
      <c r="D729" s="31" t="s">
        <v>2573</v>
      </c>
      <c r="E729" s="31" t="s">
        <v>2574</v>
      </c>
      <c r="F729" s="31" t="s">
        <v>2575</v>
      </c>
      <c r="G729" s="31" t="s">
        <v>116</v>
      </c>
      <c r="H729" s="31" t="s">
        <v>20</v>
      </c>
      <c r="I729" s="31">
        <v>4400.0</v>
      </c>
      <c r="J729" s="31" t="s">
        <v>2576</v>
      </c>
      <c r="K729" s="31" t="s">
        <v>758</v>
      </c>
      <c r="L729" s="31" t="s">
        <v>759</v>
      </c>
      <c r="M729" s="33">
        <v>2.0</v>
      </c>
      <c r="N729" s="31" t="s">
        <v>2577</v>
      </c>
      <c r="O729" s="34"/>
    </row>
    <row r="730">
      <c r="A730" s="43">
        <v>45693.0</v>
      </c>
      <c r="B730" s="31" t="s">
        <v>2572</v>
      </c>
      <c r="C730" s="31">
        <v>8.07025029546E11</v>
      </c>
      <c r="D730" s="31" t="s">
        <v>2573</v>
      </c>
      <c r="E730" s="31" t="s">
        <v>2574</v>
      </c>
      <c r="F730" s="31" t="s">
        <v>2575</v>
      </c>
      <c r="G730" s="31" t="s">
        <v>116</v>
      </c>
      <c r="H730" s="31" t="s">
        <v>20</v>
      </c>
      <c r="I730" s="31">
        <v>4400.0</v>
      </c>
      <c r="J730" s="31" t="s">
        <v>2576</v>
      </c>
      <c r="K730" s="31" t="s">
        <v>493</v>
      </c>
      <c r="L730" s="31" t="s">
        <v>494</v>
      </c>
      <c r="M730" s="33">
        <v>1.0</v>
      </c>
      <c r="N730" s="31" t="s">
        <v>2577</v>
      </c>
      <c r="O730" s="34"/>
    </row>
    <row r="731">
      <c r="A731" s="43">
        <v>45693.0</v>
      </c>
      <c r="B731" s="31" t="s">
        <v>2572</v>
      </c>
      <c r="C731" s="31">
        <v>8.07025029546E11</v>
      </c>
      <c r="D731" s="31" t="s">
        <v>2573</v>
      </c>
      <c r="E731" s="31" t="s">
        <v>2574</v>
      </c>
      <c r="F731" s="31" t="s">
        <v>2575</v>
      </c>
      <c r="G731" s="31" t="s">
        <v>116</v>
      </c>
      <c r="H731" s="31" t="s">
        <v>20</v>
      </c>
      <c r="I731" s="31">
        <v>4400.0</v>
      </c>
      <c r="J731" s="31" t="s">
        <v>2576</v>
      </c>
      <c r="K731" s="31" t="s">
        <v>512</v>
      </c>
      <c r="L731" s="31" t="s">
        <v>513</v>
      </c>
      <c r="M731" s="33">
        <v>12.0</v>
      </c>
      <c r="N731" s="31" t="s">
        <v>2577</v>
      </c>
      <c r="O731" s="34"/>
    </row>
    <row r="732">
      <c r="A732" s="70">
        <v>45693.0</v>
      </c>
      <c r="B732" s="66" t="s">
        <v>2578</v>
      </c>
      <c r="C732" s="66">
        <v>8.05011512451E11</v>
      </c>
      <c r="D732" s="66" t="s">
        <v>2579</v>
      </c>
      <c r="E732" s="66" t="s">
        <v>2580</v>
      </c>
      <c r="F732" s="66" t="s">
        <v>2581</v>
      </c>
      <c r="G732" s="66" t="s">
        <v>2582</v>
      </c>
      <c r="H732" s="66" t="s">
        <v>20</v>
      </c>
      <c r="I732" s="66">
        <v>4126.0</v>
      </c>
      <c r="J732" s="66" t="s">
        <v>2583</v>
      </c>
      <c r="K732" s="66" t="s">
        <v>2359</v>
      </c>
      <c r="L732" s="66" t="s">
        <v>2360</v>
      </c>
      <c r="M732" s="67">
        <v>1.0</v>
      </c>
      <c r="N732" s="66" t="s">
        <v>2584</v>
      </c>
      <c r="O732" s="68"/>
    </row>
    <row r="733">
      <c r="A733" s="43">
        <v>45693.0</v>
      </c>
      <c r="B733" s="31" t="s">
        <v>2585</v>
      </c>
      <c r="C733" s="31">
        <v>8.07025029563E11</v>
      </c>
      <c r="D733" s="31" t="s">
        <v>2586</v>
      </c>
      <c r="E733" s="31" t="s">
        <v>2587</v>
      </c>
      <c r="F733" s="31" t="s">
        <v>2588</v>
      </c>
      <c r="G733" s="31" t="s">
        <v>116</v>
      </c>
      <c r="H733" s="31" t="s">
        <v>20</v>
      </c>
      <c r="I733" s="31">
        <v>4400.0</v>
      </c>
      <c r="J733" s="31" t="s">
        <v>2589</v>
      </c>
      <c r="K733" s="31" t="s">
        <v>1593</v>
      </c>
      <c r="L733" s="31" t="s">
        <v>1594</v>
      </c>
      <c r="M733" s="33">
        <v>1.0</v>
      </c>
      <c r="N733" s="31" t="s">
        <v>2590</v>
      </c>
      <c r="O733" s="31" t="s">
        <v>669</v>
      </c>
    </row>
    <row r="734">
      <c r="A734" s="43">
        <v>45693.0</v>
      </c>
      <c r="B734" s="31" t="s">
        <v>2585</v>
      </c>
      <c r="C734" s="31">
        <v>8.07025029563E11</v>
      </c>
      <c r="D734" s="31" t="s">
        <v>2586</v>
      </c>
      <c r="E734" s="31" t="s">
        <v>2587</v>
      </c>
      <c r="F734" s="31" t="s">
        <v>2588</v>
      </c>
      <c r="G734" s="31" t="s">
        <v>116</v>
      </c>
      <c r="H734" s="31" t="s">
        <v>20</v>
      </c>
      <c r="I734" s="31">
        <v>4400.0</v>
      </c>
      <c r="J734" s="31" t="s">
        <v>2589</v>
      </c>
      <c r="K734" s="31" t="s">
        <v>512</v>
      </c>
      <c r="L734" s="31" t="s">
        <v>513</v>
      </c>
      <c r="M734" s="33">
        <v>12.0</v>
      </c>
      <c r="N734" s="31" t="s">
        <v>2590</v>
      </c>
      <c r="O734" s="31" t="s">
        <v>669</v>
      </c>
    </row>
    <row r="735">
      <c r="A735" s="43">
        <v>45693.0</v>
      </c>
      <c r="B735" s="31" t="s">
        <v>2585</v>
      </c>
      <c r="C735" s="31">
        <v>8.07025029563E11</v>
      </c>
      <c r="D735" s="31" t="s">
        <v>2586</v>
      </c>
      <c r="E735" s="31" t="s">
        <v>2587</v>
      </c>
      <c r="F735" s="31" t="s">
        <v>2588</v>
      </c>
      <c r="G735" s="31" t="s">
        <v>116</v>
      </c>
      <c r="H735" s="31" t="s">
        <v>20</v>
      </c>
      <c r="I735" s="31">
        <v>4400.0</v>
      </c>
      <c r="J735" s="31" t="s">
        <v>2589</v>
      </c>
      <c r="K735" s="31" t="s">
        <v>727</v>
      </c>
      <c r="L735" s="31" t="s">
        <v>728</v>
      </c>
      <c r="M735" s="33">
        <v>2.0</v>
      </c>
      <c r="N735" s="31" t="s">
        <v>2590</v>
      </c>
      <c r="O735" s="31" t="s">
        <v>669</v>
      </c>
    </row>
    <row r="736">
      <c r="A736" s="70">
        <v>45693.0</v>
      </c>
      <c r="B736" s="66" t="s">
        <v>2591</v>
      </c>
      <c r="C736" s="66">
        <v>8.05011512616E11</v>
      </c>
      <c r="D736" s="66" t="s">
        <v>2592</v>
      </c>
      <c r="E736" s="66" t="s">
        <v>2593</v>
      </c>
      <c r="F736" s="66" t="s">
        <v>2594</v>
      </c>
      <c r="G736" s="66" t="s">
        <v>1017</v>
      </c>
      <c r="H736" s="66" t="s">
        <v>20</v>
      </c>
      <c r="I736" s="66">
        <v>4562.0</v>
      </c>
      <c r="J736" s="66" t="s">
        <v>2595</v>
      </c>
      <c r="K736" s="66" t="s">
        <v>744</v>
      </c>
      <c r="L736" s="66" t="s">
        <v>745</v>
      </c>
      <c r="M736" s="67">
        <v>1.0</v>
      </c>
      <c r="N736" s="66" t="s">
        <v>2596</v>
      </c>
      <c r="O736" s="68"/>
    </row>
    <row r="737">
      <c r="A737" s="43">
        <v>45693.0</v>
      </c>
      <c r="B737" s="31" t="s">
        <v>2597</v>
      </c>
      <c r="C737" s="31">
        <v>8.07025029519E11</v>
      </c>
      <c r="D737" s="31" t="s">
        <v>2598</v>
      </c>
      <c r="E737" s="31" t="s">
        <v>2599</v>
      </c>
      <c r="F737" s="31" t="s">
        <v>2600</v>
      </c>
      <c r="G737" s="31" t="s">
        <v>127</v>
      </c>
      <c r="H737" s="31" t="s">
        <v>20</v>
      </c>
      <c r="I737" s="31">
        <v>4400.0</v>
      </c>
      <c r="J737" s="31" t="s">
        <v>2601</v>
      </c>
      <c r="K737" s="31" t="s">
        <v>225</v>
      </c>
      <c r="L737" s="31" t="s">
        <v>226</v>
      </c>
      <c r="M737" s="33">
        <v>1.0</v>
      </c>
      <c r="N737" s="31" t="s">
        <v>2602</v>
      </c>
      <c r="O737" s="31" t="s">
        <v>2603</v>
      </c>
    </row>
    <row r="738">
      <c r="A738" s="43">
        <v>45693.0</v>
      </c>
      <c r="B738" s="31" t="s">
        <v>2597</v>
      </c>
      <c r="C738" s="31">
        <v>8.07025029519E11</v>
      </c>
      <c r="D738" s="31" t="s">
        <v>2598</v>
      </c>
      <c r="E738" s="31" t="s">
        <v>2599</v>
      </c>
      <c r="F738" s="31" t="s">
        <v>2600</v>
      </c>
      <c r="G738" s="31" t="s">
        <v>127</v>
      </c>
      <c r="H738" s="31" t="s">
        <v>20</v>
      </c>
      <c r="I738" s="31">
        <v>4400.0</v>
      </c>
      <c r="J738" s="31" t="s">
        <v>2601</v>
      </c>
      <c r="K738" s="31" t="s">
        <v>512</v>
      </c>
      <c r="L738" s="31" t="s">
        <v>513</v>
      </c>
      <c r="M738" s="33">
        <v>6.0</v>
      </c>
      <c r="N738" s="31" t="s">
        <v>2602</v>
      </c>
      <c r="O738" s="31" t="s">
        <v>2603</v>
      </c>
    </row>
    <row r="739">
      <c r="A739" s="43">
        <v>45693.0</v>
      </c>
      <c r="B739" s="31" t="s">
        <v>2597</v>
      </c>
      <c r="C739" s="31">
        <v>8.07025029519E11</v>
      </c>
      <c r="D739" s="31" t="s">
        <v>2598</v>
      </c>
      <c r="E739" s="31" t="s">
        <v>2599</v>
      </c>
      <c r="F739" s="31" t="s">
        <v>2600</v>
      </c>
      <c r="G739" s="31" t="s">
        <v>127</v>
      </c>
      <c r="H739" s="31" t="s">
        <v>20</v>
      </c>
      <c r="I739" s="31">
        <v>4400.0</v>
      </c>
      <c r="J739" s="31" t="s">
        <v>2601</v>
      </c>
      <c r="K739" s="31" t="s">
        <v>1345</v>
      </c>
      <c r="L739" s="31" t="s">
        <v>1346</v>
      </c>
      <c r="M739" s="33">
        <v>1.0</v>
      </c>
      <c r="N739" s="31" t="s">
        <v>2602</v>
      </c>
      <c r="O739" s="31" t="s">
        <v>2603</v>
      </c>
    </row>
    <row r="740">
      <c r="A740" s="70">
        <v>45693.0</v>
      </c>
      <c r="B740" s="66" t="s">
        <v>2604</v>
      </c>
      <c r="C740" s="66">
        <v>8.05011511215E11</v>
      </c>
      <c r="D740" s="66" t="s">
        <v>2355</v>
      </c>
      <c r="E740" s="66" t="s">
        <v>2356</v>
      </c>
      <c r="F740" s="66" t="s">
        <v>2357</v>
      </c>
      <c r="G740" s="66" t="s">
        <v>1017</v>
      </c>
      <c r="H740" s="66" t="s">
        <v>20</v>
      </c>
      <c r="I740" s="66">
        <v>4562.0</v>
      </c>
      <c r="J740" s="66" t="s">
        <v>2358</v>
      </c>
      <c r="K740" s="66" t="s">
        <v>2359</v>
      </c>
      <c r="L740" s="66" t="s">
        <v>2360</v>
      </c>
      <c r="M740" s="67">
        <v>1.0</v>
      </c>
      <c r="N740" s="68"/>
      <c r="O740" s="68"/>
    </row>
    <row r="741">
      <c r="A741" s="43">
        <v>45693.0</v>
      </c>
      <c r="B741" s="31" t="s">
        <v>2605</v>
      </c>
      <c r="C741" s="31">
        <v>8.05011512714E11</v>
      </c>
      <c r="D741" s="31" t="s">
        <v>2606</v>
      </c>
      <c r="E741" s="31" t="s">
        <v>2607</v>
      </c>
      <c r="F741" s="31" t="s">
        <v>2608</v>
      </c>
      <c r="G741" s="31" t="s">
        <v>750</v>
      </c>
      <c r="H741" s="31" t="s">
        <v>20</v>
      </c>
      <c r="I741" s="31">
        <v>4566.0</v>
      </c>
      <c r="J741" s="31" t="s">
        <v>2609</v>
      </c>
      <c r="K741" s="31" t="s">
        <v>129</v>
      </c>
      <c r="L741" s="31" t="s">
        <v>130</v>
      </c>
      <c r="M741" s="33">
        <v>2.0</v>
      </c>
      <c r="N741" s="31" t="s">
        <v>2610</v>
      </c>
      <c r="O741" s="34"/>
    </row>
    <row r="742">
      <c r="A742" s="70">
        <v>45693.0</v>
      </c>
      <c r="B742" s="66" t="s">
        <v>2611</v>
      </c>
      <c r="C742" s="66">
        <v>8.07025029616E11</v>
      </c>
      <c r="D742" s="66" t="s">
        <v>2612</v>
      </c>
      <c r="E742" s="66" t="s">
        <v>2613</v>
      </c>
      <c r="F742" s="66" t="s">
        <v>2614</v>
      </c>
      <c r="G742" s="66" t="s">
        <v>116</v>
      </c>
      <c r="H742" s="66" t="s">
        <v>20</v>
      </c>
      <c r="I742" s="66">
        <v>4400.0</v>
      </c>
      <c r="J742" s="66" t="s">
        <v>2615</v>
      </c>
      <c r="K742" s="66" t="s">
        <v>2616</v>
      </c>
      <c r="L742" s="66" t="s">
        <v>2617</v>
      </c>
      <c r="M742" s="67">
        <v>1.0</v>
      </c>
      <c r="N742" s="66" t="s">
        <v>2618</v>
      </c>
      <c r="O742" s="66" t="s">
        <v>2619</v>
      </c>
    </row>
    <row r="743">
      <c r="A743" s="70">
        <v>45693.0</v>
      </c>
      <c r="B743" s="66" t="s">
        <v>2611</v>
      </c>
      <c r="C743" s="66">
        <v>8.07025029616E11</v>
      </c>
      <c r="D743" s="66" t="s">
        <v>2612</v>
      </c>
      <c r="E743" s="66" t="s">
        <v>2613</v>
      </c>
      <c r="F743" s="66" t="s">
        <v>2614</v>
      </c>
      <c r="G743" s="66" t="s">
        <v>116</v>
      </c>
      <c r="H743" s="66" t="s">
        <v>20</v>
      </c>
      <c r="I743" s="66">
        <v>4400.0</v>
      </c>
      <c r="J743" s="66" t="s">
        <v>2615</v>
      </c>
      <c r="K743" s="66" t="s">
        <v>512</v>
      </c>
      <c r="L743" s="66" t="s">
        <v>513</v>
      </c>
      <c r="M743" s="67">
        <v>6.0</v>
      </c>
      <c r="N743" s="66" t="s">
        <v>2618</v>
      </c>
      <c r="O743" s="66" t="s">
        <v>2619</v>
      </c>
    </row>
    <row r="744">
      <c r="A744" s="70">
        <v>45693.0</v>
      </c>
      <c r="B744" s="66" t="s">
        <v>2611</v>
      </c>
      <c r="C744" s="66">
        <v>8.07025029616E11</v>
      </c>
      <c r="D744" s="66" t="s">
        <v>2612</v>
      </c>
      <c r="E744" s="66" t="s">
        <v>2613</v>
      </c>
      <c r="F744" s="66" t="s">
        <v>2614</v>
      </c>
      <c r="G744" s="66" t="s">
        <v>116</v>
      </c>
      <c r="H744" s="66" t="s">
        <v>20</v>
      </c>
      <c r="I744" s="66">
        <v>4400.0</v>
      </c>
      <c r="J744" s="66" t="s">
        <v>2615</v>
      </c>
      <c r="K744" s="66" t="s">
        <v>169</v>
      </c>
      <c r="L744" s="66" t="s">
        <v>170</v>
      </c>
      <c r="M744" s="67">
        <v>1.0</v>
      </c>
      <c r="N744" s="66" t="s">
        <v>2618</v>
      </c>
      <c r="O744" s="66" t="s">
        <v>2619</v>
      </c>
    </row>
    <row r="745">
      <c r="A745" s="43">
        <v>45693.0</v>
      </c>
      <c r="B745" s="31" t="s">
        <v>2620</v>
      </c>
      <c r="C745" s="31">
        <v>8.07025029621E11</v>
      </c>
      <c r="D745" s="31" t="s">
        <v>2621</v>
      </c>
      <c r="E745" s="31" t="s">
        <v>2622</v>
      </c>
      <c r="F745" s="31" t="s">
        <v>2623</v>
      </c>
      <c r="G745" s="31" t="s">
        <v>116</v>
      </c>
      <c r="H745" s="31" t="s">
        <v>20</v>
      </c>
      <c r="I745" s="31">
        <v>4400.0</v>
      </c>
      <c r="J745" s="31" t="s">
        <v>2624</v>
      </c>
      <c r="K745" s="31" t="s">
        <v>606</v>
      </c>
      <c r="L745" s="31" t="s">
        <v>607</v>
      </c>
      <c r="M745" s="33">
        <v>1.0</v>
      </c>
      <c r="N745" s="31" t="s">
        <v>2625</v>
      </c>
      <c r="O745" s="31" t="s">
        <v>2626</v>
      </c>
    </row>
    <row r="746">
      <c r="A746" s="70">
        <v>45693.0</v>
      </c>
      <c r="B746" s="66" t="s">
        <v>2627</v>
      </c>
      <c r="C746" s="66">
        <v>8.0501151309E11</v>
      </c>
      <c r="D746" s="66" t="s">
        <v>2628</v>
      </c>
      <c r="E746" s="66" t="s">
        <v>2629</v>
      </c>
      <c r="F746" s="66" t="s">
        <v>2630</v>
      </c>
      <c r="G746" s="66" t="s">
        <v>2177</v>
      </c>
      <c r="H746" s="66" t="s">
        <v>20</v>
      </c>
      <c r="I746" s="66">
        <v>4430.0</v>
      </c>
      <c r="J746" s="66" t="s">
        <v>2631</v>
      </c>
      <c r="K746" s="66">
        <v>125809.0</v>
      </c>
      <c r="L746" s="66" t="s">
        <v>2632</v>
      </c>
      <c r="M746" s="67">
        <v>2.0</v>
      </c>
      <c r="N746" s="66" t="s">
        <v>2633</v>
      </c>
      <c r="O746" s="81"/>
    </row>
    <row r="747">
      <c r="A747" s="70">
        <v>45693.0</v>
      </c>
      <c r="B747" s="66" t="s">
        <v>2634</v>
      </c>
      <c r="C747" s="66">
        <v>8.05011513078E11</v>
      </c>
      <c r="D747" s="66" t="s">
        <v>2628</v>
      </c>
      <c r="E747" s="66" t="s">
        <v>2629</v>
      </c>
      <c r="F747" s="66" t="s">
        <v>2630</v>
      </c>
      <c r="G747" s="66" t="s">
        <v>2177</v>
      </c>
      <c r="H747" s="66" t="s">
        <v>20</v>
      </c>
      <c r="I747" s="66">
        <v>4430.0</v>
      </c>
      <c r="J747" s="66" t="s">
        <v>2631</v>
      </c>
      <c r="K747" s="66" t="s">
        <v>1241</v>
      </c>
      <c r="L747" s="66" t="s">
        <v>1242</v>
      </c>
      <c r="M747" s="67">
        <v>1.0</v>
      </c>
      <c r="N747" s="66" t="s">
        <v>2633</v>
      </c>
      <c r="O747" s="81"/>
    </row>
    <row r="748">
      <c r="A748" s="82"/>
      <c r="B748" s="22"/>
      <c r="C748" s="83"/>
      <c r="D748" s="83"/>
      <c r="E748" s="83"/>
      <c r="F748" s="22"/>
      <c r="G748" s="22"/>
      <c r="H748" s="22"/>
      <c r="I748" s="22"/>
      <c r="J748" s="22"/>
      <c r="K748" s="83"/>
      <c r="L748" s="83"/>
      <c r="M748" s="84"/>
      <c r="N748" s="22"/>
      <c r="O748" s="22"/>
    </row>
    <row r="749">
      <c r="A749" s="70">
        <v>45700.0</v>
      </c>
      <c r="B749" s="66" t="s">
        <v>2635</v>
      </c>
      <c r="C749" s="66">
        <v>8.05011513131E11</v>
      </c>
      <c r="D749" s="66" t="s">
        <v>2636</v>
      </c>
      <c r="E749" s="66" t="s">
        <v>2637</v>
      </c>
      <c r="F749" s="66" t="s">
        <v>2638</v>
      </c>
      <c r="G749" s="66" t="s">
        <v>20</v>
      </c>
      <c r="H749" s="66" t="s">
        <v>20</v>
      </c>
      <c r="I749" s="66">
        <v>4400.0</v>
      </c>
      <c r="J749" s="66" t="s">
        <v>2639</v>
      </c>
      <c r="K749" s="66" t="s">
        <v>1747</v>
      </c>
      <c r="L749" s="66" t="s">
        <v>1748</v>
      </c>
      <c r="M749" s="67">
        <v>1.0</v>
      </c>
      <c r="N749" s="66" t="s">
        <v>2640</v>
      </c>
      <c r="O749" s="68"/>
    </row>
    <row r="750">
      <c r="A750" s="70">
        <v>45700.0</v>
      </c>
      <c r="B750" s="66" t="s">
        <v>2635</v>
      </c>
      <c r="C750" s="66">
        <v>8.05011513131E11</v>
      </c>
      <c r="D750" s="66" t="s">
        <v>2636</v>
      </c>
      <c r="E750" s="66" t="s">
        <v>2637</v>
      </c>
      <c r="F750" s="66" t="s">
        <v>2638</v>
      </c>
      <c r="G750" s="66" t="s">
        <v>20</v>
      </c>
      <c r="H750" s="66" t="s">
        <v>20</v>
      </c>
      <c r="I750" s="66">
        <v>4400.0</v>
      </c>
      <c r="J750" s="66" t="s">
        <v>2639</v>
      </c>
      <c r="K750" s="66" t="s">
        <v>98</v>
      </c>
      <c r="L750" s="66" t="s">
        <v>99</v>
      </c>
      <c r="M750" s="67">
        <v>1.0</v>
      </c>
      <c r="N750" s="66" t="s">
        <v>2640</v>
      </c>
      <c r="O750" s="68"/>
    </row>
    <row r="751">
      <c r="A751" s="43">
        <v>45700.0</v>
      </c>
      <c r="B751" s="31" t="s">
        <v>2641</v>
      </c>
      <c r="C751" s="31">
        <v>8.05011513254E11</v>
      </c>
      <c r="D751" s="31" t="s">
        <v>2642</v>
      </c>
      <c r="E751" s="31" t="s">
        <v>2643</v>
      </c>
      <c r="F751" s="31" t="s">
        <v>2644</v>
      </c>
      <c r="G751" s="31" t="s">
        <v>20</v>
      </c>
      <c r="H751" s="31" t="s">
        <v>20</v>
      </c>
      <c r="I751" s="31">
        <v>4400.0</v>
      </c>
      <c r="J751" s="31" t="s">
        <v>2645</v>
      </c>
      <c r="K751" s="31" t="s">
        <v>32</v>
      </c>
      <c r="L751" s="31" t="s">
        <v>33</v>
      </c>
      <c r="M751" s="33">
        <v>1.0</v>
      </c>
      <c r="N751" s="31" t="s">
        <v>2646</v>
      </c>
      <c r="O751" s="34"/>
    </row>
    <row r="752">
      <c r="A752" s="43">
        <v>45700.0</v>
      </c>
      <c r="B752" s="31" t="s">
        <v>2647</v>
      </c>
      <c r="C752" s="31">
        <v>8.05011513253E11</v>
      </c>
      <c r="D752" s="31" t="s">
        <v>2642</v>
      </c>
      <c r="E752" s="31" t="s">
        <v>2643</v>
      </c>
      <c r="F752" s="31" t="s">
        <v>2644</v>
      </c>
      <c r="G752" s="31" t="s">
        <v>20</v>
      </c>
      <c r="H752" s="31" t="s">
        <v>20</v>
      </c>
      <c r="I752" s="31">
        <v>4400.0</v>
      </c>
      <c r="J752" s="31" t="s">
        <v>2645</v>
      </c>
      <c r="K752" s="31" t="s">
        <v>88</v>
      </c>
      <c r="L752" s="31" t="s">
        <v>89</v>
      </c>
      <c r="M752" s="33">
        <v>1.0</v>
      </c>
      <c r="N752" s="31" t="s">
        <v>2646</v>
      </c>
      <c r="O752" s="34"/>
    </row>
    <row r="753">
      <c r="A753" s="70">
        <v>45700.0</v>
      </c>
      <c r="B753" s="66" t="s">
        <v>2648</v>
      </c>
      <c r="C753" s="66">
        <v>8.05011513386E11</v>
      </c>
      <c r="D753" s="66" t="s">
        <v>2649</v>
      </c>
      <c r="E753" s="66" t="s">
        <v>2650</v>
      </c>
      <c r="F753" s="66" t="s">
        <v>2651</v>
      </c>
      <c r="G753" s="66" t="s">
        <v>247</v>
      </c>
      <c r="H753" s="66" t="s">
        <v>20</v>
      </c>
      <c r="I753" s="66">
        <v>4400.0</v>
      </c>
      <c r="J753" s="66" t="s">
        <v>2652</v>
      </c>
      <c r="K753" s="66" t="s">
        <v>493</v>
      </c>
      <c r="L753" s="66" t="s">
        <v>494</v>
      </c>
      <c r="M753" s="67">
        <v>1.0</v>
      </c>
      <c r="N753" s="66" t="s">
        <v>2653</v>
      </c>
      <c r="O753" s="68"/>
    </row>
    <row r="754">
      <c r="A754" s="43">
        <v>45700.0</v>
      </c>
      <c r="B754" s="31" t="s">
        <v>2654</v>
      </c>
      <c r="C754" s="31">
        <v>8.07025029659E11</v>
      </c>
      <c r="D754" s="31" t="s">
        <v>2655</v>
      </c>
      <c r="E754" s="31" t="s">
        <v>2656</v>
      </c>
      <c r="F754" s="31" t="s">
        <v>2657</v>
      </c>
      <c r="G754" s="31" t="s">
        <v>116</v>
      </c>
      <c r="H754" s="31" t="s">
        <v>20</v>
      </c>
      <c r="I754" s="31">
        <v>4400.0</v>
      </c>
      <c r="J754" s="31" t="s">
        <v>2658</v>
      </c>
      <c r="K754" s="31" t="s">
        <v>2659</v>
      </c>
      <c r="L754" s="31" t="s">
        <v>2660</v>
      </c>
      <c r="M754" s="33">
        <v>1.0</v>
      </c>
      <c r="N754" s="31" t="s">
        <v>2661</v>
      </c>
      <c r="O754" s="31" t="s">
        <v>669</v>
      </c>
    </row>
    <row r="755">
      <c r="A755" s="43">
        <v>45700.0</v>
      </c>
      <c r="B755" s="31" t="s">
        <v>2654</v>
      </c>
      <c r="C755" s="31">
        <v>8.07025029659E11</v>
      </c>
      <c r="D755" s="31" t="s">
        <v>2655</v>
      </c>
      <c r="E755" s="31" t="s">
        <v>2656</v>
      </c>
      <c r="F755" s="31" t="s">
        <v>2657</v>
      </c>
      <c r="G755" s="31" t="s">
        <v>116</v>
      </c>
      <c r="H755" s="31" t="s">
        <v>20</v>
      </c>
      <c r="I755" s="31">
        <v>4400.0</v>
      </c>
      <c r="J755" s="31" t="s">
        <v>2658</v>
      </c>
      <c r="K755" s="31" t="s">
        <v>512</v>
      </c>
      <c r="L755" s="31" t="s">
        <v>513</v>
      </c>
      <c r="M755" s="33">
        <v>6.0</v>
      </c>
      <c r="N755" s="31" t="s">
        <v>2661</v>
      </c>
      <c r="O755" s="31" t="s">
        <v>669</v>
      </c>
    </row>
    <row r="756">
      <c r="A756" s="43">
        <v>45700.0</v>
      </c>
      <c r="B756" s="31" t="s">
        <v>2654</v>
      </c>
      <c r="C756" s="31">
        <v>8.07025029659E11</v>
      </c>
      <c r="D756" s="31" t="s">
        <v>2655</v>
      </c>
      <c r="E756" s="31" t="s">
        <v>2656</v>
      </c>
      <c r="F756" s="31" t="s">
        <v>2657</v>
      </c>
      <c r="G756" s="31" t="s">
        <v>116</v>
      </c>
      <c r="H756" s="31" t="s">
        <v>20</v>
      </c>
      <c r="I756" s="31">
        <v>4400.0</v>
      </c>
      <c r="J756" s="31" t="s">
        <v>2658</v>
      </c>
      <c r="K756" s="31" t="s">
        <v>1914</v>
      </c>
      <c r="L756" s="31" t="s">
        <v>1915</v>
      </c>
      <c r="M756" s="33">
        <v>1.0</v>
      </c>
      <c r="N756" s="31" t="s">
        <v>2661</v>
      </c>
      <c r="O756" s="31" t="s">
        <v>669</v>
      </c>
    </row>
    <row r="757">
      <c r="A757" s="70">
        <v>45700.0</v>
      </c>
      <c r="B757" s="66" t="s">
        <v>2662</v>
      </c>
      <c r="C757" s="66">
        <v>8.07025029669E11</v>
      </c>
      <c r="D757" s="66" t="s">
        <v>2663</v>
      </c>
      <c r="E757" s="66" t="s">
        <v>2664</v>
      </c>
      <c r="F757" s="66" t="s">
        <v>2665</v>
      </c>
      <c r="G757" s="66" t="s">
        <v>116</v>
      </c>
      <c r="H757" s="66" t="s">
        <v>20</v>
      </c>
      <c r="I757" s="66">
        <v>4400.0</v>
      </c>
      <c r="J757" s="66" t="s">
        <v>2666</v>
      </c>
      <c r="K757" s="66" t="s">
        <v>2307</v>
      </c>
      <c r="L757" s="66" t="s">
        <v>2308</v>
      </c>
      <c r="M757" s="67">
        <v>2.0</v>
      </c>
      <c r="N757" s="66" t="s">
        <v>2667</v>
      </c>
      <c r="O757" s="66" t="s">
        <v>1734</v>
      </c>
    </row>
    <row r="758">
      <c r="A758" s="70">
        <v>45700.0</v>
      </c>
      <c r="B758" s="66" t="s">
        <v>2668</v>
      </c>
      <c r="C758" s="66">
        <v>8.05011513674E11</v>
      </c>
      <c r="D758" s="66" t="s">
        <v>2669</v>
      </c>
      <c r="E758" s="66" t="s">
        <v>2670</v>
      </c>
      <c r="F758" s="66" t="s">
        <v>2671</v>
      </c>
      <c r="G758" s="66" t="s">
        <v>20</v>
      </c>
      <c r="H758" s="66" t="s">
        <v>20</v>
      </c>
      <c r="I758" s="66">
        <v>4400.0</v>
      </c>
      <c r="J758" s="66" t="s">
        <v>2672</v>
      </c>
      <c r="K758" s="66" t="s">
        <v>495</v>
      </c>
      <c r="L758" s="66" t="s">
        <v>496</v>
      </c>
      <c r="M758" s="67">
        <v>2.0</v>
      </c>
      <c r="N758" s="66" t="s">
        <v>2673</v>
      </c>
      <c r="O758" s="68"/>
    </row>
    <row r="759">
      <c r="A759" s="43">
        <v>45700.0</v>
      </c>
      <c r="B759" s="31" t="s">
        <v>2674</v>
      </c>
      <c r="C759" s="31">
        <v>8.05011513734E11</v>
      </c>
      <c r="D759" s="31" t="s">
        <v>2675</v>
      </c>
      <c r="E759" s="31" t="s">
        <v>2676</v>
      </c>
      <c r="F759" s="31" t="s">
        <v>2677</v>
      </c>
      <c r="G759" s="31" t="s">
        <v>826</v>
      </c>
      <c r="H759" s="31" t="s">
        <v>20</v>
      </c>
      <c r="I759" s="31">
        <v>4530.0</v>
      </c>
      <c r="J759" s="31" t="s">
        <v>2678</v>
      </c>
      <c r="K759" s="31" t="s">
        <v>98</v>
      </c>
      <c r="L759" s="31" t="s">
        <v>99</v>
      </c>
      <c r="M759" s="33">
        <v>1.0</v>
      </c>
      <c r="N759" s="31" t="s">
        <v>2679</v>
      </c>
      <c r="O759" s="34"/>
    </row>
    <row r="760">
      <c r="A760" s="70">
        <v>45700.0</v>
      </c>
      <c r="B760" s="66" t="s">
        <v>2680</v>
      </c>
      <c r="C760" s="66">
        <v>8.05011513675E11</v>
      </c>
      <c r="D760" s="66" t="s">
        <v>2669</v>
      </c>
      <c r="E760" s="66" t="s">
        <v>2670</v>
      </c>
      <c r="F760" s="66" t="s">
        <v>2671</v>
      </c>
      <c r="G760" s="66" t="s">
        <v>20</v>
      </c>
      <c r="H760" s="66" t="s">
        <v>20</v>
      </c>
      <c r="I760" s="66">
        <v>4400.0</v>
      </c>
      <c r="J760" s="66" t="s">
        <v>2672</v>
      </c>
      <c r="K760" s="66" t="s">
        <v>493</v>
      </c>
      <c r="L760" s="66" t="s">
        <v>494</v>
      </c>
      <c r="M760" s="67">
        <v>1.0</v>
      </c>
      <c r="N760" s="66" t="s">
        <v>2673</v>
      </c>
      <c r="O760" s="68"/>
    </row>
    <row r="761">
      <c r="A761" s="43">
        <v>45700.0</v>
      </c>
      <c r="B761" s="31" t="s">
        <v>2681</v>
      </c>
      <c r="C761" s="31">
        <v>8.05011513925E11</v>
      </c>
      <c r="D761" s="31" t="s">
        <v>2682</v>
      </c>
      <c r="E761" s="31" t="s">
        <v>2683</v>
      </c>
      <c r="F761" s="31" t="s">
        <v>2684</v>
      </c>
      <c r="G761" s="31" t="s">
        <v>247</v>
      </c>
      <c r="H761" s="31" t="s">
        <v>20</v>
      </c>
      <c r="I761" s="31">
        <v>4400.0</v>
      </c>
      <c r="J761" s="31" t="s">
        <v>2685</v>
      </c>
      <c r="K761" s="31" t="s">
        <v>2686</v>
      </c>
      <c r="L761" s="31" t="s">
        <v>2687</v>
      </c>
      <c r="M761" s="33">
        <v>1.0</v>
      </c>
      <c r="N761" s="31" t="s">
        <v>2688</v>
      </c>
      <c r="O761" s="37"/>
    </row>
    <row r="762">
      <c r="A762" s="43">
        <v>45700.0</v>
      </c>
      <c r="B762" s="31" t="s">
        <v>2681</v>
      </c>
      <c r="C762" s="31">
        <v>8.05011513925E11</v>
      </c>
      <c r="D762" s="31" t="s">
        <v>2682</v>
      </c>
      <c r="E762" s="31" t="s">
        <v>2683</v>
      </c>
      <c r="F762" s="31" t="s">
        <v>2684</v>
      </c>
      <c r="G762" s="31" t="s">
        <v>247</v>
      </c>
      <c r="H762" s="31" t="s">
        <v>20</v>
      </c>
      <c r="I762" s="31">
        <v>4400.0</v>
      </c>
      <c r="J762" s="31" t="s">
        <v>2685</v>
      </c>
      <c r="K762" s="31" t="s">
        <v>512</v>
      </c>
      <c r="L762" s="31" t="s">
        <v>513</v>
      </c>
      <c r="M762" s="33">
        <v>6.0</v>
      </c>
      <c r="N762" s="31" t="s">
        <v>2688</v>
      </c>
      <c r="O762" s="37"/>
    </row>
    <row r="763">
      <c r="A763" s="43">
        <v>45700.0</v>
      </c>
      <c r="B763" s="31" t="s">
        <v>2681</v>
      </c>
      <c r="C763" s="31">
        <v>8.05011513925E11</v>
      </c>
      <c r="D763" s="31" t="s">
        <v>2682</v>
      </c>
      <c r="E763" s="31" t="s">
        <v>2683</v>
      </c>
      <c r="F763" s="31" t="s">
        <v>2684</v>
      </c>
      <c r="G763" s="31" t="s">
        <v>247</v>
      </c>
      <c r="H763" s="31" t="s">
        <v>20</v>
      </c>
      <c r="I763" s="31">
        <v>4400.0</v>
      </c>
      <c r="J763" s="31" t="s">
        <v>2685</v>
      </c>
      <c r="K763" s="31" t="s">
        <v>35</v>
      </c>
      <c r="L763" s="31" t="s">
        <v>36</v>
      </c>
      <c r="M763" s="33">
        <v>1.0</v>
      </c>
      <c r="N763" s="31" t="s">
        <v>2688</v>
      </c>
      <c r="O763" s="37"/>
    </row>
    <row r="764">
      <c r="A764" s="70">
        <v>45700.0</v>
      </c>
      <c r="B764" s="66" t="s">
        <v>2689</v>
      </c>
      <c r="C764" s="66">
        <v>8.05011513943E11</v>
      </c>
      <c r="D764" s="66" t="s">
        <v>2690</v>
      </c>
      <c r="E764" s="66" t="s">
        <v>2691</v>
      </c>
      <c r="F764" s="66" t="s">
        <v>2692</v>
      </c>
      <c r="G764" s="66" t="s">
        <v>278</v>
      </c>
      <c r="H764" s="66" t="s">
        <v>20</v>
      </c>
      <c r="I764" s="66">
        <v>4400.0</v>
      </c>
      <c r="J764" s="66" t="s">
        <v>2693</v>
      </c>
      <c r="K764" s="66" t="s">
        <v>32</v>
      </c>
      <c r="L764" s="66" t="s">
        <v>33</v>
      </c>
      <c r="M764" s="67">
        <v>1.0</v>
      </c>
      <c r="N764" s="66" t="s">
        <v>2694</v>
      </c>
      <c r="O764" s="81"/>
    </row>
    <row r="765">
      <c r="A765" s="70">
        <v>45700.0</v>
      </c>
      <c r="B765" s="66" t="s">
        <v>2695</v>
      </c>
      <c r="C765" s="66">
        <v>8.05011513942E11</v>
      </c>
      <c r="D765" s="66" t="s">
        <v>2690</v>
      </c>
      <c r="E765" s="66" t="s">
        <v>2691</v>
      </c>
      <c r="F765" s="66" t="s">
        <v>2692</v>
      </c>
      <c r="G765" s="66" t="s">
        <v>278</v>
      </c>
      <c r="H765" s="66" t="s">
        <v>20</v>
      </c>
      <c r="I765" s="66">
        <v>4400.0</v>
      </c>
      <c r="J765" s="66" t="s">
        <v>2693</v>
      </c>
      <c r="K765" s="66" t="s">
        <v>88</v>
      </c>
      <c r="L765" s="66" t="s">
        <v>89</v>
      </c>
      <c r="M765" s="67">
        <v>1.0</v>
      </c>
      <c r="N765" s="66" t="s">
        <v>2694</v>
      </c>
      <c r="O765" s="81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3"/>
      <c r="N766" s="22"/>
      <c r="O766" s="22"/>
    </row>
    <row r="767">
      <c r="A767" s="85">
        <v>45707.0</v>
      </c>
      <c r="B767" s="31" t="s">
        <v>2696</v>
      </c>
      <c r="C767" s="31">
        <v>8.05011513733E11</v>
      </c>
      <c r="D767" s="31" t="s">
        <v>2675</v>
      </c>
      <c r="E767" s="31" t="s">
        <v>2676</v>
      </c>
      <c r="F767" s="31" t="s">
        <v>2677</v>
      </c>
      <c r="G767" s="31" t="s">
        <v>826</v>
      </c>
      <c r="H767" s="31" t="s">
        <v>20</v>
      </c>
      <c r="I767" s="31">
        <v>4530.0</v>
      </c>
      <c r="J767" s="31" t="s">
        <v>2678</v>
      </c>
      <c r="K767" s="31" t="s">
        <v>88</v>
      </c>
      <c r="L767" s="31" t="s">
        <v>89</v>
      </c>
      <c r="M767" s="33">
        <v>1.0</v>
      </c>
      <c r="N767" s="31" t="s">
        <v>2679</v>
      </c>
      <c r="O767" s="34"/>
    </row>
    <row r="768">
      <c r="A768" s="85">
        <v>45707.0</v>
      </c>
      <c r="B768" s="66" t="s">
        <v>2697</v>
      </c>
      <c r="C768" s="66">
        <v>8.07025029711E11</v>
      </c>
      <c r="D768" s="66" t="s">
        <v>2698</v>
      </c>
      <c r="E768" s="66" t="s">
        <v>2699</v>
      </c>
      <c r="F768" s="66" t="s">
        <v>2700</v>
      </c>
      <c r="G768" s="66" t="s">
        <v>116</v>
      </c>
      <c r="H768" s="66" t="s">
        <v>20</v>
      </c>
      <c r="I768" s="66">
        <v>4400.0</v>
      </c>
      <c r="J768" s="66" t="s">
        <v>2701</v>
      </c>
      <c r="K768" s="66" t="s">
        <v>378</v>
      </c>
      <c r="L768" s="66" t="s">
        <v>379</v>
      </c>
      <c r="M768" s="67">
        <v>1.0</v>
      </c>
      <c r="N768" s="66" t="s">
        <v>2702</v>
      </c>
      <c r="O768" s="66" t="s">
        <v>2703</v>
      </c>
    </row>
    <row r="769">
      <c r="A769" s="85">
        <v>45707.0</v>
      </c>
      <c r="B769" s="66" t="s">
        <v>2697</v>
      </c>
      <c r="C769" s="66">
        <v>8.07025029711E11</v>
      </c>
      <c r="D769" s="66" t="s">
        <v>2698</v>
      </c>
      <c r="E769" s="66" t="s">
        <v>2699</v>
      </c>
      <c r="F769" s="66" t="s">
        <v>2700</v>
      </c>
      <c r="G769" s="66" t="s">
        <v>116</v>
      </c>
      <c r="H769" s="66" t="s">
        <v>20</v>
      </c>
      <c r="I769" s="66">
        <v>4400.0</v>
      </c>
      <c r="J769" s="66" t="s">
        <v>2701</v>
      </c>
      <c r="K769" s="66" t="s">
        <v>512</v>
      </c>
      <c r="L769" s="66" t="s">
        <v>513</v>
      </c>
      <c r="M769" s="67">
        <v>12.0</v>
      </c>
      <c r="N769" s="66" t="s">
        <v>2702</v>
      </c>
      <c r="O769" s="66" t="s">
        <v>2703</v>
      </c>
    </row>
    <row r="770">
      <c r="A770" s="85">
        <v>45707.0</v>
      </c>
      <c r="B770" s="66" t="s">
        <v>2697</v>
      </c>
      <c r="C770" s="66">
        <v>8.07025029711E11</v>
      </c>
      <c r="D770" s="66" t="s">
        <v>2698</v>
      </c>
      <c r="E770" s="66" t="s">
        <v>2699</v>
      </c>
      <c r="F770" s="66" t="s">
        <v>2700</v>
      </c>
      <c r="G770" s="66" t="s">
        <v>116</v>
      </c>
      <c r="H770" s="66" t="s">
        <v>20</v>
      </c>
      <c r="I770" s="66">
        <v>4400.0</v>
      </c>
      <c r="J770" s="66" t="s">
        <v>2701</v>
      </c>
      <c r="K770" s="66" t="s">
        <v>381</v>
      </c>
      <c r="L770" s="66" t="s">
        <v>382</v>
      </c>
      <c r="M770" s="67">
        <v>2.0</v>
      </c>
      <c r="N770" s="66" t="s">
        <v>2702</v>
      </c>
      <c r="O770" s="66" t="s">
        <v>2703</v>
      </c>
    </row>
    <row r="771">
      <c r="A771" s="85">
        <v>45707.0</v>
      </c>
      <c r="B771" s="31" t="s">
        <v>2704</v>
      </c>
      <c r="C771" s="31">
        <v>8.05011514072E11</v>
      </c>
      <c r="D771" s="31" t="s">
        <v>2705</v>
      </c>
      <c r="E771" s="31" t="s">
        <v>2706</v>
      </c>
      <c r="F771" s="31" t="s">
        <v>2707</v>
      </c>
      <c r="G771" s="31" t="s">
        <v>20</v>
      </c>
      <c r="H771" s="31" t="s">
        <v>20</v>
      </c>
      <c r="I771" s="31">
        <v>4400.0</v>
      </c>
      <c r="J771" s="31" t="s">
        <v>2708</v>
      </c>
      <c r="K771" s="31" t="s">
        <v>88</v>
      </c>
      <c r="L771" s="31" t="s">
        <v>89</v>
      </c>
      <c r="M771" s="33">
        <v>1.0</v>
      </c>
      <c r="N771" s="31" t="s">
        <v>2709</v>
      </c>
      <c r="O771" s="34"/>
    </row>
    <row r="772">
      <c r="A772" s="85">
        <v>45707.0</v>
      </c>
      <c r="B772" s="66" t="s">
        <v>2710</v>
      </c>
      <c r="C772" s="66">
        <v>8.05011514073E11</v>
      </c>
      <c r="D772" s="66" t="s">
        <v>2705</v>
      </c>
      <c r="E772" s="66" t="s">
        <v>2706</v>
      </c>
      <c r="F772" s="66" t="s">
        <v>2707</v>
      </c>
      <c r="G772" s="66" t="s">
        <v>20</v>
      </c>
      <c r="H772" s="66" t="s">
        <v>20</v>
      </c>
      <c r="I772" s="66">
        <v>4400.0</v>
      </c>
      <c r="J772" s="66" t="s">
        <v>2708</v>
      </c>
      <c r="K772" s="66" t="s">
        <v>32</v>
      </c>
      <c r="L772" s="66" t="s">
        <v>33</v>
      </c>
      <c r="M772" s="67">
        <v>1.0</v>
      </c>
      <c r="N772" s="66" t="s">
        <v>2709</v>
      </c>
      <c r="O772" s="68"/>
    </row>
    <row r="773">
      <c r="A773" s="85">
        <v>45707.0</v>
      </c>
      <c r="B773" s="31" t="s">
        <v>2711</v>
      </c>
      <c r="C773" s="31">
        <v>8.07025029727E11</v>
      </c>
      <c r="D773" s="31" t="s">
        <v>2712</v>
      </c>
      <c r="E773" s="31" t="s">
        <v>2713</v>
      </c>
      <c r="F773" s="31" t="s">
        <v>2714</v>
      </c>
      <c r="G773" s="31" t="s">
        <v>116</v>
      </c>
      <c r="H773" s="31" t="s">
        <v>20</v>
      </c>
      <c r="I773" s="31">
        <v>4400.0</v>
      </c>
      <c r="J773" s="31" t="s">
        <v>2715</v>
      </c>
      <c r="K773" s="31" t="s">
        <v>606</v>
      </c>
      <c r="L773" s="31" t="s">
        <v>607</v>
      </c>
      <c r="M773" s="33">
        <v>1.0</v>
      </c>
      <c r="N773" s="31" t="s">
        <v>2716</v>
      </c>
      <c r="O773" s="31" t="s">
        <v>2717</v>
      </c>
    </row>
    <row r="774">
      <c r="A774" s="85">
        <v>45707.0</v>
      </c>
      <c r="B774" s="31" t="s">
        <v>2711</v>
      </c>
      <c r="C774" s="31">
        <v>8.07025029727E11</v>
      </c>
      <c r="D774" s="31" t="s">
        <v>2712</v>
      </c>
      <c r="E774" s="31" t="s">
        <v>2713</v>
      </c>
      <c r="F774" s="31" t="s">
        <v>2714</v>
      </c>
      <c r="G774" s="31" t="s">
        <v>116</v>
      </c>
      <c r="H774" s="31" t="s">
        <v>20</v>
      </c>
      <c r="I774" s="31">
        <v>4400.0</v>
      </c>
      <c r="J774" s="31" t="s">
        <v>2715</v>
      </c>
      <c r="K774" s="31" t="s">
        <v>609</v>
      </c>
      <c r="L774" s="31" t="s">
        <v>610</v>
      </c>
      <c r="M774" s="33">
        <v>1.0</v>
      </c>
      <c r="N774" s="31" t="s">
        <v>2716</v>
      </c>
      <c r="O774" s="31" t="s">
        <v>2717</v>
      </c>
    </row>
    <row r="775">
      <c r="A775" s="85">
        <v>45707.0</v>
      </c>
      <c r="B775" s="66" t="s">
        <v>2718</v>
      </c>
      <c r="C775" s="66">
        <v>8.07025029728E11</v>
      </c>
      <c r="D775" s="66" t="s">
        <v>2719</v>
      </c>
      <c r="E775" s="66" t="s">
        <v>2720</v>
      </c>
      <c r="F775" s="66" t="s">
        <v>2721</v>
      </c>
      <c r="G775" s="66" t="s">
        <v>116</v>
      </c>
      <c r="H775" s="66" t="s">
        <v>20</v>
      </c>
      <c r="I775" s="66">
        <v>4400.0</v>
      </c>
      <c r="J775" s="66" t="s">
        <v>2722</v>
      </c>
      <c r="K775" s="66" t="s">
        <v>50</v>
      </c>
      <c r="L775" s="66" t="s">
        <v>51</v>
      </c>
      <c r="M775" s="67">
        <v>1.0</v>
      </c>
      <c r="N775" s="66" t="s">
        <v>2723</v>
      </c>
      <c r="O775" s="66" t="s">
        <v>1734</v>
      </c>
    </row>
    <row r="776">
      <c r="A776" s="85">
        <v>45707.0</v>
      </c>
      <c r="B776" s="66" t="s">
        <v>2718</v>
      </c>
      <c r="C776" s="66">
        <v>8.07025029728E11</v>
      </c>
      <c r="D776" s="66" t="s">
        <v>2719</v>
      </c>
      <c r="E776" s="66" t="s">
        <v>2720</v>
      </c>
      <c r="F776" s="66" t="s">
        <v>2721</v>
      </c>
      <c r="G776" s="66" t="s">
        <v>116</v>
      </c>
      <c r="H776" s="66" t="s">
        <v>20</v>
      </c>
      <c r="I776" s="66">
        <v>4400.0</v>
      </c>
      <c r="J776" s="66" t="s">
        <v>2722</v>
      </c>
      <c r="K776" s="66" t="s">
        <v>741</v>
      </c>
      <c r="L776" s="66" t="s">
        <v>742</v>
      </c>
      <c r="M776" s="67">
        <v>1.0</v>
      </c>
      <c r="N776" s="66" t="s">
        <v>2723</v>
      </c>
      <c r="O776" s="66" t="s">
        <v>1734</v>
      </c>
    </row>
    <row r="777">
      <c r="A777" s="85">
        <v>45707.0</v>
      </c>
      <c r="B777" s="31" t="s">
        <v>2724</v>
      </c>
      <c r="C777" s="31">
        <v>8.05011514421E11</v>
      </c>
      <c r="D777" s="31" t="s">
        <v>2725</v>
      </c>
      <c r="E777" s="31" t="s">
        <v>2726</v>
      </c>
      <c r="F777" s="31" t="s">
        <v>2727</v>
      </c>
      <c r="G777" s="31" t="s">
        <v>20</v>
      </c>
      <c r="H777" s="31" t="s">
        <v>20</v>
      </c>
      <c r="I777" s="31">
        <v>4400.0</v>
      </c>
      <c r="J777" s="31" t="s">
        <v>2728</v>
      </c>
      <c r="K777" s="31" t="s">
        <v>88</v>
      </c>
      <c r="L777" s="31" t="s">
        <v>89</v>
      </c>
      <c r="M777" s="33">
        <v>1.0</v>
      </c>
      <c r="N777" s="31" t="s">
        <v>2729</v>
      </c>
      <c r="O777" s="34"/>
    </row>
    <row r="778">
      <c r="A778" s="85">
        <v>45707.0</v>
      </c>
      <c r="B778" s="66" t="s">
        <v>2730</v>
      </c>
      <c r="C778" s="66">
        <v>8.05011514422E11</v>
      </c>
      <c r="D778" s="66" t="s">
        <v>2725</v>
      </c>
      <c r="E778" s="66" t="s">
        <v>2726</v>
      </c>
      <c r="F778" s="66" t="s">
        <v>2727</v>
      </c>
      <c r="G778" s="66" t="s">
        <v>20</v>
      </c>
      <c r="H778" s="66" t="s">
        <v>20</v>
      </c>
      <c r="I778" s="66">
        <v>4400.0</v>
      </c>
      <c r="J778" s="66" t="s">
        <v>2728</v>
      </c>
      <c r="K778" s="66" t="s">
        <v>98</v>
      </c>
      <c r="L778" s="66" t="s">
        <v>99</v>
      </c>
      <c r="M778" s="67">
        <v>1.0</v>
      </c>
      <c r="N778" s="66" t="s">
        <v>2729</v>
      </c>
      <c r="O778" s="68"/>
    </row>
    <row r="779">
      <c r="A779" s="85">
        <v>45707.0</v>
      </c>
      <c r="B779" s="31" t="s">
        <v>2731</v>
      </c>
      <c r="C779" s="31">
        <v>8.05011514385E11</v>
      </c>
      <c r="D779" s="31" t="s">
        <v>2732</v>
      </c>
      <c r="E779" s="31" t="s">
        <v>2733</v>
      </c>
      <c r="F779" s="31" t="s">
        <v>2734</v>
      </c>
      <c r="G779" s="31" t="s">
        <v>58</v>
      </c>
      <c r="H779" s="31" t="s">
        <v>20</v>
      </c>
      <c r="I779" s="31">
        <v>4400.0</v>
      </c>
      <c r="J779" s="31" t="s">
        <v>2735</v>
      </c>
      <c r="K779" s="31" t="s">
        <v>2736</v>
      </c>
      <c r="L779" s="31" t="s">
        <v>2737</v>
      </c>
      <c r="M779" s="33">
        <v>1.0</v>
      </c>
      <c r="N779" s="31" t="s">
        <v>2738</v>
      </c>
      <c r="O779" s="34"/>
    </row>
    <row r="780">
      <c r="A780" s="85">
        <v>45707.0</v>
      </c>
      <c r="B780" s="31" t="s">
        <v>2731</v>
      </c>
      <c r="C780" s="31">
        <v>8.05011514385E11</v>
      </c>
      <c r="D780" s="31" t="s">
        <v>2732</v>
      </c>
      <c r="E780" s="31" t="s">
        <v>2733</v>
      </c>
      <c r="F780" s="31" t="s">
        <v>2734</v>
      </c>
      <c r="G780" s="31" t="s">
        <v>58</v>
      </c>
      <c r="H780" s="31" t="s">
        <v>20</v>
      </c>
      <c r="I780" s="31">
        <v>4400.0</v>
      </c>
      <c r="J780" s="31" t="s">
        <v>2735</v>
      </c>
      <c r="K780" s="31" t="s">
        <v>512</v>
      </c>
      <c r="L780" s="31" t="s">
        <v>513</v>
      </c>
      <c r="M780" s="33">
        <v>12.0</v>
      </c>
      <c r="N780" s="31" t="s">
        <v>2738</v>
      </c>
      <c r="O780" s="34"/>
    </row>
    <row r="781">
      <c r="A781" s="85">
        <v>45707.0</v>
      </c>
      <c r="B781" s="31" t="s">
        <v>2731</v>
      </c>
      <c r="C781" s="31">
        <v>8.05011514385E11</v>
      </c>
      <c r="D781" s="31" t="s">
        <v>2732</v>
      </c>
      <c r="E781" s="31" t="s">
        <v>2733</v>
      </c>
      <c r="F781" s="31" t="s">
        <v>2734</v>
      </c>
      <c r="G781" s="31" t="s">
        <v>58</v>
      </c>
      <c r="H781" s="31" t="s">
        <v>20</v>
      </c>
      <c r="I781" s="31">
        <v>4400.0</v>
      </c>
      <c r="J781" s="31" t="s">
        <v>2735</v>
      </c>
      <c r="K781" s="31" t="s">
        <v>772</v>
      </c>
      <c r="L781" s="31" t="s">
        <v>773</v>
      </c>
      <c r="M781" s="33">
        <v>2.0</v>
      </c>
      <c r="N781" s="31" t="s">
        <v>2738</v>
      </c>
      <c r="O781" s="34"/>
    </row>
    <row r="782">
      <c r="A782" s="85">
        <v>45707.0</v>
      </c>
      <c r="B782" s="66" t="s">
        <v>2739</v>
      </c>
      <c r="C782" s="66">
        <v>8.05011514477E11</v>
      </c>
      <c r="D782" s="66" t="s">
        <v>2740</v>
      </c>
      <c r="E782" s="66" t="s">
        <v>2741</v>
      </c>
      <c r="F782" s="66" t="s">
        <v>2742</v>
      </c>
      <c r="G782" s="66" t="s">
        <v>20</v>
      </c>
      <c r="H782" s="66" t="s">
        <v>20</v>
      </c>
      <c r="I782" s="66">
        <v>4400.0</v>
      </c>
      <c r="J782" s="66" t="s">
        <v>1428</v>
      </c>
      <c r="K782" s="66" t="s">
        <v>627</v>
      </c>
      <c r="L782" s="66" t="s">
        <v>628</v>
      </c>
      <c r="M782" s="67">
        <v>1.0</v>
      </c>
      <c r="N782" s="68"/>
      <c r="O782" s="68"/>
    </row>
    <row r="783">
      <c r="A783" s="85">
        <v>45707.0</v>
      </c>
      <c r="B783" s="66" t="s">
        <v>2739</v>
      </c>
      <c r="C783" s="66">
        <v>8.05011514477E11</v>
      </c>
      <c r="D783" s="66" t="s">
        <v>2740</v>
      </c>
      <c r="E783" s="66" t="s">
        <v>2741</v>
      </c>
      <c r="F783" s="66" t="s">
        <v>2742</v>
      </c>
      <c r="G783" s="66" t="s">
        <v>20</v>
      </c>
      <c r="H783" s="66" t="s">
        <v>20</v>
      </c>
      <c r="I783" s="66">
        <v>4400.0</v>
      </c>
      <c r="J783" s="66" t="s">
        <v>1428</v>
      </c>
      <c r="K783" s="66" t="s">
        <v>2285</v>
      </c>
      <c r="L783" s="66" t="s">
        <v>2286</v>
      </c>
      <c r="M783" s="67">
        <v>1.0</v>
      </c>
      <c r="N783" s="68"/>
      <c r="O783" s="68"/>
    </row>
    <row r="784">
      <c r="A784" s="85">
        <v>45707.0</v>
      </c>
      <c r="B784" s="31" t="s">
        <v>2743</v>
      </c>
      <c r="C784" s="31">
        <v>8.05011514505E11</v>
      </c>
      <c r="D784" s="31" t="s">
        <v>2744</v>
      </c>
      <c r="E784" s="31" t="s">
        <v>2745</v>
      </c>
      <c r="F784" s="31" t="s">
        <v>2746</v>
      </c>
      <c r="G784" s="31" t="s">
        <v>20</v>
      </c>
      <c r="H784" s="31" t="s">
        <v>20</v>
      </c>
      <c r="I784" s="31">
        <v>4400.0</v>
      </c>
      <c r="J784" s="31" t="s">
        <v>2747</v>
      </c>
      <c r="K784" s="31" t="s">
        <v>2359</v>
      </c>
      <c r="L784" s="31" t="s">
        <v>2360</v>
      </c>
      <c r="M784" s="33">
        <v>1.0</v>
      </c>
      <c r="N784" s="31" t="s">
        <v>2748</v>
      </c>
      <c r="O784" s="29" t="s">
        <v>2749</v>
      </c>
    </row>
    <row r="785">
      <c r="A785" s="85">
        <v>45707.0</v>
      </c>
      <c r="B785" s="66" t="s">
        <v>2750</v>
      </c>
      <c r="C785" s="66">
        <v>8.07025029441E11</v>
      </c>
      <c r="D785" s="66" t="s">
        <v>2751</v>
      </c>
      <c r="E785" s="66" t="s">
        <v>2752</v>
      </c>
      <c r="F785" s="66" t="s">
        <v>2753</v>
      </c>
      <c r="G785" s="66" t="s">
        <v>127</v>
      </c>
      <c r="H785" s="66" t="s">
        <v>20</v>
      </c>
      <c r="I785" s="66">
        <v>4400.0</v>
      </c>
      <c r="J785" s="66" t="s">
        <v>2754</v>
      </c>
      <c r="K785" s="66" t="s">
        <v>352</v>
      </c>
      <c r="L785" s="66" t="s">
        <v>353</v>
      </c>
      <c r="M785" s="67">
        <v>1.0</v>
      </c>
      <c r="N785" s="78" t="s">
        <v>2755</v>
      </c>
      <c r="O785" s="78" t="s">
        <v>2756</v>
      </c>
    </row>
    <row r="786">
      <c r="A786" s="43">
        <v>45707.0</v>
      </c>
      <c r="B786" s="31" t="s">
        <v>2757</v>
      </c>
      <c r="C786" s="31">
        <v>8.07025029784E11</v>
      </c>
      <c r="D786" s="31" t="s">
        <v>2758</v>
      </c>
      <c r="E786" s="31" t="s">
        <v>2759</v>
      </c>
      <c r="F786" s="31" t="s">
        <v>2760</v>
      </c>
      <c r="G786" s="31" t="s">
        <v>116</v>
      </c>
      <c r="H786" s="31" t="s">
        <v>20</v>
      </c>
      <c r="I786" s="31">
        <v>4400.0</v>
      </c>
      <c r="J786" s="31" t="s">
        <v>2761</v>
      </c>
      <c r="K786" s="31" t="s">
        <v>1115</v>
      </c>
      <c r="L786" s="31" t="s">
        <v>1116</v>
      </c>
      <c r="M786" s="33">
        <v>1.0</v>
      </c>
      <c r="N786" s="31" t="s">
        <v>2762</v>
      </c>
      <c r="O786" s="37" t="s">
        <v>1734</v>
      </c>
    </row>
    <row r="787">
      <c r="A787" s="43">
        <v>45707.0</v>
      </c>
      <c r="B787" s="31" t="s">
        <v>2757</v>
      </c>
      <c r="C787" s="31">
        <v>8.07025029784E11</v>
      </c>
      <c r="D787" s="31" t="s">
        <v>2758</v>
      </c>
      <c r="E787" s="31" t="s">
        <v>2759</v>
      </c>
      <c r="F787" s="31" t="s">
        <v>2760</v>
      </c>
      <c r="G787" s="31" t="s">
        <v>116</v>
      </c>
      <c r="H787" s="31" t="s">
        <v>20</v>
      </c>
      <c r="I787" s="31">
        <v>4400.0</v>
      </c>
      <c r="J787" s="31" t="s">
        <v>2761</v>
      </c>
      <c r="K787" s="31" t="s">
        <v>512</v>
      </c>
      <c r="L787" s="31" t="s">
        <v>513</v>
      </c>
      <c r="M787" s="33">
        <v>12.0</v>
      </c>
      <c r="N787" s="31" t="s">
        <v>2762</v>
      </c>
      <c r="O787" s="37" t="s">
        <v>1734</v>
      </c>
    </row>
    <row r="788">
      <c r="A788" s="43">
        <v>45707.0</v>
      </c>
      <c r="B788" s="31" t="s">
        <v>2757</v>
      </c>
      <c r="C788" s="31">
        <v>8.07025029784E11</v>
      </c>
      <c r="D788" s="31" t="s">
        <v>2758</v>
      </c>
      <c r="E788" s="31" t="s">
        <v>2759</v>
      </c>
      <c r="F788" s="31" t="s">
        <v>2760</v>
      </c>
      <c r="G788" s="31" t="s">
        <v>116</v>
      </c>
      <c r="H788" s="31" t="s">
        <v>20</v>
      </c>
      <c r="I788" s="31">
        <v>4400.0</v>
      </c>
      <c r="J788" s="31" t="s">
        <v>2761</v>
      </c>
      <c r="K788" s="31" t="s">
        <v>340</v>
      </c>
      <c r="L788" s="31" t="s">
        <v>341</v>
      </c>
      <c r="M788" s="33">
        <v>2.0</v>
      </c>
      <c r="N788" s="31" t="s">
        <v>2762</v>
      </c>
      <c r="O788" s="37" t="s">
        <v>1734</v>
      </c>
    </row>
    <row r="789">
      <c r="A789" s="85">
        <v>45707.0</v>
      </c>
      <c r="B789" s="66" t="s">
        <v>2763</v>
      </c>
      <c r="C789" s="66">
        <v>8.07025029786E11</v>
      </c>
      <c r="D789" s="66" t="s">
        <v>2764</v>
      </c>
      <c r="E789" s="66" t="s">
        <v>2765</v>
      </c>
      <c r="F789" s="66" t="s">
        <v>2766</v>
      </c>
      <c r="G789" s="66" t="s">
        <v>116</v>
      </c>
      <c r="H789" s="66" t="s">
        <v>20</v>
      </c>
      <c r="I789" s="66">
        <v>4400.0</v>
      </c>
      <c r="J789" s="66" t="s">
        <v>2767</v>
      </c>
      <c r="K789" s="66" t="s">
        <v>1747</v>
      </c>
      <c r="L789" s="66" t="s">
        <v>1748</v>
      </c>
      <c r="M789" s="67">
        <v>2.0</v>
      </c>
      <c r="N789" s="68" t="s">
        <v>2240</v>
      </c>
      <c r="O789" s="68" t="s">
        <v>1746</v>
      </c>
    </row>
    <row r="790">
      <c r="A790" s="85">
        <v>45707.0</v>
      </c>
      <c r="C790" s="66">
        <v>8.07025029786E11</v>
      </c>
      <c r="D790" s="66" t="s">
        <v>2764</v>
      </c>
      <c r="E790" s="66" t="s">
        <v>2765</v>
      </c>
      <c r="F790" s="66" t="s">
        <v>2766</v>
      </c>
      <c r="G790" s="66" t="s">
        <v>116</v>
      </c>
      <c r="H790" s="66" t="s">
        <v>20</v>
      </c>
      <c r="I790" s="66">
        <v>4400.0</v>
      </c>
      <c r="J790" s="66" t="s">
        <v>2767</v>
      </c>
      <c r="K790" s="66">
        <v>208501.0</v>
      </c>
      <c r="L790" s="66" t="s">
        <v>481</v>
      </c>
      <c r="M790" s="67">
        <v>1.0</v>
      </c>
      <c r="N790" s="68" t="s">
        <v>2240</v>
      </c>
      <c r="O790" s="68" t="s">
        <v>1746</v>
      </c>
    </row>
    <row r="791">
      <c r="A791" s="85">
        <v>45707.0</v>
      </c>
      <c r="B791" s="31" t="s">
        <v>2768</v>
      </c>
      <c r="C791" s="31">
        <v>8.05011514863E11</v>
      </c>
      <c r="D791" s="31" t="s">
        <v>2769</v>
      </c>
      <c r="E791" s="31" t="s">
        <v>2770</v>
      </c>
      <c r="F791" s="31" t="s">
        <v>2771</v>
      </c>
      <c r="G791" s="31" t="s">
        <v>20</v>
      </c>
      <c r="H791" s="31" t="s">
        <v>20</v>
      </c>
      <c r="I791" s="31">
        <v>4400.0</v>
      </c>
      <c r="J791" s="31" t="s">
        <v>2772</v>
      </c>
      <c r="K791" s="31" t="s">
        <v>1843</v>
      </c>
      <c r="L791" s="31" t="s">
        <v>1844</v>
      </c>
      <c r="M791" s="33">
        <v>1.0</v>
      </c>
      <c r="N791" s="31" t="s">
        <v>2773</v>
      </c>
      <c r="O791" s="34"/>
    </row>
    <row r="792">
      <c r="A792" s="85">
        <v>45707.0</v>
      </c>
      <c r="B792" s="66" t="s">
        <v>2774</v>
      </c>
      <c r="C792" s="66">
        <v>8.05011514825E11</v>
      </c>
      <c r="D792" s="66" t="s">
        <v>2775</v>
      </c>
      <c r="E792" s="66" t="s">
        <v>2776</v>
      </c>
      <c r="F792" s="66" t="s">
        <v>2777</v>
      </c>
      <c r="G792" s="66" t="s">
        <v>104</v>
      </c>
      <c r="H792" s="66" t="s">
        <v>20</v>
      </c>
      <c r="I792" s="66">
        <v>4400.0</v>
      </c>
      <c r="J792" s="66" t="s">
        <v>2778</v>
      </c>
      <c r="K792" s="66" t="s">
        <v>2779</v>
      </c>
      <c r="L792" s="66" t="s">
        <v>2780</v>
      </c>
      <c r="M792" s="67">
        <v>1.0</v>
      </c>
      <c r="N792" s="68" t="s">
        <v>2781</v>
      </c>
      <c r="O792" s="68"/>
    </row>
    <row r="793">
      <c r="A793" s="85">
        <v>45707.0</v>
      </c>
      <c r="B793" s="66" t="s">
        <v>2774</v>
      </c>
      <c r="C793" s="66">
        <v>8.05011514825E11</v>
      </c>
      <c r="D793" s="66" t="s">
        <v>2775</v>
      </c>
      <c r="E793" s="66" t="s">
        <v>2776</v>
      </c>
      <c r="F793" s="66" t="s">
        <v>2777</v>
      </c>
      <c r="G793" s="66" t="s">
        <v>104</v>
      </c>
      <c r="H793" s="66" t="s">
        <v>20</v>
      </c>
      <c r="I793" s="66">
        <v>4400.0</v>
      </c>
      <c r="J793" s="66" t="s">
        <v>2778</v>
      </c>
      <c r="K793" s="66" t="s">
        <v>512</v>
      </c>
      <c r="L793" s="66" t="s">
        <v>513</v>
      </c>
      <c r="M793" s="67">
        <v>6.0</v>
      </c>
      <c r="N793" s="68" t="s">
        <v>2781</v>
      </c>
      <c r="O793" s="68"/>
    </row>
    <row r="794">
      <c r="A794" s="85">
        <v>45707.0</v>
      </c>
      <c r="B794" s="66" t="s">
        <v>2774</v>
      </c>
      <c r="C794" s="66">
        <v>8.05011514825E11</v>
      </c>
      <c r="D794" s="66" t="s">
        <v>2775</v>
      </c>
      <c r="E794" s="66" t="s">
        <v>2776</v>
      </c>
      <c r="F794" s="66" t="s">
        <v>2777</v>
      </c>
      <c r="G794" s="66" t="s">
        <v>104</v>
      </c>
      <c r="H794" s="66" t="s">
        <v>20</v>
      </c>
      <c r="I794" s="66">
        <v>4400.0</v>
      </c>
      <c r="J794" s="66" t="s">
        <v>2778</v>
      </c>
      <c r="K794" s="66" t="s">
        <v>2782</v>
      </c>
      <c r="L794" s="66" t="s">
        <v>2783</v>
      </c>
      <c r="M794" s="67">
        <v>1.0</v>
      </c>
      <c r="N794" s="68" t="s">
        <v>2781</v>
      </c>
      <c r="O794" s="86"/>
    </row>
    <row r="795">
      <c r="A795" s="85">
        <v>45707.0</v>
      </c>
      <c r="B795" s="31" t="s">
        <v>2784</v>
      </c>
      <c r="C795" s="31">
        <v>8.05011514605E11</v>
      </c>
      <c r="D795" s="31" t="s">
        <v>2785</v>
      </c>
      <c r="E795" s="31" t="s">
        <v>2786</v>
      </c>
      <c r="F795" s="31" t="s">
        <v>2787</v>
      </c>
      <c r="G795" s="31" t="s">
        <v>20</v>
      </c>
      <c r="H795" s="31" t="s">
        <v>20</v>
      </c>
      <c r="I795" s="31">
        <v>4400.0</v>
      </c>
      <c r="J795" s="31" t="s">
        <v>1428</v>
      </c>
      <c r="K795" s="31" t="s">
        <v>32</v>
      </c>
      <c r="L795" s="31" t="s">
        <v>33</v>
      </c>
      <c r="M795" s="33">
        <v>1.0</v>
      </c>
      <c r="N795" s="31"/>
      <c r="O795" s="34"/>
    </row>
    <row r="796">
      <c r="A796" s="87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9"/>
      <c r="N796" s="90"/>
      <c r="O796" s="90"/>
    </row>
    <row r="797">
      <c r="A797" s="91">
        <v>45716.0</v>
      </c>
      <c r="B797" s="66" t="s">
        <v>2788</v>
      </c>
      <c r="C797" s="66">
        <v>8.05011515257E11</v>
      </c>
      <c r="D797" s="66" t="s">
        <v>2789</v>
      </c>
      <c r="E797" s="66" t="s">
        <v>2790</v>
      </c>
      <c r="F797" s="66" t="s">
        <v>2791</v>
      </c>
      <c r="G797" s="66" t="s">
        <v>20</v>
      </c>
      <c r="H797" s="66" t="s">
        <v>20</v>
      </c>
      <c r="I797" s="66">
        <v>4400.0</v>
      </c>
      <c r="J797" s="66" t="s">
        <v>2792</v>
      </c>
      <c r="K797" s="66" t="s">
        <v>289</v>
      </c>
      <c r="L797" s="66" t="s">
        <v>290</v>
      </c>
      <c r="M797" s="67">
        <v>1.0</v>
      </c>
      <c r="N797" s="66" t="s">
        <v>2793</v>
      </c>
      <c r="O797" s="68"/>
    </row>
    <row r="798">
      <c r="A798" s="85">
        <v>45716.0</v>
      </c>
      <c r="B798" s="31" t="s">
        <v>2788</v>
      </c>
      <c r="C798" s="31">
        <v>8.05011515257E11</v>
      </c>
      <c r="D798" s="31" t="s">
        <v>2789</v>
      </c>
      <c r="E798" s="31" t="s">
        <v>2790</v>
      </c>
      <c r="F798" s="31" t="s">
        <v>2791</v>
      </c>
      <c r="G798" s="31" t="s">
        <v>20</v>
      </c>
      <c r="H798" s="31" t="s">
        <v>20</v>
      </c>
      <c r="I798" s="31">
        <v>4400.0</v>
      </c>
      <c r="J798" s="31" t="s">
        <v>2792</v>
      </c>
      <c r="K798" s="31" t="s">
        <v>627</v>
      </c>
      <c r="L798" s="31" t="s">
        <v>628</v>
      </c>
      <c r="M798" s="33">
        <v>1.0</v>
      </c>
      <c r="N798" s="31" t="s">
        <v>2793</v>
      </c>
      <c r="O798" s="34"/>
    </row>
    <row r="799">
      <c r="A799" s="91">
        <v>45716.0</v>
      </c>
      <c r="B799" s="66" t="s">
        <v>2794</v>
      </c>
      <c r="C799" s="66">
        <v>8.05011515164E11</v>
      </c>
      <c r="D799" s="66" t="s">
        <v>2795</v>
      </c>
      <c r="E799" s="66" t="s">
        <v>2796</v>
      </c>
      <c r="F799" s="66" t="s">
        <v>2797</v>
      </c>
      <c r="G799" s="66" t="s">
        <v>2177</v>
      </c>
      <c r="H799" s="66" t="s">
        <v>20</v>
      </c>
      <c r="I799" s="66">
        <v>4430.0</v>
      </c>
      <c r="J799" s="66" t="s">
        <v>2798</v>
      </c>
      <c r="K799" s="66" t="s">
        <v>98</v>
      </c>
      <c r="L799" s="66" t="s">
        <v>99</v>
      </c>
      <c r="M799" s="67">
        <v>1.0</v>
      </c>
      <c r="N799" s="66" t="s">
        <v>2799</v>
      </c>
      <c r="O799" s="68"/>
    </row>
    <row r="800">
      <c r="A800" s="85">
        <v>45716.0</v>
      </c>
      <c r="B800" s="31" t="s">
        <v>2800</v>
      </c>
      <c r="C800" s="31">
        <v>8.07025029825E11</v>
      </c>
      <c r="D800" s="31" t="s">
        <v>2801</v>
      </c>
      <c r="E800" s="31" t="s">
        <v>2802</v>
      </c>
      <c r="F800" s="31" t="s">
        <v>2803</v>
      </c>
      <c r="G800" s="31" t="s">
        <v>2804</v>
      </c>
      <c r="H800" s="31" t="s">
        <v>20</v>
      </c>
      <c r="I800" s="31">
        <v>4421.0</v>
      </c>
      <c r="J800" s="31" t="s">
        <v>2805</v>
      </c>
      <c r="K800" s="31" t="s">
        <v>98</v>
      </c>
      <c r="L800" s="31" t="s">
        <v>99</v>
      </c>
      <c r="M800" s="33">
        <v>1.0</v>
      </c>
      <c r="N800" s="31" t="s">
        <v>2806</v>
      </c>
      <c r="O800" s="31" t="s">
        <v>261</v>
      </c>
    </row>
    <row r="801">
      <c r="A801" s="85">
        <v>45716.0</v>
      </c>
      <c r="B801" s="31" t="s">
        <v>2800</v>
      </c>
      <c r="C801" s="31">
        <v>8.07025029825E11</v>
      </c>
      <c r="D801" s="31" t="s">
        <v>2801</v>
      </c>
      <c r="E801" s="31" t="s">
        <v>2802</v>
      </c>
      <c r="F801" s="31" t="s">
        <v>2803</v>
      </c>
      <c r="G801" s="31" t="s">
        <v>2804</v>
      </c>
      <c r="H801" s="31" t="s">
        <v>20</v>
      </c>
      <c r="I801" s="31">
        <v>4421.0</v>
      </c>
      <c r="J801" s="31" t="s">
        <v>2805</v>
      </c>
      <c r="K801" s="31" t="s">
        <v>512</v>
      </c>
      <c r="L801" s="31" t="s">
        <v>513</v>
      </c>
      <c r="M801" s="33">
        <v>6.0</v>
      </c>
      <c r="N801" s="31" t="s">
        <v>2806</v>
      </c>
      <c r="O801" s="31" t="s">
        <v>261</v>
      </c>
    </row>
    <row r="802">
      <c r="A802" s="85">
        <v>45716.0</v>
      </c>
      <c r="B802" s="31" t="s">
        <v>2800</v>
      </c>
      <c r="C802" s="31">
        <v>8.07025029825E11</v>
      </c>
      <c r="D802" s="31" t="s">
        <v>2801</v>
      </c>
      <c r="E802" s="31" t="s">
        <v>2802</v>
      </c>
      <c r="F802" s="31" t="s">
        <v>2803</v>
      </c>
      <c r="G802" s="31" t="s">
        <v>2804</v>
      </c>
      <c r="H802" s="31" t="s">
        <v>20</v>
      </c>
      <c r="I802" s="31">
        <v>4421.0</v>
      </c>
      <c r="J802" s="31" t="s">
        <v>2805</v>
      </c>
      <c r="K802" s="31" t="s">
        <v>670</v>
      </c>
      <c r="L802" s="31" t="s">
        <v>671</v>
      </c>
      <c r="M802" s="33">
        <v>1.0</v>
      </c>
      <c r="N802" s="31" t="s">
        <v>2806</v>
      </c>
      <c r="O802" s="31" t="s">
        <v>261</v>
      </c>
    </row>
    <row r="803">
      <c r="A803" s="91">
        <v>45716.0</v>
      </c>
      <c r="B803" s="66" t="s">
        <v>2807</v>
      </c>
      <c r="C803" s="66">
        <v>8.07025029912E11</v>
      </c>
      <c r="D803" s="66" t="s">
        <v>2808</v>
      </c>
      <c r="E803" s="66" t="s">
        <v>2809</v>
      </c>
      <c r="F803" s="66" t="s">
        <v>2810</v>
      </c>
      <c r="G803" s="66" t="s">
        <v>2811</v>
      </c>
      <c r="H803" s="66" t="s">
        <v>20</v>
      </c>
      <c r="I803" s="66">
        <v>4400.0</v>
      </c>
      <c r="J803" s="66" t="s">
        <v>2812</v>
      </c>
      <c r="K803" s="66" t="s">
        <v>2185</v>
      </c>
      <c r="L803" s="66" t="s">
        <v>2186</v>
      </c>
      <c r="M803" s="67">
        <v>1.0</v>
      </c>
      <c r="N803" s="66" t="s">
        <v>2813</v>
      </c>
      <c r="O803" s="66" t="s">
        <v>2811</v>
      </c>
    </row>
    <row r="804">
      <c r="A804" s="91">
        <v>45716.0</v>
      </c>
      <c r="B804" s="66" t="s">
        <v>2807</v>
      </c>
      <c r="C804" s="66">
        <v>8.07025029912E11</v>
      </c>
      <c r="D804" s="66" t="s">
        <v>2808</v>
      </c>
      <c r="E804" s="66" t="s">
        <v>2809</v>
      </c>
      <c r="F804" s="66" t="s">
        <v>2810</v>
      </c>
      <c r="G804" s="66" t="s">
        <v>2811</v>
      </c>
      <c r="H804" s="66" t="s">
        <v>20</v>
      </c>
      <c r="I804" s="66">
        <v>4400.0</v>
      </c>
      <c r="J804" s="66" t="s">
        <v>2812</v>
      </c>
      <c r="K804" s="66" t="s">
        <v>512</v>
      </c>
      <c r="L804" s="66" t="s">
        <v>513</v>
      </c>
      <c r="M804" s="67">
        <v>12.0</v>
      </c>
      <c r="N804" s="66" t="s">
        <v>2813</v>
      </c>
      <c r="O804" s="66" t="s">
        <v>2811</v>
      </c>
    </row>
    <row r="805">
      <c r="A805" s="91">
        <v>45716.0</v>
      </c>
      <c r="B805" s="66" t="s">
        <v>2807</v>
      </c>
      <c r="C805" s="66">
        <v>8.07025029912E11</v>
      </c>
      <c r="D805" s="66" t="s">
        <v>2808</v>
      </c>
      <c r="E805" s="66" t="s">
        <v>2809</v>
      </c>
      <c r="F805" s="66" t="s">
        <v>2810</v>
      </c>
      <c r="G805" s="66" t="s">
        <v>2811</v>
      </c>
      <c r="H805" s="66" t="s">
        <v>20</v>
      </c>
      <c r="I805" s="66">
        <v>4400.0</v>
      </c>
      <c r="J805" s="66" t="s">
        <v>2812</v>
      </c>
      <c r="K805" s="66" t="s">
        <v>149</v>
      </c>
      <c r="L805" s="66" t="s">
        <v>150</v>
      </c>
      <c r="M805" s="67">
        <v>2.0</v>
      </c>
      <c r="N805" s="66" t="s">
        <v>2813</v>
      </c>
      <c r="O805" s="66" t="s">
        <v>2811</v>
      </c>
    </row>
    <row r="806">
      <c r="A806" s="92">
        <v>45716.0</v>
      </c>
      <c r="B806" s="31" t="s">
        <v>2814</v>
      </c>
      <c r="C806" s="31">
        <v>8.05011515799E11</v>
      </c>
      <c r="D806" s="31" t="s">
        <v>2815</v>
      </c>
      <c r="E806" s="31" t="s">
        <v>2816</v>
      </c>
      <c r="F806" s="31" t="s">
        <v>2817</v>
      </c>
      <c r="G806" s="31" t="s">
        <v>20</v>
      </c>
      <c r="H806" s="31" t="s">
        <v>20</v>
      </c>
      <c r="I806" s="31">
        <v>4400.0</v>
      </c>
      <c r="J806" s="31" t="s">
        <v>2818</v>
      </c>
      <c r="K806" s="31" t="s">
        <v>98</v>
      </c>
      <c r="L806" s="31" t="s">
        <v>99</v>
      </c>
      <c r="M806" s="33">
        <v>1.0</v>
      </c>
      <c r="N806" s="34"/>
      <c r="O806" s="34"/>
    </row>
    <row r="807">
      <c r="A807" s="92">
        <v>45716.0</v>
      </c>
      <c r="B807" s="31" t="s">
        <v>2814</v>
      </c>
      <c r="C807" s="31">
        <v>8.05011515799E11</v>
      </c>
      <c r="D807" s="31" t="s">
        <v>2815</v>
      </c>
      <c r="E807" s="31" t="s">
        <v>2816</v>
      </c>
      <c r="F807" s="31" t="s">
        <v>2817</v>
      </c>
      <c r="G807" s="31" t="s">
        <v>20</v>
      </c>
      <c r="H807" s="31" t="s">
        <v>20</v>
      </c>
      <c r="I807" s="31">
        <v>4400.0</v>
      </c>
      <c r="J807" s="31" t="s">
        <v>2818</v>
      </c>
      <c r="K807" s="31">
        <v>14.0</v>
      </c>
      <c r="L807" s="31" t="s">
        <v>2819</v>
      </c>
      <c r="M807" s="33">
        <v>1.0</v>
      </c>
      <c r="N807" s="34"/>
      <c r="O807" s="34"/>
    </row>
    <row r="808">
      <c r="A808" s="92">
        <v>45716.0</v>
      </c>
      <c r="B808" s="31" t="s">
        <v>2814</v>
      </c>
      <c r="C808" s="31">
        <v>8.05011515799E11</v>
      </c>
      <c r="D808" s="31" t="s">
        <v>2815</v>
      </c>
      <c r="E808" s="31" t="s">
        <v>2816</v>
      </c>
      <c r="F808" s="31" t="s">
        <v>2817</v>
      </c>
      <c r="G808" s="31" t="s">
        <v>20</v>
      </c>
      <c r="H808" s="31" t="s">
        <v>20</v>
      </c>
      <c r="I808" s="31">
        <v>4400.0</v>
      </c>
      <c r="J808" s="31" t="s">
        <v>2818</v>
      </c>
      <c r="K808" s="31" t="s">
        <v>512</v>
      </c>
      <c r="L808" s="31" t="s">
        <v>513</v>
      </c>
      <c r="M808" s="33">
        <v>6.0</v>
      </c>
      <c r="N808" s="34"/>
      <c r="O808" s="34"/>
    </row>
    <row r="809">
      <c r="A809" s="92">
        <v>45716.0</v>
      </c>
      <c r="B809" s="31" t="s">
        <v>2814</v>
      </c>
      <c r="C809" s="31">
        <v>8.05011515799E11</v>
      </c>
      <c r="D809" s="31" t="s">
        <v>2815</v>
      </c>
      <c r="E809" s="31" t="s">
        <v>2816</v>
      </c>
      <c r="F809" s="31" t="s">
        <v>2817</v>
      </c>
      <c r="G809" s="31" t="s">
        <v>20</v>
      </c>
      <c r="H809" s="31" t="s">
        <v>20</v>
      </c>
      <c r="I809" s="31">
        <v>4400.0</v>
      </c>
      <c r="J809" s="31" t="s">
        <v>2818</v>
      </c>
      <c r="K809" s="31" t="s">
        <v>35</v>
      </c>
      <c r="L809" s="31" t="s">
        <v>36</v>
      </c>
      <c r="M809" s="33">
        <v>1.0</v>
      </c>
      <c r="N809" s="34"/>
      <c r="O809" s="34"/>
    </row>
    <row r="810">
      <c r="A810" s="91">
        <v>45716.0</v>
      </c>
      <c r="B810" s="66" t="s">
        <v>2820</v>
      </c>
      <c r="C810" s="66">
        <v>8.06621036137E11</v>
      </c>
      <c r="D810" s="66" t="s">
        <v>2821</v>
      </c>
      <c r="E810" s="66" t="s">
        <v>2822</v>
      </c>
      <c r="F810" s="66" t="s">
        <v>2823</v>
      </c>
      <c r="G810" s="66" t="s">
        <v>439</v>
      </c>
      <c r="H810" s="66" t="s">
        <v>20</v>
      </c>
      <c r="I810" s="66">
        <v>4560.0</v>
      </c>
      <c r="J810" s="66" t="s">
        <v>2824</v>
      </c>
      <c r="K810" s="66" t="s">
        <v>269</v>
      </c>
      <c r="L810" s="66" t="s">
        <v>270</v>
      </c>
      <c r="M810" s="67">
        <v>1.0</v>
      </c>
      <c r="N810" s="66" t="s">
        <v>2825</v>
      </c>
      <c r="O810" s="66" t="s">
        <v>2826</v>
      </c>
    </row>
    <row r="811">
      <c r="A811" s="91">
        <v>45716.0</v>
      </c>
      <c r="B811" s="66" t="s">
        <v>2820</v>
      </c>
      <c r="C811" s="66">
        <v>8.06621036137E11</v>
      </c>
      <c r="D811" s="66" t="s">
        <v>2821</v>
      </c>
      <c r="E811" s="66" t="s">
        <v>2822</v>
      </c>
      <c r="F811" s="66" t="s">
        <v>2823</v>
      </c>
      <c r="G811" s="66" t="s">
        <v>439</v>
      </c>
      <c r="H811" s="66" t="s">
        <v>20</v>
      </c>
      <c r="I811" s="66">
        <v>4560.0</v>
      </c>
      <c r="J811" s="66" t="s">
        <v>2824</v>
      </c>
      <c r="K811" s="66" t="s">
        <v>627</v>
      </c>
      <c r="L811" s="66" t="s">
        <v>628</v>
      </c>
      <c r="M811" s="67">
        <v>1.0</v>
      </c>
      <c r="N811" s="66" t="s">
        <v>2825</v>
      </c>
      <c r="O811" s="66" t="s">
        <v>2826</v>
      </c>
    </row>
    <row r="812">
      <c r="A812" s="92">
        <v>45716.0</v>
      </c>
      <c r="B812" s="31" t="s">
        <v>2827</v>
      </c>
      <c r="C812" s="31">
        <v>8.0702502982E11</v>
      </c>
      <c r="D812" s="31" t="s">
        <v>2828</v>
      </c>
      <c r="E812" s="31" t="s">
        <v>2829</v>
      </c>
      <c r="F812" s="31" t="s">
        <v>2830</v>
      </c>
      <c r="G812" s="31" t="s">
        <v>116</v>
      </c>
      <c r="H812" s="31" t="s">
        <v>20</v>
      </c>
      <c r="I812" s="31">
        <v>4400.0</v>
      </c>
      <c r="J812" s="31" t="s">
        <v>2831</v>
      </c>
      <c r="K812" s="31" t="s">
        <v>176</v>
      </c>
      <c r="L812" s="31" t="s">
        <v>177</v>
      </c>
      <c r="M812" s="33">
        <v>1.0</v>
      </c>
      <c r="N812" s="31" t="s">
        <v>2832</v>
      </c>
      <c r="O812" s="31" t="s">
        <v>261</v>
      </c>
    </row>
    <row r="813">
      <c r="A813" s="91">
        <v>45716.0</v>
      </c>
      <c r="B813" s="66" t="s">
        <v>2833</v>
      </c>
      <c r="C813" s="66">
        <v>8.07025029839E11</v>
      </c>
      <c r="D813" s="66" t="s">
        <v>2834</v>
      </c>
      <c r="E813" s="66" t="s">
        <v>2835</v>
      </c>
      <c r="F813" s="66" t="s">
        <v>2836</v>
      </c>
      <c r="G813" s="66" t="s">
        <v>1859</v>
      </c>
      <c r="H813" s="66" t="s">
        <v>20</v>
      </c>
      <c r="I813" s="66">
        <v>4403.0</v>
      </c>
      <c r="J813" s="66" t="s">
        <v>2837</v>
      </c>
      <c r="K813" s="66" t="s">
        <v>35</v>
      </c>
      <c r="L813" s="66" t="s">
        <v>36</v>
      </c>
      <c r="M813" s="67">
        <v>1.0</v>
      </c>
      <c r="N813" s="66" t="s">
        <v>2240</v>
      </c>
      <c r="O813" s="66" t="s">
        <v>261</v>
      </c>
    </row>
    <row r="814">
      <c r="A814" s="92">
        <v>45716.0</v>
      </c>
      <c r="B814" s="31" t="s">
        <v>2838</v>
      </c>
      <c r="C814" s="31">
        <v>8.07025029841E11</v>
      </c>
      <c r="D814" s="31" t="s">
        <v>2834</v>
      </c>
      <c r="E814" s="31" t="s">
        <v>2835</v>
      </c>
      <c r="F814" s="31" t="s">
        <v>2836</v>
      </c>
      <c r="G814" s="31" t="s">
        <v>1859</v>
      </c>
      <c r="H814" s="31" t="s">
        <v>20</v>
      </c>
      <c r="I814" s="31">
        <v>4403.0</v>
      </c>
      <c r="J814" s="31" t="s">
        <v>2837</v>
      </c>
      <c r="K814" s="31" t="s">
        <v>947</v>
      </c>
      <c r="L814" s="31" t="s">
        <v>948</v>
      </c>
      <c r="M814" s="33">
        <v>1.0</v>
      </c>
      <c r="N814" s="31" t="s">
        <v>2240</v>
      </c>
      <c r="O814" s="31" t="s">
        <v>261</v>
      </c>
    </row>
    <row r="815">
      <c r="A815" s="91">
        <v>45716.0</v>
      </c>
      <c r="B815" s="66" t="s">
        <v>2839</v>
      </c>
      <c r="C815" s="66">
        <v>8.07025029881E11</v>
      </c>
      <c r="D815" s="66" t="s">
        <v>2840</v>
      </c>
      <c r="E815" s="66" t="s">
        <v>2841</v>
      </c>
      <c r="F815" s="66" t="s">
        <v>115</v>
      </c>
      <c r="G815" s="66" t="s">
        <v>116</v>
      </c>
      <c r="H815" s="66" t="s">
        <v>20</v>
      </c>
      <c r="I815" s="66">
        <v>4400.0</v>
      </c>
      <c r="J815" s="66" t="s">
        <v>2842</v>
      </c>
      <c r="K815" s="66" t="s">
        <v>225</v>
      </c>
      <c r="L815" s="66" t="s">
        <v>226</v>
      </c>
      <c r="M815" s="67">
        <v>1.0</v>
      </c>
      <c r="N815" s="66" t="s">
        <v>2240</v>
      </c>
      <c r="O815" s="66" t="s">
        <v>1746</v>
      </c>
    </row>
    <row r="816">
      <c r="A816" s="92">
        <v>45716.0</v>
      </c>
      <c r="B816" s="31" t="s">
        <v>2843</v>
      </c>
      <c r="C816" s="31">
        <v>8.05011516133E11</v>
      </c>
      <c r="D816" s="31" t="s">
        <v>2844</v>
      </c>
      <c r="E816" s="31" t="s">
        <v>2845</v>
      </c>
      <c r="F816" s="31" t="s">
        <v>2846</v>
      </c>
      <c r="G816" s="31" t="s">
        <v>20</v>
      </c>
      <c r="H816" s="31" t="s">
        <v>20</v>
      </c>
      <c r="I816" s="31">
        <v>4400.0</v>
      </c>
      <c r="J816" s="31" t="s">
        <v>2847</v>
      </c>
      <c r="K816" s="31" t="s">
        <v>35</v>
      </c>
      <c r="L816" s="31" t="s">
        <v>36</v>
      </c>
      <c r="M816" s="33">
        <v>1.0</v>
      </c>
      <c r="N816" s="31" t="s">
        <v>2848</v>
      </c>
      <c r="O816" s="34"/>
    </row>
    <row r="817">
      <c r="A817" s="92">
        <v>45716.0</v>
      </c>
      <c r="B817" s="31" t="s">
        <v>2843</v>
      </c>
      <c r="C817" s="31">
        <v>8.05011516133E11</v>
      </c>
      <c r="D817" s="31" t="s">
        <v>2844</v>
      </c>
      <c r="E817" s="31" t="s">
        <v>2845</v>
      </c>
      <c r="F817" s="31" t="s">
        <v>2846</v>
      </c>
      <c r="G817" s="31" t="s">
        <v>20</v>
      </c>
      <c r="H817" s="31" t="s">
        <v>20</v>
      </c>
      <c r="I817" s="31">
        <v>4400.0</v>
      </c>
      <c r="J817" s="31" t="s">
        <v>2847</v>
      </c>
      <c r="K817" s="31" t="s">
        <v>32</v>
      </c>
      <c r="L817" s="31" t="s">
        <v>33</v>
      </c>
      <c r="M817" s="33">
        <v>1.0</v>
      </c>
      <c r="N817" s="31" t="s">
        <v>2848</v>
      </c>
      <c r="O817" s="34"/>
    </row>
    <row r="818">
      <c r="A818" s="92">
        <v>45716.0</v>
      </c>
      <c r="B818" s="31" t="s">
        <v>2843</v>
      </c>
      <c r="C818" s="31">
        <v>8.05011516133E11</v>
      </c>
      <c r="D818" s="31" t="s">
        <v>2844</v>
      </c>
      <c r="E818" s="31" t="s">
        <v>2845</v>
      </c>
      <c r="F818" s="31" t="s">
        <v>2846</v>
      </c>
      <c r="G818" s="31" t="s">
        <v>20</v>
      </c>
      <c r="H818" s="31" t="s">
        <v>20</v>
      </c>
      <c r="I818" s="31">
        <v>4400.0</v>
      </c>
      <c r="J818" s="31" t="s">
        <v>2847</v>
      </c>
      <c r="K818" s="31" t="s">
        <v>512</v>
      </c>
      <c r="L818" s="31" t="s">
        <v>513</v>
      </c>
      <c r="M818" s="33">
        <v>6.0</v>
      </c>
      <c r="N818" s="31" t="s">
        <v>2848</v>
      </c>
      <c r="O818" s="34"/>
    </row>
    <row r="819" ht="8.25" customHeight="1">
      <c r="A819" s="87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9"/>
      <c r="N819" s="90"/>
      <c r="O819" s="90"/>
    </row>
    <row r="820">
      <c r="A820" s="91">
        <v>45727.0</v>
      </c>
      <c r="B820" s="66" t="s">
        <v>2849</v>
      </c>
      <c r="C820" s="66">
        <v>8.07025029956E11</v>
      </c>
      <c r="D820" s="66" t="s">
        <v>2850</v>
      </c>
      <c r="E820" s="66" t="s">
        <v>2851</v>
      </c>
      <c r="F820" s="66" t="s">
        <v>2852</v>
      </c>
      <c r="G820" s="66" t="s">
        <v>116</v>
      </c>
      <c r="H820" s="66" t="s">
        <v>20</v>
      </c>
      <c r="I820" s="66">
        <v>4400.0</v>
      </c>
      <c r="J820" s="66" t="s">
        <v>2853</v>
      </c>
      <c r="K820" s="66" t="s">
        <v>1040</v>
      </c>
      <c r="L820" s="66" t="s">
        <v>1041</v>
      </c>
      <c r="M820" s="67">
        <v>1.0</v>
      </c>
      <c r="N820" s="66" t="s">
        <v>2854</v>
      </c>
      <c r="O820" s="66" t="s">
        <v>1734</v>
      </c>
    </row>
    <row r="821">
      <c r="A821" s="91">
        <v>45727.0</v>
      </c>
      <c r="B821" s="66" t="s">
        <v>2849</v>
      </c>
      <c r="C821" s="66">
        <v>8.07025029956E11</v>
      </c>
      <c r="D821" s="66" t="s">
        <v>2850</v>
      </c>
      <c r="E821" s="66" t="s">
        <v>2851</v>
      </c>
      <c r="F821" s="66" t="s">
        <v>2852</v>
      </c>
      <c r="G821" s="66" t="s">
        <v>116</v>
      </c>
      <c r="H821" s="66" t="s">
        <v>20</v>
      </c>
      <c r="I821" s="66">
        <v>4400.0</v>
      </c>
      <c r="J821" s="66" t="s">
        <v>2853</v>
      </c>
      <c r="K821" s="66" t="s">
        <v>512</v>
      </c>
      <c r="L821" s="66" t="s">
        <v>513</v>
      </c>
      <c r="M821" s="67">
        <v>6.0</v>
      </c>
      <c r="N821" s="66" t="s">
        <v>2854</v>
      </c>
      <c r="O821" s="66" t="s">
        <v>1734</v>
      </c>
    </row>
    <row r="822">
      <c r="A822" s="91">
        <v>45727.0</v>
      </c>
      <c r="B822" s="66" t="s">
        <v>2849</v>
      </c>
      <c r="C822" s="66">
        <v>8.07025029956E11</v>
      </c>
      <c r="D822" s="66" t="s">
        <v>2850</v>
      </c>
      <c r="E822" s="66" t="s">
        <v>2851</v>
      </c>
      <c r="F822" s="66" t="s">
        <v>2852</v>
      </c>
      <c r="G822" s="66" t="s">
        <v>116</v>
      </c>
      <c r="H822" s="66" t="s">
        <v>20</v>
      </c>
      <c r="I822" s="66">
        <v>4400.0</v>
      </c>
      <c r="J822" s="66" t="s">
        <v>2853</v>
      </c>
      <c r="K822" s="66" t="s">
        <v>2031</v>
      </c>
      <c r="L822" s="66" t="s">
        <v>2032</v>
      </c>
      <c r="M822" s="67">
        <v>1.0</v>
      </c>
      <c r="N822" s="66" t="s">
        <v>2854</v>
      </c>
      <c r="O822" s="66" t="s">
        <v>1734</v>
      </c>
    </row>
    <row r="823">
      <c r="A823" s="91">
        <v>45727.0</v>
      </c>
      <c r="B823" s="66" t="s">
        <v>2855</v>
      </c>
      <c r="C823" s="66">
        <v>8.07025029957E11</v>
      </c>
      <c r="D823" s="66" t="s">
        <v>2850</v>
      </c>
      <c r="E823" s="66" t="s">
        <v>2851</v>
      </c>
      <c r="F823" s="66" t="s">
        <v>2852</v>
      </c>
      <c r="G823" s="66" t="s">
        <v>116</v>
      </c>
      <c r="H823" s="66" t="s">
        <v>20</v>
      </c>
      <c r="I823" s="66">
        <v>4400.0</v>
      </c>
      <c r="J823" s="66" t="s">
        <v>2853</v>
      </c>
      <c r="K823" s="66" t="s">
        <v>541</v>
      </c>
      <c r="L823" s="66" t="s">
        <v>542</v>
      </c>
      <c r="M823" s="67">
        <v>1.0</v>
      </c>
      <c r="N823" s="66" t="s">
        <v>2854</v>
      </c>
      <c r="O823" s="66" t="s">
        <v>1734</v>
      </c>
    </row>
    <row r="824">
      <c r="A824" s="85">
        <v>45727.0</v>
      </c>
      <c r="B824" s="31" t="s">
        <v>2856</v>
      </c>
      <c r="C824" s="31">
        <v>8.07025029958E11</v>
      </c>
      <c r="D824" s="31" t="s">
        <v>2857</v>
      </c>
      <c r="E824" s="31" t="s">
        <v>2858</v>
      </c>
      <c r="F824" s="31" t="s">
        <v>2859</v>
      </c>
      <c r="G824" s="31" t="s">
        <v>116</v>
      </c>
      <c r="H824" s="31" t="s">
        <v>20</v>
      </c>
      <c r="I824" s="31">
        <v>4400.0</v>
      </c>
      <c r="J824" s="31" t="s">
        <v>2860</v>
      </c>
      <c r="K824" s="31" t="s">
        <v>1040</v>
      </c>
      <c r="L824" s="31" t="s">
        <v>1041</v>
      </c>
      <c r="M824" s="33">
        <v>2.0</v>
      </c>
      <c r="N824" s="31" t="s">
        <v>2861</v>
      </c>
      <c r="O824" s="34"/>
    </row>
    <row r="825">
      <c r="A825" s="85">
        <v>45727.0</v>
      </c>
      <c r="B825" s="31" t="s">
        <v>2856</v>
      </c>
      <c r="C825" s="31">
        <v>8.07025029958E11</v>
      </c>
      <c r="D825" s="31" t="s">
        <v>2857</v>
      </c>
      <c r="E825" s="31" t="s">
        <v>2858</v>
      </c>
      <c r="F825" s="31" t="s">
        <v>2859</v>
      </c>
      <c r="G825" s="31" t="s">
        <v>116</v>
      </c>
      <c r="H825" s="31" t="s">
        <v>20</v>
      </c>
      <c r="I825" s="31">
        <v>4400.0</v>
      </c>
      <c r="J825" s="31" t="s">
        <v>2860</v>
      </c>
      <c r="K825" s="31" t="s">
        <v>2031</v>
      </c>
      <c r="L825" s="31" t="s">
        <v>2032</v>
      </c>
      <c r="M825" s="33">
        <v>2.0</v>
      </c>
      <c r="N825" s="31" t="s">
        <v>2861</v>
      </c>
      <c r="O825" s="34"/>
    </row>
    <row r="826">
      <c r="A826" s="91">
        <v>45727.0</v>
      </c>
      <c r="B826" s="66" t="s">
        <v>2862</v>
      </c>
      <c r="C826" s="66">
        <v>8.0501151581E11</v>
      </c>
      <c r="D826" s="66" t="s">
        <v>2863</v>
      </c>
      <c r="E826" s="66" t="s">
        <v>2864</v>
      </c>
      <c r="F826" s="66" t="s">
        <v>2865</v>
      </c>
      <c r="G826" s="66" t="s">
        <v>58</v>
      </c>
      <c r="H826" s="66" t="s">
        <v>20</v>
      </c>
      <c r="I826" s="66">
        <v>4400.0</v>
      </c>
      <c r="J826" s="66">
        <v>3.875692165E9</v>
      </c>
      <c r="K826" s="66" t="s">
        <v>2006</v>
      </c>
      <c r="L826" s="66" t="s">
        <v>2007</v>
      </c>
      <c r="M826" s="67">
        <v>1.0</v>
      </c>
      <c r="N826" s="66" t="s">
        <v>2866</v>
      </c>
      <c r="O826" s="68"/>
    </row>
    <row r="827">
      <c r="A827" s="91">
        <v>45727.0</v>
      </c>
      <c r="B827" s="66" t="s">
        <v>2867</v>
      </c>
      <c r="C827" s="66">
        <v>8.05011516131E11</v>
      </c>
      <c r="D827" s="66" t="s">
        <v>2868</v>
      </c>
      <c r="E827" s="66" t="s">
        <v>2869</v>
      </c>
      <c r="F827" s="66" t="s">
        <v>2870</v>
      </c>
      <c r="G827" s="66" t="s">
        <v>20</v>
      </c>
      <c r="H827" s="66" t="s">
        <v>20</v>
      </c>
      <c r="I827" s="66">
        <v>4400.0</v>
      </c>
      <c r="J827" s="66">
        <v>2.214090599E9</v>
      </c>
      <c r="K827" s="66" t="s">
        <v>2546</v>
      </c>
      <c r="L827" s="66" t="s">
        <v>2547</v>
      </c>
      <c r="M827" s="67">
        <v>1.0</v>
      </c>
      <c r="N827" s="66" t="s">
        <v>2871</v>
      </c>
      <c r="O827" s="68"/>
    </row>
    <row r="828">
      <c r="A828" s="91">
        <v>45727.0</v>
      </c>
      <c r="B828" s="66" t="s">
        <v>2867</v>
      </c>
      <c r="C828" s="66">
        <v>8.05011516131E11</v>
      </c>
      <c r="D828" s="66" t="s">
        <v>2868</v>
      </c>
      <c r="E828" s="66" t="s">
        <v>2869</v>
      </c>
      <c r="F828" s="66" t="s">
        <v>2870</v>
      </c>
      <c r="G828" s="66" t="s">
        <v>20</v>
      </c>
      <c r="H828" s="66" t="s">
        <v>20</v>
      </c>
      <c r="I828" s="66">
        <v>4400.0</v>
      </c>
      <c r="J828" s="66">
        <v>2.214090599E9</v>
      </c>
      <c r="K828" s="66" t="s">
        <v>512</v>
      </c>
      <c r="L828" s="66" t="s">
        <v>513</v>
      </c>
      <c r="M828" s="67">
        <v>6.0</v>
      </c>
      <c r="N828" s="66" t="s">
        <v>2871</v>
      </c>
      <c r="O828" s="68"/>
    </row>
    <row r="829">
      <c r="A829" s="91">
        <v>45727.0</v>
      </c>
      <c r="B829" s="66" t="s">
        <v>2867</v>
      </c>
      <c r="C829" s="66">
        <v>8.05011516131E11</v>
      </c>
      <c r="D829" s="66" t="s">
        <v>2868</v>
      </c>
      <c r="E829" s="66" t="s">
        <v>2869</v>
      </c>
      <c r="F829" s="66" t="s">
        <v>2870</v>
      </c>
      <c r="G829" s="66" t="s">
        <v>20</v>
      </c>
      <c r="H829" s="66" t="s">
        <v>20</v>
      </c>
      <c r="I829" s="66">
        <v>4400.0</v>
      </c>
      <c r="J829" s="66">
        <v>2.214090599E9</v>
      </c>
      <c r="K829" s="66" t="s">
        <v>1544</v>
      </c>
      <c r="L829" s="66" t="s">
        <v>1545</v>
      </c>
      <c r="M829" s="67">
        <v>1.0</v>
      </c>
      <c r="N829" s="66" t="s">
        <v>2871</v>
      </c>
      <c r="O829" s="68"/>
    </row>
    <row r="830">
      <c r="A830" s="91">
        <v>45727.0</v>
      </c>
      <c r="B830" s="66" t="s">
        <v>2872</v>
      </c>
      <c r="C830" s="66">
        <v>8.05011516427E11</v>
      </c>
      <c r="D830" s="66" t="s">
        <v>2873</v>
      </c>
      <c r="E830" s="66" t="s">
        <v>2874</v>
      </c>
      <c r="F830" s="66" t="s">
        <v>2875</v>
      </c>
      <c r="G830" s="66" t="s">
        <v>20</v>
      </c>
      <c r="H830" s="66" t="s">
        <v>20</v>
      </c>
      <c r="I830" s="66">
        <v>4400.0</v>
      </c>
      <c r="J830" s="66">
        <v>3.875831215E9</v>
      </c>
      <c r="K830" s="66" t="s">
        <v>1058</v>
      </c>
      <c r="L830" s="66" t="s">
        <v>1059</v>
      </c>
      <c r="M830" s="67">
        <v>1.0</v>
      </c>
      <c r="N830" s="66" t="s">
        <v>2876</v>
      </c>
      <c r="O830" s="68"/>
    </row>
    <row r="831">
      <c r="A831" s="91">
        <v>45727.0</v>
      </c>
      <c r="B831" s="66" t="s">
        <v>2872</v>
      </c>
      <c r="C831" s="66">
        <v>8.05011516427E11</v>
      </c>
      <c r="D831" s="66" t="s">
        <v>2873</v>
      </c>
      <c r="E831" s="66" t="s">
        <v>2874</v>
      </c>
      <c r="F831" s="66" t="s">
        <v>2875</v>
      </c>
      <c r="G831" s="66" t="s">
        <v>20</v>
      </c>
      <c r="H831" s="66" t="s">
        <v>20</v>
      </c>
      <c r="I831" s="66">
        <v>4400.0</v>
      </c>
      <c r="J831" s="66">
        <v>3.875831215E9</v>
      </c>
      <c r="K831" s="66" t="s">
        <v>512</v>
      </c>
      <c r="L831" s="66" t="s">
        <v>513</v>
      </c>
      <c r="M831" s="67">
        <v>6.0</v>
      </c>
      <c r="N831" s="66" t="s">
        <v>2876</v>
      </c>
      <c r="O831" s="68"/>
    </row>
    <row r="832">
      <c r="A832" s="91">
        <v>45727.0</v>
      </c>
      <c r="B832" s="66" t="s">
        <v>2872</v>
      </c>
      <c r="C832" s="66">
        <v>8.05011516427E11</v>
      </c>
      <c r="D832" s="66" t="s">
        <v>2873</v>
      </c>
      <c r="E832" s="66" t="s">
        <v>2874</v>
      </c>
      <c r="F832" s="66" t="s">
        <v>2875</v>
      </c>
      <c r="G832" s="66" t="s">
        <v>20</v>
      </c>
      <c r="H832" s="66" t="s">
        <v>20</v>
      </c>
      <c r="I832" s="66">
        <v>4400.0</v>
      </c>
      <c r="J832" s="66">
        <v>3.875831215E9</v>
      </c>
      <c r="K832" s="66" t="s">
        <v>1061</v>
      </c>
      <c r="L832" s="66" t="s">
        <v>1062</v>
      </c>
      <c r="M832" s="67">
        <v>1.0</v>
      </c>
      <c r="N832" s="66" t="s">
        <v>2876</v>
      </c>
      <c r="O832" s="68"/>
    </row>
    <row r="833">
      <c r="A833" s="85">
        <v>45727.0</v>
      </c>
      <c r="B833" s="31" t="s">
        <v>2877</v>
      </c>
      <c r="C833" s="31">
        <v>8.05011516494E11</v>
      </c>
      <c r="D833" s="31" t="s">
        <v>2878</v>
      </c>
      <c r="E833" s="31" t="s">
        <v>2879</v>
      </c>
      <c r="F833" s="31" t="s">
        <v>2880</v>
      </c>
      <c r="G833" s="31" t="s">
        <v>20</v>
      </c>
      <c r="H833" s="31" t="s">
        <v>20</v>
      </c>
      <c r="I833" s="31">
        <v>4400.0</v>
      </c>
      <c r="J833" s="31">
        <v>3.875872057E9</v>
      </c>
      <c r="K833" s="31" t="s">
        <v>106</v>
      </c>
      <c r="L833" s="31" t="s">
        <v>107</v>
      </c>
      <c r="M833" s="33">
        <v>1.0</v>
      </c>
      <c r="N833" s="31" t="s">
        <v>2881</v>
      </c>
      <c r="O833" s="34"/>
    </row>
    <row r="834">
      <c r="A834" s="91">
        <v>45727.0</v>
      </c>
      <c r="B834" s="66" t="s">
        <v>2882</v>
      </c>
      <c r="C834" s="66">
        <v>8.0501151685E11</v>
      </c>
      <c r="D834" s="66" t="s">
        <v>2883</v>
      </c>
      <c r="E834" s="66" t="s">
        <v>2884</v>
      </c>
      <c r="F834" s="66" t="s">
        <v>2885</v>
      </c>
      <c r="G834" s="66" t="s">
        <v>1038</v>
      </c>
      <c r="H834" s="66" t="s">
        <v>20</v>
      </c>
      <c r="I834" s="66">
        <v>4401.0</v>
      </c>
      <c r="J834" s="66">
        <v>3.875332251E9</v>
      </c>
      <c r="K834" s="66" t="s">
        <v>2397</v>
      </c>
      <c r="L834" s="66" t="s">
        <v>2398</v>
      </c>
      <c r="M834" s="67">
        <v>1.0</v>
      </c>
      <c r="N834" s="66" t="s">
        <v>2886</v>
      </c>
      <c r="O834" s="68"/>
    </row>
    <row r="835">
      <c r="A835" s="85">
        <v>45727.0</v>
      </c>
      <c r="B835" s="31" t="s">
        <v>2887</v>
      </c>
      <c r="C835" s="31">
        <v>8.05011517041E11</v>
      </c>
      <c r="D835" s="31" t="s">
        <v>2888</v>
      </c>
      <c r="E835" s="31" t="s">
        <v>2889</v>
      </c>
      <c r="F835" s="31" t="s">
        <v>2890</v>
      </c>
      <c r="G835" s="31" t="s">
        <v>58</v>
      </c>
      <c r="H835" s="31" t="s">
        <v>20</v>
      </c>
      <c r="I835" s="31">
        <v>4400.0</v>
      </c>
      <c r="J835" s="31">
        <v>3.874633626E9</v>
      </c>
      <c r="K835" s="31" t="s">
        <v>1040</v>
      </c>
      <c r="L835" s="31" t="s">
        <v>1041</v>
      </c>
      <c r="M835" s="33">
        <v>1.0</v>
      </c>
      <c r="N835" s="31" t="s">
        <v>2891</v>
      </c>
      <c r="O835" s="34"/>
    </row>
    <row r="836">
      <c r="A836" s="85">
        <v>45727.0</v>
      </c>
      <c r="B836" s="31" t="s">
        <v>2887</v>
      </c>
      <c r="C836" s="31">
        <v>8.05011517041E11</v>
      </c>
      <c r="D836" s="31" t="s">
        <v>2888</v>
      </c>
      <c r="E836" s="31" t="s">
        <v>2889</v>
      </c>
      <c r="F836" s="31" t="s">
        <v>2890</v>
      </c>
      <c r="G836" s="31" t="s">
        <v>58</v>
      </c>
      <c r="H836" s="31" t="s">
        <v>20</v>
      </c>
      <c r="I836" s="31">
        <v>4400.0</v>
      </c>
      <c r="J836" s="31">
        <v>3.874633626E9</v>
      </c>
      <c r="K836" s="31" t="s">
        <v>512</v>
      </c>
      <c r="L836" s="31" t="s">
        <v>513</v>
      </c>
      <c r="M836" s="33">
        <v>6.0</v>
      </c>
      <c r="N836" s="31" t="s">
        <v>2891</v>
      </c>
      <c r="O836" s="34"/>
    </row>
    <row r="837">
      <c r="A837" s="85">
        <v>45727.0</v>
      </c>
      <c r="B837" s="31" t="s">
        <v>2887</v>
      </c>
      <c r="C837" s="31">
        <v>8.05011517041E11</v>
      </c>
      <c r="D837" s="31" t="s">
        <v>2888</v>
      </c>
      <c r="E837" s="31" t="s">
        <v>2889</v>
      </c>
      <c r="F837" s="31" t="s">
        <v>2890</v>
      </c>
      <c r="G837" s="31" t="s">
        <v>58</v>
      </c>
      <c r="H837" s="31" t="s">
        <v>20</v>
      </c>
      <c r="I837" s="31">
        <v>4400.0</v>
      </c>
      <c r="J837" s="31">
        <v>3.874633626E9</v>
      </c>
      <c r="K837" s="31" t="s">
        <v>2031</v>
      </c>
      <c r="L837" s="31" t="s">
        <v>2032</v>
      </c>
      <c r="M837" s="33">
        <v>1.0</v>
      </c>
      <c r="N837" s="31" t="s">
        <v>2891</v>
      </c>
      <c r="O837" s="34"/>
    </row>
    <row r="838">
      <c r="A838" s="91">
        <v>45727.0</v>
      </c>
      <c r="B838" s="66" t="s">
        <v>2892</v>
      </c>
      <c r="C838" s="66">
        <v>8.05011517477E11</v>
      </c>
      <c r="D838" s="66" t="s">
        <v>2893</v>
      </c>
      <c r="E838" s="66" t="s">
        <v>2894</v>
      </c>
      <c r="F838" s="66" t="s">
        <v>2895</v>
      </c>
      <c r="G838" s="66" t="s">
        <v>1038</v>
      </c>
      <c r="H838" s="66" t="s">
        <v>20</v>
      </c>
      <c r="I838" s="66">
        <v>4401.0</v>
      </c>
      <c r="J838" s="66" t="s">
        <v>2896</v>
      </c>
      <c r="K838" s="66" t="s">
        <v>541</v>
      </c>
      <c r="L838" s="66" t="s">
        <v>542</v>
      </c>
      <c r="M838" s="67">
        <v>1.0</v>
      </c>
      <c r="N838" s="66" t="s">
        <v>2897</v>
      </c>
      <c r="O838" s="68"/>
    </row>
    <row r="839">
      <c r="A839" s="91">
        <v>45727.0</v>
      </c>
      <c r="B839" s="66" t="s">
        <v>2892</v>
      </c>
      <c r="C839" s="66">
        <v>8.05011517477E11</v>
      </c>
      <c r="D839" s="66" t="s">
        <v>2893</v>
      </c>
      <c r="E839" s="66" t="s">
        <v>2894</v>
      </c>
      <c r="F839" s="66" t="s">
        <v>2895</v>
      </c>
      <c r="G839" s="66" t="s">
        <v>1038</v>
      </c>
      <c r="H839" s="66" t="s">
        <v>20</v>
      </c>
      <c r="I839" s="66">
        <v>4401.0</v>
      </c>
      <c r="J839" s="66" t="s">
        <v>2896</v>
      </c>
      <c r="K839" s="66" t="s">
        <v>701</v>
      </c>
      <c r="L839" s="66" t="s">
        <v>702</v>
      </c>
      <c r="M839" s="67">
        <v>1.0</v>
      </c>
      <c r="N839" s="66" t="s">
        <v>2897</v>
      </c>
      <c r="O839" s="68"/>
    </row>
    <row r="840">
      <c r="A840" s="85">
        <v>45727.0</v>
      </c>
      <c r="B840" s="31" t="s">
        <v>2898</v>
      </c>
      <c r="C840" s="31">
        <v>8.05011517577E11</v>
      </c>
      <c r="D840" s="31" t="s">
        <v>2899</v>
      </c>
      <c r="E840" s="31" t="s">
        <v>2900</v>
      </c>
      <c r="F840" s="31" t="s">
        <v>2901</v>
      </c>
      <c r="G840" s="31" t="s">
        <v>2177</v>
      </c>
      <c r="H840" s="31" t="s">
        <v>20</v>
      </c>
      <c r="I840" s="31">
        <v>4430.0</v>
      </c>
      <c r="J840" s="31">
        <v>3.875110309E9</v>
      </c>
      <c r="K840" s="31" t="s">
        <v>50</v>
      </c>
      <c r="L840" s="31" t="s">
        <v>51</v>
      </c>
      <c r="M840" s="33">
        <v>1.0</v>
      </c>
      <c r="N840" s="31" t="s">
        <v>2902</v>
      </c>
      <c r="O840" s="34"/>
    </row>
    <row r="841">
      <c r="A841" s="85">
        <v>45727.0</v>
      </c>
      <c r="B841" s="31" t="s">
        <v>2898</v>
      </c>
      <c r="C841" s="31">
        <v>8.05011517577E11</v>
      </c>
      <c r="D841" s="31" t="s">
        <v>2899</v>
      </c>
      <c r="E841" s="31" t="s">
        <v>2900</v>
      </c>
      <c r="F841" s="31" t="s">
        <v>2901</v>
      </c>
      <c r="G841" s="31" t="s">
        <v>2177</v>
      </c>
      <c r="H841" s="31" t="s">
        <v>20</v>
      </c>
      <c r="I841" s="31">
        <v>4430.0</v>
      </c>
      <c r="J841" s="31">
        <v>3.875110309E9</v>
      </c>
      <c r="K841" s="31" t="s">
        <v>512</v>
      </c>
      <c r="L841" s="31" t="s">
        <v>513</v>
      </c>
      <c r="M841" s="33">
        <v>6.0</v>
      </c>
      <c r="N841" s="31" t="s">
        <v>2902</v>
      </c>
      <c r="O841" s="34"/>
    </row>
    <row r="842">
      <c r="A842" s="85">
        <v>45727.0</v>
      </c>
      <c r="B842" s="31" t="s">
        <v>2898</v>
      </c>
      <c r="C842" s="31">
        <v>8.05011517577E11</v>
      </c>
      <c r="D842" s="31" t="s">
        <v>2899</v>
      </c>
      <c r="E842" s="31" t="s">
        <v>2900</v>
      </c>
      <c r="F842" s="31" t="s">
        <v>2901</v>
      </c>
      <c r="G842" s="31" t="s">
        <v>2177</v>
      </c>
      <c r="H842" s="31" t="s">
        <v>20</v>
      </c>
      <c r="I842" s="31">
        <v>4430.0</v>
      </c>
      <c r="J842" s="31">
        <v>3.875110309E9</v>
      </c>
      <c r="K842" s="31" t="s">
        <v>25</v>
      </c>
      <c r="L842" s="31" t="s">
        <v>26</v>
      </c>
      <c r="M842" s="33">
        <v>1.0</v>
      </c>
      <c r="N842" s="31" t="s">
        <v>2902</v>
      </c>
      <c r="O842" s="34"/>
    </row>
    <row r="843">
      <c r="A843" s="91">
        <v>45727.0</v>
      </c>
      <c r="B843" s="66" t="s">
        <v>2903</v>
      </c>
      <c r="C843" s="66">
        <v>8.07025029938E11</v>
      </c>
      <c r="D843" s="66" t="s">
        <v>2904</v>
      </c>
      <c r="E843" s="66" t="s">
        <v>2905</v>
      </c>
      <c r="F843" s="66" t="s">
        <v>2906</v>
      </c>
      <c r="G843" s="66" t="s">
        <v>2907</v>
      </c>
      <c r="H843" s="66" t="s">
        <v>20</v>
      </c>
      <c r="I843" s="66">
        <v>4401.0</v>
      </c>
      <c r="J843" s="66" t="s">
        <v>2908</v>
      </c>
      <c r="K843" s="66" t="s">
        <v>2909</v>
      </c>
      <c r="L843" s="66" t="s">
        <v>2910</v>
      </c>
      <c r="M843" s="67">
        <v>6.0</v>
      </c>
      <c r="N843" s="66" t="s">
        <v>2911</v>
      </c>
      <c r="O843" s="66" t="s">
        <v>2912</v>
      </c>
    </row>
    <row r="844">
      <c r="A844" s="91">
        <v>45727.0</v>
      </c>
      <c r="B844" s="66" t="s">
        <v>2903</v>
      </c>
      <c r="C844" s="66">
        <v>8.07025029938E11</v>
      </c>
      <c r="D844" s="66" t="s">
        <v>2904</v>
      </c>
      <c r="E844" s="66" t="s">
        <v>2905</v>
      </c>
      <c r="F844" s="66" t="s">
        <v>2906</v>
      </c>
      <c r="G844" s="66" t="s">
        <v>2907</v>
      </c>
      <c r="H844" s="66" t="s">
        <v>20</v>
      </c>
      <c r="I844" s="66">
        <v>4401.0</v>
      </c>
      <c r="J844" s="66" t="s">
        <v>2908</v>
      </c>
      <c r="K844" s="66" t="s">
        <v>575</v>
      </c>
      <c r="L844" s="66" t="s">
        <v>576</v>
      </c>
      <c r="M844" s="67">
        <v>6.0</v>
      </c>
      <c r="N844" s="66" t="s">
        <v>2911</v>
      </c>
      <c r="O844" s="66" t="s">
        <v>2912</v>
      </c>
    </row>
    <row r="845">
      <c r="A845" s="85">
        <v>45727.0</v>
      </c>
      <c r="B845" s="31" t="s">
        <v>2913</v>
      </c>
      <c r="C845" s="31">
        <v>8.05011516685E11</v>
      </c>
      <c r="D845" s="31" t="s">
        <v>855</v>
      </c>
      <c r="E845" s="31" t="s">
        <v>856</v>
      </c>
      <c r="F845" s="31" t="s">
        <v>2914</v>
      </c>
      <c r="G845" s="31" t="s">
        <v>858</v>
      </c>
      <c r="H845" s="31" t="s">
        <v>20</v>
      </c>
      <c r="I845" s="31">
        <v>4554.0</v>
      </c>
      <c r="J845" s="31" t="s">
        <v>859</v>
      </c>
      <c r="K845" s="31" t="s">
        <v>627</v>
      </c>
      <c r="L845" s="31" t="s">
        <v>628</v>
      </c>
      <c r="M845" s="33">
        <v>2.0</v>
      </c>
      <c r="N845" s="31" t="s">
        <v>860</v>
      </c>
      <c r="O845" s="34"/>
    </row>
    <row r="846">
      <c r="A846" s="85">
        <v>45727.0</v>
      </c>
      <c r="B846" s="31" t="s">
        <v>2913</v>
      </c>
      <c r="C846" s="31">
        <v>8.05011516685E11</v>
      </c>
      <c r="D846" s="31" t="s">
        <v>855</v>
      </c>
      <c r="E846" s="31" t="s">
        <v>856</v>
      </c>
      <c r="F846" s="31" t="s">
        <v>2914</v>
      </c>
      <c r="G846" s="31" t="s">
        <v>858</v>
      </c>
      <c r="H846" s="31" t="s">
        <v>20</v>
      </c>
      <c r="I846" s="31">
        <v>4554.0</v>
      </c>
      <c r="J846" s="31" t="s">
        <v>859</v>
      </c>
      <c r="K846" s="31" t="s">
        <v>2285</v>
      </c>
      <c r="L846" s="31" t="s">
        <v>2286</v>
      </c>
      <c r="M846" s="33">
        <v>2.0</v>
      </c>
      <c r="N846" s="31" t="s">
        <v>860</v>
      </c>
      <c r="O846" s="34"/>
    </row>
    <row r="847">
      <c r="A847" s="91">
        <v>45727.0</v>
      </c>
      <c r="B847" s="66" t="s">
        <v>2915</v>
      </c>
      <c r="C847" s="66">
        <v>8.05011517945E11</v>
      </c>
      <c r="D847" s="66" t="s">
        <v>2916</v>
      </c>
      <c r="E847" s="66" t="s">
        <v>2917</v>
      </c>
      <c r="F847" s="66" t="s">
        <v>2918</v>
      </c>
      <c r="G847" s="66" t="s">
        <v>2919</v>
      </c>
      <c r="H847" s="66" t="s">
        <v>20</v>
      </c>
      <c r="I847" s="66">
        <v>4560.0</v>
      </c>
      <c r="J847" s="66" t="s">
        <v>2920</v>
      </c>
      <c r="K847" s="66" t="s">
        <v>744</v>
      </c>
      <c r="L847" s="66" t="s">
        <v>745</v>
      </c>
      <c r="M847" s="67">
        <v>1.0</v>
      </c>
      <c r="N847" s="68"/>
      <c r="O847" s="66" t="s">
        <v>2921</v>
      </c>
    </row>
    <row r="848">
      <c r="A848" s="85">
        <v>45727.0</v>
      </c>
      <c r="B848" s="31" t="s">
        <v>2922</v>
      </c>
      <c r="C848" s="31">
        <v>8.0501151803E11</v>
      </c>
      <c r="D848" s="31" t="s">
        <v>2923</v>
      </c>
      <c r="E848" s="31" t="s">
        <v>2924</v>
      </c>
      <c r="F848" s="31" t="s">
        <v>2925</v>
      </c>
      <c r="G848" s="31" t="s">
        <v>2919</v>
      </c>
      <c r="H848" s="31" t="s">
        <v>20</v>
      </c>
      <c r="I848" s="31">
        <v>4560.0</v>
      </c>
      <c r="J848" s="31" t="s">
        <v>2926</v>
      </c>
      <c r="K848" s="31" t="s">
        <v>2927</v>
      </c>
      <c r="L848" s="31" t="s">
        <v>2928</v>
      </c>
      <c r="M848" s="33">
        <v>1.0</v>
      </c>
      <c r="N848" s="34"/>
      <c r="O848" s="34"/>
    </row>
    <row r="849">
      <c r="A849" s="91">
        <v>45727.0</v>
      </c>
      <c r="B849" s="66" t="s">
        <v>2929</v>
      </c>
      <c r="C849" s="66">
        <v>8.07025030047E11</v>
      </c>
      <c r="D849" s="66" t="s">
        <v>2930</v>
      </c>
      <c r="E849" s="66" t="s">
        <v>2931</v>
      </c>
      <c r="F849" s="66" t="s">
        <v>2932</v>
      </c>
      <c r="G849" s="66" t="s">
        <v>127</v>
      </c>
      <c r="H849" s="66" t="s">
        <v>20</v>
      </c>
      <c r="I849" s="66">
        <v>4400.0</v>
      </c>
      <c r="J849" s="66" t="s">
        <v>2933</v>
      </c>
      <c r="K849" s="66" t="s">
        <v>249</v>
      </c>
      <c r="L849" s="66" t="s">
        <v>250</v>
      </c>
      <c r="M849" s="67">
        <v>1.0</v>
      </c>
      <c r="N849" s="66" t="s">
        <v>2934</v>
      </c>
      <c r="O849" s="66" t="s">
        <v>2935</v>
      </c>
    </row>
    <row r="850">
      <c r="A850" s="91">
        <v>45727.0</v>
      </c>
      <c r="B850" s="66" t="s">
        <v>2929</v>
      </c>
      <c r="C850" s="66">
        <v>8.07025030047E11</v>
      </c>
      <c r="D850" s="66" t="s">
        <v>2930</v>
      </c>
      <c r="E850" s="66" t="s">
        <v>2931</v>
      </c>
      <c r="F850" s="66" t="s">
        <v>2932</v>
      </c>
      <c r="G850" s="66" t="s">
        <v>127</v>
      </c>
      <c r="H850" s="66" t="s">
        <v>20</v>
      </c>
      <c r="I850" s="66">
        <v>4400.0</v>
      </c>
      <c r="J850" s="66" t="s">
        <v>2933</v>
      </c>
      <c r="K850" s="66" t="s">
        <v>233</v>
      </c>
      <c r="L850" s="66" t="s">
        <v>234</v>
      </c>
      <c r="M850" s="67">
        <v>2.0</v>
      </c>
      <c r="N850" s="66" t="s">
        <v>2934</v>
      </c>
      <c r="O850" s="66" t="s">
        <v>2935</v>
      </c>
    </row>
    <row r="851">
      <c r="A851" s="85">
        <v>45727.0</v>
      </c>
      <c r="B851" s="31" t="s">
        <v>2936</v>
      </c>
      <c r="C851" s="31">
        <v>8.07025030115E11</v>
      </c>
      <c r="D851" s="31" t="s">
        <v>2937</v>
      </c>
      <c r="E851" s="31" t="s">
        <v>2938</v>
      </c>
      <c r="F851" s="31" t="s">
        <v>2939</v>
      </c>
      <c r="G851" s="31" t="s">
        <v>2940</v>
      </c>
      <c r="H851" s="31" t="s">
        <v>20</v>
      </c>
      <c r="I851" s="31">
        <v>4421.0</v>
      </c>
      <c r="J851" s="31" t="s">
        <v>2941</v>
      </c>
      <c r="K851" s="31" t="s">
        <v>761</v>
      </c>
      <c r="L851" s="31" t="s">
        <v>762</v>
      </c>
      <c r="M851" s="33">
        <v>1.0</v>
      </c>
      <c r="N851" s="31" t="s">
        <v>2942</v>
      </c>
      <c r="O851" s="31" t="s">
        <v>2943</v>
      </c>
    </row>
    <row r="852">
      <c r="A852" s="85">
        <v>45727.0</v>
      </c>
      <c r="B852" s="31" t="s">
        <v>2936</v>
      </c>
      <c r="C852" s="31">
        <v>8.07025030115E11</v>
      </c>
      <c r="D852" s="31" t="s">
        <v>2937</v>
      </c>
      <c r="E852" s="31" t="s">
        <v>2938</v>
      </c>
      <c r="F852" s="31" t="s">
        <v>2939</v>
      </c>
      <c r="G852" s="31" t="s">
        <v>2940</v>
      </c>
      <c r="H852" s="31" t="s">
        <v>20</v>
      </c>
      <c r="I852" s="31">
        <v>4421.0</v>
      </c>
      <c r="J852" s="31" t="s">
        <v>2941</v>
      </c>
      <c r="K852" s="31" t="s">
        <v>512</v>
      </c>
      <c r="L852" s="31" t="s">
        <v>513</v>
      </c>
      <c r="M852" s="33">
        <v>12.0</v>
      </c>
      <c r="N852" s="31" t="s">
        <v>2942</v>
      </c>
      <c r="O852" s="31" t="s">
        <v>2943</v>
      </c>
    </row>
    <row r="853">
      <c r="A853" s="85">
        <v>45727.0</v>
      </c>
      <c r="B853" s="31" t="s">
        <v>2936</v>
      </c>
      <c r="C853" s="31">
        <v>8.07025030115E11</v>
      </c>
      <c r="D853" s="31" t="s">
        <v>2937</v>
      </c>
      <c r="E853" s="31" t="s">
        <v>2938</v>
      </c>
      <c r="F853" s="31" t="s">
        <v>2939</v>
      </c>
      <c r="G853" s="31" t="s">
        <v>2940</v>
      </c>
      <c r="H853" s="31" t="s">
        <v>20</v>
      </c>
      <c r="I853" s="31">
        <v>4421.0</v>
      </c>
      <c r="J853" s="31" t="s">
        <v>2941</v>
      </c>
      <c r="K853" s="31" t="s">
        <v>758</v>
      </c>
      <c r="L853" s="31" t="s">
        <v>759</v>
      </c>
      <c r="M853" s="33">
        <v>2.0</v>
      </c>
      <c r="N853" s="31" t="s">
        <v>2942</v>
      </c>
      <c r="O853" s="31" t="s">
        <v>2943</v>
      </c>
    </row>
    <row r="854">
      <c r="A854" s="85">
        <v>45727.0</v>
      </c>
      <c r="B854" s="31" t="s">
        <v>2936</v>
      </c>
      <c r="C854" s="31">
        <v>8.07025030115E11</v>
      </c>
      <c r="D854" s="31" t="s">
        <v>2937</v>
      </c>
      <c r="E854" s="31" t="s">
        <v>2938</v>
      </c>
      <c r="F854" s="31" t="s">
        <v>2939</v>
      </c>
      <c r="G854" s="31" t="s">
        <v>2940</v>
      </c>
      <c r="H854" s="31" t="s">
        <v>20</v>
      </c>
      <c r="I854" s="31">
        <v>4421.0</v>
      </c>
      <c r="J854" s="31" t="s">
        <v>2941</v>
      </c>
      <c r="K854" s="31" t="s">
        <v>1452</v>
      </c>
      <c r="L854" s="31" t="s">
        <v>1453</v>
      </c>
      <c r="M854" s="33">
        <v>2.0</v>
      </c>
      <c r="N854" s="31" t="s">
        <v>2942</v>
      </c>
      <c r="O854" s="31" t="s">
        <v>2943</v>
      </c>
    </row>
    <row r="855">
      <c r="A855" s="91">
        <v>45727.0</v>
      </c>
      <c r="B855" s="66" t="s">
        <v>2944</v>
      </c>
      <c r="C855" s="66">
        <v>8.07025030116E11</v>
      </c>
      <c r="D855" s="66" t="s">
        <v>2945</v>
      </c>
      <c r="E855" s="66" t="s">
        <v>2946</v>
      </c>
      <c r="F855" s="66" t="s">
        <v>2947</v>
      </c>
      <c r="G855" s="66" t="s">
        <v>127</v>
      </c>
      <c r="H855" s="66" t="s">
        <v>20</v>
      </c>
      <c r="I855" s="66">
        <v>4400.0</v>
      </c>
      <c r="J855" s="66" t="s">
        <v>2948</v>
      </c>
      <c r="K855" s="66" t="s">
        <v>1040</v>
      </c>
      <c r="L855" s="66" t="s">
        <v>1041</v>
      </c>
      <c r="M855" s="67">
        <v>1.0</v>
      </c>
      <c r="N855" s="66" t="s">
        <v>2949</v>
      </c>
      <c r="O855" s="66" t="s">
        <v>2950</v>
      </c>
    </row>
    <row r="856">
      <c r="A856" s="91">
        <v>45727.0</v>
      </c>
      <c r="B856" s="66" t="s">
        <v>2944</v>
      </c>
      <c r="C856" s="66">
        <v>8.07025030116E11</v>
      </c>
      <c r="D856" s="66" t="s">
        <v>2945</v>
      </c>
      <c r="E856" s="66" t="s">
        <v>2946</v>
      </c>
      <c r="F856" s="66" t="s">
        <v>2947</v>
      </c>
      <c r="G856" s="66" t="s">
        <v>127</v>
      </c>
      <c r="H856" s="66" t="s">
        <v>20</v>
      </c>
      <c r="I856" s="66">
        <v>4400.0</v>
      </c>
      <c r="J856" s="66" t="s">
        <v>2948</v>
      </c>
      <c r="K856" s="66" t="s">
        <v>512</v>
      </c>
      <c r="L856" s="66" t="s">
        <v>513</v>
      </c>
      <c r="M856" s="67">
        <v>6.0</v>
      </c>
      <c r="N856" s="66" t="s">
        <v>2949</v>
      </c>
      <c r="O856" s="66" t="s">
        <v>2950</v>
      </c>
    </row>
    <row r="857">
      <c r="A857" s="91">
        <v>45727.0</v>
      </c>
      <c r="B857" s="66" t="s">
        <v>2944</v>
      </c>
      <c r="C857" s="66">
        <v>8.07025030116E11</v>
      </c>
      <c r="D857" s="66" t="s">
        <v>2945</v>
      </c>
      <c r="E857" s="66" t="s">
        <v>2946</v>
      </c>
      <c r="F857" s="66" t="s">
        <v>2947</v>
      </c>
      <c r="G857" s="66" t="s">
        <v>127</v>
      </c>
      <c r="H857" s="66" t="s">
        <v>20</v>
      </c>
      <c r="I857" s="66">
        <v>4400.0</v>
      </c>
      <c r="J857" s="66" t="s">
        <v>2948</v>
      </c>
      <c r="K857" s="66" t="s">
        <v>2031</v>
      </c>
      <c r="L857" s="66" t="s">
        <v>2032</v>
      </c>
      <c r="M857" s="67">
        <v>1.0</v>
      </c>
      <c r="N857" s="66" t="s">
        <v>2949</v>
      </c>
      <c r="O857" s="66" t="s">
        <v>2950</v>
      </c>
    </row>
    <row r="858">
      <c r="A858" s="85">
        <v>45727.0</v>
      </c>
      <c r="B858" s="31" t="s">
        <v>2951</v>
      </c>
      <c r="C858" s="31">
        <v>8.05011518354E11</v>
      </c>
      <c r="D858" s="31" t="s">
        <v>2952</v>
      </c>
      <c r="E858" s="31" t="s">
        <v>2953</v>
      </c>
      <c r="F858" s="31" t="s">
        <v>2954</v>
      </c>
      <c r="G858" s="31" t="s">
        <v>20</v>
      </c>
      <c r="H858" s="31" t="s">
        <v>20</v>
      </c>
      <c r="I858" s="31">
        <v>4400.0</v>
      </c>
      <c r="J858" s="31" t="s">
        <v>2955</v>
      </c>
      <c r="K858" s="31" t="s">
        <v>2956</v>
      </c>
      <c r="L858" s="31" t="s">
        <v>2957</v>
      </c>
      <c r="M858" s="33">
        <v>1.0</v>
      </c>
      <c r="N858" s="31" t="s">
        <v>2958</v>
      </c>
      <c r="O858" s="34"/>
    </row>
    <row r="859">
      <c r="A859" s="85">
        <v>45727.0</v>
      </c>
      <c r="B859" s="31" t="s">
        <v>2951</v>
      </c>
      <c r="C859" s="31">
        <v>8.05011518354E11</v>
      </c>
      <c r="D859" s="31" t="s">
        <v>2952</v>
      </c>
      <c r="E859" s="31" t="s">
        <v>2953</v>
      </c>
      <c r="F859" s="31" t="s">
        <v>2954</v>
      </c>
      <c r="G859" s="31" t="s">
        <v>20</v>
      </c>
      <c r="H859" s="31" t="s">
        <v>20</v>
      </c>
      <c r="I859" s="31">
        <v>4400.0</v>
      </c>
      <c r="J859" s="31" t="s">
        <v>2955</v>
      </c>
      <c r="K859" s="31" t="s">
        <v>512</v>
      </c>
      <c r="L859" s="31" t="s">
        <v>513</v>
      </c>
      <c r="M859" s="33">
        <v>6.0</v>
      </c>
      <c r="N859" s="31" t="s">
        <v>2958</v>
      </c>
      <c r="O859" s="34"/>
    </row>
    <row r="860">
      <c r="A860" s="85">
        <v>45727.0</v>
      </c>
      <c r="B860" s="31" t="s">
        <v>2951</v>
      </c>
      <c r="C860" s="31">
        <v>8.05011518354E11</v>
      </c>
      <c r="D860" s="31" t="s">
        <v>2952</v>
      </c>
      <c r="E860" s="31" t="s">
        <v>2953</v>
      </c>
      <c r="F860" s="31" t="s">
        <v>2954</v>
      </c>
      <c r="G860" s="31" t="s">
        <v>20</v>
      </c>
      <c r="H860" s="31" t="s">
        <v>20</v>
      </c>
      <c r="I860" s="31">
        <v>4400.0</v>
      </c>
      <c r="J860" s="31" t="s">
        <v>2955</v>
      </c>
      <c r="K860" s="31" t="s">
        <v>670</v>
      </c>
      <c r="L860" s="31" t="s">
        <v>671</v>
      </c>
      <c r="M860" s="33">
        <v>1.0</v>
      </c>
      <c r="N860" s="31" t="s">
        <v>2958</v>
      </c>
      <c r="O860" s="34"/>
    </row>
    <row r="861">
      <c r="A861" s="91">
        <v>45727.0</v>
      </c>
      <c r="B861" s="66" t="s">
        <v>2959</v>
      </c>
      <c r="C861" s="66">
        <v>8.0501151833E11</v>
      </c>
      <c r="D861" s="66" t="s">
        <v>2960</v>
      </c>
      <c r="E861" s="66" t="s">
        <v>2961</v>
      </c>
      <c r="F861" s="66" t="s">
        <v>2962</v>
      </c>
      <c r="G861" s="66" t="s">
        <v>2963</v>
      </c>
      <c r="H861" s="66" t="s">
        <v>20</v>
      </c>
      <c r="I861" s="66">
        <v>4562.0</v>
      </c>
      <c r="J861" s="66" t="s">
        <v>2964</v>
      </c>
      <c r="K861" s="66" t="s">
        <v>2965</v>
      </c>
      <c r="L861" s="66" t="s">
        <v>2966</v>
      </c>
      <c r="M861" s="67">
        <v>1.0</v>
      </c>
      <c r="N861" s="66" t="s">
        <v>2967</v>
      </c>
      <c r="O861" s="68"/>
    </row>
    <row r="862">
      <c r="A862" s="85">
        <v>45727.0</v>
      </c>
      <c r="B862" s="31" t="s">
        <v>2968</v>
      </c>
      <c r="C862" s="31">
        <v>8.05011518394E11</v>
      </c>
      <c r="D862" s="31" t="s">
        <v>2969</v>
      </c>
      <c r="E862" s="31" t="s">
        <v>2970</v>
      </c>
      <c r="F862" s="31" t="s">
        <v>2971</v>
      </c>
      <c r="G862" s="31" t="s">
        <v>486</v>
      </c>
      <c r="H862" s="31" t="s">
        <v>20</v>
      </c>
      <c r="I862" s="31">
        <v>4440.0</v>
      </c>
      <c r="J862" s="31" t="s">
        <v>2972</v>
      </c>
      <c r="K862" s="31" t="s">
        <v>2973</v>
      </c>
      <c r="L862" s="31" t="s">
        <v>2974</v>
      </c>
      <c r="M862" s="33">
        <v>1.0</v>
      </c>
      <c r="N862" s="31" t="s">
        <v>2975</v>
      </c>
      <c r="O862" s="34"/>
    </row>
    <row r="863">
      <c r="A863" s="85">
        <v>45727.0</v>
      </c>
      <c r="B863" s="31" t="s">
        <v>2968</v>
      </c>
      <c r="C863" s="31">
        <v>8.05011518394E11</v>
      </c>
      <c r="D863" s="31" t="s">
        <v>2969</v>
      </c>
      <c r="E863" s="31" t="s">
        <v>2970</v>
      </c>
      <c r="F863" s="31" t="s">
        <v>2971</v>
      </c>
      <c r="G863" s="31" t="s">
        <v>486</v>
      </c>
      <c r="H863" s="31" t="s">
        <v>20</v>
      </c>
      <c r="I863" s="31">
        <v>4440.0</v>
      </c>
      <c r="J863" s="31" t="s">
        <v>2972</v>
      </c>
      <c r="K863" s="31" t="s">
        <v>512</v>
      </c>
      <c r="L863" s="31" t="s">
        <v>513</v>
      </c>
      <c r="M863" s="33">
        <v>6.0</v>
      </c>
      <c r="N863" s="31" t="s">
        <v>2975</v>
      </c>
      <c r="O863" s="34"/>
    </row>
    <row r="864">
      <c r="A864" s="85">
        <v>45727.0</v>
      </c>
      <c r="B864" s="31" t="s">
        <v>2968</v>
      </c>
      <c r="C864" s="31">
        <v>8.05011518394E11</v>
      </c>
      <c r="D864" s="31" t="s">
        <v>2969</v>
      </c>
      <c r="E864" s="31" t="s">
        <v>2970</v>
      </c>
      <c r="F864" s="31" t="s">
        <v>2971</v>
      </c>
      <c r="G864" s="31" t="s">
        <v>486</v>
      </c>
      <c r="H864" s="31" t="s">
        <v>20</v>
      </c>
      <c r="I864" s="31">
        <v>4440.0</v>
      </c>
      <c r="J864" s="31" t="s">
        <v>2972</v>
      </c>
      <c r="K864" s="31" t="s">
        <v>2976</v>
      </c>
      <c r="L864" s="31" t="s">
        <v>2977</v>
      </c>
      <c r="M864" s="33">
        <v>1.0</v>
      </c>
      <c r="N864" s="31" t="s">
        <v>2975</v>
      </c>
      <c r="O864" s="34"/>
    </row>
    <row r="865" ht="7.5" customHeight="1">
      <c r="A865" s="87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9"/>
      <c r="N865" s="90"/>
      <c r="O865" s="90"/>
    </row>
    <row r="866">
      <c r="A866" s="91">
        <v>45742.0</v>
      </c>
      <c r="B866" s="66" t="s">
        <v>2978</v>
      </c>
      <c r="C866" s="66">
        <v>8.05011517561E11</v>
      </c>
      <c r="D866" s="66" t="s">
        <v>2979</v>
      </c>
      <c r="E866" s="66" t="s">
        <v>2980</v>
      </c>
      <c r="F866" s="66" t="s">
        <v>2981</v>
      </c>
      <c r="G866" s="66" t="s">
        <v>2982</v>
      </c>
      <c r="H866" s="66" t="s">
        <v>20</v>
      </c>
      <c r="I866" s="66">
        <v>4400.0</v>
      </c>
      <c r="J866" s="66" t="s">
        <v>2983</v>
      </c>
      <c r="K866" s="66">
        <v>208010.0</v>
      </c>
      <c r="L866" s="66" t="s">
        <v>2984</v>
      </c>
      <c r="M866" s="67">
        <v>2.0</v>
      </c>
      <c r="N866" s="66" t="s">
        <v>2985</v>
      </c>
      <c r="O866" s="66">
        <v>1.0</v>
      </c>
    </row>
    <row r="867">
      <c r="A867" s="91">
        <v>45742.0</v>
      </c>
      <c r="B867" s="66" t="s">
        <v>2978</v>
      </c>
      <c r="C867" s="66">
        <v>8.05011517561E11</v>
      </c>
      <c r="D867" s="66" t="s">
        <v>2979</v>
      </c>
      <c r="E867" s="66" t="s">
        <v>2980</v>
      </c>
      <c r="F867" s="66" t="s">
        <v>2981</v>
      </c>
      <c r="G867" s="66" t="s">
        <v>2982</v>
      </c>
      <c r="H867" s="66" t="s">
        <v>20</v>
      </c>
      <c r="I867" s="66">
        <v>4400.0</v>
      </c>
      <c r="J867" s="66" t="s">
        <v>2983</v>
      </c>
      <c r="K867" s="66">
        <v>203707.0</v>
      </c>
      <c r="L867" s="66" t="s">
        <v>2986</v>
      </c>
      <c r="M867" s="67">
        <v>1.0</v>
      </c>
      <c r="N867" s="66" t="s">
        <v>2985</v>
      </c>
      <c r="O867" s="66">
        <v>1.0</v>
      </c>
    </row>
    <row r="868">
      <c r="A868" s="91">
        <v>45742.0</v>
      </c>
      <c r="B868" s="66" t="s">
        <v>2987</v>
      </c>
      <c r="C868" s="66">
        <v>8.06015089769E11</v>
      </c>
      <c r="D868" s="66" t="s">
        <v>2988</v>
      </c>
      <c r="E868" s="66" t="s">
        <v>2989</v>
      </c>
      <c r="F868" s="66" t="s">
        <v>2990</v>
      </c>
      <c r="G868" s="66" t="s">
        <v>127</v>
      </c>
      <c r="H868" s="66" t="s">
        <v>20</v>
      </c>
      <c r="I868" s="66" t="s">
        <v>2991</v>
      </c>
      <c r="J868" s="66" t="s">
        <v>2992</v>
      </c>
      <c r="K868" s="66" t="s">
        <v>1847</v>
      </c>
      <c r="L868" s="66" t="s">
        <v>1848</v>
      </c>
      <c r="M868" s="67">
        <v>1.0</v>
      </c>
      <c r="N868" s="66" t="s">
        <v>2993</v>
      </c>
      <c r="O868" s="66" t="s">
        <v>2994</v>
      </c>
    </row>
    <row r="869">
      <c r="A869" s="91">
        <v>45742.0</v>
      </c>
      <c r="B869" s="66" t="s">
        <v>2995</v>
      </c>
      <c r="C869" s="66">
        <v>8.06015089768E11</v>
      </c>
      <c r="D869" s="66" t="s">
        <v>2988</v>
      </c>
      <c r="E869" s="66" t="s">
        <v>2989</v>
      </c>
      <c r="F869" s="66" t="s">
        <v>2990</v>
      </c>
      <c r="G869" s="66" t="s">
        <v>127</v>
      </c>
      <c r="H869" s="66" t="s">
        <v>20</v>
      </c>
      <c r="I869" s="66" t="s">
        <v>2991</v>
      </c>
      <c r="J869" s="66" t="s">
        <v>2992</v>
      </c>
      <c r="K869" s="66" t="s">
        <v>1058</v>
      </c>
      <c r="L869" s="66" t="s">
        <v>1059</v>
      </c>
      <c r="M869" s="67">
        <v>1.0</v>
      </c>
      <c r="N869" s="66" t="s">
        <v>2993</v>
      </c>
      <c r="O869" s="66" t="s">
        <v>2994</v>
      </c>
    </row>
    <row r="870">
      <c r="A870" s="91">
        <v>45742.0</v>
      </c>
      <c r="B870" s="66" t="s">
        <v>2995</v>
      </c>
      <c r="C870" s="66">
        <v>8.06015089768E11</v>
      </c>
      <c r="D870" s="66" t="s">
        <v>2988</v>
      </c>
      <c r="E870" s="66" t="s">
        <v>2989</v>
      </c>
      <c r="F870" s="66" t="s">
        <v>2990</v>
      </c>
      <c r="G870" s="66" t="s">
        <v>127</v>
      </c>
      <c r="H870" s="66" t="s">
        <v>20</v>
      </c>
      <c r="I870" s="66" t="s">
        <v>2991</v>
      </c>
      <c r="J870" s="66" t="s">
        <v>2992</v>
      </c>
      <c r="K870" s="66" t="s">
        <v>512</v>
      </c>
      <c r="L870" s="66" t="s">
        <v>513</v>
      </c>
      <c r="M870" s="67">
        <v>6.0</v>
      </c>
      <c r="N870" s="66" t="s">
        <v>2993</v>
      </c>
      <c r="O870" s="66" t="s">
        <v>2994</v>
      </c>
    </row>
    <row r="871">
      <c r="A871" s="85">
        <v>45742.0</v>
      </c>
      <c r="B871" s="31" t="s">
        <v>2996</v>
      </c>
      <c r="C871" s="31">
        <v>8.07025030148E11</v>
      </c>
      <c r="D871" s="31" t="s">
        <v>2997</v>
      </c>
      <c r="E871" s="31" t="s">
        <v>2998</v>
      </c>
      <c r="F871" s="31" t="s">
        <v>2999</v>
      </c>
      <c r="G871" s="31" t="s">
        <v>116</v>
      </c>
      <c r="H871" s="31" t="s">
        <v>20</v>
      </c>
      <c r="I871" s="31">
        <v>4400.0</v>
      </c>
      <c r="J871" s="31" t="s">
        <v>3000</v>
      </c>
      <c r="K871" s="31" t="s">
        <v>32</v>
      </c>
      <c r="L871" s="31" t="s">
        <v>33</v>
      </c>
      <c r="M871" s="33">
        <v>1.0</v>
      </c>
      <c r="N871" s="31" t="s">
        <v>3001</v>
      </c>
      <c r="O871" s="31" t="s">
        <v>3002</v>
      </c>
    </row>
    <row r="872">
      <c r="A872" s="91">
        <v>45742.0</v>
      </c>
      <c r="B872" s="66" t="s">
        <v>3003</v>
      </c>
      <c r="C872" s="66">
        <v>8.05011515164E11</v>
      </c>
      <c r="D872" s="66" t="s">
        <v>2795</v>
      </c>
      <c r="E872" s="66" t="s">
        <v>2796</v>
      </c>
      <c r="F872" s="66" t="s">
        <v>2797</v>
      </c>
      <c r="G872" s="66" t="s">
        <v>2177</v>
      </c>
      <c r="H872" s="66" t="s">
        <v>20</v>
      </c>
      <c r="I872" s="66">
        <v>4430.0</v>
      </c>
      <c r="J872" s="66" t="s">
        <v>2798</v>
      </c>
      <c r="K872" s="66" t="s">
        <v>98</v>
      </c>
      <c r="L872" s="66" t="s">
        <v>99</v>
      </c>
      <c r="M872" s="67">
        <v>1.0</v>
      </c>
      <c r="N872" s="66" t="s">
        <v>2799</v>
      </c>
      <c r="O872" s="68"/>
    </row>
    <row r="873">
      <c r="A873" s="85">
        <v>45742.0</v>
      </c>
      <c r="B873" s="31" t="s">
        <v>3004</v>
      </c>
      <c r="C873" s="31">
        <v>8.05011515799E11</v>
      </c>
      <c r="D873" s="31" t="s">
        <v>2815</v>
      </c>
      <c r="E873" s="31" t="s">
        <v>2816</v>
      </c>
      <c r="F873" s="31" t="s">
        <v>2817</v>
      </c>
      <c r="G873" s="31" t="s">
        <v>20</v>
      </c>
      <c r="H873" s="31" t="s">
        <v>20</v>
      </c>
      <c r="I873" s="31">
        <v>4400.0</v>
      </c>
      <c r="J873" s="31" t="s">
        <v>2818</v>
      </c>
      <c r="K873" s="31" t="s">
        <v>98</v>
      </c>
      <c r="L873" s="31" t="s">
        <v>99</v>
      </c>
      <c r="M873" s="33">
        <v>1.0</v>
      </c>
      <c r="N873" s="34"/>
      <c r="O873" s="34"/>
    </row>
    <row r="874">
      <c r="A874" s="85">
        <v>45742.0</v>
      </c>
      <c r="B874" s="31" t="s">
        <v>3004</v>
      </c>
      <c r="C874" s="31">
        <v>8.05011515799E11</v>
      </c>
      <c r="D874" s="31" t="s">
        <v>2815</v>
      </c>
      <c r="E874" s="31" t="s">
        <v>2816</v>
      </c>
      <c r="F874" s="31" t="s">
        <v>2817</v>
      </c>
      <c r="G874" s="31" t="s">
        <v>20</v>
      </c>
      <c r="H874" s="31" t="s">
        <v>20</v>
      </c>
      <c r="I874" s="31">
        <v>4400.0</v>
      </c>
      <c r="J874" s="31" t="s">
        <v>2818</v>
      </c>
      <c r="K874" s="31" t="s">
        <v>35</v>
      </c>
      <c r="L874" s="31" t="s">
        <v>36</v>
      </c>
      <c r="M874" s="33">
        <v>1.0</v>
      </c>
      <c r="N874" s="34"/>
      <c r="O874" s="34"/>
    </row>
    <row r="875">
      <c r="A875" s="85">
        <v>45742.0</v>
      </c>
      <c r="B875" s="31" t="s">
        <v>3004</v>
      </c>
      <c r="C875" s="31">
        <v>8.05011515799E11</v>
      </c>
      <c r="D875" s="31" t="s">
        <v>2815</v>
      </c>
      <c r="E875" s="31" t="s">
        <v>2816</v>
      </c>
      <c r="F875" s="31" t="s">
        <v>2817</v>
      </c>
      <c r="G875" s="31" t="s">
        <v>20</v>
      </c>
      <c r="H875" s="31" t="s">
        <v>20</v>
      </c>
      <c r="I875" s="31">
        <v>4400.0</v>
      </c>
      <c r="J875" s="31" t="s">
        <v>2818</v>
      </c>
      <c r="K875" s="31" t="s">
        <v>512</v>
      </c>
      <c r="L875" s="31" t="s">
        <v>513</v>
      </c>
      <c r="M875" s="33">
        <v>6.0</v>
      </c>
      <c r="N875" s="34"/>
      <c r="O875" s="34"/>
    </row>
    <row r="876">
      <c r="A876" s="91">
        <v>45742.0</v>
      </c>
      <c r="B876" s="66" t="s">
        <v>3005</v>
      </c>
      <c r="C876" s="66">
        <v>8.05011517616E11</v>
      </c>
      <c r="D876" s="66" t="s">
        <v>2979</v>
      </c>
      <c r="E876" s="66" t="s">
        <v>2980</v>
      </c>
      <c r="F876" s="66" t="s">
        <v>2981</v>
      </c>
      <c r="G876" s="66" t="s">
        <v>2982</v>
      </c>
      <c r="H876" s="66" t="s">
        <v>20</v>
      </c>
      <c r="I876" s="66">
        <v>4400.0</v>
      </c>
      <c r="J876" s="66" t="s">
        <v>2983</v>
      </c>
      <c r="K876" s="66" t="s">
        <v>98</v>
      </c>
      <c r="L876" s="66" t="s">
        <v>99</v>
      </c>
      <c r="M876" s="67">
        <v>1.0</v>
      </c>
      <c r="N876" s="66" t="s">
        <v>2985</v>
      </c>
      <c r="O876" s="66">
        <v>11.0</v>
      </c>
    </row>
    <row r="877">
      <c r="A877" s="91">
        <v>45742.0</v>
      </c>
      <c r="B877" s="66" t="s">
        <v>3005</v>
      </c>
      <c r="C877" s="66">
        <v>8.05011517616E11</v>
      </c>
      <c r="D877" s="66" t="s">
        <v>2979</v>
      </c>
      <c r="E877" s="66" t="s">
        <v>2980</v>
      </c>
      <c r="F877" s="66" t="s">
        <v>2981</v>
      </c>
      <c r="G877" s="66" t="s">
        <v>2982</v>
      </c>
      <c r="H877" s="66" t="s">
        <v>20</v>
      </c>
      <c r="I877" s="66">
        <v>4400.0</v>
      </c>
      <c r="J877" s="66" t="s">
        <v>2983</v>
      </c>
      <c r="K877" s="66" t="s">
        <v>88</v>
      </c>
      <c r="L877" s="66" t="s">
        <v>89</v>
      </c>
      <c r="M877" s="67">
        <v>1.0</v>
      </c>
      <c r="N877" s="66" t="s">
        <v>2985</v>
      </c>
      <c r="O877" s="66">
        <v>11.0</v>
      </c>
    </row>
    <row r="878">
      <c r="A878" s="85">
        <v>45742.0</v>
      </c>
      <c r="B878" s="31" t="s">
        <v>3006</v>
      </c>
      <c r="C878" s="31">
        <v>8.05011519029E11</v>
      </c>
      <c r="D878" s="31" t="s">
        <v>3007</v>
      </c>
      <c r="E878" s="31" t="s">
        <v>3008</v>
      </c>
      <c r="F878" s="31" t="s">
        <v>3009</v>
      </c>
      <c r="G878" s="31" t="s">
        <v>486</v>
      </c>
      <c r="H878" s="31" t="s">
        <v>20</v>
      </c>
      <c r="I878" s="31">
        <v>4440.0</v>
      </c>
      <c r="J878" s="31" t="s">
        <v>3010</v>
      </c>
      <c r="K878" s="31" t="s">
        <v>512</v>
      </c>
      <c r="L878" s="31" t="s">
        <v>513</v>
      </c>
      <c r="M878" s="33">
        <v>12.0</v>
      </c>
      <c r="N878" s="31" t="s">
        <v>3011</v>
      </c>
      <c r="O878" s="34"/>
    </row>
    <row r="879">
      <c r="A879" s="85">
        <v>45742.0</v>
      </c>
      <c r="B879" s="31" t="s">
        <v>3006</v>
      </c>
      <c r="C879" s="31">
        <v>8.05011519029E11</v>
      </c>
      <c r="D879" s="31" t="s">
        <v>3007</v>
      </c>
      <c r="E879" s="31" t="s">
        <v>3008</v>
      </c>
      <c r="F879" s="31" t="s">
        <v>3009</v>
      </c>
      <c r="G879" s="31" t="s">
        <v>486</v>
      </c>
      <c r="H879" s="31" t="s">
        <v>20</v>
      </c>
      <c r="I879" s="31">
        <v>4440.0</v>
      </c>
      <c r="J879" s="31" t="s">
        <v>3010</v>
      </c>
      <c r="K879" s="31" t="s">
        <v>381</v>
      </c>
      <c r="L879" s="31" t="s">
        <v>382</v>
      </c>
      <c r="M879" s="33">
        <v>2.0</v>
      </c>
      <c r="N879" s="31" t="s">
        <v>3011</v>
      </c>
      <c r="O879" s="34"/>
    </row>
    <row r="880">
      <c r="A880" s="85">
        <v>45742.0</v>
      </c>
      <c r="B880" s="31" t="s">
        <v>3006</v>
      </c>
      <c r="C880" s="31">
        <v>8.05011519029E11</v>
      </c>
      <c r="D880" s="31" t="s">
        <v>3007</v>
      </c>
      <c r="E880" s="31" t="s">
        <v>3008</v>
      </c>
      <c r="F880" s="31" t="s">
        <v>3009</v>
      </c>
      <c r="G880" s="31" t="s">
        <v>486</v>
      </c>
      <c r="H880" s="31" t="s">
        <v>20</v>
      </c>
      <c r="I880" s="31">
        <v>4440.0</v>
      </c>
      <c r="J880" s="31" t="s">
        <v>3010</v>
      </c>
      <c r="K880" s="31" t="s">
        <v>378</v>
      </c>
      <c r="L880" s="31" t="s">
        <v>379</v>
      </c>
      <c r="M880" s="33">
        <v>1.0</v>
      </c>
      <c r="N880" s="31" t="s">
        <v>3011</v>
      </c>
      <c r="O880" s="34"/>
    </row>
    <row r="881">
      <c r="A881" s="91">
        <v>45742.0</v>
      </c>
      <c r="B881" s="66" t="s">
        <v>3012</v>
      </c>
      <c r="C881" s="66">
        <v>8.07025029825E11</v>
      </c>
      <c r="D881" s="66" t="s">
        <v>2801</v>
      </c>
      <c r="E881" s="66" t="s">
        <v>2802</v>
      </c>
      <c r="F881" s="66" t="s">
        <v>2803</v>
      </c>
      <c r="G881" s="66" t="s">
        <v>2804</v>
      </c>
      <c r="H881" s="66" t="s">
        <v>20</v>
      </c>
      <c r="I881" s="66">
        <v>4421.0</v>
      </c>
      <c r="J881" s="66" t="s">
        <v>2805</v>
      </c>
      <c r="K881" s="66" t="s">
        <v>512</v>
      </c>
      <c r="L881" s="66" t="s">
        <v>513</v>
      </c>
      <c r="M881" s="67">
        <v>6.0</v>
      </c>
      <c r="N881" s="66" t="s">
        <v>2806</v>
      </c>
      <c r="O881" s="66" t="s">
        <v>261</v>
      </c>
    </row>
    <row r="882">
      <c r="A882" s="91">
        <v>45742.0</v>
      </c>
      <c r="B882" s="66" t="s">
        <v>3012</v>
      </c>
      <c r="C882" s="66">
        <v>8.07025029825E11</v>
      </c>
      <c r="D882" s="66" t="s">
        <v>2801</v>
      </c>
      <c r="E882" s="66" t="s">
        <v>2802</v>
      </c>
      <c r="F882" s="66" t="s">
        <v>2803</v>
      </c>
      <c r="G882" s="66" t="s">
        <v>2804</v>
      </c>
      <c r="H882" s="66" t="s">
        <v>20</v>
      </c>
      <c r="I882" s="66">
        <v>4421.0</v>
      </c>
      <c r="J882" s="66" t="s">
        <v>2805</v>
      </c>
      <c r="K882" s="66" t="s">
        <v>670</v>
      </c>
      <c r="L882" s="66" t="s">
        <v>671</v>
      </c>
      <c r="M882" s="67">
        <v>1.0</v>
      </c>
      <c r="N882" s="66" t="s">
        <v>2806</v>
      </c>
      <c r="O882" s="66" t="s">
        <v>261</v>
      </c>
    </row>
    <row r="883">
      <c r="A883" s="91">
        <v>45742.0</v>
      </c>
      <c r="B883" s="66" t="s">
        <v>3012</v>
      </c>
      <c r="C883" s="66">
        <v>8.07025029825E11</v>
      </c>
      <c r="D883" s="66" t="s">
        <v>2801</v>
      </c>
      <c r="E883" s="66" t="s">
        <v>2802</v>
      </c>
      <c r="F883" s="66" t="s">
        <v>2803</v>
      </c>
      <c r="G883" s="66" t="s">
        <v>2804</v>
      </c>
      <c r="H883" s="66" t="s">
        <v>20</v>
      </c>
      <c r="I883" s="66">
        <v>4421.0</v>
      </c>
      <c r="J883" s="66" t="s">
        <v>2805</v>
      </c>
      <c r="K883" s="66" t="s">
        <v>98</v>
      </c>
      <c r="L883" s="66" t="s">
        <v>99</v>
      </c>
      <c r="M883" s="67">
        <v>1.0</v>
      </c>
      <c r="N883" s="66" t="s">
        <v>2806</v>
      </c>
      <c r="O883" s="66" t="s">
        <v>261</v>
      </c>
    </row>
    <row r="884">
      <c r="A884" s="85">
        <v>45742.0</v>
      </c>
      <c r="B884" s="31" t="s">
        <v>3013</v>
      </c>
      <c r="C884" s="31">
        <v>8.050115188E11</v>
      </c>
      <c r="D884" s="31" t="s">
        <v>3014</v>
      </c>
      <c r="E884" s="31" t="s">
        <v>3015</v>
      </c>
      <c r="F884" s="31" t="s">
        <v>3016</v>
      </c>
      <c r="G884" s="31" t="s">
        <v>2919</v>
      </c>
      <c r="H884" s="31" t="s">
        <v>20</v>
      </c>
      <c r="I884" s="31">
        <v>4560.0</v>
      </c>
      <c r="J884" s="31" t="s">
        <v>3017</v>
      </c>
      <c r="K884" s="31" t="s">
        <v>645</v>
      </c>
      <c r="L884" s="31" t="s">
        <v>646</v>
      </c>
      <c r="M884" s="33">
        <v>2.0</v>
      </c>
      <c r="N884" s="31" t="s">
        <v>3018</v>
      </c>
      <c r="O884" s="31" t="s">
        <v>261</v>
      </c>
    </row>
    <row r="885">
      <c r="A885" s="85">
        <v>45742.0</v>
      </c>
      <c r="B885" s="31" t="s">
        <v>3013</v>
      </c>
      <c r="C885" s="31">
        <v>8.050115188E11</v>
      </c>
      <c r="D885" s="31" t="s">
        <v>3014</v>
      </c>
      <c r="E885" s="31" t="s">
        <v>3015</v>
      </c>
      <c r="F885" s="31" t="s">
        <v>3016</v>
      </c>
      <c r="G885" s="31" t="s">
        <v>2919</v>
      </c>
      <c r="H885" s="31" t="s">
        <v>20</v>
      </c>
      <c r="I885" s="31">
        <v>4560.0</v>
      </c>
      <c r="J885" s="31" t="s">
        <v>3017</v>
      </c>
      <c r="K885" s="31" t="s">
        <v>262</v>
      </c>
      <c r="L885" s="31" t="s">
        <v>263</v>
      </c>
      <c r="M885" s="33">
        <v>1.0</v>
      </c>
      <c r="N885" s="31" t="s">
        <v>3018</v>
      </c>
      <c r="O885" s="31" t="s">
        <v>261</v>
      </c>
    </row>
    <row r="886">
      <c r="A886" s="91">
        <v>45742.0</v>
      </c>
      <c r="B886" s="66" t="s">
        <v>3019</v>
      </c>
      <c r="C886" s="66">
        <v>8.05011519331E11</v>
      </c>
      <c r="D886" s="66" t="s">
        <v>3020</v>
      </c>
      <c r="E886" s="66" t="s">
        <v>3021</v>
      </c>
      <c r="F886" s="66" t="s">
        <v>3022</v>
      </c>
      <c r="G886" s="66" t="s">
        <v>3023</v>
      </c>
      <c r="H886" s="66" t="s">
        <v>20</v>
      </c>
      <c r="I886" s="66">
        <v>4401.0</v>
      </c>
      <c r="J886" s="66" t="s">
        <v>3024</v>
      </c>
      <c r="K886" s="66" t="s">
        <v>3025</v>
      </c>
      <c r="L886" s="66" t="s">
        <v>3026</v>
      </c>
      <c r="M886" s="67">
        <v>1.0</v>
      </c>
      <c r="N886" s="66" t="s">
        <v>3027</v>
      </c>
      <c r="O886" s="68"/>
    </row>
    <row r="887">
      <c r="A887" s="85">
        <v>45742.0</v>
      </c>
      <c r="B887" s="31" t="s">
        <v>3028</v>
      </c>
      <c r="C887" s="31">
        <v>8.05011519742E11</v>
      </c>
      <c r="D887" s="31" t="s">
        <v>3029</v>
      </c>
      <c r="E887" s="31" t="s">
        <v>3030</v>
      </c>
      <c r="F887" s="31" t="s">
        <v>3031</v>
      </c>
      <c r="G887" s="31" t="s">
        <v>20</v>
      </c>
      <c r="H887" s="31" t="s">
        <v>20</v>
      </c>
      <c r="I887" s="31">
        <v>4400.0</v>
      </c>
      <c r="J887" s="31" t="s">
        <v>3032</v>
      </c>
      <c r="K887" s="31" t="s">
        <v>50</v>
      </c>
      <c r="L887" s="31" t="s">
        <v>51</v>
      </c>
      <c r="M887" s="33">
        <v>1.0</v>
      </c>
      <c r="N887" s="31" t="s">
        <v>3033</v>
      </c>
      <c r="O887" s="34"/>
    </row>
    <row r="888">
      <c r="A888" s="85">
        <v>45742.0</v>
      </c>
      <c r="B888" s="31" t="s">
        <v>3028</v>
      </c>
      <c r="C888" s="31">
        <v>8.05011519742E11</v>
      </c>
      <c r="D888" s="31" t="s">
        <v>3029</v>
      </c>
      <c r="E888" s="31" t="s">
        <v>3030</v>
      </c>
      <c r="F888" s="31" t="s">
        <v>3031</v>
      </c>
      <c r="G888" s="31" t="s">
        <v>20</v>
      </c>
      <c r="H888" s="31" t="s">
        <v>20</v>
      </c>
      <c r="I888" s="31">
        <v>4400.0</v>
      </c>
      <c r="J888" s="31" t="s">
        <v>3032</v>
      </c>
      <c r="K888" s="31" t="s">
        <v>25</v>
      </c>
      <c r="L888" s="31" t="s">
        <v>26</v>
      </c>
      <c r="M888" s="33">
        <v>1.0</v>
      </c>
      <c r="N888" s="31" t="s">
        <v>3033</v>
      </c>
      <c r="O888" s="34"/>
    </row>
    <row r="889">
      <c r="A889" s="85">
        <v>45742.0</v>
      </c>
      <c r="B889" s="31" t="s">
        <v>3028</v>
      </c>
      <c r="C889" s="31">
        <v>8.05011519742E11</v>
      </c>
      <c r="D889" s="31" t="s">
        <v>3029</v>
      </c>
      <c r="E889" s="31" t="s">
        <v>3030</v>
      </c>
      <c r="F889" s="31" t="s">
        <v>3031</v>
      </c>
      <c r="G889" s="31" t="s">
        <v>20</v>
      </c>
      <c r="H889" s="31" t="s">
        <v>20</v>
      </c>
      <c r="I889" s="31">
        <v>4400.0</v>
      </c>
      <c r="J889" s="31" t="s">
        <v>3032</v>
      </c>
      <c r="K889" s="31" t="s">
        <v>512</v>
      </c>
      <c r="L889" s="31" t="s">
        <v>513</v>
      </c>
      <c r="M889" s="33">
        <v>6.0</v>
      </c>
      <c r="N889" s="31" t="s">
        <v>3033</v>
      </c>
      <c r="O889" s="34"/>
    </row>
    <row r="890">
      <c r="A890" s="91">
        <v>45742.0</v>
      </c>
      <c r="B890" s="66" t="s">
        <v>3034</v>
      </c>
      <c r="C890" s="66">
        <v>8.05011519542E11</v>
      </c>
      <c r="D890" s="66" t="s">
        <v>3035</v>
      </c>
      <c r="E890" s="66" t="s">
        <v>3036</v>
      </c>
      <c r="F890" s="66" t="s">
        <v>3037</v>
      </c>
      <c r="G890" s="66" t="s">
        <v>20</v>
      </c>
      <c r="H890" s="66" t="s">
        <v>20</v>
      </c>
      <c r="I890" s="66">
        <v>4400.0</v>
      </c>
      <c r="J890" s="66" t="s">
        <v>3038</v>
      </c>
      <c r="K890" s="66" t="s">
        <v>1241</v>
      </c>
      <c r="L890" s="66" t="s">
        <v>1242</v>
      </c>
      <c r="M890" s="67">
        <v>2.0</v>
      </c>
      <c r="N890" s="66" t="s">
        <v>3039</v>
      </c>
      <c r="O890" s="68"/>
    </row>
    <row r="891">
      <c r="A891" s="85">
        <v>45742.0</v>
      </c>
      <c r="B891" s="31" t="s">
        <v>3040</v>
      </c>
      <c r="C891" s="31">
        <v>8.07025030205E11</v>
      </c>
      <c r="D891" s="31" t="s">
        <v>3041</v>
      </c>
      <c r="E891" s="31" t="s">
        <v>3042</v>
      </c>
      <c r="F891" s="31" t="s">
        <v>3043</v>
      </c>
      <c r="G891" s="31" t="s">
        <v>3044</v>
      </c>
      <c r="H891" s="31" t="s">
        <v>20</v>
      </c>
      <c r="I891" s="31">
        <v>4405.0</v>
      </c>
      <c r="J891" s="31" t="s">
        <v>3045</v>
      </c>
      <c r="K891" s="31" t="s">
        <v>670</v>
      </c>
      <c r="L891" s="31" t="s">
        <v>671</v>
      </c>
      <c r="M891" s="33">
        <v>1.0</v>
      </c>
      <c r="N891" s="31" t="s">
        <v>3046</v>
      </c>
      <c r="O891" s="31" t="s">
        <v>3047</v>
      </c>
    </row>
    <row r="892">
      <c r="A892" s="85">
        <v>45742.0</v>
      </c>
      <c r="B892" s="31" t="s">
        <v>3040</v>
      </c>
      <c r="C892" s="31">
        <v>8.07025030205E11</v>
      </c>
      <c r="D892" s="31" t="s">
        <v>3041</v>
      </c>
      <c r="E892" s="31" t="s">
        <v>3042</v>
      </c>
      <c r="F892" s="31" t="s">
        <v>3043</v>
      </c>
      <c r="G892" s="31" t="s">
        <v>3044</v>
      </c>
      <c r="H892" s="31" t="s">
        <v>20</v>
      </c>
      <c r="I892" s="31">
        <v>4405.0</v>
      </c>
      <c r="J892" s="31" t="s">
        <v>3045</v>
      </c>
      <c r="K892" s="31" t="s">
        <v>32</v>
      </c>
      <c r="L892" s="31" t="s">
        <v>33</v>
      </c>
      <c r="M892" s="33">
        <v>1.0</v>
      </c>
      <c r="N892" s="31" t="s">
        <v>3046</v>
      </c>
      <c r="O892" s="31" t="s">
        <v>3047</v>
      </c>
    </row>
    <row r="893">
      <c r="A893" s="85">
        <v>45742.0</v>
      </c>
      <c r="B893" s="31" t="s">
        <v>3048</v>
      </c>
      <c r="C893" s="31">
        <v>8.07025030204E11</v>
      </c>
      <c r="D893" s="31" t="s">
        <v>3041</v>
      </c>
      <c r="E893" s="31" t="s">
        <v>3042</v>
      </c>
      <c r="F893" s="31" t="s">
        <v>3043</v>
      </c>
      <c r="G893" s="31" t="s">
        <v>3044</v>
      </c>
      <c r="H893" s="31" t="s">
        <v>20</v>
      </c>
      <c r="I893" s="31">
        <v>4405.0</v>
      </c>
      <c r="J893" s="31" t="s">
        <v>3045</v>
      </c>
      <c r="K893" s="31" t="s">
        <v>645</v>
      </c>
      <c r="L893" s="31" t="s">
        <v>646</v>
      </c>
      <c r="M893" s="33">
        <v>2.0</v>
      </c>
      <c r="N893" s="31" t="s">
        <v>3046</v>
      </c>
      <c r="O893" s="31" t="s">
        <v>3047</v>
      </c>
    </row>
    <row r="894">
      <c r="A894" s="85">
        <v>45742.0</v>
      </c>
      <c r="B894" s="31" t="s">
        <v>3048</v>
      </c>
      <c r="C894" s="31">
        <v>8.07025030204E11</v>
      </c>
      <c r="D894" s="31" t="s">
        <v>3041</v>
      </c>
      <c r="E894" s="31" t="s">
        <v>3042</v>
      </c>
      <c r="F894" s="31" t="s">
        <v>3043</v>
      </c>
      <c r="G894" s="31" t="s">
        <v>3044</v>
      </c>
      <c r="H894" s="31" t="s">
        <v>20</v>
      </c>
      <c r="I894" s="31">
        <v>4405.0</v>
      </c>
      <c r="J894" s="31" t="s">
        <v>3045</v>
      </c>
      <c r="K894" s="31" t="s">
        <v>512</v>
      </c>
      <c r="L894" s="31" t="s">
        <v>513</v>
      </c>
      <c r="M894" s="33">
        <v>12.0</v>
      </c>
      <c r="N894" s="31" t="s">
        <v>3046</v>
      </c>
      <c r="O894" s="31" t="s">
        <v>3047</v>
      </c>
    </row>
    <row r="895">
      <c r="A895" s="85">
        <v>45742.0</v>
      </c>
      <c r="B895" s="31" t="s">
        <v>3048</v>
      </c>
      <c r="C895" s="31">
        <v>8.07025030204E11</v>
      </c>
      <c r="D895" s="31" t="s">
        <v>3041</v>
      </c>
      <c r="E895" s="31" t="s">
        <v>3042</v>
      </c>
      <c r="F895" s="31" t="s">
        <v>3043</v>
      </c>
      <c r="G895" s="31" t="s">
        <v>3044</v>
      </c>
      <c r="H895" s="31" t="s">
        <v>20</v>
      </c>
      <c r="I895" s="31">
        <v>4405.0</v>
      </c>
      <c r="J895" s="31" t="s">
        <v>3045</v>
      </c>
      <c r="K895" s="31" t="s">
        <v>617</v>
      </c>
      <c r="L895" s="31" t="s">
        <v>618</v>
      </c>
      <c r="M895" s="33">
        <v>1.0</v>
      </c>
      <c r="N895" s="31" t="s">
        <v>3046</v>
      </c>
      <c r="O895" s="31" t="s">
        <v>3047</v>
      </c>
    </row>
    <row r="896">
      <c r="A896" s="91">
        <v>45742.0</v>
      </c>
      <c r="B896" s="66" t="s">
        <v>3049</v>
      </c>
      <c r="C896" s="66">
        <v>8.05011519971E11</v>
      </c>
      <c r="D896" s="66" t="s">
        <v>3050</v>
      </c>
      <c r="E896" s="66" t="s">
        <v>3051</v>
      </c>
      <c r="F896" s="66" t="s">
        <v>3052</v>
      </c>
      <c r="G896" s="66" t="s">
        <v>20</v>
      </c>
      <c r="H896" s="66" t="s">
        <v>20</v>
      </c>
      <c r="I896" s="66">
        <v>4400.0</v>
      </c>
      <c r="J896" s="66" t="s">
        <v>3053</v>
      </c>
      <c r="K896" s="66" t="s">
        <v>3054</v>
      </c>
      <c r="L896" s="66" t="s">
        <v>3055</v>
      </c>
      <c r="M896" s="67">
        <v>1.0</v>
      </c>
      <c r="N896" s="66" t="s">
        <v>3056</v>
      </c>
      <c r="O896" s="68"/>
    </row>
    <row r="897">
      <c r="A897" s="85">
        <v>45742.0</v>
      </c>
      <c r="B897" s="31" t="s">
        <v>3057</v>
      </c>
      <c r="C897" s="31">
        <v>8.05011519802E11</v>
      </c>
      <c r="D897" s="31" t="s">
        <v>3058</v>
      </c>
      <c r="E897" s="31" t="s">
        <v>3059</v>
      </c>
      <c r="F897" s="31" t="s">
        <v>3060</v>
      </c>
      <c r="G897" s="31" t="s">
        <v>20</v>
      </c>
      <c r="H897" s="31" t="s">
        <v>20</v>
      </c>
      <c r="I897" s="31">
        <v>4400.0</v>
      </c>
      <c r="J897" s="31" t="s">
        <v>3061</v>
      </c>
      <c r="K897" s="31" t="s">
        <v>512</v>
      </c>
      <c r="L897" s="31" t="s">
        <v>513</v>
      </c>
      <c r="M897" s="33">
        <v>12.0</v>
      </c>
      <c r="N897" s="31" t="s">
        <v>3062</v>
      </c>
      <c r="O897" s="34"/>
    </row>
    <row r="898">
      <c r="A898" s="85">
        <v>45742.0</v>
      </c>
      <c r="B898" s="31" t="s">
        <v>3057</v>
      </c>
      <c r="C898" s="31">
        <v>8.05011519802E11</v>
      </c>
      <c r="D898" s="31" t="s">
        <v>3058</v>
      </c>
      <c r="E898" s="31" t="s">
        <v>3059</v>
      </c>
      <c r="F898" s="31" t="s">
        <v>3060</v>
      </c>
      <c r="G898" s="31" t="s">
        <v>20</v>
      </c>
      <c r="H898" s="31" t="s">
        <v>20</v>
      </c>
      <c r="I898" s="31">
        <v>4400.0</v>
      </c>
      <c r="J898" s="31" t="s">
        <v>3061</v>
      </c>
      <c r="K898" s="31" t="s">
        <v>262</v>
      </c>
      <c r="L898" s="31" t="s">
        <v>263</v>
      </c>
      <c r="M898" s="33">
        <v>1.0</v>
      </c>
      <c r="N898" s="31" t="s">
        <v>3062</v>
      </c>
      <c r="O898" s="34"/>
    </row>
    <row r="899">
      <c r="A899" s="85">
        <v>45742.0</v>
      </c>
      <c r="B899" s="31" t="s">
        <v>3057</v>
      </c>
      <c r="C899" s="31">
        <v>8.05011519802E11</v>
      </c>
      <c r="D899" s="31" t="s">
        <v>3058</v>
      </c>
      <c r="E899" s="31" t="s">
        <v>3059</v>
      </c>
      <c r="F899" s="31" t="s">
        <v>3060</v>
      </c>
      <c r="G899" s="31" t="s">
        <v>20</v>
      </c>
      <c r="H899" s="31" t="s">
        <v>20</v>
      </c>
      <c r="I899" s="31">
        <v>4400.0</v>
      </c>
      <c r="J899" s="31" t="s">
        <v>3061</v>
      </c>
      <c r="K899" s="31" t="s">
        <v>233</v>
      </c>
      <c r="L899" s="31" t="s">
        <v>234</v>
      </c>
      <c r="M899" s="33">
        <v>2.0</v>
      </c>
      <c r="N899" s="31" t="s">
        <v>3062</v>
      </c>
      <c r="O899" s="34"/>
    </row>
    <row r="900">
      <c r="A900" s="91">
        <v>45742.0</v>
      </c>
      <c r="B900" s="66" t="s">
        <v>3063</v>
      </c>
      <c r="C900" s="66">
        <v>8.05011520031E11</v>
      </c>
      <c r="D900" s="66" t="s">
        <v>3064</v>
      </c>
      <c r="E900" s="66" t="s">
        <v>3065</v>
      </c>
      <c r="F900" s="66" t="s">
        <v>3066</v>
      </c>
      <c r="G900" s="66" t="s">
        <v>20</v>
      </c>
      <c r="H900" s="66" t="s">
        <v>20</v>
      </c>
      <c r="I900" s="66">
        <v>4400.0</v>
      </c>
      <c r="J900" s="66" t="s">
        <v>3067</v>
      </c>
      <c r="K900" s="66" t="s">
        <v>35</v>
      </c>
      <c r="L900" s="66" t="s">
        <v>36</v>
      </c>
      <c r="M900" s="67">
        <v>1.0</v>
      </c>
      <c r="N900" s="66" t="s">
        <v>3068</v>
      </c>
      <c r="O900" s="68"/>
    </row>
    <row r="901">
      <c r="A901" s="91">
        <v>45742.0</v>
      </c>
      <c r="B901" s="66" t="s">
        <v>3063</v>
      </c>
      <c r="C901" s="66">
        <v>8.05011520031E11</v>
      </c>
      <c r="D901" s="66" t="s">
        <v>3064</v>
      </c>
      <c r="E901" s="66" t="s">
        <v>3065</v>
      </c>
      <c r="F901" s="66" t="s">
        <v>3066</v>
      </c>
      <c r="G901" s="66" t="s">
        <v>20</v>
      </c>
      <c r="H901" s="66" t="s">
        <v>20</v>
      </c>
      <c r="I901" s="66">
        <v>4400.0</v>
      </c>
      <c r="J901" s="66" t="s">
        <v>3067</v>
      </c>
      <c r="K901" s="66" t="s">
        <v>512</v>
      </c>
      <c r="L901" s="66" t="s">
        <v>513</v>
      </c>
      <c r="M901" s="67">
        <v>6.0</v>
      </c>
      <c r="N901" s="66" t="s">
        <v>3068</v>
      </c>
      <c r="O901" s="68"/>
    </row>
    <row r="902">
      <c r="A902" s="91">
        <v>45742.0</v>
      </c>
      <c r="B902" s="66" t="s">
        <v>3063</v>
      </c>
      <c r="C902" s="66">
        <v>8.05011520031E11</v>
      </c>
      <c r="D902" s="66" t="s">
        <v>3064</v>
      </c>
      <c r="E902" s="66" t="s">
        <v>3065</v>
      </c>
      <c r="F902" s="66" t="s">
        <v>3066</v>
      </c>
      <c r="G902" s="66" t="s">
        <v>20</v>
      </c>
      <c r="H902" s="66" t="s">
        <v>20</v>
      </c>
      <c r="I902" s="66">
        <v>4400.0</v>
      </c>
      <c r="J902" s="66" t="s">
        <v>3067</v>
      </c>
      <c r="K902" s="66" t="s">
        <v>32</v>
      </c>
      <c r="L902" s="66" t="s">
        <v>33</v>
      </c>
      <c r="M902" s="67">
        <v>1.0</v>
      </c>
      <c r="N902" s="66" t="s">
        <v>3068</v>
      </c>
      <c r="O902" s="68"/>
    </row>
    <row r="903">
      <c r="A903" s="85">
        <v>45742.0</v>
      </c>
      <c r="B903" s="31" t="s">
        <v>3069</v>
      </c>
      <c r="C903" s="31">
        <v>8.05011520291E11</v>
      </c>
      <c r="D903" s="31" t="s">
        <v>3070</v>
      </c>
      <c r="E903" s="31" t="s">
        <v>3071</v>
      </c>
      <c r="F903" s="31" t="s">
        <v>3072</v>
      </c>
      <c r="G903" s="31" t="s">
        <v>539</v>
      </c>
      <c r="H903" s="31" t="s">
        <v>20</v>
      </c>
      <c r="I903" s="31">
        <v>4405.0</v>
      </c>
      <c r="J903" s="31" t="s">
        <v>3073</v>
      </c>
      <c r="K903" s="31" t="s">
        <v>3074</v>
      </c>
      <c r="L903" s="31" t="s">
        <v>3075</v>
      </c>
      <c r="M903" s="33">
        <v>1.0</v>
      </c>
      <c r="N903" s="31" t="s">
        <v>3076</v>
      </c>
      <c r="O903" s="34"/>
    </row>
    <row r="904">
      <c r="A904" s="91">
        <v>45742.0</v>
      </c>
      <c r="B904" s="66" t="s">
        <v>3077</v>
      </c>
      <c r="C904" s="66">
        <v>8.06015089856E11</v>
      </c>
      <c r="D904" s="66" t="s">
        <v>3078</v>
      </c>
      <c r="E904" s="66" t="s">
        <v>3079</v>
      </c>
      <c r="F904" s="66" t="s">
        <v>3080</v>
      </c>
      <c r="G904" s="66" t="s">
        <v>247</v>
      </c>
      <c r="H904" s="66" t="s">
        <v>20</v>
      </c>
      <c r="I904" s="66">
        <v>4400.0</v>
      </c>
      <c r="J904" s="66" t="s">
        <v>3081</v>
      </c>
      <c r="K904" s="66" t="s">
        <v>512</v>
      </c>
      <c r="L904" s="66" t="s">
        <v>513</v>
      </c>
      <c r="M904" s="67">
        <v>12.0</v>
      </c>
      <c r="N904" s="66" t="s">
        <v>3082</v>
      </c>
      <c r="O904" s="66" t="s">
        <v>3083</v>
      </c>
    </row>
    <row r="905">
      <c r="A905" s="91">
        <v>45742.0</v>
      </c>
      <c r="B905" s="66" t="s">
        <v>3077</v>
      </c>
      <c r="C905" s="66">
        <v>8.06015089856E11</v>
      </c>
      <c r="D905" s="66" t="s">
        <v>3078</v>
      </c>
      <c r="E905" s="66" t="s">
        <v>3079</v>
      </c>
      <c r="F905" s="66" t="s">
        <v>3080</v>
      </c>
      <c r="G905" s="66" t="s">
        <v>247</v>
      </c>
      <c r="H905" s="66" t="s">
        <v>20</v>
      </c>
      <c r="I905" s="66">
        <v>4400.0</v>
      </c>
      <c r="J905" s="66" t="s">
        <v>3081</v>
      </c>
      <c r="K905" s="66" t="s">
        <v>617</v>
      </c>
      <c r="L905" s="66" t="s">
        <v>618</v>
      </c>
      <c r="M905" s="67">
        <v>1.0</v>
      </c>
      <c r="N905" s="66" t="s">
        <v>3082</v>
      </c>
      <c r="O905" s="66" t="s">
        <v>3083</v>
      </c>
    </row>
    <row r="906">
      <c r="A906" s="91">
        <v>45742.0</v>
      </c>
      <c r="B906" s="66" t="s">
        <v>3077</v>
      </c>
      <c r="C906" s="66">
        <v>8.06015089856E11</v>
      </c>
      <c r="D906" s="66" t="s">
        <v>3078</v>
      </c>
      <c r="E906" s="66" t="s">
        <v>3079</v>
      </c>
      <c r="F906" s="66" t="s">
        <v>3080</v>
      </c>
      <c r="G906" s="66" t="s">
        <v>247</v>
      </c>
      <c r="H906" s="66" t="s">
        <v>20</v>
      </c>
      <c r="I906" s="66">
        <v>4400.0</v>
      </c>
      <c r="J906" s="66" t="s">
        <v>3081</v>
      </c>
      <c r="K906" s="66" t="s">
        <v>645</v>
      </c>
      <c r="L906" s="66" t="s">
        <v>646</v>
      </c>
      <c r="M906" s="67">
        <v>2.0</v>
      </c>
      <c r="N906" s="66" t="s">
        <v>3082</v>
      </c>
      <c r="O906" s="66" t="s">
        <v>3083</v>
      </c>
    </row>
    <row r="907">
      <c r="A907" s="85">
        <v>45742.0</v>
      </c>
      <c r="B907" s="31" t="s">
        <v>3084</v>
      </c>
      <c r="C907" s="31">
        <v>8.05011520507E11</v>
      </c>
      <c r="D907" s="31" t="s">
        <v>3085</v>
      </c>
      <c r="E907" s="31" t="s">
        <v>3086</v>
      </c>
      <c r="F907" s="31" t="s">
        <v>3087</v>
      </c>
      <c r="G907" s="31" t="s">
        <v>20</v>
      </c>
      <c r="H907" s="31" t="s">
        <v>20</v>
      </c>
      <c r="I907" s="31">
        <v>4400.0</v>
      </c>
      <c r="J907" s="31" t="s">
        <v>3088</v>
      </c>
      <c r="K907" s="31" t="s">
        <v>1058</v>
      </c>
      <c r="L907" s="31" t="s">
        <v>1059</v>
      </c>
      <c r="M907" s="33">
        <v>1.0</v>
      </c>
      <c r="N907" s="31" t="s">
        <v>3089</v>
      </c>
      <c r="O907" s="34"/>
    </row>
    <row r="908">
      <c r="A908" s="85">
        <v>45742.0</v>
      </c>
      <c r="B908" s="31" t="s">
        <v>3084</v>
      </c>
      <c r="C908" s="31">
        <v>8.05011520507E11</v>
      </c>
      <c r="D908" s="31" t="s">
        <v>3085</v>
      </c>
      <c r="E908" s="31" t="s">
        <v>3086</v>
      </c>
      <c r="F908" s="31" t="s">
        <v>3087</v>
      </c>
      <c r="G908" s="31" t="s">
        <v>20</v>
      </c>
      <c r="H908" s="31" t="s">
        <v>20</v>
      </c>
      <c r="I908" s="31">
        <v>4400.0</v>
      </c>
      <c r="J908" s="31" t="s">
        <v>3088</v>
      </c>
      <c r="K908" s="31" t="s">
        <v>1061</v>
      </c>
      <c r="L908" s="31" t="s">
        <v>1062</v>
      </c>
      <c r="M908" s="33">
        <v>1.0</v>
      </c>
      <c r="N908" s="31" t="s">
        <v>3089</v>
      </c>
      <c r="O908" s="34"/>
    </row>
    <row r="909">
      <c r="A909" s="85">
        <v>45742.0</v>
      </c>
      <c r="B909" s="31" t="s">
        <v>3084</v>
      </c>
      <c r="C909" s="31">
        <v>8.05011520507E11</v>
      </c>
      <c r="D909" s="31" t="s">
        <v>3085</v>
      </c>
      <c r="E909" s="31" t="s">
        <v>3086</v>
      </c>
      <c r="F909" s="31" t="s">
        <v>3087</v>
      </c>
      <c r="G909" s="31" t="s">
        <v>20</v>
      </c>
      <c r="H909" s="31" t="s">
        <v>20</v>
      </c>
      <c r="I909" s="31">
        <v>4400.0</v>
      </c>
      <c r="J909" s="31" t="s">
        <v>3088</v>
      </c>
      <c r="K909" s="31" t="s">
        <v>512</v>
      </c>
      <c r="L909" s="31" t="s">
        <v>513</v>
      </c>
      <c r="M909" s="33">
        <v>6.0</v>
      </c>
      <c r="N909" s="31" t="s">
        <v>3089</v>
      </c>
      <c r="O909" s="34"/>
    </row>
    <row r="910">
      <c r="A910" s="91">
        <v>45742.0</v>
      </c>
      <c r="B910" s="66" t="s">
        <v>3090</v>
      </c>
      <c r="C910" s="66">
        <v>8.05011519949E11</v>
      </c>
      <c r="D910" s="66" t="s">
        <v>3091</v>
      </c>
      <c r="E910" s="66" t="s">
        <v>3092</v>
      </c>
      <c r="F910" s="66" t="s">
        <v>3093</v>
      </c>
      <c r="G910" s="66" t="s">
        <v>3094</v>
      </c>
      <c r="H910" s="66" t="s">
        <v>20</v>
      </c>
      <c r="I910" s="66">
        <v>4560.0</v>
      </c>
      <c r="J910" s="66" t="s">
        <v>3095</v>
      </c>
      <c r="K910" s="66" t="s">
        <v>512</v>
      </c>
      <c r="L910" s="66" t="s">
        <v>513</v>
      </c>
      <c r="M910" s="67">
        <v>6.0</v>
      </c>
      <c r="N910" s="66" t="s">
        <v>3096</v>
      </c>
      <c r="O910" s="66" t="s">
        <v>3097</v>
      </c>
    </row>
    <row r="911">
      <c r="A911" s="91">
        <v>45742.0</v>
      </c>
      <c r="B911" s="66" t="s">
        <v>3090</v>
      </c>
      <c r="C911" s="66">
        <v>8.05011519949E11</v>
      </c>
      <c r="D911" s="66" t="s">
        <v>3091</v>
      </c>
      <c r="E911" s="66" t="s">
        <v>3092</v>
      </c>
      <c r="F911" s="66" t="s">
        <v>3093</v>
      </c>
      <c r="G911" s="66" t="s">
        <v>3094</v>
      </c>
      <c r="H911" s="66" t="s">
        <v>20</v>
      </c>
      <c r="I911" s="66">
        <v>4560.0</v>
      </c>
      <c r="J911" s="66" t="s">
        <v>3095</v>
      </c>
      <c r="K911" s="66" t="s">
        <v>3098</v>
      </c>
      <c r="L911" s="66" t="s">
        <v>3099</v>
      </c>
      <c r="M911" s="67">
        <v>1.0</v>
      </c>
      <c r="N911" s="66" t="s">
        <v>3096</v>
      </c>
      <c r="O911" s="66" t="s">
        <v>3097</v>
      </c>
    </row>
    <row r="912">
      <c r="A912" s="91">
        <v>45742.0</v>
      </c>
      <c r="B912" s="66" t="s">
        <v>3090</v>
      </c>
      <c r="C912" s="66">
        <v>8.05011519949E11</v>
      </c>
      <c r="D912" s="66" t="s">
        <v>3091</v>
      </c>
      <c r="E912" s="66" t="s">
        <v>3092</v>
      </c>
      <c r="F912" s="66" t="s">
        <v>3093</v>
      </c>
      <c r="G912" s="66" t="s">
        <v>3094</v>
      </c>
      <c r="H912" s="66" t="s">
        <v>20</v>
      </c>
      <c r="I912" s="66">
        <v>4560.0</v>
      </c>
      <c r="J912" s="66" t="s">
        <v>3095</v>
      </c>
      <c r="K912" s="66" t="s">
        <v>64</v>
      </c>
      <c r="L912" s="66" t="s">
        <v>65</v>
      </c>
      <c r="M912" s="67">
        <v>1.0</v>
      </c>
      <c r="N912" s="66" t="s">
        <v>3096</v>
      </c>
      <c r="O912" s="66" t="s">
        <v>3097</v>
      </c>
    </row>
    <row r="913">
      <c r="A913" s="85">
        <v>45742.0</v>
      </c>
      <c r="B913" s="31" t="s">
        <v>3100</v>
      </c>
      <c r="C913" s="31">
        <v>8.05011520042E11</v>
      </c>
      <c r="D913" s="31" t="s">
        <v>3101</v>
      </c>
      <c r="E913" s="31" t="s">
        <v>3102</v>
      </c>
      <c r="F913" s="31" t="s">
        <v>3103</v>
      </c>
      <c r="G913" s="31" t="s">
        <v>486</v>
      </c>
      <c r="H913" s="31" t="s">
        <v>20</v>
      </c>
      <c r="I913" s="31">
        <v>4440.0</v>
      </c>
      <c r="J913" s="31" t="s">
        <v>3104</v>
      </c>
      <c r="K913" s="31" t="s">
        <v>35</v>
      </c>
      <c r="L913" s="31" t="s">
        <v>36</v>
      </c>
      <c r="M913" s="33">
        <v>1.0</v>
      </c>
      <c r="N913" s="31" t="s">
        <v>3105</v>
      </c>
      <c r="O913" s="34"/>
    </row>
    <row r="914">
      <c r="A914" s="85">
        <v>45742.0</v>
      </c>
      <c r="B914" s="31" t="s">
        <v>3100</v>
      </c>
      <c r="C914" s="31">
        <v>8.05011520042E11</v>
      </c>
      <c r="D914" s="31" t="s">
        <v>3101</v>
      </c>
      <c r="E914" s="31" t="s">
        <v>3102</v>
      </c>
      <c r="F914" s="31" t="s">
        <v>3103</v>
      </c>
      <c r="G914" s="31" t="s">
        <v>486</v>
      </c>
      <c r="H914" s="31" t="s">
        <v>20</v>
      </c>
      <c r="I914" s="31">
        <v>4440.0</v>
      </c>
      <c r="J914" s="31" t="s">
        <v>3104</v>
      </c>
      <c r="K914" s="31" t="s">
        <v>512</v>
      </c>
      <c r="L914" s="31" t="s">
        <v>513</v>
      </c>
      <c r="M914" s="33">
        <v>6.0</v>
      </c>
      <c r="N914" s="31" t="s">
        <v>3105</v>
      </c>
      <c r="O914" s="34"/>
    </row>
    <row r="915">
      <c r="A915" s="85">
        <v>45742.0</v>
      </c>
      <c r="B915" s="31" t="s">
        <v>3100</v>
      </c>
      <c r="C915" s="31">
        <v>8.05011520042E11</v>
      </c>
      <c r="D915" s="31" t="s">
        <v>3101</v>
      </c>
      <c r="E915" s="31" t="s">
        <v>3102</v>
      </c>
      <c r="F915" s="31" t="s">
        <v>3103</v>
      </c>
      <c r="G915" s="31" t="s">
        <v>486</v>
      </c>
      <c r="H915" s="31" t="s">
        <v>20</v>
      </c>
      <c r="I915" s="31">
        <v>4440.0</v>
      </c>
      <c r="J915" s="31" t="s">
        <v>3104</v>
      </c>
      <c r="K915" s="31" t="s">
        <v>32</v>
      </c>
      <c r="L915" s="31" t="s">
        <v>33</v>
      </c>
      <c r="M915" s="33">
        <v>1.0</v>
      </c>
      <c r="N915" s="31" t="s">
        <v>3105</v>
      </c>
      <c r="O915" s="34"/>
    </row>
    <row r="916">
      <c r="A916" s="91">
        <v>45742.0</v>
      </c>
      <c r="B916" s="66" t="s">
        <v>3106</v>
      </c>
      <c r="C916" s="66">
        <v>8.05011520368E11</v>
      </c>
      <c r="D916" s="66" t="s">
        <v>3107</v>
      </c>
      <c r="E916" s="66" t="s">
        <v>3108</v>
      </c>
      <c r="F916" s="66" t="s">
        <v>3109</v>
      </c>
      <c r="G916" s="66" t="s">
        <v>20</v>
      </c>
      <c r="H916" s="66" t="s">
        <v>20</v>
      </c>
      <c r="I916" s="66">
        <v>4400.0</v>
      </c>
      <c r="J916" s="66" t="s">
        <v>3110</v>
      </c>
      <c r="K916" s="66" t="s">
        <v>761</v>
      </c>
      <c r="L916" s="66" t="s">
        <v>762</v>
      </c>
      <c r="M916" s="67">
        <v>2.0</v>
      </c>
      <c r="N916" s="68"/>
      <c r="O916" s="68"/>
    </row>
    <row r="917">
      <c r="A917" s="91">
        <v>45742.0</v>
      </c>
      <c r="B917" s="66" t="s">
        <v>3106</v>
      </c>
      <c r="C917" s="66">
        <v>8.05011520368E11</v>
      </c>
      <c r="D917" s="66" t="s">
        <v>3107</v>
      </c>
      <c r="E917" s="66" t="s">
        <v>3108</v>
      </c>
      <c r="F917" s="66" t="s">
        <v>3109</v>
      </c>
      <c r="G917" s="66" t="s">
        <v>20</v>
      </c>
      <c r="H917" s="66" t="s">
        <v>20</v>
      </c>
      <c r="I917" s="66">
        <v>4400.0</v>
      </c>
      <c r="J917" s="66" t="s">
        <v>3110</v>
      </c>
      <c r="K917" s="66" t="s">
        <v>340</v>
      </c>
      <c r="L917" s="66" t="s">
        <v>341</v>
      </c>
      <c r="M917" s="67">
        <v>4.0</v>
      </c>
      <c r="N917" s="68"/>
      <c r="O917" s="68"/>
    </row>
    <row r="918">
      <c r="A918" s="91">
        <v>45742.0</v>
      </c>
      <c r="B918" s="66" t="s">
        <v>3106</v>
      </c>
      <c r="C918" s="66">
        <v>8.05011520368E11</v>
      </c>
      <c r="D918" s="66" t="s">
        <v>3107</v>
      </c>
      <c r="E918" s="66" t="s">
        <v>3108</v>
      </c>
      <c r="F918" s="66" t="s">
        <v>3109</v>
      </c>
      <c r="G918" s="66" t="s">
        <v>20</v>
      </c>
      <c r="H918" s="66" t="s">
        <v>20</v>
      </c>
      <c r="I918" s="66">
        <v>4400.0</v>
      </c>
      <c r="J918" s="66" t="s">
        <v>3110</v>
      </c>
      <c r="K918" s="66" t="s">
        <v>512</v>
      </c>
      <c r="L918" s="66" t="s">
        <v>513</v>
      </c>
      <c r="M918" s="67">
        <v>24.0</v>
      </c>
      <c r="N918" s="68"/>
      <c r="O918" s="68"/>
    </row>
    <row r="919">
      <c r="A919" s="85">
        <v>45742.0</v>
      </c>
      <c r="B919" s="31" t="s">
        <v>3111</v>
      </c>
      <c r="C919" s="31">
        <v>8.05011520503E11</v>
      </c>
      <c r="D919" s="31" t="s">
        <v>3112</v>
      </c>
      <c r="E919" s="31" t="s">
        <v>3113</v>
      </c>
      <c r="F919" s="31" t="s">
        <v>3114</v>
      </c>
      <c r="G919" s="31" t="s">
        <v>41</v>
      </c>
      <c r="H919" s="31" t="s">
        <v>20</v>
      </c>
      <c r="I919" s="31">
        <v>4560.0</v>
      </c>
      <c r="J919" s="31" t="s">
        <v>3095</v>
      </c>
      <c r="K919" s="31" t="s">
        <v>360</v>
      </c>
      <c r="L919" s="31" t="s">
        <v>361</v>
      </c>
      <c r="M919" s="33">
        <v>1.0</v>
      </c>
      <c r="N919" s="31" t="s">
        <v>3096</v>
      </c>
      <c r="O919" s="31" t="s">
        <v>3097</v>
      </c>
    </row>
    <row r="920">
      <c r="A920" s="85">
        <v>45742.0</v>
      </c>
      <c r="B920" s="31" t="s">
        <v>3111</v>
      </c>
      <c r="C920" s="31">
        <v>8.05011520503E11</v>
      </c>
      <c r="D920" s="31" t="s">
        <v>3112</v>
      </c>
      <c r="E920" s="31" t="s">
        <v>3113</v>
      </c>
      <c r="F920" s="31" t="s">
        <v>3114</v>
      </c>
      <c r="G920" s="31" t="s">
        <v>41</v>
      </c>
      <c r="H920" s="31" t="s">
        <v>20</v>
      </c>
      <c r="I920" s="31">
        <v>4560.0</v>
      </c>
      <c r="J920" s="31" t="s">
        <v>3095</v>
      </c>
      <c r="K920" s="31" t="s">
        <v>25</v>
      </c>
      <c r="L920" s="31" t="s">
        <v>26</v>
      </c>
      <c r="M920" s="33">
        <v>1.0</v>
      </c>
      <c r="N920" s="31" t="s">
        <v>3096</v>
      </c>
      <c r="O920" s="31" t="s">
        <v>3097</v>
      </c>
    </row>
    <row r="921">
      <c r="A921" s="85">
        <v>45742.0</v>
      </c>
      <c r="B921" s="31" t="s">
        <v>3111</v>
      </c>
      <c r="C921" s="31">
        <v>8.05011520503E11</v>
      </c>
      <c r="D921" s="31" t="s">
        <v>3112</v>
      </c>
      <c r="E921" s="31" t="s">
        <v>3113</v>
      </c>
      <c r="F921" s="31" t="s">
        <v>3114</v>
      </c>
      <c r="G921" s="31" t="s">
        <v>41</v>
      </c>
      <c r="H921" s="31" t="s">
        <v>20</v>
      </c>
      <c r="I921" s="31">
        <v>4560.0</v>
      </c>
      <c r="J921" s="31" t="s">
        <v>3095</v>
      </c>
      <c r="K921" s="31" t="s">
        <v>512</v>
      </c>
      <c r="L921" s="31" t="s">
        <v>513</v>
      </c>
      <c r="M921" s="33">
        <v>6.0</v>
      </c>
      <c r="N921" s="31" t="s">
        <v>3096</v>
      </c>
      <c r="O921" s="31" t="s">
        <v>3097</v>
      </c>
    </row>
    <row r="922">
      <c r="A922" s="91">
        <v>45742.0</v>
      </c>
      <c r="B922" s="66" t="s">
        <v>3115</v>
      </c>
      <c r="C922" s="66">
        <v>8.0702503027E11</v>
      </c>
      <c r="D922" s="66" t="s">
        <v>3116</v>
      </c>
      <c r="E922" s="66" t="s">
        <v>3117</v>
      </c>
      <c r="F922" s="66" t="s">
        <v>3118</v>
      </c>
      <c r="G922" s="66" t="s">
        <v>116</v>
      </c>
      <c r="H922" s="66" t="s">
        <v>20</v>
      </c>
      <c r="I922" s="66">
        <v>4400.0</v>
      </c>
      <c r="J922" s="66" t="s">
        <v>3119</v>
      </c>
      <c r="K922" s="66" t="s">
        <v>512</v>
      </c>
      <c r="L922" s="66" t="s">
        <v>513</v>
      </c>
      <c r="M922" s="67">
        <v>12.0</v>
      </c>
      <c r="N922" s="66" t="s">
        <v>3120</v>
      </c>
      <c r="O922" s="66" t="s">
        <v>3121</v>
      </c>
    </row>
    <row r="923">
      <c r="A923" s="91">
        <v>45742.0</v>
      </c>
      <c r="B923" s="66" t="s">
        <v>3115</v>
      </c>
      <c r="C923" s="66">
        <v>8.0702503027E11</v>
      </c>
      <c r="D923" s="66" t="s">
        <v>3116</v>
      </c>
      <c r="E923" s="66" t="s">
        <v>3117</v>
      </c>
      <c r="F923" s="66" t="s">
        <v>3118</v>
      </c>
      <c r="G923" s="66" t="s">
        <v>116</v>
      </c>
      <c r="H923" s="66" t="s">
        <v>20</v>
      </c>
      <c r="I923" s="66">
        <v>4400.0</v>
      </c>
      <c r="J923" s="66" t="s">
        <v>3119</v>
      </c>
      <c r="K923" s="66" t="s">
        <v>645</v>
      </c>
      <c r="L923" s="66" t="s">
        <v>646</v>
      </c>
      <c r="M923" s="67">
        <v>2.0</v>
      </c>
      <c r="N923" s="66" t="s">
        <v>3120</v>
      </c>
      <c r="O923" s="66" t="s">
        <v>3121</v>
      </c>
    </row>
    <row r="924">
      <c r="A924" s="91">
        <v>45742.0</v>
      </c>
      <c r="B924" s="66" t="s">
        <v>3115</v>
      </c>
      <c r="C924" s="66">
        <v>8.0702503027E11</v>
      </c>
      <c r="D924" s="66" t="s">
        <v>3116</v>
      </c>
      <c r="E924" s="66" t="s">
        <v>3117</v>
      </c>
      <c r="F924" s="66" t="s">
        <v>3118</v>
      </c>
      <c r="G924" s="66" t="s">
        <v>116</v>
      </c>
      <c r="H924" s="66" t="s">
        <v>20</v>
      </c>
      <c r="I924" s="66">
        <v>4400.0</v>
      </c>
      <c r="J924" s="66" t="s">
        <v>3119</v>
      </c>
      <c r="K924" s="66" t="s">
        <v>2965</v>
      </c>
      <c r="L924" s="66" t="s">
        <v>2966</v>
      </c>
      <c r="M924" s="67">
        <v>1.0</v>
      </c>
      <c r="N924" s="66" t="s">
        <v>3120</v>
      </c>
      <c r="O924" s="66" t="s">
        <v>3121</v>
      </c>
    </row>
    <row r="925">
      <c r="A925" s="91">
        <v>45742.0</v>
      </c>
      <c r="B925" s="66" t="s">
        <v>3115</v>
      </c>
      <c r="C925" s="66">
        <v>8.0702503027E11</v>
      </c>
      <c r="D925" s="66" t="s">
        <v>3116</v>
      </c>
      <c r="E925" s="66" t="s">
        <v>3117</v>
      </c>
      <c r="F925" s="66" t="s">
        <v>3118</v>
      </c>
      <c r="G925" s="66" t="s">
        <v>116</v>
      </c>
      <c r="H925" s="66" t="s">
        <v>20</v>
      </c>
      <c r="I925" s="66">
        <v>4400.0</v>
      </c>
      <c r="J925" s="66" t="s">
        <v>3119</v>
      </c>
      <c r="K925" s="66" t="s">
        <v>3074</v>
      </c>
      <c r="L925" s="66" t="s">
        <v>3075</v>
      </c>
      <c r="M925" s="67">
        <v>1.0</v>
      </c>
      <c r="N925" s="66" t="s">
        <v>3120</v>
      </c>
      <c r="O925" s="66" t="s">
        <v>3121</v>
      </c>
    </row>
    <row r="926">
      <c r="A926" s="85">
        <v>45742.0</v>
      </c>
      <c r="B926" s="31" t="s">
        <v>3122</v>
      </c>
      <c r="C926" s="31">
        <v>8.07025030273E11</v>
      </c>
      <c r="D926" s="31" t="s">
        <v>3123</v>
      </c>
      <c r="E926" s="31" t="s">
        <v>3124</v>
      </c>
      <c r="F926" s="31" t="s">
        <v>2906</v>
      </c>
      <c r="G926" s="31" t="s">
        <v>1567</v>
      </c>
      <c r="H926" s="31" t="s">
        <v>20</v>
      </c>
      <c r="I926" s="31">
        <v>4401.0</v>
      </c>
      <c r="J926" s="31" t="s">
        <v>2908</v>
      </c>
      <c r="K926" s="31" t="s">
        <v>1241</v>
      </c>
      <c r="L926" s="31" t="s">
        <v>1242</v>
      </c>
      <c r="M926" s="33">
        <v>6.0</v>
      </c>
      <c r="N926" s="31" t="s">
        <v>3125</v>
      </c>
      <c r="O926" s="31" t="s">
        <v>2907</v>
      </c>
    </row>
    <row r="927">
      <c r="A927" s="91">
        <v>45742.0</v>
      </c>
      <c r="B927" s="66" t="s">
        <v>3126</v>
      </c>
      <c r="C927" s="66">
        <v>8.0702503029E11</v>
      </c>
      <c r="D927" s="66" t="s">
        <v>3127</v>
      </c>
      <c r="E927" s="66" t="s">
        <v>3128</v>
      </c>
      <c r="F927" s="66" t="s">
        <v>3129</v>
      </c>
      <c r="G927" s="66" t="s">
        <v>127</v>
      </c>
      <c r="H927" s="66" t="s">
        <v>20</v>
      </c>
      <c r="I927" s="66">
        <v>4400.0</v>
      </c>
      <c r="J927" s="66" t="s">
        <v>3130</v>
      </c>
      <c r="K927" s="66" t="s">
        <v>3131</v>
      </c>
      <c r="L927" s="66" t="s">
        <v>3132</v>
      </c>
      <c r="M927" s="67">
        <v>1.0</v>
      </c>
      <c r="N927" s="66" t="s">
        <v>3133</v>
      </c>
      <c r="O927" s="66" t="s">
        <v>3134</v>
      </c>
    </row>
    <row r="928">
      <c r="A928" s="91">
        <v>45742.0</v>
      </c>
      <c r="B928" s="66" t="s">
        <v>3126</v>
      </c>
      <c r="C928" s="66">
        <v>8.0702503029E11</v>
      </c>
      <c r="D928" s="66" t="s">
        <v>3127</v>
      </c>
      <c r="E928" s="66" t="s">
        <v>3128</v>
      </c>
      <c r="F928" s="66" t="s">
        <v>3129</v>
      </c>
      <c r="G928" s="66" t="s">
        <v>127</v>
      </c>
      <c r="H928" s="66" t="s">
        <v>20</v>
      </c>
      <c r="I928" s="66">
        <v>4400.0</v>
      </c>
      <c r="J928" s="66" t="s">
        <v>3130</v>
      </c>
      <c r="K928" s="66" t="s">
        <v>35</v>
      </c>
      <c r="L928" s="66" t="s">
        <v>36</v>
      </c>
      <c r="M928" s="67">
        <v>1.0</v>
      </c>
      <c r="N928" s="66" t="s">
        <v>3133</v>
      </c>
      <c r="O928" s="66" t="s">
        <v>3134</v>
      </c>
    </row>
    <row r="929">
      <c r="A929" s="91">
        <v>45742.0</v>
      </c>
      <c r="B929" s="66" t="s">
        <v>3126</v>
      </c>
      <c r="C929" s="66">
        <v>8.0702503029E11</v>
      </c>
      <c r="D929" s="66" t="s">
        <v>3127</v>
      </c>
      <c r="E929" s="66" t="s">
        <v>3128</v>
      </c>
      <c r="F929" s="66" t="s">
        <v>3129</v>
      </c>
      <c r="G929" s="66" t="s">
        <v>127</v>
      </c>
      <c r="H929" s="66" t="s">
        <v>20</v>
      </c>
      <c r="I929" s="66">
        <v>4400.0</v>
      </c>
      <c r="J929" s="66" t="s">
        <v>3130</v>
      </c>
      <c r="K929" s="66" t="s">
        <v>512</v>
      </c>
      <c r="L929" s="66" t="s">
        <v>513</v>
      </c>
      <c r="M929" s="67">
        <v>6.0</v>
      </c>
      <c r="N929" s="66" t="s">
        <v>3133</v>
      </c>
      <c r="O929" s="66" t="s">
        <v>3134</v>
      </c>
    </row>
    <row r="930">
      <c r="A930" s="85">
        <v>45742.0</v>
      </c>
      <c r="B930" s="31" t="s">
        <v>3135</v>
      </c>
      <c r="C930" s="31">
        <v>8.07025030281E11</v>
      </c>
      <c r="D930" s="31" t="s">
        <v>3136</v>
      </c>
      <c r="E930" s="31" t="s">
        <v>3137</v>
      </c>
      <c r="F930" s="31" t="s">
        <v>3138</v>
      </c>
      <c r="G930" s="31" t="s">
        <v>116</v>
      </c>
      <c r="H930" s="31" t="s">
        <v>20</v>
      </c>
      <c r="I930" s="31">
        <v>4400.0</v>
      </c>
      <c r="J930" s="31" t="s">
        <v>3139</v>
      </c>
      <c r="K930" s="31" t="s">
        <v>360</v>
      </c>
      <c r="L930" s="31" t="s">
        <v>361</v>
      </c>
      <c r="M930" s="33">
        <v>1.0</v>
      </c>
      <c r="N930" s="31" t="s">
        <v>3140</v>
      </c>
      <c r="O930" s="31" t="s">
        <v>3141</v>
      </c>
    </row>
    <row r="931">
      <c r="A931" s="85">
        <v>45742.0</v>
      </c>
      <c r="B931" s="31" t="s">
        <v>3135</v>
      </c>
      <c r="C931" s="31">
        <v>8.07025030281E11</v>
      </c>
      <c r="D931" s="31" t="s">
        <v>3136</v>
      </c>
      <c r="E931" s="31" t="s">
        <v>3137</v>
      </c>
      <c r="F931" s="31" t="s">
        <v>3138</v>
      </c>
      <c r="G931" s="31" t="s">
        <v>116</v>
      </c>
      <c r="H931" s="31" t="s">
        <v>20</v>
      </c>
      <c r="I931" s="31">
        <v>4400.0</v>
      </c>
      <c r="J931" s="31" t="s">
        <v>3139</v>
      </c>
      <c r="K931" s="31" t="s">
        <v>25</v>
      </c>
      <c r="L931" s="31" t="s">
        <v>26</v>
      </c>
      <c r="M931" s="33">
        <v>1.0</v>
      </c>
      <c r="N931" s="31" t="s">
        <v>3140</v>
      </c>
      <c r="O931" s="31" t="s">
        <v>3141</v>
      </c>
    </row>
    <row r="932">
      <c r="A932" s="85">
        <v>45742.0</v>
      </c>
      <c r="B932" s="31" t="s">
        <v>3135</v>
      </c>
      <c r="C932" s="31">
        <v>8.07025030281E11</v>
      </c>
      <c r="D932" s="31" t="s">
        <v>3136</v>
      </c>
      <c r="E932" s="31" t="s">
        <v>3137</v>
      </c>
      <c r="F932" s="31" t="s">
        <v>3138</v>
      </c>
      <c r="G932" s="31" t="s">
        <v>116</v>
      </c>
      <c r="H932" s="31" t="s">
        <v>20</v>
      </c>
      <c r="I932" s="31">
        <v>4400.0</v>
      </c>
      <c r="J932" s="31" t="s">
        <v>3139</v>
      </c>
      <c r="K932" s="31" t="s">
        <v>512</v>
      </c>
      <c r="L932" s="31" t="s">
        <v>513</v>
      </c>
      <c r="M932" s="33">
        <v>6.0</v>
      </c>
      <c r="N932" s="31" t="s">
        <v>3140</v>
      </c>
      <c r="O932" s="31" t="s">
        <v>3141</v>
      </c>
    </row>
    <row r="933">
      <c r="A933" s="91">
        <v>45742.0</v>
      </c>
      <c r="B933" s="66" t="s">
        <v>3142</v>
      </c>
      <c r="C933" s="66">
        <v>8.07025030283E11</v>
      </c>
      <c r="D933" s="66" t="s">
        <v>3143</v>
      </c>
      <c r="E933" s="66" t="s">
        <v>3144</v>
      </c>
      <c r="F933" s="66" t="s">
        <v>3145</v>
      </c>
      <c r="G933" s="66" t="s">
        <v>116</v>
      </c>
      <c r="H933" s="66" t="s">
        <v>20</v>
      </c>
      <c r="I933" s="66">
        <v>4400.0</v>
      </c>
      <c r="J933" s="66" t="s">
        <v>3146</v>
      </c>
      <c r="K933" s="66" t="s">
        <v>50</v>
      </c>
      <c r="L933" s="66" t="s">
        <v>51</v>
      </c>
      <c r="M933" s="67">
        <v>1.0</v>
      </c>
      <c r="N933" s="66" t="s">
        <v>3147</v>
      </c>
      <c r="O933" s="66" t="s">
        <v>3148</v>
      </c>
    </row>
    <row r="934">
      <c r="A934" s="91">
        <v>45742.0</v>
      </c>
      <c r="B934" s="66" t="s">
        <v>3142</v>
      </c>
      <c r="C934" s="66">
        <v>8.07025030283E11</v>
      </c>
      <c r="D934" s="66" t="s">
        <v>3143</v>
      </c>
      <c r="E934" s="66" t="s">
        <v>3144</v>
      </c>
      <c r="F934" s="66" t="s">
        <v>3145</v>
      </c>
      <c r="G934" s="66" t="s">
        <v>116</v>
      </c>
      <c r="H934" s="66" t="s">
        <v>20</v>
      </c>
      <c r="I934" s="66">
        <v>4400.0</v>
      </c>
      <c r="J934" s="66" t="s">
        <v>3146</v>
      </c>
      <c r="K934" s="66" t="s">
        <v>698</v>
      </c>
      <c r="L934" s="66" t="s">
        <v>699</v>
      </c>
      <c r="M934" s="67">
        <v>1.0</v>
      </c>
      <c r="N934" s="66" t="s">
        <v>3147</v>
      </c>
      <c r="O934" s="66" t="s">
        <v>3148</v>
      </c>
    </row>
    <row r="935">
      <c r="A935" s="85">
        <v>45742.0</v>
      </c>
      <c r="B935" s="31" t="s">
        <v>3149</v>
      </c>
      <c r="C935" s="31">
        <v>8.07025030299E11</v>
      </c>
      <c r="D935" s="31" t="s">
        <v>3150</v>
      </c>
      <c r="E935" s="31" t="s">
        <v>3151</v>
      </c>
      <c r="F935" s="31" t="s">
        <v>3152</v>
      </c>
      <c r="G935" s="31" t="s">
        <v>127</v>
      </c>
      <c r="H935" s="31" t="s">
        <v>20</v>
      </c>
      <c r="I935" s="31">
        <v>4400.0</v>
      </c>
      <c r="J935" s="31" t="s">
        <v>3153</v>
      </c>
      <c r="K935" s="31" t="s">
        <v>3154</v>
      </c>
      <c r="L935" s="31" t="s">
        <v>3155</v>
      </c>
      <c r="M935" s="33">
        <v>1.0</v>
      </c>
      <c r="N935" s="31" t="s">
        <v>3156</v>
      </c>
      <c r="O935" s="31" t="s">
        <v>3157</v>
      </c>
    </row>
    <row r="936">
      <c r="A936" s="91">
        <v>45742.0</v>
      </c>
      <c r="B936" s="66" t="s">
        <v>3158</v>
      </c>
      <c r="C936" s="66">
        <v>8.06015090191E11</v>
      </c>
      <c r="D936" s="66" t="s">
        <v>3159</v>
      </c>
      <c r="E936" s="66" t="s">
        <v>3160</v>
      </c>
      <c r="F936" s="66" t="s">
        <v>477</v>
      </c>
      <c r="G936" s="66" t="s">
        <v>116</v>
      </c>
      <c r="H936" s="66" t="s">
        <v>20</v>
      </c>
      <c r="I936" s="66">
        <v>4400.0</v>
      </c>
      <c r="J936" s="66" t="s">
        <v>3161</v>
      </c>
      <c r="K936" s="66" t="s">
        <v>3162</v>
      </c>
      <c r="L936" s="66" t="s">
        <v>3163</v>
      </c>
      <c r="M936" s="67">
        <v>2.0</v>
      </c>
      <c r="N936" s="66" t="s">
        <v>3164</v>
      </c>
      <c r="O936" s="66" t="s">
        <v>3165</v>
      </c>
    </row>
    <row r="937">
      <c r="A937" s="91">
        <v>45742.0</v>
      </c>
      <c r="B937" s="66" t="s">
        <v>3158</v>
      </c>
      <c r="C937" s="66">
        <v>8.06015090191E11</v>
      </c>
      <c r="D937" s="66" t="s">
        <v>3159</v>
      </c>
      <c r="E937" s="66" t="s">
        <v>3160</v>
      </c>
      <c r="F937" s="66" t="s">
        <v>477</v>
      </c>
      <c r="G937" s="66" t="s">
        <v>116</v>
      </c>
      <c r="H937" s="66" t="s">
        <v>20</v>
      </c>
      <c r="I937" s="66">
        <v>4400.0</v>
      </c>
      <c r="J937" s="66" t="s">
        <v>3161</v>
      </c>
      <c r="K937" s="66" t="s">
        <v>3166</v>
      </c>
      <c r="L937" s="66" t="s">
        <v>3167</v>
      </c>
      <c r="M937" s="67">
        <v>2.0</v>
      </c>
      <c r="N937" s="66" t="s">
        <v>3164</v>
      </c>
      <c r="O937" s="66" t="s">
        <v>3165</v>
      </c>
    </row>
    <row r="938">
      <c r="A938" s="91">
        <v>45742.0</v>
      </c>
      <c r="B938" s="66" t="s">
        <v>3158</v>
      </c>
      <c r="C938" s="66">
        <v>8.06015090191E11</v>
      </c>
      <c r="D938" s="66" t="s">
        <v>3159</v>
      </c>
      <c r="E938" s="66" t="s">
        <v>3160</v>
      </c>
      <c r="F938" s="66" t="s">
        <v>477</v>
      </c>
      <c r="G938" s="66" t="s">
        <v>116</v>
      </c>
      <c r="H938" s="66" t="s">
        <v>20</v>
      </c>
      <c r="I938" s="66">
        <v>4400.0</v>
      </c>
      <c r="J938" s="66" t="s">
        <v>3161</v>
      </c>
      <c r="K938" s="66" t="s">
        <v>2410</v>
      </c>
      <c r="L938" s="66" t="s">
        <v>2411</v>
      </c>
      <c r="M938" s="67">
        <v>1.0</v>
      </c>
      <c r="N938" s="66" t="s">
        <v>3164</v>
      </c>
      <c r="O938" s="66" t="s">
        <v>3165</v>
      </c>
    </row>
    <row r="939">
      <c r="A939" s="91">
        <v>45742.0</v>
      </c>
      <c r="B939" s="66" t="s">
        <v>3158</v>
      </c>
      <c r="C939" s="66">
        <v>8.06015090191E11</v>
      </c>
      <c r="D939" s="66" t="s">
        <v>3159</v>
      </c>
      <c r="E939" s="66" t="s">
        <v>3160</v>
      </c>
      <c r="F939" s="66" t="s">
        <v>477</v>
      </c>
      <c r="G939" s="66" t="s">
        <v>116</v>
      </c>
      <c r="H939" s="66" t="s">
        <v>20</v>
      </c>
      <c r="I939" s="66">
        <v>4400.0</v>
      </c>
      <c r="J939" s="66" t="s">
        <v>3161</v>
      </c>
      <c r="K939" s="66" t="s">
        <v>2031</v>
      </c>
      <c r="L939" s="66" t="s">
        <v>2032</v>
      </c>
      <c r="M939" s="67">
        <v>2.0</v>
      </c>
      <c r="N939" s="66" t="s">
        <v>3164</v>
      </c>
      <c r="O939" s="66" t="s">
        <v>3165</v>
      </c>
    </row>
    <row r="940">
      <c r="A940" s="91">
        <v>45742.0</v>
      </c>
      <c r="B940" s="66" t="s">
        <v>3158</v>
      </c>
      <c r="C940" s="66">
        <v>8.06015090191E11</v>
      </c>
      <c r="D940" s="66" t="s">
        <v>3159</v>
      </c>
      <c r="E940" s="66" t="s">
        <v>3160</v>
      </c>
      <c r="F940" s="66" t="s">
        <v>477</v>
      </c>
      <c r="G940" s="66" t="s">
        <v>116</v>
      </c>
      <c r="H940" s="66" t="s">
        <v>20</v>
      </c>
      <c r="I940" s="66">
        <v>4400.0</v>
      </c>
      <c r="J940" s="66" t="s">
        <v>3161</v>
      </c>
      <c r="K940" s="66" t="s">
        <v>3168</v>
      </c>
      <c r="L940" s="66" t="s">
        <v>3169</v>
      </c>
      <c r="M940" s="67">
        <v>1.0</v>
      </c>
      <c r="N940" s="66" t="s">
        <v>3164</v>
      </c>
      <c r="O940" s="66" t="s">
        <v>3165</v>
      </c>
    </row>
    <row r="941">
      <c r="A941" s="91">
        <v>45742.0</v>
      </c>
      <c r="B941" s="66" t="s">
        <v>3158</v>
      </c>
      <c r="C941" s="66">
        <v>8.06015090191E11</v>
      </c>
      <c r="D941" s="66" t="s">
        <v>3159</v>
      </c>
      <c r="E941" s="66" t="s">
        <v>3160</v>
      </c>
      <c r="F941" s="66" t="s">
        <v>477</v>
      </c>
      <c r="G941" s="66" t="s">
        <v>116</v>
      </c>
      <c r="H941" s="66" t="s">
        <v>20</v>
      </c>
      <c r="I941" s="66">
        <v>4400.0</v>
      </c>
      <c r="J941" s="66" t="s">
        <v>3161</v>
      </c>
      <c r="K941" s="66" t="s">
        <v>512</v>
      </c>
      <c r="L941" s="66" t="s">
        <v>513</v>
      </c>
      <c r="M941" s="67">
        <v>12.0</v>
      </c>
      <c r="N941" s="66" t="s">
        <v>3164</v>
      </c>
      <c r="O941" s="66" t="s">
        <v>3165</v>
      </c>
    </row>
    <row r="942">
      <c r="A942" s="85">
        <v>45742.0</v>
      </c>
      <c r="B942" s="31" t="s">
        <v>3170</v>
      </c>
      <c r="C942" s="31">
        <v>8.07025030308E11</v>
      </c>
      <c r="D942" s="31" t="s">
        <v>3171</v>
      </c>
      <c r="E942" s="31" t="s">
        <v>3172</v>
      </c>
      <c r="F942" s="31" t="s">
        <v>3173</v>
      </c>
      <c r="G942" s="31" t="s">
        <v>116</v>
      </c>
      <c r="H942" s="31" t="s">
        <v>20</v>
      </c>
      <c r="I942" s="31">
        <v>4400.0</v>
      </c>
      <c r="J942" s="31" t="s">
        <v>3174</v>
      </c>
      <c r="K942" s="31" t="s">
        <v>3025</v>
      </c>
      <c r="L942" s="31" t="s">
        <v>3026</v>
      </c>
      <c r="M942" s="33">
        <v>1.0</v>
      </c>
      <c r="N942" s="31" t="s">
        <v>2942</v>
      </c>
      <c r="O942" s="31" t="s">
        <v>3175</v>
      </c>
    </row>
    <row r="943">
      <c r="A943" s="85">
        <v>45742.0</v>
      </c>
      <c r="B943" s="31" t="s">
        <v>3170</v>
      </c>
      <c r="C943" s="31">
        <v>8.07025030308E11</v>
      </c>
      <c r="D943" s="31" t="s">
        <v>3171</v>
      </c>
      <c r="E943" s="31" t="s">
        <v>3172</v>
      </c>
      <c r="F943" s="31" t="s">
        <v>3173</v>
      </c>
      <c r="G943" s="31" t="s">
        <v>116</v>
      </c>
      <c r="H943" s="31" t="s">
        <v>20</v>
      </c>
      <c r="I943" s="31">
        <v>4400.0</v>
      </c>
      <c r="J943" s="31" t="s">
        <v>3174</v>
      </c>
      <c r="K943" s="31" t="s">
        <v>512</v>
      </c>
      <c r="L943" s="31" t="s">
        <v>513</v>
      </c>
      <c r="M943" s="33">
        <v>6.0</v>
      </c>
      <c r="N943" s="31" t="s">
        <v>2942</v>
      </c>
      <c r="O943" s="31" t="s">
        <v>3175</v>
      </c>
    </row>
    <row r="944">
      <c r="A944" s="85">
        <v>45742.0</v>
      </c>
      <c r="B944" s="31" t="s">
        <v>3170</v>
      </c>
      <c r="C944" s="31">
        <v>8.07025030308E11</v>
      </c>
      <c r="D944" s="31" t="s">
        <v>3171</v>
      </c>
      <c r="E944" s="31" t="s">
        <v>3172</v>
      </c>
      <c r="F944" s="31" t="s">
        <v>3173</v>
      </c>
      <c r="G944" s="31" t="s">
        <v>116</v>
      </c>
      <c r="H944" s="31" t="s">
        <v>20</v>
      </c>
      <c r="I944" s="31">
        <v>4400.0</v>
      </c>
      <c r="J944" s="31" t="s">
        <v>3174</v>
      </c>
      <c r="K944" s="31" t="s">
        <v>2031</v>
      </c>
      <c r="L944" s="31" t="s">
        <v>2032</v>
      </c>
      <c r="M944" s="33">
        <v>1.0</v>
      </c>
      <c r="N944" s="31" t="s">
        <v>2942</v>
      </c>
      <c r="O944" s="31" t="s">
        <v>3175</v>
      </c>
    </row>
    <row r="945">
      <c r="A945" s="91">
        <v>45742.0</v>
      </c>
      <c r="B945" s="66" t="s">
        <v>3176</v>
      </c>
      <c r="C945" s="66">
        <v>8.070250303E11</v>
      </c>
      <c r="D945" s="66" t="s">
        <v>3177</v>
      </c>
      <c r="E945" s="66" t="s">
        <v>3178</v>
      </c>
      <c r="F945" s="66" t="s">
        <v>3179</v>
      </c>
      <c r="G945" s="66" t="s">
        <v>116</v>
      </c>
      <c r="H945" s="66" t="s">
        <v>20</v>
      </c>
      <c r="I945" s="66">
        <v>4400.0</v>
      </c>
      <c r="J945" s="66" t="s">
        <v>3180</v>
      </c>
      <c r="K945" s="66" t="s">
        <v>659</v>
      </c>
      <c r="L945" s="66" t="s">
        <v>660</v>
      </c>
      <c r="M945" s="67">
        <v>1.0</v>
      </c>
      <c r="N945" s="66" t="s">
        <v>3181</v>
      </c>
      <c r="O945" s="66" t="s">
        <v>3182</v>
      </c>
    </row>
    <row r="946" ht="8.25" customHeight="1">
      <c r="A946" s="87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9"/>
      <c r="N946" s="90"/>
      <c r="O946" s="90"/>
    </row>
    <row r="947">
      <c r="A947" s="91">
        <v>45750.0</v>
      </c>
      <c r="B947" s="66" t="s">
        <v>3183</v>
      </c>
      <c r="C947" s="66">
        <v>8.05011521569E11</v>
      </c>
      <c r="D947" s="66" t="s">
        <v>3184</v>
      </c>
      <c r="E947" s="66" t="s">
        <v>3185</v>
      </c>
      <c r="F947" s="66" t="s">
        <v>3186</v>
      </c>
      <c r="G947" s="66" t="s">
        <v>20</v>
      </c>
      <c r="H947" s="66" t="s">
        <v>20</v>
      </c>
      <c r="I947" s="66">
        <v>4400.0</v>
      </c>
      <c r="J947" s="66" t="s">
        <v>1428</v>
      </c>
      <c r="K947" s="66" t="s">
        <v>98</v>
      </c>
      <c r="L947" s="66" t="s">
        <v>3187</v>
      </c>
      <c r="M947" s="67">
        <v>1.0</v>
      </c>
      <c r="N947" s="68"/>
      <c r="O947" s="68"/>
    </row>
    <row r="948">
      <c r="A948" s="91">
        <v>45750.0</v>
      </c>
      <c r="B948" s="66" t="s">
        <v>3183</v>
      </c>
      <c r="C948" s="66">
        <v>8.05011521569E11</v>
      </c>
      <c r="D948" s="66" t="s">
        <v>3184</v>
      </c>
      <c r="E948" s="66" t="s">
        <v>3185</v>
      </c>
      <c r="F948" s="66" t="s">
        <v>3186</v>
      </c>
      <c r="G948" s="66" t="s">
        <v>20</v>
      </c>
      <c r="H948" s="66" t="s">
        <v>20</v>
      </c>
      <c r="I948" s="66">
        <v>4400.0</v>
      </c>
      <c r="J948" s="66" t="s">
        <v>1428</v>
      </c>
      <c r="K948" s="66" t="s">
        <v>35</v>
      </c>
      <c r="L948" s="66" t="s">
        <v>3188</v>
      </c>
      <c r="M948" s="67">
        <v>1.0</v>
      </c>
      <c r="N948" s="68"/>
      <c r="O948" s="68"/>
    </row>
    <row r="949">
      <c r="A949" s="91">
        <v>45750.0</v>
      </c>
      <c r="B949" s="66" t="s">
        <v>3183</v>
      </c>
      <c r="C949" s="66">
        <v>8.05011521569E11</v>
      </c>
      <c r="D949" s="66" t="s">
        <v>3184</v>
      </c>
      <c r="E949" s="66" t="s">
        <v>3185</v>
      </c>
      <c r="F949" s="66" t="s">
        <v>3186</v>
      </c>
      <c r="G949" s="66" t="s">
        <v>20</v>
      </c>
      <c r="H949" s="66" t="s">
        <v>20</v>
      </c>
      <c r="I949" s="66">
        <v>4400.0</v>
      </c>
      <c r="J949" s="66" t="s">
        <v>1428</v>
      </c>
      <c r="K949" s="66" t="s">
        <v>512</v>
      </c>
      <c r="L949" s="66" t="s">
        <v>513</v>
      </c>
      <c r="M949" s="67">
        <v>6.0</v>
      </c>
      <c r="N949" s="68"/>
      <c r="O949" s="68"/>
    </row>
    <row r="950">
      <c r="A950" s="85">
        <v>45750.0</v>
      </c>
      <c r="B950" s="31" t="s">
        <v>3189</v>
      </c>
      <c r="C950" s="31">
        <v>8.05502148634E11</v>
      </c>
      <c r="D950" s="31" t="s">
        <v>3190</v>
      </c>
      <c r="E950" s="31" t="s">
        <v>3191</v>
      </c>
      <c r="F950" s="31" t="s">
        <v>3192</v>
      </c>
      <c r="G950" s="31" t="s">
        <v>127</v>
      </c>
      <c r="H950" s="31" t="s">
        <v>20</v>
      </c>
      <c r="I950" s="31" t="s">
        <v>3193</v>
      </c>
      <c r="J950" s="31" t="s">
        <v>3194</v>
      </c>
      <c r="K950" s="31" t="s">
        <v>3195</v>
      </c>
      <c r="L950" s="31" t="s">
        <v>3196</v>
      </c>
      <c r="M950" s="33">
        <v>1.0</v>
      </c>
      <c r="N950" s="31" t="s">
        <v>3197</v>
      </c>
      <c r="O950" s="31" t="s">
        <v>3198</v>
      </c>
    </row>
    <row r="951">
      <c r="A951" s="85">
        <v>45750.0</v>
      </c>
      <c r="B951" s="31" t="s">
        <v>3189</v>
      </c>
      <c r="C951" s="31">
        <v>8.05502148634E11</v>
      </c>
      <c r="D951" s="31" t="s">
        <v>3190</v>
      </c>
      <c r="E951" s="31" t="s">
        <v>3191</v>
      </c>
      <c r="F951" s="31" t="s">
        <v>3192</v>
      </c>
      <c r="G951" s="31" t="s">
        <v>127</v>
      </c>
      <c r="H951" s="31" t="s">
        <v>20</v>
      </c>
      <c r="I951" s="31" t="s">
        <v>3193</v>
      </c>
      <c r="J951" s="31" t="s">
        <v>3194</v>
      </c>
      <c r="K951" s="31" t="s">
        <v>512</v>
      </c>
      <c r="L951" s="31" t="s">
        <v>513</v>
      </c>
      <c r="M951" s="33">
        <v>12.0</v>
      </c>
      <c r="N951" s="31" t="s">
        <v>3197</v>
      </c>
      <c r="O951" s="31" t="s">
        <v>3198</v>
      </c>
    </row>
    <row r="952">
      <c r="A952" s="85">
        <v>45750.0</v>
      </c>
      <c r="B952" s="31" t="s">
        <v>3189</v>
      </c>
      <c r="C952" s="31">
        <v>8.05502148634E11</v>
      </c>
      <c r="D952" s="31" t="s">
        <v>3190</v>
      </c>
      <c r="E952" s="31" t="s">
        <v>3191</v>
      </c>
      <c r="F952" s="31" t="s">
        <v>3192</v>
      </c>
      <c r="G952" s="31" t="s">
        <v>127</v>
      </c>
      <c r="H952" s="31" t="s">
        <v>20</v>
      </c>
      <c r="I952" s="31" t="s">
        <v>3193</v>
      </c>
      <c r="J952" s="31" t="s">
        <v>3194</v>
      </c>
      <c r="K952" s="31" t="s">
        <v>121</v>
      </c>
      <c r="L952" s="31" t="s">
        <v>3199</v>
      </c>
      <c r="M952" s="33">
        <v>2.0</v>
      </c>
      <c r="N952" s="31" t="s">
        <v>3197</v>
      </c>
      <c r="O952" s="31" t="s">
        <v>3198</v>
      </c>
    </row>
    <row r="953">
      <c r="A953" s="91">
        <v>45750.0</v>
      </c>
      <c r="B953" s="66" t="s">
        <v>3200</v>
      </c>
      <c r="C953" s="66">
        <v>8.07025030331E11</v>
      </c>
      <c r="D953" s="66" t="s">
        <v>3201</v>
      </c>
      <c r="E953" s="66" t="s">
        <v>3202</v>
      </c>
      <c r="F953" s="66" t="s">
        <v>3203</v>
      </c>
      <c r="G953" s="66" t="s">
        <v>127</v>
      </c>
      <c r="H953" s="66" t="s">
        <v>20</v>
      </c>
      <c r="I953" s="66">
        <v>4400.0</v>
      </c>
      <c r="J953" s="66" t="s">
        <v>3204</v>
      </c>
      <c r="K953" s="66" t="s">
        <v>3205</v>
      </c>
      <c r="L953" s="66" t="s">
        <v>3206</v>
      </c>
      <c r="M953" s="67">
        <v>2.0</v>
      </c>
      <c r="N953" s="66" t="s">
        <v>3207</v>
      </c>
      <c r="O953" s="66" t="s">
        <v>3208</v>
      </c>
    </row>
    <row r="954">
      <c r="A954" s="85">
        <v>45750.0</v>
      </c>
      <c r="B954" s="31" t="s">
        <v>3209</v>
      </c>
      <c r="C954" s="31">
        <v>8.07025030346E11</v>
      </c>
      <c r="D954" s="31" t="s">
        <v>3210</v>
      </c>
      <c r="E954" s="31" t="s">
        <v>3211</v>
      </c>
      <c r="F954" s="31" t="s">
        <v>3212</v>
      </c>
      <c r="G954" s="31" t="s">
        <v>116</v>
      </c>
      <c r="H954" s="31" t="s">
        <v>20</v>
      </c>
      <c r="I954" s="31">
        <v>4400.0</v>
      </c>
      <c r="J954" s="31" t="s">
        <v>3213</v>
      </c>
      <c r="K954" s="31" t="s">
        <v>3214</v>
      </c>
      <c r="L954" s="31" t="s">
        <v>3215</v>
      </c>
      <c r="M954" s="33">
        <v>2.0</v>
      </c>
      <c r="N954" s="31" t="s">
        <v>3216</v>
      </c>
      <c r="O954" s="31" t="s">
        <v>3217</v>
      </c>
    </row>
    <row r="955">
      <c r="A955" s="85">
        <v>45750.0</v>
      </c>
      <c r="B955" s="31" t="s">
        <v>3209</v>
      </c>
      <c r="C955" s="31">
        <v>8.07025030346E11</v>
      </c>
      <c r="D955" s="31" t="s">
        <v>3210</v>
      </c>
      <c r="E955" s="31" t="s">
        <v>3211</v>
      </c>
      <c r="F955" s="31" t="s">
        <v>3212</v>
      </c>
      <c r="G955" s="31" t="s">
        <v>116</v>
      </c>
      <c r="H955" s="31" t="s">
        <v>20</v>
      </c>
      <c r="I955" s="31">
        <v>4400.0</v>
      </c>
      <c r="J955" s="31" t="s">
        <v>3213</v>
      </c>
      <c r="K955" s="31" t="s">
        <v>3218</v>
      </c>
      <c r="L955" s="31" t="s">
        <v>3219</v>
      </c>
      <c r="M955" s="33">
        <v>2.0</v>
      </c>
      <c r="N955" s="31" t="s">
        <v>3216</v>
      </c>
      <c r="O955" s="31" t="s">
        <v>3217</v>
      </c>
    </row>
    <row r="956">
      <c r="A956" s="91">
        <v>45750.0</v>
      </c>
      <c r="B956" s="66" t="s">
        <v>3220</v>
      </c>
      <c r="C956" s="66">
        <v>8.07025030349E11</v>
      </c>
      <c r="D956" s="66" t="s">
        <v>3221</v>
      </c>
      <c r="E956" s="66" t="s">
        <v>3222</v>
      </c>
      <c r="F956" s="66" t="s">
        <v>3223</v>
      </c>
      <c r="G956" s="66" t="s">
        <v>116</v>
      </c>
      <c r="H956" s="66" t="s">
        <v>20</v>
      </c>
      <c r="I956" s="66">
        <v>4400.0</v>
      </c>
      <c r="J956" s="66" t="s">
        <v>3224</v>
      </c>
      <c r="K956" s="66" t="s">
        <v>32</v>
      </c>
      <c r="L956" s="66" t="s">
        <v>3225</v>
      </c>
      <c r="M956" s="67">
        <v>1.0</v>
      </c>
      <c r="N956" s="66" t="s">
        <v>3226</v>
      </c>
      <c r="O956" s="66" t="s">
        <v>1734</v>
      </c>
    </row>
    <row r="957">
      <c r="A957" s="91">
        <v>45750.0</v>
      </c>
      <c r="B957" s="66" t="s">
        <v>3220</v>
      </c>
      <c r="C957" s="66">
        <v>8.07025030349E11</v>
      </c>
      <c r="D957" s="66" t="s">
        <v>3221</v>
      </c>
      <c r="E957" s="66" t="s">
        <v>3222</v>
      </c>
      <c r="F957" s="66" t="s">
        <v>3223</v>
      </c>
      <c r="G957" s="66" t="s">
        <v>116</v>
      </c>
      <c r="H957" s="66" t="s">
        <v>20</v>
      </c>
      <c r="I957" s="66">
        <v>4400.0</v>
      </c>
      <c r="J957" s="66" t="s">
        <v>3224</v>
      </c>
      <c r="K957" s="66" t="s">
        <v>35</v>
      </c>
      <c r="L957" s="66" t="s">
        <v>3188</v>
      </c>
      <c r="M957" s="67">
        <v>1.0</v>
      </c>
      <c r="N957" s="66" t="s">
        <v>3226</v>
      </c>
      <c r="O957" s="66" t="s">
        <v>1734</v>
      </c>
    </row>
    <row r="958">
      <c r="A958" s="91">
        <v>45750.0</v>
      </c>
      <c r="B958" s="66" t="s">
        <v>3220</v>
      </c>
      <c r="C958" s="66">
        <v>8.07025030349E11</v>
      </c>
      <c r="D958" s="66" t="s">
        <v>3221</v>
      </c>
      <c r="E958" s="66" t="s">
        <v>3222</v>
      </c>
      <c r="F958" s="66" t="s">
        <v>3223</v>
      </c>
      <c r="G958" s="66" t="s">
        <v>116</v>
      </c>
      <c r="H958" s="66" t="s">
        <v>20</v>
      </c>
      <c r="I958" s="66">
        <v>4400.0</v>
      </c>
      <c r="J958" s="66" t="s">
        <v>3224</v>
      </c>
      <c r="K958" s="66" t="s">
        <v>3166</v>
      </c>
      <c r="L958" s="66" t="s">
        <v>3167</v>
      </c>
      <c r="M958" s="67">
        <v>2.0</v>
      </c>
      <c r="N958" s="66" t="s">
        <v>3226</v>
      </c>
      <c r="O958" s="66" t="s">
        <v>1734</v>
      </c>
    </row>
    <row r="959">
      <c r="A959" s="91">
        <v>45750.0</v>
      </c>
      <c r="B959" s="66" t="s">
        <v>3220</v>
      </c>
      <c r="C959" s="66">
        <v>8.07025030349E11</v>
      </c>
      <c r="D959" s="66" t="s">
        <v>3221</v>
      </c>
      <c r="E959" s="66" t="s">
        <v>3222</v>
      </c>
      <c r="F959" s="66" t="s">
        <v>3223</v>
      </c>
      <c r="G959" s="66" t="s">
        <v>116</v>
      </c>
      <c r="H959" s="66" t="s">
        <v>20</v>
      </c>
      <c r="I959" s="66">
        <v>4400.0</v>
      </c>
      <c r="J959" s="66" t="s">
        <v>3224</v>
      </c>
      <c r="K959" s="66" t="s">
        <v>512</v>
      </c>
      <c r="L959" s="66" t="s">
        <v>513</v>
      </c>
      <c r="M959" s="67">
        <v>6.0</v>
      </c>
      <c r="N959" s="66" t="s">
        <v>3226</v>
      </c>
      <c r="O959" s="66" t="s">
        <v>1734</v>
      </c>
    </row>
    <row r="960">
      <c r="A960" s="85">
        <v>45750.0</v>
      </c>
      <c r="B960" s="31" t="s">
        <v>3227</v>
      </c>
      <c r="C960" s="31">
        <v>8.07025030345E11</v>
      </c>
      <c r="D960" s="31" t="s">
        <v>3228</v>
      </c>
      <c r="E960" s="31" t="s">
        <v>3229</v>
      </c>
      <c r="F960" s="31" t="s">
        <v>3230</v>
      </c>
      <c r="G960" s="31" t="s">
        <v>1859</v>
      </c>
      <c r="H960" s="31" t="s">
        <v>20</v>
      </c>
      <c r="I960" s="31">
        <v>4400.0</v>
      </c>
      <c r="J960" s="31" t="s">
        <v>3231</v>
      </c>
      <c r="K960" s="31" t="s">
        <v>3074</v>
      </c>
      <c r="L960" s="31" t="s">
        <v>3232</v>
      </c>
      <c r="M960" s="33">
        <v>1.0</v>
      </c>
      <c r="N960" s="31" t="s">
        <v>3233</v>
      </c>
      <c r="O960" s="31" t="s">
        <v>3234</v>
      </c>
    </row>
    <row r="961">
      <c r="A961" s="91">
        <v>45750.0</v>
      </c>
      <c r="B961" s="66" t="s">
        <v>3235</v>
      </c>
      <c r="C961" s="66">
        <v>8.07025030337E11</v>
      </c>
      <c r="D961" s="66" t="s">
        <v>3236</v>
      </c>
      <c r="E961" s="66" t="s">
        <v>3237</v>
      </c>
      <c r="F961" s="66" t="s">
        <v>3238</v>
      </c>
      <c r="G961" s="66" t="s">
        <v>116</v>
      </c>
      <c r="H961" s="66" t="s">
        <v>20</v>
      </c>
      <c r="I961" s="66">
        <v>4400.0</v>
      </c>
      <c r="J961" s="66" t="s">
        <v>3239</v>
      </c>
      <c r="K961" s="66" t="s">
        <v>1749</v>
      </c>
      <c r="L961" s="66" t="s">
        <v>3240</v>
      </c>
      <c r="M961" s="67">
        <v>4.0</v>
      </c>
      <c r="N961" s="66" t="s">
        <v>3241</v>
      </c>
      <c r="O961" s="66" t="s">
        <v>3242</v>
      </c>
    </row>
    <row r="962">
      <c r="A962" s="91">
        <v>45750.0</v>
      </c>
      <c r="B962" s="66" t="s">
        <v>3235</v>
      </c>
      <c r="C962" s="66">
        <v>8.07025030337E11</v>
      </c>
      <c r="D962" s="66" t="s">
        <v>3236</v>
      </c>
      <c r="E962" s="66" t="s">
        <v>3237</v>
      </c>
      <c r="F962" s="66" t="s">
        <v>3238</v>
      </c>
      <c r="G962" s="66" t="s">
        <v>116</v>
      </c>
      <c r="H962" s="66" t="s">
        <v>20</v>
      </c>
      <c r="I962" s="66">
        <v>4400.0</v>
      </c>
      <c r="J962" s="66" t="s">
        <v>3239</v>
      </c>
      <c r="K962" s="66" t="s">
        <v>512</v>
      </c>
      <c r="L962" s="66" t="s">
        <v>513</v>
      </c>
      <c r="M962" s="67">
        <v>24.0</v>
      </c>
      <c r="N962" s="66" t="s">
        <v>3241</v>
      </c>
      <c r="O962" s="66" t="s">
        <v>3242</v>
      </c>
    </row>
    <row r="963">
      <c r="A963" s="91">
        <v>45750.0</v>
      </c>
      <c r="B963" s="66" t="s">
        <v>3235</v>
      </c>
      <c r="C963" s="66">
        <v>8.07025030337E11</v>
      </c>
      <c r="D963" s="66" t="s">
        <v>3236</v>
      </c>
      <c r="E963" s="66" t="s">
        <v>3237</v>
      </c>
      <c r="F963" s="66" t="s">
        <v>3238</v>
      </c>
      <c r="G963" s="66" t="s">
        <v>116</v>
      </c>
      <c r="H963" s="66" t="s">
        <v>20</v>
      </c>
      <c r="I963" s="66">
        <v>4400.0</v>
      </c>
      <c r="J963" s="66" t="s">
        <v>3239</v>
      </c>
      <c r="K963" s="66" t="s">
        <v>3205</v>
      </c>
      <c r="L963" s="66" t="s">
        <v>3206</v>
      </c>
      <c r="M963" s="67">
        <v>4.0</v>
      </c>
      <c r="N963" s="66" t="s">
        <v>3241</v>
      </c>
      <c r="O963" s="66" t="s">
        <v>3242</v>
      </c>
    </row>
    <row r="964">
      <c r="A964" s="85">
        <v>45750.0</v>
      </c>
      <c r="B964" s="31" t="s">
        <v>3243</v>
      </c>
      <c r="C964" s="31">
        <v>8.05011521814E11</v>
      </c>
      <c r="D964" s="31" t="s">
        <v>3244</v>
      </c>
      <c r="E964" s="31" t="s">
        <v>3245</v>
      </c>
      <c r="F964" s="31" t="s">
        <v>3246</v>
      </c>
      <c r="G964" s="31" t="s">
        <v>20</v>
      </c>
      <c r="H964" s="31" t="s">
        <v>20</v>
      </c>
      <c r="I964" s="31">
        <v>4407.0</v>
      </c>
      <c r="J964" s="31" t="s">
        <v>3247</v>
      </c>
      <c r="K964" s="31" t="s">
        <v>634</v>
      </c>
      <c r="L964" s="31" t="s">
        <v>635</v>
      </c>
      <c r="M964" s="33">
        <v>1.0</v>
      </c>
      <c r="N964" s="34"/>
      <c r="O964" s="31" t="s">
        <v>2921</v>
      </c>
    </row>
    <row r="965">
      <c r="A965" s="91">
        <v>45750.0</v>
      </c>
      <c r="B965" s="66" t="s">
        <v>3248</v>
      </c>
      <c r="C965" s="66">
        <v>8.07025030368E11</v>
      </c>
      <c r="D965" s="66" t="s">
        <v>3249</v>
      </c>
      <c r="E965" s="66" t="s">
        <v>3250</v>
      </c>
      <c r="F965" s="66" t="s">
        <v>3251</v>
      </c>
      <c r="G965" s="66" t="s">
        <v>116</v>
      </c>
      <c r="H965" s="66" t="s">
        <v>20</v>
      </c>
      <c r="I965" s="66">
        <v>4400.0</v>
      </c>
      <c r="J965" s="66" t="s">
        <v>3252</v>
      </c>
      <c r="K965" s="66" t="s">
        <v>645</v>
      </c>
      <c r="L965" s="66" t="s">
        <v>3253</v>
      </c>
      <c r="M965" s="67">
        <v>2.0</v>
      </c>
      <c r="N965" s="66" t="s">
        <v>3254</v>
      </c>
      <c r="O965" s="66" t="s">
        <v>3182</v>
      </c>
    </row>
    <row r="966">
      <c r="A966" s="91">
        <v>45750.0</v>
      </c>
      <c r="B966" s="66" t="s">
        <v>3248</v>
      </c>
      <c r="C966" s="66">
        <v>8.07025030368E11</v>
      </c>
      <c r="D966" s="66" t="s">
        <v>3249</v>
      </c>
      <c r="E966" s="66" t="s">
        <v>3250</v>
      </c>
      <c r="F966" s="66" t="s">
        <v>3251</v>
      </c>
      <c r="G966" s="66" t="s">
        <v>116</v>
      </c>
      <c r="H966" s="66" t="s">
        <v>20</v>
      </c>
      <c r="I966" s="66">
        <v>4400.0</v>
      </c>
      <c r="J966" s="66" t="s">
        <v>3252</v>
      </c>
      <c r="K966" s="66" t="s">
        <v>2965</v>
      </c>
      <c r="L966" s="66" t="s">
        <v>3255</v>
      </c>
      <c r="M966" s="67">
        <v>1.0</v>
      </c>
      <c r="N966" s="66" t="s">
        <v>3254</v>
      </c>
      <c r="O966" s="66" t="s">
        <v>3182</v>
      </c>
    </row>
    <row r="967">
      <c r="A967" s="91">
        <v>45750.0</v>
      </c>
      <c r="B967" s="66" t="s">
        <v>3248</v>
      </c>
      <c r="C967" s="66">
        <v>8.07025030368E11</v>
      </c>
      <c r="D967" s="66" t="s">
        <v>3249</v>
      </c>
      <c r="E967" s="66" t="s">
        <v>3250</v>
      </c>
      <c r="F967" s="66" t="s">
        <v>3251</v>
      </c>
      <c r="G967" s="66" t="s">
        <v>116</v>
      </c>
      <c r="H967" s="66" t="s">
        <v>20</v>
      </c>
      <c r="I967" s="66">
        <v>4400.0</v>
      </c>
      <c r="J967" s="66" t="s">
        <v>3252</v>
      </c>
      <c r="K967" s="66" t="s">
        <v>512</v>
      </c>
      <c r="L967" s="66" t="s">
        <v>513</v>
      </c>
      <c r="M967" s="67">
        <v>12.0</v>
      </c>
      <c r="N967" s="66" t="s">
        <v>3254</v>
      </c>
      <c r="O967" s="66" t="s">
        <v>3182</v>
      </c>
    </row>
    <row r="968">
      <c r="A968" s="85">
        <v>45750.0</v>
      </c>
      <c r="B968" s="31" t="s">
        <v>3256</v>
      </c>
      <c r="C968" s="31">
        <v>8.07025030364E11</v>
      </c>
      <c r="D968" s="31" t="s">
        <v>3257</v>
      </c>
      <c r="E968" s="31" t="s">
        <v>3258</v>
      </c>
      <c r="F968" s="31" t="s">
        <v>3259</v>
      </c>
      <c r="G968" s="31" t="s">
        <v>3047</v>
      </c>
      <c r="H968" s="31" t="s">
        <v>20</v>
      </c>
      <c r="I968" s="31">
        <v>4405.0</v>
      </c>
      <c r="J968" s="31" t="s">
        <v>3260</v>
      </c>
      <c r="K968" s="31" t="s">
        <v>3205</v>
      </c>
      <c r="L968" s="31" t="s">
        <v>3206</v>
      </c>
      <c r="M968" s="33">
        <v>2.0</v>
      </c>
      <c r="N968" s="31" t="s">
        <v>3261</v>
      </c>
      <c r="O968" s="31" t="s">
        <v>3262</v>
      </c>
    </row>
    <row r="969">
      <c r="A969" s="91">
        <v>45750.0</v>
      </c>
      <c r="B969" s="66" t="s">
        <v>3263</v>
      </c>
      <c r="C969" s="66">
        <v>8.07025030372E11</v>
      </c>
      <c r="D969" s="66" t="s">
        <v>3264</v>
      </c>
      <c r="E969" s="66" t="s">
        <v>3265</v>
      </c>
      <c r="F969" s="66" t="s">
        <v>3266</v>
      </c>
      <c r="G969" s="66" t="s">
        <v>127</v>
      </c>
      <c r="H969" s="66" t="s">
        <v>20</v>
      </c>
      <c r="I969" s="66">
        <v>4400.0</v>
      </c>
      <c r="J969" s="66" t="s">
        <v>3267</v>
      </c>
      <c r="K969" s="66" t="s">
        <v>2616</v>
      </c>
      <c r="L969" s="66" t="s">
        <v>3268</v>
      </c>
      <c r="M969" s="67">
        <v>1.0</v>
      </c>
      <c r="N969" s="66" t="s">
        <v>3269</v>
      </c>
      <c r="O969" s="66" t="s">
        <v>3270</v>
      </c>
    </row>
    <row r="970">
      <c r="A970" s="85">
        <v>45750.0</v>
      </c>
      <c r="B970" s="31" t="s">
        <v>3271</v>
      </c>
      <c r="C970" s="31">
        <v>8.07025030381E11</v>
      </c>
      <c r="D970" s="31" t="s">
        <v>3272</v>
      </c>
      <c r="E970" s="31" t="s">
        <v>3273</v>
      </c>
      <c r="F970" s="31" t="s">
        <v>3274</v>
      </c>
      <c r="G970" s="31" t="s">
        <v>104</v>
      </c>
      <c r="H970" s="31" t="s">
        <v>20</v>
      </c>
      <c r="I970" s="31">
        <v>4401.0</v>
      </c>
      <c r="J970" s="31" t="s">
        <v>3275</v>
      </c>
      <c r="K970" s="31" t="s">
        <v>3276</v>
      </c>
      <c r="L970" s="31" t="s">
        <v>3277</v>
      </c>
      <c r="M970" s="33">
        <v>10.0</v>
      </c>
      <c r="N970" s="31" t="s">
        <v>3278</v>
      </c>
      <c r="O970" s="31" t="s">
        <v>3279</v>
      </c>
    </row>
    <row r="971">
      <c r="A971" s="85">
        <v>45750.0</v>
      </c>
      <c r="B971" s="31" t="s">
        <v>3271</v>
      </c>
      <c r="C971" s="31">
        <v>8.07025030381E11</v>
      </c>
      <c r="D971" s="31" t="s">
        <v>3272</v>
      </c>
      <c r="E971" s="31" t="s">
        <v>3273</v>
      </c>
      <c r="F971" s="31" t="s">
        <v>3274</v>
      </c>
      <c r="G971" s="31" t="s">
        <v>104</v>
      </c>
      <c r="H971" s="31" t="s">
        <v>20</v>
      </c>
      <c r="I971" s="31">
        <v>4401.0</v>
      </c>
      <c r="J971" s="31" t="s">
        <v>3275</v>
      </c>
      <c r="K971" s="31" t="s">
        <v>121</v>
      </c>
      <c r="L971" s="31" t="s">
        <v>3199</v>
      </c>
      <c r="M971" s="33">
        <v>2.0</v>
      </c>
      <c r="N971" s="31" t="s">
        <v>3278</v>
      </c>
      <c r="O971" s="31" t="s">
        <v>3279</v>
      </c>
    </row>
    <row r="972">
      <c r="A972" s="91">
        <v>45750.0</v>
      </c>
      <c r="B972" s="66" t="s">
        <v>3280</v>
      </c>
      <c r="C972" s="66">
        <v>8.07025030385E11</v>
      </c>
      <c r="D972" s="66" t="s">
        <v>3281</v>
      </c>
      <c r="E972" s="66" t="s">
        <v>3282</v>
      </c>
      <c r="F972" s="66" t="s">
        <v>3283</v>
      </c>
      <c r="G972" s="66" t="s">
        <v>116</v>
      </c>
      <c r="H972" s="66" t="s">
        <v>20</v>
      </c>
      <c r="I972" s="66">
        <v>4400.0</v>
      </c>
      <c r="J972" s="66" t="s">
        <v>3284</v>
      </c>
      <c r="K972" s="66" t="s">
        <v>3285</v>
      </c>
      <c r="L972" s="66" t="s">
        <v>3286</v>
      </c>
      <c r="M972" s="67">
        <v>1.0</v>
      </c>
      <c r="N972" s="66" t="s">
        <v>3287</v>
      </c>
      <c r="O972" s="66" t="s">
        <v>3288</v>
      </c>
    </row>
    <row r="973">
      <c r="A973" s="85">
        <v>45750.0</v>
      </c>
      <c r="B973" s="31" t="s">
        <v>3289</v>
      </c>
      <c r="C973" s="31">
        <v>8.07025030377E11</v>
      </c>
      <c r="D973" s="31" t="s">
        <v>3290</v>
      </c>
      <c r="E973" s="31" t="s">
        <v>3291</v>
      </c>
      <c r="F973" s="31" t="s">
        <v>3292</v>
      </c>
      <c r="G973" s="31" t="s">
        <v>116</v>
      </c>
      <c r="H973" s="31" t="s">
        <v>20</v>
      </c>
      <c r="I973" s="31">
        <v>4400.0</v>
      </c>
      <c r="J973" s="31" t="s">
        <v>3293</v>
      </c>
      <c r="K973" s="31" t="s">
        <v>1040</v>
      </c>
      <c r="L973" s="31" t="s">
        <v>3294</v>
      </c>
      <c r="M973" s="33">
        <v>1.0</v>
      </c>
      <c r="N973" s="31" t="s">
        <v>3295</v>
      </c>
      <c r="O973" s="31" t="s">
        <v>2626</v>
      </c>
    </row>
    <row r="974">
      <c r="A974" s="85">
        <v>45750.0</v>
      </c>
      <c r="B974" s="31" t="s">
        <v>3289</v>
      </c>
      <c r="C974" s="31">
        <v>8.07025030377E11</v>
      </c>
      <c r="D974" s="31" t="s">
        <v>3290</v>
      </c>
      <c r="E974" s="31" t="s">
        <v>3291</v>
      </c>
      <c r="F974" s="31" t="s">
        <v>3292</v>
      </c>
      <c r="G974" s="31" t="s">
        <v>116</v>
      </c>
      <c r="H974" s="31" t="s">
        <v>20</v>
      </c>
      <c r="I974" s="31">
        <v>4400.0</v>
      </c>
      <c r="J974" s="31" t="s">
        <v>3293</v>
      </c>
      <c r="K974" s="31" t="s">
        <v>512</v>
      </c>
      <c r="L974" s="31" t="s">
        <v>513</v>
      </c>
      <c r="M974" s="33">
        <v>6.0</v>
      </c>
      <c r="N974" s="31" t="s">
        <v>3295</v>
      </c>
      <c r="O974" s="31" t="s">
        <v>2626</v>
      </c>
    </row>
    <row r="975">
      <c r="A975" s="85">
        <v>45750.0</v>
      </c>
      <c r="B975" s="31" t="s">
        <v>3289</v>
      </c>
      <c r="C975" s="31">
        <v>8.07025030377E11</v>
      </c>
      <c r="D975" s="31" t="s">
        <v>3290</v>
      </c>
      <c r="E975" s="31" t="s">
        <v>3291</v>
      </c>
      <c r="F975" s="31" t="s">
        <v>3292</v>
      </c>
      <c r="G975" s="31" t="s">
        <v>116</v>
      </c>
      <c r="H975" s="31" t="s">
        <v>20</v>
      </c>
      <c r="I975" s="31">
        <v>4400.0</v>
      </c>
      <c r="J975" s="31" t="s">
        <v>3293</v>
      </c>
      <c r="K975" s="31" t="s">
        <v>969</v>
      </c>
      <c r="L975" s="31" t="s">
        <v>3296</v>
      </c>
      <c r="M975" s="33">
        <v>1.0</v>
      </c>
      <c r="N975" s="31" t="s">
        <v>3295</v>
      </c>
      <c r="O975" s="31" t="s">
        <v>2626</v>
      </c>
    </row>
    <row r="976">
      <c r="A976" s="91">
        <v>45750.0</v>
      </c>
      <c r="B976" s="66" t="s">
        <v>3297</v>
      </c>
      <c r="C976" s="66">
        <v>8.07025030376E11</v>
      </c>
      <c r="D976" s="66" t="s">
        <v>3298</v>
      </c>
      <c r="E976" s="66" t="s">
        <v>3299</v>
      </c>
      <c r="F976" s="66" t="s">
        <v>3300</v>
      </c>
      <c r="G976" s="66" t="s">
        <v>127</v>
      </c>
      <c r="H976" s="66" t="s">
        <v>20</v>
      </c>
      <c r="I976" s="66">
        <v>4400.0</v>
      </c>
      <c r="J976" s="66" t="s">
        <v>3301</v>
      </c>
      <c r="K976" s="66" t="s">
        <v>512</v>
      </c>
      <c r="L976" s="66" t="s">
        <v>513</v>
      </c>
      <c r="M976" s="67">
        <v>12.0</v>
      </c>
      <c r="N976" s="66" t="s">
        <v>3302</v>
      </c>
      <c r="O976" s="66" t="s">
        <v>3303</v>
      </c>
    </row>
    <row r="977">
      <c r="A977" s="91">
        <v>45750.0</v>
      </c>
      <c r="B977" s="66" t="s">
        <v>3297</v>
      </c>
      <c r="C977" s="66">
        <v>8.07025030376E11</v>
      </c>
      <c r="D977" s="66" t="s">
        <v>3298</v>
      </c>
      <c r="E977" s="66" t="s">
        <v>3299</v>
      </c>
      <c r="F977" s="66" t="s">
        <v>3300</v>
      </c>
      <c r="G977" s="66" t="s">
        <v>127</v>
      </c>
      <c r="H977" s="66" t="s">
        <v>20</v>
      </c>
      <c r="I977" s="66">
        <v>4400.0</v>
      </c>
      <c r="J977" s="66" t="s">
        <v>3301</v>
      </c>
      <c r="K977" s="66" t="s">
        <v>1749</v>
      </c>
      <c r="L977" s="66" t="s">
        <v>3240</v>
      </c>
      <c r="M977" s="67">
        <v>2.0</v>
      </c>
      <c r="N977" s="66" t="s">
        <v>3302</v>
      </c>
      <c r="O977" s="66" t="s">
        <v>3303</v>
      </c>
    </row>
    <row r="978">
      <c r="A978" s="91">
        <v>45750.0</v>
      </c>
      <c r="B978" s="66" t="s">
        <v>3297</v>
      </c>
      <c r="C978" s="66">
        <v>8.07025030376E11</v>
      </c>
      <c r="D978" s="66" t="s">
        <v>3298</v>
      </c>
      <c r="E978" s="66" t="s">
        <v>3299</v>
      </c>
      <c r="F978" s="66" t="s">
        <v>3300</v>
      </c>
      <c r="G978" s="66" t="s">
        <v>127</v>
      </c>
      <c r="H978" s="66" t="s">
        <v>20</v>
      </c>
      <c r="I978" s="66">
        <v>4400.0</v>
      </c>
      <c r="J978" s="66" t="s">
        <v>3301</v>
      </c>
      <c r="K978" s="66" t="s">
        <v>3205</v>
      </c>
      <c r="L978" s="66" t="s">
        <v>3206</v>
      </c>
      <c r="M978" s="67">
        <v>2.0</v>
      </c>
      <c r="N978" s="66" t="s">
        <v>3302</v>
      </c>
      <c r="O978" s="66" t="s">
        <v>3303</v>
      </c>
    </row>
    <row r="979">
      <c r="A979" s="85">
        <v>45750.0</v>
      </c>
      <c r="B979" s="31" t="s">
        <v>3304</v>
      </c>
      <c r="C979" s="31">
        <v>8.07025030379E11</v>
      </c>
      <c r="D979" s="31" t="s">
        <v>3305</v>
      </c>
      <c r="E979" s="31" t="s">
        <v>3306</v>
      </c>
      <c r="F979" s="31" t="s">
        <v>3307</v>
      </c>
      <c r="G979" s="31" t="s">
        <v>296</v>
      </c>
      <c r="H979" s="31" t="s">
        <v>20</v>
      </c>
      <c r="I979" s="31">
        <v>4400.0</v>
      </c>
      <c r="J979" s="31" t="s">
        <v>3308</v>
      </c>
      <c r="K979" s="31" t="s">
        <v>3309</v>
      </c>
      <c r="L979" s="31" t="s">
        <v>3310</v>
      </c>
      <c r="M979" s="33">
        <v>1.0</v>
      </c>
      <c r="N979" s="31" t="s">
        <v>3311</v>
      </c>
      <c r="O979" s="31" t="s">
        <v>3312</v>
      </c>
    </row>
    <row r="980">
      <c r="A980" s="85">
        <v>45750.0</v>
      </c>
      <c r="B980" s="31" t="s">
        <v>3304</v>
      </c>
      <c r="C980" s="31">
        <v>8.07025030379E11</v>
      </c>
      <c r="D980" s="31" t="s">
        <v>3305</v>
      </c>
      <c r="E980" s="31" t="s">
        <v>3306</v>
      </c>
      <c r="F980" s="31" t="s">
        <v>3307</v>
      </c>
      <c r="G980" s="31" t="s">
        <v>296</v>
      </c>
      <c r="H980" s="31" t="s">
        <v>20</v>
      </c>
      <c r="I980" s="31">
        <v>4400.0</v>
      </c>
      <c r="J980" s="31" t="s">
        <v>3308</v>
      </c>
      <c r="K980" s="31" t="s">
        <v>3313</v>
      </c>
      <c r="L980" s="31" t="s">
        <v>3314</v>
      </c>
      <c r="M980" s="33">
        <v>1.0</v>
      </c>
      <c r="N980" s="31" t="s">
        <v>3311</v>
      </c>
      <c r="O980" s="31" t="s">
        <v>3312</v>
      </c>
    </row>
    <row r="981">
      <c r="A981" s="91">
        <v>45750.0</v>
      </c>
      <c r="B981" s="66" t="s">
        <v>3315</v>
      </c>
      <c r="C981" s="66">
        <v>8.070250304E11</v>
      </c>
      <c r="D981" s="66" t="s">
        <v>3316</v>
      </c>
      <c r="E981" s="66" t="s">
        <v>3317</v>
      </c>
      <c r="F981" s="66" t="s">
        <v>3318</v>
      </c>
      <c r="G981" s="66" t="s">
        <v>116</v>
      </c>
      <c r="H981" s="66" t="s">
        <v>20</v>
      </c>
      <c r="I981" s="66">
        <v>4400.0</v>
      </c>
      <c r="J981" s="66" t="s">
        <v>3319</v>
      </c>
      <c r="K981" s="66" t="s">
        <v>969</v>
      </c>
      <c r="L981" s="66" t="s">
        <v>3296</v>
      </c>
      <c r="M981" s="67">
        <v>1.0</v>
      </c>
      <c r="N981" s="66" t="s">
        <v>3320</v>
      </c>
      <c r="O981" s="66" t="s">
        <v>3321</v>
      </c>
    </row>
    <row r="982">
      <c r="A982" s="91">
        <v>45750.0</v>
      </c>
      <c r="B982" s="66" t="s">
        <v>3315</v>
      </c>
      <c r="C982" s="66">
        <v>8.070250304E11</v>
      </c>
      <c r="D982" s="66" t="s">
        <v>3316</v>
      </c>
      <c r="E982" s="66" t="s">
        <v>3317</v>
      </c>
      <c r="F982" s="66" t="s">
        <v>3318</v>
      </c>
      <c r="G982" s="66" t="s">
        <v>116</v>
      </c>
      <c r="H982" s="66" t="s">
        <v>20</v>
      </c>
      <c r="I982" s="66">
        <v>4400.0</v>
      </c>
      <c r="J982" s="66" t="s">
        <v>3319</v>
      </c>
      <c r="K982" s="66" t="s">
        <v>1040</v>
      </c>
      <c r="L982" s="66" t="s">
        <v>3294</v>
      </c>
      <c r="M982" s="67">
        <v>1.0</v>
      </c>
      <c r="N982" s="66" t="s">
        <v>3320</v>
      </c>
      <c r="O982" s="66" t="s">
        <v>3321</v>
      </c>
    </row>
    <row r="983">
      <c r="A983" s="91">
        <v>45750.0</v>
      </c>
      <c r="B983" s="66" t="s">
        <v>3315</v>
      </c>
      <c r="C983" s="66">
        <v>8.070250304E11</v>
      </c>
      <c r="D983" s="66" t="s">
        <v>3316</v>
      </c>
      <c r="E983" s="66" t="s">
        <v>3317</v>
      </c>
      <c r="F983" s="66" t="s">
        <v>3318</v>
      </c>
      <c r="G983" s="66" t="s">
        <v>116</v>
      </c>
      <c r="H983" s="66" t="s">
        <v>20</v>
      </c>
      <c r="I983" s="66">
        <v>4400.0</v>
      </c>
      <c r="J983" s="66" t="s">
        <v>3319</v>
      </c>
      <c r="K983" s="66" t="s">
        <v>512</v>
      </c>
      <c r="L983" s="66" t="s">
        <v>513</v>
      </c>
      <c r="M983" s="67">
        <v>6.0</v>
      </c>
      <c r="N983" s="66" t="s">
        <v>3320</v>
      </c>
      <c r="O983" s="66" t="s">
        <v>3321</v>
      </c>
    </row>
    <row r="984">
      <c r="A984" s="85">
        <v>45750.0</v>
      </c>
      <c r="B984" s="31" t="s">
        <v>3322</v>
      </c>
      <c r="C984" s="31">
        <v>8.07025030409E11</v>
      </c>
      <c r="D984" s="31" t="s">
        <v>3323</v>
      </c>
      <c r="E984" s="31" t="s">
        <v>3324</v>
      </c>
      <c r="F984" s="31" t="s">
        <v>3325</v>
      </c>
      <c r="G984" s="31" t="s">
        <v>116</v>
      </c>
      <c r="H984" s="31" t="s">
        <v>20</v>
      </c>
      <c r="I984" s="31">
        <v>4400.0</v>
      </c>
      <c r="J984" s="31" t="s">
        <v>3326</v>
      </c>
      <c r="K984" s="31" t="s">
        <v>2956</v>
      </c>
      <c r="L984" s="31" t="s">
        <v>3327</v>
      </c>
      <c r="M984" s="33">
        <v>1.0</v>
      </c>
      <c r="N984" s="31" t="s">
        <v>3328</v>
      </c>
      <c r="O984" s="31" t="s">
        <v>669</v>
      </c>
    </row>
    <row r="985" ht="14.25" customHeight="1">
      <c r="A985" s="91">
        <v>45750.0</v>
      </c>
      <c r="B985" s="66" t="s">
        <v>3329</v>
      </c>
      <c r="C985" s="66">
        <v>8.06419037548E11</v>
      </c>
      <c r="D985" s="66" t="s">
        <v>3330</v>
      </c>
      <c r="E985" s="66" t="s">
        <v>3331</v>
      </c>
      <c r="F985" s="66" t="s">
        <v>3332</v>
      </c>
      <c r="G985" s="66" t="s">
        <v>127</v>
      </c>
      <c r="H985" s="66" t="s">
        <v>20</v>
      </c>
      <c r="I985" s="66">
        <v>4400.0</v>
      </c>
      <c r="J985" s="66" t="s">
        <v>3333</v>
      </c>
      <c r="K985" s="66" t="s">
        <v>3334</v>
      </c>
      <c r="L985" s="66" t="s">
        <v>3335</v>
      </c>
      <c r="M985" s="67">
        <v>1.0</v>
      </c>
      <c r="N985" s="66" t="s">
        <v>3336</v>
      </c>
      <c r="O985" s="66" t="s">
        <v>3337</v>
      </c>
    </row>
    <row r="986">
      <c r="A986" s="91">
        <v>45750.0</v>
      </c>
      <c r="B986" s="66" t="s">
        <v>3329</v>
      </c>
      <c r="C986" s="66">
        <v>8.06419037548E11</v>
      </c>
      <c r="D986" s="66" t="s">
        <v>3330</v>
      </c>
      <c r="E986" s="66" t="s">
        <v>3338</v>
      </c>
      <c r="F986" s="66" t="s">
        <v>3332</v>
      </c>
      <c r="G986" s="66" t="s">
        <v>127</v>
      </c>
      <c r="H986" s="66" t="s">
        <v>20</v>
      </c>
      <c r="I986" s="66">
        <v>4400.0</v>
      </c>
      <c r="J986" s="66" t="s">
        <v>3333</v>
      </c>
      <c r="K986" s="66" t="s">
        <v>3339</v>
      </c>
      <c r="L986" s="66" t="s">
        <v>3340</v>
      </c>
      <c r="M986" s="67">
        <v>1.0</v>
      </c>
      <c r="N986" s="66" t="s">
        <v>3336</v>
      </c>
      <c r="O986" s="66" t="s">
        <v>3337</v>
      </c>
    </row>
    <row r="987" ht="9.0" customHeight="1">
      <c r="A987" s="87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9"/>
      <c r="N987" s="90"/>
      <c r="O987" s="90"/>
    </row>
    <row r="988">
      <c r="A988" s="91">
        <v>45755.0</v>
      </c>
      <c r="B988" s="66" t="s">
        <v>3341</v>
      </c>
      <c r="C988" s="66">
        <v>8.05011522049E11</v>
      </c>
      <c r="D988" s="66" t="s">
        <v>3342</v>
      </c>
      <c r="E988" s="66" t="s">
        <v>3343</v>
      </c>
      <c r="F988" s="66" t="s">
        <v>3344</v>
      </c>
      <c r="G988" s="66" t="s">
        <v>20</v>
      </c>
      <c r="H988" s="66" t="s">
        <v>20</v>
      </c>
      <c r="I988" s="66">
        <v>4400.0</v>
      </c>
      <c r="J988" s="66" t="s">
        <v>3345</v>
      </c>
      <c r="K988" s="66" t="s">
        <v>3054</v>
      </c>
      <c r="L988" s="66" t="s">
        <v>3346</v>
      </c>
      <c r="M988" s="67">
        <v>1.0</v>
      </c>
      <c r="N988" s="66" t="s">
        <v>3347</v>
      </c>
      <c r="O988" s="68"/>
    </row>
    <row r="989">
      <c r="A989" s="91">
        <v>45755.0</v>
      </c>
      <c r="B989" s="66" t="s">
        <v>3341</v>
      </c>
      <c r="C989" s="66">
        <v>8.05011522049E11</v>
      </c>
      <c r="D989" s="66" t="s">
        <v>3342</v>
      </c>
      <c r="E989" s="66" t="s">
        <v>3343</v>
      </c>
      <c r="F989" s="66" t="s">
        <v>3344</v>
      </c>
      <c r="G989" s="66" t="s">
        <v>20</v>
      </c>
      <c r="H989" s="66" t="s">
        <v>20</v>
      </c>
      <c r="I989" s="66">
        <v>4400.0</v>
      </c>
      <c r="J989" s="66" t="s">
        <v>3345</v>
      </c>
      <c r="K989" s="66" t="s">
        <v>512</v>
      </c>
      <c r="L989" s="66" t="s">
        <v>513</v>
      </c>
      <c r="M989" s="67">
        <v>6.0</v>
      </c>
      <c r="N989" s="66" t="s">
        <v>3347</v>
      </c>
      <c r="O989" s="68"/>
    </row>
    <row r="990">
      <c r="A990" s="91">
        <v>45755.0</v>
      </c>
      <c r="B990" s="66" t="s">
        <v>3341</v>
      </c>
      <c r="C990" s="66">
        <v>8.05011522049E11</v>
      </c>
      <c r="D990" s="66" t="s">
        <v>3342</v>
      </c>
      <c r="E990" s="66" t="s">
        <v>3343</v>
      </c>
      <c r="F990" s="66" t="s">
        <v>3344</v>
      </c>
      <c r="G990" s="66" t="s">
        <v>20</v>
      </c>
      <c r="H990" s="66" t="s">
        <v>20</v>
      </c>
      <c r="I990" s="66">
        <v>4400.0</v>
      </c>
      <c r="J990" s="66" t="s">
        <v>3345</v>
      </c>
      <c r="K990" s="66" t="s">
        <v>2031</v>
      </c>
      <c r="L990" s="66" t="s">
        <v>3348</v>
      </c>
      <c r="M990" s="67">
        <v>1.0</v>
      </c>
      <c r="N990" s="66" t="s">
        <v>3347</v>
      </c>
      <c r="O990" s="68"/>
    </row>
    <row r="991">
      <c r="A991" s="85">
        <v>45755.0</v>
      </c>
      <c r="B991" s="31" t="s">
        <v>3349</v>
      </c>
      <c r="C991" s="31">
        <v>8.05011522181E11</v>
      </c>
      <c r="D991" s="31" t="s">
        <v>3350</v>
      </c>
      <c r="E991" s="31" t="s">
        <v>3351</v>
      </c>
      <c r="F991" s="31" t="s">
        <v>3352</v>
      </c>
      <c r="G991" s="31" t="s">
        <v>376</v>
      </c>
      <c r="H991" s="31" t="s">
        <v>20</v>
      </c>
      <c r="I991" s="31">
        <v>4421.0</v>
      </c>
      <c r="J991" s="31" t="s">
        <v>3353</v>
      </c>
      <c r="K991" s="31" t="s">
        <v>289</v>
      </c>
      <c r="L991" s="31" t="s">
        <v>290</v>
      </c>
      <c r="M991" s="33">
        <v>1.0</v>
      </c>
      <c r="N991" s="31" t="s">
        <v>3354</v>
      </c>
      <c r="O991" s="34"/>
    </row>
    <row r="992">
      <c r="A992" s="91">
        <v>45755.0</v>
      </c>
      <c r="B992" s="66" t="s">
        <v>3355</v>
      </c>
      <c r="C992" s="66">
        <v>8.05011522558E11</v>
      </c>
      <c r="D992" s="66" t="s">
        <v>3356</v>
      </c>
      <c r="E992" s="66" t="s">
        <v>3357</v>
      </c>
      <c r="F992" s="66" t="s">
        <v>3358</v>
      </c>
      <c r="G992" s="66" t="s">
        <v>20</v>
      </c>
      <c r="H992" s="66" t="s">
        <v>20</v>
      </c>
      <c r="I992" s="66">
        <v>4408.0</v>
      </c>
      <c r="J992" s="66" t="s">
        <v>3359</v>
      </c>
      <c r="K992" s="66" t="s">
        <v>3360</v>
      </c>
      <c r="L992" s="66" t="s">
        <v>3361</v>
      </c>
      <c r="M992" s="67">
        <v>1.0</v>
      </c>
      <c r="N992" s="66" t="s">
        <v>3362</v>
      </c>
      <c r="O992" s="68"/>
    </row>
    <row r="993">
      <c r="A993" s="91">
        <v>45755.0</v>
      </c>
      <c r="B993" s="66" t="s">
        <v>3355</v>
      </c>
      <c r="C993" s="66">
        <v>8.05011522558E11</v>
      </c>
      <c r="D993" s="66" t="s">
        <v>3356</v>
      </c>
      <c r="E993" s="66" t="s">
        <v>3357</v>
      </c>
      <c r="F993" s="66" t="s">
        <v>3358</v>
      </c>
      <c r="G993" s="66" t="s">
        <v>20</v>
      </c>
      <c r="H993" s="66" t="s">
        <v>20</v>
      </c>
      <c r="I993" s="66">
        <v>4408.0</v>
      </c>
      <c r="J993" s="66" t="s">
        <v>3359</v>
      </c>
      <c r="K993" s="66" t="s">
        <v>512</v>
      </c>
      <c r="L993" s="66" t="s">
        <v>513</v>
      </c>
      <c r="M993" s="67">
        <v>12.0</v>
      </c>
      <c r="N993" s="66" t="s">
        <v>3362</v>
      </c>
      <c r="O993" s="68"/>
    </row>
    <row r="994">
      <c r="A994" s="91">
        <v>45755.0</v>
      </c>
      <c r="B994" s="66" t="s">
        <v>3355</v>
      </c>
      <c r="C994" s="66">
        <v>8.05011522558E11</v>
      </c>
      <c r="D994" s="66" t="s">
        <v>3356</v>
      </c>
      <c r="E994" s="66" t="s">
        <v>3357</v>
      </c>
      <c r="F994" s="66" t="s">
        <v>3358</v>
      </c>
      <c r="G994" s="66" t="s">
        <v>20</v>
      </c>
      <c r="H994" s="66" t="s">
        <v>20</v>
      </c>
      <c r="I994" s="66">
        <v>4408.0</v>
      </c>
      <c r="J994" s="66" t="s">
        <v>3359</v>
      </c>
      <c r="K994" s="66" t="s">
        <v>772</v>
      </c>
      <c r="L994" s="66" t="s">
        <v>3363</v>
      </c>
      <c r="M994" s="67">
        <v>2.0</v>
      </c>
      <c r="N994" s="66" t="s">
        <v>3362</v>
      </c>
      <c r="O994" s="68"/>
    </row>
    <row r="995">
      <c r="A995" s="85">
        <v>45755.0</v>
      </c>
      <c r="B995" s="31" t="s">
        <v>3364</v>
      </c>
      <c r="C995" s="31">
        <v>8.07025030382E11</v>
      </c>
      <c r="D995" s="31" t="s">
        <v>3272</v>
      </c>
      <c r="E995" s="31" t="s">
        <v>3273</v>
      </c>
      <c r="F995" s="31" t="s">
        <v>3274</v>
      </c>
      <c r="G995" s="31" t="s">
        <v>104</v>
      </c>
      <c r="H995" s="31" t="s">
        <v>20</v>
      </c>
      <c r="I995" s="31">
        <v>4401.0</v>
      </c>
      <c r="J995" s="31" t="s">
        <v>3275</v>
      </c>
      <c r="K995" s="31" t="s">
        <v>3276</v>
      </c>
      <c r="L995" s="31" t="s">
        <v>3277</v>
      </c>
      <c r="M995" s="33">
        <v>6.0</v>
      </c>
      <c r="N995" s="31" t="s">
        <v>3278</v>
      </c>
      <c r="O995" s="31" t="s">
        <v>3279</v>
      </c>
    </row>
    <row r="996">
      <c r="A996" s="91">
        <v>45755.0</v>
      </c>
      <c r="B996" s="66" t="s">
        <v>3365</v>
      </c>
      <c r="C996" s="66">
        <v>8.07025030421E11</v>
      </c>
      <c r="D996" s="66" t="s">
        <v>3366</v>
      </c>
      <c r="E996" s="66" t="s">
        <v>3367</v>
      </c>
      <c r="F996" s="66" t="s">
        <v>3368</v>
      </c>
      <c r="G996" s="66" t="s">
        <v>116</v>
      </c>
      <c r="H996" s="66" t="s">
        <v>20</v>
      </c>
      <c r="I996" s="66">
        <v>4400.0</v>
      </c>
      <c r="J996" s="66" t="s">
        <v>3369</v>
      </c>
      <c r="K996" s="66" t="s">
        <v>3285</v>
      </c>
      <c r="L996" s="66" t="s">
        <v>3286</v>
      </c>
      <c r="M996" s="67">
        <v>1.0</v>
      </c>
      <c r="N996" s="66" t="s">
        <v>3370</v>
      </c>
      <c r="O996" s="66" t="s">
        <v>1958</v>
      </c>
    </row>
    <row r="997">
      <c r="A997" s="85">
        <v>45755.0</v>
      </c>
      <c r="B997" s="31" t="s">
        <v>3371</v>
      </c>
      <c r="C997" s="31">
        <v>8.07025030413E11</v>
      </c>
      <c r="D997" s="31" t="s">
        <v>3372</v>
      </c>
      <c r="E997" s="31" t="s">
        <v>3373</v>
      </c>
      <c r="F997" s="31" t="s">
        <v>3374</v>
      </c>
      <c r="G997" s="31" t="s">
        <v>425</v>
      </c>
      <c r="H997" s="31" t="s">
        <v>20</v>
      </c>
      <c r="I997" s="31">
        <v>4407.0</v>
      </c>
      <c r="J997" s="31" t="s">
        <v>3375</v>
      </c>
      <c r="K997" s="31" t="s">
        <v>3376</v>
      </c>
      <c r="L997" s="31" t="s">
        <v>3377</v>
      </c>
      <c r="M997" s="33">
        <v>2.0</v>
      </c>
      <c r="N997" s="31" t="s">
        <v>3378</v>
      </c>
      <c r="O997" s="31" t="s">
        <v>425</v>
      </c>
    </row>
    <row r="998">
      <c r="A998" s="85">
        <v>45755.0</v>
      </c>
      <c r="B998" s="31" t="s">
        <v>3371</v>
      </c>
      <c r="C998" s="31">
        <v>8.07025030413E11</v>
      </c>
      <c r="D998" s="31" t="s">
        <v>3372</v>
      </c>
      <c r="E998" s="31" t="s">
        <v>3373</v>
      </c>
      <c r="F998" s="31" t="s">
        <v>3374</v>
      </c>
      <c r="G998" s="31" t="s">
        <v>425</v>
      </c>
      <c r="H998" s="31" t="s">
        <v>20</v>
      </c>
      <c r="I998" s="31">
        <v>4407.0</v>
      </c>
      <c r="J998" s="31" t="s">
        <v>3375</v>
      </c>
      <c r="K998" s="31" t="s">
        <v>512</v>
      </c>
      <c r="L998" s="31" t="s">
        <v>513</v>
      </c>
      <c r="M998" s="33">
        <v>12.0</v>
      </c>
      <c r="N998" s="31" t="s">
        <v>3378</v>
      </c>
      <c r="O998" s="31" t="s">
        <v>425</v>
      </c>
    </row>
    <row r="999">
      <c r="A999" s="85">
        <v>45755.0</v>
      </c>
      <c r="B999" s="31" t="s">
        <v>3371</v>
      </c>
      <c r="C999" s="31">
        <v>8.07025030413E11</v>
      </c>
      <c r="D999" s="31" t="s">
        <v>3372</v>
      </c>
      <c r="E999" s="31" t="s">
        <v>3373</v>
      </c>
      <c r="F999" s="31" t="s">
        <v>3374</v>
      </c>
      <c r="G999" s="31" t="s">
        <v>425</v>
      </c>
      <c r="H999" s="31" t="s">
        <v>20</v>
      </c>
      <c r="I999" s="31">
        <v>4407.0</v>
      </c>
      <c r="J999" s="31" t="s">
        <v>3375</v>
      </c>
      <c r="K999" s="31" t="s">
        <v>2031</v>
      </c>
      <c r="L999" s="31" t="s">
        <v>3348</v>
      </c>
      <c r="M999" s="33">
        <v>2.0</v>
      </c>
      <c r="N999" s="31" t="s">
        <v>3378</v>
      </c>
      <c r="O999" s="31" t="s">
        <v>425</v>
      </c>
    </row>
    <row r="1000">
      <c r="A1000" s="91">
        <v>45755.0</v>
      </c>
      <c r="B1000" s="66" t="s">
        <v>3379</v>
      </c>
      <c r="C1000" s="66">
        <v>8.05011522596E11</v>
      </c>
      <c r="D1000" s="66" t="s">
        <v>3380</v>
      </c>
      <c r="E1000" s="66" t="s">
        <v>3381</v>
      </c>
      <c r="F1000" s="66" t="s">
        <v>3382</v>
      </c>
      <c r="G1000" s="66" t="s">
        <v>3383</v>
      </c>
      <c r="H1000" s="66" t="s">
        <v>20</v>
      </c>
      <c r="I1000" s="66">
        <v>4449.0</v>
      </c>
      <c r="J1000" s="66" t="s">
        <v>3384</v>
      </c>
      <c r="K1000" s="66" t="s">
        <v>121</v>
      </c>
      <c r="L1000" s="66" t="s">
        <v>3199</v>
      </c>
      <c r="M1000" s="67">
        <v>2.0</v>
      </c>
      <c r="N1000" s="66" t="s">
        <v>3385</v>
      </c>
      <c r="O1000" s="68"/>
    </row>
    <row r="1001">
      <c r="A1001" s="91">
        <v>45755.0</v>
      </c>
      <c r="B1001" s="66" t="s">
        <v>3379</v>
      </c>
      <c r="C1001" s="66">
        <v>8.05011522596E11</v>
      </c>
      <c r="D1001" s="66" t="s">
        <v>3380</v>
      </c>
      <c r="E1001" s="66" t="s">
        <v>3381</v>
      </c>
      <c r="F1001" s="66" t="s">
        <v>3382</v>
      </c>
      <c r="G1001" s="66" t="s">
        <v>3383</v>
      </c>
      <c r="H1001" s="66" t="s">
        <v>20</v>
      </c>
      <c r="I1001" s="66">
        <v>4449.0</v>
      </c>
      <c r="J1001" s="66" t="s">
        <v>3384</v>
      </c>
      <c r="K1001" s="66" t="s">
        <v>768</v>
      </c>
      <c r="L1001" s="66" t="s">
        <v>3386</v>
      </c>
      <c r="M1001" s="67">
        <v>1.0</v>
      </c>
      <c r="N1001" s="66" t="s">
        <v>3385</v>
      </c>
      <c r="O1001" s="68"/>
    </row>
    <row r="1002">
      <c r="A1002" s="91">
        <v>45755.0</v>
      </c>
      <c r="B1002" s="66" t="s">
        <v>3379</v>
      </c>
      <c r="C1002" s="66">
        <v>8.05011522596E11</v>
      </c>
      <c r="D1002" s="66" t="s">
        <v>3380</v>
      </c>
      <c r="E1002" s="66" t="s">
        <v>3381</v>
      </c>
      <c r="F1002" s="66" t="s">
        <v>3382</v>
      </c>
      <c r="G1002" s="66" t="s">
        <v>3383</v>
      </c>
      <c r="H1002" s="66" t="s">
        <v>20</v>
      </c>
      <c r="I1002" s="66">
        <v>4449.0</v>
      </c>
      <c r="J1002" s="66" t="s">
        <v>3384</v>
      </c>
      <c r="K1002" s="66" t="s">
        <v>512</v>
      </c>
      <c r="L1002" s="66" t="s">
        <v>513</v>
      </c>
      <c r="M1002" s="67">
        <v>12.0</v>
      </c>
      <c r="N1002" s="66" t="s">
        <v>3385</v>
      </c>
      <c r="O1002" s="68"/>
    </row>
    <row r="1003">
      <c r="A1003" s="85">
        <v>45755.0</v>
      </c>
      <c r="B1003" s="31" t="s">
        <v>3387</v>
      </c>
      <c r="C1003" s="31">
        <v>8.05011523206E11</v>
      </c>
      <c r="D1003" s="31" t="s">
        <v>3388</v>
      </c>
      <c r="E1003" s="31" t="s">
        <v>3389</v>
      </c>
      <c r="F1003" s="31" t="s">
        <v>3390</v>
      </c>
      <c r="G1003" s="31" t="s">
        <v>20</v>
      </c>
      <c r="H1003" s="31" t="s">
        <v>20</v>
      </c>
      <c r="I1003" s="31">
        <v>4400.0</v>
      </c>
      <c r="J1003" s="31" t="s">
        <v>3391</v>
      </c>
      <c r="K1003" s="31" t="s">
        <v>645</v>
      </c>
      <c r="L1003" s="31" t="s">
        <v>3253</v>
      </c>
      <c r="M1003" s="33">
        <v>2.0</v>
      </c>
      <c r="N1003" s="31" t="s">
        <v>3392</v>
      </c>
      <c r="O1003" s="34"/>
    </row>
    <row r="1004">
      <c r="A1004" s="85">
        <v>45755.0</v>
      </c>
      <c r="B1004" s="31" t="s">
        <v>3387</v>
      </c>
      <c r="C1004" s="31">
        <v>8.05011523206E11</v>
      </c>
      <c r="D1004" s="31" t="s">
        <v>3388</v>
      </c>
      <c r="E1004" s="31" t="s">
        <v>3389</v>
      </c>
      <c r="F1004" s="31" t="s">
        <v>3390</v>
      </c>
      <c r="G1004" s="31" t="s">
        <v>20</v>
      </c>
      <c r="H1004" s="31" t="s">
        <v>20</v>
      </c>
      <c r="I1004" s="31">
        <v>4400.0</v>
      </c>
      <c r="J1004" s="31" t="s">
        <v>3391</v>
      </c>
      <c r="K1004" s="31" t="s">
        <v>512</v>
      </c>
      <c r="L1004" s="31" t="s">
        <v>513</v>
      </c>
      <c r="M1004" s="33">
        <v>12.0</v>
      </c>
      <c r="N1004" s="31" t="s">
        <v>3392</v>
      </c>
      <c r="O1004" s="34"/>
    </row>
    <row r="1005">
      <c r="A1005" s="85">
        <v>45755.0</v>
      </c>
      <c r="B1005" s="31" t="s">
        <v>3387</v>
      </c>
      <c r="C1005" s="31">
        <v>8.05011523206E11</v>
      </c>
      <c r="D1005" s="31" t="s">
        <v>3388</v>
      </c>
      <c r="E1005" s="31" t="s">
        <v>3389</v>
      </c>
      <c r="F1005" s="31" t="s">
        <v>3390</v>
      </c>
      <c r="G1005" s="31" t="s">
        <v>20</v>
      </c>
      <c r="H1005" s="31" t="s">
        <v>20</v>
      </c>
      <c r="I1005" s="31">
        <v>4400.0</v>
      </c>
      <c r="J1005" s="31" t="s">
        <v>3391</v>
      </c>
      <c r="K1005" s="31" t="s">
        <v>3393</v>
      </c>
      <c r="L1005" s="31" t="s">
        <v>3394</v>
      </c>
      <c r="M1005" s="33">
        <v>1.0</v>
      </c>
      <c r="N1005" s="31" t="s">
        <v>3392</v>
      </c>
      <c r="O1005" s="34"/>
    </row>
    <row r="1006">
      <c r="A1006" s="91">
        <v>45755.0</v>
      </c>
      <c r="B1006" s="66" t="s">
        <v>3395</v>
      </c>
      <c r="C1006" s="66">
        <v>8.05011523073E11</v>
      </c>
      <c r="D1006" s="66" t="s">
        <v>3396</v>
      </c>
      <c r="E1006" s="66" t="s">
        <v>3397</v>
      </c>
      <c r="F1006" s="66" t="s">
        <v>3398</v>
      </c>
      <c r="G1006" s="66" t="s">
        <v>20</v>
      </c>
      <c r="H1006" s="66" t="s">
        <v>20</v>
      </c>
      <c r="I1006" s="66">
        <v>4400.0</v>
      </c>
      <c r="J1006" s="66" t="s">
        <v>3399</v>
      </c>
      <c r="K1006" s="66" t="s">
        <v>512</v>
      </c>
      <c r="L1006" s="66" t="s">
        <v>513</v>
      </c>
      <c r="M1006" s="67">
        <v>6.0</v>
      </c>
      <c r="N1006" s="66" t="s">
        <v>3400</v>
      </c>
      <c r="O1006" s="68"/>
    </row>
    <row r="1007">
      <c r="A1007" s="91">
        <v>45755.0</v>
      </c>
      <c r="B1007" s="66" t="s">
        <v>3395</v>
      </c>
      <c r="C1007" s="66">
        <v>8.05011523073E11</v>
      </c>
      <c r="D1007" s="66" t="s">
        <v>3396</v>
      </c>
      <c r="E1007" s="66" t="s">
        <v>3397</v>
      </c>
      <c r="F1007" s="66" t="s">
        <v>3398</v>
      </c>
      <c r="G1007" s="66" t="s">
        <v>20</v>
      </c>
      <c r="H1007" s="66" t="s">
        <v>20</v>
      </c>
      <c r="I1007" s="66">
        <v>4400.0</v>
      </c>
      <c r="J1007" s="66" t="s">
        <v>3399</v>
      </c>
      <c r="K1007" s="66" t="s">
        <v>25</v>
      </c>
      <c r="L1007" s="66" t="s">
        <v>3401</v>
      </c>
      <c r="M1007" s="67">
        <v>1.0</v>
      </c>
      <c r="N1007" s="66" t="s">
        <v>3400</v>
      </c>
      <c r="O1007" s="68"/>
    </row>
    <row r="1008">
      <c r="A1008" s="91">
        <v>45755.0</v>
      </c>
      <c r="B1008" s="66" t="s">
        <v>3395</v>
      </c>
      <c r="C1008" s="66">
        <v>8.05011523073E11</v>
      </c>
      <c r="D1008" s="66" t="s">
        <v>3396</v>
      </c>
      <c r="E1008" s="66" t="s">
        <v>3397</v>
      </c>
      <c r="F1008" s="66" t="s">
        <v>3398</v>
      </c>
      <c r="G1008" s="66" t="s">
        <v>20</v>
      </c>
      <c r="H1008" s="66" t="s">
        <v>20</v>
      </c>
      <c r="I1008" s="66">
        <v>4400.0</v>
      </c>
      <c r="J1008" s="66" t="s">
        <v>3399</v>
      </c>
      <c r="K1008" s="66" t="s">
        <v>50</v>
      </c>
      <c r="L1008" s="66" t="s">
        <v>51</v>
      </c>
      <c r="M1008" s="67">
        <v>1.0</v>
      </c>
      <c r="N1008" s="66" t="s">
        <v>3400</v>
      </c>
      <c r="O1008" s="68"/>
    </row>
    <row r="1009">
      <c r="A1009" s="85">
        <v>45755.0</v>
      </c>
      <c r="B1009" s="31" t="s">
        <v>3402</v>
      </c>
      <c r="C1009" s="31">
        <v>8.07025030425E11</v>
      </c>
      <c r="D1009" s="31" t="s">
        <v>3403</v>
      </c>
      <c r="E1009" s="31" t="s">
        <v>3404</v>
      </c>
      <c r="F1009" s="31" t="s">
        <v>3405</v>
      </c>
      <c r="G1009" s="31" t="s">
        <v>116</v>
      </c>
      <c r="H1009" s="31" t="s">
        <v>20</v>
      </c>
      <c r="I1009" s="31">
        <v>4400.0</v>
      </c>
      <c r="J1009" s="31" t="s">
        <v>3406</v>
      </c>
      <c r="K1009" s="31" t="s">
        <v>3407</v>
      </c>
      <c r="L1009" s="31" t="s">
        <v>3408</v>
      </c>
      <c r="M1009" s="33">
        <v>1.0</v>
      </c>
      <c r="N1009" s="31" t="s">
        <v>3409</v>
      </c>
      <c r="O1009" s="31" t="s">
        <v>3182</v>
      </c>
    </row>
    <row r="1010">
      <c r="A1010" s="85">
        <v>45755.0</v>
      </c>
      <c r="B1010" s="31" t="s">
        <v>3402</v>
      </c>
      <c r="C1010" s="31">
        <v>8.07025030425E11</v>
      </c>
      <c r="D1010" s="31" t="s">
        <v>3403</v>
      </c>
      <c r="E1010" s="31" t="s">
        <v>3404</v>
      </c>
      <c r="F1010" s="31" t="s">
        <v>3405</v>
      </c>
      <c r="G1010" s="31" t="s">
        <v>116</v>
      </c>
      <c r="H1010" s="31" t="s">
        <v>20</v>
      </c>
      <c r="I1010" s="31">
        <v>4400.0</v>
      </c>
      <c r="J1010" s="31" t="s">
        <v>3406</v>
      </c>
      <c r="K1010" s="31" t="s">
        <v>3074</v>
      </c>
      <c r="L1010" s="31" t="s">
        <v>3232</v>
      </c>
      <c r="M1010" s="33">
        <v>1.0</v>
      </c>
      <c r="N1010" s="31" t="s">
        <v>3409</v>
      </c>
      <c r="O1010" s="31" t="s">
        <v>3182</v>
      </c>
    </row>
    <row r="1011">
      <c r="A1011" s="85">
        <v>45755.0</v>
      </c>
      <c r="B1011" s="31" t="s">
        <v>3402</v>
      </c>
      <c r="C1011" s="31">
        <v>8.07025030425E11</v>
      </c>
      <c r="D1011" s="31" t="s">
        <v>3403</v>
      </c>
      <c r="E1011" s="31" t="s">
        <v>3404</v>
      </c>
      <c r="F1011" s="31" t="s">
        <v>3405</v>
      </c>
      <c r="G1011" s="31" t="s">
        <v>116</v>
      </c>
      <c r="H1011" s="31" t="s">
        <v>20</v>
      </c>
      <c r="I1011" s="31">
        <v>4400.0</v>
      </c>
      <c r="J1011" s="31" t="s">
        <v>3406</v>
      </c>
      <c r="K1011" s="31" t="s">
        <v>512</v>
      </c>
      <c r="L1011" s="31" t="s">
        <v>513</v>
      </c>
      <c r="M1011" s="33">
        <v>6.0</v>
      </c>
      <c r="N1011" s="31" t="s">
        <v>3409</v>
      </c>
      <c r="O1011" s="31" t="s">
        <v>3182</v>
      </c>
    </row>
    <row r="1012">
      <c r="A1012" s="85">
        <v>45755.0</v>
      </c>
      <c r="B1012" s="31" t="s">
        <v>3402</v>
      </c>
      <c r="C1012" s="31">
        <v>8.07025030425E11</v>
      </c>
      <c r="D1012" s="31" t="s">
        <v>3403</v>
      </c>
      <c r="E1012" s="31" t="s">
        <v>3404</v>
      </c>
      <c r="F1012" s="31" t="s">
        <v>3405</v>
      </c>
      <c r="G1012" s="31" t="s">
        <v>116</v>
      </c>
      <c r="H1012" s="31" t="s">
        <v>20</v>
      </c>
      <c r="I1012" s="31">
        <v>4400.0</v>
      </c>
      <c r="J1012" s="31" t="s">
        <v>3406</v>
      </c>
      <c r="K1012" s="31" t="s">
        <v>670</v>
      </c>
      <c r="L1012" s="31" t="s">
        <v>3410</v>
      </c>
      <c r="M1012" s="33">
        <v>1.0</v>
      </c>
      <c r="N1012" s="31" t="s">
        <v>3409</v>
      </c>
      <c r="O1012" s="31" t="s">
        <v>3182</v>
      </c>
    </row>
    <row r="1013">
      <c r="A1013" s="91">
        <v>45755.0</v>
      </c>
      <c r="B1013" s="66" t="s">
        <v>3411</v>
      </c>
      <c r="C1013" s="66">
        <v>8.05011523395E11</v>
      </c>
      <c r="D1013" s="66" t="s">
        <v>3412</v>
      </c>
      <c r="E1013" s="66" t="s">
        <v>3413</v>
      </c>
      <c r="F1013" s="66" t="s">
        <v>3414</v>
      </c>
      <c r="G1013" s="66" t="s">
        <v>127</v>
      </c>
      <c r="H1013" s="66" t="s">
        <v>20</v>
      </c>
      <c r="I1013" s="66">
        <v>4400.0</v>
      </c>
      <c r="J1013" s="66" t="s">
        <v>3415</v>
      </c>
      <c r="K1013" s="66" t="s">
        <v>3131</v>
      </c>
      <c r="L1013" s="66" t="s">
        <v>3416</v>
      </c>
      <c r="M1013" s="67">
        <v>1.0</v>
      </c>
      <c r="N1013" s="66" t="s">
        <v>3417</v>
      </c>
      <c r="O1013" s="68"/>
    </row>
    <row r="1014">
      <c r="A1014" s="85">
        <v>45755.0</v>
      </c>
      <c r="B1014" s="31" t="s">
        <v>3418</v>
      </c>
      <c r="C1014" s="31">
        <v>8.05011523318E11</v>
      </c>
      <c r="D1014" s="31" t="s">
        <v>3419</v>
      </c>
      <c r="E1014" s="31" t="s">
        <v>3420</v>
      </c>
      <c r="F1014" s="31" t="s">
        <v>3421</v>
      </c>
      <c r="G1014" s="31" t="s">
        <v>3422</v>
      </c>
      <c r="H1014" s="31" t="s">
        <v>20</v>
      </c>
      <c r="I1014" s="31">
        <v>4448.0</v>
      </c>
      <c r="J1014" s="31" t="s">
        <v>3423</v>
      </c>
      <c r="K1014" s="31" t="s">
        <v>512</v>
      </c>
      <c r="L1014" s="31" t="s">
        <v>513</v>
      </c>
      <c r="M1014" s="33">
        <v>6.0</v>
      </c>
      <c r="N1014" s="31" t="s">
        <v>3424</v>
      </c>
      <c r="O1014" s="34"/>
    </row>
    <row r="1015">
      <c r="A1015" s="85">
        <v>45755.0</v>
      </c>
      <c r="B1015" s="31" t="s">
        <v>3418</v>
      </c>
      <c r="C1015" s="31">
        <v>8.05011523318E11</v>
      </c>
      <c r="D1015" s="31" t="s">
        <v>3419</v>
      </c>
      <c r="E1015" s="31" t="s">
        <v>3420</v>
      </c>
      <c r="F1015" s="31" t="s">
        <v>3421</v>
      </c>
      <c r="G1015" s="31" t="s">
        <v>3422</v>
      </c>
      <c r="H1015" s="31" t="s">
        <v>20</v>
      </c>
      <c r="I1015" s="31">
        <v>4448.0</v>
      </c>
      <c r="J1015" s="31" t="s">
        <v>3423</v>
      </c>
      <c r="K1015" s="31" t="s">
        <v>25</v>
      </c>
      <c r="L1015" s="31" t="s">
        <v>3401</v>
      </c>
      <c r="M1015" s="33">
        <v>1.0</v>
      </c>
      <c r="N1015" s="31" t="s">
        <v>3424</v>
      </c>
      <c r="O1015" s="34"/>
    </row>
    <row r="1016">
      <c r="A1016" s="85">
        <v>45755.0</v>
      </c>
      <c r="B1016" s="31" t="s">
        <v>3418</v>
      </c>
      <c r="C1016" s="31">
        <v>8.05011523318E11</v>
      </c>
      <c r="D1016" s="31" t="s">
        <v>3419</v>
      </c>
      <c r="E1016" s="31" t="s">
        <v>3420</v>
      </c>
      <c r="F1016" s="31" t="s">
        <v>3421</v>
      </c>
      <c r="G1016" s="31" t="s">
        <v>3422</v>
      </c>
      <c r="H1016" s="31" t="s">
        <v>20</v>
      </c>
      <c r="I1016" s="31">
        <v>4448.0</v>
      </c>
      <c r="J1016" s="31" t="s">
        <v>3423</v>
      </c>
      <c r="K1016" s="31" t="s">
        <v>360</v>
      </c>
      <c r="L1016" s="31" t="s">
        <v>3425</v>
      </c>
      <c r="M1016" s="33">
        <v>1.0</v>
      </c>
      <c r="N1016" s="31" t="s">
        <v>3424</v>
      </c>
      <c r="O1016" s="34"/>
    </row>
    <row r="1017">
      <c r="A1017" s="91">
        <v>45755.0</v>
      </c>
      <c r="B1017" s="66" t="s">
        <v>3426</v>
      </c>
      <c r="C1017" s="66">
        <v>8.05011523396E11</v>
      </c>
      <c r="D1017" s="66" t="s">
        <v>3427</v>
      </c>
      <c r="E1017" s="66" t="s">
        <v>3428</v>
      </c>
      <c r="F1017" s="66" t="s">
        <v>3429</v>
      </c>
      <c r="G1017" s="66" t="s">
        <v>20</v>
      </c>
      <c r="H1017" s="66" t="s">
        <v>20</v>
      </c>
      <c r="I1017" s="66">
        <v>4400.0</v>
      </c>
      <c r="J1017" s="66" t="s">
        <v>3430</v>
      </c>
      <c r="K1017" s="66" t="s">
        <v>3431</v>
      </c>
      <c r="L1017" s="66" t="s">
        <v>3432</v>
      </c>
      <c r="M1017" s="67">
        <v>1.0</v>
      </c>
      <c r="N1017" s="66" t="s">
        <v>3433</v>
      </c>
      <c r="O1017" s="68"/>
    </row>
    <row r="1018">
      <c r="A1018" s="91">
        <v>45755.0</v>
      </c>
      <c r="B1018" s="66" t="s">
        <v>3426</v>
      </c>
      <c r="C1018" s="66">
        <v>8.05011523396E11</v>
      </c>
      <c r="D1018" s="66" t="s">
        <v>3427</v>
      </c>
      <c r="E1018" s="66" t="s">
        <v>3428</v>
      </c>
      <c r="F1018" s="66" t="s">
        <v>3429</v>
      </c>
      <c r="G1018" s="66" t="s">
        <v>20</v>
      </c>
      <c r="H1018" s="66" t="s">
        <v>20</v>
      </c>
      <c r="I1018" s="66">
        <v>4400.0</v>
      </c>
      <c r="J1018" s="66" t="s">
        <v>3430</v>
      </c>
      <c r="K1018" s="66" t="s">
        <v>512</v>
      </c>
      <c r="L1018" s="66" t="s">
        <v>513</v>
      </c>
      <c r="M1018" s="67">
        <v>6.0</v>
      </c>
      <c r="N1018" s="66" t="s">
        <v>3433</v>
      </c>
      <c r="O1018" s="68"/>
    </row>
    <row r="1019">
      <c r="A1019" s="91">
        <v>45755.0</v>
      </c>
      <c r="B1019" s="66" t="s">
        <v>3426</v>
      </c>
      <c r="C1019" s="66">
        <v>8.05011523396E11</v>
      </c>
      <c r="D1019" s="66" t="s">
        <v>3427</v>
      </c>
      <c r="E1019" s="66" t="s">
        <v>3428</v>
      </c>
      <c r="F1019" s="66" t="s">
        <v>3429</v>
      </c>
      <c r="G1019" s="66" t="s">
        <v>20</v>
      </c>
      <c r="H1019" s="66" t="s">
        <v>20</v>
      </c>
      <c r="I1019" s="66">
        <v>4400.0</v>
      </c>
      <c r="J1019" s="66" t="s">
        <v>3430</v>
      </c>
      <c r="K1019" s="66" t="s">
        <v>670</v>
      </c>
      <c r="L1019" s="66" t="s">
        <v>3410</v>
      </c>
      <c r="M1019" s="67">
        <v>1.0</v>
      </c>
      <c r="N1019" s="66" t="s">
        <v>3433</v>
      </c>
      <c r="O1019" s="68"/>
    </row>
    <row r="1020">
      <c r="A1020" s="85">
        <v>45755.0</v>
      </c>
      <c r="B1020" s="31" t="s">
        <v>3434</v>
      </c>
      <c r="C1020" s="31">
        <v>8.0501152349E11</v>
      </c>
      <c r="D1020" s="31" t="s">
        <v>3435</v>
      </c>
      <c r="E1020" s="31" t="s">
        <v>3436</v>
      </c>
      <c r="F1020" s="31" t="s">
        <v>3437</v>
      </c>
      <c r="G1020" s="31" t="s">
        <v>368</v>
      </c>
      <c r="H1020" s="31" t="s">
        <v>20</v>
      </c>
      <c r="I1020" s="31">
        <v>4530.0</v>
      </c>
      <c r="J1020" s="31" t="s">
        <v>3438</v>
      </c>
      <c r="K1020" s="31" t="s">
        <v>670</v>
      </c>
      <c r="L1020" s="31" t="s">
        <v>3410</v>
      </c>
      <c r="M1020" s="33">
        <v>1.0</v>
      </c>
      <c r="N1020" s="31" t="s">
        <v>3439</v>
      </c>
      <c r="O1020" s="34"/>
    </row>
    <row r="1021">
      <c r="A1021" s="85">
        <v>45755.0</v>
      </c>
      <c r="B1021" s="31" t="s">
        <v>3434</v>
      </c>
      <c r="C1021" s="31">
        <v>8.0501152349E11</v>
      </c>
      <c r="D1021" s="31" t="s">
        <v>3435</v>
      </c>
      <c r="E1021" s="31" t="s">
        <v>3436</v>
      </c>
      <c r="F1021" s="31" t="s">
        <v>3437</v>
      </c>
      <c r="G1021" s="31" t="s">
        <v>368</v>
      </c>
      <c r="H1021" s="31" t="s">
        <v>20</v>
      </c>
      <c r="I1021" s="31">
        <v>4530.0</v>
      </c>
      <c r="J1021" s="31" t="s">
        <v>3438</v>
      </c>
      <c r="K1021" s="31" t="s">
        <v>3431</v>
      </c>
      <c r="L1021" s="31" t="s">
        <v>3432</v>
      </c>
      <c r="M1021" s="33">
        <v>1.0</v>
      </c>
      <c r="N1021" s="31" t="s">
        <v>3439</v>
      </c>
      <c r="O1021" s="34"/>
    </row>
    <row r="1022">
      <c r="A1022" s="85">
        <v>45755.0</v>
      </c>
      <c r="B1022" s="31" t="s">
        <v>3434</v>
      </c>
      <c r="C1022" s="31">
        <v>8.0501152349E11</v>
      </c>
      <c r="D1022" s="31" t="s">
        <v>3435</v>
      </c>
      <c r="E1022" s="31" t="s">
        <v>3436</v>
      </c>
      <c r="F1022" s="31" t="s">
        <v>3437</v>
      </c>
      <c r="G1022" s="31" t="s">
        <v>368</v>
      </c>
      <c r="H1022" s="31" t="s">
        <v>20</v>
      </c>
      <c r="I1022" s="31">
        <v>4530.0</v>
      </c>
      <c r="J1022" s="31" t="s">
        <v>3438</v>
      </c>
      <c r="K1022" s="31" t="s">
        <v>512</v>
      </c>
      <c r="L1022" s="31" t="s">
        <v>513</v>
      </c>
      <c r="M1022" s="33">
        <v>6.0</v>
      </c>
      <c r="N1022" s="31" t="s">
        <v>3439</v>
      </c>
      <c r="O1022" s="34"/>
    </row>
    <row r="1023">
      <c r="A1023" s="91">
        <v>45755.0</v>
      </c>
      <c r="B1023" s="66" t="s">
        <v>3440</v>
      </c>
      <c r="C1023" s="66">
        <v>8.05011523576E11</v>
      </c>
      <c r="D1023" s="66" t="s">
        <v>3441</v>
      </c>
      <c r="E1023" s="66" t="s">
        <v>3442</v>
      </c>
      <c r="F1023" s="66" t="s">
        <v>3443</v>
      </c>
      <c r="G1023" s="66" t="s">
        <v>20</v>
      </c>
      <c r="H1023" s="66" t="s">
        <v>20</v>
      </c>
      <c r="I1023" s="66">
        <v>4400.0</v>
      </c>
      <c r="J1023" s="66" t="s">
        <v>3444</v>
      </c>
      <c r="K1023" s="66" t="s">
        <v>512</v>
      </c>
      <c r="L1023" s="66" t="s">
        <v>513</v>
      </c>
      <c r="M1023" s="67">
        <v>12.0</v>
      </c>
      <c r="N1023" s="66" t="s">
        <v>3445</v>
      </c>
      <c r="O1023" s="68"/>
    </row>
    <row r="1024">
      <c r="A1024" s="91">
        <v>45755.0</v>
      </c>
      <c r="B1024" s="66" t="s">
        <v>3440</v>
      </c>
      <c r="C1024" s="66">
        <v>8.05011523576E11</v>
      </c>
      <c r="D1024" s="66" t="s">
        <v>3441</v>
      </c>
      <c r="E1024" s="66" t="s">
        <v>3442</v>
      </c>
      <c r="F1024" s="66" t="s">
        <v>3443</v>
      </c>
      <c r="G1024" s="66" t="s">
        <v>20</v>
      </c>
      <c r="H1024" s="66" t="s">
        <v>20</v>
      </c>
      <c r="I1024" s="66">
        <v>4400.0</v>
      </c>
      <c r="J1024" s="66" t="s">
        <v>3444</v>
      </c>
      <c r="K1024" s="66" t="s">
        <v>2171</v>
      </c>
      <c r="L1024" s="66" t="s">
        <v>3446</v>
      </c>
      <c r="M1024" s="67">
        <v>2.0</v>
      </c>
      <c r="N1024" s="66" t="s">
        <v>3445</v>
      </c>
      <c r="O1024" s="68"/>
    </row>
    <row r="1025">
      <c r="A1025" s="91">
        <v>45755.0</v>
      </c>
      <c r="B1025" s="66" t="s">
        <v>3440</v>
      </c>
      <c r="C1025" s="66">
        <v>8.05011523576E11</v>
      </c>
      <c r="D1025" s="66" t="s">
        <v>3441</v>
      </c>
      <c r="E1025" s="66" t="s">
        <v>3442</v>
      </c>
      <c r="F1025" s="66" t="s">
        <v>3443</v>
      </c>
      <c r="G1025" s="66" t="s">
        <v>20</v>
      </c>
      <c r="H1025" s="66" t="s">
        <v>20</v>
      </c>
      <c r="I1025" s="66">
        <v>4400.0</v>
      </c>
      <c r="J1025" s="66" t="s">
        <v>3444</v>
      </c>
      <c r="K1025" s="66" t="s">
        <v>3447</v>
      </c>
      <c r="L1025" s="66" t="s">
        <v>3448</v>
      </c>
      <c r="M1025" s="67">
        <v>2.0</v>
      </c>
      <c r="N1025" s="66" t="s">
        <v>3445</v>
      </c>
      <c r="O1025" s="68"/>
    </row>
    <row r="1026">
      <c r="A1026" s="91">
        <v>45755.0</v>
      </c>
      <c r="B1026" s="66" t="s">
        <v>3449</v>
      </c>
      <c r="C1026" s="66">
        <v>8.05011523555E11</v>
      </c>
      <c r="D1026" s="66" t="s">
        <v>3441</v>
      </c>
      <c r="E1026" s="66" t="s">
        <v>3442</v>
      </c>
      <c r="F1026" s="66" t="s">
        <v>3450</v>
      </c>
      <c r="G1026" s="66" t="s">
        <v>1038</v>
      </c>
      <c r="H1026" s="66" t="s">
        <v>20</v>
      </c>
      <c r="I1026" s="66">
        <v>4401.0</v>
      </c>
      <c r="J1026" s="66" t="s">
        <v>3444</v>
      </c>
      <c r="K1026" s="66" t="s">
        <v>512</v>
      </c>
      <c r="L1026" s="66" t="s">
        <v>513</v>
      </c>
      <c r="M1026" s="67">
        <v>6.0</v>
      </c>
      <c r="N1026" s="66" t="s">
        <v>3445</v>
      </c>
      <c r="O1026" s="68"/>
    </row>
    <row r="1027">
      <c r="A1027" s="91">
        <v>45755.0</v>
      </c>
      <c r="B1027" s="66" t="s">
        <v>3449</v>
      </c>
      <c r="C1027" s="66">
        <v>8.05011523555E11</v>
      </c>
      <c r="D1027" s="66" t="s">
        <v>3441</v>
      </c>
      <c r="E1027" s="66" t="s">
        <v>3442</v>
      </c>
      <c r="F1027" s="66" t="s">
        <v>3450</v>
      </c>
      <c r="G1027" s="66" t="s">
        <v>1038</v>
      </c>
      <c r="H1027" s="66" t="s">
        <v>20</v>
      </c>
      <c r="I1027" s="66">
        <v>4401.0</v>
      </c>
      <c r="J1027" s="66" t="s">
        <v>3444</v>
      </c>
      <c r="K1027" s="66" t="s">
        <v>3451</v>
      </c>
      <c r="L1027" s="66" t="s">
        <v>3452</v>
      </c>
      <c r="M1027" s="67">
        <v>1.0</v>
      </c>
      <c r="N1027" s="66" t="s">
        <v>3445</v>
      </c>
      <c r="O1027" s="68"/>
    </row>
    <row r="1028">
      <c r="A1028" s="91">
        <v>45755.0</v>
      </c>
      <c r="B1028" s="66" t="s">
        <v>3449</v>
      </c>
      <c r="C1028" s="66">
        <v>8.05011523555E11</v>
      </c>
      <c r="D1028" s="66" t="s">
        <v>3441</v>
      </c>
      <c r="E1028" s="66" t="s">
        <v>3442</v>
      </c>
      <c r="F1028" s="66" t="s">
        <v>3450</v>
      </c>
      <c r="G1028" s="66" t="s">
        <v>1038</v>
      </c>
      <c r="H1028" s="66" t="s">
        <v>20</v>
      </c>
      <c r="I1028" s="66">
        <v>4401.0</v>
      </c>
      <c r="J1028" s="66" t="s">
        <v>3444</v>
      </c>
      <c r="K1028" s="66" t="s">
        <v>670</v>
      </c>
      <c r="L1028" s="66" t="s">
        <v>3410</v>
      </c>
      <c r="M1028" s="67">
        <v>1.0</v>
      </c>
      <c r="N1028" s="66" t="s">
        <v>3445</v>
      </c>
      <c r="O1028" s="68"/>
    </row>
    <row r="1029">
      <c r="A1029" s="85">
        <v>45755.0</v>
      </c>
      <c r="B1029" s="31" t="s">
        <v>3453</v>
      </c>
      <c r="C1029" s="31">
        <v>8.0501152341E11</v>
      </c>
      <c r="D1029" s="31" t="s">
        <v>3454</v>
      </c>
      <c r="E1029" s="31" t="s">
        <v>3455</v>
      </c>
      <c r="F1029" s="31" t="s">
        <v>3456</v>
      </c>
      <c r="G1029" s="31" t="s">
        <v>3457</v>
      </c>
      <c r="H1029" s="31" t="s">
        <v>20</v>
      </c>
      <c r="I1029" s="31">
        <v>4449.0</v>
      </c>
      <c r="J1029" s="31" t="s">
        <v>3458</v>
      </c>
      <c r="K1029" s="31" t="s">
        <v>233</v>
      </c>
      <c r="L1029" s="31" t="s">
        <v>3459</v>
      </c>
      <c r="M1029" s="33">
        <v>2.0</v>
      </c>
      <c r="N1029" s="31" t="s">
        <v>3460</v>
      </c>
      <c r="O1029" s="34"/>
    </row>
    <row r="1030">
      <c r="A1030" s="85">
        <v>45755.0</v>
      </c>
      <c r="B1030" s="31" t="s">
        <v>3453</v>
      </c>
      <c r="C1030" s="31">
        <v>8.0501152341E11</v>
      </c>
      <c r="D1030" s="31" t="s">
        <v>3454</v>
      </c>
      <c r="E1030" s="31" t="s">
        <v>3455</v>
      </c>
      <c r="F1030" s="31" t="s">
        <v>3456</v>
      </c>
      <c r="G1030" s="31" t="s">
        <v>3457</v>
      </c>
      <c r="H1030" s="31" t="s">
        <v>20</v>
      </c>
      <c r="I1030" s="31">
        <v>4449.0</v>
      </c>
      <c r="J1030" s="31" t="s">
        <v>3458</v>
      </c>
      <c r="K1030" s="31" t="s">
        <v>262</v>
      </c>
      <c r="L1030" s="31" t="s">
        <v>3461</v>
      </c>
      <c r="M1030" s="33">
        <v>1.0</v>
      </c>
      <c r="N1030" s="31" t="s">
        <v>3460</v>
      </c>
      <c r="O1030" s="34"/>
    </row>
    <row r="1031">
      <c r="A1031" s="85">
        <v>45755.0</v>
      </c>
      <c r="B1031" s="31" t="s">
        <v>3453</v>
      </c>
      <c r="C1031" s="31">
        <v>8.0501152341E11</v>
      </c>
      <c r="D1031" s="31" t="s">
        <v>3454</v>
      </c>
      <c r="E1031" s="31" t="s">
        <v>3455</v>
      </c>
      <c r="F1031" s="31" t="s">
        <v>3456</v>
      </c>
      <c r="G1031" s="31" t="s">
        <v>3457</v>
      </c>
      <c r="H1031" s="31" t="s">
        <v>20</v>
      </c>
      <c r="I1031" s="31">
        <v>4449.0</v>
      </c>
      <c r="J1031" s="31" t="s">
        <v>3458</v>
      </c>
      <c r="K1031" s="31" t="s">
        <v>512</v>
      </c>
      <c r="L1031" s="31" t="s">
        <v>513</v>
      </c>
      <c r="M1031" s="33">
        <v>12.0</v>
      </c>
      <c r="N1031" s="31" t="s">
        <v>3460</v>
      </c>
      <c r="O1031" s="34"/>
    </row>
    <row r="1032">
      <c r="A1032" s="91">
        <v>45755.0</v>
      </c>
      <c r="B1032" s="66" t="s">
        <v>3462</v>
      </c>
      <c r="C1032" s="66">
        <v>8.06015090649E11</v>
      </c>
      <c r="D1032" s="66" t="s">
        <v>3463</v>
      </c>
      <c r="E1032" s="66" t="s">
        <v>3464</v>
      </c>
      <c r="F1032" s="66" t="s">
        <v>3465</v>
      </c>
      <c r="G1032" s="66" t="s">
        <v>3466</v>
      </c>
      <c r="H1032" s="66" t="s">
        <v>20</v>
      </c>
      <c r="I1032" s="66">
        <v>4530.0</v>
      </c>
      <c r="J1032" s="66" t="s">
        <v>3467</v>
      </c>
      <c r="K1032" s="66" t="s">
        <v>659</v>
      </c>
      <c r="L1032" s="66" t="s">
        <v>3468</v>
      </c>
      <c r="M1032" s="67">
        <v>1.0</v>
      </c>
      <c r="N1032" s="66" t="s">
        <v>3469</v>
      </c>
      <c r="O1032" s="66" t="s">
        <v>3470</v>
      </c>
    </row>
    <row r="1033">
      <c r="A1033" s="91">
        <v>45755.0</v>
      </c>
      <c r="B1033" s="66" t="s">
        <v>3471</v>
      </c>
      <c r="C1033" s="66">
        <v>8.06015090646E11</v>
      </c>
      <c r="D1033" s="66" t="s">
        <v>3463</v>
      </c>
      <c r="E1033" s="66" t="s">
        <v>3464</v>
      </c>
      <c r="F1033" s="66" t="s">
        <v>3465</v>
      </c>
      <c r="G1033" s="66" t="s">
        <v>3466</v>
      </c>
      <c r="H1033" s="66" t="s">
        <v>20</v>
      </c>
      <c r="I1033" s="66">
        <v>4530.0</v>
      </c>
      <c r="J1033" s="66" t="s">
        <v>3467</v>
      </c>
      <c r="K1033" s="66" t="s">
        <v>2412</v>
      </c>
      <c r="L1033" s="66" t="s">
        <v>2413</v>
      </c>
      <c r="M1033" s="67">
        <v>1.0</v>
      </c>
      <c r="N1033" s="66" t="s">
        <v>3469</v>
      </c>
      <c r="O1033" s="66" t="s">
        <v>3470</v>
      </c>
    </row>
    <row r="1034">
      <c r="A1034" s="85">
        <v>45755.0</v>
      </c>
      <c r="B1034" s="31" t="s">
        <v>3472</v>
      </c>
      <c r="C1034" s="31">
        <v>8.05011523683E11</v>
      </c>
      <c r="D1034" s="31" t="s">
        <v>3473</v>
      </c>
      <c r="E1034" s="31" t="s">
        <v>3474</v>
      </c>
      <c r="F1034" s="31" t="s">
        <v>3475</v>
      </c>
      <c r="G1034" s="31" t="s">
        <v>20</v>
      </c>
      <c r="H1034" s="31" t="s">
        <v>20</v>
      </c>
      <c r="I1034" s="31">
        <v>4400.0</v>
      </c>
      <c r="J1034" s="31" t="s">
        <v>3476</v>
      </c>
      <c r="K1034" s="31">
        <v>139004.0</v>
      </c>
      <c r="L1034" s="31" t="s">
        <v>3477</v>
      </c>
      <c r="M1034" s="33">
        <v>1.0</v>
      </c>
      <c r="N1034" s="34"/>
      <c r="O1034" s="34"/>
    </row>
    <row r="1035">
      <c r="A1035" s="91">
        <v>45755.0</v>
      </c>
      <c r="B1035" s="66" t="s">
        <v>3478</v>
      </c>
      <c r="C1035" s="66">
        <v>8.05011523863E11</v>
      </c>
      <c r="D1035" s="66" t="s">
        <v>3479</v>
      </c>
      <c r="E1035" s="66" t="s">
        <v>3480</v>
      </c>
      <c r="F1035" s="66" t="s">
        <v>3481</v>
      </c>
      <c r="G1035" s="66" t="s">
        <v>20</v>
      </c>
      <c r="H1035" s="66" t="s">
        <v>20</v>
      </c>
      <c r="I1035" s="66">
        <v>4400.0</v>
      </c>
      <c r="J1035" s="66" t="s">
        <v>3482</v>
      </c>
      <c r="K1035" s="66" t="s">
        <v>512</v>
      </c>
      <c r="L1035" s="66" t="s">
        <v>513</v>
      </c>
      <c r="M1035" s="67">
        <v>12.0</v>
      </c>
      <c r="N1035" s="66" t="s">
        <v>3483</v>
      </c>
      <c r="O1035" s="68"/>
    </row>
    <row r="1036">
      <c r="A1036" s="91">
        <v>45755.0</v>
      </c>
      <c r="B1036" s="66" t="s">
        <v>3478</v>
      </c>
      <c r="C1036" s="66">
        <v>8.05011523863E11</v>
      </c>
      <c r="D1036" s="66" t="s">
        <v>3479</v>
      </c>
      <c r="E1036" s="66" t="s">
        <v>3480</v>
      </c>
      <c r="F1036" s="66" t="s">
        <v>3481</v>
      </c>
      <c r="G1036" s="66" t="s">
        <v>20</v>
      </c>
      <c r="H1036" s="66" t="s">
        <v>20</v>
      </c>
      <c r="I1036" s="66">
        <v>4400.0</v>
      </c>
      <c r="J1036" s="66" t="s">
        <v>3482</v>
      </c>
      <c r="K1036" s="66" t="s">
        <v>3484</v>
      </c>
      <c r="L1036" s="66" t="s">
        <v>3485</v>
      </c>
      <c r="M1036" s="67">
        <v>1.0</v>
      </c>
      <c r="N1036" s="66" t="s">
        <v>3483</v>
      </c>
      <c r="O1036" s="68"/>
    </row>
    <row r="1037">
      <c r="A1037" s="91">
        <v>45755.0</v>
      </c>
      <c r="B1037" s="66" t="s">
        <v>3478</v>
      </c>
      <c r="C1037" s="66">
        <v>8.05011523863E11</v>
      </c>
      <c r="D1037" s="66" t="s">
        <v>3479</v>
      </c>
      <c r="E1037" s="66" t="s">
        <v>3480</v>
      </c>
      <c r="F1037" s="66" t="s">
        <v>3481</v>
      </c>
      <c r="G1037" s="66" t="s">
        <v>20</v>
      </c>
      <c r="H1037" s="66" t="s">
        <v>20</v>
      </c>
      <c r="I1037" s="66">
        <v>4400.0</v>
      </c>
      <c r="J1037" s="66" t="s">
        <v>3482</v>
      </c>
      <c r="K1037" s="66" t="s">
        <v>340</v>
      </c>
      <c r="L1037" s="66" t="s">
        <v>3486</v>
      </c>
      <c r="M1037" s="67">
        <v>2.0</v>
      </c>
      <c r="N1037" s="66" t="s">
        <v>3483</v>
      </c>
      <c r="O1037" s="68"/>
    </row>
    <row r="1038">
      <c r="A1038" s="85">
        <v>45755.0</v>
      </c>
      <c r="B1038" s="31" t="s">
        <v>3487</v>
      </c>
      <c r="C1038" s="31">
        <v>8.05011523931E11</v>
      </c>
      <c r="D1038" s="31" t="s">
        <v>3488</v>
      </c>
      <c r="E1038" s="31" t="s">
        <v>3489</v>
      </c>
      <c r="F1038" s="31" t="s">
        <v>3490</v>
      </c>
      <c r="G1038" s="31" t="s">
        <v>3491</v>
      </c>
      <c r="H1038" s="31" t="s">
        <v>20</v>
      </c>
      <c r="I1038" s="31">
        <v>4400.0</v>
      </c>
      <c r="J1038" s="31" t="s">
        <v>3492</v>
      </c>
      <c r="K1038" s="31" t="s">
        <v>3025</v>
      </c>
      <c r="L1038" s="31" t="s">
        <v>3493</v>
      </c>
      <c r="M1038" s="33">
        <v>1.0</v>
      </c>
      <c r="N1038" s="31" t="s">
        <v>3494</v>
      </c>
      <c r="O1038" s="34"/>
    </row>
    <row r="1039">
      <c r="A1039" s="91">
        <v>45755.0</v>
      </c>
      <c r="B1039" s="66" t="s">
        <v>3495</v>
      </c>
      <c r="C1039" s="66">
        <v>8.07025030491E11</v>
      </c>
      <c r="D1039" s="66" t="s">
        <v>3496</v>
      </c>
      <c r="E1039" s="66" t="s">
        <v>3497</v>
      </c>
      <c r="F1039" s="66" t="s">
        <v>3498</v>
      </c>
      <c r="G1039" s="66" t="s">
        <v>116</v>
      </c>
      <c r="H1039" s="66" t="s">
        <v>20</v>
      </c>
      <c r="I1039" s="66">
        <v>4400.0</v>
      </c>
      <c r="J1039" s="66" t="s">
        <v>3499</v>
      </c>
      <c r="K1039" s="66" t="s">
        <v>1241</v>
      </c>
      <c r="L1039" s="66" t="s">
        <v>3500</v>
      </c>
      <c r="M1039" s="67">
        <v>2.0</v>
      </c>
      <c r="N1039" s="66" t="s">
        <v>3501</v>
      </c>
      <c r="O1039" s="66" t="s">
        <v>3502</v>
      </c>
    </row>
    <row r="1040">
      <c r="A1040" s="91">
        <v>45755.0</v>
      </c>
      <c r="B1040" s="66" t="s">
        <v>3495</v>
      </c>
      <c r="C1040" s="66">
        <v>8.07025030491E11</v>
      </c>
      <c r="D1040" s="66" t="s">
        <v>3496</v>
      </c>
      <c r="E1040" s="66" t="s">
        <v>3497</v>
      </c>
      <c r="F1040" s="66" t="s">
        <v>3498</v>
      </c>
      <c r="G1040" s="66" t="s">
        <v>116</v>
      </c>
      <c r="H1040" s="66" t="s">
        <v>20</v>
      </c>
      <c r="I1040" s="66">
        <v>4400.0</v>
      </c>
      <c r="J1040" s="66" t="s">
        <v>3499</v>
      </c>
      <c r="K1040" s="66" t="s">
        <v>32</v>
      </c>
      <c r="L1040" s="66" t="s">
        <v>3225</v>
      </c>
      <c r="M1040" s="67">
        <v>1.0</v>
      </c>
      <c r="N1040" s="66" t="s">
        <v>3501</v>
      </c>
      <c r="O1040" s="66" t="s">
        <v>3502</v>
      </c>
    </row>
    <row r="1041">
      <c r="A1041" s="85">
        <v>45755.0</v>
      </c>
      <c r="B1041" s="31" t="s">
        <v>3503</v>
      </c>
      <c r="C1041" s="31">
        <v>8.07025030488E11</v>
      </c>
      <c r="D1041" s="31" t="s">
        <v>3504</v>
      </c>
      <c r="E1041" s="31" t="s">
        <v>3505</v>
      </c>
      <c r="F1041" s="31" t="s">
        <v>3506</v>
      </c>
      <c r="G1041" s="31" t="s">
        <v>1859</v>
      </c>
      <c r="H1041" s="31" t="s">
        <v>20</v>
      </c>
      <c r="I1041" s="31">
        <v>4400.0</v>
      </c>
      <c r="J1041" s="31" t="s">
        <v>3507</v>
      </c>
      <c r="K1041" s="31" t="s">
        <v>3508</v>
      </c>
      <c r="L1041" s="31" t="s">
        <v>3509</v>
      </c>
      <c r="M1041" s="33">
        <v>1.0</v>
      </c>
      <c r="N1041" s="31" t="s">
        <v>2240</v>
      </c>
      <c r="O1041" s="31" t="s">
        <v>261</v>
      </c>
    </row>
    <row r="1042">
      <c r="A1042" s="85">
        <v>45755.0</v>
      </c>
      <c r="B1042" s="31" t="s">
        <v>3503</v>
      </c>
      <c r="C1042" s="31">
        <v>8.07025030488E11</v>
      </c>
      <c r="D1042" s="31" t="s">
        <v>3504</v>
      </c>
      <c r="E1042" s="31" t="s">
        <v>3505</v>
      </c>
      <c r="F1042" s="31" t="s">
        <v>3506</v>
      </c>
      <c r="G1042" s="31" t="s">
        <v>1859</v>
      </c>
      <c r="H1042" s="31" t="s">
        <v>20</v>
      </c>
      <c r="I1042" s="31">
        <v>4400.0</v>
      </c>
      <c r="J1042" s="31" t="s">
        <v>3507</v>
      </c>
      <c r="K1042" s="31" t="s">
        <v>3510</v>
      </c>
      <c r="L1042" s="31" t="s">
        <v>3511</v>
      </c>
      <c r="M1042" s="33">
        <v>1.0</v>
      </c>
      <c r="N1042" s="31" t="s">
        <v>2240</v>
      </c>
      <c r="O1042" s="31" t="s">
        <v>261</v>
      </c>
    </row>
    <row r="1043">
      <c r="A1043" s="85">
        <v>45755.0</v>
      </c>
      <c r="B1043" s="31" t="s">
        <v>3503</v>
      </c>
      <c r="C1043" s="31">
        <v>8.07025030488E11</v>
      </c>
      <c r="D1043" s="31" t="s">
        <v>3504</v>
      </c>
      <c r="E1043" s="31" t="s">
        <v>3505</v>
      </c>
      <c r="F1043" s="31" t="s">
        <v>3506</v>
      </c>
      <c r="G1043" s="31" t="s">
        <v>1859</v>
      </c>
      <c r="H1043" s="31" t="s">
        <v>20</v>
      </c>
      <c r="I1043" s="31">
        <v>4400.0</v>
      </c>
      <c r="J1043" s="31" t="s">
        <v>3507</v>
      </c>
      <c r="K1043" s="31" t="s">
        <v>3512</v>
      </c>
      <c r="L1043" s="31" t="s">
        <v>3513</v>
      </c>
      <c r="M1043" s="33">
        <v>6.0</v>
      </c>
      <c r="N1043" s="31" t="s">
        <v>2240</v>
      </c>
      <c r="O1043" s="31" t="s">
        <v>261</v>
      </c>
    </row>
    <row r="1044">
      <c r="A1044" s="91">
        <v>45755.0</v>
      </c>
      <c r="B1044" s="66" t="s">
        <v>3514</v>
      </c>
      <c r="C1044" s="66">
        <v>8.07025030475E11</v>
      </c>
      <c r="D1044" s="66" t="s">
        <v>3515</v>
      </c>
      <c r="E1044" s="66" t="s">
        <v>3516</v>
      </c>
      <c r="F1044" s="66" t="s">
        <v>3517</v>
      </c>
      <c r="G1044" s="66" t="s">
        <v>116</v>
      </c>
      <c r="H1044" s="66" t="s">
        <v>20</v>
      </c>
      <c r="I1044" s="66">
        <v>4400.0</v>
      </c>
      <c r="J1044" s="66" t="s">
        <v>3518</v>
      </c>
      <c r="K1044" s="66" t="s">
        <v>2171</v>
      </c>
      <c r="L1044" s="66" t="s">
        <v>3446</v>
      </c>
      <c r="M1044" s="67">
        <v>1.0</v>
      </c>
      <c r="N1044" s="66" t="s">
        <v>3519</v>
      </c>
      <c r="O1044" s="66" t="s">
        <v>669</v>
      </c>
    </row>
    <row r="1045">
      <c r="A1045" s="91">
        <v>45755.0</v>
      </c>
      <c r="B1045" s="66" t="s">
        <v>3514</v>
      </c>
      <c r="C1045" s="66">
        <v>8.07025030475E11</v>
      </c>
      <c r="D1045" s="66" t="s">
        <v>3515</v>
      </c>
      <c r="E1045" s="66" t="s">
        <v>3516</v>
      </c>
      <c r="F1045" s="66" t="s">
        <v>3517</v>
      </c>
      <c r="G1045" s="66" t="s">
        <v>116</v>
      </c>
      <c r="H1045" s="66" t="s">
        <v>20</v>
      </c>
      <c r="I1045" s="66">
        <v>4400.0</v>
      </c>
      <c r="J1045" s="66" t="s">
        <v>3518</v>
      </c>
      <c r="K1045" s="66" t="s">
        <v>512</v>
      </c>
      <c r="L1045" s="66" t="s">
        <v>513</v>
      </c>
      <c r="M1045" s="67">
        <v>6.0</v>
      </c>
      <c r="N1045" s="66" t="s">
        <v>3519</v>
      </c>
      <c r="O1045" s="66" t="s">
        <v>669</v>
      </c>
    </row>
    <row r="1046">
      <c r="A1046" s="91">
        <v>45755.0</v>
      </c>
      <c r="B1046" s="66" t="s">
        <v>3514</v>
      </c>
      <c r="C1046" s="66">
        <v>8.07025030475E11</v>
      </c>
      <c r="D1046" s="66" t="s">
        <v>3515</v>
      </c>
      <c r="E1046" s="66" t="s">
        <v>3516</v>
      </c>
      <c r="F1046" s="66" t="s">
        <v>3517</v>
      </c>
      <c r="G1046" s="66" t="s">
        <v>116</v>
      </c>
      <c r="H1046" s="66" t="s">
        <v>20</v>
      </c>
      <c r="I1046" s="66">
        <v>4400.0</v>
      </c>
      <c r="J1046" s="66" t="s">
        <v>3518</v>
      </c>
      <c r="K1046" s="66" t="s">
        <v>3447</v>
      </c>
      <c r="L1046" s="66" t="s">
        <v>3448</v>
      </c>
      <c r="M1046" s="67">
        <v>1.0</v>
      </c>
      <c r="N1046" s="66" t="s">
        <v>3519</v>
      </c>
      <c r="O1046" s="66" t="s">
        <v>669</v>
      </c>
    </row>
    <row r="1047">
      <c r="A1047" s="85">
        <v>45755.0</v>
      </c>
      <c r="B1047" s="31" t="s">
        <v>3520</v>
      </c>
      <c r="C1047" s="31">
        <v>8.07025030487E11</v>
      </c>
      <c r="D1047" s="31" t="s">
        <v>3521</v>
      </c>
      <c r="E1047" s="31" t="s">
        <v>3522</v>
      </c>
      <c r="F1047" s="31" t="s">
        <v>3523</v>
      </c>
      <c r="G1047" s="31" t="s">
        <v>425</v>
      </c>
      <c r="H1047" s="31" t="s">
        <v>20</v>
      </c>
      <c r="I1047" s="31">
        <v>4407.0</v>
      </c>
      <c r="J1047" s="31" t="s">
        <v>3524</v>
      </c>
      <c r="K1047" s="31" t="s">
        <v>2031</v>
      </c>
      <c r="L1047" s="31" t="s">
        <v>3348</v>
      </c>
      <c r="M1047" s="33">
        <v>2.0</v>
      </c>
      <c r="N1047" s="31" t="s">
        <v>3525</v>
      </c>
      <c r="O1047" s="31" t="s">
        <v>3526</v>
      </c>
    </row>
    <row r="1048">
      <c r="A1048" s="85">
        <v>45755.0</v>
      </c>
      <c r="B1048" s="31" t="s">
        <v>3520</v>
      </c>
      <c r="C1048" s="31">
        <v>8.07025030487E11</v>
      </c>
      <c r="D1048" s="31" t="s">
        <v>3521</v>
      </c>
      <c r="E1048" s="31" t="s">
        <v>3522</v>
      </c>
      <c r="F1048" s="31" t="s">
        <v>3523</v>
      </c>
      <c r="G1048" s="31" t="s">
        <v>425</v>
      </c>
      <c r="H1048" s="31" t="s">
        <v>20</v>
      </c>
      <c r="I1048" s="31">
        <v>4407.0</v>
      </c>
      <c r="J1048" s="31" t="s">
        <v>3524</v>
      </c>
      <c r="K1048" s="31" t="s">
        <v>512</v>
      </c>
      <c r="L1048" s="31" t="s">
        <v>513</v>
      </c>
      <c r="M1048" s="33">
        <v>6.0</v>
      </c>
      <c r="N1048" s="31" t="s">
        <v>3525</v>
      </c>
      <c r="O1048" s="31" t="s">
        <v>3526</v>
      </c>
    </row>
    <row r="1049">
      <c r="A1049" s="85">
        <v>45755.0</v>
      </c>
      <c r="B1049" s="31" t="s">
        <v>3520</v>
      </c>
      <c r="C1049" s="31">
        <v>8.07025030487E11</v>
      </c>
      <c r="D1049" s="31" t="s">
        <v>3521</v>
      </c>
      <c r="E1049" s="31" t="s">
        <v>3522</v>
      </c>
      <c r="F1049" s="31" t="s">
        <v>3523</v>
      </c>
      <c r="G1049" s="31" t="s">
        <v>425</v>
      </c>
      <c r="H1049" s="31" t="s">
        <v>20</v>
      </c>
      <c r="I1049" s="31">
        <v>4407.0</v>
      </c>
      <c r="J1049" s="31" t="s">
        <v>3524</v>
      </c>
      <c r="K1049" s="31" t="s">
        <v>3054</v>
      </c>
      <c r="L1049" s="31" t="s">
        <v>3346</v>
      </c>
      <c r="M1049" s="33">
        <v>2.0</v>
      </c>
      <c r="N1049" s="31" t="s">
        <v>3525</v>
      </c>
      <c r="O1049" s="31" t="s">
        <v>3526</v>
      </c>
    </row>
    <row r="1050" ht="8.25" customHeight="1">
      <c r="A1050" s="87"/>
      <c r="B1050" s="88"/>
      <c r="C1050" s="88"/>
      <c r="D1050" s="88"/>
      <c r="E1050" s="88"/>
      <c r="F1050" s="88"/>
      <c r="G1050" s="88"/>
      <c r="H1050" s="88"/>
      <c r="I1050" s="88"/>
      <c r="J1050" s="88"/>
      <c r="K1050" s="88"/>
      <c r="L1050" s="88"/>
      <c r="M1050" s="89"/>
      <c r="N1050" s="90"/>
      <c r="O1050" s="90"/>
    </row>
    <row r="1051">
      <c r="A1051" s="91">
        <v>45762.0</v>
      </c>
      <c r="B1051" s="66" t="s">
        <v>3527</v>
      </c>
      <c r="C1051" s="66">
        <v>8.07025030462E11</v>
      </c>
      <c r="D1051" s="66" t="s">
        <v>3528</v>
      </c>
      <c r="E1051" s="66" t="s">
        <v>3529</v>
      </c>
      <c r="F1051" s="66" t="s">
        <v>3530</v>
      </c>
      <c r="G1051" s="66" t="s">
        <v>127</v>
      </c>
      <c r="H1051" s="66" t="s">
        <v>20</v>
      </c>
      <c r="I1051" s="66">
        <v>4400.0</v>
      </c>
      <c r="J1051" s="66" t="s">
        <v>3531</v>
      </c>
      <c r="K1051" s="66" t="s">
        <v>3407</v>
      </c>
      <c r="L1051" s="66" t="s">
        <v>3408</v>
      </c>
      <c r="M1051" s="67">
        <v>1.0</v>
      </c>
      <c r="N1051" s="66" t="s">
        <v>3532</v>
      </c>
      <c r="O1051" s="66" t="s">
        <v>3533</v>
      </c>
    </row>
    <row r="1052">
      <c r="A1052" s="85">
        <v>45762.0</v>
      </c>
      <c r="B1052" s="31" t="s">
        <v>3534</v>
      </c>
      <c r="C1052" s="31">
        <v>8.05011524139E11</v>
      </c>
      <c r="D1052" s="31" t="s">
        <v>3535</v>
      </c>
      <c r="E1052" s="31" t="s">
        <v>3536</v>
      </c>
      <c r="F1052" s="31" t="s">
        <v>3537</v>
      </c>
      <c r="G1052" s="31" t="s">
        <v>368</v>
      </c>
      <c r="H1052" s="31" t="s">
        <v>20</v>
      </c>
      <c r="I1052" s="31">
        <v>4530.0</v>
      </c>
      <c r="J1052" s="31" t="s">
        <v>3538</v>
      </c>
      <c r="K1052" s="31" t="s">
        <v>98</v>
      </c>
      <c r="L1052" s="31" t="s">
        <v>3187</v>
      </c>
      <c r="M1052" s="33">
        <v>1.0</v>
      </c>
      <c r="N1052" s="31" t="s">
        <v>3539</v>
      </c>
      <c r="O1052" s="34"/>
    </row>
    <row r="1053">
      <c r="A1053" s="91">
        <v>45762.0</v>
      </c>
      <c r="B1053" s="66" t="s">
        <v>3540</v>
      </c>
      <c r="C1053" s="66">
        <v>8.05011524164E11</v>
      </c>
      <c r="D1053" s="66" t="s">
        <v>3541</v>
      </c>
      <c r="E1053" s="66" t="s">
        <v>3542</v>
      </c>
      <c r="F1053" s="66" t="s">
        <v>3543</v>
      </c>
      <c r="G1053" s="66" t="s">
        <v>41</v>
      </c>
      <c r="H1053" s="66" t="s">
        <v>20</v>
      </c>
      <c r="I1053" s="66">
        <v>4560.0</v>
      </c>
      <c r="J1053" s="66" t="s">
        <v>3544</v>
      </c>
      <c r="K1053" s="66" t="s">
        <v>32</v>
      </c>
      <c r="L1053" s="66" t="s">
        <v>3225</v>
      </c>
      <c r="M1053" s="67">
        <v>1.0</v>
      </c>
      <c r="N1053" s="66" t="s">
        <v>3545</v>
      </c>
      <c r="O1053" s="68"/>
    </row>
    <row r="1054">
      <c r="A1054" s="91">
        <v>45762.0</v>
      </c>
      <c r="B1054" s="66" t="s">
        <v>3540</v>
      </c>
      <c r="C1054" s="66">
        <v>8.05011524164E11</v>
      </c>
      <c r="D1054" s="66" t="s">
        <v>3541</v>
      </c>
      <c r="E1054" s="66" t="s">
        <v>3542</v>
      </c>
      <c r="F1054" s="66" t="s">
        <v>3543</v>
      </c>
      <c r="G1054" s="66" t="s">
        <v>41</v>
      </c>
      <c r="H1054" s="66" t="s">
        <v>20</v>
      </c>
      <c r="I1054" s="66">
        <v>4560.0</v>
      </c>
      <c r="J1054" s="66" t="s">
        <v>3544</v>
      </c>
      <c r="K1054" s="66" t="s">
        <v>512</v>
      </c>
      <c r="L1054" s="66" t="s">
        <v>513</v>
      </c>
      <c r="M1054" s="67">
        <v>6.0</v>
      </c>
      <c r="N1054" s="66" t="s">
        <v>3545</v>
      </c>
      <c r="O1054" s="68"/>
    </row>
    <row r="1055">
      <c r="A1055" s="91">
        <v>45762.0</v>
      </c>
      <c r="B1055" s="66" t="s">
        <v>3540</v>
      </c>
      <c r="C1055" s="66">
        <v>8.05011524164E11</v>
      </c>
      <c r="D1055" s="66" t="s">
        <v>3541</v>
      </c>
      <c r="E1055" s="66" t="s">
        <v>3542</v>
      </c>
      <c r="F1055" s="66" t="s">
        <v>3543</v>
      </c>
      <c r="G1055" s="66" t="s">
        <v>41</v>
      </c>
      <c r="H1055" s="66" t="s">
        <v>20</v>
      </c>
      <c r="I1055" s="66">
        <v>4560.0</v>
      </c>
      <c r="J1055" s="66" t="s">
        <v>3544</v>
      </c>
      <c r="K1055" s="66" t="s">
        <v>35</v>
      </c>
      <c r="L1055" s="66" t="s">
        <v>3188</v>
      </c>
      <c r="M1055" s="67">
        <v>1.0</v>
      </c>
      <c r="N1055" s="66" t="s">
        <v>3545</v>
      </c>
      <c r="O1055" s="68"/>
    </row>
    <row r="1056">
      <c r="A1056" s="85">
        <v>45762.0</v>
      </c>
      <c r="B1056" s="31" t="s">
        <v>3546</v>
      </c>
      <c r="C1056" s="31">
        <v>8.07025030495E11</v>
      </c>
      <c r="D1056" s="31" t="s">
        <v>3547</v>
      </c>
      <c r="E1056" s="31" t="s">
        <v>3548</v>
      </c>
      <c r="F1056" s="31" t="s">
        <v>3549</v>
      </c>
      <c r="G1056" s="31" t="s">
        <v>127</v>
      </c>
      <c r="H1056" s="31" t="s">
        <v>20</v>
      </c>
      <c r="I1056" s="31">
        <v>4400.0</v>
      </c>
      <c r="J1056" s="31" t="s">
        <v>3550</v>
      </c>
      <c r="K1056" s="31" t="s">
        <v>3205</v>
      </c>
      <c r="L1056" s="31" t="s">
        <v>3206</v>
      </c>
      <c r="M1056" s="33">
        <v>2.0</v>
      </c>
      <c r="N1056" s="31" t="s">
        <v>3551</v>
      </c>
      <c r="O1056" s="31" t="s">
        <v>3552</v>
      </c>
    </row>
    <row r="1057">
      <c r="A1057" s="91">
        <v>45762.0</v>
      </c>
      <c r="B1057" s="66" t="s">
        <v>3553</v>
      </c>
      <c r="C1057" s="66">
        <v>8.07025030505E11</v>
      </c>
      <c r="D1057" s="66" t="s">
        <v>3554</v>
      </c>
      <c r="E1057" s="66" t="s">
        <v>3555</v>
      </c>
      <c r="F1057" s="66" t="s">
        <v>3556</v>
      </c>
      <c r="G1057" s="66" t="s">
        <v>116</v>
      </c>
      <c r="H1057" s="66" t="s">
        <v>20</v>
      </c>
      <c r="I1057" s="66">
        <v>4400.0</v>
      </c>
      <c r="J1057" s="66" t="s">
        <v>3557</v>
      </c>
      <c r="K1057" s="66" t="s">
        <v>512</v>
      </c>
      <c r="L1057" s="66" t="s">
        <v>513</v>
      </c>
      <c r="M1057" s="67">
        <v>6.0</v>
      </c>
      <c r="N1057" s="66" t="s">
        <v>3558</v>
      </c>
      <c r="O1057" s="66" t="s">
        <v>1734</v>
      </c>
    </row>
    <row r="1058">
      <c r="A1058" s="91">
        <v>45762.0</v>
      </c>
      <c r="B1058" s="66" t="s">
        <v>3553</v>
      </c>
      <c r="C1058" s="66">
        <v>8.07025030505E11</v>
      </c>
      <c r="D1058" s="66" t="s">
        <v>3554</v>
      </c>
      <c r="E1058" s="66" t="s">
        <v>3555</v>
      </c>
      <c r="F1058" s="66" t="s">
        <v>3556</v>
      </c>
      <c r="G1058" s="66" t="s">
        <v>116</v>
      </c>
      <c r="H1058" s="66" t="s">
        <v>20</v>
      </c>
      <c r="I1058" s="66">
        <v>4400.0</v>
      </c>
      <c r="J1058" s="66" t="s">
        <v>3557</v>
      </c>
      <c r="K1058" s="66" t="s">
        <v>3074</v>
      </c>
      <c r="L1058" s="66" t="s">
        <v>3232</v>
      </c>
      <c r="M1058" s="67">
        <v>1.0</v>
      </c>
      <c r="N1058" s="66" t="s">
        <v>3558</v>
      </c>
      <c r="O1058" s="66" t="s">
        <v>1734</v>
      </c>
    </row>
    <row r="1059">
      <c r="A1059" s="91">
        <v>45762.0</v>
      </c>
      <c r="B1059" s="66" t="s">
        <v>3553</v>
      </c>
      <c r="C1059" s="66">
        <v>8.07025030505E11</v>
      </c>
      <c r="D1059" s="66" t="s">
        <v>3554</v>
      </c>
      <c r="E1059" s="66" t="s">
        <v>3555</v>
      </c>
      <c r="F1059" s="66" t="s">
        <v>3556</v>
      </c>
      <c r="G1059" s="66" t="s">
        <v>116</v>
      </c>
      <c r="H1059" s="66" t="s">
        <v>20</v>
      </c>
      <c r="I1059" s="66">
        <v>4400.0</v>
      </c>
      <c r="J1059" s="66" t="s">
        <v>3557</v>
      </c>
      <c r="K1059" s="66" t="s">
        <v>670</v>
      </c>
      <c r="L1059" s="66" t="s">
        <v>3410</v>
      </c>
      <c r="M1059" s="67">
        <v>1.0</v>
      </c>
      <c r="N1059" s="66" t="s">
        <v>3558</v>
      </c>
      <c r="O1059" s="66" t="s">
        <v>1734</v>
      </c>
    </row>
    <row r="1060">
      <c r="A1060" s="85">
        <v>45762.0</v>
      </c>
      <c r="B1060" s="31" t="s">
        <v>3559</v>
      </c>
      <c r="C1060" s="31">
        <v>8.07025030518E11</v>
      </c>
      <c r="D1060" s="31" t="s">
        <v>3560</v>
      </c>
      <c r="E1060" s="31" t="s">
        <v>3561</v>
      </c>
      <c r="F1060" s="31" t="s">
        <v>3562</v>
      </c>
      <c r="G1060" s="31" t="s">
        <v>116</v>
      </c>
      <c r="H1060" s="31" t="s">
        <v>20</v>
      </c>
      <c r="I1060" s="31">
        <v>4400.0</v>
      </c>
      <c r="J1060" s="31" t="s">
        <v>3563</v>
      </c>
      <c r="K1060" s="31" t="s">
        <v>812</v>
      </c>
      <c r="L1060" s="31" t="s">
        <v>3564</v>
      </c>
      <c r="M1060" s="33">
        <v>1.0</v>
      </c>
      <c r="N1060" s="31" t="s">
        <v>3565</v>
      </c>
      <c r="O1060" s="31" t="s">
        <v>3566</v>
      </c>
    </row>
    <row r="1061">
      <c r="A1061" s="91">
        <v>45762.0</v>
      </c>
      <c r="B1061" s="66" t="s">
        <v>3567</v>
      </c>
      <c r="C1061" s="66">
        <v>8.07025030522E11</v>
      </c>
      <c r="D1061" s="66" t="s">
        <v>3568</v>
      </c>
      <c r="E1061" s="66" t="s">
        <v>3569</v>
      </c>
      <c r="F1061" s="66" t="s">
        <v>3570</v>
      </c>
      <c r="G1061" s="66" t="s">
        <v>127</v>
      </c>
      <c r="H1061" s="66" t="s">
        <v>20</v>
      </c>
      <c r="I1061" s="66">
        <v>4400.0</v>
      </c>
      <c r="J1061" s="66" t="s">
        <v>3571</v>
      </c>
      <c r="K1061" s="66" t="s">
        <v>512</v>
      </c>
      <c r="L1061" s="66" t="s">
        <v>513</v>
      </c>
      <c r="M1061" s="67">
        <v>12.0</v>
      </c>
      <c r="N1061" s="66" t="s">
        <v>3572</v>
      </c>
      <c r="O1061" s="66" t="s">
        <v>3573</v>
      </c>
    </row>
    <row r="1062">
      <c r="A1062" s="91">
        <v>45762.0</v>
      </c>
      <c r="B1062" s="66" t="s">
        <v>3567</v>
      </c>
      <c r="C1062" s="66">
        <v>8.07025030522E11</v>
      </c>
      <c r="D1062" s="66" t="s">
        <v>3568</v>
      </c>
      <c r="E1062" s="66" t="s">
        <v>3569</v>
      </c>
      <c r="F1062" s="66" t="s">
        <v>3570</v>
      </c>
      <c r="G1062" s="66" t="s">
        <v>127</v>
      </c>
      <c r="H1062" s="66" t="s">
        <v>20</v>
      </c>
      <c r="I1062" s="66">
        <v>4400.0</v>
      </c>
      <c r="J1062" s="66" t="s">
        <v>3571</v>
      </c>
      <c r="K1062" s="66" t="s">
        <v>758</v>
      </c>
      <c r="L1062" s="66" t="s">
        <v>3574</v>
      </c>
      <c r="M1062" s="67">
        <v>2.0</v>
      </c>
      <c r="N1062" s="66" t="s">
        <v>3572</v>
      </c>
      <c r="O1062" s="66" t="s">
        <v>3573</v>
      </c>
    </row>
    <row r="1063">
      <c r="A1063" s="91">
        <v>45762.0</v>
      </c>
      <c r="B1063" s="66" t="s">
        <v>3567</v>
      </c>
      <c r="C1063" s="66">
        <v>8.07025030522E11</v>
      </c>
      <c r="D1063" s="66" t="s">
        <v>3568</v>
      </c>
      <c r="E1063" s="66" t="s">
        <v>3569</v>
      </c>
      <c r="F1063" s="66" t="s">
        <v>3570</v>
      </c>
      <c r="G1063" s="66" t="s">
        <v>127</v>
      </c>
      <c r="H1063" s="66" t="s">
        <v>20</v>
      </c>
      <c r="I1063" s="66">
        <v>4400.0</v>
      </c>
      <c r="J1063" s="66" t="s">
        <v>3571</v>
      </c>
      <c r="K1063" s="66" t="s">
        <v>3334</v>
      </c>
      <c r="L1063" s="66" t="s">
        <v>3575</v>
      </c>
      <c r="M1063" s="67">
        <v>1.0</v>
      </c>
      <c r="N1063" s="66" t="s">
        <v>3572</v>
      </c>
      <c r="O1063" s="66" t="s">
        <v>3573</v>
      </c>
    </row>
    <row r="1064">
      <c r="A1064" s="85">
        <v>45762.0</v>
      </c>
      <c r="B1064" s="31" t="s">
        <v>3576</v>
      </c>
      <c r="C1064" s="31">
        <v>8.07025030526E11</v>
      </c>
      <c r="D1064" s="31" t="s">
        <v>3577</v>
      </c>
      <c r="E1064" s="31" t="s">
        <v>3578</v>
      </c>
      <c r="F1064" s="31" t="s">
        <v>3579</v>
      </c>
      <c r="G1064" s="31" t="s">
        <v>127</v>
      </c>
      <c r="H1064" s="31" t="s">
        <v>20</v>
      </c>
      <c r="I1064" s="31">
        <v>4400.0</v>
      </c>
      <c r="J1064" s="31" t="s">
        <v>3580</v>
      </c>
      <c r="K1064" s="31" t="s">
        <v>3334</v>
      </c>
      <c r="L1064" s="31" t="s">
        <v>3575</v>
      </c>
      <c r="M1064" s="33">
        <v>1.0</v>
      </c>
      <c r="N1064" s="31" t="s">
        <v>3581</v>
      </c>
      <c r="O1064" s="31" t="s">
        <v>3582</v>
      </c>
    </row>
    <row r="1065">
      <c r="A1065" s="85">
        <v>45762.0</v>
      </c>
      <c r="B1065" s="31" t="s">
        <v>3576</v>
      </c>
      <c r="C1065" s="31">
        <v>8.07025030526E11</v>
      </c>
      <c r="D1065" s="31" t="s">
        <v>3577</v>
      </c>
      <c r="E1065" s="31" t="s">
        <v>3578</v>
      </c>
      <c r="F1065" s="31" t="s">
        <v>3579</v>
      </c>
      <c r="G1065" s="31" t="s">
        <v>127</v>
      </c>
      <c r="H1065" s="31" t="s">
        <v>20</v>
      </c>
      <c r="I1065" s="31">
        <v>4400.0</v>
      </c>
      <c r="J1065" s="31" t="s">
        <v>3580</v>
      </c>
      <c r="K1065" s="31" t="s">
        <v>512</v>
      </c>
      <c r="L1065" s="31" t="s">
        <v>513</v>
      </c>
      <c r="M1065" s="33">
        <v>12.0</v>
      </c>
      <c r="N1065" s="31" t="s">
        <v>3581</v>
      </c>
      <c r="O1065" s="31" t="s">
        <v>3582</v>
      </c>
    </row>
    <row r="1066">
      <c r="A1066" s="85">
        <v>45762.0</v>
      </c>
      <c r="B1066" s="31" t="s">
        <v>3576</v>
      </c>
      <c r="C1066" s="31">
        <v>8.07025030526E11</v>
      </c>
      <c r="D1066" s="31" t="s">
        <v>3577</v>
      </c>
      <c r="E1066" s="31" t="s">
        <v>3578</v>
      </c>
      <c r="F1066" s="31" t="s">
        <v>3579</v>
      </c>
      <c r="G1066" s="31" t="s">
        <v>127</v>
      </c>
      <c r="H1066" s="31" t="s">
        <v>20</v>
      </c>
      <c r="I1066" s="31">
        <v>4400.0</v>
      </c>
      <c r="J1066" s="31" t="s">
        <v>3580</v>
      </c>
      <c r="K1066" s="31" t="s">
        <v>758</v>
      </c>
      <c r="L1066" s="31" t="s">
        <v>3574</v>
      </c>
      <c r="M1066" s="33">
        <v>2.0</v>
      </c>
      <c r="N1066" s="31" t="s">
        <v>3581</v>
      </c>
      <c r="O1066" s="31" t="s">
        <v>3582</v>
      </c>
    </row>
    <row r="1067" ht="16.5" customHeight="1">
      <c r="A1067" s="91">
        <v>45762.0</v>
      </c>
      <c r="B1067" s="66" t="s">
        <v>3583</v>
      </c>
      <c r="C1067" s="66">
        <v>8.05011524534E11</v>
      </c>
      <c r="D1067" s="66" t="s">
        <v>3584</v>
      </c>
      <c r="E1067" s="66" t="s">
        <v>3585</v>
      </c>
      <c r="F1067" s="66" t="s">
        <v>3586</v>
      </c>
      <c r="G1067" s="66" t="s">
        <v>20</v>
      </c>
      <c r="H1067" s="66" t="s">
        <v>20</v>
      </c>
      <c r="I1067" s="66">
        <v>4400.0</v>
      </c>
      <c r="J1067" s="66" t="s">
        <v>3587</v>
      </c>
      <c r="K1067" s="66" t="s">
        <v>289</v>
      </c>
      <c r="L1067" s="66" t="s">
        <v>290</v>
      </c>
      <c r="M1067" s="67">
        <v>1.0</v>
      </c>
      <c r="N1067" s="66" t="s">
        <v>3588</v>
      </c>
      <c r="O1067" s="68"/>
    </row>
    <row r="1068">
      <c r="A1068" s="85">
        <v>45762.0</v>
      </c>
      <c r="B1068" s="31" t="s">
        <v>3589</v>
      </c>
      <c r="C1068" s="31">
        <v>8.05011524596E11</v>
      </c>
      <c r="D1068" s="31" t="s">
        <v>3590</v>
      </c>
      <c r="E1068" s="31" t="s">
        <v>3591</v>
      </c>
      <c r="F1068" s="31" t="s">
        <v>3592</v>
      </c>
      <c r="G1068" s="31" t="s">
        <v>41</v>
      </c>
      <c r="H1068" s="31" t="s">
        <v>20</v>
      </c>
      <c r="I1068" s="31">
        <v>4560.0</v>
      </c>
      <c r="J1068" s="31">
        <v>3.873447706E9</v>
      </c>
      <c r="K1068" s="31" t="s">
        <v>289</v>
      </c>
      <c r="L1068" s="31" t="s">
        <v>290</v>
      </c>
      <c r="M1068" s="33">
        <v>1.0</v>
      </c>
      <c r="N1068" s="31" t="s">
        <v>3593</v>
      </c>
      <c r="O1068" s="34"/>
    </row>
    <row r="1069">
      <c r="A1069" s="85">
        <v>45762.0</v>
      </c>
      <c r="B1069" s="31" t="s">
        <v>3589</v>
      </c>
      <c r="C1069" s="31">
        <v>8.05011524596E11</v>
      </c>
      <c r="D1069" s="31" t="s">
        <v>3590</v>
      </c>
      <c r="E1069" s="31" t="s">
        <v>3591</v>
      </c>
      <c r="F1069" s="31" t="s">
        <v>3592</v>
      </c>
      <c r="G1069" s="31" t="s">
        <v>41</v>
      </c>
      <c r="H1069" s="31" t="s">
        <v>20</v>
      </c>
      <c r="I1069" s="31">
        <v>4560.0</v>
      </c>
      <c r="J1069" s="31">
        <v>3.873447706E9</v>
      </c>
      <c r="K1069" s="31" t="s">
        <v>512</v>
      </c>
      <c r="L1069" s="31" t="s">
        <v>513</v>
      </c>
      <c r="M1069" s="33">
        <v>6.0</v>
      </c>
      <c r="N1069" s="31" t="s">
        <v>3593</v>
      </c>
      <c r="O1069" s="34"/>
    </row>
    <row r="1070">
      <c r="A1070" s="85">
        <v>45762.0</v>
      </c>
      <c r="B1070" s="31" t="s">
        <v>3589</v>
      </c>
      <c r="C1070" s="31">
        <v>8.05011524596E11</v>
      </c>
      <c r="D1070" s="31" t="s">
        <v>3590</v>
      </c>
      <c r="E1070" s="31" t="s">
        <v>3591</v>
      </c>
      <c r="F1070" s="31" t="s">
        <v>3592</v>
      </c>
      <c r="G1070" s="31" t="s">
        <v>41</v>
      </c>
      <c r="H1070" s="31" t="s">
        <v>20</v>
      </c>
      <c r="I1070" s="31">
        <v>4560.0</v>
      </c>
      <c r="J1070" s="31">
        <v>3.873447706E9</v>
      </c>
      <c r="K1070" s="31" t="s">
        <v>273</v>
      </c>
      <c r="L1070" s="31" t="s">
        <v>3594</v>
      </c>
      <c r="M1070" s="33">
        <v>1.0</v>
      </c>
      <c r="N1070" s="31" t="s">
        <v>3593</v>
      </c>
      <c r="O1070" s="34"/>
    </row>
    <row r="1071">
      <c r="A1071" s="91">
        <v>45762.0</v>
      </c>
      <c r="B1071" s="66" t="s">
        <v>3595</v>
      </c>
      <c r="C1071" s="66">
        <v>8.05011524605E11</v>
      </c>
      <c r="D1071" s="66" t="s">
        <v>3596</v>
      </c>
      <c r="E1071" s="66" t="s">
        <v>3597</v>
      </c>
      <c r="F1071" s="66" t="s">
        <v>3598</v>
      </c>
      <c r="G1071" s="66" t="s">
        <v>3599</v>
      </c>
      <c r="H1071" s="66" t="s">
        <v>20</v>
      </c>
      <c r="I1071" s="66">
        <v>4554.0</v>
      </c>
      <c r="J1071" s="66">
        <v>3.878615506E9</v>
      </c>
      <c r="K1071" s="66" t="s">
        <v>985</v>
      </c>
      <c r="L1071" s="66" t="s">
        <v>3600</v>
      </c>
      <c r="M1071" s="67">
        <v>1.0</v>
      </c>
      <c r="N1071" s="66" t="s">
        <v>3601</v>
      </c>
      <c r="O1071" s="68"/>
    </row>
    <row r="1072">
      <c r="A1072" s="85">
        <v>45762.0</v>
      </c>
      <c r="B1072" s="31" t="s">
        <v>3602</v>
      </c>
      <c r="C1072" s="31">
        <v>8.07025030539E11</v>
      </c>
      <c r="D1072" s="31" t="s">
        <v>3603</v>
      </c>
      <c r="E1072" s="31" t="s">
        <v>3604</v>
      </c>
      <c r="F1072" s="31" t="s">
        <v>3605</v>
      </c>
      <c r="G1072" s="31" t="s">
        <v>1859</v>
      </c>
      <c r="H1072" s="31" t="s">
        <v>20</v>
      </c>
      <c r="I1072" s="31">
        <v>4403.0</v>
      </c>
      <c r="J1072" s="31" t="s">
        <v>3606</v>
      </c>
      <c r="K1072" s="31" t="s">
        <v>3054</v>
      </c>
      <c r="L1072" s="31" t="s">
        <v>3346</v>
      </c>
      <c r="M1072" s="33">
        <v>1.0</v>
      </c>
      <c r="N1072" s="31" t="s">
        <v>3607</v>
      </c>
      <c r="O1072" s="31" t="s">
        <v>3608</v>
      </c>
    </row>
    <row r="1073">
      <c r="A1073" s="85">
        <v>45762.0</v>
      </c>
      <c r="B1073" s="31" t="s">
        <v>3602</v>
      </c>
      <c r="C1073" s="31">
        <v>8.07025030539E11</v>
      </c>
      <c r="D1073" s="31" t="s">
        <v>3603</v>
      </c>
      <c r="E1073" s="31" t="s">
        <v>3604</v>
      </c>
      <c r="F1073" s="31" t="s">
        <v>3605</v>
      </c>
      <c r="G1073" s="31" t="s">
        <v>1859</v>
      </c>
      <c r="H1073" s="31" t="s">
        <v>20</v>
      </c>
      <c r="I1073" s="31">
        <v>4403.0</v>
      </c>
      <c r="J1073" s="31" t="s">
        <v>3606</v>
      </c>
      <c r="K1073" s="31" t="s">
        <v>512</v>
      </c>
      <c r="L1073" s="31" t="s">
        <v>513</v>
      </c>
      <c r="M1073" s="33">
        <v>6.0</v>
      </c>
      <c r="N1073" s="31" t="s">
        <v>3607</v>
      </c>
      <c r="O1073" s="31" t="s">
        <v>3608</v>
      </c>
    </row>
    <row r="1074">
      <c r="A1074" s="85">
        <v>45762.0</v>
      </c>
      <c r="B1074" s="31" t="s">
        <v>3602</v>
      </c>
      <c r="C1074" s="31">
        <v>8.07025030539E11</v>
      </c>
      <c r="D1074" s="31" t="s">
        <v>3603</v>
      </c>
      <c r="E1074" s="31" t="s">
        <v>3604</v>
      </c>
      <c r="F1074" s="31" t="s">
        <v>3605</v>
      </c>
      <c r="G1074" s="31" t="s">
        <v>1859</v>
      </c>
      <c r="H1074" s="31" t="s">
        <v>20</v>
      </c>
      <c r="I1074" s="31">
        <v>4403.0</v>
      </c>
      <c r="J1074" s="31" t="s">
        <v>3606</v>
      </c>
      <c r="K1074" s="31" t="s">
        <v>2031</v>
      </c>
      <c r="L1074" s="31" t="s">
        <v>3348</v>
      </c>
      <c r="M1074" s="33">
        <v>1.0</v>
      </c>
      <c r="N1074" s="31" t="s">
        <v>3607</v>
      </c>
      <c r="O1074" s="31" t="s">
        <v>3608</v>
      </c>
    </row>
    <row r="1075">
      <c r="A1075" s="91">
        <v>45762.0</v>
      </c>
      <c r="B1075" s="66" t="s">
        <v>3609</v>
      </c>
      <c r="C1075" s="66">
        <v>8.05011524823E11</v>
      </c>
      <c r="D1075" s="66" t="s">
        <v>3610</v>
      </c>
      <c r="E1075" s="66" t="s">
        <v>3611</v>
      </c>
      <c r="F1075" s="66" t="s">
        <v>3612</v>
      </c>
      <c r="G1075" s="66" t="s">
        <v>3613</v>
      </c>
      <c r="H1075" s="66" t="s">
        <v>20</v>
      </c>
      <c r="I1075" s="66">
        <v>4444.0</v>
      </c>
      <c r="J1075" s="66" t="s">
        <v>3614</v>
      </c>
      <c r="K1075" s="66" t="s">
        <v>670</v>
      </c>
      <c r="L1075" s="66" t="s">
        <v>3410</v>
      </c>
      <c r="M1075" s="67">
        <v>1.0</v>
      </c>
      <c r="N1075" s="66" t="s">
        <v>3615</v>
      </c>
      <c r="O1075" s="68"/>
    </row>
    <row r="1076">
      <c r="A1076" s="91">
        <v>45762.0</v>
      </c>
      <c r="B1076" s="66" t="s">
        <v>3609</v>
      </c>
      <c r="C1076" s="66">
        <v>8.05011524823E11</v>
      </c>
      <c r="D1076" s="66" t="s">
        <v>3610</v>
      </c>
      <c r="E1076" s="66" t="s">
        <v>3611</v>
      </c>
      <c r="F1076" s="66" t="s">
        <v>3612</v>
      </c>
      <c r="G1076" s="66" t="s">
        <v>3613</v>
      </c>
      <c r="H1076" s="66" t="s">
        <v>20</v>
      </c>
      <c r="I1076" s="66">
        <v>4444.0</v>
      </c>
      <c r="J1076" s="66" t="s">
        <v>3614</v>
      </c>
      <c r="K1076" s="66" t="s">
        <v>512</v>
      </c>
      <c r="L1076" s="66" t="s">
        <v>513</v>
      </c>
      <c r="M1076" s="67">
        <v>6.0</v>
      </c>
      <c r="N1076" s="66" t="s">
        <v>3615</v>
      </c>
      <c r="O1076" s="68"/>
    </row>
    <row r="1077">
      <c r="A1077" s="91">
        <v>45762.0</v>
      </c>
      <c r="B1077" s="66" t="s">
        <v>3609</v>
      </c>
      <c r="C1077" s="66">
        <v>8.05011524823E11</v>
      </c>
      <c r="D1077" s="66" t="s">
        <v>3610</v>
      </c>
      <c r="E1077" s="66" t="s">
        <v>3611</v>
      </c>
      <c r="F1077" s="66" t="s">
        <v>3612</v>
      </c>
      <c r="G1077" s="66" t="s">
        <v>3613</v>
      </c>
      <c r="H1077" s="66" t="s">
        <v>20</v>
      </c>
      <c r="I1077" s="66">
        <v>4444.0</v>
      </c>
      <c r="J1077" s="66" t="s">
        <v>3614</v>
      </c>
      <c r="K1077" s="66" t="s">
        <v>3451</v>
      </c>
      <c r="L1077" s="66" t="s">
        <v>3452</v>
      </c>
      <c r="M1077" s="67">
        <v>1.0</v>
      </c>
      <c r="N1077" s="66" t="s">
        <v>3615</v>
      </c>
      <c r="O1077" s="68"/>
    </row>
    <row r="1078">
      <c r="A1078" s="85">
        <v>45762.0</v>
      </c>
      <c r="B1078" s="31" t="s">
        <v>3616</v>
      </c>
      <c r="C1078" s="31">
        <v>8.07025030554E11</v>
      </c>
      <c r="D1078" s="31" t="s">
        <v>3617</v>
      </c>
      <c r="E1078" s="31" t="s">
        <v>3618</v>
      </c>
      <c r="F1078" s="31" t="s">
        <v>3619</v>
      </c>
      <c r="G1078" s="31" t="s">
        <v>116</v>
      </c>
      <c r="H1078" s="31" t="s">
        <v>20</v>
      </c>
      <c r="I1078" s="31">
        <v>4400.0</v>
      </c>
      <c r="J1078" s="31" t="s">
        <v>3620</v>
      </c>
      <c r="K1078" s="31" t="s">
        <v>1241</v>
      </c>
      <c r="L1078" s="31" t="s">
        <v>3500</v>
      </c>
      <c r="M1078" s="33">
        <v>2.0</v>
      </c>
      <c r="N1078" s="31" t="s">
        <v>2240</v>
      </c>
      <c r="O1078" s="31" t="s">
        <v>3621</v>
      </c>
    </row>
    <row r="1079">
      <c r="A1079" s="91">
        <v>45762.0</v>
      </c>
      <c r="B1079" s="66" t="s">
        <v>3622</v>
      </c>
      <c r="C1079" s="66">
        <v>8.07025030574E11</v>
      </c>
      <c r="D1079" s="66" t="s">
        <v>3272</v>
      </c>
      <c r="E1079" s="66" t="s">
        <v>3273</v>
      </c>
      <c r="F1079" s="66" t="s">
        <v>3274</v>
      </c>
      <c r="G1079" s="66" t="s">
        <v>104</v>
      </c>
      <c r="H1079" s="66" t="s">
        <v>20</v>
      </c>
      <c r="I1079" s="66">
        <v>4401.0</v>
      </c>
      <c r="J1079" s="66" t="s">
        <v>3275</v>
      </c>
      <c r="K1079" s="66" t="s">
        <v>3623</v>
      </c>
      <c r="L1079" s="66" t="s">
        <v>3624</v>
      </c>
      <c r="M1079" s="67">
        <v>5.0</v>
      </c>
      <c r="N1079" s="66" t="s">
        <v>3278</v>
      </c>
      <c r="O1079" s="66" t="s">
        <v>3279</v>
      </c>
    </row>
    <row r="1080" ht="5.25" customHeight="1">
      <c r="A1080" s="87"/>
      <c r="B1080" s="88"/>
      <c r="C1080" s="88"/>
      <c r="D1080" s="88"/>
      <c r="E1080" s="88"/>
      <c r="F1080" s="88"/>
      <c r="G1080" s="88"/>
      <c r="H1080" s="88"/>
      <c r="I1080" s="88"/>
      <c r="J1080" s="88"/>
      <c r="K1080" s="88"/>
      <c r="L1080" s="88"/>
      <c r="M1080" s="89"/>
      <c r="N1080" s="90"/>
      <c r="O1080" s="90"/>
    </row>
    <row r="1081" ht="16.5" customHeight="1">
      <c r="A1081" s="91">
        <v>45769.0</v>
      </c>
      <c r="B1081" s="66" t="s">
        <v>3625</v>
      </c>
      <c r="C1081" s="66">
        <v>8.05011524378E11</v>
      </c>
      <c r="D1081" s="66" t="s">
        <v>3626</v>
      </c>
      <c r="E1081" s="66" t="s">
        <v>3627</v>
      </c>
      <c r="F1081" s="66" t="s">
        <v>3628</v>
      </c>
      <c r="G1081" s="66" t="s">
        <v>3629</v>
      </c>
      <c r="H1081" s="66" t="s">
        <v>20</v>
      </c>
      <c r="I1081" s="66">
        <v>4554.0</v>
      </c>
      <c r="J1081" s="66" t="s">
        <v>3630</v>
      </c>
      <c r="K1081" s="66" t="s">
        <v>2927</v>
      </c>
      <c r="L1081" s="66" t="s">
        <v>3631</v>
      </c>
      <c r="M1081" s="67">
        <v>1.0</v>
      </c>
      <c r="N1081" s="66" t="s">
        <v>3632</v>
      </c>
      <c r="O1081" s="68"/>
    </row>
    <row r="1082" ht="16.5" customHeight="1">
      <c r="A1082" s="85">
        <v>45769.0</v>
      </c>
      <c r="B1082" s="31" t="s">
        <v>3633</v>
      </c>
      <c r="C1082" s="31">
        <v>8.0501152513E11</v>
      </c>
      <c r="D1082" s="31" t="s">
        <v>3634</v>
      </c>
      <c r="E1082" s="31" t="s">
        <v>3635</v>
      </c>
      <c r="F1082" s="31" t="s">
        <v>3636</v>
      </c>
      <c r="G1082" s="31" t="s">
        <v>3637</v>
      </c>
      <c r="H1082" s="31" t="s">
        <v>20</v>
      </c>
      <c r="I1082" s="31">
        <v>4608.0</v>
      </c>
      <c r="J1082" s="31" t="s">
        <v>3638</v>
      </c>
      <c r="K1082" s="31" t="s">
        <v>1345</v>
      </c>
      <c r="L1082" s="31" t="s">
        <v>3639</v>
      </c>
      <c r="M1082" s="33">
        <v>1.0</v>
      </c>
      <c r="N1082" s="31" t="s">
        <v>3640</v>
      </c>
      <c r="O1082" s="34"/>
    </row>
    <row r="1083" ht="16.5" customHeight="1">
      <c r="A1083" s="85">
        <v>45769.0</v>
      </c>
      <c r="B1083" s="31" t="s">
        <v>3633</v>
      </c>
      <c r="C1083" s="31">
        <v>8.0501152513E11</v>
      </c>
      <c r="D1083" s="31" t="s">
        <v>3634</v>
      </c>
      <c r="E1083" s="31" t="s">
        <v>3635</v>
      </c>
      <c r="F1083" s="31" t="s">
        <v>3636</v>
      </c>
      <c r="G1083" s="31" t="s">
        <v>3637</v>
      </c>
      <c r="H1083" s="31" t="s">
        <v>20</v>
      </c>
      <c r="I1083" s="31">
        <v>4608.0</v>
      </c>
      <c r="J1083" s="31" t="s">
        <v>3638</v>
      </c>
      <c r="K1083" s="31" t="s">
        <v>512</v>
      </c>
      <c r="L1083" s="31" t="s">
        <v>513</v>
      </c>
      <c r="M1083" s="33">
        <v>6.0</v>
      </c>
      <c r="N1083" s="31" t="s">
        <v>3640</v>
      </c>
      <c r="O1083" s="34"/>
    </row>
    <row r="1084" ht="16.5" customHeight="1">
      <c r="A1084" s="85">
        <v>45769.0</v>
      </c>
      <c r="B1084" s="31" t="s">
        <v>3633</v>
      </c>
      <c r="C1084" s="31">
        <v>8.0501152513E11</v>
      </c>
      <c r="D1084" s="31" t="s">
        <v>3634</v>
      </c>
      <c r="E1084" s="31" t="s">
        <v>3635</v>
      </c>
      <c r="F1084" s="31" t="s">
        <v>3636</v>
      </c>
      <c r="G1084" s="31" t="s">
        <v>3637</v>
      </c>
      <c r="H1084" s="31" t="s">
        <v>20</v>
      </c>
      <c r="I1084" s="31">
        <v>4608.0</v>
      </c>
      <c r="J1084" s="31" t="s">
        <v>3638</v>
      </c>
      <c r="K1084" s="31" t="s">
        <v>3641</v>
      </c>
      <c r="L1084" s="31" t="s">
        <v>3642</v>
      </c>
      <c r="M1084" s="33">
        <v>1.0</v>
      </c>
      <c r="N1084" s="31" t="s">
        <v>3640</v>
      </c>
      <c r="O1084" s="34"/>
    </row>
    <row r="1085" ht="16.5" customHeight="1">
      <c r="A1085" s="91">
        <v>45769.0</v>
      </c>
      <c r="B1085" s="66" t="s">
        <v>3643</v>
      </c>
      <c r="C1085" s="66">
        <v>8.05011525079E11</v>
      </c>
      <c r="D1085" s="66" t="s">
        <v>3644</v>
      </c>
      <c r="E1085" s="66" t="s">
        <v>3645</v>
      </c>
      <c r="F1085" s="66" t="s">
        <v>3646</v>
      </c>
      <c r="G1085" s="66" t="s">
        <v>3647</v>
      </c>
      <c r="H1085" s="66" t="s">
        <v>20</v>
      </c>
      <c r="I1085" s="66">
        <v>4430.0</v>
      </c>
      <c r="J1085" s="66" t="s">
        <v>3648</v>
      </c>
      <c r="K1085" s="66" t="s">
        <v>3649</v>
      </c>
      <c r="L1085" s="66" t="s">
        <v>3650</v>
      </c>
      <c r="M1085" s="67">
        <v>1.0</v>
      </c>
      <c r="N1085" s="66" t="s">
        <v>3651</v>
      </c>
      <c r="O1085" s="68"/>
    </row>
    <row r="1086" ht="16.5" customHeight="1">
      <c r="A1086" s="85">
        <v>45769.0</v>
      </c>
      <c r="B1086" s="31" t="s">
        <v>3652</v>
      </c>
      <c r="C1086" s="31">
        <v>8.0501152505E11</v>
      </c>
      <c r="D1086" s="31" t="s">
        <v>3653</v>
      </c>
      <c r="E1086" s="31" t="s">
        <v>3654</v>
      </c>
      <c r="F1086" s="31" t="s">
        <v>3655</v>
      </c>
      <c r="G1086" s="31" t="s">
        <v>20</v>
      </c>
      <c r="H1086" s="31" t="s">
        <v>20</v>
      </c>
      <c r="I1086" s="31">
        <v>4400.0</v>
      </c>
      <c r="J1086" s="31" t="s">
        <v>3656</v>
      </c>
      <c r="K1086" s="31" t="s">
        <v>3451</v>
      </c>
      <c r="L1086" s="31" t="s">
        <v>3452</v>
      </c>
      <c r="M1086" s="33">
        <v>2.0</v>
      </c>
      <c r="N1086" s="31" t="s">
        <v>3657</v>
      </c>
      <c r="O1086" s="34"/>
    </row>
    <row r="1087" ht="16.5" customHeight="1">
      <c r="A1087" s="85">
        <v>45769.0</v>
      </c>
      <c r="B1087" s="31" t="s">
        <v>3652</v>
      </c>
      <c r="C1087" s="31">
        <v>8.0501152505E11</v>
      </c>
      <c r="D1087" s="31" t="s">
        <v>3653</v>
      </c>
      <c r="E1087" s="31" t="s">
        <v>3654</v>
      </c>
      <c r="F1087" s="31" t="s">
        <v>3655</v>
      </c>
      <c r="G1087" s="31" t="s">
        <v>20</v>
      </c>
      <c r="H1087" s="31" t="s">
        <v>20</v>
      </c>
      <c r="I1087" s="31">
        <v>4400.0</v>
      </c>
      <c r="J1087" s="31" t="s">
        <v>3656</v>
      </c>
      <c r="K1087" s="31" t="s">
        <v>670</v>
      </c>
      <c r="L1087" s="31" t="s">
        <v>3410</v>
      </c>
      <c r="M1087" s="33">
        <v>2.0</v>
      </c>
      <c r="N1087" s="31" t="s">
        <v>3657</v>
      </c>
      <c r="O1087" s="34"/>
    </row>
    <row r="1088" ht="16.5" customHeight="1">
      <c r="A1088" s="85">
        <v>45769.0</v>
      </c>
      <c r="B1088" s="31" t="s">
        <v>3652</v>
      </c>
      <c r="C1088" s="31">
        <v>8.0501152505E11</v>
      </c>
      <c r="D1088" s="31" t="s">
        <v>3653</v>
      </c>
      <c r="E1088" s="31" t="s">
        <v>3654</v>
      </c>
      <c r="F1088" s="31" t="s">
        <v>3655</v>
      </c>
      <c r="G1088" s="31" t="s">
        <v>20</v>
      </c>
      <c r="H1088" s="31" t="s">
        <v>20</v>
      </c>
      <c r="I1088" s="31">
        <v>4400.0</v>
      </c>
      <c r="J1088" s="31" t="s">
        <v>3656</v>
      </c>
      <c r="K1088" s="31" t="s">
        <v>512</v>
      </c>
      <c r="L1088" s="31" t="s">
        <v>513</v>
      </c>
      <c r="M1088" s="33">
        <v>12.0</v>
      </c>
      <c r="N1088" s="31" t="s">
        <v>3657</v>
      </c>
      <c r="O1088" s="34"/>
    </row>
    <row r="1089" ht="16.5" customHeight="1">
      <c r="A1089" s="91">
        <v>45769.0</v>
      </c>
      <c r="B1089" s="66" t="s">
        <v>3658</v>
      </c>
      <c r="C1089" s="66">
        <v>8.0501152548E11</v>
      </c>
      <c r="D1089" s="66" t="s">
        <v>3659</v>
      </c>
      <c r="E1089" s="66" t="s">
        <v>3660</v>
      </c>
      <c r="F1089" s="66" t="s">
        <v>3661</v>
      </c>
      <c r="G1089" s="66" t="s">
        <v>3662</v>
      </c>
      <c r="H1089" s="66" t="s">
        <v>20</v>
      </c>
      <c r="I1089" s="66">
        <v>4566.0</v>
      </c>
      <c r="J1089" s="66" t="s">
        <v>3663</v>
      </c>
      <c r="K1089" s="66" t="s">
        <v>985</v>
      </c>
      <c r="L1089" s="66" t="s">
        <v>3600</v>
      </c>
      <c r="M1089" s="67">
        <v>1.0</v>
      </c>
      <c r="N1089" s="66" t="s">
        <v>3664</v>
      </c>
      <c r="O1089" s="68"/>
    </row>
    <row r="1090" ht="16.5" customHeight="1">
      <c r="A1090" s="85">
        <v>45769.0</v>
      </c>
      <c r="B1090" s="31" t="s">
        <v>3665</v>
      </c>
      <c r="C1090" s="31">
        <v>8.07227011408E11</v>
      </c>
      <c r="D1090" s="31" t="s">
        <v>3666</v>
      </c>
      <c r="E1090" s="31" t="s">
        <v>3667</v>
      </c>
      <c r="F1090" s="31" t="s">
        <v>3668</v>
      </c>
      <c r="G1090" s="31" t="s">
        <v>20</v>
      </c>
      <c r="H1090" s="31" t="s">
        <v>20</v>
      </c>
      <c r="I1090" s="31">
        <v>4400.0</v>
      </c>
      <c r="J1090" s="31" t="s">
        <v>3669</v>
      </c>
      <c r="K1090" s="31" t="s">
        <v>106</v>
      </c>
      <c r="L1090" s="31" t="s">
        <v>3670</v>
      </c>
      <c r="M1090" s="33">
        <v>1.0</v>
      </c>
      <c r="N1090" s="31" t="s">
        <v>3671</v>
      </c>
      <c r="O1090" s="31" t="s">
        <v>3672</v>
      </c>
    </row>
    <row r="1091" ht="16.5" customHeight="1">
      <c r="A1091" s="85">
        <v>45769.0</v>
      </c>
      <c r="B1091" s="31" t="s">
        <v>3665</v>
      </c>
      <c r="C1091" s="31">
        <v>8.07227011408E11</v>
      </c>
      <c r="D1091" s="31" t="s">
        <v>3666</v>
      </c>
      <c r="E1091" s="31" t="s">
        <v>3667</v>
      </c>
      <c r="F1091" s="31" t="s">
        <v>3668</v>
      </c>
      <c r="G1091" s="31" t="s">
        <v>20</v>
      </c>
      <c r="H1091" s="31" t="s">
        <v>20</v>
      </c>
      <c r="I1091" s="31">
        <v>4400.0</v>
      </c>
      <c r="J1091" s="31" t="s">
        <v>3669</v>
      </c>
      <c r="K1091" s="31" t="s">
        <v>512</v>
      </c>
      <c r="L1091" s="31" t="s">
        <v>513</v>
      </c>
      <c r="M1091" s="33">
        <v>6.0</v>
      </c>
      <c r="N1091" s="31" t="s">
        <v>3671</v>
      </c>
      <c r="O1091" s="31" t="s">
        <v>3672</v>
      </c>
    </row>
    <row r="1092" ht="16.5" customHeight="1">
      <c r="A1092" s="85">
        <v>45769.0</v>
      </c>
      <c r="B1092" s="31" t="s">
        <v>3665</v>
      </c>
      <c r="C1092" s="31">
        <v>8.07227011408E11</v>
      </c>
      <c r="D1092" s="31" t="s">
        <v>3666</v>
      </c>
      <c r="E1092" s="31" t="s">
        <v>3667</v>
      </c>
      <c r="F1092" s="31" t="s">
        <v>3668</v>
      </c>
      <c r="G1092" s="31" t="s">
        <v>20</v>
      </c>
      <c r="H1092" s="31" t="s">
        <v>20</v>
      </c>
      <c r="I1092" s="31">
        <v>4400.0</v>
      </c>
      <c r="J1092" s="31" t="s">
        <v>3669</v>
      </c>
      <c r="K1092" s="31" t="s">
        <v>110</v>
      </c>
      <c r="L1092" s="31" t="s">
        <v>3673</v>
      </c>
      <c r="M1092" s="33">
        <v>1.0</v>
      </c>
      <c r="N1092" s="31" t="s">
        <v>3671</v>
      </c>
      <c r="O1092" s="31" t="s">
        <v>3672</v>
      </c>
    </row>
    <row r="1093" ht="16.5" customHeight="1">
      <c r="A1093" s="91">
        <v>45769.0</v>
      </c>
      <c r="B1093" s="66" t="s">
        <v>3674</v>
      </c>
      <c r="C1093" s="66">
        <v>8.0702503057E11</v>
      </c>
      <c r="D1093" s="66" t="s">
        <v>3675</v>
      </c>
      <c r="E1093" s="66" t="s">
        <v>3676</v>
      </c>
      <c r="F1093" s="66" t="s">
        <v>3677</v>
      </c>
      <c r="G1093" s="66" t="s">
        <v>116</v>
      </c>
      <c r="H1093" s="66" t="s">
        <v>20</v>
      </c>
      <c r="I1093" s="66">
        <v>4400.0</v>
      </c>
      <c r="J1093" s="66" t="s">
        <v>3678</v>
      </c>
      <c r="K1093" s="66" t="s">
        <v>3679</v>
      </c>
      <c r="L1093" s="66" t="s">
        <v>3680</v>
      </c>
      <c r="M1093" s="67">
        <v>1.0</v>
      </c>
      <c r="N1093" s="66" t="s">
        <v>3681</v>
      </c>
      <c r="O1093" s="68"/>
    </row>
    <row r="1094" ht="16.5" customHeight="1">
      <c r="A1094" s="91">
        <v>45769.0</v>
      </c>
      <c r="B1094" s="66" t="s">
        <v>3674</v>
      </c>
      <c r="C1094" s="66">
        <v>8.0702503057E11</v>
      </c>
      <c r="D1094" s="66" t="s">
        <v>3675</v>
      </c>
      <c r="E1094" s="66" t="s">
        <v>3676</v>
      </c>
      <c r="F1094" s="66" t="s">
        <v>3677</v>
      </c>
      <c r="G1094" s="66" t="s">
        <v>116</v>
      </c>
      <c r="H1094" s="66" t="s">
        <v>20</v>
      </c>
      <c r="I1094" s="66">
        <v>4400.0</v>
      </c>
      <c r="J1094" s="66" t="s">
        <v>3678</v>
      </c>
      <c r="K1094" s="66" t="s">
        <v>645</v>
      </c>
      <c r="L1094" s="66" t="s">
        <v>3253</v>
      </c>
      <c r="M1094" s="67">
        <v>2.0</v>
      </c>
      <c r="N1094" s="66" t="s">
        <v>3681</v>
      </c>
      <c r="O1094" s="68"/>
    </row>
    <row r="1095" ht="16.5" customHeight="1">
      <c r="A1095" s="91">
        <v>45769.0</v>
      </c>
      <c r="B1095" s="66" t="s">
        <v>3674</v>
      </c>
      <c r="C1095" s="66">
        <v>8.0702503057E11</v>
      </c>
      <c r="D1095" s="66" t="s">
        <v>3675</v>
      </c>
      <c r="E1095" s="66" t="s">
        <v>3676</v>
      </c>
      <c r="F1095" s="66" t="s">
        <v>3677</v>
      </c>
      <c r="G1095" s="66" t="s">
        <v>116</v>
      </c>
      <c r="H1095" s="66" t="s">
        <v>20</v>
      </c>
      <c r="I1095" s="66">
        <v>4400.0</v>
      </c>
      <c r="J1095" s="66" t="s">
        <v>3678</v>
      </c>
      <c r="K1095" s="66" t="s">
        <v>512</v>
      </c>
      <c r="L1095" s="66" t="s">
        <v>513</v>
      </c>
      <c r="M1095" s="67">
        <v>12.0</v>
      </c>
      <c r="N1095" s="66" t="s">
        <v>3681</v>
      </c>
      <c r="O1095" s="68"/>
    </row>
    <row r="1096" ht="16.5" customHeight="1">
      <c r="A1096" s="85">
        <v>45769.0</v>
      </c>
      <c r="B1096" s="31" t="s">
        <v>3682</v>
      </c>
      <c r="C1096" s="31">
        <v>8.07025030639E11</v>
      </c>
      <c r="D1096" s="31" t="s">
        <v>3683</v>
      </c>
      <c r="E1096" s="31" t="s">
        <v>3684</v>
      </c>
      <c r="F1096" s="31" t="s">
        <v>3685</v>
      </c>
      <c r="G1096" s="31" t="s">
        <v>116</v>
      </c>
      <c r="H1096" s="31" t="s">
        <v>20</v>
      </c>
      <c r="I1096" s="31">
        <v>4400.0</v>
      </c>
      <c r="J1096" s="31" t="s">
        <v>3686</v>
      </c>
      <c r="K1096" s="31" t="s">
        <v>360</v>
      </c>
      <c r="L1096" s="31" t="s">
        <v>3425</v>
      </c>
      <c r="M1096" s="33">
        <v>1.0</v>
      </c>
      <c r="N1096" s="31" t="s">
        <v>2240</v>
      </c>
      <c r="O1096" s="31" t="s">
        <v>1746</v>
      </c>
    </row>
    <row r="1097" ht="16.5" customHeight="1">
      <c r="A1097" s="85">
        <v>45769.0</v>
      </c>
      <c r="B1097" s="31" t="s">
        <v>3682</v>
      </c>
      <c r="C1097" s="31">
        <v>8.07025030639E11</v>
      </c>
      <c r="D1097" s="31" t="s">
        <v>3683</v>
      </c>
      <c r="E1097" s="31" t="s">
        <v>3684</v>
      </c>
      <c r="F1097" s="31" t="s">
        <v>3685</v>
      </c>
      <c r="G1097" s="31" t="s">
        <v>116</v>
      </c>
      <c r="H1097" s="31" t="s">
        <v>20</v>
      </c>
      <c r="I1097" s="31">
        <v>4400.0</v>
      </c>
      <c r="J1097" s="31" t="s">
        <v>3686</v>
      </c>
      <c r="K1097" s="31" t="s">
        <v>512</v>
      </c>
      <c r="L1097" s="31" t="s">
        <v>513</v>
      </c>
      <c r="M1097" s="33">
        <v>6.0</v>
      </c>
      <c r="N1097" s="31" t="s">
        <v>2240</v>
      </c>
      <c r="O1097" s="31" t="s">
        <v>1746</v>
      </c>
    </row>
    <row r="1098" ht="16.5" customHeight="1">
      <c r="A1098" s="85">
        <v>45769.0</v>
      </c>
      <c r="B1098" s="31" t="s">
        <v>3682</v>
      </c>
      <c r="C1098" s="31">
        <v>8.07025030639E11</v>
      </c>
      <c r="D1098" s="31" t="s">
        <v>3683</v>
      </c>
      <c r="E1098" s="31" t="s">
        <v>3684</v>
      </c>
      <c r="F1098" s="31" t="s">
        <v>3685</v>
      </c>
      <c r="G1098" s="31" t="s">
        <v>116</v>
      </c>
      <c r="H1098" s="31" t="s">
        <v>20</v>
      </c>
      <c r="I1098" s="31">
        <v>4400.0</v>
      </c>
      <c r="J1098" s="31" t="s">
        <v>3686</v>
      </c>
      <c r="K1098" s="31" t="s">
        <v>25</v>
      </c>
      <c r="L1098" s="31" t="s">
        <v>3401</v>
      </c>
      <c r="M1098" s="33">
        <v>1.0</v>
      </c>
      <c r="N1098" s="31" t="s">
        <v>2240</v>
      </c>
      <c r="O1098" s="31" t="s">
        <v>1746</v>
      </c>
    </row>
    <row r="1099" ht="16.5" customHeight="1">
      <c r="A1099" s="91">
        <v>45769.0</v>
      </c>
      <c r="B1099" s="66" t="s">
        <v>3687</v>
      </c>
      <c r="C1099" s="66">
        <v>8.07025030657E11</v>
      </c>
      <c r="D1099" s="66" t="s">
        <v>3688</v>
      </c>
      <c r="E1099" s="66" t="s">
        <v>3689</v>
      </c>
      <c r="F1099" s="66" t="s">
        <v>3690</v>
      </c>
      <c r="G1099" s="66" t="s">
        <v>127</v>
      </c>
      <c r="H1099" s="66" t="s">
        <v>20</v>
      </c>
      <c r="I1099" s="66">
        <v>4400.0</v>
      </c>
      <c r="J1099" s="66" t="s">
        <v>3691</v>
      </c>
      <c r="K1099" s="66" t="s">
        <v>3692</v>
      </c>
      <c r="L1099" s="66" t="s">
        <v>3693</v>
      </c>
      <c r="M1099" s="67">
        <v>1.0</v>
      </c>
      <c r="N1099" s="66" t="s">
        <v>3694</v>
      </c>
      <c r="O1099" s="66" t="s">
        <v>3695</v>
      </c>
    </row>
    <row r="1100" ht="16.5" customHeight="1">
      <c r="A1100" s="91">
        <v>45769.0</v>
      </c>
      <c r="B1100" s="66" t="s">
        <v>3687</v>
      </c>
      <c r="C1100" s="66">
        <v>8.07025030657E11</v>
      </c>
      <c r="D1100" s="66" t="s">
        <v>3688</v>
      </c>
      <c r="E1100" s="66" t="s">
        <v>3689</v>
      </c>
      <c r="F1100" s="66" t="s">
        <v>3690</v>
      </c>
      <c r="G1100" s="66" t="s">
        <v>127</v>
      </c>
      <c r="H1100" s="66" t="s">
        <v>20</v>
      </c>
      <c r="I1100" s="66">
        <v>4400.0</v>
      </c>
      <c r="J1100" s="66" t="s">
        <v>3691</v>
      </c>
      <c r="K1100" s="66" t="s">
        <v>512</v>
      </c>
      <c r="L1100" s="66" t="s">
        <v>513</v>
      </c>
      <c r="M1100" s="67">
        <v>6.0</v>
      </c>
      <c r="N1100" s="66" t="s">
        <v>3694</v>
      </c>
      <c r="O1100" s="66" t="s">
        <v>3695</v>
      </c>
    </row>
    <row r="1101" ht="16.5" customHeight="1">
      <c r="A1101" s="91">
        <v>45769.0</v>
      </c>
      <c r="B1101" s="66" t="s">
        <v>3687</v>
      </c>
      <c r="C1101" s="66">
        <v>8.07025030657E11</v>
      </c>
      <c r="D1101" s="66" t="s">
        <v>3688</v>
      </c>
      <c r="E1101" s="66" t="s">
        <v>3689</v>
      </c>
      <c r="F1101" s="66" t="s">
        <v>3690</v>
      </c>
      <c r="G1101" s="66" t="s">
        <v>127</v>
      </c>
      <c r="H1101" s="66" t="s">
        <v>20</v>
      </c>
      <c r="I1101" s="66">
        <v>4400.0</v>
      </c>
      <c r="J1101" s="66" t="s">
        <v>3691</v>
      </c>
      <c r="K1101" s="66" t="s">
        <v>1345</v>
      </c>
      <c r="L1101" s="66" t="s">
        <v>3639</v>
      </c>
      <c r="M1101" s="67">
        <v>1.0</v>
      </c>
      <c r="N1101" s="66" t="s">
        <v>3694</v>
      </c>
      <c r="O1101" s="66" t="s">
        <v>3695</v>
      </c>
    </row>
    <row r="1102" ht="16.5" customHeight="1">
      <c r="A1102" s="85">
        <v>45769.0</v>
      </c>
      <c r="B1102" s="31" t="s">
        <v>3696</v>
      </c>
      <c r="C1102" s="31">
        <v>8.07025030634E11</v>
      </c>
      <c r="D1102" s="31" t="s">
        <v>3697</v>
      </c>
      <c r="E1102" s="31" t="s">
        <v>3698</v>
      </c>
      <c r="F1102" s="31" t="s">
        <v>3699</v>
      </c>
      <c r="G1102" s="31" t="s">
        <v>116</v>
      </c>
      <c r="H1102" s="31" t="s">
        <v>20</v>
      </c>
      <c r="I1102" s="31">
        <v>4400.0</v>
      </c>
      <c r="J1102" s="31" t="s">
        <v>3700</v>
      </c>
      <c r="K1102" s="31" t="s">
        <v>3692</v>
      </c>
      <c r="L1102" s="31" t="s">
        <v>3693</v>
      </c>
      <c r="M1102" s="33">
        <v>2.0</v>
      </c>
      <c r="N1102" s="31" t="s">
        <v>2240</v>
      </c>
      <c r="O1102" s="31" t="s">
        <v>1746</v>
      </c>
    </row>
    <row r="1103" ht="16.5" customHeight="1">
      <c r="A1103" s="85">
        <v>45769.0</v>
      </c>
      <c r="B1103" s="31" t="s">
        <v>3696</v>
      </c>
      <c r="C1103" s="31">
        <v>8.07025030634E11</v>
      </c>
      <c r="D1103" s="31" t="s">
        <v>3697</v>
      </c>
      <c r="E1103" s="31" t="s">
        <v>3698</v>
      </c>
      <c r="F1103" s="31" t="s">
        <v>3699</v>
      </c>
      <c r="G1103" s="31" t="s">
        <v>116</v>
      </c>
      <c r="H1103" s="31" t="s">
        <v>20</v>
      </c>
      <c r="I1103" s="31">
        <v>4400.0</v>
      </c>
      <c r="J1103" s="31" t="s">
        <v>3700</v>
      </c>
      <c r="K1103" s="31" t="s">
        <v>512</v>
      </c>
      <c r="L1103" s="31" t="s">
        <v>513</v>
      </c>
      <c r="M1103" s="33">
        <v>12.0</v>
      </c>
      <c r="N1103" s="31" t="s">
        <v>2240</v>
      </c>
      <c r="O1103" s="31" t="s">
        <v>1746</v>
      </c>
    </row>
    <row r="1104" ht="16.5" customHeight="1">
      <c r="A1104" s="85">
        <v>45769.0</v>
      </c>
      <c r="B1104" s="31" t="s">
        <v>3696</v>
      </c>
      <c r="C1104" s="31">
        <v>8.07025030634E11</v>
      </c>
      <c r="D1104" s="31" t="s">
        <v>3697</v>
      </c>
      <c r="E1104" s="31" t="s">
        <v>3698</v>
      </c>
      <c r="F1104" s="31" t="s">
        <v>3699</v>
      </c>
      <c r="G1104" s="31" t="s">
        <v>116</v>
      </c>
      <c r="H1104" s="31" t="s">
        <v>20</v>
      </c>
      <c r="I1104" s="31">
        <v>4400.0</v>
      </c>
      <c r="J1104" s="31" t="s">
        <v>3700</v>
      </c>
      <c r="K1104" s="31" t="s">
        <v>1345</v>
      </c>
      <c r="L1104" s="31" t="s">
        <v>3639</v>
      </c>
      <c r="M1104" s="33">
        <v>2.0</v>
      </c>
      <c r="N1104" s="31" t="s">
        <v>2240</v>
      </c>
      <c r="O1104" s="31" t="s">
        <v>1746</v>
      </c>
    </row>
    <row r="1105" ht="16.5" customHeight="1">
      <c r="A1105" s="91">
        <v>45769.0</v>
      </c>
      <c r="B1105" s="66" t="s">
        <v>3701</v>
      </c>
      <c r="C1105" s="66">
        <v>8.0702503065E11</v>
      </c>
      <c r="D1105" s="66" t="s">
        <v>3702</v>
      </c>
      <c r="E1105" s="66" t="s">
        <v>3703</v>
      </c>
      <c r="F1105" s="66" t="s">
        <v>3704</v>
      </c>
      <c r="G1105" s="66" t="s">
        <v>2169</v>
      </c>
      <c r="H1105" s="66" t="s">
        <v>20</v>
      </c>
      <c r="I1105" s="66">
        <v>4608.0</v>
      </c>
      <c r="J1105" s="66" t="s">
        <v>3705</v>
      </c>
      <c r="K1105" s="66" t="s">
        <v>60</v>
      </c>
      <c r="L1105" s="66" t="s">
        <v>3706</v>
      </c>
      <c r="M1105" s="67">
        <v>4.0</v>
      </c>
      <c r="N1105" s="66" t="s">
        <v>3707</v>
      </c>
      <c r="O1105" s="66" t="s">
        <v>1746</v>
      </c>
    </row>
    <row r="1106" ht="16.5" customHeight="1">
      <c r="A1106" s="91">
        <v>45769.0</v>
      </c>
      <c r="B1106" s="66" t="s">
        <v>3701</v>
      </c>
      <c r="C1106" s="66">
        <v>8.0702503065E11</v>
      </c>
      <c r="D1106" s="66" t="s">
        <v>3702</v>
      </c>
      <c r="E1106" s="66" t="s">
        <v>3703</v>
      </c>
      <c r="F1106" s="66" t="s">
        <v>3704</v>
      </c>
      <c r="G1106" s="66" t="s">
        <v>2169</v>
      </c>
      <c r="H1106" s="66" t="s">
        <v>20</v>
      </c>
      <c r="I1106" s="66">
        <v>4608.0</v>
      </c>
      <c r="J1106" s="66" t="s">
        <v>3705</v>
      </c>
      <c r="K1106" s="66" t="s">
        <v>512</v>
      </c>
      <c r="L1106" s="66" t="s">
        <v>513</v>
      </c>
      <c r="M1106" s="67">
        <v>24.0</v>
      </c>
      <c r="N1106" s="66" t="s">
        <v>3707</v>
      </c>
      <c r="O1106" s="66" t="s">
        <v>1746</v>
      </c>
    </row>
    <row r="1107" ht="16.5" customHeight="1">
      <c r="A1107" s="91">
        <v>45769.0</v>
      </c>
      <c r="B1107" s="66" t="s">
        <v>3701</v>
      </c>
      <c r="C1107" s="66">
        <v>8.0702503065E11</v>
      </c>
      <c r="D1107" s="66" t="s">
        <v>3702</v>
      </c>
      <c r="E1107" s="66" t="s">
        <v>3703</v>
      </c>
      <c r="F1107" s="66" t="s">
        <v>3704</v>
      </c>
      <c r="G1107" s="66" t="s">
        <v>2169</v>
      </c>
      <c r="H1107" s="66" t="s">
        <v>20</v>
      </c>
      <c r="I1107" s="66">
        <v>4608.0</v>
      </c>
      <c r="J1107" s="66" t="s">
        <v>3705</v>
      </c>
      <c r="K1107" s="66" t="s">
        <v>64</v>
      </c>
      <c r="L1107" s="66" t="s">
        <v>3708</v>
      </c>
      <c r="M1107" s="67">
        <v>4.0</v>
      </c>
      <c r="N1107" s="66" t="s">
        <v>3707</v>
      </c>
      <c r="O1107" s="66" t="s">
        <v>1746</v>
      </c>
    </row>
    <row r="1108" ht="16.5" customHeight="1">
      <c r="A1108" s="85">
        <v>45769.0</v>
      </c>
      <c r="B1108" s="31" t="s">
        <v>3709</v>
      </c>
      <c r="C1108" s="31">
        <v>8.07025030655E11</v>
      </c>
      <c r="D1108" s="31" t="s">
        <v>3496</v>
      </c>
      <c r="E1108" s="31" t="s">
        <v>3497</v>
      </c>
      <c r="F1108" s="31" t="s">
        <v>3498</v>
      </c>
      <c r="G1108" s="31" t="s">
        <v>116</v>
      </c>
      <c r="H1108" s="31" t="s">
        <v>20</v>
      </c>
      <c r="I1108" s="31">
        <v>4400.0</v>
      </c>
      <c r="J1108" s="31" t="s">
        <v>3499</v>
      </c>
      <c r="K1108" s="31" t="s">
        <v>1360</v>
      </c>
      <c r="L1108" s="31" t="s">
        <v>3710</v>
      </c>
      <c r="M1108" s="33">
        <v>1.0</v>
      </c>
      <c r="N1108" s="31" t="s">
        <v>3501</v>
      </c>
      <c r="O1108" s="31" t="s">
        <v>3621</v>
      </c>
    </row>
    <row r="1109" ht="8.25" customHeight="1">
      <c r="A1109" s="87"/>
      <c r="B1109" s="88"/>
      <c r="C1109" s="88"/>
      <c r="D1109" s="88"/>
      <c r="E1109" s="88"/>
      <c r="F1109" s="88"/>
      <c r="G1109" s="88"/>
      <c r="H1109" s="88"/>
      <c r="I1109" s="88"/>
      <c r="J1109" s="88"/>
      <c r="K1109" s="88"/>
      <c r="L1109" s="88"/>
      <c r="M1109" s="89"/>
      <c r="N1109" s="90"/>
      <c r="O1109" s="90"/>
    </row>
    <row r="1110">
      <c r="A1110" s="91">
        <v>45786.0</v>
      </c>
      <c r="B1110" s="66" t="s">
        <v>3711</v>
      </c>
      <c r="C1110" s="66">
        <v>8.05011526554E11</v>
      </c>
      <c r="D1110" s="66" t="s">
        <v>602</v>
      </c>
      <c r="E1110" s="66" t="s">
        <v>603</v>
      </c>
      <c r="F1110" s="66" t="s">
        <v>3712</v>
      </c>
      <c r="G1110" s="66" t="s">
        <v>20</v>
      </c>
      <c r="H1110" s="66" t="s">
        <v>20</v>
      </c>
      <c r="I1110" s="66">
        <v>4400.0</v>
      </c>
      <c r="J1110" s="66" t="s">
        <v>3713</v>
      </c>
      <c r="K1110" s="66" t="s">
        <v>360</v>
      </c>
      <c r="L1110" s="66" t="s">
        <v>3425</v>
      </c>
      <c r="M1110" s="67">
        <v>1.0</v>
      </c>
      <c r="N1110" s="68"/>
      <c r="O1110" s="68"/>
    </row>
    <row r="1111">
      <c r="A1111" s="91">
        <v>45786.0</v>
      </c>
      <c r="B1111" s="66" t="s">
        <v>3711</v>
      </c>
      <c r="C1111" s="66">
        <v>8.05011526554E11</v>
      </c>
      <c r="D1111" s="66" t="s">
        <v>602</v>
      </c>
      <c r="E1111" s="66" t="s">
        <v>603</v>
      </c>
      <c r="F1111" s="66" t="s">
        <v>3712</v>
      </c>
      <c r="G1111" s="66" t="s">
        <v>20</v>
      </c>
      <c r="H1111" s="66" t="s">
        <v>20</v>
      </c>
      <c r="I1111" s="66">
        <v>4400.0</v>
      </c>
      <c r="J1111" s="66" t="s">
        <v>3713</v>
      </c>
      <c r="K1111" s="66" t="s">
        <v>512</v>
      </c>
      <c r="L1111" s="66" t="s">
        <v>513</v>
      </c>
      <c r="M1111" s="67">
        <v>6.0</v>
      </c>
      <c r="N1111" s="68"/>
      <c r="O1111" s="68"/>
    </row>
    <row r="1112">
      <c r="A1112" s="91">
        <v>45786.0</v>
      </c>
      <c r="B1112" s="66" t="s">
        <v>3711</v>
      </c>
      <c r="C1112" s="66">
        <v>8.05011526554E11</v>
      </c>
      <c r="D1112" s="66" t="s">
        <v>602</v>
      </c>
      <c r="E1112" s="66" t="s">
        <v>603</v>
      </c>
      <c r="F1112" s="66" t="s">
        <v>3712</v>
      </c>
      <c r="G1112" s="66" t="s">
        <v>20</v>
      </c>
      <c r="H1112" s="66" t="s">
        <v>20</v>
      </c>
      <c r="I1112" s="66">
        <v>4400.0</v>
      </c>
      <c r="J1112" s="66" t="s">
        <v>3713</v>
      </c>
      <c r="K1112" s="66" t="s">
        <v>25</v>
      </c>
      <c r="L1112" s="66" t="s">
        <v>3401</v>
      </c>
      <c r="M1112" s="67">
        <v>1.0</v>
      </c>
      <c r="N1112" s="68"/>
      <c r="O1112" s="68"/>
    </row>
    <row r="1113">
      <c r="A1113" s="85">
        <v>45786.0</v>
      </c>
      <c r="B1113" s="31" t="s">
        <v>3714</v>
      </c>
      <c r="C1113" s="31">
        <v>8.07025030735E11</v>
      </c>
      <c r="D1113" s="31" t="s">
        <v>3715</v>
      </c>
      <c r="E1113" s="31" t="s">
        <v>3716</v>
      </c>
      <c r="F1113" s="31" t="s">
        <v>3717</v>
      </c>
      <c r="G1113" s="31" t="s">
        <v>116</v>
      </c>
      <c r="H1113" s="31" t="s">
        <v>20</v>
      </c>
      <c r="I1113" s="31">
        <v>4400.0</v>
      </c>
      <c r="J1113" s="31" t="s">
        <v>3718</v>
      </c>
      <c r="K1113" s="31" t="s">
        <v>2616</v>
      </c>
      <c r="L1113" s="31" t="s">
        <v>3268</v>
      </c>
      <c r="M1113" s="33">
        <v>1.0</v>
      </c>
      <c r="N1113" s="34"/>
      <c r="O1113" s="34"/>
    </row>
    <row r="1114">
      <c r="A1114" s="91">
        <v>45786.0</v>
      </c>
      <c r="B1114" s="66" t="s">
        <v>3719</v>
      </c>
      <c r="C1114" s="66">
        <v>8.05011526666E11</v>
      </c>
      <c r="D1114" s="66" t="s">
        <v>3720</v>
      </c>
      <c r="E1114" s="66" t="s">
        <v>3721</v>
      </c>
      <c r="F1114" s="66" t="s">
        <v>3722</v>
      </c>
      <c r="G1114" s="66" t="s">
        <v>58</v>
      </c>
      <c r="H1114" s="66" t="s">
        <v>20</v>
      </c>
      <c r="I1114" s="66">
        <v>4400.0</v>
      </c>
      <c r="J1114" s="66" t="s">
        <v>3723</v>
      </c>
      <c r="K1114" s="66" t="s">
        <v>3692</v>
      </c>
      <c r="L1114" s="66" t="s">
        <v>3693</v>
      </c>
      <c r="M1114" s="67">
        <v>1.0</v>
      </c>
      <c r="N1114" s="68"/>
      <c r="O1114" s="68"/>
    </row>
    <row r="1115">
      <c r="A1115" s="85">
        <v>45786.0</v>
      </c>
      <c r="B1115" s="31" t="s">
        <v>3724</v>
      </c>
      <c r="C1115" s="31">
        <v>8.07025030747E11</v>
      </c>
      <c r="D1115" s="31" t="s">
        <v>3725</v>
      </c>
      <c r="E1115" s="31" t="s">
        <v>3726</v>
      </c>
      <c r="F1115" s="31" t="s">
        <v>3727</v>
      </c>
      <c r="G1115" s="31" t="s">
        <v>1387</v>
      </c>
      <c r="H1115" s="31" t="s">
        <v>20</v>
      </c>
      <c r="I1115" s="31">
        <v>4430.0</v>
      </c>
      <c r="J1115" s="31" t="s">
        <v>3728</v>
      </c>
      <c r="K1115" s="31" t="s">
        <v>1911</v>
      </c>
      <c r="L1115" s="31" t="s">
        <v>3729</v>
      </c>
      <c r="M1115" s="33">
        <v>1.0</v>
      </c>
      <c r="N1115" s="34"/>
      <c r="O1115" s="34"/>
    </row>
    <row r="1116">
      <c r="A1116" s="91">
        <v>45786.0</v>
      </c>
      <c r="B1116" s="66" t="s">
        <v>3730</v>
      </c>
      <c r="C1116" s="66">
        <v>8.05011526991E11</v>
      </c>
      <c r="D1116" s="66" t="s">
        <v>3731</v>
      </c>
      <c r="E1116" s="66" t="s">
        <v>3732</v>
      </c>
      <c r="F1116" s="66" t="s">
        <v>3733</v>
      </c>
      <c r="G1116" s="66" t="s">
        <v>20</v>
      </c>
      <c r="H1116" s="66" t="s">
        <v>20</v>
      </c>
      <c r="I1116" s="66">
        <v>4400.0</v>
      </c>
      <c r="J1116" s="66" t="s">
        <v>3734</v>
      </c>
      <c r="K1116" s="66" t="s">
        <v>3641</v>
      </c>
      <c r="L1116" s="66" t="s">
        <v>3642</v>
      </c>
      <c r="M1116" s="67">
        <v>2.0</v>
      </c>
      <c r="N1116" s="68"/>
      <c r="O1116" s="68"/>
    </row>
    <row r="1117">
      <c r="A1117" s="85">
        <v>45786.0</v>
      </c>
      <c r="B1117" s="31" t="s">
        <v>3735</v>
      </c>
      <c r="C1117" s="31">
        <v>8.05011527056E11</v>
      </c>
      <c r="D1117" s="31" t="s">
        <v>3736</v>
      </c>
      <c r="E1117" s="31" t="s">
        <v>3737</v>
      </c>
      <c r="F1117" s="31" t="s">
        <v>3738</v>
      </c>
      <c r="G1117" s="31" t="s">
        <v>20</v>
      </c>
      <c r="H1117" s="31" t="s">
        <v>20</v>
      </c>
      <c r="I1117" s="31">
        <v>4400.0</v>
      </c>
      <c r="J1117" s="31" t="s">
        <v>3739</v>
      </c>
      <c r="K1117" s="31" t="s">
        <v>3054</v>
      </c>
      <c r="L1117" s="31" t="s">
        <v>3346</v>
      </c>
      <c r="M1117" s="33">
        <v>1.0</v>
      </c>
      <c r="N1117" s="34"/>
      <c r="O1117" s="34"/>
    </row>
    <row r="1118">
      <c r="A1118" s="91">
        <v>45786.0</v>
      </c>
      <c r="B1118" s="66" t="s">
        <v>3740</v>
      </c>
      <c r="C1118" s="66">
        <v>8.07025030766E11</v>
      </c>
      <c r="D1118" s="66" t="s">
        <v>3741</v>
      </c>
      <c r="E1118" s="66" t="s">
        <v>3742</v>
      </c>
      <c r="F1118" s="66" t="s">
        <v>3743</v>
      </c>
      <c r="G1118" s="66" t="s">
        <v>116</v>
      </c>
      <c r="H1118" s="66" t="s">
        <v>20</v>
      </c>
      <c r="I1118" s="66">
        <v>4400.0</v>
      </c>
      <c r="J1118" s="66" t="s">
        <v>3744</v>
      </c>
      <c r="K1118" s="66" t="s">
        <v>2031</v>
      </c>
      <c r="L1118" s="66" t="s">
        <v>3348</v>
      </c>
      <c r="M1118" s="67">
        <v>1.0</v>
      </c>
      <c r="N1118" s="68"/>
      <c r="O1118" s="68"/>
    </row>
    <row r="1119">
      <c r="A1119" s="91">
        <v>45786.0</v>
      </c>
      <c r="B1119" s="66" t="s">
        <v>3740</v>
      </c>
      <c r="C1119" s="66">
        <v>8.07025030766E11</v>
      </c>
      <c r="D1119" s="66" t="s">
        <v>3741</v>
      </c>
      <c r="E1119" s="66" t="s">
        <v>3742</v>
      </c>
      <c r="F1119" s="66" t="s">
        <v>3743</v>
      </c>
      <c r="G1119" s="66" t="s">
        <v>116</v>
      </c>
      <c r="H1119" s="66" t="s">
        <v>20</v>
      </c>
      <c r="I1119" s="66">
        <v>4400.0</v>
      </c>
      <c r="J1119" s="66" t="s">
        <v>3744</v>
      </c>
      <c r="K1119" s="66" t="s">
        <v>3054</v>
      </c>
      <c r="L1119" s="66" t="s">
        <v>3346</v>
      </c>
      <c r="M1119" s="67">
        <v>1.0</v>
      </c>
      <c r="N1119" s="68"/>
      <c r="O1119" s="68"/>
    </row>
    <row r="1120">
      <c r="A1120" s="91">
        <v>45786.0</v>
      </c>
      <c r="B1120" s="66" t="s">
        <v>3740</v>
      </c>
      <c r="C1120" s="66">
        <v>8.07025030766E11</v>
      </c>
      <c r="D1120" s="66" t="s">
        <v>3741</v>
      </c>
      <c r="E1120" s="66" t="s">
        <v>3742</v>
      </c>
      <c r="F1120" s="66" t="s">
        <v>3743</v>
      </c>
      <c r="G1120" s="66" t="s">
        <v>116</v>
      </c>
      <c r="H1120" s="66" t="s">
        <v>20</v>
      </c>
      <c r="I1120" s="66">
        <v>4400.0</v>
      </c>
      <c r="J1120" s="66" t="s">
        <v>3744</v>
      </c>
      <c r="K1120" s="66" t="s">
        <v>512</v>
      </c>
      <c r="L1120" s="66" t="s">
        <v>513</v>
      </c>
      <c r="M1120" s="67">
        <v>6.0</v>
      </c>
      <c r="N1120" s="68"/>
      <c r="O1120" s="68"/>
    </row>
    <row r="1121">
      <c r="A1121" s="85">
        <v>45786.0</v>
      </c>
      <c r="B1121" s="31" t="s">
        <v>3745</v>
      </c>
      <c r="C1121" s="31">
        <v>8.05011527124E11</v>
      </c>
      <c r="D1121" s="31" t="s">
        <v>3746</v>
      </c>
      <c r="E1121" s="31" t="s">
        <v>3747</v>
      </c>
      <c r="F1121" s="31" t="s">
        <v>3748</v>
      </c>
      <c r="G1121" s="31" t="s">
        <v>104</v>
      </c>
      <c r="H1121" s="31" t="s">
        <v>20</v>
      </c>
      <c r="I1121" s="31">
        <v>4400.0</v>
      </c>
      <c r="J1121" s="31" t="s">
        <v>3749</v>
      </c>
      <c r="K1121" s="31" t="s">
        <v>947</v>
      </c>
      <c r="L1121" s="31" t="s">
        <v>3750</v>
      </c>
      <c r="M1121" s="33">
        <v>1.0</v>
      </c>
      <c r="N1121" s="34"/>
      <c r="O1121" s="34"/>
    </row>
    <row r="1122" ht="9.75" customHeight="1">
      <c r="A1122" s="87"/>
      <c r="B1122" s="88"/>
      <c r="C1122" s="88"/>
      <c r="D1122" s="88"/>
      <c r="E1122" s="88"/>
      <c r="F1122" s="88"/>
      <c r="G1122" s="88"/>
      <c r="H1122" s="88"/>
      <c r="I1122" s="88"/>
      <c r="J1122" s="88"/>
      <c r="K1122" s="88"/>
      <c r="L1122" s="88"/>
      <c r="M1122" s="89"/>
      <c r="N1122" s="90"/>
      <c r="O1122" s="90"/>
    </row>
    <row r="1123">
      <c r="A1123" s="93">
        <v>45797.0</v>
      </c>
      <c r="B1123" s="31" t="s">
        <v>3751</v>
      </c>
      <c r="C1123" s="31">
        <v>8.05011527536E11</v>
      </c>
      <c r="D1123" s="31" t="s">
        <v>3752</v>
      </c>
      <c r="E1123" s="31" t="s">
        <v>3753</v>
      </c>
      <c r="F1123" s="31" t="s">
        <v>3754</v>
      </c>
      <c r="G1123" s="31" t="s">
        <v>41</v>
      </c>
      <c r="H1123" s="31" t="s">
        <v>20</v>
      </c>
      <c r="I1123" s="31">
        <v>4560.0</v>
      </c>
      <c r="J1123" s="33">
        <v>3.873512682E9</v>
      </c>
      <c r="K1123" s="31" t="s">
        <v>512</v>
      </c>
      <c r="L1123" s="31" t="s">
        <v>513</v>
      </c>
      <c r="M1123" s="33">
        <v>6.0</v>
      </c>
      <c r="N1123" s="31" t="s">
        <v>3755</v>
      </c>
      <c r="O1123" s="34"/>
    </row>
    <row r="1124">
      <c r="A1124" s="93">
        <v>45797.0</v>
      </c>
      <c r="B1124" s="31" t="s">
        <v>3751</v>
      </c>
      <c r="C1124" s="31">
        <v>8.05011527536E11</v>
      </c>
      <c r="D1124" s="31" t="s">
        <v>3752</v>
      </c>
      <c r="E1124" s="31" t="s">
        <v>3753</v>
      </c>
      <c r="F1124" s="31" t="s">
        <v>3754</v>
      </c>
      <c r="G1124" s="31" t="s">
        <v>41</v>
      </c>
      <c r="H1124" s="31" t="s">
        <v>20</v>
      </c>
      <c r="I1124" s="31">
        <v>4560.0</v>
      </c>
      <c r="J1124" s="33">
        <v>3.873512682E9</v>
      </c>
      <c r="K1124" s="31" t="s">
        <v>2031</v>
      </c>
      <c r="L1124" s="31" t="s">
        <v>3348</v>
      </c>
      <c r="M1124" s="33">
        <v>1.0</v>
      </c>
      <c r="N1124" s="31" t="s">
        <v>3755</v>
      </c>
      <c r="O1124" s="34"/>
    </row>
    <row r="1125">
      <c r="A1125" s="93">
        <v>45797.0</v>
      </c>
      <c r="B1125" s="31" t="s">
        <v>3751</v>
      </c>
      <c r="C1125" s="31">
        <v>8.05011527536E11</v>
      </c>
      <c r="D1125" s="31" t="s">
        <v>3752</v>
      </c>
      <c r="E1125" s="31" t="s">
        <v>3753</v>
      </c>
      <c r="F1125" s="31" t="s">
        <v>3754</v>
      </c>
      <c r="G1125" s="31" t="s">
        <v>41</v>
      </c>
      <c r="H1125" s="31" t="s">
        <v>20</v>
      </c>
      <c r="I1125" s="31">
        <v>4560.0</v>
      </c>
      <c r="J1125" s="33">
        <v>3.873512682E9</v>
      </c>
      <c r="K1125" s="31" t="s">
        <v>3054</v>
      </c>
      <c r="L1125" s="31" t="s">
        <v>3346</v>
      </c>
      <c r="M1125" s="33">
        <v>1.0</v>
      </c>
      <c r="N1125" s="31" t="s">
        <v>3755</v>
      </c>
      <c r="O1125" s="34"/>
    </row>
    <row r="1126">
      <c r="A1126" s="93">
        <v>45797.0</v>
      </c>
      <c r="B1126" s="31" t="s">
        <v>3756</v>
      </c>
      <c r="C1126" s="31">
        <v>8.0501152835E11</v>
      </c>
      <c r="D1126" s="31" t="s">
        <v>3757</v>
      </c>
      <c r="E1126" s="31" t="s">
        <v>3758</v>
      </c>
      <c r="F1126" s="31" t="s">
        <v>3759</v>
      </c>
      <c r="G1126" s="31" t="s">
        <v>20</v>
      </c>
      <c r="H1126" s="31" t="s">
        <v>20</v>
      </c>
      <c r="I1126" s="31">
        <v>4400.0</v>
      </c>
      <c r="J1126" s="33" t="s">
        <v>3760</v>
      </c>
      <c r="K1126" s="31" t="s">
        <v>758</v>
      </c>
      <c r="L1126" s="31" t="s">
        <v>3574</v>
      </c>
      <c r="M1126" s="33">
        <v>2.0</v>
      </c>
      <c r="N1126" s="34"/>
      <c r="O1126" s="34"/>
    </row>
    <row r="1127">
      <c r="A1127" s="93">
        <v>45797.0</v>
      </c>
      <c r="B1127" s="31" t="s">
        <v>3756</v>
      </c>
      <c r="C1127" s="31">
        <v>8.0501152835E11</v>
      </c>
      <c r="D1127" s="31" t="s">
        <v>3757</v>
      </c>
      <c r="E1127" s="31" t="s">
        <v>3758</v>
      </c>
      <c r="F1127" s="31" t="s">
        <v>3759</v>
      </c>
      <c r="G1127" s="31" t="s">
        <v>20</v>
      </c>
      <c r="H1127" s="31" t="s">
        <v>20</v>
      </c>
      <c r="I1127" s="31">
        <v>4400.0</v>
      </c>
      <c r="J1127" s="33" t="s">
        <v>3760</v>
      </c>
      <c r="K1127" s="31" t="s">
        <v>512</v>
      </c>
      <c r="L1127" s="31" t="s">
        <v>513</v>
      </c>
      <c r="M1127" s="33">
        <v>12.0</v>
      </c>
      <c r="N1127" s="34"/>
      <c r="O1127" s="34"/>
    </row>
    <row r="1128">
      <c r="A1128" s="93">
        <v>45797.0</v>
      </c>
      <c r="B1128" s="31" t="s">
        <v>3756</v>
      </c>
      <c r="C1128" s="31">
        <v>8.0501152835E11</v>
      </c>
      <c r="D1128" s="31" t="s">
        <v>3757</v>
      </c>
      <c r="E1128" s="31" t="s">
        <v>3758</v>
      </c>
      <c r="F1128" s="31" t="s">
        <v>3759</v>
      </c>
      <c r="G1128" s="31" t="s">
        <v>20</v>
      </c>
      <c r="H1128" s="31" t="s">
        <v>20</v>
      </c>
      <c r="I1128" s="31">
        <v>4400.0</v>
      </c>
      <c r="J1128" s="33" t="s">
        <v>3760</v>
      </c>
      <c r="K1128" s="31" t="s">
        <v>761</v>
      </c>
      <c r="L1128" s="31" t="s">
        <v>3761</v>
      </c>
      <c r="M1128" s="33">
        <v>1.0</v>
      </c>
      <c r="N1128" s="34"/>
      <c r="O1128" s="34"/>
    </row>
    <row r="1129">
      <c r="A1129" s="93">
        <v>45797.0</v>
      </c>
      <c r="B1129" s="31" t="s">
        <v>3762</v>
      </c>
      <c r="C1129" s="31">
        <v>8.05011528196E11</v>
      </c>
      <c r="D1129" s="31" t="s">
        <v>3763</v>
      </c>
      <c r="E1129" s="31" t="s">
        <v>3764</v>
      </c>
      <c r="F1129" s="31" t="s">
        <v>3765</v>
      </c>
      <c r="G1129" s="31" t="s">
        <v>835</v>
      </c>
      <c r="H1129" s="31" t="s">
        <v>20</v>
      </c>
      <c r="I1129" s="31">
        <v>4550.0</v>
      </c>
      <c r="J1129" s="33">
        <v>3.877581538E9</v>
      </c>
      <c r="K1129" s="31" t="s">
        <v>512</v>
      </c>
      <c r="L1129" s="31" t="s">
        <v>513</v>
      </c>
      <c r="M1129" s="33">
        <v>12.0</v>
      </c>
      <c r="N1129" s="31" t="s">
        <v>3766</v>
      </c>
      <c r="O1129" s="34"/>
    </row>
    <row r="1130">
      <c r="A1130" s="93">
        <v>45797.0</v>
      </c>
      <c r="B1130" s="31" t="s">
        <v>3762</v>
      </c>
      <c r="C1130" s="31">
        <v>8.05011528196E11</v>
      </c>
      <c r="D1130" s="31" t="s">
        <v>3763</v>
      </c>
      <c r="E1130" s="31" t="s">
        <v>3764</v>
      </c>
      <c r="F1130" s="31" t="s">
        <v>3765</v>
      </c>
      <c r="G1130" s="31" t="s">
        <v>835</v>
      </c>
      <c r="H1130" s="31" t="s">
        <v>20</v>
      </c>
      <c r="I1130" s="31">
        <v>4550.0</v>
      </c>
      <c r="J1130" s="33">
        <v>3.877581538E9</v>
      </c>
      <c r="K1130" s="31" t="s">
        <v>645</v>
      </c>
      <c r="L1130" s="31" t="s">
        <v>3253</v>
      </c>
      <c r="M1130" s="33">
        <v>2.0</v>
      </c>
      <c r="N1130" s="31" t="s">
        <v>3766</v>
      </c>
      <c r="O1130" s="34"/>
    </row>
    <row r="1131">
      <c r="A1131" s="93">
        <v>45797.0</v>
      </c>
      <c r="B1131" s="31" t="s">
        <v>3762</v>
      </c>
      <c r="C1131" s="31">
        <v>8.05011528196E11</v>
      </c>
      <c r="D1131" s="31" t="s">
        <v>3763</v>
      </c>
      <c r="E1131" s="31" t="s">
        <v>3764</v>
      </c>
      <c r="F1131" s="31" t="s">
        <v>3765</v>
      </c>
      <c r="G1131" s="31" t="s">
        <v>835</v>
      </c>
      <c r="H1131" s="31" t="s">
        <v>20</v>
      </c>
      <c r="I1131" s="31">
        <v>4550.0</v>
      </c>
      <c r="J1131" s="33">
        <v>3.877581538E9</v>
      </c>
      <c r="K1131" s="31" t="s">
        <v>3767</v>
      </c>
      <c r="L1131" s="31" t="s">
        <v>3768</v>
      </c>
      <c r="M1131" s="33">
        <v>1.0</v>
      </c>
      <c r="N1131" s="31" t="s">
        <v>3766</v>
      </c>
      <c r="O1131" s="34"/>
    </row>
    <row r="1132">
      <c r="A1132" s="93">
        <v>45797.0</v>
      </c>
      <c r="B1132" s="31" t="s">
        <v>3769</v>
      </c>
      <c r="C1132" s="31">
        <v>8.05011528206E11</v>
      </c>
      <c r="D1132" s="31" t="s">
        <v>3770</v>
      </c>
      <c r="E1132" s="31" t="s">
        <v>3771</v>
      </c>
      <c r="F1132" s="31" t="s">
        <v>3772</v>
      </c>
      <c r="G1132" s="31" t="s">
        <v>3383</v>
      </c>
      <c r="H1132" s="31" t="s">
        <v>20</v>
      </c>
      <c r="I1132" s="31">
        <v>4448.0</v>
      </c>
      <c r="J1132" s="33" t="s">
        <v>3773</v>
      </c>
      <c r="K1132" s="31" t="s">
        <v>670</v>
      </c>
      <c r="L1132" s="31" t="s">
        <v>3410</v>
      </c>
      <c r="M1132" s="33">
        <v>1.0</v>
      </c>
      <c r="N1132" s="31" t="s">
        <v>3774</v>
      </c>
      <c r="O1132" s="34"/>
    </row>
    <row r="1133">
      <c r="A1133" s="93">
        <v>45797.0</v>
      </c>
      <c r="B1133" s="31" t="s">
        <v>3769</v>
      </c>
      <c r="C1133" s="31">
        <v>8.05011528206E11</v>
      </c>
      <c r="D1133" s="31" t="s">
        <v>3770</v>
      </c>
      <c r="E1133" s="31" t="s">
        <v>3771</v>
      </c>
      <c r="F1133" s="31" t="s">
        <v>3772</v>
      </c>
      <c r="G1133" s="31" t="s">
        <v>3383</v>
      </c>
      <c r="H1133" s="31" t="s">
        <v>20</v>
      </c>
      <c r="I1133" s="31">
        <v>4448.0</v>
      </c>
      <c r="J1133" s="33" t="s">
        <v>3773</v>
      </c>
      <c r="K1133" s="31" t="s">
        <v>512</v>
      </c>
      <c r="L1133" s="31" t="s">
        <v>513</v>
      </c>
      <c r="M1133" s="33">
        <v>6.0</v>
      </c>
      <c r="N1133" s="31" t="s">
        <v>3774</v>
      </c>
      <c r="O1133" s="34"/>
    </row>
    <row r="1134">
      <c r="A1134" s="93">
        <v>45797.0</v>
      </c>
      <c r="B1134" s="31" t="s">
        <v>3769</v>
      </c>
      <c r="C1134" s="31">
        <v>8.05011528206E11</v>
      </c>
      <c r="D1134" s="31" t="s">
        <v>3770</v>
      </c>
      <c r="E1134" s="31" t="s">
        <v>3771</v>
      </c>
      <c r="F1134" s="31" t="s">
        <v>3772</v>
      </c>
      <c r="G1134" s="31" t="s">
        <v>3383</v>
      </c>
      <c r="H1134" s="31" t="s">
        <v>20</v>
      </c>
      <c r="I1134" s="31">
        <v>4448.0</v>
      </c>
      <c r="J1134" s="33" t="s">
        <v>3773</v>
      </c>
      <c r="K1134" s="31" t="s">
        <v>32</v>
      </c>
      <c r="L1134" s="31" t="s">
        <v>3225</v>
      </c>
      <c r="M1134" s="33">
        <v>1.0</v>
      </c>
      <c r="N1134" s="31" t="s">
        <v>3774</v>
      </c>
      <c r="O1134" s="34"/>
    </row>
    <row r="1135">
      <c r="A1135" s="93">
        <v>45797.0</v>
      </c>
      <c r="B1135" s="31" t="s">
        <v>3775</v>
      </c>
      <c r="C1135" s="31">
        <v>8.05011528544E11</v>
      </c>
      <c r="D1135" s="31" t="s">
        <v>3776</v>
      </c>
      <c r="E1135" s="31" t="s">
        <v>3777</v>
      </c>
      <c r="F1135" s="31" t="s">
        <v>3778</v>
      </c>
      <c r="G1135" s="31" t="s">
        <v>3779</v>
      </c>
      <c r="H1135" s="31" t="s">
        <v>20</v>
      </c>
      <c r="I1135" s="31">
        <v>4400.0</v>
      </c>
      <c r="J1135" s="33" t="s">
        <v>3780</v>
      </c>
      <c r="K1135" s="31" t="s">
        <v>121</v>
      </c>
      <c r="L1135" s="31" t="s">
        <v>3199</v>
      </c>
      <c r="M1135" s="33">
        <v>2.0</v>
      </c>
      <c r="N1135" s="31" t="s">
        <v>3781</v>
      </c>
      <c r="O1135" s="34"/>
    </row>
    <row r="1136">
      <c r="A1136" s="93">
        <v>45797.0</v>
      </c>
      <c r="B1136" s="31" t="s">
        <v>3775</v>
      </c>
      <c r="C1136" s="31">
        <v>8.05011528544E11</v>
      </c>
      <c r="D1136" s="31" t="s">
        <v>3776</v>
      </c>
      <c r="E1136" s="31" t="s">
        <v>3777</v>
      </c>
      <c r="F1136" s="31" t="s">
        <v>3778</v>
      </c>
      <c r="G1136" s="31" t="s">
        <v>3779</v>
      </c>
      <c r="H1136" s="31" t="s">
        <v>20</v>
      </c>
      <c r="I1136" s="31">
        <v>4400.0</v>
      </c>
      <c r="J1136" s="33" t="s">
        <v>3780</v>
      </c>
      <c r="K1136" s="31" t="s">
        <v>512</v>
      </c>
      <c r="L1136" s="31" t="s">
        <v>513</v>
      </c>
      <c r="M1136" s="33">
        <v>12.0</v>
      </c>
      <c r="N1136" s="31" t="s">
        <v>3781</v>
      </c>
      <c r="O1136" s="34"/>
    </row>
    <row r="1137">
      <c r="A1137" s="93">
        <v>45797.0</v>
      </c>
      <c r="B1137" s="31" t="s">
        <v>3775</v>
      </c>
      <c r="C1137" s="31">
        <v>8.05011528544E11</v>
      </c>
      <c r="D1137" s="31" t="s">
        <v>3776</v>
      </c>
      <c r="E1137" s="31" t="s">
        <v>3777</v>
      </c>
      <c r="F1137" s="31" t="s">
        <v>3778</v>
      </c>
      <c r="G1137" s="31" t="s">
        <v>3779</v>
      </c>
      <c r="H1137" s="31" t="s">
        <v>20</v>
      </c>
      <c r="I1137" s="31">
        <v>4400.0</v>
      </c>
      <c r="J1137" s="33" t="s">
        <v>3780</v>
      </c>
      <c r="K1137" s="31" t="s">
        <v>768</v>
      </c>
      <c r="L1137" s="31" t="s">
        <v>3386</v>
      </c>
      <c r="M1137" s="33">
        <v>1.0</v>
      </c>
      <c r="N1137" s="31" t="s">
        <v>3781</v>
      </c>
      <c r="O1137" s="34"/>
    </row>
    <row r="1138">
      <c r="A1138" s="93">
        <v>45797.0</v>
      </c>
      <c r="B1138" s="31" t="s">
        <v>3782</v>
      </c>
      <c r="C1138" s="31">
        <v>8.05011529061E11</v>
      </c>
      <c r="D1138" s="31" t="s">
        <v>3783</v>
      </c>
      <c r="E1138" s="31" t="s">
        <v>3784</v>
      </c>
      <c r="F1138" s="31" t="s">
        <v>3785</v>
      </c>
      <c r="G1138" s="31" t="s">
        <v>3786</v>
      </c>
      <c r="H1138" s="31" t="s">
        <v>20</v>
      </c>
      <c r="I1138" s="31">
        <v>4533.0</v>
      </c>
      <c r="J1138" s="33" t="s">
        <v>3787</v>
      </c>
      <c r="K1138" s="31" t="s">
        <v>698</v>
      </c>
      <c r="L1138" s="31" t="s">
        <v>699</v>
      </c>
      <c r="M1138" s="33">
        <v>1.0</v>
      </c>
      <c r="N1138" s="31" t="s">
        <v>3788</v>
      </c>
      <c r="O1138" s="34"/>
    </row>
    <row r="1139">
      <c r="A1139" s="93">
        <v>45797.0</v>
      </c>
      <c r="B1139" s="31" t="s">
        <v>3789</v>
      </c>
      <c r="C1139" s="31">
        <v>8.07025030864E11</v>
      </c>
      <c r="D1139" s="31" t="s">
        <v>3496</v>
      </c>
      <c r="E1139" s="31" t="s">
        <v>3497</v>
      </c>
      <c r="F1139" s="31" t="s">
        <v>3498</v>
      </c>
      <c r="G1139" s="31" t="s">
        <v>116</v>
      </c>
      <c r="H1139" s="31" t="s">
        <v>20</v>
      </c>
      <c r="I1139" s="31">
        <v>4400.0</v>
      </c>
      <c r="J1139" s="33" t="s">
        <v>3499</v>
      </c>
      <c r="K1139" s="31" t="s">
        <v>3790</v>
      </c>
      <c r="L1139" s="31" t="s">
        <v>3791</v>
      </c>
      <c r="M1139" s="33">
        <v>1.0</v>
      </c>
      <c r="N1139" s="31" t="s">
        <v>3792</v>
      </c>
      <c r="O1139" s="31" t="s">
        <v>1746</v>
      </c>
    </row>
    <row r="1140">
      <c r="A1140" s="93">
        <v>45797.0</v>
      </c>
      <c r="B1140" s="31" t="s">
        <v>3793</v>
      </c>
      <c r="C1140" s="31">
        <v>8.07025030883E11</v>
      </c>
      <c r="D1140" s="31" t="s">
        <v>3794</v>
      </c>
      <c r="E1140" s="31" t="s">
        <v>3795</v>
      </c>
      <c r="F1140" s="94" t="s">
        <v>115</v>
      </c>
      <c r="G1140" s="31" t="s">
        <v>116</v>
      </c>
      <c r="H1140" s="31" t="s">
        <v>20</v>
      </c>
      <c r="I1140" s="31">
        <v>4400.0</v>
      </c>
      <c r="J1140" s="33" t="s">
        <v>3796</v>
      </c>
      <c r="K1140" s="31" t="s">
        <v>3797</v>
      </c>
      <c r="L1140" s="31" t="s">
        <v>3798</v>
      </c>
      <c r="M1140" s="33">
        <v>1.0</v>
      </c>
      <c r="N1140" s="31" t="s">
        <v>2240</v>
      </c>
      <c r="O1140" s="31" t="s">
        <v>1746</v>
      </c>
    </row>
    <row r="1141">
      <c r="A1141" s="93">
        <v>45797.0</v>
      </c>
      <c r="B1141" s="31" t="s">
        <v>3793</v>
      </c>
      <c r="C1141" s="31">
        <v>8.07025030883E11</v>
      </c>
      <c r="D1141" s="31" t="s">
        <v>3794</v>
      </c>
      <c r="E1141" s="31" t="s">
        <v>3795</v>
      </c>
      <c r="F1141" s="94" t="s">
        <v>115</v>
      </c>
      <c r="G1141" s="31" t="s">
        <v>116</v>
      </c>
      <c r="H1141" s="31" t="s">
        <v>20</v>
      </c>
      <c r="I1141" s="31">
        <v>4400.0</v>
      </c>
      <c r="J1141" s="33" t="s">
        <v>3796</v>
      </c>
      <c r="K1141" s="31" t="s">
        <v>3313</v>
      </c>
      <c r="L1141" s="31" t="s">
        <v>3314</v>
      </c>
      <c r="M1141" s="33">
        <v>1.0</v>
      </c>
      <c r="N1141" s="31" t="s">
        <v>2240</v>
      </c>
      <c r="O1141" s="31" t="s">
        <v>1746</v>
      </c>
    </row>
    <row r="1142">
      <c r="A1142" s="93">
        <v>45797.0</v>
      </c>
      <c r="B1142" s="31" t="s">
        <v>3799</v>
      </c>
      <c r="C1142" s="31">
        <v>8.05011529517E11</v>
      </c>
      <c r="D1142" s="31" t="s">
        <v>3800</v>
      </c>
      <c r="E1142" s="31" t="s">
        <v>3801</v>
      </c>
      <c r="F1142" s="31" t="s">
        <v>3802</v>
      </c>
      <c r="G1142" s="31" t="s">
        <v>58</v>
      </c>
      <c r="H1142" s="31" t="s">
        <v>20</v>
      </c>
      <c r="I1142" s="31">
        <v>4400.0</v>
      </c>
      <c r="J1142" s="33" t="s">
        <v>3803</v>
      </c>
      <c r="K1142" s="31" t="s">
        <v>2031</v>
      </c>
      <c r="L1142" s="31" t="s">
        <v>3348</v>
      </c>
      <c r="M1142" s="33">
        <v>2.0</v>
      </c>
      <c r="N1142" s="31" t="s">
        <v>3804</v>
      </c>
      <c r="O1142" s="34"/>
    </row>
    <row r="1143">
      <c r="A1143" s="93">
        <v>45797.0</v>
      </c>
      <c r="B1143" s="31" t="s">
        <v>3799</v>
      </c>
      <c r="C1143" s="31">
        <v>8.05011529517E11</v>
      </c>
      <c r="D1143" s="31" t="s">
        <v>3800</v>
      </c>
      <c r="E1143" s="31" t="s">
        <v>3801</v>
      </c>
      <c r="F1143" s="31" t="s">
        <v>3802</v>
      </c>
      <c r="G1143" s="31" t="s">
        <v>58</v>
      </c>
      <c r="H1143" s="31" t="s">
        <v>20</v>
      </c>
      <c r="I1143" s="31">
        <v>4400.0</v>
      </c>
      <c r="J1143" s="33" t="s">
        <v>3803</v>
      </c>
      <c r="K1143" s="31" t="s">
        <v>3054</v>
      </c>
      <c r="L1143" s="31" t="s">
        <v>3346</v>
      </c>
      <c r="M1143" s="33">
        <v>2.0</v>
      </c>
      <c r="N1143" s="31" t="s">
        <v>3804</v>
      </c>
      <c r="O1143" s="34"/>
    </row>
    <row r="1144">
      <c r="A1144" s="93">
        <v>45797.0</v>
      </c>
      <c r="B1144" s="31" t="s">
        <v>3799</v>
      </c>
      <c r="C1144" s="31">
        <v>8.05011529517E11</v>
      </c>
      <c r="D1144" s="31" t="s">
        <v>3800</v>
      </c>
      <c r="E1144" s="31" t="s">
        <v>3801</v>
      </c>
      <c r="F1144" s="31" t="s">
        <v>3802</v>
      </c>
      <c r="G1144" s="31" t="s">
        <v>58</v>
      </c>
      <c r="H1144" s="31" t="s">
        <v>20</v>
      </c>
      <c r="I1144" s="31">
        <v>4400.0</v>
      </c>
      <c r="J1144" s="33" t="s">
        <v>3803</v>
      </c>
      <c r="K1144" s="31" t="s">
        <v>512</v>
      </c>
      <c r="L1144" s="31" t="s">
        <v>513</v>
      </c>
      <c r="M1144" s="33">
        <v>12.0</v>
      </c>
      <c r="N1144" s="31" t="s">
        <v>3804</v>
      </c>
      <c r="O1144" s="34"/>
    </row>
    <row r="1145">
      <c r="A1145" s="93">
        <v>45797.0</v>
      </c>
      <c r="B1145" s="31" t="s">
        <v>3805</v>
      </c>
      <c r="C1145" s="31">
        <v>8.050115291E11</v>
      </c>
      <c r="D1145" s="31" t="s">
        <v>3806</v>
      </c>
      <c r="E1145" s="31" t="s">
        <v>3807</v>
      </c>
      <c r="F1145" s="31" t="s">
        <v>3808</v>
      </c>
      <c r="G1145" s="31" t="s">
        <v>278</v>
      </c>
      <c r="H1145" s="31" t="s">
        <v>20</v>
      </c>
      <c r="I1145" s="31">
        <v>4400.0</v>
      </c>
      <c r="J1145" s="33" t="s">
        <v>3809</v>
      </c>
      <c r="K1145" s="31" t="s">
        <v>3641</v>
      </c>
      <c r="L1145" s="31" t="s">
        <v>3642</v>
      </c>
      <c r="M1145" s="33">
        <v>1.0</v>
      </c>
      <c r="N1145" s="31" t="s">
        <v>3810</v>
      </c>
      <c r="O1145" s="34"/>
    </row>
    <row r="1146">
      <c r="A1146" s="93">
        <v>45797.0</v>
      </c>
      <c r="B1146" s="31" t="s">
        <v>3805</v>
      </c>
      <c r="C1146" s="31">
        <v>8.050115291E11</v>
      </c>
      <c r="D1146" s="31" t="s">
        <v>3806</v>
      </c>
      <c r="E1146" s="31" t="s">
        <v>3807</v>
      </c>
      <c r="F1146" s="31" t="s">
        <v>3808</v>
      </c>
      <c r="G1146" s="31" t="s">
        <v>278</v>
      </c>
      <c r="H1146" s="31" t="s">
        <v>20</v>
      </c>
      <c r="I1146" s="31">
        <v>4400.0</v>
      </c>
      <c r="J1146" s="33" t="s">
        <v>3809</v>
      </c>
      <c r="K1146" s="31" t="s">
        <v>1345</v>
      </c>
      <c r="L1146" s="31" t="s">
        <v>3639</v>
      </c>
      <c r="M1146" s="33">
        <v>1.0</v>
      </c>
      <c r="N1146" s="31" t="s">
        <v>3810</v>
      </c>
      <c r="O1146" s="34"/>
    </row>
    <row r="1147">
      <c r="A1147" s="93">
        <v>45797.0</v>
      </c>
      <c r="B1147" s="31" t="s">
        <v>3805</v>
      </c>
      <c r="C1147" s="31">
        <v>8.050115291E11</v>
      </c>
      <c r="D1147" s="31" t="s">
        <v>3806</v>
      </c>
      <c r="E1147" s="31" t="s">
        <v>3807</v>
      </c>
      <c r="F1147" s="31" t="s">
        <v>3808</v>
      </c>
      <c r="G1147" s="31" t="s">
        <v>278</v>
      </c>
      <c r="H1147" s="31" t="s">
        <v>20</v>
      </c>
      <c r="I1147" s="31">
        <v>4400.0</v>
      </c>
      <c r="J1147" s="33" t="s">
        <v>3809</v>
      </c>
      <c r="K1147" s="31" t="s">
        <v>512</v>
      </c>
      <c r="L1147" s="31" t="s">
        <v>513</v>
      </c>
      <c r="M1147" s="33">
        <v>6.0</v>
      </c>
      <c r="N1147" s="31" t="s">
        <v>3810</v>
      </c>
      <c r="O1147" s="34"/>
    </row>
    <row r="1148">
      <c r="A1148" s="93">
        <v>45797.0</v>
      </c>
      <c r="B1148" s="31" t="s">
        <v>3811</v>
      </c>
      <c r="C1148" s="31">
        <v>8.07025030886E11</v>
      </c>
      <c r="D1148" s="31" t="s">
        <v>3812</v>
      </c>
      <c r="E1148" s="31" t="s">
        <v>3813</v>
      </c>
      <c r="F1148" s="31" t="s">
        <v>3814</v>
      </c>
      <c r="G1148" s="31" t="s">
        <v>3815</v>
      </c>
      <c r="H1148" s="31" t="s">
        <v>20</v>
      </c>
      <c r="I1148" s="31">
        <v>4407.0</v>
      </c>
      <c r="J1148" s="33" t="s">
        <v>3816</v>
      </c>
      <c r="K1148" s="31" t="s">
        <v>3817</v>
      </c>
      <c r="L1148" s="31" t="s">
        <v>3818</v>
      </c>
      <c r="M1148" s="33">
        <v>1.0</v>
      </c>
      <c r="N1148" s="31" t="s">
        <v>3819</v>
      </c>
      <c r="O1148" s="31" t="s">
        <v>3820</v>
      </c>
    </row>
    <row r="1149">
      <c r="A1149" s="93">
        <v>45797.0</v>
      </c>
      <c r="B1149" s="31" t="s">
        <v>3821</v>
      </c>
      <c r="C1149" s="31">
        <v>8.05011530171E11</v>
      </c>
      <c r="D1149" s="31" t="s">
        <v>3822</v>
      </c>
      <c r="E1149" s="31" t="s">
        <v>3823</v>
      </c>
      <c r="F1149" s="31" t="s">
        <v>3824</v>
      </c>
      <c r="G1149" s="31" t="s">
        <v>539</v>
      </c>
      <c r="H1149" s="31" t="s">
        <v>20</v>
      </c>
      <c r="I1149" s="31">
        <v>4405.0</v>
      </c>
      <c r="J1149" s="33" t="s">
        <v>3825</v>
      </c>
      <c r="K1149" s="31" t="s">
        <v>32</v>
      </c>
      <c r="L1149" s="31" t="s">
        <v>3225</v>
      </c>
      <c r="M1149" s="33">
        <v>1.0</v>
      </c>
      <c r="N1149" s="31" t="s">
        <v>3826</v>
      </c>
      <c r="O1149" s="34"/>
    </row>
    <row r="1150">
      <c r="A1150" s="93">
        <v>45797.0</v>
      </c>
      <c r="B1150" s="31" t="s">
        <v>3821</v>
      </c>
      <c r="C1150" s="31">
        <v>8.05011530171E11</v>
      </c>
      <c r="D1150" s="31" t="s">
        <v>3822</v>
      </c>
      <c r="E1150" s="31" t="s">
        <v>3823</v>
      </c>
      <c r="F1150" s="31" t="s">
        <v>3824</v>
      </c>
      <c r="G1150" s="31" t="s">
        <v>539</v>
      </c>
      <c r="H1150" s="31" t="s">
        <v>20</v>
      </c>
      <c r="I1150" s="31">
        <v>4405.0</v>
      </c>
      <c r="J1150" s="33" t="s">
        <v>3825</v>
      </c>
      <c r="K1150" s="31" t="s">
        <v>512</v>
      </c>
      <c r="L1150" s="31" t="s">
        <v>513</v>
      </c>
      <c r="M1150" s="33">
        <v>6.0</v>
      </c>
      <c r="N1150" s="31" t="s">
        <v>3826</v>
      </c>
      <c r="O1150" s="34"/>
    </row>
    <row r="1151">
      <c r="A1151" s="93">
        <v>45797.0</v>
      </c>
      <c r="B1151" s="31" t="s">
        <v>3821</v>
      </c>
      <c r="C1151" s="31">
        <v>8.05011530171E11</v>
      </c>
      <c r="D1151" s="31" t="s">
        <v>3822</v>
      </c>
      <c r="E1151" s="31" t="s">
        <v>3823</v>
      </c>
      <c r="F1151" s="31" t="s">
        <v>3824</v>
      </c>
      <c r="G1151" s="31" t="s">
        <v>539</v>
      </c>
      <c r="H1151" s="31" t="s">
        <v>20</v>
      </c>
      <c r="I1151" s="31">
        <v>4405.0</v>
      </c>
      <c r="J1151" s="33" t="s">
        <v>3825</v>
      </c>
      <c r="K1151" s="31" t="s">
        <v>35</v>
      </c>
      <c r="L1151" s="31" t="s">
        <v>3188</v>
      </c>
      <c r="M1151" s="33">
        <v>1.0</v>
      </c>
      <c r="N1151" s="31" t="s">
        <v>3826</v>
      </c>
      <c r="O1151" s="34"/>
    </row>
    <row r="1152">
      <c r="A1152" s="93">
        <v>45797.0</v>
      </c>
      <c r="B1152" s="31" t="s">
        <v>3827</v>
      </c>
      <c r="C1152" s="31">
        <v>8.05011530092E11</v>
      </c>
      <c r="D1152" s="31" t="s">
        <v>3828</v>
      </c>
      <c r="E1152" s="31" t="s">
        <v>3829</v>
      </c>
      <c r="F1152" s="31" t="s">
        <v>3830</v>
      </c>
      <c r="G1152" s="31" t="s">
        <v>20</v>
      </c>
      <c r="H1152" s="31" t="s">
        <v>20</v>
      </c>
      <c r="I1152" s="31">
        <v>4400.0</v>
      </c>
      <c r="J1152" s="33" t="s">
        <v>3831</v>
      </c>
      <c r="K1152" s="31" t="s">
        <v>3074</v>
      </c>
      <c r="L1152" s="31" t="s">
        <v>3232</v>
      </c>
      <c r="M1152" s="33">
        <v>1.0</v>
      </c>
      <c r="N1152" s="31" t="s">
        <v>3832</v>
      </c>
      <c r="O1152" s="34"/>
    </row>
    <row r="1153">
      <c r="A1153" s="93">
        <v>45797.0</v>
      </c>
      <c r="B1153" s="31" t="s">
        <v>3833</v>
      </c>
      <c r="C1153" s="31">
        <v>8.05011529948E11</v>
      </c>
      <c r="D1153" s="31" t="s">
        <v>3834</v>
      </c>
      <c r="E1153" s="31" t="s">
        <v>3835</v>
      </c>
      <c r="F1153" s="31" t="s">
        <v>3836</v>
      </c>
      <c r="G1153" s="31" t="s">
        <v>20</v>
      </c>
      <c r="H1153" s="31" t="s">
        <v>20</v>
      </c>
      <c r="I1153" s="31">
        <v>4400.0</v>
      </c>
      <c r="J1153" s="33" t="s">
        <v>3837</v>
      </c>
      <c r="K1153" s="31" t="s">
        <v>670</v>
      </c>
      <c r="L1153" s="31" t="s">
        <v>3410</v>
      </c>
      <c r="M1153" s="33">
        <v>1.0</v>
      </c>
      <c r="N1153" s="34"/>
      <c r="O1153" s="34"/>
    </row>
    <row r="1154">
      <c r="A1154" s="93">
        <v>45797.0</v>
      </c>
      <c r="B1154" s="31" t="s">
        <v>3833</v>
      </c>
      <c r="C1154" s="31">
        <v>8.05011529948E11</v>
      </c>
      <c r="D1154" s="31" t="s">
        <v>3834</v>
      </c>
      <c r="E1154" s="31" t="s">
        <v>3835</v>
      </c>
      <c r="F1154" s="31" t="s">
        <v>3836</v>
      </c>
      <c r="G1154" s="31" t="s">
        <v>20</v>
      </c>
      <c r="H1154" s="31" t="s">
        <v>20</v>
      </c>
      <c r="I1154" s="31">
        <v>4400.0</v>
      </c>
      <c r="J1154" s="33" t="s">
        <v>3837</v>
      </c>
      <c r="K1154" s="31" t="s">
        <v>512</v>
      </c>
      <c r="L1154" s="31" t="s">
        <v>513</v>
      </c>
      <c r="M1154" s="33">
        <v>6.0</v>
      </c>
      <c r="N1154" s="34"/>
      <c r="O1154" s="34"/>
    </row>
    <row r="1155">
      <c r="A1155" s="93">
        <v>45797.0</v>
      </c>
      <c r="B1155" s="31" t="s">
        <v>3833</v>
      </c>
      <c r="C1155" s="31">
        <v>8.05011529948E11</v>
      </c>
      <c r="D1155" s="31" t="s">
        <v>3834</v>
      </c>
      <c r="E1155" s="31" t="s">
        <v>3835</v>
      </c>
      <c r="F1155" s="31" t="s">
        <v>3836</v>
      </c>
      <c r="G1155" s="31" t="s">
        <v>20</v>
      </c>
      <c r="H1155" s="31" t="s">
        <v>20</v>
      </c>
      <c r="I1155" s="31">
        <v>4400.0</v>
      </c>
      <c r="J1155" s="33" t="s">
        <v>3837</v>
      </c>
      <c r="K1155" s="31" t="s">
        <v>98</v>
      </c>
      <c r="L1155" s="31" t="s">
        <v>3187</v>
      </c>
      <c r="M1155" s="33">
        <v>1.0</v>
      </c>
      <c r="N1155" s="34"/>
      <c r="O1155" s="34"/>
    </row>
    <row r="1156">
      <c r="A1156" s="93">
        <v>45797.0</v>
      </c>
      <c r="B1156" s="31" t="s">
        <v>3838</v>
      </c>
      <c r="C1156" s="31">
        <v>8.07025030912E11</v>
      </c>
      <c r="D1156" s="31" t="s">
        <v>3839</v>
      </c>
      <c r="E1156" s="31" t="s">
        <v>3840</v>
      </c>
      <c r="F1156" s="31" t="s">
        <v>3841</v>
      </c>
      <c r="G1156" s="31" t="s">
        <v>3842</v>
      </c>
      <c r="H1156" s="31" t="s">
        <v>20</v>
      </c>
      <c r="I1156" s="31">
        <v>4610.0</v>
      </c>
      <c r="J1156" s="33" t="s">
        <v>3843</v>
      </c>
      <c r="K1156" s="31" t="s">
        <v>2171</v>
      </c>
      <c r="L1156" s="31" t="s">
        <v>3446</v>
      </c>
      <c r="M1156" s="33">
        <v>3.0</v>
      </c>
      <c r="N1156" s="31" t="s">
        <v>3844</v>
      </c>
      <c r="O1156" s="31" t="s">
        <v>3845</v>
      </c>
    </row>
    <row r="1157">
      <c r="A1157" s="93">
        <v>45797.0</v>
      </c>
      <c r="B1157" s="31" t="s">
        <v>3846</v>
      </c>
      <c r="C1157" s="31">
        <v>8.05011530143E11</v>
      </c>
      <c r="D1157" s="31" t="s">
        <v>3847</v>
      </c>
      <c r="E1157" s="31" t="s">
        <v>3848</v>
      </c>
      <c r="F1157" s="31" t="s">
        <v>3849</v>
      </c>
      <c r="G1157" s="31" t="s">
        <v>3850</v>
      </c>
      <c r="H1157" s="31" t="s">
        <v>20</v>
      </c>
      <c r="I1157" s="31">
        <v>4421.0</v>
      </c>
      <c r="J1157" s="33" t="s">
        <v>3851</v>
      </c>
      <c r="K1157" s="31" t="s">
        <v>2956</v>
      </c>
      <c r="L1157" s="31" t="s">
        <v>3327</v>
      </c>
      <c r="M1157" s="33">
        <v>1.0</v>
      </c>
      <c r="N1157" s="31" t="s">
        <v>3852</v>
      </c>
      <c r="O1157" s="34"/>
    </row>
    <row r="1158">
      <c r="A1158" s="93">
        <v>45797.0</v>
      </c>
      <c r="B1158" s="31" t="s">
        <v>3853</v>
      </c>
      <c r="C1158" s="31">
        <v>8.0501153078E11</v>
      </c>
      <c r="D1158" s="31" t="s">
        <v>3854</v>
      </c>
      <c r="E1158" s="31" t="s">
        <v>3855</v>
      </c>
      <c r="F1158" s="31" t="s">
        <v>3856</v>
      </c>
      <c r="G1158" s="31" t="s">
        <v>20</v>
      </c>
      <c r="H1158" s="31" t="s">
        <v>20</v>
      </c>
      <c r="I1158" s="31">
        <v>4400.0</v>
      </c>
      <c r="J1158" s="33" t="s">
        <v>3857</v>
      </c>
      <c r="K1158" s="31" t="s">
        <v>2412</v>
      </c>
      <c r="L1158" s="31" t="s">
        <v>2413</v>
      </c>
      <c r="M1158" s="33">
        <v>1.0</v>
      </c>
      <c r="N1158" s="31" t="s">
        <v>3858</v>
      </c>
      <c r="O1158" s="31" t="s">
        <v>3859</v>
      </c>
    </row>
    <row r="1159">
      <c r="A1159" s="93">
        <v>45797.0</v>
      </c>
      <c r="B1159" s="31" t="s">
        <v>3853</v>
      </c>
      <c r="C1159" s="31">
        <v>8.0501153078E11</v>
      </c>
      <c r="D1159" s="31" t="s">
        <v>3854</v>
      </c>
      <c r="E1159" s="31" t="s">
        <v>3855</v>
      </c>
      <c r="F1159" s="31" t="s">
        <v>3856</v>
      </c>
      <c r="G1159" s="31" t="s">
        <v>20</v>
      </c>
      <c r="H1159" s="31" t="s">
        <v>20</v>
      </c>
      <c r="I1159" s="31">
        <v>4400.0</v>
      </c>
      <c r="J1159" s="33" t="s">
        <v>3857</v>
      </c>
      <c r="K1159" s="31" t="s">
        <v>2410</v>
      </c>
      <c r="L1159" s="31" t="s">
        <v>3860</v>
      </c>
      <c r="M1159" s="33">
        <v>1.0</v>
      </c>
      <c r="N1159" s="31" t="s">
        <v>3858</v>
      </c>
      <c r="O1159" s="31" t="s">
        <v>3859</v>
      </c>
    </row>
    <row r="1160">
      <c r="A1160" s="93">
        <v>45797.0</v>
      </c>
      <c r="B1160" s="31" t="s">
        <v>3861</v>
      </c>
      <c r="C1160" s="31">
        <v>8.05011531323E11</v>
      </c>
      <c r="D1160" s="31" t="s">
        <v>3862</v>
      </c>
      <c r="E1160" s="31" t="s">
        <v>3863</v>
      </c>
      <c r="F1160" s="31" t="s">
        <v>3864</v>
      </c>
      <c r="G1160" s="31" t="s">
        <v>20</v>
      </c>
      <c r="H1160" s="31" t="s">
        <v>20</v>
      </c>
      <c r="I1160" s="31">
        <v>4400.0</v>
      </c>
      <c r="J1160" s="33" t="s">
        <v>3865</v>
      </c>
      <c r="K1160" s="31" t="s">
        <v>645</v>
      </c>
      <c r="L1160" s="31" t="s">
        <v>3253</v>
      </c>
      <c r="M1160" s="33">
        <v>2.0</v>
      </c>
      <c r="N1160" s="31" t="s">
        <v>3866</v>
      </c>
      <c r="O1160" s="34"/>
    </row>
    <row r="1161">
      <c r="A1161" s="93">
        <v>45797.0</v>
      </c>
      <c r="B1161" s="31" t="s">
        <v>3861</v>
      </c>
      <c r="C1161" s="31">
        <v>8.05011531323E11</v>
      </c>
      <c r="D1161" s="31" t="s">
        <v>3862</v>
      </c>
      <c r="E1161" s="31" t="s">
        <v>3863</v>
      </c>
      <c r="F1161" s="31" t="s">
        <v>3864</v>
      </c>
      <c r="G1161" s="31" t="s">
        <v>20</v>
      </c>
      <c r="H1161" s="31" t="s">
        <v>20</v>
      </c>
      <c r="I1161" s="31">
        <v>4400.0</v>
      </c>
      <c r="J1161" s="33" t="s">
        <v>3865</v>
      </c>
      <c r="K1161" s="31" t="s">
        <v>512</v>
      </c>
      <c r="L1161" s="31" t="s">
        <v>513</v>
      </c>
      <c r="M1161" s="33">
        <v>12.0</v>
      </c>
      <c r="N1161" s="31" t="s">
        <v>3866</v>
      </c>
      <c r="O1161" s="34"/>
    </row>
    <row r="1162">
      <c r="A1162" s="93">
        <v>45797.0</v>
      </c>
      <c r="B1162" s="31" t="s">
        <v>3861</v>
      </c>
      <c r="C1162" s="31">
        <v>8.05011531323E11</v>
      </c>
      <c r="D1162" s="31" t="s">
        <v>3862</v>
      </c>
      <c r="E1162" s="31" t="s">
        <v>3863</v>
      </c>
      <c r="F1162" s="31" t="s">
        <v>3864</v>
      </c>
      <c r="G1162" s="31" t="s">
        <v>20</v>
      </c>
      <c r="H1162" s="31" t="s">
        <v>20</v>
      </c>
      <c r="I1162" s="31">
        <v>4400.0</v>
      </c>
      <c r="J1162" s="33" t="s">
        <v>3865</v>
      </c>
      <c r="K1162" s="31" t="s">
        <v>617</v>
      </c>
      <c r="L1162" s="31" t="s">
        <v>3867</v>
      </c>
      <c r="M1162" s="33">
        <v>1.0</v>
      </c>
      <c r="N1162" s="31" t="s">
        <v>3866</v>
      </c>
      <c r="O1162" s="34"/>
    </row>
    <row r="1163">
      <c r="A1163" s="93">
        <v>45797.0</v>
      </c>
      <c r="B1163" s="31" t="s">
        <v>3868</v>
      </c>
      <c r="C1163" s="31">
        <v>8.05011530508E11</v>
      </c>
      <c r="D1163" s="31" t="s">
        <v>3869</v>
      </c>
      <c r="E1163" s="31" t="s">
        <v>3870</v>
      </c>
      <c r="F1163" s="31" t="s">
        <v>3871</v>
      </c>
      <c r="G1163" s="31" t="s">
        <v>20</v>
      </c>
      <c r="H1163" s="31" t="s">
        <v>20</v>
      </c>
      <c r="I1163" s="31">
        <v>4400.0</v>
      </c>
      <c r="J1163" s="33" t="s">
        <v>3872</v>
      </c>
      <c r="K1163" s="31" t="s">
        <v>3692</v>
      </c>
      <c r="L1163" s="31" t="s">
        <v>3693</v>
      </c>
      <c r="M1163" s="33">
        <v>1.0</v>
      </c>
      <c r="N1163" s="31" t="s">
        <v>3873</v>
      </c>
      <c r="O1163" s="34"/>
    </row>
    <row r="1164">
      <c r="A1164" s="93">
        <v>45797.0</v>
      </c>
      <c r="B1164" s="31" t="s">
        <v>3874</v>
      </c>
      <c r="C1164" s="31">
        <v>8.05011531861E11</v>
      </c>
      <c r="D1164" s="31" t="s">
        <v>3875</v>
      </c>
      <c r="E1164" s="31" t="s">
        <v>3876</v>
      </c>
      <c r="F1164" s="31" t="s">
        <v>3877</v>
      </c>
      <c r="G1164" s="31" t="s">
        <v>539</v>
      </c>
      <c r="H1164" s="31" t="s">
        <v>20</v>
      </c>
      <c r="I1164" s="31">
        <v>4405.0</v>
      </c>
      <c r="J1164" s="33" t="s">
        <v>3878</v>
      </c>
      <c r="K1164" s="31" t="s">
        <v>32</v>
      </c>
      <c r="L1164" s="31" t="s">
        <v>3225</v>
      </c>
      <c r="M1164" s="33">
        <v>1.0</v>
      </c>
      <c r="N1164" s="31" t="s">
        <v>3879</v>
      </c>
      <c r="O1164" s="34"/>
    </row>
    <row r="1165">
      <c r="A1165" s="93">
        <v>45797.0</v>
      </c>
      <c r="B1165" s="31" t="s">
        <v>3880</v>
      </c>
      <c r="C1165" s="31">
        <v>8.05011531199E11</v>
      </c>
      <c r="D1165" s="31" t="s">
        <v>3881</v>
      </c>
      <c r="E1165" s="31" t="s">
        <v>3882</v>
      </c>
      <c r="F1165" s="31" t="s">
        <v>3883</v>
      </c>
      <c r="G1165" s="31" t="s">
        <v>826</v>
      </c>
      <c r="H1165" s="31" t="s">
        <v>20</v>
      </c>
      <c r="I1165" s="31">
        <v>4530.0</v>
      </c>
      <c r="J1165" s="33" t="s">
        <v>3884</v>
      </c>
      <c r="K1165" s="31" t="s">
        <v>3162</v>
      </c>
      <c r="L1165" s="31" t="s">
        <v>3885</v>
      </c>
      <c r="M1165" s="33">
        <v>1.0</v>
      </c>
      <c r="N1165" s="31" t="s">
        <v>3886</v>
      </c>
      <c r="O1165" s="34"/>
    </row>
    <row r="1166">
      <c r="A1166" s="93">
        <v>45797.0</v>
      </c>
      <c r="B1166" s="31" t="s">
        <v>3887</v>
      </c>
      <c r="C1166" s="31">
        <v>8.05011530364E11</v>
      </c>
      <c r="D1166" s="31" t="s">
        <v>3888</v>
      </c>
      <c r="E1166" s="31" t="s">
        <v>3889</v>
      </c>
      <c r="F1166" s="31" t="s">
        <v>3890</v>
      </c>
      <c r="G1166" s="31" t="s">
        <v>20</v>
      </c>
      <c r="H1166" s="31" t="s">
        <v>20</v>
      </c>
      <c r="I1166" s="31">
        <v>4400.0</v>
      </c>
      <c r="J1166" s="33" t="s">
        <v>3891</v>
      </c>
      <c r="K1166" s="31" t="s">
        <v>3892</v>
      </c>
      <c r="L1166" s="31" t="s">
        <v>3893</v>
      </c>
      <c r="M1166" s="33">
        <v>1.0</v>
      </c>
      <c r="N1166" s="31" t="s">
        <v>3894</v>
      </c>
      <c r="O1166" s="34"/>
    </row>
    <row r="1167">
      <c r="A1167" s="93">
        <v>45797.0</v>
      </c>
      <c r="B1167" s="31" t="s">
        <v>3887</v>
      </c>
      <c r="C1167" s="31">
        <v>8.05011530364E11</v>
      </c>
      <c r="D1167" s="31" t="s">
        <v>3888</v>
      </c>
      <c r="E1167" s="31" t="s">
        <v>3889</v>
      </c>
      <c r="F1167" s="31" t="s">
        <v>3890</v>
      </c>
      <c r="G1167" s="31" t="s">
        <v>20</v>
      </c>
      <c r="H1167" s="31" t="s">
        <v>20</v>
      </c>
      <c r="I1167" s="31">
        <v>4400.0</v>
      </c>
      <c r="J1167" s="33" t="s">
        <v>3891</v>
      </c>
      <c r="K1167" s="31" t="s">
        <v>512</v>
      </c>
      <c r="L1167" s="31" t="s">
        <v>513</v>
      </c>
      <c r="M1167" s="33">
        <v>12.0</v>
      </c>
      <c r="N1167" s="31" t="s">
        <v>3894</v>
      </c>
      <c r="O1167" s="34"/>
    </row>
    <row r="1168">
      <c r="A1168" s="93">
        <v>45797.0</v>
      </c>
      <c r="B1168" s="31" t="s">
        <v>3887</v>
      </c>
      <c r="C1168" s="31">
        <v>8.05011530364E11</v>
      </c>
      <c r="D1168" s="31" t="s">
        <v>3888</v>
      </c>
      <c r="E1168" s="31" t="s">
        <v>3889</v>
      </c>
      <c r="F1168" s="31" t="s">
        <v>3890</v>
      </c>
      <c r="G1168" s="31" t="s">
        <v>20</v>
      </c>
      <c r="H1168" s="31" t="s">
        <v>20</v>
      </c>
      <c r="I1168" s="31">
        <v>4400.0</v>
      </c>
      <c r="J1168" s="33" t="s">
        <v>3891</v>
      </c>
      <c r="K1168" s="31" t="s">
        <v>772</v>
      </c>
      <c r="L1168" s="31" t="s">
        <v>3363</v>
      </c>
      <c r="M1168" s="33">
        <v>2.0</v>
      </c>
      <c r="N1168" s="31" t="s">
        <v>3894</v>
      </c>
      <c r="O1168" s="34"/>
    </row>
    <row r="1169">
      <c r="A1169" s="93">
        <v>45797.0</v>
      </c>
      <c r="B1169" s="31" t="s">
        <v>3895</v>
      </c>
      <c r="C1169" s="31">
        <v>8.05011530681E11</v>
      </c>
      <c r="D1169" s="31" t="s">
        <v>3896</v>
      </c>
      <c r="E1169" s="31" t="s">
        <v>3897</v>
      </c>
      <c r="F1169" s="31" t="s">
        <v>3898</v>
      </c>
      <c r="G1169" s="31" t="s">
        <v>835</v>
      </c>
      <c r="H1169" s="31" t="s">
        <v>20</v>
      </c>
      <c r="I1169" s="31">
        <v>4550.0</v>
      </c>
      <c r="J1169" s="33" t="s">
        <v>3899</v>
      </c>
      <c r="K1169" s="31" t="s">
        <v>3054</v>
      </c>
      <c r="L1169" s="31" t="s">
        <v>3346</v>
      </c>
      <c r="M1169" s="33">
        <v>1.0</v>
      </c>
      <c r="N1169" s="31" t="s">
        <v>3900</v>
      </c>
      <c r="O1169" s="34"/>
    </row>
    <row r="1170">
      <c r="A1170" s="93">
        <v>45797.0</v>
      </c>
      <c r="B1170" s="31" t="s">
        <v>3895</v>
      </c>
      <c r="C1170" s="31">
        <v>8.05011530681E11</v>
      </c>
      <c r="D1170" s="31" t="s">
        <v>3896</v>
      </c>
      <c r="E1170" s="31" t="s">
        <v>3897</v>
      </c>
      <c r="F1170" s="31" t="s">
        <v>3898</v>
      </c>
      <c r="G1170" s="31" t="s">
        <v>835</v>
      </c>
      <c r="H1170" s="31" t="s">
        <v>20</v>
      </c>
      <c r="I1170" s="31">
        <v>4550.0</v>
      </c>
      <c r="J1170" s="33" t="s">
        <v>3899</v>
      </c>
      <c r="K1170" s="31" t="s">
        <v>512</v>
      </c>
      <c r="L1170" s="31" t="s">
        <v>513</v>
      </c>
      <c r="M1170" s="33">
        <v>6.0</v>
      </c>
      <c r="N1170" s="31" t="s">
        <v>3900</v>
      </c>
      <c r="O1170" s="34"/>
    </row>
    <row r="1171">
      <c r="A1171" s="93">
        <v>45797.0</v>
      </c>
      <c r="B1171" s="31" t="s">
        <v>3895</v>
      </c>
      <c r="C1171" s="31">
        <v>8.05011530681E11</v>
      </c>
      <c r="D1171" s="31" t="s">
        <v>3896</v>
      </c>
      <c r="E1171" s="31" t="s">
        <v>3897</v>
      </c>
      <c r="F1171" s="31" t="s">
        <v>3898</v>
      </c>
      <c r="G1171" s="31" t="s">
        <v>835</v>
      </c>
      <c r="H1171" s="31" t="s">
        <v>20</v>
      </c>
      <c r="I1171" s="31">
        <v>4550.0</v>
      </c>
      <c r="J1171" s="33" t="s">
        <v>3899</v>
      </c>
      <c r="K1171" s="31" t="s">
        <v>2031</v>
      </c>
      <c r="L1171" s="31" t="s">
        <v>3348</v>
      </c>
      <c r="M1171" s="33">
        <v>1.0</v>
      </c>
      <c r="N1171" s="31" t="s">
        <v>3900</v>
      </c>
      <c r="O1171" s="34"/>
    </row>
    <row r="1172">
      <c r="A1172" s="93">
        <v>45797.0</v>
      </c>
      <c r="B1172" s="31" t="s">
        <v>3901</v>
      </c>
      <c r="C1172" s="31">
        <v>8.05011531916E11</v>
      </c>
      <c r="D1172" s="31" t="s">
        <v>3902</v>
      </c>
      <c r="E1172" s="31" t="s">
        <v>3903</v>
      </c>
      <c r="F1172" s="31" t="s">
        <v>3904</v>
      </c>
      <c r="G1172" s="31" t="s">
        <v>1142</v>
      </c>
      <c r="H1172" s="31" t="s">
        <v>20</v>
      </c>
      <c r="I1172" s="31">
        <v>4430.0</v>
      </c>
      <c r="J1172" s="33" t="s">
        <v>3905</v>
      </c>
      <c r="K1172" s="31">
        <v>63300.0</v>
      </c>
      <c r="L1172" s="31" t="s">
        <v>3906</v>
      </c>
      <c r="M1172" s="33">
        <v>1.0</v>
      </c>
      <c r="N1172" s="34"/>
      <c r="O1172" s="34"/>
    </row>
    <row r="1173">
      <c r="A1173" s="93">
        <v>45797.0</v>
      </c>
      <c r="B1173" s="31" t="s">
        <v>3907</v>
      </c>
      <c r="C1173" s="31">
        <v>8.07025030973E11</v>
      </c>
      <c r="D1173" s="31" t="s">
        <v>3908</v>
      </c>
      <c r="E1173" s="31" t="s">
        <v>3909</v>
      </c>
      <c r="F1173" s="31" t="s">
        <v>3910</v>
      </c>
      <c r="G1173" s="31" t="s">
        <v>116</v>
      </c>
      <c r="H1173" s="31" t="s">
        <v>20</v>
      </c>
      <c r="I1173" s="31">
        <v>4400.0</v>
      </c>
      <c r="J1173" s="33" t="s">
        <v>3911</v>
      </c>
      <c r="K1173" s="31" t="s">
        <v>3912</v>
      </c>
      <c r="L1173" s="31" t="s">
        <v>3913</v>
      </c>
      <c r="M1173" s="33">
        <v>1.0</v>
      </c>
      <c r="N1173" s="31" t="s">
        <v>3914</v>
      </c>
      <c r="O1173" s="31" t="s">
        <v>3915</v>
      </c>
    </row>
    <row r="1174">
      <c r="A1174" s="93">
        <v>45797.0</v>
      </c>
      <c r="B1174" s="31" t="s">
        <v>3916</v>
      </c>
      <c r="C1174" s="31">
        <v>8.07025030995E11</v>
      </c>
      <c r="D1174" s="31" t="s">
        <v>3917</v>
      </c>
      <c r="E1174" s="31" t="s">
        <v>3918</v>
      </c>
      <c r="F1174" s="31" t="s">
        <v>3919</v>
      </c>
      <c r="G1174" s="31" t="s">
        <v>127</v>
      </c>
      <c r="H1174" s="31" t="s">
        <v>20</v>
      </c>
      <c r="I1174" s="31">
        <v>4400.0</v>
      </c>
      <c r="J1174" s="33" t="s">
        <v>3920</v>
      </c>
      <c r="K1174" s="31" t="s">
        <v>2410</v>
      </c>
      <c r="L1174" s="31" t="s">
        <v>3860</v>
      </c>
      <c r="M1174" s="33">
        <v>1.0</v>
      </c>
      <c r="N1174" s="31" t="s">
        <v>3921</v>
      </c>
      <c r="O1174" s="31" t="s">
        <v>3922</v>
      </c>
    </row>
    <row r="1175">
      <c r="A1175" s="93">
        <v>45797.0</v>
      </c>
      <c r="B1175" s="31" t="s">
        <v>3923</v>
      </c>
      <c r="C1175" s="31">
        <v>8.05011532067E11</v>
      </c>
      <c r="D1175" s="31" t="s">
        <v>3924</v>
      </c>
      <c r="E1175" s="31" t="s">
        <v>3925</v>
      </c>
      <c r="F1175" s="31" t="s">
        <v>3926</v>
      </c>
      <c r="G1175" s="31" t="s">
        <v>58</v>
      </c>
      <c r="H1175" s="31" t="s">
        <v>20</v>
      </c>
      <c r="I1175" s="31">
        <v>4400.0</v>
      </c>
      <c r="J1175" s="33" t="s">
        <v>3927</v>
      </c>
      <c r="K1175" s="31" t="s">
        <v>512</v>
      </c>
      <c r="L1175" s="31" t="s">
        <v>513</v>
      </c>
      <c r="M1175" s="33">
        <v>6.0</v>
      </c>
      <c r="N1175" s="31" t="s">
        <v>3928</v>
      </c>
      <c r="O1175" s="34"/>
    </row>
    <row r="1176">
      <c r="A1176" s="93">
        <v>45797.0</v>
      </c>
      <c r="B1176" s="31" t="s">
        <v>3923</v>
      </c>
      <c r="C1176" s="31">
        <v>8.05011532067E11</v>
      </c>
      <c r="D1176" s="31" t="s">
        <v>3924</v>
      </c>
      <c r="E1176" s="31" t="s">
        <v>3925</v>
      </c>
      <c r="F1176" s="31" t="s">
        <v>3926</v>
      </c>
      <c r="G1176" s="31" t="s">
        <v>58</v>
      </c>
      <c r="H1176" s="31" t="s">
        <v>20</v>
      </c>
      <c r="I1176" s="31">
        <v>4400.0</v>
      </c>
      <c r="J1176" s="33" t="s">
        <v>3927</v>
      </c>
      <c r="K1176" s="31" t="s">
        <v>3451</v>
      </c>
      <c r="L1176" s="31" t="s">
        <v>3452</v>
      </c>
      <c r="M1176" s="33">
        <v>1.0</v>
      </c>
      <c r="N1176" s="31" t="s">
        <v>3928</v>
      </c>
      <c r="O1176" s="34"/>
    </row>
    <row r="1177">
      <c r="A1177" s="93">
        <v>45797.0</v>
      </c>
      <c r="B1177" s="31" t="s">
        <v>3923</v>
      </c>
      <c r="C1177" s="31">
        <v>8.05011532067E11</v>
      </c>
      <c r="D1177" s="31" t="s">
        <v>3924</v>
      </c>
      <c r="E1177" s="31" t="s">
        <v>3925</v>
      </c>
      <c r="F1177" s="31" t="s">
        <v>3926</v>
      </c>
      <c r="G1177" s="31" t="s">
        <v>58</v>
      </c>
      <c r="H1177" s="31" t="s">
        <v>20</v>
      </c>
      <c r="I1177" s="31">
        <v>4400.0</v>
      </c>
      <c r="J1177" s="33" t="s">
        <v>3927</v>
      </c>
      <c r="K1177" s="31" t="s">
        <v>670</v>
      </c>
      <c r="L1177" s="31" t="s">
        <v>3410</v>
      </c>
      <c r="M1177" s="33">
        <v>1.0</v>
      </c>
      <c r="N1177" s="31" t="s">
        <v>3928</v>
      </c>
      <c r="O1177" s="34"/>
    </row>
    <row r="1178">
      <c r="A1178" s="93">
        <v>45797.0</v>
      </c>
      <c r="B1178" s="31" t="s">
        <v>3929</v>
      </c>
      <c r="C1178" s="31">
        <v>8.05011532572E11</v>
      </c>
      <c r="D1178" s="31" t="s">
        <v>3930</v>
      </c>
      <c r="E1178" s="31" t="s">
        <v>3931</v>
      </c>
      <c r="F1178" s="31" t="s">
        <v>3932</v>
      </c>
      <c r="G1178" s="31" t="s">
        <v>739</v>
      </c>
      <c r="H1178" s="31" t="s">
        <v>20</v>
      </c>
      <c r="I1178" s="31">
        <v>4425.0</v>
      </c>
      <c r="J1178" s="33" t="s">
        <v>3933</v>
      </c>
      <c r="K1178" s="31" t="s">
        <v>35</v>
      </c>
      <c r="L1178" s="31" t="s">
        <v>3188</v>
      </c>
      <c r="M1178" s="33">
        <v>1.0</v>
      </c>
      <c r="N1178" s="31" t="s">
        <v>3934</v>
      </c>
      <c r="O1178" s="34"/>
    </row>
    <row r="1179">
      <c r="A1179" s="93">
        <v>45797.0</v>
      </c>
      <c r="B1179" s="31" t="s">
        <v>3929</v>
      </c>
      <c r="C1179" s="31">
        <v>8.05011532572E11</v>
      </c>
      <c r="D1179" s="31" t="s">
        <v>3930</v>
      </c>
      <c r="E1179" s="31" t="s">
        <v>3931</v>
      </c>
      <c r="F1179" s="31" t="s">
        <v>3932</v>
      </c>
      <c r="G1179" s="31" t="s">
        <v>739</v>
      </c>
      <c r="H1179" s="31" t="s">
        <v>20</v>
      </c>
      <c r="I1179" s="31">
        <v>4425.0</v>
      </c>
      <c r="J1179" s="33" t="s">
        <v>3933</v>
      </c>
      <c r="K1179" s="31" t="s">
        <v>98</v>
      </c>
      <c r="L1179" s="31" t="s">
        <v>3187</v>
      </c>
      <c r="M1179" s="33">
        <v>1.0</v>
      </c>
      <c r="N1179" s="31" t="s">
        <v>3934</v>
      </c>
      <c r="O1179" s="34"/>
    </row>
    <row r="1180">
      <c r="A1180" s="93">
        <v>45797.0</v>
      </c>
      <c r="B1180" s="31" t="s">
        <v>3929</v>
      </c>
      <c r="C1180" s="31">
        <v>8.05011532572E11</v>
      </c>
      <c r="D1180" s="31" t="s">
        <v>3930</v>
      </c>
      <c r="E1180" s="31" t="s">
        <v>3931</v>
      </c>
      <c r="F1180" s="31" t="s">
        <v>3932</v>
      </c>
      <c r="G1180" s="31" t="s">
        <v>739</v>
      </c>
      <c r="H1180" s="31" t="s">
        <v>20</v>
      </c>
      <c r="I1180" s="31">
        <v>4425.0</v>
      </c>
      <c r="J1180" s="33" t="s">
        <v>3933</v>
      </c>
      <c r="K1180" s="31" t="s">
        <v>512</v>
      </c>
      <c r="L1180" s="31" t="s">
        <v>513</v>
      </c>
      <c r="M1180" s="33">
        <v>6.0</v>
      </c>
      <c r="N1180" s="31" t="s">
        <v>3934</v>
      </c>
      <c r="O1180" s="34"/>
    </row>
    <row r="1181">
      <c r="A1181" s="93">
        <v>45797.0</v>
      </c>
      <c r="B1181" s="31" t="s">
        <v>3935</v>
      </c>
      <c r="C1181" s="31">
        <v>8.05011532716E11</v>
      </c>
      <c r="D1181" s="31" t="s">
        <v>3936</v>
      </c>
      <c r="E1181" s="31" t="s">
        <v>3937</v>
      </c>
      <c r="F1181" s="31" t="s">
        <v>3938</v>
      </c>
      <c r="G1181" s="31" t="s">
        <v>20</v>
      </c>
      <c r="H1181" s="31" t="s">
        <v>20</v>
      </c>
      <c r="I1181" s="31">
        <v>4400.0</v>
      </c>
      <c r="J1181" s="33" t="s">
        <v>3939</v>
      </c>
      <c r="K1181" s="31" t="s">
        <v>512</v>
      </c>
      <c r="L1181" s="31" t="s">
        <v>513</v>
      </c>
      <c r="M1181" s="33">
        <v>6.0</v>
      </c>
      <c r="N1181" s="31" t="s">
        <v>3940</v>
      </c>
      <c r="O1181" s="34"/>
    </row>
    <row r="1182">
      <c r="A1182" s="93">
        <v>45797.0</v>
      </c>
      <c r="B1182" s="31" t="s">
        <v>3935</v>
      </c>
      <c r="C1182" s="31">
        <v>8.05011532716E11</v>
      </c>
      <c r="D1182" s="31" t="s">
        <v>3936</v>
      </c>
      <c r="E1182" s="31" t="s">
        <v>3937</v>
      </c>
      <c r="F1182" s="31" t="s">
        <v>3938</v>
      </c>
      <c r="G1182" s="31" t="s">
        <v>20</v>
      </c>
      <c r="H1182" s="31" t="s">
        <v>20</v>
      </c>
      <c r="I1182" s="31">
        <v>4400.0</v>
      </c>
      <c r="J1182" s="33" t="s">
        <v>3939</v>
      </c>
      <c r="K1182" s="31" t="s">
        <v>32</v>
      </c>
      <c r="L1182" s="31" t="s">
        <v>3225</v>
      </c>
      <c r="M1182" s="33">
        <v>1.0</v>
      </c>
      <c r="N1182" s="31" t="s">
        <v>3940</v>
      </c>
      <c r="O1182" s="34"/>
    </row>
    <row r="1183">
      <c r="A1183" s="93">
        <v>45797.0</v>
      </c>
      <c r="B1183" s="31" t="s">
        <v>3935</v>
      </c>
      <c r="C1183" s="31">
        <v>8.05011532716E11</v>
      </c>
      <c r="D1183" s="31" t="s">
        <v>3936</v>
      </c>
      <c r="E1183" s="31" t="s">
        <v>3937</v>
      </c>
      <c r="F1183" s="31" t="s">
        <v>3938</v>
      </c>
      <c r="G1183" s="31" t="s">
        <v>20</v>
      </c>
      <c r="H1183" s="31" t="s">
        <v>20</v>
      </c>
      <c r="I1183" s="31">
        <v>4400.0</v>
      </c>
      <c r="J1183" s="33" t="s">
        <v>3939</v>
      </c>
      <c r="K1183" s="31" t="s">
        <v>35</v>
      </c>
      <c r="L1183" s="31" t="s">
        <v>3188</v>
      </c>
      <c r="M1183" s="33">
        <v>1.0</v>
      </c>
      <c r="N1183" s="31" t="s">
        <v>3940</v>
      </c>
      <c r="O1183" s="34"/>
    </row>
    <row r="1184">
      <c r="A1184" s="93">
        <v>45797.0</v>
      </c>
      <c r="B1184" s="31" t="s">
        <v>3941</v>
      </c>
      <c r="C1184" s="31">
        <v>8.0501153248E11</v>
      </c>
      <c r="D1184" s="31" t="s">
        <v>3942</v>
      </c>
      <c r="E1184" s="31" t="s">
        <v>3943</v>
      </c>
      <c r="F1184" s="31" t="s">
        <v>3944</v>
      </c>
      <c r="G1184" s="31" t="s">
        <v>3945</v>
      </c>
      <c r="H1184" s="31" t="s">
        <v>20</v>
      </c>
      <c r="I1184" s="31">
        <v>4401.0</v>
      </c>
      <c r="J1184" s="33" t="s">
        <v>3946</v>
      </c>
      <c r="K1184" s="31" t="s">
        <v>541</v>
      </c>
      <c r="L1184" s="31" t="s">
        <v>3947</v>
      </c>
      <c r="M1184" s="33">
        <v>2.0</v>
      </c>
      <c r="N1184" s="31" t="s">
        <v>3948</v>
      </c>
      <c r="O1184" s="34"/>
    </row>
    <row r="1185">
      <c r="A1185" s="93">
        <v>45797.0</v>
      </c>
      <c r="B1185" s="31" t="s">
        <v>3949</v>
      </c>
      <c r="C1185" s="31">
        <v>8.05011532349E11</v>
      </c>
      <c r="D1185" s="31" t="s">
        <v>3950</v>
      </c>
      <c r="E1185" s="31" t="s">
        <v>3951</v>
      </c>
      <c r="F1185" s="31" t="s">
        <v>3952</v>
      </c>
      <c r="G1185" s="31" t="s">
        <v>20</v>
      </c>
      <c r="H1185" s="31" t="s">
        <v>20</v>
      </c>
      <c r="I1185" s="31">
        <v>4405.0</v>
      </c>
      <c r="J1185" s="33" t="s">
        <v>3953</v>
      </c>
      <c r="K1185" s="31" t="s">
        <v>512</v>
      </c>
      <c r="L1185" s="31" t="s">
        <v>513</v>
      </c>
      <c r="M1185" s="33">
        <v>12.0</v>
      </c>
      <c r="N1185" s="31" t="s">
        <v>3954</v>
      </c>
      <c r="O1185" s="34"/>
    </row>
    <row r="1186">
      <c r="A1186" s="93">
        <v>45797.0</v>
      </c>
      <c r="B1186" s="31" t="s">
        <v>3949</v>
      </c>
      <c r="C1186" s="31">
        <v>8.05011532349E11</v>
      </c>
      <c r="D1186" s="31" t="s">
        <v>3950</v>
      </c>
      <c r="E1186" s="31" t="s">
        <v>3951</v>
      </c>
      <c r="F1186" s="31" t="s">
        <v>3952</v>
      </c>
      <c r="G1186" s="31" t="s">
        <v>20</v>
      </c>
      <c r="H1186" s="31" t="s">
        <v>20</v>
      </c>
      <c r="I1186" s="31">
        <v>4405.0</v>
      </c>
      <c r="J1186" s="33" t="s">
        <v>3953</v>
      </c>
      <c r="K1186" s="31" t="s">
        <v>340</v>
      </c>
      <c r="L1186" s="31" t="s">
        <v>3486</v>
      </c>
      <c r="M1186" s="33">
        <v>2.0</v>
      </c>
      <c r="N1186" s="31" t="s">
        <v>3954</v>
      </c>
      <c r="O1186" s="34"/>
    </row>
    <row r="1187">
      <c r="A1187" s="93">
        <v>45797.0</v>
      </c>
      <c r="B1187" s="31" t="s">
        <v>3949</v>
      </c>
      <c r="C1187" s="31">
        <v>8.05011532349E11</v>
      </c>
      <c r="D1187" s="31" t="s">
        <v>3950</v>
      </c>
      <c r="E1187" s="31" t="s">
        <v>3951</v>
      </c>
      <c r="F1187" s="31" t="s">
        <v>3952</v>
      </c>
      <c r="G1187" s="31" t="s">
        <v>20</v>
      </c>
      <c r="H1187" s="31" t="s">
        <v>20</v>
      </c>
      <c r="I1187" s="31">
        <v>4405.0</v>
      </c>
      <c r="J1187" s="33" t="s">
        <v>3953</v>
      </c>
      <c r="K1187" s="31" t="s">
        <v>2537</v>
      </c>
      <c r="L1187" s="31" t="s">
        <v>3955</v>
      </c>
      <c r="M1187" s="33">
        <v>1.0</v>
      </c>
      <c r="N1187" s="31" t="s">
        <v>3954</v>
      </c>
      <c r="O1187" s="34"/>
    </row>
    <row r="1188">
      <c r="A1188" s="93">
        <v>45797.0</v>
      </c>
      <c r="B1188" s="31" t="s">
        <v>3956</v>
      </c>
      <c r="C1188" s="31">
        <v>8.05011532474E11</v>
      </c>
      <c r="D1188" s="31" t="s">
        <v>3957</v>
      </c>
      <c r="E1188" s="31" t="s">
        <v>3958</v>
      </c>
      <c r="F1188" s="31" t="s">
        <v>3959</v>
      </c>
      <c r="G1188" s="31" t="s">
        <v>582</v>
      </c>
      <c r="H1188" s="31" t="s">
        <v>20</v>
      </c>
      <c r="I1188" s="31">
        <v>4407.0</v>
      </c>
      <c r="J1188" s="33" t="s">
        <v>3960</v>
      </c>
      <c r="K1188" s="31" t="s">
        <v>121</v>
      </c>
      <c r="L1188" s="31" t="s">
        <v>3199</v>
      </c>
      <c r="M1188" s="33">
        <v>2.0</v>
      </c>
      <c r="N1188" s="31" t="s">
        <v>3961</v>
      </c>
      <c r="O1188" s="31" t="s">
        <v>3962</v>
      </c>
    </row>
    <row r="1189">
      <c r="A1189" s="93">
        <v>45797.0</v>
      </c>
      <c r="B1189" s="31" t="s">
        <v>3956</v>
      </c>
      <c r="C1189" s="31">
        <v>8.05011532474E11</v>
      </c>
      <c r="D1189" s="31" t="s">
        <v>3957</v>
      </c>
      <c r="E1189" s="31" t="s">
        <v>3958</v>
      </c>
      <c r="F1189" s="31" t="s">
        <v>3959</v>
      </c>
      <c r="G1189" s="31" t="s">
        <v>582</v>
      </c>
      <c r="H1189" s="31" t="s">
        <v>20</v>
      </c>
      <c r="I1189" s="31">
        <v>4407.0</v>
      </c>
      <c r="J1189" s="33" t="s">
        <v>3960</v>
      </c>
      <c r="K1189" s="31" t="s">
        <v>3963</v>
      </c>
      <c r="L1189" s="31" t="s">
        <v>3964</v>
      </c>
      <c r="M1189" s="33">
        <v>1.0</v>
      </c>
      <c r="N1189" s="31" t="s">
        <v>3961</v>
      </c>
      <c r="O1189" s="31" t="s">
        <v>3962</v>
      </c>
    </row>
    <row r="1190">
      <c r="A1190" s="93">
        <v>45797.0</v>
      </c>
      <c r="B1190" s="31" t="s">
        <v>3956</v>
      </c>
      <c r="C1190" s="31">
        <v>8.05011532474E11</v>
      </c>
      <c r="D1190" s="31" t="s">
        <v>3957</v>
      </c>
      <c r="E1190" s="31" t="s">
        <v>3958</v>
      </c>
      <c r="F1190" s="31" t="s">
        <v>3959</v>
      </c>
      <c r="G1190" s="31" t="s">
        <v>582</v>
      </c>
      <c r="H1190" s="31" t="s">
        <v>20</v>
      </c>
      <c r="I1190" s="31">
        <v>4407.0</v>
      </c>
      <c r="J1190" s="33" t="s">
        <v>3960</v>
      </c>
      <c r="K1190" s="31" t="s">
        <v>512</v>
      </c>
      <c r="L1190" s="31" t="s">
        <v>513</v>
      </c>
      <c r="M1190" s="33">
        <v>12.0</v>
      </c>
      <c r="N1190" s="31" t="s">
        <v>3961</v>
      </c>
      <c r="O1190" s="31" t="s">
        <v>3962</v>
      </c>
    </row>
    <row r="1191">
      <c r="A1191" s="93">
        <v>45797.0</v>
      </c>
      <c r="B1191" s="31" t="s">
        <v>3965</v>
      </c>
      <c r="C1191" s="31">
        <v>8.07025031007E11</v>
      </c>
      <c r="D1191" s="31" t="s">
        <v>3966</v>
      </c>
      <c r="E1191" s="31" t="s">
        <v>3967</v>
      </c>
      <c r="F1191" s="94" t="s">
        <v>126</v>
      </c>
      <c r="G1191" s="31" t="s">
        <v>127</v>
      </c>
      <c r="H1191" s="31" t="s">
        <v>20</v>
      </c>
      <c r="I1191" s="31">
        <v>4400.0</v>
      </c>
      <c r="J1191" s="33" t="s">
        <v>3968</v>
      </c>
      <c r="K1191" s="31" t="s">
        <v>512</v>
      </c>
      <c r="L1191" s="31" t="s">
        <v>513</v>
      </c>
      <c r="M1191" s="33">
        <v>12.0</v>
      </c>
      <c r="N1191" s="31" t="s">
        <v>3969</v>
      </c>
      <c r="O1191" s="31" t="s">
        <v>3970</v>
      </c>
    </row>
    <row r="1192">
      <c r="A1192" s="93">
        <v>45797.0</v>
      </c>
      <c r="B1192" s="31" t="s">
        <v>3965</v>
      </c>
      <c r="C1192" s="31">
        <v>8.07025031007E11</v>
      </c>
      <c r="D1192" s="31" t="s">
        <v>3966</v>
      </c>
      <c r="E1192" s="31" t="s">
        <v>3967</v>
      </c>
      <c r="F1192" s="94" t="s">
        <v>126</v>
      </c>
      <c r="G1192" s="31" t="s">
        <v>127</v>
      </c>
      <c r="H1192" s="31" t="s">
        <v>20</v>
      </c>
      <c r="I1192" s="31">
        <v>4400.0</v>
      </c>
      <c r="J1192" s="33" t="s">
        <v>3968</v>
      </c>
      <c r="K1192" s="31" t="s">
        <v>645</v>
      </c>
      <c r="L1192" s="31" t="s">
        <v>3253</v>
      </c>
      <c r="M1192" s="33">
        <v>2.0</v>
      </c>
      <c r="N1192" s="31" t="s">
        <v>3969</v>
      </c>
      <c r="O1192" s="31" t="s">
        <v>3970</v>
      </c>
    </row>
    <row r="1193">
      <c r="A1193" s="93">
        <v>45797.0</v>
      </c>
      <c r="B1193" s="31" t="s">
        <v>3965</v>
      </c>
      <c r="C1193" s="31">
        <v>8.07025031007E11</v>
      </c>
      <c r="D1193" s="31" t="s">
        <v>3966</v>
      </c>
      <c r="E1193" s="31" t="s">
        <v>3967</v>
      </c>
      <c r="F1193" s="94" t="s">
        <v>126</v>
      </c>
      <c r="G1193" s="31" t="s">
        <v>127</v>
      </c>
      <c r="H1193" s="31" t="s">
        <v>20</v>
      </c>
      <c r="I1193" s="31">
        <v>4400.0</v>
      </c>
      <c r="J1193" s="33" t="s">
        <v>3968</v>
      </c>
      <c r="K1193" s="31" t="s">
        <v>3971</v>
      </c>
      <c r="L1193" s="31" t="s">
        <v>3972</v>
      </c>
      <c r="M1193" s="33">
        <v>1.0</v>
      </c>
      <c r="N1193" s="31" t="s">
        <v>3969</v>
      </c>
      <c r="O1193" s="31" t="s">
        <v>3970</v>
      </c>
    </row>
    <row r="1194">
      <c r="A1194" s="93">
        <v>45797.0</v>
      </c>
      <c r="B1194" s="31" t="s">
        <v>3973</v>
      </c>
      <c r="C1194" s="31">
        <v>8.05011530869E11</v>
      </c>
      <c r="D1194" s="31" t="s">
        <v>3974</v>
      </c>
      <c r="E1194" s="31" t="s">
        <v>3975</v>
      </c>
      <c r="F1194" s="31" t="s">
        <v>3976</v>
      </c>
      <c r="G1194" s="31" t="s">
        <v>1142</v>
      </c>
      <c r="H1194" s="31" t="s">
        <v>20</v>
      </c>
      <c r="I1194" s="31">
        <v>4430.0</v>
      </c>
      <c r="J1194" s="33" t="s">
        <v>3977</v>
      </c>
      <c r="K1194" s="31" t="s">
        <v>758</v>
      </c>
      <c r="L1194" s="31" t="s">
        <v>3574</v>
      </c>
      <c r="M1194" s="33">
        <v>2.0</v>
      </c>
      <c r="N1194" s="31" t="s">
        <v>3978</v>
      </c>
      <c r="O1194" s="34"/>
    </row>
    <row r="1195">
      <c r="A1195" s="93">
        <v>45797.0</v>
      </c>
      <c r="B1195" s="31" t="s">
        <v>3973</v>
      </c>
      <c r="C1195" s="31">
        <v>8.05011530869E11</v>
      </c>
      <c r="D1195" s="31" t="s">
        <v>3974</v>
      </c>
      <c r="E1195" s="31" t="s">
        <v>3975</v>
      </c>
      <c r="F1195" s="31" t="s">
        <v>3976</v>
      </c>
      <c r="G1195" s="31" t="s">
        <v>1142</v>
      </c>
      <c r="H1195" s="31" t="s">
        <v>20</v>
      </c>
      <c r="I1195" s="31">
        <v>4430.0</v>
      </c>
      <c r="J1195" s="33" t="s">
        <v>3977</v>
      </c>
      <c r="K1195" s="31" t="s">
        <v>512</v>
      </c>
      <c r="L1195" s="31" t="s">
        <v>513</v>
      </c>
      <c r="M1195" s="33">
        <v>12.0</v>
      </c>
      <c r="N1195" s="31" t="s">
        <v>3978</v>
      </c>
      <c r="O1195" s="34"/>
    </row>
    <row r="1196">
      <c r="A1196" s="93">
        <v>45797.0</v>
      </c>
      <c r="B1196" s="31" t="s">
        <v>3973</v>
      </c>
      <c r="C1196" s="31">
        <v>8.05011530869E11</v>
      </c>
      <c r="D1196" s="31" t="s">
        <v>3974</v>
      </c>
      <c r="E1196" s="31" t="s">
        <v>3975</v>
      </c>
      <c r="F1196" s="31" t="s">
        <v>3976</v>
      </c>
      <c r="G1196" s="31" t="s">
        <v>1142</v>
      </c>
      <c r="H1196" s="31" t="s">
        <v>20</v>
      </c>
      <c r="I1196" s="31">
        <v>4430.0</v>
      </c>
      <c r="J1196" s="33" t="s">
        <v>3977</v>
      </c>
      <c r="K1196" s="31" t="s">
        <v>3979</v>
      </c>
      <c r="L1196" s="31" t="s">
        <v>3980</v>
      </c>
      <c r="M1196" s="33">
        <v>1.0</v>
      </c>
      <c r="N1196" s="31" t="s">
        <v>3978</v>
      </c>
      <c r="O1196" s="34"/>
    </row>
    <row r="1197">
      <c r="A1197" s="93">
        <v>45797.0</v>
      </c>
      <c r="B1197" s="31" t="s">
        <v>3981</v>
      </c>
      <c r="C1197" s="31">
        <v>8.06217063574E11</v>
      </c>
      <c r="D1197" s="31" t="s">
        <v>3982</v>
      </c>
      <c r="E1197" s="31" t="s">
        <v>3983</v>
      </c>
      <c r="F1197" s="31" t="s">
        <v>3984</v>
      </c>
      <c r="G1197" s="31" t="s">
        <v>20</v>
      </c>
      <c r="H1197" s="31" t="s">
        <v>20</v>
      </c>
      <c r="I1197" s="31">
        <v>4400.0</v>
      </c>
      <c r="J1197" s="33" t="s">
        <v>3985</v>
      </c>
      <c r="K1197" s="31" t="s">
        <v>2098</v>
      </c>
      <c r="L1197" s="31" t="s">
        <v>2099</v>
      </c>
      <c r="M1197" s="33">
        <v>1.0</v>
      </c>
      <c r="N1197" s="31" t="s">
        <v>3986</v>
      </c>
      <c r="O1197" s="31" t="s">
        <v>3987</v>
      </c>
    </row>
    <row r="1198">
      <c r="A1198" s="93">
        <v>45797.0</v>
      </c>
      <c r="B1198" s="31" t="s">
        <v>3988</v>
      </c>
      <c r="C1198" s="31">
        <v>8.07025031027E11</v>
      </c>
      <c r="D1198" s="31" t="s">
        <v>3989</v>
      </c>
      <c r="E1198" s="31" t="s">
        <v>3990</v>
      </c>
      <c r="F1198" s="31" t="s">
        <v>3991</v>
      </c>
      <c r="G1198" s="31" t="s">
        <v>127</v>
      </c>
      <c r="H1198" s="31" t="s">
        <v>20</v>
      </c>
      <c r="I1198" s="31">
        <v>4400.0</v>
      </c>
      <c r="J1198" s="33" t="s">
        <v>3992</v>
      </c>
      <c r="K1198" s="31" t="s">
        <v>947</v>
      </c>
      <c r="L1198" s="31" t="s">
        <v>3750</v>
      </c>
      <c r="M1198" s="33">
        <v>1.0</v>
      </c>
      <c r="N1198" s="31" t="s">
        <v>3993</v>
      </c>
      <c r="O1198" s="31" t="s">
        <v>3994</v>
      </c>
    </row>
    <row r="1199">
      <c r="A1199" s="93">
        <v>45797.0</v>
      </c>
      <c r="B1199" s="31" t="s">
        <v>3988</v>
      </c>
      <c r="C1199" s="31">
        <v>8.07025031027E11</v>
      </c>
      <c r="D1199" s="31" t="s">
        <v>3989</v>
      </c>
      <c r="E1199" s="31" t="s">
        <v>3990</v>
      </c>
      <c r="F1199" s="31" t="s">
        <v>3991</v>
      </c>
      <c r="G1199" s="31" t="s">
        <v>127</v>
      </c>
      <c r="H1199" s="31" t="s">
        <v>20</v>
      </c>
      <c r="I1199" s="31">
        <v>4400.0</v>
      </c>
      <c r="J1199" s="33" t="s">
        <v>3992</v>
      </c>
      <c r="K1199" s="31" t="s">
        <v>35</v>
      </c>
      <c r="L1199" s="31" t="s">
        <v>3188</v>
      </c>
      <c r="M1199" s="33">
        <v>1.0</v>
      </c>
      <c r="N1199" s="31" t="s">
        <v>3993</v>
      </c>
      <c r="O1199" s="31" t="s">
        <v>3994</v>
      </c>
    </row>
    <row r="1200">
      <c r="A1200" s="93">
        <v>45797.0</v>
      </c>
      <c r="B1200" s="31" t="s">
        <v>3995</v>
      </c>
      <c r="C1200" s="31">
        <v>8.07025031062E11</v>
      </c>
      <c r="D1200" s="31" t="s">
        <v>3996</v>
      </c>
      <c r="E1200" s="31" t="s">
        <v>3997</v>
      </c>
      <c r="F1200" s="31" t="s">
        <v>3998</v>
      </c>
      <c r="G1200" s="31" t="s">
        <v>3999</v>
      </c>
      <c r="H1200" s="31" t="s">
        <v>20</v>
      </c>
      <c r="I1200" s="31">
        <v>4600.0</v>
      </c>
      <c r="J1200" s="33" t="s">
        <v>4000</v>
      </c>
      <c r="K1200" s="31" t="s">
        <v>32</v>
      </c>
      <c r="L1200" s="31" t="s">
        <v>3225</v>
      </c>
      <c r="M1200" s="33">
        <v>1.0</v>
      </c>
      <c r="N1200" s="31" t="s">
        <v>4001</v>
      </c>
      <c r="O1200" s="31" t="s">
        <v>4002</v>
      </c>
    </row>
    <row r="1201">
      <c r="A1201" s="93">
        <v>45797.0</v>
      </c>
      <c r="B1201" s="31" t="s">
        <v>4003</v>
      </c>
      <c r="C1201" s="31">
        <v>8.07025031053E11</v>
      </c>
      <c r="D1201" s="31" t="s">
        <v>4004</v>
      </c>
      <c r="E1201" s="31" t="s">
        <v>4005</v>
      </c>
      <c r="F1201" s="31" t="s">
        <v>4006</v>
      </c>
      <c r="G1201" s="31" t="s">
        <v>116</v>
      </c>
      <c r="H1201" s="31" t="s">
        <v>20</v>
      </c>
      <c r="I1201" s="31">
        <v>4400.0</v>
      </c>
      <c r="J1201" s="33" t="s">
        <v>4007</v>
      </c>
      <c r="K1201" s="31" t="s">
        <v>3797</v>
      </c>
      <c r="L1201" s="31" t="s">
        <v>3798</v>
      </c>
      <c r="M1201" s="33">
        <v>1.0</v>
      </c>
      <c r="N1201" s="31" t="s">
        <v>2240</v>
      </c>
      <c r="O1201" s="31" t="s">
        <v>1746</v>
      </c>
    </row>
    <row r="1202">
      <c r="A1202" s="93">
        <v>45797.0</v>
      </c>
      <c r="B1202" s="31" t="s">
        <v>4003</v>
      </c>
      <c r="C1202" s="31">
        <v>8.07025031053E11</v>
      </c>
      <c r="D1202" s="31" t="s">
        <v>4004</v>
      </c>
      <c r="E1202" s="31" t="s">
        <v>4005</v>
      </c>
      <c r="F1202" s="31" t="s">
        <v>4006</v>
      </c>
      <c r="G1202" s="31" t="s">
        <v>116</v>
      </c>
      <c r="H1202" s="31" t="s">
        <v>20</v>
      </c>
      <c r="I1202" s="31">
        <v>4400.0</v>
      </c>
      <c r="J1202" s="33" t="s">
        <v>4007</v>
      </c>
      <c r="K1202" s="31" t="s">
        <v>3313</v>
      </c>
      <c r="L1202" s="31" t="s">
        <v>3314</v>
      </c>
      <c r="M1202" s="33">
        <v>1.0</v>
      </c>
      <c r="N1202" s="31" t="s">
        <v>2240</v>
      </c>
      <c r="O1202" s="31" t="s">
        <v>1746</v>
      </c>
    </row>
    <row r="1203">
      <c r="A1203" s="93">
        <v>45797.0</v>
      </c>
      <c r="B1203" s="31" t="s">
        <v>4008</v>
      </c>
      <c r="C1203" s="31">
        <v>8.05011533603E11</v>
      </c>
      <c r="D1203" s="31" t="s">
        <v>4009</v>
      </c>
      <c r="E1203" s="31" t="s">
        <v>4010</v>
      </c>
      <c r="F1203" s="31" t="s">
        <v>4011</v>
      </c>
      <c r="G1203" s="31" t="s">
        <v>1477</v>
      </c>
      <c r="H1203" s="31" t="s">
        <v>20</v>
      </c>
      <c r="I1203" s="31">
        <v>4550.0</v>
      </c>
      <c r="J1203" s="33" t="s">
        <v>4012</v>
      </c>
      <c r="K1203" s="31" t="s">
        <v>22</v>
      </c>
      <c r="L1203" s="31" t="s">
        <v>4013</v>
      </c>
      <c r="M1203" s="33">
        <v>1.0</v>
      </c>
      <c r="N1203" s="31" t="s">
        <v>4014</v>
      </c>
      <c r="O1203" s="34"/>
    </row>
    <row r="1204">
      <c r="A1204" s="93">
        <v>45797.0</v>
      </c>
      <c r="B1204" s="31" t="s">
        <v>4015</v>
      </c>
      <c r="C1204" s="31">
        <v>8.07025031088E11</v>
      </c>
      <c r="D1204" s="31" t="s">
        <v>4016</v>
      </c>
      <c r="E1204" s="31" t="s">
        <v>4017</v>
      </c>
      <c r="F1204" s="95" t="s">
        <v>115</v>
      </c>
      <c r="G1204" s="31" t="s">
        <v>116</v>
      </c>
      <c r="H1204" s="31" t="s">
        <v>20</v>
      </c>
      <c r="I1204" s="31">
        <v>4400.0</v>
      </c>
      <c r="J1204" s="33" t="s">
        <v>4018</v>
      </c>
      <c r="K1204" s="31" t="s">
        <v>947</v>
      </c>
      <c r="L1204" s="31" t="s">
        <v>3750</v>
      </c>
      <c r="M1204" s="33">
        <v>1.0</v>
      </c>
      <c r="N1204" s="31" t="s">
        <v>4019</v>
      </c>
      <c r="O1204" s="31" t="s">
        <v>4020</v>
      </c>
    </row>
    <row r="1205" ht="8.25" customHeight="1">
      <c r="A1205" s="87"/>
      <c r="B1205" s="88"/>
      <c r="C1205" s="88"/>
      <c r="D1205" s="88"/>
      <c r="E1205" s="88"/>
      <c r="F1205" s="88"/>
      <c r="G1205" s="88"/>
      <c r="H1205" s="88"/>
      <c r="I1205" s="88"/>
      <c r="J1205" s="88"/>
      <c r="K1205" s="88"/>
      <c r="L1205" s="88"/>
      <c r="M1205" s="89"/>
      <c r="N1205" s="90"/>
      <c r="O1205" s="90"/>
    </row>
    <row r="1206">
      <c r="A1206" s="85">
        <v>45805.0</v>
      </c>
      <c r="B1206" s="31" t="s">
        <v>4021</v>
      </c>
      <c r="C1206" s="31">
        <v>8.05011533171E11</v>
      </c>
      <c r="D1206" s="31" t="s">
        <v>4022</v>
      </c>
      <c r="E1206" s="31" t="s">
        <v>4023</v>
      </c>
      <c r="F1206" s="31" t="s">
        <v>4024</v>
      </c>
      <c r="G1206" s="31" t="s">
        <v>4025</v>
      </c>
      <c r="H1206" s="31" t="s">
        <v>20</v>
      </c>
      <c r="I1206" s="31">
        <v>4401.0</v>
      </c>
      <c r="J1206" s="31">
        <v>4900184.0</v>
      </c>
      <c r="K1206" s="31" t="s">
        <v>32</v>
      </c>
      <c r="L1206" s="31" t="s">
        <v>3225</v>
      </c>
      <c r="M1206" s="33">
        <v>1.0</v>
      </c>
      <c r="N1206" s="34"/>
      <c r="O1206" s="31" t="s">
        <v>261</v>
      </c>
    </row>
    <row r="1207">
      <c r="A1207" s="85">
        <v>45805.0</v>
      </c>
      <c r="B1207" s="31" t="s">
        <v>4021</v>
      </c>
      <c r="C1207" s="31">
        <v>8.05011533171E11</v>
      </c>
      <c r="D1207" s="31" t="s">
        <v>4022</v>
      </c>
      <c r="E1207" s="31" t="s">
        <v>4023</v>
      </c>
      <c r="F1207" s="31" t="s">
        <v>4024</v>
      </c>
      <c r="G1207" s="31" t="s">
        <v>4025</v>
      </c>
      <c r="H1207" s="31" t="s">
        <v>20</v>
      </c>
      <c r="I1207" s="31">
        <v>4401.0</v>
      </c>
      <c r="J1207" s="31">
        <v>4900184.0</v>
      </c>
      <c r="K1207" s="31" t="s">
        <v>512</v>
      </c>
      <c r="L1207" s="31" t="s">
        <v>513</v>
      </c>
      <c r="M1207" s="33">
        <v>6.0</v>
      </c>
      <c r="N1207" s="34"/>
      <c r="O1207" s="31" t="s">
        <v>261</v>
      </c>
    </row>
    <row r="1208">
      <c r="A1208" s="85">
        <v>45805.0</v>
      </c>
      <c r="B1208" s="31" t="s">
        <v>4021</v>
      </c>
      <c r="C1208" s="31">
        <v>8.05011533171E11</v>
      </c>
      <c r="D1208" s="31" t="s">
        <v>4022</v>
      </c>
      <c r="E1208" s="31" t="s">
        <v>4023</v>
      </c>
      <c r="F1208" s="31" t="s">
        <v>4024</v>
      </c>
      <c r="G1208" s="31" t="s">
        <v>4025</v>
      </c>
      <c r="H1208" s="31" t="s">
        <v>20</v>
      </c>
      <c r="I1208" s="31">
        <v>4401.0</v>
      </c>
      <c r="J1208" s="31">
        <v>4900184.0</v>
      </c>
      <c r="K1208" s="31" t="s">
        <v>35</v>
      </c>
      <c r="L1208" s="31" t="s">
        <v>3188</v>
      </c>
      <c r="M1208" s="33">
        <v>1.0</v>
      </c>
      <c r="N1208" s="34"/>
      <c r="O1208" s="31" t="s">
        <v>261</v>
      </c>
    </row>
    <row r="1209">
      <c r="A1209" s="85">
        <v>45805.0</v>
      </c>
      <c r="B1209" s="31" t="s">
        <v>4026</v>
      </c>
      <c r="C1209" s="31">
        <v>8.05011533973E11</v>
      </c>
      <c r="D1209" s="31" t="s">
        <v>4027</v>
      </c>
      <c r="E1209" s="31" t="s">
        <v>4028</v>
      </c>
      <c r="F1209" s="31" t="s">
        <v>4029</v>
      </c>
      <c r="G1209" s="31" t="s">
        <v>41</v>
      </c>
      <c r="H1209" s="31" t="s">
        <v>20</v>
      </c>
      <c r="I1209" s="31">
        <v>4560.0</v>
      </c>
      <c r="J1209" s="31">
        <v>3.873589081E9</v>
      </c>
      <c r="K1209" s="31" t="s">
        <v>3817</v>
      </c>
      <c r="L1209" s="31" t="s">
        <v>3818</v>
      </c>
      <c r="M1209" s="33">
        <v>1.0</v>
      </c>
      <c r="N1209" s="34"/>
      <c r="O1209" s="34"/>
    </row>
    <row r="1210">
      <c r="A1210" s="85">
        <v>45805.0</v>
      </c>
      <c r="B1210" s="31" t="s">
        <v>4030</v>
      </c>
      <c r="C1210" s="31">
        <v>8.05011534022E11</v>
      </c>
      <c r="D1210" s="31" t="s">
        <v>4031</v>
      </c>
      <c r="E1210" s="31" t="s">
        <v>4032</v>
      </c>
      <c r="F1210" s="31" t="s">
        <v>4033</v>
      </c>
      <c r="G1210" s="31" t="s">
        <v>20</v>
      </c>
      <c r="H1210" s="31" t="s">
        <v>20</v>
      </c>
      <c r="I1210" s="31">
        <v>4407.0</v>
      </c>
      <c r="J1210" s="31">
        <v>3.874680057E9</v>
      </c>
      <c r="K1210" s="31" t="s">
        <v>32</v>
      </c>
      <c r="L1210" s="31" t="s">
        <v>3225</v>
      </c>
      <c r="M1210" s="33">
        <v>1.0</v>
      </c>
      <c r="N1210" s="34"/>
      <c r="O1210" s="34"/>
    </row>
    <row r="1211">
      <c r="A1211" s="85">
        <v>45805.0</v>
      </c>
      <c r="B1211" s="31" t="s">
        <v>4030</v>
      </c>
      <c r="C1211" s="31">
        <v>8.05011534022E11</v>
      </c>
      <c r="D1211" s="31" t="s">
        <v>4031</v>
      </c>
      <c r="E1211" s="31" t="s">
        <v>4032</v>
      </c>
      <c r="F1211" s="31" t="s">
        <v>4033</v>
      </c>
      <c r="G1211" s="31" t="s">
        <v>20</v>
      </c>
      <c r="H1211" s="31" t="s">
        <v>20</v>
      </c>
      <c r="I1211" s="31">
        <v>4407.0</v>
      </c>
      <c r="J1211" s="31">
        <v>3.874680057E9</v>
      </c>
      <c r="K1211" s="31" t="s">
        <v>512</v>
      </c>
      <c r="L1211" s="31" t="s">
        <v>513</v>
      </c>
      <c r="M1211" s="33">
        <v>6.0</v>
      </c>
      <c r="N1211" s="34"/>
      <c r="O1211" s="34"/>
    </row>
    <row r="1212">
      <c r="A1212" s="85">
        <v>45805.0</v>
      </c>
      <c r="B1212" s="31" t="s">
        <v>4030</v>
      </c>
      <c r="C1212" s="31">
        <v>8.05011534022E11</v>
      </c>
      <c r="D1212" s="31" t="s">
        <v>4031</v>
      </c>
      <c r="E1212" s="31" t="s">
        <v>4032</v>
      </c>
      <c r="F1212" s="31" t="s">
        <v>4033</v>
      </c>
      <c r="G1212" s="31" t="s">
        <v>20</v>
      </c>
      <c r="H1212" s="31" t="s">
        <v>20</v>
      </c>
      <c r="I1212" s="31">
        <v>4407.0</v>
      </c>
      <c r="J1212" s="31">
        <v>3.874680057E9</v>
      </c>
      <c r="K1212" s="31" t="s">
        <v>35</v>
      </c>
      <c r="L1212" s="31" t="s">
        <v>3188</v>
      </c>
      <c r="M1212" s="33">
        <v>1.0</v>
      </c>
      <c r="N1212" s="34"/>
      <c r="O1212" s="34"/>
    </row>
    <row r="1213">
      <c r="A1213" s="85">
        <v>45805.0</v>
      </c>
      <c r="B1213" s="31" t="s">
        <v>4034</v>
      </c>
      <c r="C1213" s="31">
        <v>8.05011533978E11</v>
      </c>
      <c r="D1213" s="31" t="s">
        <v>4027</v>
      </c>
      <c r="E1213" s="31" t="s">
        <v>4028</v>
      </c>
      <c r="F1213" s="31" t="s">
        <v>4035</v>
      </c>
      <c r="G1213" s="31" t="s">
        <v>41</v>
      </c>
      <c r="H1213" s="31" t="s">
        <v>20</v>
      </c>
      <c r="I1213" s="31">
        <v>4560.0</v>
      </c>
      <c r="J1213" s="31">
        <v>3.873589081E9</v>
      </c>
      <c r="K1213" s="31" t="s">
        <v>1937</v>
      </c>
      <c r="L1213" s="31" t="s">
        <v>4036</v>
      </c>
      <c r="M1213" s="33">
        <v>1.0</v>
      </c>
      <c r="N1213" s="34"/>
      <c r="O1213" s="34"/>
    </row>
    <row r="1214">
      <c r="A1214" s="85">
        <v>45805.0</v>
      </c>
      <c r="B1214" s="31" t="s">
        <v>4037</v>
      </c>
      <c r="C1214" s="31">
        <v>8.07025031095E11</v>
      </c>
      <c r="D1214" s="31" t="s">
        <v>4038</v>
      </c>
      <c r="E1214" s="31" t="s">
        <v>4039</v>
      </c>
      <c r="F1214" s="31" t="s">
        <v>4040</v>
      </c>
      <c r="G1214" s="31" t="s">
        <v>4041</v>
      </c>
      <c r="H1214" s="31" t="s">
        <v>20</v>
      </c>
      <c r="I1214" s="31">
        <v>4400.0</v>
      </c>
      <c r="J1214" s="31">
        <v>3.875857111E9</v>
      </c>
      <c r="K1214" s="31" t="s">
        <v>2956</v>
      </c>
      <c r="L1214" s="31" t="s">
        <v>3327</v>
      </c>
      <c r="M1214" s="33">
        <v>1.0</v>
      </c>
      <c r="N1214" s="34"/>
      <c r="O1214" s="31" t="s">
        <v>4042</v>
      </c>
    </row>
    <row r="1215">
      <c r="A1215" s="85">
        <v>45805.0</v>
      </c>
      <c r="B1215" s="31" t="s">
        <v>4037</v>
      </c>
      <c r="C1215" s="31">
        <v>8.07025031095E11</v>
      </c>
      <c r="D1215" s="31" t="s">
        <v>4038</v>
      </c>
      <c r="E1215" s="31" t="s">
        <v>4039</v>
      </c>
      <c r="F1215" s="31" t="s">
        <v>4040</v>
      </c>
      <c r="G1215" s="31" t="s">
        <v>4041</v>
      </c>
      <c r="H1215" s="31" t="s">
        <v>20</v>
      </c>
      <c r="I1215" s="31">
        <v>4400.0</v>
      </c>
      <c r="J1215" s="31">
        <v>3.875857111E9</v>
      </c>
      <c r="K1215" s="31" t="s">
        <v>512</v>
      </c>
      <c r="L1215" s="31" t="s">
        <v>513</v>
      </c>
      <c r="M1215" s="33">
        <v>6.0</v>
      </c>
      <c r="N1215" s="34"/>
      <c r="O1215" s="31" t="s">
        <v>4042</v>
      </c>
    </row>
    <row r="1216">
      <c r="A1216" s="85">
        <v>45805.0</v>
      </c>
      <c r="B1216" s="31" t="s">
        <v>4037</v>
      </c>
      <c r="C1216" s="31">
        <v>8.07025031095E11</v>
      </c>
      <c r="D1216" s="31" t="s">
        <v>4038</v>
      </c>
      <c r="E1216" s="31" t="s">
        <v>4039</v>
      </c>
      <c r="F1216" s="31" t="s">
        <v>4040</v>
      </c>
      <c r="G1216" s="31" t="s">
        <v>4041</v>
      </c>
      <c r="H1216" s="31" t="s">
        <v>20</v>
      </c>
      <c r="I1216" s="31">
        <v>4400.0</v>
      </c>
      <c r="J1216" s="31">
        <v>3.875857111E9</v>
      </c>
      <c r="K1216" s="31" t="s">
        <v>670</v>
      </c>
      <c r="L1216" s="31" t="s">
        <v>3410</v>
      </c>
      <c r="M1216" s="33">
        <v>1.0</v>
      </c>
      <c r="N1216" s="34"/>
      <c r="O1216" s="31" t="s">
        <v>4042</v>
      </c>
    </row>
    <row r="1217">
      <c r="A1217" s="85">
        <v>45805.0</v>
      </c>
      <c r="B1217" s="31" t="s">
        <v>4043</v>
      </c>
      <c r="C1217" s="31">
        <v>8.05011534074E11</v>
      </c>
      <c r="D1217" s="31" t="s">
        <v>4044</v>
      </c>
      <c r="E1217" s="31" t="s">
        <v>4045</v>
      </c>
      <c r="F1217" s="31" t="s">
        <v>4046</v>
      </c>
      <c r="G1217" s="31" t="s">
        <v>127</v>
      </c>
      <c r="H1217" s="31" t="s">
        <v>20</v>
      </c>
      <c r="I1217" s="31">
        <v>4400.0</v>
      </c>
      <c r="J1217" s="31">
        <v>3.875705353E9</v>
      </c>
      <c r="K1217" s="31" t="s">
        <v>32</v>
      </c>
      <c r="L1217" s="31" t="s">
        <v>3225</v>
      </c>
      <c r="M1217" s="33">
        <v>1.0</v>
      </c>
      <c r="N1217" s="34"/>
      <c r="O1217" s="34"/>
    </row>
    <row r="1218">
      <c r="A1218" s="85">
        <v>45805.0</v>
      </c>
      <c r="B1218" s="31" t="s">
        <v>4043</v>
      </c>
      <c r="C1218" s="31">
        <v>8.05011534074E11</v>
      </c>
      <c r="D1218" s="31" t="s">
        <v>4044</v>
      </c>
      <c r="E1218" s="31" t="s">
        <v>4045</v>
      </c>
      <c r="F1218" s="31" t="s">
        <v>4046</v>
      </c>
      <c r="G1218" s="31" t="s">
        <v>127</v>
      </c>
      <c r="H1218" s="31" t="s">
        <v>20</v>
      </c>
      <c r="I1218" s="31">
        <v>4400.0</v>
      </c>
      <c r="J1218" s="31">
        <v>3.875705353E9</v>
      </c>
      <c r="K1218" s="31" t="s">
        <v>512</v>
      </c>
      <c r="L1218" s="31" t="s">
        <v>513</v>
      </c>
      <c r="M1218" s="33">
        <v>6.0</v>
      </c>
      <c r="N1218" s="34"/>
      <c r="O1218" s="34"/>
    </row>
    <row r="1219">
      <c r="A1219" s="85">
        <v>45805.0</v>
      </c>
      <c r="B1219" s="31" t="s">
        <v>4043</v>
      </c>
      <c r="C1219" s="31">
        <v>8.05011534074E11</v>
      </c>
      <c r="D1219" s="31" t="s">
        <v>4044</v>
      </c>
      <c r="E1219" s="31" t="s">
        <v>4045</v>
      </c>
      <c r="F1219" s="31" t="s">
        <v>4046</v>
      </c>
      <c r="G1219" s="31" t="s">
        <v>127</v>
      </c>
      <c r="H1219" s="31" t="s">
        <v>20</v>
      </c>
      <c r="I1219" s="31">
        <v>4400.0</v>
      </c>
      <c r="J1219" s="31">
        <v>3.875705353E9</v>
      </c>
      <c r="K1219" s="31" t="s">
        <v>35</v>
      </c>
      <c r="L1219" s="31" t="s">
        <v>3188</v>
      </c>
      <c r="M1219" s="33">
        <v>1.0</v>
      </c>
      <c r="N1219" s="34"/>
      <c r="O1219" s="34"/>
    </row>
    <row r="1220">
      <c r="A1220" s="85">
        <v>45805.0</v>
      </c>
      <c r="B1220" s="31" t="s">
        <v>4047</v>
      </c>
      <c r="C1220" s="31">
        <v>8.05011533464E11</v>
      </c>
      <c r="D1220" s="31" t="s">
        <v>4048</v>
      </c>
      <c r="E1220" s="31" t="s">
        <v>4049</v>
      </c>
      <c r="F1220" s="31" t="s">
        <v>4050</v>
      </c>
      <c r="G1220" s="31" t="s">
        <v>296</v>
      </c>
      <c r="H1220" s="31" t="s">
        <v>20</v>
      </c>
      <c r="I1220" s="31">
        <v>4400.0</v>
      </c>
      <c r="J1220" s="31">
        <v>3.874461872E9</v>
      </c>
      <c r="K1220" s="31" t="s">
        <v>2410</v>
      </c>
      <c r="L1220" s="31" t="s">
        <v>3860</v>
      </c>
      <c r="M1220" s="33">
        <v>1.0</v>
      </c>
      <c r="N1220" s="34"/>
      <c r="O1220" s="31" t="s">
        <v>4051</v>
      </c>
    </row>
    <row r="1221">
      <c r="A1221" s="85">
        <v>45805.0</v>
      </c>
      <c r="B1221" s="31" t="s">
        <v>4052</v>
      </c>
      <c r="C1221" s="31">
        <v>8.0501153429E11</v>
      </c>
      <c r="D1221" s="31" t="s">
        <v>4053</v>
      </c>
      <c r="E1221" s="31" t="s">
        <v>4054</v>
      </c>
      <c r="F1221" s="31" t="s">
        <v>4055</v>
      </c>
      <c r="G1221" s="31" t="s">
        <v>4056</v>
      </c>
      <c r="H1221" s="31" t="s">
        <v>20</v>
      </c>
      <c r="I1221" s="31">
        <v>4423.0</v>
      </c>
      <c r="J1221" s="31">
        <v>3.874105006E9</v>
      </c>
      <c r="K1221" s="31" t="s">
        <v>3451</v>
      </c>
      <c r="L1221" s="31" t="s">
        <v>3452</v>
      </c>
      <c r="M1221" s="33">
        <v>1.0</v>
      </c>
      <c r="N1221" s="34"/>
      <c r="O1221" s="34"/>
    </row>
    <row r="1222">
      <c r="A1222" s="85">
        <v>45805.0</v>
      </c>
      <c r="B1222" s="31" t="s">
        <v>4052</v>
      </c>
      <c r="C1222" s="31">
        <v>8.0501153429E11</v>
      </c>
      <c r="D1222" s="31" t="s">
        <v>4053</v>
      </c>
      <c r="E1222" s="31" t="s">
        <v>4054</v>
      </c>
      <c r="F1222" s="31" t="s">
        <v>4055</v>
      </c>
      <c r="G1222" s="31" t="s">
        <v>4056</v>
      </c>
      <c r="H1222" s="31" t="s">
        <v>20</v>
      </c>
      <c r="I1222" s="31">
        <v>4423.0</v>
      </c>
      <c r="J1222" s="31">
        <v>3.874105006E9</v>
      </c>
      <c r="K1222" s="31" t="s">
        <v>512</v>
      </c>
      <c r="L1222" s="31" t="s">
        <v>513</v>
      </c>
      <c r="M1222" s="33">
        <v>6.0</v>
      </c>
      <c r="N1222" s="34"/>
      <c r="O1222" s="34"/>
    </row>
    <row r="1223">
      <c r="A1223" s="85">
        <v>45805.0</v>
      </c>
      <c r="B1223" s="31" t="s">
        <v>4052</v>
      </c>
      <c r="C1223" s="31">
        <v>8.0501153429E11</v>
      </c>
      <c r="D1223" s="31" t="s">
        <v>4053</v>
      </c>
      <c r="E1223" s="31" t="s">
        <v>4054</v>
      </c>
      <c r="F1223" s="31" t="s">
        <v>4055</v>
      </c>
      <c r="G1223" s="31" t="s">
        <v>4056</v>
      </c>
      <c r="H1223" s="31" t="s">
        <v>20</v>
      </c>
      <c r="I1223" s="31">
        <v>4423.0</v>
      </c>
      <c r="J1223" s="31">
        <v>3.874105006E9</v>
      </c>
      <c r="K1223" s="31" t="s">
        <v>670</v>
      </c>
      <c r="L1223" s="31" t="s">
        <v>3410</v>
      </c>
      <c r="M1223" s="33">
        <v>1.0</v>
      </c>
      <c r="N1223" s="34"/>
      <c r="O1223" s="34"/>
    </row>
    <row r="1224">
      <c r="A1224" s="85">
        <v>45805.0</v>
      </c>
      <c r="B1224" s="31" t="s">
        <v>4057</v>
      </c>
      <c r="C1224" s="31">
        <v>8.05011534591E11</v>
      </c>
      <c r="D1224" s="31" t="s">
        <v>4058</v>
      </c>
      <c r="E1224" s="31" t="s">
        <v>4059</v>
      </c>
      <c r="F1224" s="31" t="s">
        <v>4060</v>
      </c>
      <c r="G1224" s="31" t="s">
        <v>624</v>
      </c>
      <c r="H1224" s="31" t="s">
        <v>20</v>
      </c>
      <c r="I1224" s="31">
        <v>4403.0</v>
      </c>
      <c r="J1224" s="31">
        <v>3.874683031E9</v>
      </c>
      <c r="K1224" s="31" t="s">
        <v>32</v>
      </c>
      <c r="L1224" s="31" t="s">
        <v>3225</v>
      </c>
      <c r="M1224" s="33">
        <v>1.0</v>
      </c>
      <c r="N1224" s="34"/>
      <c r="O1224" s="34"/>
    </row>
    <row r="1225">
      <c r="A1225" s="85">
        <v>45805.0</v>
      </c>
      <c r="B1225" s="31" t="s">
        <v>4057</v>
      </c>
      <c r="C1225" s="31">
        <v>8.05011534591E11</v>
      </c>
      <c r="D1225" s="31" t="s">
        <v>4058</v>
      </c>
      <c r="E1225" s="31" t="s">
        <v>4059</v>
      </c>
      <c r="F1225" s="31" t="s">
        <v>4060</v>
      </c>
      <c r="G1225" s="31" t="s">
        <v>624</v>
      </c>
      <c r="H1225" s="31" t="s">
        <v>20</v>
      </c>
      <c r="I1225" s="31">
        <v>4403.0</v>
      </c>
      <c r="J1225" s="31">
        <v>3.874683031E9</v>
      </c>
      <c r="K1225" s="31" t="s">
        <v>512</v>
      </c>
      <c r="L1225" s="31" t="s">
        <v>513</v>
      </c>
      <c r="M1225" s="33">
        <v>6.0</v>
      </c>
      <c r="N1225" s="34"/>
      <c r="O1225" s="34"/>
    </row>
    <row r="1226">
      <c r="A1226" s="85">
        <v>45805.0</v>
      </c>
      <c r="B1226" s="31" t="s">
        <v>4057</v>
      </c>
      <c r="C1226" s="31">
        <v>8.05011534591E11</v>
      </c>
      <c r="D1226" s="31" t="s">
        <v>4058</v>
      </c>
      <c r="E1226" s="31" t="s">
        <v>4059</v>
      </c>
      <c r="F1226" s="31" t="s">
        <v>4060</v>
      </c>
      <c r="G1226" s="31" t="s">
        <v>624</v>
      </c>
      <c r="H1226" s="31" t="s">
        <v>20</v>
      </c>
      <c r="I1226" s="31">
        <v>4403.0</v>
      </c>
      <c r="J1226" s="31">
        <v>3.874683031E9</v>
      </c>
      <c r="K1226" s="31" t="s">
        <v>35</v>
      </c>
      <c r="L1226" s="31" t="s">
        <v>3188</v>
      </c>
      <c r="M1226" s="33">
        <v>1.0</v>
      </c>
      <c r="N1226" s="34"/>
      <c r="O1226" s="34"/>
    </row>
    <row r="1227">
      <c r="A1227" s="85">
        <v>45805.0</v>
      </c>
      <c r="B1227" s="31" t="s">
        <v>4061</v>
      </c>
      <c r="C1227" s="31">
        <v>8.07025031106E11</v>
      </c>
      <c r="D1227" s="31" t="s">
        <v>4062</v>
      </c>
      <c r="E1227" s="31" t="s">
        <v>4063</v>
      </c>
      <c r="F1227" s="31" t="s">
        <v>4064</v>
      </c>
      <c r="G1227" s="31" t="s">
        <v>4065</v>
      </c>
      <c r="H1227" s="31" t="s">
        <v>20</v>
      </c>
      <c r="I1227" s="31">
        <v>4400.0</v>
      </c>
      <c r="J1227" s="31">
        <v>3.874570178E9</v>
      </c>
      <c r="K1227" s="31" t="s">
        <v>3054</v>
      </c>
      <c r="L1227" s="31" t="s">
        <v>3346</v>
      </c>
      <c r="M1227" s="33">
        <v>2.0</v>
      </c>
      <c r="N1227" s="34"/>
      <c r="O1227" s="31" t="s">
        <v>2811</v>
      </c>
    </row>
    <row r="1228">
      <c r="A1228" s="85">
        <v>45805.0</v>
      </c>
      <c r="B1228" s="31" t="s">
        <v>4066</v>
      </c>
      <c r="C1228" s="31">
        <v>8.07025031114E11</v>
      </c>
      <c r="D1228" s="31" t="s">
        <v>4067</v>
      </c>
      <c r="E1228" s="31" t="s">
        <v>4068</v>
      </c>
      <c r="F1228" s="31" t="s">
        <v>4069</v>
      </c>
      <c r="G1228" s="31" t="s">
        <v>127</v>
      </c>
      <c r="H1228" s="31" t="s">
        <v>20</v>
      </c>
      <c r="I1228" s="31">
        <v>4400.0</v>
      </c>
      <c r="J1228" s="31">
        <v>3.874040555E9</v>
      </c>
      <c r="K1228" s="31" t="s">
        <v>4070</v>
      </c>
      <c r="L1228" s="31" t="s">
        <v>4071</v>
      </c>
      <c r="M1228" s="33">
        <v>1.0</v>
      </c>
      <c r="N1228" s="34"/>
      <c r="O1228" s="31" t="s">
        <v>4072</v>
      </c>
    </row>
    <row r="1229">
      <c r="A1229" s="85">
        <v>45805.0</v>
      </c>
      <c r="B1229" s="31" t="s">
        <v>4066</v>
      </c>
      <c r="C1229" s="31">
        <v>8.07025031114E11</v>
      </c>
      <c r="D1229" s="31" t="s">
        <v>4067</v>
      </c>
      <c r="E1229" s="31" t="s">
        <v>4068</v>
      </c>
      <c r="F1229" s="31" t="s">
        <v>4069</v>
      </c>
      <c r="G1229" s="31" t="s">
        <v>127</v>
      </c>
      <c r="H1229" s="31" t="s">
        <v>20</v>
      </c>
      <c r="I1229" s="31">
        <v>4400.0</v>
      </c>
      <c r="J1229" s="31">
        <v>3.874040555E9</v>
      </c>
      <c r="K1229" s="31" t="s">
        <v>2956</v>
      </c>
      <c r="L1229" s="31" t="s">
        <v>3327</v>
      </c>
      <c r="M1229" s="33">
        <v>1.0</v>
      </c>
      <c r="N1229" s="34"/>
      <c r="O1229" s="31" t="s">
        <v>4072</v>
      </c>
    </row>
    <row r="1230">
      <c r="A1230" s="85">
        <v>45805.0</v>
      </c>
      <c r="B1230" s="31" t="s">
        <v>4066</v>
      </c>
      <c r="C1230" s="31">
        <v>8.07025031114E11</v>
      </c>
      <c r="D1230" s="31" t="s">
        <v>4067</v>
      </c>
      <c r="E1230" s="31" t="s">
        <v>4068</v>
      </c>
      <c r="F1230" s="31" t="s">
        <v>4069</v>
      </c>
      <c r="G1230" s="31" t="s">
        <v>127</v>
      </c>
      <c r="H1230" s="31" t="s">
        <v>20</v>
      </c>
      <c r="I1230" s="31">
        <v>4400.0</v>
      </c>
      <c r="J1230" s="31">
        <v>3.874040555E9</v>
      </c>
      <c r="K1230" s="31" t="s">
        <v>512</v>
      </c>
      <c r="L1230" s="31" t="s">
        <v>513</v>
      </c>
      <c r="M1230" s="33">
        <v>6.0</v>
      </c>
      <c r="N1230" s="34"/>
      <c r="O1230" s="31" t="s">
        <v>4072</v>
      </c>
    </row>
    <row r="1231">
      <c r="A1231" s="85">
        <v>45805.0</v>
      </c>
      <c r="B1231" s="31" t="s">
        <v>4066</v>
      </c>
      <c r="C1231" s="31">
        <v>8.07025031114E11</v>
      </c>
      <c r="D1231" s="31" t="s">
        <v>4067</v>
      </c>
      <c r="E1231" s="31" t="s">
        <v>4068</v>
      </c>
      <c r="F1231" s="31" t="s">
        <v>4069</v>
      </c>
      <c r="G1231" s="31" t="s">
        <v>127</v>
      </c>
      <c r="H1231" s="31" t="s">
        <v>20</v>
      </c>
      <c r="I1231" s="31">
        <v>4400.0</v>
      </c>
      <c r="J1231" s="31">
        <v>3.874040555E9</v>
      </c>
      <c r="K1231" s="31" t="s">
        <v>670</v>
      </c>
      <c r="L1231" s="31" t="s">
        <v>3410</v>
      </c>
      <c r="M1231" s="33">
        <v>1.0</v>
      </c>
      <c r="N1231" s="34"/>
      <c r="O1231" s="31" t="s">
        <v>4072</v>
      </c>
    </row>
    <row r="1232">
      <c r="A1232" s="85">
        <v>45805.0</v>
      </c>
      <c r="B1232" s="31" t="s">
        <v>4073</v>
      </c>
      <c r="C1232" s="31">
        <v>8.07025031118E11</v>
      </c>
      <c r="D1232" s="31" t="s">
        <v>4074</v>
      </c>
      <c r="E1232" s="31" t="s">
        <v>4075</v>
      </c>
      <c r="F1232" s="31" t="s">
        <v>4076</v>
      </c>
      <c r="G1232" s="31" t="s">
        <v>1529</v>
      </c>
      <c r="H1232" s="31" t="s">
        <v>20</v>
      </c>
      <c r="I1232" s="31">
        <v>4400.0</v>
      </c>
      <c r="J1232" s="31">
        <v>3.87614829E9</v>
      </c>
      <c r="K1232" s="31" t="s">
        <v>3313</v>
      </c>
      <c r="L1232" s="31" t="s">
        <v>3314</v>
      </c>
      <c r="M1232" s="33">
        <v>1.0</v>
      </c>
      <c r="N1232" s="34"/>
      <c r="O1232" s="31" t="s">
        <v>1746</v>
      </c>
    </row>
    <row r="1233">
      <c r="A1233" s="85">
        <v>45805.0</v>
      </c>
      <c r="B1233" s="31" t="s">
        <v>4073</v>
      </c>
      <c r="C1233" s="31">
        <v>8.07025031118E11</v>
      </c>
      <c r="D1233" s="31" t="s">
        <v>4074</v>
      </c>
      <c r="E1233" s="31" t="s">
        <v>4075</v>
      </c>
      <c r="F1233" s="31" t="s">
        <v>4076</v>
      </c>
      <c r="G1233" s="31" t="s">
        <v>1529</v>
      </c>
      <c r="H1233" s="31" t="s">
        <v>20</v>
      </c>
      <c r="I1233" s="31">
        <v>4400.0</v>
      </c>
      <c r="J1233" s="31">
        <v>3.87614829E9</v>
      </c>
      <c r="K1233" s="31" t="s">
        <v>3797</v>
      </c>
      <c r="L1233" s="31" t="s">
        <v>3798</v>
      </c>
      <c r="M1233" s="33">
        <v>1.0</v>
      </c>
      <c r="N1233" s="34"/>
      <c r="O1233" s="31" t="s">
        <v>1746</v>
      </c>
    </row>
    <row r="1234">
      <c r="A1234" s="85">
        <v>45805.0</v>
      </c>
      <c r="B1234" s="31" t="s">
        <v>4077</v>
      </c>
      <c r="C1234" s="31">
        <v>8.07025031187E11</v>
      </c>
      <c r="D1234" s="31" t="s">
        <v>4078</v>
      </c>
      <c r="E1234" s="31" t="s">
        <v>4079</v>
      </c>
      <c r="F1234" s="31" t="s">
        <v>4080</v>
      </c>
      <c r="G1234" s="31" t="s">
        <v>4041</v>
      </c>
      <c r="H1234" s="31" t="s">
        <v>20</v>
      </c>
      <c r="I1234" s="31">
        <v>4400.0</v>
      </c>
      <c r="J1234" s="31">
        <v>3.875298666E9</v>
      </c>
      <c r="K1234" s="31" t="s">
        <v>2956</v>
      </c>
      <c r="L1234" s="31" t="s">
        <v>3327</v>
      </c>
      <c r="M1234" s="33">
        <v>1.0</v>
      </c>
      <c r="N1234" s="34"/>
      <c r="O1234" s="31" t="s">
        <v>4081</v>
      </c>
    </row>
    <row r="1235">
      <c r="A1235" s="85">
        <v>45805.0</v>
      </c>
      <c r="B1235" s="31" t="s">
        <v>4082</v>
      </c>
      <c r="C1235" s="31">
        <v>8.07126014886E11</v>
      </c>
      <c r="D1235" s="31" t="s">
        <v>4083</v>
      </c>
      <c r="E1235" s="31" t="s">
        <v>4084</v>
      </c>
      <c r="F1235" s="31" t="s">
        <v>4085</v>
      </c>
      <c r="G1235" s="31" t="s">
        <v>116</v>
      </c>
      <c r="H1235" s="31" t="s">
        <v>20</v>
      </c>
      <c r="I1235" s="31" t="s">
        <v>4086</v>
      </c>
      <c r="J1235" s="31">
        <v>1.141727904E9</v>
      </c>
      <c r="K1235" s="31" t="s">
        <v>4087</v>
      </c>
      <c r="L1235" s="31" t="s">
        <v>4088</v>
      </c>
      <c r="M1235" s="33">
        <v>1.0</v>
      </c>
      <c r="N1235" s="34"/>
      <c r="O1235" s="31" t="s">
        <v>4089</v>
      </c>
    </row>
    <row r="1236">
      <c r="A1236" s="85">
        <v>45805.0</v>
      </c>
      <c r="B1236" s="31" t="s">
        <v>4090</v>
      </c>
      <c r="C1236" s="31">
        <v>8.07126014887E11</v>
      </c>
      <c r="D1236" s="31" t="s">
        <v>4083</v>
      </c>
      <c r="E1236" s="31" t="s">
        <v>4084</v>
      </c>
      <c r="F1236" s="31" t="s">
        <v>4085</v>
      </c>
      <c r="G1236" s="31" t="s">
        <v>116</v>
      </c>
      <c r="H1236" s="31" t="s">
        <v>20</v>
      </c>
      <c r="I1236" s="31" t="s">
        <v>4086</v>
      </c>
      <c r="J1236" s="31">
        <v>1.141727904E9</v>
      </c>
      <c r="K1236" s="31" t="s">
        <v>659</v>
      </c>
      <c r="L1236" s="31" t="s">
        <v>3468</v>
      </c>
      <c r="M1236" s="33">
        <v>1.0</v>
      </c>
      <c r="N1236" s="34"/>
      <c r="O1236" s="31" t="s">
        <v>4089</v>
      </c>
    </row>
    <row r="1237">
      <c r="A1237" s="85">
        <v>45805.0</v>
      </c>
      <c r="B1237" s="31" t="s">
        <v>4091</v>
      </c>
      <c r="C1237" s="31">
        <v>8.05011533968E11</v>
      </c>
      <c r="D1237" s="31" t="s">
        <v>4092</v>
      </c>
      <c r="E1237" s="31" t="s">
        <v>4093</v>
      </c>
      <c r="F1237" s="31" t="s">
        <v>4094</v>
      </c>
      <c r="G1237" s="31" t="s">
        <v>104</v>
      </c>
      <c r="H1237" s="31" t="s">
        <v>20</v>
      </c>
      <c r="I1237" s="31">
        <v>4400.0</v>
      </c>
      <c r="J1237" s="31">
        <v>3.874625723E9</v>
      </c>
      <c r="K1237" s="31" t="s">
        <v>812</v>
      </c>
      <c r="L1237" s="31" t="s">
        <v>3564</v>
      </c>
      <c r="M1237" s="33">
        <v>1.0</v>
      </c>
      <c r="N1237" s="34"/>
      <c r="O1237" s="31">
        <v>1.0</v>
      </c>
    </row>
    <row r="1238">
      <c r="A1238" s="85">
        <v>45805.0</v>
      </c>
      <c r="B1238" s="31" t="s">
        <v>4095</v>
      </c>
      <c r="C1238" s="31">
        <v>8.07025031227E11</v>
      </c>
      <c r="D1238" s="31" t="s">
        <v>4096</v>
      </c>
      <c r="E1238" s="31" t="s">
        <v>4097</v>
      </c>
      <c r="F1238" s="31" t="s">
        <v>4098</v>
      </c>
      <c r="G1238" s="31" t="s">
        <v>4041</v>
      </c>
      <c r="H1238" s="31" t="s">
        <v>20</v>
      </c>
      <c r="I1238" s="31">
        <v>4400.0</v>
      </c>
      <c r="J1238" s="31">
        <v>3.875387028E9</v>
      </c>
      <c r="K1238" s="31" t="s">
        <v>2956</v>
      </c>
      <c r="L1238" s="31" t="s">
        <v>3327</v>
      </c>
      <c r="M1238" s="33">
        <v>1.0</v>
      </c>
      <c r="N1238" s="34"/>
      <c r="O1238" s="31" t="s">
        <v>4099</v>
      </c>
    </row>
    <row r="1239">
      <c r="A1239" s="85">
        <v>45805.0</v>
      </c>
      <c r="B1239" s="31" t="s">
        <v>4095</v>
      </c>
      <c r="C1239" s="31">
        <v>8.07025031227E11</v>
      </c>
      <c r="D1239" s="31" t="s">
        <v>4096</v>
      </c>
      <c r="E1239" s="31" t="s">
        <v>4097</v>
      </c>
      <c r="F1239" s="31" t="s">
        <v>4098</v>
      </c>
      <c r="G1239" s="31" t="s">
        <v>4041</v>
      </c>
      <c r="H1239" s="31" t="s">
        <v>20</v>
      </c>
      <c r="I1239" s="31">
        <v>4400.0</v>
      </c>
      <c r="J1239" s="31">
        <v>3.875387028E9</v>
      </c>
      <c r="K1239" s="31" t="s">
        <v>512</v>
      </c>
      <c r="L1239" s="31" t="s">
        <v>513</v>
      </c>
      <c r="M1239" s="33">
        <v>6.0</v>
      </c>
      <c r="N1239" s="34"/>
      <c r="O1239" s="31" t="s">
        <v>4099</v>
      </c>
    </row>
    <row r="1240">
      <c r="A1240" s="85">
        <v>45805.0</v>
      </c>
      <c r="B1240" s="31" t="s">
        <v>4095</v>
      </c>
      <c r="C1240" s="31">
        <v>8.07025031227E11</v>
      </c>
      <c r="D1240" s="31" t="s">
        <v>4096</v>
      </c>
      <c r="E1240" s="31" t="s">
        <v>4097</v>
      </c>
      <c r="F1240" s="31" t="s">
        <v>4098</v>
      </c>
      <c r="G1240" s="31" t="s">
        <v>4041</v>
      </c>
      <c r="H1240" s="31" t="s">
        <v>20</v>
      </c>
      <c r="I1240" s="31">
        <v>4400.0</v>
      </c>
      <c r="J1240" s="31">
        <v>3.875387028E9</v>
      </c>
      <c r="K1240" s="31" t="s">
        <v>670</v>
      </c>
      <c r="L1240" s="31" t="s">
        <v>3410</v>
      </c>
      <c r="M1240" s="33">
        <v>1.0</v>
      </c>
      <c r="N1240" s="34"/>
      <c r="O1240" s="31" t="s">
        <v>4099</v>
      </c>
    </row>
    <row r="1241">
      <c r="A1241" s="85">
        <v>45805.0</v>
      </c>
      <c r="B1241" s="31" t="s">
        <v>4100</v>
      </c>
      <c r="C1241" s="31">
        <v>8.07025031236E11</v>
      </c>
      <c r="D1241" s="31" t="s">
        <v>4101</v>
      </c>
      <c r="E1241" s="31" t="s">
        <v>4102</v>
      </c>
      <c r="F1241" s="31" t="s">
        <v>4103</v>
      </c>
      <c r="G1241" s="31" t="s">
        <v>4041</v>
      </c>
      <c r="H1241" s="31" t="s">
        <v>20</v>
      </c>
      <c r="I1241" s="31">
        <v>4400.0</v>
      </c>
      <c r="J1241" s="31">
        <v>3.874520017E9</v>
      </c>
      <c r="K1241" s="31" t="s">
        <v>3098</v>
      </c>
      <c r="L1241" s="31" t="s">
        <v>4104</v>
      </c>
      <c r="M1241" s="33">
        <v>1.0</v>
      </c>
      <c r="N1241" s="34"/>
      <c r="O1241" s="31" t="s">
        <v>4105</v>
      </c>
    </row>
    <row r="1242">
      <c r="A1242" s="85">
        <v>45805.0</v>
      </c>
      <c r="B1242" s="31" t="s">
        <v>4106</v>
      </c>
      <c r="C1242" s="31">
        <v>8.05011535221E11</v>
      </c>
      <c r="D1242" s="31" t="s">
        <v>4107</v>
      </c>
      <c r="E1242" s="31" t="s">
        <v>4108</v>
      </c>
      <c r="F1242" s="31" t="s">
        <v>4109</v>
      </c>
      <c r="G1242" s="31" t="s">
        <v>2919</v>
      </c>
      <c r="H1242" s="31" t="s">
        <v>20</v>
      </c>
      <c r="I1242" s="31">
        <v>4566.0</v>
      </c>
      <c r="J1242" s="31" t="s">
        <v>4110</v>
      </c>
      <c r="K1242" s="31" t="s">
        <v>512</v>
      </c>
      <c r="L1242" s="31" t="s">
        <v>513</v>
      </c>
      <c r="M1242" s="33">
        <v>6.0</v>
      </c>
      <c r="N1242" s="34"/>
      <c r="O1242" s="34"/>
    </row>
    <row r="1243">
      <c r="A1243" s="85">
        <v>45805.0</v>
      </c>
      <c r="B1243" s="31" t="s">
        <v>4106</v>
      </c>
      <c r="C1243" s="31">
        <v>8.05011535221E11</v>
      </c>
      <c r="D1243" s="31" t="s">
        <v>4107</v>
      </c>
      <c r="E1243" s="31" t="s">
        <v>4108</v>
      </c>
      <c r="F1243" s="31" t="s">
        <v>4109</v>
      </c>
      <c r="G1243" s="31" t="s">
        <v>2919</v>
      </c>
      <c r="H1243" s="31" t="s">
        <v>20</v>
      </c>
      <c r="I1243" s="31">
        <v>4566.0</v>
      </c>
      <c r="J1243" s="31" t="s">
        <v>4110</v>
      </c>
      <c r="K1243" s="31" t="s">
        <v>98</v>
      </c>
      <c r="L1243" s="31" t="s">
        <v>3187</v>
      </c>
      <c r="M1243" s="33">
        <v>1.0</v>
      </c>
      <c r="N1243" s="34"/>
      <c r="O1243" s="34"/>
    </row>
    <row r="1244">
      <c r="A1244" s="85">
        <v>45805.0</v>
      </c>
      <c r="B1244" s="31" t="s">
        <v>4106</v>
      </c>
      <c r="C1244" s="31">
        <v>8.05011535221E11</v>
      </c>
      <c r="D1244" s="31" t="s">
        <v>4107</v>
      </c>
      <c r="E1244" s="31" t="s">
        <v>4108</v>
      </c>
      <c r="F1244" s="31" t="s">
        <v>4109</v>
      </c>
      <c r="G1244" s="31" t="s">
        <v>2919</v>
      </c>
      <c r="H1244" s="31" t="s">
        <v>20</v>
      </c>
      <c r="I1244" s="31">
        <v>4566.0</v>
      </c>
      <c r="J1244" s="31" t="s">
        <v>4110</v>
      </c>
      <c r="K1244" s="31" t="s">
        <v>35</v>
      </c>
      <c r="L1244" s="31" t="s">
        <v>3188</v>
      </c>
      <c r="M1244" s="33">
        <v>1.0</v>
      </c>
      <c r="N1244" s="34"/>
      <c r="O1244" s="34"/>
    </row>
    <row r="1245">
      <c r="A1245" s="85">
        <v>45805.0</v>
      </c>
      <c r="B1245" s="31" t="s">
        <v>4111</v>
      </c>
      <c r="C1245" s="31">
        <v>8.07025031222E11</v>
      </c>
      <c r="D1245" s="31" t="s">
        <v>3272</v>
      </c>
      <c r="E1245" s="31" t="s">
        <v>3273</v>
      </c>
      <c r="F1245" s="31" t="s">
        <v>3274</v>
      </c>
      <c r="G1245" s="31" t="s">
        <v>104</v>
      </c>
      <c r="H1245" s="31" t="s">
        <v>20</v>
      </c>
      <c r="I1245" s="31">
        <v>4401.0</v>
      </c>
      <c r="J1245" s="31">
        <v>4235544.0</v>
      </c>
      <c r="K1245" s="31" t="s">
        <v>3623</v>
      </c>
      <c r="L1245" s="31" t="s">
        <v>3624</v>
      </c>
      <c r="M1245" s="33">
        <v>9.0</v>
      </c>
      <c r="N1245" s="34"/>
      <c r="O1245" s="31" t="s">
        <v>3279</v>
      </c>
    </row>
    <row r="1246">
      <c r="A1246" s="85">
        <v>45805.0</v>
      </c>
      <c r="B1246" s="31" t="s">
        <v>4112</v>
      </c>
      <c r="C1246" s="31">
        <v>8.07025031309E11</v>
      </c>
      <c r="D1246" s="31" t="s">
        <v>3272</v>
      </c>
      <c r="E1246" s="31" t="s">
        <v>3273</v>
      </c>
      <c r="F1246" s="31" t="s">
        <v>3274</v>
      </c>
      <c r="G1246" s="31" t="s">
        <v>104</v>
      </c>
      <c r="H1246" s="31" t="s">
        <v>20</v>
      </c>
      <c r="I1246" s="31">
        <v>4401.0</v>
      </c>
      <c r="J1246" s="31">
        <v>4235544.0</v>
      </c>
      <c r="K1246" s="31" t="s">
        <v>3623</v>
      </c>
      <c r="L1246" s="31" t="s">
        <v>3624</v>
      </c>
      <c r="M1246" s="33">
        <v>1.0</v>
      </c>
      <c r="N1246" s="34"/>
      <c r="O1246" s="31" t="s">
        <v>3279</v>
      </c>
    </row>
    <row r="1247" ht="8.25" customHeight="1">
      <c r="A1247" s="87"/>
      <c r="B1247" s="88"/>
      <c r="C1247" s="88"/>
      <c r="D1247" s="88"/>
      <c r="E1247" s="88"/>
      <c r="F1247" s="88"/>
      <c r="G1247" s="88"/>
      <c r="H1247" s="88"/>
      <c r="I1247" s="88"/>
      <c r="J1247" s="88"/>
      <c r="K1247" s="88"/>
      <c r="L1247" s="88"/>
      <c r="M1247" s="89"/>
      <c r="N1247" s="90"/>
      <c r="O1247" s="90"/>
    </row>
    <row r="1248">
      <c r="A1248" s="85">
        <v>45811.0</v>
      </c>
      <c r="B1248" s="31" t="s">
        <v>4113</v>
      </c>
      <c r="C1248" s="31">
        <v>8.07025030831E11</v>
      </c>
      <c r="D1248" s="31" t="s">
        <v>4114</v>
      </c>
      <c r="E1248" s="31" t="s">
        <v>4115</v>
      </c>
      <c r="F1248" s="31" t="s">
        <v>4116</v>
      </c>
      <c r="G1248" s="31" t="s">
        <v>116</v>
      </c>
      <c r="H1248" s="31" t="s">
        <v>20</v>
      </c>
      <c r="I1248" s="31">
        <v>4400.0</v>
      </c>
      <c r="J1248" s="31">
        <v>3.875971303E9</v>
      </c>
      <c r="K1248" s="31" t="s">
        <v>4117</v>
      </c>
      <c r="L1248" s="31" t="s">
        <v>4118</v>
      </c>
      <c r="M1248" s="33">
        <v>1.0</v>
      </c>
      <c r="N1248" s="34"/>
      <c r="O1248" s="31" t="s">
        <v>1734</v>
      </c>
    </row>
    <row r="1249">
      <c r="A1249" s="85">
        <v>45811.0</v>
      </c>
      <c r="B1249" s="31" t="s">
        <v>4119</v>
      </c>
      <c r="C1249" s="31">
        <v>8.06015091811E11</v>
      </c>
      <c r="D1249" s="31" t="s">
        <v>4120</v>
      </c>
      <c r="E1249" s="31" t="s">
        <v>4121</v>
      </c>
      <c r="F1249" s="31" t="s">
        <v>4122</v>
      </c>
      <c r="G1249" s="31" t="s">
        <v>247</v>
      </c>
      <c r="H1249" s="31" t="s">
        <v>20</v>
      </c>
      <c r="I1249" s="31">
        <v>4400.0</v>
      </c>
      <c r="J1249" s="31">
        <v>3.8757114E9</v>
      </c>
      <c r="K1249" s="31" t="s">
        <v>3162</v>
      </c>
      <c r="L1249" s="31" t="s">
        <v>3885</v>
      </c>
      <c r="M1249" s="33">
        <v>1.0</v>
      </c>
      <c r="N1249" s="34"/>
      <c r="O1249" s="31" t="s">
        <v>4123</v>
      </c>
    </row>
    <row r="1250">
      <c r="A1250" s="85">
        <v>45811.0</v>
      </c>
      <c r="B1250" s="31" t="s">
        <v>4124</v>
      </c>
      <c r="C1250" s="31">
        <v>8.07025031283E11</v>
      </c>
      <c r="D1250" s="31" t="s">
        <v>4125</v>
      </c>
      <c r="E1250" s="31" t="s">
        <v>4126</v>
      </c>
      <c r="F1250" s="31" t="s">
        <v>4127</v>
      </c>
      <c r="G1250" s="31" t="s">
        <v>116</v>
      </c>
      <c r="H1250" s="31" t="s">
        <v>20</v>
      </c>
      <c r="I1250" s="31">
        <v>4400.0</v>
      </c>
      <c r="J1250" s="31">
        <v>3.874825821E9</v>
      </c>
      <c r="K1250" s="31" t="s">
        <v>3313</v>
      </c>
      <c r="L1250" s="31" t="s">
        <v>3314</v>
      </c>
      <c r="M1250" s="33">
        <v>1.0</v>
      </c>
      <c r="N1250" s="34"/>
      <c r="O1250" s="31" t="s">
        <v>1746</v>
      </c>
    </row>
    <row r="1251">
      <c r="A1251" s="85">
        <v>45811.0</v>
      </c>
      <c r="B1251" s="31" t="s">
        <v>4124</v>
      </c>
      <c r="C1251" s="31">
        <v>8.07025031283E11</v>
      </c>
      <c r="D1251" s="31" t="s">
        <v>4125</v>
      </c>
      <c r="E1251" s="31" t="s">
        <v>4126</v>
      </c>
      <c r="F1251" s="31" t="s">
        <v>4127</v>
      </c>
      <c r="G1251" s="31" t="s">
        <v>116</v>
      </c>
      <c r="H1251" s="31" t="s">
        <v>20</v>
      </c>
      <c r="I1251" s="31">
        <v>4400.0</v>
      </c>
      <c r="J1251" s="31">
        <v>3.874825821E9</v>
      </c>
      <c r="K1251" s="31" t="s">
        <v>3797</v>
      </c>
      <c r="L1251" s="31" t="s">
        <v>3798</v>
      </c>
      <c r="M1251" s="33">
        <v>1.0</v>
      </c>
      <c r="N1251" s="34"/>
      <c r="O1251" s="31" t="s">
        <v>1746</v>
      </c>
    </row>
    <row r="1252">
      <c r="A1252" s="85">
        <v>45811.0</v>
      </c>
      <c r="B1252" s="31" t="s">
        <v>4128</v>
      </c>
      <c r="C1252" s="31">
        <v>8.07025031174E11</v>
      </c>
      <c r="D1252" s="31" t="s">
        <v>4129</v>
      </c>
      <c r="E1252" s="31" t="s">
        <v>4130</v>
      </c>
      <c r="F1252" s="31" t="s">
        <v>4131</v>
      </c>
      <c r="G1252" s="31" t="s">
        <v>4132</v>
      </c>
      <c r="H1252" s="31" t="s">
        <v>20</v>
      </c>
      <c r="I1252" s="31">
        <v>4400.0</v>
      </c>
      <c r="J1252" s="31">
        <v>3.875078282E9</v>
      </c>
      <c r="K1252" s="31" t="s">
        <v>4133</v>
      </c>
      <c r="L1252" s="31" t="s">
        <v>4134</v>
      </c>
      <c r="M1252" s="33">
        <v>2.0</v>
      </c>
      <c r="N1252" s="34"/>
      <c r="O1252" s="34"/>
    </row>
    <row r="1253">
      <c r="A1253" s="85">
        <v>45811.0</v>
      </c>
      <c r="B1253" s="31" t="s">
        <v>4128</v>
      </c>
      <c r="C1253" s="31">
        <v>8.07025031174E11</v>
      </c>
      <c r="D1253" s="31" t="s">
        <v>4129</v>
      </c>
      <c r="E1253" s="31" t="s">
        <v>4130</v>
      </c>
      <c r="F1253" s="31" t="s">
        <v>4131</v>
      </c>
      <c r="G1253" s="31" t="s">
        <v>4132</v>
      </c>
      <c r="H1253" s="31" t="s">
        <v>20</v>
      </c>
      <c r="I1253" s="31">
        <v>4400.0</v>
      </c>
      <c r="J1253" s="31">
        <v>3.875078282E9</v>
      </c>
      <c r="K1253" s="31" t="s">
        <v>512</v>
      </c>
      <c r="L1253" s="31" t="s">
        <v>513</v>
      </c>
      <c r="M1253" s="33">
        <v>24.0</v>
      </c>
      <c r="N1253" s="34"/>
      <c r="O1253" s="34"/>
    </row>
    <row r="1254">
      <c r="A1254" s="85">
        <v>45811.0</v>
      </c>
      <c r="B1254" s="31" t="s">
        <v>4128</v>
      </c>
      <c r="C1254" s="31">
        <v>8.07025031174E11</v>
      </c>
      <c r="D1254" s="31" t="s">
        <v>4129</v>
      </c>
      <c r="E1254" s="31" t="s">
        <v>4130</v>
      </c>
      <c r="F1254" s="31" t="s">
        <v>4131</v>
      </c>
      <c r="G1254" s="31" t="s">
        <v>4132</v>
      </c>
      <c r="H1254" s="31" t="s">
        <v>20</v>
      </c>
      <c r="I1254" s="31">
        <v>4400.0</v>
      </c>
      <c r="J1254" s="31">
        <v>3.875078282E9</v>
      </c>
      <c r="K1254" s="31" t="s">
        <v>340</v>
      </c>
      <c r="L1254" s="31" t="s">
        <v>3486</v>
      </c>
      <c r="M1254" s="33">
        <v>4.0</v>
      </c>
      <c r="N1254" s="34"/>
      <c r="O1254" s="34"/>
    </row>
    <row r="1255">
      <c r="A1255" s="85">
        <v>45811.0</v>
      </c>
      <c r="B1255" s="31" t="s">
        <v>4135</v>
      </c>
      <c r="C1255" s="31">
        <v>8.07025031205E11</v>
      </c>
      <c r="D1255" s="31" t="s">
        <v>4136</v>
      </c>
      <c r="E1255" s="31" t="s">
        <v>4137</v>
      </c>
      <c r="F1255" s="31" t="s">
        <v>4138</v>
      </c>
      <c r="G1255" s="31" t="s">
        <v>127</v>
      </c>
      <c r="H1255" s="31" t="s">
        <v>20</v>
      </c>
      <c r="I1255" s="31">
        <v>4400.0</v>
      </c>
      <c r="J1255" s="31">
        <v>3.874814854E9</v>
      </c>
      <c r="K1255" s="31" t="s">
        <v>512</v>
      </c>
      <c r="L1255" s="31" t="s">
        <v>513</v>
      </c>
      <c r="M1255" s="33">
        <v>12.0</v>
      </c>
      <c r="N1255" s="34"/>
      <c r="O1255" s="31" t="s">
        <v>4139</v>
      </c>
    </row>
    <row r="1256">
      <c r="A1256" s="85">
        <v>45811.0</v>
      </c>
      <c r="B1256" s="31" t="s">
        <v>4140</v>
      </c>
      <c r="C1256" s="31">
        <v>8.07025031322E11</v>
      </c>
      <c r="D1256" s="31" t="s">
        <v>4141</v>
      </c>
      <c r="E1256" s="31" t="s">
        <v>4142</v>
      </c>
      <c r="F1256" s="31" t="s">
        <v>4143</v>
      </c>
      <c r="G1256" s="31" t="s">
        <v>4041</v>
      </c>
      <c r="H1256" s="31" t="s">
        <v>20</v>
      </c>
      <c r="I1256" s="31">
        <v>4400.0</v>
      </c>
      <c r="J1256" s="31">
        <v>3.876034649E9</v>
      </c>
      <c r="K1256" s="31" t="s">
        <v>2965</v>
      </c>
      <c r="L1256" s="31" t="s">
        <v>3255</v>
      </c>
      <c r="M1256" s="33">
        <v>1.0</v>
      </c>
      <c r="N1256" s="34"/>
      <c r="O1256" s="31" t="s">
        <v>1734</v>
      </c>
    </row>
    <row r="1257">
      <c r="A1257" s="85">
        <v>45811.0</v>
      </c>
      <c r="B1257" s="31" t="s">
        <v>4140</v>
      </c>
      <c r="C1257" s="31">
        <v>8.07025031322E11</v>
      </c>
      <c r="D1257" s="31" t="s">
        <v>4141</v>
      </c>
      <c r="E1257" s="31" t="s">
        <v>4142</v>
      </c>
      <c r="F1257" s="31" t="s">
        <v>4143</v>
      </c>
      <c r="G1257" s="31" t="s">
        <v>4041</v>
      </c>
      <c r="H1257" s="31" t="s">
        <v>20</v>
      </c>
      <c r="I1257" s="31">
        <v>4400.0</v>
      </c>
      <c r="J1257" s="31">
        <v>3.876034649E9</v>
      </c>
      <c r="K1257" s="31" t="s">
        <v>512</v>
      </c>
      <c r="L1257" s="31" t="s">
        <v>513</v>
      </c>
      <c r="M1257" s="33">
        <v>12.0</v>
      </c>
      <c r="N1257" s="34"/>
      <c r="O1257" s="31" t="s">
        <v>1734</v>
      </c>
    </row>
    <row r="1258">
      <c r="A1258" s="85">
        <v>45811.0</v>
      </c>
      <c r="B1258" s="31" t="s">
        <v>4140</v>
      </c>
      <c r="C1258" s="31">
        <v>8.07025031322E11</v>
      </c>
      <c r="D1258" s="31" t="s">
        <v>4141</v>
      </c>
      <c r="E1258" s="31" t="s">
        <v>4142</v>
      </c>
      <c r="F1258" s="31" t="s">
        <v>4143</v>
      </c>
      <c r="G1258" s="31" t="s">
        <v>4041</v>
      </c>
      <c r="H1258" s="31" t="s">
        <v>20</v>
      </c>
      <c r="I1258" s="31">
        <v>4400.0</v>
      </c>
      <c r="J1258" s="31">
        <v>3.876034649E9</v>
      </c>
      <c r="K1258" s="31" t="s">
        <v>645</v>
      </c>
      <c r="L1258" s="31" t="s">
        <v>3253</v>
      </c>
      <c r="M1258" s="33">
        <v>2.0</v>
      </c>
      <c r="N1258" s="34"/>
      <c r="O1258" s="31" t="s">
        <v>1734</v>
      </c>
    </row>
    <row r="1259">
      <c r="A1259" s="85">
        <v>45811.0</v>
      </c>
      <c r="B1259" s="31" t="s">
        <v>4144</v>
      </c>
      <c r="C1259" s="31">
        <v>8.05011535803E11</v>
      </c>
      <c r="D1259" s="31" t="s">
        <v>4145</v>
      </c>
      <c r="E1259" s="31" t="s">
        <v>4146</v>
      </c>
      <c r="F1259" s="31" t="s">
        <v>4147</v>
      </c>
      <c r="G1259" s="31" t="s">
        <v>20</v>
      </c>
      <c r="H1259" s="31" t="s">
        <v>20</v>
      </c>
      <c r="I1259" s="31">
        <v>4400.0</v>
      </c>
      <c r="J1259" s="31"/>
      <c r="K1259" s="31" t="s">
        <v>541</v>
      </c>
      <c r="L1259" s="31" t="s">
        <v>3947</v>
      </c>
      <c r="M1259" s="33">
        <v>1.0</v>
      </c>
      <c r="N1259" s="34"/>
      <c r="O1259" s="34"/>
    </row>
    <row r="1260">
      <c r="A1260" s="85">
        <v>45811.0</v>
      </c>
      <c r="B1260" s="31" t="s">
        <v>4148</v>
      </c>
      <c r="C1260" s="31">
        <v>8.07025031207E11</v>
      </c>
      <c r="D1260" s="31" t="s">
        <v>4136</v>
      </c>
      <c r="E1260" s="31" t="s">
        <v>4137</v>
      </c>
      <c r="F1260" s="31" t="s">
        <v>4138</v>
      </c>
      <c r="G1260" s="31" t="s">
        <v>127</v>
      </c>
      <c r="H1260" s="31" t="s">
        <v>20</v>
      </c>
      <c r="I1260" s="31">
        <v>4400.0</v>
      </c>
      <c r="J1260" s="31">
        <v>3.874814854E9</v>
      </c>
      <c r="K1260" s="31" t="s">
        <v>3054</v>
      </c>
      <c r="L1260" s="31" t="s">
        <v>3346</v>
      </c>
      <c r="M1260" s="33">
        <v>2.0</v>
      </c>
      <c r="N1260" s="34"/>
      <c r="O1260" s="31" t="s">
        <v>4139</v>
      </c>
    </row>
    <row r="1261">
      <c r="A1261" s="85">
        <v>45811.0</v>
      </c>
      <c r="B1261" s="31" t="s">
        <v>4148</v>
      </c>
      <c r="C1261" s="31">
        <v>8.07025031207E11</v>
      </c>
      <c r="D1261" s="31" t="s">
        <v>4136</v>
      </c>
      <c r="E1261" s="31" t="s">
        <v>4137</v>
      </c>
      <c r="F1261" s="31" t="s">
        <v>4138</v>
      </c>
      <c r="G1261" s="31" t="s">
        <v>127</v>
      </c>
      <c r="H1261" s="31" t="s">
        <v>20</v>
      </c>
      <c r="I1261" s="31">
        <v>4400.0</v>
      </c>
      <c r="J1261" s="31">
        <v>3.874814854E9</v>
      </c>
      <c r="K1261" s="31" t="s">
        <v>2031</v>
      </c>
      <c r="L1261" s="31" t="s">
        <v>3348</v>
      </c>
      <c r="M1261" s="33">
        <v>2.0</v>
      </c>
      <c r="N1261" s="34"/>
      <c r="O1261" s="31" t="s">
        <v>4139</v>
      </c>
    </row>
    <row r="1262">
      <c r="A1262" s="85">
        <v>45811.0</v>
      </c>
      <c r="B1262" s="31" t="s">
        <v>4149</v>
      </c>
      <c r="C1262" s="31">
        <v>8.05011535969E11</v>
      </c>
      <c r="D1262" s="31" t="s">
        <v>4150</v>
      </c>
      <c r="E1262" s="31" t="s">
        <v>4151</v>
      </c>
      <c r="F1262" s="31" t="s">
        <v>4152</v>
      </c>
      <c r="G1262" s="31" t="s">
        <v>20</v>
      </c>
      <c r="H1262" s="31" t="s">
        <v>20</v>
      </c>
      <c r="I1262" s="31">
        <v>4400.0</v>
      </c>
      <c r="J1262" s="31">
        <v>2.99622031E9</v>
      </c>
      <c r="K1262" s="31" t="s">
        <v>98</v>
      </c>
      <c r="L1262" s="31" t="s">
        <v>3187</v>
      </c>
      <c r="M1262" s="33">
        <v>1.0</v>
      </c>
      <c r="N1262" s="34"/>
      <c r="O1262" s="34"/>
    </row>
    <row r="1263">
      <c r="A1263" s="85">
        <v>45811.0</v>
      </c>
      <c r="B1263" s="31" t="s">
        <v>4153</v>
      </c>
      <c r="C1263" s="31">
        <v>8.0702503137E11</v>
      </c>
      <c r="D1263" s="31" t="s">
        <v>4154</v>
      </c>
      <c r="E1263" s="31" t="s">
        <v>4155</v>
      </c>
      <c r="F1263" s="31" t="s">
        <v>4156</v>
      </c>
      <c r="G1263" s="31" t="s">
        <v>4157</v>
      </c>
      <c r="H1263" s="31" t="s">
        <v>20</v>
      </c>
      <c r="I1263" s="31">
        <v>4407.0</v>
      </c>
      <c r="J1263" s="31">
        <v>3.876372131E9</v>
      </c>
      <c r="K1263" s="31" t="s">
        <v>2233</v>
      </c>
      <c r="L1263" s="31" t="s">
        <v>4158</v>
      </c>
      <c r="M1263" s="33">
        <v>1.0</v>
      </c>
      <c r="N1263" s="34"/>
      <c r="O1263" s="31" t="s">
        <v>4159</v>
      </c>
    </row>
    <row r="1264">
      <c r="A1264" s="85">
        <v>45811.0</v>
      </c>
      <c r="B1264" s="31" t="s">
        <v>4160</v>
      </c>
      <c r="C1264" s="31">
        <v>8.07025031376E11</v>
      </c>
      <c r="D1264" s="31" t="s">
        <v>4161</v>
      </c>
      <c r="E1264" s="31" t="s">
        <v>4162</v>
      </c>
      <c r="F1264" s="31" t="s">
        <v>4163</v>
      </c>
      <c r="G1264" s="31" t="s">
        <v>116</v>
      </c>
      <c r="H1264" s="31" t="s">
        <v>20</v>
      </c>
      <c r="I1264" s="31">
        <v>4400.0</v>
      </c>
      <c r="J1264" s="31">
        <v>3.874688472E9</v>
      </c>
      <c r="K1264" s="31" t="s">
        <v>2965</v>
      </c>
      <c r="L1264" s="31" t="s">
        <v>3255</v>
      </c>
      <c r="M1264" s="33">
        <v>1.0</v>
      </c>
      <c r="N1264" s="34"/>
      <c r="O1264" s="31" t="s">
        <v>261</v>
      </c>
    </row>
    <row r="1265">
      <c r="A1265" s="85">
        <v>45811.0</v>
      </c>
      <c r="B1265" s="31" t="s">
        <v>4160</v>
      </c>
      <c r="C1265" s="31">
        <v>8.07025031376E11</v>
      </c>
      <c r="D1265" s="31" t="s">
        <v>4161</v>
      </c>
      <c r="E1265" s="31" t="s">
        <v>4162</v>
      </c>
      <c r="F1265" s="31" t="s">
        <v>4163</v>
      </c>
      <c r="G1265" s="31" t="s">
        <v>116</v>
      </c>
      <c r="H1265" s="31" t="s">
        <v>20</v>
      </c>
      <c r="I1265" s="31">
        <v>4400.0</v>
      </c>
      <c r="J1265" s="31">
        <v>3.874688472E9</v>
      </c>
      <c r="K1265" s="31" t="s">
        <v>512</v>
      </c>
      <c r="L1265" s="31" t="s">
        <v>513</v>
      </c>
      <c r="M1265" s="33">
        <v>12.0</v>
      </c>
      <c r="N1265" s="34"/>
      <c r="O1265" s="31" t="s">
        <v>261</v>
      </c>
    </row>
    <row r="1266">
      <c r="A1266" s="85">
        <v>45811.0</v>
      </c>
      <c r="B1266" s="31" t="s">
        <v>4160</v>
      </c>
      <c r="C1266" s="31">
        <v>8.07025031376E11</v>
      </c>
      <c r="D1266" s="31" t="s">
        <v>4161</v>
      </c>
      <c r="E1266" s="31" t="s">
        <v>4162</v>
      </c>
      <c r="F1266" s="31" t="s">
        <v>4163</v>
      </c>
      <c r="G1266" s="31" t="s">
        <v>116</v>
      </c>
      <c r="H1266" s="31" t="s">
        <v>20</v>
      </c>
      <c r="I1266" s="31">
        <v>4400.0</v>
      </c>
      <c r="J1266" s="31">
        <v>3.874688472E9</v>
      </c>
      <c r="K1266" s="31" t="s">
        <v>645</v>
      </c>
      <c r="L1266" s="31" t="s">
        <v>3253</v>
      </c>
      <c r="M1266" s="33">
        <v>2.0</v>
      </c>
      <c r="N1266" s="34"/>
      <c r="O1266" s="31" t="s">
        <v>261</v>
      </c>
    </row>
    <row r="1267">
      <c r="A1267" s="85">
        <v>45811.0</v>
      </c>
      <c r="B1267" s="31" t="s">
        <v>4164</v>
      </c>
      <c r="C1267" s="31">
        <v>8.05011536063E11</v>
      </c>
      <c r="D1267" s="31" t="s">
        <v>4165</v>
      </c>
      <c r="E1267" s="31" t="s">
        <v>4166</v>
      </c>
      <c r="F1267" s="31" t="s">
        <v>4167</v>
      </c>
      <c r="G1267" s="31" t="s">
        <v>20</v>
      </c>
      <c r="H1267" s="31" t="s">
        <v>20</v>
      </c>
      <c r="I1267" s="31">
        <v>4404.0</v>
      </c>
      <c r="J1267" s="31">
        <v>3.87155093968E11</v>
      </c>
      <c r="K1267" s="31" t="s">
        <v>98</v>
      </c>
      <c r="L1267" s="31" t="s">
        <v>3187</v>
      </c>
      <c r="M1267" s="33">
        <v>1.0</v>
      </c>
      <c r="N1267" s="34"/>
      <c r="O1267" s="34"/>
    </row>
    <row r="1268">
      <c r="A1268" s="85">
        <v>45811.0</v>
      </c>
      <c r="B1268" s="31" t="s">
        <v>4168</v>
      </c>
      <c r="C1268" s="31">
        <v>8.07025031414E11</v>
      </c>
      <c r="D1268" s="31" t="s">
        <v>4169</v>
      </c>
      <c r="E1268" s="31" t="s">
        <v>4170</v>
      </c>
      <c r="F1268" s="31" t="s">
        <v>4171</v>
      </c>
      <c r="G1268" s="31" t="s">
        <v>127</v>
      </c>
      <c r="H1268" s="31" t="s">
        <v>20</v>
      </c>
      <c r="I1268" s="31">
        <v>4400.0</v>
      </c>
      <c r="J1268" s="31">
        <v>3.875818144E9</v>
      </c>
      <c r="K1268" s="31" t="s">
        <v>3054</v>
      </c>
      <c r="L1268" s="31" t="s">
        <v>3346</v>
      </c>
      <c r="M1268" s="33">
        <v>1.0</v>
      </c>
      <c r="N1268" s="34"/>
      <c r="O1268" s="31" t="s">
        <v>4172</v>
      </c>
    </row>
    <row r="1269">
      <c r="A1269" s="85">
        <v>45811.0</v>
      </c>
      <c r="B1269" s="31" t="s">
        <v>4173</v>
      </c>
      <c r="C1269" s="31">
        <v>8.07025031382E11</v>
      </c>
      <c r="D1269" s="31" t="s">
        <v>4174</v>
      </c>
      <c r="E1269" s="31" t="s">
        <v>4175</v>
      </c>
      <c r="F1269" s="31" t="s">
        <v>4176</v>
      </c>
      <c r="G1269" s="31" t="s">
        <v>116</v>
      </c>
      <c r="H1269" s="31" t="s">
        <v>20</v>
      </c>
      <c r="I1269" s="31">
        <v>4400.0</v>
      </c>
      <c r="J1269" s="31">
        <v>3.876105636E9</v>
      </c>
      <c r="K1269" s="31" t="s">
        <v>3817</v>
      </c>
      <c r="L1269" s="31" t="s">
        <v>3818</v>
      </c>
      <c r="M1269" s="33">
        <v>1.0</v>
      </c>
      <c r="N1269" s="34"/>
      <c r="O1269" s="31" t="s">
        <v>2619</v>
      </c>
    </row>
    <row r="1270">
      <c r="A1270" s="85">
        <v>45811.0</v>
      </c>
      <c r="B1270" s="31" t="s">
        <v>4173</v>
      </c>
      <c r="C1270" s="31">
        <v>8.07025031382E11</v>
      </c>
      <c r="D1270" s="31" t="s">
        <v>4174</v>
      </c>
      <c r="E1270" s="31" t="s">
        <v>4175</v>
      </c>
      <c r="F1270" s="31" t="s">
        <v>4176</v>
      </c>
      <c r="G1270" s="31" t="s">
        <v>116</v>
      </c>
      <c r="H1270" s="31" t="s">
        <v>20</v>
      </c>
      <c r="I1270" s="31">
        <v>4400.0</v>
      </c>
      <c r="J1270" s="31">
        <v>3.876105636E9</v>
      </c>
      <c r="K1270" s="31" t="s">
        <v>512</v>
      </c>
      <c r="L1270" s="31" t="s">
        <v>513</v>
      </c>
      <c r="M1270" s="33">
        <v>12.0</v>
      </c>
      <c r="N1270" s="34"/>
      <c r="O1270" s="31" t="s">
        <v>2619</v>
      </c>
    </row>
    <row r="1271">
      <c r="A1271" s="85">
        <v>45811.0</v>
      </c>
      <c r="B1271" s="31" t="s">
        <v>4173</v>
      </c>
      <c r="C1271" s="31">
        <v>8.07025031382E11</v>
      </c>
      <c r="D1271" s="31" t="s">
        <v>4174</v>
      </c>
      <c r="E1271" s="31" t="s">
        <v>4175</v>
      </c>
      <c r="F1271" s="31" t="s">
        <v>4176</v>
      </c>
      <c r="G1271" s="31" t="s">
        <v>116</v>
      </c>
      <c r="H1271" s="31" t="s">
        <v>20</v>
      </c>
      <c r="I1271" s="31">
        <v>4400.0</v>
      </c>
      <c r="J1271" s="31">
        <v>3.876105636E9</v>
      </c>
      <c r="K1271" s="31" t="s">
        <v>340</v>
      </c>
      <c r="L1271" s="31" t="s">
        <v>3486</v>
      </c>
      <c r="M1271" s="33">
        <v>2.0</v>
      </c>
      <c r="N1271" s="34"/>
      <c r="O1271" s="31" t="s">
        <v>2619</v>
      </c>
    </row>
    <row r="1272">
      <c r="A1272" s="85">
        <v>45811.0</v>
      </c>
      <c r="B1272" s="31" t="s">
        <v>4177</v>
      </c>
      <c r="C1272" s="31">
        <v>8.07025031417E11</v>
      </c>
      <c r="D1272" s="31" t="s">
        <v>4178</v>
      </c>
      <c r="E1272" s="31" t="s">
        <v>4179</v>
      </c>
      <c r="F1272" s="31" t="s">
        <v>4180</v>
      </c>
      <c r="G1272" s="31" t="s">
        <v>4041</v>
      </c>
      <c r="H1272" s="31" t="s">
        <v>20</v>
      </c>
      <c r="I1272" s="31">
        <v>4400.0</v>
      </c>
      <c r="J1272" s="31">
        <v>3.875234392E9</v>
      </c>
      <c r="K1272" s="31" t="s">
        <v>3098</v>
      </c>
      <c r="L1272" s="31" t="s">
        <v>4104</v>
      </c>
      <c r="M1272" s="33">
        <v>1.0</v>
      </c>
      <c r="N1272" s="34"/>
      <c r="O1272" s="31" t="s">
        <v>3182</v>
      </c>
    </row>
    <row r="1273">
      <c r="A1273" s="85">
        <v>45811.0</v>
      </c>
      <c r="B1273" s="31" t="s">
        <v>4181</v>
      </c>
      <c r="C1273" s="31">
        <v>8.07025030951E11</v>
      </c>
      <c r="D1273" s="31" t="s">
        <v>4182</v>
      </c>
      <c r="E1273" s="31" t="s">
        <v>4183</v>
      </c>
      <c r="F1273" s="31" t="s">
        <v>4184</v>
      </c>
      <c r="G1273" s="31" t="s">
        <v>116</v>
      </c>
      <c r="H1273" s="31" t="s">
        <v>20</v>
      </c>
      <c r="I1273" s="31">
        <v>4400.0</v>
      </c>
      <c r="J1273" s="31">
        <v>3.87522644E9</v>
      </c>
      <c r="K1273" s="31">
        <v>63404.0</v>
      </c>
      <c r="L1273" s="31" t="s">
        <v>4185</v>
      </c>
      <c r="M1273" s="33">
        <v>1.0</v>
      </c>
      <c r="N1273" s="34"/>
      <c r="O1273" s="31" t="s">
        <v>4186</v>
      </c>
    </row>
    <row r="1274" ht="8.25" customHeight="1">
      <c r="A1274" s="87"/>
      <c r="B1274" s="88"/>
      <c r="C1274" s="88"/>
      <c r="D1274" s="88"/>
      <c r="E1274" s="88"/>
      <c r="F1274" s="88"/>
      <c r="G1274" s="88"/>
      <c r="H1274" s="88"/>
      <c r="I1274" s="88"/>
      <c r="J1274" s="88"/>
      <c r="K1274" s="88"/>
      <c r="L1274" s="88"/>
      <c r="M1274" s="89"/>
      <c r="N1274" s="90"/>
      <c r="O1274" s="90"/>
    </row>
    <row r="1275">
      <c r="A1275" s="85">
        <v>45818.0</v>
      </c>
      <c r="B1275" s="31" t="s">
        <v>4187</v>
      </c>
      <c r="C1275" s="31">
        <v>8.07025031429E11</v>
      </c>
      <c r="D1275" s="31" t="s">
        <v>4188</v>
      </c>
      <c r="E1275" s="31" t="s">
        <v>4189</v>
      </c>
      <c r="F1275" s="69" t="s">
        <v>4190</v>
      </c>
      <c r="G1275" s="31" t="s">
        <v>127</v>
      </c>
      <c r="H1275" s="31" t="s">
        <v>20</v>
      </c>
      <c r="I1275" s="31">
        <v>4400.0</v>
      </c>
      <c r="J1275" s="31">
        <v>3.874089109E9</v>
      </c>
      <c r="K1275" s="31" t="s">
        <v>2060</v>
      </c>
      <c r="L1275" s="31" t="s">
        <v>4191</v>
      </c>
      <c r="M1275" s="33">
        <v>1.0</v>
      </c>
      <c r="N1275" s="34"/>
      <c r="O1275" s="31" t="s">
        <v>4192</v>
      </c>
    </row>
    <row r="1276">
      <c r="A1276" s="85">
        <v>45818.0</v>
      </c>
      <c r="B1276" s="31" t="s">
        <v>4187</v>
      </c>
      <c r="C1276" s="31">
        <v>8.07025031429E11</v>
      </c>
      <c r="D1276" s="31" t="s">
        <v>4188</v>
      </c>
      <c r="E1276" s="31" t="s">
        <v>4189</v>
      </c>
      <c r="F1276" s="69" t="s">
        <v>4190</v>
      </c>
      <c r="G1276" s="31" t="s">
        <v>127</v>
      </c>
      <c r="H1276" s="31" t="s">
        <v>20</v>
      </c>
      <c r="I1276" s="31">
        <v>4400.0</v>
      </c>
      <c r="J1276" s="31">
        <v>3.874089109E9</v>
      </c>
      <c r="K1276" s="31" t="s">
        <v>969</v>
      </c>
      <c r="L1276" s="31" t="s">
        <v>3296</v>
      </c>
      <c r="M1276" s="33">
        <v>1.0</v>
      </c>
      <c r="N1276" s="34"/>
      <c r="O1276" s="31" t="s">
        <v>4192</v>
      </c>
    </row>
    <row r="1277">
      <c r="A1277" s="85">
        <v>45818.0</v>
      </c>
      <c r="B1277" s="31" t="s">
        <v>4193</v>
      </c>
      <c r="C1277" s="31">
        <v>8.07025031428E11</v>
      </c>
      <c r="D1277" s="31" t="s">
        <v>4194</v>
      </c>
      <c r="E1277" s="31" t="s">
        <v>4195</v>
      </c>
      <c r="F1277" s="31" t="s">
        <v>4196</v>
      </c>
      <c r="G1277" s="31" t="s">
        <v>127</v>
      </c>
      <c r="H1277" s="31" t="s">
        <v>20</v>
      </c>
      <c r="I1277" s="31">
        <v>4400.0</v>
      </c>
      <c r="J1277" s="31">
        <v>3.874824846E9</v>
      </c>
      <c r="K1277" s="31" t="s">
        <v>3025</v>
      </c>
      <c r="L1277" s="31" t="s">
        <v>3493</v>
      </c>
      <c r="M1277" s="33">
        <v>1.0</v>
      </c>
      <c r="N1277" s="34"/>
      <c r="O1277" s="31" t="s">
        <v>4197</v>
      </c>
    </row>
    <row r="1278">
      <c r="A1278" s="85">
        <v>45818.0</v>
      </c>
      <c r="B1278" s="31" t="s">
        <v>4193</v>
      </c>
      <c r="C1278" s="31">
        <v>8.07025031428E11</v>
      </c>
      <c r="D1278" s="31" t="s">
        <v>4194</v>
      </c>
      <c r="E1278" s="31" t="s">
        <v>4195</v>
      </c>
      <c r="F1278" s="31" t="s">
        <v>4196</v>
      </c>
      <c r="G1278" s="31" t="s">
        <v>127</v>
      </c>
      <c r="H1278" s="31" t="s">
        <v>20</v>
      </c>
      <c r="I1278" s="31">
        <v>4400.0</v>
      </c>
      <c r="J1278" s="31">
        <v>3.874824846E9</v>
      </c>
      <c r="K1278" s="31" t="s">
        <v>2956</v>
      </c>
      <c r="L1278" s="31" t="s">
        <v>3327</v>
      </c>
      <c r="M1278" s="33">
        <v>1.0</v>
      </c>
      <c r="N1278" s="34"/>
      <c r="O1278" s="31" t="s">
        <v>4197</v>
      </c>
    </row>
    <row r="1279">
      <c r="A1279" s="85">
        <v>45818.0</v>
      </c>
      <c r="B1279" s="31" t="s">
        <v>4198</v>
      </c>
      <c r="C1279" s="31">
        <v>8.07025031308E11</v>
      </c>
      <c r="D1279" s="31" t="s">
        <v>3272</v>
      </c>
      <c r="E1279" s="31" t="s">
        <v>3273</v>
      </c>
      <c r="F1279" s="31" t="s">
        <v>3274</v>
      </c>
      <c r="G1279" s="31" t="s">
        <v>104</v>
      </c>
      <c r="H1279" s="31" t="s">
        <v>20</v>
      </c>
      <c r="I1279" s="31">
        <v>4401.0</v>
      </c>
      <c r="J1279" s="31">
        <v>4235544.0</v>
      </c>
      <c r="K1279" s="31" t="s">
        <v>3623</v>
      </c>
      <c r="L1279" s="31" t="s">
        <v>3624</v>
      </c>
      <c r="M1279" s="33">
        <v>1.0</v>
      </c>
      <c r="N1279" s="34"/>
      <c r="O1279" s="31" t="s">
        <v>3279</v>
      </c>
    </row>
    <row r="1280">
      <c r="A1280" s="85">
        <v>45818.0</v>
      </c>
      <c r="B1280" s="31" t="s">
        <v>4199</v>
      </c>
      <c r="C1280" s="31">
        <v>8.05011536538E11</v>
      </c>
      <c r="D1280" s="31" t="s">
        <v>4200</v>
      </c>
      <c r="E1280" s="31" t="s">
        <v>4201</v>
      </c>
      <c r="F1280" s="31" t="s">
        <v>4202</v>
      </c>
      <c r="G1280" s="31" t="s">
        <v>4203</v>
      </c>
      <c r="H1280" s="31" t="s">
        <v>20</v>
      </c>
      <c r="I1280" s="31">
        <v>4531.0</v>
      </c>
      <c r="J1280" s="31">
        <v>3.525435664E9</v>
      </c>
      <c r="K1280" s="31" t="s">
        <v>645</v>
      </c>
      <c r="L1280" s="31" t="s">
        <v>3253</v>
      </c>
      <c r="M1280" s="33">
        <v>2.0</v>
      </c>
      <c r="N1280" s="34"/>
      <c r="O1280" s="34"/>
    </row>
    <row r="1281">
      <c r="A1281" s="85">
        <v>45818.0</v>
      </c>
      <c r="B1281" s="31" t="s">
        <v>4199</v>
      </c>
      <c r="C1281" s="31">
        <v>8.05011536538E11</v>
      </c>
      <c r="D1281" s="31" t="s">
        <v>4200</v>
      </c>
      <c r="E1281" s="31" t="s">
        <v>4201</v>
      </c>
      <c r="F1281" s="31" t="s">
        <v>4202</v>
      </c>
      <c r="G1281" s="31" t="s">
        <v>4203</v>
      </c>
      <c r="H1281" s="31" t="s">
        <v>20</v>
      </c>
      <c r="I1281" s="31">
        <v>4531.0</v>
      </c>
      <c r="J1281" s="31">
        <v>3.525435664E9</v>
      </c>
      <c r="K1281" s="31" t="s">
        <v>262</v>
      </c>
      <c r="L1281" s="31" t="s">
        <v>3461</v>
      </c>
      <c r="M1281" s="33">
        <v>1.0</v>
      </c>
      <c r="N1281" s="34"/>
      <c r="O1281" s="34"/>
    </row>
    <row r="1282">
      <c r="A1282" s="85">
        <v>45818.0</v>
      </c>
      <c r="B1282" s="31" t="s">
        <v>4199</v>
      </c>
      <c r="C1282" s="31">
        <v>8.05011536538E11</v>
      </c>
      <c r="D1282" s="31" t="s">
        <v>4200</v>
      </c>
      <c r="E1282" s="31" t="s">
        <v>4201</v>
      </c>
      <c r="F1282" s="31" t="s">
        <v>4202</v>
      </c>
      <c r="G1282" s="31" t="s">
        <v>4203</v>
      </c>
      <c r="H1282" s="31" t="s">
        <v>20</v>
      </c>
      <c r="I1282" s="31">
        <v>4531.0</v>
      </c>
      <c r="J1282" s="31">
        <v>3.525435664E9</v>
      </c>
      <c r="K1282" s="31" t="s">
        <v>512</v>
      </c>
      <c r="L1282" s="31" t="s">
        <v>513</v>
      </c>
      <c r="M1282" s="33">
        <v>12.0</v>
      </c>
      <c r="N1282" s="34"/>
      <c r="O1282" s="34"/>
    </row>
    <row r="1283">
      <c r="A1283" s="85">
        <v>45818.0</v>
      </c>
      <c r="B1283" s="31" t="s">
        <v>4204</v>
      </c>
      <c r="C1283" s="31">
        <v>8.05011536638E11</v>
      </c>
      <c r="D1283" s="31" t="s">
        <v>4205</v>
      </c>
      <c r="E1283" s="31" t="s">
        <v>4206</v>
      </c>
      <c r="F1283" s="31" t="s">
        <v>4207</v>
      </c>
      <c r="G1283" s="31" t="s">
        <v>1142</v>
      </c>
      <c r="H1283" s="31" t="s">
        <v>20</v>
      </c>
      <c r="I1283" s="31">
        <v>4430.0</v>
      </c>
      <c r="J1283" s="31">
        <v>3.874496691E9</v>
      </c>
      <c r="K1283" s="31" t="s">
        <v>1747</v>
      </c>
      <c r="L1283" s="31" t="s">
        <v>4208</v>
      </c>
      <c r="M1283" s="33">
        <v>1.0</v>
      </c>
      <c r="N1283" s="34"/>
      <c r="O1283" s="34"/>
    </row>
    <row r="1284">
      <c r="A1284" s="85">
        <v>45818.0</v>
      </c>
      <c r="B1284" s="31" t="s">
        <v>4209</v>
      </c>
      <c r="C1284" s="31">
        <v>8.07025031473E11</v>
      </c>
      <c r="D1284" s="31" t="s">
        <v>4188</v>
      </c>
      <c r="E1284" s="31" t="s">
        <v>4189</v>
      </c>
      <c r="F1284" s="69" t="s">
        <v>4190</v>
      </c>
      <c r="G1284" s="31" t="s">
        <v>127</v>
      </c>
      <c r="H1284" s="31" t="s">
        <v>20</v>
      </c>
      <c r="I1284" s="31">
        <v>4400.0</v>
      </c>
      <c r="J1284" s="31">
        <v>3.874089109E9</v>
      </c>
      <c r="K1284" s="31" t="s">
        <v>2060</v>
      </c>
      <c r="L1284" s="31" t="s">
        <v>4191</v>
      </c>
      <c r="M1284" s="33">
        <v>1.0</v>
      </c>
      <c r="N1284" s="34"/>
      <c r="O1284" s="31" t="s">
        <v>4192</v>
      </c>
    </row>
    <row r="1285">
      <c r="A1285" s="85">
        <v>45818.0</v>
      </c>
      <c r="B1285" s="31" t="s">
        <v>4210</v>
      </c>
      <c r="C1285" s="31">
        <v>8.0702503147E11</v>
      </c>
      <c r="D1285" s="31" t="s">
        <v>4211</v>
      </c>
      <c r="E1285" s="31" t="s">
        <v>4212</v>
      </c>
      <c r="F1285" s="31" t="s">
        <v>4213</v>
      </c>
      <c r="G1285" s="31" t="s">
        <v>127</v>
      </c>
      <c r="H1285" s="31" t="s">
        <v>20</v>
      </c>
      <c r="I1285" s="31">
        <v>4400.0</v>
      </c>
      <c r="J1285" s="31">
        <v>3.874855149E9</v>
      </c>
      <c r="K1285" s="31" t="s">
        <v>659</v>
      </c>
      <c r="L1285" s="31" t="s">
        <v>3468</v>
      </c>
      <c r="M1285" s="33">
        <v>1.0</v>
      </c>
      <c r="N1285" s="34"/>
      <c r="O1285" s="31" t="s">
        <v>4214</v>
      </c>
    </row>
    <row r="1286">
      <c r="A1286" s="85">
        <v>45818.0</v>
      </c>
      <c r="B1286" s="31" t="s">
        <v>4215</v>
      </c>
      <c r="C1286" s="31">
        <v>8.05011536861E11</v>
      </c>
      <c r="D1286" s="31" t="s">
        <v>4216</v>
      </c>
      <c r="E1286" s="31" t="s">
        <v>4217</v>
      </c>
      <c r="F1286" s="31" t="s">
        <v>4218</v>
      </c>
      <c r="G1286" s="31" t="s">
        <v>4219</v>
      </c>
      <c r="H1286" s="31" t="s">
        <v>20</v>
      </c>
      <c r="I1286" s="31">
        <v>4448.0</v>
      </c>
      <c r="J1286" s="31">
        <v>3.876554372E9</v>
      </c>
      <c r="K1286" s="31" t="s">
        <v>4220</v>
      </c>
      <c r="L1286" s="31" t="s">
        <v>4221</v>
      </c>
      <c r="M1286" s="33">
        <v>1.0</v>
      </c>
      <c r="N1286" s="34"/>
      <c r="O1286" s="34"/>
    </row>
    <row r="1287">
      <c r="A1287" s="85">
        <v>45818.0</v>
      </c>
      <c r="B1287" s="31" t="s">
        <v>4215</v>
      </c>
      <c r="C1287" s="31">
        <v>8.05011536861E11</v>
      </c>
      <c r="D1287" s="31" t="s">
        <v>4216</v>
      </c>
      <c r="E1287" s="31" t="s">
        <v>4217</v>
      </c>
      <c r="F1287" s="31" t="s">
        <v>4218</v>
      </c>
      <c r="G1287" s="31" t="s">
        <v>4219</v>
      </c>
      <c r="H1287" s="31" t="s">
        <v>20</v>
      </c>
      <c r="I1287" s="31">
        <v>4448.0</v>
      </c>
      <c r="J1287" s="31">
        <v>3.876554372E9</v>
      </c>
      <c r="K1287" s="31" t="s">
        <v>512</v>
      </c>
      <c r="L1287" s="31" t="s">
        <v>513</v>
      </c>
      <c r="M1287" s="33">
        <v>6.0</v>
      </c>
      <c r="N1287" s="34"/>
      <c r="O1287" s="34"/>
    </row>
    <row r="1288">
      <c r="A1288" s="85">
        <v>45818.0</v>
      </c>
      <c r="B1288" s="31" t="s">
        <v>4215</v>
      </c>
      <c r="C1288" s="31">
        <v>8.05011536861E11</v>
      </c>
      <c r="D1288" s="31" t="s">
        <v>4216</v>
      </c>
      <c r="E1288" s="31" t="s">
        <v>4217</v>
      </c>
      <c r="F1288" s="31" t="s">
        <v>4218</v>
      </c>
      <c r="G1288" s="31" t="s">
        <v>4219</v>
      </c>
      <c r="H1288" s="31" t="s">
        <v>20</v>
      </c>
      <c r="I1288" s="31">
        <v>4448.0</v>
      </c>
      <c r="J1288" s="31">
        <v>3.876554372E9</v>
      </c>
      <c r="K1288" s="31" t="s">
        <v>969</v>
      </c>
      <c r="L1288" s="31" t="s">
        <v>3296</v>
      </c>
      <c r="M1288" s="33">
        <v>1.0</v>
      </c>
      <c r="N1288" s="34"/>
      <c r="O1288" s="34"/>
    </row>
    <row r="1289">
      <c r="A1289" s="85">
        <v>45818.0</v>
      </c>
      <c r="B1289" s="31" t="s">
        <v>4222</v>
      </c>
      <c r="C1289" s="31">
        <v>8.07025031477E11</v>
      </c>
      <c r="D1289" s="31" t="s">
        <v>4223</v>
      </c>
      <c r="E1289" s="31" t="s">
        <v>4224</v>
      </c>
      <c r="F1289" s="31" t="s">
        <v>4225</v>
      </c>
      <c r="G1289" s="31" t="s">
        <v>127</v>
      </c>
      <c r="H1289" s="31" t="s">
        <v>20</v>
      </c>
      <c r="I1289" s="31">
        <v>4400.0</v>
      </c>
      <c r="J1289" s="31">
        <v>3.8751624E9</v>
      </c>
      <c r="K1289" s="31" t="s">
        <v>659</v>
      </c>
      <c r="L1289" s="31" t="s">
        <v>3468</v>
      </c>
      <c r="M1289" s="33">
        <v>1.0</v>
      </c>
      <c r="N1289" s="34"/>
      <c r="O1289" s="31" t="s">
        <v>4226</v>
      </c>
    </row>
    <row r="1290">
      <c r="A1290" s="85">
        <v>45818.0</v>
      </c>
      <c r="B1290" s="31" t="s">
        <v>4222</v>
      </c>
      <c r="C1290" s="31">
        <v>8.07025031477E11</v>
      </c>
      <c r="D1290" s="31" t="s">
        <v>4223</v>
      </c>
      <c r="E1290" s="31" t="s">
        <v>4224</v>
      </c>
      <c r="F1290" s="31" t="s">
        <v>4225</v>
      </c>
      <c r="G1290" s="31" t="s">
        <v>127</v>
      </c>
      <c r="H1290" s="31" t="s">
        <v>20</v>
      </c>
      <c r="I1290" s="31">
        <v>4400.0</v>
      </c>
      <c r="J1290" s="31">
        <v>3.8751624E9</v>
      </c>
      <c r="K1290" s="31" t="s">
        <v>512</v>
      </c>
      <c r="L1290" s="31" t="s">
        <v>513</v>
      </c>
      <c r="M1290" s="33">
        <v>6.0</v>
      </c>
      <c r="N1290" s="34"/>
      <c r="O1290" s="31" t="s">
        <v>4226</v>
      </c>
    </row>
    <row r="1291">
      <c r="A1291" s="85">
        <v>45818.0</v>
      </c>
      <c r="B1291" s="31" t="s">
        <v>4222</v>
      </c>
      <c r="C1291" s="31">
        <v>8.07025031477E11</v>
      </c>
      <c r="D1291" s="31" t="s">
        <v>4223</v>
      </c>
      <c r="E1291" s="31" t="s">
        <v>4224</v>
      </c>
      <c r="F1291" s="31" t="s">
        <v>4225</v>
      </c>
      <c r="G1291" s="31" t="s">
        <v>127</v>
      </c>
      <c r="H1291" s="31" t="s">
        <v>20</v>
      </c>
      <c r="I1291" s="31">
        <v>4400.0</v>
      </c>
      <c r="J1291" s="31">
        <v>3.8751624E9</v>
      </c>
      <c r="K1291" s="31" t="s">
        <v>35</v>
      </c>
      <c r="L1291" s="31" t="s">
        <v>3188</v>
      </c>
      <c r="M1291" s="33">
        <v>1.0</v>
      </c>
      <c r="N1291" s="34"/>
      <c r="O1291" s="31" t="s">
        <v>4226</v>
      </c>
    </row>
    <row r="1292">
      <c r="A1292" s="85">
        <v>45818.0</v>
      </c>
      <c r="B1292" s="31" t="s">
        <v>4227</v>
      </c>
      <c r="C1292" s="31">
        <v>8.05011536901E11</v>
      </c>
      <c r="D1292" s="31" t="s">
        <v>4228</v>
      </c>
      <c r="E1292" s="31" t="s">
        <v>4229</v>
      </c>
      <c r="F1292" s="31" t="s">
        <v>4230</v>
      </c>
      <c r="G1292" s="31" t="s">
        <v>20</v>
      </c>
      <c r="H1292" s="31" t="s">
        <v>20</v>
      </c>
      <c r="I1292" s="31">
        <v>4400.0</v>
      </c>
      <c r="J1292" s="31">
        <v>3.875662837E9</v>
      </c>
      <c r="K1292" s="31" t="s">
        <v>2965</v>
      </c>
      <c r="L1292" s="31" t="s">
        <v>3255</v>
      </c>
      <c r="M1292" s="33">
        <v>1.0</v>
      </c>
      <c r="N1292" s="34"/>
      <c r="O1292" s="34"/>
    </row>
    <row r="1293">
      <c r="A1293" s="85">
        <v>45818.0</v>
      </c>
      <c r="B1293" s="31" t="s">
        <v>4227</v>
      </c>
      <c r="C1293" s="31">
        <v>8.05011536901E11</v>
      </c>
      <c r="D1293" s="31" t="s">
        <v>4228</v>
      </c>
      <c r="E1293" s="31" t="s">
        <v>4229</v>
      </c>
      <c r="F1293" s="31" t="s">
        <v>4230</v>
      </c>
      <c r="G1293" s="31" t="s">
        <v>20</v>
      </c>
      <c r="H1293" s="31" t="s">
        <v>20</v>
      </c>
      <c r="I1293" s="31">
        <v>4400.0</v>
      </c>
      <c r="J1293" s="31">
        <v>3.875662837E9</v>
      </c>
      <c r="K1293" s="31" t="s">
        <v>512</v>
      </c>
      <c r="L1293" s="31" t="s">
        <v>513</v>
      </c>
      <c r="M1293" s="33">
        <v>12.0</v>
      </c>
      <c r="N1293" s="34"/>
      <c r="O1293" s="34"/>
    </row>
    <row r="1294">
      <c r="A1294" s="85">
        <v>45818.0</v>
      </c>
      <c r="B1294" s="31" t="s">
        <v>4227</v>
      </c>
      <c r="C1294" s="31">
        <v>8.05011536901E11</v>
      </c>
      <c r="D1294" s="31" t="s">
        <v>4228</v>
      </c>
      <c r="E1294" s="31" t="s">
        <v>4229</v>
      </c>
      <c r="F1294" s="31" t="s">
        <v>4230</v>
      </c>
      <c r="G1294" s="31" t="s">
        <v>20</v>
      </c>
      <c r="H1294" s="31" t="s">
        <v>20</v>
      </c>
      <c r="I1294" s="31">
        <v>4400.0</v>
      </c>
      <c r="J1294" s="31">
        <v>3.875662837E9</v>
      </c>
      <c r="K1294" s="31" t="s">
        <v>645</v>
      </c>
      <c r="L1294" s="31" t="s">
        <v>3253</v>
      </c>
      <c r="M1294" s="33">
        <v>2.0</v>
      </c>
      <c r="N1294" s="34"/>
      <c r="O1294" s="34"/>
    </row>
    <row r="1295">
      <c r="A1295" s="85">
        <v>45818.0</v>
      </c>
      <c r="B1295" s="31" t="s">
        <v>4231</v>
      </c>
      <c r="C1295" s="31">
        <v>8.05011537205E11</v>
      </c>
      <c r="D1295" s="31" t="s">
        <v>4232</v>
      </c>
      <c r="E1295" s="31" t="s">
        <v>4233</v>
      </c>
      <c r="F1295" s="31" t="s">
        <v>4234</v>
      </c>
      <c r="G1295" s="31" t="s">
        <v>20</v>
      </c>
      <c r="H1295" s="31" t="s">
        <v>20</v>
      </c>
      <c r="I1295" s="31">
        <v>4400.0</v>
      </c>
      <c r="J1295" s="31">
        <v>5.4387220205E11</v>
      </c>
      <c r="K1295" s="31" t="s">
        <v>50</v>
      </c>
      <c r="L1295" s="31" t="s">
        <v>51</v>
      </c>
      <c r="M1295" s="33">
        <v>1.0</v>
      </c>
      <c r="N1295" s="34"/>
      <c r="O1295" s="34"/>
    </row>
    <row r="1296">
      <c r="A1296" s="85">
        <v>45818.0</v>
      </c>
      <c r="B1296" s="31" t="s">
        <v>4235</v>
      </c>
      <c r="C1296" s="31">
        <v>8.05011537253E11</v>
      </c>
      <c r="D1296" s="31" t="s">
        <v>4236</v>
      </c>
      <c r="E1296" s="31" t="s">
        <v>4237</v>
      </c>
      <c r="F1296" s="31" t="s">
        <v>4238</v>
      </c>
      <c r="G1296" s="31" t="s">
        <v>4239</v>
      </c>
      <c r="H1296" s="31" t="s">
        <v>20</v>
      </c>
      <c r="I1296" s="31">
        <v>4401.0</v>
      </c>
      <c r="J1296" s="31">
        <v>3.874647319E9</v>
      </c>
      <c r="K1296" s="31" t="s">
        <v>2965</v>
      </c>
      <c r="L1296" s="31" t="s">
        <v>3255</v>
      </c>
      <c r="M1296" s="33">
        <v>1.0</v>
      </c>
      <c r="N1296" s="34"/>
      <c r="O1296" s="34"/>
    </row>
    <row r="1297">
      <c r="A1297" s="85">
        <v>45818.0</v>
      </c>
      <c r="B1297" s="31" t="s">
        <v>4235</v>
      </c>
      <c r="C1297" s="31">
        <v>8.05011537253E11</v>
      </c>
      <c r="D1297" s="31" t="s">
        <v>4236</v>
      </c>
      <c r="E1297" s="31" t="s">
        <v>4237</v>
      </c>
      <c r="F1297" s="31" t="s">
        <v>4238</v>
      </c>
      <c r="G1297" s="31" t="s">
        <v>4239</v>
      </c>
      <c r="H1297" s="31" t="s">
        <v>20</v>
      </c>
      <c r="I1297" s="31">
        <v>4401.0</v>
      </c>
      <c r="J1297" s="31">
        <v>3.874647319E9</v>
      </c>
      <c r="K1297" s="31" t="s">
        <v>512</v>
      </c>
      <c r="L1297" s="31" t="s">
        <v>513</v>
      </c>
      <c r="M1297" s="33">
        <v>12.0</v>
      </c>
      <c r="N1297" s="34"/>
      <c r="O1297" s="34"/>
    </row>
    <row r="1298">
      <c r="A1298" s="85">
        <v>45818.0</v>
      </c>
      <c r="B1298" s="31" t="s">
        <v>4235</v>
      </c>
      <c r="C1298" s="31">
        <v>8.05011537253E11</v>
      </c>
      <c r="D1298" s="31" t="s">
        <v>4236</v>
      </c>
      <c r="E1298" s="31" t="s">
        <v>4237</v>
      </c>
      <c r="F1298" s="31" t="s">
        <v>4238</v>
      </c>
      <c r="G1298" s="31" t="s">
        <v>4239</v>
      </c>
      <c r="H1298" s="31" t="s">
        <v>20</v>
      </c>
      <c r="I1298" s="31">
        <v>4401.0</v>
      </c>
      <c r="J1298" s="31">
        <v>3.874647319E9</v>
      </c>
      <c r="K1298" s="31" t="s">
        <v>645</v>
      </c>
      <c r="L1298" s="31" t="s">
        <v>3253</v>
      </c>
      <c r="M1298" s="33">
        <v>2.0</v>
      </c>
      <c r="N1298" s="34"/>
      <c r="O1298" s="34"/>
    </row>
    <row r="1299" ht="9.0" customHeight="1">
      <c r="A1299" s="87"/>
      <c r="B1299" s="88"/>
      <c r="C1299" s="88"/>
      <c r="D1299" s="88"/>
      <c r="E1299" s="88"/>
      <c r="F1299" s="88"/>
      <c r="G1299" s="88"/>
      <c r="H1299" s="88"/>
      <c r="I1299" s="88"/>
      <c r="J1299" s="88"/>
      <c r="K1299" s="88"/>
      <c r="L1299" s="88"/>
      <c r="M1299" s="89"/>
      <c r="N1299" s="90"/>
      <c r="O1299" s="90"/>
    </row>
    <row r="1300">
      <c r="A1300" s="85">
        <v>45833.0</v>
      </c>
      <c r="B1300" s="31" t="s">
        <v>4240</v>
      </c>
      <c r="C1300" s="31">
        <v>8.05011537471E11</v>
      </c>
      <c r="D1300" s="31" t="s">
        <v>4241</v>
      </c>
      <c r="E1300" s="31" t="s">
        <v>4242</v>
      </c>
      <c r="F1300" s="31" t="s">
        <v>4243</v>
      </c>
      <c r="G1300" s="31" t="s">
        <v>458</v>
      </c>
      <c r="H1300" s="31" t="s">
        <v>20</v>
      </c>
      <c r="I1300" s="31">
        <v>4190.0</v>
      </c>
      <c r="J1300" s="31">
        <v>3.876479361E9</v>
      </c>
      <c r="K1300" s="31" t="s">
        <v>50</v>
      </c>
      <c r="L1300" s="31" t="s">
        <v>51</v>
      </c>
      <c r="M1300" s="33">
        <v>1.0</v>
      </c>
      <c r="N1300" s="34"/>
      <c r="O1300" s="34"/>
    </row>
    <row r="1301">
      <c r="A1301" s="85">
        <v>45833.0</v>
      </c>
      <c r="B1301" s="31" t="s">
        <v>4244</v>
      </c>
      <c r="C1301" s="31">
        <v>8.0702503158E11</v>
      </c>
      <c r="D1301" s="31" t="s">
        <v>4245</v>
      </c>
      <c r="E1301" s="31" t="s">
        <v>4246</v>
      </c>
      <c r="F1301" s="31" t="s">
        <v>4247</v>
      </c>
      <c r="G1301" s="31" t="s">
        <v>4041</v>
      </c>
      <c r="H1301" s="31" t="s">
        <v>20</v>
      </c>
      <c r="I1301" s="31">
        <v>4400.0</v>
      </c>
      <c r="J1301" s="31">
        <v>3.875971209E9</v>
      </c>
      <c r="K1301" s="31" t="s">
        <v>4248</v>
      </c>
      <c r="L1301" s="31" t="s">
        <v>4249</v>
      </c>
      <c r="M1301" s="33">
        <v>1.0</v>
      </c>
      <c r="N1301" s="34"/>
      <c r="O1301" s="34"/>
    </row>
    <row r="1302">
      <c r="A1302" s="85">
        <v>45833.0</v>
      </c>
      <c r="B1302" s="31" t="s">
        <v>4244</v>
      </c>
      <c r="C1302" s="31">
        <v>8.0702503158E11</v>
      </c>
      <c r="D1302" s="31" t="s">
        <v>4245</v>
      </c>
      <c r="E1302" s="31" t="s">
        <v>4246</v>
      </c>
      <c r="F1302" s="31" t="s">
        <v>4247</v>
      </c>
      <c r="G1302" s="31" t="s">
        <v>4041</v>
      </c>
      <c r="H1302" s="31" t="s">
        <v>20</v>
      </c>
      <c r="I1302" s="31">
        <v>4400.0</v>
      </c>
      <c r="J1302" s="31">
        <v>3.875971209E9</v>
      </c>
      <c r="K1302" s="31" t="s">
        <v>3512</v>
      </c>
      <c r="L1302" s="31" t="s">
        <v>3513</v>
      </c>
      <c r="M1302" s="33">
        <v>12.0</v>
      </c>
      <c r="N1302" s="34"/>
      <c r="O1302" s="34"/>
    </row>
    <row r="1303">
      <c r="A1303" s="85">
        <v>45833.0</v>
      </c>
      <c r="B1303" s="31" t="s">
        <v>4244</v>
      </c>
      <c r="C1303" s="31">
        <v>8.0702503158E11</v>
      </c>
      <c r="D1303" s="31" t="s">
        <v>4245</v>
      </c>
      <c r="E1303" s="31" t="s">
        <v>4246</v>
      </c>
      <c r="F1303" s="31" t="s">
        <v>4247</v>
      </c>
      <c r="G1303" s="31" t="s">
        <v>4041</v>
      </c>
      <c r="H1303" s="31" t="s">
        <v>20</v>
      </c>
      <c r="I1303" s="31">
        <v>4400.0</v>
      </c>
      <c r="J1303" s="31">
        <v>3.875971209E9</v>
      </c>
      <c r="K1303" s="31" t="s">
        <v>4250</v>
      </c>
      <c r="L1303" s="31" t="s">
        <v>4251</v>
      </c>
      <c r="M1303" s="33">
        <v>2.0</v>
      </c>
      <c r="N1303" s="34"/>
      <c r="O1303" s="34"/>
    </row>
    <row r="1304">
      <c r="A1304" s="85">
        <v>45833.0</v>
      </c>
      <c r="B1304" s="31" t="s">
        <v>4252</v>
      </c>
      <c r="C1304" s="31">
        <v>8.05011537741E11</v>
      </c>
      <c r="D1304" s="31" t="s">
        <v>4253</v>
      </c>
      <c r="E1304" s="31" t="s">
        <v>4254</v>
      </c>
      <c r="F1304" s="31" t="s">
        <v>4255</v>
      </c>
      <c r="G1304" s="31" t="s">
        <v>20</v>
      </c>
      <c r="H1304" s="31" t="s">
        <v>20</v>
      </c>
      <c r="I1304" s="31">
        <v>4400.0</v>
      </c>
      <c r="J1304" s="31">
        <v>3.874629017E9</v>
      </c>
      <c r="K1304" s="31">
        <v>63300.0</v>
      </c>
      <c r="L1304" s="31" t="s">
        <v>3906</v>
      </c>
      <c r="M1304" s="33">
        <v>1.0</v>
      </c>
      <c r="N1304" s="34"/>
      <c r="O1304" s="34"/>
    </row>
    <row r="1305">
      <c r="A1305" s="85">
        <v>45833.0</v>
      </c>
      <c r="B1305" s="31" t="s">
        <v>4256</v>
      </c>
      <c r="C1305" s="31">
        <v>8.05011537782E11</v>
      </c>
      <c r="D1305" s="31" t="s">
        <v>4257</v>
      </c>
      <c r="E1305" s="31" t="s">
        <v>4258</v>
      </c>
      <c r="F1305" s="31" t="s">
        <v>4259</v>
      </c>
      <c r="G1305" s="31" t="s">
        <v>20</v>
      </c>
      <c r="H1305" s="31" t="s">
        <v>20</v>
      </c>
      <c r="I1305" s="31">
        <v>4400.0</v>
      </c>
      <c r="J1305" s="31">
        <v>3.875391267E9</v>
      </c>
      <c r="K1305" s="31" t="s">
        <v>98</v>
      </c>
      <c r="L1305" s="31" t="s">
        <v>3187</v>
      </c>
      <c r="M1305" s="33">
        <v>1.0</v>
      </c>
      <c r="N1305" s="34"/>
      <c r="O1305" s="34"/>
    </row>
    <row r="1306">
      <c r="A1306" s="85">
        <v>45833.0</v>
      </c>
      <c r="B1306" s="31" t="s">
        <v>4260</v>
      </c>
      <c r="C1306" s="31">
        <v>8.07025031687E11</v>
      </c>
      <c r="D1306" s="31" t="s">
        <v>4261</v>
      </c>
      <c r="E1306" s="31" t="s">
        <v>4262</v>
      </c>
      <c r="F1306" s="31" t="s">
        <v>4263</v>
      </c>
      <c r="G1306" s="31" t="s">
        <v>4264</v>
      </c>
      <c r="H1306" s="31" t="s">
        <v>20</v>
      </c>
      <c r="I1306" s="31">
        <v>4400.0</v>
      </c>
      <c r="J1306" s="31">
        <v>3.874027499E9</v>
      </c>
      <c r="K1306" s="31" t="s">
        <v>659</v>
      </c>
      <c r="L1306" s="31" t="s">
        <v>3468</v>
      </c>
      <c r="M1306" s="33">
        <v>1.0</v>
      </c>
      <c r="N1306" s="34"/>
      <c r="O1306" s="34"/>
    </row>
    <row r="1307">
      <c r="A1307" s="85">
        <v>45833.0</v>
      </c>
      <c r="B1307" s="31" t="s">
        <v>4265</v>
      </c>
      <c r="C1307" s="31">
        <v>8.05011538274E11</v>
      </c>
      <c r="D1307" s="31" t="s">
        <v>4266</v>
      </c>
      <c r="E1307" s="31" t="s">
        <v>4267</v>
      </c>
      <c r="F1307" s="31" t="s">
        <v>4268</v>
      </c>
      <c r="G1307" s="31" t="s">
        <v>20</v>
      </c>
      <c r="H1307" s="31" t="s">
        <v>20</v>
      </c>
      <c r="I1307" s="31">
        <v>4400.0</v>
      </c>
      <c r="J1307" s="31">
        <v>3.876020409E9</v>
      </c>
      <c r="K1307" s="31" t="s">
        <v>32</v>
      </c>
      <c r="L1307" s="31" t="s">
        <v>3225</v>
      </c>
      <c r="M1307" s="33">
        <v>1.0</v>
      </c>
      <c r="N1307" s="34"/>
      <c r="O1307" s="34"/>
    </row>
    <row r="1308">
      <c r="A1308" s="85">
        <v>45833.0</v>
      </c>
      <c r="B1308" s="31" t="s">
        <v>4265</v>
      </c>
      <c r="C1308" s="31">
        <v>8.05011538274E11</v>
      </c>
      <c r="D1308" s="31" t="s">
        <v>4266</v>
      </c>
      <c r="E1308" s="31" t="s">
        <v>4267</v>
      </c>
      <c r="F1308" s="31" t="s">
        <v>4268</v>
      </c>
      <c r="G1308" s="31" t="s">
        <v>20</v>
      </c>
      <c r="H1308" s="31" t="s">
        <v>20</v>
      </c>
      <c r="I1308" s="31">
        <v>4400.0</v>
      </c>
      <c r="J1308" s="31">
        <v>3.876020409E9</v>
      </c>
      <c r="K1308" s="31" t="s">
        <v>670</v>
      </c>
      <c r="L1308" s="31" t="s">
        <v>3410</v>
      </c>
      <c r="M1308" s="33">
        <v>1.0</v>
      </c>
      <c r="N1308" s="34"/>
      <c r="O1308" s="34"/>
    </row>
    <row r="1309">
      <c r="A1309" s="85">
        <v>45833.0</v>
      </c>
      <c r="B1309" s="31" t="s">
        <v>4265</v>
      </c>
      <c r="C1309" s="31">
        <v>8.05011538274E11</v>
      </c>
      <c r="D1309" s="31" t="s">
        <v>4266</v>
      </c>
      <c r="E1309" s="31" t="s">
        <v>4267</v>
      </c>
      <c r="F1309" s="31" t="s">
        <v>4268</v>
      </c>
      <c r="G1309" s="31" t="s">
        <v>20</v>
      </c>
      <c r="H1309" s="31" t="s">
        <v>20</v>
      </c>
      <c r="I1309" s="31">
        <v>4400.0</v>
      </c>
      <c r="J1309" s="31">
        <v>3.876020409E9</v>
      </c>
      <c r="K1309" s="31" t="s">
        <v>512</v>
      </c>
      <c r="L1309" s="31" t="s">
        <v>513</v>
      </c>
      <c r="M1309" s="33">
        <v>6.0</v>
      </c>
      <c r="N1309" s="34"/>
      <c r="O1309" s="34"/>
    </row>
    <row r="1310">
      <c r="A1310" s="85">
        <v>45833.0</v>
      </c>
      <c r="B1310" s="31" t="s">
        <v>4269</v>
      </c>
      <c r="C1310" s="31">
        <v>8.05011538329E11</v>
      </c>
      <c r="D1310" s="31" t="s">
        <v>4270</v>
      </c>
      <c r="E1310" s="31" t="s">
        <v>4271</v>
      </c>
      <c r="F1310" s="31" t="s">
        <v>4272</v>
      </c>
      <c r="G1310" s="31" t="s">
        <v>20</v>
      </c>
      <c r="H1310" s="31" t="s">
        <v>20</v>
      </c>
      <c r="I1310" s="31">
        <v>4400.0</v>
      </c>
      <c r="J1310" s="31">
        <v>3.885011392E9</v>
      </c>
      <c r="K1310" s="31" t="s">
        <v>32</v>
      </c>
      <c r="L1310" s="31" t="s">
        <v>3225</v>
      </c>
      <c r="M1310" s="33">
        <v>1.0</v>
      </c>
      <c r="N1310" s="34"/>
      <c r="O1310" s="34"/>
    </row>
    <row r="1311">
      <c r="A1311" s="85">
        <v>45833.0</v>
      </c>
      <c r="B1311" s="31" t="s">
        <v>4269</v>
      </c>
      <c r="C1311" s="31">
        <v>8.05011538329E11</v>
      </c>
      <c r="D1311" s="31" t="s">
        <v>4270</v>
      </c>
      <c r="E1311" s="31" t="s">
        <v>4271</v>
      </c>
      <c r="F1311" s="31" t="s">
        <v>4272</v>
      </c>
      <c r="G1311" s="31" t="s">
        <v>20</v>
      </c>
      <c r="H1311" s="31" t="s">
        <v>20</v>
      </c>
      <c r="I1311" s="31">
        <v>4400.0</v>
      </c>
      <c r="J1311" s="31">
        <v>3.885011392E9</v>
      </c>
      <c r="K1311" s="31" t="s">
        <v>512</v>
      </c>
      <c r="L1311" s="31" t="s">
        <v>513</v>
      </c>
      <c r="M1311" s="33">
        <v>6.0</v>
      </c>
      <c r="N1311" s="34"/>
      <c r="O1311" s="34"/>
    </row>
    <row r="1312">
      <c r="A1312" s="85">
        <v>45833.0</v>
      </c>
      <c r="B1312" s="31" t="s">
        <v>4269</v>
      </c>
      <c r="C1312" s="31">
        <v>8.05011538329E11</v>
      </c>
      <c r="D1312" s="31" t="s">
        <v>4270</v>
      </c>
      <c r="E1312" s="31" t="s">
        <v>4271</v>
      </c>
      <c r="F1312" s="31" t="s">
        <v>4272</v>
      </c>
      <c r="G1312" s="31" t="s">
        <v>20</v>
      </c>
      <c r="H1312" s="31" t="s">
        <v>20</v>
      </c>
      <c r="I1312" s="31">
        <v>4400.0</v>
      </c>
      <c r="J1312" s="31">
        <v>3.885011392E9</v>
      </c>
      <c r="K1312" s="31" t="s">
        <v>670</v>
      </c>
      <c r="L1312" s="31" t="s">
        <v>3410</v>
      </c>
      <c r="M1312" s="33">
        <v>1.0</v>
      </c>
      <c r="N1312" s="34"/>
      <c r="O1312" s="34"/>
    </row>
    <row r="1313">
      <c r="A1313" s="85">
        <v>45833.0</v>
      </c>
      <c r="B1313" s="31" t="s">
        <v>4273</v>
      </c>
      <c r="C1313" s="31">
        <v>8.07025031722E11</v>
      </c>
      <c r="D1313" s="31" t="s">
        <v>4274</v>
      </c>
      <c r="E1313" s="31" t="s">
        <v>4275</v>
      </c>
      <c r="F1313" s="31" t="s">
        <v>4276</v>
      </c>
      <c r="G1313" s="31" t="s">
        <v>20</v>
      </c>
      <c r="H1313" s="31" t="s">
        <v>20</v>
      </c>
      <c r="I1313" s="31" t="s">
        <v>4086</v>
      </c>
      <c r="J1313" s="31">
        <v>3.875394328E9</v>
      </c>
      <c r="K1313" s="31" t="s">
        <v>659</v>
      </c>
      <c r="L1313" s="31" t="s">
        <v>3468</v>
      </c>
      <c r="M1313" s="33">
        <v>1.0</v>
      </c>
      <c r="N1313" s="34"/>
      <c r="O1313" s="34"/>
    </row>
    <row r="1314">
      <c r="A1314" s="85">
        <v>45833.0</v>
      </c>
      <c r="B1314" s="31" t="s">
        <v>4273</v>
      </c>
      <c r="C1314" s="31">
        <v>8.07025031722E11</v>
      </c>
      <c r="D1314" s="31" t="s">
        <v>4274</v>
      </c>
      <c r="E1314" s="31" t="s">
        <v>4275</v>
      </c>
      <c r="F1314" s="31" t="s">
        <v>4276</v>
      </c>
      <c r="G1314" s="31" t="s">
        <v>20</v>
      </c>
      <c r="H1314" s="31" t="s">
        <v>20</v>
      </c>
      <c r="I1314" s="31" t="s">
        <v>4086</v>
      </c>
      <c r="J1314" s="31">
        <v>3.875394328E9</v>
      </c>
      <c r="K1314" s="31" t="s">
        <v>35</v>
      </c>
      <c r="L1314" s="31" t="s">
        <v>3188</v>
      </c>
      <c r="M1314" s="33">
        <v>1.0</v>
      </c>
      <c r="N1314" s="34"/>
      <c r="O1314" s="34"/>
    </row>
    <row r="1315">
      <c r="A1315" s="85">
        <v>45833.0</v>
      </c>
      <c r="B1315" s="31" t="s">
        <v>4273</v>
      </c>
      <c r="C1315" s="31">
        <v>8.07025031722E11</v>
      </c>
      <c r="D1315" s="31" t="s">
        <v>4274</v>
      </c>
      <c r="E1315" s="31" t="s">
        <v>4275</v>
      </c>
      <c r="F1315" s="31" t="s">
        <v>4276</v>
      </c>
      <c r="G1315" s="31" t="s">
        <v>20</v>
      </c>
      <c r="H1315" s="31" t="s">
        <v>20</v>
      </c>
      <c r="I1315" s="31" t="s">
        <v>4086</v>
      </c>
      <c r="J1315" s="31">
        <v>3.875394328E9</v>
      </c>
      <c r="K1315" s="31" t="s">
        <v>512</v>
      </c>
      <c r="L1315" s="31" t="s">
        <v>513</v>
      </c>
      <c r="M1315" s="33">
        <v>6.0</v>
      </c>
      <c r="N1315" s="34"/>
      <c r="O1315" s="34"/>
    </row>
    <row r="1316">
      <c r="A1316" s="85">
        <v>45833.0</v>
      </c>
      <c r="B1316" s="31" t="s">
        <v>4277</v>
      </c>
      <c r="C1316" s="31">
        <v>8.07025031773E11</v>
      </c>
      <c r="D1316" s="31" t="s">
        <v>4278</v>
      </c>
      <c r="E1316" s="31" t="s">
        <v>4279</v>
      </c>
      <c r="F1316" s="31" t="s">
        <v>4280</v>
      </c>
      <c r="G1316" s="31" t="s">
        <v>1986</v>
      </c>
      <c r="H1316" s="31" t="s">
        <v>20</v>
      </c>
      <c r="I1316" s="31">
        <v>4403.0</v>
      </c>
      <c r="J1316" s="31">
        <v>3.875198046E9</v>
      </c>
      <c r="K1316" s="31" t="s">
        <v>3407</v>
      </c>
      <c r="L1316" s="31" t="s">
        <v>3408</v>
      </c>
      <c r="M1316" s="33">
        <v>2.0</v>
      </c>
      <c r="N1316" s="34"/>
      <c r="O1316" s="34"/>
    </row>
    <row r="1317">
      <c r="A1317" s="85">
        <v>45833.0</v>
      </c>
      <c r="B1317" s="31" t="s">
        <v>4281</v>
      </c>
      <c r="C1317" s="31">
        <v>8.05011538579E11</v>
      </c>
      <c r="D1317" s="31" t="s">
        <v>4282</v>
      </c>
      <c r="E1317" s="31" t="s">
        <v>4283</v>
      </c>
      <c r="F1317" s="31" t="s">
        <v>4284</v>
      </c>
      <c r="G1317" s="31" t="s">
        <v>20</v>
      </c>
      <c r="H1317" s="31" t="s">
        <v>20</v>
      </c>
      <c r="I1317" s="31">
        <v>4400.0</v>
      </c>
      <c r="J1317" s="31">
        <v>3.87569254E9</v>
      </c>
      <c r="K1317" s="31" t="s">
        <v>50</v>
      </c>
      <c r="L1317" s="31" t="s">
        <v>51</v>
      </c>
      <c r="M1317" s="33">
        <v>1.0</v>
      </c>
      <c r="N1317" s="34"/>
      <c r="O1317" s="34"/>
    </row>
    <row r="1318">
      <c r="A1318" s="85">
        <v>45833.0</v>
      </c>
      <c r="B1318" s="31" t="s">
        <v>4281</v>
      </c>
      <c r="C1318" s="31">
        <v>8.05011538579E11</v>
      </c>
      <c r="D1318" s="31" t="s">
        <v>4282</v>
      </c>
      <c r="E1318" s="31" t="s">
        <v>4283</v>
      </c>
      <c r="F1318" s="31" t="s">
        <v>4284</v>
      </c>
      <c r="G1318" s="31" t="s">
        <v>20</v>
      </c>
      <c r="H1318" s="31" t="s">
        <v>20</v>
      </c>
      <c r="I1318" s="31">
        <v>4400.0</v>
      </c>
      <c r="J1318" s="31">
        <v>3.87569254E9</v>
      </c>
      <c r="K1318" s="31" t="s">
        <v>512</v>
      </c>
      <c r="L1318" s="31" t="s">
        <v>513</v>
      </c>
      <c r="M1318" s="33">
        <v>6.0</v>
      </c>
      <c r="N1318" s="34"/>
      <c r="O1318" s="34"/>
    </row>
    <row r="1319">
      <c r="A1319" s="85">
        <v>45833.0</v>
      </c>
      <c r="B1319" s="31" t="s">
        <v>4281</v>
      </c>
      <c r="C1319" s="31">
        <v>8.05011538579E11</v>
      </c>
      <c r="D1319" s="31" t="s">
        <v>4282</v>
      </c>
      <c r="E1319" s="31" t="s">
        <v>4283</v>
      </c>
      <c r="F1319" s="31" t="s">
        <v>4284</v>
      </c>
      <c r="G1319" s="31" t="s">
        <v>20</v>
      </c>
      <c r="H1319" s="31" t="s">
        <v>20</v>
      </c>
      <c r="I1319" s="31">
        <v>4400.0</v>
      </c>
      <c r="J1319" s="31">
        <v>3.87569254E9</v>
      </c>
      <c r="K1319" s="31" t="s">
        <v>25</v>
      </c>
      <c r="L1319" s="31" t="s">
        <v>3401</v>
      </c>
      <c r="M1319" s="33">
        <v>1.0</v>
      </c>
      <c r="N1319" s="34"/>
      <c r="O1319" s="34"/>
    </row>
    <row r="1320">
      <c r="A1320" s="85">
        <v>45833.0</v>
      </c>
      <c r="B1320" s="31" t="s">
        <v>4285</v>
      </c>
      <c r="C1320" s="31">
        <v>8.07025031782E11</v>
      </c>
      <c r="D1320" s="31" t="s">
        <v>4286</v>
      </c>
      <c r="E1320" s="31" t="s">
        <v>4287</v>
      </c>
      <c r="F1320" s="31" t="s">
        <v>4288</v>
      </c>
      <c r="G1320" s="31" t="s">
        <v>20</v>
      </c>
      <c r="H1320" s="31" t="s">
        <v>20</v>
      </c>
      <c r="I1320" s="31" t="s">
        <v>1878</v>
      </c>
      <c r="J1320" s="31">
        <v>3.876000401E9</v>
      </c>
      <c r="K1320" s="31" t="s">
        <v>2537</v>
      </c>
      <c r="L1320" s="31" t="s">
        <v>3955</v>
      </c>
      <c r="M1320" s="33">
        <v>1.0</v>
      </c>
      <c r="N1320" s="34"/>
      <c r="O1320" s="34"/>
    </row>
    <row r="1321">
      <c r="A1321" s="85">
        <v>45833.0</v>
      </c>
      <c r="B1321" s="31" t="s">
        <v>4289</v>
      </c>
      <c r="C1321" s="31">
        <v>8.07025031783E11</v>
      </c>
      <c r="D1321" s="31" t="s">
        <v>4290</v>
      </c>
      <c r="E1321" s="31" t="s">
        <v>4291</v>
      </c>
      <c r="F1321" s="31" t="s">
        <v>115</v>
      </c>
      <c r="G1321" s="31" t="s">
        <v>104</v>
      </c>
      <c r="H1321" s="31" t="s">
        <v>20</v>
      </c>
      <c r="I1321" s="31">
        <v>4400.0</v>
      </c>
      <c r="J1321" s="31">
        <v>3.875441837E9</v>
      </c>
      <c r="K1321" s="31" t="s">
        <v>659</v>
      </c>
      <c r="L1321" s="31" t="s">
        <v>3468</v>
      </c>
      <c r="M1321" s="33">
        <v>1.0</v>
      </c>
      <c r="N1321" s="34"/>
      <c r="O1321" s="34"/>
    </row>
    <row r="1322">
      <c r="A1322" s="85">
        <v>45833.0</v>
      </c>
      <c r="B1322" s="31" t="s">
        <v>4289</v>
      </c>
      <c r="C1322" s="31">
        <v>8.07025031783E11</v>
      </c>
      <c r="D1322" s="31" t="s">
        <v>4290</v>
      </c>
      <c r="E1322" s="31" t="s">
        <v>4291</v>
      </c>
      <c r="F1322" s="31" t="s">
        <v>115</v>
      </c>
      <c r="G1322" s="31" t="s">
        <v>104</v>
      </c>
      <c r="H1322" s="31" t="s">
        <v>20</v>
      </c>
      <c r="I1322" s="31">
        <v>4400.0</v>
      </c>
      <c r="J1322" s="31">
        <v>3.875441837E9</v>
      </c>
      <c r="K1322" s="31" t="s">
        <v>512</v>
      </c>
      <c r="L1322" s="31" t="s">
        <v>513</v>
      </c>
      <c r="M1322" s="33">
        <v>6.0</v>
      </c>
      <c r="N1322" s="34"/>
      <c r="O1322" s="34"/>
    </row>
    <row r="1323">
      <c r="A1323" s="85">
        <v>45833.0</v>
      </c>
      <c r="B1323" s="31" t="s">
        <v>4289</v>
      </c>
      <c r="C1323" s="31">
        <v>8.07025031783E11</v>
      </c>
      <c r="D1323" s="31" t="s">
        <v>4290</v>
      </c>
      <c r="E1323" s="31" t="s">
        <v>4291</v>
      </c>
      <c r="F1323" s="31" t="s">
        <v>115</v>
      </c>
      <c r="G1323" s="31" t="s">
        <v>104</v>
      </c>
      <c r="H1323" s="31" t="s">
        <v>20</v>
      </c>
      <c r="I1323" s="31">
        <v>4400.0</v>
      </c>
      <c r="J1323" s="31">
        <v>3.875441837E9</v>
      </c>
      <c r="K1323" s="31" t="s">
        <v>35</v>
      </c>
      <c r="L1323" s="31" t="s">
        <v>3188</v>
      </c>
      <c r="M1323" s="33">
        <v>1.0</v>
      </c>
      <c r="N1323" s="34"/>
      <c r="O1323" s="34"/>
    </row>
    <row r="1324">
      <c r="A1324" s="85">
        <v>45833.0</v>
      </c>
      <c r="B1324" s="31" t="s">
        <v>4292</v>
      </c>
      <c r="C1324" s="31">
        <v>8.0702503179E11</v>
      </c>
      <c r="D1324" s="31" t="s">
        <v>4293</v>
      </c>
      <c r="E1324" s="31" t="s">
        <v>4294</v>
      </c>
      <c r="F1324" s="31" t="s">
        <v>126</v>
      </c>
      <c r="G1324" s="31" t="s">
        <v>127</v>
      </c>
      <c r="H1324" s="31" t="s">
        <v>20</v>
      </c>
      <c r="I1324" s="31">
        <v>4400.0</v>
      </c>
      <c r="J1324" s="31">
        <v>3.875705935E9</v>
      </c>
      <c r="K1324" s="31" t="s">
        <v>35</v>
      </c>
      <c r="L1324" s="31" t="s">
        <v>3188</v>
      </c>
      <c r="M1324" s="33">
        <v>1.0</v>
      </c>
      <c r="N1324" s="34"/>
      <c r="O1324" s="34"/>
    </row>
    <row r="1325">
      <c r="A1325" s="85">
        <v>45833.0</v>
      </c>
      <c r="B1325" s="31" t="s">
        <v>4292</v>
      </c>
      <c r="C1325" s="31">
        <v>8.0702503179E11</v>
      </c>
      <c r="D1325" s="31" t="s">
        <v>4293</v>
      </c>
      <c r="E1325" s="31" t="s">
        <v>4294</v>
      </c>
      <c r="F1325" s="31" t="s">
        <v>126</v>
      </c>
      <c r="G1325" s="31" t="s">
        <v>127</v>
      </c>
      <c r="H1325" s="31" t="s">
        <v>20</v>
      </c>
      <c r="I1325" s="31">
        <v>4400.0</v>
      </c>
      <c r="J1325" s="31">
        <v>3.875705935E9</v>
      </c>
      <c r="K1325" s="31" t="s">
        <v>659</v>
      </c>
      <c r="L1325" s="31" t="s">
        <v>3468</v>
      </c>
      <c r="M1325" s="33">
        <v>1.0</v>
      </c>
      <c r="N1325" s="34"/>
      <c r="O1325" s="34"/>
    </row>
    <row r="1326">
      <c r="A1326" s="85">
        <v>45833.0</v>
      </c>
      <c r="B1326" s="31" t="s">
        <v>4292</v>
      </c>
      <c r="C1326" s="31">
        <v>8.0702503179E11</v>
      </c>
      <c r="D1326" s="31" t="s">
        <v>4293</v>
      </c>
      <c r="E1326" s="31" t="s">
        <v>4294</v>
      </c>
      <c r="F1326" s="31" t="s">
        <v>126</v>
      </c>
      <c r="G1326" s="31" t="s">
        <v>127</v>
      </c>
      <c r="H1326" s="31" t="s">
        <v>20</v>
      </c>
      <c r="I1326" s="31">
        <v>4400.0</v>
      </c>
      <c r="J1326" s="31">
        <v>3.875705935E9</v>
      </c>
      <c r="K1326" s="31" t="s">
        <v>512</v>
      </c>
      <c r="L1326" s="31" t="s">
        <v>513</v>
      </c>
      <c r="M1326" s="33">
        <v>6.0</v>
      </c>
      <c r="N1326" s="34"/>
      <c r="O1326" s="34"/>
    </row>
    <row r="1327">
      <c r="A1327" s="85">
        <v>45833.0</v>
      </c>
      <c r="B1327" s="31" t="s">
        <v>4295</v>
      </c>
      <c r="C1327" s="31">
        <v>8.07025031797E11</v>
      </c>
      <c r="D1327" s="31" t="s">
        <v>4296</v>
      </c>
      <c r="E1327" s="31" t="s">
        <v>4297</v>
      </c>
      <c r="F1327" s="31" t="s">
        <v>4298</v>
      </c>
      <c r="G1327" s="31" t="s">
        <v>104</v>
      </c>
      <c r="H1327" s="31" t="s">
        <v>20</v>
      </c>
      <c r="I1327" s="31">
        <v>4400.0</v>
      </c>
      <c r="J1327" s="31">
        <v>4167900.0</v>
      </c>
      <c r="K1327" s="31" t="s">
        <v>659</v>
      </c>
      <c r="L1327" s="31" t="s">
        <v>3468</v>
      </c>
      <c r="M1327" s="33">
        <v>1.0</v>
      </c>
      <c r="N1327" s="34"/>
      <c r="O1327" s="34"/>
    </row>
    <row r="1328">
      <c r="A1328" s="85">
        <v>45833.0</v>
      </c>
      <c r="B1328" s="31" t="s">
        <v>4295</v>
      </c>
      <c r="C1328" s="31">
        <v>8.07025031797E11</v>
      </c>
      <c r="D1328" s="31" t="s">
        <v>4296</v>
      </c>
      <c r="E1328" s="31" t="s">
        <v>4297</v>
      </c>
      <c r="F1328" s="31" t="s">
        <v>4298</v>
      </c>
      <c r="G1328" s="31" t="s">
        <v>104</v>
      </c>
      <c r="H1328" s="31" t="s">
        <v>20</v>
      </c>
      <c r="I1328" s="31">
        <v>4400.0</v>
      </c>
      <c r="J1328" s="31">
        <v>4167900.0</v>
      </c>
      <c r="K1328" s="31" t="s">
        <v>35</v>
      </c>
      <c r="L1328" s="31" t="s">
        <v>3188</v>
      </c>
      <c r="M1328" s="33">
        <v>1.0</v>
      </c>
      <c r="N1328" s="34"/>
      <c r="O1328" s="34"/>
    </row>
    <row r="1329">
      <c r="A1329" s="85">
        <v>45833.0</v>
      </c>
      <c r="B1329" s="31" t="s">
        <v>4295</v>
      </c>
      <c r="C1329" s="31">
        <v>8.07025031797E11</v>
      </c>
      <c r="D1329" s="31" t="s">
        <v>4296</v>
      </c>
      <c r="E1329" s="31" t="s">
        <v>4297</v>
      </c>
      <c r="F1329" s="31" t="s">
        <v>4298</v>
      </c>
      <c r="G1329" s="31" t="s">
        <v>104</v>
      </c>
      <c r="H1329" s="31" t="s">
        <v>20</v>
      </c>
      <c r="I1329" s="31">
        <v>4400.0</v>
      </c>
      <c r="J1329" s="31">
        <v>4167900.0</v>
      </c>
      <c r="K1329" s="31">
        <v>208501.0</v>
      </c>
      <c r="L1329" s="31" t="s">
        <v>481</v>
      </c>
      <c r="M1329" s="33">
        <v>2.0</v>
      </c>
      <c r="N1329" s="34"/>
      <c r="O1329" s="34"/>
    </row>
    <row r="1330">
      <c r="A1330" s="85">
        <v>45833.0</v>
      </c>
      <c r="B1330" s="31" t="s">
        <v>4299</v>
      </c>
      <c r="C1330" s="31">
        <v>8.05011538864E11</v>
      </c>
      <c r="D1330" s="31" t="s">
        <v>4300</v>
      </c>
      <c r="E1330" s="31" t="s">
        <v>4301</v>
      </c>
      <c r="F1330" s="31" t="s">
        <v>4302</v>
      </c>
      <c r="G1330" s="31" t="s">
        <v>20</v>
      </c>
      <c r="H1330" s="31" t="s">
        <v>20</v>
      </c>
      <c r="I1330" s="31">
        <v>4412.0</v>
      </c>
      <c r="J1330" s="31">
        <v>3.872210736E9</v>
      </c>
      <c r="K1330" s="31" t="s">
        <v>32</v>
      </c>
      <c r="L1330" s="31" t="s">
        <v>3225</v>
      </c>
      <c r="M1330" s="33">
        <v>1.0</v>
      </c>
      <c r="N1330" s="34"/>
      <c r="O1330" s="34"/>
    </row>
    <row r="1331">
      <c r="A1331" s="85">
        <v>45833.0</v>
      </c>
      <c r="B1331" s="31" t="s">
        <v>4299</v>
      </c>
      <c r="C1331" s="31">
        <v>8.05011538864E11</v>
      </c>
      <c r="D1331" s="31" t="s">
        <v>4300</v>
      </c>
      <c r="E1331" s="31" t="s">
        <v>4301</v>
      </c>
      <c r="F1331" s="31" t="s">
        <v>4302</v>
      </c>
      <c r="G1331" s="31" t="s">
        <v>20</v>
      </c>
      <c r="H1331" s="31" t="s">
        <v>20</v>
      </c>
      <c r="I1331" s="31">
        <v>4412.0</v>
      </c>
      <c r="J1331" s="31">
        <v>3.872210736E9</v>
      </c>
      <c r="K1331" s="31" t="s">
        <v>512</v>
      </c>
      <c r="L1331" s="31" t="s">
        <v>513</v>
      </c>
      <c r="M1331" s="33">
        <v>6.0</v>
      </c>
      <c r="N1331" s="34"/>
      <c r="O1331" s="34"/>
    </row>
    <row r="1332">
      <c r="A1332" s="85">
        <v>45833.0</v>
      </c>
      <c r="B1332" s="31" t="s">
        <v>4299</v>
      </c>
      <c r="C1332" s="31">
        <v>8.05011538864E11</v>
      </c>
      <c r="D1332" s="31" t="s">
        <v>4300</v>
      </c>
      <c r="E1332" s="31" t="s">
        <v>4301</v>
      </c>
      <c r="F1332" s="31" t="s">
        <v>4302</v>
      </c>
      <c r="G1332" s="31" t="s">
        <v>20</v>
      </c>
      <c r="H1332" s="31" t="s">
        <v>20</v>
      </c>
      <c r="I1332" s="31">
        <v>4412.0</v>
      </c>
      <c r="J1332" s="31">
        <v>3.872210736E9</v>
      </c>
      <c r="K1332" s="31" t="s">
        <v>670</v>
      </c>
      <c r="L1332" s="31" t="s">
        <v>3410</v>
      </c>
      <c r="M1332" s="33">
        <v>1.0</v>
      </c>
      <c r="N1332" s="34"/>
      <c r="O1332" s="34"/>
    </row>
    <row r="1333">
      <c r="A1333" s="85">
        <v>45833.0</v>
      </c>
      <c r="B1333" s="31" t="s">
        <v>4303</v>
      </c>
      <c r="C1333" s="31">
        <v>8.07025031818E11</v>
      </c>
      <c r="D1333" s="31" t="s">
        <v>4304</v>
      </c>
      <c r="E1333" s="31" t="s">
        <v>4305</v>
      </c>
      <c r="F1333" s="31" t="s">
        <v>4306</v>
      </c>
      <c r="G1333" s="31" t="s">
        <v>127</v>
      </c>
      <c r="H1333" s="31" t="s">
        <v>20</v>
      </c>
      <c r="I1333" s="31">
        <v>4400.0</v>
      </c>
      <c r="J1333" s="31">
        <v>3.874023335E9</v>
      </c>
      <c r="K1333" s="31" t="s">
        <v>2537</v>
      </c>
      <c r="L1333" s="31" t="s">
        <v>3955</v>
      </c>
      <c r="M1333" s="33">
        <v>1.0</v>
      </c>
      <c r="N1333" s="34"/>
      <c r="O1333" s="34"/>
    </row>
    <row r="1334">
      <c r="A1334" s="85">
        <v>45833.0</v>
      </c>
      <c r="B1334" s="31" t="s">
        <v>4303</v>
      </c>
      <c r="C1334" s="31">
        <v>8.07025031818E11</v>
      </c>
      <c r="D1334" s="31" t="s">
        <v>4304</v>
      </c>
      <c r="E1334" s="31" t="s">
        <v>4305</v>
      </c>
      <c r="F1334" s="31" t="s">
        <v>4306</v>
      </c>
      <c r="G1334" s="31" t="s">
        <v>127</v>
      </c>
      <c r="H1334" s="31" t="s">
        <v>20</v>
      </c>
      <c r="I1334" s="31">
        <v>4400.0</v>
      </c>
      <c r="J1334" s="31">
        <v>3.874023335E9</v>
      </c>
      <c r="K1334" s="31" t="s">
        <v>512</v>
      </c>
      <c r="L1334" s="31" t="s">
        <v>513</v>
      </c>
      <c r="M1334" s="33">
        <v>12.0</v>
      </c>
      <c r="N1334" s="34"/>
      <c r="O1334" s="34"/>
    </row>
    <row r="1335">
      <c r="A1335" s="85">
        <v>45833.0</v>
      </c>
      <c r="B1335" s="31" t="s">
        <v>4303</v>
      </c>
      <c r="C1335" s="31">
        <v>8.07025031818E11</v>
      </c>
      <c r="D1335" s="31" t="s">
        <v>4304</v>
      </c>
      <c r="E1335" s="31" t="s">
        <v>4305</v>
      </c>
      <c r="F1335" s="31" t="s">
        <v>4306</v>
      </c>
      <c r="G1335" s="31" t="s">
        <v>127</v>
      </c>
      <c r="H1335" s="31" t="s">
        <v>20</v>
      </c>
      <c r="I1335" s="31">
        <v>4400.0</v>
      </c>
      <c r="J1335" s="31">
        <v>3.874023335E9</v>
      </c>
      <c r="K1335" s="31" t="s">
        <v>340</v>
      </c>
      <c r="L1335" s="31" t="s">
        <v>3486</v>
      </c>
      <c r="M1335" s="33">
        <v>2.0</v>
      </c>
      <c r="N1335" s="34"/>
      <c r="O1335" s="34"/>
    </row>
    <row r="1336">
      <c r="A1336" s="85">
        <v>45833.0</v>
      </c>
      <c r="B1336" s="31" t="s">
        <v>4307</v>
      </c>
      <c r="C1336" s="31">
        <v>8.07025031815E11</v>
      </c>
      <c r="D1336" s="31" t="s">
        <v>4308</v>
      </c>
      <c r="E1336" s="31" t="s">
        <v>4309</v>
      </c>
      <c r="F1336" s="31" t="s">
        <v>115</v>
      </c>
      <c r="G1336" s="31" t="s">
        <v>127</v>
      </c>
      <c r="H1336" s="31" t="s">
        <v>20</v>
      </c>
      <c r="I1336" s="31">
        <v>4400.0</v>
      </c>
      <c r="J1336" s="31">
        <v>3.876323686E9</v>
      </c>
      <c r="K1336" s="31" t="s">
        <v>3790</v>
      </c>
      <c r="L1336" s="31" t="s">
        <v>3791</v>
      </c>
      <c r="M1336" s="33">
        <v>1.0</v>
      </c>
      <c r="N1336" s="34"/>
      <c r="O1336" s="34"/>
    </row>
    <row r="1337">
      <c r="A1337" s="85">
        <v>45833.0</v>
      </c>
      <c r="B1337" s="31" t="s">
        <v>4310</v>
      </c>
      <c r="C1337" s="31">
        <v>8.07025031824E11</v>
      </c>
      <c r="D1337" s="31" t="s">
        <v>4311</v>
      </c>
      <c r="E1337" s="31" t="s">
        <v>4312</v>
      </c>
      <c r="F1337" s="31" t="s">
        <v>126</v>
      </c>
      <c r="G1337" s="31" t="s">
        <v>127</v>
      </c>
      <c r="H1337" s="31" t="s">
        <v>20</v>
      </c>
      <c r="I1337" s="31">
        <v>4400.0</v>
      </c>
      <c r="J1337" s="31">
        <v>3.876129589E9</v>
      </c>
      <c r="K1337" s="31" t="s">
        <v>659</v>
      </c>
      <c r="L1337" s="31" t="s">
        <v>3468</v>
      </c>
      <c r="M1337" s="33">
        <v>1.0</v>
      </c>
      <c r="N1337" s="34"/>
      <c r="O1337" s="34"/>
    </row>
    <row r="1338">
      <c r="A1338" s="85">
        <v>45833.0</v>
      </c>
      <c r="B1338" s="31" t="s">
        <v>4310</v>
      </c>
      <c r="C1338" s="31">
        <v>8.07025031824E11</v>
      </c>
      <c r="D1338" s="31" t="s">
        <v>4311</v>
      </c>
      <c r="E1338" s="31" t="s">
        <v>4312</v>
      </c>
      <c r="F1338" s="31" t="s">
        <v>126</v>
      </c>
      <c r="G1338" s="31" t="s">
        <v>127</v>
      </c>
      <c r="H1338" s="31" t="s">
        <v>20</v>
      </c>
      <c r="I1338" s="31">
        <v>4400.0</v>
      </c>
      <c r="J1338" s="31">
        <v>3.876129589E9</v>
      </c>
      <c r="K1338" s="31" t="s">
        <v>512</v>
      </c>
      <c r="L1338" s="31" t="s">
        <v>513</v>
      </c>
      <c r="M1338" s="33">
        <v>6.0</v>
      </c>
      <c r="N1338" s="34"/>
      <c r="O1338" s="34"/>
    </row>
    <row r="1339">
      <c r="A1339" s="85">
        <v>45833.0</v>
      </c>
      <c r="B1339" s="31" t="s">
        <v>4310</v>
      </c>
      <c r="C1339" s="31">
        <v>8.07025031824E11</v>
      </c>
      <c r="D1339" s="31" t="s">
        <v>4311</v>
      </c>
      <c r="E1339" s="31" t="s">
        <v>4312</v>
      </c>
      <c r="F1339" s="31" t="s">
        <v>126</v>
      </c>
      <c r="G1339" s="31" t="s">
        <v>127</v>
      </c>
      <c r="H1339" s="31" t="s">
        <v>20</v>
      </c>
      <c r="I1339" s="31">
        <v>4400.0</v>
      </c>
      <c r="J1339" s="31">
        <v>3.876129589E9</v>
      </c>
      <c r="K1339" s="31" t="s">
        <v>35</v>
      </c>
      <c r="L1339" s="31" t="s">
        <v>3188</v>
      </c>
      <c r="M1339" s="33">
        <v>1.0</v>
      </c>
      <c r="N1339" s="34"/>
      <c r="O1339" s="34"/>
    </row>
    <row r="1340">
      <c r="A1340" s="85">
        <v>45833.0</v>
      </c>
      <c r="B1340" s="31" t="s">
        <v>4313</v>
      </c>
      <c r="C1340" s="31">
        <v>8.05011539031E11</v>
      </c>
      <c r="D1340" s="31" t="s">
        <v>4314</v>
      </c>
      <c r="E1340" s="31" t="s">
        <v>4315</v>
      </c>
      <c r="F1340" s="31" t="s">
        <v>4316</v>
      </c>
      <c r="G1340" s="31" t="s">
        <v>20</v>
      </c>
      <c r="H1340" s="31" t="s">
        <v>20</v>
      </c>
      <c r="I1340" s="31">
        <v>4400.0</v>
      </c>
      <c r="J1340" s="31">
        <v>3.875656228E9</v>
      </c>
      <c r="K1340" s="31" t="s">
        <v>3074</v>
      </c>
      <c r="L1340" s="31" t="s">
        <v>3232</v>
      </c>
      <c r="M1340" s="33">
        <v>1.0</v>
      </c>
      <c r="N1340" s="34"/>
      <c r="O1340" s="34"/>
    </row>
    <row r="1341">
      <c r="A1341" s="85">
        <v>45833.0</v>
      </c>
      <c r="B1341" s="31" t="s">
        <v>4317</v>
      </c>
      <c r="C1341" s="31">
        <v>8.05011538926E11</v>
      </c>
      <c r="D1341" s="31" t="s">
        <v>4318</v>
      </c>
      <c r="E1341" s="31" t="s">
        <v>4319</v>
      </c>
      <c r="F1341" s="31" t="s">
        <v>4320</v>
      </c>
      <c r="G1341" s="31" t="s">
        <v>1142</v>
      </c>
      <c r="H1341" s="31" t="s">
        <v>20</v>
      </c>
      <c r="I1341" s="31">
        <v>4430.0</v>
      </c>
      <c r="J1341" s="31"/>
      <c r="K1341" s="31" t="s">
        <v>512</v>
      </c>
      <c r="L1341" s="31" t="s">
        <v>513</v>
      </c>
      <c r="M1341" s="33">
        <v>6.0</v>
      </c>
      <c r="N1341" s="34"/>
      <c r="O1341" s="34"/>
    </row>
    <row r="1342">
      <c r="A1342" s="85">
        <v>45833.0</v>
      </c>
      <c r="B1342" s="31" t="s">
        <v>4317</v>
      </c>
      <c r="C1342" s="31">
        <v>8.05011538926E11</v>
      </c>
      <c r="D1342" s="31" t="s">
        <v>4318</v>
      </c>
      <c r="E1342" s="31" t="s">
        <v>4319</v>
      </c>
      <c r="F1342" s="31" t="s">
        <v>4320</v>
      </c>
      <c r="G1342" s="31" t="s">
        <v>1142</v>
      </c>
      <c r="H1342" s="31" t="s">
        <v>20</v>
      </c>
      <c r="I1342" s="31">
        <v>4430.0</v>
      </c>
      <c r="J1342" s="31"/>
      <c r="K1342" s="31" t="s">
        <v>98</v>
      </c>
      <c r="L1342" s="31" t="s">
        <v>3187</v>
      </c>
      <c r="M1342" s="33">
        <v>1.0</v>
      </c>
      <c r="N1342" s="34"/>
      <c r="O1342" s="34"/>
    </row>
    <row r="1343">
      <c r="A1343" s="85">
        <v>45833.0</v>
      </c>
      <c r="B1343" s="31" t="s">
        <v>4317</v>
      </c>
      <c r="C1343" s="31">
        <v>8.05011538926E11</v>
      </c>
      <c r="D1343" s="31" t="s">
        <v>4318</v>
      </c>
      <c r="E1343" s="31" t="s">
        <v>4319</v>
      </c>
      <c r="F1343" s="31" t="s">
        <v>4320</v>
      </c>
      <c r="G1343" s="31" t="s">
        <v>1142</v>
      </c>
      <c r="H1343" s="31" t="s">
        <v>20</v>
      </c>
      <c r="I1343" s="31">
        <v>4430.0</v>
      </c>
      <c r="J1343" s="31"/>
      <c r="K1343" s="31" t="s">
        <v>670</v>
      </c>
      <c r="L1343" s="31" t="s">
        <v>3410</v>
      </c>
      <c r="M1343" s="33">
        <v>1.0</v>
      </c>
      <c r="N1343" s="34"/>
      <c r="O1343" s="34"/>
    </row>
    <row r="1344">
      <c r="A1344" s="85">
        <v>45833.0</v>
      </c>
      <c r="B1344" s="31" t="s">
        <v>4321</v>
      </c>
      <c r="C1344" s="31">
        <v>8.05011538902E11</v>
      </c>
      <c r="D1344" s="31" t="s">
        <v>4322</v>
      </c>
      <c r="E1344" s="31" t="s">
        <v>4323</v>
      </c>
      <c r="F1344" s="31" t="s">
        <v>4324</v>
      </c>
      <c r="G1344" s="31" t="s">
        <v>486</v>
      </c>
      <c r="H1344" s="31" t="s">
        <v>20</v>
      </c>
      <c r="I1344" s="31">
        <v>4440.0</v>
      </c>
      <c r="J1344" s="31">
        <v>2.984530086E9</v>
      </c>
      <c r="K1344" s="31" t="s">
        <v>3074</v>
      </c>
      <c r="L1344" s="31" t="s">
        <v>3232</v>
      </c>
      <c r="M1344" s="33">
        <v>1.0</v>
      </c>
      <c r="N1344" s="34"/>
      <c r="O1344" s="34"/>
    </row>
    <row r="1345">
      <c r="A1345" s="85">
        <v>45833.0</v>
      </c>
      <c r="B1345" s="31" t="s">
        <v>4321</v>
      </c>
      <c r="C1345" s="31">
        <v>8.05011538902E11</v>
      </c>
      <c r="D1345" s="31" t="s">
        <v>4322</v>
      </c>
      <c r="E1345" s="31" t="s">
        <v>4323</v>
      </c>
      <c r="F1345" s="31" t="s">
        <v>4324</v>
      </c>
      <c r="G1345" s="31" t="s">
        <v>486</v>
      </c>
      <c r="H1345" s="31" t="s">
        <v>20</v>
      </c>
      <c r="I1345" s="31">
        <v>4440.0</v>
      </c>
      <c r="J1345" s="31">
        <v>2.984530086E9</v>
      </c>
      <c r="K1345" s="31" t="s">
        <v>512</v>
      </c>
      <c r="L1345" s="31" t="s">
        <v>513</v>
      </c>
      <c r="M1345" s="33">
        <v>6.0</v>
      </c>
      <c r="N1345" s="34"/>
      <c r="O1345" s="34"/>
    </row>
    <row r="1346">
      <c r="A1346" s="85">
        <v>45833.0</v>
      </c>
      <c r="B1346" s="31" t="s">
        <v>4321</v>
      </c>
      <c r="C1346" s="31">
        <v>8.05011538902E11</v>
      </c>
      <c r="D1346" s="31" t="s">
        <v>4322</v>
      </c>
      <c r="E1346" s="31" t="s">
        <v>4323</v>
      </c>
      <c r="F1346" s="31" t="s">
        <v>4324</v>
      </c>
      <c r="G1346" s="31" t="s">
        <v>486</v>
      </c>
      <c r="H1346" s="31" t="s">
        <v>20</v>
      </c>
      <c r="I1346" s="31">
        <v>4440.0</v>
      </c>
      <c r="J1346" s="31">
        <v>2.984530086E9</v>
      </c>
      <c r="K1346" s="31" t="s">
        <v>670</v>
      </c>
      <c r="L1346" s="31" t="s">
        <v>3410</v>
      </c>
      <c r="M1346" s="33">
        <v>1.0</v>
      </c>
      <c r="N1346" s="34"/>
      <c r="O1346" s="34"/>
    </row>
    <row r="1347">
      <c r="A1347" s="85">
        <v>45833.0</v>
      </c>
      <c r="B1347" s="31" t="s">
        <v>4325</v>
      </c>
      <c r="C1347" s="31">
        <v>8.0501153926E11</v>
      </c>
      <c r="D1347" s="31" t="s">
        <v>4326</v>
      </c>
      <c r="E1347" s="31" t="s">
        <v>4327</v>
      </c>
      <c r="F1347" s="31" t="s">
        <v>4328</v>
      </c>
      <c r="G1347" s="31" t="s">
        <v>20</v>
      </c>
      <c r="H1347" s="31" t="s">
        <v>20</v>
      </c>
      <c r="I1347" s="31">
        <v>4400.0</v>
      </c>
      <c r="J1347" s="31">
        <v>3.87566814E9</v>
      </c>
      <c r="K1347" s="31" t="s">
        <v>50</v>
      </c>
      <c r="L1347" s="31" t="s">
        <v>51</v>
      </c>
      <c r="M1347" s="33">
        <v>1.0</v>
      </c>
      <c r="N1347" s="34"/>
      <c r="O1347" s="34"/>
    </row>
    <row r="1348">
      <c r="A1348" s="85">
        <v>45833.0</v>
      </c>
      <c r="B1348" s="31" t="s">
        <v>4325</v>
      </c>
      <c r="C1348" s="31">
        <v>8.0501153926E11</v>
      </c>
      <c r="D1348" s="31" t="s">
        <v>4326</v>
      </c>
      <c r="E1348" s="31" t="s">
        <v>4327</v>
      </c>
      <c r="F1348" s="31" t="s">
        <v>4328</v>
      </c>
      <c r="G1348" s="31" t="s">
        <v>20</v>
      </c>
      <c r="H1348" s="31" t="s">
        <v>20</v>
      </c>
      <c r="I1348" s="31">
        <v>4400.0</v>
      </c>
      <c r="J1348" s="31">
        <v>3.87566814E9</v>
      </c>
      <c r="K1348" s="31" t="s">
        <v>512</v>
      </c>
      <c r="L1348" s="31" t="s">
        <v>513</v>
      </c>
      <c r="M1348" s="33">
        <v>6.0</v>
      </c>
      <c r="N1348" s="34"/>
      <c r="O1348" s="34"/>
    </row>
    <row r="1349">
      <c r="A1349" s="85">
        <v>45833.0</v>
      </c>
      <c r="B1349" s="31" t="s">
        <v>4325</v>
      </c>
      <c r="C1349" s="31">
        <v>8.0501153926E11</v>
      </c>
      <c r="D1349" s="31" t="s">
        <v>4326</v>
      </c>
      <c r="E1349" s="31" t="s">
        <v>4327</v>
      </c>
      <c r="F1349" s="31" t="s">
        <v>4328</v>
      </c>
      <c r="G1349" s="31" t="s">
        <v>20</v>
      </c>
      <c r="H1349" s="31" t="s">
        <v>20</v>
      </c>
      <c r="I1349" s="31">
        <v>4400.0</v>
      </c>
      <c r="J1349" s="31">
        <v>3.87566814E9</v>
      </c>
      <c r="K1349" s="31" t="s">
        <v>25</v>
      </c>
      <c r="L1349" s="31" t="s">
        <v>3401</v>
      </c>
      <c r="M1349" s="33">
        <v>1.0</v>
      </c>
      <c r="N1349" s="34"/>
      <c r="O1349" s="34"/>
    </row>
    <row r="1350" ht="6.75" customHeight="1">
      <c r="A1350" s="96"/>
      <c r="B1350" s="62"/>
      <c r="C1350" s="62"/>
      <c r="D1350" s="62"/>
      <c r="E1350" s="62"/>
      <c r="F1350" s="62"/>
      <c r="G1350" s="62"/>
      <c r="H1350" s="62"/>
      <c r="I1350" s="62"/>
      <c r="J1350" s="62"/>
      <c r="K1350" s="62"/>
      <c r="L1350" s="62"/>
      <c r="M1350" s="63"/>
      <c r="N1350" s="97"/>
      <c r="O1350" s="97"/>
    </row>
    <row r="1351" hidden="1">
      <c r="A1351" s="85">
        <v>45839.0</v>
      </c>
      <c r="B1351" s="31" t="s">
        <v>4329</v>
      </c>
      <c r="C1351" s="31">
        <v>8.07025031796E11</v>
      </c>
      <c r="D1351" s="31" t="s">
        <v>4296</v>
      </c>
      <c r="E1351" s="31" t="s">
        <v>4297</v>
      </c>
      <c r="F1351" s="31" t="s">
        <v>4298</v>
      </c>
      <c r="G1351" s="31" t="s">
        <v>104</v>
      </c>
      <c r="H1351" s="31" t="s">
        <v>20</v>
      </c>
      <c r="I1351" s="31">
        <v>4400.0</v>
      </c>
      <c r="J1351" s="31">
        <v>4167900.0</v>
      </c>
      <c r="K1351" s="31" t="s">
        <v>512</v>
      </c>
      <c r="L1351" s="31" t="s">
        <v>513</v>
      </c>
      <c r="M1351" s="33">
        <v>6.0</v>
      </c>
      <c r="N1351" s="34"/>
      <c r="O1351" s="34"/>
    </row>
    <row r="1352" hidden="1">
      <c r="A1352" s="85">
        <v>45839.0</v>
      </c>
      <c r="B1352" s="31" t="s">
        <v>4330</v>
      </c>
      <c r="C1352" s="31">
        <v>8.05011539058E11</v>
      </c>
      <c r="D1352" s="31" t="s">
        <v>4331</v>
      </c>
      <c r="E1352" s="31" t="s">
        <v>4332</v>
      </c>
      <c r="F1352" s="31" t="s">
        <v>4333</v>
      </c>
      <c r="G1352" s="31" t="s">
        <v>20</v>
      </c>
      <c r="H1352" s="31" t="s">
        <v>20</v>
      </c>
      <c r="I1352" s="31">
        <v>4400.0</v>
      </c>
      <c r="J1352" s="31">
        <v>3.875747964E9</v>
      </c>
      <c r="K1352" s="31">
        <v>125818.0</v>
      </c>
      <c r="L1352" s="31" t="s">
        <v>4334</v>
      </c>
      <c r="M1352" s="33">
        <v>2.0</v>
      </c>
      <c r="N1352" s="34"/>
      <c r="O1352" s="34"/>
    </row>
    <row r="1353" hidden="1">
      <c r="A1353" s="85">
        <v>45839.0</v>
      </c>
      <c r="B1353" s="31" t="s">
        <v>4330</v>
      </c>
      <c r="C1353" s="31">
        <v>8.05011539058E11</v>
      </c>
      <c r="D1353" s="31" t="s">
        <v>4331</v>
      </c>
      <c r="E1353" s="31" t="s">
        <v>4332</v>
      </c>
      <c r="F1353" s="31" t="s">
        <v>4333</v>
      </c>
      <c r="G1353" s="31" t="s">
        <v>20</v>
      </c>
      <c r="H1353" s="31" t="s">
        <v>20</v>
      </c>
      <c r="I1353" s="31">
        <v>4400.0</v>
      </c>
      <c r="J1353" s="31">
        <v>3.875747964E9</v>
      </c>
      <c r="K1353" s="31" t="s">
        <v>32</v>
      </c>
      <c r="L1353" s="31" t="s">
        <v>3225</v>
      </c>
      <c r="M1353" s="33">
        <v>1.0</v>
      </c>
      <c r="N1353" s="34"/>
      <c r="O1353" s="34"/>
    </row>
    <row r="1354" hidden="1">
      <c r="A1354" s="85">
        <v>45839.0</v>
      </c>
      <c r="B1354" s="31" t="s">
        <v>4330</v>
      </c>
      <c r="C1354" s="31">
        <v>8.05011539058E11</v>
      </c>
      <c r="D1354" s="31" t="s">
        <v>4331</v>
      </c>
      <c r="E1354" s="31" t="s">
        <v>4332</v>
      </c>
      <c r="F1354" s="31" t="s">
        <v>4333</v>
      </c>
      <c r="G1354" s="31" t="s">
        <v>20</v>
      </c>
      <c r="H1354" s="31" t="s">
        <v>20</v>
      </c>
      <c r="I1354" s="31">
        <v>4400.0</v>
      </c>
      <c r="J1354" s="31">
        <v>3.875747964E9</v>
      </c>
      <c r="K1354" s="31" t="s">
        <v>4335</v>
      </c>
      <c r="L1354" s="31" t="s">
        <v>4336</v>
      </c>
      <c r="M1354" s="33">
        <v>1.0</v>
      </c>
      <c r="N1354" s="34"/>
      <c r="O1354" s="34"/>
    </row>
    <row r="1355" hidden="1">
      <c r="A1355" s="85">
        <v>45839.0</v>
      </c>
      <c r="B1355" s="31" t="s">
        <v>4337</v>
      </c>
      <c r="C1355" s="31">
        <v>8.05011539473E11</v>
      </c>
      <c r="D1355" s="31" t="s">
        <v>4338</v>
      </c>
      <c r="E1355" s="31" t="s">
        <v>4339</v>
      </c>
      <c r="F1355" s="31" t="s">
        <v>4340</v>
      </c>
      <c r="G1355" s="31" t="s">
        <v>2177</v>
      </c>
      <c r="H1355" s="31" t="s">
        <v>20</v>
      </c>
      <c r="I1355" s="31">
        <v>4430.0</v>
      </c>
      <c r="J1355" s="31">
        <v>3.875932717E9</v>
      </c>
      <c r="K1355" s="31" t="s">
        <v>634</v>
      </c>
      <c r="L1355" s="31" t="s">
        <v>635</v>
      </c>
      <c r="M1355" s="33">
        <v>1.0</v>
      </c>
      <c r="N1355" s="34"/>
      <c r="O1355" s="34"/>
    </row>
    <row r="1356" hidden="1">
      <c r="A1356" s="85">
        <v>45839.0</v>
      </c>
      <c r="B1356" s="31" t="s">
        <v>4337</v>
      </c>
      <c r="C1356" s="31">
        <v>8.05011539473E11</v>
      </c>
      <c r="D1356" s="31" t="s">
        <v>4338</v>
      </c>
      <c r="E1356" s="31" t="s">
        <v>4339</v>
      </c>
      <c r="F1356" s="31" t="s">
        <v>4340</v>
      </c>
      <c r="G1356" s="31" t="s">
        <v>2177</v>
      </c>
      <c r="H1356" s="31" t="s">
        <v>20</v>
      </c>
      <c r="I1356" s="31">
        <v>4430.0</v>
      </c>
      <c r="J1356" s="31">
        <v>3.875932717E9</v>
      </c>
      <c r="K1356" s="31" t="s">
        <v>512</v>
      </c>
      <c r="L1356" s="31" t="s">
        <v>513</v>
      </c>
      <c r="M1356" s="33">
        <v>6.0</v>
      </c>
      <c r="N1356" s="34"/>
      <c r="O1356" s="34"/>
    </row>
    <row r="1357" hidden="1">
      <c r="A1357" s="85">
        <v>45839.0</v>
      </c>
      <c r="B1357" s="31" t="s">
        <v>4337</v>
      </c>
      <c r="C1357" s="31">
        <v>8.05011539473E11</v>
      </c>
      <c r="D1357" s="31" t="s">
        <v>4338</v>
      </c>
      <c r="E1357" s="31" t="s">
        <v>4339</v>
      </c>
      <c r="F1357" s="31" t="s">
        <v>4340</v>
      </c>
      <c r="G1357" s="31" t="s">
        <v>2177</v>
      </c>
      <c r="H1357" s="31" t="s">
        <v>20</v>
      </c>
      <c r="I1357" s="31">
        <v>4430.0</v>
      </c>
      <c r="J1357" s="31">
        <v>3.875932717E9</v>
      </c>
      <c r="K1357" s="31" t="s">
        <v>3447</v>
      </c>
      <c r="L1357" s="31" t="s">
        <v>3448</v>
      </c>
      <c r="M1357" s="33">
        <v>1.0</v>
      </c>
      <c r="N1357" s="34"/>
      <c r="O1357" s="34"/>
    </row>
    <row r="1358" hidden="1">
      <c r="A1358" s="85">
        <v>45839.0</v>
      </c>
      <c r="B1358" s="31" t="s">
        <v>4337</v>
      </c>
      <c r="C1358" s="31">
        <v>8.05011539473E11</v>
      </c>
      <c r="D1358" s="31" t="s">
        <v>4338</v>
      </c>
      <c r="E1358" s="31" t="s">
        <v>4339</v>
      </c>
      <c r="F1358" s="31" t="s">
        <v>4340</v>
      </c>
      <c r="G1358" s="31" t="s">
        <v>2177</v>
      </c>
      <c r="H1358" s="31" t="s">
        <v>20</v>
      </c>
      <c r="I1358" s="31">
        <v>4430.0</v>
      </c>
      <c r="J1358" s="31">
        <v>3.875932717E9</v>
      </c>
      <c r="K1358" s="31" t="s">
        <v>289</v>
      </c>
      <c r="L1358" s="31" t="s">
        <v>290</v>
      </c>
      <c r="M1358" s="33">
        <v>1.0</v>
      </c>
      <c r="N1358" s="34"/>
      <c r="O1358" s="34"/>
    </row>
    <row r="1359" hidden="1">
      <c r="A1359" s="85">
        <v>45839.0</v>
      </c>
      <c r="B1359" s="31" t="s">
        <v>4341</v>
      </c>
      <c r="C1359" s="31">
        <v>8.05011539493E11</v>
      </c>
      <c r="D1359" s="31" t="s">
        <v>4342</v>
      </c>
      <c r="E1359" s="31" t="s">
        <v>4343</v>
      </c>
      <c r="F1359" s="31" t="s">
        <v>4344</v>
      </c>
      <c r="G1359" s="31" t="s">
        <v>20</v>
      </c>
      <c r="H1359" s="31" t="s">
        <v>20</v>
      </c>
      <c r="I1359" s="31">
        <v>4400.0</v>
      </c>
      <c r="J1359" s="31">
        <v>3.874795581E9</v>
      </c>
      <c r="K1359" s="31" t="s">
        <v>3360</v>
      </c>
      <c r="L1359" s="31" t="s">
        <v>3361</v>
      </c>
      <c r="M1359" s="33">
        <v>1.0</v>
      </c>
      <c r="N1359" s="34"/>
      <c r="O1359" s="34"/>
    </row>
    <row r="1360" hidden="1">
      <c r="A1360" s="85">
        <v>45839.0</v>
      </c>
      <c r="B1360" s="31" t="s">
        <v>4341</v>
      </c>
      <c r="C1360" s="31">
        <v>8.05011539493E11</v>
      </c>
      <c r="D1360" s="31" t="s">
        <v>4342</v>
      </c>
      <c r="E1360" s="31" t="s">
        <v>4343</v>
      </c>
      <c r="F1360" s="31" t="s">
        <v>4344</v>
      </c>
      <c r="G1360" s="31" t="s">
        <v>20</v>
      </c>
      <c r="H1360" s="31" t="s">
        <v>20</v>
      </c>
      <c r="I1360" s="31">
        <v>4400.0</v>
      </c>
      <c r="J1360" s="31">
        <v>3.874795581E9</v>
      </c>
      <c r="K1360" s="31" t="s">
        <v>512</v>
      </c>
      <c r="L1360" s="31" t="s">
        <v>513</v>
      </c>
      <c r="M1360" s="33">
        <v>12.0</v>
      </c>
      <c r="N1360" s="34"/>
      <c r="O1360" s="34"/>
    </row>
    <row r="1361" hidden="1">
      <c r="A1361" s="85">
        <v>45839.0</v>
      </c>
      <c r="B1361" s="31" t="s">
        <v>4341</v>
      </c>
      <c r="C1361" s="31">
        <v>8.05011539493E11</v>
      </c>
      <c r="D1361" s="31" t="s">
        <v>4342</v>
      </c>
      <c r="E1361" s="31" t="s">
        <v>4343</v>
      </c>
      <c r="F1361" s="31" t="s">
        <v>4344</v>
      </c>
      <c r="G1361" s="31" t="s">
        <v>20</v>
      </c>
      <c r="H1361" s="31" t="s">
        <v>20</v>
      </c>
      <c r="I1361" s="31">
        <v>4400.0</v>
      </c>
      <c r="J1361" s="31">
        <v>3.874795581E9</v>
      </c>
      <c r="K1361" s="31" t="s">
        <v>772</v>
      </c>
      <c r="L1361" s="31" t="s">
        <v>3363</v>
      </c>
      <c r="M1361" s="33">
        <v>2.0</v>
      </c>
      <c r="N1361" s="34"/>
      <c r="O1361" s="34"/>
    </row>
    <row r="1362" hidden="1">
      <c r="A1362" s="85">
        <v>45839.0</v>
      </c>
      <c r="B1362" s="31" t="s">
        <v>4345</v>
      </c>
      <c r="C1362" s="31">
        <v>8.07025031899E11</v>
      </c>
      <c r="D1362" s="31" t="s">
        <v>4346</v>
      </c>
      <c r="E1362" s="31" t="s">
        <v>4347</v>
      </c>
      <c r="F1362" s="31" t="s">
        <v>4348</v>
      </c>
      <c r="G1362" s="31" t="s">
        <v>127</v>
      </c>
      <c r="H1362" s="31" t="s">
        <v>20</v>
      </c>
      <c r="I1362" s="31">
        <v>4400.0</v>
      </c>
      <c r="J1362" s="31">
        <v>3.878542218E9</v>
      </c>
      <c r="K1362" s="31" t="s">
        <v>2171</v>
      </c>
      <c r="L1362" s="31" t="s">
        <v>3446</v>
      </c>
      <c r="M1362" s="33">
        <v>3.0</v>
      </c>
      <c r="N1362" s="34"/>
      <c r="O1362" s="34"/>
    </row>
    <row r="1363" hidden="1">
      <c r="A1363" s="85">
        <v>45839.0</v>
      </c>
      <c r="B1363" s="31" t="s">
        <v>4349</v>
      </c>
      <c r="C1363" s="31">
        <v>8.07025031943E11</v>
      </c>
      <c r="D1363" s="31" t="s">
        <v>4350</v>
      </c>
      <c r="E1363" s="31" t="s">
        <v>4351</v>
      </c>
      <c r="F1363" s="31" t="s">
        <v>4352</v>
      </c>
      <c r="G1363" s="31" t="s">
        <v>116</v>
      </c>
      <c r="H1363" s="31" t="s">
        <v>20</v>
      </c>
      <c r="I1363" s="31">
        <v>4400.0</v>
      </c>
      <c r="J1363" s="31">
        <v>3.87585828E9</v>
      </c>
      <c r="K1363" s="31" t="s">
        <v>4353</v>
      </c>
      <c r="L1363" s="31" t="s">
        <v>4354</v>
      </c>
      <c r="M1363" s="33">
        <v>1.0</v>
      </c>
      <c r="N1363" s="34"/>
      <c r="O1363" s="34"/>
    </row>
    <row r="1364" hidden="1">
      <c r="A1364" s="85">
        <v>45839.0</v>
      </c>
      <c r="B1364" s="31" t="s">
        <v>4355</v>
      </c>
      <c r="C1364" s="31">
        <v>8.05011540112E11</v>
      </c>
      <c r="D1364" s="31" t="s">
        <v>4356</v>
      </c>
      <c r="E1364" s="31" t="s">
        <v>4357</v>
      </c>
      <c r="F1364" s="31" t="s">
        <v>4358</v>
      </c>
      <c r="G1364" s="31" t="s">
        <v>58</v>
      </c>
      <c r="H1364" s="31" t="s">
        <v>20</v>
      </c>
      <c r="I1364" s="31">
        <v>4400.0</v>
      </c>
      <c r="J1364" s="31">
        <v>3.877437667E9</v>
      </c>
      <c r="K1364" s="31" t="s">
        <v>22</v>
      </c>
      <c r="L1364" s="31" t="s">
        <v>4013</v>
      </c>
      <c r="M1364" s="33">
        <v>1.0</v>
      </c>
      <c r="N1364" s="34"/>
      <c r="O1364" s="34"/>
    </row>
    <row r="1365" hidden="1">
      <c r="A1365" s="98">
        <v>45839.0</v>
      </c>
      <c r="B1365" s="99" t="s">
        <v>4359</v>
      </c>
      <c r="C1365" s="99">
        <v>8.05011540121E11</v>
      </c>
      <c r="D1365" s="99" t="s">
        <v>4360</v>
      </c>
      <c r="E1365" s="99" t="s">
        <v>4361</v>
      </c>
      <c r="F1365" s="99" t="s">
        <v>4362</v>
      </c>
      <c r="G1365" s="99" t="s">
        <v>58</v>
      </c>
      <c r="H1365" s="99" t="s">
        <v>20</v>
      </c>
      <c r="I1365" s="99">
        <v>4400.0</v>
      </c>
      <c r="J1365" s="99">
        <v>3.877437667E9</v>
      </c>
      <c r="K1365" s="99" t="s">
        <v>22</v>
      </c>
      <c r="L1365" s="99" t="s">
        <v>4013</v>
      </c>
      <c r="M1365" s="100">
        <v>1.0</v>
      </c>
      <c r="N1365" s="101"/>
      <c r="O1365" s="99" t="s">
        <v>4363</v>
      </c>
    </row>
    <row r="1366" hidden="1">
      <c r="A1366" s="85">
        <v>45839.0</v>
      </c>
      <c r="B1366" s="31" t="s">
        <v>4364</v>
      </c>
      <c r="C1366" s="31">
        <v>8.0702503186E11</v>
      </c>
      <c r="D1366" s="31" t="s">
        <v>4365</v>
      </c>
      <c r="E1366" s="31" t="s">
        <v>4366</v>
      </c>
      <c r="F1366" s="31" t="s">
        <v>126</v>
      </c>
      <c r="G1366" s="31" t="s">
        <v>127</v>
      </c>
      <c r="H1366" s="31" t="s">
        <v>20</v>
      </c>
      <c r="I1366" s="31" t="s">
        <v>127</v>
      </c>
      <c r="J1366" s="31">
        <v>1.1497555363E10</v>
      </c>
      <c r="K1366" s="31" t="s">
        <v>1827</v>
      </c>
      <c r="L1366" s="31" t="s">
        <v>4367</v>
      </c>
      <c r="M1366" s="33">
        <v>12.0</v>
      </c>
      <c r="N1366" s="34"/>
      <c r="O1366" s="34"/>
    </row>
    <row r="1367" hidden="1">
      <c r="A1367" s="85">
        <v>45839.0</v>
      </c>
      <c r="B1367" s="31" t="s">
        <v>4364</v>
      </c>
      <c r="C1367" s="31">
        <v>8.0702503186E11</v>
      </c>
      <c r="D1367" s="31" t="s">
        <v>4365</v>
      </c>
      <c r="E1367" s="31" t="s">
        <v>4366</v>
      </c>
      <c r="F1367" s="31" t="s">
        <v>126</v>
      </c>
      <c r="G1367" s="31" t="s">
        <v>127</v>
      </c>
      <c r="H1367" s="31" t="s">
        <v>20</v>
      </c>
      <c r="I1367" s="31" t="s">
        <v>127</v>
      </c>
      <c r="J1367" s="31">
        <v>1.1497555363E10</v>
      </c>
      <c r="K1367" s="31" t="s">
        <v>4368</v>
      </c>
      <c r="L1367" s="31" t="s">
        <v>4369</v>
      </c>
      <c r="M1367" s="33">
        <v>12.0</v>
      </c>
      <c r="N1367" s="34"/>
      <c r="O1367" s="34"/>
    </row>
    <row r="1368" hidden="1">
      <c r="A1368" s="85">
        <v>45839.0</v>
      </c>
      <c r="B1368" s="31" t="s">
        <v>4370</v>
      </c>
      <c r="C1368" s="31">
        <v>8.07025031859E11</v>
      </c>
      <c r="D1368" s="31" t="s">
        <v>4365</v>
      </c>
      <c r="E1368" s="31" t="s">
        <v>4366</v>
      </c>
      <c r="F1368" s="31" t="s">
        <v>126</v>
      </c>
      <c r="G1368" s="31" t="s">
        <v>127</v>
      </c>
      <c r="H1368" s="31" t="s">
        <v>20</v>
      </c>
      <c r="I1368" s="31" t="s">
        <v>127</v>
      </c>
      <c r="J1368" s="31">
        <v>1.1497555363E10</v>
      </c>
      <c r="K1368" s="31" t="s">
        <v>512</v>
      </c>
      <c r="L1368" s="31" t="s">
        <v>513</v>
      </c>
      <c r="M1368" s="33">
        <v>72.0</v>
      </c>
      <c r="N1368" s="34"/>
      <c r="O1368" s="34"/>
    </row>
    <row r="1369" hidden="1">
      <c r="A1369" s="85">
        <v>45839.0</v>
      </c>
      <c r="B1369" s="31" t="s">
        <v>4371</v>
      </c>
      <c r="C1369" s="31">
        <v>8.05011540105E11</v>
      </c>
      <c r="D1369" s="31" t="s">
        <v>4372</v>
      </c>
      <c r="E1369" s="31" t="s">
        <v>4373</v>
      </c>
      <c r="F1369" s="31" t="s">
        <v>4374</v>
      </c>
      <c r="G1369" s="31" t="s">
        <v>20</v>
      </c>
      <c r="H1369" s="31" t="s">
        <v>20</v>
      </c>
      <c r="I1369" s="31">
        <v>4400.0</v>
      </c>
      <c r="J1369" s="31">
        <v>3.875506975E9</v>
      </c>
      <c r="K1369" s="31" t="s">
        <v>32</v>
      </c>
      <c r="L1369" s="31" t="s">
        <v>3225</v>
      </c>
      <c r="M1369" s="33">
        <v>1.0</v>
      </c>
      <c r="N1369" s="34"/>
      <c r="O1369" s="34"/>
    </row>
    <row r="1370" hidden="1">
      <c r="A1370" s="85">
        <v>45839.0</v>
      </c>
      <c r="B1370" s="31" t="s">
        <v>4375</v>
      </c>
      <c r="C1370" s="31">
        <v>8.07025031924E11</v>
      </c>
      <c r="D1370" s="31" t="s">
        <v>4376</v>
      </c>
      <c r="E1370" s="31" t="s">
        <v>4377</v>
      </c>
      <c r="F1370" s="31" t="s">
        <v>4378</v>
      </c>
      <c r="G1370" s="31" t="s">
        <v>1529</v>
      </c>
      <c r="H1370" s="31" t="s">
        <v>20</v>
      </c>
      <c r="I1370" s="31">
        <v>4400.0</v>
      </c>
      <c r="J1370" s="31">
        <v>3.876289009E9</v>
      </c>
      <c r="K1370" s="31" t="s">
        <v>4379</v>
      </c>
      <c r="L1370" s="31" t="s">
        <v>4380</v>
      </c>
      <c r="M1370" s="33">
        <v>1.0</v>
      </c>
      <c r="N1370" s="34"/>
      <c r="O1370" s="34"/>
    </row>
    <row r="1371" hidden="1">
      <c r="A1371" s="85">
        <v>45839.0</v>
      </c>
      <c r="B1371" s="31" t="s">
        <v>4381</v>
      </c>
      <c r="C1371" s="31">
        <v>8.07025031918E11</v>
      </c>
      <c r="D1371" s="31" t="s">
        <v>4382</v>
      </c>
      <c r="E1371" s="31" t="s">
        <v>4383</v>
      </c>
      <c r="F1371" s="31" t="s">
        <v>4384</v>
      </c>
      <c r="G1371" s="31" t="s">
        <v>1529</v>
      </c>
      <c r="H1371" s="31" t="s">
        <v>20</v>
      </c>
      <c r="I1371" s="31">
        <v>4400.0</v>
      </c>
      <c r="J1371" s="31">
        <v>3.874548406E9</v>
      </c>
      <c r="K1371" s="31" t="s">
        <v>2412</v>
      </c>
      <c r="L1371" s="31" t="s">
        <v>2413</v>
      </c>
      <c r="M1371" s="33">
        <v>1.0</v>
      </c>
      <c r="N1371" s="34"/>
      <c r="O1371" s="34"/>
    </row>
    <row r="1372" hidden="1">
      <c r="A1372" s="85">
        <v>45839.0</v>
      </c>
      <c r="B1372" s="31" t="s">
        <v>4385</v>
      </c>
      <c r="C1372" s="31">
        <v>8.07025031957E11</v>
      </c>
      <c r="D1372" s="31" t="s">
        <v>4386</v>
      </c>
      <c r="E1372" s="31" t="s">
        <v>4387</v>
      </c>
      <c r="F1372" s="31" t="s">
        <v>4388</v>
      </c>
      <c r="G1372" s="31" t="s">
        <v>127</v>
      </c>
      <c r="H1372" s="31" t="s">
        <v>20</v>
      </c>
      <c r="I1372" s="31">
        <v>4400.0</v>
      </c>
      <c r="J1372" s="31">
        <v>3.875275597E9</v>
      </c>
      <c r="K1372" s="31" t="s">
        <v>812</v>
      </c>
      <c r="L1372" s="31" t="s">
        <v>3564</v>
      </c>
      <c r="M1372" s="33">
        <v>1.0</v>
      </c>
      <c r="N1372" s="34"/>
      <c r="O1372" s="34"/>
    </row>
    <row r="1373" ht="9.75" hidden="1" customHeight="1">
      <c r="A1373" s="87"/>
      <c r="B1373" s="88"/>
      <c r="C1373" s="88"/>
      <c r="D1373" s="88"/>
      <c r="E1373" s="88"/>
      <c r="F1373" s="88"/>
      <c r="G1373" s="88"/>
      <c r="H1373" s="88"/>
      <c r="I1373" s="88"/>
      <c r="J1373" s="88"/>
      <c r="K1373" s="88"/>
      <c r="L1373" s="88"/>
      <c r="M1373" s="89"/>
      <c r="N1373" s="90"/>
      <c r="O1373" s="90"/>
    </row>
    <row r="1374" hidden="1">
      <c r="A1374" s="85">
        <v>45846.0</v>
      </c>
      <c r="B1374" s="31" t="s">
        <v>4389</v>
      </c>
      <c r="C1374" s="31">
        <v>8.05011540445E11</v>
      </c>
      <c r="D1374" s="31" t="s">
        <v>4390</v>
      </c>
      <c r="E1374" s="31" t="s">
        <v>4391</v>
      </c>
      <c r="F1374" s="31" t="s">
        <v>4392</v>
      </c>
      <c r="G1374" s="31" t="s">
        <v>1253</v>
      </c>
      <c r="H1374" s="31" t="s">
        <v>20</v>
      </c>
      <c r="I1374" s="31">
        <v>4427.0</v>
      </c>
      <c r="J1374" s="31">
        <v>3.868467158E9</v>
      </c>
      <c r="K1374" s="31" t="s">
        <v>2171</v>
      </c>
      <c r="L1374" s="31" t="s">
        <v>3446</v>
      </c>
      <c r="M1374" s="33">
        <v>3.0</v>
      </c>
      <c r="N1374" s="34"/>
      <c r="O1374" s="34"/>
    </row>
    <row r="1375" hidden="1">
      <c r="A1375" s="85">
        <v>45846.0</v>
      </c>
      <c r="B1375" s="31" t="s">
        <v>4393</v>
      </c>
      <c r="C1375" s="31">
        <v>8.07025032022E11</v>
      </c>
      <c r="D1375" s="31" t="s">
        <v>4394</v>
      </c>
      <c r="E1375" s="31" t="s">
        <v>4395</v>
      </c>
      <c r="F1375" s="31" t="s">
        <v>4396</v>
      </c>
      <c r="G1375" s="31" t="s">
        <v>4397</v>
      </c>
      <c r="H1375" s="31" t="s">
        <v>20</v>
      </c>
      <c r="I1375" s="31">
        <v>4400.0</v>
      </c>
      <c r="J1375" s="31">
        <v>3.876232581E9</v>
      </c>
      <c r="K1375" s="31" t="s">
        <v>512</v>
      </c>
      <c r="L1375" s="31" t="s">
        <v>513</v>
      </c>
      <c r="M1375" s="33">
        <v>18.0</v>
      </c>
      <c r="N1375" s="34"/>
      <c r="O1375" s="34"/>
    </row>
    <row r="1376" hidden="1">
      <c r="A1376" s="85">
        <v>45846.0</v>
      </c>
      <c r="B1376" s="31" t="s">
        <v>4393</v>
      </c>
      <c r="C1376" s="31">
        <v>8.07025032022E11</v>
      </c>
      <c r="D1376" s="31" t="s">
        <v>4394</v>
      </c>
      <c r="E1376" s="31" t="s">
        <v>4395</v>
      </c>
      <c r="F1376" s="31" t="s">
        <v>4396</v>
      </c>
      <c r="G1376" s="31" t="s">
        <v>4397</v>
      </c>
      <c r="H1376" s="31" t="s">
        <v>20</v>
      </c>
      <c r="I1376" s="31">
        <v>4400.0</v>
      </c>
      <c r="J1376" s="31">
        <v>3.876232581E9</v>
      </c>
      <c r="K1376" s="31" t="s">
        <v>512</v>
      </c>
      <c r="L1376" s="31" t="s">
        <v>513</v>
      </c>
      <c r="M1376" s="33">
        <v>12.0</v>
      </c>
      <c r="N1376" s="34"/>
      <c r="O1376" s="34"/>
    </row>
    <row r="1377" hidden="1">
      <c r="A1377" s="85">
        <v>45846.0</v>
      </c>
      <c r="B1377" s="31" t="s">
        <v>4398</v>
      </c>
      <c r="C1377" s="31">
        <v>8.07025032023E11</v>
      </c>
      <c r="D1377" s="31" t="s">
        <v>4394</v>
      </c>
      <c r="E1377" s="31" t="s">
        <v>4395</v>
      </c>
      <c r="F1377" s="31" t="s">
        <v>4396</v>
      </c>
      <c r="G1377" s="31" t="s">
        <v>4397</v>
      </c>
      <c r="H1377" s="31" t="s">
        <v>20</v>
      </c>
      <c r="I1377" s="31">
        <v>4400.0</v>
      </c>
      <c r="J1377" s="31">
        <v>3.876232581E9</v>
      </c>
      <c r="K1377" s="31" t="s">
        <v>233</v>
      </c>
      <c r="L1377" s="31" t="s">
        <v>3459</v>
      </c>
      <c r="M1377" s="33">
        <v>2.0</v>
      </c>
      <c r="N1377" s="34"/>
      <c r="O1377" s="34"/>
    </row>
    <row r="1378" hidden="1">
      <c r="A1378" s="85">
        <v>45846.0</v>
      </c>
      <c r="B1378" s="31" t="s">
        <v>4398</v>
      </c>
      <c r="C1378" s="31">
        <v>8.07025032023E11</v>
      </c>
      <c r="D1378" s="31" t="s">
        <v>4394</v>
      </c>
      <c r="E1378" s="31" t="s">
        <v>4395</v>
      </c>
      <c r="F1378" s="31" t="s">
        <v>4396</v>
      </c>
      <c r="G1378" s="31" t="s">
        <v>4397</v>
      </c>
      <c r="H1378" s="31" t="s">
        <v>20</v>
      </c>
      <c r="I1378" s="31">
        <v>4400.0</v>
      </c>
      <c r="J1378" s="31">
        <v>3.876232581E9</v>
      </c>
      <c r="K1378" s="31" t="s">
        <v>1937</v>
      </c>
      <c r="L1378" s="31" t="s">
        <v>4036</v>
      </c>
      <c r="M1378" s="33">
        <v>1.0</v>
      </c>
      <c r="N1378" s="34"/>
      <c r="O1378" s="34"/>
    </row>
    <row r="1379" hidden="1">
      <c r="A1379" s="85">
        <v>45846.0</v>
      </c>
      <c r="B1379" s="31" t="s">
        <v>4398</v>
      </c>
      <c r="C1379" s="31">
        <v>8.07025032023E11</v>
      </c>
      <c r="D1379" s="31" t="s">
        <v>4394</v>
      </c>
      <c r="E1379" s="31" t="s">
        <v>4395</v>
      </c>
      <c r="F1379" s="31" t="s">
        <v>4396</v>
      </c>
      <c r="G1379" s="31" t="s">
        <v>4397</v>
      </c>
      <c r="H1379" s="31" t="s">
        <v>20</v>
      </c>
      <c r="I1379" s="31">
        <v>4400.0</v>
      </c>
      <c r="J1379" s="31">
        <v>3.876232581E9</v>
      </c>
      <c r="K1379" s="31" t="s">
        <v>659</v>
      </c>
      <c r="L1379" s="31" t="s">
        <v>3468</v>
      </c>
      <c r="M1379" s="33">
        <v>3.0</v>
      </c>
      <c r="N1379" s="34"/>
      <c r="O1379" s="34"/>
    </row>
    <row r="1380" hidden="1">
      <c r="A1380" s="85">
        <v>45846.0</v>
      </c>
      <c r="B1380" s="31" t="s">
        <v>4398</v>
      </c>
      <c r="C1380" s="31">
        <v>8.07025032023E11</v>
      </c>
      <c r="D1380" s="31" t="s">
        <v>4394</v>
      </c>
      <c r="E1380" s="31" t="s">
        <v>4395</v>
      </c>
      <c r="F1380" s="31" t="s">
        <v>4396</v>
      </c>
      <c r="G1380" s="31" t="s">
        <v>4397</v>
      </c>
      <c r="H1380" s="31" t="s">
        <v>20</v>
      </c>
      <c r="I1380" s="31">
        <v>4400.0</v>
      </c>
      <c r="J1380" s="31">
        <v>3.876232581E9</v>
      </c>
      <c r="K1380" s="31" t="s">
        <v>35</v>
      </c>
      <c r="L1380" s="31" t="s">
        <v>3188</v>
      </c>
      <c r="M1380" s="33">
        <v>3.0</v>
      </c>
      <c r="N1380" s="34"/>
      <c r="O1380" s="34"/>
    </row>
    <row r="1381" hidden="1">
      <c r="A1381" s="85">
        <v>45846.0</v>
      </c>
      <c r="B1381" s="31" t="s">
        <v>4399</v>
      </c>
      <c r="C1381" s="31">
        <v>8.0501154077E11</v>
      </c>
      <c r="D1381" s="31" t="s">
        <v>4400</v>
      </c>
      <c r="E1381" s="31" t="s">
        <v>3870</v>
      </c>
      <c r="F1381" s="31" t="s">
        <v>3871</v>
      </c>
      <c r="G1381" s="31" t="s">
        <v>20</v>
      </c>
      <c r="H1381" s="31" t="s">
        <v>20</v>
      </c>
      <c r="I1381" s="31">
        <v>4400.0</v>
      </c>
      <c r="J1381" s="31">
        <v>3.875343997E9</v>
      </c>
      <c r="K1381" s="31" t="s">
        <v>3074</v>
      </c>
      <c r="L1381" s="31" t="s">
        <v>3232</v>
      </c>
      <c r="M1381" s="33">
        <v>1.0</v>
      </c>
      <c r="N1381" s="34"/>
      <c r="O1381" s="34"/>
    </row>
    <row r="1382" hidden="1">
      <c r="A1382" s="85">
        <v>45846.0</v>
      </c>
      <c r="B1382" s="31" t="s">
        <v>4401</v>
      </c>
      <c r="C1382" s="31">
        <v>8.05011540683E11</v>
      </c>
      <c r="D1382" s="31" t="s">
        <v>4402</v>
      </c>
      <c r="E1382" s="31" t="s">
        <v>4403</v>
      </c>
      <c r="F1382" s="31" t="s">
        <v>4404</v>
      </c>
      <c r="G1382" s="31" t="s">
        <v>2177</v>
      </c>
      <c r="H1382" s="31" t="s">
        <v>20</v>
      </c>
      <c r="I1382" s="31">
        <v>4432.0</v>
      </c>
      <c r="J1382" s="31">
        <v>3.876100669E9</v>
      </c>
      <c r="K1382" s="31" t="s">
        <v>4335</v>
      </c>
      <c r="L1382" s="31" t="s">
        <v>4336</v>
      </c>
      <c r="M1382" s="33">
        <v>1.0</v>
      </c>
      <c r="N1382" s="34"/>
      <c r="O1382" s="34"/>
    </row>
    <row r="1383" hidden="1">
      <c r="A1383" s="85">
        <v>45846.0</v>
      </c>
      <c r="B1383" s="31" t="s">
        <v>4401</v>
      </c>
      <c r="C1383" s="31">
        <v>8.05011540683E11</v>
      </c>
      <c r="D1383" s="31" t="s">
        <v>4402</v>
      </c>
      <c r="E1383" s="31" t="s">
        <v>4403</v>
      </c>
      <c r="F1383" s="31" t="s">
        <v>4404</v>
      </c>
      <c r="G1383" s="31" t="s">
        <v>2177</v>
      </c>
      <c r="H1383" s="31" t="s">
        <v>20</v>
      </c>
      <c r="I1383" s="31">
        <v>4432.0</v>
      </c>
      <c r="J1383" s="31">
        <v>3.876100669E9</v>
      </c>
      <c r="K1383" s="31" t="s">
        <v>32</v>
      </c>
      <c r="L1383" s="31" t="s">
        <v>3225</v>
      </c>
      <c r="M1383" s="33">
        <v>1.0</v>
      </c>
      <c r="N1383" s="34"/>
      <c r="O1383" s="34"/>
    </row>
    <row r="1384" hidden="1">
      <c r="A1384" s="85">
        <v>45846.0</v>
      </c>
      <c r="B1384" s="31" t="s">
        <v>4405</v>
      </c>
      <c r="C1384" s="31">
        <v>8.07025031985E11</v>
      </c>
      <c r="D1384" s="31" t="s">
        <v>4406</v>
      </c>
      <c r="E1384" s="31" t="s">
        <v>4407</v>
      </c>
      <c r="F1384" s="31" t="s">
        <v>4408</v>
      </c>
      <c r="G1384" s="31" t="s">
        <v>127</v>
      </c>
      <c r="H1384" s="31" t="s">
        <v>20</v>
      </c>
      <c r="I1384" s="31">
        <v>4400.0</v>
      </c>
      <c r="J1384" s="31">
        <v>3.875837458E9</v>
      </c>
      <c r="K1384" s="31" t="s">
        <v>701</v>
      </c>
      <c r="L1384" s="31" t="s">
        <v>4409</v>
      </c>
      <c r="M1384" s="33">
        <v>5.0</v>
      </c>
      <c r="N1384" s="34"/>
      <c r="O1384" s="34"/>
    </row>
    <row r="1385" hidden="1">
      <c r="A1385" s="85">
        <v>45846.0</v>
      </c>
      <c r="B1385" s="31" t="s">
        <v>4405</v>
      </c>
      <c r="C1385" s="31">
        <v>8.07025031985E11</v>
      </c>
      <c r="D1385" s="31" t="s">
        <v>4406</v>
      </c>
      <c r="E1385" s="31" t="s">
        <v>4407</v>
      </c>
      <c r="F1385" s="31" t="s">
        <v>4408</v>
      </c>
      <c r="G1385" s="31" t="s">
        <v>127</v>
      </c>
      <c r="H1385" s="31" t="s">
        <v>20</v>
      </c>
      <c r="I1385" s="31">
        <v>4400.0</v>
      </c>
      <c r="J1385" s="31">
        <v>3.875837458E9</v>
      </c>
      <c r="K1385" s="31" t="s">
        <v>698</v>
      </c>
      <c r="L1385" s="31" t="s">
        <v>699</v>
      </c>
      <c r="M1385" s="33">
        <v>5.0</v>
      </c>
      <c r="N1385" s="34"/>
      <c r="O1385" s="34"/>
    </row>
    <row r="1386" hidden="1">
      <c r="A1386" s="85">
        <v>45846.0</v>
      </c>
      <c r="B1386" s="31" t="s">
        <v>4410</v>
      </c>
      <c r="C1386" s="31">
        <v>8.07025031989E11</v>
      </c>
      <c r="D1386" s="31" t="s">
        <v>4411</v>
      </c>
      <c r="E1386" s="31" t="s">
        <v>4412</v>
      </c>
      <c r="F1386" s="31" t="s">
        <v>4413</v>
      </c>
      <c r="G1386" s="31" t="s">
        <v>127</v>
      </c>
      <c r="H1386" s="31" t="s">
        <v>20</v>
      </c>
      <c r="I1386" s="31">
        <v>4400.0</v>
      </c>
      <c r="J1386" s="31">
        <v>3.875225646E9</v>
      </c>
      <c r="K1386" s="31" t="s">
        <v>2171</v>
      </c>
      <c r="L1386" s="31" t="s">
        <v>3446</v>
      </c>
      <c r="M1386" s="33">
        <v>1.0</v>
      </c>
      <c r="N1386" s="34"/>
      <c r="O1386" s="34"/>
    </row>
    <row r="1387" hidden="1">
      <c r="A1387" s="85">
        <v>45846.0</v>
      </c>
      <c r="B1387" s="31" t="s">
        <v>4414</v>
      </c>
      <c r="C1387" s="31">
        <v>8.06621038524E11</v>
      </c>
      <c r="D1387" s="31" t="s">
        <v>4415</v>
      </c>
      <c r="E1387" s="31" t="s">
        <v>4416</v>
      </c>
      <c r="F1387" s="31" t="s">
        <v>4417</v>
      </c>
      <c r="G1387" s="31" t="s">
        <v>20</v>
      </c>
      <c r="H1387" s="31" t="s">
        <v>20</v>
      </c>
      <c r="I1387" s="31" t="s">
        <v>4086</v>
      </c>
      <c r="J1387" s="31">
        <v>3.875112153E9</v>
      </c>
      <c r="K1387" s="31" t="s">
        <v>659</v>
      </c>
      <c r="L1387" s="31" t="s">
        <v>3468</v>
      </c>
      <c r="M1387" s="33">
        <v>1.0</v>
      </c>
      <c r="N1387" s="34"/>
      <c r="O1387" s="34"/>
    </row>
    <row r="1388" hidden="1">
      <c r="A1388" s="85">
        <v>45846.0</v>
      </c>
      <c r="B1388" s="31" t="s">
        <v>4414</v>
      </c>
      <c r="C1388" s="31">
        <v>8.06621038524E11</v>
      </c>
      <c r="D1388" s="31" t="s">
        <v>4415</v>
      </c>
      <c r="E1388" s="31" t="s">
        <v>4416</v>
      </c>
      <c r="F1388" s="31" t="s">
        <v>4417</v>
      </c>
      <c r="G1388" s="31" t="s">
        <v>20</v>
      </c>
      <c r="H1388" s="31" t="s">
        <v>20</v>
      </c>
      <c r="I1388" s="31" t="s">
        <v>4086</v>
      </c>
      <c r="J1388" s="31">
        <v>3.875112153E9</v>
      </c>
      <c r="K1388" s="31" t="s">
        <v>985</v>
      </c>
      <c r="L1388" s="31" t="s">
        <v>3600</v>
      </c>
      <c r="M1388" s="33">
        <v>1.0</v>
      </c>
      <c r="N1388" s="34"/>
      <c r="O1388" s="34"/>
    </row>
    <row r="1389" hidden="1">
      <c r="A1389" s="85">
        <v>45846.0</v>
      </c>
      <c r="B1389" s="31" t="s">
        <v>4418</v>
      </c>
      <c r="C1389" s="31">
        <v>8.06621038525E11</v>
      </c>
      <c r="D1389" s="31" t="s">
        <v>4419</v>
      </c>
      <c r="E1389" s="31" t="s">
        <v>4420</v>
      </c>
      <c r="F1389" s="31" t="s">
        <v>4421</v>
      </c>
      <c r="G1389" s="31" t="s">
        <v>20</v>
      </c>
      <c r="H1389" s="31" t="s">
        <v>20</v>
      </c>
      <c r="I1389" s="31" t="s">
        <v>4086</v>
      </c>
      <c r="J1389" s="31">
        <v>3.875753573E9</v>
      </c>
      <c r="K1389" s="31" t="s">
        <v>985</v>
      </c>
      <c r="L1389" s="31" t="s">
        <v>3600</v>
      </c>
      <c r="M1389" s="33">
        <v>1.0</v>
      </c>
      <c r="N1389" s="34"/>
      <c r="O1389" s="34"/>
    </row>
    <row r="1390" hidden="1">
      <c r="A1390" s="85">
        <v>45846.0</v>
      </c>
      <c r="B1390" s="31" t="s">
        <v>4422</v>
      </c>
      <c r="C1390" s="31">
        <v>8.07025032037E11</v>
      </c>
      <c r="D1390" s="31" t="s">
        <v>4423</v>
      </c>
      <c r="E1390" s="31" t="s">
        <v>4424</v>
      </c>
      <c r="F1390" s="31" t="s">
        <v>4425</v>
      </c>
      <c r="G1390" s="31" t="s">
        <v>104</v>
      </c>
      <c r="H1390" s="31" t="s">
        <v>20</v>
      </c>
      <c r="I1390" s="31">
        <v>4400.0</v>
      </c>
      <c r="J1390" s="31">
        <v>3.874756186E9</v>
      </c>
      <c r="K1390" s="31" t="s">
        <v>1083</v>
      </c>
      <c r="L1390" s="31" t="s">
        <v>4426</v>
      </c>
      <c r="M1390" s="33">
        <v>1.0</v>
      </c>
      <c r="N1390" s="34"/>
      <c r="O1390" s="34"/>
    </row>
    <row r="1391" hidden="1">
      <c r="A1391" s="85">
        <v>45846.0</v>
      </c>
      <c r="B1391" s="31" t="s">
        <v>4422</v>
      </c>
      <c r="C1391" s="31">
        <v>8.07025032037E11</v>
      </c>
      <c r="D1391" s="31" t="s">
        <v>4423</v>
      </c>
      <c r="E1391" s="31" t="s">
        <v>4424</v>
      </c>
      <c r="F1391" s="31" t="s">
        <v>4425</v>
      </c>
      <c r="G1391" s="31" t="s">
        <v>104</v>
      </c>
      <c r="H1391" s="31" t="s">
        <v>20</v>
      </c>
      <c r="I1391" s="31">
        <v>4400.0</v>
      </c>
      <c r="J1391" s="31">
        <v>3.874756186E9</v>
      </c>
      <c r="K1391" s="31" t="s">
        <v>121</v>
      </c>
      <c r="L1391" s="31" t="s">
        <v>3199</v>
      </c>
      <c r="M1391" s="33">
        <v>2.0</v>
      </c>
      <c r="N1391" s="34"/>
      <c r="O1391" s="34"/>
    </row>
    <row r="1392" hidden="1">
      <c r="A1392" s="85">
        <v>45846.0</v>
      </c>
      <c r="B1392" s="31" t="s">
        <v>4427</v>
      </c>
      <c r="C1392" s="31">
        <v>8.07025032034E11</v>
      </c>
      <c r="D1392" s="31" t="s">
        <v>4428</v>
      </c>
      <c r="E1392" s="31" t="s">
        <v>4429</v>
      </c>
      <c r="F1392" s="31" t="s">
        <v>4430</v>
      </c>
      <c r="G1392" s="31" t="s">
        <v>127</v>
      </c>
      <c r="H1392" s="31" t="s">
        <v>20</v>
      </c>
      <c r="I1392" s="31">
        <v>4400.0</v>
      </c>
      <c r="J1392" s="31">
        <v>3.875742885E9</v>
      </c>
      <c r="K1392" s="31" t="s">
        <v>512</v>
      </c>
      <c r="L1392" s="31" t="s">
        <v>513</v>
      </c>
      <c r="M1392" s="33">
        <v>12.0</v>
      </c>
      <c r="N1392" s="34"/>
      <c r="O1392" s="34"/>
    </row>
    <row r="1393" hidden="1">
      <c r="A1393" s="85">
        <v>45846.0</v>
      </c>
      <c r="B1393" s="31" t="s">
        <v>4431</v>
      </c>
      <c r="C1393" s="31">
        <v>8.07025032035E11</v>
      </c>
      <c r="D1393" s="31" t="s">
        <v>4428</v>
      </c>
      <c r="E1393" s="31" t="s">
        <v>4429</v>
      </c>
      <c r="F1393" s="31" t="s">
        <v>4430</v>
      </c>
      <c r="G1393" s="31" t="s">
        <v>127</v>
      </c>
      <c r="H1393" s="31" t="s">
        <v>20</v>
      </c>
      <c r="I1393" s="31">
        <v>4400.0</v>
      </c>
      <c r="J1393" s="31">
        <v>3.875742885E9</v>
      </c>
      <c r="K1393" s="31" t="s">
        <v>1083</v>
      </c>
      <c r="L1393" s="31" t="s">
        <v>4426</v>
      </c>
      <c r="M1393" s="33">
        <v>1.0</v>
      </c>
      <c r="N1393" s="34"/>
      <c r="O1393" s="34"/>
    </row>
    <row r="1394" hidden="1">
      <c r="A1394" s="85">
        <v>45846.0</v>
      </c>
      <c r="B1394" s="31" t="s">
        <v>4431</v>
      </c>
      <c r="C1394" s="31">
        <v>8.07025032035E11</v>
      </c>
      <c r="D1394" s="31" t="s">
        <v>4428</v>
      </c>
      <c r="E1394" s="31" t="s">
        <v>4429</v>
      </c>
      <c r="F1394" s="31" t="s">
        <v>4430</v>
      </c>
      <c r="G1394" s="31" t="s">
        <v>127</v>
      </c>
      <c r="H1394" s="31" t="s">
        <v>20</v>
      </c>
      <c r="I1394" s="31">
        <v>4400.0</v>
      </c>
      <c r="J1394" s="31">
        <v>3.875742885E9</v>
      </c>
      <c r="K1394" s="31" t="s">
        <v>121</v>
      </c>
      <c r="L1394" s="31" t="s">
        <v>3199</v>
      </c>
      <c r="M1394" s="33">
        <v>2.0</v>
      </c>
      <c r="N1394" s="34"/>
      <c r="O1394" s="34"/>
    </row>
    <row r="1395" hidden="1">
      <c r="A1395" s="85">
        <v>45846.0</v>
      </c>
      <c r="B1395" s="31" t="s">
        <v>4432</v>
      </c>
      <c r="C1395" s="31">
        <v>8.07025032036E11</v>
      </c>
      <c r="D1395" s="31" t="s">
        <v>4423</v>
      </c>
      <c r="E1395" s="31" t="s">
        <v>4424</v>
      </c>
      <c r="F1395" s="31" t="s">
        <v>4425</v>
      </c>
      <c r="G1395" s="31" t="s">
        <v>104</v>
      </c>
      <c r="H1395" s="31" t="s">
        <v>20</v>
      </c>
      <c r="I1395" s="31">
        <v>4400.0</v>
      </c>
      <c r="J1395" s="31">
        <v>3.874756186E9</v>
      </c>
      <c r="K1395" s="31" t="s">
        <v>512</v>
      </c>
      <c r="L1395" s="31" t="s">
        <v>513</v>
      </c>
      <c r="M1395" s="33">
        <v>12.0</v>
      </c>
      <c r="N1395" s="34"/>
      <c r="O1395" s="34"/>
    </row>
    <row r="1396" hidden="1">
      <c r="A1396" s="85">
        <v>45846.0</v>
      </c>
      <c r="B1396" s="31" t="s">
        <v>4433</v>
      </c>
      <c r="C1396" s="31">
        <v>8.05011541066E11</v>
      </c>
      <c r="D1396" s="31" t="s">
        <v>4434</v>
      </c>
      <c r="E1396" s="31" t="s">
        <v>4435</v>
      </c>
      <c r="F1396" s="31" t="s">
        <v>4436</v>
      </c>
      <c r="G1396" s="31" t="s">
        <v>20</v>
      </c>
      <c r="H1396" s="31" t="s">
        <v>20</v>
      </c>
      <c r="I1396" s="31">
        <v>4400.0</v>
      </c>
      <c r="J1396" s="31">
        <v>3.87527999E9</v>
      </c>
      <c r="K1396" s="31" t="s">
        <v>2171</v>
      </c>
      <c r="L1396" s="31" t="s">
        <v>3446</v>
      </c>
      <c r="M1396" s="33">
        <v>2.0</v>
      </c>
      <c r="N1396" s="34"/>
      <c r="O1396" s="34"/>
    </row>
    <row r="1397" hidden="1">
      <c r="A1397" s="85">
        <v>45846.0</v>
      </c>
      <c r="B1397" s="31" t="s">
        <v>4433</v>
      </c>
      <c r="C1397" s="31">
        <v>8.05011541066E11</v>
      </c>
      <c r="D1397" s="31" t="s">
        <v>4434</v>
      </c>
      <c r="E1397" s="31" t="s">
        <v>4435</v>
      </c>
      <c r="F1397" s="31" t="s">
        <v>4436</v>
      </c>
      <c r="G1397" s="31" t="s">
        <v>20</v>
      </c>
      <c r="H1397" s="31" t="s">
        <v>20</v>
      </c>
      <c r="I1397" s="31">
        <v>4400.0</v>
      </c>
      <c r="J1397" s="31">
        <v>3.87527999E9</v>
      </c>
      <c r="K1397" s="31" t="s">
        <v>512</v>
      </c>
      <c r="L1397" s="31" t="s">
        <v>513</v>
      </c>
      <c r="M1397" s="33">
        <v>12.0</v>
      </c>
      <c r="N1397" s="34"/>
      <c r="O1397" s="34"/>
    </row>
    <row r="1398" hidden="1">
      <c r="A1398" s="85">
        <v>45846.0</v>
      </c>
      <c r="B1398" s="31" t="s">
        <v>4433</v>
      </c>
      <c r="C1398" s="31">
        <v>8.05011541066E11</v>
      </c>
      <c r="D1398" s="31" t="s">
        <v>4434</v>
      </c>
      <c r="E1398" s="31" t="s">
        <v>4435</v>
      </c>
      <c r="F1398" s="31" t="s">
        <v>4436</v>
      </c>
      <c r="G1398" s="31" t="s">
        <v>20</v>
      </c>
      <c r="H1398" s="31" t="s">
        <v>20</v>
      </c>
      <c r="I1398" s="31">
        <v>4400.0</v>
      </c>
      <c r="J1398" s="31">
        <v>3.87527999E9</v>
      </c>
      <c r="K1398" s="31" t="s">
        <v>3447</v>
      </c>
      <c r="L1398" s="31" t="s">
        <v>3448</v>
      </c>
      <c r="M1398" s="33">
        <v>2.0</v>
      </c>
      <c r="N1398" s="34"/>
      <c r="O1398" s="34"/>
    </row>
    <row r="1399" hidden="1">
      <c r="A1399" s="85">
        <v>45846.0</v>
      </c>
      <c r="B1399" s="31" t="s">
        <v>4437</v>
      </c>
      <c r="C1399" s="31">
        <v>8.05011541259E11</v>
      </c>
      <c r="D1399" s="31" t="s">
        <v>4438</v>
      </c>
      <c r="E1399" s="31" t="s">
        <v>4439</v>
      </c>
      <c r="F1399" s="31" t="s">
        <v>4440</v>
      </c>
      <c r="G1399" s="31" t="s">
        <v>20</v>
      </c>
      <c r="H1399" s="31" t="s">
        <v>20</v>
      </c>
      <c r="I1399" s="31">
        <v>4400.0</v>
      </c>
      <c r="J1399" s="31">
        <v>3.874796635E9</v>
      </c>
      <c r="K1399" s="31" t="s">
        <v>289</v>
      </c>
      <c r="L1399" s="31" t="s">
        <v>290</v>
      </c>
      <c r="M1399" s="33">
        <v>1.0</v>
      </c>
      <c r="N1399" s="34"/>
      <c r="O1399" s="34"/>
    </row>
    <row r="1400" hidden="1">
      <c r="A1400" s="85">
        <v>45846.0</v>
      </c>
      <c r="B1400" s="31" t="s">
        <v>4437</v>
      </c>
      <c r="C1400" s="31">
        <v>8.05011541259E11</v>
      </c>
      <c r="D1400" s="31" t="s">
        <v>4438</v>
      </c>
      <c r="E1400" s="31" t="s">
        <v>4439</v>
      </c>
      <c r="F1400" s="31" t="s">
        <v>4440</v>
      </c>
      <c r="G1400" s="31" t="s">
        <v>20</v>
      </c>
      <c r="H1400" s="31" t="s">
        <v>20</v>
      </c>
      <c r="I1400" s="31">
        <v>4400.0</v>
      </c>
      <c r="J1400" s="31">
        <v>3.874796635E9</v>
      </c>
      <c r="K1400" s="31" t="s">
        <v>512</v>
      </c>
      <c r="L1400" s="31" t="s">
        <v>513</v>
      </c>
      <c r="M1400" s="33">
        <v>6.0</v>
      </c>
      <c r="N1400" s="34"/>
      <c r="O1400" s="34"/>
    </row>
    <row r="1401" hidden="1">
      <c r="A1401" s="85">
        <v>45846.0</v>
      </c>
      <c r="B1401" s="31" t="s">
        <v>4437</v>
      </c>
      <c r="C1401" s="31">
        <v>8.05011541259E11</v>
      </c>
      <c r="D1401" s="31" t="s">
        <v>4438</v>
      </c>
      <c r="E1401" s="31" t="s">
        <v>4439</v>
      </c>
      <c r="F1401" s="31" t="s">
        <v>4440</v>
      </c>
      <c r="G1401" s="31" t="s">
        <v>20</v>
      </c>
      <c r="H1401" s="31" t="s">
        <v>20</v>
      </c>
      <c r="I1401" s="31">
        <v>4400.0</v>
      </c>
      <c r="J1401" s="31">
        <v>3.874796635E9</v>
      </c>
      <c r="K1401" s="31" t="s">
        <v>273</v>
      </c>
      <c r="L1401" s="31" t="s">
        <v>3594</v>
      </c>
      <c r="M1401" s="33">
        <v>1.0</v>
      </c>
      <c r="N1401" s="34"/>
      <c r="O1401" s="34"/>
    </row>
    <row r="1402" hidden="1">
      <c r="A1402" s="85">
        <v>45846.0</v>
      </c>
      <c r="B1402" s="31" t="s">
        <v>4441</v>
      </c>
      <c r="C1402" s="31">
        <v>8.05011541067E11</v>
      </c>
      <c r="D1402" s="31" t="s">
        <v>4442</v>
      </c>
      <c r="E1402" s="31" t="s">
        <v>4443</v>
      </c>
      <c r="F1402" s="31" t="s">
        <v>4444</v>
      </c>
      <c r="G1402" s="31" t="s">
        <v>582</v>
      </c>
      <c r="H1402" s="31" t="s">
        <v>20</v>
      </c>
      <c r="I1402" s="31">
        <v>4407.0</v>
      </c>
      <c r="J1402" s="31">
        <v>3.872137567E9</v>
      </c>
      <c r="K1402" s="31" t="s">
        <v>4445</v>
      </c>
      <c r="L1402" s="31" t="s">
        <v>4446</v>
      </c>
      <c r="M1402" s="33">
        <v>1.0</v>
      </c>
      <c r="N1402" s="34"/>
      <c r="O1402" s="34"/>
    </row>
    <row r="1403" hidden="1">
      <c r="A1403" s="85">
        <v>45846.0</v>
      </c>
      <c r="B1403" s="31" t="s">
        <v>4441</v>
      </c>
      <c r="C1403" s="31">
        <v>8.05011541067E11</v>
      </c>
      <c r="D1403" s="31" t="s">
        <v>4442</v>
      </c>
      <c r="E1403" s="31" t="s">
        <v>4443</v>
      </c>
      <c r="F1403" s="31" t="s">
        <v>4444</v>
      </c>
      <c r="G1403" s="31" t="s">
        <v>582</v>
      </c>
      <c r="H1403" s="31" t="s">
        <v>20</v>
      </c>
      <c r="I1403" s="31">
        <v>4407.0</v>
      </c>
      <c r="J1403" s="31">
        <v>3.872137567E9</v>
      </c>
      <c r="K1403" s="31" t="s">
        <v>512</v>
      </c>
      <c r="L1403" s="31" t="s">
        <v>513</v>
      </c>
      <c r="M1403" s="33">
        <v>12.0</v>
      </c>
      <c r="N1403" s="34"/>
      <c r="O1403" s="34"/>
    </row>
    <row r="1404" hidden="1">
      <c r="A1404" s="85">
        <v>45846.0</v>
      </c>
      <c r="B1404" s="31" t="s">
        <v>4441</v>
      </c>
      <c r="C1404" s="31">
        <v>8.05011541067E11</v>
      </c>
      <c r="D1404" s="31" t="s">
        <v>4442</v>
      </c>
      <c r="E1404" s="31" t="s">
        <v>4443</v>
      </c>
      <c r="F1404" s="31" t="s">
        <v>4444</v>
      </c>
      <c r="G1404" s="31" t="s">
        <v>582</v>
      </c>
      <c r="H1404" s="31" t="s">
        <v>20</v>
      </c>
      <c r="I1404" s="31">
        <v>4407.0</v>
      </c>
      <c r="J1404" s="31">
        <v>3.872137567E9</v>
      </c>
      <c r="K1404" s="31" t="s">
        <v>758</v>
      </c>
      <c r="L1404" s="31" t="s">
        <v>3574</v>
      </c>
      <c r="M1404" s="33">
        <v>2.0</v>
      </c>
      <c r="N1404" s="34"/>
      <c r="O1404" s="34"/>
    </row>
    <row r="1405" hidden="1">
      <c r="A1405" s="85">
        <v>45846.0</v>
      </c>
      <c r="B1405" s="31" t="s">
        <v>4447</v>
      </c>
      <c r="C1405" s="31">
        <v>8.07025032091E11</v>
      </c>
      <c r="D1405" s="31" t="s">
        <v>4448</v>
      </c>
      <c r="E1405" s="31" t="s">
        <v>4449</v>
      </c>
      <c r="F1405" s="31" t="s">
        <v>4450</v>
      </c>
      <c r="G1405" s="31" t="s">
        <v>425</v>
      </c>
      <c r="H1405" s="31" t="s">
        <v>20</v>
      </c>
      <c r="I1405" s="31">
        <v>4407.0</v>
      </c>
      <c r="J1405" s="31">
        <v>3.874485969E9</v>
      </c>
      <c r="K1405" s="31" t="s">
        <v>3692</v>
      </c>
      <c r="L1405" s="31" t="s">
        <v>3693</v>
      </c>
      <c r="M1405" s="33">
        <v>1.0</v>
      </c>
      <c r="N1405" s="34"/>
      <c r="O1405" s="34"/>
    </row>
    <row r="1406" hidden="1">
      <c r="A1406" s="85">
        <v>45846.0</v>
      </c>
      <c r="B1406" s="31" t="s">
        <v>4451</v>
      </c>
      <c r="C1406" s="31">
        <v>8.0702503208E11</v>
      </c>
      <c r="D1406" s="31" t="s">
        <v>4452</v>
      </c>
      <c r="E1406" s="31" t="s">
        <v>4453</v>
      </c>
      <c r="F1406" s="31" t="s">
        <v>4454</v>
      </c>
      <c r="G1406" s="31" t="s">
        <v>20</v>
      </c>
      <c r="H1406" s="31" t="s">
        <v>20</v>
      </c>
      <c r="I1406" s="31" t="s">
        <v>4086</v>
      </c>
      <c r="J1406" s="31">
        <v>3.875652874E9</v>
      </c>
      <c r="K1406" s="31" t="s">
        <v>3205</v>
      </c>
      <c r="L1406" s="31" t="s">
        <v>3206</v>
      </c>
      <c r="M1406" s="33">
        <v>3.0</v>
      </c>
      <c r="N1406" s="34"/>
      <c r="O1406" s="34"/>
    </row>
    <row r="1407" hidden="1">
      <c r="A1407" s="85">
        <v>45846.0</v>
      </c>
      <c r="B1407" s="31" t="s">
        <v>4455</v>
      </c>
      <c r="C1407" s="31">
        <v>8.0702503209E11</v>
      </c>
      <c r="D1407" s="31" t="s">
        <v>4456</v>
      </c>
      <c r="E1407" s="31" t="s">
        <v>4457</v>
      </c>
      <c r="F1407" s="31" t="s">
        <v>4458</v>
      </c>
      <c r="G1407" s="31" t="s">
        <v>127</v>
      </c>
      <c r="H1407" s="31" t="s">
        <v>20</v>
      </c>
      <c r="I1407" s="31">
        <v>4400.0</v>
      </c>
      <c r="J1407" s="31">
        <v>3.875691552E9</v>
      </c>
      <c r="K1407" s="31" t="s">
        <v>659</v>
      </c>
      <c r="L1407" s="31" t="s">
        <v>3468</v>
      </c>
      <c r="M1407" s="33">
        <v>1.0</v>
      </c>
      <c r="N1407" s="34"/>
      <c r="O1407" s="34"/>
    </row>
    <row r="1408" hidden="1">
      <c r="A1408" s="85">
        <v>45846.0</v>
      </c>
      <c r="B1408" s="31" t="s">
        <v>4459</v>
      </c>
      <c r="C1408" s="31">
        <v>8.050115415E11</v>
      </c>
      <c r="D1408" s="31" t="s">
        <v>4460</v>
      </c>
      <c r="E1408" s="31" t="s">
        <v>4461</v>
      </c>
      <c r="F1408" s="31" t="s">
        <v>4462</v>
      </c>
      <c r="G1408" s="31" t="s">
        <v>20</v>
      </c>
      <c r="H1408" s="31" t="s">
        <v>20</v>
      </c>
      <c r="I1408" s="31">
        <v>4400.0</v>
      </c>
      <c r="J1408" s="31">
        <v>3.874860504E9</v>
      </c>
      <c r="K1408" s="31" t="s">
        <v>289</v>
      </c>
      <c r="L1408" s="31" t="s">
        <v>290</v>
      </c>
      <c r="M1408" s="33">
        <v>1.0</v>
      </c>
      <c r="N1408" s="34"/>
      <c r="O1408" s="34"/>
    </row>
    <row r="1409" hidden="1">
      <c r="A1409" s="85">
        <v>45846.0</v>
      </c>
      <c r="B1409" s="31" t="s">
        <v>4459</v>
      </c>
      <c r="C1409" s="31">
        <v>8.050115415E11</v>
      </c>
      <c r="D1409" s="31" t="s">
        <v>4460</v>
      </c>
      <c r="E1409" s="31" t="s">
        <v>4461</v>
      </c>
      <c r="F1409" s="31" t="s">
        <v>4462</v>
      </c>
      <c r="G1409" s="31" t="s">
        <v>20</v>
      </c>
      <c r="H1409" s="31" t="s">
        <v>20</v>
      </c>
      <c r="I1409" s="31">
        <v>4400.0</v>
      </c>
      <c r="J1409" s="31">
        <v>3.874860504E9</v>
      </c>
      <c r="K1409" s="31" t="s">
        <v>512</v>
      </c>
      <c r="L1409" s="31" t="s">
        <v>513</v>
      </c>
      <c r="M1409" s="33">
        <v>6.0</v>
      </c>
      <c r="N1409" s="34"/>
      <c r="O1409" s="34"/>
    </row>
    <row r="1410" hidden="1">
      <c r="A1410" s="85">
        <v>45846.0</v>
      </c>
      <c r="B1410" s="31" t="s">
        <v>4459</v>
      </c>
      <c r="C1410" s="31">
        <v>8.050115415E11</v>
      </c>
      <c r="D1410" s="31" t="s">
        <v>4460</v>
      </c>
      <c r="E1410" s="31" t="s">
        <v>4461</v>
      </c>
      <c r="F1410" s="31" t="s">
        <v>4462</v>
      </c>
      <c r="G1410" s="31" t="s">
        <v>20</v>
      </c>
      <c r="H1410" s="31" t="s">
        <v>20</v>
      </c>
      <c r="I1410" s="31">
        <v>4400.0</v>
      </c>
      <c r="J1410" s="31">
        <v>3.874860504E9</v>
      </c>
      <c r="K1410" s="31" t="s">
        <v>273</v>
      </c>
      <c r="L1410" s="31" t="s">
        <v>3594</v>
      </c>
      <c r="M1410" s="33">
        <v>1.0</v>
      </c>
      <c r="N1410" s="34"/>
      <c r="O1410" s="34"/>
    </row>
    <row r="1411" hidden="1">
      <c r="A1411" s="85">
        <v>45846.0</v>
      </c>
      <c r="B1411" s="31" t="s">
        <v>4463</v>
      </c>
      <c r="C1411" s="31">
        <v>8.05011541518E11</v>
      </c>
      <c r="D1411" s="31" t="s">
        <v>4464</v>
      </c>
      <c r="E1411" s="31" t="s">
        <v>4465</v>
      </c>
      <c r="F1411" s="31" t="s">
        <v>4466</v>
      </c>
      <c r="G1411" s="31" t="s">
        <v>20</v>
      </c>
      <c r="H1411" s="31" t="s">
        <v>20</v>
      </c>
      <c r="I1411" s="31">
        <v>4400.0</v>
      </c>
      <c r="J1411" s="31">
        <v>3.87632926E9</v>
      </c>
      <c r="K1411" s="31" t="s">
        <v>3451</v>
      </c>
      <c r="L1411" s="31" t="s">
        <v>3452</v>
      </c>
      <c r="M1411" s="33">
        <v>1.0</v>
      </c>
      <c r="N1411" s="34"/>
      <c r="O1411" s="34"/>
    </row>
    <row r="1412" hidden="1">
      <c r="A1412" s="85">
        <v>45846.0</v>
      </c>
      <c r="B1412" s="31" t="s">
        <v>4463</v>
      </c>
      <c r="C1412" s="31">
        <v>8.05011541518E11</v>
      </c>
      <c r="D1412" s="31" t="s">
        <v>4464</v>
      </c>
      <c r="E1412" s="31" t="s">
        <v>4465</v>
      </c>
      <c r="F1412" s="31" t="s">
        <v>4466</v>
      </c>
      <c r="G1412" s="31" t="s">
        <v>20</v>
      </c>
      <c r="H1412" s="31" t="s">
        <v>20</v>
      </c>
      <c r="I1412" s="31">
        <v>4400.0</v>
      </c>
      <c r="J1412" s="31">
        <v>3.87632926E9</v>
      </c>
      <c r="K1412" s="31" t="s">
        <v>512</v>
      </c>
      <c r="L1412" s="31" t="s">
        <v>513</v>
      </c>
      <c r="M1412" s="33">
        <v>6.0</v>
      </c>
      <c r="N1412" s="34"/>
      <c r="O1412" s="34"/>
    </row>
    <row r="1413" hidden="1">
      <c r="A1413" s="85">
        <v>45846.0</v>
      </c>
      <c r="B1413" s="31" t="s">
        <v>4463</v>
      </c>
      <c r="C1413" s="31">
        <v>8.05011541518E11</v>
      </c>
      <c r="D1413" s="31" t="s">
        <v>4464</v>
      </c>
      <c r="E1413" s="31" t="s">
        <v>4465</v>
      </c>
      <c r="F1413" s="31" t="s">
        <v>4466</v>
      </c>
      <c r="G1413" s="31" t="s">
        <v>20</v>
      </c>
      <c r="H1413" s="31" t="s">
        <v>20</v>
      </c>
      <c r="I1413" s="31">
        <v>4400.0</v>
      </c>
      <c r="J1413" s="31">
        <v>3.87632926E9</v>
      </c>
      <c r="K1413" s="31" t="s">
        <v>670</v>
      </c>
      <c r="L1413" s="31" t="s">
        <v>3410</v>
      </c>
      <c r="M1413" s="33">
        <v>1.0</v>
      </c>
      <c r="N1413" s="34"/>
      <c r="O1413" s="34"/>
    </row>
    <row r="1414" hidden="1">
      <c r="A1414" s="85">
        <v>45846.0</v>
      </c>
      <c r="B1414" s="31" t="s">
        <v>4467</v>
      </c>
      <c r="C1414" s="31">
        <v>8.07025032135E11</v>
      </c>
      <c r="D1414" s="31" t="s">
        <v>4468</v>
      </c>
      <c r="E1414" s="31" t="s">
        <v>4469</v>
      </c>
      <c r="F1414" s="31" t="s">
        <v>4470</v>
      </c>
      <c r="G1414" s="31" t="s">
        <v>116</v>
      </c>
      <c r="H1414" s="31" t="s">
        <v>20</v>
      </c>
      <c r="I1414" s="31">
        <v>4400.0</v>
      </c>
      <c r="J1414" s="31">
        <v>1.55010842E8</v>
      </c>
      <c r="K1414" s="31" t="s">
        <v>2412</v>
      </c>
      <c r="L1414" s="31" t="s">
        <v>2413</v>
      </c>
      <c r="M1414" s="33">
        <v>2.0</v>
      </c>
      <c r="N1414" s="34"/>
      <c r="O1414" s="34"/>
    </row>
    <row r="1415" hidden="1">
      <c r="A1415" s="85">
        <v>45846.0</v>
      </c>
      <c r="B1415" s="31" t="s">
        <v>4471</v>
      </c>
      <c r="C1415" s="31">
        <v>8.07025032136E11</v>
      </c>
      <c r="D1415" s="31" t="s">
        <v>4468</v>
      </c>
      <c r="E1415" s="31" t="s">
        <v>4469</v>
      </c>
      <c r="F1415" s="31" t="s">
        <v>4470</v>
      </c>
      <c r="G1415" s="31" t="s">
        <v>116</v>
      </c>
      <c r="H1415" s="31" t="s">
        <v>20</v>
      </c>
      <c r="I1415" s="31">
        <v>4400.0</v>
      </c>
      <c r="J1415" s="31">
        <v>1.55010842E8</v>
      </c>
      <c r="K1415" s="31" t="s">
        <v>812</v>
      </c>
      <c r="L1415" s="31" t="s">
        <v>3564</v>
      </c>
      <c r="M1415" s="33">
        <v>2.0</v>
      </c>
      <c r="N1415" s="34"/>
      <c r="O1415" s="34"/>
    </row>
    <row r="1416" hidden="1">
      <c r="A1416" s="85">
        <v>45846.0</v>
      </c>
      <c r="B1416" s="31" t="s">
        <v>4472</v>
      </c>
      <c r="C1416" s="31">
        <v>8.07025032109E11</v>
      </c>
      <c r="D1416" s="31" t="s">
        <v>4473</v>
      </c>
      <c r="E1416" s="31" t="s">
        <v>4474</v>
      </c>
      <c r="F1416" s="31" t="s">
        <v>4475</v>
      </c>
      <c r="G1416" s="31" t="s">
        <v>4476</v>
      </c>
      <c r="H1416" s="31" t="s">
        <v>20</v>
      </c>
      <c r="I1416" s="31">
        <v>4400.0</v>
      </c>
      <c r="J1416" s="31">
        <v>3.876014443E9</v>
      </c>
      <c r="K1416" s="31" t="s">
        <v>971</v>
      </c>
      <c r="L1416" s="31" t="s">
        <v>4477</v>
      </c>
      <c r="M1416" s="33">
        <v>1.0</v>
      </c>
      <c r="N1416" s="34"/>
      <c r="O1416" s="34"/>
    </row>
    <row r="1417" hidden="1">
      <c r="A1417" s="85">
        <v>45846.0</v>
      </c>
      <c r="B1417" s="31" t="s">
        <v>4478</v>
      </c>
      <c r="C1417" s="31">
        <v>8.07025032134E11</v>
      </c>
      <c r="D1417" s="31" t="s">
        <v>4468</v>
      </c>
      <c r="E1417" s="31" t="s">
        <v>4469</v>
      </c>
      <c r="F1417" s="31" t="s">
        <v>4470</v>
      </c>
      <c r="G1417" s="31" t="s">
        <v>116</v>
      </c>
      <c r="H1417" s="31" t="s">
        <v>20</v>
      </c>
      <c r="I1417" s="31">
        <v>4400.0</v>
      </c>
      <c r="J1417" s="31">
        <v>1.55010842E8</v>
      </c>
      <c r="K1417" s="31" t="s">
        <v>4479</v>
      </c>
      <c r="L1417" s="31" t="s">
        <v>4480</v>
      </c>
      <c r="M1417" s="33">
        <v>1.0</v>
      </c>
      <c r="N1417" s="34"/>
      <c r="O1417" s="34"/>
    </row>
    <row r="1418" hidden="1">
      <c r="A1418" s="85">
        <v>45846.0</v>
      </c>
      <c r="B1418" s="31" t="s">
        <v>4481</v>
      </c>
      <c r="C1418" s="31">
        <v>8.05011541546E11</v>
      </c>
      <c r="D1418" s="31" t="s">
        <v>4482</v>
      </c>
      <c r="E1418" s="31" t="s">
        <v>4483</v>
      </c>
      <c r="F1418" s="31" t="s">
        <v>4484</v>
      </c>
      <c r="G1418" s="31" t="s">
        <v>20</v>
      </c>
      <c r="H1418" s="31" t="s">
        <v>20</v>
      </c>
      <c r="I1418" s="31">
        <v>4400.0</v>
      </c>
      <c r="J1418" s="31">
        <v>3.873024993E9</v>
      </c>
      <c r="K1418" s="31" t="s">
        <v>184</v>
      </c>
      <c r="L1418" s="31" t="s">
        <v>4485</v>
      </c>
      <c r="M1418" s="33">
        <v>1.0</v>
      </c>
      <c r="N1418" s="34"/>
      <c r="O1418" s="34"/>
    </row>
    <row r="1419" hidden="1">
      <c r="A1419" s="85">
        <v>45846.0</v>
      </c>
      <c r="B1419" s="31" t="s">
        <v>4481</v>
      </c>
      <c r="C1419" s="31">
        <v>8.05011541546E11</v>
      </c>
      <c r="D1419" s="31" t="s">
        <v>4482</v>
      </c>
      <c r="E1419" s="31" t="s">
        <v>4483</v>
      </c>
      <c r="F1419" s="31" t="s">
        <v>4484</v>
      </c>
      <c r="G1419" s="31" t="s">
        <v>20</v>
      </c>
      <c r="H1419" s="31" t="s">
        <v>20</v>
      </c>
      <c r="I1419" s="31">
        <v>4400.0</v>
      </c>
      <c r="J1419" s="31">
        <v>3.873024993E9</v>
      </c>
      <c r="K1419" s="31" t="s">
        <v>512</v>
      </c>
      <c r="L1419" s="31" t="s">
        <v>513</v>
      </c>
      <c r="M1419" s="33">
        <v>6.0</v>
      </c>
      <c r="N1419" s="34"/>
      <c r="O1419" s="34"/>
    </row>
    <row r="1420" hidden="1">
      <c r="A1420" s="85">
        <v>45846.0</v>
      </c>
      <c r="B1420" s="31" t="s">
        <v>4481</v>
      </c>
      <c r="C1420" s="31">
        <v>8.05011541546E11</v>
      </c>
      <c r="D1420" s="31" t="s">
        <v>4482</v>
      </c>
      <c r="E1420" s="31" t="s">
        <v>4483</v>
      </c>
      <c r="F1420" s="31" t="s">
        <v>4484</v>
      </c>
      <c r="G1420" s="31" t="s">
        <v>20</v>
      </c>
      <c r="H1420" s="31" t="s">
        <v>20</v>
      </c>
      <c r="I1420" s="31">
        <v>4400.0</v>
      </c>
      <c r="J1420" s="31">
        <v>3.873024993E9</v>
      </c>
      <c r="K1420" s="31" t="s">
        <v>273</v>
      </c>
      <c r="L1420" s="31" t="s">
        <v>3594</v>
      </c>
      <c r="M1420" s="33">
        <v>1.0</v>
      </c>
      <c r="N1420" s="34"/>
      <c r="O1420" s="34"/>
    </row>
    <row r="1421" hidden="1">
      <c r="A1421" s="85">
        <v>45846.0</v>
      </c>
      <c r="B1421" s="31" t="s">
        <v>4486</v>
      </c>
      <c r="C1421" s="31">
        <v>8.0501154181E11</v>
      </c>
      <c r="D1421" s="31" t="s">
        <v>4487</v>
      </c>
      <c r="E1421" s="31" t="s">
        <v>4483</v>
      </c>
      <c r="F1421" s="31" t="s">
        <v>4488</v>
      </c>
      <c r="G1421" s="31" t="s">
        <v>127</v>
      </c>
      <c r="H1421" s="31" t="s">
        <v>20</v>
      </c>
      <c r="I1421" s="31">
        <v>4400.0</v>
      </c>
      <c r="J1421" s="31">
        <v>3.874067794E9</v>
      </c>
      <c r="K1421" s="31" t="s">
        <v>3451</v>
      </c>
      <c r="L1421" s="31" t="s">
        <v>3452</v>
      </c>
      <c r="M1421" s="33">
        <v>1.0</v>
      </c>
      <c r="N1421" s="34"/>
      <c r="O1421" s="34"/>
    </row>
    <row r="1422" hidden="1">
      <c r="A1422" s="85">
        <v>45846.0</v>
      </c>
      <c r="B1422" s="31" t="s">
        <v>4486</v>
      </c>
      <c r="C1422" s="31">
        <v>8.0501154181E11</v>
      </c>
      <c r="D1422" s="31" t="s">
        <v>4487</v>
      </c>
      <c r="E1422" s="31" t="s">
        <v>4483</v>
      </c>
      <c r="F1422" s="31" t="s">
        <v>4488</v>
      </c>
      <c r="G1422" s="31" t="s">
        <v>127</v>
      </c>
      <c r="H1422" s="31" t="s">
        <v>20</v>
      </c>
      <c r="I1422" s="31">
        <v>4400.0</v>
      </c>
      <c r="J1422" s="31">
        <v>3.874067794E9</v>
      </c>
      <c r="K1422" s="31" t="s">
        <v>512</v>
      </c>
      <c r="L1422" s="31" t="s">
        <v>513</v>
      </c>
      <c r="M1422" s="33">
        <v>6.0</v>
      </c>
      <c r="N1422" s="34"/>
      <c r="O1422" s="34"/>
    </row>
    <row r="1423" hidden="1">
      <c r="A1423" s="85">
        <v>45846.0</v>
      </c>
      <c r="B1423" s="31" t="s">
        <v>4486</v>
      </c>
      <c r="C1423" s="31">
        <v>8.0501154181E11</v>
      </c>
      <c r="D1423" s="31" t="s">
        <v>4487</v>
      </c>
      <c r="E1423" s="31" t="s">
        <v>4483</v>
      </c>
      <c r="F1423" s="31" t="s">
        <v>4488</v>
      </c>
      <c r="G1423" s="31" t="s">
        <v>127</v>
      </c>
      <c r="H1423" s="31" t="s">
        <v>20</v>
      </c>
      <c r="I1423" s="31">
        <v>4400.0</v>
      </c>
      <c r="J1423" s="31">
        <v>3.874067794E9</v>
      </c>
      <c r="K1423" s="31" t="s">
        <v>670</v>
      </c>
      <c r="L1423" s="31" t="s">
        <v>3410</v>
      </c>
      <c r="M1423" s="33">
        <v>1.0</v>
      </c>
      <c r="N1423" s="34"/>
      <c r="O1423" s="34"/>
    </row>
    <row r="1424" ht="6.0" hidden="1" customHeight="1">
      <c r="A1424" s="87"/>
      <c r="B1424" s="88"/>
      <c r="C1424" s="88"/>
      <c r="D1424" s="88"/>
      <c r="E1424" s="31" t="s">
        <v>4483</v>
      </c>
      <c r="F1424" s="88"/>
      <c r="G1424" s="88"/>
      <c r="H1424" s="88"/>
      <c r="I1424" s="88"/>
      <c r="J1424" s="88"/>
      <c r="K1424" s="88"/>
      <c r="L1424" s="88"/>
      <c r="M1424" s="89"/>
      <c r="N1424" s="90"/>
      <c r="O1424" s="90"/>
    </row>
    <row r="1425" hidden="1">
      <c r="A1425" s="85">
        <v>45856.0</v>
      </c>
      <c r="B1425" s="31" t="s">
        <v>4489</v>
      </c>
      <c r="C1425" s="31">
        <v>8.05011541895E11</v>
      </c>
      <c r="D1425" s="31" t="s">
        <v>3020</v>
      </c>
      <c r="E1425" s="31" t="s">
        <v>4483</v>
      </c>
      <c r="F1425" s="31" t="s">
        <v>4490</v>
      </c>
      <c r="G1425" s="31" t="s">
        <v>4491</v>
      </c>
      <c r="H1425" s="31" t="s">
        <v>20</v>
      </c>
      <c r="I1425" s="31">
        <v>4401.0</v>
      </c>
      <c r="J1425" s="31">
        <v>3.875332838E9</v>
      </c>
      <c r="K1425" s="31" t="s">
        <v>3025</v>
      </c>
      <c r="L1425" s="31" t="s">
        <v>3493</v>
      </c>
      <c r="M1425" s="33">
        <v>1.0</v>
      </c>
      <c r="N1425" s="34"/>
      <c r="O1425" s="34"/>
    </row>
    <row r="1426" hidden="1">
      <c r="A1426" s="85">
        <v>45856.0</v>
      </c>
      <c r="B1426" s="31" t="s">
        <v>4492</v>
      </c>
      <c r="C1426" s="31">
        <v>8.07025032137E11</v>
      </c>
      <c r="D1426" s="31" t="s">
        <v>4493</v>
      </c>
      <c r="E1426" s="31" t="s">
        <v>4494</v>
      </c>
      <c r="F1426" s="31" t="s">
        <v>4495</v>
      </c>
      <c r="G1426" s="31" t="s">
        <v>4496</v>
      </c>
      <c r="H1426" s="31" t="s">
        <v>20</v>
      </c>
      <c r="I1426" s="31">
        <v>4401.0</v>
      </c>
      <c r="J1426" s="31">
        <v>3.875275964E9</v>
      </c>
      <c r="K1426" s="31" t="s">
        <v>3205</v>
      </c>
      <c r="L1426" s="31" t="s">
        <v>3206</v>
      </c>
      <c r="M1426" s="33">
        <v>1.0</v>
      </c>
      <c r="N1426" s="34"/>
      <c r="O1426" s="34"/>
    </row>
    <row r="1427" hidden="1">
      <c r="A1427" s="85">
        <v>45856.0</v>
      </c>
      <c r="B1427" s="31" t="s">
        <v>4497</v>
      </c>
      <c r="C1427" s="31">
        <v>8.07025032166E11</v>
      </c>
      <c r="D1427" s="31" t="s">
        <v>4498</v>
      </c>
      <c r="E1427" s="31" t="s">
        <v>4499</v>
      </c>
      <c r="F1427" s="31" t="s">
        <v>4500</v>
      </c>
      <c r="G1427" s="31" t="s">
        <v>4501</v>
      </c>
      <c r="H1427" s="31" t="s">
        <v>20</v>
      </c>
      <c r="I1427" s="31">
        <v>4190.0</v>
      </c>
      <c r="J1427" s="31">
        <v>3.876432763E9</v>
      </c>
      <c r="K1427" s="31" t="s">
        <v>4502</v>
      </c>
      <c r="L1427" s="31" t="s">
        <v>4503</v>
      </c>
      <c r="M1427" s="33">
        <v>1.0</v>
      </c>
      <c r="N1427" s="34"/>
      <c r="O1427" s="34"/>
    </row>
    <row r="1428" hidden="1">
      <c r="A1428" s="85">
        <v>45856.0</v>
      </c>
      <c r="B1428" s="31" t="s">
        <v>4504</v>
      </c>
      <c r="C1428" s="31">
        <v>8.07025032164E11</v>
      </c>
      <c r="D1428" s="31" t="s">
        <v>4505</v>
      </c>
      <c r="E1428" s="31" t="s">
        <v>4506</v>
      </c>
      <c r="F1428" s="31" t="s">
        <v>4507</v>
      </c>
      <c r="G1428" s="31" t="s">
        <v>1986</v>
      </c>
      <c r="H1428" s="31" t="s">
        <v>20</v>
      </c>
      <c r="I1428" s="31">
        <v>4400.0</v>
      </c>
      <c r="J1428" s="31">
        <v>3.874102029E9</v>
      </c>
      <c r="K1428" s="31" t="s">
        <v>3797</v>
      </c>
      <c r="L1428" s="31" t="s">
        <v>3798</v>
      </c>
      <c r="M1428" s="33">
        <v>1.0</v>
      </c>
      <c r="N1428" s="34"/>
      <c r="O1428" s="34"/>
    </row>
    <row r="1429" hidden="1">
      <c r="A1429" s="85">
        <v>45856.0</v>
      </c>
      <c r="B1429" s="31" t="s">
        <v>4504</v>
      </c>
      <c r="C1429" s="31">
        <v>8.07025032164E11</v>
      </c>
      <c r="D1429" s="31" t="s">
        <v>4505</v>
      </c>
      <c r="E1429" s="31" t="s">
        <v>4506</v>
      </c>
      <c r="F1429" s="31" t="s">
        <v>4507</v>
      </c>
      <c r="G1429" s="31" t="s">
        <v>1986</v>
      </c>
      <c r="H1429" s="31" t="s">
        <v>20</v>
      </c>
      <c r="I1429" s="31">
        <v>4400.0</v>
      </c>
      <c r="J1429" s="31">
        <v>3.874102029E9</v>
      </c>
      <c r="K1429" s="31" t="s">
        <v>3313</v>
      </c>
      <c r="L1429" s="31" t="s">
        <v>3314</v>
      </c>
      <c r="M1429" s="33">
        <v>1.0</v>
      </c>
      <c r="N1429" s="34"/>
      <c r="O1429" s="34"/>
    </row>
    <row r="1430" hidden="1">
      <c r="A1430" s="85">
        <v>45856.0</v>
      </c>
      <c r="B1430" s="31" t="s">
        <v>4508</v>
      </c>
      <c r="C1430" s="31">
        <v>8.05011542081E11</v>
      </c>
      <c r="D1430" s="31" t="s">
        <v>4509</v>
      </c>
      <c r="E1430" s="31" t="s">
        <v>4510</v>
      </c>
      <c r="F1430" s="31" t="s">
        <v>4511</v>
      </c>
      <c r="G1430" s="31" t="s">
        <v>20</v>
      </c>
      <c r="H1430" s="31" t="s">
        <v>20</v>
      </c>
      <c r="I1430" s="31">
        <v>4400.0</v>
      </c>
      <c r="J1430" s="31">
        <v>3.872226447E9</v>
      </c>
      <c r="K1430" s="31" t="s">
        <v>4512</v>
      </c>
      <c r="L1430" s="31" t="s">
        <v>4513</v>
      </c>
      <c r="M1430" s="33">
        <v>1.0</v>
      </c>
      <c r="N1430" s="34"/>
      <c r="O1430" s="34"/>
    </row>
    <row r="1431" hidden="1">
      <c r="A1431" s="85">
        <v>45856.0</v>
      </c>
      <c r="B1431" s="31" t="s">
        <v>4508</v>
      </c>
      <c r="C1431" s="31">
        <v>8.05011542081E11</v>
      </c>
      <c r="D1431" s="31" t="s">
        <v>4509</v>
      </c>
      <c r="E1431" s="31" t="s">
        <v>4510</v>
      </c>
      <c r="F1431" s="31" t="s">
        <v>4511</v>
      </c>
      <c r="G1431" s="31" t="s">
        <v>20</v>
      </c>
      <c r="H1431" s="31" t="s">
        <v>20</v>
      </c>
      <c r="I1431" s="31">
        <v>4400.0</v>
      </c>
      <c r="J1431" s="31">
        <v>3.872226447E9</v>
      </c>
      <c r="K1431" s="31" t="s">
        <v>512</v>
      </c>
      <c r="L1431" s="31" t="s">
        <v>513</v>
      </c>
      <c r="M1431" s="33">
        <v>6.0</v>
      </c>
      <c r="N1431" s="34"/>
      <c r="O1431" s="34"/>
    </row>
    <row r="1432" hidden="1">
      <c r="A1432" s="85">
        <v>45856.0</v>
      </c>
      <c r="B1432" s="31" t="s">
        <v>4508</v>
      </c>
      <c r="C1432" s="31">
        <v>8.05011542081E11</v>
      </c>
      <c r="D1432" s="31" t="s">
        <v>4509</v>
      </c>
      <c r="E1432" s="31" t="s">
        <v>4510</v>
      </c>
      <c r="F1432" s="31" t="s">
        <v>4511</v>
      </c>
      <c r="G1432" s="31" t="s">
        <v>20</v>
      </c>
      <c r="H1432" s="31" t="s">
        <v>20</v>
      </c>
      <c r="I1432" s="31">
        <v>4400.0</v>
      </c>
      <c r="J1432" s="31">
        <v>3.872226447E9</v>
      </c>
      <c r="K1432" s="31" t="s">
        <v>169</v>
      </c>
      <c r="L1432" s="31" t="s">
        <v>4514</v>
      </c>
      <c r="M1432" s="33">
        <v>1.0</v>
      </c>
      <c r="N1432" s="34"/>
      <c r="O1432" s="34"/>
    </row>
    <row r="1433" hidden="1">
      <c r="A1433" s="85">
        <v>45856.0</v>
      </c>
      <c r="B1433" s="31" t="s">
        <v>4515</v>
      </c>
      <c r="C1433" s="31">
        <v>8.05011542132E11</v>
      </c>
      <c r="D1433" s="31" t="s">
        <v>4516</v>
      </c>
      <c r="E1433" s="31" t="s">
        <v>4517</v>
      </c>
      <c r="F1433" s="31" t="s">
        <v>4518</v>
      </c>
      <c r="G1433" s="31" t="s">
        <v>20</v>
      </c>
      <c r="H1433" s="31" t="s">
        <v>20</v>
      </c>
      <c r="I1433" s="31">
        <v>4408.0</v>
      </c>
      <c r="J1433" s="31">
        <v>3.87485117E9</v>
      </c>
      <c r="K1433" s="31" t="s">
        <v>985</v>
      </c>
      <c r="L1433" s="31" t="s">
        <v>3600</v>
      </c>
      <c r="M1433" s="33">
        <v>1.0</v>
      </c>
      <c r="N1433" s="34"/>
      <c r="O1433" s="34"/>
    </row>
    <row r="1434" hidden="1">
      <c r="A1434" s="85">
        <v>45856.0</v>
      </c>
      <c r="B1434" s="31" t="s">
        <v>4515</v>
      </c>
      <c r="C1434" s="31">
        <v>8.05011542132E11</v>
      </c>
      <c r="D1434" s="31" t="s">
        <v>4516</v>
      </c>
      <c r="E1434" s="31" t="s">
        <v>4517</v>
      </c>
      <c r="F1434" s="31" t="s">
        <v>4518</v>
      </c>
      <c r="G1434" s="31" t="s">
        <v>20</v>
      </c>
      <c r="H1434" s="31" t="s">
        <v>20</v>
      </c>
      <c r="I1434" s="31">
        <v>4408.0</v>
      </c>
      <c r="J1434" s="31">
        <v>3.87485117E9</v>
      </c>
      <c r="K1434" s="31" t="s">
        <v>4519</v>
      </c>
      <c r="L1434" s="31" t="s">
        <v>4520</v>
      </c>
      <c r="M1434" s="33">
        <v>1.0</v>
      </c>
      <c r="N1434" s="34"/>
      <c r="O1434" s="34"/>
    </row>
    <row r="1435" hidden="1">
      <c r="A1435" s="85">
        <v>45856.0</v>
      </c>
      <c r="B1435" s="31" t="s">
        <v>4515</v>
      </c>
      <c r="C1435" s="31">
        <v>8.05011542132E11</v>
      </c>
      <c r="D1435" s="31" t="s">
        <v>4516</v>
      </c>
      <c r="E1435" s="31" t="s">
        <v>4517</v>
      </c>
      <c r="F1435" s="31" t="s">
        <v>4518</v>
      </c>
      <c r="G1435" s="31" t="s">
        <v>20</v>
      </c>
      <c r="H1435" s="31" t="s">
        <v>20</v>
      </c>
      <c r="I1435" s="31">
        <v>4408.0</v>
      </c>
      <c r="J1435" s="31">
        <v>3.87485117E9</v>
      </c>
      <c r="K1435" s="31" t="s">
        <v>512</v>
      </c>
      <c r="L1435" s="31" t="s">
        <v>513</v>
      </c>
      <c r="M1435" s="33">
        <v>12.0</v>
      </c>
      <c r="N1435" s="34"/>
      <c r="O1435" s="34"/>
    </row>
    <row r="1436" hidden="1">
      <c r="A1436" s="85">
        <v>45856.0</v>
      </c>
      <c r="B1436" s="31" t="s">
        <v>4515</v>
      </c>
      <c r="C1436" s="31">
        <v>8.05011542132E11</v>
      </c>
      <c r="D1436" s="31" t="s">
        <v>4516</v>
      </c>
      <c r="E1436" s="31" t="s">
        <v>4517</v>
      </c>
      <c r="F1436" s="31" t="s">
        <v>4518</v>
      </c>
      <c r="G1436" s="31" t="s">
        <v>20</v>
      </c>
      <c r="H1436" s="31" t="s">
        <v>20</v>
      </c>
      <c r="I1436" s="31">
        <v>4408.0</v>
      </c>
      <c r="J1436" s="31">
        <v>3.87485117E9</v>
      </c>
      <c r="K1436" s="31" t="s">
        <v>121</v>
      </c>
      <c r="L1436" s="31" t="s">
        <v>3199</v>
      </c>
      <c r="M1436" s="33">
        <v>2.0</v>
      </c>
      <c r="N1436" s="34"/>
      <c r="O1436" s="34"/>
    </row>
    <row r="1437" hidden="1">
      <c r="A1437" s="85">
        <v>45856.0</v>
      </c>
      <c r="B1437" s="31" t="s">
        <v>4521</v>
      </c>
      <c r="C1437" s="31">
        <v>8.07025032215E11</v>
      </c>
      <c r="D1437" s="31" t="s">
        <v>4522</v>
      </c>
      <c r="E1437" s="31" t="s">
        <v>4523</v>
      </c>
      <c r="F1437" s="31" t="s">
        <v>4524</v>
      </c>
      <c r="G1437" s="31" t="s">
        <v>116</v>
      </c>
      <c r="H1437" s="31" t="s">
        <v>20</v>
      </c>
      <c r="I1437" s="31">
        <v>4400.0</v>
      </c>
      <c r="J1437" s="31">
        <v>3.875853325E9</v>
      </c>
      <c r="K1437" s="31" t="s">
        <v>659</v>
      </c>
      <c r="L1437" s="31" t="s">
        <v>3468</v>
      </c>
      <c r="M1437" s="33">
        <v>1.0</v>
      </c>
      <c r="N1437" s="34"/>
      <c r="O1437" s="34"/>
    </row>
    <row r="1438" hidden="1">
      <c r="A1438" s="85">
        <v>45856.0</v>
      </c>
      <c r="B1438" s="31" t="s">
        <v>4525</v>
      </c>
      <c r="C1438" s="31">
        <v>8.0501154232E11</v>
      </c>
      <c r="D1438" s="31" t="s">
        <v>4526</v>
      </c>
      <c r="E1438" s="31" t="s">
        <v>4527</v>
      </c>
      <c r="F1438" s="60" t="s">
        <v>4528</v>
      </c>
      <c r="G1438" s="31" t="s">
        <v>20</v>
      </c>
      <c r="H1438" s="31" t="s">
        <v>20</v>
      </c>
      <c r="I1438" s="31">
        <v>4423.0</v>
      </c>
      <c r="J1438" s="31">
        <v>3.874472698E9</v>
      </c>
      <c r="K1438" s="31" t="s">
        <v>32</v>
      </c>
      <c r="L1438" s="31" t="s">
        <v>3225</v>
      </c>
      <c r="M1438" s="33">
        <v>1.0</v>
      </c>
      <c r="N1438" s="34"/>
      <c r="O1438" s="34"/>
    </row>
    <row r="1439" hidden="1">
      <c r="A1439" s="85">
        <v>45856.0</v>
      </c>
      <c r="B1439" s="31" t="s">
        <v>4525</v>
      </c>
      <c r="C1439" s="31">
        <v>8.0501154232E11</v>
      </c>
      <c r="D1439" s="31" t="s">
        <v>4526</v>
      </c>
      <c r="E1439" s="31" t="s">
        <v>4527</v>
      </c>
      <c r="F1439" s="60" t="s">
        <v>4528</v>
      </c>
      <c r="G1439" s="31" t="s">
        <v>20</v>
      </c>
      <c r="H1439" s="31" t="s">
        <v>20</v>
      </c>
      <c r="I1439" s="31">
        <v>4423.0</v>
      </c>
      <c r="J1439" s="31">
        <v>3.874472698E9</v>
      </c>
      <c r="K1439" s="31" t="s">
        <v>512</v>
      </c>
      <c r="L1439" s="31" t="s">
        <v>513</v>
      </c>
      <c r="M1439" s="33">
        <v>6.0</v>
      </c>
      <c r="N1439" s="34"/>
      <c r="O1439" s="34"/>
    </row>
    <row r="1440" hidden="1">
      <c r="A1440" s="85">
        <v>45856.0</v>
      </c>
      <c r="B1440" s="31" t="s">
        <v>4525</v>
      </c>
      <c r="C1440" s="31">
        <v>8.0501154232E11</v>
      </c>
      <c r="D1440" s="31" t="s">
        <v>4526</v>
      </c>
      <c r="E1440" s="31" t="s">
        <v>4527</v>
      </c>
      <c r="F1440" s="31" t="s">
        <v>4529</v>
      </c>
      <c r="G1440" s="31" t="s">
        <v>20</v>
      </c>
      <c r="H1440" s="31" t="s">
        <v>20</v>
      </c>
      <c r="I1440" s="31">
        <v>4423.0</v>
      </c>
      <c r="J1440" s="31">
        <v>3.874472698E9</v>
      </c>
      <c r="K1440" s="31" t="s">
        <v>670</v>
      </c>
      <c r="L1440" s="31" t="s">
        <v>3410</v>
      </c>
      <c r="M1440" s="33">
        <v>1.0</v>
      </c>
      <c r="N1440" s="34"/>
      <c r="O1440" s="34"/>
    </row>
    <row r="1441" hidden="1">
      <c r="A1441" s="85">
        <v>45856.0</v>
      </c>
      <c r="B1441" s="31" t="s">
        <v>4530</v>
      </c>
      <c r="C1441" s="31">
        <v>8.07025032219E11</v>
      </c>
      <c r="D1441" s="31" t="s">
        <v>4531</v>
      </c>
      <c r="E1441" s="31" t="s">
        <v>4532</v>
      </c>
      <c r="F1441" s="31" t="s">
        <v>4533</v>
      </c>
      <c r="G1441" s="31" t="s">
        <v>20</v>
      </c>
      <c r="H1441" s="31" t="s">
        <v>20</v>
      </c>
      <c r="I1441" s="31">
        <v>4400.0</v>
      </c>
      <c r="J1441" s="31">
        <v>3.874117346E9</v>
      </c>
      <c r="K1441" s="31" t="s">
        <v>3205</v>
      </c>
      <c r="L1441" s="31" t="s">
        <v>3206</v>
      </c>
      <c r="M1441" s="33">
        <v>1.0</v>
      </c>
      <c r="N1441" s="34"/>
      <c r="O1441" s="34"/>
    </row>
    <row r="1442" hidden="1">
      <c r="A1442" s="85">
        <v>45856.0</v>
      </c>
      <c r="B1442" s="31" t="s">
        <v>4534</v>
      </c>
      <c r="C1442" s="31">
        <v>8.0702503222E11</v>
      </c>
      <c r="D1442" s="31" t="s">
        <v>4531</v>
      </c>
      <c r="E1442" s="31" t="s">
        <v>4532</v>
      </c>
      <c r="F1442" s="31" t="s">
        <v>4533</v>
      </c>
      <c r="G1442" s="31" t="s">
        <v>20</v>
      </c>
      <c r="H1442" s="31" t="s">
        <v>20</v>
      </c>
      <c r="I1442" s="31">
        <v>4400.0</v>
      </c>
      <c r="J1442" s="31">
        <v>3.874117346E9</v>
      </c>
      <c r="K1442" s="31" t="s">
        <v>3205</v>
      </c>
      <c r="L1442" s="31" t="s">
        <v>3206</v>
      </c>
      <c r="M1442" s="33">
        <v>1.0</v>
      </c>
      <c r="N1442" s="34"/>
      <c r="O1442" s="34"/>
    </row>
    <row r="1443" hidden="1">
      <c r="A1443" s="85">
        <v>45856.0</v>
      </c>
      <c r="B1443" s="31" t="s">
        <v>4535</v>
      </c>
      <c r="C1443" s="31">
        <v>8.07025032246E11</v>
      </c>
      <c r="D1443" s="31" t="s">
        <v>4536</v>
      </c>
      <c r="E1443" s="31" t="s">
        <v>4537</v>
      </c>
      <c r="F1443" s="31" t="s">
        <v>4538</v>
      </c>
      <c r="G1443" s="31" t="s">
        <v>20</v>
      </c>
      <c r="H1443" s="31" t="s">
        <v>20</v>
      </c>
      <c r="I1443" s="31">
        <v>4400.0</v>
      </c>
      <c r="J1443" s="31">
        <v>3.874749003E9</v>
      </c>
      <c r="K1443" s="31" t="s">
        <v>2956</v>
      </c>
      <c r="L1443" s="31" t="s">
        <v>3327</v>
      </c>
      <c r="M1443" s="33">
        <v>1.0</v>
      </c>
      <c r="N1443" s="34"/>
      <c r="O1443" s="34"/>
    </row>
    <row r="1444" hidden="1">
      <c r="A1444" s="85">
        <v>45856.0</v>
      </c>
      <c r="B1444" s="31" t="s">
        <v>4539</v>
      </c>
      <c r="C1444" s="31">
        <v>8.05011542841E11</v>
      </c>
      <c r="D1444" s="31" t="s">
        <v>4540</v>
      </c>
      <c r="E1444" s="31" t="s">
        <v>4541</v>
      </c>
      <c r="F1444" s="31" t="s">
        <v>4542</v>
      </c>
      <c r="G1444" s="31" t="s">
        <v>278</v>
      </c>
      <c r="H1444" s="31" t="s">
        <v>20</v>
      </c>
      <c r="I1444" s="31">
        <v>4400.0</v>
      </c>
      <c r="J1444" s="31">
        <v>3.875328087E9</v>
      </c>
      <c r="K1444" s="31" t="s">
        <v>4543</v>
      </c>
      <c r="L1444" s="31" t="s">
        <v>4544</v>
      </c>
      <c r="M1444" s="33">
        <v>1.0</v>
      </c>
      <c r="N1444" s="34"/>
      <c r="O1444" s="34"/>
    </row>
    <row r="1445" hidden="1">
      <c r="A1445" s="85">
        <v>45856.0</v>
      </c>
      <c r="B1445" s="31" t="s">
        <v>4539</v>
      </c>
      <c r="C1445" s="31">
        <v>8.05011542841E11</v>
      </c>
      <c r="D1445" s="31" t="s">
        <v>4540</v>
      </c>
      <c r="E1445" s="31" t="s">
        <v>4541</v>
      </c>
      <c r="F1445" s="31" t="s">
        <v>4542</v>
      </c>
      <c r="G1445" s="31" t="s">
        <v>278</v>
      </c>
      <c r="H1445" s="31" t="s">
        <v>20</v>
      </c>
      <c r="I1445" s="31">
        <v>4400.0</v>
      </c>
      <c r="J1445" s="31">
        <v>3.875328087E9</v>
      </c>
      <c r="K1445" s="31" t="s">
        <v>512</v>
      </c>
      <c r="L1445" s="31" t="s">
        <v>513</v>
      </c>
      <c r="M1445" s="33">
        <v>12.0</v>
      </c>
      <c r="N1445" s="34"/>
      <c r="O1445" s="34"/>
    </row>
    <row r="1446" hidden="1">
      <c r="A1446" s="85">
        <v>45856.0</v>
      </c>
      <c r="B1446" s="31" t="s">
        <v>4539</v>
      </c>
      <c r="C1446" s="31">
        <v>8.05011542841E11</v>
      </c>
      <c r="D1446" s="31" t="s">
        <v>4540</v>
      </c>
      <c r="E1446" s="31" t="s">
        <v>4541</v>
      </c>
      <c r="F1446" s="31" t="s">
        <v>4542</v>
      </c>
      <c r="G1446" s="31" t="s">
        <v>278</v>
      </c>
      <c r="H1446" s="31" t="s">
        <v>20</v>
      </c>
      <c r="I1446" s="31">
        <v>4400.0</v>
      </c>
      <c r="J1446" s="31">
        <v>3.875328087E9</v>
      </c>
      <c r="K1446" s="31" t="s">
        <v>758</v>
      </c>
      <c r="L1446" s="31" t="s">
        <v>3574</v>
      </c>
      <c r="M1446" s="33">
        <v>2.0</v>
      </c>
      <c r="N1446" s="34"/>
      <c r="O1446" s="34"/>
    </row>
    <row r="1447" hidden="1">
      <c r="A1447" s="85">
        <v>45856.0</v>
      </c>
      <c r="B1447" s="31" t="s">
        <v>4545</v>
      </c>
      <c r="C1447" s="31">
        <v>8.07025032279E11</v>
      </c>
      <c r="D1447" s="31" t="s">
        <v>4546</v>
      </c>
      <c r="E1447" s="31" t="s">
        <v>4547</v>
      </c>
      <c r="F1447" s="31" t="s">
        <v>4548</v>
      </c>
      <c r="G1447" s="31" t="s">
        <v>2907</v>
      </c>
      <c r="H1447" s="31" t="s">
        <v>20</v>
      </c>
      <c r="I1447" s="31">
        <v>4400.0</v>
      </c>
      <c r="J1447" s="31">
        <v>1.160138481E9</v>
      </c>
      <c r="K1447" s="31" t="s">
        <v>1937</v>
      </c>
      <c r="L1447" s="31" t="s">
        <v>4036</v>
      </c>
      <c r="M1447" s="33">
        <v>1.0</v>
      </c>
      <c r="N1447" s="34"/>
      <c r="O1447" s="34"/>
    </row>
    <row r="1448" hidden="1">
      <c r="A1448" s="85">
        <v>45856.0</v>
      </c>
      <c r="B1448" s="31" t="s">
        <v>4545</v>
      </c>
      <c r="C1448" s="31">
        <v>8.07025032279E11</v>
      </c>
      <c r="D1448" s="31" t="s">
        <v>4546</v>
      </c>
      <c r="E1448" s="31" t="s">
        <v>4547</v>
      </c>
      <c r="F1448" s="31" t="s">
        <v>4548</v>
      </c>
      <c r="G1448" s="31" t="s">
        <v>2907</v>
      </c>
      <c r="H1448" s="31" t="s">
        <v>20</v>
      </c>
      <c r="I1448" s="31">
        <v>4400.0</v>
      </c>
      <c r="J1448" s="31">
        <v>1.160138481E9</v>
      </c>
      <c r="K1448" s="31" t="s">
        <v>512</v>
      </c>
      <c r="L1448" s="31" t="s">
        <v>513</v>
      </c>
      <c r="M1448" s="33">
        <v>12.0</v>
      </c>
      <c r="N1448" s="34"/>
      <c r="O1448" s="34"/>
    </row>
    <row r="1449" hidden="1">
      <c r="A1449" s="85">
        <v>45856.0</v>
      </c>
      <c r="B1449" s="31" t="s">
        <v>4549</v>
      </c>
      <c r="C1449" s="31">
        <v>8.0702503228E11</v>
      </c>
      <c r="D1449" s="31" t="s">
        <v>4546</v>
      </c>
      <c r="E1449" s="31" t="s">
        <v>4547</v>
      </c>
      <c r="F1449" s="31" t="s">
        <v>4548</v>
      </c>
      <c r="G1449" s="31" t="s">
        <v>2907</v>
      </c>
      <c r="H1449" s="31" t="s">
        <v>20</v>
      </c>
      <c r="I1449" s="31">
        <v>4400.0</v>
      </c>
      <c r="J1449" s="31">
        <v>1.160138481E9</v>
      </c>
      <c r="K1449" s="31" t="s">
        <v>233</v>
      </c>
      <c r="L1449" s="31" t="s">
        <v>3459</v>
      </c>
      <c r="M1449" s="33">
        <v>2.0</v>
      </c>
      <c r="N1449" s="34"/>
      <c r="O1449" s="34"/>
    </row>
    <row r="1450" hidden="1">
      <c r="A1450" s="85">
        <v>45856.0</v>
      </c>
      <c r="B1450" s="31" t="s">
        <v>4550</v>
      </c>
      <c r="C1450" s="31">
        <v>8.07025032278E11</v>
      </c>
      <c r="D1450" s="31" t="s">
        <v>4546</v>
      </c>
      <c r="E1450" s="31" t="s">
        <v>4547</v>
      </c>
      <c r="F1450" s="31" t="s">
        <v>4548</v>
      </c>
      <c r="G1450" s="31" t="s">
        <v>2907</v>
      </c>
      <c r="H1450" s="31" t="s">
        <v>20</v>
      </c>
      <c r="I1450" s="31">
        <v>4400.0</v>
      </c>
      <c r="J1450" s="31">
        <v>1.160138481E9</v>
      </c>
      <c r="K1450" s="31">
        <v>208502.0</v>
      </c>
      <c r="L1450" s="31" t="s">
        <v>4551</v>
      </c>
      <c r="M1450" s="33">
        <v>2.0</v>
      </c>
      <c r="N1450" s="34"/>
      <c r="O1450" s="34"/>
    </row>
    <row r="1451" hidden="1">
      <c r="A1451" s="85">
        <v>45856.0</v>
      </c>
      <c r="B1451" s="31" t="s">
        <v>4552</v>
      </c>
      <c r="C1451" s="31">
        <v>8.07025032293E11</v>
      </c>
      <c r="D1451" s="31" t="s">
        <v>4553</v>
      </c>
      <c r="E1451" s="31" t="s">
        <v>4554</v>
      </c>
      <c r="F1451" s="31" t="s">
        <v>4555</v>
      </c>
      <c r="G1451" s="31" t="s">
        <v>127</v>
      </c>
      <c r="H1451" s="31" t="s">
        <v>20</v>
      </c>
      <c r="I1451" s="31">
        <v>4400.0</v>
      </c>
      <c r="J1451" s="31">
        <v>1.132905668E9</v>
      </c>
      <c r="K1451" s="31" t="s">
        <v>3484</v>
      </c>
      <c r="L1451" s="31" t="s">
        <v>3485</v>
      </c>
      <c r="M1451" s="33">
        <v>1.0</v>
      </c>
      <c r="N1451" s="34"/>
      <c r="O1451" s="34"/>
    </row>
    <row r="1452" hidden="1">
      <c r="A1452" s="85">
        <v>45856.0</v>
      </c>
      <c r="B1452" s="31" t="s">
        <v>4552</v>
      </c>
      <c r="C1452" s="31">
        <v>8.07025032293E11</v>
      </c>
      <c r="D1452" s="31" t="s">
        <v>4553</v>
      </c>
      <c r="E1452" s="31" t="s">
        <v>4554</v>
      </c>
      <c r="F1452" s="31" t="s">
        <v>4555</v>
      </c>
      <c r="G1452" s="31" t="s">
        <v>127</v>
      </c>
      <c r="H1452" s="31" t="s">
        <v>20</v>
      </c>
      <c r="I1452" s="31">
        <v>4400.0</v>
      </c>
      <c r="J1452" s="31">
        <v>1.132905668E9</v>
      </c>
      <c r="K1452" s="31" t="s">
        <v>340</v>
      </c>
      <c r="L1452" s="31" t="s">
        <v>3486</v>
      </c>
      <c r="M1452" s="33">
        <v>2.0</v>
      </c>
      <c r="N1452" s="34"/>
      <c r="O1452" s="34"/>
    </row>
    <row r="1453" hidden="1">
      <c r="A1453" s="85">
        <v>45856.0</v>
      </c>
      <c r="B1453" s="31" t="s">
        <v>4556</v>
      </c>
      <c r="C1453" s="31">
        <v>8.0702503229E11</v>
      </c>
      <c r="D1453" s="31" t="s">
        <v>4557</v>
      </c>
      <c r="E1453" s="31" t="s">
        <v>4558</v>
      </c>
      <c r="F1453" s="31" t="s">
        <v>4559</v>
      </c>
      <c r="G1453" s="31" t="s">
        <v>127</v>
      </c>
      <c r="H1453" s="31" t="s">
        <v>20</v>
      </c>
      <c r="I1453" s="31">
        <v>4400.0</v>
      </c>
      <c r="J1453" s="31">
        <v>3.876055626E9</v>
      </c>
      <c r="K1453" s="31" t="s">
        <v>659</v>
      </c>
      <c r="L1453" s="31" t="s">
        <v>3468</v>
      </c>
      <c r="M1453" s="33">
        <v>1.0</v>
      </c>
      <c r="N1453" s="34"/>
      <c r="O1453" s="34"/>
    </row>
    <row r="1454" hidden="1">
      <c r="A1454" s="85">
        <v>45856.0</v>
      </c>
      <c r="B1454" s="31" t="s">
        <v>4556</v>
      </c>
      <c r="C1454" s="31">
        <v>8.0702503229E11</v>
      </c>
      <c r="D1454" s="31" t="s">
        <v>4557</v>
      </c>
      <c r="E1454" s="31" t="s">
        <v>4558</v>
      </c>
      <c r="F1454" s="31" t="s">
        <v>4559</v>
      </c>
      <c r="G1454" s="31" t="s">
        <v>127</v>
      </c>
      <c r="H1454" s="31" t="s">
        <v>20</v>
      </c>
      <c r="I1454" s="31">
        <v>4400.0</v>
      </c>
      <c r="J1454" s="31">
        <v>3.876055626E9</v>
      </c>
      <c r="K1454" s="31" t="s">
        <v>659</v>
      </c>
      <c r="L1454" s="31" t="s">
        <v>3468</v>
      </c>
      <c r="M1454" s="33">
        <v>1.0</v>
      </c>
      <c r="N1454" s="34"/>
      <c r="O1454" s="34"/>
    </row>
    <row r="1455" hidden="1">
      <c r="A1455" s="85">
        <v>45856.0</v>
      </c>
      <c r="B1455" s="31" t="s">
        <v>4556</v>
      </c>
      <c r="C1455" s="31">
        <v>8.0702503229E11</v>
      </c>
      <c r="D1455" s="31" t="s">
        <v>4557</v>
      </c>
      <c r="E1455" s="31" t="s">
        <v>4558</v>
      </c>
      <c r="F1455" s="31" t="s">
        <v>4559</v>
      </c>
      <c r="G1455" s="31" t="s">
        <v>127</v>
      </c>
      <c r="H1455" s="31" t="s">
        <v>20</v>
      </c>
      <c r="I1455" s="31">
        <v>4400.0</v>
      </c>
      <c r="J1455" s="31">
        <v>3.876055626E9</v>
      </c>
      <c r="K1455" s="31" t="s">
        <v>35</v>
      </c>
      <c r="L1455" s="31" t="s">
        <v>3188</v>
      </c>
      <c r="M1455" s="33">
        <v>1.0</v>
      </c>
      <c r="N1455" s="34"/>
      <c r="O1455" s="34"/>
    </row>
    <row r="1456" hidden="1">
      <c r="A1456" s="85">
        <v>45856.0</v>
      </c>
      <c r="B1456" s="31" t="s">
        <v>4560</v>
      </c>
      <c r="C1456" s="31">
        <v>8.07025032269E11</v>
      </c>
      <c r="D1456" s="31" t="s">
        <v>4561</v>
      </c>
      <c r="E1456" s="31" t="s">
        <v>4562</v>
      </c>
      <c r="F1456" s="31" t="s">
        <v>4563</v>
      </c>
      <c r="G1456" s="31" t="s">
        <v>127</v>
      </c>
      <c r="H1456" s="31" t="s">
        <v>20</v>
      </c>
      <c r="I1456" s="31">
        <v>4400.0</v>
      </c>
      <c r="J1456" s="31">
        <v>3.875113492E9</v>
      </c>
      <c r="K1456" s="31" t="s">
        <v>3154</v>
      </c>
      <c r="L1456" s="31" t="s">
        <v>4564</v>
      </c>
      <c r="M1456" s="33">
        <v>1.0</v>
      </c>
      <c r="N1456" s="34"/>
      <c r="O1456" s="34"/>
    </row>
    <row r="1457" hidden="1">
      <c r="A1457" s="85">
        <v>45856.0</v>
      </c>
      <c r="B1457" s="31" t="s">
        <v>4565</v>
      </c>
      <c r="C1457" s="31">
        <v>8.07025032268E11</v>
      </c>
      <c r="D1457" s="31" t="s">
        <v>4566</v>
      </c>
      <c r="E1457" s="31" t="s">
        <v>4567</v>
      </c>
      <c r="F1457" s="31" t="s">
        <v>4568</v>
      </c>
      <c r="G1457" s="31" t="s">
        <v>292</v>
      </c>
      <c r="H1457" s="31" t="s">
        <v>20</v>
      </c>
      <c r="I1457" s="31">
        <v>4400.0</v>
      </c>
      <c r="J1457" s="31">
        <v>1.15505391E9</v>
      </c>
      <c r="K1457" s="31" t="s">
        <v>3313</v>
      </c>
      <c r="L1457" s="31" t="s">
        <v>3314</v>
      </c>
      <c r="M1457" s="33">
        <v>1.0</v>
      </c>
      <c r="N1457" s="34"/>
      <c r="O1457" s="34"/>
    </row>
    <row r="1458" hidden="1">
      <c r="A1458" s="85">
        <v>45856.0</v>
      </c>
      <c r="B1458" s="31" t="s">
        <v>4565</v>
      </c>
      <c r="C1458" s="31">
        <v>8.07025032268E11</v>
      </c>
      <c r="D1458" s="31" t="s">
        <v>4566</v>
      </c>
      <c r="E1458" s="31" t="s">
        <v>4567</v>
      </c>
      <c r="F1458" s="31" t="s">
        <v>4568</v>
      </c>
      <c r="G1458" s="31" t="s">
        <v>292</v>
      </c>
      <c r="H1458" s="31" t="s">
        <v>20</v>
      </c>
      <c r="I1458" s="31">
        <v>4400.0</v>
      </c>
      <c r="J1458" s="31">
        <v>1.15505391E9</v>
      </c>
      <c r="K1458" s="31" t="s">
        <v>3797</v>
      </c>
      <c r="L1458" s="31" t="s">
        <v>3798</v>
      </c>
      <c r="M1458" s="33">
        <v>1.0</v>
      </c>
      <c r="N1458" s="34"/>
      <c r="O1458" s="34"/>
    </row>
    <row r="1459" hidden="1">
      <c r="A1459" s="85">
        <v>45856.0</v>
      </c>
      <c r="B1459" s="31" t="s">
        <v>4569</v>
      </c>
      <c r="C1459" s="31">
        <v>8.05011543046E11</v>
      </c>
      <c r="D1459" s="31" t="s">
        <v>4570</v>
      </c>
      <c r="E1459" s="31" t="s">
        <v>4571</v>
      </c>
      <c r="F1459" s="31" t="s">
        <v>4572</v>
      </c>
      <c r="G1459" s="31" t="s">
        <v>4573</v>
      </c>
      <c r="H1459" s="31" t="s">
        <v>20</v>
      </c>
      <c r="I1459" s="31">
        <v>4427.0</v>
      </c>
      <c r="J1459" s="31">
        <v>3.875770605E9</v>
      </c>
      <c r="K1459" s="31" t="s">
        <v>512</v>
      </c>
      <c r="L1459" s="31" t="s">
        <v>513</v>
      </c>
      <c r="M1459" s="33">
        <v>12.0</v>
      </c>
      <c r="N1459" s="34"/>
      <c r="O1459" s="34"/>
    </row>
    <row r="1460" hidden="1">
      <c r="A1460" s="85">
        <v>45856.0</v>
      </c>
      <c r="B1460" s="31" t="s">
        <v>4569</v>
      </c>
      <c r="C1460" s="31">
        <v>8.05011543046E11</v>
      </c>
      <c r="D1460" s="31" t="s">
        <v>4570</v>
      </c>
      <c r="E1460" s="31" t="s">
        <v>4571</v>
      </c>
      <c r="F1460" s="31" t="s">
        <v>4572</v>
      </c>
      <c r="G1460" s="31" t="s">
        <v>4573</v>
      </c>
      <c r="H1460" s="31" t="s">
        <v>20</v>
      </c>
      <c r="I1460" s="31">
        <v>4427.0</v>
      </c>
      <c r="J1460" s="31">
        <v>3.875770605E9</v>
      </c>
      <c r="K1460" s="31" t="s">
        <v>3393</v>
      </c>
      <c r="L1460" s="31" t="s">
        <v>3394</v>
      </c>
      <c r="M1460" s="33">
        <v>1.0</v>
      </c>
      <c r="N1460" s="34"/>
      <c r="O1460" s="34"/>
    </row>
    <row r="1461" hidden="1">
      <c r="A1461" s="85">
        <v>45856.0</v>
      </c>
      <c r="B1461" s="31" t="s">
        <v>4569</v>
      </c>
      <c r="C1461" s="31">
        <v>8.05011543046E11</v>
      </c>
      <c r="D1461" s="31" t="s">
        <v>4570</v>
      </c>
      <c r="E1461" s="31" t="s">
        <v>4571</v>
      </c>
      <c r="F1461" s="31" t="s">
        <v>4572</v>
      </c>
      <c r="G1461" s="31" t="s">
        <v>4573</v>
      </c>
      <c r="H1461" s="31" t="s">
        <v>20</v>
      </c>
      <c r="I1461" s="31">
        <v>4427.0</v>
      </c>
      <c r="J1461" s="31">
        <v>3.875770605E9</v>
      </c>
      <c r="K1461" s="31" t="s">
        <v>645</v>
      </c>
      <c r="L1461" s="31" t="s">
        <v>3253</v>
      </c>
      <c r="M1461" s="33">
        <v>2.0</v>
      </c>
      <c r="N1461" s="34"/>
      <c r="O1461" s="34"/>
    </row>
    <row r="1462" hidden="1">
      <c r="A1462" s="85">
        <v>45856.0</v>
      </c>
      <c r="B1462" s="31" t="s">
        <v>4574</v>
      </c>
      <c r="C1462" s="31">
        <v>8.07025032308E11</v>
      </c>
      <c r="D1462" s="31" t="s">
        <v>4575</v>
      </c>
      <c r="E1462" s="31" t="s">
        <v>4576</v>
      </c>
      <c r="F1462" s="31" t="s">
        <v>4577</v>
      </c>
      <c r="G1462" s="31" t="s">
        <v>127</v>
      </c>
      <c r="H1462" s="31" t="s">
        <v>20</v>
      </c>
      <c r="I1462" s="31">
        <v>4400.0</v>
      </c>
      <c r="J1462" s="31">
        <v>3.876564219E9</v>
      </c>
      <c r="K1462" s="31" t="s">
        <v>2031</v>
      </c>
      <c r="L1462" s="31" t="s">
        <v>3348</v>
      </c>
      <c r="M1462" s="33">
        <v>1.0</v>
      </c>
      <c r="N1462" s="34"/>
      <c r="O1462" s="34"/>
    </row>
    <row r="1463" hidden="1">
      <c r="A1463" s="85">
        <v>45856.0</v>
      </c>
      <c r="B1463" s="31" t="s">
        <v>4574</v>
      </c>
      <c r="C1463" s="31">
        <v>8.07025032308E11</v>
      </c>
      <c r="D1463" s="31" t="s">
        <v>4575</v>
      </c>
      <c r="E1463" s="31" t="s">
        <v>4576</v>
      </c>
      <c r="F1463" s="31" t="s">
        <v>4577</v>
      </c>
      <c r="G1463" s="31" t="s">
        <v>127</v>
      </c>
      <c r="H1463" s="31" t="s">
        <v>20</v>
      </c>
      <c r="I1463" s="31">
        <v>4400.0</v>
      </c>
      <c r="J1463" s="31">
        <v>3.876564219E9</v>
      </c>
      <c r="K1463" s="31" t="s">
        <v>3025</v>
      </c>
      <c r="L1463" s="31" t="s">
        <v>3493</v>
      </c>
      <c r="M1463" s="33">
        <v>1.0</v>
      </c>
      <c r="N1463" s="34"/>
      <c r="O1463" s="34"/>
    </row>
    <row r="1464" hidden="1">
      <c r="A1464" s="85">
        <v>45856.0</v>
      </c>
      <c r="B1464" s="31" t="s">
        <v>4574</v>
      </c>
      <c r="C1464" s="31">
        <v>8.07025032308E11</v>
      </c>
      <c r="D1464" s="31" t="s">
        <v>4575</v>
      </c>
      <c r="E1464" s="31" t="s">
        <v>4576</v>
      </c>
      <c r="F1464" s="31" t="s">
        <v>4577</v>
      </c>
      <c r="G1464" s="31" t="s">
        <v>127</v>
      </c>
      <c r="H1464" s="31" t="s">
        <v>20</v>
      </c>
      <c r="I1464" s="31">
        <v>4400.0</v>
      </c>
      <c r="J1464" s="31">
        <v>3.876564219E9</v>
      </c>
      <c r="K1464" s="31" t="s">
        <v>512</v>
      </c>
      <c r="L1464" s="31" t="s">
        <v>513</v>
      </c>
      <c r="M1464" s="33">
        <v>6.0</v>
      </c>
      <c r="N1464" s="34"/>
      <c r="O1464" s="34"/>
    </row>
    <row r="1465" hidden="1">
      <c r="A1465" s="85">
        <v>45856.0</v>
      </c>
      <c r="B1465" s="31" t="s">
        <v>4578</v>
      </c>
      <c r="C1465" s="31">
        <v>8.07025032307E11</v>
      </c>
      <c r="D1465" s="31" t="s">
        <v>4579</v>
      </c>
      <c r="E1465" s="31" t="s">
        <v>4580</v>
      </c>
      <c r="F1465" s="31" t="s">
        <v>4581</v>
      </c>
      <c r="G1465" s="31" t="s">
        <v>425</v>
      </c>
      <c r="H1465" s="31" t="s">
        <v>20</v>
      </c>
      <c r="I1465" s="31">
        <v>4400.0</v>
      </c>
      <c r="J1465" s="31">
        <v>3.875933367E9</v>
      </c>
      <c r="K1465" s="31" t="s">
        <v>3276</v>
      </c>
      <c r="L1465" s="31" t="s">
        <v>3277</v>
      </c>
      <c r="M1465" s="33">
        <v>1.0</v>
      </c>
      <c r="N1465" s="34"/>
      <c r="O1465" s="34"/>
    </row>
    <row r="1466" hidden="1">
      <c r="A1466" s="85">
        <v>45856.0</v>
      </c>
      <c r="B1466" s="31" t="s">
        <v>4578</v>
      </c>
      <c r="C1466" s="31">
        <v>8.07025032307E11</v>
      </c>
      <c r="D1466" s="31" t="s">
        <v>4579</v>
      </c>
      <c r="E1466" s="31" t="s">
        <v>4580</v>
      </c>
      <c r="F1466" s="31" t="s">
        <v>4581</v>
      </c>
      <c r="G1466" s="31" t="s">
        <v>425</v>
      </c>
      <c r="H1466" s="31" t="s">
        <v>20</v>
      </c>
      <c r="I1466" s="31">
        <v>4400.0</v>
      </c>
      <c r="J1466" s="31">
        <v>3.875933367E9</v>
      </c>
      <c r="K1466" s="31" t="s">
        <v>971</v>
      </c>
      <c r="L1466" s="31" t="s">
        <v>4477</v>
      </c>
      <c r="M1466" s="33">
        <v>1.0</v>
      </c>
      <c r="N1466" s="34"/>
      <c r="O1466" s="34"/>
    </row>
    <row r="1467" hidden="1">
      <c r="A1467" s="85">
        <v>45856.0</v>
      </c>
      <c r="B1467" s="31" t="s">
        <v>4582</v>
      </c>
      <c r="C1467" s="31">
        <v>8.07025032255E11</v>
      </c>
      <c r="D1467" s="31" t="s">
        <v>4583</v>
      </c>
      <c r="E1467" s="31" t="s">
        <v>4584</v>
      </c>
      <c r="F1467" s="31" t="s">
        <v>4585</v>
      </c>
      <c r="G1467" s="31" t="s">
        <v>127</v>
      </c>
      <c r="H1467" s="31" t="s">
        <v>20</v>
      </c>
      <c r="I1467" s="31">
        <v>4400.0</v>
      </c>
      <c r="J1467" s="31">
        <v>3.875290101E9</v>
      </c>
      <c r="K1467" s="31" t="s">
        <v>60</v>
      </c>
      <c r="L1467" s="31" t="s">
        <v>3706</v>
      </c>
      <c r="M1467" s="33">
        <v>1.0</v>
      </c>
      <c r="N1467" s="34"/>
      <c r="O1467" s="34"/>
    </row>
    <row r="1468" hidden="1">
      <c r="A1468" s="85">
        <v>45856.0</v>
      </c>
      <c r="B1468" s="31" t="s">
        <v>4586</v>
      </c>
      <c r="C1468" s="31">
        <v>8.07025032298E11</v>
      </c>
      <c r="D1468" s="31" t="s">
        <v>4587</v>
      </c>
      <c r="E1468" s="31" t="s">
        <v>4588</v>
      </c>
      <c r="F1468" s="31" t="s">
        <v>126</v>
      </c>
      <c r="G1468" s="31" t="s">
        <v>127</v>
      </c>
      <c r="H1468" s="31" t="s">
        <v>20</v>
      </c>
      <c r="I1468" s="31">
        <v>4400.0</v>
      </c>
      <c r="J1468" s="31">
        <v>3.87598752E9</v>
      </c>
      <c r="K1468" s="31" t="s">
        <v>3692</v>
      </c>
      <c r="L1468" s="31" t="s">
        <v>3693</v>
      </c>
      <c r="M1468" s="33">
        <v>1.0</v>
      </c>
      <c r="N1468" s="34"/>
      <c r="O1468" s="34"/>
    </row>
    <row r="1469" hidden="1">
      <c r="A1469" s="85">
        <v>45856.0</v>
      </c>
      <c r="B1469" s="31" t="s">
        <v>4589</v>
      </c>
      <c r="C1469" s="31">
        <v>8.07025032353E11</v>
      </c>
      <c r="D1469" s="31" t="s">
        <v>4590</v>
      </c>
      <c r="E1469" s="31" t="s">
        <v>4591</v>
      </c>
      <c r="F1469" s="31" t="s">
        <v>4592</v>
      </c>
      <c r="G1469" s="31" t="s">
        <v>127</v>
      </c>
      <c r="H1469" s="31" t="s">
        <v>20</v>
      </c>
      <c r="I1469" s="31">
        <v>4400.0</v>
      </c>
      <c r="J1469" s="31">
        <v>3.875838505E9</v>
      </c>
      <c r="K1469" s="31" t="s">
        <v>35</v>
      </c>
      <c r="L1469" s="31" t="s">
        <v>3188</v>
      </c>
      <c r="M1469" s="33">
        <v>1.0</v>
      </c>
      <c r="N1469" s="34"/>
      <c r="O1469" s="34"/>
    </row>
    <row r="1470" hidden="1">
      <c r="A1470" s="85">
        <v>45856.0</v>
      </c>
      <c r="B1470" s="31" t="s">
        <v>4589</v>
      </c>
      <c r="C1470" s="31">
        <v>8.07025032353E11</v>
      </c>
      <c r="D1470" s="31" t="s">
        <v>4590</v>
      </c>
      <c r="E1470" s="31" t="s">
        <v>4591</v>
      </c>
      <c r="F1470" s="31" t="s">
        <v>4592</v>
      </c>
      <c r="G1470" s="31" t="s">
        <v>127</v>
      </c>
      <c r="H1470" s="31" t="s">
        <v>20</v>
      </c>
      <c r="I1470" s="31">
        <v>4400.0</v>
      </c>
      <c r="J1470" s="31">
        <v>3.875838505E9</v>
      </c>
      <c r="K1470" s="31" t="s">
        <v>659</v>
      </c>
      <c r="L1470" s="31" t="s">
        <v>3468</v>
      </c>
      <c r="M1470" s="33">
        <v>1.0</v>
      </c>
      <c r="N1470" s="34"/>
      <c r="O1470" s="34"/>
    </row>
    <row r="1471" hidden="1">
      <c r="A1471" s="85">
        <v>45856.0</v>
      </c>
      <c r="B1471" s="31" t="s">
        <v>4593</v>
      </c>
      <c r="C1471" s="31">
        <v>8.07025032352E11</v>
      </c>
      <c r="D1471" s="31" t="s">
        <v>4590</v>
      </c>
      <c r="E1471" s="31" t="s">
        <v>4591</v>
      </c>
      <c r="F1471" s="31" t="s">
        <v>4592</v>
      </c>
      <c r="G1471" s="31" t="s">
        <v>127</v>
      </c>
      <c r="H1471" s="31" t="s">
        <v>20</v>
      </c>
      <c r="I1471" s="31">
        <v>4400.0</v>
      </c>
      <c r="J1471" s="31">
        <v>3.875838505E9</v>
      </c>
      <c r="K1471" s="31" t="s">
        <v>512</v>
      </c>
      <c r="L1471" s="31" t="s">
        <v>513</v>
      </c>
      <c r="M1471" s="33">
        <v>6.0</v>
      </c>
      <c r="N1471" s="34"/>
      <c r="O1471" s="34"/>
    </row>
    <row r="1472" hidden="1">
      <c r="A1472" s="85">
        <v>45856.0</v>
      </c>
      <c r="B1472" s="31" t="s">
        <v>4594</v>
      </c>
      <c r="C1472" s="31">
        <v>8.05011543318E11</v>
      </c>
      <c r="D1472" s="31" t="s">
        <v>4595</v>
      </c>
      <c r="E1472" s="31" t="s">
        <v>4596</v>
      </c>
      <c r="F1472" s="31" t="s">
        <v>4597</v>
      </c>
      <c r="G1472" s="31" t="s">
        <v>20</v>
      </c>
      <c r="H1472" s="31" t="s">
        <v>20</v>
      </c>
      <c r="I1472" s="31">
        <v>4400.0</v>
      </c>
      <c r="J1472" s="31">
        <v>3.872176124E9</v>
      </c>
      <c r="K1472" s="31" t="s">
        <v>3074</v>
      </c>
      <c r="L1472" s="31" t="s">
        <v>3232</v>
      </c>
      <c r="M1472" s="33">
        <v>1.0</v>
      </c>
      <c r="N1472" s="34"/>
      <c r="O1472" s="34"/>
    </row>
    <row r="1473" hidden="1">
      <c r="A1473" s="85">
        <v>45856.0</v>
      </c>
      <c r="B1473" s="31" t="s">
        <v>4594</v>
      </c>
      <c r="C1473" s="31">
        <v>8.05011543318E11</v>
      </c>
      <c r="D1473" s="31" t="s">
        <v>4595</v>
      </c>
      <c r="E1473" s="31" t="s">
        <v>4596</v>
      </c>
      <c r="F1473" s="31" t="s">
        <v>4597</v>
      </c>
      <c r="G1473" s="31" t="s">
        <v>20</v>
      </c>
      <c r="H1473" s="31" t="s">
        <v>20</v>
      </c>
      <c r="I1473" s="31">
        <v>4400.0</v>
      </c>
      <c r="J1473" s="31">
        <v>3.872176124E9</v>
      </c>
      <c r="K1473" s="31" t="s">
        <v>512</v>
      </c>
      <c r="L1473" s="31" t="s">
        <v>513</v>
      </c>
      <c r="M1473" s="33">
        <v>6.0</v>
      </c>
      <c r="N1473" s="34"/>
      <c r="O1473" s="34"/>
    </row>
    <row r="1474" hidden="1">
      <c r="A1474" s="85">
        <v>45856.0</v>
      </c>
      <c r="B1474" s="31" t="s">
        <v>4594</v>
      </c>
      <c r="C1474" s="31">
        <v>8.05011543318E11</v>
      </c>
      <c r="D1474" s="31" t="s">
        <v>4595</v>
      </c>
      <c r="E1474" s="31" t="s">
        <v>4596</v>
      </c>
      <c r="F1474" s="31" t="s">
        <v>4597</v>
      </c>
      <c r="G1474" s="31" t="s">
        <v>20</v>
      </c>
      <c r="H1474" s="31" t="s">
        <v>20</v>
      </c>
      <c r="I1474" s="31">
        <v>4400.0</v>
      </c>
      <c r="J1474" s="31">
        <v>3.872176124E9</v>
      </c>
      <c r="K1474" s="31" t="s">
        <v>670</v>
      </c>
      <c r="L1474" s="31" t="s">
        <v>3410</v>
      </c>
      <c r="M1474" s="33">
        <v>1.0</v>
      </c>
      <c r="N1474" s="34"/>
      <c r="O1474" s="34"/>
    </row>
    <row r="1475" hidden="1">
      <c r="A1475" s="85">
        <v>45856.0</v>
      </c>
      <c r="B1475" s="31" t="s">
        <v>4598</v>
      </c>
      <c r="C1475" s="31">
        <v>8.07025032259E11</v>
      </c>
      <c r="D1475" s="31" t="s">
        <v>4599</v>
      </c>
      <c r="E1475" s="31" t="s">
        <v>4600</v>
      </c>
      <c r="F1475" s="31" t="s">
        <v>4601</v>
      </c>
      <c r="G1475" s="31" t="s">
        <v>4602</v>
      </c>
      <c r="H1475" s="31" t="s">
        <v>20</v>
      </c>
      <c r="I1475" s="31">
        <v>4450.0</v>
      </c>
      <c r="J1475" s="31">
        <v>3.877437388E9</v>
      </c>
      <c r="K1475" s="31" t="s">
        <v>3025</v>
      </c>
      <c r="L1475" s="31" t="s">
        <v>3493</v>
      </c>
      <c r="M1475" s="33">
        <v>1.0</v>
      </c>
      <c r="N1475" s="34"/>
      <c r="O1475" s="34"/>
    </row>
    <row r="1476" hidden="1">
      <c r="A1476" s="85">
        <v>45856.0</v>
      </c>
      <c r="B1476" s="31" t="s">
        <v>4603</v>
      </c>
      <c r="C1476" s="31">
        <v>8.07025032262E11</v>
      </c>
      <c r="D1476" s="31" t="s">
        <v>4604</v>
      </c>
      <c r="E1476" s="31" t="s">
        <v>4605</v>
      </c>
      <c r="F1476" s="31" t="s">
        <v>4606</v>
      </c>
      <c r="G1476" s="31" t="s">
        <v>127</v>
      </c>
      <c r="H1476" s="31" t="s">
        <v>20</v>
      </c>
      <c r="I1476" s="31">
        <v>4400.0</v>
      </c>
      <c r="J1476" s="31">
        <v>3.875165092E9</v>
      </c>
      <c r="K1476" s="31" t="s">
        <v>3205</v>
      </c>
      <c r="L1476" s="31" t="s">
        <v>3206</v>
      </c>
      <c r="M1476" s="33">
        <v>1.0</v>
      </c>
      <c r="N1476" s="34"/>
      <c r="O1476" s="34"/>
    </row>
    <row r="1477" hidden="1">
      <c r="A1477" s="85">
        <v>45856.0</v>
      </c>
      <c r="B1477" s="31" t="s">
        <v>4607</v>
      </c>
      <c r="C1477" s="31">
        <v>8.07025032331E11</v>
      </c>
      <c r="D1477" s="31" t="s">
        <v>4608</v>
      </c>
      <c r="E1477" s="31" t="s">
        <v>4609</v>
      </c>
      <c r="F1477" s="31" t="s">
        <v>4610</v>
      </c>
      <c r="G1477" s="31" t="s">
        <v>4611</v>
      </c>
      <c r="H1477" s="31" t="s">
        <v>20</v>
      </c>
      <c r="I1477" s="31">
        <v>4530.0</v>
      </c>
      <c r="J1477" s="31">
        <v>3.875060455E9</v>
      </c>
      <c r="K1477" s="31" t="s">
        <v>969</v>
      </c>
      <c r="L1477" s="31" t="s">
        <v>3296</v>
      </c>
      <c r="M1477" s="33">
        <v>1.0</v>
      </c>
      <c r="N1477" s="34"/>
      <c r="O1477" s="34"/>
    </row>
    <row r="1478" hidden="1">
      <c r="A1478" s="85">
        <v>45856.0</v>
      </c>
      <c r="B1478" s="31" t="s">
        <v>4607</v>
      </c>
      <c r="C1478" s="31">
        <v>8.07025032331E11</v>
      </c>
      <c r="D1478" s="31" t="s">
        <v>4608</v>
      </c>
      <c r="E1478" s="31" t="s">
        <v>4609</v>
      </c>
      <c r="F1478" s="31" t="s">
        <v>4610</v>
      </c>
      <c r="G1478" s="31" t="s">
        <v>4611</v>
      </c>
      <c r="H1478" s="31" t="s">
        <v>20</v>
      </c>
      <c r="I1478" s="31">
        <v>4530.0</v>
      </c>
      <c r="J1478" s="31">
        <v>3.875060455E9</v>
      </c>
      <c r="K1478" s="31" t="s">
        <v>971</v>
      </c>
      <c r="L1478" s="31" t="s">
        <v>4477</v>
      </c>
      <c r="M1478" s="33">
        <v>1.0</v>
      </c>
      <c r="N1478" s="34"/>
      <c r="O1478" s="34"/>
    </row>
    <row r="1479" hidden="1">
      <c r="A1479" s="85">
        <v>45856.0</v>
      </c>
      <c r="B1479" s="31" t="s">
        <v>4612</v>
      </c>
      <c r="C1479" s="31">
        <v>8.0702503233E11</v>
      </c>
      <c r="D1479" s="31" t="s">
        <v>4608</v>
      </c>
      <c r="E1479" s="31" t="s">
        <v>4609</v>
      </c>
      <c r="F1479" s="31" t="s">
        <v>4610</v>
      </c>
      <c r="G1479" s="31" t="s">
        <v>4611</v>
      </c>
      <c r="H1479" s="31" t="s">
        <v>20</v>
      </c>
      <c r="I1479" s="31">
        <v>4530.0</v>
      </c>
      <c r="J1479" s="31">
        <v>3.875060455E9</v>
      </c>
      <c r="K1479" s="31" t="s">
        <v>512</v>
      </c>
      <c r="L1479" s="31" t="s">
        <v>513</v>
      </c>
      <c r="M1479" s="33">
        <v>6.0</v>
      </c>
      <c r="N1479" s="34"/>
      <c r="O1479" s="34"/>
    </row>
    <row r="1480" hidden="1">
      <c r="A1480" s="85">
        <v>45856.0</v>
      </c>
      <c r="B1480" s="31" t="s">
        <v>4613</v>
      </c>
      <c r="C1480" s="31">
        <v>8.07025032338E11</v>
      </c>
      <c r="D1480" s="31" t="s">
        <v>4614</v>
      </c>
      <c r="E1480" s="31" t="s">
        <v>4615</v>
      </c>
      <c r="F1480" s="31" t="s">
        <v>4616</v>
      </c>
      <c r="G1480" s="31" t="s">
        <v>1986</v>
      </c>
      <c r="H1480" s="31" t="s">
        <v>20</v>
      </c>
      <c r="I1480" s="31">
        <v>4401.0</v>
      </c>
      <c r="J1480" s="31">
        <v>3.875225907E9</v>
      </c>
      <c r="K1480" s="31" t="s">
        <v>35</v>
      </c>
      <c r="L1480" s="31" t="s">
        <v>3188</v>
      </c>
      <c r="M1480" s="33">
        <v>1.0</v>
      </c>
      <c r="N1480" s="34"/>
      <c r="O1480" s="34"/>
    </row>
    <row r="1481" hidden="1">
      <c r="A1481" s="85">
        <v>45856.0</v>
      </c>
      <c r="B1481" s="31" t="s">
        <v>4613</v>
      </c>
      <c r="C1481" s="31">
        <v>8.07025032338E11</v>
      </c>
      <c r="D1481" s="31" t="s">
        <v>4614</v>
      </c>
      <c r="E1481" s="31" t="s">
        <v>4615</v>
      </c>
      <c r="F1481" s="31" t="s">
        <v>4616</v>
      </c>
      <c r="G1481" s="31" t="s">
        <v>1986</v>
      </c>
      <c r="H1481" s="31" t="s">
        <v>20</v>
      </c>
      <c r="I1481" s="31">
        <v>4401.0</v>
      </c>
      <c r="J1481" s="31">
        <v>3.875225907E9</v>
      </c>
      <c r="K1481" s="31" t="s">
        <v>659</v>
      </c>
      <c r="L1481" s="31" t="s">
        <v>3468</v>
      </c>
      <c r="M1481" s="33">
        <v>1.0</v>
      </c>
      <c r="N1481" s="34"/>
      <c r="O1481" s="34"/>
    </row>
    <row r="1482" hidden="1">
      <c r="A1482" s="85">
        <v>45856.0</v>
      </c>
      <c r="B1482" s="31" t="s">
        <v>4617</v>
      </c>
      <c r="C1482" s="31">
        <v>8.07025032337E11</v>
      </c>
      <c r="D1482" s="31" t="s">
        <v>4614</v>
      </c>
      <c r="E1482" s="31" t="s">
        <v>4615</v>
      </c>
      <c r="F1482" s="31" t="s">
        <v>4616</v>
      </c>
      <c r="G1482" s="31" t="s">
        <v>1986</v>
      </c>
      <c r="H1482" s="31" t="s">
        <v>20</v>
      </c>
      <c r="I1482" s="31">
        <v>4401.0</v>
      </c>
      <c r="J1482" s="31">
        <v>3.875225907E9</v>
      </c>
      <c r="K1482" s="31" t="s">
        <v>512</v>
      </c>
      <c r="L1482" s="31" t="s">
        <v>513</v>
      </c>
      <c r="M1482" s="33">
        <v>6.0</v>
      </c>
      <c r="N1482" s="34"/>
      <c r="O1482" s="34"/>
    </row>
    <row r="1483" ht="8.25" hidden="1" customHeight="1">
      <c r="A1483" s="90"/>
      <c r="B1483" s="90"/>
      <c r="C1483" s="90"/>
      <c r="D1483" s="90"/>
      <c r="E1483" s="90"/>
      <c r="F1483" s="90"/>
      <c r="G1483" s="90"/>
      <c r="H1483" s="90"/>
      <c r="I1483" s="90"/>
      <c r="J1483" s="90"/>
      <c r="K1483" s="90"/>
      <c r="L1483" s="90"/>
      <c r="M1483" s="90"/>
      <c r="N1483" s="90"/>
      <c r="O1483" s="90"/>
    </row>
    <row r="1484" hidden="1">
      <c r="A1484" s="85">
        <v>45867.0</v>
      </c>
      <c r="B1484" s="31" t="s">
        <v>4618</v>
      </c>
      <c r="C1484" s="31">
        <v>8.0702503237E11</v>
      </c>
      <c r="D1484" s="31" t="s">
        <v>4619</v>
      </c>
      <c r="E1484" s="31" t="s">
        <v>4620</v>
      </c>
      <c r="F1484" s="31" t="s">
        <v>4621</v>
      </c>
      <c r="G1484" s="31" t="s">
        <v>127</v>
      </c>
      <c r="H1484" s="31" t="s">
        <v>20</v>
      </c>
      <c r="I1484" s="31">
        <v>4400.0</v>
      </c>
      <c r="J1484" s="31">
        <v>3.873011285E9</v>
      </c>
      <c r="K1484" s="31" t="s">
        <v>971</v>
      </c>
      <c r="L1484" s="31" t="s">
        <v>4477</v>
      </c>
      <c r="M1484" s="33">
        <v>1.0</v>
      </c>
      <c r="N1484" s="34"/>
      <c r="O1484" s="34"/>
    </row>
    <row r="1485" hidden="1">
      <c r="A1485" s="85">
        <v>45867.0</v>
      </c>
      <c r="B1485" s="31" t="s">
        <v>4618</v>
      </c>
      <c r="C1485" s="31">
        <v>8.0702503237E11</v>
      </c>
      <c r="D1485" s="31" t="s">
        <v>4619</v>
      </c>
      <c r="E1485" s="31" t="s">
        <v>4620</v>
      </c>
      <c r="F1485" s="31" t="s">
        <v>4621</v>
      </c>
      <c r="G1485" s="31" t="s">
        <v>127</v>
      </c>
      <c r="H1485" s="31" t="s">
        <v>20</v>
      </c>
      <c r="I1485" s="31">
        <v>4400.0</v>
      </c>
      <c r="J1485" s="31">
        <v>3.873011285E9</v>
      </c>
      <c r="K1485" s="31" t="s">
        <v>969</v>
      </c>
      <c r="L1485" s="31" t="s">
        <v>3296</v>
      </c>
      <c r="M1485" s="33">
        <v>1.0</v>
      </c>
      <c r="N1485" s="34"/>
      <c r="O1485" s="34"/>
    </row>
    <row r="1486" hidden="1">
      <c r="A1486" s="85">
        <v>45867.0</v>
      </c>
      <c r="B1486" s="31" t="s">
        <v>4622</v>
      </c>
      <c r="C1486" s="31">
        <v>8.07025032369E11</v>
      </c>
      <c r="D1486" s="31" t="s">
        <v>4619</v>
      </c>
      <c r="E1486" s="31" t="s">
        <v>4620</v>
      </c>
      <c r="F1486" s="31" t="s">
        <v>4621</v>
      </c>
      <c r="G1486" s="31" t="s">
        <v>127</v>
      </c>
      <c r="H1486" s="31" t="s">
        <v>20</v>
      </c>
      <c r="I1486" s="31">
        <v>4400.0</v>
      </c>
      <c r="J1486" s="31">
        <v>3.873011285E9</v>
      </c>
      <c r="K1486" s="31" t="s">
        <v>512</v>
      </c>
      <c r="L1486" s="31" t="s">
        <v>513</v>
      </c>
      <c r="M1486" s="33">
        <v>6.0</v>
      </c>
      <c r="N1486" s="34"/>
      <c r="O1486" s="34"/>
    </row>
    <row r="1487" hidden="1">
      <c r="A1487" s="85">
        <v>45867.0</v>
      </c>
      <c r="B1487" s="31" t="s">
        <v>4623</v>
      </c>
      <c r="C1487" s="31">
        <v>8.05011543654E11</v>
      </c>
      <c r="D1487" s="31" t="s">
        <v>4624</v>
      </c>
      <c r="E1487" s="31" t="s">
        <v>4625</v>
      </c>
      <c r="F1487" s="31" t="s">
        <v>4626</v>
      </c>
      <c r="G1487" s="31" t="s">
        <v>20</v>
      </c>
      <c r="H1487" s="31" t="s">
        <v>20</v>
      </c>
      <c r="I1487" s="31">
        <v>4400.0</v>
      </c>
      <c r="J1487" s="31">
        <v>3.875961118E9</v>
      </c>
      <c r="K1487" s="31" t="s">
        <v>512</v>
      </c>
      <c r="L1487" s="31" t="s">
        <v>513</v>
      </c>
      <c r="M1487" s="33">
        <v>6.0</v>
      </c>
      <c r="N1487" s="34"/>
      <c r="O1487" s="34"/>
    </row>
    <row r="1488" hidden="1">
      <c r="A1488" s="85">
        <v>45867.0</v>
      </c>
      <c r="B1488" s="31" t="s">
        <v>4623</v>
      </c>
      <c r="C1488" s="31">
        <v>8.05011543654E11</v>
      </c>
      <c r="D1488" s="31" t="s">
        <v>4624</v>
      </c>
      <c r="E1488" s="31" t="s">
        <v>4625</v>
      </c>
      <c r="F1488" s="31" t="s">
        <v>4626</v>
      </c>
      <c r="G1488" s="31" t="s">
        <v>20</v>
      </c>
      <c r="H1488" s="31" t="s">
        <v>20</v>
      </c>
      <c r="I1488" s="31">
        <v>4400.0</v>
      </c>
      <c r="J1488" s="31">
        <v>3.875961118E9</v>
      </c>
      <c r="K1488" s="31" t="s">
        <v>35</v>
      </c>
      <c r="L1488" s="31" t="s">
        <v>3188</v>
      </c>
      <c r="M1488" s="33">
        <v>1.0</v>
      </c>
      <c r="N1488" s="34"/>
      <c r="O1488" s="34"/>
    </row>
    <row r="1489" hidden="1">
      <c r="A1489" s="85">
        <v>45867.0</v>
      </c>
      <c r="B1489" s="31" t="s">
        <v>4623</v>
      </c>
      <c r="C1489" s="31">
        <v>8.05011543654E11</v>
      </c>
      <c r="D1489" s="31" t="s">
        <v>4624</v>
      </c>
      <c r="E1489" s="31" t="s">
        <v>4625</v>
      </c>
      <c r="F1489" s="31" t="s">
        <v>4626</v>
      </c>
      <c r="G1489" s="31" t="s">
        <v>20</v>
      </c>
      <c r="H1489" s="31" t="s">
        <v>20</v>
      </c>
      <c r="I1489" s="31">
        <v>4400.0</v>
      </c>
      <c r="J1489" s="31">
        <v>3.875961118E9</v>
      </c>
      <c r="K1489" s="31" t="s">
        <v>32</v>
      </c>
      <c r="L1489" s="31" t="s">
        <v>3225</v>
      </c>
      <c r="M1489" s="33">
        <v>1.0</v>
      </c>
      <c r="N1489" s="34"/>
      <c r="O1489" s="34"/>
    </row>
    <row r="1490" hidden="1">
      <c r="A1490" s="85">
        <v>45867.0</v>
      </c>
      <c r="B1490" s="31" t="s">
        <v>4627</v>
      </c>
      <c r="C1490" s="31">
        <v>8.05011544139E11</v>
      </c>
      <c r="D1490" s="31" t="s">
        <v>4628</v>
      </c>
      <c r="E1490" s="31" t="s">
        <v>4629</v>
      </c>
      <c r="F1490" s="31" t="s">
        <v>4630</v>
      </c>
      <c r="G1490" s="31" t="s">
        <v>624</v>
      </c>
      <c r="H1490" s="31" t="s">
        <v>20</v>
      </c>
      <c r="I1490" s="31">
        <v>4403.0</v>
      </c>
      <c r="J1490" s="31">
        <f>+5493874855696</f>
        <v>5493874855696</v>
      </c>
      <c r="K1490" s="31" t="s">
        <v>2956</v>
      </c>
      <c r="L1490" s="31" t="s">
        <v>3327</v>
      </c>
      <c r="M1490" s="33">
        <v>1.0</v>
      </c>
      <c r="N1490" s="34"/>
      <c r="O1490" s="34"/>
    </row>
    <row r="1491" hidden="1">
      <c r="A1491" s="85">
        <v>45867.0</v>
      </c>
      <c r="B1491" s="31" t="s">
        <v>4631</v>
      </c>
      <c r="C1491" s="31">
        <v>8.07025032487E11</v>
      </c>
      <c r="D1491" s="31" t="s">
        <v>4632</v>
      </c>
      <c r="E1491" s="31" t="s">
        <v>4633</v>
      </c>
      <c r="F1491" s="31" t="s">
        <v>4634</v>
      </c>
      <c r="G1491" s="31" t="s">
        <v>4635</v>
      </c>
      <c r="H1491" s="31" t="s">
        <v>20</v>
      </c>
      <c r="I1491" s="31">
        <v>4400.0</v>
      </c>
      <c r="J1491" s="31">
        <v>3.875501591E9</v>
      </c>
      <c r="K1491" s="31" t="s">
        <v>1937</v>
      </c>
      <c r="L1491" s="31" t="s">
        <v>4036</v>
      </c>
      <c r="M1491" s="33">
        <v>1.0</v>
      </c>
      <c r="N1491" s="34"/>
      <c r="O1491" s="34"/>
    </row>
    <row r="1492" hidden="1">
      <c r="A1492" s="85">
        <v>45867.0</v>
      </c>
      <c r="B1492" s="31" t="s">
        <v>4631</v>
      </c>
      <c r="C1492" s="31">
        <v>8.07025032487E11</v>
      </c>
      <c r="D1492" s="31" t="s">
        <v>4632</v>
      </c>
      <c r="E1492" s="31" t="s">
        <v>4633</v>
      </c>
      <c r="F1492" s="31" t="s">
        <v>4634</v>
      </c>
      <c r="G1492" s="31" t="s">
        <v>4635</v>
      </c>
      <c r="H1492" s="31" t="s">
        <v>20</v>
      </c>
      <c r="I1492" s="31">
        <v>4400.0</v>
      </c>
      <c r="J1492" s="31">
        <v>3.875501591E9</v>
      </c>
      <c r="K1492" s="31" t="s">
        <v>233</v>
      </c>
      <c r="L1492" s="31" t="s">
        <v>3459</v>
      </c>
      <c r="M1492" s="33">
        <v>2.0</v>
      </c>
      <c r="N1492" s="34"/>
      <c r="O1492" s="34"/>
    </row>
    <row r="1493" hidden="1">
      <c r="A1493" s="85">
        <v>45867.0</v>
      </c>
      <c r="B1493" s="31" t="s">
        <v>4636</v>
      </c>
      <c r="C1493" s="31">
        <v>8.07025032486E11</v>
      </c>
      <c r="D1493" s="31" t="s">
        <v>4632</v>
      </c>
      <c r="E1493" s="31" t="s">
        <v>4633</v>
      </c>
      <c r="F1493" s="31" t="s">
        <v>4634</v>
      </c>
      <c r="G1493" s="31" t="s">
        <v>4635</v>
      </c>
      <c r="H1493" s="31" t="s">
        <v>20</v>
      </c>
      <c r="I1493" s="31">
        <v>4400.0</v>
      </c>
      <c r="J1493" s="31">
        <v>3.875501591E9</v>
      </c>
      <c r="K1493" s="31" t="s">
        <v>512</v>
      </c>
      <c r="L1493" s="31" t="s">
        <v>513</v>
      </c>
      <c r="M1493" s="33">
        <v>12.0</v>
      </c>
      <c r="N1493" s="34"/>
      <c r="O1493" s="34"/>
    </row>
    <row r="1494" hidden="1">
      <c r="A1494" s="85">
        <v>45867.0</v>
      </c>
      <c r="B1494" s="31" t="s">
        <v>4637</v>
      </c>
      <c r="C1494" s="31">
        <v>8.07025032458E11</v>
      </c>
      <c r="D1494" s="31" t="s">
        <v>4638</v>
      </c>
      <c r="E1494" s="31" t="s">
        <v>4639</v>
      </c>
      <c r="F1494" s="31" t="s">
        <v>4640</v>
      </c>
      <c r="G1494" s="31" t="s">
        <v>127</v>
      </c>
      <c r="H1494" s="31" t="s">
        <v>20</v>
      </c>
      <c r="I1494" s="31">
        <v>4400.0</v>
      </c>
      <c r="J1494" s="31">
        <v>3.875272909E9</v>
      </c>
      <c r="K1494" s="31" t="s">
        <v>3074</v>
      </c>
      <c r="L1494" s="31" t="s">
        <v>3232</v>
      </c>
      <c r="M1494" s="33">
        <v>1.0</v>
      </c>
      <c r="N1494" s="34"/>
      <c r="O1494" s="34"/>
    </row>
    <row r="1495" hidden="1">
      <c r="A1495" s="85">
        <v>45867.0</v>
      </c>
      <c r="B1495" s="31" t="s">
        <v>4641</v>
      </c>
      <c r="C1495" s="31">
        <v>8.07025032475E11</v>
      </c>
      <c r="D1495" s="31" t="s">
        <v>4642</v>
      </c>
      <c r="E1495" s="31" t="s">
        <v>4643</v>
      </c>
      <c r="F1495" s="31" t="s">
        <v>4644</v>
      </c>
      <c r="G1495" s="31" t="s">
        <v>4645</v>
      </c>
      <c r="H1495" s="31" t="s">
        <v>20</v>
      </c>
      <c r="I1495" s="31">
        <v>4400.0</v>
      </c>
      <c r="J1495" s="31">
        <v>3.872254168E9</v>
      </c>
      <c r="K1495" s="31" t="s">
        <v>3074</v>
      </c>
      <c r="L1495" s="31" t="s">
        <v>3232</v>
      </c>
      <c r="M1495" s="33">
        <v>1.0</v>
      </c>
      <c r="N1495" s="34"/>
      <c r="O1495" s="34"/>
    </row>
    <row r="1496" hidden="1">
      <c r="A1496" s="85">
        <v>45867.0</v>
      </c>
      <c r="B1496" s="31" t="s">
        <v>4646</v>
      </c>
      <c r="C1496" s="31">
        <v>8.07025032525E11</v>
      </c>
      <c r="D1496" s="31" t="s">
        <v>4647</v>
      </c>
      <c r="E1496" s="31" t="s">
        <v>4648</v>
      </c>
      <c r="F1496" s="31" t="s">
        <v>4649</v>
      </c>
      <c r="G1496" s="31" t="s">
        <v>1529</v>
      </c>
      <c r="H1496" s="31" t="s">
        <v>20</v>
      </c>
      <c r="I1496" s="31">
        <v>4407.0</v>
      </c>
      <c r="J1496" s="31">
        <v>3.87406724E9</v>
      </c>
      <c r="K1496" s="31" t="s">
        <v>118</v>
      </c>
      <c r="L1496" s="31" t="s">
        <v>4650</v>
      </c>
      <c r="M1496" s="33">
        <v>1.0</v>
      </c>
      <c r="N1496" s="34"/>
      <c r="O1496" s="34"/>
    </row>
    <row r="1497" hidden="1">
      <c r="A1497" s="85">
        <v>45867.0</v>
      </c>
      <c r="B1497" s="31" t="s">
        <v>4651</v>
      </c>
      <c r="C1497" s="31">
        <v>8.07025032522E11</v>
      </c>
      <c r="D1497" s="31" t="s">
        <v>4652</v>
      </c>
      <c r="E1497" s="31" t="s">
        <v>4653</v>
      </c>
      <c r="F1497" s="31" t="s">
        <v>4654</v>
      </c>
      <c r="G1497" s="31" t="s">
        <v>127</v>
      </c>
      <c r="H1497" s="31" t="s">
        <v>20</v>
      </c>
      <c r="I1497" s="31">
        <v>4400.0</v>
      </c>
      <c r="J1497" s="31">
        <v>3.875700119E9</v>
      </c>
      <c r="K1497" s="31" t="s">
        <v>3054</v>
      </c>
      <c r="L1497" s="31" t="s">
        <v>3346</v>
      </c>
      <c r="M1497" s="33">
        <v>1.0</v>
      </c>
      <c r="N1497" s="34"/>
      <c r="O1497" s="34"/>
    </row>
    <row r="1498" hidden="1">
      <c r="A1498" s="85">
        <v>45867.0</v>
      </c>
      <c r="B1498" s="31" t="s">
        <v>4655</v>
      </c>
      <c r="C1498" s="31">
        <v>8.07025032558E11</v>
      </c>
      <c r="D1498" s="31" t="s">
        <v>4656</v>
      </c>
      <c r="E1498" s="31" t="s">
        <v>4657</v>
      </c>
      <c r="F1498" s="31" t="s">
        <v>4658</v>
      </c>
      <c r="G1498" s="31" t="s">
        <v>4056</v>
      </c>
      <c r="H1498" s="31" t="s">
        <v>20</v>
      </c>
      <c r="I1498" s="31">
        <v>4423.0</v>
      </c>
      <c r="J1498" s="31">
        <v>3.875739679E9</v>
      </c>
      <c r="K1498" s="31" t="s">
        <v>2956</v>
      </c>
      <c r="L1498" s="31" t="s">
        <v>3327</v>
      </c>
      <c r="M1498" s="33">
        <v>1.0</v>
      </c>
      <c r="N1498" s="34"/>
      <c r="O1498" s="34"/>
    </row>
    <row r="1499" hidden="1">
      <c r="A1499" s="85">
        <v>45867.0</v>
      </c>
      <c r="B1499" s="31" t="s">
        <v>4659</v>
      </c>
      <c r="C1499" s="31">
        <v>8.07025032555E11</v>
      </c>
      <c r="D1499" s="31" t="s">
        <v>4660</v>
      </c>
      <c r="E1499" s="31" t="s">
        <v>4661</v>
      </c>
      <c r="F1499" s="31" t="s">
        <v>4662</v>
      </c>
      <c r="G1499" s="31" t="s">
        <v>4056</v>
      </c>
      <c r="H1499" s="31" t="s">
        <v>20</v>
      </c>
      <c r="I1499" s="31">
        <v>4423.0</v>
      </c>
      <c r="J1499" s="31">
        <v>3.874737763E9</v>
      </c>
      <c r="K1499" s="31" t="s">
        <v>512</v>
      </c>
      <c r="L1499" s="31" t="s">
        <v>513</v>
      </c>
      <c r="M1499" s="33">
        <v>6.0</v>
      </c>
      <c r="N1499" s="34"/>
      <c r="O1499" s="34"/>
    </row>
    <row r="1500" hidden="1">
      <c r="A1500" s="85">
        <v>45867.0</v>
      </c>
      <c r="B1500" s="31" t="s">
        <v>4663</v>
      </c>
      <c r="C1500" s="31">
        <v>8.07025032556E11</v>
      </c>
      <c r="D1500" s="31" t="s">
        <v>4660</v>
      </c>
      <c r="E1500" s="31" t="s">
        <v>4661</v>
      </c>
      <c r="F1500" s="31" t="s">
        <v>4662</v>
      </c>
      <c r="G1500" s="31" t="s">
        <v>4056</v>
      </c>
      <c r="H1500" s="31" t="s">
        <v>20</v>
      </c>
      <c r="I1500" s="31">
        <v>4423.0</v>
      </c>
      <c r="J1500" s="31">
        <v>3.874737763E9</v>
      </c>
      <c r="K1500" s="31" t="s">
        <v>2956</v>
      </c>
      <c r="L1500" s="31" t="s">
        <v>3327</v>
      </c>
      <c r="M1500" s="33">
        <v>1.0</v>
      </c>
      <c r="N1500" s="34"/>
      <c r="O1500" s="34"/>
    </row>
    <row r="1501" hidden="1">
      <c r="A1501" s="85">
        <v>45867.0</v>
      </c>
      <c r="B1501" s="31" t="s">
        <v>4664</v>
      </c>
      <c r="C1501" s="31">
        <v>8.07025032557E11</v>
      </c>
      <c r="D1501" s="31" t="s">
        <v>4660</v>
      </c>
      <c r="E1501" s="31" t="s">
        <v>4661</v>
      </c>
      <c r="F1501" s="31" t="s">
        <v>4662</v>
      </c>
      <c r="G1501" s="31" t="s">
        <v>4056</v>
      </c>
      <c r="H1501" s="31" t="s">
        <v>20</v>
      </c>
      <c r="I1501" s="31">
        <v>4423.0</v>
      </c>
      <c r="J1501" s="31">
        <v>3.874737763E9</v>
      </c>
      <c r="K1501" s="31" t="s">
        <v>670</v>
      </c>
      <c r="L1501" s="31" t="s">
        <v>3410</v>
      </c>
      <c r="M1501" s="33">
        <v>1.0</v>
      </c>
      <c r="N1501" s="34"/>
      <c r="O1501" s="34"/>
    </row>
    <row r="1502" hidden="1">
      <c r="A1502" s="85">
        <v>45867.0</v>
      </c>
      <c r="B1502" s="31" t="s">
        <v>4665</v>
      </c>
      <c r="C1502" s="31">
        <v>8.07025032582E11</v>
      </c>
      <c r="D1502" s="31" t="s">
        <v>4666</v>
      </c>
      <c r="E1502" s="31" t="s">
        <v>4667</v>
      </c>
      <c r="F1502" s="31" t="s">
        <v>4668</v>
      </c>
      <c r="G1502" s="31" t="s">
        <v>127</v>
      </c>
      <c r="H1502" s="31" t="s">
        <v>20</v>
      </c>
      <c r="I1502" s="31">
        <v>4400.0</v>
      </c>
      <c r="J1502" s="31">
        <v>3.875468988E9</v>
      </c>
      <c r="K1502" s="31" t="s">
        <v>670</v>
      </c>
      <c r="L1502" s="31" t="s">
        <v>3410</v>
      </c>
      <c r="M1502" s="33">
        <v>1.0</v>
      </c>
      <c r="N1502" s="34"/>
      <c r="O1502" s="34"/>
    </row>
    <row r="1503" hidden="1">
      <c r="A1503" s="85">
        <v>45867.0</v>
      </c>
      <c r="B1503" s="31" t="s">
        <v>4665</v>
      </c>
      <c r="C1503" s="31">
        <v>8.07025032582E11</v>
      </c>
      <c r="D1503" s="31" t="s">
        <v>4666</v>
      </c>
      <c r="E1503" s="31" t="s">
        <v>4667</v>
      </c>
      <c r="F1503" s="31" t="s">
        <v>4668</v>
      </c>
      <c r="G1503" s="31" t="s">
        <v>127</v>
      </c>
      <c r="H1503" s="31" t="s">
        <v>20</v>
      </c>
      <c r="I1503" s="31">
        <v>4400.0</v>
      </c>
      <c r="J1503" s="31">
        <v>3.875468988E9</v>
      </c>
      <c r="K1503" s="31" t="s">
        <v>32</v>
      </c>
      <c r="L1503" s="31" t="s">
        <v>3225</v>
      </c>
      <c r="M1503" s="33">
        <v>1.0</v>
      </c>
      <c r="N1503" s="34"/>
      <c r="O1503" s="34"/>
    </row>
    <row r="1504" hidden="1">
      <c r="A1504" s="85">
        <v>45867.0</v>
      </c>
      <c r="B1504" s="31" t="s">
        <v>4665</v>
      </c>
      <c r="C1504" s="31">
        <v>8.07025032582E11</v>
      </c>
      <c r="D1504" s="31" t="s">
        <v>4666</v>
      </c>
      <c r="E1504" s="31" t="s">
        <v>4667</v>
      </c>
      <c r="F1504" s="31" t="s">
        <v>4668</v>
      </c>
      <c r="G1504" s="31" t="s">
        <v>127</v>
      </c>
      <c r="H1504" s="31" t="s">
        <v>20</v>
      </c>
      <c r="I1504" s="31">
        <v>4400.0</v>
      </c>
      <c r="J1504" s="31">
        <v>3.875468988E9</v>
      </c>
      <c r="K1504" s="31" t="s">
        <v>512</v>
      </c>
      <c r="L1504" s="31" t="s">
        <v>513</v>
      </c>
      <c r="M1504" s="33">
        <v>6.0</v>
      </c>
      <c r="N1504" s="34"/>
      <c r="O1504" s="34"/>
    </row>
    <row r="1505" hidden="1">
      <c r="A1505" s="85">
        <v>45867.0</v>
      </c>
      <c r="B1505" s="31" t="s">
        <v>4669</v>
      </c>
      <c r="C1505" s="31">
        <v>8.07025032601E11</v>
      </c>
      <c r="D1505" s="31" t="s">
        <v>4670</v>
      </c>
      <c r="E1505" s="31" t="s">
        <v>4671</v>
      </c>
      <c r="F1505" s="31" t="s">
        <v>126</v>
      </c>
      <c r="G1505" s="31" t="s">
        <v>127</v>
      </c>
      <c r="H1505" s="31" t="s">
        <v>20</v>
      </c>
      <c r="I1505" s="31">
        <v>4400.0</v>
      </c>
      <c r="J1505" s="31">
        <v>3.8740461E9</v>
      </c>
      <c r="K1505" s="31">
        <v>125810.0</v>
      </c>
      <c r="L1505" s="31" t="s">
        <v>4672</v>
      </c>
      <c r="M1505" s="33">
        <v>4.0</v>
      </c>
      <c r="N1505" s="34"/>
      <c r="O1505" s="34"/>
    </row>
    <row r="1506" hidden="1">
      <c r="A1506" s="85">
        <v>45867.0</v>
      </c>
      <c r="B1506" s="31" t="s">
        <v>4673</v>
      </c>
      <c r="C1506" s="31">
        <v>8.07025032594E11</v>
      </c>
      <c r="D1506" s="31" t="s">
        <v>4674</v>
      </c>
      <c r="E1506" s="31" t="s">
        <v>4675</v>
      </c>
      <c r="F1506" s="31" t="s">
        <v>4676</v>
      </c>
      <c r="G1506" s="31" t="s">
        <v>127</v>
      </c>
      <c r="H1506" s="31" t="s">
        <v>20</v>
      </c>
      <c r="I1506" s="31">
        <v>4400.0</v>
      </c>
      <c r="J1506" s="31">
        <v>3.874070162E9</v>
      </c>
      <c r="K1506" s="31" t="s">
        <v>3692</v>
      </c>
      <c r="L1506" s="31" t="s">
        <v>3693</v>
      </c>
      <c r="M1506" s="33">
        <v>3.0</v>
      </c>
      <c r="N1506" s="34"/>
      <c r="O1506" s="34"/>
    </row>
    <row r="1507" hidden="1">
      <c r="A1507" s="85">
        <v>45867.0</v>
      </c>
      <c r="B1507" s="31" t="s">
        <v>4677</v>
      </c>
      <c r="C1507" s="31">
        <v>8.07025032609E11</v>
      </c>
      <c r="D1507" s="31" t="s">
        <v>4678</v>
      </c>
      <c r="E1507" s="31" t="s">
        <v>4679</v>
      </c>
      <c r="F1507" s="31" t="s">
        <v>126</v>
      </c>
      <c r="G1507" s="31" t="s">
        <v>127</v>
      </c>
      <c r="H1507" s="31" t="s">
        <v>20</v>
      </c>
      <c r="I1507" s="31">
        <v>4400.0</v>
      </c>
      <c r="J1507" s="31">
        <v>3.874401917E9</v>
      </c>
      <c r="K1507" s="31" t="s">
        <v>985</v>
      </c>
      <c r="L1507" s="31" t="s">
        <v>3600</v>
      </c>
      <c r="M1507" s="33">
        <v>1.0</v>
      </c>
      <c r="N1507" s="34"/>
      <c r="O1507" s="34"/>
    </row>
    <row r="1508" hidden="1">
      <c r="A1508" s="85">
        <v>45867.0</v>
      </c>
      <c r="B1508" s="31" t="s">
        <v>4680</v>
      </c>
      <c r="C1508" s="31">
        <v>8.07025032599E11</v>
      </c>
      <c r="D1508" s="31" t="s">
        <v>4670</v>
      </c>
      <c r="E1508" s="31" t="s">
        <v>4671</v>
      </c>
      <c r="F1508" s="31" t="s">
        <v>126</v>
      </c>
      <c r="G1508" s="31" t="s">
        <v>127</v>
      </c>
      <c r="H1508" s="31" t="s">
        <v>20</v>
      </c>
      <c r="I1508" s="31">
        <v>4400.0</v>
      </c>
      <c r="J1508" s="31">
        <v>3.8740461E9</v>
      </c>
      <c r="K1508" s="31" t="s">
        <v>512</v>
      </c>
      <c r="L1508" s="31" t="s">
        <v>513</v>
      </c>
      <c r="M1508" s="33">
        <v>12.0</v>
      </c>
      <c r="N1508" s="34"/>
      <c r="O1508" s="34"/>
    </row>
    <row r="1509" hidden="1">
      <c r="A1509" s="85">
        <v>45867.0</v>
      </c>
      <c r="B1509" s="31" t="s">
        <v>4681</v>
      </c>
      <c r="C1509" s="31">
        <v>8.070250326E11</v>
      </c>
      <c r="D1509" s="31" t="s">
        <v>4670</v>
      </c>
      <c r="E1509" s="31" t="s">
        <v>4671</v>
      </c>
      <c r="F1509" s="31" t="s">
        <v>126</v>
      </c>
      <c r="G1509" s="31" t="s">
        <v>127</v>
      </c>
      <c r="H1509" s="31" t="s">
        <v>20</v>
      </c>
      <c r="I1509" s="31">
        <v>4400.0</v>
      </c>
      <c r="J1509" s="31">
        <v>3.8740461E9</v>
      </c>
      <c r="K1509" s="31" t="s">
        <v>35</v>
      </c>
      <c r="L1509" s="31" t="s">
        <v>3188</v>
      </c>
      <c r="M1509" s="33">
        <v>2.0</v>
      </c>
      <c r="N1509" s="34"/>
      <c r="O1509" s="34"/>
    </row>
    <row r="1510" hidden="1">
      <c r="A1510" s="85">
        <v>45867.0</v>
      </c>
      <c r="B1510" s="31" t="s">
        <v>4681</v>
      </c>
      <c r="C1510" s="31">
        <v>8.070250326E11</v>
      </c>
      <c r="D1510" s="31" t="s">
        <v>4670</v>
      </c>
      <c r="E1510" s="31" t="s">
        <v>4671</v>
      </c>
      <c r="F1510" s="31" t="s">
        <v>126</v>
      </c>
      <c r="G1510" s="31" t="s">
        <v>127</v>
      </c>
      <c r="H1510" s="31" t="s">
        <v>20</v>
      </c>
      <c r="I1510" s="31">
        <v>4400.0</v>
      </c>
      <c r="J1510" s="31">
        <v>3.8740461E9</v>
      </c>
      <c r="K1510" s="31" t="s">
        <v>32</v>
      </c>
      <c r="L1510" s="31" t="s">
        <v>3225</v>
      </c>
      <c r="M1510" s="33">
        <v>2.0</v>
      </c>
      <c r="N1510" s="34"/>
      <c r="O1510" s="34"/>
    </row>
    <row r="1511" hidden="1">
      <c r="A1511" s="85">
        <v>45867.0</v>
      </c>
      <c r="B1511" s="31" t="s">
        <v>4682</v>
      </c>
      <c r="C1511" s="31">
        <v>8.05011545189E11</v>
      </c>
      <c r="D1511" s="31" t="s">
        <v>4683</v>
      </c>
      <c r="E1511" s="31" t="s">
        <v>4684</v>
      </c>
      <c r="F1511" s="31" t="s">
        <v>4685</v>
      </c>
      <c r="G1511" s="31" t="s">
        <v>20</v>
      </c>
      <c r="H1511" s="31" t="s">
        <v>20</v>
      </c>
      <c r="I1511" s="31">
        <v>4400.0</v>
      </c>
      <c r="J1511" s="31">
        <f t="shared" ref="J1511:J1512" si="2">+5493875514807</f>
        <v>5493875514807</v>
      </c>
      <c r="K1511" s="31" t="s">
        <v>3407</v>
      </c>
      <c r="L1511" s="31" t="s">
        <v>3408</v>
      </c>
      <c r="M1511" s="33">
        <v>1.0</v>
      </c>
      <c r="N1511" s="34"/>
      <c r="O1511" s="34"/>
    </row>
    <row r="1512" hidden="1">
      <c r="A1512" s="85">
        <v>45867.0</v>
      </c>
      <c r="B1512" s="31" t="s">
        <v>4686</v>
      </c>
      <c r="C1512" s="31">
        <v>8.0501154519E11</v>
      </c>
      <c r="D1512" s="31" t="s">
        <v>4683</v>
      </c>
      <c r="E1512" s="31" t="s">
        <v>4684</v>
      </c>
      <c r="F1512" s="31" t="s">
        <v>4685</v>
      </c>
      <c r="G1512" s="31" t="s">
        <v>20</v>
      </c>
      <c r="H1512" s="31" t="s">
        <v>20</v>
      </c>
      <c r="I1512" s="31">
        <v>4400.0</v>
      </c>
      <c r="J1512" s="31">
        <f t="shared" si="2"/>
        <v>5493875514807</v>
      </c>
      <c r="K1512" s="31" t="s">
        <v>3074</v>
      </c>
      <c r="L1512" s="31" t="s">
        <v>3232</v>
      </c>
      <c r="M1512" s="33">
        <v>1.0</v>
      </c>
      <c r="N1512" s="34"/>
      <c r="O1512" s="34"/>
    </row>
    <row r="1513" hidden="1">
      <c r="A1513" s="85">
        <v>45867.0</v>
      </c>
      <c r="B1513" s="31" t="s">
        <v>4687</v>
      </c>
      <c r="C1513" s="31">
        <v>8.05011545215E11</v>
      </c>
      <c r="D1513" s="31" t="s">
        <v>4688</v>
      </c>
      <c r="E1513" s="31" t="s">
        <v>4689</v>
      </c>
      <c r="F1513" s="31" t="s">
        <v>4690</v>
      </c>
      <c r="G1513" s="31" t="s">
        <v>20</v>
      </c>
      <c r="H1513" s="31" t="s">
        <v>20</v>
      </c>
      <c r="I1513" s="31">
        <v>4404.0</v>
      </c>
      <c r="J1513" s="31">
        <v>3.875188017E9</v>
      </c>
      <c r="K1513" s="31" t="s">
        <v>634</v>
      </c>
      <c r="L1513" s="31" t="s">
        <v>635</v>
      </c>
      <c r="M1513" s="33">
        <v>1.0</v>
      </c>
      <c r="N1513" s="34"/>
      <c r="O1513" s="34"/>
    </row>
    <row r="1514" ht="6.75" hidden="1" customHeight="1">
      <c r="A1514" s="87"/>
      <c r="B1514" s="88"/>
      <c r="C1514" s="88"/>
      <c r="D1514" s="88"/>
      <c r="E1514" s="88"/>
      <c r="F1514" s="88"/>
      <c r="G1514" s="88"/>
      <c r="H1514" s="88"/>
      <c r="I1514" s="88"/>
      <c r="J1514" s="88"/>
      <c r="K1514" s="88"/>
      <c r="L1514" s="88"/>
      <c r="M1514" s="89"/>
      <c r="N1514" s="90"/>
      <c r="O1514" s="90"/>
    </row>
    <row r="1515" hidden="1">
      <c r="A1515" s="85">
        <v>45874.0</v>
      </c>
      <c r="B1515" s="31" t="s">
        <v>4691</v>
      </c>
      <c r="C1515" s="31">
        <v>8.05011545294E11</v>
      </c>
      <c r="D1515" s="31" t="s">
        <v>4692</v>
      </c>
      <c r="E1515" s="31" t="s">
        <v>4693</v>
      </c>
      <c r="F1515" s="31" t="s">
        <v>4694</v>
      </c>
      <c r="G1515" s="31" t="s">
        <v>20</v>
      </c>
      <c r="H1515" s="31" t="s">
        <v>20</v>
      </c>
      <c r="I1515" s="31">
        <v>4400.0</v>
      </c>
      <c r="J1515" s="31">
        <v>3.87532783E9</v>
      </c>
      <c r="K1515" s="31" t="s">
        <v>4695</v>
      </c>
      <c r="L1515" s="31" t="s">
        <v>4696</v>
      </c>
      <c r="M1515" s="33">
        <v>1.0</v>
      </c>
      <c r="N1515" s="34"/>
      <c r="O1515" s="34"/>
    </row>
    <row r="1516" hidden="1">
      <c r="A1516" s="85">
        <v>45874.0</v>
      </c>
      <c r="B1516" s="31" t="s">
        <v>4697</v>
      </c>
      <c r="C1516" s="31">
        <v>8.07025032638E11</v>
      </c>
      <c r="D1516" s="31" t="s">
        <v>4698</v>
      </c>
      <c r="E1516" s="31" t="s">
        <v>4699</v>
      </c>
      <c r="F1516" s="31" t="s">
        <v>4700</v>
      </c>
      <c r="G1516" s="31" t="s">
        <v>1986</v>
      </c>
      <c r="H1516" s="31" t="s">
        <v>20</v>
      </c>
      <c r="I1516" s="31">
        <v>4400.0</v>
      </c>
      <c r="J1516" s="31">
        <v>3.874432589E9</v>
      </c>
      <c r="K1516" s="31" t="s">
        <v>3431</v>
      </c>
      <c r="L1516" s="31" t="s">
        <v>3432</v>
      </c>
      <c r="M1516" s="33">
        <v>1.0</v>
      </c>
      <c r="N1516" s="34"/>
      <c r="O1516" s="34"/>
    </row>
    <row r="1517" hidden="1">
      <c r="A1517" s="85">
        <v>45874.0</v>
      </c>
      <c r="B1517" s="31" t="s">
        <v>4701</v>
      </c>
      <c r="C1517" s="31">
        <v>8.07025032646E11</v>
      </c>
      <c r="D1517" s="31" t="s">
        <v>4702</v>
      </c>
      <c r="E1517" s="31" t="s">
        <v>4703</v>
      </c>
      <c r="F1517" s="31" t="s">
        <v>4704</v>
      </c>
      <c r="G1517" s="31" t="s">
        <v>20</v>
      </c>
      <c r="H1517" s="31" t="s">
        <v>20</v>
      </c>
      <c r="I1517" s="31" t="s">
        <v>1878</v>
      </c>
      <c r="J1517" s="31">
        <v>3.876050035E9</v>
      </c>
      <c r="K1517" s="31" t="s">
        <v>3154</v>
      </c>
      <c r="L1517" s="31" t="s">
        <v>4564</v>
      </c>
      <c r="M1517" s="33">
        <v>1.0</v>
      </c>
      <c r="N1517" s="34"/>
      <c r="O1517" s="34"/>
    </row>
    <row r="1518" hidden="1">
      <c r="A1518" s="85">
        <v>45874.0</v>
      </c>
      <c r="B1518" s="31" t="s">
        <v>4705</v>
      </c>
      <c r="C1518" s="31">
        <v>8.07025032588E11</v>
      </c>
      <c r="D1518" s="31" t="s">
        <v>4706</v>
      </c>
      <c r="E1518" s="31" t="s">
        <v>4707</v>
      </c>
      <c r="F1518" s="31" t="s">
        <v>4708</v>
      </c>
      <c r="G1518" s="31" t="s">
        <v>127</v>
      </c>
      <c r="H1518" s="31" t="s">
        <v>20</v>
      </c>
      <c r="I1518" s="31">
        <v>4400.0</v>
      </c>
      <c r="J1518" s="31">
        <v>3.875490101E9</v>
      </c>
      <c r="K1518" s="31" t="s">
        <v>3154</v>
      </c>
      <c r="L1518" s="31" t="s">
        <v>4564</v>
      </c>
      <c r="M1518" s="33">
        <v>2.0</v>
      </c>
      <c r="N1518" s="34"/>
      <c r="O1518" s="34"/>
    </row>
    <row r="1519" hidden="1">
      <c r="A1519" s="85">
        <v>45874.0</v>
      </c>
      <c r="B1519" s="31" t="s">
        <v>4705</v>
      </c>
      <c r="C1519" s="31">
        <v>8.07025032588E11</v>
      </c>
      <c r="D1519" s="31" t="s">
        <v>4706</v>
      </c>
      <c r="E1519" s="31" t="s">
        <v>4707</v>
      </c>
      <c r="F1519" s="31" t="s">
        <v>4708</v>
      </c>
      <c r="G1519" s="31" t="s">
        <v>127</v>
      </c>
      <c r="H1519" s="31" t="s">
        <v>20</v>
      </c>
      <c r="I1519" s="31">
        <v>4400.0</v>
      </c>
      <c r="J1519" s="31">
        <v>3.875490101E9</v>
      </c>
      <c r="K1519" s="31" t="s">
        <v>2031</v>
      </c>
      <c r="L1519" s="31" t="s">
        <v>3348</v>
      </c>
      <c r="M1519" s="33">
        <v>2.0</v>
      </c>
      <c r="N1519" s="34"/>
      <c r="O1519" s="34"/>
    </row>
    <row r="1520" hidden="1">
      <c r="A1520" s="85">
        <v>45874.0</v>
      </c>
      <c r="B1520" s="31" t="s">
        <v>4709</v>
      </c>
      <c r="C1520" s="31">
        <v>8.07025032607E11</v>
      </c>
      <c r="D1520" s="31" t="s">
        <v>4710</v>
      </c>
      <c r="E1520" s="31" t="s">
        <v>4711</v>
      </c>
      <c r="F1520" s="31" t="s">
        <v>4712</v>
      </c>
      <c r="G1520" s="31" t="s">
        <v>127</v>
      </c>
      <c r="H1520" s="31" t="s">
        <v>20</v>
      </c>
      <c r="I1520" s="31">
        <v>4400.0</v>
      </c>
      <c r="J1520" s="31">
        <v>3.874105157E9</v>
      </c>
      <c r="K1520" s="31" t="s">
        <v>512</v>
      </c>
      <c r="L1520" s="31" t="s">
        <v>513</v>
      </c>
      <c r="M1520" s="33">
        <v>6.0</v>
      </c>
      <c r="N1520" s="34"/>
      <c r="O1520" s="34"/>
    </row>
    <row r="1521" hidden="1">
      <c r="A1521" s="85">
        <v>45874.0</v>
      </c>
      <c r="B1521" s="31" t="s">
        <v>4709</v>
      </c>
      <c r="C1521" s="31">
        <v>8.07025032607E11</v>
      </c>
      <c r="D1521" s="31" t="s">
        <v>4710</v>
      </c>
      <c r="E1521" s="31" t="s">
        <v>4711</v>
      </c>
      <c r="F1521" s="31" t="s">
        <v>4712</v>
      </c>
      <c r="G1521" s="31" t="s">
        <v>127</v>
      </c>
      <c r="H1521" s="31" t="s">
        <v>20</v>
      </c>
      <c r="I1521" s="31">
        <v>4400.0</v>
      </c>
      <c r="J1521" s="31">
        <v>3.874105157E9</v>
      </c>
      <c r="K1521" s="31" t="s">
        <v>184</v>
      </c>
      <c r="L1521" s="31" t="s">
        <v>4485</v>
      </c>
      <c r="M1521" s="33">
        <v>1.0</v>
      </c>
      <c r="N1521" s="34"/>
      <c r="O1521" s="34"/>
    </row>
    <row r="1522" hidden="1">
      <c r="A1522" s="85">
        <v>45874.0</v>
      </c>
      <c r="B1522" s="31" t="s">
        <v>4709</v>
      </c>
      <c r="C1522" s="31">
        <v>8.07025032607E11</v>
      </c>
      <c r="D1522" s="31" t="s">
        <v>4710</v>
      </c>
      <c r="E1522" s="31" t="s">
        <v>4711</v>
      </c>
      <c r="F1522" s="31" t="s">
        <v>4712</v>
      </c>
      <c r="G1522" s="31" t="s">
        <v>127</v>
      </c>
      <c r="H1522" s="31" t="s">
        <v>20</v>
      </c>
      <c r="I1522" s="31">
        <v>4400.0</v>
      </c>
      <c r="J1522" s="31">
        <v>3.874105157E9</v>
      </c>
      <c r="K1522" s="31" t="s">
        <v>273</v>
      </c>
      <c r="L1522" s="31" t="s">
        <v>3594</v>
      </c>
      <c r="M1522" s="33">
        <v>1.0</v>
      </c>
      <c r="N1522" s="34"/>
      <c r="O1522" s="34"/>
    </row>
    <row r="1523" hidden="1">
      <c r="A1523" s="85">
        <v>45874.0</v>
      </c>
      <c r="B1523" s="31" t="s">
        <v>4713</v>
      </c>
      <c r="C1523" s="31">
        <v>8.07025032587E11</v>
      </c>
      <c r="D1523" s="31" t="s">
        <v>4706</v>
      </c>
      <c r="E1523" s="31" t="s">
        <v>4707</v>
      </c>
      <c r="F1523" s="31" t="s">
        <v>4708</v>
      </c>
      <c r="G1523" s="31" t="s">
        <v>127</v>
      </c>
      <c r="H1523" s="31" t="s">
        <v>20</v>
      </c>
      <c r="I1523" s="31">
        <v>4400.0</v>
      </c>
      <c r="J1523" s="31">
        <v>3.875490101E9</v>
      </c>
      <c r="K1523" s="31" t="s">
        <v>512</v>
      </c>
      <c r="L1523" s="31" t="s">
        <v>513</v>
      </c>
      <c r="M1523" s="33">
        <v>12.0</v>
      </c>
      <c r="N1523" s="34"/>
      <c r="O1523" s="34"/>
    </row>
    <row r="1524" hidden="1">
      <c r="A1524" s="85">
        <v>45874.0</v>
      </c>
      <c r="B1524" s="31" t="s">
        <v>4714</v>
      </c>
      <c r="C1524" s="31">
        <v>8.05011545188E11</v>
      </c>
      <c r="D1524" s="31" t="s">
        <v>4715</v>
      </c>
      <c r="E1524" s="31" t="s">
        <v>4716</v>
      </c>
      <c r="F1524" s="31" t="s">
        <v>4717</v>
      </c>
      <c r="G1524" s="31" t="s">
        <v>539</v>
      </c>
      <c r="H1524" s="31" t="s">
        <v>20</v>
      </c>
      <c r="I1524" s="31">
        <v>4405.0</v>
      </c>
      <c r="J1524" s="31">
        <v>3.874088229E9</v>
      </c>
      <c r="K1524" s="31" t="s">
        <v>98</v>
      </c>
      <c r="L1524" s="31" t="s">
        <v>3187</v>
      </c>
      <c r="M1524" s="33">
        <v>1.0</v>
      </c>
      <c r="N1524" s="34"/>
      <c r="O1524" s="34"/>
    </row>
    <row r="1525" hidden="1">
      <c r="A1525" s="85">
        <v>45874.0</v>
      </c>
      <c r="B1525" s="31" t="s">
        <v>4718</v>
      </c>
      <c r="C1525" s="31">
        <v>8.05011545187E11</v>
      </c>
      <c r="D1525" s="31" t="s">
        <v>4715</v>
      </c>
      <c r="E1525" s="31" t="s">
        <v>4716</v>
      </c>
      <c r="F1525" s="31" t="s">
        <v>4717</v>
      </c>
      <c r="G1525" s="31" t="s">
        <v>539</v>
      </c>
      <c r="H1525" s="31" t="s">
        <v>20</v>
      </c>
      <c r="I1525" s="31">
        <v>4405.0</v>
      </c>
      <c r="J1525" s="31">
        <v>3.874088229E9</v>
      </c>
      <c r="K1525" s="31" t="s">
        <v>3692</v>
      </c>
      <c r="L1525" s="31" t="s">
        <v>3693</v>
      </c>
      <c r="M1525" s="33">
        <v>1.0</v>
      </c>
      <c r="N1525" s="34"/>
      <c r="O1525" s="34"/>
    </row>
    <row r="1526" hidden="1">
      <c r="A1526" s="85">
        <v>45874.0</v>
      </c>
      <c r="B1526" s="31" t="s">
        <v>4719</v>
      </c>
      <c r="C1526" s="31">
        <v>8.07025032656E11</v>
      </c>
      <c r="D1526" s="31" t="s">
        <v>4720</v>
      </c>
      <c r="E1526" s="31" t="s">
        <v>4721</v>
      </c>
      <c r="F1526" s="31" t="s">
        <v>4722</v>
      </c>
      <c r="G1526" s="31" t="s">
        <v>127</v>
      </c>
      <c r="H1526" s="31" t="s">
        <v>20</v>
      </c>
      <c r="I1526" s="31">
        <v>4400.0</v>
      </c>
      <c r="J1526" s="31">
        <v>3.876295969E9</v>
      </c>
      <c r="K1526" s="31" t="s">
        <v>184</v>
      </c>
      <c r="L1526" s="31" t="s">
        <v>4485</v>
      </c>
      <c r="M1526" s="33">
        <v>1.0</v>
      </c>
      <c r="N1526" s="34"/>
      <c r="O1526" s="34"/>
    </row>
    <row r="1527" hidden="1">
      <c r="A1527" s="85">
        <v>45874.0</v>
      </c>
      <c r="B1527" s="31" t="s">
        <v>4719</v>
      </c>
      <c r="C1527" s="31">
        <v>8.07025032656E11</v>
      </c>
      <c r="D1527" s="31" t="s">
        <v>4720</v>
      </c>
      <c r="E1527" s="31" t="s">
        <v>4721</v>
      </c>
      <c r="F1527" s="31" t="s">
        <v>4722</v>
      </c>
      <c r="G1527" s="31" t="s">
        <v>127</v>
      </c>
      <c r="H1527" s="31" t="s">
        <v>20</v>
      </c>
      <c r="I1527" s="31">
        <v>4400.0</v>
      </c>
      <c r="J1527" s="31">
        <v>3.876295969E9</v>
      </c>
      <c r="K1527" s="31" t="s">
        <v>273</v>
      </c>
      <c r="L1527" s="31" t="s">
        <v>3594</v>
      </c>
      <c r="M1527" s="33">
        <v>1.0</v>
      </c>
      <c r="N1527" s="34"/>
      <c r="O1527" s="34"/>
    </row>
    <row r="1528" hidden="1">
      <c r="A1528" s="85">
        <v>45874.0</v>
      </c>
      <c r="B1528" s="31" t="s">
        <v>4719</v>
      </c>
      <c r="C1528" s="31">
        <v>8.07025032656E11</v>
      </c>
      <c r="D1528" s="31" t="s">
        <v>4720</v>
      </c>
      <c r="E1528" s="31" t="s">
        <v>4721</v>
      </c>
      <c r="F1528" s="31" t="s">
        <v>4722</v>
      </c>
      <c r="G1528" s="31" t="s">
        <v>127</v>
      </c>
      <c r="H1528" s="31" t="s">
        <v>20</v>
      </c>
      <c r="I1528" s="31">
        <v>4400.0</v>
      </c>
      <c r="J1528" s="31">
        <v>3.876295969E9</v>
      </c>
      <c r="K1528" s="31" t="s">
        <v>512</v>
      </c>
      <c r="L1528" s="31" t="s">
        <v>513</v>
      </c>
      <c r="M1528" s="33">
        <v>6.0</v>
      </c>
      <c r="N1528" s="34"/>
      <c r="O1528" s="34"/>
    </row>
    <row r="1529" hidden="1">
      <c r="A1529" s="85">
        <v>45874.0</v>
      </c>
      <c r="B1529" s="31" t="s">
        <v>4723</v>
      </c>
      <c r="C1529" s="31">
        <v>8.07025032657E11</v>
      </c>
      <c r="D1529" s="31" t="s">
        <v>4724</v>
      </c>
      <c r="E1529" s="31" t="s">
        <v>4725</v>
      </c>
      <c r="F1529" s="31" t="s">
        <v>1877</v>
      </c>
      <c r="G1529" s="31" t="s">
        <v>20</v>
      </c>
      <c r="H1529" s="31" t="s">
        <v>20</v>
      </c>
      <c r="I1529" s="31" t="s">
        <v>1878</v>
      </c>
      <c r="J1529" s="31">
        <v>3.875161117E9</v>
      </c>
      <c r="K1529" s="31" t="s">
        <v>512</v>
      </c>
      <c r="L1529" s="31" t="s">
        <v>513</v>
      </c>
      <c r="M1529" s="33">
        <v>12.0</v>
      </c>
      <c r="N1529" s="34"/>
      <c r="O1529" s="34"/>
    </row>
    <row r="1530" hidden="1">
      <c r="A1530" s="85">
        <v>45874.0</v>
      </c>
      <c r="B1530" s="31" t="s">
        <v>4723</v>
      </c>
      <c r="C1530" s="31">
        <v>8.07025032657E11</v>
      </c>
      <c r="D1530" s="31" t="s">
        <v>4724</v>
      </c>
      <c r="E1530" s="31" t="s">
        <v>4725</v>
      </c>
      <c r="F1530" s="31" t="s">
        <v>1877</v>
      </c>
      <c r="G1530" s="31" t="s">
        <v>20</v>
      </c>
      <c r="H1530" s="31" t="s">
        <v>20</v>
      </c>
      <c r="I1530" s="31" t="s">
        <v>1878</v>
      </c>
      <c r="J1530" s="31">
        <v>3.875161117E9</v>
      </c>
      <c r="K1530" s="31" t="s">
        <v>758</v>
      </c>
      <c r="L1530" s="31" t="s">
        <v>3574</v>
      </c>
      <c r="M1530" s="33">
        <v>2.0</v>
      </c>
      <c r="N1530" s="34"/>
      <c r="O1530" s="34"/>
    </row>
    <row r="1531" hidden="1">
      <c r="A1531" s="85">
        <v>45874.0</v>
      </c>
      <c r="B1531" s="31" t="s">
        <v>4723</v>
      </c>
      <c r="C1531" s="31">
        <v>8.07025032657E11</v>
      </c>
      <c r="D1531" s="31" t="s">
        <v>4724</v>
      </c>
      <c r="E1531" s="31" t="s">
        <v>4725</v>
      </c>
      <c r="F1531" s="31" t="s">
        <v>1877</v>
      </c>
      <c r="G1531" s="31" t="s">
        <v>20</v>
      </c>
      <c r="H1531" s="31" t="s">
        <v>20</v>
      </c>
      <c r="I1531" s="31" t="s">
        <v>1878</v>
      </c>
      <c r="J1531" s="31">
        <v>3.875161117E9</v>
      </c>
      <c r="K1531" s="31" t="s">
        <v>3334</v>
      </c>
      <c r="L1531" s="31" t="s">
        <v>3575</v>
      </c>
      <c r="M1531" s="33">
        <v>1.0</v>
      </c>
      <c r="N1531" s="34"/>
      <c r="O1531" s="34"/>
    </row>
    <row r="1532" hidden="1">
      <c r="A1532" s="85">
        <v>45874.0</v>
      </c>
      <c r="B1532" s="31" t="s">
        <v>4726</v>
      </c>
      <c r="C1532" s="31">
        <v>8.05011545565E11</v>
      </c>
      <c r="D1532" s="31" t="s">
        <v>4727</v>
      </c>
      <c r="E1532" s="31" t="s">
        <v>4728</v>
      </c>
      <c r="F1532" s="31" t="s">
        <v>4729</v>
      </c>
      <c r="G1532" s="31" t="s">
        <v>896</v>
      </c>
      <c r="H1532" s="31" t="s">
        <v>20</v>
      </c>
      <c r="I1532" s="31">
        <v>4530.0</v>
      </c>
      <c r="J1532" s="31">
        <v>3.878253934E9</v>
      </c>
      <c r="K1532" s="31" t="s">
        <v>512</v>
      </c>
      <c r="L1532" s="31" t="s">
        <v>513</v>
      </c>
      <c r="M1532" s="33">
        <v>6.0</v>
      </c>
      <c r="N1532" s="34"/>
      <c r="O1532" s="34"/>
    </row>
    <row r="1533" hidden="1">
      <c r="A1533" s="85">
        <v>45874.0</v>
      </c>
      <c r="B1533" s="31" t="s">
        <v>4726</v>
      </c>
      <c r="C1533" s="31">
        <v>8.05011545565E11</v>
      </c>
      <c r="D1533" s="31" t="s">
        <v>4727</v>
      </c>
      <c r="E1533" s="31" t="s">
        <v>4728</v>
      </c>
      <c r="F1533" s="31" t="s">
        <v>4729</v>
      </c>
      <c r="G1533" s="31" t="s">
        <v>896</v>
      </c>
      <c r="H1533" s="31" t="s">
        <v>20</v>
      </c>
      <c r="I1533" s="31">
        <v>4530.0</v>
      </c>
      <c r="J1533" s="31">
        <v>3.878253934E9</v>
      </c>
      <c r="K1533" s="31" t="s">
        <v>670</v>
      </c>
      <c r="L1533" s="31" t="s">
        <v>3410</v>
      </c>
      <c r="M1533" s="33">
        <v>1.0</v>
      </c>
      <c r="N1533" s="34"/>
      <c r="O1533" s="34"/>
    </row>
    <row r="1534" hidden="1">
      <c r="A1534" s="85">
        <v>45874.0</v>
      </c>
      <c r="B1534" s="31" t="s">
        <v>4726</v>
      </c>
      <c r="C1534" s="31">
        <v>8.05011545565E11</v>
      </c>
      <c r="D1534" s="31" t="s">
        <v>4727</v>
      </c>
      <c r="E1534" s="31" t="s">
        <v>4728</v>
      </c>
      <c r="F1534" s="31" t="s">
        <v>4729</v>
      </c>
      <c r="G1534" s="31" t="s">
        <v>896</v>
      </c>
      <c r="H1534" s="31" t="s">
        <v>20</v>
      </c>
      <c r="I1534" s="31">
        <v>4530.0</v>
      </c>
      <c r="J1534" s="31">
        <v>3.878253934E9</v>
      </c>
      <c r="K1534" s="31" t="s">
        <v>98</v>
      </c>
      <c r="L1534" s="31" t="s">
        <v>3187</v>
      </c>
      <c r="M1534" s="33">
        <v>1.0</v>
      </c>
      <c r="N1534" s="34"/>
      <c r="O1534" s="34"/>
    </row>
    <row r="1535" hidden="1">
      <c r="A1535" s="85">
        <v>45874.0</v>
      </c>
      <c r="B1535" s="31" t="s">
        <v>4730</v>
      </c>
      <c r="C1535" s="31">
        <v>8.05011544173E11</v>
      </c>
      <c r="D1535" s="31" t="s">
        <v>4731</v>
      </c>
      <c r="E1535" s="31" t="s">
        <v>4732</v>
      </c>
      <c r="F1535" s="31" t="s">
        <v>4733</v>
      </c>
      <c r="G1535" s="31" t="s">
        <v>20</v>
      </c>
      <c r="H1535" s="31" t="s">
        <v>20</v>
      </c>
      <c r="I1535" s="31">
        <v>4400.0</v>
      </c>
      <c r="J1535" s="31">
        <v>3.874814159E9</v>
      </c>
      <c r="K1535" s="31" t="s">
        <v>4445</v>
      </c>
      <c r="L1535" s="31" t="s">
        <v>4446</v>
      </c>
      <c r="M1535" s="33">
        <v>1.0</v>
      </c>
      <c r="N1535" s="34"/>
      <c r="O1535" s="34"/>
    </row>
    <row r="1536" hidden="1">
      <c r="A1536" s="85">
        <v>45874.0</v>
      </c>
      <c r="B1536" s="31" t="s">
        <v>4730</v>
      </c>
      <c r="C1536" s="31">
        <v>8.05011544173E11</v>
      </c>
      <c r="D1536" s="31" t="s">
        <v>4731</v>
      </c>
      <c r="E1536" s="31" t="s">
        <v>4732</v>
      </c>
      <c r="F1536" s="31" t="s">
        <v>4733</v>
      </c>
      <c r="G1536" s="31" t="s">
        <v>20</v>
      </c>
      <c r="H1536" s="31" t="s">
        <v>20</v>
      </c>
      <c r="I1536" s="31">
        <v>4400.0</v>
      </c>
      <c r="J1536" s="31">
        <v>3.874814159E9</v>
      </c>
      <c r="K1536" s="31" t="s">
        <v>512</v>
      </c>
      <c r="L1536" s="31" t="s">
        <v>513</v>
      </c>
      <c r="M1536" s="33">
        <v>12.0</v>
      </c>
      <c r="N1536" s="34"/>
      <c r="O1536" s="34"/>
    </row>
    <row r="1537" hidden="1">
      <c r="A1537" s="85">
        <v>45874.0</v>
      </c>
      <c r="B1537" s="31" t="s">
        <v>4730</v>
      </c>
      <c r="C1537" s="31">
        <v>8.05011544173E11</v>
      </c>
      <c r="D1537" s="31" t="s">
        <v>4731</v>
      </c>
      <c r="E1537" s="31" t="s">
        <v>4732</v>
      </c>
      <c r="F1537" s="31" t="s">
        <v>4733</v>
      </c>
      <c r="G1537" s="31" t="s">
        <v>20</v>
      </c>
      <c r="H1537" s="31" t="s">
        <v>20</v>
      </c>
      <c r="I1537" s="31">
        <v>4400.0</v>
      </c>
      <c r="J1537" s="31">
        <v>3.874814159E9</v>
      </c>
      <c r="K1537" s="31" t="s">
        <v>758</v>
      </c>
      <c r="L1537" s="31" t="s">
        <v>3574</v>
      </c>
      <c r="M1537" s="33">
        <v>2.0</v>
      </c>
      <c r="N1537" s="34"/>
      <c r="O1537" s="34"/>
    </row>
    <row r="1538" hidden="1">
      <c r="A1538" s="85">
        <v>45874.0</v>
      </c>
      <c r="B1538" s="31" t="s">
        <v>4734</v>
      </c>
      <c r="C1538" s="31">
        <v>8.07025032658E11</v>
      </c>
      <c r="D1538" s="31" t="s">
        <v>4735</v>
      </c>
      <c r="E1538" s="31" t="s">
        <v>4736</v>
      </c>
      <c r="F1538" s="31" t="s">
        <v>4737</v>
      </c>
      <c r="G1538" s="31" t="s">
        <v>3047</v>
      </c>
      <c r="H1538" s="31" t="s">
        <v>20</v>
      </c>
      <c r="I1538" s="31">
        <v>4405.0</v>
      </c>
      <c r="J1538" s="31">
        <v>3.876122479E9</v>
      </c>
      <c r="K1538" s="31" t="s">
        <v>512</v>
      </c>
      <c r="L1538" s="31" t="s">
        <v>513</v>
      </c>
      <c r="M1538" s="33">
        <v>12.0</v>
      </c>
      <c r="N1538" s="34"/>
      <c r="O1538" s="34"/>
    </row>
    <row r="1539" hidden="1">
      <c r="A1539" s="85">
        <v>45874.0</v>
      </c>
      <c r="B1539" s="31" t="s">
        <v>4734</v>
      </c>
      <c r="C1539" s="31">
        <v>8.07025032658E11</v>
      </c>
      <c r="D1539" s="31" t="s">
        <v>4735</v>
      </c>
      <c r="E1539" s="31" t="s">
        <v>4736</v>
      </c>
      <c r="F1539" s="31" t="s">
        <v>4737</v>
      </c>
      <c r="G1539" s="31" t="s">
        <v>3047</v>
      </c>
      <c r="H1539" s="31" t="s">
        <v>20</v>
      </c>
      <c r="I1539" s="31">
        <v>4405.0</v>
      </c>
      <c r="J1539" s="31">
        <v>3.876122479E9</v>
      </c>
      <c r="K1539" s="31" t="s">
        <v>3334</v>
      </c>
      <c r="L1539" s="31" t="s">
        <v>3575</v>
      </c>
      <c r="M1539" s="33">
        <v>1.0</v>
      </c>
      <c r="N1539" s="34"/>
      <c r="O1539" s="34"/>
    </row>
    <row r="1540" hidden="1">
      <c r="A1540" s="85">
        <v>45874.0</v>
      </c>
      <c r="B1540" s="31" t="s">
        <v>4734</v>
      </c>
      <c r="C1540" s="31">
        <v>8.07025032658E11</v>
      </c>
      <c r="D1540" s="31" t="s">
        <v>4735</v>
      </c>
      <c r="E1540" s="31" t="s">
        <v>4736</v>
      </c>
      <c r="F1540" s="31" t="s">
        <v>4737</v>
      </c>
      <c r="G1540" s="31" t="s">
        <v>3047</v>
      </c>
      <c r="H1540" s="31" t="s">
        <v>20</v>
      </c>
      <c r="I1540" s="31">
        <v>4405.0</v>
      </c>
      <c r="J1540" s="31">
        <v>3.876122479E9</v>
      </c>
      <c r="K1540" s="31" t="s">
        <v>758</v>
      </c>
      <c r="L1540" s="31" t="s">
        <v>3574</v>
      </c>
      <c r="M1540" s="33">
        <v>2.0</v>
      </c>
      <c r="N1540" s="34"/>
      <c r="O1540" s="34"/>
    </row>
    <row r="1541" hidden="1">
      <c r="A1541" s="85">
        <v>45874.0</v>
      </c>
      <c r="B1541" s="31" t="s">
        <v>4738</v>
      </c>
      <c r="C1541" s="31">
        <v>8.07025032702E11</v>
      </c>
      <c r="D1541" s="31" t="s">
        <v>4365</v>
      </c>
      <c r="E1541" s="31" t="s">
        <v>4366</v>
      </c>
      <c r="F1541" s="31" t="s">
        <v>126</v>
      </c>
      <c r="G1541" s="31" t="s">
        <v>127</v>
      </c>
      <c r="H1541" s="31" t="s">
        <v>20</v>
      </c>
      <c r="I1541" s="31">
        <v>4400.0</v>
      </c>
      <c r="J1541" s="31">
        <v>1.1497555363E10</v>
      </c>
      <c r="K1541" s="31" t="s">
        <v>3276</v>
      </c>
      <c r="L1541" s="31" t="s">
        <v>3277</v>
      </c>
      <c r="M1541" s="33">
        <v>12.0</v>
      </c>
      <c r="N1541" s="34"/>
      <c r="O1541" s="34"/>
    </row>
    <row r="1542" hidden="1">
      <c r="A1542" s="85">
        <v>45874.0</v>
      </c>
      <c r="B1542" s="31" t="s">
        <v>4739</v>
      </c>
      <c r="C1542" s="31">
        <v>8.07025032701E11</v>
      </c>
      <c r="D1542" s="31" t="s">
        <v>4365</v>
      </c>
      <c r="E1542" s="31" t="s">
        <v>4366</v>
      </c>
      <c r="F1542" s="31" t="s">
        <v>126</v>
      </c>
      <c r="G1542" s="31" t="s">
        <v>127</v>
      </c>
      <c r="H1542" s="31" t="s">
        <v>20</v>
      </c>
      <c r="I1542" s="31">
        <v>4400.0</v>
      </c>
      <c r="J1542" s="31">
        <v>1.1497555363E10</v>
      </c>
      <c r="K1542" s="31" t="s">
        <v>169</v>
      </c>
      <c r="L1542" s="31" t="s">
        <v>4514</v>
      </c>
      <c r="M1542" s="33">
        <v>12.0</v>
      </c>
      <c r="N1542" s="34"/>
      <c r="O1542" s="34"/>
    </row>
    <row r="1543" hidden="1">
      <c r="A1543" s="85">
        <v>45874.0</v>
      </c>
      <c r="B1543" s="31" t="s">
        <v>4739</v>
      </c>
      <c r="C1543" s="31">
        <v>8.07025032701E11</v>
      </c>
      <c r="D1543" s="31" t="s">
        <v>4365</v>
      </c>
      <c r="E1543" s="31" t="s">
        <v>4366</v>
      </c>
      <c r="F1543" s="31" t="s">
        <v>126</v>
      </c>
      <c r="G1543" s="31" t="s">
        <v>127</v>
      </c>
      <c r="H1543" s="31" t="s">
        <v>20</v>
      </c>
      <c r="I1543" s="31">
        <v>4400.0</v>
      </c>
      <c r="J1543" s="31">
        <v>1.1497555363E10</v>
      </c>
      <c r="K1543" s="31" t="s">
        <v>512</v>
      </c>
      <c r="L1543" s="31" t="s">
        <v>513</v>
      </c>
      <c r="M1543" s="33">
        <v>72.0</v>
      </c>
      <c r="N1543" s="34"/>
      <c r="O1543" s="34"/>
    </row>
    <row r="1544" hidden="1">
      <c r="A1544" s="85">
        <v>45874.0</v>
      </c>
      <c r="B1544" s="31" t="s">
        <v>4740</v>
      </c>
      <c r="C1544" s="31">
        <v>8.05011545908E11</v>
      </c>
      <c r="D1544" s="31" t="s">
        <v>4741</v>
      </c>
      <c r="E1544" s="31" t="s">
        <v>4742</v>
      </c>
      <c r="F1544" s="31" t="s">
        <v>4743</v>
      </c>
      <c r="G1544" s="31" t="s">
        <v>58</v>
      </c>
      <c r="H1544" s="31" t="s">
        <v>20</v>
      </c>
      <c r="I1544" s="31">
        <v>4400.0</v>
      </c>
      <c r="J1544" s="31">
        <v>3.87551722E9</v>
      </c>
      <c r="K1544" s="31" t="s">
        <v>32</v>
      </c>
      <c r="L1544" s="31" t="s">
        <v>3225</v>
      </c>
      <c r="M1544" s="33">
        <v>1.0</v>
      </c>
      <c r="N1544" s="34"/>
      <c r="O1544" s="34"/>
    </row>
    <row r="1545" hidden="1">
      <c r="A1545" s="85">
        <v>45874.0</v>
      </c>
      <c r="B1545" s="31" t="s">
        <v>4740</v>
      </c>
      <c r="C1545" s="31">
        <v>8.05011545908E11</v>
      </c>
      <c r="D1545" s="31" t="s">
        <v>4741</v>
      </c>
      <c r="E1545" s="31" t="s">
        <v>4742</v>
      </c>
      <c r="F1545" s="31" t="s">
        <v>4743</v>
      </c>
      <c r="G1545" s="31" t="s">
        <v>58</v>
      </c>
      <c r="H1545" s="31" t="s">
        <v>20</v>
      </c>
      <c r="I1545" s="31">
        <v>4400.0</v>
      </c>
      <c r="J1545" s="31">
        <v>3.87551722E9</v>
      </c>
      <c r="K1545" s="31" t="s">
        <v>512</v>
      </c>
      <c r="L1545" s="31" t="s">
        <v>513</v>
      </c>
      <c r="M1545" s="33">
        <v>6.0</v>
      </c>
      <c r="N1545" s="34"/>
      <c r="O1545" s="34"/>
    </row>
    <row r="1546" hidden="1">
      <c r="A1546" s="85">
        <v>45874.0</v>
      </c>
      <c r="B1546" s="31" t="s">
        <v>4740</v>
      </c>
      <c r="C1546" s="31">
        <v>8.05011545908E11</v>
      </c>
      <c r="D1546" s="31" t="s">
        <v>4741</v>
      </c>
      <c r="E1546" s="31" t="s">
        <v>4742</v>
      </c>
      <c r="F1546" s="31" t="s">
        <v>4743</v>
      </c>
      <c r="G1546" s="31" t="s">
        <v>58</v>
      </c>
      <c r="H1546" s="31" t="s">
        <v>20</v>
      </c>
      <c r="I1546" s="31">
        <v>4400.0</v>
      </c>
      <c r="J1546" s="31">
        <v>3.87551722E9</v>
      </c>
      <c r="K1546" s="31" t="s">
        <v>670</v>
      </c>
      <c r="L1546" s="31" t="s">
        <v>3410</v>
      </c>
      <c r="M1546" s="33">
        <v>1.0</v>
      </c>
      <c r="N1546" s="34"/>
      <c r="O1546" s="34"/>
    </row>
    <row r="1547" hidden="1">
      <c r="A1547" s="85">
        <v>45874.0</v>
      </c>
      <c r="B1547" s="31" t="s">
        <v>4744</v>
      </c>
      <c r="C1547" s="31">
        <v>8.07025032731E11</v>
      </c>
      <c r="D1547" s="31" t="s">
        <v>4745</v>
      </c>
      <c r="E1547" s="31" t="s">
        <v>4746</v>
      </c>
      <c r="F1547" s="31" t="s">
        <v>4747</v>
      </c>
      <c r="G1547" s="31" t="s">
        <v>20</v>
      </c>
      <c r="H1547" s="31" t="s">
        <v>20</v>
      </c>
      <c r="I1547" s="31">
        <v>4400.0</v>
      </c>
      <c r="J1547" s="31">
        <v>3.87505668E9</v>
      </c>
      <c r="K1547" s="31" t="s">
        <v>512</v>
      </c>
      <c r="L1547" s="31" t="s">
        <v>513</v>
      </c>
      <c r="M1547" s="33">
        <v>6.0</v>
      </c>
      <c r="N1547" s="34"/>
      <c r="O1547" s="34"/>
    </row>
    <row r="1548" hidden="1">
      <c r="A1548" s="85">
        <v>45874.0</v>
      </c>
      <c r="B1548" s="31" t="s">
        <v>4748</v>
      </c>
      <c r="C1548" s="31">
        <v>8.07025032755E11</v>
      </c>
      <c r="D1548" s="31" t="s">
        <v>4749</v>
      </c>
      <c r="E1548" s="31" t="s">
        <v>4750</v>
      </c>
      <c r="F1548" s="31" t="s">
        <v>4751</v>
      </c>
      <c r="G1548" s="31" t="s">
        <v>127</v>
      </c>
      <c r="H1548" s="31" t="s">
        <v>20</v>
      </c>
      <c r="I1548" s="31">
        <v>4400.0</v>
      </c>
      <c r="J1548" s="31">
        <v>3.87545131E9</v>
      </c>
      <c r="K1548" s="31" t="s">
        <v>512</v>
      </c>
      <c r="L1548" s="31" t="s">
        <v>513</v>
      </c>
      <c r="M1548" s="33">
        <v>6.0</v>
      </c>
      <c r="N1548" s="34"/>
      <c r="O1548" s="34"/>
    </row>
    <row r="1549" hidden="1">
      <c r="A1549" s="85">
        <v>45874.0</v>
      </c>
      <c r="B1549" s="31" t="s">
        <v>4752</v>
      </c>
      <c r="C1549" s="31">
        <v>8.07025032732E11</v>
      </c>
      <c r="D1549" s="31" t="s">
        <v>4745</v>
      </c>
      <c r="E1549" s="31" t="s">
        <v>4746</v>
      </c>
      <c r="F1549" s="31" t="s">
        <v>4747</v>
      </c>
      <c r="G1549" s="31" t="s">
        <v>20</v>
      </c>
      <c r="H1549" s="31" t="s">
        <v>20</v>
      </c>
      <c r="I1549" s="31">
        <v>4400.0</v>
      </c>
      <c r="J1549" s="31">
        <v>3.87505668E9</v>
      </c>
      <c r="K1549" s="31" t="s">
        <v>3451</v>
      </c>
      <c r="L1549" s="31" t="s">
        <v>3452</v>
      </c>
      <c r="M1549" s="33">
        <v>1.0</v>
      </c>
      <c r="N1549" s="34"/>
      <c r="O1549" s="34"/>
    </row>
    <row r="1550" hidden="1">
      <c r="A1550" s="85">
        <v>45874.0</v>
      </c>
      <c r="B1550" s="31" t="s">
        <v>4752</v>
      </c>
      <c r="C1550" s="31">
        <v>8.07025032732E11</v>
      </c>
      <c r="D1550" s="31" t="s">
        <v>4745</v>
      </c>
      <c r="E1550" s="31" t="s">
        <v>4746</v>
      </c>
      <c r="F1550" s="31" t="s">
        <v>4747</v>
      </c>
      <c r="G1550" s="31" t="s">
        <v>20</v>
      </c>
      <c r="H1550" s="31" t="s">
        <v>20</v>
      </c>
      <c r="I1550" s="31">
        <v>4400.0</v>
      </c>
      <c r="J1550" s="31">
        <v>3.87505668E9</v>
      </c>
      <c r="K1550" s="31" t="s">
        <v>670</v>
      </c>
      <c r="L1550" s="31" t="s">
        <v>3410</v>
      </c>
      <c r="M1550" s="33">
        <v>1.0</v>
      </c>
      <c r="N1550" s="34"/>
      <c r="O1550" s="34"/>
    </row>
    <row r="1551" hidden="1">
      <c r="A1551" s="85">
        <v>45874.0</v>
      </c>
      <c r="B1551" s="31" t="s">
        <v>4753</v>
      </c>
      <c r="C1551" s="31">
        <v>8.07025032756E11</v>
      </c>
      <c r="D1551" s="31" t="s">
        <v>4749</v>
      </c>
      <c r="E1551" s="31" t="s">
        <v>4750</v>
      </c>
      <c r="F1551" s="31" t="s">
        <v>4751</v>
      </c>
      <c r="G1551" s="31" t="s">
        <v>127</v>
      </c>
      <c r="H1551" s="31" t="s">
        <v>20</v>
      </c>
      <c r="I1551" s="31">
        <v>4400.0</v>
      </c>
      <c r="J1551" s="31">
        <v>3.87545131E9</v>
      </c>
      <c r="K1551" s="31" t="s">
        <v>32</v>
      </c>
      <c r="L1551" s="31" t="s">
        <v>3225</v>
      </c>
      <c r="M1551" s="33">
        <v>1.0</v>
      </c>
      <c r="N1551" s="34"/>
      <c r="O1551" s="34"/>
    </row>
    <row r="1552" hidden="1">
      <c r="A1552" s="85">
        <v>45874.0</v>
      </c>
      <c r="B1552" s="31" t="s">
        <v>4753</v>
      </c>
      <c r="C1552" s="31">
        <v>8.07025032756E11</v>
      </c>
      <c r="D1552" s="31" t="s">
        <v>4749</v>
      </c>
      <c r="E1552" s="31" t="s">
        <v>4750</v>
      </c>
      <c r="F1552" s="31" t="s">
        <v>4751</v>
      </c>
      <c r="G1552" s="31" t="s">
        <v>127</v>
      </c>
      <c r="H1552" s="31" t="s">
        <v>20</v>
      </c>
      <c r="I1552" s="31">
        <v>4400.0</v>
      </c>
      <c r="J1552" s="31">
        <v>3.87545131E9</v>
      </c>
      <c r="K1552" s="31" t="s">
        <v>670</v>
      </c>
      <c r="L1552" s="31" t="s">
        <v>3410</v>
      </c>
      <c r="M1552" s="33">
        <v>1.0</v>
      </c>
      <c r="N1552" s="34"/>
      <c r="O1552" s="34"/>
    </row>
    <row r="1553" hidden="1">
      <c r="A1553" s="85">
        <v>45874.0</v>
      </c>
      <c r="B1553" s="31" t="s">
        <v>4754</v>
      </c>
      <c r="C1553" s="31">
        <v>8.07025032746E11</v>
      </c>
      <c r="D1553" s="31" t="s">
        <v>4670</v>
      </c>
      <c r="E1553" s="31" t="s">
        <v>4671</v>
      </c>
      <c r="F1553" s="31" t="s">
        <v>126</v>
      </c>
      <c r="G1553" s="31" t="s">
        <v>127</v>
      </c>
      <c r="H1553" s="31" t="s">
        <v>20</v>
      </c>
      <c r="I1553" s="31">
        <v>4400.0</v>
      </c>
      <c r="J1553" s="31">
        <v>3.8740461E9</v>
      </c>
      <c r="K1553" s="31">
        <v>125810.0</v>
      </c>
      <c r="L1553" s="31" t="s">
        <v>4672</v>
      </c>
      <c r="M1553" s="33">
        <v>2.0</v>
      </c>
      <c r="N1553" s="34"/>
      <c r="O1553" s="34"/>
    </row>
    <row r="1554" hidden="1">
      <c r="A1554" s="85">
        <v>45874.0</v>
      </c>
      <c r="B1554" s="31" t="s">
        <v>4755</v>
      </c>
      <c r="C1554" s="31">
        <v>8.05011546127E11</v>
      </c>
      <c r="D1554" s="31" t="s">
        <v>4756</v>
      </c>
      <c r="E1554" s="31" t="s">
        <v>4757</v>
      </c>
      <c r="F1554" s="31" t="s">
        <v>4758</v>
      </c>
      <c r="G1554" s="31" t="s">
        <v>582</v>
      </c>
      <c r="H1554" s="31" t="s">
        <v>20</v>
      </c>
      <c r="I1554" s="31">
        <v>4407.0</v>
      </c>
      <c r="J1554" s="31">
        <v>3.875873193E9</v>
      </c>
      <c r="K1554" s="31" t="s">
        <v>3313</v>
      </c>
      <c r="L1554" s="31" t="s">
        <v>3314</v>
      </c>
      <c r="M1554" s="31">
        <v>1.0</v>
      </c>
      <c r="N1554" s="34"/>
      <c r="O1554" s="34"/>
    </row>
    <row r="1555" hidden="1">
      <c r="A1555" s="85">
        <v>45874.0</v>
      </c>
      <c r="B1555" s="31" t="s">
        <v>4755</v>
      </c>
      <c r="C1555" s="31">
        <v>8.05011546127E11</v>
      </c>
      <c r="D1555" s="31" t="s">
        <v>4756</v>
      </c>
      <c r="E1555" s="31" t="s">
        <v>4757</v>
      </c>
      <c r="F1555" s="31" t="s">
        <v>4758</v>
      </c>
      <c r="G1555" s="31" t="s">
        <v>582</v>
      </c>
      <c r="H1555" s="31" t="s">
        <v>20</v>
      </c>
      <c r="I1555" s="31">
        <v>4407.0</v>
      </c>
      <c r="J1555" s="31">
        <v>3.875873193E9</v>
      </c>
      <c r="K1555" s="31" t="s">
        <v>3797</v>
      </c>
      <c r="L1555" s="31" t="s">
        <v>3798</v>
      </c>
      <c r="M1555" s="31">
        <v>1.0</v>
      </c>
      <c r="N1555" s="34"/>
      <c r="O1555" s="34"/>
    </row>
    <row r="1556" hidden="1">
      <c r="A1556" s="85">
        <v>45874.0</v>
      </c>
      <c r="B1556" s="31" t="s">
        <v>4759</v>
      </c>
      <c r="C1556" s="31">
        <v>8.07025032771E11</v>
      </c>
      <c r="D1556" s="31" t="s">
        <v>4760</v>
      </c>
      <c r="E1556" s="31" t="s">
        <v>4761</v>
      </c>
      <c r="F1556" s="31" t="s">
        <v>4762</v>
      </c>
      <c r="G1556" s="31" t="s">
        <v>1986</v>
      </c>
      <c r="H1556" s="31" t="s">
        <v>20</v>
      </c>
      <c r="I1556" s="31">
        <v>4400.0</v>
      </c>
      <c r="J1556" s="31">
        <v>1.54642796E8</v>
      </c>
      <c r="K1556" s="31" t="s">
        <v>947</v>
      </c>
      <c r="L1556" s="31" t="s">
        <v>3750</v>
      </c>
      <c r="M1556" s="31">
        <v>1.0</v>
      </c>
      <c r="N1556" s="34"/>
      <c r="O1556" s="34"/>
    </row>
    <row r="1557" hidden="1">
      <c r="A1557" s="85">
        <v>45874.0</v>
      </c>
      <c r="B1557" s="31" t="s">
        <v>4763</v>
      </c>
      <c r="C1557" s="31">
        <v>8.07025032783E11</v>
      </c>
      <c r="D1557" s="31" t="s">
        <v>4764</v>
      </c>
      <c r="E1557" s="31" t="s">
        <v>4765</v>
      </c>
      <c r="F1557" s="31" t="s">
        <v>4766</v>
      </c>
      <c r="G1557" s="31" t="s">
        <v>127</v>
      </c>
      <c r="H1557" s="31" t="s">
        <v>20</v>
      </c>
      <c r="I1557" s="31">
        <v>4400.0</v>
      </c>
      <c r="J1557" s="31">
        <v>3.874107678E9</v>
      </c>
      <c r="K1557" s="31" t="s">
        <v>4767</v>
      </c>
      <c r="L1557" s="31" t="s">
        <v>4767</v>
      </c>
      <c r="M1557" s="31">
        <v>2.0</v>
      </c>
      <c r="N1557" s="34"/>
      <c r="O1557" s="34"/>
    </row>
    <row r="1558" hidden="1">
      <c r="A1558" s="85">
        <v>45874.0</v>
      </c>
      <c r="B1558" s="31" t="s">
        <v>4763</v>
      </c>
      <c r="C1558" s="31">
        <v>8.07025032783E11</v>
      </c>
      <c r="D1558" s="31" t="s">
        <v>4764</v>
      </c>
      <c r="E1558" s="31" t="s">
        <v>4765</v>
      </c>
      <c r="F1558" s="31" t="s">
        <v>4766</v>
      </c>
      <c r="G1558" s="31" t="s">
        <v>127</v>
      </c>
      <c r="H1558" s="31" t="s">
        <v>20</v>
      </c>
      <c r="I1558" s="31">
        <v>4400.0</v>
      </c>
      <c r="J1558" s="31">
        <v>3.874107678E9</v>
      </c>
      <c r="K1558" s="31" t="s">
        <v>4768</v>
      </c>
      <c r="L1558" s="31" t="s">
        <v>4769</v>
      </c>
      <c r="M1558" s="31">
        <v>2.0</v>
      </c>
      <c r="N1558" s="34"/>
      <c r="O1558" s="34"/>
    </row>
    <row r="1559" hidden="1">
      <c r="A1559" s="85">
        <v>45874.0</v>
      </c>
      <c r="B1559" s="31" t="s">
        <v>4763</v>
      </c>
      <c r="C1559" s="31">
        <v>8.07025032783E11</v>
      </c>
      <c r="D1559" s="31" t="s">
        <v>4764</v>
      </c>
      <c r="E1559" s="31" t="s">
        <v>4765</v>
      </c>
      <c r="F1559" s="31" t="s">
        <v>4766</v>
      </c>
      <c r="G1559" s="31" t="s">
        <v>127</v>
      </c>
      <c r="H1559" s="31" t="s">
        <v>20</v>
      </c>
      <c r="I1559" s="31">
        <v>4400.0</v>
      </c>
      <c r="J1559" s="31">
        <v>3.874107678E9</v>
      </c>
      <c r="K1559" s="31" t="s">
        <v>1721</v>
      </c>
      <c r="L1559" s="31" t="s">
        <v>4770</v>
      </c>
      <c r="M1559" s="31">
        <v>1.0</v>
      </c>
      <c r="N1559" s="34"/>
      <c r="O1559" s="34"/>
    </row>
    <row r="1560" hidden="1">
      <c r="A1560" s="85">
        <v>45874.0</v>
      </c>
      <c r="B1560" s="31" t="s">
        <v>4771</v>
      </c>
      <c r="C1560" s="31">
        <v>8.07025032779E11</v>
      </c>
      <c r="D1560" s="31" t="s">
        <v>4772</v>
      </c>
      <c r="E1560" s="31" t="s">
        <v>4773</v>
      </c>
      <c r="F1560" s="31" t="s">
        <v>4774</v>
      </c>
      <c r="G1560" s="31" t="s">
        <v>127</v>
      </c>
      <c r="H1560" s="31" t="s">
        <v>20</v>
      </c>
      <c r="I1560" s="31">
        <v>4400.0</v>
      </c>
      <c r="J1560" s="31">
        <v>3.874533001E9</v>
      </c>
      <c r="K1560" s="31" t="s">
        <v>4775</v>
      </c>
      <c r="L1560" s="31" t="s">
        <v>4776</v>
      </c>
      <c r="M1560" s="31">
        <v>1.0</v>
      </c>
      <c r="N1560" s="34"/>
      <c r="O1560" s="34"/>
    </row>
    <row r="1561" hidden="1">
      <c r="A1561" s="85">
        <v>45874.0</v>
      </c>
      <c r="B1561" s="31" t="s">
        <v>4777</v>
      </c>
      <c r="C1561" s="31">
        <v>8.07025032784E11</v>
      </c>
      <c r="D1561" s="31" t="s">
        <v>4778</v>
      </c>
      <c r="E1561" s="31" t="s">
        <v>4779</v>
      </c>
      <c r="F1561" s="31" t="s">
        <v>4780</v>
      </c>
      <c r="G1561" s="31" t="s">
        <v>127</v>
      </c>
      <c r="H1561" s="31" t="s">
        <v>20</v>
      </c>
      <c r="I1561" s="31">
        <v>4400.0</v>
      </c>
      <c r="J1561" s="31">
        <v>3.875405777E9</v>
      </c>
      <c r="K1561" s="31" t="s">
        <v>670</v>
      </c>
      <c r="L1561" s="31" t="s">
        <v>3410</v>
      </c>
      <c r="M1561" s="31">
        <v>1.0</v>
      </c>
      <c r="N1561" s="34"/>
      <c r="O1561" s="34"/>
    </row>
    <row r="1562" hidden="1">
      <c r="A1562" s="85">
        <v>45874.0</v>
      </c>
      <c r="B1562" s="31" t="s">
        <v>4777</v>
      </c>
      <c r="C1562" s="31">
        <v>8.07025032784E11</v>
      </c>
      <c r="D1562" s="31" t="s">
        <v>4778</v>
      </c>
      <c r="E1562" s="31" t="s">
        <v>4779</v>
      </c>
      <c r="F1562" s="31" t="s">
        <v>4780</v>
      </c>
      <c r="G1562" s="31" t="s">
        <v>127</v>
      </c>
      <c r="H1562" s="31" t="s">
        <v>20</v>
      </c>
      <c r="I1562" s="31">
        <v>4400.0</v>
      </c>
      <c r="J1562" s="31">
        <v>3.875405777E9</v>
      </c>
      <c r="K1562" s="31" t="s">
        <v>3451</v>
      </c>
      <c r="L1562" s="31" t="s">
        <v>3452</v>
      </c>
      <c r="M1562" s="31">
        <v>1.0</v>
      </c>
      <c r="N1562" s="34"/>
      <c r="O1562" s="34"/>
    </row>
    <row r="1563" hidden="1">
      <c r="A1563" s="85">
        <v>45874.0</v>
      </c>
      <c r="B1563" s="31" t="s">
        <v>4777</v>
      </c>
      <c r="C1563" s="31">
        <v>8.07025032784E11</v>
      </c>
      <c r="D1563" s="31" t="s">
        <v>4778</v>
      </c>
      <c r="E1563" s="31" t="s">
        <v>4779</v>
      </c>
      <c r="F1563" s="31" t="s">
        <v>4780</v>
      </c>
      <c r="G1563" s="31" t="s">
        <v>127</v>
      </c>
      <c r="H1563" s="31" t="s">
        <v>20</v>
      </c>
      <c r="I1563" s="31">
        <v>4400.0</v>
      </c>
      <c r="J1563" s="31">
        <v>3.875405777E9</v>
      </c>
      <c r="K1563" s="31" t="s">
        <v>512</v>
      </c>
      <c r="L1563" s="31" t="s">
        <v>513</v>
      </c>
      <c r="M1563" s="31">
        <v>6.0</v>
      </c>
      <c r="N1563" s="34"/>
      <c r="O1563" s="34"/>
    </row>
    <row r="1564" ht="1.5" hidden="1" customHeight="1">
      <c r="A1564" s="87"/>
      <c r="B1564" s="88"/>
      <c r="C1564" s="88"/>
      <c r="D1564" s="88"/>
      <c r="E1564" s="88"/>
      <c r="F1564" s="88"/>
      <c r="G1564" s="88"/>
      <c r="H1564" s="88"/>
      <c r="I1564" s="88"/>
      <c r="J1564" s="88"/>
      <c r="K1564" s="88"/>
      <c r="L1564" s="88"/>
      <c r="M1564" s="89"/>
      <c r="N1564" s="90"/>
      <c r="O1564" s="90"/>
    </row>
    <row r="1565" hidden="1">
      <c r="A1565" s="85">
        <v>45895.0</v>
      </c>
      <c r="B1565" s="31" t="s">
        <v>4781</v>
      </c>
      <c r="C1565" s="31">
        <v>8.05011547483E11</v>
      </c>
      <c r="D1565" s="31" t="s">
        <v>4782</v>
      </c>
      <c r="E1565" s="31" t="s">
        <v>4783</v>
      </c>
      <c r="F1565" s="31" t="s">
        <v>4784</v>
      </c>
      <c r="G1565" s="31" t="s">
        <v>20</v>
      </c>
      <c r="H1565" s="31" t="s">
        <v>20</v>
      </c>
      <c r="I1565" s="31" t="s">
        <v>4086</v>
      </c>
      <c r="J1565" s="31">
        <v>3.876051107E9</v>
      </c>
      <c r="K1565" s="31" t="s">
        <v>617</v>
      </c>
      <c r="L1565" s="31" t="s">
        <v>3867</v>
      </c>
      <c r="M1565" s="33">
        <v>1.0</v>
      </c>
      <c r="N1565" s="34"/>
      <c r="O1565" s="34"/>
    </row>
    <row r="1566" hidden="1">
      <c r="A1566" s="85">
        <v>45895.0</v>
      </c>
      <c r="B1566" s="31" t="s">
        <v>4781</v>
      </c>
      <c r="C1566" s="31">
        <v>8.05011547483E11</v>
      </c>
      <c r="D1566" s="31" t="s">
        <v>4782</v>
      </c>
      <c r="E1566" s="31" t="s">
        <v>4783</v>
      </c>
      <c r="F1566" s="31" t="s">
        <v>4784</v>
      </c>
      <c r="G1566" s="31" t="s">
        <v>20</v>
      </c>
      <c r="H1566" s="31" t="s">
        <v>20</v>
      </c>
      <c r="I1566" s="31" t="s">
        <v>4086</v>
      </c>
      <c r="J1566" s="31">
        <v>3.876051107E9</v>
      </c>
      <c r="K1566" s="31" t="s">
        <v>645</v>
      </c>
      <c r="L1566" s="31" t="s">
        <v>3253</v>
      </c>
      <c r="M1566" s="33">
        <v>2.0</v>
      </c>
      <c r="N1566" s="34"/>
      <c r="O1566" s="34"/>
    </row>
    <row r="1567" hidden="1">
      <c r="A1567" s="85">
        <v>45895.0</v>
      </c>
      <c r="B1567" s="31" t="s">
        <v>4785</v>
      </c>
      <c r="C1567" s="31">
        <v>8.05011547482E11</v>
      </c>
      <c r="D1567" s="31" t="s">
        <v>4782</v>
      </c>
      <c r="E1567" s="31" t="s">
        <v>4783</v>
      </c>
      <c r="F1567" s="31" t="s">
        <v>4784</v>
      </c>
      <c r="G1567" s="31" t="s">
        <v>20</v>
      </c>
      <c r="H1567" s="31" t="s">
        <v>20</v>
      </c>
      <c r="I1567" s="31" t="s">
        <v>4086</v>
      </c>
      <c r="J1567" s="31">
        <v>3.876051107E9</v>
      </c>
      <c r="K1567" s="31" t="s">
        <v>512</v>
      </c>
      <c r="L1567" s="31" t="s">
        <v>513</v>
      </c>
      <c r="M1567" s="33">
        <v>12.0</v>
      </c>
      <c r="N1567" s="34"/>
      <c r="O1567" s="34"/>
    </row>
    <row r="1568" hidden="1">
      <c r="A1568" s="85">
        <v>45895.0</v>
      </c>
      <c r="B1568" s="31" t="s">
        <v>4786</v>
      </c>
      <c r="C1568" s="31">
        <v>8.05011547604E11</v>
      </c>
      <c r="D1568" s="31" t="s">
        <v>4787</v>
      </c>
      <c r="E1568" s="31" t="s">
        <v>4788</v>
      </c>
      <c r="F1568" s="31" t="s">
        <v>4789</v>
      </c>
      <c r="G1568" s="31" t="s">
        <v>20</v>
      </c>
      <c r="H1568" s="31" t="s">
        <v>20</v>
      </c>
      <c r="I1568" s="31">
        <v>4400.0</v>
      </c>
      <c r="J1568" s="31">
        <v>3.87402588E9</v>
      </c>
      <c r="K1568" s="31" t="s">
        <v>4790</v>
      </c>
      <c r="L1568" s="31" t="s">
        <v>4791</v>
      </c>
      <c r="M1568" s="33">
        <v>1.0</v>
      </c>
      <c r="N1568" s="34"/>
      <c r="O1568" s="31" t="s">
        <v>4792</v>
      </c>
    </row>
    <row r="1569" hidden="1">
      <c r="A1569" s="85">
        <v>45895.0</v>
      </c>
      <c r="B1569" s="31" t="s">
        <v>4786</v>
      </c>
      <c r="C1569" s="31">
        <v>8.05011547604E11</v>
      </c>
      <c r="D1569" s="31" t="s">
        <v>4787</v>
      </c>
      <c r="E1569" s="31" t="s">
        <v>4788</v>
      </c>
      <c r="F1569" s="31" t="s">
        <v>4789</v>
      </c>
      <c r="G1569" s="31" t="s">
        <v>20</v>
      </c>
      <c r="H1569" s="31" t="s">
        <v>20</v>
      </c>
      <c r="I1569" s="31">
        <v>4400.0</v>
      </c>
      <c r="J1569" s="31">
        <v>3.87402588E9</v>
      </c>
      <c r="K1569" s="31" t="s">
        <v>4793</v>
      </c>
      <c r="L1569" s="31" t="s">
        <v>4794</v>
      </c>
      <c r="M1569" s="33">
        <v>1.0</v>
      </c>
      <c r="N1569" s="34"/>
      <c r="O1569" s="31" t="s">
        <v>4792</v>
      </c>
    </row>
    <row r="1570" hidden="1">
      <c r="A1570" s="85">
        <v>45895.0</v>
      </c>
      <c r="B1570" s="31" t="s">
        <v>4795</v>
      </c>
      <c r="C1570" s="31">
        <v>8.05011547632E11</v>
      </c>
      <c r="D1570" s="31" t="s">
        <v>4796</v>
      </c>
      <c r="E1570" s="31" t="s">
        <v>4797</v>
      </c>
      <c r="F1570" s="31" t="s">
        <v>4798</v>
      </c>
      <c r="G1570" s="31" t="s">
        <v>3850</v>
      </c>
      <c r="H1570" s="31" t="s">
        <v>20</v>
      </c>
      <c r="I1570" s="31">
        <v>4421.0</v>
      </c>
      <c r="J1570" s="31">
        <v>3.874527576E9</v>
      </c>
      <c r="K1570" s="31" t="s">
        <v>22</v>
      </c>
      <c r="L1570" s="31" t="s">
        <v>4013</v>
      </c>
      <c r="M1570" s="33">
        <v>1.0</v>
      </c>
      <c r="N1570" s="34"/>
      <c r="O1570" s="31" t="s">
        <v>4799</v>
      </c>
    </row>
    <row r="1571" hidden="1">
      <c r="A1571" s="85">
        <v>45895.0</v>
      </c>
      <c r="B1571" s="31" t="s">
        <v>4800</v>
      </c>
      <c r="C1571" s="31">
        <v>8.05011547545E11</v>
      </c>
      <c r="D1571" s="31" t="s">
        <v>4801</v>
      </c>
      <c r="E1571" s="31" t="s">
        <v>4802</v>
      </c>
      <c r="F1571" s="31" t="s">
        <v>4803</v>
      </c>
      <c r="G1571" s="31" t="s">
        <v>20</v>
      </c>
      <c r="H1571" s="31" t="s">
        <v>20</v>
      </c>
      <c r="I1571" s="31">
        <v>4400.0</v>
      </c>
      <c r="J1571" s="31">
        <v>3.875687212E9</v>
      </c>
      <c r="K1571" s="31" t="s">
        <v>3431</v>
      </c>
      <c r="L1571" s="31" t="s">
        <v>3432</v>
      </c>
      <c r="M1571" s="33">
        <v>1.0</v>
      </c>
      <c r="N1571" s="34"/>
      <c r="O1571" s="31" t="s">
        <v>4804</v>
      </c>
    </row>
    <row r="1572" hidden="1">
      <c r="A1572" s="85">
        <v>45895.0</v>
      </c>
      <c r="B1572" s="31" t="s">
        <v>4800</v>
      </c>
      <c r="C1572" s="31">
        <v>8.05011547545E11</v>
      </c>
      <c r="D1572" s="31" t="s">
        <v>4801</v>
      </c>
      <c r="E1572" s="31" t="s">
        <v>4802</v>
      </c>
      <c r="F1572" s="31" t="s">
        <v>4803</v>
      </c>
      <c r="G1572" s="31" t="s">
        <v>20</v>
      </c>
      <c r="H1572" s="31" t="s">
        <v>20</v>
      </c>
      <c r="I1572" s="31">
        <v>4400.0</v>
      </c>
      <c r="J1572" s="31">
        <v>3.875687212E9</v>
      </c>
      <c r="K1572" s="31" t="s">
        <v>512</v>
      </c>
      <c r="L1572" s="31" t="s">
        <v>513</v>
      </c>
      <c r="M1572" s="33">
        <v>6.0</v>
      </c>
      <c r="N1572" s="34"/>
      <c r="O1572" s="31" t="s">
        <v>4804</v>
      </c>
    </row>
    <row r="1573" hidden="1">
      <c r="A1573" s="85">
        <v>45895.0</v>
      </c>
      <c r="B1573" s="31" t="s">
        <v>4800</v>
      </c>
      <c r="C1573" s="31">
        <v>8.05011547545E11</v>
      </c>
      <c r="D1573" s="31" t="s">
        <v>4801</v>
      </c>
      <c r="E1573" s="31" t="s">
        <v>4802</v>
      </c>
      <c r="F1573" s="31" t="s">
        <v>4803</v>
      </c>
      <c r="G1573" s="31" t="s">
        <v>20</v>
      </c>
      <c r="H1573" s="31" t="s">
        <v>20</v>
      </c>
      <c r="I1573" s="31">
        <v>4400.0</v>
      </c>
      <c r="J1573" s="31">
        <v>3.875687212E9</v>
      </c>
      <c r="K1573" s="31" t="s">
        <v>670</v>
      </c>
      <c r="L1573" s="31" t="s">
        <v>3410</v>
      </c>
      <c r="M1573" s="33">
        <v>1.0</v>
      </c>
      <c r="N1573" s="34"/>
      <c r="O1573" s="31" t="s">
        <v>4804</v>
      </c>
    </row>
    <row r="1574" hidden="1">
      <c r="A1574" s="85">
        <v>45895.0</v>
      </c>
      <c r="B1574" s="31" t="s">
        <v>4805</v>
      </c>
      <c r="C1574" s="31">
        <v>8.05011547699E11</v>
      </c>
      <c r="D1574" s="31" t="s">
        <v>4806</v>
      </c>
      <c r="E1574" s="31" t="s">
        <v>4807</v>
      </c>
      <c r="F1574" s="31" t="s">
        <v>4808</v>
      </c>
      <c r="G1574" s="31" t="s">
        <v>20</v>
      </c>
      <c r="H1574" s="31" t="s">
        <v>20</v>
      </c>
      <c r="I1574" s="31">
        <v>4400.0</v>
      </c>
      <c r="J1574" s="31">
        <v>3.872511313E9</v>
      </c>
      <c r="K1574" s="31" t="s">
        <v>3074</v>
      </c>
      <c r="L1574" s="31" t="s">
        <v>3232</v>
      </c>
      <c r="M1574" s="33">
        <v>1.0</v>
      </c>
      <c r="N1574" s="34"/>
      <c r="O1574" s="31" t="s">
        <v>4809</v>
      </c>
    </row>
    <row r="1575" hidden="1">
      <c r="A1575" s="85">
        <v>45895.0</v>
      </c>
      <c r="B1575" s="31" t="s">
        <v>4810</v>
      </c>
      <c r="C1575" s="31">
        <v>8.05011547787E11</v>
      </c>
      <c r="D1575" s="31" t="s">
        <v>4811</v>
      </c>
      <c r="E1575" s="31" t="s">
        <v>4812</v>
      </c>
      <c r="F1575" s="31" t="s">
        <v>4813</v>
      </c>
      <c r="G1575" s="31" t="s">
        <v>20</v>
      </c>
      <c r="H1575" s="31" t="s">
        <v>20</v>
      </c>
      <c r="I1575" s="31">
        <v>4400.0</v>
      </c>
      <c r="J1575" s="31">
        <v>3.875536991E9</v>
      </c>
      <c r="K1575" s="31" t="s">
        <v>289</v>
      </c>
      <c r="L1575" s="31" t="s">
        <v>290</v>
      </c>
      <c r="M1575" s="33">
        <v>1.0</v>
      </c>
      <c r="N1575" s="34"/>
      <c r="O1575" s="31" t="s">
        <v>4814</v>
      </c>
    </row>
    <row r="1576" hidden="1">
      <c r="A1576" s="85">
        <v>45895.0</v>
      </c>
      <c r="B1576" s="31" t="s">
        <v>4810</v>
      </c>
      <c r="C1576" s="31">
        <v>8.05011547787E11</v>
      </c>
      <c r="D1576" s="31" t="s">
        <v>4811</v>
      </c>
      <c r="E1576" s="31" t="s">
        <v>4812</v>
      </c>
      <c r="F1576" s="31" t="s">
        <v>4813</v>
      </c>
      <c r="G1576" s="31" t="s">
        <v>20</v>
      </c>
      <c r="H1576" s="31" t="s">
        <v>20</v>
      </c>
      <c r="I1576" s="31">
        <v>4400.0</v>
      </c>
      <c r="J1576" s="31">
        <v>3.875536991E9</v>
      </c>
      <c r="K1576" s="31" t="s">
        <v>512</v>
      </c>
      <c r="L1576" s="31" t="s">
        <v>513</v>
      </c>
      <c r="M1576" s="33">
        <v>6.0</v>
      </c>
      <c r="N1576" s="34"/>
      <c r="O1576" s="31" t="s">
        <v>4814</v>
      </c>
    </row>
    <row r="1577" hidden="1">
      <c r="A1577" s="85">
        <v>45895.0</v>
      </c>
      <c r="B1577" s="31" t="s">
        <v>4810</v>
      </c>
      <c r="C1577" s="31">
        <v>8.05011547787E11</v>
      </c>
      <c r="D1577" s="31" t="s">
        <v>4811</v>
      </c>
      <c r="E1577" s="31" t="s">
        <v>4812</v>
      </c>
      <c r="F1577" s="31" t="s">
        <v>4813</v>
      </c>
      <c r="G1577" s="31" t="s">
        <v>20</v>
      </c>
      <c r="H1577" s="31" t="s">
        <v>20</v>
      </c>
      <c r="I1577" s="31">
        <v>4400.0</v>
      </c>
      <c r="J1577" s="31">
        <v>3.875536991E9</v>
      </c>
      <c r="K1577" s="31" t="s">
        <v>273</v>
      </c>
      <c r="L1577" s="31" t="s">
        <v>3594</v>
      </c>
      <c r="M1577" s="33">
        <v>1.0</v>
      </c>
      <c r="N1577" s="34"/>
      <c r="O1577" s="31" t="s">
        <v>4814</v>
      </c>
    </row>
    <row r="1578" hidden="1">
      <c r="A1578" s="85">
        <v>45895.0</v>
      </c>
      <c r="B1578" s="31" t="s">
        <v>4815</v>
      </c>
      <c r="C1578" s="31">
        <v>8.05011547998E11</v>
      </c>
      <c r="D1578" s="31" t="s">
        <v>4816</v>
      </c>
      <c r="E1578" s="31" t="s">
        <v>4817</v>
      </c>
      <c r="F1578" s="31" t="s">
        <v>4818</v>
      </c>
      <c r="G1578" s="31" t="s">
        <v>104</v>
      </c>
      <c r="H1578" s="31" t="s">
        <v>20</v>
      </c>
      <c r="I1578" s="31">
        <v>4400.0</v>
      </c>
      <c r="J1578" s="31">
        <v>3.875804513E9</v>
      </c>
      <c r="K1578" s="31" t="s">
        <v>4819</v>
      </c>
      <c r="L1578" s="31" t="s">
        <v>4820</v>
      </c>
      <c r="M1578" s="33">
        <v>1.0</v>
      </c>
      <c r="N1578" s="34"/>
      <c r="O1578" s="31" t="s">
        <v>4821</v>
      </c>
    </row>
    <row r="1579" hidden="1">
      <c r="A1579" s="85">
        <v>45895.0</v>
      </c>
      <c r="B1579" s="31" t="s">
        <v>4815</v>
      </c>
      <c r="C1579" s="31">
        <v>8.05011547998E11</v>
      </c>
      <c r="D1579" s="31" t="s">
        <v>4816</v>
      </c>
      <c r="E1579" s="31" t="s">
        <v>4817</v>
      </c>
      <c r="F1579" s="31" t="s">
        <v>4818</v>
      </c>
      <c r="G1579" s="31" t="s">
        <v>104</v>
      </c>
      <c r="H1579" s="31" t="s">
        <v>20</v>
      </c>
      <c r="I1579" s="31">
        <v>4400.0</v>
      </c>
      <c r="J1579" s="31">
        <v>3.875804513E9</v>
      </c>
      <c r="K1579" s="31" t="s">
        <v>512</v>
      </c>
      <c r="L1579" s="31" t="s">
        <v>513</v>
      </c>
      <c r="M1579" s="33">
        <v>6.0</v>
      </c>
      <c r="N1579" s="34"/>
      <c r="O1579" s="31" t="s">
        <v>4821</v>
      </c>
    </row>
    <row r="1580" hidden="1">
      <c r="A1580" s="85">
        <v>45895.0</v>
      </c>
      <c r="B1580" s="31" t="s">
        <v>4815</v>
      </c>
      <c r="C1580" s="31">
        <v>8.05011547998E11</v>
      </c>
      <c r="D1580" s="31" t="s">
        <v>4816</v>
      </c>
      <c r="E1580" s="31" t="s">
        <v>4817</v>
      </c>
      <c r="F1580" s="31" t="s">
        <v>4818</v>
      </c>
      <c r="G1580" s="31" t="s">
        <v>104</v>
      </c>
      <c r="H1580" s="31" t="s">
        <v>20</v>
      </c>
      <c r="I1580" s="31">
        <v>4400.0</v>
      </c>
      <c r="J1580" s="31">
        <v>3.875804513E9</v>
      </c>
      <c r="K1580" s="31" t="s">
        <v>2782</v>
      </c>
      <c r="L1580" s="31" t="s">
        <v>4822</v>
      </c>
      <c r="M1580" s="33">
        <v>1.0</v>
      </c>
      <c r="N1580" s="34"/>
      <c r="O1580" s="31" t="s">
        <v>4821</v>
      </c>
    </row>
    <row r="1581" hidden="1">
      <c r="A1581" s="85">
        <v>45895.0</v>
      </c>
      <c r="B1581" s="31" t="s">
        <v>4823</v>
      </c>
      <c r="C1581" s="31">
        <v>8.07025032948E11</v>
      </c>
      <c r="D1581" s="31" t="s">
        <v>4824</v>
      </c>
      <c r="E1581" s="31" t="s">
        <v>4825</v>
      </c>
      <c r="F1581" s="31" t="s">
        <v>4826</v>
      </c>
      <c r="G1581" s="31" t="s">
        <v>127</v>
      </c>
      <c r="H1581" s="31" t="s">
        <v>20</v>
      </c>
      <c r="I1581" s="31">
        <v>4400.0</v>
      </c>
      <c r="J1581" s="31">
        <v>3.874425469E9</v>
      </c>
      <c r="K1581" s="31" t="s">
        <v>3214</v>
      </c>
      <c r="L1581" s="31" t="s">
        <v>3215</v>
      </c>
      <c r="M1581" s="33">
        <v>3.0</v>
      </c>
      <c r="N1581" s="34"/>
      <c r="O1581" s="34"/>
    </row>
    <row r="1582" hidden="1">
      <c r="A1582" s="85">
        <v>45895.0</v>
      </c>
      <c r="B1582" s="31" t="s">
        <v>4827</v>
      </c>
      <c r="C1582" s="31">
        <v>8.07025032963E11</v>
      </c>
      <c r="D1582" s="31" t="s">
        <v>4828</v>
      </c>
      <c r="E1582" s="31" t="s">
        <v>4829</v>
      </c>
      <c r="F1582" s="31" t="s">
        <v>4830</v>
      </c>
      <c r="G1582" s="31" t="s">
        <v>4041</v>
      </c>
      <c r="H1582" s="31" t="s">
        <v>20</v>
      </c>
      <c r="I1582" s="31">
        <v>4400.0</v>
      </c>
      <c r="J1582" s="31">
        <v>3.873421578E9</v>
      </c>
      <c r="K1582" s="31" t="s">
        <v>190</v>
      </c>
      <c r="L1582" s="31" t="s">
        <v>4831</v>
      </c>
      <c r="M1582" s="33">
        <v>1.0</v>
      </c>
      <c r="N1582" s="34"/>
      <c r="O1582" s="34"/>
    </row>
    <row r="1583" hidden="1">
      <c r="A1583" s="85">
        <v>45895.0</v>
      </c>
      <c r="B1583" s="31" t="s">
        <v>4832</v>
      </c>
      <c r="C1583" s="31">
        <v>8.07025032849E11</v>
      </c>
      <c r="D1583" s="31" t="s">
        <v>4833</v>
      </c>
      <c r="E1583" s="31" t="s">
        <v>4834</v>
      </c>
      <c r="F1583" s="31" t="s">
        <v>4835</v>
      </c>
      <c r="G1583" s="31" t="s">
        <v>4836</v>
      </c>
      <c r="H1583" s="31" t="s">
        <v>20</v>
      </c>
      <c r="I1583" s="31">
        <v>4407.0</v>
      </c>
      <c r="J1583" s="31">
        <v>1.157819196E9</v>
      </c>
      <c r="K1583" s="31" t="s">
        <v>512</v>
      </c>
      <c r="L1583" s="31" t="s">
        <v>513</v>
      </c>
      <c r="M1583" s="33">
        <v>12.0</v>
      </c>
      <c r="N1583" s="34"/>
      <c r="O1583" s="34"/>
    </row>
    <row r="1584" hidden="1">
      <c r="A1584" s="85">
        <v>45895.0</v>
      </c>
      <c r="B1584" s="31" t="s">
        <v>4832</v>
      </c>
      <c r="C1584" s="31">
        <v>8.07025032849E11</v>
      </c>
      <c r="D1584" s="31" t="s">
        <v>4833</v>
      </c>
      <c r="E1584" s="31" t="s">
        <v>4834</v>
      </c>
      <c r="F1584" s="31" t="s">
        <v>4835</v>
      </c>
      <c r="G1584" s="31" t="s">
        <v>4836</v>
      </c>
      <c r="H1584" s="31" t="s">
        <v>20</v>
      </c>
      <c r="I1584" s="31">
        <v>4407.0</v>
      </c>
      <c r="J1584" s="31">
        <v>1.157819196E9</v>
      </c>
      <c r="K1584" s="31" t="s">
        <v>645</v>
      </c>
      <c r="L1584" s="31" t="s">
        <v>3253</v>
      </c>
      <c r="M1584" s="33">
        <v>2.0</v>
      </c>
      <c r="N1584" s="34"/>
      <c r="O1584" s="34"/>
    </row>
    <row r="1585" hidden="1">
      <c r="A1585" s="85">
        <v>45895.0</v>
      </c>
      <c r="B1585" s="31" t="s">
        <v>4832</v>
      </c>
      <c r="C1585" s="31">
        <v>8.07025032849E11</v>
      </c>
      <c r="D1585" s="31" t="s">
        <v>4833</v>
      </c>
      <c r="E1585" s="31" t="s">
        <v>4834</v>
      </c>
      <c r="F1585" s="31" t="s">
        <v>4835</v>
      </c>
      <c r="G1585" s="31" t="s">
        <v>4836</v>
      </c>
      <c r="H1585" s="31" t="s">
        <v>20</v>
      </c>
      <c r="I1585" s="31">
        <v>4407.0</v>
      </c>
      <c r="J1585" s="31">
        <v>1.157819196E9</v>
      </c>
      <c r="K1585" s="31" t="s">
        <v>3971</v>
      </c>
      <c r="L1585" s="31" t="s">
        <v>3972</v>
      </c>
      <c r="M1585" s="33">
        <v>1.0</v>
      </c>
      <c r="N1585" s="34"/>
      <c r="O1585" s="34"/>
    </row>
    <row r="1586" hidden="1">
      <c r="A1586" s="85">
        <v>45895.0</v>
      </c>
      <c r="B1586" s="31" t="s">
        <v>4837</v>
      </c>
      <c r="C1586" s="31">
        <v>8.07025032966E11</v>
      </c>
      <c r="D1586" s="31" t="s">
        <v>4838</v>
      </c>
      <c r="E1586" s="31" t="s">
        <v>4839</v>
      </c>
      <c r="F1586" s="31" t="s">
        <v>4840</v>
      </c>
      <c r="G1586" s="31" t="s">
        <v>4841</v>
      </c>
      <c r="H1586" s="31" t="s">
        <v>20</v>
      </c>
      <c r="I1586" s="31">
        <v>4534.0</v>
      </c>
      <c r="J1586" s="31">
        <v>3.875444298E9</v>
      </c>
      <c r="K1586" s="31" t="s">
        <v>645</v>
      </c>
      <c r="L1586" s="31" t="s">
        <v>3253</v>
      </c>
      <c r="M1586" s="33">
        <v>2.0</v>
      </c>
      <c r="N1586" s="34"/>
      <c r="O1586" s="31" t="s">
        <v>4842</v>
      </c>
    </row>
    <row r="1587" hidden="1">
      <c r="A1587" s="85">
        <v>45895.0</v>
      </c>
      <c r="B1587" s="31" t="s">
        <v>4837</v>
      </c>
      <c r="C1587" s="31">
        <v>8.07025032966E11</v>
      </c>
      <c r="D1587" s="31" t="s">
        <v>4838</v>
      </c>
      <c r="E1587" s="31" t="s">
        <v>4839</v>
      </c>
      <c r="F1587" s="31" t="s">
        <v>4840</v>
      </c>
      <c r="G1587" s="31" t="s">
        <v>4841</v>
      </c>
      <c r="H1587" s="31" t="s">
        <v>20</v>
      </c>
      <c r="I1587" s="31">
        <v>4534.0</v>
      </c>
      <c r="J1587" s="31">
        <v>3.875444298E9</v>
      </c>
      <c r="K1587" s="31" t="s">
        <v>512</v>
      </c>
      <c r="L1587" s="31" t="s">
        <v>513</v>
      </c>
      <c r="M1587" s="33">
        <v>12.0</v>
      </c>
      <c r="N1587" s="34"/>
      <c r="O1587" s="31" t="s">
        <v>4842</v>
      </c>
    </row>
    <row r="1588" hidden="1">
      <c r="A1588" s="85">
        <v>45895.0</v>
      </c>
      <c r="B1588" s="31" t="s">
        <v>4837</v>
      </c>
      <c r="C1588" s="31">
        <v>8.07025032966E11</v>
      </c>
      <c r="D1588" s="31" t="s">
        <v>4838</v>
      </c>
      <c r="E1588" s="31" t="s">
        <v>4839</v>
      </c>
      <c r="F1588" s="31" t="s">
        <v>4840</v>
      </c>
      <c r="G1588" s="31" t="s">
        <v>4841</v>
      </c>
      <c r="H1588" s="31" t="s">
        <v>20</v>
      </c>
      <c r="I1588" s="31">
        <v>4534.0</v>
      </c>
      <c r="J1588" s="31">
        <v>3.875444298E9</v>
      </c>
      <c r="K1588" s="31" t="s">
        <v>617</v>
      </c>
      <c r="L1588" s="31" t="s">
        <v>3867</v>
      </c>
      <c r="M1588" s="33">
        <v>1.0</v>
      </c>
      <c r="N1588" s="34"/>
      <c r="O1588" s="31" t="s">
        <v>4842</v>
      </c>
    </row>
    <row r="1589" hidden="1">
      <c r="A1589" s="85">
        <v>45895.0</v>
      </c>
      <c r="B1589" s="31" t="s">
        <v>4843</v>
      </c>
      <c r="C1589" s="31">
        <v>8.05011548358E11</v>
      </c>
      <c r="D1589" s="31" t="s">
        <v>4844</v>
      </c>
      <c r="E1589" s="31" t="s">
        <v>4845</v>
      </c>
      <c r="F1589" s="31" t="s">
        <v>4846</v>
      </c>
      <c r="G1589" s="31" t="s">
        <v>20</v>
      </c>
      <c r="H1589" s="31" t="s">
        <v>20</v>
      </c>
      <c r="I1589" s="31">
        <v>4400.0</v>
      </c>
      <c r="J1589" s="31">
        <v>3.872582372E9</v>
      </c>
      <c r="K1589" s="31" t="s">
        <v>617</v>
      </c>
      <c r="L1589" s="31" t="s">
        <v>3867</v>
      </c>
      <c r="M1589" s="33">
        <v>1.0</v>
      </c>
      <c r="N1589" s="34"/>
      <c r="O1589" s="31" t="s">
        <v>261</v>
      </c>
    </row>
    <row r="1590" hidden="1">
      <c r="A1590" s="85">
        <v>45895.0</v>
      </c>
      <c r="B1590" s="31" t="s">
        <v>4843</v>
      </c>
      <c r="C1590" s="31">
        <v>8.05011548358E11</v>
      </c>
      <c r="D1590" s="31" t="s">
        <v>4844</v>
      </c>
      <c r="E1590" s="31" t="s">
        <v>4845</v>
      </c>
      <c r="F1590" s="31" t="s">
        <v>4846</v>
      </c>
      <c r="G1590" s="31" t="s">
        <v>20</v>
      </c>
      <c r="H1590" s="31" t="s">
        <v>20</v>
      </c>
      <c r="I1590" s="31">
        <v>4400.0</v>
      </c>
      <c r="J1590" s="31">
        <v>3.872582372E9</v>
      </c>
      <c r="K1590" s="31" t="s">
        <v>512</v>
      </c>
      <c r="L1590" s="31" t="s">
        <v>513</v>
      </c>
      <c r="M1590" s="33">
        <v>12.0</v>
      </c>
      <c r="N1590" s="34"/>
      <c r="O1590" s="31" t="s">
        <v>261</v>
      </c>
    </row>
    <row r="1591" hidden="1">
      <c r="A1591" s="85">
        <v>45895.0</v>
      </c>
      <c r="B1591" s="31" t="s">
        <v>4843</v>
      </c>
      <c r="C1591" s="31">
        <v>8.05011548358E11</v>
      </c>
      <c r="D1591" s="31" t="s">
        <v>4844</v>
      </c>
      <c r="E1591" s="31" t="s">
        <v>4845</v>
      </c>
      <c r="F1591" s="31" t="s">
        <v>4846</v>
      </c>
      <c r="G1591" s="31" t="s">
        <v>20</v>
      </c>
      <c r="H1591" s="31" t="s">
        <v>20</v>
      </c>
      <c r="I1591" s="31">
        <v>4400.0</v>
      </c>
      <c r="J1591" s="31">
        <v>3.872582372E9</v>
      </c>
      <c r="K1591" s="31" t="s">
        <v>645</v>
      </c>
      <c r="L1591" s="31" t="s">
        <v>3253</v>
      </c>
      <c r="M1591" s="33">
        <v>2.0</v>
      </c>
      <c r="N1591" s="34"/>
      <c r="O1591" s="31" t="s">
        <v>261</v>
      </c>
    </row>
    <row r="1592" hidden="1">
      <c r="A1592" s="85">
        <v>45895.0</v>
      </c>
      <c r="B1592" s="31" t="s">
        <v>4847</v>
      </c>
      <c r="C1592" s="31">
        <v>8.05011548596E11</v>
      </c>
      <c r="D1592" s="31" t="s">
        <v>4848</v>
      </c>
      <c r="E1592" s="31" t="s">
        <v>4849</v>
      </c>
      <c r="F1592" s="31" t="s">
        <v>4850</v>
      </c>
      <c r="G1592" s="31" t="s">
        <v>20</v>
      </c>
      <c r="H1592" s="31" t="s">
        <v>20</v>
      </c>
      <c r="I1592" s="31">
        <v>4400.0</v>
      </c>
      <c r="J1592" s="31">
        <v>3.874562848E9</v>
      </c>
      <c r="K1592" s="31" t="s">
        <v>2956</v>
      </c>
      <c r="L1592" s="31" t="s">
        <v>3327</v>
      </c>
      <c r="M1592" s="33">
        <v>1.0</v>
      </c>
      <c r="N1592" s="34"/>
      <c r="O1592" s="31" t="s">
        <v>4851</v>
      </c>
    </row>
    <row r="1593" hidden="1">
      <c r="A1593" s="85">
        <v>45895.0</v>
      </c>
      <c r="B1593" s="31" t="s">
        <v>4847</v>
      </c>
      <c r="C1593" s="31">
        <v>8.05011548596E11</v>
      </c>
      <c r="D1593" s="31" t="s">
        <v>4848</v>
      </c>
      <c r="E1593" s="31" t="s">
        <v>4849</v>
      </c>
      <c r="F1593" s="31" t="s">
        <v>4850</v>
      </c>
      <c r="G1593" s="31" t="s">
        <v>20</v>
      </c>
      <c r="H1593" s="31" t="s">
        <v>20</v>
      </c>
      <c r="I1593" s="31">
        <v>4400.0</v>
      </c>
      <c r="J1593" s="31">
        <v>3.874562848E9</v>
      </c>
      <c r="K1593" s="31" t="s">
        <v>512</v>
      </c>
      <c r="L1593" s="31" t="s">
        <v>513</v>
      </c>
      <c r="M1593" s="33">
        <v>6.0</v>
      </c>
      <c r="N1593" s="34"/>
      <c r="O1593" s="31" t="s">
        <v>4851</v>
      </c>
    </row>
    <row r="1594" hidden="1">
      <c r="A1594" s="85">
        <v>45895.0</v>
      </c>
      <c r="B1594" s="31" t="s">
        <v>4847</v>
      </c>
      <c r="C1594" s="31">
        <v>8.05011548596E11</v>
      </c>
      <c r="D1594" s="31" t="s">
        <v>4848</v>
      </c>
      <c r="E1594" s="31" t="s">
        <v>4849</v>
      </c>
      <c r="F1594" s="31" t="s">
        <v>4850</v>
      </c>
      <c r="G1594" s="31" t="s">
        <v>20</v>
      </c>
      <c r="H1594" s="31" t="s">
        <v>20</v>
      </c>
      <c r="I1594" s="31">
        <v>4400.0</v>
      </c>
      <c r="J1594" s="31">
        <v>3.874562848E9</v>
      </c>
      <c r="K1594" s="31" t="s">
        <v>670</v>
      </c>
      <c r="L1594" s="31" t="s">
        <v>3410</v>
      </c>
      <c r="M1594" s="33">
        <v>1.0</v>
      </c>
      <c r="N1594" s="34"/>
      <c r="O1594" s="31" t="s">
        <v>4851</v>
      </c>
    </row>
    <row r="1595" ht="9.0" hidden="1" customHeight="1">
      <c r="A1595" s="87"/>
      <c r="B1595" s="88"/>
      <c r="C1595" s="88"/>
      <c r="D1595" s="88"/>
      <c r="E1595" s="88"/>
      <c r="F1595" s="88"/>
      <c r="G1595" s="88"/>
      <c r="H1595" s="88"/>
      <c r="I1595" s="88"/>
      <c r="J1595" s="88"/>
      <c r="K1595" s="88"/>
      <c r="L1595" s="88"/>
      <c r="M1595" s="89"/>
      <c r="N1595" s="90"/>
      <c r="O1595" s="90"/>
    </row>
    <row r="1596" hidden="1">
      <c r="A1596" s="85">
        <v>45902.0</v>
      </c>
      <c r="B1596" s="31" t="s">
        <v>4852</v>
      </c>
      <c r="C1596" s="31">
        <v>8.07025033006E11</v>
      </c>
      <c r="D1596" s="31" t="s">
        <v>4853</v>
      </c>
      <c r="E1596" s="31" t="s">
        <v>4854</v>
      </c>
      <c r="F1596" s="31" t="s">
        <v>4855</v>
      </c>
      <c r="G1596" s="31" t="s">
        <v>4645</v>
      </c>
      <c r="H1596" s="31" t="s">
        <v>20</v>
      </c>
      <c r="I1596" s="31">
        <v>4400.0</v>
      </c>
      <c r="J1596" s="31">
        <v>3.876368563E9</v>
      </c>
      <c r="K1596" s="31" t="s">
        <v>3334</v>
      </c>
      <c r="L1596" s="31" t="s">
        <v>3575</v>
      </c>
      <c r="M1596" s="33">
        <v>1.0</v>
      </c>
      <c r="N1596" s="34"/>
      <c r="O1596" s="34"/>
    </row>
    <row r="1597" hidden="1">
      <c r="A1597" s="85">
        <v>45902.0</v>
      </c>
      <c r="B1597" s="31" t="s">
        <v>4856</v>
      </c>
      <c r="C1597" s="31">
        <v>8.05011548837E11</v>
      </c>
      <c r="D1597" s="31" t="s">
        <v>4857</v>
      </c>
      <c r="E1597" s="31" t="s">
        <v>4858</v>
      </c>
      <c r="F1597" s="31" t="s">
        <v>4859</v>
      </c>
      <c r="G1597" s="31" t="s">
        <v>20</v>
      </c>
      <c r="H1597" s="31" t="s">
        <v>20</v>
      </c>
      <c r="I1597" s="31">
        <v>4400.0</v>
      </c>
      <c r="J1597" s="31">
        <v>3.874556372E9</v>
      </c>
      <c r="K1597" s="31" t="s">
        <v>3407</v>
      </c>
      <c r="L1597" s="31" t="s">
        <v>3408</v>
      </c>
      <c r="M1597" s="33">
        <v>1.0</v>
      </c>
      <c r="N1597" s="31"/>
      <c r="O1597" s="31" t="s">
        <v>4860</v>
      </c>
    </row>
    <row r="1598" hidden="1">
      <c r="A1598" s="85">
        <v>45902.0</v>
      </c>
      <c r="B1598" s="31" t="s">
        <v>4861</v>
      </c>
      <c r="C1598" s="31">
        <v>8.05011549028E11</v>
      </c>
      <c r="D1598" s="31" t="s">
        <v>4862</v>
      </c>
      <c r="E1598" s="31" t="s">
        <v>4863</v>
      </c>
      <c r="F1598" s="31" t="s">
        <v>4864</v>
      </c>
      <c r="G1598" s="31" t="s">
        <v>20</v>
      </c>
      <c r="H1598" s="31" t="s">
        <v>20</v>
      </c>
      <c r="I1598" s="31">
        <v>4400.0</v>
      </c>
      <c r="J1598" s="31">
        <v>3.874647223E9</v>
      </c>
      <c r="K1598" s="31" t="s">
        <v>3025</v>
      </c>
      <c r="L1598" s="31" t="s">
        <v>3493</v>
      </c>
      <c r="M1598" s="33">
        <v>1.0</v>
      </c>
      <c r="N1598" s="34"/>
      <c r="O1598" s="34"/>
    </row>
    <row r="1599" hidden="1">
      <c r="A1599" s="85">
        <v>45902.0</v>
      </c>
      <c r="B1599" s="31" t="s">
        <v>4865</v>
      </c>
      <c r="C1599" s="31">
        <v>8.07025033037E11</v>
      </c>
      <c r="D1599" s="31" t="s">
        <v>4866</v>
      </c>
      <c r="E1599" s="31" t="s">
        <v>4867</v>
      </c>
      <c r="F1599" s="31" t="s">
        <v>4868</v>
      </c>
      <c r="G1599" s="31" t="s">
        <v>127</v>
      </c>
      <c r="H1599" s="31" t="s">
        <v>20</v>
      </c>
      <c r="I1599" s="31">
        <v>4400.0</v>
      </c>
      <c r="J1599" s="31">
        <v>3.87505522E9</v>
      </c>
      <c r="K1599" s="31" t="s">
        <v>2233</v>
      </c>
      <c r="L1599" s="31" t="s">
        <v>4158</v>
      </c>
      <c r="M1599" s="33">
        <v>1.0</v>
      </c>
      <c r="N1599" s="34"/>
      <c r="O1599" s="34"/>
    </row>
    <row r="1600" hidden="1">
      <c r="A1600" s="85">
        <v>45902.0</v>
      </c>
      <c r="B1600" s="31" t="s">
        <v>4869</v>
      </c>
      <c r="C1600" s="31">
        <v>8.05011549036E11</v>
      </c>
      <c r="D1600" s="31" t="s">
        <v>4870</v>
      </c>
      <c r="E1600" s="31" t="s">
        <v>4871</v>
      </c>
      <c r="F1600" s="31" t="s">
        <v>256</v>
      </c>
      <c r="G1600" s="31" t="s">
        <v>20</v>
      </c>
      <c r="H1600" s="31" t="s">
        <v>20</v>
      </c>
      <c r="I1600" s="31">
        <v>4400.0</v>
      </c>
      <c r="J1600" s="31">
        <v>3.875826787E9</v>
      </c>
      <c r="K1600" s="31" t="s">
        <v>98</v>
      </c>
      <c r="L1600" s="31" t="s">
        <v>3187</v>
      </c>
      <c r="M1600" s="33">
        <v>1.0</v>
      </c>
      <c r="N1600" s="31"/>
      <c r="O1600" s="31" t="s">
        <v>4872</v>
      </c>
    </row>
    <row r="1601" hidden="1">
      <c r="A1601" s="85">
        <v>45902.0</v>
      </c>
      <c r="B1601" s="31" t="s">
        <v>4873</v>
      </c>
      <c r="C1601" s="31">
        <v>8.05011549281E11</v>
      </c>
      <c r="D1601" s="31" t="s">
        <v>4874</v>
      </c>
      <c r="E1601" s="31" t="s">
        <v>4875</v>
      </c>
      <c r="F1601" s="31" t="s">
        <v>4876</v>
      </c>
      <c r="G1601" s="31" t="s">
        <v>2177</v>
      </c>
      <c r="H1601" s="31" t="s">
        <v>20</v>
      </c>
      <c r="I1601" s="31">
        <v>4430.0</v>
      </c>
      <c r="J1601" s="31">
        <v>3.87596416E9</v>
      </c>
      <c r="K1601" s="31" t="s">
        <v>3074</v>
      </c>
      <c r="L1601" s="31" t="s">
        <v>3232</v>
      </c>
      <c r="M1601" s="33">
        <v>1.0</v>
      </c>
      <c r="N1601" s="34"/>
      <c r="O1601" s="34"/>
    </row>
    <row r="1602" hidden="1">
      <c r="A1602" s="85">
        <v>45902.0</v>
      </c>
      <c r="B1602" s="31" t="s">
        <v>4873</v>
      </c>
      <c r="C1602" s="31">
        <v>8.05011549281E11</v>
      </c>
      <c r="D1602" s="31" t="s">
        <v>4874</v>
      </c>
      <c r="E1602" s="31" t="s">
        <v>4875</v>
      </c>
      <c r="F1602" s="31" t="s">
        <v>4876</v>
      </c>
      <c r="G1602" s="31" t="s">
        <v>2177</v>
      </c>
      <c r="H1602" s="31" t="s">
        <v>20</v>
      </c>
      <c r="I1602" s="31">
        <v>4430.0</v>
      </c>
      <c r="J1602" s="31">
        <v>3.87596416E9</v>
      </c>
      <c r="K1602" s="31" t="s">
        <v>512</v>
      </c>
      <c r="L1602" s="31" t="s">
        <v>513</v>
      </c>
      <c r="M1602" s="33">
        <v>6.0</v>
      </c>
      <c r="N1602" s="34"/>
      <c r="O1602" s="34"/>
    </row>
    <row r="1603" hidden="1">
      <c r="A1603" s="85">
        <v>45902.0</v>
      </c>
      <c r="B1603" s="31" t="s">
        <v>4873</v>
      </c>
      <c r="C1603" s="31">
        <v>8.05011549281E11</v>
      </c>
      <c r="D1603" s="31" t="s">
        <v>4874</v>
      </c>
      <c r="E1603" s="31" t="s">
        <v>4875</v>
      </c>
      <c r="F1603" s="31" t="s">
        <v>4876</v>
      </c>
      <c r="G1603" s="31" t="s">
        <v>2177</v>
      </c>
      <c r="H1603" s="31" t="s">
        <v>20</v>
      </c>
      <c r="I1603" s="31">
        <v>4430.0</v>
      </c>
      <c r="J1603" s="31">
        <v>3.87596416E9</v>
      </c>
      <c r="K1603" s="31" t="s">
        <v>670</v>
      </c>
      <c r="L1603" s="31" t="s">
        <v>3410</v>
      </c>
      <c r="M1603" s="33">
        <v>1.0</v>
      </c>
      <c r="N1603" s="34"/>
      <c r="O1603" s="34"/>
    </row>
    <row r="1604" hidden="1">
      <c r="A1604" s="85">
        <v>45902.0</v>
      </c>
      <c r="B1604" s="31" t="s">
        <v>4877</v>
      </c>
      <c r="C1604" s="31">
        <v>8.05011549608E11</v>
      </c>
      <c r="D1604" s="31" t="s">
        <v>4878</v>
      </c>
      <c r="E1604" s="31" t="s">
        <v>4879</v>
      </c>
      <c r="F1604" s="31" t="s">
        <v>4880</v>
      </c>
      <c r="G1604" s="31" t="s">
        <v>4881</v>
      </c>
      <c r="H1604" s="31" t="s">
        <v>20</v>
      </c>
      <c r="I1604" s="31">
        <v>4530.0</v>
      </c>
      <c r="J1604" s="31">
        <v>2.901448188E9</v>
      </c>
      <c r="K1604" s="31" t="s">
        <v>1241</v>
      </c>
      <c r="L1604" s="31" t="s">
        <v>3500</v>
      </c>
      <c r="M1604" s="33">
        <v>2.0</v>
      </c>
      <c r="N1604" s="34"/>
      <c r="O1604" s="34"/>
    </row>
    <row r="1605" hidden="1">
      <c r="A1605" s="85">
        <v>45902.0</v>
      </c>
      <c r="B1605" s="31" t="s">
        <v>4882</v>
      </c>
      <c r="C1605" s="31">
        <v>8.07025033105E11</v>
      </c>
      <c r="D1605" s="31" t="s">
        <v>4883</v>
      </c>
      <c r="E1605" s="31" t="s">
        <v>4884</v>
      </c>
      <c r="F1605" s="31" t="s">
        <v>4454</v>
      </c>
      <c r="G1605" s="31" t="s">
        <v>20</v>
      </c>
      <c r="H1605" s="31" t="s">
        <v>20</v>
      </c>
      <c r="I1605" s="31" t="s">
        <v>4086</v>
      </c>
      <c r="J1605" s="31">
        <v>1.55787626E8</v>
      </c>
      <c r="K1605" s="31" t="s">
        <v>3074</v>
      </c>
      <c r="L1605" s="31" t="s">
        <v>3232</v>
      </c>
      <c r="M1605" s="33">
        <v>1.0</v>
      </c>
      <c r="N1605" s="34"/>
      <c r="O1605" s="34"/>
    </row>
    <row r="1606" ht="10.5" hidden="1" customHeight="1">
      <c r="A1606" s="87"/>
      <c r="B1606" s="88"/>
      <c r="C1606" s="88"/>
      <c r="D1606" s="88"/>
      <c r="E1606" s="88"/>
      <c r="F1606" s="88"/>
      <c r="G1606" s="88"/>
      <c r="H1606" s="88"/>
      <c r="I1606" s="88"/>
      <c r="J1606" s="88"/>
      <c r="K1606" s="88"/>
      <c r="L1606" s="88"/>
      <c r="M1606" s="89"/>
      <c r="N1606" s="90"/>
      <c r="O1606" s="90"/>
    </row>
    <row r="1607" hidden="1">
      <c r="A1607" s="85">
        <v>45909.0</v>
      </c>
      <c r="B1607" s="31" t="s">
        <v>4885</v>
      </c>
      <c r="C1607" s="31">
        <v>8.05011549915E11</v>
      </c>
      <c r="D1607" s="31" t="s">
        <v>4886</v>
      </c>
      <c r="E1607" s="31" t="s">
        <v>4887</v>
      </c>
      <c r="F1607" s="31" t="s">
        <v>4888</v>
      </c>
      <c r="G1607" s="31" t="s">
        <v>20</v>
      </c>
      <c r="H1607" s="31" t="s">
        <v>20</v>
      </c>
      <c r="I1607" s="31">
        <v>4400.0</v>
      </c>
      <c r="J1607" s="31">
        <v>3.874524303E9</v>
      </c>
      <c r="K1607" s="31" t="s">
        <v>3641</v>
      </c>
      <c r="L1607" s="31" t="s">
        <v>3642</v>
      </c>
      <c r="M1607" s="33">
        <v>2.0</v>
      </c>
      <c r="N1607" s="34"/>
      <c r="O1607" s="31" t="s">
        <v>4889</v>
      </c>
    </row>
    <row r="1608" hidden="1">
      <c r="A1608" s="85">
        <v>45909.0</v>
      </c>
      <c r="B1608" s="31" t="s">
        <v>4885</v>
      </c>
      <c r="C1608" s="31">
        <v>8.05011549915E11</v>
      </c>
      <c r="D1608" s="31" t="s">
        <v>4886</v>
      </c>
      <c r="E1608" s="31" t="s">
        <v>4887</v>
      </c>
      <c r="F1608" s="31" t="s">
        <v>4888</v>
      </c>
      <c r="G1608" s="31" t="s">
        <v>20</v>
      </c>
      <c r="H1608" s="31" t="s">
        <v>20</v>
      </c>
      <c r="I1608" s="31">
        <v>4400.0</v>
      </c>
      <c r="J1608" s="31">
        <v>3.874524303E9</v>
      </c>
      <c r="K1608" s="31" t="s">
        <v>512</v>
      </c>
      <c r="L1608" s="31" t="s">
        <v>513</v>
      </c>
      <c r="M1608" s="33">
        <v>12.0</v>
      </c>
      <c r="N1608" s="34"/>
      <c r="O1608" s="31" t="s">
        <v>4889</v>
      </c>
    </row>
    <row r="1609" hidden="1">
      <c r="A1609" s="85">
        <v>45909.0</v>
      </c>
      <c r="B1609" s="31" t="s">
        <v>4885</v>
      </c>
      <c r="C1609" s="31">
        <v>8.05011549915E11</v>
      </c>
      <c r="D1609" s="31" t="s">
        <v>4886</v>
      </c>
      <c r="E1609" s="31" t="s">
        <v>4887</v>
      </c>
      <c r="F1609" s="31" t="s">
        <v>4888</v>
      </c>
      <c r="G1609" s="31" t="s">
        <v>20</v>
      </c>
      <c r="H1609" s="31" t="s">
        <v>20</v>
      </c>
      <c r="I1609" s="31">
        <v>4400.0</v>
      </c>
      <c r="J1609" s="31">
        <v>3.874524303E9</v>
      </c>
      <c r="K1609" s="31" t="s">
        <v>1345</v>
      </c>
      <c r="L1609" s="31" t="s">
        <v>3639</v>
      </c>
      <c r="M1609" s="33">
        <v>2.0</v>
      </c>
      <c r="N1609" s="34"/>
      <c r="O1609" s="31" t="s">
        <v>4889</v>
      </c>
    </row>
    <row r="1610" hidden="1">
      <c r="A1610" s="85">
        <v>45909.0</v>
      </c>
      <c r="B1610" s="31" t="s">
        <v>4890</v>
      </c>
      <c r="C1610" s="31">
        <v>8.0702503314E11</v>
      </c>
      <c r="D1610" s="31" t="s">
        <v>4891</v>
      </c>
      <c r="E1610" s="31" t="s">
        <v>4892</v>
      </c>
      <c r="F1610" s="31" t="s">
        <v>4893</v>
      </c>
      <c r="G1610" s="31" t="s">
        <v>4645</v>
      </c>
      <c r="H1610" s="31" t="s">
        <v>20</v>
      </c>
      <c r="I1610" s="31">
        <v>4400.0</v>
      </c>
      <c r="J1610" s="31">
        <v>4271517.0</v>
      </c>
      <c r="K1610" s="31" t="s">
        <v>2659</v>
      </c>
      <c r="L1610" s="31" t="s">
        <v>4894</v>
      </c>
      <c r="M1610" s="33">
        <v>1.0</v>
      </c>
      <c r="N1610" s="34"/>
      <c r="O1610" s="34"/>
    </row>
    <row r="1611" hidden="1">
      <c r="A1611" s="85">
        <v>45909.0</v>
      </c>
      <c r="B1611" s="31" t="s">
        <v>4895</v>
      </c>
      <c r="C1611" s="31">
        <v>8.0571210514E11</v>
      </c>
      <c r="D1611" s="31" t="s">
        <v>4896</v>
      </c>
      <c r="E1611" s="31" t="s">
        <v>4897</v>
      </c>
      <c r="F1611" s="31" t="s">
        <v>4898</v>
      </c>
      <c r="G1611" s="31" t="s">
        <v>116</v>
      </c>
      <c r="H1611" s="31" t="s">
        <v>20</v>
      </c>
      <c r="I1611" s="31">
        <v>4400.0</v>
      </c>
      <c r="J1611" s="31">
        <v>3.876850046E9</v>
      </c>
      <c r="K1611" s="31" t="s">
        <v>4899</v>
      </c>
      <c r="L1611" s="31" t="s">
        <v>4900</v>
      </c>
      <c r="M1611" s="33">
        <v>1.0</v>
      </c>
      <c r="N1611" s="34"/>
      <c r="O1611" s="31" t="s">
        <v>4901</v>
      </c>
    </row>
    <row r="1612" hidden="1">
      <c r="A1612" s="85">
        <v>45909.0</v>
      </c>
      <c r="B1612" s="31" t="s">
        <v>4895</v>
      </c>
      <c r="C1612" s="31">
        <v>8.0571210514E11</v>
      </c>
      <c r="D1612" s="31" t="s">
        <v>4896</v>
      </c>
      <c r="E1612" s="31" t="s">
        <v>4897</v>
      </c>
      <c r="F1612" s="31" t="s">
        <v>4898</v>
      </c>
      <c r="G1612" s="31" t="s">
        <v>116</v>
      </c>
      <c r="H1612" s="31" t="s">
        <v>20</v>
      </c>
      <c r="I1612" s="31">
        <v>4400.0</v>
      </c>
      <c r="J1612" s="31">
        <v>3.876850046E9</v>
      </c>
      <c r="K1612" s="31" t="s">
        <v>512</v>
      </c>
      <c r="L1612" s="31" t="s">
        <v>513</v>
      </c>
      <c r="M1612" s="33">
        <v>12.0</v>
      </c>
      <c r="N1612" s="34"/>
      <c r="O1612" s="31" t="s">
        <v>4901</v>
      </c>
    </row>
    <row r="1613" hidden="1">
      <c r="A1613" s="85">
        <v>45909.0</v>
      </c>
      <c r="B1613" s="31" t="s">
        <v>4895</v>
      </c>
      <c r="C1613" s="31">
        <v>8.0571210514E11</v>
      </c>
      <c r="D1613" s="31" t="s">
        <v>4896</v>
      </c>
      <c r="E1613" s="31" t="s">
        <v>4897</v>
      </c>
      <c r="F1613" s="31" t="s">
        <v>4898</v>
      </c>
      <c r="G1613" s="31" t="s">
        <v>116</v>
      </c>
      <c r="H1613" s="31" t="s">
        <v>20</v>
      </c>
      <c r="I1613" s="31">
        <v>4400.0</v>
      </c>
      <c r="J1613" s="31">
        <v>3.876850046E9</v>
      </c>
      <c r="K1613" s="31" t="s">
        <v>233</v>
      </c>
      <c r="L1613" s="31" t="s">
        <v>3459</v>
      </c>
      <c r="M1613" s="33">
        <v>2.0</v>
      </c>
      <c r="N1613" s="34"/>
      <c r="O1613" s="31" t="s">
        <v>4901</v>
      </c>
    </row>
    <row r="1614" hidden="1">
      <c r="A1614" s="85">
        <v>45909.0</v>
      </c>
      <c r="B1614" s="31" t="s">
        <v>4902</v>
      </c>
      <c r="C1614" s="31">
        <v>8.05011550111E11</v>
      </c>
      <c r="D1614" s="31" t="s">
        <v>4903</v>
      </c>
      <c r="E1614" s="31" t="s">
        <v>4904</v>
      </c>
      <c r="F1614" s="31" t="s">
        <v>4905</v>
      </c>
      <c r="G1614" s="31" t="s">
        <v>247</v>
      </c>
      <c r="H1614" s="31" t="s">
        <v>20</v>
      </c>
      <c r="I1614" s="31">
        <v>4400.0</v>
      </c>
      <c r="J1614" s="31" t="s">
        <v>4906</v>
      </c>
      <c r="K1614" s="31" t="s">
        <v>3767</v>
      </c>
      <c r="L1614" s="31" t="s">
        <v>3768</v>
      </c>
      <c r="M1614" s="33">
        <v>1.0</v>
      </c>
      <c r="N1614" s="34"/>
      <c r="O1614" s="31" t="s">
        <v>4907</v>
      </c>
    </row>
    <row r="1615" hidden="1">
      <c r="A1615" s="85">
        <v>45909.0</v>
      </c>
      <c r="B1615" s="31" t="s">
        <v>4902</v>
      </c>
      <c r="C1615" s="31">
        <v>8.05011550111E11</v>
      </c>
      <c r="D1615" s="31" t="s">
        <v>4903</v>
      </c>
      <c r="E1615" s="31" t="s">
        <v>4904</v>
      </c>
      <c r="F1615" s="31" t="s">
        <v>4905</v>
      </c>
      <c r="G1615" s="31" t="s">
        <v>247</v>
      </c>
      <c r="H1615" s="31" t="s">
        <v>20</v>
      </c>
      <c r="I1615" s="31">
        <v>4400.0</v>
      </c>
      <c r="J1615" s="31" t="s">
        <v>4906</v>
      </c>
      <c r="K1615" s="31" t="s">
        <v>512</v>
      </c>
      <c r="L1615" s="31" t="s">
        <v>513</v>
      </c>
      <c r="M1615" s="33">
        <v>12.0</v>
      </c>
      <c r="N1615" s="34"/>
      <c r="O1615" s="31" t="s">
        <v>4907</v>
      </c>
    </row>
    <row r="1616" hidden="1">
      <c r="A1616" s="85">
        <v>45909.0</v>
      </c>
      <c r="B1616" s="31" t="s">
        <v>4902</v>
      </c>
      <c r="C1616" s="31">
        <v>8.05011550111E11</v>
      </c>
      <c r="D1616" s="31" t="s">
        <v>4903</v>
      </c>
      <c r="E1616" s="31" t="s">
        <v>4904</v>
      </c>
      <c r="F1616" s="31" t="s">
        <v>4905</v>
      </c>
      <c r="G1616" s="31" t="s">
        <v>247</v>
      </c>
      <c r="H1616" s="31" t="s">
        <v>20</v>
      </c>
      <c r="I1616" s="31">
        <v>4400.0</v>
      </c>
      <c r="J1616" s="31" t="s">
        <v>4906</v>
      </c>
      <c r="K1616" s="31" t="s">
        <v>645</v>
      </c>
      <c r="L1616" s="31" t="s">
        <v>3253</v>
      </c>
      <c r="M1616" s="33">
        <v>2.0</v>
      </c>
      <c r="N1616" s="34"/>
      <c r="O1616" s="31" t="s">
        <v>4907</v>
      </c>
    </row>
    <row r="1617" hidden="1">
      <c r="A1617" s="85">
        <v>45909.0</v>
      </c>
      <c r="B1617" s="31" t="s">
        <v>4908</v>
      </c>
      <c r="C1617" s="31">
        <v>8.05011550183E11</v>
      </c>
      <c r="D1617" s="31" t="s">
        <v>4909</v>
      </c>
      <c r="E1617" s="31" t="s">
        <v>4910</v>
      </c>
      <c r="F1617" s="31" t="s">
        <v>4911</v>
      </c>
      <c r="G1617" s="31" t="s">
        <v>41</v>
      </c>
      <c r="H1617" s="31" t="s">
        <v>20</v>
      </c>
      <c r="I1617" s="31">
        <v>4560.0</v>
      </c>
      <c r="J1617" s="31">
        <v>3.873433434E9</v>
      </c>
      <c r="K1617" s="31" t="s">
        <v>352</v>
      </c>
      <c r="L1617" s="31" t="s">
        <v>4912</v>
      </c>
      <c r="M1617" s="33">
        <v>1.0</v>
      </c>
      <c r="N1617" s="34"/>
      <c r="O1617" s="34"/>
    </row>
    <row r="1618" hidden="1">
      <c r="A1618" s="85">
        <v>45909.0</v>
      </c>
      <c r="B1618" s="31" t="s">
        <v>4913</v>
      </c>
      <c r="C1618" s="31">
        <v>8.050115503E11</v>
      </c>
      <c r="D1618" s="31" t="s">
        <v>4914</v>
      </c>
      <c r="E1618" s="31" t="s">
        <v>4915</v>
      </c>
      <c r="F1618" s="31" t="s">
        <v>4916</v>
      </c>
      <c r="G1618" s="31" t="s">
        <v>20</v>
      </c>
      <c r="H1618" s="31" t="s">
        <v>20</v>
      </c>
      <c r="I1618" s="31">
        <v>4400.0</v>
      </c>
      <c r="J1618" s="31">
        <v>3.876005089E9</v>
      </c>
      <c r="K1618" s="31" t="s">
        <v>184</v>
      </c>
      <c r="L1618" s="31" t="s">
        <v>4485</v>
      </c>
      <c r="M1618" s="33">
        <v>1.0</v>
      </c>
      <c r="N1618" s="34"/>
      <c r="O1618" s="31" t="s">
        <v>4917</v>
      </c>
    </row>
    <row r="1619" hidden="1">
      <c r="A1619" s="85">
        <v>45909.0</v>
      </c>
      <c r="B1619" s="31" t="s">
        <v>4913</v>
      </c>
      <c r="C1619" s="31">
        <v>8.050115503E11</v>
      </c>
      <c r="D1619" s="31" t="s">
        <v>4914</v>
      </c>
      <c r="E1619" s="31" t="s">
        <v>4915</v>
      </c>
      <c r="F1619" s="31" t="s">
        <v>4916</v>
      </c>
      <c r="G1619" s="31" t="s">
        <v>20</v>
      </c>
      <c r="H1619" s="31" t="s">
        <v>20</v>
      </c>
      <c r="I1619" s="31">
        <v>4400.0</v>
      </c>
      <c r="J1619" s="31">
        <v>3.876005089E9</v>
      </c>
      <c r="K1619" s="31" t="s">
        <v>512</v>
      </c>
      <c r="L1619" s="31" t="s">
        <v>513</v>
      </c>
      <c r="M1619" s="33">
        <v>6.0</v>
      </c>
      <c r="N1619" s="34"/>
      <c r="O1619" s="31" t="s">
        <v>4917</v>
      </c>
    </row>
    <row r="1620" hidden="1">
      <c r="A1620" s="85">
        <v>45909.0</v>
      </c>
      <c r="B1620" s="31" t="s">
        <v>4913</v>
      </c>
      <c r="C1620" s="31">
        <v>8.050115503E11</v>
      </c>
      <c r="D1620" s="31" t="s">
        <v>4914</v>
      </c>
      <c r="E1620" s="31" t="s">
        <v>4915</v>
      </c>
      <c r="F1620" s="31" t="s">
        <v>4916</v>
      </c>
      <c r="G1620" s="31" t="s">
        <v>20</v>
      </c>
      <c r="H1620" s="31" t="s">
        <v>20</v>
      </c>
      <c r="I1620" s="31">
        <v>4400.0</v>
      </c>
      <c r="J1620" s="31">
        <v>3.876005089E9</v>
      </c>
      <c r="K1620" s="31" t="s">
        <v>273</v>
      </c>
      <c r="L1620" s="31" t="s">
        <v>3594</v>
      </c>
      <c r="M1620" s="33">
        <v>1.0</v>
      </c>
      <c r="N1620" s="34"/>
      <c r="O1620" s="31" t="s">
        <v>4917</v>
      </c>
    </row>
    <row r="1621" hidden="1">
      <c r="A1621" s="85">
        <v>45909.0</v>
      </c>
      <c r="B1621" s="31" t="s">
        <v>4918</v>
      </c>
      <c r="C1621" s="31">
        <v>8.05011550402E11</v>
      </c>
      <c r="D1621" s="31" t="s">
        <v>4919</v>
      </c>
      <c r="E1621" s="31" t="s">
        <v>4920</v>
      </c>
      <c r="F1621" s="31" t="s">
        <v>4921</v>
      </c>
      <c r="G1621" s="31" t="s">
        <v>41</v>
      </c>
      <c r="H1621" s="31" t="s">
        <v>20</v>
      </c>
      <c r="I1621" s="31">
        <v>4560.0</v>
      </c>
      <c r="J1621" s="31" t="s">
        <v>4922</v>
      </c>
      <c r="K1621" s="31" t="s">
        <v>4790</v>
      </c>
      <c r="L1621" s="31" t="s">
        <v>4791</v>
      </c>
      <c r="M1621" s="33">
        <v>1.0</v>
      </c>
      <c r="N1621" s="34"/>
      <c r="O1621" s="34"/>
    </row>
    <row r="1622" hidden="1">
      <c r="A1622" s="85">
        <v>45909.0</v>
      </c>
      <c r="B1622" s="31" t="s">
        <v>4923</v>
      </c>
      <c r="C1622" s="31">
        <v>8.07025033061E11</v>
      </c>
      <c r="D1622" s="31" t="s">
        <v>4924</v>
      </c>
      <c r="E1622" s="31" t="s">
        <v>4925</v>
      </c>
      <c r="F1622" s="31" t="s">
        <v>4926</v>
      </c>
      <c r="G1622" s="31" t="s">
        <v>127</v>
      </c>
      <c r="H1622" s="31" t="s">
        <v>20</v>
      </c>
      <c r="I1622" s="31">
        <v>4400.0</v>
      </c>
      <c r="J1622" s="31">
        <v>3.875313102E9</v>
      </c>
      <c r="K1622" s="31" t="s">
        <v>4927</v>
      </c>
      <c r="L1622" s="31" t="s">
        <v>4928</v>
      </c>
      <c r="M1622" s="33">
        <v>1.0</v>
      </c>
      <c r="N1622" s="34"/>
      <c r="O1622" s="34"/>
    </row>
    <row r="1623" hidden="1">
      <c r="A1623" s="85">
        <v>45909.0</v>
      </c>
      <c r="B1623" s="31" t="s">
        <v>4929</v>
      </c>
      <c r="C1623" s="31">
        <v>8.07025033185E11</v>
      </c>
      <c r="D1623" s="31" t="s">
        <v>4930</v>
      </c>
      <c r="E1623" s="31" t="s">
        <v>4931</v>
      </c>
      <c r="F1623" s="31" t="s">
        <v>4932</v>
      </c>
      <c r="G1623" s="31" t="s">
        <v>127</v>
      </c>
      <c r="H1623" s="31" t="s">
        <v>20</v>
      </c>
      <c r="I1623" s="31">
        <v>4400.0</v>
      </c>
      <c r="J1623" s="31">
        <v>3.876334695E9</v>
      </c>
      <c r="K1623" s="31" t="s">
        <v>4220</v>
      </c>
      <c r="L1623" s="31" t="s">
        <v>4221</v>
      </c>
      <c r="M1623" s="33">
        <v>1.0</v>
      </c>
      <c r="N1623" s="34"/>
      <c r="O1623" s="31" t="s">
        <v>3175</v>
      </c>
    </row>
    <row r="1624" hidden="1">
      <c r="A1624" s="85">
        <v>45909.0</v>
      </c>
      <c r="B1624" s="31" t="s">
        <v>4929</v>
      </c>
      <c r="C1624" s="31">
        <v>8.07025033185E11</v>
      </c>
      <c r="D1624" s="31" t="s">
        <v>4930</v>
      </c>
      <c r="E1624" s="31" t="s">
        <v>4931</v>
      </c>
      <c r="F1624" s="31" t="s">
        <v>4932</v>
      </c>
      <c r="G1624" s="31" t="s">
        <v>127</v>
      </c>
      <c r="H1624" s="31" t="s">
        <v>20</v>
      </c>
      <c r="I1624" s="31">
        <v>4400.0</v>
      </c>
      <c r="J1624" s="31">
        <v>3.876334695E9</v>
      </c>
      <c r="K1624" s="31" t="s">
        <v>512</v>
      </c>
      <c r="L1624" s="31" t="s">
        <v>513</v>
      </c>
      <c r="M1624" s="33">
        <v>6.0</v>
      </c>
      <c r="N1624" s="34"/>
      <c r="O1624" s="31" t="s">
        <v>3175</v>
      </c>
    </row>
    <row r="1625" hidden="1">
      <c r="A1625" s="85">
        <v>45909.0</v>
      </c>
      <c r="B1625" s="31" t="s">
        <v>4929</v>
      </c>
      <c r="C1625" s="31">
        <v>8.07025033185E11</v>
      </c>
      <c r="D1625" s="31" t="s">
        <v>4930</v>
      </c>
      <c r="E1625" s="31" t="s">
        <v>4931</v>
      </c>
      <c r="F1625" s="31" t="s">
        <v>4932</v>
      </c>
      <c r="G1625" s="31" t="s">
        <v>127</v>
      </c>
      <c r="H1625" s="31" t="s">
        <v>20</v>
      </c>
      <c r="I1625" s="31">
        <v>4400.0</v>
      </c>
      <c r="J1625" s="31">
        <v>3.876334695E9</v>
      </c>
      <c r="K1625" s="31" t="s">
        <v>969</v>
      </c>
      <c r="L1625" s="31" t="s">
        <v>3296</v>
      </c>
      <c r="M1625" s="33">
        <v>1.0</v>
      </c>
      <c r="N1625" s="34"/>
      <c r="O1625" s="31" t="s">
        <v>3175</v>
      </c>
    </row>
    <row r="1626" hidden="1">
      <c r="A1626" s="85">
        <v>45909.0</v>
      </c>
      <c r="B1626" s="31" t="s">
        <v>4933</v>
      </c>
      <c r="C1626" s="31">
        <v>8.07025033209E11</v>
      </c>
      <c r="D1626" s="31" t="s">
        <v>4934</v>
      </c>
      <c r="E1626" s="31" t="s">
        <v>4935</v>
      </c>
      <c r="F1626" s="31" t="s">
        <v>4936</v>
      </c>
      <c r="G1626" s="31" t="s">
        <v>127</v>
      </c>
      <c r="H1626" s="31" t="s">
        <v>20</v>
      </c>
      <c r="I1626" s="31">
        <v>4400.0</v>
      </c>
      <c r="J1626" s="31">
        <v>3.875334402E9</v>
      </c>
      <c r="K1626" s="31" t="s">
        <v>4250</v>
      </c>
      <c r="L1626" s="31" t="s">
        <v>4251</v>
      </c>
      <c r="M1626" s="33">
        <v>2.0</v>
      </c>
      <c r="N1626" s="34"/>
      <c r="O1626" s="34"/>
    </row>
    <row r="1627" hidden="1">
      <c r="A1627" s="85">
        <v>45909.0</v>
      </c>
      <c r="B1627" s="31" t="s">
        <v>4937</v>
      </c>
      <c r="C1627" s="31">
        <v>8.07025033208E11</v>
      </c>
      <c r="D1627" s="31" t="s">
        <v>4934</v>
      </c>
      <c r="E1627" s="31" t="s">
        <v>4935</v>
      </c>
      <c r="F1627" s="31" t="s">
        <v>4936</v>
      </c>
      <c r="G1627" s="31" t="s">
        <v>127</v>
      </c>
      <c r="H1627" s="31" t="s">
        <v>20</v>
      </c>
      <c r="I1627" s="31">
        <v>4400.0</v>
      </c>
      <c r="J1627" s="31">
        <v>3.875334402E9</v>
      </c>
      <c r="K1627" s="31" t="s">
        <v>4938</v>
      </c>
      <c r="L1627" s="31" t="s">
        <v>4939</v>
      </c>
      <c r="M1627" s="33">
        <v>1.0</v>
      </c>
      <c r="N1627" s="34"/>
      <c r="O1627" s="34"/>
    </row>
    <row r="1628" ht="18.0" hidden="1" customHeight="1">
      <c r="A1628" s="85">
        <v>45909.0</v>
      </c>
      <c r="B1628" s="31" t="s">
        <v>4937</v>
      </c>
      <c r="C1628" s="31">
        <v>8.07025033208E11</v>
      </c>
      <c r="D1628" s="31" t="s">
        <v>4934</v>
      </c>
      <c r="E1628" s="31" t="s">
        <v>4935</v>
      </c>
      <c r="F1628" s="31" t="s">
        <v>4936</v>
      </c>
      <c r="G1628" s="31" t="s">
        <v>127</v>
      </c>
      <c r="H1628" s="31" t="s">
        <v>20</v>
      </c>
      <c r="I1628" s="31">
        <v>4400.0</v>
      </c>
      <c r="J1628" s="31">
        <v>3.875334402E9</v>
      </c>
      <c r="K1628" s="31" t="s">
        <v>3512</v>
      </c>
      <c r="L1628" s="31" t="s">
        <v>3513</v>
      </c>
      <c r="M1628" s="33">
        <v>12.0</v>
      </c>
      <c r="N1628" s="34"/>
      <c r="O1628" s="34"/>
    </row>
    <row r="1629" ht="4.5" hidden="1" customHeight="1">
      <c r="A1629" s="87"/>
      <c r="B1629" s="88"/>
      <c r="C1629" s="88"/>
      <c r="D1629" s="88"/>
      <c r="E1629" s="88"/>
      <c r="F1629" s="88"/>
      <c r="G1629" s="88"/>
      <c r="H1629" s="88"/>
      <c r="I1629" s="88"/>
      <c r="J1629" s="88"/>
      <c r="K1629" s="88"/>
      <c r="L1629" s="88"/>
      <c r="M1629" s="89"/>
      <c r="N1629" s="90"/>
      <c r="O1629" s="90"/>
    </row>
    <row r="1630" hidden="1">
      <c r="A1630" s="85">
        <v>45923.0</v>
      </c>
      <c r="B1630" s="31" t="s">
        <v>4940</v>
      </c>
      <c r="C1630" s="31">
        <v>8.05011551454E11</v>
      </c>
      <c r="D1630" s="31" t="s">
        <v>4941</v>
      </c>
      <c r="E1630" s="31" t="s">
        <v>4942</v>
      </c>
      <c r="F1630" s="31" t="s">
        <v>4943</v>
      </c>
      <c r="G1630" s="31" t="s">
        <v>20</v>
      </c>
      <c r="H1630" s="31" t="s">
        <v>20</v>
      </c>
      <c r="I1630" s="31">
        <v>4400.0</v>
      </c>
      <c r="J1630" s="31">
        <v>3.883295053E9</v>
      </c>
      <c r="K1630" s="31" t="s">
        <v>98</v>
      </c>
      <c r="L1630" s="31" t="s">
        <v>3187</v>
      </c>
      <c r="M1630" s="33">
        <v>1.0</v>
      </c>
      <c r="N1630" s="34"/>
      <c r="O1630" s="34"/>
    </row>
    <row r="1631" hidden="1">
      <c r="A1631" s="85">
        <v>45923.0</v>
      </c>
      <c r="B1631" s="31" t="s">
        <v>4940</v>
      </c>
      <c r="C1631" s="31">
        <v>8.05011551454E11</v>
      </c>
      <c r="D1631" s="31" t="s">
        <v>4941</v>
      </c>
      <c r="E1631" s="31" t="s">
        <v>4942</v>
      </c>
      <c r="F1631" s="31" t="s">
        <v>4943</v>
      </c>
      <c r="G1631" s="31" t="s">
        <v>20</v>
      </c>
      <c r="H1631" s="31" t="s">
        <v>20</v>
      </c>
      <c r="I1631" s="31">
        <v>4400.0</v>
      </c>
      <c r="J1631" s="31">
        <v>3.883295053E9</v>
      </c>
      <c r="K1631" s="31" t="s">
        <v>512</v>
      </c>
      <c r="L1631" s="31" t="s">
        <v>513</v>
      </c>
      <c r="M1631" s="33">
        <v>6.0</v>
      </c>
      <c r="N1631" s="34"/>
      <c r="O1631" s="34"/>
    </row>
    <row r="1632" hidden="1">
      <c r="A1632" s="85">
        <v>45923.0</v>
      </c>
      <c r="B1632" s="31" t="s">
        <v>4940</v>
      </c>
      <c r="C1632" s="31">
        <v>8.05011551454E11</v>
      </c>
      <c r="D1632" s="31" t="s">
        <v>4941</v>
      </c>
      <c r="E1632" s="31" t="s">
        <v>4942</v>
      </c>
      <c r="F1632" s="31" t="s">
        <v>4943</v>
      </c>
      <c r="G1632" s="31" t="s">
        <v>20</v>
      </c>
      <c r="H1632" s="31" t="s">
        <v>20</v>
      </c>
      <c r="I1632" s="31">
        <v>4400.0</v>
      </c>
      <c r="J1632" s="31">
        <v>3.883295053E9</v>
      </c>
      <c r="K1632" s="31" t="s">
        <v>670</v>
      </c>
      <c r="L1632" s="31" t="s">
        <v>3410</v>
      </c>
      <c r="M1632" s="33">
        <v>1.0</v>
      </c>
      <c r="N1632" s="34"/>
      <c r="O1632" s="34"/>
    </row>
    <row r="1633" ht="6.0" hidden="1" customHeight="1">
      <c r="A1633" s="87"/>
      <c r="B1633" s="88"/>
      <c r="C1633" s="88"/>
      <c r="D1633" s="88"/>
      <c r="E1633" s="88"/>
      <c r="F1633" s="88"/>
      <c r="G1633" s="88"/>
      <c r="H1633" s="88"/>
      <c r="I1633" s="88"/>
      <c r="J1633" s="88"/>
      <c r="K1633" s="88"/>
      <c r="L1633" s="88"/>
      <c r="M1633" s="89"/>
      <c r="N1633" s="90"/>
      <c r="O1633" s="90"/>
    </row>
    <row r="1634" hidden="1">
      <c r="A1634" s="85">
        <v>45937.0</v>
      </c>
      <c r="B1634" s="31" t="s">
        <v>4944</v>
      </c>
      <c r="C1634" s="31">
        <v>8.07025033356E11</v>
      </c>
      <c r="D1634" s="31" t="s">
        <v>4945</v>
      </c>
      <c r="E1634" s="31" t="s">
        <v>4946</v>
      </c>
      <c r="F1634" s="31" t="s">
        <v>4947</v>
      </c>
      <c r="G1634" s="31" t="s">
        <v>127</v>
      </c>
      <c r="H1634" s="31" t="s">
        <v>20</v>
      </c>
      <c r="I1634" s="31">
        <v>4400.0</v>
      </c>
      <c r="J1634" s="31">
        <v>3.875742E9</v>
      </c>
      <c r="K1634" s="31" t="s">
        <v>4948</v>
      </c>
      <c r="L1634" s="31" t="s">
        <v>4949</v>
      </c>
      <c r="M1634" s="33">
        <v>1.0</v>
      </c>
      <c r="N1634" s="34"/>
      <c r="O1634" s="31" t="s">
        <v>316</v>
      </c>
    </row>
    <row r="1635" hidden="1">
      <c r="A1635" s="85">
        <v>45937.0</v>
      </c>
      <c r="B1635" s="31" t="s">
        <v>4950</v>
      </c>
      <c r="C1635" s="31">
        <v>8.050115521E11</v>
      </c>
      <c r="D1635" s="31" t="s">
        <v>4951</v>
      </c>
      <c r="E1635" s="31" t="s">
        <v>4952</v>
      </c>
      <c r="F1635" s="31" t="s">
        <v>4953</v>
      </c>
      <c r="G1635" s="31" t="s">
        <v>3047</v>
      </c>
      <c r="H1635" s="31" t="s">
        <v>20</v>
      </c>
      <c r="I1635" s="31">
        <v>4405.0</v>
      </c>
      <c r="J1635" s="31">
        <v>3.875665274E9</v>
      </c>
      <c r="K1635" s="31" t="s">
        <v>3407</v>
      </c>
      <c r="L1635" s="31" t="s">
        <v>3408</v>
      </c>
      <c r="M1635" s="33">
        <v>1.0</v>
      </c>
      <c r="N1635" s="34"/>
      <c r="O1635" s="31" t="s">
        <v>4954</v>
      </c>
    </row>
    <row r="1636" hidden="1">
      <c r="A1636" s="85">
        <v>45937.0</v>
      </c>
      <c r="B1636" s="31" t="s">
        <v>4955</v>
      </c>
      <c r="C1636" s="31">
        <v>8.07025033397E11</v>
      </c>
      <c r="D1636" s="31" t="s">
        <v>4956</v>
      </c>
      <c r="E1636" s="31" t="s">
        <v>4957</v>
      </c>
      <c r="F1636" s="31" t="s">
        <v>4958</v>
      </c>
      <c r="G1636" s="31" t="s">
        <v>127</v>
      </c>
      <c r="H1636" s="31" t="s">
        <v>20</v>
      </c>
      <c r="I1636" s="31">
        <v>4400.0</v>
      </c>
      <c r="J1636" s="31">
        <v>3.874124408E9</v>
      </c>
      <c r="K1636" s="31" t="s">
        <v>35</v>
      </c>
      <c r="L1636" s="31" t="s">
        <v>3188</v>
      </c>
      <c r="M1636" s="33">
        <v>1.0</v>
      </c>
      <c r="N1636" s="34"/>
      <c r="O1636" s="34"/>
    </row>
    <row r="1637" hidden="1">
      <c r="A1637" s="85">
        <v>45937.0</v>
      </c>
      <c r="B1637" s="31" t="s">
        <v>4959</v>
      </c>
      <c r="C1637" s="31">
        <v>8.07025033396E11</v>
      </c>
      <c r="D1637" s="31" t="s">
        <v>4956</v>
      </c>
      <c r="E1637" s="31" t="s">
        <v>4957</v>
      </c>
      <c r="F1637" s="31" t="s">
        <v>4958</v>
      </c>
      <c r="G1637" s="31" t="s">
        <v>127</v>
      </c>
      <c r="H1637" s="31" t="s">
        <v>20</v>
      </c>
      <c r="I1637" s="31">
        <v>4400.0</v>
      </c>
      <c r="J1637" s="31">
        <v>3.874124408E9</v>
      </c>
      <c r="K1637" s="31" t="s">
        <v>32</v>
      </c>
      <c r="L1637" s="31" t="s">
        <v>3225</v>
      </c>
      <c r="M1637" s="33">
        <v>1.0</v>
      </c>
      <c r="N1637" s="34"/>
      <c r="O1637" s="34"/>
    </row>
    <row r="1638" hidden="1">
      <c r="A1638" s="85">
        <v>45937.0</v>
      </c>
      <c r="B1638" s="31" t="s">
        <v>4960</v>
      </c>
      <c r="C1638" s="31">
        <v>8.07025033395E11</v>
      </c>
      <c r="D1638" s="31" t="s">
        <v>4956</v>
      </c>
      <c r="E1638" s="31" t="s">
        <v>4957</v>
      </c>
      <c r="F1638" s="31" t="s">
        <v>4958</v>
      </c>
      <c r="G1638" s="31" t="s">
        <v>127</v>
      </c>
      <c r="H1638" s="31" t="s">
        <v>20</v>
      </c>
      <c r="I1638" s="31">
        <v>4400.0</v>
      </c>
      <c r="J1638" s="31">
        <v>3.874124408E9</v>
      </c>
      <c r="K1638" s="31" t="s">
        <v>512</v>
      </c>
      <c r="L1638" s="31" t="s">
        <v>513</v>
      </c>
      <c r="M1638" s="33">
        <v>6.0</v>
      </c>
      <c r="N1638" s="34"/>
      <c r="O1638" s="34"/>
    </row>
    <row r="1639" hidden="1">
      <c r="A1639" s="85">
        <v>45937.0</v>
      </c>
      <c r="B1639" s="31" t="s">
        <v>4961</v>
      </c>
      <c r="C1639" s="31">
        <v>8.05011552177E11</v>
      </c>
      <c r="D1639" s="31" t="s">
        <v>4962</v>
      </c>
      <c r="E1639" s="31" t="s">
        <v>4963</v>
      </c>
      <c r="F1639" s="31" t="s">
        <v>4964</v>
      </c>
      <c r="G1639" s="31" t="s">
        <v>247</v>
      </c>
      <c r="H1639" s="31" t="s">
        <v>20</v>
      </c>
      <c r="I1639" s="31">
        <v>4400.0</v>
      </c>
      <c r="J1639" s="31">
        <v>3.875851993E9</v>
      </c>
      <c r="K1639" s="31" t="s">
        <v>3979</v>
      </c>
      <c r="L1639" s="31" t="s">
        <v>3980</v>
      </c>
      <c r="M1639" s="33">
        <v>1.0</v>
      </c>
      <c r="N1639" s="34"/>
      <c r="O1639" s="31" t="s">
        <v>4965</v>
      </c>
    </row>
    <row r="1640" hidden="1">
      <c r="A1640" s="85">
        <v>45937.0</v>
      </c>
      <c r="B1640" s="31" t="s">
        <v>4961</v>
      </c>
      <c r="C1640" s="31">
        <v>8.05011552177E11</v>
      </c>
      <c r="D1640" s="31" t="s">
        <v>4962</v>
      </c>
      <c r="E1640" s="31" t="s">
        <v>4963</v>
      </c>
      <c r="F1640" s="31" t="s">
        <v>4964</v>
      </c>
      <c r="G1640" s="31" t="s">
        <v>247</v>
      </c>
      <c r="H1640" s="31" t="s">
        <v>20</v>
      </c>
      <c r="I1640" s="31">
        <v>4400.0</v>
      </c>
      <c r="J1640" s="31">
        <v>3.875851993E9</v>
      </c>
      <c r="K1640" s="31" t="s">
        <v>512</v>
      </c>
      <c r="L1640" s="31" t="s">
        <v>513</v>
      </c>
      <c r="M1640" s="33">
        <v>12.0</v>
      </c>
      <c r="N1640" s="34"/>
      <c r="O1640" s="31" t="s">
        <v>4965</v>
      </c>
    </row>
    <row r="1641" hidden="1">
      <c r="A1641" s="85">
        <v>45937.0</v>
      </c>
      <c r="B1641" s="31" t="s">
        <v>4961</v>
      </c>
      <c r="C1641" s="31">
        <v>8.05011552177E11</v>
      </c>
      <c r="D1641" s="31" t="s">
        <v>4962</v>
      </c>
      <c r="E1641" s="31" t="s">
        <v>4963</v>
      </c>
      <c r="F1641" s="31" t="s">
        <v>4964</v>
      </c>
      <c r="G1641" s="31" t="s">
        <v>247</v>
      </c>
      <c r="H1641" s="31" t="s">
        <v>20</v>
      </c>
      <c r="I1641" s="31">
        <v>4400.0</v>
      </c>
      <c r="J1641" s="31">
        <v>3.875851993E9</v>
      </c>
      <c r="K1641" s="31" t="s">
        <v>758</v>
      </c>
      <c r="L1641" s="31" t="s">
        <v>3574</v>
      </c>
      <c r="M1641" s="33">
        <v>2.0</v>
      </c>
      <c r="N1641" s="34"/>
      <c r="O1641" s="31" t="s">
        <v>4965</v>
      </c>
    </row>
    <row r="1642" ht="6.75" hidden="1" customHeight="1">
      <c r="A1642" s="87"/>
      <c r="B1642" s="88"/>
      <c r="C1642" s="88"/>
      <c r="D1642" s="88"/>
      <c r="E1642" s="88"/>
      <c r="F1642" s="88"/>
      <c r="G1642" s="88"/>
      <c r="H1642" s="88"/>
      <c r="I1642" s="88"/>
      <c r="J1642" s="88"/>
      <c r="K1642" s="88"/>
      <c r="L1642" s="88"/>
      <c r="M1642" s="89"/>
      <c r="N1642" s="90"/>
      <c r="O1642" s="90"/>
    </row>
    <row r="1643" hidden="1">
      <c r="A1643" s="85">
        <v>45944.0</v>
      </c>
      <c r="B1643" s="31" t="s">
        <v>4966</v>
      </c>
      <c r="C1643" s="31">
        <v>8.07025033488E11</v>
      </c>
      <c r="D1643" s="31" t="s">
        <v>4967</v>
      </c>
      <c r="E1643" s="31" t="s">
        <v>4968</v>
      </c>
      <c r="F1643" s="31" t="s">
        <v>4969</v>
      </c>
      <c r="G1643" s="31" t="s">
        <v>127</v>
      </c>
      <c r="H1643" s="31" t="s">
        <v>20</v>
      </c>
      <c r="I1643" s="31">
        <v>4400.0</v>
      </c>
      <c r="J1643" s="31">
        <v>3.8740771E9</v>
      </c>
      <c r="K1643" s="31" t="s">
        <v>4220</v>
      </c>
      <c r="L1643" s="31" t="s">
        <v>4221</v>
      </c>
      <c r="M1643" s="33">
        <v>1.0</v>
      </c>
      <c r="N1643" s="34"/>
      <c r="O1643" s="34"/>
    </row>
    <row r="1644" hidden="1">
      <c r="A1644" s="85">
        <v>45944.0</v>
      </c>
      <c r="B1644" s="31" t="s">
        <v>4970</v>
      </c>
      <c r="C1644" s="31">
        <v>8.07025033503E11</v>
      </c>
      <c r="D1644" s="31" t="s">
        <v>4971</v>
      </c>
      <c r="E1644" s="31" t="s">
        <v>4972</v>
      </c>
      <c r="F1644" s="31" t="s">
        <v>4973</v>
      </c>
      <c r="G1644" s="31" t="s">
        <v>1986</v>
      </c>
      <c r="H1644" s="31" t="s">
        <v>20</v>
      </c>
      <c r="I1644" s="31">
        <v>4403.0</v>
      </c>
      <c r="J1644" s="31">
        <v>3.875872291E9</v>
      </c>
      <c r="K1644" s="31" t="s">
        <v>4974</v>
      </c>
      <c r="L1644" s="31" t="s">
        <v>4975</v>
      </c>
      <c r="M1644" s="33">
        <v>1.0</v>
      </c>
      <c r="N1644" s="34"/>
      <c r="O1644" s="34"/>
    </row>
    <row r="1645" hidden="1">
      <c r="A1645" s="85">
        <v>45944.0</v>
      </c>
      <c r="B1645" s="31" t="s">
        <v>4970</v>
      </c>
      <c r="C1645" s="31">
        <v>8.07025033503E11</v>
      </c>
      <c r="D1645" s="31" t="s">
        <v>4971</v>
      </c>
      <c r="E1645" s="31" t="s">
        <v>4972</v>
      </c>
      <c r="F1645" s="31" t="s">
        <v>4973</v>
      </c>
      <c r="G1645" s="31" t="s">
        <v>1986</v>
      </c>
      <c r="H1645" s="31" t="s">
        <v>20</v>
      </c>
      <c r="I1645" s="31">
        <v>4403.0</v>
      </c>
      <c r="J1645" s="31">
        <v>3.875872291E9</v>
      </c>
      <c r="K1645" s="31" t="s">
        <v>4976</v>
      </c>
      <c r="L1645" s="31" t="s">
        <v>4977</v>
      </c>
      <c r="M1645" s="33">
        <v>1.0</v>
      </c>
      <c r="N1645" s="34"/>
      <c r="O1645" s="34"/>
    </row>
    <row r="1646" hidden="1">
      <c r="A1646" s="85">
        <v>45944.0</v>
      </c>
      <c r="B1646" s="31" t="s">
        <v>4978</v>
      </c>
      <c r="C1646" s="31">
        <v>8.05011553095E11</v>
      </c>
      <c r="D1646" s="31" t="s">
        <v>4979</v>
      </c>
      <c r="E1646" s="31" t="s">
        <v>4980</v>
      </c>
      <c r="F1646" s="31" t="s">
        <v>4981</v>
      </c>
      <c r="G1646" s="31" t="s">
        <v>20</v>
      </c>
      <c r="H1646" s="31" t="s">
        <v>20</v>
      </c>
      <c r="I1646" s="31">
        <v>4400.0</v>
      </c>
      <c r="J1646" s="31">
        <v>3.872192118E9</v>
      </c>
      <c r="K1646" s="31" t="s">
        <v>32</v>
      </c>
      <c r="L1646" s="31" t="s">
        <v>3225</v>
      </c>
      <c r="M1646" s="33">
        <v>1.0</v>
      </c>
      <c r="N1646" s="34"/>
      <c r="O1646" s="31" t="s">
        <v>4982</v>
      </c>
    </row>
    <row r="1647" hidden="1">
      <c r="A1647" s="85">
        <v>45944.0</v>
      </c>
      <c r="B1647" s="31" t="s">
        <v>4978</v>
      </c>
      <c r="C1647" s="31">
        <v>8.05011553095E11</v>
      </c>
      <c r="D1647" s="31" t="s">
        <v>4979</v>
      </c>
      <c r="E1647" s="31" t="s">
        <v>4980</v>
      </c>
      <c r="F1647" s="31" t="s">
        <v>4981</v>
      </c>
      <c r="G1647" s="31" t="s">
        <v>20</v>
      </c>
      <c r="H1647" s="31" t="s">
        <v>20</v>
      </c>
      <c r="I1647" s="31">
        <v>4400.0</v>
      </c>
      <c r="J1647" s="31">
        <v>3.872192118E9</v>
      </c>
      <c r="K1647" s="31" t="s">
        <v>512</v>
      </c>
      <c r="L1647" s="31" t="s">
        <v>513</v>
      </c>
      <c r="M1647" s="33">
        <v>6.0</v>
      </c>
      <c r="N1647" s="34"/>
      <c r="O1647" s="31" t="s">
        <v>4982</v>
      </c>
    </row>
    <row r="1648" hidden="1">
      <c r="A1648" s="85">
        <v>45944.0</v>
      </c>
      <c r="B1648" s="31" t="s">
        <v>4978</v>
      </c>
      <c r="C1648" s="31">
        <v>8.05011553095E11</v>
      </c>
      <c r="D1648" s="31" t="s">
        <v>4979</v>
      </c>
      <c r="E1648" s="31" t="s">
        <v>4980</v>
      </c>
      <c r="F1648" s="31" t="s">
        <v>4981</v>
      </c>
      <c r="G1648" s="31" t="s">
        <v>20</v>
      </c>
      <c r="H1648" s="31" t="s">
        <v>20</v>
      </c>
      <c r="I1648" s="31">
        <v>4400.0</v>
      </c>
      <c r="J1648" s="31">
        <v>3.872192118E9</v>
      </c>
      <c r="K1648" s="31" t="s">
        <v>670</v>
      </c>
      <c r="L1648" s="31" t="s">
        <v>3410</v>
      </c>
      <c r="M1648" s="33">
        <v>1.0</v>
      </c>
      <c r="N1648" s="34"/>
      <c r="O1648" s="31" t="s">
        <v>4982</v>
      </c>
    </row>
    <row r="1649" hidden="1">
      <c r="A1649" s="85">
        <v>45944.0</v>
      </c>
      <c r="B1649" s="31" t="s">
        <v>4983</v>
      </c>
      <c r="C1649" s="31">
        <v>8.05011553105E11</v>
      </c>
      <c r="D1649" s="31" t="s">
        <v>4984</v>
      </c>
      <c r="E1649" s="31" t="s">
        <v>4985</v>
      </c>
      <c r="F1649" s="31" t="s">
        <v>4986</v>
      </c>
      <c r="G1649" s="31" t="s">
        <v>3422</v>
      </c>
      <c r="H1649" s="31" t="s">
        <v>20</v>
      </c>
      <c r="I1649" s="31">
        <v>4448.0</v>
      </c>
      <c r="J1649" s="31">
        <v>3.877500929E9</v>
      </c>
      <c r="K1649" s="31" t="s">
        <v>698</v>
      </c>
      <c r="L1649" s="31" t="s">
        <v>699</v>
      </c>
      <c r="M1649" s="33">
        <v>1.0</v>
      </c>
      <c r="N1649" s="34"/>
      <c r="O1649" s="34"/>
    </row>
    <row r="1650" hidden="1">
      <c r="A1650" s="85">
        <v>45944.0</v>
      </c>
      <c r="B1650" s="31" t="s">
        <v>4987</v>
      </c>
      <c r="C1650" s="31">
        <v>8.05011553104E11</v>
      </c>
      <c r="D1650" s="31" t="s">
        <v>4988</v>
      </c>
      <c r="E1650" s="31" t="s">
        <v>4989</v>
      </c>
      <c r="F1650" s="31" t="s">
        <v>4990</v>
      </c>
      <c r="G1650" s="31" t="s">
        <v>592</v>
      </c>
      <c r="H1650" s="31" t="s">
        <v>20</v>
      </c>
      <c r="I1650" s="31">
        <v>4417.0</v>
      </c>
      <c r="J1650" s="31"/>
      <c r="K1650" s="31" t="s">
        <v>98</v>
      </c>
      <c r="L1650" s="31" t="s">
        <v>3187</v>
      </c>
      <c r="M1650" s="33">
        <v>1.0</v>
      </c>
      <c r="N1650" s="34"/>
      <c r="O1650" s="34"/>
    </row>
    <row r="1651" hidden="1">
      <c r="A1651" s="85">
        <v>45944.0</v>
      </c>
      <c r="B1651" s="31" t="s">
        <v>4987</v>
      </c>
      <c r="C1651" s="31">
        <v>8.05011553104E11</v>
      </c>
      <c r="D1651" s="31" t="s">
        <v>4988</v>
      </c>
      <c r="E1651" s="31" t="s">
        <v>4989</v>
      </c>
      <c r="F1651" s="31" t="s">
        <v>4990</v>
      </c>
      <c r="G1651" s="31" t="s">
        <v>592</v>
      </c>
      <c r="H1651" s="31" t="s">
        <v>20</v>
      </c>
      <c r="I1651" s="31">
        <v>4417.0</v>
      </c>
      <c r="J1651" s="31"/>
      <c r="K1651" s="31" t="s">
        <v>512</v>
      </c>
      <c r="L1651" s="31" t="s">
        <v>513</v>
      </c>
      <c r="M1651" s="33">
        <v>6.0</v>
      </c>
      <c r="N1651" s="34"/>
      <c r="O1651" s="34"/>
    </row>
    <row r="1652" hidden="1">
      <c r="A1652" s="85">
        <v>45944.0</v>
      </c>
      <c r="B1652" s="31" t="s">
        <v>4987</v>
      </c>
      <c r="C1652" s="31">
        <v>8.05011553104E11</v>
      </c>
      <c r="D1652" s="31" t="s">
        <v>4988</v>
      </c>
      <c r="E1652" s="31" t="s">
        <v>4989</v>
      </c>
      <c r="F1652" s="31" t="s">
        <v>4990</v>
      </c>
      <c r="G1652" s="31" t="s">
        <v>592</v>
      </c>
      <c r="H1652" s="31" t="s">
        <v>20</v>
      </c>
      <c r="I1652" s="31">
        <v>4417.0</v>
      </c>
      <c r="J1652" s="31"/>
      <c r="K1652" s="31" t="s">
        <v>670</v>
      </c>
      <c r="L1652" s="31" t="s">
        <v>3410</v>
      </c>
      <c r="M1652" s="33">
        <v>1.0</v>
      </c>
      <c r="N1652" s="34"/>
      <c r="O1652" s="34"/>
    </row>
    <row r="1653" hidden="1">
      <c r="A1653" s="85">
        <v>45944.0</v>
      </c>
      <c r="B1653" s="31" t="s">
        <v>4991</v>
      </c>
      <c r="C1653" s="31">
        <v>8.05011553096E11</v>
      </c>
      <c r="D1653" s="31" t="s">
        <v>4992</v>
      </c>
      <c r="E1653" s="31" t="s">
        <v>4993</v>
      </c>
      <c r="F1653" s="58" t="s">
        <v>4994</v>
      </c>
      <c r="G1653" s="31" t="s">
        <v>20</v>
      </c>
      <c r="H1653" s="31" t="s">
        <v>20</v>
      </c>
      <c r="I1653" s="31">
        <v>4400.0</v>
      </c>
      <c r="J1653" s="31">
        <v>3.875542716E9</v>
      </c>
      <c r="K1653" s="31" t="s">
        <v>761</v>
      </c>
      <c r="L1653" s="31" t="s">
        <v>3761</v>
      </c>
      <c r="M1653" s="33">
        <v>1.0</v>
      </c>
      <c r="N1653" s="34"/>
      <c r="O1653" s="31" t="s">
        <v>4995</v>
      </c>
    </row>
    <row r="1654" hidden="1">
      <c r="A1654" s="85">
        <v>45944.0</v>
      </c>
      <c r="B1654" s="31" t="s">
        <v>4991</v>
      </c>
      <c r="C1654" s="31">
        <v>8.05011553096E11</v>
      </c>
      <c r="D1654" s="31" t="s">
        <v>4992</v>
      </c>
      <c r="E1654" s="31" t="s">
        <v>4993</v>
      </c>
      <c r="F1654" s="58" t="s">
        <v>4994</v>
      </c>
      <c r="G1654" s="31" t="s">
        <v>20</v>
      </c>
      <c r="H1654" s="31" t="s">
        <v>20</v>
      </c>
      <c r="I1654" s="31">
        <v>4400.0</v>
      </c>
      <c r="J1654" s="31">
        <v>3.875542716E9</v>
      </c>
      <c r="K1654" s="31" t="s">
        <v>512</v>
      </c>
      <c r="L1654" s="31" t="s">
        <v>513</v>
      </c>
      <c r="M1654" s="33">
        <v>12.0</v>
      </c>
      <c r="N1654" s="34"/>
      <c r="O1654" s="31" t="s">
        <v>4995</v>
      </c>
    </row>
    <row r="1655" hidden="1">
      <c r="A1655" s="85">
        <v>45944.0</v>
      </c>
      <c r="B1655" s="31" t="s">
        <v>4991</v>
      </c>
      <c r="C1655" s="31">
        <v>8.05011553096E11</v>
      </c>
      <c r="D1655" s="31" t="s">
        <v>4992</v>
      </c>
      <c r="E1655" s="31" t="s">
        <v>4993</v>
      </c>
      <c r="F1655" s="58" t="s">
        <v>4994</v>
      </c>
      <c r="G1655" s="31" t="s">
        <v>20</v>
      </c>
      <c r="H1655" s="31" t="s">
        <v>20</v>
      </c>
      <c r="I1655" s="31">
        <v>4400.0</v>
      </c>
      <c r="J1655" s="31">
        <v>3.875542716E9</v>
      </c>
      <c r="K1655" s="31" t="s">
        <v>758</v>
      </c>
      <c r="L1655" s="31" t="s">
        <v>3574</v>
      </c>
      <c r="M1655" s="33">
        <v>2.0</v>
      </c>
      <c r="N1655" s="34"/>
      <c r="O1655" s="31" t="s">
        <v>4995</v>
      </c>
    </row>
    <row r="1656" hidden="1">
      <c r="A1656" s="85">
        <v>45944.0</v>
      </c>
      <c r="B1656" s="31" t="s">
        <v>4996</v>
      </c>
      <c r="C1656" s="31">
        <v>8.0501155313E11</v>
      </c>
      <c r="D1656" s="31" t="s">
        <v>4997</v>
      </c>
      <c r="E1656" s="31" t="s">
        <v>4998</v>
      </c>
      <c r="F1656" s="31" t="s">
        <v>4999</v>
      </c>
      <c r="G1656" s="31" t="s">
        <v>41</v>
      </c>
      <c r="H1656" s="31" t="s">
        <v>20</v>
      </c>
      <c r="I1656" s="31">
        <v>4560.0</v>
      </c>
      <c r="J1656" s="31">
        <v>3.873595143E9</v>
      </c>
      <c r="K1656" s="31" t="s">
        <v>32</v>
      </c>
      <c r="L1656" s="31" t="s">
        <v>3225</v>
      </c>
      <c r="M1656" s="33">
        <v>1.0</v>
      </c>
      <c r="N1656" s="34"/>
      <c r="O1656" s="31" t="s">
        <v>5000</v>
      </c>
    </row>
    <row r="1657" hidden="1">
      <c r="A1657" s="85">
        <v>45944.0</v>
      </c>
      <c r="B1657" s="31" t="s">
        <v>4996</v>
      </c>
      <c r="C1657" s="31">
        <v>8.0501155313E11</v>
      </c>
      <c r="D1657" s="31" t="s">
        <v>4997</v>
      </c>
      <c r="E1657" s="31" t="s">
        <v>4998</v>
      </c>
      <c r="F1657" s="31" t="s">
        <v>4999</v>
      </c>
      <c r="G1657" s="31" t="s">
        <v>41</v>
      </c>
      <c r="H1657" s="31" t="s">
        <v>20</v>
      </c>
      <c r="I1657" s="31">
        <v>4560.0</v>
      </c>
      <c r="J1657" s="31">
        <v>3.873595143E9</v>
      </c>
      <c r="K1657" s="31" t="s">
        <v>3074</v>
      </c>
      <c r="L1657" s="31" t="s">
        <v>3232</v>
      </c>
      <c r="M1657" s="33">
        <v>1.0</v>
      </c>
      <c r="N1657" s="34"/>
      <c r="O1657" s="31" t="s">
        <v>5000</v>
      </c>
    </row>
    <row r="1658" ht="9.0" hidden="1" customHeight="1">
      <c r="A1658" s="87"/>
      <c r="B1658" s="88"/>
      <c r="C1658" s="88"/>
      <c r="D1658" s="88"/>
      <c r="E1658" s="88"/>
      <c r="F1658" s="88"/>
      <c r="G1658" s="88"/>
      <c r="H1658" s="88"/>
      <c r="I1658" s="88"/>
      <c r="J1658" s="88"/>
      <c r="K1658" s="88"/>
      <c r="L1658" s="88"/>
      <c r="M1658" s="89"/>
      <c r="N1658" s="90"/>
      <c r="O1658" s="90"/>
    </row>
    <row r="1659" hidden="1">
      <c r="A1659" s="85">
        <v>45951.0</v>
      </c>
      <c r="B1659" s="31" t="s">
        <v>5001</v>
      </c>
      <c r="C1659" s="31">
        <v>8.07025033512E11</v>
      </c>
      <c r="D1659" s="31" t="s">
        <v>5002</v>
      </c>
      <c r="E1659" s="31" t="s">
        <v>5003</v>
      </c>
      <c r="F1659" s="31" t="s">
        <v>5004</v>
      </c>
      <c r="G1659" s="31" t="s">
        <v>127</v>
      </c>
      <c r="H1659" s="31" t="s">
        <v>20</v>
      </c>
      <c r="I1659" s="31">
        <v>4400.0</v>
      </c>
      <c r="J1659" s="31">
        <v>3.87484E9</v>
      </c>
      <c r="K1659" s="31" t="s">
        <v>1756</v>
      </c>
      <c r="L1659" s="31" t="s">
        <v>5005</v>
      </c>
      <c r="M1659" s="33">
        <v>1.0</v>
      </c>
      <c r="N1659" s="34"/>
      <c r="O1659" s="34"/>
    </row>
    <row r="1660" hidden="1">
      <c r="A1660" s="85">
        <v>45951.0</v>
      </c>
      <c r="B1660" s="31" t="s">
        <v>5001</v>
      </c>
      <c r="C1660" s="31">
        <v>8.07025033512E11</v>
      </c>
      <c r="D1660" s="31" t="s">
        <v>5002</v>
      </c>
      <c r="E1660" s="31" t="s">
        <v>5003</v>
      </c>
      <c r="F1660" s="31" t="s">
        <v>5004</v>
      </c>
      <c r="G1660" s="31" t="s">
        <v>127</v>
      </c>
      <c r="H1660" s="31" t="s">
        <v>20</v>
      </c>
      <c r="I1660" s="31">
        <v>4400.0</v>
      </c>
      <c r="J1660" s="31">
        <v>3.87484E9</v>
      </c>
      <c r="K1660" s="31" t="s">
        <v>2659</v>
      </c>
      <c r="L1660" s="31" t="s">
        <v>4894</v>
      </c>
      <c r="M1660" s="33">
        <v>1.0</v>
      </c>
      <c r="N1660" s="34"/>
      <c r="O1660" s="34"/>
    </row>
    <row r="1661" ht="8.25" hidden="1" customHeight="1">
      <c r="A1661" s="87"/>
      <c r="B1661" s="88"/>
      <c r="C1661" s="88"/>
      <c r="D1661" s="88"/>
      <c r="E1661" s="88"/>
      <c r="F1661" s="88"/>
      <c r="G1661" s="88"/>
      <c r="H1661" s="88"/>
      <c r="I1661" s="88"/>
      <c r="J1661" s="88"/>
      <c r="K1661" s="88"/>
      <c r="L1661" s="88"/>
      <c r="M1661" s="89"/>
      <c r="N1661" s="90"/>
      <c r="O1661" s="90"/>
    </row>
    <row r="1662" hidden="1">
      <c r="A1662" s="85">
        <v>45958.0</v>
      </c>
      <c r="B1662" s="31" t="s">
        <v>5006</v>
      </c>
      <c r="C1662" s="31">
        <v>8.05011554032E11</v>
      </c>
      <c r="D1662" s="31" t="s">
        <v>5007</v>
      </c>
      <c r="E1662" s="31" t="s">
        <v>5008</v>
      </c>
      <c r="F1662" s="31" t="s">
        <v>5009</v>
      </c>
      <c r="G1662" s="31" t="s">
        <v>20</v>
      </c>
      <c r="H1662" s="31" t="s">
        <v>20</v>
      </c>
      <c r="I1662" s="31">
        <v>4408.0</v>
      </c>
      <c r="J1662" s="31">
        <v>3.874420998E9</v>
      </c>
      <c r="K1662" s="31" t="s">
        <v>5010</v>
      </c>
      <c r="L1662" s="31" t="s">
        <v>5011</v>
      </c>
      <c r="M1662" s="33">
        <v>1.0</v>
      </c>
      <c r="N1662" s="34"/>
      <c r="O1662" s="31" t="s">
        <v>5012</v>
      </c>
    </row>
    <row r="1663" hidden="1">
      <c r="A1663" s="85">
        <v>45958.0</v>
      </c>
      <c r="B1663" s="31" t="s">
        <v>5013</v>
      </c>
      <c r="C1663" s="31">
        <v>8.05011554067E11</v>
      </c>
      <c r="D1663" s="31" t="s">
        <v>3020</v>
      </c>
      <c r="E1663" s="31" t="s">
        <v>3021</v>
      </c>
      <c r="F1663" s="31" t="s">
        <v>5014</v>
      </c>
      <c r="G1663" s="31" t="s">
        <v>3023</v>
      </c>
      <c r="H1663" s="31" t="s">
        <v>20</v>
      </c>
      <c r="I1663" s="31">
        <v>4401.0</v>
      </c>
      <c r="J1663" s="31">
        <v>3.875332838E9</v>
      </c>
      <c r="K1663" s="31" t="s">
        <v>184</v>
      </c>
      <c r="L1663" s="31" t="s">
        <v>4485</v>
      </c>
      <c r="M1663" s="33">
        <v>1.0</v>
      </c>
      <c r="N1663" s="34"/>
      <c r="O1663" s="34"/>
    </row>
    <row r="1664" hidden="1">
      <c r="A1664" s="85">
        <v>45958.0</v>
      </c>
      <c r="B1664" s="31" t="s">
        <v>5013</v>
      </c>
      <c r="C1664" s="31">
        <v>8.05011554067E11</v>
      </c>
      <c r="D1664" s="31" t="s">
        <v>3020</v>
      </c>
      <c r="E1664" s="31" t="s">
        <v>3021</v>
      </c>
      <c r="F1664" s="31" t="s">
        <v>5014</v>
      </c>
      <c r="G1664" s="31" t="s">
        <v>3023</v>
      </c>
      <c r="H1664" s="31" t="s">
        <v>20</v>
      </c>
      <c r="I1664" s="31">
        <v>4401.0</v>
      </c>
      <c r="J1664" s="31">
        <v>3.875332838E9</v>
      </c>
      <c r="K1664" s="31" t="s">
        <v>512</v>
      </c>
      <c r="L1664" s="31" t="s">
        <v>513</v>
      </c>
      <c r="M1664" s="33">
        <v>6.0</v>
      </c>
      <c r="N1664" s="34"/>
      <c r="O1664" s="34"/>
    </row>
    <row r="1665" hidden="1">
      <c r="A1665" s="85">
        <v>45958.0</v>
      </c>
      <c r="B1665" s="31" t="s">
        <v>5013</v>
      </c>
      <c r="C1665" s="31">
        <v>8.05011554067E11</v>
      </c>
      <c r="D1665" s="31" t="s">
        <v>3020</v>
      </c>
      <c r="E1665" s="31" t="s">
        <v>3021</v>
      </c>
      <c r="F1665" s="31" t="s">
        <v>5014</v>
      </c>
      <c r="G1665" s="31" t="s">
        <v>3023</v>
      </c>
      <c r="H1665" s="31" t="s">
        <v>20</v>
      </c>
      <c r="I1665" s="31">
        <v>4401.0</v>
      </c>
      <c r="J1665" s="31">
        <v>3.875332838E9</v>
      </c>
      <c r="K1665" s="31" t="s">
        <v>273</v>
      </c>
      <c r="L1665" s="31" t="s">
        <v>3594</v>
      </c>
      <c r="M1665" s="33">
        <v>1.0</v>
      </c>
      <c r="N1665" s="34"/>
      <c r="O1665" s="34"/>
    </row>
    <row r="1666" hidden="1">
      <c r="A1666" s="85">
        <v>45958.0</v>
      </c>
      <c r="B1666" s="31" t="s">
        <v>5015</v>
      </c>
      <c r="C1666" s="31">
        <v>8.05011554106E11</v>
      </c>
      <c r="D1666" s="31" t="s">
        <v>5016</v>
      </c>
      <c r="E1666" s="31" t="s">
        <v>5017</v>
      </c>
      <c r="F1666" s="31" t="s">
        <v>5018</v>
      </c>
      <c r="G1666" s="31" t="s">
        <v>5019</v>
      </c>
      <c r="H1666" s="31" t="s">
        <v>20</v>
      </c>
      <c r="I1666" s="31">
        <v>4400.0</v>
      </c>
      <c r="J1666" s="31">
        <v>3.875034806E9</v>
      </c>
      <c r="K1666" s="31" t="s">
        <v>60</v>
      </c>
      <c r="L1666" s="31" t="s">
        <v>3706</v>
      </c>
      <c r="M1666" s="33">
        <v>1.0</v>
      </c>
      <c r="N1666" s="34"/>
      <c r="O1666" s="34"/>
    </row>
    <row r="1667" hidden="1">
      <c r="A1667" s="85">
        <v>45958.0</v>
      </c>
      <c r="B1667" s="31" t="s">
        <v>5015</v>
      </c>
      <c r="C1667" s="31">
        <v>8.05011554106E11</v>
      </c>
      <c r="D1667" s="31" t="s">
        <v>5016</v>
      </c>
      <c r="E1667" s="31" t="s">
        <v>5017</v>
      </c>
      <c r="F1667" s="31" t="s">
        <v>5018</v>
      </c>
      <c r="G1667" s="31" t="s">
        <v>5019</v>
      </c>
      <c r="H1667" s="31" t="s">
        <v>20</v>
      </c>
      <c r="I1667" s="31">
        <v>4400.0</v>
      </c>
      <c r="J1667" s="31">
        <v>3.875034806E9</v>
      </c>
      <c r="K1667" s="31" t="s">
        <v>512</v>
      </c>
      <c r="L1667" s="31" t="s">
        <v>513</v>
      </c>
      <c r="M1667" s="33">
        <v>6.0</v>
      </c>
      <c r="N1667" s="34"/>
      <c r="O1667" s="34"/>
    </row>
    <row r="1668" hidden="1">
      <c r="A1668" s="85">
        <v>45958.0</v>
      </c>
      <c r="B1668" s="31" t="s">
        <v>5015</v>
      </c>
      <c r="C1668" s="31">
        <v>8.05011554106E11</v>
      </c>
      <c r="D1668" s="31" t="s">
        <v>5016</v>
      </c>
      <c r="E1668" s="31" t="s">
        <v>5017</v>
      </c>
      <c r="F1668" s="31" t="s">
        <v>5018</v>
      </c>
      <c r="G1668" s="31" t="s">
        <v>5019</v>
      </c>
      <c r="H1668" s="31" t="s">
        <v>20</v>
      </c>
      <c r="I1668" s="31">
        <v>4400.0</v>
      </c>
      <c r="J1668" s="31">
        <v>3.875034806E9</v>
      </c>
      <c r="K1668" s="31" t="s">
        <v>64</v>
      </c>
      <c r="L1668" s="31" t="s">
        <v>3708</v>
      </c>
      <c r="M1668" s="33">
        <v>1.0</v>
      </c>
      <c r="N1668" s="34"/>
      <c r="O1668" s="34"/>
    </row>
    <row r="1669" hidden="1">
      <c r="A1669" s="85">
        <v>45958.0</v>
      </c>
      <c r="B1669" s="31" t="s">
        <v>5020</v>
      </c>
      <c r="C1669" s="31">
        <v>8.05011554097E11</v>
      </c>
      <c r="D1669" s="31" t="s">
        <v>5016</v>
      </c>
      <c r="E1669" s="31" t="s">
        <v>5017</v>
      </c>
      <c r="F1669" s="31" t="s">
        <v>5021</v>
      </c>
      <c r="G1669" s="31" t="s">
        <v>5019</v>
      </c>
      <c r="H1669" s="31" t="s">
        <v>20</v>
      </c>
      <c r="I1669" s="31">
        <v>4400.0</v>
      </c>
      <c r="J1669" s="31">
        <v>3.875034806E9</v>
      </c>
      <c r="K1669" s="31" t="s">
        <v>60</v>
      </c>
      <c r="L1669" s="31" t="s">
        <v>3706</v>
      </c>
      <c r="M1669" s="33">
        <v>1.0</v>
      </c>
      <c r="N1669" s="34"/>
      <c r="O1669" s="34"/>
    </row>
    <row r="1670" hidden="1">
      <c r="A1670" s="85">
        <v>45958.0</v>
      </c>
      <c r="B1670" s="31" t="s">
        <v>5020</v>
      </c>
      <c r="C1670" s="31">
        <v>8.05011554097E11</v>
      </c>
      <c r="D1670" s="31" t="s">
        <v>5016</v>
      </c>
      <c r="E1670" s="31" t="s">
        <v>5017</v>
      </c>
      <c r="F1670" s="31" t="s">
        <v>5021</v>
      </c>
      <c r="G1670" s="31" t="s">
        <v>5019</v>
      </c>
      <c r="H1670" s="31" t="s">
        <v>20</v>
      </c>
      <c r="I1670" s="31">
        <v>4400.0</v>
      </c>
      <c r="J1670" s="31">
        <v>3.875034806E9</v>
      </c>
      <c r="K1670" s="31" t="s">
        <v>512</v>
      </c>
      <c r="L1670" s="31" t="s">
        <v>513</v>
      </c>
      <c r="M1670" s="33">
        <v>6.0</v>
      </c>
      <c r="N1670" s="34"/>
      <c r="O1670" s="34"/>
    </row>
    <row r="1671" hidden="1">
      <c r="A1671" s="85">
        <v>45958.0</v>
      </c>
      <c r="B1671" s="31" t="s">
        <v>5020</v>
      </c>
      <c r="C1671" s="31">
        <v>8.05011554097E11</v>
      </c>
      <c r="D1671" s="31" t="s">
        <v>5016</v>
      </c>
      <c r="E1671" s="31" t="s">
        <v>5017</v>
      </c>
      <c r="F1671" s="31" t="s">
        <v>5021</v>
      </c>
      <c r="G1671" s="31" t="s">
        <v>5019</v>
      </c>
      <c r="H1671" s="31" t="s">
        <v>20</v>
      </c>
      <c r="I1671" s="31">
        <v>4400.0</v>
      </c>
      <c r="J1671" s="31">
        <v>3.875034806E9</v>
      </c>
      <c r="K1671" s="31" t="s">
        <v>64</v>
      </c>
      <c r="L1671" s="31" t="s">
        <v>3708</v>
      </c>
      <c r="M1671" s="33">
        <v>1.0</v>
      </c>
      <c r="N1671" s="34"/>
      <c r="O1671" s="34"/>
    </row>
    <row r="1672" ht="9.0" hidden="1" customHeight="1">
      <c r="A1672" s="87"/>
      <c r="B1672" s="88"/>
      <c r="C1672" s="88"/>
      <c r="D1672" s="88"/>
      <c r="E1672" s="88"/>
      <c r="F1672" s="88"/>
      <c r="G1672" s="88"/>
      <c r="H1672" s="88"/>
      <c r="I1672" s="88"/>
      <c r="J1672" s="88"/>
      <c r="K1672" s="88"/>
      <c r="L1672" s="88"/>
      <c r="M1672" s="89"/>
      <c r="N1672" s="90"/>
      <c r="O1672" s="90"/>
    </row>
    <row r="1673" hidden="1">
      <c r="A1673" s="85">
        <v>45965.0</v>
      </c>
      <c r="B1673" s="31" t="s">
        <v>5022</v>
      </c>
      <c r="C1673" s="31">
        <v>8.05011553832E11</v>
      </c>
      <c r="D1673" s="31" t="s">
        <v>5023</v>
      </c>
      <c r="E1673" s="31" t="s">
        <v>5024</v>
      </c>
      <c r="F1673" s="31" t="s">
        <v>5025</v>
      </c>
      <c r="G1673" s="54" t="s">
        <v>20</v>
      </c>
      <c r="H1673" s="31" t="s">
        <v>20</v>
      </c>
      <c r="I1673" s="31" t="s">
        <v>4086</v>
      </c>
      <c r="J1673" s="31">
        <v>3.874034128E9</v>
      </c>
      <c r="K1673" s="31" t="s">
        <v>2779</v>
      </c>
      <c r="L1673" s="31" t="s">
        <v>5026</v>
      </c>
      <c r="M1673" s="33">
        <v>1.0</v>
      </c>
      <c r="N1673" s="34"/>
      <c r="O1673" s="31" t="s">
        <v>5027</v>
      </c>
    </row>
    <row r="1674" hidden="1">
      <c r="A1674" s="85">
        <v>45965.0</v>
      </c>
      <c r="B1674" s="31" t="s">
        <v>5022</v>
      </c>
      <c r="C1674" s="31">
        <v>8.05011553832E11</v>
      </c>
      <c r="D1674" s="31" t="s">
        <v>5023</v>
      </c>
      <c r="E1674" s="31" t="s">
        <v>5024</v>
      </c>
      <c r="F1674" s="31" t="s">
        <v>5025</v>
      </c>
      <c r="G1674" s="31" t="s">
        <v>20</v>
      </c>
      <c r="H1674" s="31" t="s">
        <v>20</v>
      </c>
      <c r="I1674" s="31" t="s">
        <v>4086</v>
      </c>
      <c r="J1674" s="31">
        <v>3.874034128E9</v>
      </c>
      <c r="K1674" s="31" t="s">
        <v>512</v>
      </c>
      <c r="L1674" s="31" t="s">
        <v>513</v>
      </c>
      <c r="M1674" s="33">
        <v>6.0</v>
      </c>
      <c r="N1674" s="34"/>
      <c r="O1674" s="31" t="s">
        <v>5027</v>
      </c>
    </row>
    <row r="1675" hidden="1">
      <c r="A1675" s="85">
        <v>45965.0</v>
      </c>
      <c r="B1675" s="31" t="s">
        <v>5022</v>
      </c>
      <c r="C1675" s="31">
        <v>8.05011553832E11</v>
      </c>
      <c r="D1675" s="31" t="s">
        <v>5023</v>
      </c>
      <c r="E1675" s="31" t="s">
        <v>5024</v>
      </c>
      <c r="F1675" s="31" t="s">
        <v>5025</v>
      </c>
      <c r="G1675" s="31" t="s">
        <v>20</v>
      </c>
      <c r="H1675" s="31" t="s">
        <v>20</v>
      </c>
      <c r="I1675" s="31" t="s">
        <v>4086</v>
      </c>
      <c r="J1675" s="31">
        <v>3.874034128E9</v>
      </c>
      <c r="K1675" s="31" t="s">
        <v>5028</v>
      </c>
      <c r="L1675" s="31" t="s">
        <v>5029</v>
      </c>
      <c r="M1675" s="33">
        <v>1.0</v>
      </c>
      <c r="N1675" s="34"/>
      <c r="O1675" s="31" t="s">
        <v>5027</v>
      </c>
    </row>
    <row r="1676" ht="16.5" hidden="1" customHeight="1">
      <c r="A1676" s="85">
        <v>45965.0</v>
      </c>
      <c r="B1676" s="31" t="s">
        <v>5030</v>
      </c>
      <c r="C1676" s="31">
        <v>8.05011555E11</v>
      </c>
      <c r="D1676" s="31" t="s">
        <v>5031</v>
      </c>
      <c r="E1676" s="31" t="s">
        <v>5032</v>
      </c>
      <c r="F1676" s="31" t="s">
        <v>5033</v>
      </c>
      <c r="G1676" s="31" t="s">
        <v>41</v>
      </c>
      <c r="H1676" s="31" t="s">
        <v>20</v>
      </c>
      <c r="I1676" s="31">
        <v>4560.0</v>
      </c>
      <c r="J1676" s="31">
        <v>3.873683339E9</v>
      </c>
      <c r="K1676" s="31" t="s">
        <v>5034</v>
      </c>
      <c r="L1676" s="31" t="s">
        <v>5035</v>
      </c>
      <c r="M1676" s="31">
        <v>1.0</v>
      </c>
      <c r="N1676" s="31"/>
      <c r="O1676" s="31"/>
    </row>
    <row r="1677" hidden="1">
      <c r="A1677" s="85">
        <v>45965.0</v>
      </c>
      <c r="B1677" s="31" t="s">
        <v>5036</v>
      </c>
      <c r="C1677" s="31">
        <v>8.06015096008E11</v>
      </c>
      <c r="D1677" s="31" t="s">
        <v>5037</v>
      </c>
      <c r="E1677" s="31" t="s">
        <v>5038</v>
      </c>
      <c r="F1677" s="31" t="s">
        <v>5039</v>
      </c>
      <c r="G1677" s="31" t="s">
        <v>3786</v>
      </c>
      <c r="H1677" s="31" t="s">
        <v>20</v>
      </c>
      <c r="I1677" s="31">
        <v>4533.0</v>
      </c>
      <c r="J1677" s="31">
        <v>3.87831942E9</v>
      </c>
      <c r="K1677" s="31" t="s">
        <v>2397</v>
      </c>
      <c r="L1677" s="31" t="s">
        <v>5040</v>
      </c>
      <c r="M1677" s="33">
        <v>1.0</v>
      </c>
      <c r="N1677" s="34"/>
      <c r="O1677" s="31" t="s">
        <v>5041</v>
      </c>
    </row>
    <row r="1678" hidden="1">
      <c r="A1678" s="85">
        <v>45965.0</v>
      </c>
      <c r="B1678" s="31" t="s">
        <v>5042</v>
      </c>
      <c r="C1678" s="31">
        <v>8.05011555135E11</v>
      </c>
      <c r="D1678" s="31" t="s">
        <v>5043</v>
      </c>
      <c r="E1678" s="31" t="s">
        <v>5044</v>
      </c>
      <c r="F1678" s="31" t="s">
        <v>5045</v>
      </c>
      <c r="G1678" s="31" t="s">
        <v>5046</v>
      </c>
      <c r="H1678" s="31" t="s">
        <v>20</v>
      </c>
      <c r="I1678" s="31">
        <v>4530.0</v>
      </c>
      <c r="J1678" s="31">
        <v>3.8371540736E11</v>
      </c>
      <c r="K1678" s="31" t="s">
        <v>761</v>
      </c>
      <c r="L1678" s="31" t="s">
        <v>3761</v>
      </c>
      <c r="M1678" s="33">
        <v>1.0</v>
      </c>
      <c r="N1678" s="34"/>
      <c r="O1678" s="34"/>
    </row>
    <row r="1679" hidden="1">
      <c r="A1679" s="85">
        <v>45965.0</v>
      </c>
      <c r="B1679" s="31" t="s">
        <v>5042</v>
      </c>
      <c r="C1679" s="31">
        <v>8.05011555135E11</v>
      </c>
      <c r="D1679" s="31" t="s">
        <v>5043</v>
      </c>
      <c r="E1679" s="31" t="s">
        <v>5044</v>
      </c>
      <c r="F1679" s="31" t="s">
        <v>5045</v>
      </c>
      <c r="G1679" s="31" t="s">
        <v>5046</v>
      </c>
      <c r="H1679" s="31" t="s">
        <v>20</v>
      </c>
      <c r="I1679" s="31">
        <v>4530.0</v>
      </c>
      <c r="J1679" s="31">
        <v>3.8371540736E11</v>
      </c>
      <c r="K1679" s="31" t="s">
        <v>512</v>
      </c>
      <c r="L1679" s="31" t="s">
        <v>513</v>
      </c>
      <c r="M1679" s="33">
        <v>12.0</v>
      </c>
      <c r="N1679" s="34"/>
      <c r="O1679" s="34"/>
    </row>
    <row r="1680" hidden="1">
      <c r="A1680" s="85">
        <v>45965.0</v>
      </c>
      <c r="B1680" s="31" t="s">
        <v>5042</v>
      </c>
      <c r="C1680" s="31">
        <v>8.05011555135E11</v>
      </c>
      <c r="D1680" s="31" t="s">
        <v>5043</v>
      </c>
      <c r="E1680" s="31" t="s">
        <v>5044</v>
      </c>
      <c r="F1680" s="31" t="s">
        <v>5045</v>
      </c>
      <c r="G1680" s="31" t="s">
        <v>5046</v>
      </c>
      <c r="H1680" s="31" t="s">
        <v>20</v>
      </c>
      <c r="I1680" s="31">
        <v>4530.0</v>
      </c>
      <c r="J1680" s="31">
        <v>3.8371540736E11</v>
      </c>
      <c r="K1680" s="31" t="s">
        <v>758</v>
      </c>
      <c r="L1680" s="31" t="s">
        <v>3574</v>
      </c>
      <c r="M1680" s="33">
        <v>2.0</v>
      </c>
      <c r="N1680" s="34"/>
      <c r="O1680" s="34"/>
    </row>
    <row r="1681" hidden="1">
      <c r="A1681" s="85">
        <v>45965.0</v>
      </c>
      <c r="B1681" s="31" t="s">
        <v>5047</v>
      </c>
      <c r="C1681" s="31">
        <v>8.05011555257E11</v>
      </c>
      <c r="D1681" s="31" t="s">
        <v>5048</v>
      </c>
      <c r="E1681" s="31" t="s">
        <v>5049</v>
      </c>
      <c r="F1681" s="31" t="s">
        <v>5050</v>
      </c>
      <c r="G1681" s="31" t="s">
        <v>20</v>
      </c>
      <c r="H1681" s="31" t="s">
        <v>20</v>
      </c>
      <c r="I1681" s="31">
        <v>4400.0</v>
      </c>
      <c r="J1681" s="31">
        <v>3.875788561E9</v>
      </c>
      <c r="K1681" s="31" t="s">
        <v>32</v>
      </c>
      <c r="L1681" s="31" t="s">
        <v>3225</v>
      </c>
      <c r="M1681" s="33">
        <v>1.0</v>
      </c>
      <c r="N1681" s="34"/>
      <c r="O1681" s="34"/>
    </row>
    <row r="1682" hidden="1">
      <c r="A1682" s="85">
        <v>45965.0</v>
      </c>
      <c r="B1682" s="31" t="s">
        <v>5047</v>
      </c>
      <c r="C1682" s="31">
        <v>8.05011555257E11</v>
      </c>
      <c r="D1682" s="31" t="s">
        <v>5048</v>
      </c>
      <c r="E1682" s="31" t="s">
        <v>5049</v>
      </c>
      <c r="F1682" s="31" t="s">
        <v>5050</v>
      </c>
      <c r="G1682" s="31" t="s">
        <v>20</v>
      </c>
      <c r="H1682" s="31" t="s">
        <v>20</v>
      </c>
      <c r="I1682" s="31">
        <v>4400.0</v>
      </c>
      <c r="J1682" s="31">
        <v>3.875788561E9</v>
      </c>
      <c r="K1682" s="31" t="s">
        <v>512</v>
      </c>
      <c r="L1682" s="31" t="s">
        <v>513</v>
      </c>
      <c r="M1682" s="33">
        <v>6.0</v>
      </c>
      <c r="N1682" s="34"/>
      <c r="O1682" s="34"/>
    </row>
    <row r="1683" hidden="1">
      <c r="A1683" s="85">
        <v>45965.0</v>
      </c>
      <c r="B1683" s="31" t="s">
        <v>5047</v>
      </c>
      <c r="C1683" s="31">
        <v>8.05011555257E11</v>
      </c>
      <c r="D1683" s="31" t="s">
        <v>5048</v>
      </c>
      <c r="E1683" s="31" t="s">
        <v>5049</v>
      </c>
      <c r="F1683" s="31" t="s">
        <v>5050</v>
      </c>
      <c r="G1683" s="31" t="s">
        <v>20</v>
      </c>
      <c r="H1683" s="31" t="s">
        <v>20</v>
      </c>
      <c r="I1683" s="31">
        <v>4400.0</v>
      </c>
      <c r="J1683" s="31">
        <v>3.875788561E9</v>
      </c>
      <c r="K1683" s="31" t="s">
        <v>670</v>
      </c>
      <c r="L1683" s="31" t="s">
        <v>3410</v>
      </c>
      <c r="M1683" s="33">
        <v>1.0</v>
      </c>
      <c r="N1683" s="34"/>
      <c r="O1683" s="34"/>
    </row>
    <row r="1684" hidden="1">
      <c r="A1684" s="85">
        <v>45965.0</v>
      </c>
      <c r="B1684" s="31" t="s">
        <v>5051</v>
      </c>
      <c r="C1684" s="31">
        <v>8.05011555421E11</v>
      </c>
      <c r="D1684" s="31" t="s">
        <v>5052</v>
      </c>
      <c r="E1684" s="31" t="s">
        <v>5053</v>
      </c>
      <c r="F1684" s="31" t="s">
        <v>5054</v>
      </c>
      <c r="G1684" s="31" t="s">
        <v>20</v>
      </c>
      <c r="H1684" s="31" t="s">
        <v>20</v>
      </c>
      <c r="I1684" s="31">
        <v>4400.0</v>
      </c>
      <c r="J1684" s="31">
        <v>3.875894571E9</v>
      </c>
      <c r="K1684" s="31" t="s">
        <v>98</v>
      </c>
      <c r="L1684" s="31" t="s">
        <v>3187</v>
      </c>
      <c r="M1684" s="33">
        <v>1.0</v>
      </c>
      <c r="N1684" s="34"/>
      <c r="O1684" s="34"/>
    </row>
    <row r="1685" hidden="1">
      <c r="A1685" s="85">
        <v>45965.0</v>
      </c>
      <c r="B1685" s="31" t="s">
        <v>5051</v>
      </c>
      <c r="C1685" s="31">
        <v>8.05011555421E11</v>
      </c>
      <c r="D1685" s="31" t="s">
        <v>5052</v>
      </c>
      <c r="E1685" s="31" t="s">
        <v>5053</v>
      </c>
      <c r="F1685" s="31" t="s">
        <v>5054</v>
      </c>
      <c r="G1685" s="31" t="s">
        <v>20</v>
      </c>
      <c r="H1685" s="31" t="s">
        <v>20</v>
      </c>
      <c r="I1685" s="31">
        <v>4400.0</v>
      </c>
      <c r="J1685" s="31">
        <v>3.875894571E9</v>
      </c>
      <c r="K1685" s="31" t="s">
        <v>512</v>
      </c>
      <c r="L1685" s="31" t="s">
        <v>513</v>
      </c>
      <c r="M1685" s="33">
        <v>6.0</v>
      </c>
      <c r="N1685" s="34"/>
      <c r="O1685" s="34"/>
    </row>
    <row r="1686" hidden="1">
      <c r="A1686" s="85">
        <v>45965.0</v>
      </c>
      <c r="B1686" s="31" t="s">
        <v>5051</v>
      </c>
      <c r="C1686" s="31">
        <v>8.05011555421E11</v>
      </c>
      <c r="D1686" s="31" t="s">
        <v>5052</v>
      </c>
      <c r="E1686" s="31" t="s">
        <v>5053</v>
      </c>
      <c r="F1686" s="31" t="s">
        <v>5054</v>
      </c>
      <c r="G1686" s="31" t="s">
        <v>20</v>
      </c>
      <c r="H1686" s="31" t="s">
        <v>20</v>
      </c>
      <c r="I1686" s="31">
        <v>4400.0</v>
      </c>
      <c r="J1686" s="31">
        <v>3.875894571E9</v>
      </c>
      <c r="K1686" s="31" t="s">
        <v>670</v>
      </c>
      <c r="L1686" s="31" t="s">
        <v>3410</v>
      </c>
      <c r="M1686" s="33">
        <v>1.0</v>
      </c>
      <c r="N1686" s="34"/>
      <c r="O1686" s="34"/>
    </row>
    <row r="1687" hidden="1">
      <c r="A1687" s="85">
        <v>45965.0</v>
      </c>
      <c r="B1687" s="31" t="s">
        <v>5055</v>
      </c>
      <c r="C1687" s="31">
        <v>8.05011555055E11</v>
      </c>
      <c r="D1687" s="31" t="s">
        <v>4984</v>
      </c>
      <c r="E1687" s="31" t="s">
        <v>4985</v>
      </c>
      <c r="F1687" s="31" t="s">
        <v>4986</v>
      </c>
      <c r="G1687" s="31" t="s">
        <v>3422</v>
      </c>
      <c r="H1687" s="31" t="s">
        <v>20</v>
      </c>
      <c r="I1687" s="31">
        <v>4448.0</v>
      </c>
      <c r="J1687" s="31">
        <v>3.877500929E9</v>
      </c>
      <c r="K1687" s="31" t="s">
        <v>289</v>
      </c>
      <c r="L1687" s="31" t="s">
        <v>290</v>
      </c>
      <c r="M1687" s="33">
        <v>1.0</v>
      </c>
      <c r="N1687" s="34"/>
      <c r="O1687" s="34"/>
    </row>
    <row r="1688" hidden="1">
      <c r="A1688" s="85">
        <v>45965.0</v>
      </c>
      <c r="B1688" s="31" t="s">
        <v>5056</v>
      </c>
      <c r="C1688" s="31">
        <v>8.05011555401E11</v>
      </c>
      <c r="D1688" s="31" t="s">
        <v>5057</v>
      </c>
      <c r="E1688" s="31" t="s">
        <v>5058</v>
      </c>
      <c r="F1688" s="31" t="s">
        <v>5059</v>
      </c>
      <c r="G1688" s="31" t="s">
        <v>20</v>
      </c>
      <c r="H1688" s="31" t="s">
        <v>20</v>
      </c>
      <c r="I1688" s="31">
        <v>4400.0</v>
      </c>
      <c r="J1688" s="31">
        <v>3.874810165E9</v>
      </c>
      <c r="K1688" s="31" t="s">
        <v>2171</v>
      </c>
      <c r="L1688" s="31" t="s">
        <v>3446</v>
      </c>
      <c r="M1688" s="33">
        <v>1.0</v>
      </c>
      <c r="N1688" s="34"/>
      <c r="O1688" s="31" t="s">
        <v>5060</v>
      </c>
    </row>
    <row r="1689" hidden="1">
      <c r="A1689" s="85">
        <v>45965.0</v>
      </c>
      <c r="B1689" s="31" t="s">
        <v>5056</v>
      </c>
      <c r="C1689" s="31">
        <v>8.05011555401E11</v>
      </c>
      <c r="D1689" s="31" t="s">
        <v>5057</v>
      </c>
      <c r="E1689" s="31" t="s">
        <v>5058</v>
      </c>
      <c r="F1689" s="31" t="s">
        <v>5059</v>
      </c>
      <c r="G1689" s="31" t="s">
        <v>20</v>
      </c>
      <c r="H1689" s="31" t="s">
        <v>20</v>
      </c>
      <c r="I1689" s="31">
        <v>4400.0</v>
      </c>
      <c r="J1689" s="31">
        <v>3.874810165E9</v>
      </c>
      <c r="K1689" s="31" t="s">
        <v>512</v>
      </c>
      <c r="L1689" s="31" t="s">
        <v>513</v>
      </c>
      <c r="M1689" s="33">
        <v>6.0</v>
      </c>
      <c r="N1689" s="34"/>
      <c r="O1689" s="31" t="s">
        <v>5060</v>
      </c>
    </row>
    <row r="1690" hidden="1">
      <c r="A1690" s="85">
        <v>45965.0</v>
      </c>
      <c r="B1690" s="31" t="s">
        <v>5056</v>
      </c>
      <c r="C1690" s="31">
        <v>8.05011555401E11</v>
      </c>
      <c r="D1690" s="31" t="s">
        <v>5057</v>
      </c>
      <c r="E1690" s="31" t="s">
        <v>5058</v>
      </c>
      <c r="F1690" s="31" t="s">
        <v>5059</v>
      </c>
      <c r="G1690" s="31" t="s">
        <v>20</v>
      </c>
      <c r="H1690" s="31" t="s">
        <v>20</v>
      </c>
      <c r="I1690" s="31">
        <v>4400.0</v>
      </c>
      <c r="J1690" s="31">
        <v>3.874810165E9</v>
      </c>
      <c r="K1690" s="31" t="s">
        <v>3447</v>
      </c>
      <c r="L1690" s="31" t="s">
        <v>3448</v>
      </c>
      <c r="M1690" s="33">
        <v>1.0</v>
      </c>
      <c r="N1690" s="34"/>
      <c r="O1690" s="31" t="s">
        <v>5060</v>
      </c>
    </row>
    <row r="1691" hidden="1">
      <c r="A1691" s="85">
        <v>45965.0</v>
      </c>
      <c r="B1691" s="31" t="s">
        <v>5061</v>
      </c>
      <c r="C1691" s="31">
        <v>8.05403149268E11</v>
      </c>
      <c r="D1691" s="31" t="s">
        <v>5062</v>
      </c>
      <c r="E1691" s="31" t="s">
        <v>5063</v>
      </c>
      <c r="F1691" s="31" t="s">
        <v>5064</v>
      </c>
      <c r="G1691" s="31" t="s">
        <v>20</v>
      </c>
      <c r="H1691" s="31" t="s">
        <v>20</v>
      </c>
      <c r="I1691" s="31" t="s">
        <v>4086</v>
      </c>
      <c r="J1691" s="31">
        <v>3.875037357E9</v>
      </c>
      <c r="K1691" s="31" t="s">
        <v>3054</v>
      </c>
      <c r="L1691" s="31" t="s">
        <v>3346</v>
      </c>
      <c r="M1691" s="33">
        <v>2.0</v>
      </c>
      <c r="N1691" s="34"/>
      <c r="O1691" s="31" t="s">
        <v>5065</v>
      </c>
    </row>
    <row r="1692" hidden="1">
      <c r="A1692" s="85">
        <v>45965.0</v>
      </c>
      <c r="B1692" s="31" t="s">
        <v>5061</v>
      </c>
      <c r="C1692" s="31">
        <v>8.05403149268E11</v>
      </c>
      <c r="D1692" s="31" t="s">
        <v>5062</v>
      </c>
      <c r="E1692" s="31" t="s">
        <v>5063</v>
      </c>
      <c r="F1692" s="31" t="s">
        <v>5064</v>
      </c>
      <c r="G1692" s="31" t="s">
        <v>20</v>
      </c>
      <c r="H1692" s="31" t="s">
        <v>20</v>
      </c>
      <c r="I1692" s="31" t="s">
        <v>4086</v>
      </c>
      <c r="J1692" s="31">
        <v>3.875037357E9</v>
      </c>
      <c r="K1692" s="31" t="s">
        <v>512</v>
      </c>
      <c r="L1692" s="31" t="s">
        <v>513</v>
      </c>
      <c r="M1692" s="33">
        <v>12.0</v>
      </c>
      <c r="N1692" s="34"/>
      <c r="O1692" s="31" t="s">
        <v>5065</v>
      </c>
    </row>
    <row r="1693" hidden="1">
      <c r="A1693" s="85">
        <v>45965.0</v>
      </c>
      <c r="B1693" s="31" t="s">
        <v>5061</v>
      </c>
      <c r="C1693" s="31">
        <v>8.05403149268E11</v>
      </c>
      <c r="D1693" s="31" t="s">
        <v>5062</v>
      </c>
      <c r="E1693" s="31" t="s">
        <v>5063</v>
      </c>
      <c r="F1693" s="31" t="s">
        <v>5064</v>
      </c>
      <c r="G1693" s="31" t="s">
        <v>20</v>
      </c>
      <c r="H1693" s="31" t="s">
        <v>20</v>
      </c>
      <c r="I1693" s="31" t="s">
        <v>4086</v>
      </c>
      <c r="J1693" s="31">
        <v>3.875037357E9</v>
      </c>
      <c r="K1693" s="31" t="s">
        <v>2031</v>
      </c>
      <c r="L1693" s="31" t="s">
        <v>3348</v>
      </c>
      <c r="M1693" s="33">
        <v>2.0</v>
      </c>
      <c r="N1693" s="34"/>
      <c r="O1693" s="31" t="s">
        <v>5065</v>
      </c>
    </row>
    <row r="1694" hidden="1">
      <c r="A1694" s="85">
        <v>45965.0</v>
      </c>
      <c r="B1694" s="31" t="s">
        <v>5066</v>
      </c>
      <c r="C1694" s="31">
        <v>8.07025033701E11</v>
      </c>
      <c r="D1694" s="31" t="s">
        <v>5067</v>
      </c>
      <c r="E1694" s="31" t="s">
        <v>5068</v>
      </c>
      <c r="F1694" s="31" t="s">
        <v>5069</v>
      </c>
      <c r="G1694" s="31" t="s">
        <v>127</v>
      </c>
      <c r="H1694" s="31" t="s">
        <v>20</v>
      </c>
      <c r="I1694" s="31">
        <v>4400.0</v>
      </c>
      <c r="J1694" s="31">
        <v>3.875955777E9</v>
      </c>
      <c r="K1694" s="31" t="s">
        <v>3074</v>
      </c>
      <c r="L1694" s="31" t="s">
        <v>3232</v>
      </c>
      <c r="M1694" s="33">
        <v>1.0</v>
      </c>
      <c r="N1694" s="34"/>
      <c r="O1694" s="31" t="s">
        <v>5070</v>
      </c>
    </row>
    <row r="1695" hidden="1">
      <c r="A1695" s="85">
        <v>45965.0</v>
      </c>
      <c r="B1695" s="31" t="s">
        <v>5066</v>
      </c>
      <c r="C1695" s="31">
        <v>8.07025033701E11</v>
      </c>
      <c r="D1695" s="31" t="s">
        <v>5067</v>
      </c>
      <c r="E1695" s="31" t="s">
        <v>5068</v>
      </c>
      <c r="F1695" s="31" t="s">
        <v>5069</v>
      </c>
      <c r="G1695" s="31" t="s">
        <v>127</v>
      </c>
      <c r="H1695" s="31" t="s">
        <v>20</v>
      </c>
      <c r="I1695" s="31">
        <v>4400.0</v>
      </c>
      <c r="J1695" s="31">
        <v>3.875955777E9</v>
      </c>
      <c r="K1695" s="31" t="s">
        <v>512</v>
      </c>
      <c r="L1695" s="31" t="s">
        <v>513</v>
      </c>
      <c r="M1695" s="33">
        <v>6.0</v>
      </c>
      <c r="N1695" s="34"/>
      <c r="O1695" s="31" t="s">
        <v>5070</v>
      </c>
    </row>
    <row r="1696" hidden="1">
      <c r="A1696" s="85">
        <v>45965.0</v>
      </c>
      <c r="B1696" s="31" t="s">
        <v>5066</v>
      </c>
      <c r="C1696" s="31">
        <v>8.07025033701E11</v>
      </c>
      <c r="D1696" s="31" t="s">
        <v>5067</v>
      </c>
      <c r="E1696" s="31" t="s">
        <v>5068</v>
      </c>
      <c r="F1696" s="31" t="s">
        <v>5069</v>
      </c>
      <c r="G1696" s="31" t="s">
        <v>127</v>
      </c>
      <c r="H1696" s="31" t="s">
        <v>20</v>
      </c>
      <c r="I1696" s="31">
        <v>4400.0</v>
      </c>
      <c r="J1696" s="31">
        <v>3.875955777E9</v>
      </c>
      <c r="K1696" s="31" t="s">
        <v>670</v>
      </c>
      <c r="L1696" s="31" t="s">
        <v>3410</v>
      </c>
      <c r="M1696" s="33">
        <v>1.0</v>
      </c>
      <c r="N1696" s="34"/>
      <c r="O1696" s="31" t="s">
        <v>5070</v>
      </c>
    </row>
    <row r="1697" ht="6.75" hidden="1" customHeight="1">
      <c r="A1697" s="87"/>
      <c r="B1697" s="88"/>
      <c r="C1697" s="88"/>
      <c r="D1697" s="88"/>
      <c r="E1697" s="88"/>
      <c r="F1697" s="88"/>
      <c r="G1697" s="88"/>
      <c r="H1697" s="88"/>
      <c r="I1697" s="88"/>
      <c r="J1697" s="88"/>
      <c r="K1697" s="88"/>
      <c r="L1697" s="88"/>
      <c r="M1697" s="89"/>
      <c r="N1697" s="90"/>
      <c r="O1697" s="90"/>
    </row>
    <row r="1698" hidden="1">
      <c r="A1698" s="85">
        <v>45973.0</v>
      </c>
      <c r="B1698" s="31" t="s">
        <v>5071</v>
      </c>
      <c r="C1698" s="31">
        <v>8.05011555018E11</v>
      </c>
      <c r="D1698" s="31" t="s">
        <v>5072</v>
      </c>
      <c r="E1698" s="31" t="s">
        <v>5073</v>
      </c>
      <c r="F1698" s="31" t="s">
        <v>5074</v>
      </c>
      <c r="G1698" s="31" t="s">
        <v>20</v>
      </c>
      <c r="H1698" s="31" t="s">
        <v>20</v>
      </c>
      <c r="I1698" s="31">
        <v>4400.0</v>
      </c>
      <c r="J1698" s="31">
        <v>3.872180235E9</v>
      </c>
      <c r="K1698" s="31" t="s">
        <v>512</v>
      </c>
      <c r="L1698" s="31" t="s">
        <v>513</v>
      </c>
      <c r="M1698" s="33">
        <v>6.0</v>
      </c>
      <c r="N1698" s="34"/>
      <c r="O1698" s="31" t="s">
        <v>5075</v>
      </c>
    </row>
    <row r="1699" hidden="1">
      <c r="A1699" s="85">
        <v>45973.0</v>
      </c>
      <c r="B1699" s="31" t="s">
        <v>5076</v>
      </c>
      <c r="C1699" s="31">
        <v>8.05011555019E11</v>
      </c>
      <c r="D1699" s="31" t="s">
        <v>5072</v>
      </c>
      <c r="E1699" s="31" t="s">
        <v>5073</v>
      </c>
      <c r="F1699" s="31" t="s">
        <v>5074</v>
      </c>
      <c r="G1699" s="31" t="s">
        <v>20</v>
      </c>
      <c r="H1699" s="31" t="s">
        <v>20</v>
      </c>
      <c r="I1699" s="31">
        <v>4400.0</v>
      </c>
      <c r="J1699" s="31">
        <v>3.872180235E9</v>
      </c>
      <c r="K1699" s="31" t="s">
        <v>32</v>
      </c>
      <c r="L1699" s="31" t="s">
        <v>3225</v>
      </c>
      <c r="M1699" s="33">
        <v>1.0</v>
      </c>
      <c r="N1699" s="34"/>
      <c r="O1699" s="31" t="s">
        <v>5075</v>
      </c>
    </row>
    <row r="1700" hidden="1">
      <c r="A1700" s="85">
        <v>45973.0</v>
      </c>
      <c r="B1700" s="31" t="s">
        <v>5076</v>
      </c>
      <c r="C1700" s="31">
        <v>8.05011555019E11</v>
      </c>
      <c r="D1700" s="31" t="s">
        <v>5072</v>
      </c>
      <c r="E1700" s="31" t="s">
        <v>5073</v>
      </c>
      <c r="F1700" s="31" t="s">
        <v>5074</v>
      </c>
      <c r="G1700" s="31" t="s">
        <v>20</v>
      </c>
      <c r="H1700" s="31" t="s">
        <v>20</v>
      </c>
      <c r="I1700" s="31">
        <v>4400.0</v>
      </c>
      <c r="J1700" s="31">
        <v>3.872180235E9</v>
      </c>
      <c r="K1700" s="31" t="s">
        <v>670</v>
      </c>
      <c r="L1700" s="31" t="s">
        <v>3410</v>
      </c>
      <c r="M1700" s="33">
        <v>1.0</v>
      </c>
      <c r="N1700" s="34"/>
      <c r="O1700" s="31" t="s">
        <v>5075</v>
      </c>
    </row>
    <row r="1701" hidden="1">
      <c r="A1701" s="85">
        <v>45973.0</v>
      </c>
      <c r="B1701" s="31" t="s">
        <v>5077</v>
      </c>
      <c r="C1701" s="31">
        <v>8.05011555689E11</v>
      </c>
      <c r="D1701" s="31" t="s">
        <v>5078</v>
      </c>
      <c r="E1701" s="31" t="s">
        <v>5079</v>
      </c>
      <c r="F1701" s="31" t="s">
        <v>5080</v>
      </c>
      <c r="G1701" s="31" t="s">
        <v>4025</v>
      </c>
      <c r="H1701" s="31" t="s">
        <v>20</v>
      </c>
      <c r="I1701" s="31">
        <v>4401.0</v>
      </c>
      <c r="J1701" s="31" t="str">
        <f>+54 387 4118994</f>
        <v>#ERROR!</v>
      </c>
      <c r="K1701" s="31" t="s">
        <v>60</v>
      </c>
      <c r="L1701" s="31" t="s">
        <v>3706</v>
      </c>
      <c r="M1701" s="33">
        <v>1.0</v>
      </c>
      <c r="N1701" s="34"/>
      <c r="O1701" s="31" t="s">
        <v>5081</v>
      </c>
    </row>
    <row r="1702" hidden="1">
      <c r="A1702" s="85">
        <v>45973.0</v>
      </c>
      <c r="B1702" s="31" t="s">
        <v>5077</v>
      </c>
      <c r="C1702" s="31">
        <v>8.05011555689E11</v>
      </c>
      <c r="D1702" s="31" t="s">
        <v>5078</v>
      </c>
      <c r="E1702" s="31" t="s">
        <v>5079</v>
      </c>
      <c r="F1702" s="31" t="s">
        <v>5080</v>
      </c>
      <c r="G1702" s="31" t="s">
        <v>4025</v>
      </c>
      <c r="H1702" s="31" t="s">
        <v>20</v>
      </c>
      <c r="I1702" s="31">
        <v>4401.0</v>
      </c>
      <c r="J1702" s="31" t="str">
        <f>+54 387 4118994</f>
        <v>#ERROR!</v>
      </c>
      <c r="K1702" s="31" t="s">
        <v>512</v>
      </c>
      <c r="L1702" s="31" t="s">
        <v>513</v>
      </c>
      <c r="M1702" s="33">
        <v>6.0</v>
      </c>
      <c r="N1702" s="34"/>
      <c r="O1702" s="31" t="s">
        <v>5081</v>
      </c>
    </row>
    <row r="1703" hidden="1">
      <c r="A1703" s="85">
        <v>45973.0</v>
      </c>
      <c r="B1703" s="31" t="s">
        <v>5077</v>
      </c>
      <c r="C1703" s="31">
        <v>8.05011555689E11</v>
      </c>
      <c r="D1703" s="31" t="s">
        <v>5078</v>
      </c>
      <c r="E1703" s="31" t="s">
        <v>5079</v>
      </c>
      <c r="F1703" s="31" t="s">
        <v>5080</v>
      </c>
      <c r="G1703" s="31" t="s">
        <v>4025</v>
      </c>
      <c r="H1703" s="31" t="s">
        <v>20</v>
      </c>
      <c r="I1703" s="31">
        <v>4401.0</v>
      </c>
      <c r="J1703" s="31" t="str">
        <f>+54 387 4118994</f>
        <v>#ERROR!</v>
      </c>
      <c r="K1703" s="31" t="s">
        <v>64</v>
      </c>
      <c r="L1703" s="31" t="s">
        <v>3708</v>
      </c>
      <c r="M1703" s="33">
        <v>1.0</v>
      </c>
      <c r="N1703" s="34"/>
      <c r="O1703" s="31" t="s">
        <v>5081</v>
      </c>
    </row>
    <row r="1704" hidden="1">
      <c r="A1704" s="85">
        <v>45973.0</v>
      </c>
      <c r="B1704" s="31" t="s">
        <v>5082</v>
      </c>
      <c r="C1704" s="31">
        <v>8.05011555746E11</v>
      </c>
      <c r="D1704" s="31" t="s">
        <v>5083</v>
      </c>
      <c r="E1704" s="31" t="s">
        <v>5084</v>
      </c>
      <c r="F1704" s="31" t="s">
        <v>5085</v>
      </c>
      <c r="G1704" s="31" t="s">
        <v>5086</v>
      </c>
      <c r="H1704" s="31" t="s">
        <v>20</v>
      </c>
      <c r="I1704" s="31">
        <v>4401.0</v>
      </c>
      <c r="J1704" s="31">
        <v>3.876444463E9</v>
      </c>
      <c r="K1704" s="31" t="s">
        <v>5087</v>
      </c>
      <c r="L1704" s="31" t="s">
        <v>5088</v>
      </c>
      <c r="M1704" s="33">
        <v>1.0</v>
      </c>
      <c r="N1704" s="34"/>
      <c r="O1704" s="31" t="s">
        <v>5089</v>
      </c>
    </row>
    <row r="1705" hidden="1">
      <c r="A1705" s="85">
        <v>45973.0</v>
      </c>
      <c r="B1705" s="31" t="s">
        <v>5090</v>
      </c>
      <c r="C1705" s="31">
        <v>8.05011556221E11</v>
      </c>
      <c r="D1705" s="31" t="s">
        <v>5091</v>
      </c>
      <c r="E1705" s="31" t="s">
        <v>5092</v>
      </c>
      <c r="F1705" s="31" t="s">
        <v>5093</v>
      </c>
      <c r="G1705" s="31" t="s">
        <v>20</v>
      </c>
      <c r="H1705" s="31" t="s">
        <v>20</v>
      </c>
      <c r="I1705" s="31">
        <v>4400.0</v>
      </c>
      <c r="J1705" s="31">
        <v>3.875347799E9</v>
      </c>
      <c r="K1705" s="31" t="s">
        <v>289</v>
      </c>
      <c r="L1705" s="31" t="s">
        <v>290</v>
      </c>
      <c r="M1705" s="33">
        <v>1.0</v>
      </c>
      <c r="N1705" s="34"/>
      <c r="O1705" s="34"/>
    </row>
    <row r="1706" hidden="1">
      <c r="A1706" s="85">
        <v>45973.0</v>
      </c>
      <c r="B1706" s="31" t="s">
        <v>5090</v>
      </c>
      <c r="C1706" s="31">
        <v>8.05011556221E11</v>
      </c>
      <c r="D1706" s="31" t="s">
        <v>5091</v>
      </c>
      <c r="E1706" s="31" t="s">
        <v>5092</v>
      </c>
      <c r="F1706" s="31" t="s">
        <v>5093</v>
      </c>
      <c r="G1706" s="31" t="s">
        <v>20</v>
      </c>
      <c r="H1706" s="31" t="s">
        <v>20</v>
      </c>
      <c r="I1706" s="31">
        <v>4400.0</v>
      </c>
      <c r="J1706" s="31">
        <v>3.875347799E9</v>
      </c>
      <c r="K1706" s="31" t="s">
        <v>2135</v>
      </c>
      <c r="L1706" s="31" t="s">
        <v>5094</v>
      </c>
      <c r="M1706" s="33">
        <v>2.0</v>
      </c>
      <c r="N1706" s="34"/>
      <c r="O1706" s="34"/>
    </row>
    <row r="1707" hidden="1">
      <c r="A1707" s="85">
        <v>45973.0</v>
      </c>
      <c r="B1707" s="31" t="s">
        <v>5095</v>
      </c>
      <c r="C1707" s="31">
        <v>8.05011555861E11</v>
      </c>
      <c r="D1707" s="31" t="s">
        <v>5096</v>
      </c>
      <c r="E1707" s="31" t="s">
        <v>5097</v>
      </c>
      <c r="F1707" s="31" t="s">
        <v>5098</v>
      </c>
      <c r="G1707" s="31" t="s">
        <v>20</v>
      </c>
      <c r="H1707" s="31" t="s">
        <v>20</v>
      </c>
      <c r="I1707" s="31" t="s">
        <v>4086</v>
      </c>
      <c r="J1707" s="31">
        <v>3.874890902E9</v>
      </c>
      <c r="K1707" s="31" t="s">
        <v>5034</v>
      </c>
      <c r="L1707" s="31" t="s">
        <v>5035</v>
      </c>
      <c r="M1707" s="33">
        <v>1.0</v>
      </c>
      <c r="N1707" s="34"/>
      <c r="O1707" s="34"/>
    </row>
    <row r="1708" hidden="1">
      <c r="A1708" s="85">
        <v>45973.0</v>
      </c>
      <c r="B1708" s="31" t="s">
        <v>5099</v>
      </c>
      <c r="C1708" s="31">
        <v>8.05011556352E11</v>
      </c>
      <c r="D1708" s="31" t="s">
        <v>5100</v>
      </c>
      <c r="E1708" s="31" t="s">
        <v>5101</v>
      </c>
      <c r="F1708" s="58" t="s">
        <v>5102</v>
      </c>
      <c r="G1708" s="31" t="s">
        <v>3850</v>
      </c>
      <c r="H1708" s="31" t="s">
        <v>20</v>
      </c>
      <c r="I1708" s="31">
        <v>4421.0</v>
      </c>
      <c r="J1708" s="31">
        <v>3.874826617E9</v>
      </c>
      <c r="K1708" s="31" t="s">
        <v>2171</v>
      </c>
      <c r="L1708" s="31" t="s">
        <v>3446</v>
      </c>
      <c r="M1708" s="33">
        <v>1.0</v>
      </c>
      <c r="N1708" s="34"/>
      <c r="O1708" s="31" t="s">
        <v>5103</v>
      </c>
    </row>
    <row r="1709" hidden="1">
      <c r="A1709" s="85">
        <v>45973.0</v>
      </c>
      <c r="B1709" s="31" t="s">
        <v>5099</v>
      </c>
      <c r="C1709" s="31">
        <v>8.05011556352E11</v>
      </c>
      <c r="D1709" s="31" t="s">
        <v>5100</v>
      </c>
      <c r="E1709" s="31" t="s">
        <v>5101</v>
      </c>
      <c r="F1709" s="58" t="s">
        <v>5102</v>
      </c>
      <c r="G1709" s="31" t="s">
        <v>3850</v>
      </c>
      <c r="H1709" s="31" t="s">
        <v>20</v>
      </c>
      <c r="I1709" s="31">
        <v>4421.0</v>
      </c>
      <c r="J1709" s="31">
        <v>3.874826617E9</v>
      </c>
      <c r="K1709" s="31" t="s">
        <v>512</v>
      </c>
      <c r="L1709" s="31" t="s">
        <v>513</v>
      </c>
      <c r="M1709" s="33">
        <v>6.0</v>
      </c>
      <c r="N1709" s="34"/>
      <c r="O1709" s="31" t="s">
        <v>5103</v>
      </c>
    </row>
    <row r="1710" hidden="1">
      <c r="A1710" s="85">
        <v>45973.0</v>
      </c>
      <c r="B1710" s="31" t="s">
        <v>5099</v>
      </c>
      <c r="C1710" s="31">
        <v>8.05011556352E11</v>
      </c>
      <c r="D1710" s="31" t="s">
        <v>5100</v>
      </c>
      <c r="E1710" s="31" t="s">
        <v>5101</v>
      </c>
      <c r="F1710" s="58" t="s">
        <v>5102</v>
      </c>
      <c r="G1710" s="31" t="s">
        <v>3850</v>
      </c>
      <c r="H1710" s="31" t="s">
        <v>20</v>
      </c>
      <c r="I1710" s="31">
        <v>4421.0</v>
      </c>
      <c r="J1710" s="31">
        <v>3.874826617E9</v>
      </c>
      <c r="K1710" s="31" t="s">
        <v>3447</v>
      </c>
      <c r="L1710" s="31" t="s">
        <v>3448</v>
      </c>
      <c r="M1710" s="33">
        <v>1.0</v>
      </c>
      <c r="N1710" s="34"/>
      <c r="O1710" s="31" t="s">
        <v>5103</v>
      </c>
    </row>
    <row r="1711" hidden="1">
      <c r="A1711" s="85">
        <v>45973.0</v>
      </c>
      <c r="B1711" s="31" t="s">
        <v>5104</v>
      </c>
      <c r="C1711" s="31">
        <v>8.05011556333E11</v>
      </c>
      <c r="D1711" s="31" t="s">
        <v>5105</v>
      </c>
      <c r="E1711" s="31" t="s">
        <v>5106</v>
      </c>
      <c r="F1711" s="31" t="s">
        <v>5107</v>
      </c>
      <c r="G1711" s="31" t="s">
        <v>20</v>
      </c>
      <c r="H1711" s="31" t="s">
        <v>20</v>
      </c>
      <c r="I1711" s="31">
        <v>4400.0</v>
      </c>
      <c r="J1711" s="31">
        <v>3.875161215E9</v>
      </c>
      <c r="K1711" s="31" t="s">
        <v>106</v>
      </c>
      <c r="L1711" s="31" t="s">
        <v>3670</v>
      </c>
      <c r="M1711" s="33">
        <v>2.0</v>
      </c>
      <c r="N1711" s="34"/>
      <c r="O1711" s="31" t="s">
        <v>5108</v>
      </c>
    </row>
    <row r="1712" hidden="1">
      <c r="A1712" s="85">
        <v>45973.0</v>
      </c>
      <c r="B1712" s="31" t="s">
        <v>5109</v>
      </c>
      <c r="C1712" s="31">
        <v>8.05011556387E11</v>
      </c>
      <c r="D1712" s="31" t="s">
        <v>5110</v>
      </c>
      <c r="E1712" s="31" t="s">
        <v>5111</v>
      </c>
      <c r="F1712" s="31" t="s">
        <v>5112</v>
      </c>
      <c r="G1712" s="31" t="s">
        <v>20</v>
      </c>
      <c r="H1712" s="31" t="s">
        <v>20</v>
      </c>
      <c r="I1712" s="31">
        <v>4400.0</v>
      </c>
      <c r="J1712" s="31">
        <v>3.874416451E9</v>
      </c>
      <c r="K1712" s="31" t="s">
        <v>106</v>
      </c>
      <c r="L1712" s="31" t="s">
        <v>3670</v>
      </c>
      <c r="M1712" s="33">
        <v>1.0</v>
      </c>
      <c r="N1712" s="34"/>
      <c r="O1712" s="31" t="s">
        <v>5113</v>
      </c>
    </row>
    <row r="1713" hidden="1">
      <c r="A1713" s="85">
        <v>45973.0</v>
      </c>
      <c r="B1713" s="31" t="s">
        <v>5109</v>
      </c>
      <c r="C1713" s="31">
        <v>8.05011556387E11</v>
      </c>
      <c r="D1713" s="31" t="s">
        <v>5110</v>
      </c>
      <c r="E1713" s="31" t="s">
        <v>5111</v>
      </c>
      <c r="F1713" s="31" t="s">
        <v>5112</v>
      </c>
      <c r="G1713" s="31" t="s">
        <v>20</v>
      </c>
      <c r="H1713" s="31" t="s">
        <v>20</v>
      </c>
      <c r="I1713" s="31">
        <v>4400.0</v>
      </c>
      <c r="J1713" s="31">
        <v>3.874416451E9</v>
      </c>
      <c r="K1713" s="31" t="s">
        <v>512</v>
      </c>
      <c r="L1713" s="31" t="s">
        <v>513</v>
      </c>
      <c r="M1713" s="33">
        <v>6.0</v>
      </c>
      <c r="N1713" s="34"/>
      <c r="O1713" s="31" t="s">
        <v>5113</v>
      </c>
    </row>
    <row r="1714" hidden="1">
      <c r="A1714" s="85">
        <v>45973.0</v>
      </c>
      <c r="B1714" s="31" t="s">
        <v>5109</v>
      </c>
      <c r="C1714" s="31">
        <v>8.05011556387E11</v>
      </c>
      <c r="D1714" s="31" t="s">
        <v>5110</v>
      </c>
      <c r="E1714" s="31" t="s">
        <v>5111</v>
      </c>
      <c r="F1714" s="31" t="s">
        <v>5112</v>
      </c>
      <c r="G1714" s="31" t="s">
        <v>20</v>
      </c>
      <c r="H1714" s="31" t="s">
        <v>20</v>
      </c>
      <c r="I1714" s="31">
        <v>4400.0</v>
      </c>
      <c r="J1714" s="31">
        <v>3.874416451E9</v>
      </c>
      <c r="K1714" s="31" t="s">
        <v>110</v>
      </c>
      <c r="L1714" s="31" t="s">
        <v>3673</v>
      </c>
      <c r="M1714" s="33">
        <v>1.0</v>
      </c>
      <c r="N1714" s="34"/>
      <c r="O1714" s="31" t="s">
        <v>5113</v>
      </c>
    </row>
    <row r="1715" hidden="1">
      <c r="A1715" s="85">
        <v>45973.0</v>
      </c>
      <c r="B1715" s="31" t="s">
        <v>5114</v>
      </c>
      <c r="C1715" s="31">
        <v>8.05011557148E11</v>
      </c>
      <c r="D1715" s="31" t="s">
        <v>5115</v>
      </c>
      <c r="E1715" s="31" t="s">
        <v>5116</v>
      </c>
      <c r="F1715" s="31" t="s">
        <v>5117</v>
      </c>
      <c r="G1715" s="31" t="s">
        <v>3383</v>
      </c>
      <c r="H1715" s="31" t="s">
        <v>20</v>
      </c>
      <c r="I1715" s="31">
        <v>4449.0</v>
      </c>
      <c r="J1715" s="31">
        <v>3.877401053E9</v>
      </c>
      <c r="K1715" s="31" t="s">
        <v>698</v>
      </c>
      <c r="L1715" s="31" t="s">
        <v>699</v>
      </c>
      <c r="M1715" s="33">
        <v>2.0</v>
      </c>
      <c r="N1715" s="34"/>
      <c r="O1715" s="34"/>
    </row>
    <row r="1716" hidden="1">
      <c r="A1716" s="85">
        <v>45973.0</v>
      </c>
      <c r="B1716" s="31" t="s">
        <v>5118</v>
      </c>
      <c r="C1716" s="31">
        <v>8.05011557279E11</v>
      </c>
      <c r="D1716" s="31" t="s">
        <v>5119</v>
      </c>
      <c r="E1716" s="31" t="s">
        <v>5120</v>
      </c>
      <c r="F1716" s="31" t="s">
        <v>5121</v>
      </c>
      <c r="G1716" s="31" t="s">
        <v>20</v>
      </c>
      <c r="H1716" s="31" t="s">
        <v>20</v>
      </c>
      <c r="I1716" s="31">
        <v>4400.0</v>
      </c>
      <c r="J1716" s="31">
        <v>3.874047738E9</v>
      </c>
      <c r="K1716" s="31" t="s">
        <v>1747</v>
      </c>
      <c r="L1716" s="31" t="s">
        <v>4208</v>
      </c>
      <c r="M1716" s="33">
        <v>1.0</v>
      </c>
      <c r="N1716" s="34"/>
      <c r="O1716" s="31" t="s">
        <v>5122</v>
      </c>
    </row>
    <row r="1717" hidden="1">
      <c r="A1717" s="85">
        <v>45973.0</v>
      </c>
      <c r="B1717" s="31" t="s">
        <v>5118</v>
      </c>
      <c r="C1717" s="31">
        <v>8.05011557279E11</v>
      </c>
      <c r="D1717" s="31" t="s">
        <v>5119</v>
      </c>
      <c r="E1717" s="31" t="s">
        <v>5120</v>
      </c>
      <c r="F1717" s="31" t="s">
        <v>5121</v>
      </c>
      <c r="G1717" s="31" t="s">
        <v>20</v>
      </c>
      <c r="H1717" s="31" t="s">
        <v>20</v>
      </c>
      <c r="I1717" s="31">
        <v>4400.0</v>
      </c>
      <c r="J1717" s="31">
        <v>3.874047738E9</v>
      </c>
      <c r="K1717" s="31" t="s">
        <v>2956</v>
      </c>
      <c r="L1717" s="31" t="s">
        <v>3327</v>
      </c>
      <c r="M1717" s="33">
        <v>1.0</v>
      </c>
      <c r="N1717" s="34"/>
      <c r="O1717" s="31" t="s">
        <v>5122</v>
      </c>
    </row>
    <row r="1718" hidden="1">
      <c r="A1718" s="85">
        <v>45973.0</v>
      </c>
      <c r="B1718" s="31" t="s">
        <v>5118</v>
      </c>
      <c r="C1718" s="31">
        <v>8.05011557279E11</v>
      </c>
      <c r="D1718" s="31" t="s">
        <v>5119</v>
      </c>
      <c r="E1718" s="31" t="s">
        <v>5120</v>
      </c>
      <c r="F1718" s="31" t="s">
        <v>5121</v>
      </c>
      <c r="G1718" s="31" t="s">
        <v>20</v>
      </c>
      <c r="H1718" s="31" t="s">
        <v>20</v>
      </c>
      <c r="I1718" s="31">
        <v>4400.0</v>
      </c>
      <c r="J1718" s="31">
        <v>3.874047738E9</v>
      </c>
      <c r="K1718" s="31" t="s">
        <v>512</v>
      </c>
      <c r="L1718" s="31" t="s">
        <v>513</v>
      </c>
      <c r="M1718" s="33">
        <v>6.0</v>
      </c>
      <c r="N1718" s="34"/>
      <c r="O1718" s="31" t="s">
        <v>5122</v>
      </c>
    </row>
    <row r="1719" hidden="1">
      <c r="A1719" s="85">
        <v>45973.0</v>
      </c>
      <c r="B1719" s="31" t="s">
        <v>5118</v>
      </c>
      <c r="C1719" s="31">
        <v>8.05011557279E11</v>
      </c>
      <c r="D1719" s="31" t="s">
        <v>5119</v>
      </c>
      <c r="E1719" s="31" t="s">
        <v>5120</v>
      </c>
      <c r="F1719" s="31" t="s">
        <v>5121</v>
      </c>
      <c r="G1719" s="31" t="s">
        <v>20</v>
      </c>
      <c r="H1719" s="31" t="s">
        <v>20</v>
      </c>
      <c r="I1719" s="31">
        <v>4400.0</v>
      </c>
      <c r="J1719" s="31">
        <v>3.874047738E9</v>
      </c>
      <c r="K1719" s="31" t="s">
        <v>670</v>
      </c>
      <c r="L1719" s="31" t="s">
        <v>3410</v>
      </c>
      <c r="M1719" s="33">
        <v>1.0</v>
      </c>
      <c r="N1719" s="34"/>
      <c r="O1719" s="31" t="s">
        <v>5122</v>
      </c>
    </row>
    <row r="1720" hidden="1">
      <c r="A1720" s="85">
        <v>45973.0</v>
      </c>
      <c r="B1720" s="31" t="s">
        <v>5123</v>
      </c>
      <c r="C1720" s="31">
        <v>8.05011556978E11</v>
      </c>
      <c r="D1720" s="31" t="s">
        <v>5124</v>
      </c>
      <c r="E1720" s="31" t="s">
        <v>5125</v>
      </c>
      <c r="F1720" s="31" t="s">
        <v>5126</v>
      </c>
      <c r="G1720" s="31" t="s">
        <v>983</v>
      </c>
      <c r="H1720" s="31" t="s">
        <v>20</v>
      </c>
      <c r="I1720" s="31">
        <v>4400.0</v>
      </c>
      <c r="J1720" s="31">
        <v>3.876006016E9</v>
      </c>
      <c r="K1720" s="31" t="s">
        <v>634</v>
      </c>
      <c r="L1720" s="31" t="s">
        <v>635</v>
      </c>
      <c r="M1720" s="33">
        <v>1.0</v>
      </c>
      <c r="N1720" s="34"/>
      <c r="O1720" s="34"/>
    </row>
    <row r="1721" hidden="1">
      <c r="A1721" s="85">
        <v>45973.0</v>
      </c>
      <c r="B1721" s="31" t="s">
        <v>5127</v>
      </c>
      <c r="C1721" s="31">
        <v>8.05011557073E11</v>
      </c>
      <c r="D1721" s="31" t="s">
        <v>5128</v>
      </c>
      <c r="E1721" s="31" t="s">
        <v>5129</v>
      </c>
      <c r="F1721" s="31" t="s">
        <v>5130</v>
      </c>
      <c r="G1721" s="31" t="s">
        <v>155</v>
      </c>
      <c r="H1721" s="31" t="s">
        <v>20</v>
      </c>
      <c r="I1721" s="31">
        <v>4405.0</v>
      </c>
      <c r="J1721" s="31">
        <f t="shared" ref="J1721:J1723" si="3">+5492901418278</f>
        <v>5492901418278</v>
      </c>
      <c r="K1721" s="31" t="s">
        <v>3641</v>
      </c>
      <c r="L1721" s="31" t="s">
        <v>3642</v>
      </c>
      <c r="M1721" s="33">
        <v>1.0</v>
      </c>
      <c r="N1721" s="34"/>
      <c r="O1721" s="34"/>
    </row>
    <row r="1722" hidden="1">
      <c r="A1722" s="85">
        <v>45973.0</v>
      </c>
      <c r="B1722" s="31" t="s">
        <v>5127</v>
      </c>
      <c r="C1722" s="31">
        <v>8.05011557073E11</v>
      </c>
      <c r="D1722" s="31" t="s">
        <v>5128</v>
      </c>
      <c r="E1722" s="31" t="s">
        <v>5129</v>
      </c>
      <c r="F1722" s="31" t="s">
        <v>5130</v>
      </c>
      <c r="G1722" s="31" t="s">
        <v>155</v>
      </c>
      <c r="H1722" s="31" t="s">
        <v>20</v>
      </c>
      <c r="I1722" s="31">
        <v>4405.0</v>
      </c>
      <c r="J1722" s="31">
        <f t="shared" si="3"/>
        <v>5492901418278</v>
      </c>
      <c r="K1722" s="31" t="s">
        <v>512</v>
      </c>
      <c r="L1722" s="31" t="s">
        <v>513</v>
      </c>
      <c r="M1722" s="33">
        <v>6.0</v>
      </c>
      <c r="N1722" s="34"/>
      <c r="O1722" s="34"/>
    </row>
    <row r="1723" hidden="1">
      <c r="A1723" s="85">
        <v>45973.0</v>
      </c>
      <c r="B1723" s="31" t="s">
        <v>5127</v>
      </c>
      <c r="C1723" s="31">
        <v>8.05011557073E11</v>
      </c>
      <c r="D1723" s="31" t="s">
        <v>5128</v>
      </c>
      <c r="E1723" s="31" t="s">
        <v>5129</v>
      </c>
      <c r="F1723" s="31" t="s">
        <v>5130</v>
      </c>
      <c r="G1723" s="31" t="s">
        <v>155</v>
      </c>
      <c r="H1723" s="31" t="s">
        <v>20</v>
      </c>
      <c r="I1723" s="31">
        <v>4405.0</v>
      </c>
      <c r="J1723" s="31">
        <f t="shared" si="3"/>
        <v>5492901418278</v>
      </c>
      <c r="K1723" s="31" t="s">
        <v>1345</v>
      </c>
      <c r="L1723" s="31" t="s">
        <v>3639</v>
      </c>
      <c r="M1723" s="33">
        <v>1.0</v>
      </c>
      <c r="N1723" s="34"/>
      <c r="O1723" s="34"/>
    </row>
    <row r="1724" hidden="1">
      <c r="A1724" s="85">
        <v>45973.0</v>
      </c>
      <c r="B1724" s="31" t="s">
        <v>5131</v>
      </c>
      <c r="C1724" s="31">
        <v>8.05011556935E11</v>
      </c>
      <c r="D1724" s="31" t="s">
        <v>5132</v>
      </c>
      <c r="E1724" s="31" t="s">
        <v>5133</v>
      </c>
      <c r="F1724" s="31" t="s">
        <v>5134</v>
      </c>
      <c r="G1724" s="31" t="s">
        <v>624</v>
      </c>
      <c r="H1724" s="31" t="s">
        <v>20</v>
      </c>
      <c r="I1724" s="31">
        <v>4403.0</v>
      </c>
      <c r="J1724" s="31">
        <v>3.87683169E9</v>
      </c>
      <c r="K1724" s="31" t="s">
        <v>1747</v>
      </c>
      <c r="L1724" s="31" t="s">
        <v>4208</v>
      </c>
      <c r="M1724" s="33">
        <v>1.0</v>
      </c>
      <c r="N1724" s="34"/>
      <c r="O1724" s="34"/>
    </row>
    <row r="1725" hidden="1">
      <c r="A1725" s="85">
        <v>45973.0</v>
      </c>
      <c r="B1725" s="31" t="s">
        <v>5135</v>
      </c>
      <c r="C1725" s="31">
        <v>8.05011557683E11</v>
      </c>
      <c r="D1725" s="31" t="s">
        <v>5136</v>
      </c>
      <c r="E1725" s="31" t="s">
        <v>5137</v>
      </c>
      <c r="F1725" s="31" t="s">
        <v>5138</v>
      </c>
      <c r="G1725" s="31" t="s">
        <v>5139</v>
      </c>
      <c r="H1725" s="31" t="s">
        <v>20</v>
      </c>
      <c r="I1725" s="31">
        <v>4568.0</v>
      </c>
      <c r="J1725" s="31">
        <v>3.873506563E9</v>
      </c>
      <c r="K1725" s="31" t="s">
        <v>985</v>
      </c>
      <c r="L1725" s="31" t="s">
        <v>3600</v>
      </c>
      <c r="M1725" s="33">
        <v>1.0</v>
      </c>
      <c r="N1725" s="34"/>
      <c r="O1725" s="31" t="s">
        <v>5140</v>
      </c>
    </row>
    <row r="1726" hidden="1">
      <c r="A1726" s="85">
        <v>45973.0</v>
      </c>
      <c r="B1726" s="31" t="s">
        <v>5135</v>
      </c>
      <c r="C1726" s="31">
        <v>8.05011557683E11</v>
      </c>
      <c r="D1726" s="31" t="s">
        <v>5136</v>
      </c>
      <c r="E1726" s="31" t="s">
        <v>5137</v>
      </c>
      <c r="F1726" s="31" t="s">
        <v>5138</v>
      </c>
      <c r="G1726" s="31" t="s">
        <v>5139</v>
      </c>
      <c r="H1726" s="31" t="s">
        <v>20</v>
      </c>
      <c r="I1726" s="31">
        <v>4568.0</v>
      </c>
      <c r="J1726" s="31">
        <v>3.873506563E9</v>
      </c>
      <c r="K1726" s="31" t="s">
        <v>512</v>
      </c>
      <c r="L1726" s="31" t="s">
        <v>513</v>
      </c>
      <c r="M1726" s="33">
        <v>6.0</v>
      </c>
      <c r="N1726" s="34"/>
      <c r="O1726" s="31" t="s">
        <v>5140</v>
      </c>
    </row>
    <row r="1727" hidden="1">
      <c r="A1727" s="85">
        <v>45973.0</v>
      </c>
      <c r="B1727" s="31" t="s">
        <v>5135</v>
      </c>
      <c r="C1727" s="31">
        <v>8.05011557683E11</v>
      </c>
      <c r="D1727" s="31" t="s">
        <v>5136</v>
      </c>
      <c r="E1727" s="31" t="s">
        <v>5137</v>
      </c>
      <c r="F1727" s="31" t="s">
        <v>5138</v>
      </c>
      <c r="G1727" s="31" t="s">
        <v>5139</v>
      </c>
      <c r="H1727" s="31" t="s">
        <v>20</v>
      </c>
      <c r="I1727" s="31">
        <v>4568.0</v>
      </c>
      <c r="J1727" s="31">
        <v>3.873506563E9</v>
      </c>
      <c r="K1727" s="31" t="s">
        <v>35</v>
      </c>
      <c r="L1727" s="31" t="s">
        <v>3188</v>
      </c>
      <c r="M1727" s="33">
        <v>1.0</v>
      </c>
      <c r="N1727" s="34"/>
      <c r="O1727" s="31" t="s">
        <v>5140</v>
      </c>
    </row>
    <row r="1728" hidden="1">
      <c r="A1728" s="85">
        <v>45973.0</v>
      </c>
      <c r="B1728" s="31" t="s">
        <v>5141</v>
      </c>
      <c r="C1728" s="31">
        <v>8.0501155762E11</v>
      </c>
      <c r="D1728" s="31" t="s">
        <v>5142</v>
      </c>
      <c r="E1728" s="31" t="s">
        <v>5143</v>
      </c>
      <c r="F1728" s="31" t="s">
        <v>5144</v>
      </c>
      <c r="G1728" s="31" t="s">
        <v>1142</v>
      </c>
      <c r="H1728" s="31" t="s">
        <v>20</v>
      </c>
      <c r="I1728" s="31">
        <v>4430.0</v>
      </c>
      <c r="J1728" s="31" t="s">
        <v>5145</v>
      </c>
      <c r="K1728" s="31" t="s">
        <v>617</v>
      </c>
      <c r="L1728" s="31" t="s">
        <v>3867</v>
      </c>
      <c r="M1728" s="33">
        <v>1.0</v>
      </c>
      <c r="N1728" s="34"/>
      <c r="O1728" s="34"/>
    </row>
    <row r="1729" hidden="1">
      <c r="A1729" s="85">
        <v>45973.0</v>
      </c>
      <c r="B1729" s="31" t="s">
        <v>5146</v>
      </c>
      <c r="C1729" s="31">
        <v>8.0501155789E11</v>
      </c>
      <c r="D1729" s="31" t="s">
        <v>5147</v>
      </c>
      <c r="E1729" s="31" t="s">
        <v>5148</v>
      </c>
      <c r="F1729" s="31" t="s">
        <v>5149</v>
      </c>
      <c r="G1729" s="31" t="s">
        <v>20</v>
      </c>
      <c r="H1729" s="31" t="s">
        <v>20</v>
      </c>
      <c r="I1729" s="31">
        <v>4400.0</v>
      </c>
      <c r="J1729" s="31">
        <v>3.875147383E9</v>
      </c>
      <c r="K1729" s="31" t="s">
        <v>698</v>
      </c>
      <c r="L1729" s="31" t="s">
        <v>699</v>
      </c>
      <c r="M1729" s="33">
        <v>2.0</v>
      </c>
      <c r="N1729" s="34"/>
      <c r="O1729" s="34"/>
    </row>
    <row r="1730" hidden="1">
      <c r="A1730" s="85">
        <v>45973.0</v>
      </c>
      <c r="B1730" s="31" t="s">
        <v>5146</v>
      </c>
      <c r="C1730" s="31">
        <v>8.0501155789E11</v>
      </c>
      <c r="D1730" s="31" t="s">
        <v>5147</v>
      </c>
      <c r="E1730" s="31" t="s">
        <v>5148</v>
      </c>
      <c r="F1730" s="31" t="s">
        <v>5149</v>
      </c>
      <c r="G1730" s="31" t="s">
        <v>20</v>
      </c>
      <c r="H1730" s="31" t="s">
        <v>20</v>
      </c>
      <c r="I1730" s="31">
        <v>4400.0</v>
      </c>
      <c r="J1730" s="31">
        <v>3.875147383E9</v>
      </c>
      <c r="K1730" s="31" t="s">
        <v>512</v>
      </c>
      <c r="L1730" s="31" t="s">
        <v>513</v>
      </c>
      <c r="M1730" s="33">
        <v>12.0</v>
      </c>
      <c r="N1730" s="34"/>
      <c r="O1730" s="34"/>
    </row>
    <row r="1731" hidden="1">
      <c r="A1731" s="85">
        <v>45973.0</v>
      </c>
      <c r="B1731" s="31" t="s">
        <v>5146</v>
      </c>
      <c r="C1731" s="31">
        <v>8.0501155789E11</v>
      </c>
      <c r="D1731" s="31" t="s">
        <v>5147</v>
      </c>
      <c r="E1731" s="31" t="s">
        <v>5148</v>
      </c>
      <c r="F1731" s="31" t="s">
        <v>5149</v>
      </c>
      <c r="G1731" s="31" t="s">
        <v>20</v>
      </c>
      <c r="H1731" s="31" t="s">
        <v>20</v>
      </c>
      <c r="I1731" s="31">
        <v>4400.0</v>
      </c>
      <c r="J1731" s="31">
        <v>3.875147383E9</v>
      </c>
      <c r="K1731" s="31" t="s">
        <v>64</v>
      </c>
      <c r="L1731" s="31" t="s">
        <v>3708</v>
      </c>
      <c r="M1731" s="33">
        <v>2.0</v>
      </c>
      <c r="N1731" s="34"/>
      <c r="O1731" s="34"/>
    </row>
    <row r="1732" hidden="1">
      <c r="A1732" s="85">
        <v>45973.0</v>
      </c>
      <c r="B1732" s="31" t="s">
        <v>5150</v>
      </c>
      <c r="C1732" s="31">
        <v>8.07025033781E11</v>
      </c>
      <c r="D1732" s="31" t="s">
        <v>5151</v>
      </c>
      <c r="E1732" s="31" t="s">
        <v>5152</v>
      </c>
      <c r="F1732" s="31" t="s">
        <v>5153</v>
      </c>
      <c r="G1732" s="31" t="s">
        <v>127</v>
      </c>
      <c r="H1732" s="31" t="s">
        <v>20</v>
      </c>
      <c r="I1732" s="31">
        <v>4400.0</v>
      </c>
      <c r="J1732" s="31">
        <v>3.874031142E9</v>
      </c>
      <c r="K1732" s="31" t="s">
        <v>5154</v>
      </c>
      <c r="L1732" s="31" t="s">
        <v>5155</v>
      </c>
      <c r="M1732" s="33">
        <v>1.0</v>
      </c>
      <c r="N1732" s="34"/>
      <c r="O1732" s="31" t="s">
        <v>5156</v>
      </c>
    </row>
    <row r="1733" hidden="1">
      <c r="A1733" s="85">
        <v>45973.0</v>
      </c>
      <c r="B1733" s="31" t="s">
        <v>5150</v>
      </c>
      <c r="C1733" s="31">
        <v>8.07025033781E11</v>
      </c>
      <c r="D1733" s="31" t="s">
        <v>5151</v>
      </c>
      <c r="E1733" s="31" t="s">
        <v>5152</v>
      </c>
      <c r="F1733" s="31" t="s">
        <v>5153</v>
      </c>
      <c r="G1733" s="31" t="s">
        <v>127</v>
      </c>
      <c r="H1733" s="31" t="s">
        <v>20</v>
      </c>
      <c r="I1733" s="31">
        <v>4400.0</v>
      </c>
      <c r="J1733" s="31">
        <v>3.874031142E9</v>
      </c>
      <c r="K1733" s="31" t="s">
        <v>3512</v>
      </c>
      <c r="L1733" s="31" t="s">
        <v>3513</v>
      </c>
      <c r="M1733" s="33">
        <v>12.0</v>
      </c>
      <c r="N1733" s="34"/>
      <c r="O1733" s="31" t="s">
        <v>5156</v>
      </c>
    </row>
    <row r="1734" hidden="1">
      <c r="A1734" s="85">
        <v>45973.0</v>
      </c>
      <c r="B1734" s="31" t="s">
        <v>5150</v>
      </c>
      <c r="C1734" s="31">
        <v>8.07025033781E11</v>
      </c>
      <c r="D1734" s="31" t="s">
        <v>5151</v>
      </c>
      <c r="E1734" s="31" t="s">
        <v>5152</v>
      </c>
      <c r="F1734" s="31" t="s">
        <v>5153</v>
      </c>
      <c r="G1734" s="31" t="s">
        <v>127</v>
      </c>
      <c r="H1734" s="31" t="s">
        <v>20</v>
      </c>
      <c r="I1734" s="31">
        <v>4400.0</v>
      </c>
      <c r="J1734" s="31">
        <v>3.874031142E9</v>
      </c>
      <c r="K1734" s="31" t="s">
        <v>4250</v>
      </c>
      <c r="L1734" s="31" t="s">
        <v>4251</v>
      </c>
      <c r="M1734" s="33">
        <v>2.0</v>
      </c>
      <c r="N1734" s="34"/>
      <c r="O1734" s="31" t="s">
        <v>5156</v>
      </c>
    </row>
    <row r="1735" hidden="1">
      <c r="A1735" s="85">
        <v>45973.0</v>
      </c>
      <c r="B1735" s="31" t="s">
        <v>5157</v>
      </c>
      <c r="C1735" s="31">
        <v>8.05011558062E11</v>
      </c>
      <c r="D1735" s="31" t="s">
        <v>5158</v>
      </c>
      <c r="E1735" s="31" t="s">
        <v>5159</v>
      </c>
      <c r="F1735" s="31" t="s">
        <v>5160</v>
      </c>
      <c r="G1735" s="31" t="s">
        <v>20</v>
      </c>
      <c r="H1735" s="31" t="s">
        <v>20</v>
      </c>
      <c r="I1735" s="31">
        <v>4400.0</v>
      </c>
      <c r="J1735" s="31">
        <v>3.875207306E9</v>
      </c>
      <c r="K1735" s="31" t="s">
        <v>3451</v>
      </c>
      <c r="L1735" s="31" t="s">
        <v>3452</v>
      </c>
      <c r="M1735" s="33">
        <v>1.0</v>
      </c>
      <c r="N1735" s="34"/>
      <c r="O1735" s="31" t="s">
        <v>5161</v>
      </c>
    </row>
    <row r="1736" ht="8.25" hidden="1" customHeight="1">
      <c r="A1736" s="87"/>
      <c r="B1736" s="88"/>
      <c r="C1736" s="88"/>
      <c r="D1736" s="88"/>
      <c r="E1736" s="88"/>
      <c r="F1736" s="88"/>
      <c r="G1736" s="88"/>
      <c r="H1736" s="88"/>
      <c r="I1736" s="88"/>
      <c r="J1736" s="88"/>
      <c r="K1736" s="88"/>
      <c r="L1736" s="88"/>
      <c r="M1736" s="89"/>
      <c r="N1736" s="90"/>
      <c r="O1736" s="90"/>
    </row>
    <row r="1737" hidden="1">
      <c r="A1737" s="102">
        <v>45980.0</v>
      </c>
      <c r="B1737" s="103" t="s">
        <v>5162</v>
      </c>
      <c r="C1737" s="104">
        <v>8.05011556167E11</v>
      </c>
      <c r="D1737" s="103" t="s">
        <v>5163</v>
      </c>
      <c r="E1737" s="103" t="s">
        <v>5164</v>
      </c>
      <c r="F1737" s="103" t="s">
        <v>5165</v>
      </c>
      <c r="G1737" s="103" t="s">
        <v>127</v>
      </c>
      <c r="H1737" s="103" t="s">
        <v>20</v>
      </c>
      <c r="I1737" s="104">
        <v>4400.0</v>
      </c>
      <c r="J1737" s="103" t="s">
        <v>5166</v>
      </c>
      <c r="K1737" s="103" t="s">
        <v>98</v>
      </c>
      <c r="L1737" s="103" t="s">
        <v>3187</v>
      </c>
      <c r="M1737" s="104">
        <v>1.0</v>
      </c>
      <c r="N1737" s="105"/>
      <c r="O1737" s="105"/>
    </row>
    <row r="1738" hidden="1">
      <c r="A1738" s="102">
        <v>45980.0</v>
      </c>
      <c r="B1738" s="103" t="s">
        <v>5162</v>
      </c>
      <c r="C1738" s="104">
        <v>8.05011556167E11</v>
      </c>
      <c r="D1738" s="103" t="s">
        <v>5163</v>
      </c>
      <c r="E1738" s="103" t="s">
        <v>5164</v>
      </c>
      <c r="F1738" s="103" t="s">
        <v>5165</v>
      </c>
      <c r="G1738" s="103" t="s">
        <v>127</v>
      </c>
      <c r="H1738" s="103" t="s">
        <v>20</v>
      </c>
      <c r="I1738" s="104">
        <v>4400.0</v>
      </c>
      <c r="J1738" s="103" t="s">
        <v>5166</v>
      </c>
      <c r="K1738" s="103" t="s">
        <v>512</v>
      </c>
      <c r="L1738" s="103" t="s">
        <v>513</v>
      </c>
      <c r="M1738" s="104">
        <v>6.0</v>
      </c>
      <c r="N1738" s="105"/>
      <c r="O1738" s="105"/>
    </row>
    <row r="1739" hidden="1">
      <c r="A1739" s="102">
        <v>45980.0</v>
      </c>
      <c r="B1739" s="103" t="s">
        <v>5162</v>
      </c>
      <c r="C1739" s="104">
        <v>8.05011556167E11</v>
      </c>
      <c r="D1739" s="103" t="s">
        <v>5163</v>
      </c>
      <c r="E1739" s="103" t="s">
        <v>5164</v>
      </c>
      <c r="F1739" s="103" t="s">
        <v>5165</v>
      </c>
      <c r="G1739" s="103" t="s">
        <v>127</v>
      </c>
      <c r="H1739" s="103" t="s">
        <v>20</v>
      </c>
      <c r="I1739" s="104">
        <v>4400.0</v>
      </c>
      <c r="J1739" s="103" t="s">
        <v>5166</v>
      </c>
      <c r="K1739" s="103" t="s">
        <v>670</v>
      </c>
      <c r="L1739" s="103" t="s">
        <v>3410</v>
      </c>
      <c r="M1739" s="104">
        <v>1.0</v>
      </c>
      <c r="N1739" s="105"/>
      <c r="O1739" s="105"/>
    </row>
    <row r="1740" hidden="1">
      <c r="A1740" s="102">
        <v>45980.0</v>
      </c>
      <c r="B1740" s="103" t="s">
        <v>5167</v>
      </c>
      <c r="C1740" s="104">
        <v>8.05011556361E11</v>
      </c>
      <c r="D1740" s="103" t="s">
        <v>5168</v>
      </c>
      <c r="E1740" s="103" t="s">
        <v>5169</v>
      </c>
      <c r="F1740" s="103" t="s">
        <v>5170</v>
      </c>
      <c r="G1740" s="103" t="s">
        <v>486</v>
      </c>
      <c r="H1740" s="103" t="s">
        <v>20</v>
      </c>
      <c r="I1740" s="104">
        <v>4440.0</v>
      </c>
      <c r="J1740" s="104">
        <v>3.876470718E9</v>
      </c>
      <c r="K1740" s="103" t="s">
        <v>32</v>
      </c>
      <c r="L1740" s="103" t="s">
        <v>3225</v>
      </c>
      <c r="M1740" s="104">
        <v>1.0</v>
      </c>
      <c r="N1740" s="105"/>
      <c r="O1740" s="105"/>
    </row>
    <row r="1741" hidden="1">
      <c r="A1741" s="102">
        <v>45980.0</v>
      </c>
      <c r="B1741" s="103" t="s">
        <v>5167</v>
      </c>
      <c r="C1741" s="104">
        <v>8.05011556361E11</v>
      </c>
      <c r="D1741" s="103" t="s">
        <v>5168</v>
      </c>
      <c r="E1741" s="103" t="s">
        <v>5169</v>
      </c>
      <c r="F1741" s="103" t="s">
        <v>5170</v>
      </c>
      <c r="G1741" s="103" t="s">
        <v>486</v>
      </c>
      <c r="H1741" s="103" t="s">
        <v>20</v>
      </c>
      <c r="I1741" s="104">
        <v>4440.0</v>
      </c>
      <c r="J1741" s="104">
        <v>3.876470718E9</v>
      </c>
      <c r="K1741" s="103" t="s">
        <v>512</v>
      </c>
      <c r="L1741" s="103" t="s">
        <v>513</v>
      </c>
      <c r="M1741" s="104">
        <v>6.0</v>
      </c>
      <c r="N1741" s="105"/>
      <c r="O1741" s="105"/>
    </row>
    <row r="1742" hidden="1">
      <c r="A1742" s="102">
        <v>45980.0</v>
      </c>
      <c r="B1742" s="103" t="s">
        <v>5167</v>
      </c>
      <c r="C1742" s="104">
        <v>8.05011556361E11</v>
      </c>
      <c r="D1742" s="103" t="s">
        <v>5168</v>
      </c>
      <c r="E1742" s="103" t="s">
        <v>5169</v>
      </c>
      <c r="F1742" s="103" t="s">
        <v>5170</v>
      </c>
      <c r="G1742" s="103" t="s">
        <v>486</v>
      </c>
      <c r="H1742" s="103" t="s">
        <v>20</v>
      </c>
      <c r="I1742" s="104">
        <v>4440.0</v>
      </c>
      <c r="J1742" s="104">
        <v>3.876470718E9</v>
      </c>
      <c r="K1742" s="103" t="s">
        <v>35</v>
      </c>
      <c r="L1742" s="103" t="s">
        <v>3188</v>
      </c>
      <c r="M1742" s="104">
        <v>1.0</v>
      </c>
      <c r="N1742" s="105"/>
      <c r="O1742" s="105"/>
    </row>
    <row r="1743" hidden="1">
      <c r="A1743" s="102">
        <v>45980.0</v>
      </c>
      <c r="B1743" s="103" t="s">
        <v>5171</v>
      </c>
      <c r="C1743" s="104">
        <v>8.05011557528E11</v>
      </c>
      <c r="D1743" s="103" t="s">
        <v>5172</v>
      </c>
      <c r="E1743" s="103" t="s">
        <v>5173</v>
      </c>
      <c r="F1743" s="103" t="s">
        <v>5174</v>
      </c>
      <c r="G1743" s="103" t="s">
        <v>20</v>
      </c>
      <c r="H1743" s="103" t="s">
        <v>20</v>
      </c>
      <c r="I1743" s="104">
        <v>4400.0</v>
      </c>
      <c r="J1743" s="104">
        <v>3.875455E9</v>
      </c>
      <c r="K1743" s="103" t="s">
        <v>98</v>
      </c>
      <c r="L1743" s="103" t="s">
        <v>3187</v>
      </c>
      <c r="M1743" s="104">
        <v>1.0</v>
      </c>
      <c r="N1743" s="105"/>
      <c r="O1743" s="103" t="s">
        <v>5175</v>
      </c>
    </row>
    <row r="1744" hidden="1">
      <c r="A1744" s="102">
        <v>45980.0</v>
      </c>
      <c r="B1744" s="103" t="s">
        <v>5176</v>
      </c>
      <c r="C1744" s="104">
        <v>8.07025033796E11</v>
      </c>
      <c r="D1744" s="103" t="s">
        <v>5177</v>
      </c>
      <c r="E1744" s="103" t="s">
        <v>5178</v>
      </c>
      <c r="F1744" s="103" t="s">
        <v>5179</v>
      </c>
      <c r="G1744" s="103" t="s">
        <v>127</v>
      </c>
      <c r="H1744" s="103" t="s">
        <v>20</v>
      </c>
      <c r="I1744" s="104">
        <v>4400.0</v>
      </c>
      <c r="J1744" s="104">
        <v>3.875010062E9</v>
      </c>
      <c r="K1744" s="103" t="s">
        <v>5010</v>
      </c>
      <c r="L1744" s="103" t="s">
        <v>5011</v>
      </c>
      <c r="M1744" s="104">
        <v>1.0</v>
      </c>
      <c r="N1744" s="105"/>
      <c r="O1744" s="103" t="s">
        <v>5180</v>
      </c>
    </row>
    <row r="1745" hidden="1">
      <c r="A1745" s="102">
        <v>45980.0</v>
      </c>
      <c r="B1745" s="103" t="s">
        <v>5181</v>
      </c>
      <c r="C1745" s="104">
        <v>8.050115572E11</v>
      </c>
      <c r="D1745" s="103" t="s">
        <v>5182</v>
      </c>
      <c r="E1745" s="103" t="s">
        <v>5183</v>
      </c>
      <c r="F1745" s="103" t="s">
        <v>5184</v>
      </c>
      <c r="G1745" s="103" t="s">
        <v>20</v>
      </c>
      <c r="H1745" s="103" t="s">
        <v>20</v>
      </c>
      <c r="I1745" s="104">
        <v>4400.0</v>
      </c>
      <c r="J1745" s="104">
        <v>3.875408833E9</v>
      </c>
      <c r="K1745" s="103" t="s">
        <v>5185</v>
      </c>
      <c r="L1745" s="103" t="s">
        <v>5186</v>
      </c>
      <c r="M1745" s="104">
        <v>2.0</v>
      </c>
      <c r="N1745" s="105"/>
      <c r="O1745" s="103" t="s">
        <v>5187</v>
      </c>
    </row>
    <row r="1746" hidden="1">
      <c r="A1746" s="102">
        <v>45980.0</v>
      </c>
      <c r="B1746" s="103" t="s">
        <v>5188</v>
      </c>
      <c r="C1746" s="104">
        <v>8.07025033801E11</v>
      </c>
      <c r="D1746" s="103" t="s">
        <v>5189</v>
      </c>
      <c r="E1746" s="103" t="s">
        <v>5190</v>
      </c>
      <c r="F1746" s="103" t="s">
        <v>5191</v>
      </c>
      <c r="G1746" s="103" t="s">
        <v>127</v>
      </c>
      <c r="H1746" s="103" t="s">
        <v>20</v>
      </c>
      <c r="I1746" s="104">
        <v>4400.0</v>
      </c>
      <c r="J1746" s="104">
        <v>3.885058941E9</v>
      </c>
      <c r="K1746" s="104">
        <v>125801.0</v>
      </c>
      <c r="L1746" s="103" t="s">
        <v>5192</v>
      </c>
      <c r="M1746" s="104">
        <v>2.0</v>
      </c>
      <c r="N1746" s="105"/>
      <c r="O1746" s="103" t="s">
        <v>1734</v>
      </c>
    </row>
    <row r="1747" hidden="1">
      <c r="A1747" s="102">
        <v>45980.0</v>
      </c>
      <c r="B1747" s="103" t="s">
        <v>5188</v>
      </c>
      <c r="C1747" s="104">
        <v>8.07025033801E11</v>
      </c>
      <c r="D1747" s="103" t="s">
        <v>5189</v>
      </c>
      <c r="E1747" s="103" t="s">
        <v>5190</v>
      </c>
      <c r="F1747" s="103" t="s">
        <v>5191</v>
      </c>
      <c r="G1747" s="103" t="s">
        <v>127</v>
      </c>
      <c r="H1747" s="103" t="s">
        <v>20</v>
      </c>
      <c r="I1747" s="104">
        <v>4400.0</v>
      </c>
      <c r="J1747" s="104">
        <v>3.885058941E9</v>
      </c>
      <c r="K1747" s="103" t="s">
        <v>32</v>
      </c>
      <c r="L1747" s="103" t="s">
        <v>3225</v>
      </c>
      <c r="M1747" s="104">
        <v>1.0</v>
      </c>
      <c r="N1747" s="105"/>
      <c r="O1747" s="103" t="s">
        <v>1734</v>
      </c>
    </row>
    <row r="1748" hidden="1">
      <c r="A1748" s="102">
        <v>45980.0</v>
      </c>
      <c r="B1748" s="103" t="s">
        <v>5188</v>
      </c>
      <c r="C1748" s="104">
        <v>8.07025033801E11</v>
      </c>
      <c r="D1748" s="103" t="s">
        <v>5189</v>
      </c>
      <c r="E1748" s="103" t="s">
        <v>5190</v>
      </c>
      <c r="F1748" s="103" t="s">
        <v>5191</v>
      </c>
      <c r="G1748" s="103" t="s">
        <v>127</v>
      </c>
      <c r="H1748" s="103" t="s">
        <v>20</v>
      </c>
      <c r="I1748" s="104">
        <v>4400.0</v>
      </c>
      <c r="J1748" s="104">
        <v>3.885058941E9</v>
      </c>
      <c r="K1748" s="103" t="s">
        <v>512</v>
      </c>
      <c r="L1748" s="103" t="s">
        <v>513</v>
      </c>
      <c r="M1748" s="104">
        <v>6.0</v>
      </c>
      <c r="N1748" s="105"/>
      <c r="O1748" s="103" t="s">
        <v>1734</v>
      </c>
    </row>
    <row r="1749" hidden="1">
      <c r="A1749" s="102">
        <v>45980.0</v>
      </c>
      <c r="B1749" s="103" t="s">
        <v>5188</v>
      </c>
      <c r="C1749" s="104">
        <v>8.07025033801E11</v>
      </c>
      <c r="D1749" s="103" t="s">
        <v>5189</v>
      </c>
      <c r="E1749" s="103" t="s">
        <v>5190</v>
      </c>
      <c r="F1749" s="103" t="s">
        <v>5191</v>
      </c>
      <c r="G1749" s="103" t="s">
        <v>127</v>
      </c>
      <c r="H1749" s="103" t="s">
        <v>20</v>
      </c>
      <c r="I1749" s="104">
        <v>4400.0</v>
      </c>
      <c r="J1749" s="104">
        <v>3.885058941E9</v>
      </c>
      <c r="K1749" s="103" t="s">
        <v>670</v>
      </c>
      <c r="L1749" s="103" t="s">
        <v>3410</v>
      </c>
      <c r="M1749" s="104">
        <v>1.0</v>
      </c>
      <c r="N1749" s="105"/>
      <c r="O1749" s="103" t="s">
        <v>1734</v>
      </c>
    </row>
    <row r="1750" hidden="1">
      <c r="A1750" s="102">
        <v>45980.0</v>
      </c>
      <c r="B1750" s="103" t="s">
        <v>5193</v>
      </c>
      <c r="C1750" s="104">
        <v>8.06217067871E11</v>
      </c>
      <c r="D1750" s="103" t="s">
        <v>5194</v>
      </c>
      <c r="E1750" s="103" t="s">
        <v>5195</v>
      </c>
      <c r="F1750" s="103" t="s">
        <v>5196</v>
      </c>
      <c r="G1750" s="103" t="s">
        <v>4056</v>
      </c>
      <c r="H1750" s="103" t="s">
        <v>20</v>
      </c>
      <c r="I1750" s="104">
        <v>4423.0</v>
      </c>
      <c r="J1750" s="104">
        <v>3.874073497E9</v>
      </c>
      <c r="K1750" s="104">
        <v>125801.0</v>
      </c>
      <c r="L1750" s="103" t="s">
        <v>5192</v>
      </c>
      <c r="M1750" s="104">
        <v>2.0</v>
      </c>
      <c r="N1750" s="105"/>
      <c r="O1750" s="105"/>
    </row>
    <row r="1751" hidden="1">
      <c r="A1751" s="102">
        <v>45980.0</v>
      </c>
      <c r="B1751" s="103" t="s">
        <v>5197</v>
      </c>
      <c r="C1751" s="104">
        <v>8.06217067872E11</v>
      </c>
      <c r="D1751" s="103" t="s">
        <v>5194</v>
      </c>
      <c r="E1751" s="103" t="s">
        <v>5195</v>
      </c>
      <c r="F1751" s="103" t="s">
        <v>5196</v>
      </c>
      <c r="G1751" s="103" t="s">
        <v>4056</v>
      </c>
      <c r="H1751" s="103" t="s">
        <v>20</v>
      </c>
      <c r="I1751" s="104">
        <v>4423.0</v>
      </c>
      <c r="J1751" s="104">
        <v>3.874073497E9</v>
      </c>
      <c r="K1751" s="103" t="s">
        <v>32</v>
      </c>
      <c r="L1751" s="103" t="s">
        <v>3225</v>
      </c>
      <c r="M1751" s="104">
        <v>1.0</v>
      </c>
      <c r="N1751" s="105"/>
      <c r="O1751" s="105"/>
    </row>
    <row r="1752" hidden="1">
      <c r="A1752" s="102">
        <v>45980.0</v>
      </c>
      <c r="B1752" s="103" t="s">
        <v>5197</v>
      </c>
      <c r="C1752" s="104">
        <v>8.06217067872E11</v>
      </c>
      <c r="D1752" s="103" t="s">
        <v>5194</v>
      </c>
      <c r="E1752" s="103" t="s">
        <v>5195</v>
      </c>
      <c r="F1752" s="103" t="s">
        <v>5196</v>
      </c>
      <c r="G1752" s="103" t="s">
        <v>4056</v>
      </c>
      <c r="H1752" s="103" t="s">
        <v>20</v>
      </c>
      <c r="I1752" s="104">
        <v>4423.0</v>
      </c>
      <c r="J1752" s="104">
        <v>3.874073497E9</v>
      </c>
      <c r="K1752" s="103" t="s">
        <v>512</v>
      </c>
      <c r="L1752" s="103" t="s">
        <v>513</v>
      </c>
      <c r="M1752" s="104">
        <v>6.0</v>
      </c>
      <c r="N1752" s="105"/>
      <c r="O1752" s="105"/>
    </row>
    <row r="1753" hidden="1">
      <c r="A1753" s="102">
        <v>45980.0</v>
      </c>
      <c r="B1753" s="103" t="s">
        <v>5197</v>
      </c>
      <c r="C1753" s="104">
        <v>8.06217067872E11</v>
      </c>
      <c r="D1753" s="103" t="s">
        <v>5194</v>
      </c>
      <c r="E1753" s="103" t="s">
        <v>5195</v>
      </c>
      <c r="F1753" s="103" t="s">
        <v>5196</v>
      </c>
      <c r="G1753" s="103" t="s">
        <v>4056</v>
      </c>
      <c r="H1753" s="103" t="s">
        <v>20</v>
      </c>
      <c r="I1753" s="104">
        <v>4423.0</v>
      </c>
      <c r="J1753" s="104">
        <v>3.874073497E9</v>
      </c>
      <c r="K1753" s="103" t="s">
        <v>670</v>
      </c>
      <c r="L1753" s="103" t="s">
        <v>3410</v>
      </c>
      <c r="M1753" s="104">
        <v>1.0</v>
      </c>
      <c r="N1753" s="105"/>
      <c r="O1753" s="105"/>
    </row>
    <row r="1754" hidden="1">
      <c r="A1754" s="102">
        <v>45980.0</v>
      </c>
      <c r="B1754" s="103" t="s">
        <v>5198</v>
      </c>
      <c r="C1754" s="104">
        <v>8.05011558517E11</v>
      </c>
      <c r="D1754" s="103" t="s">
        <v>5199</v>
      </c>
      <c r="E1754" s="103" t="s">
        <v>5200</v>
      </c>
      <c r="F1754" s="103" t="s">
        <v>5201</v>
      </c>
      <c r="G1754" s="103" t="s">
        <v>41</v>
      </c>
      <c r="H1754" s="103" t="s">
        <v>20</v>
      </c>
      <c r="I1754" s="104">
        <v>4560.0</v>
      </c>
      <c r="J1754" s="106">
        <v>5.4939E12</v>
      </c>
      <c r="K1754" s="103" t="s">
        <v>32</v>
      </c>
      <c r="L1754" s="103" t="s">
        <v>3225</v>
      </c>
      <c r="M1754" s="104">
        <v>1.0</v>
      </c>
      <c r="N1754" s="105"/>
      <c r="O1754" s="105"/>
    </row>
    <row r="1755" hidden="1">
      <c r="A1755" s="102">
        <v>45980.0</v>
      </c>
      <c r="B1755" s="103" t="s">
        <v>5198</v>
      </c>
      <c r="C1755" s="104">
        <v>8.05011558517E11</v>
      </c>
      <c r="D1755" s="103" t="s">
        <v>5199</v>
      </c>
      <c r="E1755" s="103" t="s">
        <v>5200</v>
      </c>
      <c r="F1755" s="103" t="s">
        <v>5201</v>
      </c>
      <c r="G1755" s="103" t="s">
        <v>41</v>
      </c>
      <c r="H1755" s="103" t="s">
        <v>20</v>
      </c>
      <c r="I1755" s="104">
        <v>4560.0</v>
      </c>
      <c r="J1755" s="106">
        <v>5.4939E12</v>
      </c>
      <c r="K1755" s="103" t="s">
        <v>512</v>
      </c>
      <c r="L1755" s="103" t="s">
        <v>513</v>
      </c>
      <c r="M1755" s="104">
        <v>6.0</v>
      </c>
      <c r="N1755" s="105"/>
      <c r="O1755" s="105"/>
    </row>
    <row r="1756" hidden="1">
      <c r="A1756" s="102">
        <v>45980.0</v>
      </c>
      <c r="B1756" s="103" t="s">
        <v>5198</v>
      </c>
      <c r="C1756" s="104">
        <v>8.05011558517E11</v>
      </c>
      <c r="D1756" s="103" t="s">
        <v>5199</v>
      </c>
      <c r="E1756" s="103" t="s">
        <v>5200</v>
      </c>
      <c r="F1756" s="103" t="s">
        <v>5201</v>
      </c>
      <c r="G1756" s="103" t="s">
        <v>41</v>
      </c>
      <c r="H1756" s="103" t="s">
        <v>20</v>
      </c>
      <c r="I1756" s="104">
        <v>4560.0</v>
      </c>
      <c r="J1756" s="106">
        <v>5.4939E12</v>
      </c>
      <c r="K1756" s="103" t="s">
        <v>670</v>
      </c>
      <c r="L1756" s="103" t="s">
        <v>3410</v>
      </c>
      <c r="M1756" s="104">
        <v>1.0</v>
      </c>
      <c r="N1756" s="105"/>
      <c r="O1756" s="105"/>
    </row>
    <row r="1757" hidden="1">
      <c r="A1757" s="102">
        <v>45980.0</v>
      </c>
      <c r="B1757" s="103" t="s">
        <v>5202</v>
      </c>
      <c r="C1757" s="104">
        <v>8.07025033814E11</v>
      </c>
      <c r="D1757" s="103" t="s">
        <v>5203</v>
      </c>
      <c r="E1757" s="103" t="s">
        <v>5204</v>
      </c>
      <c r="F1757" s="103" t="s">
        <v>5205</v>
      </c>
      <c r="G1757" s="103" t="s">
        <v>127</v>
      </c>
      <c r="H1757" s="103" t="s">
        <v>20</v>
      </c>
      <c r="I1757" s="104">
        <v>4400.0</v>
      </c>
      <c r="J1757" s="104">
        <v>3.874090971E9</v>
      </c>
      <c r="K1757" s="103" t="s">
        <v>2956</v>
      </c>
      <c r="L1757" s="103" t="s">
        <v>3327</v>
      </c>
      <c r="M1757" s="104">
        <v>1.0</v>
      </c>
      <c r="N1757" s="105"/>
      <c r="O1757" s="105"/>
    </row>
    <row r="1758" hidden="1">
      <c r="A1758" s="102">
        <v>45980.0</v>
      </c>
      <c r="B1758" s="103" t="s">
        <v>5206</v>
      </c>
      <c r="C1758" s="104">
        <v>8.0702503381E11</v>
      </c>
      <c r="D1758" s="103" t="s">
        <v>5207</v>
      </c>
      <c r="E1758" s="103" t="s">
        <v>5208</v>
      </c>
      <c r="F1758" s="103" t="s">
        <v>5209</v>
      </c>
      <c r="G1758" s="103" t="s">
        <v>2177</v>
      </c>
      <c r="H1758" s="103" t="s">
        <v>20</v>
      </c>
      <c r="I1758" s="104">
        <v>4430.0</v>
      </c>
      <c r="J1758" s="104">
        <v>3.875377521E9</v>
      </c>
      <c r="K1758" s="103" t="s">
        <v>2956</v>
      </c>
      <c r="L1758" s="103" t="s">
        <v>3327</v>
      </c>
      <c r="M1758" s="104">
        <v>1.0</v>
      </c>
      <c r="N1758" s="105"/>
      <c r="O1758" s="103" t="s">
        <v>5210</v>
      </c>
    </row>
    <row r="1759" hidden="1">
      <c r="A1759" s="102">
        <v>45980.0</v>
      </c>
      <c r="B1759" s="103" t="s">
        <v>5211</v>
      </c>
      <c r="C1759" s="104">
        <v>8.05011559E11</v>
      </c>
      <c r="D1759" s="103" t="s">
        <v>5212</v>
      </c>
      <c r="E1759" s="103" t="s">
        <v>5213</v>
      </c>
      <c r="F1759" s="103" t="s">
        <v>5214</v>
      </c>
      <c r="G1759" s="103" t="s">
        <v>5215</v>
      </c>
      <c r="H1759" s="103" t="s">
        <v>20</v>
      </c>
      <c r="I1759" s="104">
        <v>4421.0</v>
      </c>
      <c r="J1759" s="106">
        <v>5.4388E11</v>
      </c>
      <c r="K1759" s="103" t="s">
        <v>5034</v>
      </c>
      <c r="L1759" s="103" t="s">
        <v>5035</v>
      </c>
      <c r="M1759" s="104">
        <v>1.0</v>
      </c>
      <c r="N1759" s="105"/>
      <c r="O1759" s="103" t="s">
        <v>5216</v>
      </c>
    </row>
    <row r="1760" hidden="1">
      <c r="A1760" s="102">
        <v>45980.0</v>
      </c>
      <c r="B1760" s="103" t="s">
        <v>5211</v>
      </c>
      <c r="C1760" s="104">
        <v>8.05011559E11</v>
      </c>
      <c r="D1760" s="103" t="s">
        <v>5212</v>
      </c>
      <c r="E1760" s="103" t="s">
        <v>5213</v>
      </c>
      <c r="F1760" s="103" t="s">
        <v>5214</v>
      </c>
      <c r="G1760" s="103" t="s">
        <v>5215</v>
      </c>
      <c r="H1760" s="103" t="s">
        <v>20</v>
      </c>
      <c r="I1760" s="104">
        <v>4421.0</v>
      </c>
      <c r="J1760" s="106">
        <v>5.4388E11</v>
      </c>
      <c r="K1760" s="103" t="s">
        <v>512</v>
      </c>
      <c r="L1760" s="103" t="s">
        <v>513</v>
      </c>
      <c r="M1760" s="104">
        <v>6.0</v>
      </c>
      <c r="N1760" s="105"/>
      <c r="O1760" s="103" t="s">
        <v>5216</v>
      </c>
    </row>
    <row r="1761" hidden="1">
      <c r="A1761" s="102">
        <v>45980.0</v>
      </c>
      <c r="B1761" s="103" t="s">
        <v>5211</v>
      </c>
      <c r="C1761" s="104">
        <v>8.05011559E11</v>
      </c>
      <c r="D1761" s="103" t="s">
        <v>5212</v>
      </c>
      <c r="E1761" s="103" t="s">
        <v>5213</v>
      </c>
      <c r="F1761" s="103" t="s">
        <v>5214</v>
      </c>
      <c r="G1761" s="103" t="s">
        <v>5215</v>
      </c>
      <c r="H1761" s="103" t="s">
        <v>20</v>
      </c>
      <c r="I1761" s="104">
        <v>4421.0</v>
      </c>
      <c r="J1761" s="106">
        <v>5.4388E11</v>
      </c>
      <c r="K1761" s="103" t="s">
        <v>670</v>
      </c>
      <c r="L1761" s="103" t="s">
        <v>3410</v>
      </c>
      <c r="M1761" s="104">
        <v>1.0</v>
      </c>
      <c r="N1761" s="105"/>
      <c r="O1761" s="103" t="s">
        <v>5216</v>
      </c>
    </row>
    <row r="1762" hidden="1">
      <c r="A1762" s="102">
        <v>45980.0</v>
      </c>
      <c r="B1762" s="103" t="s">
        <v>5217</v>
      </c>
      <c r="C1762" s="104">
        <v>8.07025033847E11</v>
      </c>
      <c r="D1762" s="103" t="s">
        <v>5218</v>
      </c>
      <c r="E1762" s="103" t="s">
        <v>5219</v>
      </c>
      <c r="F1762" s="103" t="s">
        <v>5220</v>
      </c>
      <c r="G1762" s="103" t="s">
        <v>127</v>
      </c>
      <c r="H1762" s="103" t="s">
        <v>20</v>
      </c>
      <c r="I1762" s="104">
        <v>4400.0</v>
      </c>
      <c r="J1762" s="104">
        <v>3.874414446E9</v>
      </c>
      <c r="K1762" s="103" t="s">
        <v>4938</v>
      </c>
      <c r="L1762" s="103" t="s">
        <v>4939</v>
      </c>
      <c r="M1762" s="104">
        <v>1.0</v>
      </c>
      <c r="N1762" s="105"/>
      <c r="O1762" s="105"/>
    </row>
    <row r="1763" hidden="1">
      <c r="A1763" s="102">
        <v>45980.0</v>
      </c>
      <c r="B1763" s="103" t="s">
        <v>5221</v>
      </c>
      <c r="C1763" s="104">
        <v>8.05011559435E11</v>
      </c>
      <c r="D1763" s="103" t="s">
        <v>5222</v>
      </c>
      <c r="E1763" s="103" t="s">
        <v>5223</v>
      </c>
      <c r="F1763" s="103" t="s">
        <v>5224</v>
      </c>
      <c r="G1763" s="103" t="s">
        <v>104</v>
      </c>
      <c r="H1763" s="103" t="s">
        <v>20</v>
      </c>
      <c r="I1763" s="104">
        <v>4400.0</v>
      </c>
      <c r="J1763" s="104">
        <v>1.133234536E9</v>
      </c>
      <c r="K1763" s="103" t="s">
        <v>5185</v>
      </c>
      <c r="L1763" s="103" t="s">
        <v>5186</v>
      </c>
      <c r="M1763" s="104">
        <v>1.0</v>
      </c>
      <c r="N1763" s="105"/>
      <c r="O1763" s="103" t="s">
        <v>5225</v>
      </c>
    </row>
    <row r="1764" hidden="1">
      <c r="A1764" s="102">
        <v>45980.0</v>
      </c>
      <c r="B1764" s="103" t="s">
        <v>5226</v>
      </c>
      <c r="C1764" s="104">
        <v>8.07025033858E11</v>
      </c>
      <c r="D1764" s="103" t="s">
        <v>5227</v>
      </c>
      <c r="E1764" s="103" t="s">
        <v>5228</v>
      </c>
      <c r="F1764" s="103" t="s">
        <v>5229</v>
      </c>
      <c r="G1764" s="103" t="s">
        <v>127</v>
      </c>
      <c r="H1764" s="103" t="s">
        <v>20</v>
      </c>
      <c r="I1764" s="104">
        <v>4400.0</v>
      </c>
      <c r="J1764" s="104">
        <v>3.875470901E9</v>
      </c>
      <c r="K1764" s="103" t="s">
        <v>2171</v>
      </c>
      <c r="L1764" s="103" t="s">
        <v>3446</v>
      </c>
      <c r="M1764" s="104">
        <v>2.0</v>
      </c>
      <c r="N1764" s="105"/>
      <c r="O1764" s="103" t="s">
        <v>5230</v>
      </c>
    </row>
    <row r="1765" hidden="1">
      <c r="A1765" s="102">
        <v>45980.0</v>
      </c>
      <c r="B1765" s="103" t="s">
        <v>5231</v>
      </c>
      <c r="C1765" s="104">
        <v>8.05011559336E11</v>
      </c>
      <c r="D1765" s="103" t="s">
        <v>5232</v>
      </c>
      <c r="E1765" s="103" t="s">
        <v>5233</v>
      </c>
      <c r="F1765" s="103" t="s">
        <v>5234</v>
      </c>
      <c r="G1765" s="103" t="s">
        <v>20</v>
      </c>
      <c r="H1765" s="103" t="s">
        <v>20</v>
      </c>
      <c r="I1765" s="104">
        <v>4400.0</v>
      </c>
      <c r="J1765" s="104">
        <v>1.134238105E9</v>
      </c>
      <c r="K1765" s="103" t="s">
        <v>634</v>
      </c>
      <c r="L1765" s="103" t="s">
        <v>635</v>
      </c>
      <c r="M1765" s="104">
        <v>1.0</v>
      </c>
      <c r="N1765" s="105"/>
      <c r="O1765" s="105"/>
    </row>
    <row r="1766" hidden="1">
      <c r="A1766" s="102">
        <v>45980.0</v>
      </c>
      <c r="B1766" s="103" t="s">
        <v>5235</v>
      </c>
      <c r="C1766" s="104">
        <v>8.05011559612E11</v>
      </c>
      <c r="D1766" s="103" t="s">
        <v>5236</v>
      </c>
      <c r="E1766" s="103" t="s">
        <v>5237</v>
      </c>
      <c r="F1766" s="103" t="s">
        <v>5238</v>
      </c>
      <c r="G1766" s="103" t="s">
        <v>20</v>
      </c>
      <c r="H1766" s="103" t="s">
        <v>20</v>
      </c>
      <c r="I1766" s="104">
        <v>4400.0</v>
      </c>
      <c r="J1766" s="104">
        <v>1.161024648E9</v>
      </c>
      <c r="K1766" s="103" t="s">
        <v>2909</v>
      </c>
      <c r="L1766" s="103" t="s">
        <v>5239</v>
      </c>
      <c r="M1766" s="104">
        <v>2.0</v>
      </c>
      <c r="N1766" s="105"/>
      <c r="O1766" s="103" t="s">
        <v>5240</v>
      </c>
    </row>
    <row r="1767" hidden="1">
      <c r="A1767" s="102">
        <v>45980.0</v>
      </c>
      <c r="B1767" s="103" t="s">
        <v>5241</v>
      </c>
      <c r="C1767" s="104">
        <v>8.05011559068E11</v>
      </c>
      <c r="D1767" s="103" t="s">
        <v>5242</v>
      </c>
      <c r="E1767" s="103" t="s">
        <v>5243</v>
      </c>
      <c r="F1767" s="103" t="s">
        <v>5244</v>
      </c>
      <c r="G1767" s="103" t="s">
        <v>20</v>
      </c>
      <c r="H1767" s="103" t="s">
        <v>20</v>
      </c>
      <c r="I1767" s="104">
        <v>4400.0</v>
      </c>
      <c r="J1767" s="104">
        <v>3.456028546E9</v>
      </c>
      <c r="K1767" s="103" t="s">
        <v>2135</v>
      </c>
      <c r="L1767" s="103" t="s">
        <v>5094</v>
      </c>
      <c r="M1767" s="104">
        <v>1.0</v>
      </c>
      <c r="N1767" s="105"/>
      <c r="O1767" s="103" t="s">
        <v>5245</v>
      </c>
    </row>
    <row r="1768" hidden="1">
      <c r="A1768" s="102">
        <v>45980.0</v>
      </c>
      <c r="B1768" s="103" t="s">
        <v>5246</v>
      </c>
      <c r="C1768" s="104">
        <v>8.0501155949E11</v>
      </c>
      <c r="D1768" s="103" t="s">
        <v>5247</v>
      </c>
      <c r="E1768" s="103" t="s">
        <v>5248</v>
      </c>
      <c r="F1768" s="103" t="s">
        <v>5249</v>
      </c>
      <c r="G1768" s="103" t="s">
        <v>368</v>
      </c>
      <c r="H1768" s="103" t="s">
        <v>20</v>
      </c>
      <c r="I1768" s="104">
        <v>4530.0</v>
      </c>
      <c r="J1768" s="103" t="s">
        <v>5250</v>
      </c>
      <c r="K1768" s="103" t="s">
        <v>32</v>
      </c>
      <c r="L1768" s="103" t="s">
        <v>3225</v>
      </c>
      <c r="M1768" s="104">
        <v>1.0</v>
      </c>
      <c r="N1768" s="105"/>
      <c r="O1768" s="103" t="s">
        <v>5251</v>
      </c>
    </row>
    <row r="1769" hidden="1">
      <c r="A1769" s="102">
        <v>45980.0</v>
      </c>
      <c r="B1769" s="103" t="s">
        <v>5246</v>
      </c>
      <c r="C1769" s="104">
        <v>8.0501155949E11</v>
      </c>
      <c r="D1769" s="103" t="s">
        <v>5247</v>
      </c>
      <c r="E1769" s="103" t="s">
        <v>5248</v>
      </c>
      <c r="F1769" s="103" t="s">
        <v>5249</v>
      </c>
      <c r="G1769" s="103" t="s">
        <v>368</v>
      </c>
      <c r="H1769" s="103" t="s">
        <v>20</v>
      </c>
      <c r="I1769" s="104">
        <v>4530.0</v>
      </c>
      <c r="J1769" s="103" t="s">
        <v>5250</v>
      </c>
      <c r="K1769" s="103" t="s">
        <v>512</v>
      </c>
      <c r="L1769" s="103" t="s">
        <v>513</v>
      </c>
      <c r="M1769" s="104">
        <v>6.0</v>
      </c>
      <c r="N1769" s="105"/>
      <c r="O1769" s="103" t="s">
        <v>5251</v>
      </c>
    </row>
    <row r="1770" hidden="1">
      <c r="A1770" s="102">
        <v>45980.0</v>
      </c>
      <c r="B1770" s="103" t="s">
        <v>5246</v>
      </c>
      <c r="C1770" s="104">
        <v>8.0501155949E11</v>
      </c>
      <c r="D1770" s="103" t="s">
        <v>5247</v>
      </c>
      <c r="E1770" s="103" t="s">
        <v>5248</v>
      </c>
      <c r="F1770" s="103" t="s">
        <v>5249</v>
      </c>
      <c r="G1770" s="103" t="s">
        <v>368</v>
      </c>
      <c r="H1770" s="103" t="s">
        <v>20</v>
      </c>
      <c r="I1770" s="104">
        <v>4530.0</v>
      </c>
      <c r="J1770" s="103" t="s">
        <v>5250</v>
      </c>
      <c r="K1770" s="103" t="s">
        <v>670</v>
      </c>
      <c r="L1770" s="103" t="s">
        <v>3410</v>
      </c>
      <c r="M1770" s="104">
        <v>1.0</v>
      </c>
      <c r="N1770" s="105"/>
      <c r="O1770" s="103" t="s">
        <v>5251</v>
      </c>
    </row>
    <row r="1771" hidden="1">
      <c r="A1771" s="102">
        <v>45980.0</v>
      </c>
      <c r="B1771" s="103" t="s">
        <v>5252</v>
      </c>
      <c r="C1771" s="104">
        <v>8.05011560034E11</v>
      </c>
      <c r="D1771" s="103" t="s">
        <v>5253</v>
      </c>
      <c r="E1771" s="103" t="s">
        <v>5254</v>
      </c>
      <c r="F1771" s="103" t="s">
        <v>5255</v>
      </c>
      <c r="G1771" s="103" t="s">
        <v>5256</v>
      </c>
      <c r="H1771" s="103" t="s">
        <v>20</v>
      </c>
      <c r="I1771" s="104">
        <v>4530.0</v>
      </c>
      <c r="J1771" s="104">
        <v>3.875636977E9</v>
      </c>
      <c r="K1771" s="103" t="s">
        <v>5185</v>
      </c>
      <c r="L1771" s="103" t="s">
        <v>5186</v>
      </c>
      <c r="M1771" s="104">
        <v>1.0</v>
      </c>
      <c r="N1771" s="105"/>
      <c r="O1771" s="103" t="s">
        <v>5257</v>
      </c>
    </row>
    <row r="1772" hidden="1">
      <c r="A1772" s="102">
        <v>45980.0</v>
      </c>
      <c r="B1772" s="103" t="s">
        <v>5252</v>
      </c>
      <c r="C1772" s="104">
        <v>8.05011560034E11</v>
      </c>
      <c r="D1772" s="103" t="s">
        <v>5253</v>
      </c>
      <c r="E1772" s="103" t="s">
        <v>5254</v>
      </c>
      <c r="F1772" s="103" t="s">
        <v>5255</v>
      </c>
      <c r="G1772" s="103" t="s">
        <v>5256</v>
      </c>
      <c r="H1772" s="103" t="s">
        <v>20</v>
      </c>
      <c r="I1772" s="104">
        <v>4530.0</v>
      </c>
      <c r="J1772" s="104">
        <v>3.875636977E9</v>
      </c>
      <c r="K1772" s="103" t="s">
        <v>5034</v>
      </c>
      <c r="L1772" s="103" t="s">
        <v>5035</v>
      </c>
      <c r="M1772" s="104">
        <v>1.0</v>
      </c>
      <c r="N1772" s="105"/>
      <c r="O1772" s="103" t="s">
        <v>5257</v>
      </c>
    </row>
    <row r="1773" hidden="1">
      <c r="A1773" s="102">
        <v>45980.0</v>
      </c>
      <c r="B1773" s="103" t="s">
        <v>5252</v>
      </c>
      <c r="C1773" s="104">
        <v>8.05011560034E11</v>
      </c>
      <c r="D1773" s="103" t="s">
        <v>5253</v>
      </c>
      <c r="E1773" s="103" t="s">
        <v>5254</v>
      </c>
      <c r="F1773" s="103" t="s">
        <v>5255</v>
      </c>
      <c r="G1773" s="103" t="s">
        <v>5256</v>
      </c>
      <c r="H1773" s="103" t="s">
        <v>20</v>
      </c>
      <c r="I1773" s="104">
        <v>4530.0</v>
      </c>
      <c r="J1773" s="104">
        <v>3.875636977E9</v>
      </c>
      <c r="K1773" s="103" t="s">
        <v>512</v>
      </c>
      <c r="L1773" s="103" t="s">
        <v>513</v>
      </c>
      <c r="M1773" s="104">
        <v>6.0</v>
      </c>
      <c r="N1773" s="105"/>
      <c r="O1773" s="103" t="s">
        <v>5257</v>
      </c>
    </row>
    <row r="1774" hidden="1">
      <c r="A1774" s="102">
        <v>45980.0</v>
      </c>
      <c r="B1774" s="103" t="s">
        <v>5252</v>
      </c>
      <c r="C1774" s="104">
        <v>8.05011560034E11</v>
      </c>
      <c r="D1774" s="103" t="s">
        <v>5253</v>
      </c>
      <c r="E1774" s="103" t="s">
        <v>5254</v>
      </c>
      <c r="F1774" s="103" t="s">
        <v>5255</v>
      </c>
      <c r="G1774" s="103" t="s">
        <v>5256</v>
      </c>
      <c r="H1774" s="103" t="s">
        <v>20</v>
      </c>
      <c r="I1774" s="104">
        <v>4530.0</v>
      </c>
      <c r="J1774" s="104">
        <v>3.875636977E9</v>
      </c>
      <c r="K1774" s="103" t="s">
        <v>2031</v>
      </c>
      <c r="L1774" s="103" t="s">
        <v>3348</v>
      </c>
      <c r="M1774" s="104">
        <v>1.0</v>
      </c>
      <c r="N1774" s="105"/>
      <c r="O1774" s="103" t="s">
        <v>5257</v>
      </c>
    </row>
    <row r="1775" hidden="1">
      <c r="A1775" s="102">
        <v>45980.0</v>
      </c>
      <c r="B1775" s="103" t="s">
        <v>5258</v>
      </c>
      <c r="C1775" s="104">
        <v>8.05011560328E11</v>
      </c>
      <c r="D1775" s="103" t="s">
        <v>5259</v>
      </c>
      <c r="E1775" s="103" t="s">
        <v>5260</v>
      </c>
      <c r="F1775" s="103" t="s">
        <v>5261</v>
      </c>
      <c r="G1775" s="103" t="s">
        <v>1986</v>
      </c>
      <c r="H1775" s="103" t="s">
        <v>20</v>
      </c>
      <c r="I1775" s="104">
        <v>4403.0</v>
      </c>
      <c r="J1775" s="106">
        <v>5.4388E11</v>
      </c>
      <c r="K1775" s="103" t="s">
        <v>5262</v>
      </c>
      <c r="L1775" s="103" t="s">
        <v>5263</v>
      </c>
      <c r="M1775" s="104">
        <v>1.0</v>
      </c>
      <c r="N1775" s="105"/>
      <c r="O1775" s="105"/>
    </row>
    <row r="1776" hidden="1">
      <c r="A1776" s="102">
        <v>45980.0</v>
      </c>
      <c r="B1776" s="103" t="s">
        <v>5258</v>
      </c>
      <c r="C1776" s="104">
        <v>8.05011560328E11</v>
      </c>
      <c r="D1776" s="103" t="s">
        <v>5259</v>
      </c>
      <c r="E1776" s="103" t="s">
        <v>5260</v>
      </c>
      <c r="F1776" s="103" t="s">
        <v>5261</v>
      </c>
      <c r="G1776" s="103" t="s">
        <v>1986</v>
      </c>
      <c r="H1776" s="103" t="s">
        <v>20</v>
      </c>
      <c r="I1776" s="104">
        <v>4403.0</v>
      </c>
      <c r="J1776" s="106">
        <v>5.4388E11</v>
      </c>
      <c r="K1776" s="103" t="s">
        <v>50</v>
      </c>
      <c r="L1776" s="103" t="s">
        <v>51</v>
      </c>
      <c r="M1776" s="104">
        <v>1.0</v>
      </c>
      <c r="N1776" s="105"/>
      <c r="O1776" s="105"/>
    </row>
    <row r="1777" hidden="1">
      <c r="A1777" s="102">
        <v>45980.0</v>
      </c>
      <c r="B1777" s="103" t="s">
        <v>5264</v>
      </c>
      <c r="C1777" s="104">
        <v>8.05011560305E11</v>
      </c>
      <c r="D1777" s="103" t="s">
        <v>5265</v>
      </c>
      <c r="E1777" s="103" t="s">
        <v>5266</v>
      </c>
      <c r="F1777" s="103" t="s">
        <v>5267</v>
      </c>
      <c r="G1777" s="103" t="s">
        <v>5046</v>
      </c>
      <c r="H1777" s="103" t="s">
        <v>20</v>
      </c>
      <c r="I1777" s="104">
        <v>4531.0</v>
      </c>
      <c r="J1777" s="104">
        <v>3.878505279E9</v>
      </c>
      <c r="K1777" s="103" t="s">
        <v>32</v>
      </c>
      <c r="L1777" s="103" t="s">
        <v>3225</v>
      </c>
      <c r="M1777" s="104">
        <v>1.0</v>
      </c>
      <c r="N1777" s="105"/>
      <c r="O1777" s="105"/>
    </row>
    <row r="1778" hidden="1">
      <c r="A1778" s="102">
        <v>45980.0</v>
      </c>
      <c r="B1778" s="103" t="s">
        <v>5268</v>
      </c>
      <c r="C1778" s="104">
        <v>8.05011560199E11</v>
      </c>
      <c r="D1778" s="103" t="s">
        <v>5269</v>
      </c>
      <c r="E1778" s="103" t="s">
        <v>5270</v>
      </c>
      <c r="F1778" s="103" t="s">
        <v>5271</v>
      </c>
      <c r="G1778" s="103" t="s">
        <v>5272</v>
      </c>
      <c r="H1778" s="103" t="s">
        <v>20</v>
      </c>
      <c r="I1778" s="104">
        <v>4411.0</v>
      </c>
      <c r="J1778" s="103" t="s">
        <v>5273</v>
      </c>
      <c r="K1778" s="103" t="s">
        <v>617</v>
      </c>
      <c r="L1778" s="103" t="s">
        <v>3867</v>
      </c>
      <c r="M1778" s="104">
        <v>1.0</v>
      </c>
      <c r="N1778" s="105"/>
      <c r="O1778" s="105"/>
    </row>
    <row r="1779" hidden="1">
      <c r="A1779" s="102">
        <v>45980.0</v>
      </c>
      <c r="B1779" s="103" t="s">
        <v>5264</v>
      </c>
      <c r="C1779" s="104">
        <v>8.05011560305E11</v>
      </c>
      <c r="D1779" s="103" t="s">
        <v>5265</v>
      </c>
      <c r="E1779" s="103" t="s">
        <v>5266</v>
      </c>
      <c r="F1779" s="103" t="s">
        <v>5267</v>
      </c>
      <c r="G1779" s="103" t="s">
        <v>5046</v>
      </c>
      <c r="H1779" s="103" t="s">
        <v>20</v>
      </c>
      <c r="I1779" s="104">
        <v>4531.0</v>
      </c>
      <c r="J1779" s="104">
        <v>3.878505279E9</v>
      </c>
      <c r="K1779" s="103" t="s">
        <v>512</v>
      </c>
      <c r="L1779" s="103" t="s">
        <v>513</v>
      </c>
      <c r="M1779" s="104">
        <v>6.0</v>
      </c>
      <c r="N1779" s="105"/>
      <c r="O1779" s="105"/>
    </row>
    <row r="1780" hidden="1">
      <c r="A1780" s="102">
        <v>45980.0</v>
      </c>
      <c r="B1780" s="103" t="s">
        <v>5268</v>
      </c>
      <c r="C1780" s="104">
        <v>8.05011560199E11</v>
      </c>
      <c r="D1780" s="103" t="s">
        <v>5269</v>
      </c>
      <c r="E1780" s="103" t="s">
        <v>5270</v>
      </c>
      <c r="F1780" s="103" t="s">
        <v>5271</v>
      </c>
      <c r="G1780" s="103" t="s">
        <v>5272</v>
      </c>
      <c r="H1780" s="103" t="s">
        <v>20</v>
      </c>
      <c r="I1780" s="104">
        <v>4411.0</v>
      </c>
      <c r="J1780" s="103" t="s">
        <v>5273</v>
      </c>
      <c r="K1780" s="103" t="s">
        <v>512</v>
      </c>
      <c r="L1780" s="103" t="s">
        <v>513</v>
      </c>
      <c r="M1780" s="104">
        <v>12.0</v>
      </c>
      <c r="N1780" s="105"/>
      <c r="O1780" s="105"/>
    </row>
    <row r="1781" hidden="1">
      <c r="A1781" s="102">
        <v>45980.0</v>
      </c>
      <c r="B1781" s="103" t="s">
        <v>5268</v>
      </c>
      <c r="C1781" s="104">
        <v>8.05011560199E11</v>
      </c>
      <c r="D1781" s="103" t="s">
        <v>5269</v>
      </c>
      <c r="E1781" s="103" t="s">
        <v>5270</v>
      </c>
      <c r="F1781" s="103" t="s">
        <v>5271</v>
      </c>
      <c r="G1781" s="103" t="s">
        <v>5272</v>
      </c>
      <c r="H1781" s="103" t="s">
        <v>20</v>
      </c>
      <c r="I1781" s="104">
        <v>4411.0</v>
      </c>
      <c r="J1781" s="103" t="s">
        <v>5273</v>
      </c>
      <c r="K1781" s="103" t="s">
        <v>645</v>
      </c>
      <c r="L1781" s="103" t="s">
        <v>3253</v>
      </c>
      <c r="M1781" s="104">
        <v>2.0</v>
      </c>
      <c r="N1781" s="105"/>
      <c r="O1781" s="105"/>
    </row>
    <row r="1782" hidden="1">
      <c r="A1782" s="102">
        <v>45980.0</v>
      </c>
      <c r="B1782" s="103" t="s">
        <v>5264</v>
      </c>
      <c r="C1782" s="104">
        <v>8.05011560305E11</v>
      </c>
      <c r="D1782" s="103" t="s">
        <v>5265</v>
      </c>
      <c r="E1782" s="103" t="s">
        <v>5266</v>
      </c>
      <c r="F1782" s="103" t="s">
        <v>5267</v>
      </c>
      <c r="G1782" s="103" t="s">
        <v>5046</v>
      </c>
      <c r="H1782" s="103" t="s">
        <v>20</v>
      </c>
      <c r="I1782" s="104">
        <v>4531.0</v>
      </c>
      <c r="J1782" s="104">
        <v>3.878505279E9</v>
      </c>
      <c r="K1782" s="103" t="s">
        <v>670</v>
      </c>
      <c r="L1782" s="103" t="s">
        <v>3410</v>
      </c>
      <c r="M1782" s="104">
        <v>1.0</v>
      </c>
      <c r="N1782" s="105"/>
      <c r="O1782" s="105"/>
    </row>
    <row r="1783" ht="7.5" hidden="1" customHeight="1">
      <c r="A1783" s="87"/>
      <c r="B1783" s="88"/>
      <c r="C1783" s="88"/>
      <c r="D1783" s="88"/>
      <c r="E1783" s="88"/>
      <c r="F1783" s="88"/>
      <c r="G1783" s="88"/>
      <c r="H1783" s="88"/>
      <c r="I1783" s="88"/>
      <c r="J1783" s="88"/>
      <c r="K1783" s="88"/>
      <c r="L1783" s="88"/>
      <c r="M1783" s="89"/>
      <c r="N1783" s="90"/>
      <c r="O1783" s="90"/>
    </row>
    <row r="1784" hidden="1">
      <c r="A1784" s="102">
        <v>45987.0</v>
      </c>
      <c r="B1784" s="31" t="s">
        <v>5274</v>
      </c>
      <c r="C1784" s="31">
        <v>8.05011559156E11</v>
      </c>
      <c r="D1784" s="31" t="s">
        <v>2473</v>
      </c>
      <c r="E1784" s="31" t="s">
        <v>5275</v>
      </c>
      <c r="F1784" s="31" t="s">
        <v>5275</v>
      </c>
      <c r="G1784" s="31" t="s">
        <v>247</v>
      </c>
      <c r="H1784" s="31" t="s">
        <v>20</v>
      </c>
      <c r="I1784" s="31">
        <v>4400.0</v>
      </c>
      <c r="J1784" s="31">
        <v>3.874865927E9</v>
      </c>
      <c r="K1784" s="31" t="s">
        <v>98</v>
      </c>
      <c r="L1784" s="31" t="s">
        <v>3187</v>
      </c>
      <c r="M1784" s="33">
        <v>1.0</v>
      </c>
      <c r="N1784" s="34"/>
      <c r="O1784" s="31" t="s">
        <v>5276</v>
      </c>
    </row>
    <row r="1785" hidden="1">
      <c r="A1785" s="102">
        <v>45987.0</v>
      </c>
      <c r="B1785" s="31" t="s">
        <v>5277</v>
      </c>
      <c r="C1785" s="31">
        <v>8.05011560703E11</v>
      </c>
      <c r="D1785" s="31" t="s">
        <v>5278</v>
      </c>
      <c r="E1785" s="31" t="s">
        <v>5279</v>
      </c>
      <c r="F1785" s="31" t="s">
        <v>5279</v>
      </c>
      <c r="G1785" s="31" t="s">
        <v>539</v>
      </c>
      <c r="H1785" s="31" t="s">
        <v>20</v>
      </c>
      <c r="I1785" s="31">
        <v>4405.0</v>
      </c>
      <c r="J1785" s="31">
        <v>3.874585964E9</v>
      </c>
      <c r="K1785" s="31" t="s">
        <v>60</v>
      </c>
      <c r="L1785" s="31" t="s">
        <v>3706</v>
      </c>
      <c r="M1785" s="33">
        <v>1.0</v>
      </c>
      <c r="N1785" s="34"/>
      <c r="O1785" s="31" t="s">
        <v>5280</v>
      </c>
    </row>
    <row r="1786" hidden="1">
      <c r="A1786" s="102">
        <v>45987.0</v>
      </c>
      <c r="B1786" s="31" t="s">
        <v>5277</v>
      </c>
      <c r="C1786" s="31">
        <v>8.05011560703E11</v>
      </c>
      <c r="D1786" s="31" t="s">
        <v>5278</v>
      </c>
      <c r="E1786" s="31" t="s">
        <v>5279</v>
      </c>
      <c r="F1786" s="31" t="s">
        <v>5279</v>
      </c>
      <c r="G1786" s="31" t="s">
        <v>539</v>
      </c>
      <c r="H1786" s="31" t="s">
        <v>20</v>
      </c>
      <c r="I1786" s="31">
        <v>4405.0</v>
      </c>
      <c r="J1786" s="31">
        <v>3.874585964E9</v>
      </c>
      <c r="K1786" s="31" t="s">
        <v>512</v>
      </c>
      <c r="L1786" s="31" t="s">
        <v>513</v>
      </c>
      <c r="M1786" s="33">
        <v>6.0</v>
      </c>
      <c r="N1786" s="34"/>
      <c r="O1786" s="31" t="s">
        <v>5280</v>
      </c>
    </row>
    <row r="1787" hidden="1">
      <c r="A1787" s="102">
        <v>45987.0</v>
      </c>
      <c r="B1787" s="31" t="s">
        <v>5277</v>
      </c>
      <c r="C1787" s="31">
        <v>8.05011560703E11</v>
      </c>
      <c r="D1787" s="31" t="s">
        <v>5278</v>
      </c>
      <c r="E1787" s="31" t="s">
        <v>5279</v>
      </c>
      <c r="F1787" s="31" t="s">
        <v>5279</v>
      </c>
      <c r="G1787" s="31" t="s">
        <v>539</v>
      </c>
      <c r="H1787" s="31" t="s">
        <v>20</v>
      </c>
      <c r="I1787" s="31">
        <v>4405.0</v>
      </c>
      <c r="J1787" s="31">
        <v>3.874585964E9</v>
      </c>
      <c r="K1787" s="31" t="s">
        <v>64</v>
      </c>
      <c r="L1787" s="31" t="s">
        <v>3708</v>
      </c>
      <c r="M1787" s="33">
        <v>1.0</v>
      </c>
      <c r="N1787" s="34"/>
      <c r="O1787" s="31" t="s">
        <v>5280</v>
      </c>
    </row>
    <row r="1788" hidden="1">
      <c r="A1788" s="102">
        <v>45987.0</v>
      </c>
      <c r="B1788" s="31" t="s">
        <v>5281</v>
      </c>
      <c r="C1788" s="31">
        <v>8.05011560778E11</v>
      </c>
      <c r="D1788" s="31" t="s">
        <v>4350</v>
      </c>
      <c r="E1788" s="31" t="s">
        <v>4351</v>
      </c>
      <c r="F1788" s="31" t="s">
        <v>4351</v>
      </c>
      <c r="G1788" s="31" t="s">
        <v>127</v>
      </c>
      <c r="H1788" s="31" t="s">
        <v>20</v>
      </c>
      <c r="I1788" s="31">
        <v>4400.0</v>
      </c>
      <c r="J1788" s="31">
        <v>3.87585828E9</v>
      </c>
      <c r="K1788" s="31" t="s">
        <v>2135</v>
      </c>
      <c r="L1788" s="31" t="s">
        <v>5094</v>
      </c>
      <c r="M1788" s="33">
        <v>1.0</v>
      </c>
      <c r="N1788" s="34"/>
      <c r="O1788" s="34"/>
    </row>
    <row r="1789" hidden="1">
      <c r="A1789" s="102">
        <v>45987.0</v>
      </c>
      <c r="B1789" s="31" t="s">
        <v>5282</v>
      </c>
      <c r="C1789" s="31">
        <v>8.05011560817E11</v>
      </c>
      <c r="D1789" s="31" t="s">
        <v>5283</v>
      </c>
      <c r="E1789" s="31" t="s">
        <v>5284</v>
      </c>
      <c r="F1789" s="31" t="s">
        <v>5284</v>
      </c>
      <c r="G1789" s="31" t="s">
        <v>278</v>
      </c>
      <c r="H1789" s="31" t="s">
        <v>20</v>
      </c>
      <c r="I1789" s="31">
        <v>4400.0</v>
      </c>
      <c r="J1789" s="31">
        <v>3.875343022E9</v>
      </c>
      <c r="K1789" s="31" t="s">
        <v>32</v>
      </c>
      <c r="L1789" s="31" t="s">
        <v>3225</v>
      </c>
      <c r="M1789" s="33">
        <v>2.0</v>
      </c>
      <c r="N1789" s="34"/>
      <c r="O1789" s="34"/>
    </row>
    <row r="1790" hidden="1">
      <c r="A1790" s="102">
        <v>45987.0</v>
      </c>
      <c r="B1790" s="31" t="s">
        <v>5282</v>
      </c>
      <c r="C1790" s="31">
        <v>8.05011560817E11</v>
      </c>
      <c r="D1790" s="31" t="s">
        <v>5283</v>
      </c>
      <c r="E1790" s="31" t="s">
        <v>5284</v>
      </c>
      <c r="F1790" s="31" t="s">
        <v>5284</v>
      </c>
      <c r="G1790" s="31" t="s">
        <v>278</v>
      </c>
      <c r="H1790" s="31" t="s">
        <v>20</v>
      </c>
      <c r="I1790" s="31">
        <v>4400.0</v>
      </c>
      <c r="J1790" s="31">
        <v>3.875343022E9</v>
      </c>
      <c r="K1790" s="31" t="s">
        <v>512</v>
      </c>
      <c r="L1790" s="31" t="s">
        <v>513</v>
      </c>
      <c r="M1790" s="33">
        <v>12.0</v>
      </c>
      <c r="N1790" s="34"/>
      <c r="O1790" s="34"/>
    </row>
    <row r="1791" hidden="1">
      <c r="A1791" s="102">
        <v>45987.0</v>
      </c>
      <c r="B1791" s="31" t="s">
        <v>5282</v>
      </c>
      <c r="C1791" s="31">
        <v>8.05011560817E11</v>
      </c>
      <c r="D1791" s="31" t="s">
        <v>5283</v>
      </c>
      <c r="E1791" s="31" t="s">
        <v>5284</v>
      </c>
      <c r="F1791" s="31" t="s">
        <v>5284</v>
      </c>
      <c r="G1791" s="31" t="s">
        <v>278</v>
      </c>
      <c r="H1791" s="31" t="s">
        <v>20</v>
      </c>
      <c r="I1791" s="31">
        <v>4400.0</v>
      </c>
      <c r="J1791" s="31">
        <v>3.875343022E9</v>
      </c>
      <c r="K1791" s="31" t="s">
        <v>35</v>
      </c>
      <c r="L1791" s="31" t="s">
        <v>3188</v>
      </c>
      <c r="M1791" s="33">
        <v>2.0</v>
      </c>
      <c r="N1791" s="34"/>
      <c r="O1791" s="34"/>
    </row>
    <row r="1792" hidden="1">
      <c r="A1792" s="102">
        <v>45987.0</v>
      </c>
      <c r="B1792" s="31" t="s">
        <v>5285</v>
      </c>
      <c r="C1792" s="31">
        <v>8.0501156089E11</v>
      </c>
      <c r="D1792" s="31" t="s">
        <v>5286</v>
      </c>
      <c r="E1792" s="31" t="s">
        <v>5287</v>
      </c>
      <c r="F1792" s="31" t="s">
        <v>5287</v>
      </c>
      <c r="G1792" s="31" t="s">
        <v>5288</v>
      </c>
      <c r="H1792" s="31" t="s">
        <v>20</v>
      </c>
      <c r="I1792" s="31">
        <v>4560.0</v>
      </c>
      <c r="J1792" s="31">
        <v>3.87335837E9</v>
      </c>
      <c r="K1792" s="31" t="s">
        <v>5289</v>
      </c>
      <c r="L1792" s="31" t="s">
        <v>5290</v>
      </c>
      <c r="M1792" s="33">
        <v>1.0</v>
      </c>
      <c r="N1792" s="34"/>
      <c r="O1792" s="31" t="s">
        <v>5291</v>
      </c>
    </row>
    <row r="1793" hidden="1">
      <c r="A1793" s="102">
        <v>45987.0</v>
      </c>
      <c r="B1793" s="31" t="s">
        <v>5292</v>
      </c>
      <c r="C1793" s="31">
        <v>8.0501156087E11</v>
      </c>
      <c r="D1793" s="31" t="s">
        <v>5293</v>
      </c>
      <c r="E1793" s="31" t="s">
        <v>5294</v>
      </c>
      <c r="F1793" s="31" t="s">
        <v>5294</v>
      </c>
      <c r="G1793" s="31" t="s">
        <v>278</v>
      </c>
      <c r="H1793" s="31" t="s">
        <v>20</v>
      </c>
      <c r="I1793" s="31">
        <v>4400.0</v>
      </c>
      <c r="J1793" s="31">
        <v>3.875471059E9</v>
      </c>
      <c r="K1793" s="31" t="s">
        <v>32</v>
      </c>
      <c r="L1793" s="31" t="s">
        <v>3225</v>
      </c>
      <c r="M1793" s="33">
        <v>1.0</v>
      </c>
      <c r="N1793" s="34"/>
      <c r="O1793" s="31" t="s">
        <v>5295</v>
      </c>
    </row>
    <row r="1794" hidden="1">
      <c r="A1794" s="102">
        <v>45987.0</v>
      </c>
      <c r="B1794" s="31" t="s">
        <v>5292</v>
      </c>
      <c r="C1794" s="31">
        <v>8.0501156087E11</v>
      </c>
      <c r="D1794" s="31" t="s">
        <v>5293</v>
      </c>
      <c r="E1794" s="31" t="s">
        <v>5294</v>
      </c>
      <c r="F1794" s="31" t="s">
        <v>5294</v>
      </c>
      <c r="G1794" s="31" t="s">
        <v>278</v>
      </c>
      <c r="H1794" s="31" t="s">
        <v>20</v>
      </c>
      <c r="I1794" s="31">
        <v>4400.0</v>
      </c>
      <c r="J1794" s="31">
        <v>3.875471059E9</v>
      </c>
      <c r="K1794" s="31" t="s">
        <v>512</v>
      </c>
      <c r="L1794" s="31" t="s">
        <v>513</v>
      </c>
      <c r="M1794" s="33">
        <v>6.0</v>
      </c>
      <c r="N1794" s="34"/>
      <c r="O1794" s="31" t="s">
        <v>5295</v>
      </c>
    </row>
    <row r="1795" hidden="1">
      <c r="A1795" s="102">
        <v>45987.0</v>
      </c>
      <c r="B1795" s="31" t="s">
        <v>5292</v>
      </c>
      <c r="C1795" s="31">
        <v>8.0501156087E11</v>
      </c>
      <c r="D1795" s="31" t="s">
        <v>5293</v>
      </c>
      <c r="E1795" s="31" t="s">
        <v>5294</v>
      </c>
      <c r="F1795" s="31" t="s">
        <v>5294</v>
      </c>
      <c r="G1795" s="31" t="s">
        <v>278</v>
      </c>
      <c r="H1795" s="31" t="s">
        <v>20</v>
      </c>
      <c r="I1795" s="31">
        <v>4400.0</v>
      </c>
      <c r="J1795" s="31">
        <v>3.875471059E9</v>
      </c>
      <c r="K1795" s="31" t="s">
        <v>35</v>
      </c>
      <c r="L1795" s="31" t="s">
        <v>3188</v>
      </c>
      <c r="M1795" s="33">
        <v>1.0</v>
      </c>
      <c r="N1795" s="34"/>
      <c r="O1795" s="31" t="s">
        <v>5295</v>
      </c>
    </row>
    <row r="1796" hidden="1">
      <c r="A1796" s="102">
        <v>45987.0</v>
      </c>
      <c r="B1796" s="31" t="s">
        <v>5296</v>
      </c>
      <c r="C1796" s="31">
        <v>8.05011560784E11</v>
      </c>
      <c r="D1796" s="31" t="s">
        <v>5297</v>
      </c>
      <c r="E1796" s="31" t="s">
        <v>5298</v>
      </c>
      <c r="F1796" s="31" t="s">
        <v>5298</v>
      </c>
      <c r="G1796" s="31" t="s">
        <v>826</v>
      </c>
      <c r="H1796" s="31" t="s">
        <v>20</v>
      </c>
      <c r="I1796" s="31">
        <v>4530.0</v>
      </c>
      <c r="J1796" s="31">
        <v>3.878244936E9</v>
      </c>
      <c r="K1796" s="31" t="s">
        <v>541</v>
      </c>
      <c r="L1796" s="31" t="s">
        <v>3947</v>
      </c>
      <c r="M1796" s="33">
        <v>1.0</v>
      </c>
      <c r="N1796" s="34"/>
      <c r="O1796" s="34"/>
    </row>
    <row r="1797" hidden="1">
      <c r="A1797" s="102">
        <v>45987.0</v>
      </c>
      <c r="B1797" s="31" t="s">
        <v>5299</v>
      </c>
      <c r="C1797" s="31">
        <v>8.0501156034E11</v>
      </c>
      <c r="D1797" s="31" t="s">
        <v>5300</v>
      </c>
      <c r="E1797" s="31" t="s">
        <v>5301</v>
      </c>
      <c r="F1797" s="31" t="s">
        <v>5301</v>
      </c>
      <c r="G1797" s="31" t="s">
        <v>20</v>
      </c>
      <c r="H1797" s="31" t="s">
        <v>20</v>
      </c>
      <c r="I1797" s="31">
        <v>4400.0</v>
      </c>
      <c r="J1797" s="31">
        <v>3.874734352E9</v>
      </c>
      <c r="K1797" s="31" t="s">
        <v>1629</v>
      </c>
      <c r="L1797" s="31" t="s">
        <v>5302</v>
      </c>
      <c r="M1797" s="33">
        <v>1.0</v>
      </c>
      <c r="N1797" s="34"/>
      <c r="O1797" s="31" t="s">
        <v>5303</v>
      </c>
    </row>
    <row r="1798" hidden="1">
      <c r="A1798" s="102">
        <v>45987.0</v>
      </c>
      <c r="B1798" s="31" t="s">
        <v>5299</v>
      </c>
      <c r="C1798" s="31">
        <v>8.0501156034E11</v>
      </c>
      <c r="D1798" s="31" t="s">
        <v>5300</v>
      </c>
      <c r="E1798" s="31" t="s">
        <v>5301</v>
      </c>
      <c r="F1798" s="31" t="s">
        <v>5301</v>
      </c>
      <c r="G1798" s="31" t="s">
        <v>20</v>
      </c>
      <c r="H1798" s="31" t="s">
        <v>20</v>
      </c>
      <c r="I1798" s="31">
        <v>4400.0</v>
      </c>
      <c r="J1798" s="31">
        <v>3.874734352E9</v>
      </c>
      <c r="K1798" s="31" t="s">
        <v>512</v>
      </c>
      <c r="L1798" s="31" t="s">
        <v>513</v>
      </c>
      <c r="M1798" s="33">
        <v>12.0</v>
      </c>
      <c r="N1798" s="34"/>
      <c r="O1798" s="31" t="s">
        <v>5303</v>
      </c>
    </row>
    <row r="1799" hidden="1">
      <c r="A1799" s="102">
        <v>45987.0</v>
      </c>
      <c r="B1799" s="31" t="s">
        <v>5299</v>
      </c>
      <c r="C1799" s="31">
        <v>8.0501156034E11</v>
      </c>
      <c r="D1799" s="31" t="s">
        <v>5300</v>
      </c>
      <c r="E1799" s="31" t="s">
        <v>5301</v>
      </c>
      <c r="F1799" s="31" t="s">
        <v>5301</v>
      </c>
      <c r="G1799" s="31" t="s">
        <v>20</v>
      </c>
      <c r="H1799" s="31" t="s">
        <v>20</v>
      </c>
      <c r="I1799" s="31">
        <v>4400.0</v>
      </c>
      <c r="J1799" s="31">
        <v>3.874734352E9</v>
      </c>
      <c r="K1799" s="31" t="s">
        <v>233</v>
      </c>
      <c r="L1799" s="31" t="s">
        <v>3459</v>
      </c>
      <c r="M1799" s="33">
        <v>2.0</v>
      </c>
      <c r="N1799" s="34"/>
      <c r="O1799" s="31" t="s">
        <v>5303</v>
      </c>
    </row>
    <row r="1800" hidden="1">
      <c r="A1800" s="102">
        <v>45987.0</v>
      </c>
      <c r="B1800" s="31" t="s">
        <v>5304</v>
      </c>
      <c r="C1800" s="31">
        <v>8.0501156054E11</v>
      </c>
      <c r="D1800" s="31" t="s">
        <v>5305</v>
      </c>
      <c r="E1800" s="31" t="s">
        <v>5306</v>
      </c>
      <c r="F1800" s="31" t="s">
        <v>5306</v>
      </c>
      <c r="G1800" s="31" t="s">
        <v>20</v>
      </c>
      <c r="H1800" s="31" t="s">
        <v>20</v>
      </c>
      <c r="I1800" s="31">
        <v>4401.0</v>
      </c>
      <c r="J1800" s="31">
        <v>3.87223085E9</v>
      </c>
      <c r="K1800" s="31" t="s">
        <v>98</v>
      </c>
      <c r="L1800" s="31" t="s">
        <v>3187</v>
      </c>
      <c r="M1800" s="33">
        <v>1.0</v>
      </c>
      <c r="N1800" s="34"/>
      <c r="O1800" s="31" t="s">
        <v>5307</v>
      </c>
    </row>
    <row r="1801" hidden="1">
      <c r="A1801" s="102">
        <v>45987.0</v>
      </c>
      <c r="B1801" s="31" t="s">
        <v>5308</v>
      </c>
      <c r="C1801" s="31">
        <v>8.07025033926E11</v>
      </c>
      <c r="D1801" s="31" t="s">
        <v>5309</v>
      </c>
      <c r="E1801" s="31" t="s">
        <v>5310</v>
      </c>
      <c r="F1801" s="31" t="s">
        <v>5310</v>
      </c>
      <c r="G1801" s="31" t="s">
        <v>127</v>
      </c>
      <c r="H1801" s="31" t="s">
        <v>20</v>
      </c>
      <c r="I1801" s="31">
        <v>4400.0</v>
      </c>
      <c r="J1801" s="31">
        <v>3.875373845E9</v>
      </c>
      <c r="K1801" s="31" t="s">
        <v>1747</v>
      </c>
      <c r="L1801" s="31" t="s">
        <v>4208</v>
      </c>
      <c r="M1801" s="33">
        <v>2.0</v>
      </c>
      <c r="N1801" s="34"/>
      <c r="O1801" s="34"/>
    </row>
    <row r="1802" hidden="1">
      <c r="A1802" s="102">
        <v>45987.0</v>
      </c>
      <c r="B1802" s="31" t="s">
        <v>5311</v>
      </c>
      <c r="C1802" s="31">
        <v>8.07025033925E11</v>
      </c>
      <c r="D1802" s="31" t="s">
        <v>5309</v>
      </c>
      <c r="E1802" s="31" t="s">
        <v>5310</v>
      </c>
      <c r="F1802" s="31" t="s">
        <v>5310</v>
      </c>
      <c r="G1802" s="31" t="s">
        <v>127</v>
      </c>
      <c r="H1802" s="31" t="s">
        <v>20</v>
      </c>
      <c r="I1802" s="31">
        <v>4400.0</v>
      </c>
      <c r="J1802" s="31">
        <v>3.875373845E9</v>
      </c>
      <c r="K1802" s="31" t="s">
        <v>98</v>
      </c>
      <c r="L1802" s="31" t="s">
        <v>3187</v>
      </c>
      <c r="M1802" s="33">
        <v>1.0</v>
      </c>
      <c r="N1802" s="34"/>
      <c r="O1802" s="34"/>
    </row>
    <row r="1803" ht="9.0" hidden="1" customHeight="1">
      <c r="A1803" s="87"/>
      <c r="B1803" s="88"/>
      <c r="C1803" s="88"/>
      <c r="D1803" s="88"/>
      <c r="E1803" s="88"/>
      <c r="F1803" s="88"/>
      <c r="G1803" s="88"/>
      <c r="H1803" s="88"/>
      <c r="I1803" s="88"/>
      <c r="J1803" s="88"/>
      <c r="K1803" s="88"/>
      <c r="L1803" s="88"/>
      <c r="M1803" s="89"/>
      <c r="N1803" s="90"/>
      <c r="O1803" s="90"/>
    </row>
    <row r="1804" hidden="1">
      <c r="A1804" s="85">
        <v>45993.0</v>
      </c>
      <c r="B1804" s="31" t="s">
        <v>5312</v>
      </c>
      <c r="C1804" s="31">
        <v>8.05011561364E11</v>
      </c>
      <c r="D1804" s="31" t="s">
        <v>5313</v>
      </c>
      <c r="E1804" s="31" t="s">
        <v>5314</v>
      </c>
      <c r="F1804" s="31" t="s">
        <v>5315</v>
      </c>
      <c r="G1804" s="31" t="s">
        <v>20</v>
      </c>
      <c r="H1804" s="31" t="s">
        <v>20</v>
      </c>
      <c r="I1804" s="31">
        <v>4400.0</v>
      </c>
      <c r="J1804" s="31">
        <f t="shared" ref="J1804:J1806" si="4">+543874874343</f>
        <v>543874874343</v>
      </c>
      <c r="K1804" s="31">
        <v>4400.0</v>
      </c>
      <c r="L1804" s="31" t="s">
        <v>5035</v>
      </c>
      <c r="M1804" s="33">
        <v>1.0</v>
      </c>
      <c r="N1804" s="34"/>
      <c r="O1804" s="34"/>
    </row>
    <row r="1805" hidden="1">
      <c r="A1805" s="85">
        <v>45993.0</v>
      </c>
      <c r="B1805" s="31" t="s">
        <v>5312</v>
      </c>
      <c r="C1805" s="31">
        <v>8.05011561364E11</v>
      </c>
      <c r="D1805" s="31" t="s">
        <v>5313</v>
      </c>
      <c r="E1805" s="31" t="s">
        <v>5314</v>
      </c>
      <c r="F1805" s="31" t="s">
        <v>5315</v>
      </c>
      <c r="G1805" s="31" t="s">
        <v>20</v>
      </c>
      <c r="H1805" s="31" t="s">
        <v>20</v>
      </c>
      <c r="I1805" s="31">
        <v>4400.0</v>
      </c>
      <c r="J1805" s="31">
        <f t="shared" si="4"/>
        <v>543874874343</v>
      </c>
      <c r="K1805" s="31">
        <v>4400.0</v>
      </c>
      <c r="L1805" s="31" t="s">
        <v>513</v>
      </c>
      <c r="M1805" s="33">
        <v>6.0</v>
      </c>
      <c r="N1805" s="34"/>
      <c r="O1805" s="34"/>
    </row>
    <row r="1806" hidden="1">
      <c r="A1806" s="85">
        <v>45993.0</v>
      </c>
      <c r="B1806" s="31" t="s">
        <v>5312</v>
      </c>
      <c r="C1806" s="31">
        <v>8.05011561364E11</v>
      </c>
      <c r="D1806" s="31" t="s">
        <v>5313</v>
      </c>
      <c r="E1806" s="31" t="s">
        <v>5314</v>
      </c>
      <c r="F1806" s="31" t="s">
        <v>5315</v>
      </c>
      <c r="G1806" s="31" t="s">
        <v>20</v>
      </c>
      <c r="H1806" s="31" t="s">
        <v>20</v>
      </c>
      <c r="I1806" s="31">
        <v>4400.0</v>
      </c>
      <c r="J1806" s="31">
        <f t="shared" si="4"/>
        <v>543874874343</v>
      </c>
      <c r="K1806" s="31">
        <v>4400.0</v>
      </c>
      <c r="L1806" s="31" t="s">
        <v>3410</v>
      </c>
      <c r="M1806" s="33">
        <v>1.0</v>
      </c>
      <c r="N1806" s="34"/>
      <c r="O1806" s="34"/>
    </row>
    <row r="1807" hidden="1">
      <c r="A1807" s="85">
        <v>45993.0</v>
      </c>
      <c r="B1807" s="31" t="s">
        <v>5316</v>
      </c>
      <c r="C1807" s="31">
        <v>8.07025034003E11</v>
      </c>
      <c r="D1807" s="31" t="s">
        <v>5317</v>
      </c>
      <c r="E1807" s="31" t="s">
        <v>5318</v>
      </c>
      <c r="F1807" s="31" t="s">
        <v>5319</v>
      </c>
      <c r="G1807" s="31" t="s">
        <v>127</v>
      </c>
      <c r="H1807" s="31" t="s">
        <v>20</v>
      </c>
      <c r="I1807" s="31">
        <v>4400.0</v>
      </c>
      <c r="J1807" s="31">
        <v>3.876136125E9</v>
      </c>
      <c r="K1807" s="31">
        <v>4400.0</v>
      </c>
      <c r="L1807" s="31" t="s">
        <v>3225</v>
      </c>
      <c r="M1807" s="33">
        <v>2.0</v>
      </c>
      <c r="N1807" s="34"/>
      <c r="O1807" s="31" t="s">
        <v>5320</v>
      </c>
    </row>
    <row r="1808" hidden="1">
      <c r="A1808" s="85">
        <v>45993.0</v>
      </c>
      <c r="B1808" s="31" t="s">
        <v>5321</v>
      </c>
      <c r="C1808" s="31">
        <v>8.07025034001E11</v>
      </c>
      <c r="D1808" s="31" t="s">
        <v>5322</v>
      </c>
      <c r="E1808" s="31" t="s">
        <v>5323</v>
      </c>
      <c r="F1808" s="31" t="s">
        <v>5324</v>
      </c>
      <c r="G1808" s="31" t="s">
        <v>20</v>
      </c>
      <c r="H1808" s="31" t="s">
        <v>20</v>
      </c>
      <c r="I1808" s="31" t="s">
        <v>4086</v>
      </c>
      <c r="J1808" s="31">
        <v>3.875164586E9</v>
      </c>
      <c r="K1808" s="31" t="s">
        <v>4086</v>
      </c>
      <c r="L1808" s="31" t="s">
        <v>3761</v>
      </c>
      <c r="M1808" s="33">
        <v>1.0</v>
      </c>
      <c r="N1808" s="34"/>
      <c r="O1808" s="31" t="s">
        <v>5325</v>
      </c>
    </row>
    <row r="1809" hidden="1">
      <c r="A1809" s="85">
        <v>45993.0</v>
      </c>
      <c r="B1809" s="31" t="s">
        <v>5321</v>
      </c>
      <c r="C1809" s="31">
        <v>8.07025034001E11</v>
      </c>
      <c r="D1809" s="31" t="s">
        <v>5322</v>
      </c>
      <c r="E1809" s="31" t="s">
        <v>5323</v>
      </c>
      <c r="F1809" s="31" t="s">
        <v>5324</v>
      </c>
      <c r="G1809" s="31" t="s">
        <v>20</v>
      </c>
      <c r="H1809" s="31" t="s">
        <v>20</v>
      </c>
      <c r="I1809" s="31" t="s">
        <v>4086</v>
      </c>
      <c r="J1809" s="31">
        <v>3.875164586E9</v>
      </c>
      <c r="K1809" s="31" t="s">
        <v>4086</v>
      </c>
      <c r="L1809" s="31" t="s">
        <v>513</v>
      </c>
      <c r="M1809" s="33">
        <v>12.0</v>
      </c>
      <c r="N1809" s="34"/>
      <c r="O1809" s="31" t="s">
        <v>5325</v>
      </c>
    </row>
    <row r="1810" hidden="1">
      <c r="A1810" s="85">
        <v>45993.0</v>
      </c>
      <c r="B1810" s="31" t="s">
        <v>5321</v>
      </c>
      <c r="C1810" s="31">
        <v>8.07025034001E11</v>
      </c>
      <c r="D1810" s="31" t="s">
        <v>5322</v>
      </c>
      <c r="E1810" s="31" t="s">
        <v>5323</v>
      </c>
      <c r="F1810" s="31" t="s">
        <v>5324</v>
      </c>
      <c r="G1810" s="31" t="s">
        <v>20</v>
      </c>
      <c r="H1810" s="31" t="s">
        <v>20</v>
      </c>
      <c r="I1810" s="31" t="s">
        <v>4086</v>
      </c>
      <c r="J1810" s="31">
        <v>3.875164586E9</v>
      </c>
      <c r="K1810" s="31" t="s">
        <v>4086</v>
      </c>
      <c r="L1810" s="31" t="s">
        <v>3574</v>
      </c>
      <c r="M1810" s="33">
        <v>2.0</v>
      </c>
      <c r="N1810" s="34"/>
      <c r="O1810" s="31" t="s">
        <v>5325</v>
      </c>
    </row>
    <row r="1811" hidden="1">
      <c r="A1811" s="85">
        <v>45993.0</v>
      </c>
      <c r="B1811" s="31" t="s">
        <v>5326</v>
      </c>
      <c r="C1811" s="31">
        <v>8.05011561404E11</v>
      </c>
      <c r="D1811" s="31" t="s">
        <v>5327</v>
      </c>
      <c r="E1811" s="31" t="s">
        <v>5328</v>
      </c>
      <c r="F1811" s="31" t="s">
        <v>5329</v>
      </c>
      <c r="G1811" s="31" t="s">
        <v>20</v>
      </c>
      <c r="H1811" s="31" t="s">
        <v>20</v>
      </c>
      <c r="I1811" s="31">
        <v>4427.0</v>
      </c>
      <c r="J1811" s="31">
        <v>3.873236211E9</v>
      </c>
      <c r="K1811" s="31">
        <v>4427.0</v>
      </c>
      <c r="L1811" s="31" t="s">
        <v>4485</v>
      </c>
      <c r="M1811" s="33">
        <v>1.0</v>
      </c>
      <c r="N1811" s="34"/>
      <c r="O1811" s="31" t="s">
        <v>5330</v>
      </c>
    </row>
    <row r="1812" hidden="1">
      <c r="A1812" s="85">
        <v>45993.0</v>
      </c>
      <c r="B1812" s="31" t="s">
        <v>5326</v>
      </c>
      <c r="C1812" s="31">
        <v>8.05011561404E11</v>
      </c>
      <c r="D1812" s="31" t="s">
        <v>5327</v>
      </c>
      <c r="E1812" s="31" t="s">
        <v>5328</v>
      </c>
      <c r="F1812" s="31" t="s">
        <v>5329</v>
      </c>
      <c r="G1812" s="31" t="s">
        <v>20</v>
      </c>
      <c r="H1812" s="31" t="s">
        <v>20</v>
      </c>
      <c r="I1812" s="31">
        <v>4427.0</v>
      </c>
      <c r="J1812" s="31">
        <v>3.873236211E9</v>
      </c>
      <c r="K1812" s="31">
        <v>4427.0</v>
      </c>
      <c r="L1812" s="31" t="s">
        <v>513</v>
      </c>
      <c r="M1812" s="33">
        <v>6.0</v>
      </c>
      <c r="N1812" s="34"/>
      <c r="O1812" s="31" t="s">
        <v>5330</v>
      </c>
    </row>
    <row r="1813" hidden="1">
      <c r="A1813" s="85">
        <v>45993.0</v>
      </c>
      <c r="B1813" s="31" t="s">
        <v>5326</v>
      </c>
      <c r="C1813" s="31">
        <v>8.05011561404E11</v>
      </c>
      <c r="D1813" s="31" t="s">
        <v>5327</v>
      </c>
      <c r="E1813" s="31" t="s">
        <v>5328</v>
      </c>
      <c r="F1813" s="31" t="s">
        <v>5329</v>
      </c>
      <c r="G1813" s="31" t="s">
        <v>20</v>
      </c>
      <c r="H1813" s="31" t="s">
        <v>20</v>
      </c>
      <c r="I1813" s="31">
        <v>4427.0</v>
      </c>
      <c r="J1813" s="31">
        <v>3.873236211E9</v>
      </c>
      <c r="K1813" s="31">
        <v>4427.0</v>
      </c>
      <c r="L1813" s="31" t="s">
        <v>3594</v>
      </c>
      <c r="M1813" s="33">
        <v>1.0</v>
      </c>
      <c r="N1813" s="34"/>
      <c r="O1813" s="31" t="s">
        <v>5330</v>
      </c>
    </row>
    <row r="1814" hidden="1">
      <c r="A1814" s="85">
        <v>45993.0</v>
      </c>
      <c r="B1814" s="31" t="s">
        <v>5331</v>
      </c>
      <c r="C1814" s="31">
        <v>8.05011561401E11</v>
      </c>
      <c r="D1814" s="31" t="s">
        <v>5332</v>
      </c>
      <c r="E1814" s="31" t="s">
        <v>5333</v>
      </c>
      <c r="F1814" s="31" t="s">
        <v>5334</v>
      </c>
      <c r="G1814" s="31" t="s">
        <v>20</v>
      </c>
      <c r="H1814" s="31" t="s">
        <v>20</v>
      </c>
      <c r="I1814" s="31">
        <v>4400.0</v>
      </c>
      <c r="J1814" s="31">
        <v>3.874839735E9</v>
      </c>
      <c r="K1814" s="31">
        <v>4400.0</v>
      </c>
      <c r="L1814" s="31" t="s">
        <v>5035</v>
      </c>
      <c r="M1814" s="33">
        <v>1.0</v>
      </c>
      <c r="N1814" s="34"/>
      <c r="O1814" s="34"/>
    </row>
    <row r="1815" hidden="1">
      <c r="A1815" s="85">
        <v>45993.0</v>
      </c>
      <c r="B1815" s="31" t="s">
        <v>5331</v>
      </c>
      <c r="C1815" s="31">
        <v>8.05011561401E11</v>
      </c>
      <c r="D1815" s="31" t="s">
        <v>5332</v>
      </c>
      <c r="E1815" s="31" t="s">
        <v>5333</v>
      </c>
      <c r="F1815" s="31" t="s">
        <v>5334</v>
      </c>
      <c r="G1815" s="31" t="s">
        <v>20</v>
      </c>
      <c r="H1815" s="31" t="s">
        <v>20</v>
      </c>
      <c r="I1815" s="31">
        <v>4400.0</v>
      </c>
      <c r="J1815" s="31">
        <v>3.874839735E9</v>
      </c>
      <c r="K1815" s="31">
        <v>4400.0</v>
      </c>
      <c r="L1815" s="31" t="s">
        <v>513</v>
      </c>
      <c r="M1815" s="33">
        <v>6.0</v>
      </c>
      <c r="N1815" s="34"/>
      <c r="O1815" s="34"/>
    </row>
    <row r="1816" hidden="1">
      <c r="A1816" s="85">
        <v>45993.0</v>
      </c>
      <c r="B1816" s="31" t="s">
        <v>5331</v>
      </c>
      <c r="C1816" s="31">
        <v>8.05011561401E11</v>
      </c>
      <c r="D1816" s="31" t="s">
        <v>5332</v>
      </c>
      <c r="E1816" s="31" t="s">
        <v>5333</v>
      </c>
      <c r="F1816" s="31" t="s">
        <v>5334</v>
      </c>
      <c r="G1816" s="31" t="s">
        <v>20</v>
      </c>
      <c r="H1816" s="31" t="s">
        <v>20</v>
      </c>
      <c r="I1816" s="31">
        <v>4400.0</v>
      </c>
      <c r="J1816" s="31">
        <v>3.874839735E9</v>
      </c>
      <c r="K1816" s="31">
        <v>4400.0</v>
      </c>
      <c r="L1816" s="31" t="s">
        <v>3410</v>
      </c>
      <c r="M1816" s="33">
        <v>1.0</v>
      </c>
      <c r="N1816" s="34"/>
      <c r="O1816" s="34"/>
    </row>
    <row r="1817" hidden="1">
      <c r="A1817" s="85">
        <v>45993.0</v>
      </c>
      <c r="B1817" s="31" t="s">
        <v>5335</v>
      </c>
      <c r="C1817" s="31">
        <v>8.05011561498E11</v>
      </c>
      <c r="D1817" s="31" t="s">
        <v>5336</v>
      </c>
      <c r="E1817" s="31" t="s">
        <v>5337</v>
      </c>
      <c r="F1817" s="31" t="s">
        <v>5338</v>
      </c>
      <c r="G1817" s="31" t="s">
        <v>58</v>
      </c>
      <c r="H1817" s="31" t="s">
        <v>20</v>
      </c>
      <c r="I1817" s="31">
        <v>4412.0</v>
      </c>
      <c r="J1817" s="31">
        <v>3.87362608E8</v>
      </c>
      <c r="K1817" s="31">
        <v>4412.0</v>
      </c>
      <c r="L1817" s="31" t="s">
        <v>51</v>
      </c>
      <c r="M1817" s="33">
        <v>1.0</v>
      </c>
      <c r="N1817" s="34"/>
      <c r="O1817" s="34"/>
    </row>
    <row r="1818" hidden="1">
      <c r="A1818" s="85">
        <v>45993.0</v>
      </c>
      <c r="B1818" s="31" t="s">
        <v>5335</v>
      </c>
      <c r="C1818" s="31">
        <v>8.05011561498E11</v>
      </c>
      <c r="D1818" s="31" t="s">
        <v>5336</v>
      </c>
      <c r="E1818" s="31" t="s">
        <v>5337</v>
      </c>
      <c r="F1818" s="31" t="s">
        <v>5338</v>
      </c>
      <c r="G1818" s="31" t="s">
        <v>58</v>
      </c>
      <c r="H1818" s="31" t="s">
        <v>20</v>
      </c>
      <c r="I1818" s="31">
        <v>4412.0</v>
      </c>
      <c r="J1818" s="31">
        <v>3.87362608E8</v>
      </c>
      <c r="K1818" s="31">
        <v>4412.0</v>
      </c>
      <c r="L1818" s="31" t="s">
        <v>513</v>
      </c>
      <c r="M1818" s="33">
        <v>6.0</v>
      </c>
      <c r="N1818" s="34"/>
      <c r="O1818" s="34"/>
    </row>
    <row r="1819" hidden="1">
      <c r="A1819" s="85">
        <v>45993.0</v>
      </c>
      <c r="B1819" s="31" t="s">
        <v>5335</v>
      </c>
      <c r="C1819" s="31">
        <v>8.05011561498E11</v>
      </c>
      <c r="D1819" s="31" t="s">
        <v>5336</v>
      </c>
      <c r="E1819" s="31" t="s">
        <v>5337</v>
      </c>
      <c r="F1819" s="31" t="s">
        <v>5338</v>
      </c>
      <c r="G1819" s="31" t="s">
        <v>58</v>
      </c>
      <c r="H1819" s="31" t="s">
        <v>20</v>
      </c>
      <c r="I1819" s="31">
        <v>4412.0</v>
      </c>
      <c r="J1819" s="31">
        <v>3.87362608E8</v>
      </c>
      <c r="K1819" s="31">
        <v>4412.0</v>
      </c>
      <c r="L1819" s="31" t="s">
        <v>3401</v>
      </c>
      <c r="M1819" s="33">
        <v>1.0</v>
      </c>
      <c r="N1819" s="34"/>
      <c r="O1819" s="34"/>
    </row>
    <row r="1820" hidden="1">
      <c r="A1820" s="85">
        <v>45993.0</v>
      </c>
      <c r="B1820" s="31" t="s">
        <v>5339</v>
      </c>
      <c r="C1820" s="31">
        <v>8.07025034018E11</v>
      </c>
      <c r="D1820" s="31" t="s">
        <v>5340</v>
      </c>
      <c r="E1820" s="31" t="s">
        <v>5341</v>
      </c>
      <c r="F1820" s="31" t="s">
        <v>5342</v>
      </c>
      <c r="G1820" s="31" t="s">
        <v>127</v>
      </c>
      <c r="H1820" s="31" t="s">
        <v>20</v>
      </c>
      <c r="I1820" s="31">
        <v>4400.0</v>
      </c>
      <c r="J1820" s="31">
        <v>1.56846359E8</v>
      </c>
      <c r="K1820" s="31">
        <v>4400.0</v>
      </c>
      <c r="L1820" s="31" t="s">
        <v>3600</v>
      </c>
      <c r="M1820" s="33">
        <v>1.0</v>
      </c>
      <c r="N1820" s="34"/>
      <c r="O1820" s="34"/>
    </row>
    <row r="1821" hidden="1">
      <c r="A1821" s="85">
        <v>45993.0</v>
      </c>
      <c r="B1821" s="31" t="s">
        <v>5339</v>
      </c>
      <c r="C1821" s="31">
        <v>8.07025034018E11</v>
      </c>
      <c r="D1821" s="31" t="s">
        <v>5340</v>
      </c>
      <c r="E1821" s="31" t="s">
        <v>5341</v>
      </c>
      <c r="F1821" s="31" t="s">
        <v>5342</v>
      </c>
      <c r="G1821" s="31" t="s">
        <v>127</v>
      </c>
      <c r="H1821" s="31" t="s">
        <v>20</v>
      </c>
      <c r="I1821" s="31">
        <v>4400.0</v>
      </c>
      <c r="J1821" s="31">
        <v>1.56846359E8</v>
      </c>
      <c r="K1821" s="31">
        <v>4400.0</v>
      </c>
      <c r="L1821" s="31" t="s">
        <v>513</v>
      </c>
      <c r="M1821" s="33">
        <v>6.0</v>
      </c>
      <c r="N1821" s="34"/>
      <c r="O1821" s="34"/>
    </row>
    <row r="1822" hidden="1">
      <c r="A1822" s="85">
        <v>45993.0</v>
      </c>
      <c r="B1822" s="31" t="s">
        <v>5339</v>
      </c>
      <c r="C1822" s="31">
        <v>8.07025034018E11</v>
      </c>
      <c r="D1822" s="31" t="s">
        <v>5340</v>
      </c>
      <c r="E1822" s="31" t="s">
        <v>5341</v>
      </c>
      <c r="F1822" s="31" t="s">
        <v>5342</v>
      </c>
      <c r="G1822" s="31" t="s">
        <v>127</v>
      </c>
      <c r="H1822" s="31" t="s">
        <v>20</v>
      </c>
      <c r="I1822" s="31">
        <v>4400.0</v>
      </c>
      <c r="J1822" s="31">
        <v>1.56846359E8</v>
      </c>
      <c r="K1822" s="31">
        <v>4400.0</v>
      </c>
      <c r="L1822" s="31" t="s">
        <v>3188</v>
      </c>
      <c r="M1822" s="33">
        <v>1.0</v>
      </c>
      <c r="N1822" s="34"/>
      <c r="O1822" s="34"/>
    </row>
    <row r="1823" hidden="1">
      <c r="A1823" s="85">
        <v>45993.0</v>
      </c>
      <c r="B1823" s="31" t="s">
        <v>5343</v>
      </c>
      <c r="C1823" s="31">
        <v>8.05011561872E11</v>
      </c>
      <c r="D1823" s="31" t="s">
        <v>5344</v>
      </c>
      <c r="E1823" s="31" t="s">
        <v>5345</v>
      </c>
      <c r="F1823" s="31" t="s">
        <v>5346</v>
      </c>
      <c r="G1823" s="31" t="s">
        <v>20</v>
      </c>
      <c r="H1823" s="31" t="s">
        <v>20</v>
      </c>
      <c r="I1823" s="31">
        <v>4401.0</v>
      </c>
      <c r="J1823" s="31" t="str">
        <f>+54 3875354219</f>
        <v>#ERROR!</v>
      </c>
      <c r="K1823" s="31">
        <v>4401.0</v>
      </c>
      <c r="L1823" s="31" t="s">
        <v>5347</v>
      </c>
      <c r="M1823" s="33">
        <v>1.0</v>
      </c>
      <c r="N1823" s="34"/>
      <c r="O1823" s="34"/>
    </row>
    <row r="1824" hidden="1">
      <c r="A1824" s="85">
        <v>45993.0</v>
      </c>
      <c r="B1824" s="31" t="s">
        <v>5343</v>
      </c>
      <c r="C1824" s="31">
        <v>8.05011561872E11</v>
      </c>
      <c r="D1824" s="31" t="s">
        <v>5344</v>
      </c>
      <c r="E1824" s="31" t="s">
        <v>5345</v>
      </c>
      <c r="F1824" s="31" t="s">
        <v>5346</v>
      </c>
      <c r="G1824" s="31" t="s">
        <v>20</v>
      </c>
      <c r="H1824" s="31" t="s">
        <v>20</v>
      </c>
      <c r="I1824" s="31">
        <v>4401.0</v>
      </c>
      <c r="J1824" s="31" t="str">
        <f>+54 3875354219</f>
        <v>#ERROR!</v>
      </c>
      <c r="K1824" s="31">
        <v>4401.0</v>
      </c>
      <c r="L1824" s="31" t="s">
        <v>513</v>
      </c>
      <c r="M1824" s="33">
        <v>6.0</v>
      </c>
      <c r="N1824" s="34"/>
      <c r="O1824" s="34"/>
    </row>
    <row r="1825" hidden="1">
      <c r="A1825" s="85">
        <v>45993.0</v>
      </c>
      <c r="B1825" s="31" t="s">
        <v>5343</v>
      </c>
      <c r="C1825" s="31">
        <v>8.05011561872E11</v>
      </c>
      <c r="D1825" s="31" t="s">
        <v>5344</v>
      </c>
      <c r="E1825" s="31" t="s">
        <v>5345</v>
      </c>
      <c r="F1825" s="31" t="s">
        <v>5346</v>
      </c>
      <c r="G1825" s="31" t="s">
        <v>20</v>
      </c>
      <c r="H1825" s="31" t="s">
        <v>20</v>
      </c>
      <c r="I1825" s="31">
        <v>4401.0</v>
      </c>
      <c r="J1825" s="31" t="str">
        <f>+54 3875354219</f>
        <v>#ERROR!</v>
      </c>
      <c r="K1825" s="31">
        <v>4401.0</v>
      </c>
      <c r="L1825" s="31" t="s">
        <v>3240</v>
      </c>
      <c r="M1825" s="33">
        <v>1.0</v>
      </c>
      <c r="N1825" s="34"/>
      <c r="O1825" s="34"/>
    </row>
    <row r="1826" hidden="1">
      <c r="A1826" s="85">
        <v>45993.0</v>
      </c>
      <c r="B1826" s="31" t="s">
        <v>5348</v>
      </c>
      <c r="C1826" s="31">
        <v>8.05011561843E11</v>
      </c>
      <c r="D1826" s="31" t="s">
        <v>5349</v>
      </c>
      <c r="E1826" s="31" t="s">
        <v>5350</v>
      </c>
      <c r="F1826" s="31" t="s">
        <v>5351</v>
      </c>
      <c r="G1826" s="31" t="s">
        <v>58</v>
      </c>
      <c r="H1826" s="31" t="s">
        <v>20</v>
      </c>
      <c r="I1826" s="31">
        <v>4400.0</v>
      </c>
      <c r="J1826" s="31">
        <v>3.875298229E9</v>
      </c>
      <c r="K1826" s="31">
        <v>4400.0</v>
      </c>
      <c r="L1826" s="31" t="s">
        <v>5352</v>
      </c>
      <c r="M1826" s="33">
        <v>1.0</v>
      </c>
      <c r="N1826" s="34"/>
      <c r="O1826" s="34"/>
    </row>
    <row r="1827" hidden="1">
      <c r="A1827" s="85">
        <v>45993.0</v>
      </c>
      <c r="B1827" s="31" t="s">
        <v>5348</v>
      </c>
      <c r="C1827" s="31">
        <v>8.05011561843E11</v>
      </c>
      <c r="D1827" s="31" t="s">
        <v>5349</v>
      </c>
      <c r="E1827" s="31" t="s">
        <v>5350</v>
      </c>
      <c r="F1827" s="31" t="s">
        <v>5351</v>
      </c>
      <c r="G1827" s="31" t="s">
        <v>58</v>
      </c>
      <c r="H1827" s="31" t="s">
        <v>20</v>
      </c>
      <c r="I1827" s="31">
        <v>4400.0</v>
      </c>
      <c r="J1827" s="31">
        <v>3.875298229E9</v>
      </c>
      <c r="K1827" s="31">
        <v>4400.0</v>
      </c>
      <c r="L1827" s="31" t="s">
        <v>513</v>
      </c>
      <c r="M1827" s="33">
        <v>6.0</v>
      </c>
      <c r="N1827" s="34"/>
      <c r="O1827" s="34"/>
    </row>
    <row r="1828" hidden="1">
      <c r="A1828" s="85">
        <v>45993.0</v>
      </c>
      <c r="B1828" s="31" t="s">
        <v>5348</v>
      </c>
      <c r="C1828" s="31">
        <v>8.05011561843E11</v>
      </c>
      <c r="D1828" s="31" t="s">
        <v>5349</v>
      </c>
      <c r="E1828" s="31" t="s">
        <v>5350</v>
      </c>
      <c r="F1828" s="31" t="s">
        <v>5351</v>
      </c>
      <c r="G1828" s="31" t="s">
        <v>58</v>
      </c>
      <c r="H1828" s="31" t="s">
        <v>20</v>
      </c>
      <c r="I1828" s="31">
        <v>4400.0</v>
      </c>
      <c r="J1828" s="31">
        <v>3.875298229E9</v>
      </c>
      <c r="K1828" s="31">
        <v>4400.0</v>
      </c>
      <c r="L1828" s="31" t="s">
        <v>3673</v>
      </c>
      <c r="M1828" s="33">
        <v>1.0</v>
      </c>
      <c r="N1828" s="34"/>
      <c r="O1828" s="34"/>
    </row>
    <row r="1829" hidden="1">
      <c r="A1829" s="85">
        <v>45993.0</v>
      </c>
      <c r="B1829" s="31" t="s">
        <v>5353</v>
      </c>
      <c r="C1829" s="31">
        <v>8.05011562148E11</v>
      </c>
      <c r="D1829" s="31" t="s">
        <v>5354</v>
      </c>
      <c r="E1829" s="31" t="s">
        <v>5355</v>
      </c>
      <c r="F1829" s="31" t="s">
        <v>5356</v>
      </c>
      <c r="G1829" s="31" t="s">
        <v>20</v>
      </c>
      <c r="H1829" s="31" t="s">
        <v>20</v>
      </c>
      <c r="I1829" s="31">
        <v>4400.0</v>
      </c>
      <c r="J1829" s="31">
        <v>3.875466897E9</v>
      </c>
      <c r="K1829" s="31">
        <v>4400.0</v>
      </c>
      <c r="L1829" s="31" t="s">
        <v>5352</v>
      </c>
      <c r="M1829" s="33">
        <v>1.0</v>
      </c>
      <c r="N1829" s="34"/>
      <c r="O1829" s="34"/>
    </row>
    <row r="1830" hidden="1">
      <c r="A1830" s="85">
        <v>45993.0</v>
      </c>
      <c r="B1830" s="31" t="s">
        <v>5353</v>
      </c>
      <c r="C1830" s="31">
        <v>8.05011562148E11</v>
      </c>
      <c r="D1830" s="31" t="s">
        <v>5354</v>
      </c>
      <c r="E1830" s="31" t="s">
        <v>5355</v>
      </c>
      <c r="F1830" s="31" t="s">
        <v>5356</v>
      </c>
      <c r="G1830" s="31" t="s">
        <v>20</v>
      </c>
      <c r="H1830" s="31" t="s">
        <v>20</v>
      </c>
      <c r="I1830" s="31">
        <v>4400.0</v>
      </c>
      <c r="J1830" s="31">
        <v>3.875466897E9</v>
      </c>
      <c r="K1830" s="31">
        <v>4400.0</v>
      </c>
      <c r="L1830" s="31" t="s">
        <v>513</v>
      </c>
      <c r="M1830" s="33">
        <v>6.0</v>
      </c>
      <c r="N1830" s="34"/>
      <c r="O1830" s="34"/>
    </row>
    <row r="1831" hidden="1">
      <c r="A1831" s="85">
        <v>45993.0</v>
      </c>
      <c r="B1831" s="31" t="s">
        <v>5353</v>
      </c>
      <c r="C1831" s="31">
        <v>8.05011562148E11</v>
      </c>
      <c r="D1831" s="31" t="s">
        <v>5354</v>
      </c>
      <c r="E1831" s="31" t="s">
        <v>5355</v>
      </c>
      <c r="F1831" s="31" t="s">
        <v>5356</v>
      </c>
      <c r="G1831" s="31" t="s">
        <v>20</v>
      </c>
      <c r="H1831" s="31" t="s">
        <v>20</v>
      </c>
      <c r="I1831" s="31">
        <v>4400.0</v>
      </c>
      <c r="J1831" s="31">
        <v>3.875466897E9</v>
      </c>
      <c r="K1831" s="31">
        <v>4400.0</v>
      </c>
      <c r="L1831" s="31" t="s">
        <v>3673</v>
      </c>
      <c r="M1831" s="33">
        <v>1.0</v>
      </c>
      <c r="N1831" s="34"/>
      <c r="O1831" s="34"/>
    </row>
    <row r="1832" hidden="1">
      <c r="A1832" s="85">
        <v>45993.0</v>
      </c>
      <c r="B1832" s="31" t="s">
        <v>5357</v>
      </c>
      <c r="C1832" s="31">
        <v>8.05011562062E11</v>
      </c>
      <c r="D1832" s="31" t="s">
        <v>5358</v>
      </c>
      <c r="E1832" s="31" t="s">
        <v>5359</v>
      </c>
      <c r="F1832" s="31" t="s">
        <v>5360</v>
      </c>
      <c r="G1832" s="31" t="s">
        <v>582</v>
      </c>
      <c r="H1832" s="31" t="s">
        <v>20</v>
      </c>
      <c r="I1832" s="31">
        <v>4407.0</v>
      </c>
      <c r="J1832" s="31">
        <v>3.875555648E9</v>
      </c>
      <c r="K1832" s="31">
        <v>4407.0</v>
      </c>
      <c r="L1832" s="31" t="s">
        <v>3187</v>
      </c>
      <c r="M1832" s="33">
        <v>1.0</v>
      </c>
      <c r="N1832" s="34"/>
      <c r="O1832" s="34"/>
    </row>
    <row r="1833" hidden="1">
      <c r="A1833" s="85">
        <v>45993.0</v>
      </c>
      <c r="B1833" s="31" t="s">
        <v>5357</v>
      </c>
      <c r="C1833" s="31">
        <v>8.05011562062E11</v>
      </c>
      <c r="D1833" s="31" t="s">
        <v>5358</v>
      </c>
      <c r="E1833" s="31" t="s">
        <v>5359</v>
      </c>
      <c r="F1833" s="31" t="s">
        <v>5360</v>
      </c>
      <c r="G1833" s="31" t="s">
        <v>582</v>
      </c>
      <c r="H1833" s="31" t="s">
        <v>20</v>
      </c>
      <c r="I1833" s="31">
        <v>4407.0</v>
      </c>
      <c r="J1833" s="31">
        <v>3.875555648E9</v>
      </c>
      <c r="K1833" s="31">
        <v>4407.0</v>
      </c>
      <c r="L1833" s="31" t="s">
        <v>513</v>
      </c>
      <c r="M1833" s="33">
        <v>6.0</v>
      </c>
      <c r="N1833" s="34"/>
      <c r="O1833" s="34"/>
    </row>
    <row r="1834" hidden="1">
      <c r="A1834" s="85">
        <v>45993.0</v>
      </c>
      <c r="B1834" s="31" t="s">
        <v>5357</v>
      </c>
      <c r="C1834" s="31">
        <v>8.05011562062E11</v>
      </c>
      <c r="D1834" s="31" t="s">
        <v>5358</v>
      </c>
      <c r="E1834" s="31" t="s">
        <v>5359</v>
      </c>
      <c r="F1834" s="31" t="s">
        <v>5360</v>
      </c>
      <c r="G1834" s="31" t="s">
        <v>582</v>
      </c>
      <c r="H1834" s="31" t="s">
        <v>20</v>
      </c>
      <c r="I1834" s="31">
        <v>4407.0</v>
      </c>
      <c r="J1834" s="31">
        <v>3.875555648E9</v>
      </c>
      <c r="K1834" s="31">
        <v>4407.0</v>
      </c>
      <c r="L1834" s="31" t="s">
        <v>3410</v>
      </c>
      <c r="M1834" s="33">
        <v>1.0</v>
      </c>
      <c r="N1834" s="34"/>
      <c r="O1834" s="34"/>
    </row>
    <row r="1835" ht="9.75" hidden="1" customHeight="1">
      <c r="A1835" s="87"/>
      <c r="B1835" s="88"/>
      <c r="C1835" s="88"/>
      <c r="D1835" s="88"/>
      <c r="E1835" s="88"/>
      <c r="F1835" s="88"/>
      <c r="G1835" s="88"/>
      <c r="H1835" s="88"/>
      <c r="I1835" s="88"/>
      <c r="J1835" s="88"/>
      <c r="K1835" s="88"/>
      <c r="L1835" s="88"/>
      <c r="M1835" s="89"/>
      <c r="N1835" s="90"/>
      <c r="O1835" s="90"/>
    </row>
    <row r="1836" hidden="1">
      <c r="A1836" s="85">
        <v>46002.0</v>
      </c>
      <c r="B1836" s="31" t="s">
        <v>5361</v>
      </c>
      <c r="C1836" s="31">
        <v>8.05011562219E11</v>
      </c>
      <c r="D1836" s="31" t="s">
        <v>5362</v>
      </c>
      <c r="E1836" s="31" t="s">
        <v>5363</v>
      </c>
      <c r="F1836" s="31" t="s">
        <v>5364</v>
      </c>
      <c r="G1836" s="31" t="s">
        <v>155</v>
      </c>
      <c r="H1836" s="31" t="s">
        <v>20</v>
      </c>
      <c r="I1836" s="31">
        <v>4405.0</v>
      </c>
      <c r="J1836" s="31">
        <v>3.875209689E9</v>
      </c>
      <c r="K1836" s="31">
        <v>4405.0</v>
      </c>
      <c r="L1836" s="31" t="s">
        <v>5035</v>
      </c>
      <c r="M1836" s="33">
        <v>1.0</v>
      </c>
      <c r="N1836" s="34"/>
      <c r="O1836" s="31" t="s">
        <v>5365</v>
      </c>
    </row>
    <row r="1837" hidden="1">
      <c r="A1837" s="85">
        <v>46002.0</v>
      </c>
      <c r="B1837" s="31" t="s">
        <v>5361</v>
      </c>
      <c r="C1837" s="31">
        <v>8.05011562219E11</v>
      </c>
      <c r="D1837" s="31" t="s">
        <v>5362</v>
      </c>
      <c r="E1837" s="31" t="s">
        <v>5363</v>
      </c>
      <c r="F1837" s="31" t="s">
        <v>5364</v>
      </c>
      <c r="G1837" s="31" t="s">
        <v>155</v>
      </c>
      <c r="H1837" s="31" t="s">
        <v>20</v>
      </c>
      <c r="I1837" s="31">
        <v>4405.0</v>
      </c>
      <c r="J1837" s="31">
        <v>3.875209689E9</v>
      </c>
      <c r="K1837" s="31">
        <v>4405.0</v>
      </c>
      <c r="L1837" s="31" t="s">
        <v>513</v>
      </c>
      <c r="M1837" s="33">
        <v>6.0</v>
      </c>
      <c r="N1837" s="34"/>
      <c r="O1837" s="31" t="s">
        <v>5365</v>
      </c>
    </row>
    <row r="1838" hidden="1">
      <c r="A1838" s="85">
        <v>46002.0</v>
      </c>
      <c r="B1838" s="31" t="s">
        <v>5361</v>
      </c>
      <c r="C1838" s="31">
        <v>8.05011562219E11</v>
      </c>
      <c r="D1838" s="31" t="s">
        <v>5362</v>
      </c>
      <c r="E1838" s="31" t="s">
        <v>5363</v>
      </c>
      <c r="F1838" s="31" t="s">
        <v>5364</v>
      </c>
      <c r="G1838" s="31" t="s">
        <v>155</v>
      </c>
      <c r="H1838" s="31" t="s">
        <v>20</v>
      </c>
      <c r="I1838" s="31">
        <v>4405.0</v>
      </c>
      <c r="J1838" s="31">
        <v>3.875209689E9</v>
      </c>
      <c r="K1838" s="31">
        <v>4405.0</v>
      </c>
      <c r="L1838" s="31" t="s">
        <v>3410</v>
      </c>
      <c r="M1838" s="33">
        <v>1.0</v>
      </c>
      <c r="N1838" s="34"/>
      <c r="O1838" s="31" t="s">
        <v>5365</v>
      </c>
    </row>
    <row r="1839" hidden="1">
      <c r="A1839" s="85">
        <v>46002.0</v>
      </c>
      <c r="B1839" s="31" t="s">
        <v>5366</v>
      </c>
      <c r="C1839" s="31">
        <v>8.07025033935E11</v>
      </c>
      <c r="D1839" s="31" t="s">
        <v>2393</v>
      </c>
      <c r="E1839" s="31" t="s">
        <v>2394</v>
      </c>
      <c r="F1839" s="31" t="s">
        <v>2395</v>
      </c>
      <c r="G1839" s="31" t="s">
        <v>116</v>
      </c>
      <c r="H1839" s="31" t="s">
        <v>20</v>
      </c>
      <c r="I1839" s="31">
        <v>4400.0</v>
      </c>
      <c r="J1839" s="31">
        <v>3.875781019E9</v>
      </c>
      <c r="K1839" s="31">
        <v>4400.0</v>
      </c>
      <c r="L1839" s="31" t="s">
        <v>4894</v>
      </c>
      <c r="M1839" s="33">
        <v>1.0</v>
      </c>
      <c r="N1839" s="34"/>
      <c r="O1839" s="34"/>
    </row>
    <row r="1840" hidden="1">
      <c r="A1840" s="85">
        <v>46002.0</v>
      </c>
      <c r="B1840" s="31" t="s">
        <v>5367</v>
      </c>
      <c r="C1840" s="31">
        <v>8.05011562589E11</v>
      </c>
      <c r="D1840" s="31" t="s">
        <v>5368</v>
      </c>
      <c r="E1840" s="31" t="s">
        <v>5369</v>
      </c>
      <c r="F1840" s="31" t="s">
        <v>5370</v>
      </c>
      <c r="G1840" s="31" t="s">
        <v>539</v>
      </c>
      <c r="H1840" s="31" t="s">
        <v>20</v>
      </c>
      <c r="I1840" s="31">
        <v>4405.0</v>
      </c>
      <c r="J1840" s="31">
        <v>3.872289637E9</v>
      </c>
      <c r="K1840" s="31">
        <v>4405.0</v>
      </c>
      <c r="L1840" s="31" t="s">
        <v>3867</v>
      </c>
      <c r="M1840" s="33">
        <v>1.0</v>
      </c>
      <c r="N1840" s="34"/>
      <c r="O1840" s="34"/>
    </row>
    <row r="1841" hidden="1">
      <c r="A1841" s="85">
        <v>46002.0</v>
      </c>
      <c r="B1841" s="31" t="s">
        <v>5367</v>
      </c>
      <c r="C1841" s="31">
        <v>8.05011562589E11</v>
      </c>
      <c r="D1841" s="31" t="s">
        <v>5368</v>
      </c>
      <c r="E1841" s="31" t="s">
        <v>5369</v>
      </c>
      <c r="F1841" s="31" t="s">
        <v>5370</v>
      </c>
      <c r="G1841" s="31" t="s">
        <v>539</v>
      </c>
      <c r="H1841" s="31" t="s">
        <v>20</v>
      </c>
      <c r="I1841" s="31">
        <v>4405.0</v>
      </c>
      <c r="J1841" s="31">
        <v>3.872289637E9</v>
      </c>
      <c r="K1841" s="31">
        <v>4405.0</v>
      </c>
      <c r="L1841" s="31" t="s">
        <v>513</v>
      </c>
      <c r="M1841" s="33">
        <v>12.0</v>
      </c>
      <c r="N1841" s="34"/>
      <c r="O1841" s="34"/>
    </row>
    <row r="1842" hidden="1">
      <c r="A1842" s="85">
        <v>46002.0</v>
      </c>
      <c r="B1842" s="31" t="s">
        <v>5367</v>
      </c>
      <c r="C1842" s="31">
        <v>8.05011562589E11</v>
      </c>
      <c r="D1842" s="31" t="s">
        <v>5368</v>
      </c>
      <c r="E1842" s="31" t="s">
        <v>5369</v>
      </c>
      <c r="F1842" s="31" t="s">
        <v>5370</v>
      </c>
      <c r="G1842" s="31" t="s">
        <v>539</v>
      </c>
      <c r="H1842" s="31" t="s">
        <v>20</v>
      </c>
      <c r="I1842" s="31">
        <v>4405.0</v>
      </c>
      <c r="J1842" s="31">
        <v>3.872289637E9</v>
      </c>
      <c r="K1842" s="31">
        <v>4405.0</v>
      </c>
      <c r="L1842" s="31" t="s">
        <v>3253</v>
      </c>
      <c r="M1842" s="33">
        <v>2.0</v>
      </c>
      <c r="N1842" s="34"/>
      <c r="O1842" s="34"/>
    </row>
    <row r="1843" hidden="1">
      <c r="A1843" s="85">
        <v>46002.0</v>
      </c>
      <c r="B1843" s="31" t="s">
        <v>5371</v>
      </c>
      <c r="C1843" s="31">
        <v>8.05011562644E11</v>
      </c>
      <c r="D1843" s="31" t="s">
        <v>5372</v>
      </c>
      <c r="E1843" s="31" t="s">
        <v>5373</v>
      </c>
      <c r="F1843" s="31" t="s">
        <v>5374</v>
      </c>
      <c r="G1843" s="31" t="s">
        <v>20</v>
      </c>
      <c r="H1843" s="31" t="s">
        <v>20</v>
      </c>
      <c r="I1843" s="31">
        <v>4400.0</v>
      </c>
      <c r="J1843" s="31"/>
      <c r="K1843" s="31">
        <v>4400.0</v>
      </c>
      <c r="L1843" s="31" t="s">
        <v>3818</v>
      </c>
      <c r="M1843" s="33">
        <v>1.0</v>
      </c>
      <c r="N1843" s="34"/>
      <c r="O1843" s="31" t="s">
        <v>5375</v>
      </c>
    </row>
    <row r="1844" hidden="1">
      <c r="A1844" s="85">
        <v>46002.0</v>
      </c>
      <c r="B1844" s="31" t="s">
        <v>5371</v>
      </c>
      <c r="C1844" s="31">
        <v>8.05011562644E11</v>
      </c>
      <c r="D1844" s="31" t="s">
        <v>5372</v>
      </c>
      <c r="E1844" s="31" t="s">
        <v>5373</v>
      </c>
      <c r="F1844" s="31" t="s">
        <v>5374</v>
      </c>
      <c r="G1844" s="31" t="s">
        <v>20</v>
      </c>
      <c r="H1844" s="31" t="s">
        <v>20</v>
      </c>
      <c r="I1844" s="31">
        <v>4400.0</v>
      </c>
      <c r="J1844" s="31"/>
      <c r="K1844" s="31">
        <v>4400.0</v>
      </c>
      <c r="L1844" s="31" t="s">
        <v>513</v>
      </c>
      <c r="M1844" s="33">
        <v>12.0</v>
      </c>
      <c r="N1844" s="34"/>
      <c r="O1844" s="31" t="s">
        <v>5375</v>
      </c>
    </row>
    <row r="1845" hidden="1">
      <c r="A1845" s="85">
        <v>46002.0</v>
      </c>
      <c r="B1845" s="31" t="s">
        <v>5371</v>
      </c>
      <c r="C1845" s="31">
        <v>8.05011562644E11</v>
      </c>
      <c r="D1845" s="31" t="s">
        <v>5372</v>
      </c>
      <c r="E1845" s="31" t="s">
        <v>5373</v>
      </c>
      <c r="F1845" s="31" t="s">
        <v>5374</v>
      </c>
      <c r="G1845" s="31" t="s">
        <v>20</v>
      </c>
      <c r="H1845" s="31" t="s">
        <v>20</v>
      </c>
      <c r="I1845" s="31">
        <v>4400.0</v>
      </c>
      <c r="J1845" s="31"/>
      <c r="K1845" s="31">
        <v>4400.0</v>
      </c>
      <c r="L1845" s="31" t="s">
        <v>3486</v>
      </c>
      <c r="M1845" s="33">
        <v>2.0</v>
      </c>
      <c r="N1845" s="34"/>
      <c r="O1845" s="31" t="s">
        <v>5375</v>
      </c>
    </row>
    <row r="1846" hidden="1">
      <c r="A1846" s="85">
        <v>46002.0</v>
      </c>
      <c r="B1846" s="31" t="s">
        <v>5376</v>
      </c>
      <c r="C1846" s="31">
        <v>8.05011562749E11</v>
      </c>
      <c r="D1846" s="31" t="s">
        <v>5377</v>
      </c>
      <c r="E1846" s="31" t="s">
        <v>5378</v>
      </c>
      <c r="F1846" s="31" t="s">
        <v>5379</v>
      </c>
      <c r="G1846" s="31" t="s">
        <v>20</v>
      </c>
      <c r="H1846" s="31" t="s">
        <v>20</v>
      </c>
      <c r="I1846" s="31">
        <v>4400.0</v>
      </c>
      <c r="J1846" s="31">
        <v>3.874510311E9</v>
      </c>
      <c r="K1846" s="31">
        <v>4400.0</v>
      </c>
      <c r="L1846" s="31" t="s">
        <v>290</v>
      </c>
      <c r="M1846" s="33">
        <v>1.0</v>
      </c>
      <c r="N1846" s="34"/>
      <c r="O1846" s="34"/>
    </row>
    <row r="1847" hidden="1">
      <c r="A1847" s="85">
        <v>46002.0</v>
      </c>
      <c r="B1847" s="31" t="s">
        <v>5376</v>
      </c>
      <c r="C1847" s="31">
        <v>8.05011562749E11</v>
      </c>
      <c r="D1847" s="31" t="s">
        <v>5377</v>
      </c>
      <c r="E1847" s="31" t="s">
        <v>5378</v>
      </c>
      <c r="F1847" s="31" t="s">
        <v>5379</v>
      </c>
      <c r="G1847" s="31" t="s">
        <v>20</v>
      </c>
      <c r="H1847" s="31" t="s">
        <v>20</v>
      </c>
      <c r="I1847" s="31">
        <v>4400.0</v>
      </c>
      <c r="J1847" s="31">
        <v>3.874510311E9</v>
      </c>
      <c r="K1847" s="31">
        <v>4400.0</v>
      </c>
      <c r="L1847" s="31" t="s">
        <v>513</v>
      </c>
      <c r="M1847" s="33">
        <v>6.0</v>
      </c>
      <c r="N1847" s="34"/>
      <c r="O1847" s="34"/>
    </row>
    <row r="1848" hidden="1">
      <c r="A1848" s="85">
        <v>46002.0</v>
      </c>
      <c r="B1848" s="31" t="s">
        <v>5376</v>
      </c>
      <c r="C1848" s="31">
        <v>8.05011562749E11</v>
      </c>
      <c r="D1848" s="31" t="s">
        <v>5377</v>
      </c>
      <c r="E1848" s="31" t="s">
        <v>5378</v>
      </c>
      <c r="F1848" s="31" t="s">
        <v>5379</v>
      </c>
      <c r="G1848" s="31" t="s">
        <v>20</v>
      </c>
      <c r="H1848" s="31" t="s">
        <v>20</v>
      </c>
      <c r="I1848" s="31">
        <v>4400.0</v>
      </c>
      <c r="J1848" s="31">
        <v>3.874510311E9</v>
      </c>
      <c r="K1848" s="31">
        <v>4400.0</v>
      </c>
      <c r="L1848" s="31" t="s">
        <v>3594</v>
      </c>
      <c r="M1848" s="33">
        <v>1.0</v>
      </c>
      <c r="N1848" s="34"/>
      <c r="O1848" s="34"/>
    </row>
    <row r="1849" hidden="1">
      <c r="A1849" s="85">
        <v>46002.0</v>
      </c>
      <c r="B1849" s="31" t="s">
        <v>5380</v>
      </c>
      <c r="C1849" s="31">
        <v>8.05011562387E11</v>
      </c>
      <c r="D1849" s="31" t="s">
        <v>5381</v>
      </c>
      <c r="E1849" s="31" t="s">
        <v>5382</v>
      </c>
      <c r="F1849" s="31" t="s">
        <v>5383</v>
      </c>
      <c r="G1849" s="31" t="s">
        <v>20</v>
      </c>
      <c r="H1849" s="31" t="s">
        <v>20</v>
      </c>
      <c r="I1849" s="31">
        <v>4400.0</v>
      </c>
      <c r="J1849" s="31">
        <v>3.87210654E9</v>
      </c>
      <c r="K1849" s="31">
        <v>4400.0</v>
      </c>
      <c r="L1849" s="31" t="s">
        <v>3225</v>
      </c>
      <c r="M1849" s="33">
        <v>1.0</v>
      </c>
      <c r="N1849" s="34"/>
      <c r="O1849" s="34"/>
    </row>
    <row r="1850" hidden="1">
      <c r="A1850" s="85">
        <v>46002.0</v>
      </c>
      <c r="B1850" s="31" t="s">
        <v>5380</v>
      </c>
      <c r="C1850" s="31">
        <v>8.05011562387E11</v>
      </c>
      <c r="D1850" s="31" t="s">
        <v>5381</v>
      </c>
      <c r="E1850" s="31" t="s">
        <v>5382</v>
      </c>
      <c r="F1850" s="31" t="s">
        <v>5383</v>
      </c>
      <c r="G1850" s="31" t="s">
        <v>20</v>
      </c>
      <c r="H1850" s="31" t="s">
        <v>20</v>
      </c>
      <c r="I1850" s="31">
        <v>4400.0</v>
      </c>
      <c r="J1850" s="31">
        <v>3.87210654E9</v>
      </c>
      <c r="K1850" s="31">
        <v>4400.0</v>
      </c>
      <c r="L1850" s="31" t="s">
        <v>513</v>
      </c>
      <c r="M1850" s="33">
        <v>6.0</v>
      </c>
      <c r="N1850" s="34"/>
      <c r="O1850" s="34"/>
    </row>
    <row r="1851" hidden="1">
      <c r="A1851" s="85">
        <v>46002.0</v>
      </c>
      <c r="B1851" s="31" t="s">
        <v>5380</v>
      </c>
      <c r="C1851" s="31">
        <v>8.05011562387E11</v>
      </c>
      <c r="D1851" s="31" t="s">
        <v>5381</v>
      </c>
      <c r="E1851" s="31" t="s">
        <v>5382</v>
      </c>
      <c r="F1851" s="31" t="s">
        <v>5383</v>
      </c>
      <c r="G1851" s="31" t="s">
        <v>20</v>
      </c>
      <c r="H1851" s="31" t="s">
        <v>20</v>
      </c>
      <c r="I1851" s="31">
        <v>4400.0</v>
      </c>
      <c r="J1851" s="31">
        <v>3.87210654E9</v>
      </c>
      <c r="K1851" s="31">
        <v>4400.0</v>
      </c>
      <c r="L1851" s="31" t="s">
        <v>3410</v>
      </c>
      <c r="M1851" s="33">
        <v>1.0</v>
      </c>
      <c r="N1851" s="34"/>
      <c r="O1851" s="34"/>
    </row>
    <row r="1852" hidden="1">
      <c r="A1852" s="85">
        <v>46002.0</v>
      </c>
      <c r="B1852" s="31" t="s">
        <v>5384</v>
      </c>
      <c r="C1852" s="31">
        <v>8.05011562907E11</v>
      </c>
      <c r="D1852" s="31" t="s">
        <v>5377</v>
      </c>
      <c r="E1852" s="31" t="s">
        <v>5378</v>
      </c>
      <c r="F1852" s="31" t="s">
        <v>5385</v>
      </c>
      <c r="G1852" s="31" t="s">
        <v>20</v>
      </c>
      <c r="H1852" s="31" t="s">
        <v>20</v>
      </c>
      <c r="I1852" s="31">
        <v>4400.0</v>
      </c>
      <c r="J1852" s="31">
        <v>3.874510311E9</v>
      </c>
      <c r="K1852" s="31">
        <v>4400.0</v>
      </c>
      <c r="L1852" s="31" t="s">
        <v>290</v>
      </c>
      <c r="M1852" s="33">
        <v>2.0</v>
      </c>
      <c r="N1852" s="34"/>
      <c r="O1852" s="34"/>
    </row>
    <row r="1853" hidden="1">
      <c r="A1853" s="85">
        <v>46002.0</v>
      </c>
      <c r="B1853" s="31" t="s">
        <v>5386</v>
      </c>
      <c r="C1853" s="31">
        <v>8.05011561785E11</v>
      </c>
      <c r="D1853" s="31" t="s">
        <v>5247</v>
      </c>
      <c r="E1853" s="31" t="s">
        <v>5248</v>
      </c>
      <c r="F1853" s="31" t="s">
        <v>5387</v>
      </c>
      <c r="G1853" s="31" t="s">
        <v>368</v>
      </c>
      <c r="H1853" s="31" t="s">
        <v>20</v>
      </c>
      <c r="I1853" s="31">
        <v>4530.0</v>
      </c>
      <c r="J1853" s="31" t="s">
        <v>5250</v>
      </c>
      <c r="K1853" s="31">
        <v>4530.0</v>
      </c>
      <c r="L1853" s="31" t="s">
        <v>3225</v>
      </c>
      <c r="M1853" s="33">
        <v>1.0</v>
      </c>
      <c r="N1853" s="34"/>
      <c r="O1853" s="31" t="s">
        <v>5388</v>
      </c>
    </row>
    <row r="1854" hidden="1">
      <c r="A1854" s="85">
        <v>46002.0</v>
      </c>
      <c r="B1854" s="31" t="s">
        <v>5386</v>
      </c>
      <c r="C1854" s="31">
        <v>8.05011561785E11</v>
      </c>
      <c r="D1854" s="31" t="s">
        <v>5247</v>
      </c>
      <c r="E1854" s="31" t="s">
        <v>5248</v>
      </c>
      <c r="F1854" s="31" t="s">
        <v>5387</v>
      </c>
      <c r="G1854" s="31" t="s">
        <v>368</v>
      </c>
      <c r="H1854" s="31" t="s">
        <v>20</v>
      </c>
      <c r="I1854" s="31">
        <v>4530.0</v>
      </c>
      <c r="J1854" s="31" t="s">
        <v>5250</v>
      </c>
      <c r="K1854" s="31">
        <v>4530.0</v>
      </c>
      <c r="L1854" s="31" t="s">
        <v>513</v>
      </c>
      <c r="M1854" s="33">
        <v>6.0</v>
      </c>
      <c r="N1854" s="34"/>
      <c r="O1854" s="31" t="s">
        <v>5388</v>
      </c>
    </row>
    <row r="1855" hidden="1">
      <c r="A1855" s="85">
        <v>46002.0</v>
      </c>
      <c r="B1855" s="31" t="s">
        <v>5386</v>
      </c>
      <c r="C1855" s="31">
        <v>8.05011561785E11</v>
      </c>
      <c r="D1855" s="31" t="s">
        <v>5247</v>
      </c>
      <c r="E1855" s="31" t="s">
        <v>5248</v>
      </c>
      <c r="F1855" s="31" t="s">
        <v>5387</v>
      </c>
      <c r="G1855" s="31" t="s">
        <v>368</v>
      </c>
      <c r="H1855" s="31" t="s">
        <v>20</v>
      </c>
      <c r="I1855" s="31">
        <v>4530.0</v>
      </c>
      <c r="J1855" s="31" t="s">
        <v>5250</v>
      </c>
      <c r="K1855" s="31">
        <v>4530.0</v>
      </c>
      <c r="L1855" s="31" t="s">
        <v>3410</v>
      </c>
      <c r="M1855" s="33">
        <v>1.0</v>
      </c>
      <c r="N1855" s="34"/>
      <c r="O1855" s="31" t="s">
        <v>5388</v>
      </c>
    </row>
    <row r="1856" hidden="1">
      <c r="A1856" s="85">
        <v>46002.0</v>
      </c>
      <c r="B1856" s="31" t="s">
        <v>5389</v>
      </c>
      <c r="C1856" s="31">
        <v>8.05011563105E11</v>
      </c>
      <c r="D1856" s="31" t="s">
        <v>5390</v>
      </c>
      <c r="E1856" s="31" t="s">
        <v>5391</v>
      </c>
      <c r="F1856" s="69" t="s">
        <v>5392</v>
      </c>
      <c r="G1856" s="31" t="s">
        <v>1477</v>
      </c>
      <c r="H1856" s="31" t="s">
        <v>20</v>
      </c>
      <c r="I1856" s="31">
        <v>4550.0</v>
      </c>
      <c r="J1856" s="31">
        <v>2.964613461E9</v>
      </c>
      <c r="K1856" s="31">
        <v>4550.0</v>
      </c>
      <c r="L1856" s="31" t="s">
        <v>3225</v>
      </c>
      <c r="M1856" s="33">
        <v>1.0</v>
      </c>
      <c r="N1856" s="34"/>
      <c r="O1856" s="34"/>
    </row>
    <row r="1857" hidden="1">
      <c r="A1857" s="85">
        <v>46002.0</v>
      </c>
      <c r="B1857" s="31" t="s">
        <v>5389</v>
      </c>
      <c r="C1857" s="31">
        <v>8.05011563105E11</v>
      </c>
      <c r="D1857" s="31" t="s">
        <v>5390</v>
      </c>
      <c r="E1857" s="31" t="s">
        <v>5391</v>
      </c>
      <c r="F1857" s="69" t="s">
        <v>5392</v>
      </c>
      <c r="G1857" s="31" t="s">
        <v>1477</v>
      </c>
      <c r="H1857" s="31" t="s">
        <v>20</v>
      </c>
      <c r="I1857" s="31">
        <v>4550.0</v>
      </c>
      <c r="J1857" s="31">
        <v>2.964613461E9</v>
      </c>
      <c r="K1857" s="31">
        <v>4550.0</v>
      </c>
      <c r="L1857" s="31" t="s">
        <v>513</v>
      </c>
      <c r="M1857" s="33">
        <v>6.0</v>
      </c>
      <c r="N1857" s="34"/>
      <c r="O1857" s="34"/>
    </row>
    <row r="1858" hidden="1">
      <c r="A1858" s="85">
        <v>46002.0</v>
      </c>
      <c r="B1858" s="31" t="s">
        <v>5389</v>
      </c>
      <c r="C1858" s="31">
        <v>8.05011563105E11</v>
      </c>
      <c r="D1858" s="31" t="s">
        <v>5390</v>
      </c>
      <c r="E1858" s="31" t="s">
        <v>5391</v>
      </c>
      <c r="F1858" s="69" t="s">
        <v>5392</v>
      </c>
      <c r="G1858" s="31" t="s">
        <v>1477</v>
      </c>
      <c r="H1858" s="31" t="s">
        <v>20</v>
      </c>
      <c r="I1858" s="31">
        <v>4550.0</v>
      </c>
      <c r="J1858" s="31">
        <v>2.964613461E9</v>
      </c>
      <c r="K1858" s="31">
        <v>4550.0</v>
      </c>
      <c r="L1858" s="31" t="s">
        <v>3188</v>
      </c>
      <c r="M1858" s="33">
        <v>1.0</v>
      </c>
      <c r="N1858" s="34"/>
      <c r="O1858" s="34"/>
    </row>
    <row r="1859" hidden="1">
      <c r="A1859" s="85">
        <v>46002.0</v>
      </c>
      <c r="B1859" s="31" t="s">
        <v>5393</v>
      </c>
      <c r="C1859" s="31">
        <v>8.05011563282E11</v>
      </c>
      <c r="D1859" s="31" t="s">
        <v>5394</v>
      </c>
      <c r="E1859" s="31" t="s">
        <v>5395</v>
      </c>
      <c r="F1859" s="31" t="s">
        <v>5396</v>
      </c>
      <c r="G1859" s="31" t="s">
        <v>20</v>
      </c>
      <c r="H1859" s="31" t="s">
        <v>20</v>
      </c>
      <c r="I1859" s="31">
        <v>4400.0</v>
      </c>
      <c r="J1859" s="31">
        <v>3.874129212E9</v>
      </c>
      <c r="K1859" s="31">
        <v>4400.0</v>
      </c>
      <c r="L1859" s="31" t="s">
        <v>3225</v>
      </c>
      <c r="M1859" s="33">
        <v>1.0</v>
      </c>
      <c r="N1859" s="34"/>
      <c r="O1859" s="34"/>
    </row>
    <row r="1860" hidden="1">
      <c r="A1860" s="85">
        <v>46002.0</v>
      </c>
      <c r="B1860" s="31" t="s">
        <v>5393</v>
      </c>
      <c r="C1860" s="31">
        <v>8.05011563282E11</v>
      </c>
      <c r="D1860" s="31" t="s">
        <v>5394</v>
      </c>
      <c r="E1860" s="31" t="s">
        <v>5395</v>
      </c>
      <c r="F1860" s="31" t="s">
        <v>5396</v>
      </c>
      <c r="G1860" s="31" t="s">
        <v>20</v>
      </c>
      <c r="H1860" s="31" t="s">
        <v>20</v>
      </c>
      <c r="I1860" s="31">
        <v>4400.0</v>
      </c>
      <c r="J1860" s="31">
        <v>3.874129212E9</v>
      </c>
      <c r="K1860" s="31">
        <v>4400.0</v>
      </c>
      <c r="L1860" s="31" t="s">
        <v>513</v>
      </c>
      <c r="M1860" s="33">
        <v>6.0</v>
      </c>
      <c r="N1860" s="34"/>
      <c r="O1860" s="34"/>
    </row>
    <row r="1861" hidden="1">
      <c r="A1861" s="85">
        <v>46002.0</v>
      </c>
      <c r="B1861" s="31" t="s">
        <v>5393</v>
      </c>
      <c r="C1861" s="31">
        <v>8.05011563282E11</v>
      </c>
      <c r="D1861" s="31" t="s">
        <v>5394</v>
      </c>
      <c r="E1861" s="31" t="s">
        <v>5395</v>
      </c>
      <c r="F1861" s="31" t="s">
        <v>5396</v>
      </c>
      <c r="G1861" s="31" t="s">
        <v>20</v>
      </c>
      <c r="H1861" s="31" t="s">
        <v>20</v>
      </c>
      <c r="I1861" s="31">
        <v>4400.0</v>
      </c>
      <c r="J1861" s="31">
        <v>3.874129212E9</v>
      </c>
      <c r="K1861" s="31">
        <v>4400.0</v>
      </c>
      <c r="L1861" s="31" t="s">
        <v>3410</v>
      </c>
      <c r="M1861" s="33">
        <v>1.0</v>
      </c>
      <c r="N1861" s="34"/>
      <c r="O1861" s="34"/>
    </row>
    <row r="1862" hidden="1">
      <c r="A1862" s="85">
        <v>46002.0</v>
      </c>
      <c r="B1862" s="31" t="s">
        <v>5397</v>
      </c>
      <c r="C1862" s="31">
        <v>8.05011563215E11</v>
      </c>
      <c r="D1862" s="31" t="s">
        <v>5398</v>
      </c>
      <c r="E1862" s="31" t="s">
        <v>5399</v>
      </c>
      <c r="F1862" s="31" t="s">
        <v>5400</v>
      </c>
      <c r="G1862" s="31" t="s">
        <v>20</v>
      </c>
      <c r="H1862" s="31" t="s">
        <v>20</v>
      </c>
      <c r="I1862" s="31">
        <v>4400.0</v>
      </c>
      <c r="J1862" s="31">
        <v>3.873482371E9</v>
      </c>
      <c r="K1862" s="31">
        <v>4400.0</v>
      </c>
      <c r="L1862" s="31" t="s">
        <v>4013</v>
      </c>
      <c r="M1862" s="33">
        <v>1.0</v>
      </c>
      <c r="N1862" s="34"/>
      <c r="O1862" s="31" t="s">
        <v>5401</v>
      </c>
    </row>
    <row r="1863" hidden="1">
      <c r="A1863" s="85">
        <v>46002.0</v>
      </c>
      <c r="B1863" s="31" t="s">
        <v>5397</v>
      </c>
      <c r="C1863" s="31">
        <v>8.05011563215E11</v>
      </c>
      <c r="D1863" s="31" t="s">
        <v>5398</v>
      </c>
      <c r="E1863" s="31" t="s">
        <v>5399</v>
      </c>
      <c r="F1863" s="31" t="s">
        <v>5400</v>
      </c>
      <c r="G1863" s="31" t="s">
        <v>20</v>
      </c>
      <c r="H1863" s="31" t="s">
        <v>20</v>
      </c>
      <c r="I1863" s="31">
        <v>4400.0</v>
      </c>
      <c r="J1863" s="31">
        <v>3.873482371E9</v>
      </c>
      <c r="K1863" s="31">
        <v>4400.0</v>
      </c>
      <c r="L1863" s="31" t="s">
        <v>513</v>
      </c>
      <c r="M1863" s="33">
        <v>6.0</v>
      </c>
      <c r="N1863" s="34"/>
      <c r="O1863" s="31" t="s">
        <v>5401</v>
      </c>
    </row>
    <row r="1864" hidden="1">
      <c r="A1864" s="85">
        <v>46002.0</v>
      </c>
      <c r="B1864" s="31" t="s">
        <v>5397</v>
      </c>
      <c r="C1864" s="31">
        <v>8.05011563215E11</v>
      </c>
      <c r="D1864" s="31" t="s">
        <v>5398</v>
      </c>
      <c r="E1864" s="31" t="s">
        <v>5399</v>
      </c>
      <c r="F1864" s="31" t="s">
        <v>5400</v>
      </c>
      <c r="G1864" s="31" t="s">
        <v>20</v>
      </c>
      <c r="H1864" s="31" t="s">
        <v>20</v>
      </c>
      <c r="I1864" s="31">
        <v>4400.0</v>
      </c>
      <c r="J1864" s="31">
        <v>3.873482371E9</v>
      </c>
      <c r="K1864" s="31">
        <v>4400.0</v>
      </c>
      <c r="L1864" s="31" t="s">
        <v>3401</v>
      </c>
      <c r="M1864" s="33">
        <v>1.0</v>
      </c>
      <c r="N1864" s="34"/>
      <c r="O1864" s="31" t="s">
        <v>5401</v>
      </c>
    </row>
    <row r="1865" hidden="1">
      <c r="A1865" s="85">
        <v>46002.0</v>
      </c>
      <c r="B1865" s="31" t="s">
        <v>5402</v>
      </c>
      <c r="C1865" s="31">
        <v>8.05011563192E11</v>
      </c>
      <c r="D1865" s="31" t="s">
        <v>5403</v>
      </c>
      <c r="E1865" s="31" t="s">
        <v>5404</v>
      </c>
      <c r="F1865" s="31" t="s">
        <v>5405</v>
      </c>
      <c r="G1865" s="31" t="s">
        <v>3047</v>
      </c>
      <c r="H1865" s="31" t="s">
        <v>20</v>
      </c>
      <c r="I1865" s="31">
        <v>4405.0</v>
      </c>
      <c r="J1865" s="31">
        <v>3.873014342E9</v>
      </c>
      <c r="K1865" s="31">
        <v>4405.0</v>
      </c>
      <c r="L1865" s="31" t="s">
        <v>5035</v>
      </c>
      <c r="M1865" s="33">
        <v>1.0</v>
      </c>
      <c r="N1865" s="34"/>
      <c r="O1865" s="31" t="s">
        <v>5406</v>
      </c>
    </row>
    <row r="1866" hidden="1">
      <c r="A1866" s="85">
        <v>46002.0</v>
      </c>
      <c r="B1866" s="31" t="s">
        <v>5402</v>
      </c>
      <c r="C1866" s="31">
        <v>8.05011563192E11</v>
      </c>
      <c r="D1866" s="31" t="s">
        <v>5403</v>
      </c>
      <c r="E1866" s="31" t="s">
        <v>5404</v>
      </c>
      <c r="F1866" s="31" t="s">
        <v>5405</v>
      </c>
      <c r="G1866" s="31" t="s">
        <v>3047</v>
      </c>
      <c r="H1866" s="31" t="s">
        <v>20</v>
      </c>
      <c r="I1866" s="31">
        <v>4405.0</v>
      </c>
      <c r="J1866" s="31">
        <v>3.873014342E9</v>
      </c>
      <c r="K1866" s="31">
        <v>4405.0</v>
      </c>
      <c r="L1866" s="31" t="s">
        <v>513</v>
      </c>
      <c r="M1866" s="33">
        <v>6.0</v>
      </c>
      <c r="N1866" s="34"/>
      <c r="O1866" s="31" t="s">
        <v>5406</v>
      </c>
    </row>
    <row r="1867" hidden="1">
      <c r="A1867" s="85">
        <v>46002.0</v>
      </c>
      <c r="B1867" s="31" t="s">
        <v>5402</v>
      </c>
      <c r="C1867" s="31">
        <v>8.05011563192E11</v>
      </c>
      <c r="D1867" s="31" t="s">
        <v>5403</v>
      </c>
      <c r="E1867" s="31" t="s">
        <v>5404</v>
      </c>
      <c r="F1867" s="31" t="s">
        <v>5405</v>
      </c>
      <c r="G1867" s="31" t="s">
        <v>3047</v>
      </c>
      <c r="H1867" s="31" t="s">
        <v>20</v>
      </c>
      <c r="I1867" s="31">
        <v>4405.0</v>
      </c>
      <c r="J1867" s="31">
        <v>3.873014342E9</v>
      </c>
      <c r="K1867" s="31">
        <v>4405.0</v>
      </c>
      <c r="L1867" s="31" t="s">
        <v>3410</v>
      </c>
      <c r="M1867" s="33">
        <v>1.0</v>
      </c>
      <c r="N1867" s="34"/>
      <c r="O1867" s="31" t="s">
        <v>5406</v>
      </c>
    </row>
    <row r="1868" hidden="1">
      <c r="A1868" s="85">
        <v>46002.0</v>
      </c>
      <c r="B1868" s="31" t="s">
        <v>5407</v>
      </c>
      <c r="C1868" s="31">
        <v>8.05011563452E11</v>
      </c>
      <c r="D1868" s="31" t="s">
        <v>5408</v>
      </c>
      <c r="E1868" s="31" t="s">
        <v>5409</v>
      </c>
      <c r="F1868" s="31" t="s">
        <v>5410</v>
      </c>
      <c r="G1868" s="31" t="s">
        <v>3613</v>
      </c>
      <c r="H1868" s="31" t="s">
        <v>20</v>
      </c>
      <c r="I1868" s="31">
        <v>4444.0</v>
      </c>
      <c r="J1868" s="31">
        <v>3.874142104E9</v>
      </c>
      <c r="K1868" s="31">
        <v>4444.0</v>
      </c>
      <c r="L1868" s="31" t="s">
        <v>3500</v>
      </c>
      <c r="M1868" s="33">
        <v>1.0</v>
      </c>
      <c r="N1868" s="34"/>
      <c r="O1868" s="34"/>
    </row>
    <row r="1869" ht="16.5" hidden="1" customHeight="1">
      <c r="A1869" s="85">
        <v>46002.0</v>
      </c>
      <c r="B1869" s="31" t="s">
        <v>5411</v>
      </c>
      <c r="C1869" s="31">
        <v>8.06318037644E11</v>
      </c>
      <c r="D1869" s="31" t="s">
        <v>5412</v>
      </c>
      <c r="E1869" s="31" t="s">
        <v>5413</v>
      </c>
      <c r="F1869" s="31" t="s">
        <v>5414</v>
      </c>
      <c r="G1869" s="31" t="s">
        <v>292</v>
      </c>
      <c r="H1869" s="31" t="s">
        <v>20</v>
      </c>
      <c r="I1869" s="31">
        <v>4401.0</v>
      </c>
      <c r="J1869" s="31">
        <v>3.875368594E9</v>
      </c>
      <c r="K1869" s="31">
        <v>4401.0</v>
      </c>
      <c r="L1869" s="31" t="s">
        <v>5415</v>
      </c>
      <c r="M1869" s="33">
        <v>3.0</v>
      </c>
      <c r="N1869" s="34"/>
      <c r="O1869" s="31" t="s">
        <v>5416</v>
      </c>
    </row>
    <row r="1870" hidden="1">
      <c r="A1870" s="85">
        <v>46002.0</v>
      </c>
      <c r="B1870" s="31" t="s">
        <v>5411</v>
      </c>
      <c r="C1870" s="31">
        <v>8.06318037644E11</v>
      </c>
      <c r="D1870" s="31" t="s">
        <v>5412</v>
      </c>
      <c r="E1870" s="31" t="s">
        <v>5413</v>
      </c>
      <c r="F1870" s="31" t="s">
        <v>5414</v>
      </c>
      <c r="G1870" s="31" t="s">
        <v>292</v>
      </c>
      <c r="H1870" s="31" t="s">
        <v>20</v>
      </c>
      <c r="I1870" s="31">
        <v>4401.0</v>
      </c>
      <c r="J1870" s="31">
        <v>3.875368594E9</v>
      </c>
      <c r="K1870" s="31">
        <v>4401.0</v>
      </c>
      <c r="L1870" s="31" t="s">
        <v>5417</v>
      </c>
      <c r="M1870" s="33">
        <v>3.0</v>
      </c>
      <c r="N1870" s="34"/>
      <c r="O1870" s="31" t="s">
        <v>5416</v>
      </c>
    </row>
    <row r="1871" hidden="1">
      <c r="A1871" s="87"/>
      <c r="B1871" s="88"/>
      <c r="C1871" s="88"/>
      <c r="D1871" s="88"/>
      <c r="E1871" s="88"/>
      <c r="F1871" s="88"/>
      <c r="G1871" s="88"/>
      <c r="H1871" s="88"/>
      <c r="I1871" s="88"/>
      <c r="J1871" s="88"/>
      <c r="K1871" s="88"/>
      <c r="L1871" s="88"/>
      <c r="M1871" s="89"/>
      <c r="N1871" s="90"/>
      <c r="O1871" s="90"/>
    </row>
    <row r="1872" hidden="1">
      <c r="A1872" s="85">
        <v>46013.0</v>
      </c>
      <c r="B1872" s="31" t="s">
        <v>5418</v>
      </c>
      <c r="C1872" s="31">
        <v>8.05011562823E11</v>
      </c>
      <c r="D1872" s="31" t="s">
        <v>5419</v>
      </c>
      <c r="E1872" s="31" t="s">
        <v>5420</v>
      </c>
      <c r="F1872" s="31" t="s">
        <v>5421</v>
      </c>
      <c r="G1872" s="31" t="s">
        <v>983</v>
      </c>
      <c r="H1872" s="31" t="s">
        <v>20</v>
      </c>
      <c r="I1872" s="31">
        <v>4400.0</v>
      </c>
      <c r="J1872" s="31">
        <v>3.875945922E9</v>
      </c>
      <c r="K1872" s="31" t="s">
        <v>634</v>
      </c>
      <c r="L1872" s="31" t="s">
        <v>635</v>
      </c>
      <c r="M1872" s="33">
        <v>1.0</v>
      </c>
      <c r="N1872" s="34"/>
      <c r="O1872" s="31" t="s">
        <v>5422</v>
      </c>
    </row>
    <row r="1873" hidden="1">
      <c r="A1873" s="85">
        <v>46013.0</v>
      </c>
      <c r="B1873" s="31" t="s">
        <v>5418</v>
      </c>
      <c r="C1873" s="31">
        <v>8.05011562823E11</v>
      </c>
      <c r="D1873" s="31" t="s">
        <v>5419</v>
      </c>
      <c r="E1873" s="31" t="s">
        <v>5420</v>
      </c>
      <c r="F1873" s="31" t="s">
        <v>5421</v>
      </c>
      <c r="G1873" s="31" t="s">
        <v>983</v>
      </c>
      <c r="H1873" s="31" t="s">
        <v>20</v>
      </c>
      <c r="I1873" s="31">
        <v>4400.0</v>
      </c>
      <c r="J1873" s="31">
        <v>3.875945922E9</v>
      </c>
      <c r="K1873" s="31" t="s">
        <v>50</v>
      </c>
      <c r="L1873" s="31" t="s">
        <v>51</v>
      </c>
      <c r="M1873" s="33">
        <v>1.0</v>
      </c>
      <c r="N1873" s="34"/>
      <c r="O1873" s="31" t="s">
        <v>5422</v>
      </c>
    </row>
    <row r="1874" hidden="1">
      <c r="A1874" s="85">
        <v>46013.0</v>
      </c>
      <c r="B1874" s="31" t="s">
        <v>5423</v>
      </c>
      <c r="C1874" s="31">
        <v>8.05011563783E11</v>
      </c>
      <c r="D1874" s="31" t="s">
        <v>5424</v>
      </c>
      <c r="E1874" s="31" t="s">
        <v>5425</v>
      </c>
      <c r="F1874" s="31" t="s">
        <v>5426</v>
      </c>
      <c r="G1874" s="31" t="s">
        <v>20</v>
      </c>
      <c r="H1874" s="31" t="s">
        <v>20</v>
      </c>
      <c r="I1874" s="31">
        <v>4400.0</v>
      </c>
      <c r="J1874" s="31">
        <v>3.874114001E9</v>
      </c>
      <c r="K1874" s="31" t="s">
        <v>289</v>
      </c>
      <c r="L1874" s="31" t="s">
        <v>290</v>
      </c>
      <c r="M1874" s="33">
        <v>1.0</v>
      </c>
      <c r="N1874" s="34"/>
      <c r="O1874" s="31" t="s">
        <v>5427</v>
      </c>
    </row>
    <row r="1875" hidden="1">
      <c r="A1875" s="85">
        <v>46013.0</v>
      </c>
      <c r="B1875" s="31" t="s">
        <v>5428</v>
      </c>
      <c r="C1875" s="31">
        <v>8.05011563816E11</v>
      </c>
      <c r="D1875" s="31" t="s">
        <v>5429</v>
      </c>
      <c r="E1875" s="31" t="s">
        <v>5430</v>
      </c>
      <c r="F1875" s="31" t="s">
        <v>5431</v>
      </c>
      <c r="G1875" s="31" t="s">
        <v>624</v>
      </c>
      <c r="H1875" s="31" t="s">
        <v>20</v>
      </c>
      <c r="I1875" s="31">
        <v>4403.0</v>
      </c>
      <c r="J1875" s="31">
        <v>3.874107238E9</v>
      </c>
      <c r="K1875" s="31" t="s">
        <v>60</v>
      </c>
      <c r="L1875" s="31" t="s">
        <v>3706</v>
      </c>
      <c r="M1875" s="33">
        <v>1.0</v>
      </c>
      <c r="N1875" s="34"/>
      <c r="O1875" s="34"/>
    </row>
    <row r="1876" hidden="1">
      <c r="A1876" s="85">
        <v>46013.0</v>
      </c>
      <c r="B1876" s="31" t="s">
        <v>5428</v>
      </c>
      <c r="C1876" s="31">
        <v>8.05011563816E11</v>
      </c>
      <c r="D1876" s="31" t="s">
        <v>5429</v>
      </c>
      <c r="E1876" s="31" t="s">
        <v>5430</v>
      </c>
      <c r="F1876" s="31" t="s">
        <v>5431</v>
      </c>
      <c r="G1876" s="31" t="s">
        <v>624</v>
      </c>
      <c r="H1876" s="31" t="s">
        <v>20</v>
      </c>
      <c r="I1876" s="31">
        <v>4403.0</v>
      </c>
      <c r="J1876" s="31">
        <v>3.874107238E9</v>
      </c>
      <c r="K1876" s="31" t="s">
        <v>512</v>
      </c>
      <c r="L1876" s="31" t="s">
        <v>513</v>
      </c>
      <c r="M1876" s="33">
        <v>6.0</v>
      </c>
      <c r="N1876" s="34"/>
      <c r="O1876" s="34"/>
    </row>
    <row r="1877" hidden="1">
      <c r="A1877" s="85">
        <v>46013.0</v>
      </c>
      <c r="B1877" s="31" t="s">
        <v>5428</v>
      </c>
      <c r="C1877" s="31">
        <v>8.05011563816E11</v>
      </c>
      <c r="D1877" s="31" t="s">
        <v>5429</v>
      </c>
      <c r="E1877" s="31" t="s">
        <v>5430</v>
      </c>
      <c r="F1877" s="31" t="s">
        <v>5431</v>
      </c>
      <c r="G1877" s="31" t="s">
        <v>624</v>
      </c>
      <c r="H1877" s="31" t="s">
        <v>20</v>
      </c>
      <c r="I1877" s="31">
        <v>4403.0</v>
      </c>
      <c r="J1877" s="31">
        <v>3.874107238E9</v>
      </c>
      <c r="K1877" s="31" t="s">
        <v>64</v>
      </c>
      <c r="L1877" s="31" t="s">
        <v>3708</v>
      </c>
      <c r="M1877" s="33">
        <v>1.0</v>
      </c>
      <c r="N1877" s="34"/>
      <c r="O1877" s="34"/>
    </row>
    <row r="1878" hidden="1">
      <c r="A1878" s="85">
        <v>46013.0</v>
      </c>
      <c r="B1878" s="31" t="s">
        <v>5432</v>
      </c>
      <c r="C1878" s="31">
        <v>8.07025034133E11</v>
      </c>
      <c r="D1878" s="31" t="s">
        <v>5433</v>
      </c>
      <c r="E1878" s="31" t="s">
        <v>5434</v>
      </c>
      <c r="F1878" s="31" t="s">
        <v>5435</v>
      </c>
      <c r="G1878" s="31" t="s">
        <v>127</v>
      </c>
      <c r="H1878" s="31" t="s">
        <v>20</v>
      </c>
      <c r="I1878" s="31">
        <v>4400.0</v>
      </c>
      <c r="J1878" s="31">
        <v>3.87449153E9</v>
      </c>
      <c r="K1878" s="31" t="s">
        <v>5436</v>
      </c>
      <c r="L1878" s="31" t="s">
        <v>5437</v>
      </c>
      <c r="M1878" s="33">
        <v>1.0</v>
      </c>
      <c r="N1878" s="34"/>
      <c r="O1878" s="34"/>
    </row>
    <row r="1879" hidden="1">
      <c r="A1879" s="85">
        <v>46013.0</v>
      </c>
      <c r="B1879" s="31" t="s">
        <v>5438</v>
      </c>
      <c r="C1879" s="31">
        <v>8.05011563935E11</v>
      </c>
      <c r="D1879" s="31" t="s">
        <v>5115</v>
      </c>
      <c r="E1879" s="31" t="s">
        <v>5116</v>
      </c>
      <c r="F1879" s="31" t="s">
        <v>5439</v>
      </c>
      <c r="G1879" s="31" t="s">
        <v>5440</v>
      </c>
      <c r="H1879" s="31" t="s">
        <v>20</v>
      </c>
      <c r="I1879" s="31">
        <v>4449.0</v>
      </c>
      <c r="J1879" s="31">
        <v>3.877401053E9</v>
      </c>
      <c r="K1879" s="31" t="s">
        <v>3294</v>
      </c>
      <c r="M1879" s="33">
        <v>2.0</v>
      </c>
      <c r="N1879" s="34"/>
      <c r="O1879" s="31" t="s">
        <v>5441</v>
      </c>
    </row>
    <row r="1880" hidden="1">
      <c r="A1880" s="85">
        <v>46013.0</v>
      </c>
      <c r="B1880" s="31" t="s">
        <v>5442</v>
      </c>
      <c r="C1880" s="31">
        <v>8.0501156392E11</v>
      </c>
      <c r="D1880" s="31" t="s">
        <v>5443</v>
      </c>
      <c r="E1880" s="31" t="s">
        <v>5444</v>
      </c>
      <c r="F1880" s="31" t="s">
        <v>5445</v>
      </c>
      <c r="G1880" s="31" t="s">
        <v>20</v>
      </c>
      <c r="H1880" s="31" t="s">
        <v>20</v>
      </c>
      <c r="I1880" s="31">
        <v>4400.0</v>
      </c>
      <c r="J1880" s="31">
        <v>3.875562309E9</v>
      </c>
      <c r="K1880" s="31" t="s">
        <v>617</v>
      </c>
      <c r="L1880" s="31" t="s">
        <v>3867</v>
      </c>
      <c r="M1880" s="33">
        <v>1.0</v>
      </c>
      <c r="N1880" s="34"/>
      <c r="O1880" s="34"/>
    </row>
    <row r="1881" hidden="1">
      <c r="A1881" s="85">
        <v>46013.0</v>
      </c>
      <c r="B1881" s="31" t="s">
        <v>5446</v>
      </c>
      <c r="C1881" s="31">
        <v>8.06015097179E11</v>
      </c>
      <c r="D1881" s="31" t="s">
        <v>5447</v>
      </c>
      <c r="E1881" s="31" t="s">
        <v>5448</v>
      </c>
      <c r="F1881" s="31" t="s">
        <v>5449</v>
      </c>
      <c r="G1881" s="31" t="s">
        <v>20</v>
      </c>
      <c r="H1881" s="31" t="s">
        <v>20</v>
      </c>
      <c r="I1881" s="31" t="s">
        <v>4086</v>
      </c>
      <c r="J1881" s="31">
        <v>3.875174567E9</v>
      </c>
      <c r="K1881" s="31" t="s">
        <v>2135</v>
      </c>
      <c r="L1881" s="31" t="s">
        <v>5094</v>
      </c>
      <c r="M1881" s="33">
        <v>1.0</v>
      </c>
      <c r="N1881" s="34"/>
      <c r="O1881" s="31" t="s">
        <v>5450</v>
      </c>
    </row>
    <row r="1882" hidden="1">
      <c r="A1882" s="85">
        <v>46013.0</v>
      </c>
      <c r="B1882" s="31" t="s">
        <v>5451</v>
      </c>
      <c r="C1882" s="31">
        <v>8.05011564296E11</v>
      </c>
      <c r="D1882" s="31" t="s">
        <v>5452</v>
      </c>
      <c r="E1882" s="31" t="s">
        <v>5453</v>
      </c>
      <c r="F1882" s="31" t="s">
        <v>5454</v>
      </c>
      <c r="G1882" s="31" t="s">
        <v>20</v>
      </c>
      <c r="H1882" s="31" t="s">
        <v>20</v>
      </c>
      <c r="I1882" s="31">
        <v>4400.0</v>
      </c>
      <c r="J1882" s="31">
        <v>3.874660333E9</v>
      </c>
      <c r="K1882" s="31" t="s">
        <v>32</v>
      </c>
      <c r="L1882" s="31" t="s">
        <v>3225</v>
      </c>
      <c r="M1882" s="33">
        <v>1.0</v>
      </c>
      <c r="N1882" s="34"/>
      <c r="O1882" s="34"/>
    </row>
    <row r="1883" hidden="1">
      <c r="A1883" s="85">
        <v>46013.0</v>
      </c>
      <c r="B1883" s="31" t="s">
        <v>5451</v>
      </c>
      <c r="C1883" s="31">
        <v>8.05011564296E11</v>
      </c>
      <c r="D1883" s="31" t="s">
        <v>5452</v>
      </c>
      <c r="E1883" s="31" t="s">
        <v>5453</v>
      </c>
      <c r="F1883" s="31" t="s">
        <v>5454</v>
      </c>
      <c r="G1883" s="31" t="s">
        <v>20</v>
      </c>
      <c r="H1883" s="31" t="s">
        <v>20</v>
      </c>
      <c r="I1883" s="31">
        <v>4400.0</v>
      </c>
      <c r="J1883" s="31">
        <v>3.874660333E9</v>
      </c>
      <c r="K1883" s="31" t="s">
        <v>512</v>
      </c>
      <c r="L1883" s="31" t="s">
        <v>513</v>
      </c>
      <c r="M1883" s="33">
        <v>6.0</v>
      </c>
      <c r="N1883" s="34"/>
      <c r="O1883" s="34"/>
    </row>
    <row r="1884" hidden="1">
      <c r="A1884" s="85">
        <v>46013.0</v>
      </c>
      <c r="B1884" s="31" t="s">
        <v>5451</v>
      </c>
      <c r="C1884" s="31">
        <v>8.05011564296E11</v>
      </c>
      <c r="D1884" s="31" t="s">
        <v>5452</v>
      </c>
      <c r="E1884" s="31" t="s">
        <v>5453</v>
      </c>
      <c r="F1884" s="31" t="s">
        <v>5454</v>
      </c>
      <c r="G1884" s="31" t="s">
        <v>20</v>
      </c>
      <c r="H1884" s="31" t="s">
        <v>20</v>
      </c>
      <c r="I1884" s="31">
        <v>4400.0</v>
      </c>
      <c r="J1884" s="31">
        <v>3.874660333E9</v>
      </c>
      <c r="K1884" s="31" t="s">
        <v>670</v>
      </c>
      <c r="L1884" s="31" t="s">
        <v>3410</v>
      </c>
      <c r="M1884" s="33">
        <v>1.0</v>
      </c>
      <c r="N1884" s="34"/>
      <c r="O1884" s="34"/>
    </row>
    <row r="1885" ht="9.0" hidden="1" customHeight="1">
      <c r="A1885" s="87"/>
      <c r="B1885" s="88"/>
      <c r="C1885" s="88"/>
      <c r="D1885" s="88"/>
      <c r="E1885" s="88"/>
      <c r="F1885" s="88"/>
      <c r="G1885" s="88"/>
      <c r="H1885" s="88"/>
      <c r="I1885" s="88"/>
      <c r="J1885" s="88"/>
      <c r="K1885" s="88"/>
      <c r="L1885" s="88"/>
      <c r="M1885" s="89"/>
      <c r="N1885" s="90"/>
      <c r="O1885" s="90"/>
    </row>
    <row r="1886" hidden="1">
      <c r="A1886" s="85">
        <v>46028.0</v>
      </c>
      <c r="B1886" s="31" t="s">
        <v>5455</v>
      </c>
      <c r="C1886" s="31">
        <v>8.05011564738E11</v>
      </c>
      <c r="D1886" s="31" t="s">
        <v>5456</v>
      </c>
      <c r="E1886" s="31" t="s">
        <v>5457</v>
      </c>
      <c r="F1886" s="31" t="s">
        <v>5458</v>
      </c>
      <c r="G1886" s="31" t="s">
        <v>20</v>
      </c>
      <c r="H1886" s="31" t="s">
        <v>20</v>
      </c>
      <c r="I1886" s="31">
        <v>4404.0</v>
      </c>
      <c r="J1886" s="31">
        <v>3.875976376E9</v>
      </c>
      <c r="K1886" s="31" t="s">
        <v>32</v>
      </c>
      <c r="L1886" s="31" t="s">
        <v>3225</v>
      </c>
      <c r="M1886" s="33">
        <v>1.0</v>
      </c>
      <c r="N1886" s="34"/>
      <c r="O1886" s="34"/>
    </row>
    <row r="1887" hidden="1">
      <c r="A1887" s="85">
        <v>46028.0</v>
      </c>
      <c r="B1887" s="31" t="s">
        <v>5455</v>
      </c>
      <c r="C1887" s="31">
        <v>8.05011564738E11</v>
      </c>
      <c r="D1887" s="31" t="s">
        <v>5456</v>
      </c>
      <c r="E1887" s="31" t="s">
        <v>5457</v>
      </c>
      <c r="F1887" s="31" t="s">
        <v>5458</v>
      </c>
      <c r="G1887" s="31" t="s">
        <v>20</v>
      </c>
      <c r="H1887" s="31" t="s">
        <v>20</v>
      </c>
      <c r="I1887" s="31">
        <v>4404.0</v>
      </c>
      <c r="J1887" s="31">
        <v>3.875976376E9</v>
      </c>
      <c r="K1887" s="31" t="s">
        <v>512</v>
      </c>
      <c r="L1887" s="31" t="s">
        <v>513</v>
      </c>
      <c r="M1887" s="33">
        <v>6.0</v>
      </c>
      <c r="N1887" s="34"/>
      <c r="O1887" s="34"/>
    </row>
    <row r="1888" hidden="1">
      <c r="A1888" s="85">
        <v>46028.0</v>
      </c>
      <c r="B1888" s="31" t="s">
        <v>5455</v>
      </c>
      <c r="C1888" s="31">
        <v>8.05011564738E11</v>
      </c>
      <c r="D1888" s="31" t="s">
        <v>5456</v>
      </c>
      <c r="E1888" s="31" t="s">
        <v>5457</v>
      </c>
      <c r="F1888" s="31" t="s">
        <v>5458</v>
      </c>
      <c r="G1888" s="31" t="s">
        <v>20</v>
      </c>
      <c r="H1888" s="31" t="s">
        <v>20</v>
      </c>
      <c r="I1888" s="31">
        <v>4404.0</v>
      </c>
      <c r="J1888" s="31">
        <v>3.875976376E9</v>
      </c>
      <c r="K1888" s="31" t="s">
        <v>670</v>
      </c>
      <c r="L1888" s="31" t="s">
        <v>3410</v>
      </c>
      <c r="M1888" s="33">
        <v>1.0</v>
      </c>
      <c r="N1888" s="34"/>
      <c r="O1888" s="34"/>
    </row>
    <row r="1889" hidden="1">
      <c r="A1889" s="85">
        <v>46028.0</v>
      </c>
      <c r="B1889" s="31" t="s">
        <v>5459</v>
      </c>
      <c r="C1889" s="31">
        <v>8.05011564673E11</v>
      </c>
      <c r="D1889" s="31" t="s">
        <v>5460</v>
      </c>
      <c r="E1889" s="31" t="s">
        <v>5461</v>
      </c>
      <c r="F1889" s="31" t="s">
        <v>5462</v>
      </c>
      <c r="G1889" s="31" t="s">
        <v>624</v>
      </c>
      <c r="H1889" s="31" t="s">
        <v>20</v>
      </c>
      <c r="I1889" s="31">
        <v>4403.0</v>
      </c>
      <c r="J1889" s="31">
        <v>3.875713548E9</v>
      </c>
      <c r="K1889" s="31" t="s">
        <v>541</v>
      </c>
      <c r="L1889" s="31" t="s">
        <v>3947</v>
      </c>
      <c r="M1889" s="33">
        <v>1.0</v>
      </c>
      <c r="N1889" s="34"/>
      <c r="O1889" s="34"/>
    </row>
    <row r="1890" hidden="1">
      <c r="A1890" s="85">
        <v>46028.0</v>
      </c>
      <c r="B1890" s="31" t="s">
        <v>5463</v>
      </c>
      <c r="C1890" s="31">
        <v>8.07025034217E11</v>
      </c>
      <c r="D1890" s="31" t="s">
        <v>5464</v>
      </c>
      <c r="E1890" s="31" t="s">
        <v>5465</v>
      </c>
      <c r="F1890" s="31" t="s">
        <v>115</v>
      </c>
      <c r="G1890" s="31" t="s">
        <v>104</v>
      </c>
      <c r="H1890" s="31" t="s">
        <v>20</v>
      </c>
      <c r="I1890" s="31">
        <v>4400.0</v>
      </c>
      <c r="J1890" s="31">
        <v>1.54040539E8</v>
      </c>
      <c r="K1890" s="31" t="s">
        <v>184</v>
      </c>
      <c r="L1890" s="31" t="s">
        <v>4485</v>
      </c>
      <c r="M1890" s="33">
        <v>1.0</v>
      </c>
      <c r="N1890" s="34"/>
      <c r="O1890" s="34"/>
    </row>
    <row r="1891" hidden="1">
      <c r="A1891" s="85">
        <v>46028.0</v>
      </c>
      <c r="B1891" s="31" t="s">
        <v>5463</v>
      </c>
      <c r="C1891" s="31">
        <v>8.07025034217E11</v>
      </c>
      <c r="D1891" s="31" t="s">
        <v>5464</v>
      </c>
      <c r="E1891" s="31" t="s">
        <v>5465</v>
      </c>
      <c r="F1891" s="31" t="s">
        <v>115</v>
      </c>
      <c r="G1891" s="31" t="s">
        <v>104</v>
      </c>
      <c r="H1891" s="31" t="s">
        <v>20</v>
      </c>
      <c r="I1891" s="31">
        <v>4400.0</v>
      </c>
      <c r="J1891" s="31">
        <v>1.54040539E8</v>
      </c>
      <c r="K1891" s="31" t="s">
        <v>512</v>
      </c>
      <c r="L1891" s="31" t="s">
        <v>513</v>
      </c>
      <c r="M1891" s="33">
        <v>6.0</v>
      </c>
      <c r="N1891" s="34"/>
      <c r="O1891" s="34"/>
    </row>
    <row r="1892" hidden="1">
      <c r="A1892" s="85">
        <v>46028.0</v>
      </c>
      <c r="B1892" s="31" t="s">
        <v>5463</v>
      </c>
      <c r="C1892" s="31">
        <v>8.07025034217E11</v>
      </c>
      <c r="D1892" s="31" t="s">
        <v>5464</v>
      </c>
      <c r="E1892" s="31" t="s">
        <v>5465</v>
      </c>
      <c r="F1892" s="31" t="s">
        <v>115</v>
      </c>
      <c r="G1892" s="31" t="s">
        <v>104</v>
      </c>
      <c r="H1892" s="31" t="s">
        <v>20</v>
      </c>
      <c r="I1892" s="31">
        <v>4400.0</v>
      </c>
      <c r="J1892" s="31">
        <v>1.54040539E8</v>
      </c>
      <c r="K1892" s="31" t="s">
        <v>273</v>
      </c>
      <c r="L1892" s="31" t="s">
        <v>3594</v>
      </c>
      <c r="M1892" s="33">
        <v>1.0</v>
      </c>
      <c r="N1892" s="34"/>
      <c r="O1892" s="34"/>
    </row>
    <row r="1893" hidden="1">
      <c r="A1893" s="85">
        <v>46028.0</v>
      </c>
      <c r="B1893" s="31" t="s">
        <v>5466</v>
      </c>
      <c r="C1893" s="31">
        <v>8.07025034146E11</v>
      </c>
      <c r="D1893" s="31" t="s">
        <v>5467</v>
      </c>
      <c r="E1893" s="31" t="s">
        <v>5468</v>
      </c>
      <c r="F1893" s="31" t="s">
        <v>5469</v>
      </c>
      <c r="G1893" s="31" t="s">
        <v>127</v>
      </c>
      <c r="H1893" s="31" t="s">
        <v>20</v>
      </c>
      <c r="I1893" s="31">
        <v>4400.0</v>
      </c>
      <c r="J1893" s="31">
        <v>3.872117137E9</v>
      </c>
      <c r="K1893" s="31" t="s">
        <v>32</v>
      </c>
      <c r="L1893" s="31" t="s">
        <v>3225</v>
      </c>
      <c r="M1893" s="33">
        <v>1.0</v>
      </c>
      <c r="N1893" s="34"/>
      <c r="O1893" s="34"/>
    </row>
    <row r="1894" hidden="1">
      <c r="A1894" s="85">
        <v>46028.0</v>
      </c>
      <c r="B1894" s="31" t="s">
        <v>5470</v>
      </c>
      <c r="C1894" s="31">
        <v>8.05011565108E11</v>
      </c>
      <c r="D1894" s="31" t="s">
        <v>5471</v>
      </c>
      <c r="E1894" s="31" t="s">
        <v>5472</v>
      </c>
      <c r="F1894" s="31" t="s">
        <v>5473</v>
      </c>
      <c r="G1894" s="31" t="s">
        <v>3945</v>
      </c>
      <c r="H1894" s="31" t="s">
        <v>20</v>
      </c>
      <c r="I1894" s="31">
        <v>4401.0</v>
      </c>
      <c r="J1894" s="31">
        <v>3.875107051E9</v>
      </c>
      <c r="K1894" s="31" t="s">
        <v>1241</v>
      </c>
      <c r="L1894" s="31" t="s">
        <v>3500</v>
      </c>
      <c r="M1894" s="33">
        <v>1.0</v>
      </c>
      <c r="N1894" s="34"/>
      <c r="O1894" s="34"/>
    </row>
    <row r="1895" hidden="1">
      <c r="A1895" s="85">
        <v>46028.0</v>
      </c>
      <c r="B1895" s="31" t="s">
        <v>5474</v>
      </c>
      <c r="C1895" s="31">
        <v>8.05011565122E11</v>
      </c>
      <c r="D1895" s="31" t="s">
        <v>5475</v>
      </c>
      <c r="E1895" s="31" t="s">
        <v>5476</v>
      </c>
      <c r="F1895" s="31" t="s">
        <v>5477</v>
      </c>
      <c r="G1895" s="31" t="s">
        <v>5478</v>
      </c>
      <c r="H1895" s="31" t="s">
        <v>20</v>
      </c>
      <c r="I1895" s="31">
        <v>4550.0</v>
      </c>
      <c r="J1895" s="31" t="s">
        <v>5479</v>
      </c>
      <c r="K1895" s="31" t="s">
        <v>32</v>
      </c>
      <c r="L1895" s="31" t="s">
        <v>3225</v>
      </c>
      <c r="M1895" s="33">
        <v>1.0</v>
      </c>
      <c r="N1895" s="34"/>
      <c r="O1895" s="31" t="s">
        <v>5480</v>
      </c>
    </row>
    <row r="1896" hidden="1">
      <c r="A1896" s="85">
        <v>46028.0</v>
      </c>
      <c r="B1896" s="31" t="s">
        <v>5474</v>
      </c>
      <c r="C1896" s="31">
        <v>8.05011565122E11</v>
      </c>
      <c r="D1896" s="31" t="s">
        <v>5475</v>
      </c>
      <c r="E1896" s="31" t="s">
        <v>5476</v>
      </c>
      <c r="F1896" s="31" t="s">
        <v>5477</v>
      </c>
      <c r="G1896" s="31" t="s">
        <v>5478</v>
      </c>
      <c r="H1896" s="31" t="s">
        <v>20</v>
      </c>
      <c r="I1896" s="31">
        <v>4550.0</v>
      </c>
      <c r="J1896" s="31" t="s">
        <v>5479</v>
      </c>
      <c r="K1896" s="31" t="s">
        <v>512</v>
      </c>
      <c r="L1896" s="31" t="s">
        <v>513</v>
      </c>
      <c r="M1896" s="33">
        <v>6.0</v>
      </c>
      <c r="N1896" s="34"/>
      <c r="O1896" s="31" t="s">
        <v>5480</v>
      </c>
    </row>
    <row r="1897" hidden="1">
      <c r="A1897" s="85">
        <v>46028.0</v>
      </c>
      <c r="B1897" s="31" t="s">
        <v>5474</v>
      </c>
      <c r="C1897" s="31">
        <v>8.05011565122E11</v>
      </c>
      <c r="D1897" s="31" t="s">
        <v>5475</v>
      </c>
      <c r="E1897" s="31" t="s">
        <v>5476</v>
      </c>
      <c r="F1897" s="31" t="s">
        <v>5477</v>
      </c>
      <c r="G1897" s="31" t="s">
        <v>5478</v>
      </c>
      <c r="H1897" s="31" t="s">
        <v>20</v>
      </c>
      <c r="I1897" s="31">
        <v>4550.0</v>
      </c>
      <c r="J1897" s="31" t="s">
        <v>5479</v>
      </c>
      <c r="K1897" s="31" t="s">
        <v>670</v>
      </c>
      <c r="L1897" s="31" t="s">
        <v>3410</v>
      </c>
      <c r="M1897" s="33">
        <v>1.0</v>
      </c>
      <c r="N1897" s="34"/>
      <c r="O1897" s="31" t="s">
        <v>5480</v>
      </c>
    </row>
    <row r="1898" hidden="1">
      <c r="A1898" s="85">
        <v>46028.0</v>
      </c>
      <c r="B1898" s="31" t="s">
        <v>5481</v>
      </c>
      <c r="C1898" s="31">
        <v>8.05011565123E11</v>
      </c>
      <c r="D1898" s="31" t="s">
        <v>5482</v>
      </c>
      <c r="E1898" s="31" t="s">
        <v>5483</v>
      </c>
      <c r="F1898" s="31" t="s">
        <v>5484</v>
      </c>
      <c r="G1898" s="31" t="s">
        <v>5485</v>
      </c>
      <c r="H1898" s="31" t="s">
        <v>20</v>
      </c>
      <c r="I1898" s="31">
        <v>4534.0</v>
      </c>
      <c r="J1898" s="31" t="s">
        <v>5479</v>
      </c>
      <c r="K1898" s="31" t="s">
        <v>32</v>
      </c>
      <c r="L1898" s="31" t="s">
        <v>3225</v>
      </c>
      <c r="M1898" s="33">
        <v>1.0</v>
      </c>
      <c r="N1898" s="34"/>
      <c r="O1898" s="31" t="s">
        <v>5486</v>
      </c>
    </row>
    <row r="1899" hidden="1">
      <c r="A1899" s="85">
        <v>46028.0</v>
      </c>
      <c r="B1899" s="31" t="s">
        <v>5481</v>
      </c>
      <c r="C1899" s="31">
        <v>8.05011565123E11</v>
      </c>
      <c r="D1899" s="31" t="s">
        <v>5482</v>
      </c>
      <c r="E1899" s="31" t="s">
        <v>5483</v>
      </c>
      <c r="F1899" s="31" t="s">
        <v>5484</v>
      </c>
      <c r="G1899" s="31" t="s">
        <v>5485</v>
      </c>
      <c r="H1899" s="31" t="s">
        <v>20</v>
      </c>
      <c r="I1899" s="31">
        <v>4534.0</v>
      </c>
      <c r="J1899" s="31" t="s">
        <v>5479</v>
      </c>
      <c r="K1899" s="31" t="s">
        <v>512</v>
      </c>
      <c r="L1899" s="31" t="s">
        <v>513</v>
      </c>
      <c r="M1899" s="33">
        <v>6.0</v>
      </c>
      <c r="N1899" s="34"/>
      <c r="O1899" s="31" t="s">
        <v>5486</v>
      </c>
    </row>
    <row r="1900" hidden="1">
      <c r="A1900" s="85">
        <v>46028.0</v>
      </c>
      <c r="B1900" s="31" t="s">
        <v>5481</v>
      </c>
      <c r="C1900" s="31">
        <v>8.05011565123E11</v>
      </c>
      <c r="D1900" s="31" t="s">
        <v>5482</v>
      </c>
      <c r="E1900" s="31" t="s">
        <v>5483</v>
      </c>
      <c r="F1900" s="31" t="s">
        <v>5484</v>
      </c>
      <c r="G1900" s="31" t="s">
        <v>5485</v>
      </c>
      <c r="H1900" s="31" t="s">
        <v>20</v>
      </c>
      <c r="I1900" s="31">
        <v>4534.0</v>
      </c>
      <c r="J1900" s="31" t="s">
        <v>5479</v>
      </c>
      <c r="K1900" s="31" t="s">
        <v>670</v>
      </c>
      <c r="L1900" s="31" t="s">
        <v>3410</v>
      </c>
      <c r="M1900" s="33">
        <v>1.0</v>
      </c>
      <c r="N1900" s="34"/>
      <c r="O1900" s="31" t="s">
        <v>5486</v>
      </c>
    </row>
    <row r="1901" hidden="1">
      <c r="A1901" s="85">
        <v>46028.0</v>
      </c>
      <c r="B1901" s="31" t="s">
        <v>5487</v>
      </c>
      <c r="C1901" s="31">
        <v>8.05011565237E11</v>
      </c>
      <c r="D1901" s="31" t="s">
        <v>5488</v>
      </c>
      <c r="E1901" s="31" t="s">
        <v>5489</v>
      </c>
      <c r="F1901" s="31" t="s">
        <v>5490</v>
      </c>
      <c r="G1901" s="31" t="s">
        <v>163</v>
      </c>
      <c r="H1901" s="31" t="s">
        <v>20</v>
      </c>
      <c r="I1901" s="31">
        <v>4448.0</v>
      </c>
      <c r="J1901" s="31" t="s">
        <v>5479</v>
      </c>
      <c r="K1901" s="31" t="s">
        <v>1040</v>
      </c>
      <c r="L1901" s="31" t="s">
        <v>3294</v>
      </c>
      <c r="M1901" s="33">
        <v>1.0</v>
      </c>
      <c r="N1901" s="34"/>
      <c r="O1901" s="34"/>
    </row>
    <row r="1902" hidden="1">
      <c r="A1902" s="85">
        <v>46028.0</v>
      </c>
      <c r="B1902" s="31" t="s">
        <v>5491</v>
      </c>
      <c r="C1902" s="31">
        <v>8.0702503423E11</v>
      </c>
      <c r="D1902" s="31" t="s">
        <v>5492</v>
      </c>
      <c r="E1902" s="31" t="s">
        <v>5493</v>
      </c>
      <c r="F1902" s="31" t="s">
        <v>126</v>
      </c>
      <c r="G1902" s="31" t="s">
        <v>127</v>
      </c>
      <c r="H1902" s="31" t="s">
        <v>20</v>
      </c>
      <c r="I1902" s="31">
        <v>4400.0</v>
      </c>
      <c r="J1902" s="31">
        <v>3.875354674E9</v>
      </c>
      <c r="K1902" s="31" t="s">
        <v>3131</v>
      </c>
      <c r="L1902" s="31" t="s">
        <v>3416</v>
      </c>
      <c r="M1902" s="33">
        <v>1.0</v>
      </c>
      <c r="N1902" s="34"/>
      <c r="O1902" s="34"/>
    </row>
    <row r="1903" hidden="1">
      <c r="A1903" s="85">
        <v>46028.0</v>
      </c>
      <c r="B1903" s="31" t="s">
        <v>5494</v>
      </c>
      <c r="C1903" s="31">
        <v>8.05011565717E11</v>
      </c>
      <c r="D1903" s="31" t="s">
        <v>5495</v>
      </c>
      <c r="E1903" s="31" t="s">
        <v>5496</v>
      </c>
      <c r="F1903" s="31" t="s">
        <v>5497</v>
      </c>
      <c r="G1903" s="31" t="s">
        <v>20</v>
      </c>
      <c r="H1903" s="31" t="s">
        <v>20</v>
      </c>
      <c r="I1903" s="31">
        <v>4400.0</v>
      </c>
      <c r="J1903" s="31">
        <v>3.874485036E9</v>
      </c>
      <c r="K1903" s="31" t="s">
        <v>184</v>
      </c>
      <c r="L1903" s="31" t="s">
        <v>4485</v>
      </c>
      <c r="M1903" s="33">
        <v>1.0</v>
      </c>
      <c r="N1903" s="34"/>
      <c r="O1903" s="31" t="s">
        <v>5498</v>
      </c>
    </row>
    <row r="1904" hidden="1">
      <c r="A1904" s="85">
        <v>46028.0</v>
      </c>
      <c r="B1904" s="31" t="s">
        <v>5494</v>
      </c>
      <c r="C1904" s="31">
        <v>8.05011565717E11</v>
      </c>
      <c r="D1904" s="31" t="s">
        <v>5495</v>
      </c>
      <c r="E1904" s="31" t="s">
        <v>5496</v>
      </c>
      <c r="F1904" s="31" t="s">
        <v>5497</v>
      </c>
      <c r="G1904" s="31" t="s">
        <v>20</v>
      </c>
      <c r="H1904" s="31" t="s">
        <v>20</v>
      </c>
      <c r="I1904" s="31">
        <v>4400.0</v>
      </c>
      <c r="J1904" s="31">
        <v>3.874485036E9</v>
      </c>
      <c r="K1904" s="31" t="s">
        <v>512</v>
      </c>
      <c r="L1904" s="31" t="s">
        <v>513</v>
      </c>
      <c r="M1904" s="33">
        <v>6.0</v>
      </c>
      <c r="N1904" s="34"/>
      <c r="O1904" s="31" t="s">
        <v>5498</v>
      </c>
    </row>
    <row r="1905" hidden="1">
      <c r="A1905" s="85">
        <v>46028.0</v>
      </c>
      <c r="B1905" s="31" t="s">
        <v>5494</v>
      </c>
      <c r="C1905" s="31">
        <v>8.05011565717E11</v>
      </c>
      <c r="D1905" s="31" t="s">
        <v>5495</v>
      </c>
      <c r="E1905" s="31" t="s">
        <v>5496</v>
      </c>
      <c r="F1905" s="31" t="s">
        <v>5497</v>
      </c>
      <c r="G1905" s="31" t="s">
        <v>20</v>
      </c>
      <c r="H1905" s="31" t="s">
        <v>20</v>
      </c>
      <c r="I1905" s="31">
        <v>4400.0</v>
      </c>
      <c r="J1905" s="31">
        <v>3.874485036E9</v>
      </c>
      <c r="K1905" s="31" t="s">
        <v>273</v>
      </c>
      <c r="L1905" s="31" t="s">
        <v>3594</v>
      </c>
      <c r="M1905" s="33">
        <v>1.0</v>
      </c>
      <c r="N1905" s="34"/>
      <c r="O1905" s="31" t="s">
        <v>5498</v>
      </c>
    </row>
    <row r="1906" hidden="1">
      <c r="A1906" s="85">
        <v>46028.0</v>
      </c>
      <c r="B1906" s="31" t="s">
        <v>5499</v>
      </c>
      <c r="C1906" s="31">
        <v>8.05011566182E11</v>
      </c>
      <c r="D1906" s="31" t="s">
        <v>5500</v>
      </c>
      <c r="E1906" s="31" t="s">
        <v>5501</v>
      </c>
      <c r="F1906" s="31" t="s">
        <v>5502</v>
      </c>
      <c r="G1906" s="31" t="s">
        <v>20</v>
      </c>
      <c r="H1906" s="31" t="s">
        <v>20</v>
      </c>
      <c r="I1906" s="31">
        <v>4400.0</v>
      </c>
      <c r="J1906" s="31">
        <v>3.874690261E9</v>
      </c>
      <c r="K1906" s="31" t="s">
        <v>761</v>
      </c>
      <c r="L1906" s="31" t="s">
        <v>3761</v>
      </c>
      <c r="M1906" s="33">
        <v>1.0</v>
      </c>
      <c r="N1906" s="34"/>
      <c r="O1906" s="31" t="s">
        <v>5503</v>
      </c>
    </row>
    <row r="1907" hidden="1">
      <c r="A1907" s="85">
        <v>46028.0</v>
      </c>
      <c r="B1907" s="31" t="s">
        <v>5499</v>
      </c>
      <c r="C1907" s="31">
        <v>8.05011566182E11</v>
      </c>
      <c r="D1907" s="31" t="s">
        <v>5500</v>
      </c>
      <c r="E1907" s="31" t="s">
        <v>5501</v>
      </c>
      <c r="F1907" s="31" t="s">
        <v>5502</v>
      </c>
      <c r="G1907" s="31" t="s">
        <v>20</v>
      </c>
      <c r="H1907" s="31" t="s">
        <v>20</v>
      </c>
      <c r="I1907" s="31">
        <v>4400.0</v>
      </c>
      <c r="J1907" s="31">
        <v>3.874690261E9</v>
      </c>
      <c r="K1907" s="31" t="s">
        <v>512</v>
      </c>
      <c r="L1907" s="31" t="s">
        <v>513</v>
      </c>
      <c r="M1907" s="33">
        <v>12.0</v>
      </c>
      <c r="N1907" s="34"/>
      <c r="O1907" s="31" t="s">
        <v>5503</v>
      </c>
    </row>
    <row r="1908" hidden="1">
      <c r="A1908" s="85">
        <v>46028.0</v>
      </c>
      <c r="B1908" s="31" t="s">
        <v>5499</v>
      </c>
      <c r="C1908" s="31">
        <v>8.05011566182E11</v>
      </c>
      <c r="D1908" s="31" t="s">
        <v>5500</v>
      </c>
      <c r="E1908" s="31" t="s">
        <v>5501</v>
      </c>
      <c r="F1908" s="31" t="s">
        <v>5502</v>
      </c>
      <c r="G1908" s="31" t="s">
        <v>20</v>
      </c>
      <c r="H1908" s="31" t="s">
        <v>20</v>
      </c>
      <c r="I1908" s="31">
        <v>4400.0</v>
      </c>
      <c r="J1908" s="31">
        <v>3.874690261E9</v>
      </c>
      <c r="K1908" s="31" t="s">
        <v>758</v>
      </c>
      <c r="L1908" s="31" t="s">
        <v>3574</v>
      </c>
      <c r="M1908" s="33">
        <v>2.0</v>
      </c>
      <c r="N1908" s="34"/>
      <c r="O1908" s="31" t="s">
        <v>5503</v>
      </c>
    </row>
    <row r="1909" hidden="1">
      <c r="A1909" s="85">
        <v>46028.0</v>
      </c>
      <c r="B1909" s="31" t="s">
        <v>5504</v>
      </c>
      <c r="C1909" s="31">
        <v>8.05011566224E11</v>
      </c>
      <c r="D1909" s="31" t="s">
        <v>5505</v>
      </c>
      <c r="E1909" s="31" t="s">
        <v>5506</v>
      </c>
      <c r="F1909" s="31" t="s">
        <v>5507</v>
      </c>
      <c r="G1909" s="31" t="s">
        <v>5508</v>
      </c>
      <c r="H1909" s="31" t="s">
        <v>20</v>
      </c>
      <c r="I1909" s="31">
        <v>4425.0</v>
      </c>
      <c r="J1909" s="31">
        <v>3.872115157E9</v>
      </c>
      <c r="K1909" s="31" t="s">
        <v>634</v>
      </c>
      <c r="L1909" s="31" t="s">
        <v>635</v>
      </c>
      <c r="M1909" s="33">
        <v>1.0</v>
      </c>
      <c r="N1909" s="34"/>
      <c r="O1909" s="34"/>
    </row>
    <row r="1910" hidden="1">
      <c r="A1910" s="85">
        <v>46028.0</v>
      </c>
      <c r="B1910" s="31" t="s">
        <v>5509</v>
      </c>
      <c r="C1910" s="31">
        <v>8.07025034374E11</v>
      </c>
      <c r="D1910" s="31" t="s">
        <v>5510</v>
      </c>
      <c r="E1910" s="31" t="s">
        <v>5511</v>
      </c>
      <c r="F1910" s="31" t="s">
        <v>5512</v>
      </c>
      <c r="G1910" s="31" t="s">
        <v>5513</v>
      </c>
      <c r="H1910" s="31" t="s">
        <v>20</v>
      </c>
      <c r="I1910" s="31">
        <v>4421.0</v>
      </c>
      <c r="J1910" s="31">
        <v>3.875372268E9</v>
      </c>
      <c r="K1910" s="31" t="s">
        <v>3154</v>
      </c>
      <c r="L1910" s="31" t="s">
        <v>4564</v>
      </c>
      <c r="M1910" s="33">
        <v>1.0</v>
      </c>
      <c r="N1910" s="34"/>
      <c r="O1910" s="34"/>
    </row>
    <row r="1911" hidden="1">
      <c r="A1911" s="85">
        <v>46028.0</v>
      </c>
      <c r="B1911" s="31" t="s">
        <v>5509</v>
      </c>
      <c r="C1911" s="31">
        <v>8.07025034374E11</v>
      </c>
      <c r="D1911" s="31" t="s">
        <v>5510</v>
      </c>
      <c r="E1911" s="31" t="s">
        <v>5511</v>
      </c>
      <c r="F1911" s="31" t="s">
        <v>5512</v>
      </c>
      <c r="G1911" s="31" t="s">
        <v>5513</v>
      </c>
      <c r="H1911" s="31" t="s">
        <v>20</v>
      </c>
      <c r="I1911" s="31">
        <v>4421.0</v>
      </c>
      <c r="J1911" s="31">
        <v>3.875372268E9</v>
      </c>
      <c r="K1911" s="31" t="s">
        <v>512</v>
      </c>
      <c r="L1911" s="31" t="s">
        <v>513</v>
      </c>
      <c r="M1911" s="33">
        <v>6.0</v>
      </c>
      <c r="N1911" s="34"/>
      <c r="O1911" s="34"/>
    </row>
    <row r="1912" hidden="1">
      <c r="A1912" s="85">
        <v>46028.0</v>
      </c>
      <c r="B1912" s="31" t="s">
        <v>5514</v>
      </c>
      <c r="C1912" s="31">
        <v>8.07025034363E11</v>
      </c>
      <c r="D1912" s="31" t="s">
        <v>5515</v>
      </c>
      <c r="E1912" s="31" t="s">
        <v>5516</v>
      </c>
      <c r="F1912" s="31" t="s">
        <v>5517</v>
      </c>
      <c r="G1912" s="31" t="s">
        <v>127</v>
      </c>
      <c r="H1912" s="31" t="s">
        <v>20</v>
      </c>
      <c r="I1912" s="31">
        <v>4400.0</v>
      </c>
      <c r="J1912" s="31">
        <v>3.878306534E9</v>
      </c>
      <c r="K1912" s="31" t="s">
        <v>698</v>
      </c>
      <c r="L1912" s="31" t="s">
        <v>699</v>
      </c>
      <c r="M1912" s="33">
        <v>3.0</v>
      </c>
      <c r="N1912" s="34"/>
      <c r="O1912" s="31" t="s">
        <v>1734</v>
      </c>
    </row>
    <row r="1913" hidden="1">
      <c r="A1913" s="85">
        <v>46028.0</v>
      </c>
      <c r="B1913" s="31" t="s">
        <v>5514</v>
      </c>
      <c r="C1913" s="31">
        <v>8.07025034363E11</v>
      </c>
      <c r="D1913" s="31" t="s">
        <v>5515</v>
      </c>
      <c r="E1913" s="31" t="s">
        <v>5516</v>
      </c>
      <c r="F1913" s="31" t="s">
        <v>5517</v>
      </c>
      <c r="G1913" s="31" t="s">
        <v>127</v>
      </c>
      <c r="H1913" s="31" t="s">
        <v>20</v>
      </c>
      <c r="I1913" s="31">
        <v>4400.0</v>
      </c>
      <c r="J1913" s="31">
        <v>3.878306534E9</v>
      </c>
      <c r="K1913" s="31" t="s">
        <v>512</v>
      </c>
      <c r="L1913" s="31" t="s">
        <v>513</v>
      </c>
      <c r="M1913" s="33">
        <v>18.0</v>
      </c>
      <c r="N1913" s="34"/>
      <c r="O1913" s="31" t="s">
        <v>1734</v>
      </c>
    </row>
    <row r="1914" hidden="1">
      <c r="A1914" s="85">
        <v>46028.0</v>
      </c>
      <c r="B1914" s="31" t="s">
        <v>5514</v>
      </c>
      <c r="C1914" s="31">
        <v>8.07025034363E11</v>
      </c>
      <c r="D1914" s="31" t="s">
        <v>5515</v>
      </c>
      <c r="E1914" s="31" t="s">
        <v>5516</v>
      </c>
      <c r="F1914" s="31" t="s">
        <v>5517</v>
      </c>
      <c r="G1914" s="31" t="s">
        <v>127</v>
      </c>
      <c r="H1914" s="31" t="s">
        <v>20</v>
      </c>
      <c r="I1914" s="31">
        <v>4400.0</v>
      </c>
      <c r="J1914" s="31">
        <v>3.878306534E9</v>
      </c>
      <c r="K1914" s="31" t="s">
        <v>64</v>
      </c>
      <c r="L1914" s="31" t="s">
        <v>3708</v>
      </c>
      <c r="M1914" s="33">
        <v>3.0</v>
      </c>
      <c r="N1914" s="34"/>
      <c r="O1914" s="31" t="s">
        <v>1734</v>
      </c>
    </row>
    <row r="1915" hidden="1">
      <c r="A1915" s="85">
        <v>46028.0</v>
      </c>
      <c r="B1915" s="31" t="s">
        <v>5518</v>
      </c>
      <c r="C1915" s="31">
        <v>8.07025034385E11</v>
      </c>
      <c r="D1915" s="31" t="s">
        <v>5519</v>
      </c>
      <c r="E1915" s="31" t="s">
        <v>5520</v>
      </c>
      <c r="F1915" s="31" t="s">
        <v>5521</v>
      </c>
      <c r="G1915" s="31" t="s">
        <v>127</v>
      </c>
      <c r="H1915" s="31" t="s">
        <v>20</v>
      </c>
      <c r="I1915" s="31">
        <v>4400.0</v>
      </c>
      <c r="J1915" s="31">
        <v>3.876289204E9</v>
      </c>
      <c r="K1915" s="31" t="s">
        <v>32</v>
      </c>
      <c r="L1915" s="31" t="s">
        <v>3225</v>
      </c>
      <c r="M1915" s="33">
        <v>1.0</v>
      </c>
      <c r="N1915" s="34"/>
      <c r="O1915" s="34"/>
    </row>
    <row r="1916" hidden="1">
      <c r="A1916" s="85">
        <v>46028.0</v>
      </c>
      <c r="B1916" s="31" t="s">
        <v>5522</v>
      </c>
      <c r="C1916" s="31">
        <v>8.07025034416E11</v>
      </c>
      <c r="D1916" s="31" t="s">
        <v>5523</v>
      </c>
      <c r="E1916" s="31" t="s">
        <v>5524</v>
      </c>
      <c r="F1916" s="31" t="s">
        <v>1877</v>
      </c>
      <c r="G1916" s="31" t="s">
        <v>20</v>
      </c>
      <c r="H1916" s="31" t="s">
        <v>20</v>
      </c>
      <c r="I1916" s="31" t="s">
        <v>1878</v>
      </c>
      <c r="J1916" s="31">
        <v>3.873641232E9</v>
      </c>
      <c r="K1916" s="31" t="s">
        <v>2956</v>
      </c>
      <c r="L1916" s="31" t="s">
        <v>3327</v>
      </c>
      <c r="M1916" s="33">
        <v>2.0</v>
      </c>
      <c r="N1916" s="34"/>
      <c r="O1916" s="34"/>
    </row>
    <row r="1917" hidden="1">
      <c r="A1917" s="85">
        <v>46028.0</v>
      </c>
      <c r="B1917" s="31" t="s">
        <v>5522</v>
      </c>
      <c r="C1917" s="31">
        <v>8.07025034416E11</v>
      </c>
      <c r="D1917" s="31" t="s">
        <v>5523</v>
      </c>
      <c r="E1917" s="31" t="s">
        <v>5524</v>
      </c>
      <c r="F1917" s="31" t="s">
        <v>1877</v>
      </c>
      <c r="G1917" s="31" t="s">
        <v>20</v>
      </c>
      <c r="H1917" s="31" t="s">
        <v>20</v>
      </c>
      <c r="I1917" s="31" t="s">
        <v>1878</v>
      </c>
      <c r="J1917" s="31">
        <v>3.873641232E9</v>
      </c>
      <c r="K1917" s="31" t="s">
        <v>512</v>
      </c>
      <c r="L1917" s="31" t="s">
        <v>513</v>
      </c>
      <c r="M1917" s="33">
        <v>12.0</v>
      </c>
      <c r="N1917" s="34"/>
      <c r="O1917" s="34"/>
    </row>
    <row r="1918" hidden="1">
      <c r="A1918" s="85">
        <v>46028.0</v>
      </c>
      <c r="B1918" s="31" t="s">
        <v>5525</v>
      </c>
      <c r="C1918" s="31">
        <v>8.05011566438E11</v>
      </c>
      <c r="D1918" s="31" t="s">
        <v>5526</v>
      </c>
      <c r="E1918" s="31" t="s">
        <v>5527</v>
      </c>
      <c r="F1918" s="31" t="s">
        <v>5528</v>
      </c>
      <c r="G1918" s="31" t="s">
        <v>20</v>
      </c>
      <c r="H1918" s="31" t="s">
        <v>20</v>
      </c>
      <c r="I1918" s="31">
        <v>4408.0</v>
      </c>
      <c r="J1918" s="31">
        <v>3.87407633E9</v>
      </c>
      <c r="K1918" s="31" t="s">
        <v>32</v>
      </c>
      <c r="L1918" s="31" t="s">
        <v>3225</v>
      </c>
      <c r="M1918" s="33">
        <v>1.0</v>
      </c>
      <c r="N1918" s="34"/>
      <c r="O1918" s="31" t="s">
        <v>5529</v>
      </c>
    </row>
    <row r="1919" hidden="1">
      <c r="A1919" s="85">
        <v>46028.0</v>
      </c>
      <c r="B1919" s="31" t="s">
        <v>5525</v>
      </c>
      <c r="C1919" s="31">
        <v>8.05011566438E11</v>
      </c>
      <c r="D1919" s="31" t="s">
        <v>5526</v>
      </c>
      <c r="E1919" s="31" t="s">
        <v>5527</v>
      </c>
      <c r="F1919" s="31" t="s">
        <v>5528</v>
      </c>
      <c r="G1919" s="31" t="s">
        <v>20</v>
      </c>
      <c r="H1919" s="31" t="s">
        <v>20</v>
      </c>
      <c r="I1919" s="31">
        <v>4408.0</v>
      </c>
      <c r="J1919" s="31">
        <v>3.87407633E9</v>
      </c>
      <c r="K1919" s="31" t="s">
        <v>512</v>
      </c>
      <c r="L1919" s="31" t="s">
        <v>513</v>
      </c>
      <c r="M1919" s="33">
        <v>6.0</v>
      </c>
      <c r="N1919" s="34"/>
      <c r="O1919" s="31" t="s">
        <v>5529</v>
      </c>
    </row>
    <row r="1920" hidden="1">
      <c r="A1920" s="85">
        <v>46028.0</v>
      </c>
      <c r="B1920" s="31" t="s">
        <v>5525</v>
      </c>
      <c r="C1920" s="31">
        <v>8.05011566438E11</v>
      </c>
      <c r="D1920" s="31" t="s">
        <v>5526</v>
      </c>
      <c r="E1920" s="31" t="s">
        <v>5527</v>
      </c>
      <c r="F1920" s="31" t="s">
        <v>5528</v>
      </c>
      <c r="G1920" s="31" t="s">
        <v>20</v>
      </c>
      <c r="H1920" s="31" t="s">
        <v>20</v>
      </c>
      <c r="I1920" s="31">
        <v>4408.0</v>
      </c>
      <c r="J1920" s="31">
        <v>3.87407633E9</v>
      </c>
      <c r="K1920" s="31" t="s">
        <v>670</v>
      </c>
      <c r="L1920" s="31" t="s">
        <v>3410</v>
      </c>
      <c r="M1920" s="33">
        <v>1.0</v>
      </c>
      <c r="N1920" s="34"/>
      <c r="O1920" s="31" t="s">
        <v>5529</v>
      </c>
    </row>
    <row r="1921" hidden="1">
      <c r="A1921" s="85">
        <v>46028.0</v>
      </c>
      <c r="B1921" s="31" t="s">
        <v>5530</v>
      </c>
      <c r="C1921" s="31">
        <v>8.05011566494E11</v>
      </c>
      <c r="D1921" s="31" t="s">
        <v>5531</v>
      </c>
      <c r="E1921" s="31" t="s">
        <v>5532</v>
      </c>
      <c r="F1921" s="31" t="s">
        <v>5533</v>
      </c>
      <c r="G1921" s="31" t="s">
        <v>5534</v>
      </c>
      <c r="H1921" s="31" t="s">
        <v>20</v>
      </c>
      <c r="I1921" s="31">
        <v>4440.0</v>
      </c>
      <c r="J1921" s="31">
        <v>3.876508272E9</v>
      </c>
      <c r="K1921" s="31" t="s">
        <v>5185</v>
      </c>
      <c r="L1921" s="31" t="s">
        <v>5186</v>
      </c>
      <c r="M1921" s="33">
        <v>2.0</v>
      </c>
      <c r="N1921" s="34"/>
      <c r="O1921" s="31" t="s">
        <v>5535</v>
      </c>
    </row>
    <row r="1922" hidden="1">
      <c r="A1922" s="85">
        <v>46028.0</v>
      </c>
      <c r="B1922" s="31" t="s">
        <v>5536</v>
      </c>
      <c r="C1922" s="31">
        <v>8.0702503443E11</v>
      </c>
      <c r="D1922" s="31" t="s">
        <v>5537</v>
      </c>
      <c r="E1922" s="31" t="s">
        <v>5538</v>
      </c>
      <c r="F1922" s="31" t="s">
        <v>5539</v>
      </c>
      <c r="G1922" s="31" t="s">
        <v>127</v>
      </c>
      <c r="H1922" s="31" t="s">
        <v>20</v>
      </c>
      <c r="I1922" s="31">
        <v>4400.0</v>
      </c>
      <c r="J1922" s="31">
        <v>4246732.0</v>
      </c>
      <c r="K1922" s="31" t="s">
        <v>2659</v>
      </c>
      <c r="L1922" s="31" t="s">
        <v>4894</v>
      </c>
      <c r="M1922" s="33">
        <v>1.0</v>
      </c>
      <c r="N1922" s="34"/>
      <c r="O1922" s="31" t="s">
        <v>2935</v>
      </c>
    </row>
    <row r="1923" hidden="1">
      <c r="A1923" s="85">
        <v>46028.0</v>
      </c>
      <c r="B1923" s="31" t="s">
        <v>5540</v>
      </c>
      <c r="C1923" s="31">
        <v>8.05011566553E11</v>
      </c>
      <c r="D1923" s="31" t="s">
        <v>5541</v>
      </c>
      <c r="E1923" s="31" t="s">
        <v>5542</v>
      </c>
      <c r="F1923" s="31" t="s">
        <v>5543</v>
      </c>
      <c r="G1923" s="31" t="s">
        <v>104</v>
      </c>
      <c r="H1923" s="31" t="s">
        <v>20</v>
      </c>
      <c r="I1923" s="31">
        <v>4400.0</v>
      </c>
      <c r="J1923" s="31">
        <v>3.87685883E9</v>
      </c>
      <c r="K1923" s="31" t="s">
        <v>184</v>
      </c>
      <c r="L1923" s="31" t="s">
        <v>4485</v>
      </c>
      <c r="M1923" s="33">
        <v>1.0</v>
      </c>
      <c r="N1923" s="34"/>
      <c r="O1923" s="34"/>
    </row>
    <row r="1924" hidden="1">
      <c r="A1924" s="85">
        <v>46028.0</v>
      </c>
      <c r="B1924" s="31" t="s">
        <v>5540</v>
      </c>
      <c r="C1924" s="31">
        <v>8.05011566553E11</v>
      </c>
      <c r="D1924" s="31" t="s">
        <v>5541</v>
      </c>
      <c r="E1924" s="31" t="s">
        <v>5542</v>
      </c>
      <c r="F1924" s="31" t="s">
        <v>5543</v>
      </c>
      <c r="G1924" s="31" t="s">
        <v>104</v>
      </c>
      <c r="H1924" s="31" t="s">
        <v>20</v>
      </c>
      <c r="I1924" s="31">
        <v>4400.0</v>
      </c>
      <c r="J1924" s="31">
        <v>3.87685883E9</v>
      </c>
      <c r="K1924" s="31" t="s">
        <v>512</v>
      </c>
      <c r="L1924" s="31" t="s">
        <v>513</v>
      </c>
      <c r="M1924" s="33">
        <v>6.0</v>
      </c>
      <c r="N1924" s="34"/>
      <c r="O1924" s="34"/>
    </row>
    <row r="1925" hidden="1">
      <c r="A1925" s="85">
        <v>46028.0</v>
      </c>
      <c r="B1925" s="31" t="s">
        <v>5540</v>
      </c>
      <c r="C1925" s="31">
        <v>8.05011566553E11</v>
      </c>
      <c r="D1925" s="31" t="s">
        <v>5541</v>
      </c>
      <c r="E1925" s="31" t="s">
        <v>5542</v>
      </c>
      <c r="F1925" s="31" t="s">
        <v>5543</v>
      </c>
      <c r="G1925" s="31" t="s">
        <v>104</v>
      </c>
      <c r="H1925" s="31" t="s">
        <v>20</v>
      </c>
      <c r="I1925" s="31">
        <v>4400.0</v>
      </c>
      <c r="J1925" s="31">
        <v>3.87685883E9</v>
      </c>
      <c r="K1925" s="31" t="s">
        <v>273</v>
      </c>
      <c r="L1925" s="31" t="s">
        <v>3594</v>
      </c>
      <c r="M1925" s="33">
        <v>1.0</v>
      </c>
      <c r="N1925" s="34"/>
      <c r="O1925" s="34"/>
    </row>
    <row r="1926" ht="10.5" hidden="1" customHeight="1">
      <c r="A1926" s="87"/>
      <c r="B1926" s="88"/>
      <c r="C1926" s="88"/>
      <c r="D1926" s="88"/>
      <c r="E1926" s="88"/>
      <c r="F1926" s="88"/>
      <c r="G1926" s="88"/>
      <c r="H1926" s="88"/>
      <c r="I1926" s="88"/>
      <c r="J1926" s="88"/>
      <c r="K1926" s="88"/>
      <c r="L1926" s="88"/>
      <c r="M1926" s="89"/>
      <c r="N1926" s="90"/>
      <c r="O1926" s="90"/>
    </row>
    <row r="1927" hidden="1">
      <c r="A1927" s="85">
        <v>46035.0</v>
      </c>
      <c r="B1927" s="31" t="s">
        <v>5544</v>
      </c>
      <c r="C1927" s="31">
        <v>8.07025034392E11</v>
      </c>
      <c r="D1927" s="31" t="s">
        <v>5545</v>
      </c>
      <c r="E1927" s="31" t="s">
        <v>5546</v>
      </c>
      <c r="F1927" s="31" t="s">
        <v>126</v>
      </c>
      <c r="G1927" s="31" t="s">
        <v>127</v>
      </c>
      <c r="H1927" s="31" t="s">
        <v>20</v>
      </c>
      <c r="I1927" s="31">
        <v>4400.0</v>
      </c>
      <c r="J1927" s="31">
        <v>3.875812156E9</v>
      </c>
      <c r="K1927" s="31" t="s">
        <v>184</v>
      </c>
      <c r="L1927" s="31" t="s">
        <v>4485</v>
      </c>
      <c r="M1927" s="33">
        <v>1.0</v>
      </c>
      <c r="N1927" s="34"/>
      <c r="O1927" s="31" t="s">
        <v>316</v>
      </c>
    </row>
    <row r="1928" hidden="1">
      <c r="A1928" s="85">
        <v>46035.0</v>
      </c>
      <c r="B1928" s="31" t="s">
        <v>5544</v>
      </c>
      <c r="C1928" s="31">
        <v>8.07025034392E11</v>
      </c>
      <c r="D1928" s="31" t="s">
        <v>5545</v>
      </c>
      <c r="E1928" s="31" t="s">
        <v>5546</v>
      </c>
      <c r="F1928" s="31" t="s">
        <v>126</v>
      </c>
      <c r="G1928" s="31" t="s">
        <v>127</v>
      </c>
      <c r="H1928" s="31" t="s">
        <v>20</v>
      </c>
      <c r="I1928" s="31">
        <v>4400.0</v>
      </c>
      <c r="J1928" s="31">
        <v>3.875812156E9</v>
      </c>
      <c r="K1928" s="31" t="s">
        <v>512</v>
      </c>
      <c r="L1928" s="31" t="s">
        <v>513</v>
      </c>
      <c r="M1928" s="33">
        <v>6.0</v>
      </c>
      <c r="N1928" s="34"/>
      <c r="O1928" s="31" t="s">
        <v>316</v>
      </c>
    </row>
    <row r="1929" hidden="1">
      <c r="A1929" s="85">
        <v>46035.0</v>
      </c>
      <c r="B1929" s="31" t="s">
        <v>5544</v>
      </c>
      <c r="C1929" s="31">
        <v>8.07025034392E11</v>
      </c>
      <c r="D1929" s="31" t="s">
        <v>5545</v>
      </c>
      <c r="E1929" s="31" t="s">
        <v>5546</v>
      </c>
      <c r="F1929" s="31" t="s">
        <v>126</v>
      </c>
      <c r="G1929" s="31" t="s">
        <v>127</v>
      </c>
      <c r="H1929" s="31" t="s">
        <v>20</v>
      </c>
      <c r="I1929" s="31">
        <v>4400.0</v>
      </c>
      <c r="J1929" s="31">
        <v>3.875812156E9</v>
      </c>
      <c r="K1929" s="31" t="s">
        <v>273</v>
      </c>
      <c r="L1929" s="31" t="s">
        <v>3594</v>
      </c>
      <c r="M1929" s="33">
        <v>1.0</v>
      </c>
      <c r="N1929" s="34"/>
      <c r="O1929" s="31" t="s">
        <v>316</v>
      </c>
    </row>
    <row r="1930" hidden="1">
      <c r="A1930" s="85">
        <v>46035.0</v>
      </c>
      <c r="B1930" s="31" t="s">
        <v>5547</v>
      </c>
      <c r="C1930" s="31">
        <v>8.05011566721E11</v>
      </c>
      <c r="D1930" s="31" t="s">
        <v>5548</v>
      </c>
      <c r="E1930" s="31" t="s">
        <v>5549</v>
      </c>
      <c r="F1930" s="31" t="s">
        <v>5550</v>
      </c>
      <c r="G1930" s="31" t="s">
        <v>20</v>
      </c>
      <c r="H1930" s="31" t="s">
        <v>20</v>
      </c>
      <c r="I1930" s="31">
        <v>4400.0</v>
      </c>
      <c r="J1930" s="31">
        <v>3.87855607E9</v>
      </c>
      <c r="K1930" s="31" t="s">
        <v>5551</v>
      </c>
      <c r="L1930" s="31" t="s">
        <v>5552</v>
      </c>
      <c r="M1930" s="33">
        <v>1.0</v>
      </c>
      <c r="N1930" s="34"/>
      <c r="O1930" s="34"/>
    </row>
    <row r="1931" hidden="1">
      <c r="A1931" s="85">
        <v>46035.0</v>
      </c>
      <c r="B1931" s="31" t="s">
        <v>5547</v>
      </c>
      <c r="C1931" s="31">
        <v>8.05011566721E11</v>
      </c>
      <c r="D1931" s="31" t="s">
        <v>5548</v>
      </c>
      <c r="E1931" s="31" t="s">
        <v>5549</v>
      </c>
      <c r="F1931" s="31" t="s">
        <v>5550</v>
      </c>
      <c r="G1931" s="31" t="s">
        <v>20</v>
      </c>
      <c r="H1931" s="31" t="s">
        <v>20</v>
      </c>
      <c r="I1931" s="31">
        <v>4400.0</v>
      </c>
      <c r="J1931" s="31">
        <v>3.87855607E9</v>
      </c>
      <c r="K1931" s="31" t="s">
        <v>512</v>
      </c>
      <c r="L1931" s="31" t="s">
        <v>513</v>
      </c>
      <c r="M1931" s="33">
        <v>1.0</v>
      </c>
      <c r="N1931" s="34"/>
      <c r="O1931" s="34"/>
    </row>
    <row r="1932" hidden="1">
      <c r="A1932" s="85">
        <v>46035.0</v>
      </c>
      <c r="B1932" s="31" t="s">
        <v>5547</v>
      </c>
      <c r="C1932" s="31">
        <v>8.05011566721E11</v>
      </c>
      <c r="D1932" s="31" t="s">
        <v>5548</v>
      </c>
      <c r="E1932" s="31" t="s">
        <v>5549</v>
      </c>
      <c r="F1932" s="31" t="s">
        <v>5550</v>
      </c>
      <c r="G1932" s="31" t="s">
        <v>20</v>
      </c>
      <c r="H1932" s="31" t="s">
        <v>20</v>
      </c>
      <c r="I1932" s="31">
        <v>4400.0</v>
      </c>
      <c r="J1932" s="31">
        <v>3.87855607E9</v>
      </c>
      <c r="K1932" s="31" t="s">
        <v>25</v>
      </c>
      <c r="L1932" s="31" t="s">
        <v>3401</v>
      </c>
      <c r="M1932" s="33">
        <v>1.0</v>
      </c>
      <c r="N1932" s="34"/>
      <c r="O1932" s="34"/>
    </row>
    <row r="1933" hidden="1">
      <c r="A1933" s="85">
        <v>46035.0</v>
      </c>
      <c r="B1933" s="31" t="s">
        <v>5553</v>
      </c>
      <c r="C1933" s="31">
        <v>8.05011566743E11</v>
      </c>
      <c r="D1933" s="31" t="s">
        <v>5554</v>
      </c>
      <c r="E1933" s="31" t="s">
        <v>5555</v>
      </c>
      <c r="F1933" s="31" t="s">
        <v>5556</v>
      </c>
      <c r="G1933" s="31" t="s">
        <v>127</v>
      </c>
      <c r="H1933" s="31" t="s">
        <v>20</v>
      </c>
      <c r="I1933" s="31">
        <v>4400.0</v>
      </c>
      <c r="J1933" s="31">
        <v>3.87217551E9</v>
      </c>
      <c r="K1933" s="31" t="s">
        <v>2956</v>
      </c>
      <c r="L1933" s="31" t="s">
        <v>3327</v>
      </c>
      <c r="M1933" s="33">
        <v>1.0</v>
      </c>
      <c r="N1933" s="34"/>
      <c r="O1933" s="31" t="s">
        <v>5557</v>
      </c>
    </row>
    <row r="1934" hidden="1">
      <c r="A1934" s="85">
        <v>46035.0</v>
      </c>
      <c r="B1934" s="31" t="s">
        <v>5558</v>
      </c>
      <c r="C1934" s="31">
        <v>8.05011566909E11</v>
      </c>
      <c r="D1934" s="31" t="s">
        <v>5559</v>
      </c>
      <c r="E1934" s="31" t="s">
        <v>5560</v>
      </c>
      <c r="F1934" s="31" t="s">
        <v>5561</v>
      </c>
      <c r="G1934" s="31" t="s">
        <v>41</v>
      </c>
      <c r="H1934" s="31" t="s">
        <v>20</v>
      </c>
      <c r="I1934" s="31">
        <v>4560.0</v>
      </c>
      <c r="J1934" s="31">
        <v>3.873535844E9</v>
      </c>
      <c r="K1934" s="31" t="s">
        <v>1241</v>
      </c>
      <c r="L1934" s="31" t="s">
        <v>3500</v>
      </c>
      <c r="M1934" s="33">
        <v>1.0</v>
      </c>
      <c r="N1934" s="34"/>
      <c r="O1934" s="31" t="s">
        <v>5562</v>
      </c>
    </row>
    <row r="1935" hidden="1">
      <c r="A1935" s="85">
        <v>46035.0</v>
      </c>
      <c r="B1935" s="31" t="s">
        <v>5563</v>
      </c>
      <c r="C1935" s="31">
        <v>8.05011566864E11</v>
      </c>
      <c r="D1935" s="31" t="s">
        <v>5564</v>
      </c>
      <c r="E1935" s="31" t="s">
        <v>5565</v>
      </c>
      <c r="F1935" s="31" t="s">
        <v>5566</v>
      </c>
      <c r="G1935" s="31" t="s">
        <v>20</v>
      </c>
      <c r="H1935" s="31" t="s">
        <v>20</v>
      </c>
      <c r="I1935" s="31">
        <v>4400.0</v>
      </c>
      <c r="J1935" s="31">
        <v>3.875659918E9</v>
      </c>
      <c r="K1935" s="31" t="s">
        <v>60</v>
      </c>
      <c r="L1935" s="31" t="s">
        <v>3706</v>
      </c>
      <c r="M1935" s="33">
        <v>1.0</v>
      </c>
      <c r="N1935" s="34"/>
      <c r="O1935" s="31" t="s">
        <v>5567</v>
      </c>
    </row>
    <row r="1936" hidden="1">
      <c r="A1936" s="85">
        <v>46035.0</v>
      </c>
      <c r="B1936" s="31" t="s">
        <v>5563</v>
      </c>
      <c r="C1936" s="31">
        <v>8.05011566864E11</v>
      </c>
      <c r="D1936" s="31" t="s">
        <v>5564</v>
      </c>
      <c r="E1936" s="31" t="s">
        <v>5565</v>
      </c>
      <c r="F1936" s="31" t="s">
        <v>5566</v>
      </c>
      <c r="G1936" s="31" t="s">
        <v>20</v>
      </c>
      <c r="H1936" s="31" t="s">
        <v>20</v>
      </c>
      <c r="I1936" s="31">
        <v>4400.0</v>
      </c>
      <c r="J1936" s="31">
        <v>3.875659918E9</v>
      </c>
      <c r="K1936" s="31" t="s">
        <v>512</v>
      </c>
      <c r="L1936" s="31" t="s">
        <v>513</v>
      </c>
      <c r="M1936" s="33">
        <v>6.0</v>
      </c>
      <c r="N1936" s="34"/>
      <c r="O1936" s="31" t="s">
        <v>5567</v>
      </c>
    </row>
    <row r="1937" hidden="1">
      <c r="A1937" s="85">
        <v>46035.0</v>
      </c>
      <c r="B1937" s="31" t="s">
        <v>5563</v>
      </c>
      <c r="C1937" s="31">
        <v>8.05011566864E11</v>
      </c>
      <c r="D1937" s="31" t="s">
        <v>5564</v>
      </c>
      <c r="E1937" s="31" t="s">
        <v>5565</v>
      </c>
      <c r="F1937" s="31" t="s">
        <v>5566</v>
      </c>
      <c r="G1937" s="31" t="s">
        <v>20</v>
      </c>
      <c r="H1937" s="31" t="s">
        <v>20</v>
      </c>
      <c r="I1937" s="31">
        <v>4400.0</v>
      </c>
      <c r="J1937" s="31">
        <v>3.875659918E9</v>
      </c>
      <c r="K1937" s="31" t="s">
        <v>64</v>
      </c>
      <c r="L1937" s="31" t="s">
        <v>3708</v>
      </c>
      <c r="M1937" s="33">
        <v>1.0</v>
      </c>
      <c r="N1937" s="34"/>
      <c r="O1937" s="31" t="s">
        <v>5567</v>
      </c>
    </row>
    <row r="1938" hidden="1">
      <c r="A1938" s="85">
        <v>46035.0</v>
      </c>
      <c r="B1938" s="31" t="s">
        <v>5568</v>
      </c>
      <c r="C1938" s="31">
        <v>8.0501156661E11</v>
      </c>
      <c r="D1938" s="31" t="s">
        <v>5569</v>
      </c>
      <c r="E1938" s="31" t="s">
        <v>5570</v>
      </c>
      <c r="F1938" s="31" t="s">
        <v>5571</v>
      </c>
      <c r="G1938" s="31" t="s">
        <v>5046</v>
      </c>
      <c r="H1938" s="31" t="s">
        <v>20</v>
      </c>
      <c r="I1938" s="31">
        <v>4530.0</v>
      </c>
      <c r="J1938" s="31">
        <v>3.878437265E9</v>
      </c>
      <c r="K1938" s="31" t="s">
        <v>32</v>
      </c>
      <c r="L1938" s="31" t="s">
        <v>3225</v>
      </c>
      <c r="M1938" s="33">
        <v>1.0</v>
      </c>
      <c r="N1938" s="34"/>
      <c r="O1938" s="34"/>
    </row>
    <row r="1939" hidden="1">
      <c r="A1939" s="85">
        <v>46035.0</v>
      </c>
      <c r="B1939" s="31" t="s">
        <v>5568</v>
      </c>
      <c r="C1939" s="31">
        <v>8.0501156661E11</v>
      </c>
      <c r="D1939" s="31" t="s">
        <v>5569</v>
      </c>
      <c r="E1939" s="31" t="s">
        <v>5570</v>
      </c>
      <c r="F1939" s="31" t="s">
        <v>5571</v>
      </c>
      <c r="G1939" s="31" t="s">
        <v>5046</v>
      </c>
      <c r="H1939" s="31" t="s">
        <v>20</v>
      </c>
      <c r="I1939" s="31">
        <v>4530.0</v>
      </c>
      <c r="J1939" s="31">
        <v>3.878437265E9</v>
      </c>
      <c r="K1939" s="31" t="s">
        <v>512</v>
      </c>
      <c r="L1939" s="31" t="s">
        <v>513</v>
      </c>
      <c r="M1939" s="33">
        <v>6.0</v>
      </c>
      <c r="N1939" s="34"/>
      <c r="O1939" s="34"/>
    </row>
    <row r="1940" hidden="1">
      <c r="A1940" s="85">
        <v>46035.0</v>
      </c>
      <c r="B1940" s="31" t="s">
        <v>5568</v>
      </c>
      <c r="C1940" s="31">
        <v>8.0501156661E11</v>
      </c>
      <c r="D1940" s="31" t="s">
        <v>5569</v>
      </c>
      <c r="E1940" s="31" t="s">
        <v>5570</v>
      </c>
      <c r="F1940" s="31" t="s">
        <v>5571</v>
      </c>
      <c r="G1940" s="31" t="s">
        <v>5046</v>
      </c>
      <c r="H1940" s="31" t="s">
        <v>20</v>
      </c>
      <c r="I1940" s="31">
        <v>4530.0</v>
      </c>
      <c r="J1940" s="31">
        <v>3.878437265E9</v>
      </c>
      <c r="K1940" s="31" t="s">
        <v>670</v>
      </c>
      <c r="L1940" s="31" t="s">
        <v>3410</v>
      </c>
      <c r="M1940" s="33">
        <v>1.0</v>
      </c>
      <c r="N1940" s="34"/>
      <c r="O1940" s="34"/>
    </row>
    <row r="1941" hidden="1">
      <c r="A1941" s="85">
        <v>46035.0</v>
      </c>
      <c r="B1941" s="31" t="s">
        <v>5572</v>
      </c>
      <c r="C1941" s="31">
        <v>8.05011566988E11</v>
      </c>
      <c r="D1941" s="31" t="s">
        <v>5573</v>
      </c>
      <c r="E1941" s="31" t="s">
        <v>5574</v>
      </c>
      <c r="F1941" s="31" t="s">
        <v>5575</v>
      </c>
      <c r="G1941" s="31" t="s">
        <v>5576</v>
      </c>
      <c r="H1941" s="31" t="s">
        <v>20</v>
      </c>
      <c r="I1941" s="31">
        <v>4561.0</v>
      </c>
      <c r="J1941" s="31">
        <v>3.873645533E9</v>
      </c>
      <c r="K1941" s="31" t="s">
        <v>32</v>
      </c>
      <c r="L1941" s="31" t="s">
        <v>3225</v>
      </c>
      <c r="M1941" s="33">
        <v>1.0</v>
      </c>
      <c r="N1941" s="34"/>
      <c r="O1941" s="31" t="s">
        <v>5577</v>
      </c>
    </row>
    <row r="1942" hidden="1">
      <c r="A1942" s="85">
        <v>46035.0</v>
      </c>
      <c r="B1942" s="31" t="s">
        <v>5572</v>
      </c>
      <c r="C1942" s="31">
        <v>8.05011566988E11</v>
      </c>
      <c r="D1942" s="31" t="s">
        <v>5573</v>
      </c>
      <c r="E1942" s="31" t="s">
        <v>5574</v>
      </c>
      <c r="F1942" s="31" t="s">
        <v>5575</v>
      </c>
      <c r="G1942" s="31" t="s">
        <v>5576</v>
      </c>
      <c r="H1942" s="31" t="s">
        <v>20</v>
      </c>
      <c r="I1942" s="31">
        <v>4561.0</v>
      </c>
      <c r="J1942" s="31">
        <v>3.873645533E9</v>
      </c>
      <c r="K1942" s="31" t="s">
        <v>512</v>
      </c>
      <c r="L1942" s="31" t="s">
        <v>513</v>
      </c>
      <c r="M1942" s="33">
        <v>6.0</v>
      </c>
      <c r="N1942" s="34"/>
      <c r="O1942" s="31" t="s">
        <v>5577</v>
      </c>
    </row>
    <row r="1943" hidden="1">
      <c r="A1943" s="85">
        <v>46035.0</v>
      </c>
      <c r="B1943" s="31" t="s">
        <v>5572</v>
      </c>
      <c r="C1943" s="31">
        <v>8.05011566988E11</v>
      </c>
      <c r="D1943" s="31" t="s">
        <v>5573</v>
      </c>
      <c r="E1943" s="31" t="s">
        <v>5574</v>
      </c>
      <c r="F1943" s="31" t="s">
        <v>5575</v>
      </c>
      <c r="G1943" s="31" t="s">
        <v>5576</v>
      </c>
      <c r="H1943" s="31" t="s">
        <v>20</v>
      </c>
      <c r="I1943" s="31">
        <v>4561.0</v>
      </c>
      <c r="J1943" s="31">
        <v>3.873645533E9</v>
      </c>
      <c r="K1943" s="31" t="s">
        <v>35</v>
      </c>
      <c r="L1943" s="31" t="s">
        <v>3188</v>
      </c>
      <c r="M1943" s="33">
        <v>1.0</v>
      </c>
      <c r="N1943" s="34"/>
      <c r="O1943" s="31" t="s">
        <v>5577</v>
      </c>
    </row>
    <row r="1944" hidden="1">
      <c r="A1944" s="85">
        <v>46035.0</v>
      </c>
      <c r="B1944" s="31" t="s">
        <v>5578</v>
      </c>
      <c r="C1944" s="31">
        <v>8.05011567247E11</v>
      </c>
      <c r="D1944" s="31" t="s">
        <v>5579</v>
      </c>
      <c r="E1944" s="31" t="s">
        <v>5580</v>
      </c>
      <c r="F1944" s="31" t="s">
        <v>5581</v>
      </c>
      <c r="G1944" s="31" t="s">
        <v>5582</v>
      </c>
      <c r="H1944" s="31" t="s">
        <v>20</v>
      </c>
      <c r="I1944" s="31">
        <v>4400.0</v>
      </c>
      <c r="J1944" s="31">
        <v>3.87473511E9</v>
      </c>
      <c r="K1944" s="31" t="s">
        <v>617</v>
      </c>
      <c r="L1944" s="31" t="s">
        <v>3867</v>
      </c>
      <c r="M1944" s="33">
        <v>1.0</v>
      </c>
      <c r="N1944" s="34"/>
      <c r="O1944" s="34"/>
    </row>
    <row r="1945" hidden="1">
      <c r="A1945" s="85">
        <v>46035.0</v>
      </c>
      <c r="B1945" s="31" t="s">
        <v>5578</v>
      </c>
      <c r="C1945" s="31">
        <v>8.05011567247E11</v>
      </c>
      <c r="D1945" s="31" t="s">
        <v>5579</v>
      </c>
      <c r="E1945" s="31" t="s">
        <v>5580</v>
      </c>
      <c r="F1945" s="31" t="s">
        <v>5581</v>
      </c>
      <c r="G1945" s="31" t="s">
        <v>5582</v>
      </c>
      <c r="H1945" s="31" t="s">
        <v>20</v>
      </c>
      <c r="I1945" s="31">
        <v>4400.0</v>
      </c>
      <c r="J1945" s="31">
        <v>3.87473511E9</v>
      </c>
      <c r="K1945" s="31" t="s">
        <v>512</v>
      </c>
      <c r="L1945" s="31" t="s">
        <v>513</v>
      </c>
      <c r="M1945" s="33">
        <v>12.0</v>
      </c>
      <c r="N1945" s="34"/>
      <c r="O1945" s="34"/>
    </row>
    <row r="1946" hidden="1">
      <c r="A1946" s="85">
        <v>46035.0</v>
      </c>
      <c r="B1946" s="31" t="s">
        <v>5578</v>
      </c>
      <c r="C1946" s="31">
        <v>8.05011567247E11</v>
      </c>
      <c r="D1946" s="31" t="s">
        <v>5579</v>
      </c>
      <c r="E1946" s="31" t="s">
        <v>5580</v>
      </c>
      <c r="F1946" s="31" t="s">
        <v>5581</v>
      </c>
      <c r="G1946" s="31" t="s">
        <v>5582</v>
      </c>
      <c r="H1946" s="31" t="s">
        <v>20</v>
      </c>
      <c r="I1946" s="31">
        <v>4400.0</v>
      </c>
      <c r="J1946" s="31">
        <v>3.87473511E9</v>
      </c>
      <c r="K1946" s="31" t="s">
        <v>645</v>
      </c>
      <c r="L1946" s="31" t="s">
        <v>3253</v>
      </c>
      <c r="M1946" s="33">
        <v>2.0</v>
      </c>
      <c r="N1946" s="34"/>
      <c r="O1946" s="34"/>
    </row>
    <row r="1947" hidden="1">
      <c r="A1947" s="85">
        <v>46035.0</v>
      </c>
      <c r="B1947" s="31" t="s">
        <v>5583</v>
      </c>
      <c r="C1947" s="31">
        <v>8.05011567187E11</v>
      </c>
      <c r="D1947" s="31" t="s">
        <v>5584</v>
      </c>
      <c r="E1947" s="31" t="s">
        <v>5585</v>
      </c>
      <c r="F1947" s="31" t="s">
        <v>5586</v>
      </c>
      <c r="G1947" s="31" t="s">
        <v>5587</v>
      </c>
      <c r="H1947" s="31" t="s">
        <v>20</v>
      </c>
      <c r="I1947" s="31">
        <v>4568.0</v>
      </c>
      <c r="J1947" s="31">
        <v>3.873501817E9</v>
      </c>
      <c r="K1947" s="31" t="s">
        <v>761</v>
      </c>
      <c r="L1947" s="31" t="s">
        <v>3761</v>
      </c>
      <c r="M1947" s="33">
        <v>1.0</v>
      </c>
      <c r="N1947" s="34"/>
      <c r="O1947" s="31" t="s">
        <v>5588</v>
      </c>
    </row>
    <row r="1948" hidden="1">
      <c r="A1948" s="85">
        <v>46035.0</v>
      </c>
      <c r="B1948" s="31" t="s">
        <v>5583</v>
      </c>
      <c r="C1948" s="31">
        <v>8.05011567187E11</v>
      </c>
      <c r="D1948" s="31" t="s">
        <v>5584</v>
      </c>
      <c r="E1948" s="31" t="s">
        <v>5585</v>
      </c>
      <c r="F1948" s="31" t="s">
        <v>5586</v>
      </c>
      <c r="G1948" s="31" t="s">
        <v>5587</v>
      </c>
      <c r="H1948" s="31" t="s">
        <v>20</v>
      </c>
      <c r="I1948" s="31">
        <v>4568.0</v>
      </c>
      <c r="J1948" s="31">
        <v>3.873501817E9</v>
      </c>
      <c r="K1948" s="31" t="s">
        <v>512</v>
      </c>
      <c r="L1948" s="31" t="s">
        <v>513</v>
      </c>
      <c r="M1948" s="33">
        <v>12.0</v>
      </c>
      <c r="N1948" s="34"/>
      <c r="O1948" s="31" t="s">
        <v>5588</v>
      </c>
    </row>
    <row r="1949" hidden="1">
      <c r="A1949" s="85">
        <v>46035.0</v>
      </c>
      <c r="B1949" s="31" t="s">
        <v>5583</v>
      </c>
      <c r="C1949" s="31">
        <v>8.05011567187E11</v>
      </c>
      <c r="D1949" s="31" t="s">
        <v>5584</v>
      </c>
      <c r="E1949" s="31" t="s">
        <v>5585</v>
      </c>
      <c r="F1949" s="31" t="s">
        <v>5586</v>
      </c>
      <c r="G1949" s="31" t="s">
        <v>5587</v>
      </c>
      <c r="H1949" s="31" t="s">
        <v>20</v>
      </c>
      <c r="I1949" s="31">
        <v>4568.0</v>
      </c>
      <c r="J1949" s="31">
        <v>3.873501817E9</v>
      </c>
      <c r="K1949" s="31" t="s">
        <v>758</v>
      </c>
      <c r="L1949" s="31" t="s">
        <v>3574</v>
      </c>
      <c r="M1949" s="33">
        <v>2.0</v>
      </c>
      <c r="N1949" s="34"/>
      <c r="O1949" s="31" t="s">
        <v>5588</v>
      </c>
    </row>
    <row r="1950" hidden="1">
      <c r="A1950" s="85">
        <v>46035.0</v>
      </c>
      <c r="B1950" s="31" t="s">
        <v>5589</v>
      </c>
      <c r="C1950" s="31">
        <v>8.05011565863E11</v>
      </c>
      <c r="D1950" s="31" t="s">
        <v>5590</v>
      </c>
      <c r="E1950" s="31" t="s">
        <v>5591</v>
      </c>
      <c r="F1950" s="31" t="s">
        <v>5592</v>
      </c>
      <c r="G1950" s="31" t="s">
        <v>4635</v>
      </c>
      <c r="H1950" s="31" t="s">
        <v>20</v>
      </c>
      <c r="I1950" s="31">
        <v>4530.0</v>
      </c>
      <c r="J1950" s="31" t="s">
        <v>5479</v>
      </c>
      <c r="K1950" s="31" t="s">
        <v>617</v>
      </c>
      <c r="L1950" s="31" t="s">
        <v>3867</v>
      </c>
      <c r="M1950" s="33">
        <v>1.0</v>
      </c>
      <c r="N1950" s="34"/>
      <c r="O1950" s="31" t="s">
        <v>5593</v>
      </c>
    </row>
    <row r="1951" hidden="1">
      <c r="A1951" s="85">
        <v>46035.0</v>
      </c>
      <c r="B1951" s="31" t="s">
        <v>5589</v>
      </c>
      <c r="C1951" s="31">
        <v>8.05011565863E11</v>
      </c>
      <c r="D1951" s="31" t="s">
        <v>5590</v>
      </c>
      <c r="E1951" s="31" t="s">
        <v>5591</v>
      </c>
      <c r="F1951" s="31" t="s">
        <v>5592</v>
      </c>
      <c r="G1951" s="31" t="s">
        <v>4635</v>
      </c>
      <c r="H1951" s="31" t="s">
        <v>20</v>
      </c>
      <c r="I1951" s="31">
        <v>4530.0</v>
      </c>
      <c r="J1951" s="31" t="s">
        <v>5479</v>
      </c>
      <c r="K1951" s="31" t="s">
        <v>512</v>
      </c>
      <c r="L1951" s="31" t="s">
        <v>513</v>
      </c>
      <c r="M1951" s="33">
        <v>12.0</v>
      </c>
      <c r="N1951" s="34"/>
      <c r="O1951" s="31" t="s">
        <v>5593</v>
      </c>
    </row>
    <row r="1952" hidden="1">
      <c r="A1952" s="85">
        <v>46035.0</v>
      </c>
      <c r="B1952" s="31" t="s">
        <v>5589</v>
      </c>
      <c r="C1952" s="31">
        <v>8.05011565863E11</v>
      </c>
      <c r="D1952" s="31" t="s">
        <v>5590</v>
      </c>
      <c r="E1952" s="31" t="s">
        <v>5591</v>
      </c>
      <c r="F1952" s="31" t="s">
        <v>5592</v>
      </c>
      <c r="G1952" s="31" t="s">
        <v>4635</v>
      </c>
      <c r="H1952" s="31" t="s">
        <v>20</v>
      </c>
      <c r="I1952" s="31">
        <v>4530.0</v>
      </c>
      <c r="J1952" s="31" t="s">
        <v>5479</v>
      </c>
      <c r="K1952" s="31" t="s">
        <v>645</v>
      </c>
      <c r="L1952" s="31" t="s">
        <v>3253</v>
      </c>
      <c r="M1952" s="33">
        <v>2.0</v>
      </c>
      <c r="N1952" s="34"/>
      <c r="O1952" s="31" t="s">
        <v>5593</v>
      </c>
    </row>
    <row r="1953" hidden="1">
      <c r="A1953" s="85">
        <v>46035.0</v>
      </c>
      <c r="B1953" s="31" t="s">
        <v>5594</v>
      </c>
      <c r="C1953" s="31">
        <v>8.05011567573E11</v>
      </c>
      <c r="D1953" s="31" t="s">
        <v>5595</v>
      </c>
      <c r="E1953" s="31" t="s">
        <v>5596</v>
      </c>
      <c r="F1953" s="31" t="s">
        <v>5597</v>
      </c>
      <c r="G1953" s="31" t="s">
        <v>20</v>
      </c>
      <c r="H1953" s="31" t="s">
        <v>20</v>
      </c>
      <c r="I1953" s="31">
        <v>4400.0</v>
      </c>
      <c r="J1953" s="31">
        <v>3.875645581E9</v>
      </c>
      <c r="K1953" s="31" t="s">
        <v>3285</v>
      </c>
      <c r="L1953" s="31" t="s">
        <v>3286</v>
      </c>
      <c r="M1953" s="33">
        <v>1.0</v>
      </c>
      <c r="N1953" s="34"/>
      <c r="O1953" s="34"/>
    </row>
    <row r="1954" hidden="1">
      <c r="A1954" s="85">
        <v>46035.0</v>
      </c>
      <c r="B1954" s="31" t="s">
        <v>5594</v>
      </c>
      <c r="C1954" s="31">
        <v>8.05011567573E11</v>
      </c>
      <c r="D1954" s="31" t="s">
        <v>5595</v>
      </c>
      <c r="E1954" s="31" t="s">
        <v>5596</v>
      </c>
      <c r="F1954" s="31" t="s">
        <v>5597</v>
      </c>
      <c r="G1954" s="31" t="s">
        <v>20</v>
      </c>
      <c r="H1954" s="31" t="s">
        <v>20</v>
      </c>
      <c r="I1954" s="31">
        <v>4400.0</v>
      </c>
      <c r="J1954" s="31">
        <v>3.875645581E9</v>
      </c>
      <c r="K1954" s="31" t="s">
        <v>512</v>
      </c>
      <c r="L1954" s="31" t="s">
        <v>513</v>
      </c>
      <c r="M1954" s="33">
        <v>6.0</v>
      </c>
      <c r="N1954" s="34"/>
      <c r="O1954" s="34"/>
    </row>
    <row r="1955" hidden="1">
      <c r="A1955" s="85">
        <v>46035.0</v>
      </c>
      <c r="B1955" s="31" t="s">
        <v>5594</v>
      </c>
      <c r="C1955" s="31">
        <v>8.05011567573E11</v>
      </c>
      <c r="D1955" s="31" t="s">
        <v>5595</v>
      </c>
      <c r="E1955" s="31" t="s">
        <v>5596</v>
      </c>
      <c r="F1955" s="31" t="s">
        <v>5597</v>
      </c>
      <c r="G1955" s="31" t="s">
        <v>20</v>
      </c>
      <c r="H1955" s="31" t="s">
        <v>20</v>
      </c>
      <c r="I1955" s="31">
        <v>4400.0</v>
      </c>
      <c r="J1955" s="31">
        <v>3.875645581E9</v>
      </c>
      <c r="K1955" s="31" t="s">
        <v>670</v>
      </c>
      <c r="L1955" s="31" t="s">
        <v>3410</v>
      </c>
      <c r="M1955" s="33">
        <v>1.0</v>
      </c>
      <c r="N1955" s="34"/>
      <c r="O1955" s="34"/>
    </row>
    <row r="1956" hidden="1">
      <c r="A1956" s="85">
        <v>46035.0</v>
      </c>
      <c r="B1956" s="31" t="s">
        <v>5598</v>
      </c>
      <c r="C1956" s="31">
        <v>8.07025034541E11</v>
      </c>
      <c r="D1956" s="31" t="s">
        <v>5599</v>
      </c>
      <c r="E1956" s="31" t="s">
        <v>5600</v>
      </c>
      <c r="F1956" s="31" t="s">
        <v>5601</v>
      </c>
      <c r="G1956" s="31" t="s">
        <v>127</v>
      </c>
      <c r="H1956" s="31" t="s">
        <v>20</v>
      </c>
      <c r="I1956" s="31">
        <v>4400.0</v>
      </c>
      <c r="J1956" s="31">
        <v>3.874769605E9</v>
      </c>
      <c r="K1956" s="31" t="s">
        <v>812</v>
      </c>
      <c r="L1956" s="31" t="s">
        <v>3564</v>
      </c>
      <c r="M1956" s="33">
        <v>1.0</v>
      </c>
      <c r="N1956" s="34"/>
      <c r="O1956" s="31" t="s">
        <v>5602</v>
      </c>
    </row>
    <row r="1957" hidden="1">
      <c r="A1957" s="85">
        <v>46035.0</v>
      </c>
      <c r="B1957" s="31" t="s">
        <v>5603</v>
      </c>
      <c r="C1957" s="31">
        <v>8.05011567818E11</v>
      </c>
      <c r="D1957" s="31" t="s">
        <v>5604</v>
      </c>
      <c r="E1957" s="31" t="s">
        <v>5605</v>
      </c>
      <c r="F1957" s="31" t="s">
        <v>5606</v>
      </c>
      <c r="G1957" s="31" t="s">
        <v>835</v>
      </c>
      <c r="H1957" s="31" t="s">
        <v>20</v>
      </c>
      <c r="I1957" s="31">
        <v>4550.0</v>
      </c>
      <c r="J1957" s="31">
        <v>3.878568756E9</v>
      </c>
      <c r="K1957" s="31">
        <v>63304.0</v>
      </c>
      <c r="L1957" s="31" t="s">
        <v>5607</v>
      </c>
      <c r="M1957" s="33">
        <v>1.0</v>
      </c>
      <c r="N1957" s="34"/>
      <c r="O1957" s="31" t="s">
        <v>5608</v>
      </c>
    </row>
    <row r="1958" ht="9.75" hidden="1" customHeight="1">
      <c r="A1958" s="87"/>
      <c r="B1958" s="88"/>
      <c r="C1958" s="88"/>
      <c r="D1958" s="88"/>
      <c r="E1958" s="88"/>
      <c r="F1958" s="88"/>
      <c r="G1958" s="88"/>
      <c r="H1958" s="88"/>
      <c r="I1958" s="88"/>
      <c r="J1958" s="88"/>
      <c r="K1958" s="88"/>
      <c r="L1958" s="88"/>
      <c r="M1958" s="89"/>
      <c r="N1958" s="90"/>
      <c r="O1958" s="90"/>
    </row>
    <row r="1959" hidden="1">
      <c r="A1959" s="85">
        <v>46042.0</v>
      </c>
      <c r="B1959" s="31" t="s">
        <v>5609</v>
      </c>
      <c r="C1959" s="31">
        <v>8.05011567745E11</v>
      </c>
      <c r="D1959" s="31" t="s">
        <v>5610</v>
      </c>
      <c r="E1959" s="31" t="s">
        <v>5611</v>
      </c>
      <c r="F1959" s="31" t="s">
        <v>5612</v>
      </c>
      <c r="G1959" s="31" t="s">
        <v>20</v>
      </c>
      <c r="H1959" s="31" t="s">
        <v>20</v>
      </c>
      <c r="I1959" s="31">
        <v>4400.0</v>
      </c>
      <c r="J1959" s="31">
        <v>3.875713434E9</v>
      </c>
      <c r="K1959" s="31">
        <v>14.0</v>
      </c>
      <c r="L1959" s="31" t="s">
        <v>2819</v>
      </c>
      <c r="M1959" s="33">
        <v>1.0</v>
      </c>
      <c r="N1959" s="34"/>
      <c r="O1959" s="31" t="s">
        <v>5613</v>
      </c>
    </row>
    <row r="1960" hidden="1">
      <c r="A1960" s="85">
        <v>46042.0</v>
      </c>
      <c r="B1960" s="31" t="s">
        <v>5609</v>
      </c>
      <c r="C1960" s="31">
        <v>8.05011567745E11</v>
      </c>
      <c r="D1960" s="31" t="s">
        <v>5610</v>
      </c>
      <c r="E1960" s="31" t="s">
        <v>5611</v>
      </c>
      <c r="F1960" s="31" t="s">
        <v>5612</v>
      </c>
      <c r="G1960" s="31" t="s">
        <v>20</v>
      </c>
      <c r="H1960" s="31" t="s">
        <v>20</v>
      </c>
      <c r="I1960" s="31">
        <v>4400.0</v>
      </c>
      <c r="J1960" s="31">
        <v>3.875713434E9</v>
      </c>
      <c r="K1960" s="31" t="s">
        <v>617</v>
      </c>
      <c r="L1960" s="31" t="s">
        <v>3867</v>
      </c>
      <c r="M1960" s="33">
        <v>1.0</v>
      </c>
      <c r="N1960" s="34"/>
      <c r="O1960" s="31" t="s">
        <v>5613</v>
      </c>
    </row>
    <row r="1961" hidden="1">
      <c r="A1961" s="85">
        <v>46042.0</v>
      </c>
      <c r="B1961" s="31" t="s">
        <v>5609</v>
      </c>
      <c r="C1961" s="31">
        <v>8.05011567745E11</v>
      </c>
      <c r="D1961" s="31" t="s">
        <v>5610</v>
      </c>
      <c r="E1961" s="31" t="s">
        <v>5611</v>
      </c>
      <c r="F1961" s="31" t="s">
        <v>5612</v>
      </c>
      <c r="G1961" s="31" t="s">
        <v>20</v>
      </c>
      <c r="H1961" s="31" t="s">
        <v>20</v>
      </c>
      <c r="I1961" s="31">
        <v>4400.0</v>
      </c>
      <c r="J1961" s="31">
        <v>3.875713434E9</v>
      </c>
      <c r="K1961" s="31" t="s">
        <v>512</v>
      </c>
      <c r="L1961" s="31" t="s">
        <v>513</v>
      </c>
      <c r="M1961" s="33">
        <v>12.0</v>
      </c>
      <c r="N1961" s="34"/>
      <c r="O1961" s="31" t="s">
        <v>5613</v>
      </c>
    </row>
    <row r="1962" hidden="1">
      <c r="A1962" s="85">
        <v>46042.0</v>
      </c>
      <c r="B1962" s="31" t="s">
        <v>5609</v>
      </c>
      <c r="C1962" s="31">
        <v>8.05011567745E11</v>
      </c>
      <c r="D1962" s="31" t="s">
        <v>5610</v>
      </c>
      <c r="E1962" s="31" t="s">
        <v>5611</v>
      </c>
      <c r="F1962" s="31" t="s">
        <v>5612</v>
      </c>
      <c r="G1962" s="31" t="s">
        <v>20</v>
      </c>
      <c r="H1962" s="31" t="s">
        <v>20</v>
      </c>
      <c r="I1962" s="31">
        <v>4400.0</v>
      </c>
      <c r="J1962" s="31">
        <v>3.875713434E9</v>
      </c>
      <c r="K1962" s="31" t="s">
        <v>645</v>
      </c>
      <c r="L1962" s="31" t="s">
        <v>3253</v>
      </c>
      <c r="M1962" s="33">
        <v>2.0</v>
      </c>
      <c r="N1962" s="34"/>
      <c r="O1962" s="31" t="s">
        <v>5613</v>
      </c>
    </row>
    <row r="1963" hidden="1">
      <c r="A1963" s="85">
        <v>46042.0</v>
      </c>
      <c r="B1963" s="31" t="s">
        <v>5614</v>
      </c>
      <c r="C1963" s="31">
        <v>8.05011567976E11</v>
      </c>
      <c r="D1963" s="31" t="s">
        <v>5615</v>
      </c>
      <c r="E1963" s="31" t="s">
        <v>5616</v>
      </c>
      <c r="F1963" s="31" t="s">
        <v>5617</v>
      </c>
      <c r="G1963" s="31" t="s">
        <v>5618</v>
      </c>
      <c r="H1963" s="31" t="s">
        <v>20</v>
      </c>
      <c r="I1963" s="31">
        <v>4400.0</v>
      </c>
      <c r="J1963" s="31">
        <v>3.875882649E9</v>
      </c>
      <c r="K1963" s="31" t="s">
        <v>289</v>
      </c>
      <c r="L1963" s="31" t="s">
        <v>290</v>
      </c>
      <c r="M1963" s="33">
        <v>3.0</v>
      </c>
      <c r="N1963" s="34"/>
      <c r="O1963" s="31" t="s">
        <v>5619</v>
      </c>
    </row>
    <row r="1964" hidden="1">
      <c r="A1964" s="85">
        <v>46042.0</v>
      </c>
      <c r="B1964" s="31" t="s">
        <v>5620</v>
      </c>
      <c r="C1964" s="31">
        <v>8.05011567993E11</v>
      </c>
      <c r="D1964" s="31" t="s">
        <v>5621</v>
      </c>
      <c r="E1964" s="31" t="s">
        <v>5622</v>
      </c>
      <c r="F1964" s="31" t="s">
        <v>5623</v>
      </c>
      <c r="G1964" s="31" t="s">
        <v>983</v>
      </c>
      <c r="H1964" s="31" t="s">
        <v>20</v>
      </c>
      <c r="I1964" s="31">
        <v>4400.0</v>
      </c>
      <c r="J1964" s="31">
        <v>3.874088412E9</v>
      </c>
      <c r="K1964" s="31" t="s">
        <v>4790</v>
      </c>
      <c r="L1964" s="31" t="s">
        <v>4791</v>
      </c>
      <c r="M1964" s="33">
        <v>1.0</v>
      </c>
      <c r="N1964" s="34"/>
      <c r="O1964" s="34"/>
    </row>
    <row r="1965" hidden="1">
      <c r="A1965" s="85">
        <v>46042.0</v>
      </c>
      <c r="B1965" s="31" t="s">
        <v>5620</v>
      </c>
      <c r="C1965" s="31">
        <v>8.05011567993E11</v>
      </c>
      <c r="D1965" s="31" t="s">
        <v>5621</v>
      </c>
      <c r="E1965" s="31" t="s">
        <v>5622</v>
      </c>
      <c r="F1965" s="31" t="s">
        <v>5623</v>
      </c>
      <c r="G1965" s="31" t="s">
        <v>983</v>
      </c>
      <c r="H1965" s="31" t="s">
        <v>20</v>
      </c>
      <c r="I1965" s="31">
        <v>4400.0</v>
      </c>
      <c r="J1965" s="31">
        <v>3.874088412E9</v>
      </c>
      <c r="K1965" s="31" t="s">
        <v>4793</v>
      </c>
      <c r="L1965" s="31" t="s">
        <v>4794</v>
      </c>
      <c r="M1965" s="33">
        <v>1.0</v>
      </c>
      <c r="N1965" s="34"/>
      <c r="O1965" s="34"/>
    </row>
    <row r="1966" hidden="1">
      <c r="A1966" s="85">
        <v>46042.0</v>
      </c>
      <c r="B1966" s="31" t="s">
        <v>5624</v>
      </c>
      <c r="C1966" s="31">
        <v>8.05011568036E11</v>
      </c>
      <c r="D1966" s="31" t="s">
        <v>4979</v>
      </c>
      <c r="E1966" s="31" t="s">
        <v>4980</v>
      </c>
      <c r="F1966" s="31" t="s">
        <v>5625</v>
      </c>
      <c r="G1966" s="31" t="s">
        <v>20</v>
      </c>
      <c r="H1966" s="31" t="s">
        <v>20</v>
      </c>
      <c r="I1966" s="31">
        <v>4400.0</v>
      </c>
      <c r="J1966" s="31">
        <v>3.872192118E9</v>
      </c>
      <c r="K1966" s="31" t="s">
        <v>2135</v>
      </c>
      <c r="L1966" s="31" t="s">
        <v>5094</v>
      </c>
      <c r="M1966" s="33">
        <v>1.0</v>
      </c>
      <c r="N1966" s="34"/>
      <c r="O1966" s="34"/>
    </row>
    <row r="1967" hidden="1">
      <c r="A1967" s="85">
        <v>46042.0</v>
      </c>
      <c r="B1967" s="31" t="s">
        <v>5626</v>
      </c>
      <c r="C1967" s="31">
        <v>8.05011568138E11</v>
      </c>
      <c r="D1967" s="31" t="s">
        <v>5627</v>
      </c>
      <c r="E1967" s="31" t="s">
        <v>5628</v>
      </c>
      <c r="F1967" s="31" t="s">
        <v>5629</v>
      </c>
      <c r="G1967" s="31" t="s">
        <v>116</v>
      </c>
      <c r="H1967" s="31" t="s">
        <v>20</v>
      </c>
      <c r="I1967" s="31">
        <v>4600.0</v>
      </c>
      <c r="J1967" s="31">
        <v>3.884704097E9</v>
      </c>
      <c r="K1967" s="31" t="s">
        <v>670</v>
      </c>
      <c r="L1967" s="31" t="s">
        <v>3410</v>
      </c>
      <c r="M1967" s="33">
        <v>1.0</v>
      </c>
      <c r="N1967" s="34"/>
      <c r="O1967" s="31" t="s">
        <v>5630</v>
      </c>
    </row>
    <row r="1968" hidden="1">
      <c r="A1968" s="85">
        <v>46042.0</v>
      </c>
      <c r="B1968" s="31" t="s">
        <v>5626</v>
      </c>
      <c r="C1968" s="31">
        <v>8.05011568138E11</v>
      </c>
      <c r="D1968" s="31" t="s">
        <v>5627</v>
      </c>
      <c r="E1968" s="31" t="s">
        <v>5628</v>
      </c>
      <c r="F1968" s="31" t="s">
        <v>5629</v>
      </c>
      <c r="G1968" s="31" t="s">
        <v>116</v>
      </c>
      <c r="H1968" s="31" t="s">
        <v>20</v>
      </c>
      <c r="I1968" s="31">
        <v>4600.0</v>
      </c>
      <c r="J1968" s="31">
        <v>3.884704097E9</v>
      </c>
      <c r="K1968" s="31" t="s">
        <v>512</v>
      </c>
      <c r="L1968" s="31" t="s">
        <v>513</v>
      </c>
      <c r="M1968" s="33">
        <v>6.0</v>
      </c>
      <c r="N1968" s="34"/>
      <c r="O1968" s="31" t="s">
        <v>5630</v>
      </c>
    </row>
    <row r="1969" hidden="1">
      <c r="A1969" s="85">
        <v>46042.0</v>
      </c>
      <c r="B1969" s="31" t="s">
        <v>5626</v>
      </c>
      <c r="C1969" s="31">
        <v>8.05011568138E11</v>
      </c>
      <c r="D1969" s="31" t="s">
        <v>5627</v>
      </c>
      <c r="E1969" s="31" t="s">
        <v>5628</v>
      </c>
      <c r="F1969" s="31" t="s">
        <v>5629</v>
      </c>
      <c r="G1969" s="31" t="s">
        <v>116</v>
      </c>
      <c r="H1969" s="31" t="s">
        <v>20</v>
      </c>
      <c r="I1969" s="31">
        <v>4600.0</v>
      </c>
      <c r="J1969" s="31">
        <v>3.884704097E9</v>
      </c>
      <c r="K1969" s="31" t="s">
        <v>32</v>
      </c>
      <c r="L1969" s="31" t="s">
        <v>3225</v>
      </c>
      <c r="M1969" s="33">
        <v>1.0</v>
      </c>
      <c r="N1969" s="34"/>
      <c r="O1969" s="31" t="s">
        <v>5630</v>
      </c>
    </row>
    <row r="1970" hidden="1">
      <c r="A1970" s="85">
        <v>46042.0</v>
      </c>
      <c r="B1970" s="31" t="s">
        <v>5631</v>
      </c>
      <c r="C1970" s="31">
        <v>8.0702503457E11</v>
      </c>
      <c r="D1970" s="31" t="s">
        <v>5632</v>
      </c>
      <c r="E1970" s="31" t="s">
        <v>5633</v>
      </c>
      <c r="F1970" s="31" t="s">
        <v>5634</v>
      </c>
      <c r="G1970" s="31" t="s">
        <v>5635</v>
      </c>
      <c r="H1970" s="31" t="s">
        <v>20</v>
      </c>
      <c r="I1970" s="31">
        <v>4568.0</v>
      </c>
      <c r="J1970" s="31">
        <v>3.873572527E9</v>
      </c>
      <c r="K1970" s="31" t="s">
        <v>812</v>
      </c>
      <c r="L1970" s="31" t="s">
        <v>3564</v>
      </c>
      <c r="M1970" s="33">
        <v>1.0</v>
      </c>
      <c r="N1970" s="34"/>
      <c r="O1970" s="31" t="s">
        <v>5636</v>
      </c>
    </row>
    <row r="1971" hidden="1">
      <c r="A1971" s="85">
        <v>46042.0</v>
      </c>
      <c r="B1971" s="31" t="s">
        <v>5631</v>
      </c>
      <c r="C1971" s="31">
        <v>8.0702503457E11</v>
      </c>
      <c r="D1971" s="31" t="s">
        <v>5632</v>
      </c>
      <c r="E1971" s="31" t="s">
        <v>5633</v>
      </c>
      <c r="F1971" s="31" t="s">
        <v>5634</v>
      </c>
      <c r="G1971" s="31" t="s">
        <v>5635</v>
      </c>
      <c r="H1971" s="31" t="s">
        <v>20</v>
      </c>
      <c r="I1971" s="31">
        <v>4568.0</v>
      </c>
      <c r="J1971" s="31">
        <v>3.873572527E9</v>
      </c>
      <c r="K1971" s="31">
        <v>18.0</v>
      </c>
      <c r="L1971" s="31" t="s">
        <v>5637</v>
      </c>
      <c r="M1971" s="33">
        <v>1.0</v>
      </c>
      <c r="N1971" s="34"/>
      <c r="O1971" s="31" t="s">
        <v>5636</v>
      </c>
    </row>
    <row r="1972" hidden="1">
      <c r="A1972" s="85">
        <v>46042.0</v>
      </c>
      <c r="B1972" s="31" t="s">
        <v>5631</v>
      </c>
      <c r="C1972" s="31">
        <v>8.0702503457E11</v>
      </c>
      <c r="D1972" s="31" t="s">
        <v>5632</v>
      </c>
      <c r="E1972" s="31" t="s">
        <v>5633</v>
      </c>
      <c r="F1972" s="31" t="s">
        <v>5634</v>
      </c>
      <c r="G1972" s="31" t="s">
        <v>5635</v>
      </c>
      <c r="H1972" s="31" t="s">
        <v>20</v>
      </c>
      <c r="I1972" s="31">
        <v>4568.0</v>
      </c>
      <c r="J1972" s="31">
        <v>3.873572527E9</v>
      </c>
      <c r="K1972" s="31" t="s">
        <v>5638</v>
      </c>
      <c r="L1972" s="31" t="s">
        <v>5639</v>
      </c>
      <c r="M1972" s="33">
        <v>1.0</v>
      </c>
      <c r="N1972" s="34"/>
      <c r="O1972" s="31" t="s">
        <v>5636</v>
      </c>
    </row>
    <row r="1973" hidden="1">
      <c r="A1973" s="85">
        <v>46042.0</v>
      </c>
      <c r="B1973" s="31" t="s">
        <v>5640</v>
      </c>
      <c r="C1973" s="31">
        <v>8.07025034565E11</v>
      </c>
      <c r="D1973" s="31" t="s">
        <v>5641</v>
      </c>
      <c r="E1973" s="31" t="s">
        <v>5642</v>
      </c>
      <c r="F1973" s="31" t="s">
        <v>5643</v>
      </c>
      <c r="G1973" s="31" t="s">
        <v>127</v>
      </c>
      <c r="H1973" s="31" t="s">
        <v>20</v>
      </c>
      <c r="I1973" s="31">
        <v>4400.0</v>
      </c>
      <c r="J1973" s="31">
        <v>3.874127745E9</v>
      </c>
      <c r="K1973" s="31" t="s">
        <v>2956</v>
      </c>
      <c r="L1973" s="31" t="s">
        <v>3327</v>
      </c>
      <c r="M1973" s="33">
        <v>1.0</v>
      </c>
      <c r="N1973" s="34"/>
      <c r="O1973" s="31" t="s">
        <v>292</v>
      </c>
    </row>
    <row r="1974" hidden="1">
      <c r="A1974" s="85">
        <v>46042.0</v>
      </c>
      <c r="B1974" s="31" t="s">
        <v>5640</v>
      </c>
      <c r="C1974" s="31">
        <v>8.07025034565E11</v>
      </c>
      <c r="D1974" s="31" t="s">
        <v>5641</v>
      </c>
      <c r="E1974" s="31" t="s">
        <v>5642</v>
      </c>
      <c r="F1974" s="31" t="s">
        <v>5643</v>
      </c>
      <c r="G1974" s="31" t="s">
        <v>127</v>
      </c>
      <c r="H1974" s="31" t="s">
        <v>20</v>
      </c>
      <c r="I1974" s="31">
        <v>4400.0</v>
      </c>
      <c r="J1974" s="31">
        <v>3.874127745E9</v>
      </c>
      <c r="K1974" s="31" t="s">
        <v>512</v>
      </c>
      <c r="L1974" s="31" t="s">
        <v>513</v>
      </c>
      <c r="M1974" s="33">
        <v>6.0</v>
      </c>
      <c r="N1974" s="34"/>
      <c r="O1974" s="31" t="s">
        <v>292</v>
      </c>
    </row>
    <row r="1975" hidden="1">
      <c r="A1975" s="85">
        <v>46042.0</v>
      </c>
      <c r="B1975" s="31" t="s">
        <v>5640</v>
      </c>
      <c r="C1975" s="31">
        <v>8.07025034565E11</v>
      </c>
      <c r="D1975" s="31" t="s">
        <v>5641</v>
      </c>
      <c r="E1975" s="31" t="s">
        <v>5642</v>
      </c>
      <c r="F1975" s="31" t="s">
        <v>5643</v>
      </c>
      <c r="G1975" s="31" t="s">
        <v>127</v>
      </c>
      <c r="H1975" s="31" t="s">
        <v>20</v>
      </c>
      <c r="I1975" s="31">
        <v>4400.0</v>
      </c>
      <c r="J1975" s="31">
        <v>3.874127745E9</v>
      </c>
      <c r="K1975" s="31">
        <v>14.0</v>
      </c>
      <c r="L1975" s="31" t="s">
        <v>2819</v>
      </c>
      <c r="M1975" s="33">
        <v>1.0</v>
      </c>
      <c r="N1975" s="34"/>
      <c r="O1975" s="31" t="s">
        <v>292</v>
      </c>
    </row>
    <row r="1976" hidden="1">
      <c r="A1976" s="85">
        <v>46042.0</v>
      </c>
      <c r="B1976" s="31" t="s">
        <v>5640</v>
      </c>
      <c r="C1976" s="31">
        <v>8.07025034565E11</v>
      </c>
      <c r="D1976" s="31" t="s">
        <v>5641</v>
      </c>
      <c r="E1976" s="31" t="s">
        <v>5642</v>
      </c>
      <c r="F1976" s="31" t="s">
        <v>5643</v>
      </c>
      <c r="G1976" s="31" t="s">
        <v>127</v>
      </c>
      <c r="H1976" s="31" t="s">
        <v>20</v>
      </c>
      <c r="I1976" s="31">
        <v>4400.0</v>
      </c>
      <c r="J1976" s="31">
        <v>3.874127745E9</v>
      </c>
      <c r="K1976" s="31" t="s">
        <v>670</v>
      </c>
      <c r="L1976" s="31" t="s">
        <v>3410</v>
      </c>
      <c r="M1976" s="33">
        <v>1.0</v>
      </c>
      <c r="N1976" s="34"/>
      <c r="O1976" s="31" t="s">
        <v>292</v>
      </c>
    </row>
    <row r="1977" hidden="1">
      <c r="A1977" s="85">
        <v>46042.0</v>
      </c>
      <c r="B1977" s="31" t="s">
        <v>5644</v>
      </c>
      <c r="C1977" s="31">
        <v>8.05011567468E11</v>
      </c>
      <c r="D1977" s="31" t="s">
        <v>5645</v>
      </c>
      <c r="E1977" s="31" t="s">
        <v>5646</v>
      </c>
      <c r="F1977" s="31" t="s">
        <v>5647</v>
      </c>
      <c r="G1977" s="31" t="s">
        <v>20</v>
      </c>
      <c r="H1977" s="31" t="s">
        <v>20</v>
      </c>
      <c r="I1977" s="31">
        <v>4400.0</v>
      </c>
      <c r="J1977" s="31">
        <v>3.875961962E9</v>
      </c>
      <c r="K1977" s="31" t="s">
        <v>5551</v>
      </c>
      <c r="L1977" s="31" t="s">
        <v>5552</v>
      </c>
      <c r="M1977" s="33">
        <v>1.0</v>
      </c>
      <c r="N1977" s="34"/>
      <c r="O1977" s="34"/>
    </row>
    <row r="1978" hidden="1">
      <c r="A1978" s="85">
        <v>46042.0</v>
      </c>
      <c r="B1978" s="31" t="s">
        <v>5644</v>
      </c>
      <c r="C1978" s="31">
        <v>8.05011567468E11</v>
      </c>
      <c r="D1978" s="31" t="s">
        <v>5645</v>
      </c>
      <c r="E1978" s="31" t="s">
        <v>5646</v>
      </c>
      <c r="F1978" s="31" t="s">
        <v>5647</v>
      </c>
      <c r="G1978" s="31" t="s">
        <v>20</v>
      </c>
      <c r="H1978" s="31" t="s">
        <v>20</v>
      </c>
      <c r="I1978" s="31">
        <v>4400.0</v>
      </c>
      <c r="J1978" s="31">
        <v>3.875961962E9</v>
      </c>
      <c r="K1978" s="31" t="s">
        <v>25</v>
      </c>
      <c r="L1978" s="31" t="s">
        <v>3401</v>
      </c>
      <c r="M1978" s="33">
        <v>1.0</v>
      </c>
      <c r="N1978" s="34"/>
      <c r="O1978" s="34"/>
    </row>
    <row r="1979" hidden="1">
      <c r="A1979" s="85">
        <v>46042.0</v>
      </c>
      <c r="B1979" s="31" t="s">
        <v>5648</v>
      </c>
      <c r="C1979" s="31">
        <v>8.07025034608E11</v>
      </c>
      <c r="D1979" s="31" t="s">
        <v>5649</v>
      </c>
      <c r="E1979" s="31" t="s">
        <v>5650</v>
      </c>
      <c r="F1979" s="31" t="s">
        <v>5651</v>
      </c>
      <c r="G1979" s="31" t="s">
        <v>3047</v>
      </c>
      <c r="H1979" s="31" t="s">
        <v>20</v>
      </c>
      <c r="I1979" s="31">
        <v>4400.0</v>
      </c>
      <c r="J1979" s="31">
        <v>3.874484756E9</v>
      </c>
      <c r="K1979" s="31" t="s">
        <v>3131</v>
      </c>
      <c r="L1979" s="31" t="s">
        <v>3416</v>
      </c>
      <c r="M1979" s="33">
        <v>2.0</v>
      </c>
      <c r="N1979" s="34"/>
      <c r="O1979" s="34"/>
    </row>
    <row r="1980" hidden="1">
      <c r="A1980" s="85">
        <v>46042.0</v>
      </c>
      <c r="B1980" s="31" t="s">
        <v>5648</v>
      </c>
      <c r="C1980" s="31">
        <v>8.07025034608E11</v>
      </c>
      <c r="D1980" s="31" t="s">
        <v>5649</v>
      </c>
      <c r="E1980" s="31" t="s">
        <v>5650</v>
      </c>
      <c r="F1980" s="31" t="s">
        <v>5651</v>
      </c>
      <c r="G1980" s="31" t="s">
        <v>3047</v>
      </c>
      <c r="H1980" s="31" t="s">
        <v>20</v>
      </c>
      <c r="I1980" s="31">
        <v>4400.0</v>
      </c>
      <c r="J1980" s="31">
        <v>3.874484756E9</v>
      </c>
      <c r="K1980" s="31" t="s">
        <v>35</v>
      </c>
      <c r="L1980" s="31" t="s">
        <v>3188</v>
      </c>
      <c r="M1980" s="33">
        <v>2.0</v>
      </c>
      <c r="N1980" s="34"/>
      <c r="O1980" s="34"/>
    </row>
    <row r="1981" hidden="1">
      <c r="A1981" s="85">
        <v>46042.0</v>
      </c>
      <c r="B1981" s="31" t="s">
        <v>5652</v>
      </c>
      <c r="C1981" s="31">
        <v>8.07025034607E11</v>
      </c>
      <c r="D1981" s="31" t="s">
        <v>5649</v>
      </c>
      <c r="E1981" s="31" t="s">
        <v>5650</v>
      </c>
      <c r="F1981" s="31" t="s">
        <v>5651</v>
      </c>
      <c r="G1981" s="31" t="s">
        <v>3047</v>
      </c>
      <c r="H1981" s="31" t="s">
        <v>20</v>
      </c>
      <c r="I1981" s="31">
        <v>4400.0</v>
      </c>
      <c r="J1981" s="31">
        <v>3.874484756E9</v>
      </c>
      <c r="K1981" s="31" t="s">
        <v>512</v>
      </c>
      <c r="L1981" s="31" t="s">
        <v>513</v>
      </c>
      <c r="M1981" s="33">
        <v>12.0</v>
      </c>
      <c r="N1981" s="34"/>
      <c r="O1981" s="34"/>
    </row>
    <row r="1982" hidden="1">
      <c r="A1982" s="85">
        <v>46042.0</v>
      </c>
      <c r="B1982" s="31" t="s">
        <v>5652</v>
      </c>
      <c r="C1982" s="31">
        <v>8.07025034607E11</v>
      </c>
      <c r="D1982" s="31" t="s">
        <v>5649</v>
      </c>
      <c r="E1982" s="31" t="s">
        <v>5650</v>
      </c>
      <c r="F1982" s="31" t="s">
        <v>5651</v>
      </c>
      <c r="G1982" s="31" t="s">
        <v>3047</v>
      </c>
      <c r="H1982" s="31" t="s">
        <v>20</v>
      </c>
      <c r="I1982" s="31">
        <v>4400.0</v>
      </c>
      <c r="J1982" s="31">
        <v>3.874484756E9</v>
      </c>
      <c r="K1982" s="31">
        <v>14.0</v>
      </c>
      <c r="L1982" s="31" t="s">
        <v>2819</v>
      </c>
      <c r="M1982" s="33">
        <v>2.0</v>
      </c>
      <c r="N1982" s="34"/>
      <c r="O1982" s="34"/>
    </row>
    <row r="1983" hidden="1">
      <c r="A1983" s="85">
        <v>46042.0</v>
      </c>
      <c r="B1983" s="31" t="s">
        <v>5653</v>
      </c>
      <c r="C1983" s="31">
        <v>8.05011568445E11</v>
      </c>
      <c r="D1983" s="31" t="s">
        <v>5654</v>
      </c>
      <c r="E1983" s="31" t="s">
        <v>5655</v>
      </c>
      <c r="F1983" s="31" t="s">
        <v>5656</v>
      </c>
      <c r="G1983" s="31" t="s">
        <v>582</v>
      </c>
      <c r="H1983" s="31" t="s">
        <v>20</v>
      </c>
      <c r="I1983" s="31">
        <v>4407.0</v>
      </c>
      <c r="J1983" s="31">
        <v>3.876186376E9</v>
      </c>
      <c r="K1983" s="31">
        <v>14.0</v>
      </c>
      <c r="L1983" s="31" t="s">
        <v>2819</v>
      </c>
      <c r="M1983" s="33">
        <v>1.0</v>
      </c>
      <c r="N1983" s="34"/>
      <c r="O1983" s="31" t="s">
        <v>5657</v>
      </c>
    </row>
    <row r="1984" hidden="1">
      <c r="A1984" s="85">
        <v>46042.0</v>
      </c>
      <c r="B1984" s="31" t="s">
        <v>5653</v>
      </c>
      <c r="C1984" s="31">
        <v>8.05011568445E11</v>
      </c>
      <c r="D1984" s="31" t="s">
        <v>5654</v>
      </c>
      <c r="E1984" s="31" t="s">
        <v>5655</v>
      </c>
      <c r="F1984" s="31" t="s">
        <v>5656</v>
      </c>
      <c r="G1984" s="31" t="s">
        <v>582</v>
      </c>
      <c r="H1984" s="31" t="s">
        <v>20</v>
      </c>
      <c r="I1984" s="31">
        <v>4407.0</v>
      </c>
      <c r="J1984" s="31">
        <v>3.876186376E9</v>
      </c>
      <c r="K1984" s="31" t="s">
        <v>5658</v>
      </c>
      <c r="L1984" s="31" t="s">
        <v>5659</v>
      </c>
      <c r="M1984" s="33">
        <v>1.0</v>
      </c>
      <c r="N1984" s="34"/>
      <c r="O1984" s="31" t="s">
        <v>5657</v>
      </c>
    </row>
    <row r="1985" hidden="1">
      <c r="A1985" s="85">
        <v>46042.0</v>
      </c>
      <c r="B1985" s="31" t="s">
        <v>5653</v>
      </c>
      <c r="C1985" s="31">
        <v>8.05011568445E11</v>
      </c>
      <c r="D1985" s="31" t="s">
        <v>5654</v>
      </c>
      <c r="E1985" s="31" t="s">
        <v>5655</v>
      </c>
      <c r="F1985" s="31" t="s">
        <v>5656</v>
      </c>
      <c r="G1985" s="31" t="s">
        <v>582</v>
      </c>
      <c r="H1985" s="31" t="s">
        <v>20</v>
      </c>
      <c r="I1985" s="31">
        <v>4407.0</v>
      </c>
      <c r="J1985" s="31">
        <v>3.876186376E9</v>
      </c>
      <c r="K1985" s="31" t="s">
        <v>512</v>
      </c>
      <c r="L1985" s="31" t="s">
        <v>513</v>
      </c>
      <c r="M1985" s="33">
        <v>12.0</v>
      </c>
      <c r="N1985" s="34"/>
      <c r="O1985" s="31" t="s">
        <v>5657</v>
      </c>
    </row>
    <row r="1986" hidden="1">
      <c r="A1986" s="85">
        <v>46042.0</v>
      </c>
      <c r="B1986" s="31" t="s">
        <v>5653</v>
      </c>
      <c r="C1986" s="31">
        <v>8.05011568445E11</v>
      </c>
      <c r="D1986" s="31" t="s">
        <v>5654</v>
      </c>
      <c r="E1986" s="31" t="s">
        <v>5655</v>
      </c>
      <c r="F1986" s="31" t="s">
        <v>5656</v>
      </c>
      <c r="G1986" s="31" t="s">
        <v>582</v>
      </c>
      <c r="H1986" s="31" t="s">
        <v>20</v>
      </c>
      <c r="I1986" s="31">
        <v>4407.0</v>
      </c>
      <c r="J1986" s="31">
        <v>3.876186376E9</v>
      </c>
      <c r="K1986" s="31" t="s">
        <v>233</v>
      </c>
      <c r="L1986" s="31" t="s">
        <v>3459</v>
      </c>
      <c r="M1986" s="33">
        <v>2.0</v>
      </c>
      <c r="N1986" s="34"/>
      <c r="O1986" s="31" t="s">
        <v>5657</v>
      </c>
    </row>
    <row r="1987" hidden="1">
      <c r="A1987" s="85">
        <v>46042.0</v>
      </c>
      <c r="B1987" s="31" t="s">
        <v>5660</v>
      </c>
      <c r="C1987" s="31">
        <v>8.0702503465E11</v>
      </c>
      <c r="D1987" s="31" t="s">
        <v>5661</v>
      </c>
      <c r="E1987" s="31" t="s">
        <v>5662</v>
      </c>
      <c r="F1987" s="31" t="s">
        <v>5663</v>
      </c>
      <c r="G1987" s="31" t="s">
        <v>127</v>
      </c>
      <c r="H1987" s="31" t="s">
        <v>20</v>
      </c>
      <c r="I1987" s="31">
        <v>4400.0</v>
      </c>
      <c r="J1987" s="31">
        <v>3.875733888E9</v>
      </c>
      <c r="K1987" s="31" t="s">
        <v>3376</v>
      </c>
      <c r="L1987" s="31" t="s">
        <v>3377</v>
      </c>
      <c r="M1987" s="33">
        <v>1.0</v>
      </c>
      <c r="N1987" s="34"/>
      <c r="O1987" s="31" t="s">
        <v>5664</v>
      </c>
    </row>
    <row r="1988" hidden="1">
      <c r="A1988" s="85">
        <v>46042.0</v>
      </c>
      <c r="B1988" s="31" t="s">
        <v>5665</v>
      </c>
      <c r="C1988" s="31">
        <v>8.07025034652E11</v>
      </c>
      <c r="D1988" s="31" t="s">
        <v>5666</v>
      </c>
      <c r="E1988" s="31" t="s">
        <v>5667</v>
      </c>
      <c r="F1988" s="31" t="s">
        <v>5668</v>
      </c>
      <c r="G1988" s="31" t="s">
        <v>127</v>
      </c>
      <c r="H1988" s="31" t="s">
        <v>20</v>
      </c>
      <c r="I1988" s="31">
        <v>4400.0</v>
      </c>
      <c r="J1988" s="31">
        <v>3.874077811E9</v>
      </c>
      <c r="K1988" s="31" t="s">
        <v>280</v>
      </c>
      <c r="L1988" s="31" t="s">
        <v>5669</v>
      </c>
      <c r="M1988" s="33">
        <v>1.0</v>
      </c>
      <c r="N1988" s="34"/>
      <c r="O1988" s="31" t="s">
        <v>5670</v>
      </c>
    </row>
    <row r="1989" ht="9.75" hidden="1" customHeight="1">
      <c r="A1989" s="87"/>
      <c r="B1989" s="88"/>
      <c r="C1989" s="88"/>
      <c r="D1989" s="88"/>
      <c r="E1989" s="88"/>
      <c r="F1989" s="88"/>
      <c r="G1989" s="88"/>
      <c r="H1989" s="88"/>
      <c r="I1989" s="88"/>
      <c r="J1989" s="88"/>
      <c r="K1989" s="88"/>
      <c r="L1989" s="88"/>
      <c r="M1989" s="89"/>
      <c r="N1989" s="90"/>
      <c r="O1989" s="90"/>
    </row>
    <row r="1990" hidden="1">
      <c r="A1990" s="85">
        <v>46049.0</v>
      </c>
      <c r="B1990" s="31" t="s">
        <v>5671</v>
      </c>
      <c r="C1990" s="31">
        <v>8.0501156875E11</v>
      </c>
      <c r="D1990" s="31" t="s">
        <v>5672</v>
      </c>
      <c r="E1990" s="31" t="s">
        <v>5673</v>
      </c>
      <c r="F1990" s="31" t="s">
        <v>5674</v>
      </c>
      <c r="G1990" s="31" t="s">
        <v>1387</v>
      </c>
      <c r="H1990" s="31" t="s">
        <v>20</v>
      </c>
      <c r="I1990" s="31">
        <v>4430.0</v>
      </c>
      <c r="J1990" s="31">
        <v>3.87306158E9</v>
      </c>
      <c r="K1990" s="31" t="s">
        <v>5551</v>
      </c>
      <c r="L1990" s="31" t="s">
        <v>5552</v>
      </c>
      <c r="M1990" s="33">
        <v>1.0</v>
      </c>
      <c r="N1990" s="34"/>
      <c r="O1990" s="31" t="s">
        <v>5675</v>
      </c>
    </row>
    <row r="1991" hidden="1">
      <c r="A1991" s="85">
        <v>46049.0</v>
      </c>
      <c r="B1991" s="31" t="s">
        <v>5676</v>
      </c>
      <c r="C1991" s="31">
        <v>8.07025034666E11</v>
      </c>
      <c r="D1991" s="31" t="s">
        <v>5677</v>
      </c>
      <c r="E1991" s="31" t="s">
        <v>5678</v>
      </c>
      <c r="F1991" s="31" t="s">
        <v>5679</v>
      </c>
      <c r="G1991" s="31" t="s">
        <v>5680</v>
      </c>
      <c r="H1991" s="31" t="s">
        <v>20</v>
      </c>
      <c r="I1991" s="31">
        <v>4400.0</v>
      </c>
      <c r="J1991" s="31">
        <v>3.874470351E9</v>
      </c>
      <c r="K1991" s="31" t="s">
        <v>512</v>
      </c>
      <c r="L1991" s="31" t="s">
        <v>513</v>
      </c>
      <c r="M1991" s="33">
        <v>12.0</v>
      </c>
      <c r="N1991" s="34"/>
      <c r="O1991" s="34"/>
    </row>
    <row r="1992" hidden="1">
      <c r="A1992" s="85">
        <v>46049.0</v>
      </c>
      <c r="B1992" s="31" t="s">
        <v>5681</v>
      </c>
      <c r="C1992" s="31">
        <v>8.07025034667E11</v>
      </c>
      <c r="D1992" s="31" t="s">
        <v>5677</v>
      </c>
      <c r="E1992" s="31" t="s">
        <v>5678</v>
      </c>
      <c r="F1992" s="31" t="s">
        <v>5679</v>
      </c>
      <c r="G1992" s="31" t="s">
        <v>5680</v>
      </c>
      <c r="H1992" s="31" t="s">
        <v>20</v>
      </c>
      <c r="I1992" s="31">
        <v>4400.0</v>
      </c>
      <c r="J1992" s="31">
        <v>3.874470351E9</v>
      </c>
      <c r="K1992" s="31" t="s">
        <v>3817</v>
      </c>
      <c r="L1992" s="31" t="s">
        <v>3818</v>
      </c>
      <c r="M1992" s="33">
        <v>1.0</v>
      </c>
      <c r="N1992" s="34"/>
      <c r="O1992" s="34"/>
    </row>
    <row r="1993" hidden="1">
      <c r="A1993" s="85">
        <v>46049.0</v>
      </c>
      <c r="B1993" s="31" t="s">
        <v>5681</v>
      </c>
      <c r="C1993" s="31">
        <v>8.07025034667E11</v>
      </c>
      <c r="D1993" s="31" t="s">
        <v>5677</v>
      </c>
      <c r="E1993" s="31" t="s">
        <v>5678</v>
      </c>
      <c r="F1993" s="31" t="s">
        <v>5679</v>
      </c>
      <c r="G1993" s="31" t="s">
        <v>5680</v>
      </c>
      <c r="H1993" s="31" t="s">
        <v>20</v>
      </c>
      <c r="I1993" s="31">
        <v>4400.0</v>
      </c>
      <c r="J1993" s="31">
        <v>3.874470351E9</v>
      </c>
      <c r="K1993" s="31" t="s">
        <v>340</v>
      </c>
      <c r="L1993" s="31" t="s">
        <v>3486</v>
      </c>
      <c r="M1993" s="33">
        <v>2.0</v>
      </c>
      <c r="N1993" s="34"/>
      <c r="O1993" s="34"/>
    </row>
    <row r="1994" hidden="1">
      <c r="A1994" s="85">
        <v>46049.0</v>
      </c>
      <c r="B1994" s="31" t="s">
        <v>5682</v>
      </c>
      <c r="C1994" s="31">
        <v>8.07025034693E11</v>
      </c>
      <c r="D1994" s="31" t="s">
        <v>5683</v>
      </c>
      <c r="E1994" s="31" t="s">
        <v>5684</v>
      </c>
      <c r="F1994" s="31" t="s">
        <v>126</v>
      </c>
      <c r="G1994" s="31" t="s">
        <v>127</v>
      </c>
      <c r="H1994" s="31" t="s">
        <v>20</v>
      </c>
      <c r="I1994" s="31">
        <v>4400.0</v>
      </c>
      <c r="J1994" s="31">
        <v>3.874562774E9</v>
      </c>
      <c r="K1994" s="31" t="s">
        <v>4899</v>
      </c>
      <c r="L1994" s="31" t="s">
        <v>4900</v>
      </c>
      <c r="M1994" s="33">
        <v>1.0</v>
      </c>
      <c r="N1994" s="34"/>
      <c r="O1994" s="34"/>
    </row>
    <row r="1995" hidden="1">
      <c r="A1995" s="85">
        <v>46049.0</v>
      </c>
      <c r="B1995" s="31" t="s">
        <v>5685</v>
      </c>
      <c r="C1995" s="31">
        <v>8.07025034705E11</v>
      </c>
      <c r="D1995" s="31" t="s">
        <v>5686</v>
      </c>
      <c r="E1995" s="31" t="s">
        <v>5687</v>
      </c>
      <c r="F1995" s="31" t="s">
        <v>5688</v>
      </c>
      <c r="G1995" s="31" t="s">
        <v>127</v>
      </c>
      <c r="H1995" s="31" t="s">
        <v>20</v>
      </c>
      <c r="I1995" s="31">
        <v>4400.0</v>
      </c>
      <c r="J1995" s="31">
        <v>3.874046007E9</v>
      </c>
      <c r="K1995" s="31" t="s">
        <v>541</v>
      </c>
      <c r="L1995" s="31" t="s">
        <v>3947</v>
      </c>
      <c r="M1995" s="33">
        <v>2.0</v>
      </c>
      <c r="N1995" s="34"/>
      <c r="O1995" s="31" t="s">
        <v>5689</v>
      </c>
    </row>
    <row r="1996" hidden="1">
      <c r="A1996" s="85">
        <v>46049.0</v>
      </c>
      <c r="B1996" s="31" t="s">
        <v>5690</v>
      </c>
      <c r="C1996" s="31">
        <v>8.0702503471E11</v>
      </c>
      <c r="D1996" s="31" t="s">
        <v>5691</v>
      </c>
      <c r="E1996" s="31" t="s">
        <v>5692</v>
      </c>
      <c r="F1996" s="31" t="s">
        <v>5693</v>
      </c>
      <c r="G1996" s="31" t="s">
        <v>127</v>
      </c>
      <c r="H1996" s="31" t="s">
        <v>20</v>
      </c>
      <c r="I1996" s="31">
        <v>4400.0</v>
      </c>
      <c r="J1996" s="31">
        <v>3.87457802E9</v>
      </c>
      <c r="K1996" s="31" t="s">
        <v>2419</v>
      </c>
      <c r="L1996" s="31" t="s">
        <v>5694</v>
      </c>
      <c r="M1996" s="33">
        <v>1.0</v>
      </c>
      <c r="N1996" s="34"/>
      <c r="O1996" s="34"/>
    </row>
    <row r="1997" hidden="1">
      <c r="A1997" s="85">
        <v>46049.0</v>
      </c>
      <c r="B1997" s="31" t="s">
        <v>5695</v>
      </c>
      <c r="C1997" s="31">
        <v>8.07025034739E11</v>
      </c>
      <c r="D1997" s="31" t="s">
        <v>5696</v>
      </c>
      <c r="E1997" s="31" t="s">
        <v>5697</v>
      </c>
      <c r="F1997" s="31" t="s">
        <v>5698</v>
      </c>
      <c r="G1997" s="31" t="s">
        <v>2907</v>
      </c>
      <c r="H1997" s="31" t="s">
        <v>20</v>
      </c>
      <c r="I1997" s="31">
        <v>4400.0</v>
      </c>
      <c r="J1997" s="31">
        <v>3.874432518E9</v>
      </c>
      <c r="K1997" s="31" t="s">
        <v>3131</v>
      </c>
      <c r="L1997" s="31" t="s">
        <v>3416</v>
      </c>
      <c r="M1997" s="33">
        <v>3.0</v>
      </c>
      <c r="N1997" s="34"/>
      <c r="O1997" s="34"/>
    </row>
    <row r="1998" hidden="1">
      <c r="A1998" s="85">
        <v>46049.0</v>
      </c>
      <c r="B1998" s="31" t="s">
        <v>5699</v>
      </c>
      <c r="C1998" s="31">
        <v>8.07025034756E11</v>
      </c>
      <c r="D1998" s="31" t="s">
        <v>5700</v>
      </c>
      <c r="E1998" s="31" t="s">
        <v>5701</v>
      </c>
      <c r="F1998" s="31" t="s">
        <v>5702</v>
      </c>
      <c r="G1998" s="31" t="s">
        <v>127</v>
      </c>
      <c r="H1998" s="31" t="s">
        <v>20</v>
      </c>
      <c r="I1998" s="31">
        <v>4400.0</v>
      </c>
      <c r="J1998" s="31">
        <v>3.874523849E9</v>
      </c>
      <c r="K1998" s="31">
        <v>125813.0</v>
      </c>
      <c r="L1998" s="31" t="s">
        <v>5703</v>
      </c>
      <c r="M1998" s="33">
        <v>4.0</v>
      </c>
      <c r="N1998" s="34"/>
      <c r="O1998" s="31" t="s">
        <v>5704</v>
      </c>
    </row>
    <row r="1999" hidden="1">
      <c r="A1999" s="85">
        <v>46049.0</v>
      </c>
      <c r="B1999" s="31" t="s">
        <v>5699</v>
      </c>
      <c r="C1999" s="31">
        <v>8.07025034756E11</v>
      </c>
      <c r="D1999" s="31" t="s">
        <v>5700</v>
      </c>
      <c r="E1999" s="31" t="s">
        <v>5701</v>
      </c>
      <c r="F1999" s="31" t="s">
        <v>5702</v>
      </c>
      <c r="G1999" s="31" t="s">
        <v>127</v>
      </c>
      <c r="H1999" s="31" t="s">
        <v>20</v>
      </c>
      <c r="I1999" s="31">
        <v>4400.0</v>
      </c>
      <c r="J1999" s="31">
        <v>3.874523849E9</v>
      </c>
      <c r="K1999" s="31" t="s">
        <v>78</v>
      </c>
      <c r="L1999" s="31" t="s">
        <v>5705</v>
      </c>
      <c r="M1999" s="33">
        <v>2.0</v>
      </c>
      <c r="N1999" s="34"/>
      <c r="O1999" s="31" t="s">
        <v>5704</v>
      </c>
    </row>
    <row r="2000" hidden="1">
      <c r="A2000" s="85">
        <v>46049.0</v>
      </c>
      <c r="B2000" s="31" t="s">
        <v>5706</v>
      </c>
      <c r="C2000" s="31">
        <v>8.05011569159E11</v>
      </c>
      <c r="D2000" s="31" t="s">
        <v>5707</v>
      </c>
      <c r="E2000" s="31" t="s">
        <v>5708</v>
      </c>
      <c r="F2000" s="31" t="s">
        <v>5709</v>
      </c>
      <c r="G2000" s="31" t="s">
        <v>5710</v>
      </c>
      <c r="H2000" s="31" t="s">
        <v>20</v>
      </c>
      <c r="I2000" s="31">
        <v>4190.0</v>
      </c>
      <c r="J2000" s="31">
        <v>3.876435644E9</v>
      </c>
      <c r="K2000" s="31" t="s">
        <v>98</v>
      </c>
      <c r="L2000" s="31" t="s">
        <v>3187</v>
      </c>
      <c r="M2000" s="33">
        <v>2.0</v>
      </c>
      <c r="N2000" s="34"/>
      <c r="O2000" s="34"/>
    </row>
    <row r="2001" hidden="1">
      <c r="A2001" s="85">
        <v>46049.0</v>
      </c>
      <c r="B2001" s="31" t="s">
        <v>5706</v>
      </c>
      <c r="C2001" s="31">
        <v>8.05011569159E11</v>
      </c>
      <c r="D2001" s="31" t="s">
        <v>5707</v>
      </c>
      <c r="E2001" s="31" t="s">
        <v>5708</v>
      </c>
      <c r="F2001" s="31" t="s">
        <v>5709</v>
      </c>
      <c r="G2001" s="31" t="s">
        <v>5710</v>
      </c>
      <c r="H2001" s="31" t="s">
        <v>20</v>
      </c>
      <c r="I2001" s="31">
        <v>4190.0</v>
      </c>
      <c r="J2001" s="31">
        <v>3.876435644E9</v>
      </c>
      <c r="K2001" s="31" t="s">
        <v>512</v>
      </c>
      <c r="L2001" s="31" t="s">
        <v>513</v>
      </c>
      <c r="M2001" s="33">
        <v>12.0</v>
      </c>
      <c r="N2001" s="34"/>
      <c r="O2001" s="34"/>
    </row>
    <row r="2002" hidden="1">
      <c r="A2002" s="85">
        <v>46049.0</v>
      </c>
      <c r="B2002" s="31" t="s">
        <v>5706</v>
      </c>
      <c r="C2002" s="31">
        <v>8.05011569159E11</v>
      </c>
      <c r="D2002" s="31" t="s">
        <v>5707</v>
      </c>
      <c r="E2002" s="31" t="s">
        <v>5708</v>
      </c>
      <c r="F2002" s="31" t="s">
        <v>5709</v>
      </c>
      <c r="G2002" s="31" t="s">
        <v>5710</v>
      </c>
      <c r="H2002" s="31" t="s">
        <v>20</v>
      </c>
      <c r="I2002" s="31">
        <v>4190.0</v>
      </c>
      <c r="J2002" s="31">
        <v>3.876435644E9</v>
      </c>
      <c r="K2002" s="31" t="s">
        <v>670</v>
      </c>
      <c r="L2002" s="31" t="s">
        <v>3410</v>
      </c>
      <c r="M2002" s="33">
        <v>2.0</v>
      </c>
      <c r="N2002" s="34"/>
      <c r="O2002" s="34"/>
    </row>
    <row r="2003" hidden="1">
      <c r="A2003" s="85">
        <v>46049.0</v>
      </c>
      <c r="B2003" s="31" t="s">
        <v>5711</v>
      </c>
      <c r="C2003" s="31">
        <v>8.05011569374E11</v>
      </c>
      <c r="D2003" s="31" t="s">
        <v>5712</v>
      </c>
      <c r="E2003" s="31" t="s">
        <v>5713</v>
      </c>
      <c r="F2003" s="31" t="s">
        <v>5714</v>
      </c>
      <c r="G2003" s="31" t="s">
        <v>539</v>
      </c>
      <c r="H2003" s="31" t="s">
        <v>20</v>
      </c>
      <c r="I2003" s="31">
        <v>4405.0</v>
      </c>
      <c r="J2003" s="31">
        <v>1.131337475E9</v>
      </c>
      <c r="K2003" s="31" t="s">
        <v>761</v>
      </c>
      <c r="L2003" s="31" t="s">
        <v>3761</v>
      </c>
      <c r="M2003" s="33">
        <v>2.0</v>
      </c>
      <c r="N2003" s="34"/>
      <c r="O2003" s="34"/>
    </row>
    <row r="2004" hidden="1">
      <c r="A2004" s="85">
        <v>46049.0</v>
      </c>
      <c r="B2004" s="31" t="s">
        <v>5711</v>
      </c>
      <c r="C2004" s="31">
        <v>8.05011569374E11</v>
      </c>
      <c r="D2004" s="31" t="s">
        <v>5712</v>
      </c>
      <c r="E2004" s="31" t="s">
        <v>5713</v>
      </c>
      <c r="F2004" s="31" t="s">
        <v>5714</v>
      </c>
      <c r="G2004" s="31" t="s">
        <v>539</v>
      </c>
      <c r="H2004" s="31" t="s">
        <v>20</v>
      </c>
      <c r="I2004" s="31">
        <v>4405.0</v>
      </c>
      <c r="J2004" s="31">
        <v>1.131337475E9</v>
      </c>
      <c r="K2004" s="31" t="s">
        <v>512</v>
      </c>
      <c r="L2004" s="31" t="s">
        <v>513</v>
      </c>
      <c r="M2004" s="33">
        <v>24.0</v>
      </c>
      <c r="N2004" s="34"/>
      <c r="O2004" s="34"/>
    </row>
    <row r="2005" hidden="1">
      <c r="A2005" s="85">
        <v>46049.0</v>
      </c>
      <c r="B2005" s="31" t="s">
        <v>5711</v>
      </c>
      <c r="C2005" s="31">
        <v>8.05011569374E11</v>
      </c>
      <c r="D2005" s="31" t="s">
        <v>5712</v>
      </c>
      <c r="E2005" s="31" t="s">
        <v>5713</v>
      </c>
      <c r="F2005" s="31" t="s">
        <v>5714</v>
      </c>
      <c r="G2005" s="31" t="s">
        <v>539</v>
      </c>
      <c r="H2005" s="31" t="s">
        <v>20</v>
      </c>
      <c r="I2005" s="31">
        <v>4405.0</v>
      </c>
      <c r="J2005" s="31">
        <v>1.131337475E9</v>
      </c>
      <c r="K2005" s="31" t="s">
        <v>340</v>
      </c>
      <c r="L2005" s="31" t="s">
        <v>3486</v>
      </c>
      <c r="M2005" s="33">
        <v>4.0</v>
      </c>
      <c r="N2005" s="34"/>
      <c r="O2005" s="34"/>
    </row>
    <row r="2006" hidden="1">
      <c r="A2006" s="85">
        <v>46049.0</v>
      </c>
      <c r="B2006" s="31" t="s">
        <v>5715</v>
      </c>
      <c r="C2006" s="31">
        <v>8.0501156937E11</v>
      </c>
      <c r="D2006" s="31" t="s">
        <v>5716</v>
      </c>
      <c r="E2006" s="31" t="s">
        <v>5717</v>
      </c>
      <c r="F2006" s="31" t="s">
        <v>5718</v>
      </c>
      <c r="G2006" s="31" t="s">
        <v>2582</v>
      </c>
      <c r="H2006" s="31" t="s">
        <v>20</v>
      </c>
      <c r="I2006" s="31">
        <v>4126.0</v>
      </c>
      <c r="J2006" s="31">
        <v>3.876052494E9</v>
      </c>
      <c r="K2006" s="31" t="s">
        <v>32</v>
      </c>
      <c r="L2006" s="31" t="s">
        <v>3225</v>
      </c>
      <c r="M2006" s="33">
        <v>1.0</v>
      </c>
      <c r="N2006" s="34"/>
      <c r="O2006" s="31" t="s">
        <v>5719</v>
      </c>
    </row>
    <row r="2007" hidden="1">
      <c r="A2007" s="85">
        <v>46049.0</v>
      </c>
      <c r="B2007" s="31" t="s">
        <v>5715</v>
      </c>
      <c r="C2007" s="31">
        <v>8.0501156937E11</v>
      </c>
      <c r="D2007" s="31" t="s">
        <v>5716</v>
      </c>
      <c r="E2007" s="31" t="s">
        <v>5717</v>
      </c>
      <c r="F2007" s="31" t="s">
        <v>5718</v>
      </c>
      <c r="G2007" s="31" t="s">
        <v>2582</v>
      </c>
      <c r="H2007" s="31" t="s">
        <v>20</v>
      </c>
      <c r="I2007" s="31">
        <v>4126.0</v>
      </c>
      <c r="J2007" s="31">
        <v>3.876052494E9</v>
      </c>
      <c r="K2007" s="31" t="s">
        <v>512</v>
      </c>
      <c r="L2007" s="31" t="s">
        <v>513</v>
      </c>
      <c r="M2007" s="33">
        <v>6.0</v>
      </c>
      <c r="N2007" s="34"/>
      <c r="O2007" s="31" t="s">
        <v>5719</v>
      </c>
    </row>
    <row r="2008" hidden="1">
      <c r="A2008" s="85">
        <v>46049.0</v>
      </c>
      <c r="B2008" s="31" t="s">
        <v>5715</v>
      </c>
      <c r="C2008" s="31">
        <v>8.0501156937E11</v>
      </c>
      <c r="D2008" s="31" t="s">
        <v>5716</v>
      </c>
      <c r="E2008" s="31" t="s">
        <v>5717</v>
      </c>
      <c r="F2008" s="31" t="s">
        <v>5718</v>
      </c>
      <c r="G2008" s="31" t="s">
        <v>2582</v>
      </c>
      <c r="H2008" s="31" t="s">
        <v>20</v>
      </c>
      <c r="I2008" s="31">
        <v>4126.0</v>
      </c>
      <c r="J2008" s="31">
        <v>3.876052494E9</v>
      </c>
      <c r="K2008" s="31" t="s">
        <v>670</v>
      </c>
      <c r="L2008" s="31" t="s">
        <v>3410</v>
      </c>
      <c r="M2008" s="33">
        <v>1.0</v>
      </c>
      <c r="N2008" s="34"/>
      <c r="O2008" s="31" t="s">
        <v>5719</v>
      </c>
    </row>
    <row r="2009" hidden="1">
      <c r="A2009" s="85">
        <v>46049.0</v>
      </c>
      <c r="B2009" s="31" t="s">
        <v>5720</v>
      </c>
      <c r="C2009" s="31">
        <v>8.07025034814E11</v>
      </c>
      <c r="D2009" s="31" t="s">
        <v>5721</v>
      </c>
      <c r="E2009" s="31" t="s">
        <v>5722</v>
      </c>
      <c r="F2009" s="31" t="s">
        <v>5723</v>
      </c>
      <c r="G2009" s="31" t="s">
        <v>127</v>
      </c>
      <c r="H2009" s="31" t="s">
        <v>20</v>
      </c>
      <c r="I2009" s="31">
        <v>4400.0</v>
      </c>
      <c r="J2009" s="31">
        <v>3.877569714E10</v>
      </c>
      <c r="K2009" s="31" t="s">
        <v>2060</v>
      </c>
      <c r="L2009" s="31" t="s">
        <v>4191</v>
      </c>
      <c r="M2009" s="33">
        <v>1.0</v>
      </c>
      <c r="N2009" s="34"/>
      <c r="O2009" s="34"/>
    </row>
    <row r="2010" hidden="1">
      <c r="A2010" s="85">
        <v>46049.0</v>
      </c>
      <c r="B2010" s="31" t="s">
        <v>5720</v>
      </c>
      <c r="C2010" s="31">
        <v>8.07025034814E11</v>
      </c>
      <c r="D2010" s="31" t="s">
        <v>5721</v>
      </c>
      <c r="E2010" s="31" t="s">
        <v>5722</v>
      </c>
      <c r="F2010" s="31" t="s">
        <v>5723</v>
      </c>
      <c r="G2010" s="31" t="s">
        <v>127</v>
      </c>
      <c r="H2010" s="31" t="s">
        <v>20</v>
      </c>
      <c r="I2010" s="31">
        <v>4400.0</v>
      </c>
      <c r="J2010" s="31">
        <v>3.877569714E10</v>
      </c>
      <c r="K2010" s="31" t="s">
        <v>812</v>
      </c>
      <c r="L2010" s="31" t="s">
        <v>3564</v>
      </c>
      <c r="M2010" s="33">
        <v>1.0</v>
      </c>
      <c r="N2010" s="34"/>
      <c r="O2010" s="34"/>
    </row>
    <row r="2011" hidden="1">
      <c r="A2011" s="85">
        <v>46049.0</v>
      </c>
      <c r="B2011" s="31" t="s">
        <v>5724</v>
      </c>
      <c r="C2011" s="31">
        <v>8.07025034802E11</v>
      </c>
      <c r="D2011" s="31" t="s">
        <v>5725</v>
      </c>
      <c r="E2011" s="31" t="s">
        <v>5726</v>
      </c>
      <c r="F2011" s="31" t="s">
        <v>5727</v>
      </c>
      <c r="G2011" s="31" t="s">
        <v>127</v>
      </c>
      <c r="H2011" s="31" t="s">
        <v>20</v>
      </c>
      <c r="I2011" s="31">
        <v>4400.0</v>
      </c>
      <c r="J2011" s="31">
        <v>1.165712831E9</v>
      </c>
      <c r="K2011" s="31" t="s">
        <v>5728</v>
      </c>
      <c r="L2011" s="31" t="s">
        <v>5729</v>
      </c>
      <c r="M2011" s="33">
        <v>1.0</v>
      </c>
      <c r="N2011" s="34"/>
      <c r="O2011" s="34"/>
    </row>
    <row r="2012" hidden="1">
      <c r="A2012" s="85">
        <v>46049.0</v>
      </c>
      <c r="B2012" s="31" t="s">
        <v>5730</v>
      </c>
      <c r="C2012" s="31">
        <v>8.07025034819E11</v>
      </c>
      <c r="D2012" s="31" t="s">
        <v>5731</v>
      </c>
      <c r="E2012" s="31" t="s">
        <v>5732</v>
      </c>
      <c r="F2012" s="31" t="s">
        <v>5733</v>
      </c>
      <c r="G2012" s="31" t="s">
        <v>127</v>
      </c>
      <c r="H2012" s="31" t="s">
        <v>20</v>
      </c>
      <c r="I2012" s="31">
        <v>4400.0</v>
      </c>
      <c r="J2012" s="31">
        <v>3.874107041E9</v>
      </c>
      <c r="K2012" s="31" t="s">
        <v>3623</v>
      </c>
      <c r="L2012" s="31" t="s">
        <v>3624</v>
      </c>
      <c r="M2012" s="33">
        <v>1.0</v>
      </c>
      <c r="N2012" s="34"/>
      <c r="O2012" s="34"/>
    </row>
    <row r="2013" hidden="1">
      <c r="A2013" s="85">
        <v>46049.0</v>
      </c>
      <c r="B2013" s="31" t="s">
        <v>5734</v>
      </c>
      <c r="C2013" s="31">
        <v>8.07025034798E11</v>
      </c>
      <c r="D2013" s="31" t="s">
        <v>5735</v>
      </c>
      <c r="E2013" s="31" t="s">
        <v>5736</v>
      </c>
      <c r="F2013" s="31" t="s">
        <v>5737</v>
      </c>
      <c r="G2013" s="31" t="s">
        <v>127</v>
      </c>
      <c r="H2013" s="31" t="s">
        <v>20</v>
      </c>
      <c r="I2013" s="31">
        <v>4400.0</v>
      </c>
      <c r="J2013" s="31">
        <v>3.875175146E9</v>
      </c>
      <c r="K2013" s="31" t="s">
        <v>3131</v>
      </c>
      <c r="L2013" s="31" t="s">
        <v>3416</v>
      </c>
      <c r="M2013" s="33">
        <v>1.0</v>
      </c>
      <c r="N2013" s="34"/>
      <c r="O2013" s="34"/>
    </row>
    <row r="2014" hidden="1">
      <c r="A2014" s="85">
        <v>46049.0</v>
      </c>
      <c r="B2014" s="31" t="s">
        <v>5734</v>
      </c>
      <c r="C2014" s="31">
        <v>8.07025034798E11</v>
      </c>
      <c r="D2014" s="31" t="s">
        <v>5735</v>
      </c>
      <c r="E2014" s="31" t="s">
        <v>5736</v>
      </c>
      <c r="F2014" s="31" t="s">
        <v>5737</v>
      </c>
      <c r="G2014" s="31" t="s">
        <v>127</v>
      </c>
      <c r="H2014" s="31" t="s">
        <v>20</v>
      </c>
      <c r="I2014" s="31">
        <v>4400.0</v>
      </c>
      <c r="J2014" s="31">
        <v>3.875175146E9</v>
      </c>
      <c r="K2014" s="31" t="s">
        <v>35</v>
      </c>
      <c r="L2014" s="31" t="s">
        <v>3188</v>
      </c>
      <c r="M2014" s="33">
        <v>1.0</v>
      </c>
      <c r="N2014" s="34"/>
      <c r="O2014" s="34"/>
    </row>
    <row r="2015" hidden="1">
      <c r="A2015" s="85">
        <v>46049.0</v>
      </c>
      <c r="B2015" s="31" t="s">
        <v>5738</v>
      </c>
      <c r="C2015" s="31">
        <v>8.07025034805E11</v>
      </c>
      <c r="D2015" s="31" t="s">
        <v>5739</v>
      </c>
      <c r="E2015" s="31" t="s">
        <v>5740</v>
      </c>
      <c r="F2015" s="31" t="s">
        <v>5741</v>
      </c>
      <c r="G2015" s="31" t="s">
        <v>127</v>
      </c>
      <c r="H2015" s="31" t="s">
        <v>20</v>
      </c>
      <c r="I2015" s="31">
        <v>4400.0</v>
      </c>
      <c r="J2015" s="31">
        <v>3.874691421E9</v>
      </c>
      <c r="K2015" s="31" t="s">
        <v>1937</v>
      </c>
      <c r="L2015" s="31" t="s">
        <v>4036</v>
      </c>
      <c r="M2015" s="33">
        <v>1.0</v>
      </c>
      <c r="N2015" s="34"/>
      <c r="O2015" s="34"/>
    </row>
    <row r="2016" hidden="1">
      <c r="A2016" s="85">
        <v>46049.0</v>
      </c>
      <c r="B2016" s="31" t="s">
        <v>5742</v>
      </c>
      <c r="C2016" s="31">
        <v>8.07025034797E11</v>
      </c>
      <c r="D2016" s="31" t="s">
        <v>5735</v>
      </c>
      <c r="E2016" s="31" t="s">
        <v>5736</v>
      </c>
      <c r="F2016" s="31" t="s">
        <v>5737</v>
      </c>
      <c r="G2016" s="31" t="s">
        <v>127</v>
      </c>
      <c r="H2016" s="31" t="s">
        <v>20</v>
      </c>
      <c r="I2016" s="31">
        <v>4400.0</v>
      </c>
      <c r="J2016" s="31">
        <v>3.875175146E9</v>
      </c>
      <c r="K2016" s="31" t="s">
        <v>512</v>
      </c>
      <c r="L2016" s="31" t="s">
        <v>513</v>
      </c>
      <c r="M2016" s="33">
        <v>6.0</v>
      </c>
      <c r="N2016" s="34"/>
      <c r="O2016" s="34"/>
    </row>
    <row r="2017" hidden="1">
      <c r="A2017" s="85">
        <v>46049.0</v>
      </c>
      <c r="B2017" s="31" t="s">
        <v>5743</v>
      </c>
      <c r="C2017" s="31">
        <v>8.0910007129E11</v>
      </c>
      <c r="D2017" s="31" t="s">
        <v>5744</v>
      </c>
      <c r="E2017" s="31" t="s">
        <v>5745</v>
      </c>
      <c r="F2017" s="31" t="s">
        <v>5746</v>
      </c>
      <c r="G2017" s="31" t="s">
        <v>127</v>
      </c>
      <c r="H2017" s="31" t="s">
        <v>20</v>
      </c>
      <c r="I2017" s="31">
        <v>4400.0</v>
      </c>
      <c r="J2017" s="31">
        <v>3.875365598E9</v>
      </c>
      <c r="K2017" s="31">
        <v>125823.0</v>
      </c>
      <c r="L2017" s="31" t="s">
        <v>5747</v>
      </c>
      <c r="M2017" s="33">
        <v>2.0</v>
      </c>
      <c r="N2017" s="34"/>
      <c r="O2017" s="31" t="s">
        <v>5748</v>
      </c>
    </row>
    <row r="2018" hidden="1">
      <c r="A2018" s="85">
        <v>46049.0</v>
      </c>
      <c r="B2018" s="31" t="s">
        <v>5743</v>
      </c>
      <c r="C2018" s="31">
        <v>8.0910007129E11</v>
      </c>
      <c r="D2018" s="31" t="s">
        <v>5744</v>
      </c>
      <c r="E2018" s="31" t="s">
        <v>5745</v>
      </c>
      <c r="F2018" s="31" t="s">
        <v>5746</v>
      </c>
      <c r="G2018" s="31" t="s">
        <v>127</v>
      </c>
      <c r="H2018" s="31" t="s">
        <v>20</v>
      </c>
      <c r="I2018" s="31">
        <v>4400.0</v>
      </c>
      <c r="J2018" s="31">
        <v>3.875365598E9</v>
      </c>
      <c r="K2018" s="31">
        <v>125810.0</v>
      </c>
      <c r="L2018" s="31" t="s">
        <v>5749</v>
      </c>
      <c r="M2018" s="33">
        <v>4.0</v>
      </c>
      <c r="N2018" s="34"/>
      <c r="O2018" s="31" t="s">
        <v>5748</v>
      </c>
    </row>
    <row r="2019" ht="8.25" hidden="1" customHeight="1">
      <c r="A2019" s="87"/>
      <c r="B2019" s="88"/>
      <c r="C2019" s="88"/>
      <c r="D2019" s="88"/>
      <c r="E2019" s="88"/>
      <c r="F2019" s="88"/>
      <c r="G2019" s="88"/>
      <c r="H2019" s="88"/>
      <c r="I2019" s="88"/>
      <c r="J2019" s="88"/>
      <c r="K2019" s="88"/>
      <c r="L2019" s="88"/>
      <c r="M2019" s="89"/>
      <c r="N2019" s="90"/>
      <c r="O2019" s="90"/>
    </row>
    <row r="2020" hidden="1">
      <c r="A2020" s="85">
        <v>46056.0</v>
      </c>
      <c r="B2020" s="31" t="s">
        <v>5750</v>
      </c>
      <c r="C2020" s="31">
        <v>8.0501156886E11</v>
      </c>
      <c r="D2020" s="31" t="s">
        <v>5751</v>
      </c>
      <c r="E2020" s="31" t="s">
        <v>5752</v>
      </c>
      <c r="F2020" s="31" t="s">
        <v>5753</v>
      </c>
      <c r="G2020" s="31" t="s">
        <v>750</v>
      </c>
      <c r="H2020" s="31" t="s">
        <v>20</v>
      </c>
      <c r="I2020" s="31">
        <v>4566.0</v>
      </c>
      <c r="J2020" s="31">
        <v>3.873452353E9</v>
      </c>
      <c r="K2020" s="31" t="s">
        <v>698</v>
      </c>
      <c r="L2020" s="31" t="s">
        <v>699</v>
      </c>
      <c r="M2020" s="33">
        <v>1.0</v>
      </c>
      <c r="N2020" s="34"/>
      <c r="O2020" s="34"/>
    </row>
    <row r="2021" hidden="1">
      <c r="A2021" s="85">
        <v>46056.0</v>
      </c>
      <c r="B2021" s="31" t="s">
        <v>5754</v>
      </c>
      <c r="C2021" s="31">
        <v>8.05011569633E11</v>
      </c>
      <c r="D2021" s="31" t="s">
        <v>5755</v>
      </c>
      <c r="E2021" s="31" t="s">
        <v>5756</v>
      </c>
      <c r="F2021" s="31" t="s">
        <v>5757</v>
      </c>
      <c r="G2021" s="31" t="s">
        <v>532</v>
      </c>
      <c r="H2021" s="31" t="s">
        <v>20</v>
      </c>
      <c r="I2021" s="31">
        <v>4427.0</v>
      </c>
      <c r="J2021" s="31" t="s">
        <v>5758</v>
      </c>
      <c r="K2021" s="31" t="s">
        <v>98</v>
      </c>
      <c r="L2021" s="31" t="s">
        <v>3187</v>
      </c>
      <c r="M2021" s="33">
        <v>1.0</v>
      </c>
      <c r="N2021" s="34"/>
      <c r="O2021" s="31" t="s">
        <v>5759</v>
      </c>
    </row>
    <row r="2022" hidden="1">
      <c r="A2022" s="85">
        <v>46056.0</v>
      </c>
      <c r="B2022" s="31" t="s">
        <v>5754</v>
      </c>
      <c r="C2022" s="31">
        <v>8.05011569633E11</v>
      </c>
      <c r="D2022" s="31" t="s">
        <v>5755</v>
      </c>
      <c r="E2022" s="31" t="s">
        <v>5756</v>
      </c>
      <c r="F2022" s="31" t="s">
        <v>5757</v>
      </c>
      <c r="G2022" s="31" t="s">
        <v>532</v>
      </c>
      <c r="H2022" s="31" t="s">
        <v>20</v>
      </c>
      <c r="I2022" s="31">
        <v>4427.0</v>
      </c>
      <c r="J2022" s="31" t="s">
        <v>5758</v>
      </c>
      <c r="K2022" s="31" t="s">
        <v>512</v>
      </c>
      <c r="L2022" s="31" t="s">
        <v>513</v>
      </c>
      <c r="M2022" s="33">
        <v>6.0</v>
      </c>
      <c r="N2022" s="34"/>
      <c r="O2022" s="31" t="s">
        <v>5759</v>
      </c>
    </row>
    <row r="2023" hidden="1">
      <c r="A2023" s="85">
        <v>46056.0</v>
      </c>
      <c r="B2023" s="31" t="s">
        <v>5754</v>
      </c>
      <c r="C2023" s="31">
        <v>8.05011569633E11</v>
      </c>
      <c r="D2023" s="31" t="s">
        <v>5755</v>
      </c>
      <c r="E2023" s="31" t="s">
        <v>5756</v>
      </c>
      <c r="F2023" s="31" t="s">
        <v>5757</v>
      </c>
      <c r="G2023" s="31" t="s">
        <v>532</v>
      </c>
      <c r="H2023" s="31" t="s">
        <v>20</v>
      </c>
      <c r="I2023" s="31">
        <v>4427.0</v>
      </c>
      <c r="J2023" s="31" t="s">
        <v>5758</v>
      </c>
      <c r="K2023" s="31" t="s">
        <v>670</v>
      </c>
      <c r="L2023" s="31" t="s">
        <v>3410</v>
      </c>
      <c r="M2023" s="33">
        <v>1.0</v>
      </c>
      <c r="N2023" s="34"/>
      <c r="O2023" s="31" t="s">
        <v>5759</v>
      </c>
    </row>
    <row r="2024" hidden="1">
      <c r="A2024" s="85">
        <v>46056.0</v>
      </c>
      <c r="B2024" s="31" t="s">
        <v>5760</v>
      </c>
      <c r="C2024" s="31">
        <v>8.07025034836E11</v>
      </c>
      <c r="D2024" s="31" t="s">
        <v>5761</v>
      </c>
      <c r="E2024" s="31" t="s">
        <v>5762</v>
      </c>
      <c r="F2024" s="31" t="s">
        <v>5763</v>
      </c>
      <c r="G2024" s="31" t="s">
        <v>69</v>
      </c>
      <c r="H2024" s="31" t="s">
        <v>20</v>
      </c>
      <c r="I2024" s="31">
        <v>4400.0</v>
      </c>
      <c r="J2024" s="31">
        <v>3.878533228E9</v>
      </c>
      <c r="K2024" s="31" t="s">
        <v>5764</v>
      </c>
      <c r="L2024" s="31" t="s">
        <v>5765</v>
      </c>
      <c r="M2024" s="33">
        <v>2.0</v>
      </c>
      <c r="N2024" s="34"/>
      <c r="O2024" s="31" t="s">
        <v>5766</v>
      </c>
    </row>
    <row r="2025" hidden="1">
      <c r="A2025" s="85">
        <v>46056.0</v>
      </c>
      <c r="B2025" s="31" t="s">
        <v>5767</v>
      </c>
      <c r="C2025" s="31">
        <v>8.06015098187E11</v>
      </c>
      <c r="D2025" s="31" t="s">
        <v>5768</v>
      </c>
      <c r="E2025" s="31" t="s">
        <v>5769</v>
      </c>
      <c r="F2025" s="31" t="s">
        <v>5770</v>
      </c>
      <c r="G2025" s="31" t="s">
        <v>20</v>
      </c>
      <c r="H2025" s="31" t="s">
        <v>20</v>
      </c>
      <c r="I2025" s="31">
        <v>4400.0</v>
      </c>
      <c r="J2025" s="31">
        <v>3.875376876E9</v>
      </c>
      <c r="K2025" s="31" t="s">
        <v>106</v>
      </c>
      <c r="L2025" s="31" t="s">
        <v>3670</v>
      </c>
      <c r="M2025" s="33">
        <v>1.0</v>
      </c>
      <c r="N2025" s="34"/>
      <c r="O2025" s="31" t="s">
        <v>5771</v>
      </c>
    </row>
    <row r="2026" hidden="1">
      <c r="A2026" s="85">
        <v>46056.0</v>
      </c>
      <c r="B2026" s="31" t="s">
        <v>5772</v>
      </c>
      <c r="C2026" s="31">
        <v>8.05011569708E11</v>
      </c>
      <c r="D2026" s="31" t="s">
        <v>5773</v>
      </c>
      <c r="E2026" s="31" t="s">
        <v>5774</v>
      </c>
      <c r="F2026" s="31" t="s">
        <v>5775</v>
      </c>
      <c r="G2026" s="31" t="s">
        <v>20</v>
      </c>
      <c r="H2026" s="31" t="s">
        <v>20</v>
      </c>
      <c r="I2026" s="31">
        <v>4400.0</v>
      </c>
      <c r="J2026" s="31">
        <v>5.43874662178E11</v>
      </c>
      <c r="K2026" s="31" t="s">
        <v>617</v>
      </c>
      <c r="L2026" s="31" t="s">
        <v>3867</v>
      </c>
      <c r="M2026" s="33">
        <v>1.0</v>
      </c>
      <c r="N2026" s="34"/>
      <c r="O2026" s="31" t="s">
        <v>5776</v>
      </c>
    </row>
    <row r="2027" hidden="1">
      <c r="A2027" s="85">
        <v>46056.0</v>
      </c>
      <c r="B2027" s="31" t="s">
        <v>5777</v>
      </c>
      <c r="C2027" s="31">
        <v>8.05011569764E11</v>
      </c>
      <c r="D2027" s="31" t="s">
        <v>5778</v>
      </c>
      <c r="E2027" s="31" t="s">
        <v>5779</v>
      </c>
      <c r="F2027" s="31" t="s">
        <v>5780</v>
      </c>
      <c r="G2027" s="31" t="s">
        <v>3383</v>
      </c>
      <c r="H2027" s="31" t="s">
        <v>20</v>
      </c>
      <c r="I2027" s="31">
        <v>4449.0</v>
      </c>
      <c r="J2027" s="31" t="s">
        <v>5781</v>
      </c>
      <c r="K2027" s="31" t="s">
        <v>1040</v>
      </c>
      <c r="L2027" s="31" t="s">
        <v>3294</v>
      </c>
      <c r="M2027" s="33">
        <v>1.0</v>
      </c>
      <c r="N2027" s="34"/>
      <c r="O2027" s="34"/>
    </row>
    <row r="2028" hidden="1">
      <c r="A2028" s="85">
        <v>46056.0</v>
      </c>
      <c r="B2028" s="31" t="s">
        <v>5782</v>
      </c>
      <c r="C2028" s="31">
        <v>8.0702503487E11</v>
      </c>
      <c r="D2028" s="31" t="s">
        <v>5783</v>
      </c>
      <c r="E2028" s="31" t="s">
        <v>5784</v>
      </c>
      <c r="F2028" s="31" t="s">
        <v>5785</v>
      </c>
      <c r="G2028" s="31" t="s">
        <v>2907</v>
      </c>
      <c r="H2028" s="31" t="s">
        <v>20</v>
      </c>
      <c r="I2028" s="31">
        <v>4400.0</v>
      </c>
      <c r="J2028" s="31">
        <v>3.87484506E9</v>
      </c>
      <c r="K2028" s="31" t="s">
        <v>2171</v>
      </c>
      <c r="L2028" s="31" t="s">
        <v>3446</v>
      </c>
      <c r="M2028" s="33">
        <v>3.0</v>
      </c>
      <c r="N2028" s="34"/>
      <c r="O2028" s="34"/>
    </row>
    <row r="2029" hidden="1">
      <c r="A2029" s="85">
        <v>46056.0</v>
      </c>
      <c r="B2029" s="31" t="s">
        <v>5786</v>
      </c>
      <c r="C2029" s="31">
        <v>8.07025034883E11</v>
      </c>
      <c r="D2029" s="31" t="s">
        <v>5787</v>
      </c>
      <c r="E2029" s="31" t="s">
        <v>5788</v>
      </c>
      <c r="F2029" s="31" t="s">
        <v>5789</v>
      </c>
      <c r="G2029" s="31" t="s">
        <v>127</v>
      </c>
      <c r="H2029" s="31" t="s">
        <v>20</v>
      </c>
      <c r="I2029" s="31">
        <v>4400.0</v>
      </c>
      <c r="J2029" s="31">
        <v>3.874034353E9</v>
      </c>
      <c r="K2029" s="31" t="s">
        <v>2419</v>
      </c>
      <c r="L2029" s="31" t="s">
        <v>5694</v>
      </c>
      <c r="M2029" s="33">
        <v>1.0</v>
      </c>
      <c r="N2029" s="34"/>
      <c r="O2029" s="34"/>
    </row>
    <row r="2030" hidden="1">
      <c r="A2030" s="85">
        <v>46056.0</v>
      </c>
      <c r="B2030" s="31" t="s">
        <v>5790</v>
      </c>
      <c r="C2030" s="31">
        <v>8.05011570071E11</v>
      </c>
      <c r="D2030" s="31" t="s">
        <v>5791</v>
      </c>
      <c r="E2030" s="31" t="s">
        <v>5792</v>
      </c>
      <c r="F2030" s="69" t="s">
        <v>5793</v>
      </c>
      <c r="G2030" s="31" t="s">
        <v>163</v>
      </c>
      <c r="H2030" s="31" t="s">
        <v>20</v>
      </c>
      <c r="I2030" s="31">
        <v>4448.0</v>
      </c>
      <c r="J2030" s="31">
        <v>2.932525898E9</v>
      </c>
      <c r="K2030" s="31" t="s">
        <v>3054</v>
      </c>
      <c r="L2030" s="31" t="s">
        <v>3346</v>
      </c>
      <c r="M2030" s="33">
        <v>1.0</v>
      </c>
      <c r="N2030" s="34"/>
      <c r="O2030" s="31" t="s">
        <v>5794</v>
      </c>
    </row>
    <row r="2031" hidden="1">
      <c r="A2031" s="85">
        <v>46056.0</v>
      </c>
      <c r="B2031" s="31" t="s">
        <v>5790</v>
      </c>
      <c r="C2031" s="31">
        <v>8.05011570071E11</v>
      </c>
      <c r="D2031" s="31" t="s">
        <v>5791</v>
      </c>
      <c r="E2031" s="31" t="s">
        <v>5792</v>
      </c>
      <c r="F2031" s="69" t="s">
        <v>5793</v>
      </c>
      <c r="G2031" s="31" t="s">
        <v>163</v>
      </c>
      <c r="H2031" s="31" t="s">
        <v>20</v>
      </c>
      <c r="I2031" s="31">
        <v>4448.0</v>
      </c>
      <c r="J2031" s="31">
        <v>2.932525898E9</v>
      </c>
      <c r="K2031" s="31" t="s">
        <v>512</v>
      </c>
      <c r="L2031" s="31" t="s">
        <v>513</v>
      </c>
      <c r="M2031" s="33">
        <v>6.0</v>
      </c>
      <c r="N2031" s="34"/>
      <c r="O2031" s="31" t="s">
        <v>5794</v>
      </c>
    </row>
    <row r="2032" hidden="1">
      <c r="A2032" s="85">
        <v>46056.0</v>
      </c>
      <c r="B2032" s="31" t="s">
        <v>5790</v>
      </c>
      <c r="C2032" s="31">
        <v>8.05011570071E11</v>
      </c>
      <c r="D2032" s="31" t="s">
        <v>5791</v>
      </c>
      <c r="E2032" s="31" t="s">
        <v>5792</v>
      </c>
      <c r="F2032" s="69" t="s">
        <v>5793</v>
      </c>
      <c r="G2032" s="31" t="s">
        <v>163</v>
      </c>
      <c r="H2032" s="31" t="s">
        <v>20</v>
      </c>
      <c r="I2032" s="31">
        <v>4448.0</v>
      </c>
      <c r="J2032" s="31">
        <v>2.932525898E9</v>
      </c>
      <c r="K2032" s="31" t="s">
        <v>2031</v>
      </c>
      <c r="L2032" s="31" t="s">
        <v>3348</v>
      </c>
      <c r="M2032" s="33">
        <v>1.0</v>
      </c>
      <c r="N2032" s="34"/>
      <c r="O2032" s="31" t="s">
        <v>5794</v>
      </c>
    </row>
    <row r="2033" hidden="1">
      <c r="A2033" s="85">
        <v>46056.0</v>
      </c>
      <c r="B2033" s="31" t="s">
        <v>5795</v>
      </c>
      <c r="C2033" s="31">
        <v>8.07025034935E11</v>
      </c>
      <c r="D2033" s="31" t="s">
        <v>5796</v>
      </c>
      <c r="E2033" s="31" t="s">
        <v>5797</v>
      </c>
      <c r="F2033" s="31" t="s">
        <v>126</v>
      </c>
      <c r="G2033" s="31" t="s">
        <v>127</v>
      </c>
      <c r="H2033" s="31" t="s">
        <v>20</v>
      </c>
      <c r="I2033" s="31">
        <v>4400.0</v>
      </c>
      <c r="J2033" s="31">
        <v>3.874823797E9</v>
      </c>
      <c r="K2033" s="31" t="s">
        <v>2956</v>
      </c>
      <c r="L2033" s="31" t="s">
        <v>3327</v>
      </c>
      <c r="M2033" s="33">
        <v>1.0</v>
      </c>
      <c r="N2033" s="34"/>
      <c r="O2033" s="34"/>
    </row>
    <row r="2034" hidden="1">
      <c r="A2034" s="85">
        <v>46056.0</v>
      </c>
      <c r="B2034" s="31" t="s">
        <v>5795</v>
      </c>
      <c r="C2034" s="31">
        <v>8.07025034935E11</v>
      </c>
      <c r="D2034" s="31" t="s">
        <v>5796</v>
      </c>
      <c r="E2034" s="31" t="s">
        <v>5797</v>
      </c>
      <c r="F2034" s="31" t="s">
        <v>126</v>
      </c>
      <c r="G2034" s="31" t="s">
        <v>127</v>
      </c>
      <c r="H2034" s="31" t="s">
        <v>20</v>
      </c>
      <c r="I2034" s="31">
        <v>4400.0</v>
      </c>
      <c r="J2034" s="31">
        <v>3.874823797E9</v>
      </c>
      <c r="K2034" s="31" t="s">
        <v>512</v>
      </c>
      <c r="L2034" s="31" t="s">
        <v>513</v>
      </c>
      <c r="M2034" s="33">
        <v>6.0</v>
      </c>
      <c r="N2034" s="34"/>
      <c r="O2034" s="34"/>
    </row>
    <row r="2035" hidden="1">
      <c r="A2035" s="85">
        <v>46056.0</v>
      </c>
      <c r="B2035" s="31" t="s">
        <v>5795</v>
      </c>
      <c r="C2035" s="31">
        <v>8.07025034935E11</v>
      </c>
      <c r="D2035" s="31" t="s">
        <v>5796</v>
      </c>
      <c r="E2035" s="31" t="s">
        <v>5797</v>
      </c>
      <c r="F2035" s="31" t="s">
        <v>126</v>
      </c>
      <c r="G2035" s="31" t="s">
        <v>127</v>
      </c>
      <c r="H2035" s="31" t="s">
        <v>20</v>
      </c>
      <c r="I2035" s="31">
        <v>4400.0</v>
      </c>
      <c r="J2035" s="31">
        <v>3.874823797E9</v>
      </c>
      <c r="K2035" s="31" t="s">
        <v>670</v>
      </c>
      <c r="L2035" s="31" t="s">
        <v>3410</v>
      </c>
      <c r="M2035" s="33">
        <v>1.0</v>
      </c>
      <c r="N2035" s="34"/>
      <c r="O2035" s="34"/>
    </row>
    <row r="2036" hidden="1">
      <c r="A2036" s="85">
        <v>46056.0</v>
      </c>
      <c r="B2036" s="31" t="s">
        <v>5798</v>
      </c>
      <c r="C2036" s="31">
        <v>8.07025034937E11</v>
      </c>
      <c r="D2036" s="31" t="s">
        <v>5799</v>
      </c>
      <c r="E2036" s="31" t="s">
        <v>5800</v>
      </c>
      <c r="F2036" s="31" t="s">
        <v>126</v>
      </c>
      <c r="G2036" s="31" t="s">
        <v>127</v>
      </c>
      <c r="H2036" s="31" t="s">
        <v>20</v>
      </c>
      <c r="I2036" s="31">
        <v>4400.0</v>
      </c>
      <c r="J2036" s="31">
        <v>3.876831444E9</v>
      </c>
      <c r="K2036" s="31" t="s">
        <v>4133</v>
      </c>
      <c r="L2036" s="31" t="s">
        <v>4134</v>
      </c>
      <c r="M2036" s="33">
        <v>1.0</v>
      </c>
      <c r="N2036" s="34"/>
      <c r="O2036" s="34"/>
    </row>
    <row r="2037" hidden="1">
      <c r="A2037" s="85">
        <v>46056.0</v>
      </c>
      <c r="B2037" s="31" t="s">
        <v>5798</v>
      </c>
      <c r="C2037" s="31">
        <v>8.07025034937E11</v>
      </c>
      <c r="D2037" s="31" t="s">
        <v>5799</v>
      </c>
      <c r="E2037" s="31" t="s">
        <v>5800</v>
      </c>
      <c r="F2037" s="31" t="s">
        <v>126</v>
      </c>
      <c r="G2037" s="31" t="s">
        <v>127</v>
      </c>
      <c r="H2037" s="31" t="s">
        <v>20</v>
      </c>
      <c r="I2037" s="31">
        <v>4400.0</v>
      </c>
      <c r="J2037" s="31">
        <v>3.876831444E9</v>
      </c>
      <c r="K2037" s="31" t="s">
        <v>512</v>
      </c>
      <c r="L2037" s="31" t="s">
        <v>513</v>
      </c>
      <c r="M2037" s="33">
        <v>12.0</v>
      </c>
      <c r="N2037" s="34"/>
      <c r="O2037" s="34"/>
    </row>
    <row r="2038" hidden="1">
      <c r="A2038" s="85">
        <v>46056.0</v>
      </c>
      <c r="B2038" s="31" t="s">
        <v>5798</v>
      </c>
      <c r="C2038" s="31">
        <v>8.07025034937E11</v>
      </c>
      <c r="D2038" s="31" t="s">
        <v>5799</v>
      </c>
      <c r="E2038" s="31" t="s">
        <v>5800</v>
      </c>
      <c r="F2038" s="31" t="s">
        <v>126</v>
      </c>
      <c r="G2038" s="31" t="s">
        <v>127</v>
      </c>
      <c r="H2038" s="31" t="s">
        <v>20</v>
      </c>
      <c r="I2038" s="31">
        <v>4400.0</v>
      </c>
      <c r="J2038" s="31">
        <v>3.876831444E9</v>
      </c>
      <c r="K2038" s="31" t="s">
        <v>340</v>
      </c>
      <c r="L2038" s="31" t="s">
        <v>3486</v>
      </c>
      <c r="M2038" s="33">
        <v>2.0</v>
      </c>
      <c r="N2038" s="34"/>
      <c r="O2038" s="34"/>
    </row>
    <row r="2039" hidden="1">
      <c r="A2039" s="85">
        <v>46056.0</v>
      </c>
      <c r="B2039" s="31" t="s">
        <v>5801</v>
      </c>
      <c r="C2039" s="31">
        <v>8.0702503492E11</v>
      </c>
      <c r="D2039" s="31" t="s">
        <v>5802</v>
      </c>
      <c r="E2039" s="31" t="s">
        <v>5803</v>
      </c>
      <c r="F2039" s="31" t="s">
        <v>5804</v>
      </c>
      <c r="G2039" s="31" t="s">
        <v>20</v>
      </c>
      <c r="H2039" s="31" t="s">
        <v>20</v>
      </c>
      <c r="I2039" s="31">
        <v>4400.0</v>
      </c>
      <c r="J2039" s="31">
        <v>3.874556605E9</v>
      </c>
      <c r="K2039" s="31">
        <v>125803.0</v>
      </c>
      <c r="L2039" s="31" t="s">
        <v>5805</v>
      </c>
      <c r="M2039" s="33">
        <v>2.0</v>
      </c>
      <c r="N2039" s="34"/>
      <c r="O2039" s="31" t="s">
        <v>5806</v>
      </c>
    </row>
    <row r="2040" hidden="1">
      <c r="A2040" s="85">
        <v>46056.0</v>
      </c>
      <c r="B2040" s="31" t="s">
        <v>5807</v>
      </c>
      <c r="C2040" s="31">
        <v>8.07025034903E11</v>
      </c>
      <c r="D2040" s="31" t="s">
        <v>5808</v>
      </c>
      <c r="E2040" s="31" t="s">
        <v>5809</v>
      </c>
      <c r="F2040" s="31" t="s">
        <v>5810</v>
      </c>
      <c r="G2040" s="31" t="s">
        <v>127</v>
      </c>
      <c r="H2040" s="31" t="s">
        <v>20</v>
      </c>
      <c r="I2040" s="31">
        <v>4400.0</v>
      </c>
      <c r="J2040" s="31">
        <v>3.874068039E9</v>
      </c>
      <c r="K2040" s="31" t="s">
        <v>3641</v>
      </c>
      <c r="L2040" s="31" t="s">
        <v>3642</v>
      </c>
      <c r="M2040" s="33">
        <v>1.0</v>
      </c>
      <c r="N2040" s="34"/>
      <c r="O2040" s="34"/>
    </row>
    <row r="2041" hidden="1">
      <c r="A2041" s="85">
        <v>46056.0</v>
      </c>
      <c r="B2041" s="31" t="s">
        <v>5807</v>
      </c>
      <c r="C2041" s="31">
        <v>8.07025034903E11</v>
      </c>
      <c r="D2041" s="31" t="s">
        <v>5808</v>
      </c>
      <c r="E2041" s="31" t="s">
        <v>5809</v>
      </c>
      <c r="F2041" s="31" t="s">
        <v>5810</v>
      </c>
      <c r="G2041" s="31" t="s">
        <v>127</v>
      </c>
      <c r="H2041" s="31" t="s">
        <v>20</v>
      </c>
      <c r="I2041" s="31">
        <v>4400.0</v>
      </c>
      <c r="J2041" s="31">
        <v>3.874068039E9</v>
      </c>
      <c r="K2041" s="31" t="s">
        <v>4793</v>
      </c>
      <c r="L2041" s="31" t="s">
        <v>4794</v>
      </c>
      <c r="M2041" s="33">
        <v>1.0</v>
      </c>
      <c r="N2041" s="34"/>
      <c r="O2041" s="34"/>
    </row>
    <row r="2042" ht="9.0" hidden="1" customHeight="1">
      <c r="A2042" s="87"/>
      <c r="B2042" s="88"/>
      <c r="C2042" s="88"/>
      <c r="D2042" s="88"/>
      <c r="E2042" s="88"/>
      <c r="F2042" s="88"/>
      <c r="G2042" s="88"/>
      <c r="H2042" s="88"/>
      <c r="I2042" s="88"/>
      <c r="J2042" s="88"/>
      <c r="K2042" s="88"/>
      <c r="L2042" s="88"/>
      <c r="M2042" s="89"/>
      <c r="N2042" s="90"/>
      <c r="O2042" s="90"/>
    </row>
    <row r="2043" hidden="1">
      <c r="A2043" s="85">
        <v>46063.0</v>
      </c>
      <c r="B2043" s="31" t="s">
        <v>5811</v>
      </c>
      <c r="C2043" s="31">
        <v>8.05011570537E11</v>
      </c>
      <c r="D2043" s="31" t="s">
        <v>5812</v>
      </c>
      <c r="E2043" s="31" t="s">
        <v>5813</v>
      </c>
      <c r="F2043" s="31" t="s">
        <v>5814</v>
      </c>
      <c r="G2043" s="31" t="s">
        <v>582</v>
      </c>
      <c r="H2043" s="31" t="s">
        <v>20</v>
      </c>
      <c r="I2043" s="31">
        <v>4407.0</v>
      </c>
      <c r="J2043" s="31">
        <v>3.874103676E9</v>
      </c>
      <c r="K2043" s="31" t="s">
        <v>3431</v>
      </c>
      <c r="L2043" s="31" t="s">
        <v>3432</v>
      </c>
      <c r="M2043" s="33">
        <v>1.0</v>
      </c>
      <c r="N2043" s="34"/>
      <c r="O2043" s="34"/>
    </row>
    <row r="2044" hidden="1">
      <c r="A2044" s="85">
        <v>46063.0</v>
      </c>
      <c r="B2044" s="31" t="s">
        <v>5811</v>
      </c>
      <c r="C2044" s="31">
        <v>8.05011570537E11</v>
      </c>
      <c r="D2044" s="31" t="s">
        <v>5812</v>
      </c>
      <c r="E2044" s="31" t="s">
        <v>5813</v>
      </c>
      <c r="F2044" s="31" t="s">
        <v>5814</v>
      </c>
      <c r="G2044" s="31" t="s">
        <v>582</v>
      </c>
      <c r="H2044" s="31" t="s">
        <v>20</v>
      </c>
      <c r="I2044" s="31">
        <v>4407.0</v>
      </c>
      <c r="J2044" s="31">
        <v>3.874103676E9</v>
      </c>
      <c r="K2044" s="31" t="s">
        <v>512</v>
      </c>
      <c r="L2044" s="31" t="s">
        <v>513</v>
      </c>
      <c r="M2044" s="33">
        <v>6.0</v>
      </c>
      <c r="N2044" s="34"/>
      <c r="O2044" s="34"/>
    </row>
    <row r="2045" hidden="1">
      <c r="A2045" s="85">
        <v>46063.0</v>
      </c>
      <c r="B2045" s="31" t="s">
        <v>5811</v>
      </c>
      <c r="C2045" s="31">
        <v>8.05011570537E11</v>
      </c>
      <c r="D2045" s="31" t="s">
        <v>5812</v>
      </c>
      <c r="E2045" s="31" t="s">
        <v>5813</v>
      </c>
      <c r="F2045" s="31" t="s">
        <v>5814</v>
      </c>
      <c r="G2045" s="31" t="s">
        <v>582</v>
      </c>
      <c r="H2045" s="31" t="s">
        <v>20</v>
      </c>
      <c r="I2045" s="31">
        <v>4407.0</v>
      </c>
      <c r="J2045" s="31">
        <v>3.874103676E9</v>
      </c>
      <c r="K2045" s="31" t="s">
        <v>670</v>
      </c>
      <c r="L2045" s="31" t="s">
        <v>3410</v>
      </c>
      <c r="M2045" s="33">
        <v>1.0</v>
      </c>
      <c r="N2045" s="34"/>
      <c r="O2045" s="34"/>
    </row>
    <row r="2046" hidden="1">
      <c r="A2046" s="85">
        <v>46063.0</v>
      </c>
      <c r="B2046" s="31" t="s">
        <v>5815</v>
      </c>
      <c r="C2046" s="31">
        <v>8.07025034878E11</v>
      </c>
      <c r="D2046" s="31" t="s">
        <v>3560</v>
      </c>
      <c r="E2046" s="31" t="s">
        <v>3561</v>
      </c>
      <c r="F2046" s="31" t="s">
        <v>5816</v>
      </c>
      <c r="G2046" s="31" t="s">
        <v>2811</v>
      </c>
      <c r="H2046" s="31" t="s">
        <v>20</v>
      </c>
      <c r="I2046" s="31">
        <v>4400.0</v>
      </c>
      <c r="J2046" s="31">
        <v>3.874859192E9</v>
      </c>
      <c r="K2046" s="31" t="s">
        <v>5817</v>
      </c>
      <c r="L2046" s="31" t="s">
        <v>5417</v>
      </c>
      <c r="M2046" s="33">
        <v>1.0</v>
      </c>
      <c r="N2046" s="34"/>
      <c r="O2046" s="34"/>
    </row>
    <row r="2047" hidden="1">
      <c r="A2047" s="85">
        <v>46063.0</v>
      </c>
      <c r="B2047" s="31" t="s">
        <v>5815</v>
      </c>
      <c r="C2047" s="31">
        <v>8.07025034878E11</v>
      </c>
      <c r="D2047" s="31" t="s">
        <v>3560</v>
      </c>
      <c r="E2047" s="31" t="s">
        <v>3561</v>
      </c>
      <c r="F2047" s="31" t="s">
        <v>5816</v>
      </c>
      <c r="G2047" s="31" t="s">
        <v>2811</v>
      </c>
      <c r="H2047" s="31" t="s">
        <v>20</v>
      </c>
      <c r="I2047" s="31">
        <v>4400.0</v>
      </c>
      <c r="J2047" s="31">
        <v>3.874859192E9</v>
      </c>
      <c r="K2047" s="31" t="s">
        <v>1756</v>
      </c>
      <c r="L2047" s="31" t="s">
        <v>5005</v>
      </c>
      <c r="M2047" s="33">
        <v>1.0</v>
      </c>
      <c r="N2047" s="34"/>
      <c r="O2047" s="34"/>
    </row>
    <row r="2048" hidden="1">
      <c r="A2048" s="85">
        <v>46063.0</v>
      </c>
      <c r="B2048" s="31" t="s">
        <v>5818</v>
      </c>
      <c r="C2048" s="31">
        <v>8.07025034995E11</v>
      </c>
      <c r="D2048" s="31" t="s">
        <v>5819</v>
      </c>
      <c r="E2048" s="31" t="s">
        <v>5820</v>
      </c>
      <c r="F2048" s="31" t="s">
        <v>5821</v>
      </c>
      <c r="G2048" s="31" t="s">
        <v>4611</v>
      </c>
      <c r="H2048" s="31" t="s">
        <v>20</v>
      </c>
      <c r="I2048" s="31">
        <v>4400.0</v>
      </c>
      <c r="J2048" s="31">
        <v>3.87864138E9</v>
      </c>
      <c r="K2048" s="31" t="s">
        <v>4976</v>
      </c>
      <c r="L2048" s="31" t="s">
        <v>4977</v>
      </c>
      <c r="M2048" s="33">
        <v>1.0</v>
      </c>
      <c r="N2048" s="34"/>
      <c r="O2048" s="34"/>
    </row>
    <row r="2049" hidden="1">
      <c r="A2049" s="85">
        <v>46063.0</v>
      </c>
      <c r="B2049" s="31" t="s">
        <v>5822</v>
      </c>
      <c r="C2049" s="31">
        <v>8.05011570823E11</v>
      </c>
      <c r="D2049" s="31" t="s">
        <v>5823</v>
      </c>
      <c r="E2049" s="31" t="s">
        <v>5824</v>
      </c>
      <c r="F2049" s="31" t="s">
        <v>5825</v>
      </c>
      <c r="G2049" s="31" t="s">
        <v>5826</v>
      </c>
      <c r="H2049" s="31" t="s">
        <v>20</v>
      </c>
      <c r="I2049" s="31">
        <v>4561.0</v>
      </c>
      <c r="J2049" s="31">
        <v>3.874440384E9</v>
      </c>
      <c r="K2049" s="31" t="s">
        <v>5034</v>
      </c>
      <c r="L2049" s="31" t="s">
        <v>5035</v>
      </c>
      <c r="M2049" s="33">
        <v>1.0</v>
      </c>
      <c r="N2049" s="34"/>
      <c r="O2049" s="34"/>
    </row>
    <row r="2050" hidden="1">
      <c r="A2050" s="85">
        <v>46063.0</v>
      </c>
      <c r="B2050" s="31" t="s">
        <v>5822</v>
      </c>
      <c r="C2050" s="31">
        <v>8.05011570823E11</v>
      </c>
      <c r="D2050" s="31" t="s">
        <v>5823</v>
      </c>
      <c r="E2050" s="31" t="s">
        <v>5824</v>
      </c>
      <c r="F2050" s="31" t="s">
        <v>5825</v>
      </c>
      <c r="G2050" s="31" t="s">
        <v>5826</v>
      </c>
      <c r="H2050" s="31" t="s">
        <v>20</v>
      </c>
      <c r="I2050" s="31">
        <v>4561.0</v>
      </c>
      <c r="J2050" s="31">
        <v>3.874440384E9</v>
      </c>
      <c r="K2050" s="31" t="s">
        <v>512</v>
      </c>
      <c r="L2050" s="31" t="s">
        <v>513</v>
      </c>
      <c r="M2050" s="33">
        <v>6.0</v>
      </c>
      <c r="N2050" s="34"/>
      <c r="O2050" s="34"/>
    </row>
    <row r="2051" hidden="1">
      <c r="A2051" s="85">
        <v>46063.0</v>
      </c>
      <c r="B2051" s="31" t="s">
        <v>5822</v>
      </c>
      <c r="C2051" s="31">
        <v>8.05011570823E11</v>
      </c>
      <c r="D2051" s="31" t="s">
        <v>5823</v>
      </c>
      <c r="E2051" s="31" t="s">
        <v>5824</v>
      </c>
      <c r="F2051" s="31" t="s">
        <v>5825</v>
      </c>
      <c r="G2051" s="31" t="s">
        <v>5826</v>
      </c>
      <c r="H2051" s="31" t="s">
        <v>20</v>
      </c>
      <c r="I2051" s="31">
        <v>4561.0</v>
      </c>
      <c r="J2051" s="31">
        <v>3.874440384E9</v>
      </c>
      <c r="K2051" s="31" t="s">
        <v>670</v>
      </c>
      <c r="L2051" s="31" t="s">
        <v>3410</v>
      </c>
      <c r="M2051" s="33">
        <v>1.0</v>
      </c>
      <c r="N2051" s="34"/>
      <c r="O2051" s="34"/>
    </row>
    <row r="2052" hidden="1">
      <c r="A2052" s="85">
        <v>46063.0</v>
      </c>
      <c r="B2052" s="31" t="s">
        <v>5827</v>
      </c>
      <c r="C2052" s="31">
        <v>8.05011570821E11</v>
      </c>
      <c r="D2052" s="31" t="s">
        <v>5828</v>
      </c>
      <c r="E2052" s="31" t="s">
        <v>5829</v>
      </c>
      <c r="F2052" s="31" t="s">
        <v>5830</v>
      </c>
      <c r="G2052" s="31" t="s">
        <v>20</v>
      </c>
      <c r="H2052" s="31" t="s">
        <v>20</v>
      </c>
      <c r="I2052" s="31">
        <v>4400.0</v>
      </c>
      <c r="J2052" s="31">
        <v>3.876195654E9</v>
      </c>
      <c r="K2052" s="31" t="s">
        <v>5551</v>
      </c>
      <c r="L2052" s="31" t="s">
        <v>5552</v>
      </c>
      <c r="M2052" s="33">
        <v>1.0</v>
      </c>
      <c r="N2052" s="34"/>
      <c r="O2052" s="34"/>
    </row>
    <row r="2053" hidden="1">
      <c r="A2053" s="85">
        <v>46063.0</v>
      </c>
      <c r="B2053" s="31" t="s">
        <v>5827</v>
      </c>
      <c r="C2053" s="31">
        <v>8.05011570821E11</v>
      </c>
      <c r="D2053" s="31" t="s">
        <v>5828</v>
      </c>
      <c r="E2053" s="31" t="s">
        <v>5829</v>
      </c>
      <c r="F2053" s="31" t="s">
        <v>5830</v>
      </c>
      <c r="G2053" s="31" t="s">
        <v>20</v>
      </c>
      <c r="H2053" s="31" t="s">
        <v>20</v>
      </c>
      <c r="I2053" s="31">
        <v>4400.0</v>
      </c>
      <c r="J2053" s="31">
        <v>3.876195654E9</v>
      </c>
      <c r="K2053" s="31" t="s">
        <v>512</v>
      </c>
      <c r="L2053" s="31" t="s">
        <v>513</v>
      </c>
      <c r="M2053" s="33">
        <v>6.0</v>
      </c>
      <c r="N2053" s="34"/>
      <c r="O2053" s="34"/>
    </row>
    <row r="2054" hidden="1">
      <c r="A2054" s="85">
        <v>46063.0</v>
      </c>
      <c r="B2054" s="31" t="s">
        <v>5827</v>
      </c>
      <c r="C2054" s="31">
        <v>8.05011570821E11</v>
      </c>
      <c r="D2054" s="31" t="s">
        <v>5828</v>
      </c>
      <c r="E2054" s="31" t="s">
        <v>5829</v>
      </c>
      <c r="F2054" s="31" t="s">
        <v>5830</v>
      </c>
      <c r="G2054" s="31" t="s">
        <v>20</v>
      </c>
      <c r="H2054" s="31" t="s">
        <v>20</v>
      </c>
      <c r="I2054" s="31">
        <v>4400.0</v>
      </c>
      <c r="J2054" s="31">
        <v>3.876195654E9</v>
      </c>
      <c r="K2054" s="31" t="s">
        <v>25</v>
      </c>
      <c r="L2054" s="31" t="s">
        <v>3401</v>
      </c>
      <c r="M2054" s="33">
        <v>1.0</v>
      </c>
      <c r="N2054" s="34"/>
      <c r="O2054" s="34"/>
    </row>
    <row r="2055" hidden="1">
      <c r="A2055" s="85">
        <v>46063.0</v>
      </c>
      <c r="B2055" s="31" t="s">
        <v>5831</v>
      </c>
      <c r="C2055" s="31">
        <v>8.05011570822E11</v>
      </c>
      <c r="D2055" s="31" t="s">
        <v>5828</v>
      </c>
      <c r="E2055" s="31" t="s">
        <v>5829</v>
      </c>
      <c r="F2055" s="31" t="s">
        <v>5830</v>
      </c>
      <c r="G2055" s="31" t="s">
        <v>20</v>
      </c>
      <c r="H2055" s="31" t="s">
        <v>20</v>
      </c>
      <c r="I2055" s="31">
        <v>4400.0</v>
      </c>
      <c r="J2055" s="31">
        <v>3.876195654E9</v>
      </c>
      <c r="K2055" s="31" t="s">
        <v>5551</v>
      </c>
      <c r="L2055" s="31" t="s">
        <v>5552</v>
      </c>
      <c r="M2055" s="33">
        <v>1.0</v>
      </c>
      <c r="N2055" s="34"/>
      <c r="O2055" s="34"/>
    </row>
    <row r="2056" hidden="1">
      <c r="A2056" s="85">
        <v>46063.0</v>
      </c>
      <c r="B2056" s="31" t="s">
        <v>5831</v>
      </c>
      <c r="C2056" s="31">
        <v>8.05011570822E11</v>
      </c>
      <c r="D2056" s="31" t="s">
        <v>5828</v>
      </c>
      <c r="E2056" s="31" t="s">
        <v>5829</v>
      </c>
      <c r="F2056" s="31" t="s">
        <v>5830</v>
      </c>
      <c r="G2056" s="31" t="s">
        <v>20</v>
      </c>
      <c r="H2056" s="31" t="s">
        <v>20</v>
      </c>
      <c r="I2056" s="31">
        <v>4400.0</v>
      </c>
      <c r="J2056" s="31">
        <v>3.876195654E9</v>
      </c>
      <c r="K2056" s="31" t="s">
        <v>512</v>
      </c>
      <c r="L2056" s="31" t="s">
        <v>513</v>
      </c>
      <c r="M2056" s="33">
        <v>6.0</v>
      </c>
      <c r="N2056" s="34"/>
      <c r="O2056" s="34"/>
    </row>
    <row r="2057" hidden="1">
      <c r="A2057" s="85">
        <v>46063.0</v>
      </c>
      <c r="B2057" s="31" t="s">
        <v>5831</v>
      </c>
      <c r="C2057" s="31">
        <v>8.05011570822E11</v>
      </c>
      <c r="D2057" s="31" t="s">
        <v>5828</v>
      </c>
      <c r="E2057" s="31" t="s">
        <v>5829</v>
      </c>
      <c r="F2057" s="31" t="s">
        <v>5830</v>
      </c>
      <c r="G2057" s="31" t="s">
        <v>20</v>
      </c>
      <c r="H2057" s="31" t="s">
        <v>20</v>
      </c>
      <c r="I2057" s="31">
        <v>4400.0</v>
      </c>
      <c r="J2057" s="31">
        <v>3.876195654E9</v>
      </c>
      <c r="K2057" s="31" t="s">
        <v>25</v>
      </c>
      <c r="L2057" s="31" t="s">
        <v>3401</v>
      </c>
      <c r="M2057" s="33">
        <v>1.0</v>
      </c>
      <c r="N2057" s="34"/>
      <c r="O2057" s="34"/>
    </row>
    <row r="2058" hidden="1">
      <c r="A2058" s="85">
        <v>46063.0</v>
      </c>
      <c r="B2058" s="31" t="s">
        <v>5832</v>
      </c>
      <c r="C2058" s="31">
        <v>8.05011570831E11</v>
      </c>
      <c r="D2058" s="31" t="s">
        <v>5833</v>
      </c>
      <c r="E2058" s="31" t="s">
        <v>5834</v>
      </c>
      <c r="F2058" s="31" t="s">
        <v>5835</v>
      </c>
      <c r="G2058" s="31" t="s">
        <v>539</v>
      </c>
      <c r="H2058" s="31" t="s">
        <v>20</v>
      </c>
      <c r="I2058" s="31">
        <v>4405.0</v>
      </c>
      <c r="J2058" s="31">
        <v>3.875035927E9</v>
      </c>
      <c r="K2058" s="31" t="s">
        <v>5551</v>
      </c>
      <c r="L2058" s="31" t="s">
        <v>5552</v>
      </c>
      <c r="M2058" s="33">
        <v>1.0</v>
      </c>
      <c r="N2058" s="34"/>
      <c r="O2058" s="34"/>
    </row>
    <row r="2059" hidden="1">
      <c r="A2059" s="85">
        <v>46063.0</v>
      </c>
      <c r="B2059" s="31" t="s">
        <v>5832</v>
      </c>
      <c r="C2059" s="31">
        <v>8.05011570831E11</v>
      </c>
      <c r="D2059" s="31" t="s">
        <v>5833</v>
      </c>
      <c r="E2059" s="31" t="s">
        <v>5834</v>
      </c>
      <c r="F2059" s="31" t="s">
        <v>5835</v>
      </c>
      <c r="G2059" s="31" t="s">
        <v>539</v>
      </c>
      <c r="H2059" s="31" t="s">
        <v>20</v>
      </c>
      <c r="I2059" s="31">
        <v>4405.0</v>
      </c>
      <c r="J2059" s="31">
        <v>3.875035927E9</v>
      </c>
      <c r="K2059" s="31" t="s">
        <v>512</v>
      </c>
      <c r="L2059" s="31" t="s">
        <v>513</v>
      </c>
      <c r="M2059" s="33">
        <v>6.0</v>
      </c>
      <c r="N2059" s="34"/>
      <c r="O2059" s="34"/>
    </row>
    <row r="2060" hidden="1">
      <c r="A2060" s="85">
        <v>46063.0</v>
      </c>
      <c r="B2060" s="31" t="s">
        <v>5832</v>
      </c>
      <c r="C2060" s="31">
        <v>8.05011570831E11</v>
      </c>
      <c r="D2060" s="31" t="s">
        <v>5833</v>
      </c>
      <c r="E2060" s="31" t="s">
        <v>5834</v>
      </c>
      <c r="F2060" s="31" t="s">
        <v>5835</v>
      </c>
      <c r="G2060" s="31" t="s">
        <v>539</v>
      </c>
      <c r="H2060" s="31" t="s">
        <v>20</v>
      </c>
      <c r="I2060" s="31">
        <v>4405.0</v>
      </c>
      <c r="J2060" s="31">
        <v>3.875035927E9</v>
      </c>
      <c r="K2060" s="31" t="s">
        <v>25</v>
      </c>
      <c r="L2060" s="31" t="s">
        <v>3401</v>
      </c>
      <c r="M2060" s="33">
        <v>1.0</v>
      </c>
      <c r="N2060" s="34"/>
      <c r="O2060" s="34"/>
    </row>
    <row r="2061" hidden="1">
      <c r="A2061" s="85">
        <v>46063.0</v>
      </c>
      <c r="B2061" s="31" t="s">
        <v>5836</v>
      </c>
      <c r="C2061" s="31">
        <v>8.06722033248E11</v>
      </c>
      <c r="D2061" s="31" t="s">
        <v>5837</v>
      </c>
      <c r="E2061" s="31" t="s">
        <v>5838</v>
      </c>
      <c r="F2061" s="31" t="s">
        <v>5839</v>
      </c>
      <c r="G2061" s="31" t="s">
        <v>20</v>
      </c>
      <c r="H2061" s="31" t="s">
        <v>20</v>
      </c>
      <c r="I2061" s="31" t="s">
        <v>5840</v>
      </c>
      <c r="J2061" s="31">
        <v>1.157674892E9</v>
      </c>
      <c r="K2061" s="31">
        <v>125815.0</v>
      </c>
      <c r="L2061" s="31" t="s">
        <v>569</v>
      </c>
      <c r="M2061" s="33">
        <v>2.0</v>
      </c>
      <c r="N2061" s="34"/>
      <c r="O2061" s="31" t="s">
        <v>5841</v>
      </c>
    </row>
    <row r="2062" hidden="1">
      <c r="A2062" s="85">
        <v>46063.0</v>
      </c>
      <c r="B2062" s="31" t="s">
        <v>5836</v>
      </c>
      <c r="C2062" s="31">
        <v>8.06722033248E11</v>
      </c>
      <c r="D2062" s="31" t="s">
        <v>5837</v>
      </c>
      <c r="E2062" s="31" t="s">
        <v>5838</v>
      </c>
      <c r="F2062" s="31" t="s">
        <v>5839</v>
      </c>
      <c r="G2062" s="31" t="s">
        <v>20</v>
      </c>
      <c r="H2062" s="31" t="s">
        <v>20</v>
      </c>
      <c r="I2062" s="31" t="s">
        <v>5840</v>
      </c>
      <c r="J2062" s="31">
        <v>1.157674892E9</v>
      </c>
      <c r="K2062" s="31" t="s">
        <v>5842</v>
      </c>
      <c r="L2062" s="31" t="s">
        <v>5843</v>
      </c>
      <c r="M2062" s="33">
        <v>1.0</v>
      </c>
      <c r="N2062" s="34"/>
      <c r="O2062" s="31" t="s">
        <v>5841</v>
      </c>
    </row>
    <row r="2063" hidden="1">
      <c r="A2063" s="85">
        <v>46063.0</v>
      </c>
      <c r="B2063" s="31" t="s">
        <v>5836</v>
      </c>
      <c r="C2063" s="31">
        <v>8.06722033248E11</v>
      </c>
      <c r="D2063" s="31" t="s">
        <v>5837</v>
      </c>
      <c r="E2063" s="31" t="s">
        <v>5838</v>
      </c>
      <c r="F2063" s="31" t="s">
        <v>5839</v>
      </c>
      <c r="G2063" s="31" t="s">
        <v>20</v>
      </c>
      <c r="H2063" s="31" t="s">
        <v>20</v>
      </c>
      <c r="I2063" s="31" t="s">
        <v>5840</v>
      </c>
      <c r="J2063" s="31">
        <v>1.157674892E9</v>
      </c>
      <c r="K2063" s="31" t="s">
        <v>98</v>
      </c>
      <c r="L2063" s="31" t="s">
        <v>3187</v>
      </c>
      <c r="M2063" s="33">
        <v>1.0</v>
      </c>
      <c r="N2063" s="34"/>
      <c r="O2063" s="31" t="s">
        <v>5841</v>
      </c>
    </row>
    <row r="2064" hidden="1">
      <c r="A2064" s="85">
        <v>46063.0</v>
      </c>
      <c r="B2064" s="31" t="s">
        <v>5844</v>
      </c>
      <c r="C2064" s="31">
        <v>8.05011570853E11</v>
      </c>
      <c r="D2064" s="31" t="s">
        <v>5845</v>
      </c>
      <c r="E2064" s="31" t="s">
        <v>5846</v>
      </c>
      <c r="F2064" s="31" t="s">
        <v>5847</v>
      </c>
      <c r="G2064" s="31" t="s">
        <v>116</v>
      </c>
      <c r="H2064" s="31" t="s">
        <v>20</v>
      </c>
      <c r="I2064" s="31">
        <v>4400.0</v>
      </c>
      <c r="J2064" s="31">
        <v>3.875841895E9</v>
      </c>
      <c r="K2064" s="31" t="s">
        <v>60</v>
      </c>
      <c r="L2064" s="31" t="s">
        <v>3706</v>
      </c>
      <c r="M2064" s="33">
        <v>1.0</v>
      </c>
      <c r="N2064" s="34"/>
      <c r="O2064" s="31" t="s">
        <v>5848</v>
      </c>
    </row>
    <row r="2065" hidden="1">
      <c r="A2065" s="85">
        <v>46063.0</v>
      </c>
      <c r="B2065" s="31" t="s">
        <v>5844</v>
      </c>
      <c r="C2065" s="31">
        <v>8.05011570853E11</v>
      </c>
      <c r="D2065" s="31" t="s">
        <v>5845</v>
      </c>
      <c r="E2065" s="31" t="s">
        <v>5846</v>
      </c>
      <c r="F2065" s="31" t="s">
        <v>5847</v>
      </c>
      <c r="G2065" s="31" t="s">
        <v>116</v>
      </c>
      <c r="H2065" s="31" t="s">
        <v>20</v>
      </c>
      <c r="I2065" s="31">
        <v>4400.0</v>
      </c>
      <c r="J2065" s="31">
        <v>3.875841895E9</v>
      </c>
      <c r="K2065" s="31" t="s">
        <v>512</v>
      </c>
      <c r="L2065" s="31" t="s">
        <v>513</v>
      </c>
      <c r="M2065" s="33">
        <v>6.0</v>
      </c>
      <c r="N2065" s="34"/>
      <c r="O2065" s="31" t="s">
        <v>5848</v>
      </c>
    </row>
    <row r="2066" hidden="1">
      <c r="A2066" s="85">
        <v>46063.0</v>
      </c>
      <c r="B2066" s="31" t="s">
        <v>5844</v>
      </c>
      <c r="C2066" s="31">
        <v>8.05011570853E11</v>
      </c>
      <c r="D2066" s="31" t="s">
        <v>5845</v>
      </c>
      <c r="E2066" s="31" t="s">
        <v>5846</v>
      </c>
      <c r="F2066" s="31" t="s">
        <v>5847</v>
      </c>
      <c r="G2066" s="31" t="s">
        <v>116</v>
      </c>
      <c r="H2066" s="31" t="s">
        <v>20</v>
      </c>
      <c r="I2066" s="31">
        <v>4400.0</v>
      </c>
      <c r="J2066" s="31">
        <v>3.875841895E9</v>
      </c>
      <c r="K2066" s="31" t="s">
        <v>64</v>
      </c>
      <c r="L2066" s="31" t="s">
        <v>3708</v>
      </c>
      <c r="M2066" s="33">
        <v>1.0</v>
      </c>
      <c r="N2066" s="34"/>
      <c r="O2066" s="31" t="s">
        <v>5848</v>
      </c>
    </row>
    <row r="2067" hidden="1">
      <c r="A2067" s="85">
        <v>46063.0</v>
      </c>
      <c r="B2067" s="31" t="s">
        <v>5849</v>
      </c>
      <c r="C2067" s="31">
        <v>8.07025035055E11</v>
      </c>
      <c r="D2067" s="31" t="s">
        <v>5850</v>
      </c>
      <c r="E2067" s="31" t="s">
        <v>5851</v>
      </c>
      <c r="F2067" s="31" t="s">
        <v>5852</v>
      </c>
      <c r="G2067" s="31" t="s">
        <v>127</v>
      </c>
      <c r="H2067" s="31" t="s">
        <v>20</v>
      </c>
      <c r="I2067" s="31">
        <v>4400.0</v>
      </c>
      <c r="J2067" s="31">
        <v>3.874438116E9</v>
      </c>
      <c r="K2067" s="31" t="s">
        <v>2956</v>
      </c>
      <c r="L2067" s="31" t="s">
        <v>3327</v>
      </c>
      <c r="M2067" s="33">
        <v>1.0</v>
      </c>
      <c r="N2067" s="34"/>
      <c r="O2067" s="31" t="s">
        <v>5853</v>
      </c>
    </row>
    <row r="2068" hidden="1">
      <c r="A2068" s="85">
        <v>46063.0</v>
      </c>
      <c r="B2068" s="31" t="s">
        <v>5854</v>
      </c>
      <c r="C2068" s="31">
        <v>8.05011570951E11</v>
      </c>
      <c r="D2068" s="31" t="s">
        <v>5855</v>
      </c>
      <c r="E2068" s="31" t="s">
        <v>5856</v>
      </c>
      <c r="F2068" s="31" t="s">
        <v>5857</v>
      </c>
      <c r="G2068" s="31" t="s">
        <v>20</v>
      </c>
      <c r="H2068" s="31" t="s">
        <v>20</v>
      </c>
      <c r="I2068" s="31">
        <v>4400.0</v>
      </c>
      <c r="J2068" s="31">
        <v>3.874892949E9</v>
      </c>
      <c r="K2068" s="31" t="s">
        <v>32</v>
      </c>
      <c r="L2068" s="31" t="s">
        <v>3225</v>
      </c>
      <c r="M2068" s="33">
        <v>1.0</v>
      </c>
      <c r="N2068" s="34"/>
      <c r="O2068" s="31" t="s">
        <v>5858</v>
      </c>
    </row>
    <row r="2069" hidden="1">
      <c r="A2069" s="85">
        <v>46063.0</v>
      </c>
      <c r="B2069" s="31" t="s">
        <v>5854</v>
      </c>
      <c r="C2069" s="31">
        <v>8.05011570951E11</v>
      </c>
      <c r="D2069" s="31" t="s">
        <v>5855</v>
      </c>
      <c r="E2069" s="31" t="s">
        <v>5856</v>
      </c>
      <c r="F2069" s="31" t="s">
        <v>5857</v>
      </c>
      <c r="G2069" s="31" t="s">
        <v>20</v>
      </c>
      <c r="H2069" s="31" t="s">
        <v>20</v>
      </c>
      <c r="I2069" s="31">
        <v>4400.0</v>
      </c>
      <c r="J2069" s="31">
        <v>3.874892949E9</v>
      </c>
      <c r="K2069" s="31" t="s">
        <v>512</v>
      </c>
      <c r="L2069" s="31" t="s">
        <v>513</v>
      </c>
      <c r="M2069" s="33">
        <v>6.0</v>
      </c>
      <c r="N2069" s="34"/>
      <c r="O2069" s="31" t="s">
        <v>5858</v>
      </c>
    </row>
    <row r="2070" hidden="1">
      <c r="A2070" s="85">
        <v>46063.0</v>
      </c>
      <c r="B2070" s="31" t="s">
        <v>5854</v>
      </c>
      <c r="C2070" s="31">
        <v>8.05011570951E11</v>
      </c>
      <c r="D2070" s="31" t="s">
        <v>5855</v>
      </c>
      <c r="E2070" s="31" t="s">
        <v>5856</v>
      </c>
      <c r="F2070" s="31" t="s">
        <v>5857</v>
      </c>
      <c r="G2070" s="31" t="s">
        <v>20</v>
      </c>
      <c r="H2070" s="31" t="s">
        <v>20</v>
      </c>
      <c r="I2070" s="31">
        <v>4400.0</v>
      </c>
      <c r="J2070" s="31">
        <v>3.874892949E9</v>
      </c>
      <c r="K2070" s="31" t="s">
        <v>670</v>
      </c>
      <c r="L2070" s="31" t="s">
        <v>3410</v>
      </c>
      <c r="M2070" s="33">
        <v>1.0</v>
      </c>
      <c r="N2070" s="34"/>
      <c r="O2070" s="31" t="s">
        <v>5858</v>
      </c>
    </row>
    <row r="2071" hidden="1">
      <c r="A2071" s="85">
        <v>46063.0</v>
      </c>
      <c r="B2071" s="31" t="s">
        <v>5859</v>
      </c>
      <c r="C2071" s="31">
        <v>8.07025035059E11</v>
      </c>
      <c r="D2071" s="31" t="s">
        <v>1404</v>
      </c>
      <c r="E2071" s="31" t="s">
        <v>1405</v>
      </c>
      <c r="F2071" s="31" t="s">
        <v>1406</v>
      </c>
      <c r="G2071" s="31" t="s">
        <v>127</v>
      </c>
      <c r="H2071" s="31" t="s">
        <v>20</v>
      </c>
      <c r="I2071" s="31">
        <v>4400.0</v>
      </c>
      <c r="J2071" s="31">
        <v>3.875286161E9</v>
      </c>
      <c r="K2071" s="31" t="s">
        <v>3641</v>
      </c>
      <c r="L2071" s="31" t="s">
        <v>3642</v>
      </c>
      <c r="M2071" s="33">
        <v>1.0</v>
      </c>
      <c r="N2071" s="34"/>
      <c r="O2071" s="34"/>
    </row>
    <row r="2072" hidden="1">
      <c r="A2072" s="85">
        <v>46063.0</v>
      </c>
      <c r="B2072" s="31" t="s">
        <v>5859</v>
      </c>
      <c r="C2072" s="31">
        <v>8.07025035059E11</v>
      </c>
      <c r="D2072" s="31" t="s">
        <v>1404</v>
      </c>
      <c r="E2072" s="31" t="s">
        <v>1405</v>
      </c>
      <c r="F2072" s="31" t="s">
        <v>1406</v>
      </c>
      <c r="G2072" s="31" t="s">
        <v>127</v>
      </c>
      <c r="H2072" s="31" t="s">
        <v>20</v>
      </c>
      <c r="I2072" s="31">
        <v>4400.0</v>
      </c>
      <c r="J2072" s="31">
        <v>3.875286161E9</v>
      </c>
      <c r="K2072" s="31" t="s">
        <v>4793</v>
      </c>
      <c r="L2072" s="31" t="s">
        <v>4794</v>
      </c>
      <c r="M2072" s="33">
        <v>1.0</v>
      </c>
      <c r="N2072" s="34"/>
      <c r="O2072" s="34"/>
    </row>
    <row r="2073" ht="9.0" customHeight="1">
      <c r="A2073" s="87"/>
      <c r="B2073" s="88"/>
      <c r="C2073" s="88"/>
      <c r="D2073" s="88"/>
      <c r="E2073" s="88"/>
      <c r="F2073" s="88"/>
      <c r="G2073" s="88"/>
      <c r="H2073" s="88"/>
      <c r="I2073" s="88"/>
      <c r="J2073" s="88"/>
      <c r="K2073" s="88"/>
      <c r="L2073" s="88"/>
      <c r="M2073" s="89"/>
      <c r="N2073" s="90"/>
      <c r="O2073" s="90"/>
    </row>
    <row r="2074">
      <c r="A2074" s="85">
        <v>46085.0</v>
      </c>
      <c r="B2074" s="31" t="s">
        <v>5860</v>
      </c>
      <c r="C2074" s="31">
        <v>8.0702503518E11</v>
      </c>
      <c r="D2074" s="31" t="s">
        <v>5808</v>
      </c>
      <c r="E2074" s="31" t="s">
        <v>5809</v>
      </c>
      <c r="F2074" s="54"/>
      <c r="G2074" s="54"/>
      <c r="H2074" s="54"/>
      <c r="I2074" s="54"/>
      <c r="J2074" s="54"/>
      <c r="K2074" s="54"/>
      <c r="L2074" s="54"/>
      <c r="M2074" s="55"/>
    </row>
    <row r="2075">
      <c r="A2075" s="85">
        <v>46085.0</v>
      </c>
      <c r="B2075" s="31" t="s">
        <v>5861</v>
      </c>
      <c r="C2075" s="31">
        <v>8.07025035235E11</v>
      </c>
      <c r="D2075" s="31" t="s">
        <v>5862</v>
      </c>
      <c r="E2075" s="31" t="s">
        <v>5863</v>
      </c>
      <c r="F2075" s="54"/>
      <c r="G2075" s="54"/>
      <c r="H2075" s="54"/>
      <c r="I2075" s="54"/>
      <c r="J2075" s="54"/>
      <c r="K2075" s="54"/>
      <c r="L2075" s="54"/>
      <c r="M2075" s="55"/>
    </row>
    <row r="2076">
      <c r="A2076" s="85">
        <v>46085.0</v>
      </c>
      <c r="B2076" s="31" t="s">
        <v>5864</v>
      </c>
      <c r="C2076" s="31">
        <v>8.07839000612E11</v>
      </c>
      <c r="D2076" s="31" t="s">
        <v>5865</v>
      </c>
      <c r="E2076" s="31" t="s">
        <v>5866</v>
      </c>
      <c r="F2076" s="54"/>
      <c r="G2076" s="54"/>
      <c r="H2076" s="54"/>
      <c r="I2076" s="54"/>
      <c r="J2076" s="54"/>
      <c r="K2076" s="54"/>
      <c r="L2076" s="54"/>
      <c r="M2076" s="55"/>
    </row>
    <row r="2077">
      <c r="A2077" s="85">
        <v>46085.0</v>
      </c>
      <c r="B2077" s="31" t="s">
        <v>5867</v>
      </c>
      <c r="C2077" s="31">
        <v>8.05011571664E11</v>
      </c>
      <c r="D2077" s="31" t="s">
        <v>5868</v>
      </c>
      <c r="E2077" s="31" t="s">
        <v>5869</v>
      </c>
      <c r="F2077" s="54"/>
      <c r="G2077" s="54"/>
      <c r="H2077" s="54"/>
      <c r="I2077" s="54"/>
      <c r="J2077" s="54"/>
      <c r="K2077" s="54"/>
      <c r="L2077" s="54"/>
      <c r="M2077" s="55"/>
    </row>
    <row r="2078">
      <c r="A2078" s="85">
        <v>46085.0</v>
      </c>
      <c r="B2078" s="31" t="s">
        <v>5870</v>
      </c>
      <c r="C2078" s="31">
        <v>8.05011571794E11</v>
      </c>
      <c r="D2078" s="31" t="s">
        <v>5871</v>
      </c>
      <c r="E2078" s="31" t="s">
        <v>5872</v>
      </c>
      <c r="F2078" s="54"/>
      <c r="G2078" s="54"/>
      <c r="H2078" s="54"/>
      <c r="I2078" s="54"/>
      <c r="J2078" s="54"/>
      <c r="K2078" s="54"/>
      <c r="L2078" s="54"/>
      <c r="M2078" s="55"/>
    </row>
    <row r="2079">
      <c r="A2079" s="85">
        <v>46085.0</v>
      </c>
      <c r="B2079" s="31" t="s">
        <v>5873</v>
      </c>
      <c r="C2079" s="31">
        <v>8.07025035219E11</v>
      </c>
      <c r="D2079" s="31" t="s">
        <v>5874</v>
      </c>
      <c r="E2079" s="31" t="s">
        <v>5875</v>
      </c>
      <c r="F2079" s="54"/>
      <c r="G2079" s="54"/>
      <c r="H2079" s="54"/>
      <c r="I2079" s="54"/>
      <c r="J2079" s="54"/>
      <c r="K2079" s="54"/>
      <c r="L2079" s="54"/>
      <c r="M2079" s="55"/>
    </row>
    <row r="2080">
      <c r="A2080" s="85">
        <v>46085.0</v>
      </c>
      <c r="B2080" s="31" t="s">
        <v>5876</v>
      </c>
      <c r="C2080" s="31">
        <v>8.0601509907E11</v>
      </c>
      <c r="D2080" s="31" t="s">
        <v>5877</v>
      </c>
      <c r="E2080" s="31" t="s">
        <v>5878</v>
      </c>
      <c r="F2080" s="54"/>
      <c r="G2080" s="54"/>
      <c r="H2080" s="54"/>
      <c r="I2080" s="54"/>
      <c r="J2080" s="54"/>
      <c r="K2080" s="54"/>
      <c r="L2080" s="54"/>
      <c r="M2080" s="55"/>
    </row>
    <row r="2081">
      <c r="A2081" s="85">
        <v>46085.0</v>
      </c>
      <c r="B2081" s="31" t="s">
        <v>5879</v>
      </c>
      <c r="C2081" s="31">
        <v>8.07025035179E11</v>
      </c>
      <c r="D2081" s="31" t="s">
        <v>5808</v>
      </c>
      <c r="E2081" s="31" t="s">
        <v>5809</v>
      </c>
      <c r="F2081" s="54"/>
      <c r="G2081" s="54"/>
      <c r="H2081" s="54"/>
      <c r="I2081" s="54"/>
      <c r="J2081" s="54"/>
      <c r="K2081" s="54"/>
      <c r="L2081" s="54"/>
      <c r="M2081" s="55"/>
    </row>
    <row r="2082">
      <c r="A2082" s="85">
        <v>46085.0</v>
      </c>
      <c r="B2082" s="31" t="s">
        <v>5880</v>
      </c>
      <c r="C2082" s="31">
        <v>8.06015099069E11</v>
      </c>
      <c r="D2082" s="31" t="s">
        <v>5877</v>
      </c>
      <c r="E2082" s="31" t="s">
        <v>5878</v>
      </c>
      <c r="F2082" s="54"/>
      <c r="G2082" s="54"/>
      <c r="H2082" s="54"/>
      <c r="I2082" s="54"/>
      <c r="J2082" s="54"/>
      <c r="K2082" s="54"/>
      <c r="L2082" s="54"/>
      <c r="M2082" s="55"/>
    </row>
    <row r="2083">
      <c r="A2083" s="85">
        <v>46085.0</v>
      </c>
      <c r="B2083" s="31" t="s">
        <v>5861</v>
      </c>
      <c r="C2083" s="31">
        <v>8.07025035235E11</v>
      </c>
      <c r="D2083" s="31" t="s">
        <v>5862</v>
      </c>
      <c r="E2083" s="31" t="s">
        <v>5863</v>
      </c>
      <c r="F2083" s="54"/>
      <c r="G2083" s="54"/>
      <c r="H2083" s="54"/>
      <c r="I2083" s="54"/>
      <c r="J2083" s="54"/>
      <c r="K2083" s="54"/>
      <c r="L2083" s="54"/>
      <c r="M2083" s="55"/>
    </row>
    <row r="2084">
      <c r="A2084" s="85">
        <v>46085.0</v>
      </c>
      <c r="B2084" s="31" t="s">
        <v>5864</v>
      </c>
      <c r="C2084" s="31">
        <v>8.07839000612E11</v>
      </c>
      <c r="D2084" s="31" t="s">
        <v>5865</v>
      </c>
      <c r="E2084" s="31" t="s">
        <v>5866</v>
      </c>
      <c r="F2084" s="54"/>
      <c r="G2084" s="54"/>
      <c r="H2084" s="54"/>
      <c r="I2084" s="54"/>
      <c r="J2084" s="54"/>
      <c r="K2084" s="54"/>
      <c r="L2084" s="54"/>
      <c r="M2084" s="55"/>
    </row>
    <row r="2085">
      <c r="A2085" s="85">
        <v>46085.0</v>
      </c>
      <c r="B2085" s="31" t="s">
        <v>5867</v>
      </c>
      <c r="C2085" s="31">
        <v>8.05011571664E11</v>
      </c>
      <c r="D2085" s="31" t="s">
        <v>5868</v>
      </c>
      <c r="E2085" s="31" t="s">
        <v>5869</v>
      </c>
      <c r="F2085" s="54"/>
      <c r="G2085" s="54"/>
      <c r="H2085" s="54"/>
      <c r="I2085" s="54"/>
      <c r="J2085" s="54"/>
      <c r="K2085" s="54"/>
      <c r="L2085" s="54"/>
      <c r="M2085" s="55"/>
    </row>
    <row r="2086">
      <c r="A2086" s="85">
        <v>46085.0</v>
      </c>
      <c r="B2086" s="31" t="s">
        <v>5876</v>
      </c>
      <c r="C2086" s="31">
        <v>8.0601509907E11</v>
      </c>
      <c r="D2086" s="31" t="s">
        <v>5877</v>
      </c>
      <c r="E2086" s="31" t="s">
        <v>5878</v>
      </c>
      <c r="F2086" s="54"/>
      <c r="G2086" s="54"/>
      <c r="H2086" s="54"/>
      <c r="I2086" s="54"/>
      <c r="J2086" s="54"/>
      <c r="K2086" s="54"/>
      <c r="L2086" s="54"/>
      <c r="M2086" s="55"/>
    </row>
    <row r="2087">
      <c r="A2087" s="85">
        <v>46085.0</v>
      </c>
      <c r="B2087" s="31" t="s">
        <v>5861</v>
      </c>
      <c r="C2087" s="31">
        <v>8.07025035235E11</v>
      </c>
      <c r="D2087" s="31" t="s">
        <v>5862</v>
      </c>
      <c r="E2087" s="31" t="s">
        <v>5863</v>
      </c>
      <c r="F2087" s="54"/>
      <c r="G2087" s="54"/>
      <c r="H2087" s="54"/>
      <c r="I2087" s="54"/>
      <c r="J2087" s="54"/>
      <c r="K2087" s="54"/>
      <c r="L2087" s="54"/>
      <c r="M2087" s="55"/>
    </row>
    <row r="2088">
      <c r="A2088" s="85">
        <v>46085.0</v>
      </c>
      <c r="B2088" s="31" t="s">
        <v>5864</v>
      </c>
      <c r="C2088" s="31">
        <v>8.07839000612E11</v>
      </c>
      <c r="D2088" s="31" t="s">
        <v>5865</v>
      </c>
      <c r="E2088" s="31" t="s">
        <v>5866</v>
      </c>
      <c r="F2088" s="54"/>
      <c r="G2088" s="54"/>
      <c r="H2088" s="54"/>
      <c r="I2088" s="54"/>
      <c r="J2088" s="54"/>
      <c r="K2088" s="54"/>
      <c r="L2088" s="54"/>
      <c r="M2088" s="55"/>
    </row>
    <row r="2089">
      <c r="A2089" s="85">
        <v>46085.0</v>
      </c>
      <c r="B2089" s="31" t="s">
        <v>5867</v>
      </c>
      <c r="C2089" s="31">
        <v>8.05011571664E11</v>
      </c>
      <c r="D2089" s="31" t="s">
        <v>5868</v>
      </c>
      <c r="E2089" s="31" t="s">
        <v>5869</v>
      </c>
      <c r="F2089" s="54"/>
      <c r="G2089" s="54"/>
      <c r="H2089" s="54"/>
      <c r="I2089" s="54"/>
      <c r="J2089" s="54"/>
      <c r="K2089" s="54"/>
      <c r="L2089" s="54"/>
      <c r="M2089" s="55"/>
    </row>
    <row r="2090" ht="7.5" customHeight="1">
      <c r="A2090" s="87"/>
      <c r="B2090" s="88"/>
      <c r="C2090" s="88"/>
      <c r="D2090" s="88"/>
      <c r="E2090" s="88"/>
      <c r="F2090" s="88"/>
      <c r="G2090" s="88"/>
      <c r="H2090" s="88"/>
      <c r="I2090" s="88"/>
      <c r="J2090" s="88"/>
      <c r="K2090" s="88"/>
      <c r="L2090" s="88"/>
      <c r="M2090" s="89"/>
      <c r="N2090" s="90"/>
      <c r="O2090" s="90"/>
    </row>
    <row r="2091">
      <c r="A2091" s="85">
        <v>46099.0</v>
      </c>
      <c r="B2091" s="31" t="s">
        <v>5881</v>
      </c>
      <c r="C2091" s="31">
        <v>8.07839000864E11</v>
      </c>
      <c r="D2091" s="31" t="s">
        <v>5882</v>
      </c>
      <c r="E2091" s="31" t="s">
        <v>5883</v>
      </c>
      <c r="F2091" s="31" t="s">
        <v>5884</v>
      </c>
      <c r="G2091" s="31" t="s">
        <v>127</v>
      </c>
      <c r="H2091" s="31" t="s">
        <v>20</v>
      </c>
      <c r="I2091" s="31">
        <v>4400.0</v>
      </c>
      <c r="J2091" s="31">
        <v>3.877410328E9</v>
      </c>
      <c r="K2091" s="31" t="s">
        <v>340</v>
      </c>
      <c r="L2091" s="31" t="s">
        <v>3486</v>
      </c>
      <c r="M2091" s="33">
        <v>2.0</v>
      </c>
      <c r="N2091" s="34"/>
      <c r="O2091" s="34"/>
    </row>
    <row r="2092">
      <c r="A2092" s="85">
        <v>46099.0</v>
      </c>
      <c r="B2092" s="31" t="s">
        <v>5881</v>
      </c>
      <c r="C2092" s="31">
        <v>8.07839000864E11</v>
      </c>
      <c r="D2092" s="31" t="s">
        <v>5882</v>
      </c>
      <c r="E2092" s="31" t="s">
        <v>5883</v>
      </c>
      <c r="F2092" s="31" t="s">
        <v>5884</v>
      </c>
      <c r="G2092" s="31" t="s">
        <v>127</v>
      </c>
      <c r="H2092" s="31" t="s">
        <v>20</v>
      </c>
      <c r="I2092" s="31">
        <v>4400.0</v>
      </c>
      <c r="J2092" s="31">
        <v>3.877410328E9</v>
      </c>
      <c r="K2092" s="31" t="s">
        <v>761</v>
      </c>
      <c r="L2092" s="31" t="s">
        <v>3761</v>
      </c>
      <c r="M2092" s="33">
        <v>1.0</v>
      </c>
      <c r="N2092" s="34"/>
      <c r="O2092" s="34"/>
    </row>
    <row r="2093">
      <c r="A2093" s="85">
        <v>46099.0</v>
      </c>
      <c r="B2093" s="31" t="s">
        <v>5881</v>
      </c>
      <c r="C2093" s="31">
        <v>8.07839000864E11</v>
      </c>
      <c r="D2093" s="31" t="s">
        <v>5882</v>
      </c>
      <c r="E2093" s="31" t="s">
        <v>5883</v>
      </c>
      <c r="F2093" s="31" t="s">
        <v>5884</v>
      </c>
      <c r="G2093" s="31" t="s">
        <v>127</v>
      </c>
      <c r="H2093" s="31" t="s">
        <v>20</v>
      </c>
      <c r="I2093" s="31">
        <v>4400.0</v>
      </c>
      <c r="J2093" s="31">
        <v>3.877410328E9</v>
      </c>
      <c r="K2093" s="31" t="s">
        <v>512</v>
      </c>
      <c r="L2093" s="31" t="s">
        <v>513</v>
      </c>
      <c r="M2093" s="33">
        <v>2.0</v>
      </c>
      <c r="N2093" s="34"/>
      <c r="O2093" s="34"/>
    </row>
    <row r="2094">
      <c r="A2094" s="85">
        <v>46099.0</v>
      </c>
      <c r="B2094" s="31" t="s">
        <v>5885</v>
      </c>
      <c r="C2094" s="31">
        <v>8.07940000254E11</v>
      </c>
      <c r="D2094" s="31" t="s">
        <v>5062</v>
      </c>
      <c r="E2094" s="31" t="s">
        <v>5063</v>
      </c>
      <c r="F2094" s="31" t="s">
        <v>5064</v>
      </c>
      <c r="G2094" s="31" t="s">
        <v>127</v>
      </c>
      <c r="H2094" s="31" t="s">
        <v>20</v>
      </c>
      <c r="I2094" s="31">
        <v>4400.0</v>
      </c>
      <c r="J2094" s="31">
        <v>3.875037357E9</v>
      </c>
      <c r="K2094" s="31" t="s">
        <v>512</v>
      </c>
      <c r="L2094" s="31" t="s">
        <v>513</v>
      </c>
      <c r="M2094" s="33">
        <v>2.0</v>
      </c>
      <c r="N2094" s="34"/>
      <c r="O2094" s="34"/>
    </row>
    <row r="2095">
      <c r="A2095" s="85">
        <v>46099.0</v>
      </c>
      <c r="B2095" s="31" t="s">
        <v>5885</v>
      </c>
      <c r="C2095" s="31">
        <v>8.07940000254E11</v>
      </c>
      <c r="D2095" s="31" t="s">
        <v>5062</v>
      </c>
      <c r="E2095" s="31" t="s">
        <v>5063</v>
      </c>
      <c r="F2095" s="31" t="s">
        <v>5064</v>
      </c>
      <c r="G2095" s="31" t="s">
        <v>127</v>
      </c>
      <c r="H2095" s="31" t="s">
        <v>20</v>
      </c>
      <c r="I2095" s="31">
        <v>4400.0</v>
      </c>
      <c r="J2095" s="31">
        <v>3.875037357E9</v>
      </c>
      <c r="K2095" s="31" t="s">
        <v>1345</v>
      </c>
      <c r="L2095" s="31" t="s">
        <v>3639</v>
      </c>
      <c r="M2095" s="33">
        <v>2.0</v>
      </c>
      <c r="N2095" s="34"/>
      <c r="O2095" s="34"/>
    </row>
    <row r="2096">
      <c r="A2096" s="85">
        <v>46099.0</v>
      </c>
      <c r="B2096" s="31" t="s">
        <v>5885</v>
      </c>
      <c r="C2096" s="31">
        <v>8.07940000254E11</v>
      </c>
      <c r="D2096" s="31" t="s">
        <v>5062</v>
      </c>
      <c r="E2096" s="31" t="s">
        <v>5063</v>
      </c>
      <c r="F2096" s="31" t="s">
        <v>5064</v>
      </c>
      <c r="G2096" s="31" t="s">
        <v>127</v>
      </c>
      <c r="H2096" s="31" t="s">
        <v>20</v>
      </c>
      <c r="I2096" s="31">
        <v>4400.0</v>
      </c>
      <c r="J2096" s="31">
        <v>3.875037357E9</v>
      </c>
      <c r="K2096" s="31" t="s">
        <v>3641</v>
      </c>
      <c r="L2096" s="31" t="s">
        <v>3642</v>
      </c>
      <c r="M2096" s="33">
        <v>2.0</v>
      </c>
      <c r="N2096" s="34"/>
      <c r="O2096" s="34"/>
    </row>
    <row r="2097">
      <c r="A2097" s="85">
        <v>46099.0</v>
      </c>
      <c r="B2097" s="31" t="s">
        <v>5886</v>
      </c>
      <c r="C2097" s="31">
        <v>8.07025035281E11</v>
      </c>
      <c r="D2097" s="31" t="s">
        <v>5887</v>
      </c>
      <c r="E2097" s="31" t="s">
        <v>5888</v>
      </c>
      <c r="F2097" s="31" t="s">
        <v>5889</v>
      </c>
      <c r="G2097" s="31" t="s">
        <v>127</v>
      </c>
      <c r="H2097" s="31" t="s">
        <v>20</v>
      </c>
      <c r="I2097" s="31">
        <v>4400.0</v>
      </c>
      <c r="J2097" s="31">
        <v>3.875007245E9</v>
      </c>
      <c r="K2097" s="31" t="s">
        <v>4974</v>
      </c>
      <c r="L2097" s="31" t="s">
        <v>4975</v>
      </c>
      <c r="M2097" s="33">
        <v>1.0</v>
      </c>
      <c r="N2097" s="34"/>
      <c r="O2097" s="34"/>
    </row>
    <row r="2098">
      <c r="A2098" s="85">
        <v>46099.0</v>
      </c>
      <c r="B2098" s="31" t="s">
        <v>5890</v>
      </c>
      <c r="C2098" s="31">
        <v>8.07839001391E11</v>
      </c>
      <c r="D2098" s="31" t="s">
        <v>5891</v>
      </c>
      <c r="E2098" s="31" t="s">
        <v>5892</v>
      </c>
      <c r="F2098" s="31" t="s">
        <v>5893</v>
      </c>
      <c r="G2098" s="31" t="s">
        <v>5894</v>
      </c>
      <c r="H2098" s="31" t="s">
        <v>20</v>
      </c>
      <c r="I2098" s="31">
        <v>4430.0</v>
      </c>
      <c r="J2098" s="31">
        <v>3.875654043E9</v>
      </c>
      <c r="K2098" s="31" t="s">
        <v>698</v>
      </c>
      <c r="L2098" s="31" t="s">
        <v>699</v>
      </c>
      <c r="M2098" s="33">
        <v>1.0</v>
      </c>
      <c r="N2098" s="34"/>
      <c r="O2098" s="34"/>
    </row>
    <row r="2099">
      <c r="A2099" s="85">
        <v>46099.0</v>
      </c>
      <c r="B2099" s="31" t="s">
        <v>5895</v>
      </c>
      <c r="C2099" s="31">
        <v>8.07839001472E11</v>
      </c>
      <c r="D2099" s="31" t="s">
        <v>5896</v>
      </c>
      <c r="E2099" s="31" t="s">
        <v>5897</v>
      </c>
      <c r="F2099" s="31" t="s">
        <v>5898</v>
      </c>
      <c r="G2099" s="31" t="s">
        <v>5899</v>
      </c>
      <c r="H2099" s="31" t="s">
        <v>20</v>
      </c>
      <c r="I2099" s="31">
        <v>4411.0</v>
      </c>
      <c r="J2099" s="31">
        <v>3.875750816E9</v>
      </c>
      <c r="K2099" s="31" t="s">
        <v>670</v>
      </c>
      <c r="L2099" s="31" t="s">
        <v>3410</v>
      </c>
      <c r="M2099" s="33">
        <v>1.0</v>
      </c>
      <c r="N2099" s="34"/>
      <c r="O2099" s="34"/>
    </row>
    <row r="2100">
      <c r="A2100" s="85">
        <v>46099.0</v>
      </c>
      <c r="B2100" s="31" t="s">
        <v>5895</v>
      </c>
      <c r="C2100" s="31">
        <v>8.07839001472E11</v>
      </c>
      <c r="D2100" s="31" t="s">
        <v>5896</v>
      </c>
      <c r="E2100" s="31" t="s">
        <v>5897</v>
      </c>
      <c r="F2100" s="31" t="s">
        <v>5898</v>
      </c>
      <c r="G2100" s="31" t="s">
        <v>5899</v>
      </c>
      <c r="H2100" s="31" t="s">
        <v>20</v>
      </c>
      <c r="I2100" s="31">
        <v>4411.0</v>
      </c>
      <c r="J2100" s="31">
        <v>3.875750816E9</v>
      </c>
      <c r="K2100" s="31" t="s">
        <v>512</v>
      </c>
      <c r="L2100" s="31" t="s">
        <v>513</v>
      </c>
      <c r="M2100" s="33">
        <v>1.0</v>
      </c>
      <c r="N2100" s="34"/>
      <c r="O2100" s="34"/>
    </row>
    <row r="2101">
      <c r="A2101" s="85">
        <v>46099.0</v>
      </c>
      <c r="B2101" s="31" t="s">
        <v>5895</v>
      </c>
      <c r="C2101" s="31">
        <v>8.07839001472E11</v>
      </c>
      <c r="D2101" s="31" t="s">
        <v>5896</v>
      </c>
      <c r="E2101" s="31" t="s">
        <v>5897</v>
      </c>
      <c r="F2101" s="31" t="s">
        <v>5898</v>
      </c>
      <c r="G2101" s="31" t="s">
        <v>5899</v>
      </c>
      <c r="H2101" s="31" t="s">
        <v>20</v>
      </c>
      <c r="I2101" s="31">
        <v>4411.0</v>
      </c>
      <c r="J2101" s="31">
        <v>3.875750816E9</v>
      </c>
      <c r="K2101" s="31" t="s">
        <v>98</v>
      </c>
      <c r="L2101" s="31" t="s">
        <v>3187</v>
      </c>
      <c r="M2101" s="33">
        <v>1.0</v>
      </c>
      <c r="N2101" s="34"/>
      <c r="O2101" s="34"/>
    </row>
    <row r="2102">
      <c r="A2102" s="85">
        <v>46099.0</v>
      </c>
      <c r="B2102" s="31" t="s">
        <v>5900</v>
      </c>
      <c r="C2102" s="31">
        <v>8.07227014118E11</v>
      </c>
      <c r="D2102" s="31" t="s">
        <v>5901</v>
      </c>
      <c r="E2102" s="31" t="s">
        <v>5902</v>
      </c>
      <c r="F2102" s="31" t="s">
        <v>5903</v>
      </c>
      <c r="G2102" s="31" t="s">
        <v>127</v>
      </c>
      <c r="H2102" s="31" t="s">
        <v>20</v>
      </c>
      <c r="I2102" s="31">
        <v>4400.0</v>
      </c>
      <c r="J2102" s="31">
        <v>3.517517987E9</v>
      </c>
      <c r="K2102" s="31" t="s">
        <v>5658</v>
      </c>
      <c r="L2102" s="31" t="s">
        <v>5659</v>
      </c>
      <c r="M2102" s="33">
        <v>1.0</v>
      </c>
      <c r="N2102" s="34"/>
      <c r="O2102" s="31" t="s">
        <v>5904</v>
      </c>
    </row>
    <row r="2103" ht="8.25" customHeight="1">
      <c r="A2103" s="87"/>
      <c r="B2103" s="88"/>
      <c r="C2103" s="88"/>
      <c r="D2103" s="88"/>
      <c r="E2103" s="88"/>
      <c r="F2103" s="88"/>
      <c r="G2103" s="88"/>
      <c r="H2103" s="88"/>
      <c r="I2103" s="88"/>
      <c r="J2103" s="88"/>
      <c r="K2103" s="88"/>
      <c r="L2103" s="88"/>
      <c r="M2103" s="89"/>
      <c r="N2103" s="90"/>
      <c r="O2103" s="90"/>
    </row>
    <row r="2104">
      <c r="A2104" s="85">
        <v>46107.0</v>
      </c>
      <c r="B2104" s="31" t="s">
        <v>5905</v>
      </c>
      <c r="C2104" s="31">
        <v>8.05011571378E11</v>
      </c>
      <c r="D2104" s="31" t="s">
        <v>5906</v>
      </c>
      <c r="E2104" s="31" t="s">
        <v>5907</v>
      </c>
      <c r="F2104" s="31" t="s">
        <v>5908</v>
      </c>
      <c r="G2104" s="31" t="s">
        <v>58</v>
      </c>
      <c r="H2104" s="31" t="s">
        <v>20</v>
      </c>
      <c r="I2104" s="31">
        <v>4403.0</v>
      </c>
      <c r="J2104" s="31">
        <v>3.875164183E9</v>
      </c>
      <c r="K2104" s="31" t="s">
        <v>5817</v>
      </c>
      <c r="L2104" s="31" t="s">
        <v>5417</v>
      </c>
      <c r="M2104" s="33">
        <v>1.0</v>
      </c>
      <c r="N2104" s="34"/>
      <c r="O2104" s="34"/>
    </row>
    <row r="2105">
      <c r="A2105" s="85">
        <v>46107.0</v>
      </c>
      <c r="B2105" s="31" t="s">
        <v>5905</v>
      </c>
      <c r="C2105" s="31">
        <v>8.05011571378E11</v>
      </c>
      <c r="D2105" s="31" t="s">
        <v>5906</v>
      </c>
      <c r="E2105" s="31" t="s">
        <v>5907</v>
      </c>
      <c r="F2105" s="31" t="s">
        <v>5908</v>
      </c>
      <c r="G2105" s="31" t="s">
        <v>58</v>
      </c>
      <c r="H2105" s="31" t="s">
        <v>20</v>
      </c>
      <c r="I2105" s="31">
        <v>4403.0</v>
      </c>
      <c r="J2105" s="31">
        <v>3.875164183E9</v>
      </c>
      <c r="K2105" s="31" t="s">
        <v>1756</v>
      </c>
      <c r="L2105" s="31" t="s">
        <v>5005</v>
      </c>
      <c r="M2105" s="33">
        <v>1.0</v>
      </c>
      <c r="N2105" s="34"/>
      <c r="O2105" s="34"/>
    </row>
    <row r="2106">
      <c r="A2106" s="85">
        <v>46107.0</v>
      </c>
      <c r="B2106" s="31" t="s">
        <v>5909</v>
      </c>
      <c r="C2106" s="31">
        <v>8.0501157215E11</v>
      </c>
      <c r="D2106" s="31" t="s">
        <v>5910</v>
      </c>
      <c r="E2106" s="31" t="s">
        <v>5911</v>
      </c>
      <c r="F2106" s="31" t="s">
        <v>5912</v>
      </c>
      <c r="G2106" s="31" t="s">
        <v>20</v>
      </c>
      <c r="H2106" s="31" t="s">
        <v>20</v>
      </c>
      <c r="I2106" s="31">
        <v>4400.0</v>
      </c>
      <c r="J2106" s="31">
        <v>3.88517411E9</v>
      </c>
      <c r="K2106" s="31" t="s">
        <v>1241</v>
      </c>
      <c r="L2106" s="31" t="s">
        <v>3500</v>
      </c>
      <c r="M2106" s="33">
        <v>2.0</v>
      </c>
      <c r="N2106" s="34"/>
      <c r="O2106" s="31" t="s">
        <v>5913</v>
      </c>
    </row>
    <row r="2107">
      <c r="A2107" s="85">
        <v>46107.0</v>
      </c>
      <c r="B2107" s="31" t="s">
        <v>5909</v>
      </c>
      <c r="C2107" s="31">
        <v>8.0501157215E11</v>
      </c>
      <c r="D2107" s="31" t="s">
        <v>5910</v>
      </c>
      <c r="E2107" s="31" t="s">
        <v>5911</v>
      </c>
      <c r="F2107" s="31" t="s">
        <v>5912</v>
      </c>
      <c r="G2107" s="31" t="s">
        <v>20</v>
      </c>
      <c r="H2107" s="31" t="s">
        <v>20</v>
      </c>
      <c r="I2107" s="31">
        <v>4400.0</v>
      </c>
      <c r="J2107" s="31">
        <v>3.88517411E9</v>
      </c>
      <c r="K2107" s="31" t="s">
        <v>512</v>
      </c>
      <c r="L2107" s="31" t="s">
        <v>513</v>
      </c>
      <c r="M2107" s="33">
        <v>2.0</v>
      </c>
      <c r="N2107" s="34"/>
      <c r="O2107" s="31" t="s">
        <v>5913</v>
      </c>
    </row>
    <row r="2108">
      <c r="A2108" s="85">
        <v>46107.0</v>
      </c>
      <c r="B2108" s="31" t="s">
        <v>5909</v>
      </c>
      <c r="C2108" s="31">
        <v>8.0501157215E11</v>
      </c>
      <c r="D2108" s="31" t="s">
        <v>5910</v>
      </c>
      <c r="E2108" s="31" t="s">
        <v>5911</v>
      </c>
      <c r="F2108" s="31" t="s">
        <v>5912</v>
      </c>
      <c r="G2108" s="31" t="s">
        <v>20</v>
      </c>
      <c r="H2108" s="31" t="s">
        <v>20</v>
      </c>
      <c r="I2108" s="31">
        <v>4400.0</v>
      </c>
      <c r="J2108" s="31">
        <v>3.88517411E9</v>
      </c>
      <c r="K2108" s="31" t="s">
        <v>1749</v>
      </c>
      <c r="L2108" s="31" t="s">
        <v>3240</v>
      </c>
      <c r="M2108" s="33">
        <v>2.0</v>
      </c>
      <c r="N2108" s="34"/>
      <c r="O2108" s="31" t="s">
        <v>5913</v>
      </c>
    </row>
    <row r="2109">
      <c r="A2109" s="85">
        <v>46107.0</v>
      </c>
      <c r="B2109" s="31" t="s">
        <v>5914</v>
      </c>
      <c r="C2109" s="31">
        <v>8.0783900139E11</v>
      </c>
      <c r="D2109" s="31" t="s">
        <v>5915</v>
      </c>
      <c r="E2109" s="31" t="s">
        <v>5916</v>
      </c>
      <c r="F2109" s="31" t="s">
        <v>5917</v>
      </c>
      <c r="G2109" s="31" t="s">
        <v>20</v>
      </c>
      <c r="H2109" s="31" t="s">
        <v>20</v>
      </c>
      <c r="I2109" s="31">
        <v>4400.0</v>
      </c>
      <c r="J2109" s="31">
        <v>3.872111282E9</v>
      </c>
      <c r="K2109" s="31" t="s">
        <v>659</v>
      </c>
      <c r="L2109" s="31" t="s">
        <v>3468</v>
      </c>
      <c r="M2109" s="33">
        <v>1.0</v>
      </c>
      <c r="N2109" s="34"/>
      <c r="O2109" s="31" t="s">
        <v>5918</v>
      </c>
    </row>
    <row r="2110">
      <c r="A2110" s="85">
        <v>46107.0</v>
      </c>
      <c r="B2110" s="31" t="s">
        <v>5919</v>
      </c>
      <c r="C2110" s="31">
        <v>8.07839001717E11</v>
      </c>
      <c r="D2110" s="31" t="s">
        <v>5920</v>
      </c>
      <c r="E2110" s="31" t="s">
        <v>5921</v>
      </c>
      <c r="F2110" s="31" t="s">
        <v>5922</v>
      </c>
      <c r="G2110" s="31" t="s">
        <v>5923</v>
      </c>
      <c r="H2110" s="31" t="s">
        <v>20</v>
      </c>
      <c r="I2110" s="31">
        <v>4530.0</v>
      </c>
      <c r="J2110" s="31">
        <v>3.878775111E9</v>
      </c>
      <c r="K2110" s="31" t="s">
        <v>698</v>
      </c>
      <c r="L2110" s="31" t="s">
        <v>699</v>
      </c>
      <c r="M2110" s="33">
        <v>1.0</v>
      </c>
      <c r="N2110" s="34"/>
      <c r="O2110" s="31" t="s">
        <v>5924</v>
      </c>
    </row>
    <row r="2111">
      <c r="A2111" s="85">
        <v>46107.0</v>
      </c>
      <c r="B2111" s="31" t="s">
        <v>5925</v>
      </c>
      <c r="C2111" s="31">
        <v>8.0783900172E11</v>
      </c>
      <c r="D2111" s="31" t="s">
        <v>5920</v>
      </c>
      <c r="E2111" s="31" t="s">
        <v>5921</v>
      </c>
      <c r="F2111" s="31" t="s">
        <v>5926</v>
      </c>
      <c r="G2111" s="31" t="s">
        <v>5923</v>
      </c>
      <c r="H2111" s="31" t="s">
        <v>20</v>
      </c>
      <c r="I2111" s="31">
        <v>4530.0</v>
      </c>
      <c r="J2111" s="31">
        <v>3.878775111E9</v>
      </c>
      <c r="K2111" s="31" t="s">
        <v>698</v>
      </c>
      <c r="L2111" s="31" t="s">
        <v>699</v>
      </c>
      <c r="M2111" s="33">
        <v>1.0</v>
      </c>
      <c r="N2111" s="34"/>
      <c r="O2111" s="31" t="s">
        <v>5927</v>
      </c>
    </row>
    <row r="2112">
      <c r="A2112" s="85">
        <v>46107.0</v>
      </c>
      <c r="B2112" s="31" t="s">
        <v>5928</v>
      </c>
      <c r="C2112" s="31">
        <v>8.05011572454E11</v>
      </c>
      <c r="D2112" s="31" t="s">
        <v>5929</v>
      </c>
      <c r="E2112" s="31" t="s">
        <v>5930</v>
      </c>
      <c r="F2112" s="31" t="s">
        <v>5931</v>
      </c>
      <c r="G2112" s="31" t="s">
        <v>20</v>
      </c>
      <c r="H2112" s="31" t="s">
        <v>20</v>
      </c>
      <c r="I2112" s="31">
        <v>4400.0</v>
      </c>
      <c r="J2112" s="31">
        <v>3.873551866E9</v>
      </c>
      <c r="K2112" s="31" t="s">
        <v>3641</v>
      </c>
      <c r="L2112" s="31" t="s">
        <v>3642</v>
      </c>
      <c r="M2112" s="33">
        <v>1.0</v>
      </c>
      <c r="N2112" s="34"/>
      <c r="O2112" s="34"/>
    </row>
    <row r="2113">
      <c r="A2113" s="85">
        <v>46107.0</v>
      </c>
      <c r="B2113" s="31" t="s">
        <v>5932</v>
      </c>
      <c r="C2113" s="31">
        <v>8.05011572479E11</v>
      </c>
      <c r="D2113" s="31" t="s">
        <v>5933</v>
      </c>
      <c r="E2113" s="31" t="s">
        <v>5934</v>
      </c>
      <c r="F2113" s="31" t="s">
        <v>5935</v>
      </c>
      <c r="G2113" s="31" t="s">
        <v>5936</v>
      </c>
      <c r="H2113" s="31" t="s">
        <v>20</v>
      </c>
      <c r="I2113" s="31">
        <v>4542.0</v>
      </c>
      <c r="J2113" s="31">
        <v>3.875800897E9</v>
      </c>
      <c r="K2113" s="31" t="s">
        <v>106</v>
      </c>
      <c r="L2113" s="31" t="s">
        <v>3670</v>
      </c>
      <c r="M2113" s="33">
        <v>1.0</v>
      </c>
      <c r="N2113" s="34"/>
      <c r="O2113" s="34"/>
    </row>
    <row r="2114">
      <c r="A2114" s="85">
        <v>46107.0</v>
      </c>
      <c r="B2114" s="31" t="s">
        <v>5937</v>
      </c>
      <c r="C2114" s="31">
        <v>8.05011572458E11</v>
      </c>
      <c r="D2114" s="31" t="s">
        <v>5938</v>
      </c>
      <c r="E2114" s="31" t="s">
        <v>5939</v>
      </c>
      <c r="F2114" s="31" t="s">
        <v>5940</v>
      </c>
      <c r="G2114" s="31" t="s">
        <v>20</v>
      </c>
      <c r="H2114" s="31" t="s">
        <v>20</v>
      </c>
      <c r="I2114" s="31">
        <v>4400.0</v>
      </c>
      <c r="J2114" s="31">
        <v>3.8745311E9</v>
      </c>
      <c r="K2114" s="31" t="s">
        <v>2135</v>
      </c>
      <c r="L2114" s="31" t="s">
        <v>5094</v>
      </c>
      <c r="M2114" s="33">
        <v>4.0</v>
      </c>
      <c r="N2114" s="34"/>
      <c r="O2114" s="34"/>
    </row>
    <row r="2115">
      <c r="A2115" s="85">
        <v>46107.0</v>
      </c>
      <c r="B2115" s="31" t="s">
        <v>5941</v>
      </c>
      <c r="C2115" s="31">
        <v>8.07839001832E11</v>
      </c>
      <c r="D2115" s="31" t="s">
        <v>5942</v>
      </c>
      <c r="E2115" s="31" t="s">
        <v>5943</v>
      </c>
      <c r="F2115" s="31" t="s">
        <v>5944</v>
      </c>
      <c r="G2115" s="31" t="s">
        <v>5945</v>
      </c>
      <c r="H2115" s="31" t="s">
        <v>20</v>
      </c>
      <c r="I2115" s="31">
        <v>4190.0</v>
      </c>
      <c r="J2115" s="31">
        <v>3.876401899E9</v>
      </c>
      <c r="K2115" s="31" t="s">
        <v>32</v>
      </c>
      <c r="L2115" s="31" t="s">
        <v>3225</v>
      </c>
      <c r="M2115" s="33">
        <v>1.0</v>
      </c>
      <c r="N2115" s="34"/>
      <c r="O2115" s="31" t="s">
        <v>5946</v>
      </c>
    </row>
    <row r="2116">
      <c r="A2116" s="85">
        <v>46107.0</v>
      </c>
      <c r="B2116" s="31" t="s">
        <v>5947</v>
      </c>
      <c r="C2116" s="31">
        <v>8.07839002094E11</v>
      </c>
      <c r="D2116" s="31" t="s">
        <v>5948</v>
      </c>
      <c r="E2116" s="31" t="s">
        <v>5949</v>
      </c>
      <c r="F2116" s="31" t="s">
        <v>5950</v>
      </c>
      <c r="G2116" s="31" t="s">
        <v>20</v>
      </c>
      <c r="H2116" s="31" t="s">
        <v>20</v>
      </c>
      <c r="I2116" s="31">
        <v>4400.0</v>
      </c>
      <c r="J2116" s="31">
        <v>3.874570809E9</v>
      </c>
      <c r="K2116" s="31" t="s">
        <v>634</v>
      </c>
      <c r="L2116" s="31" t="s">
        <v>635</v>
      </c>
      <c r="M2116" s="33">
        <v>3.0</v>
      </c>
      <c r="N2116" s="34"/>
      <c r="O2116" s="34"/>
    </row>
    <row r="2117">
      <c r="A2117" s="85">
        <v>46107.0</v>
      </c>
      <c r="B2117" s="31" t="s">
        <v>5951</v>
      </c>
      <c r="C2117" s="31">
        <v>8.07839002144E11</v>
      </c>
      <c r="D2117" s="31" t="s">
        <v>5952</v>
      </c>
      <c r="E2117" s="31" t="s">
        <v>5953</v>
      </c>
      <c r="F2117" s="31" t="s">
        <v>5954</v>
      </c>
      <c r="G2117" s="31" t="s">
        <v>5955</v>
      </c>
      <c r="H2117" s="31" t="s">
        <v>20</v>
      </c>
      <c r="I2117" s="31">
        <v>4530.0</v>
      </c>
      <c r="J2117" s="31">
        <v>3.878503214E9</v>
      </c>
      <c r="K2117" s="31" t="s">
        <v>289</v>
      </c>
      <c r="L2117" s="31" t="s">
        <v>290</v>
      </c>
      <c r="M2117" s="33">
        <v>1.0</v>
      </c>
      <c r="N2117" s="34"/>
      <c r="O2117" s="31" t="s">
        <v>5956</v>
      </c>
    </row>
    <row r="2118" ht="6.75" customHeight="1">
      <c r="A2118" s="87"/>
      <c r="B2118" s="88"/>
      <c r="C2118" s="88"/>
      <c r="D2118" s="88"/>
      <c r="E2118" s="88"/>
      <c r="F2118" s="88"/>
      <c r="G2118" s="88"/>
      <c r="H2118" s="88"/>
      <c r="I2118" s="88"/>
      <c r="J2118" s="88"/>
      <c r="K2118" s="88"/>
      <c r="L2118" s="88"/>
      <c r="M2118" s="89"/>
      <c r="N2118" s="90"/>
      <c r="O2118" s="90"/>
    </row>
    <row r="2119">
      <c r="A2119" s="85">
        <v>46112.0</v>
      </c>
      <c r="B2119" s="31" t="s">
        <v>5957</v>
      </c>
      <c r="C2119" s="31">
        <v>8.05011572183E11</v>
      </c>
      <c r="D2119" s="31" t="s">
        <v>5958</v>
      </c>
      <c r="E2119" s="31" t="s">
        <v>5959</v>
      </c>
      <c r="F2119" s="31" t="s">
        <v>5960</v>
      </c>
      <c r="G2119" s="31" t="s">
        <v>20</v>
      </c>
      <c r="H2119" s="31" t="s">
        <v>20</v>
      </c>
      <c r="I2119" s="31">
        <v>4400.0</v>
      </c>
      <c r="J2119" s="31">
        <v>3.874685945E9</v>
      </c>
      <c r="K2119" s="31" t="s">
        <v>5289</v>
      </c>
      <c r="L2119" s="31" t="s">
        <v>5290</v>
      </c>
      <c r="M2119" s="33">
        <v>1.0</v>
      </c>
      <c r="N2119" s="34"/>
      <c r="O2119" s="31" t="s">
        <v>5961</v>
      </c>
    </row>
    <row r="2120">
      <c r="A2120" s="85">
        <v>46112.0</v>
      </c>
      <c r="B2120" s="31" t="s">
        <v>5957</v>
      </c>
      <c r="C2120" s="31">
        <v>8.05011572183E11</v>
      </c>
      <c r="D2120" s="31" t="s">
        <v>5958</v>
      </c>
      <c r="E2120" s="31" t="s">
        <v>5959</v>
      </c>
      <c r="F2120" s="31" t="s">
        <v>5960</v>
      </c>
      <c r="G2120" s="31" t="s">
        <v>20</v>
      </c>
      <c r="H2120" s="31" t="s">
        <v>20</v>
      </c>
      <c r="I2120" s="31">
        <v>4400.0</v>
      </c>
      <c r="J2120" s="31">
        <v>3.874685945E9</v>
      </c>
      <c r="K2120" s="31" t="s">
        <v>512</v>
      </c>
      <c r="L2120" s="31" t="s">
        <v>513</v>
      </c>
      <c r="M2120" s="33">
        <v>12.0</v>
      </c>
      <c r="N2120" s="34"/>
      <c r="O2120" s="31" t="s">
        <v>5961</v>
      </c>
    </row>
    <row r="2121">
      <c r="A2121" s="85">
        <v>46112.0</v>
      </c>
      <c r="B2121" s="31" t="s">
        <v>5957</v>
      </c>
      <c r="C2121" s="31">
        <v>8.05011572183E11</v>
      </c>
      <c r="D2121" s="31" t="s">
        <v>5958</v>
      </c>
      <c r="E2121" s="31" t="s">
        <v>5959</v>
      </c>
      <c r="F2121" s="31" t="s">
        <v>5960</v>
      </c>
      <c r="G2121" s="31" t="s">
        <v>20</v>
      </c>
      <c r="H2121" s="31" t="s">
        <v>20</v>
      </c>
      <c r="I2121" s="31">
        <v>4400.0</v>
      </c>
      <c r="J2121" s="31">
        <v>3.874685945E9</v>
      </c>
      <c r="K2121" s="31" t="s">
        <v>645</v>
      </c>
      <c r="L2121" s="31" t="s">
        <v>3253</v>
      </c>
      <c r="M2121" s="33">
        <v>2.0</v>
      </c>
      <c r="N2121" s="34"/>
      <c r="O2121" s="31" t="s">
        <v>5961</v>
      </c>
    </row>
    <row r="2122">
      <c r="A2122" s="85">
        <v>46112.0</v>
      </c>
      <c r="B2122" s="31" t="s">
        <v>5962</v>
      </c>
      <c r="C2122" s="31">
        <v>8.05011572369E11</v>
      </c>
      <c r="D2122" s="31" t="s">
        <v>5963</v>
      </c>
      <c r="E2122" s="31" t="s">
        <v>5964</v>
      </c>
      <c r="F2122" s="31" t="s">
        <v>5965</v>
      </c>
      <c r="G2122" s="31" t="s">
        <v>20</v>
      </c>
      <c r="H2122" s="31" t="s">
        <v>20</v>
      </c>
      <c r="I2122" s="31">
        <v>4400.0</v>
      </c>
      <c r="J2122" s="31">
        <v>3.516217414E9</v>
      </c>
      <c r="K2122" s="31" t="s">
        <v>106</v>
      </c>
      <c r="L2122" s="31" t="s">
        <v>3670</v>
      </c>
      <c r="M2122" s="33">
        <v>1.0</v>
      </c>
      <c r="N2122" s="34"/>
      <c r="O2122" s="34"/>
    </row>
    <row r="2123">
      <c r="A2123" s="85">
        <v>46112.0</v>
      </c>
      <c r="B2123" s="31" t="s">
        <v>5966</v>
      </c>
      <c r="C2123" s="31">
        <v>8.05011572416E11</v>
      </c>
      <c r="D2123" s="31" t="s">
        <v>5967</v>
      </c>
      <c r="E2123" s="31" t="s">
        <v>5968</v>
      </c>
      <c r="F2123" s="31" t="s">
        <v>5969</v>
      </c>
      <c r="G2123" s="31" t="s">
        <v>3945</v>
      </c>
      <c r="H2123" s="31" t="s">
        <v>20</v>
      </c>
      <c r="I2123" s="31">
        <v>4401.0</v>
      </c>
      <c r="J2123" s="31">
        <v>3.875275964E9</v>
      </c>
      <c r="K2123" s="31" t="s">
        <v>5970</v>
      </c>
      <c r="L2123" s="31" t="s">
        <v>5347</v>
      </c>
      <c r="M2123" s="33">
        <v>1.0</v>
      </c>
      <c r="N2123" s="34"/>
      <c r="O2123" s="34"/>
    </row>
    <row r="2124">
      <c r="A2124" s="85">
        <v>46112.0</v>
      </c>
      <c r="B2124" s="31" t="s">
        <v>5971</v>
      </c>
      <c r="C2124" s="31">
        <v>8.07839002332E11</v>
      </c>
      <c r="D2124" s="31" t="s">
        <v>5972</v>
      </c>
      <c r="E2124" s="31" t="s">
        <v>5973</v>
      </c>
      <c r="F2124" s="58" t="s">
        <v>5974</v>
      </c>
      <c r="G2124" s="31" t="s">
        <v>3850</v>
      </c>
      <c r="H2124" s="31" t="s">
        <v>20</v>
      </c>
      <c r="I2124" s="31">
        <v>4421.0</v>
      </c>
      <c r="J2124" s="31" t="s">
        <v>5479</v>
      </c>
      <c r="K2124" s="31" t="s">
        <v>32</v>
      </c>
      <c r="L2124" s="31" t="s">
        <v>3225</v>
      </c>
      <c r="M2124" s="33">
        <v>1.0</v>
      </c>
      <c r="N2124" s="34"/>
      <c r="O2124" s="31" t="s">
        <v>5975</v>
      </c>
    </row>
    <row r="2125">
      <c r="A2125" s="85">
        <v>46112.0</v>
      </c>
      <c r="B2125" s="31" t="s">
        <v>5976</v>
      </c>
      <c r="C2125" s="31">
        <v>8.07839002396E11</v>
      </c>
      <c r="D2125" s="31" t="s">
        <v>5977</v>
      </c>
      <c r="E2125" s="31" t="s">
        <v>5978</v>
      </c>
      <c r="F2125" s="31" t="s">
        <v>5979</v>
      </c>
      <c r="G2125" s="31" t="s">
        <v>247</v>
      </c>
      <c r="H2125" s="31" t="s">
        <v>20</v>
      </c>
      <c r="I2125" s="31">
        <v>4400.0</v>
      </c>
      <c r="J2125" s="31">
        <v>3.874423869E9</v>
      </c>
      <c r="K2125" s="31" t="s">
        <v>698</v>
      </c>
      <c r="L2125" s="31" t="s">
        <v>699</v>
      </c>
      <c r="M2125" s="33">
        <v>1.0</v>
      </c>
      <c r="N2125" s="34"/>
      <c r="O2125" s="31" t="s">
        <v>5980</v>
      </c>
    </row>
    <row r="2126">
      <c r="A2126" s="85">
        <v>46112.0</v>
      </c>
      <c r="B2126" s="31" t="s">
        <v>5981</v>
      </c>
      <c r="C2126" s="31">
        <v>8.07839002417E11</v>
      </c>
      <c r="D2126" s="31" t="s">
        <v>5982</v>
      </c>
      <c r="E2126" s="31" t="s">
        <v>5983</v>
      </c>
      <c r="F2126" s="31" t="s">
        <v>5984</v>
      </c>
      <c r="G2126" s="31" t="s">
        <v>278</v>
      </c>
      <c r="H2126" s="31" t="s">
        <v>20</v>
      </c>
      <c r="I2126" s="31">
        <v>4400.0</v>
      </c>
      <c r="J2126" s="31">
        <v>3.876833983E9</v>
      </c>
      <c r="K2126" s="31" t="s">
        <v>32</v>
      </c>
      <c r="L2126" s="31" t="s">
        <v>3225</v>
      </c>
      <c r="M2126" s="33">
        <v>1.0</v>
      </c>
      <c r="N2126" s="34"/>
      <c r="O2126" s="31" t="s">
        <v>5985</v>
      </c>
    </row>
    <row r="2127">
      <c r="A2127" s="85">
        <v>46112.0</v>
      </c>
      <c r="B2127" s="31" t="s">
        <v>5986</v>
      </c>
      <c r="C2127" s="31">
        <v>8.05011572809E11</v>
      </c>
      <c r="D2127" s="31" t="s">
        <v>5987</v>
      </c>
      <c r="E2127" s="31" t="s">
        <v>5988</v>
      </c>
      <c r="F2127" s="31" t="s">
        <v>5989</v>
      </c>
      <c r="G2127" s="31" t="s">
        <v>20</v>
      </c>
      <c r="H2127" s="31" t="s">
        <v>20</v>
      </c>
      <c r="I2127" s="31">
        <v>4400.0</v>
      </c>
      <c r="J2127" s="31">
        <v>3.872288762E9</v>
      </c>
      <c r="K2127" s="31" t="s">
        <v>22</v>
      </c>
      <c r="L2127" s="31" t="s">
        <v>4013</v>
      </c>
      <c r="M2127" s="33">
        <v>1.0</v>
      </c>
      <c r="N2127" s="34"/>
      <c r="O2127" s="34"/>
    </row>
    <row r="2128">
      <c r="A2128" s="85">
        <v>46112.0</v>
      </c>
      <c r="B2128" s="31" t="s">
        <v>5986</v>
      </c>
      <c r="C2128" s="31">
        <v>8.05011572809E11</v>
      </c>
      <c r="D2128" s="31" t="s">
        <v>5987</v>
      </c>
      <c r="E2128" s="31" t="s">
        <v>5988</v>
      </c>
      <c r="F2128" s="31" t="s">
        <v>5989</v>
      </c>
      <c r="G2128" s="31" t="s">
        <v>20</v>
      </c>
      <c r="H2128" s="31" t="s">
        <v>20</v>
      </c>
      <c r="I2128" s="31">
        <v>4400.0</v>
      </c>
      <c r="J2128" s="31">
        <v>3.872288762E9</v>
      </c>
      <c r="K2128" s="31" t="s">
        <v>512</v>
      </c>
      <c r="L2128" s="31" t="s">
        <v>513</v>
      </c>
      <c r="M2128" s="33">
        <v>6.0</v>
      </c>
      <c r="N2128" s="34"/>
      <c r="O2128" s="34"/>
    </row>
    <row r="2129">
      <c r="A2129" s="85">
        <v>46112.0</v>
      </c>
      <c r="B2129" s="31" t="s">
        <v>5986</v>
      </c>
      <c r="C2129" s="31">
        <v>8.05011572809E11</v>
      </c>
      <c r="D2129" s="31" t="s">
        <v>5987</v>
      </c>
      <c r="E2129" s="31" t="s">
        <v>5988</v>
      </c>
      <c r="F2129" s="31" t="s">
        <v>5989</v>
      </c>
      <c r="G2129" s="31" t="s">
        <v>20</v>
      </c>
      <c r="H2129" s="31" t="s">
        <v>20</v>
      </c>
      <c r="I2129" s="31">
        <v>4400.0</v>
      </c>
      <c r="J2129" s="31">
        <v>3.872288762E9</v>
      </c>
      <c r="K2129" s="31" t="s">
        <v>25</v>
      </c>
      <c r="L2129" s="31" t="s">
        <v>3401</v>
      </c>
      <c r="M2129" s="33">
        <v>1.0</v>
      </c>
      <c r="N2129" s="34"/>
      <c r="O2129" s="34"/>
    </row>
    <row r="2130">
      <c r="A2130" s="85">
        <v>46112.0</v>
      </c>
      <c r="B2130" s="31" t="s">
        <v>5990</v>
      </c>
      <c r="C2130" s="31">
        <v>8.05011572813E11</v>
      </c>
      <c r="D2130" s="31" t="s">
        <v>5991</v>
      </c>
      <c r="E2130" s="31" t="s">
        <v>5992</v>
      </c>
      <c r="F2130" s="31" t="s">
        <v>5993</v>
      </c>
      <c r="G2130" s="31" t="s">
        <v>20</v>
      </c>
      <c r="H2130" s="31" t="s">
        <v>20</v>
      </c>
      <c r="I2130" s="31">
        <v>4400.0</v>
      </c>
      <c r="J2130" s="31">
        <v>3.872157448E9</v>
      </c>
      <c r="K2130" s="31" t="s">
        <v>60</v>
      </c>
      <c r="L2130" s="31" t="s">
        <v>3706</v>
      </c>
      <c r="M2130" s="33">
        <v>1.0</v>
      </c>
      <c r="N2130" s="34"/>
      <c r="O2130" s="34"/>
    </row>
    <row r="2131">
      <c r="A2131" s="85">
        <v>46112.0</v>
      </c>
      <c r="B2131" s="31" t="s">
        <v>5990</v>
      </c>
      <c r="C2131" s="31">
        <v>8.05011572813E11</v>
      </c>
      <c r="D2131" s="31" t="s">
        <v>5991</v>
      </c>
      <c r="E2131" s="31" t="s">
        <v>5992</v>
      </c>
      <c r="F2131" s="31" t="s">
        <v>5993</v>
      </c>
      <c r="G2131" s="31" t="s">
        <v>20</v>
      </c>
      <c r="H2131" s="31" t="s">
        <v>20</v>
      </c>
      <c r="I2131" s="31">
        <v>4400.0</v>
      </c>
      <c r="J2131" s="31">
        <v>3.872157448E9</v>
      </c>
      <c r="K2131" s="31" t="s">
        <v>22</v>
      </c>
      <c r="L2131" s="31" t="s">
        <v>4013</v>
      </c>
      <c r="M2131" s="33">
        <v>1.0</v>
      </c>
      <c r="N2131" s="34"/>
      <c r="O2131" s="34"/>
    </row>
    <row r="2132">
      <c r="A2132" s="85">
        <v>46112.0</v>
      </c>
      <c r="B2132" s="31" t="s">
        <v>5990</v>
      </c>
      <c r="C2132" s="31">
        <v>8.05011572813E11</v>
      </c>
      <c r="D2132" s="31" t="s">
        <v>5991</v>
      </c>
      <c r="E2132" s="31" t="s">
        <v>5992</v>
      </c>
      <c r="F2132" s="31" t="s">
        <v>5993</v>
      </c>
      <c r="G2132" s="31" t="s">
        <v>20</v>
      </c>
      <c r="H2132" s="31" t="s">
        <v>20</v>
      </c>
      <c r="I2132" s="31">
        <v>4400.0</v>
      </c>
      <c r="J2132" s="31">
        <v>3.872157448E9</v>
      </c>
      <c r="K2132" s="31" t="s">
        <v>512</v>
      </c>
      <c r="L2132" s="31" t="s">
        <v>513</v>
      </c>
      <c r="M2132" s="33">
        <v>6.0</v>
      </c>
      <c r="N2132" s="34"/>
      <c r="O2132" s="34"/>
    </row>
    <row r="2133">
      <c r="A2133" s="85">
        <v>46112.0</v>
      </c>
      <c r="B2133" s="31" t="s">
        <v>5990</v>
      </c>
      <c r="C2133" s="31">
        <v>8.05011572813E11</v>
      </c>
      <c r="D2133" s="31" t="s">
        <v>5991</v>
      </c>
      <c r="E2133" s="31" t="s">
        <v>5992</v>
      </c>
      <c r="F2133" s="31" t="s">
        <v>5993</v>
      </c>
      <c r="G2133" s="31" t="s">
        <v>20</v>
      </c>
      <c r="H2133" s="31" t="s">
        <v>20</v>
      </c>
      <c r="I2133" s="31">
        <v>4400.0</v>
      </c>
      <c r="J2133" s="31">
        <v>3.872157448E9</v>
      </c>
      <c r="K2133" s="31" t="s">
        <v>512</v>
      </c>
      <c r="L2133" s="31" t="s">
        <v>513</v>
      </c>
      <c r="M2133" s="33">
        <v>6.0</v>
      </c>
      <c r="N2133" s="34"/>
      <c r="O2133" s="34"/>
    </row>
    <row r="2134">
      <c r="A2134" s="85">
        <v>46112.0</v>
      </c>
      <c r="B2134" s="31" t="s">
        <v>5990</v>
      </c>
      <c r="C2134" s="31">
        <v>8.05011572813E11</v>
      </c>
      <c r="D2134" s="31" t="s">
        <v>5991</v>
      </c>
      <c r="E2134" s="31" t="s">
        <v>5992</v>
      </c>
      <c r="F2134" s="31" t="s">
        <v>5993</v>
      </c>
      <c r="G2134" s="31" t="s">
        <v>20</v>
      </c>
      <c r="H2134" s="31" t="s">
        <v>20</v>
      </c>
      <c r="I2134" s="31">
        <v>4400.0</v>
      </c>
      <c r="J2134" s="31">
        <v>3.872157448E9</v>
      </c>
      <c r="K2134" s="31" t="s">
        <v>64</v>
      </c>
      <c r="L2134" s="31" t="s">
        <v>3708</v>
      </c>
      <c r="M2134" s="33">
        <v>1.0</v>
      </c>
      <c r="N2134" s="34"/>
      <c r="O2134" s="34"/>
    </row>
    <row r="2135">
      <c r="A2135" s="85">
        <v>46112.0</v>
      </c>
      <c r="B2135" s="31" t="s">
        <v>5990</v>
      </c>
      <c r="C2135" s="31">
        <v>8.05011572813E11</v>
      </c>
      <c r="D2135" s="31" t="s">
        <v>5991</v>
      </c>
      <c r="E2135" s="31" t="s">
        <v>5992</v>
      </c>
      <c r="F2135" s="31" t="s">
        <v>5993</v>
      </c>
      <c r="G2135" s="31" t="s">
        <v>20</v>
      </c>
      <c r="H2135" s="31" t="s">
        <v>20</v>
      </c>
      <c r="I2135" s="31">
        <v>4400.0</v>
      </c>
      <c r="J2135" s="31">
        <v>3.872157448E9</v>
      </c>
      <c r="K2135" s="31" t="s">
        <v>25</v>
      </c>
      <c r="L2135" s="31" t="s">
        <v>3401</v>
      </c>
      <c r="M2135" s="33">
        <v>1.0</v>
      </c>
      <c r="N2135" s="34"/>
      <c r="O2135" s="34"/>
    </row>
    <row r="2136">
      <c r="A2136" s="85">
        <v>46112.0</v>
      </c>
      <c r="B2136" s="31" t="s">
        <v>5994</v>
      </c>
      <c r="C2136" s="31">
        <v>8.07025035502E11</v>
      </c>
      <c r="D2136" s="31" t="s">
        <v>5995</v>
      </c>
      <c r="E2136" s="31" t="s">
        <v>5996</v>
      </c>
      <c r="F2136" s="31" t="s">
        <v>5997</v>
      </c>
      <c r="G2136" s="31" t="s">
        <v>4041</v>
      </c>
      <c r="H2136" s="31" t="s">
        <v>20</v>
      </c>
      <c r="I2136" s="31">
        <v>4400.0</v>
      </c>
      <c r="J2136" s="31">
        <v>3.875923578E9</v>
      </c>
      <c r="K2136" s="31" t="s">
        <v>3154</v>
      </c>
      <c r="L2136" s="31" t="s">
        <v>4564</v>
      </c>
      <c r="M2136" s="33">
        <v>2.0</v>
      </c>
      <c r="N2136" s="34"/>
      <c r="O2136" s="34"/>
    </row>
    <row r="2137">
      <c r="A2137" s="85">
        <v>46112.0</v>
      </c>
      <c r="B2137" s="31" t="s">
        <v>5994</v>
      </c>
      <c r="C2137" s="31">
        <v>8.07025035502E11</v>
      </c>
      <c r="D2137" s="31" t="s">
        <v>5995</v>
      </c>
      <c r="E2137" s="31" t="s">
        <v>5996</v>
      </c>
      <c r="F2137" s="31" t="s">
        <v>5997</v>
      </c>
      <c r="G2137" s="31" t="s">
        <v>4041</v>
      </c>
      <c r="H2137" s="31" t="s">
        <v>20</v>
      </c>
      <c r="I2137" s="31">
        <v>4400.0</v>
      </c>
      <c r="J2137" s="31">
        <v>3.875923578E9</v>
      </c>
      <c r="K2137" s="31" t="s">
        <v>512</v>
      </c>
      <c r="L2137" s="31" t="s">
        <v>513</v>
      </c>
      <c r="M2137" s="33">
        <v>12.0</v>
      </c>
      <c r="N2137" s="34"/>
      <c r="O2137" s="34"/>
    </row>
    <row r="2138">
      <c r="A2138" s="85">
        <v>46112.0</v>
      </c>
      <c r="B2138" s="31" t="s">
        <v>5994</v>
      </c>
      <c r="C2138" s="31">
        <v>8.07025035502E11</v>
      </c>
      <c r="D2138" s="31" t="s">
        <v>5995</v>
      </c>
      <c r="E2138" s="31" t="s">
        <v>5996</v>
      </c>
      <c r="F2138" s="31" t="s">
        <v>5997</v>
      </c>
      <c r="G2138" s="31" t="s">
        <v>4041</v>
      </c>
      <c r="H2138" s="31" t="s">
        <v>20</v>
      </c>
      <c r="I2138" s="31">
        <v>4400.0</v>
      </c>
      <c r="J2138" s="31">
        <v>3.875923578E9</v>
      </c>
      <c r="K2138" s="31" t="s">
        <v>2031</v>
      </c>
      <c r="L2138" s="31" t="s">
        <v>3348</v>
      </c>
      <c r="M2138" s="33">
        <v>2.0</v>
      </c>
      <c r="N2138" s="34"/>
      <c r="O2138" s="34"/>
    </row>
    <row r="2139" ht="15.75" customHeight="1">
      <c r="A2139" s="85">
        <v>46112.0</v>
      </c>
      <c r="B2139" s="31" t="s">
        <v>5998</v>
      </c>
      <c r="C2139" s="31">
        <v>8.07839002651E11</v>
      </c>
      <c r="D2139" s="31" t="s">
        <v>5999</v>
      </c>
      <c r="E2139" s="31" t="s">
        <v>6000</v>
      </c>
      <c r="F2139" s="31" t="s">
        <v>6001</v>
      </c>
      <c r="G2139" s="31" t="s">
        <v>4025</v>
      </c>
      <c r="H2139" s="31" t="s">
        <v>20</v>
      </c>
      <c r="I2139" s="31">
        <v>4401.0</v>
      </c>
      <c r="J2139" s="31">
        <v>3.875153956E9</v>
      </c>
      <c r="K2139" s="31" t="s">
        <v>32</v>
      </c>
      <c r="L2139" s="31" t="s">
        <v>3225</v>
      </c>
      <c r="M2139" s="33">
        <v>1.0</v>
      </c>
      <c r="N2139" s="34"/>
      <c r="O2139" s="31" t="s">
        <v>6002</v>
      </c>
    </row>
    <row r="2140">
      <c r="A2140" s="85">
        <v>46112.0</v>
      </c>
      <c r="B2140" s="31" t="s">
        <v>6003</v>
      </c>
      <c r="C2140" s="31">
        <v>8.07025035527E11</v>
      </c>
      <c r="D2140" s="31" t="s">
        <v>6004</v>
      </c>
      <c r="E2140" s="31" t="s">
        <v>6005</v>
      </c>
      <c r="F2140" s="31" t="s">
        <v>6006</v>
      </c>
      <c r="G2140" s="31" t="s">
        <v>127</v>
      </c>
      <c r="H2140" s="31" t="s">
        <v>20</v>
      </c>
      <c r="I2140" s="31">
        <v>4400.0</v>
      </c>
      <c r="J2140" s="31">
        <v>3.874810405E9</v>
      </c>
      <c r="K2140" s="31" t="s">
        <v>6007</v>
      </c>
      <c r="L2140" s="31" t="s">
        <v>6008</v>
      </c>
      <c r="M2140" s="33">
        <v>1.0</v>
      </c>
      <c r="N2140" s="34"/>
      <c r="O2140" s="34"/>
    </row>
    <row r="2141">
      <c r="A2141" s="85">
        <v>46112.0</v>
      </c>
      <c r="B2141" s="31" t="s">
        <v>6003</v>
      </c>
      <c r="C2141" s="31">
        <v>8.07025035527E11</v>
      </c>
      <c r="D2141" s="31" t="s">
        <v>6004</v>
      </c>
      <c r="E2141" s="31" t="s">
        <v>6005</v>
      </c>
      <c r="F2141" s="31" t="s">
        <v>6006</v>
      </c>
      <c r="G2141" s="31" t="s">
        <v>127</v>
      </c>
      <c r="H2141" s="31" t="s">
        <v>20</v>
      </c>
      <c r="I2141" s="31">
        <v>4400.0</v>
      </c>
      <c r="J2141" s="31">
        <v>3.874810405E9</v>
      </c>
      <c r="K2141" s="31" t="s">
        <v>3510</v>
      </c>
      <c r="L2141" s="31" t="s">
        <v>3511</v>
      </c>
      <c r="M2141" s="33">
        <v>1.0</v>
      </c>
      <c r="N2141" s="34"/>
      <c r="O2141" s="34"/>
    </row>
    <row r="2142">
      <c r="A2142" s="85">
        <v>46112.0</v>
      </c>
      <c r="B2142" s="31" t="s">
        <v>6009</v>
      </c>
      <c r="C2142" s="31">
        <v>8.07025035526E11</v>
      </c>
      <c r="D2142" s="31" t="s">
        <v>6004</v>
      </c>
      <c r="E2142" s="31" t="s">
        <v>6005</v>
      </c>
      <c r="F2142" s="31" t="s">
        <v>6006</v>
      </c>
      <c r="G2142" s="31" t="s">
        <v>127</v>
      </c>
      <c r="H2142" s="31" t="s">
        <v>20</v>
      </c>
      <c r="I2142" s="31">
        <v>4400.0</v>
      </c>
      <c r="J2142" s="31">
        <v>3.874810405E9</v>
      </c>
      <c r="K2142" s="31" t="s">
        <v>3512</v>
      </c>
      <c r="L2142" s="31" t="s">
        <v>3513</v>
      </c>
      <c r="M2142" s="33">
        <v>6.0</v>
      </c>
      <c r="N2142" s="34"/>
      <c r="O2142" s="34"/>
    </row>
    <row r="2143">
      <c r="A2143" s="85">
        <v>46112.0</v>
      </c>
      <c r="B2143" s="31" t="s">
        <v>6010</v>
      </c>
      <c r="C2143" s="31">
        <v>8.07025035528E11</v>
      </c>
      <c r="D2143" s="31" t="s">
        <v>6011</v>
      </c>
      <c r="E2143" s="31" t="s">
        <v>6012</v>
      </c>
      <c r="F2143" s="31" t="s">
        <v>6013</v>
      </c>
      <c r="G2143" s="31" t="s">
        <v>4496</v>
      </c>
      <c r="H2143" s="31" t="s">
        <v>20</v>
      </c>
      <c r="I2143" s="31">
        <v>4401.0</v>
      </c>
      <c r="J2143" s="31">
        <v>1.168886479E9</v>
      </c>
      <c r="K2143" s="31" t="s">
        <v>3641</v>
      </c>
      <c r="L2143" s="31" t="s">
        <v>3642</v>
      </c>
      <c r="M2143" s="33">
        <v>2.0</v>
      </c>
      <c r="N2143" s="34"/>
      <c r="O2143" s="31" t="s">
        <v>6014</v>
      </c>
    </row>
    <row r="2144">
      <c r="A2144" s="85">
        <v>46112.0</v>
      </c>
      <c r="B2144" s="31" t="s">
        <v>6010</v>
      </c>
      <c r="C2144" s="31">
        <v>8.07025035528E11</v>
      </c>
      <c r="D2144" s="31" t="s">
        <v>6011</v>
      </c>
      <c r="E2144" s="31" t="s">
        <v>6012</v>
      </c>
      <c r="F2144" s="31" t="s">
        <v>6013</v>
      </c>
      <c r="G2144" s="31" t="s">
        <v>4496</v>
      </c>
      <c r="H2144" s="31" t="s">
        <v>20</v>
      </c>
      <c r="I2144" s="31">
        <v>4401.0</v>
      </c>
      <c r="J2144" s="31">
        <v>1.168886479E9</v>
      </c>
      <c r="K2144" s="31" t="s">
        <v>4793</v>
      </c>
      <c r="L2144" s="31" t="s">
        <v>4794</v>
      </c>
      <c r="M2144" s="33">
        <v>2.0</v>
      </c>
      <c r="N2144" s="34"/>
      <c r="O2144" s="31" t="s">
        <v>6014</v>
      </c>
    </row>
    <row r="2145">
      <c r="A2145" s="85">
        <v>46112.0</v>
      </c>
      <c r="B2145" s="31" t="s">
        <v>6015</v>
      </c>
      <c r="C2145" s="31">
        <v>8.0501157305E11</v>
      </c>
      <c r="D2145" s="31" t="s">
        <v>6016</v>
      </c>
      <c r="E2145" s="31" t="s">
        <v>6017</v>
      </c>
      <c r="F2145" s="31" t="s">
        <v>6018</v>
      </c>
      <c r="G2145" s="31" t="s">
        <v>20</v>
      </c>
      <c r="H2145" s="31" t="s">
        <v>20</v>
      </c>
      <c r="I2145" s="31">
        <v>4400.0</v>
      </c>
      <c r="J2145" s="31">
        <f t="shared" ref="J2145:J2147" si="5">+5493875215062</f>
        <v>5493875215062</v>
      </c>
      <c r="K2145" s="31" t="s">
        <v>22</v>
      </c>
      <c r="L2145" s="31" t="s">
        <v>4013</v>
      </c>
      <c r="M2145" s="33">
        <v>1.0</v>
      </c>
      <c r="N2145" s="34"/>
      <c r="O2145" s="34"/>
    </row>
    <row r="2146">
      <c r="A2146" s="85">
        <v>46112.0</v>
      </c>
      <c r="B2146" s="31" t="s">
        <v>6015</v>
      </c>
      <c r="C2146" s="31">
        <v>8.0501157305E11</v>
      </c>
      <c r="D2146" s="31" t="s">
        <v>6016</v>
      </c>
      <c r="E2146" s="31" t="s">
        <v>6017</v>
      </c>
      <c r="F2146" s="31" t="s">
        <v>6018</v>
      </c>
      <c r="G2146" s="31" t="s">
        <v>20</v>
      </c>
      <c r="H2146" s="31" t="s">
        <v>20</v>
      </c>
      <c r="I2146" s="31">
        <v>4400.0</v>
      </c>
      <c r="J2146" s="31">
        <f t="shared" si="5"/>
        <v>5493875215062</v>
      </c>
      <c r="K2146" s="31" t="s">
        <v>512</v>
      </c>
      <c r="L2146" s="31" t="s">
        <v>513</v>
      </c>
      <c r="M2146" s="33">
        <v>1.0</v>
      </c>
      <c r="N2146" s="34"/>
      <c r="O2146" s="34"/>
    </row>
    <row r="2147">
      <c r="A2147" s="85">
        <v>46112.0</v>
      </c>
      <c r="B2147" s="31" t="s">
        <v>6015</v>
      </c>
      <c r="C2147" s="31">
        <v>8.0501157305E11</v>
      </c>
      <c r="D2147" s="31" t="s">
        <v>6016</v>
      </c>
      <c r="E2147" s="31" t="s">
        <v>6017</v>
      </c>
      <c r="F2147" s="31" t="s">
        <v>6018</v>
      </c>
      <c r="G2147" s="31" t="s">
        <v>20</v>
      </c>
      <c r="H2147" s="31" t="s">
        <v>20</v>
      </c>
      <c r="I2147" s="31">
        <v>4400.0</v>
      </c>
      <c r="J2147" s="31">
        <f t="shared" si="5"/>
        <v>5493875215062</v>
      </c>
      <c r="K2147" s="31" t="s">
        <v>25</v>
      </c>
      <c r="L2147" s="31" t="s">
        <v>3401</v>
      </c>
      <c r="M2147" s="33">
        <v>1.0</v>
      </c>
      <c r="N2147" s="34"/>
      <c r="O2147" s="34"/>
    </row>
    <row r="2148">
      <c r="A2148" s="85">
        <v>46112.0</v>
      </c>
      <c r="B2148" s="31" t="s">
        <v>6019</v>
      </c>
      <c r="C2148" s="31">
        <v>8.05011573111E11</v>
      </c>
      <c r="D2148" s="31" t="s">
        <v>6020</v>
      </c>
      <c r="E2148" s="31" t="s">
        <v>6021</v>
      </c>
      <c r="F2148" s="31" t="s">
        <v>6022</v>
      </c>
      <c r="G2148" s="31" t="s">
        <v>624</v>
      </c>
      <c r="H2148" s="31" t="s">
        <v>20</v>
      </c>
      <c r="I2148" s="31">
        <v>4403.0</v>
      </c>
      <c r="J2148" s="31">
        <v>2.213058695E9</v>
      </c>
      <c r="K2148" s="31" t="s">
        <v>2956</v>
      </c>
      <c r="L2148" s="31" t="s">
        <v>3327</v>
      </c>
      <c r="M2148" s="33">
        <v>1.0</v>
      </c>
      <c r="N2148" s="34"/>
      <c r="O2148" s="34"/>
    </row>
    <row r="2149">
      <c r="A2149" s="85">
        <v>46112.0</v>
      </c>
      <c r="B2149" s="31" t="s">
        <v>6019</v>
      </c>
      <c r="C2149" s="31">
        <v>8.05011573111E11</v>
      </c>
      <c r="D2149" s="31" t="s">
        <v>6020</v>
      </c>
      <c r="E2149" s="31" t="s">
        <v>6021</v>
      </c>
      <c r="F2149" s="31" t="s">
        <v>6022</v>
      </c>
      <c r="G2149" s="31" t="s">
        <v>624</v>
      </c>
      <c r="H2149" s="31" t="s">
        <v>20</v>
      </c>
      <c r="I2149" s="31">
        <v>4403.0</v>
      </c>
      <c r="J2149" s="31">
        <v>2.213058695E9</v>
      </c>
      <c r="K2149" s="31" t="s">
        <v>3054</v>
      </c>
      <c r="L2149" s="31" t="s">
        <v>3346</v>
      </c>
      <c r="M2149" s="33">
        <v>1.0</v>
      </c>
      <c r="N2149" s="34"/>
      <c r="O2149" s="34"/>
    </row>
    <row r="2150">
      <c r="A2150" s="85">
        <v>46112.0</v>
      </c>
      <c r="B2150" s="31" t="s">
        <v>6023</v>
      </c>
      <c r="C2150" s="31">
        <v>8.07839002885E11</v>
      </c>
      <c r="D2150" s="31" t="s">
        <v>6024</v>
      </c>
      <c r="E2150" s="31" t="s">
        <v>6025</v>
      </c>
      <c r="F2150" s="31" t="s">
        <v>6026</v>
      </c>
      <c r="G2150" s="31" t="s">
        <v>582</v>
      </c>
      <c r="H2150" s="31" t="s">
        <v>20</v>
      </c>
      <c r="I2150" s="31">
        <v>4407.0</v>
      </c>
      <c r="J2150" s="31">
        <v>3.874149914E9</v>
      </c>
      <c r="K2150" s="31" t="s">
        <v>1040</v>
      </c>
      <c r="L2150" s="31" t="s">
        <v>3294</v>
      </c>
      <c r="M2150" s="33">
        <v>1.0</v>
      </c>
      <c r="N2150" s="34"/>
      <c r="O2150" s="34"/>
    </row>
    <row r="2151">
      <c r="A2151" s="85">
        <v>46112.0</v>
      </c>
      <c r="B2151" s="31" t="s">
        <v>6023</v>
      </c>
      <c r="C2151" s="31">
        <v>8.07839002885E11</v>
      </c>
      <c r="D2151" s="31" t="s">
        <v>6024</v>
      </c>
      <c r="E2151" s="31" t="s">
        <v>6025</v>
      </c>
      <c r="F2151" s="31" t="s">
        <v>6026</v>
      </c>
      <c r="G2151" s="31" t="s">
        <v>582</v>
      </c>
      <c r="H2151" s="31" t="s">
        <v>20</v>
      </c>
      <c r="I2151" s="31">
        <v>4407.0</v>
      </c>
      <c r="J2151" s="31">
        <v>3.874149914E9</v>
      </c>
      <c r="K2151" s="31" t="s">
        <v>512</v>
      </c>
      <c r="L2151" s="31" t="s">
        <v>513</v>
      </c>
      <c r="M2151" s="33">
        <v>1.0</v>
      </c>
      <c r="N2151" s="34"/>
      <c r="O2151" s="34"/>
    </row>
    <row r="2152">
      <c r="A2152" s="85">
        <v>46112.0</v>
      </c>
      <c r="B2152" s="31" t="s">
        <v>6023</v>
      </c>
      <c r="C2152" s="31">
        <v>8.07839002885E11</v>
      </c>
      <c r="D2152" s="31" t="s">
        <v>6024</v>
      </c>
      <c r="E2152" s="31" t="s">
        <v>6025</v>
      </c>
      <c r="F2152" s="31" t="s">
        <v>6026</v>
      </c>
      <c r="G2152" s="31" t="s">
        <v>582</v>
      </c>
      <c r="H2152" s="31" t="s">
        <v>20</v>
      </c>
      <c r="I2152" s="31">
        <v>4407.0</v>
      </c>
      <c r="J2152" s="31">
        <v>3.874149914E9</v>
      </c>
      <c r="K2152" s="31" t="s">
        <v>969</v>
      </c>
      <c r="L2152" s="31" t="s">
        <v>3296</v>
      </c>
      <c r="M2152" s="33">
        <v>1.0</v>
      </c>
      <c r="N2152" s="34"/>
      <c r="O2152" s="34"/>
    </row>
    <row r="2153" ht="9.75" customHeight="1">
      <c r="A2153" s="87"/>
      <c r="B2153" s="88"/>
      <c r="C2153" s="88"/>
      <c r="D2153" s="88"/>
      <c r="E2153" s="88"/>
      <c r="F2153" s="88"/>
      <c r="G2153" s="88"/>
      <c r="H2153" s="88"/>
      <c r="I2153" s="88"/>
      <c r="J2153" s="88"/>
      <c r="K2153" s="88"/>
      <c r="L2153" s="88"/>
      <c r="M2153" s="89"/>
      <c r="N2153" s="90"/>
      <c r="O2153" s="90"/>
    </row>
    <row r="2154">
      <c r="A2154" s="85">
        <v>46119.0</v>
      </c>
      <c r="B2154" s="31" t="s">
        <v>6027</v>
      </c>
      <c r="C2154" s="31">
        <v>8.05011572902E11</v>
      </c>
      <c r="D2154" s="31" t="s">
        <v>6028</v>
      </c>
      <c r="E2154" s="31" t="s">
        <v>6029</v>
      </c>
      <c r="F2154" s="31" t="s">
        <v>1877</v>
      </c>
      <c r="G2154" s="31" t="s">
        <v>20</v>
      </c>
      <c r="H2154" s="31" t="s">
        <v>20</v>
      </c>
      <c r="I2154" s="31" t="s">
        <v>1878</v>
      </c>
      <c r="J2154" s="31">
        <v>3.875705307E9</v>
      </c>
      <c r="K2154" s="31">
        <v>125822.0</v>
      </c>
      <c r="L2154" s="31" t="s">
        <v>6030</v>
      </c>
      <c r="M2154" s="33">
        <v>2.0</v>
      </c>
      <c r="N2154" s="34"/>
      <c r="O2154" s="34"/>
    </row>
    <row r="2155">
      <c r="A2155" s="85">
        <v>46119.0</v>
      </c>
      <c r="B2155" s="31" t="s">
        <v>6031</v>
      </c>
      <c r="C2155" s="31">
        <v>8.07025035579E11</v>
      </c>
      <c r="D2155" s="31" t="s">
        <v>6032</v>
      </c>
      <c r="E2155" s="31" t="s">
        <v>6033</v>
      </c>
      <c r="F2155" s="31" t="s">
        <v>6034</v>
      </c>
      <c r="G2155" s="31" t="s">
        <v>127</v>
      </c>
      <c r="H2155" s="31" t="s">
        <v>20</v>
      </c>
      <c r="I2155" s="31">
        <v>4400.0</v>
      </c>
      <c r="J2155" s="31">
        <v>3.874852971E9</v>
      </c>
      <c r="K2155" s="31" t="s">
        <v>302</v>
      </c>
      <c r="L2155" s="31" t="s">
        <v>303</v>
      </c>
      <c r="M2155" s="33">
        <v>1.0</v>
      </c>
      <c r="N2155" s="34"/>
      <c r="O2155" s="31" t="s">
        <v>1734</v>
      </c>
    </row>
    <row r="2156">
      <c r="A2156" s="85">
        <v>46119.0</v>
      </c>
      <c r="B2156" s="31" t="s">
        <v>6031</v>
      </c>
      <c r="C2156" s="31">
        <v>8.07025035579E11</v>
      </c>
      <c r="D2156" s="31" t="s">
        <v>6032</v>
      </c>
      <c r="E2156" s="31" t="s">
        <v>6033</v>
      </c>
      <c r="F2156" s="31" t="s">
        <v>6034</v>
      </c>
      <c r="G2156" s="31" t="s">
        <v>127</v>
      </c>
      <c r="H2156" s="31" t="s">
        <v>20</v>
      </c>
      <c r="I2156" s="31">
        <v>4400.0</v>
      </c>
      <c r="J2156" s="31">
        <v>3.874852971E9</v>
      </c>
      <c r="K2156" s="31" t="s">
        <v>298</v>
      </c>
      <c r="L2156" s="31" t="s">
        <v>6035</v>
      </c>
      <c r="M2156" s="33">
        <v>1.0</v>
      </c>
      <c r="N2156" s="34"/>
      <c r="O2156" s="31" t="s">
        <v>1734</v>
      </c>
    </row>
    <row r="2157">
      <c r="A2157" s="85">
        <v>46119.0</v>
      </c>
      <c r="B2157" s="31" t="s">
        <v>6036</v>
      </c>
      <c r="C2157" s="31">
        <v>8.05011572142E11</v>
      </c>
      <c r="D2157" s="31" t="s">
        <v>6037</v>
      </c>
      <c r="E2157" s="31" t="s">
        <v>6038</v>
      </c>
      <c r="F2157" s="31" t="s">
        <v>6039</v>
      </c>
      <c r="G2157" s="31" t="s">
        <v>20</v>
      </c>
      <c r="H2157" s="31" t="s">
        <v>20</v>
      </c>
      <c r="I2157" s="31">
        <v>4400.0</v>
      </c>
      <c r="J2157" s="31">
        <v>3.875108362E9</v>
      </c>
      <c r="K2157" s="31" t="s">
        <v>5185</v>
      </c>
      <c r="L2157" s="31" t="s">
        <v>5186</v>
      </c>
      <c r="M2157" s="33">
        <v>1.0</v>
      </c>
      <c r="N2157" s="34"/>
      <c r="O2157" s="31" t="s">
        <v>6040</v>
      </c>
    </row>
    <row r="2158">
      <c r="A2158" s="85">
        <v>46119.0</v>
      </c>
      <c r="B2158" s="31" t="s">
        <v>6036</v>
      </c>
      <c r="C2158" s="31">
        <v>8.05011572142E11</v>
      </c>
      <c r="D2158" s="31" t="s">
        <v>6037</v>
      </c>
      <c r="E2158" s="31" t="s">
        <v>6038</v>
      </c>
      <c r="F2158" s="31" t="s">
        <v>6039</v>
      </c>
      <c r="G2158" s="31" t="s">
        <v>20</v>
      </c>
      <c r="H2158" s="31" t="s">
        <v>20</v>
      </c>
      <c r="I2158" s="31">
        <v>4400.0</v>
      </c>
      <c r="J2158" s="31">
        <v>3.875108362E9</v>
      </c>
      <c r="K2158" s="31" t="s">
        <v>512</v>
      </c>
      <c r="L2158" s="31" t="s">
        <v>513</v>
      </c>
      <c r="M2158" s="33">
        <v>6.0</v>
      </c>
      <c r="N2158" s="34"/>
      <c r="O2158" s="31" t="s">
        <v>6040</v>
      </c>
    </row>
    <row r="2159">
      <c r="A2159" s="85">
        <v>46119.0</v>
      </c>
      <c r="B2159" s="31" t="s">
        <v>6036</v>
      </c>
      <c r="C2159" s="31">
        <v>8.05011572142E11</v>
      </c>
      <c r="D2159" s="31" t="s">
        <v>6037</v>
      </c>
      <c r="E2159" s="31" t="s">
        <v>6038</v>
      </c>
      <c r="F2159" s="31" t="s">
        <v>6039</v>
      </c>
      <c r="G2159" s="31" t="s">
        <v>20</v>
      </c>
      <c r="H2159" s="31" t="s">
        <v>20</v>
      </c>
      <c r="I2159" s="31">
        <v>4400.0</v>
      </c>
      <c r="J2159" s="31">
        <v>3.875108362E9</v>
      </c>
      <c r="K2159" s="31" t="s">
        <v>2031</v>
      </c>
      <c r="L2159" s="31" t="s">
        <v>3348</v>
      </c>
      <c r="M2159" s="33">
        <v>1.0</v>
      </c>
      <c r="N2159" s="34"/>
      <c r="O2159" s="31" t="s">
        <v>6040</v>
      </c>
    </row>
    <row r="2160">
      <c r="A2160" s="85">
        <v>46119.0</v>
      </c>
      <c r="B2160" s="31" t="s">
        <v>6041</v>
      </c>
      <c r="C2160" s="31">
        <v>8.0501157234E11</v>
      </c>
      <c r="D2160" s="31" t="s">
        <v>6042</v>
      </c>
      <c r="E2160" s="31" t="s">
        <v>6043</v>
      </c>
      <c r="F2160" s="31" t="s">
        <v>6044</v>
      </c>
      <c r="G2160" s="31" t="s">
        <v>6045</v>
      </c>
      <c r="H2160" s="31" t="s">
        <v>20</v>
      </c>
      <c r="I2160" s="31">
        <v>4440.0</v>
      </c>
      <c r="J2160" s="31">
        <v>2.984791433E9</v>
      </c>
      <c r="K2160" s="31" t="s">
        <v>5185</v>
      </c>
      <c r="L2160" s="31" t="s">
        <v>5186</v>
      </c>
      <c r="M2160" s="33">
        <v>1.0</v>
      </c>
      <c r="N2160" s="34"/>
      <c r="O2160" s="34"/>
    </row>
    <row r="2161">
      <c r="A2161" s="85">
        <v>46119.0</v>
      </c>
      <c r="B2161" s="31" t="s">
        <v>6041</v>
      </c>
      <c r="C2161" s="31">
        <v>8.0501157234E11</v>
      </c>
      <c r="D2161" s="31" t="s">
        <v>6042</v>
      </c>
      <c r="E2161" s="31" t="s">
        <v>6043</v>
      </c>
      <c r="F2161" s="31" t="s">
        <v>6044</v>
      </c>
      <c r="G2161" s="31" t="s">
        <v>6045</v>
      </c>
      <c r="H2161" s="31" t="s">
        <v>20</v>
      </c>
      <c r="I2161" s="31">
        <v>4440.0</v>
      </c>
      <c r="J2161" s="31">
        <v>2.984791433E9</v>
      </c>
      <c r="K2161" s="31" t="s">
        <v>512</v>
      </c>
      <c r="L2161" s="31" t="s">
        <v>513</v>
      </c>
      <c r="M2161" s="33">
        <v>6.0</v>
      </c>
      <c r="N2161" s="34"/>
      <c r="O2161" s="34"/>
    </row>
    <row r="2162">
      <c r="A2162" s="85">
        <v>46119.0</v>
      </c>
      <c r="B2162" s="31" t="s">
        <v>6041</v>
      </c>
      <c r="C2162" s="31">
        <v>8.0501157234E11</v>
      </c>
      <c r="D2162" s="31" t="s">
        <v>6042</v>
      </c>
      <c r="E2162" s="31" t="s">
        <v>6043</v>
      </c>
      <c r="F2162" s="31" t="s">
        <v>6044</v>
      </c>
      <c r="G2162" s="31" t="s">
        <v>6045</v>
      </c>
      <c r="H2162" s="31" t="s">
        <v>20</v>
      </c>
      <c r="I2162" s="31">
        <v>4440.0</v>
      </c>
      <c r="J2162" s="31">
        <v>2.984791433E9</v>
      </c>
      <c r="K2162" s="31" t="s">
        <v>2031</v>
      </c>
      <c r="L2162" s="31" t="s">
        <v>3348</v>
      </c>
      <c r="M2162" s="33">
        <v>1.0</v>
      </c>
      <c r="N2162" s="34"/>
      <c r="O2162" s="34"/>
    </row>
    <row r="2163">
      <c r="A2163" s="85">
        <v>46119.0</v>
      </c>
      <c r="B2163" s="31" t="s">
        <v>6046</v>
      </c>
      <c r="C2163" s="31">
        <v>8.07025035602E11</v>
      </c>
      <c r="D2163" s="31" t="s">
        <v>6047</v>
      </c>
      <c r="E2163" s="31" t="s">
        <v>6048</v>
      </c>
      <c r="F2163" s="31" t="s">
        <v>6049</v>
      </c>
      <c r="G2163" s="31" t="s">
        <v>127</v>
      </c>
      <c r="H2163" s="31" t="s">
        <v>20</v>
      </c>
      <c r="I2163" s="31">
        <v>4400.0</v>
      </c>
      <c r="J2163" s="31">
        <v>3.874737373E9</v>
      </c>
      <c r="K2163" s="31" t="s">
        <v>5262</v>
      </c>
      <c r="L2163" s="31" t="s">
        <v>5263</v>
      </c>
      <c r="M2163" s="33">
        <v>1.0</v>
      </c>
      <c r="N2163" s="34"/>
      <c r="O2163" s="31" t="s">
        <v>6050</v>
      </c>
    </row>
    <row r="2164">
      <c r="A2164" s="85">
        <v>46119.0</v>
      </c>
      <c r="B2164" s="31" t="s">
        <v>6051</v>
      </c>
      <c r="C2164" s="31">
        <v>8.0702503561E11</v>
      </c>
      <c r="D2164" s="31" t="s">
        <v>6052</v>
      </c>
      <c r="E2164" s="31" t="s">
        <v>6053</v>
      </c>
      <c r="F2164" s="31" t="s">
        <v>6054</v>
      </c>
      <c r="G2164" s="31" t="s">
        <v>127</v>
      </c>
      <c r="H2164" s="31" t="s">
        <v>20</v>
      </c>
      <c r="I2164" s="31">
        <v>4400.0</v>
      </c>
      <c r="J2164" s="31">
        <v>3.875843195E9</v>
      </c>
      <c r="K2164" s="31" t="s">
        <v>4695</v>
      </c>
      <c r="L2164" s="31" t="s">
        <v>4696</v>
      </c>
      <c r="M2164" s="33">
        <v>1.0</v>
      </c>
      <c r="N2164" s="34"/>
      <c r="O2164" s="34"/>
    </row>
    <row r="2165">
      <c r="A2165" s="85">
        <v>46119.0</v>
      </c>
      <c r="B2165" s="31" t="s">
        <v>6051</v>
      </c>
      <c r="C2165" s="31">
        <v>8.0702503561E11</v>
      </c>
      <c r="D2165" s="31" t="s">
        <v>6052</v>
      </c>
      <c r="E2165" s="31" t="s">
        <v>6053</v>
      </c>
      <c r="F2165" s="31" t="s">
        <v>6054</v>
      </c>
      <c r="G2165" s="31" t="s">
        <v>127</v>
      </c>
      <c r="H2165" s="31" t="s">
        <v>20</v>
      </c>
      <c r="I2165" s="31">
        <v>4400.0</v>
      </c>
      <c r="J2165" s="31">
        <v>3.875843195E9</v>
      </c>
      <c r="K2165" s="31" t="s">
        <v>4133</v>
      </c>
      <c r="L2165" s="31" t="s">
        <v>4134</v>
      </c>
      <c r="M2165" s="33">
        <v>1.0</v>
      </c>
      <c r="N2165" s="34"/>
      <c r="O2165" s="34"/>
    </row>
    <row r="2166" ht="8.25" customHeight="1">
      <c r="A2166" s="87"/>
      <c r="B2166" s="88"/>
      <c r="C2166" s="88"/>
      <c r="D2166" s="88"/>
      <c r="E2166" s="88"/>
      <c r="F2166" s="88"/>
      <c r="G2166" s="88"/>
      <c r="H2166" s="88"/>
      <c r="I2166" s="88"/>
      <c r="J2166" s="88"/>
      <c r="K2166" s="88"/>
      <c r="L2166" s="88"/>
      <c r="M2166" s="89"/>
      <c r="N2166" s="90"/>
      <c r="O2166" s="90"/>
    </row>
    <row r="2167">
      <c r="A2167" s="85">
        <v>46133.0</v>
      </c>
      <c r="B2167" s="31" t="s">
        <v>6055</v>
      </c>
      <c r="C2167" s="31">
        <v>8.078390034E11</v>
      </c>
      <c r="D2167" s="31" t="s">
        <v>6056</v>
      </c>
      <c r="E2167" s="31" t="s">
        <v>6057</v>
      </c>
      <c r="F2167" s="31" t="s">
        <v>6058</v>
      </c>
      <c r="G2167" s="31" t="s">
        <v>127</v>
      </c>
      <c r="H2167" s="31" t="s">
        <v>20</v>
      </c>
      <c r="I2167" s="31">
        <v>4400.0</v>
      </c>
      <c r="J2167" s="31">
        <v>3.87521609E9</v>
      </c>
      <c r="K2167" s="31" t="s">
        <v>1241</v>
      </c>
      <c r="L2167" s="31" t="s">
        <v>3500</v>
      </c>
      <c r="M2167" s="33">
        <v>1.0</v>
      </c>
      <c r="N2167" s="34"/>
      <c r="O2167" s="31" t="s">
        <v>6059</v>
      </c>
    </row>
    <row r="2168">
      <c r="A2168" s="85">
        <v>46133.0</v>
      </c>
      <c r="B2168" s="31" t="s">
        <v>6055</v>
      </c>
      <c r="C2168" s="31">
        <v>8.078390034E11</v>
      </c>
      <c r="D2168" s="31" t="s">
        <v>6056</v>
      </c>
      <c r="E2168" s="31" t="s">
        <v>6057</v>
      </c>
      <c r="F2168" s="31" t="s">
        <v>6058</v>
      </c>
      <c r="G2168" s="31" t="s">
        <v>127</v>
      </c>
      <c r="H2168" s="31" t="s">
        <v>20</v>
      </c>
      <c r="I2168" s="31">
        <v>4400.0</v>
      </c>
      <c r="J2168" s="31">
        <v>3.87521609E9</v>
      </c>
      <c r="K2168" s="31" t="s">
        <v>512</v>
      </c>
      <c r="L2168" s="31" t="s">
        <v>513</v>
      </c>
      <c r="M2168" s="33">
        <v>6.0</v>
      </c>
      <c r="N2168" s="34"/>
      <c r="O2168" s="31" t="s">
        <v>6059</v>
      </c>
    </row>
    <row r="2169">
      <c r="A2169" s="85">
        <v>46133.0</v>
      </c>
      <c r="B2169" s="31" t="s">
        <v>6055</v>
      </c>
      <c r="C2169" s="31">
        <v>8.078390034E11</v>
      </c>
      <c r="D2169" s="31" t="s">
        <v>6056</v>
      </c>
      <c r="E2169" s="31" t="s">
        <v>6057</v>
      </c>
      <c r="F2169" s="31" t="s">
        <v>6058</v>
      </c>
      <c r="G2169" s="31" t="s">
        <v>127</v>
      </c>
      <c r="H2169" s="31" t="s">
        <v>20</v>
      </c>
      <c r="I2169" s="31">
        <v>4400.0</v>
      </c>
      <c r="J2169" s="31">
        <v>3.87521609E9</v>
      </c>
      <c r="K2169" s="31" t="s">
        <v>1749</v>
      </c>
      <c r="L2169" s="31" t="s">
        <v>3240</v>
      </c>
      <c r="M2169" s="33">
        <v>1.0</v>
      </c>
      <c r="N2169" s="34"/>
      <c r="O2169" s="31" t="s">
        <v>6059</v>
      </c>
    </row>
    <row r="2170">
      <c r="A2170" s="85">
        <v>46133.0</v>
      </c>
      <c r="B2170" s="31" t="s">
        <v>6060</v>
      </c>
      <c r="C2170" s="31">
        <v>8.05011573619E11</v>
      </c>
      <c r="D2170" s="31" t="s">
        <v>6061</v>
      </c>
      <c r="E2170" s="31" t="s">
        <v>6062</v>
      </c>
      <c r="F2170" s="31" t="s">
        <v>6063</v>
      </c>
      <c r="G2170" s="31" t="s">
        <v>20</v>
      </c>
      <c r="H2170" s="31" t="s">
        <v>20</v>
      </c>
      <c r="I2170" s="31">
        <v>4400.0</v>
      </c>
      <c r="J2170" s="31">
        <v>3.875614284E9</v>
      </c>
      <c r="K2170" s="31" t="s">
        <v>4790</v>
      </c>
      <c r="L2170" s="31" t="s">
        <v>4791</v>
      </c>
      <c r="M2170" s="33">
        <v>1.0</v>
      </c>
      <c r="N2170" s="34"/>
      <c r="O2170" s="34"/>
    </row>
    <row r="2171">
      <c r="A2171" s="85">
        <v>46133.0</v>
      </c>
      <c r="B2171" s="31" t="s">
        <v>6060</v>
      </c>
      <c r="C2171" s="31">
        <v>8.05011573619E11</v>
      </c>
      <c r="D2171" s="31" t="s">
        <v>6061</v>
      </c>
      <c r="E2171" s="31" t="s">
        <v>6062</v>
      </c>
      <c r="F2171" s="31" t="s">
        <v>6063</v>
      </c>
      <c r="G2171" s="31" t="s">
        <v>20</v>
      </c>
      <c r="H2171" s="31" t="s">
        <v>20</v>
      </c>
      <c r="I2171" s="31">
        <v>4400.0</v>
      </c>
      <c r="J2171" s="31">
        <v>3.875614284E9</v>
      </c>
      <c r="K2171" s="31" t="s">
        <v>512</v>
      </c>
      <c r="L2171" s="31" t="s">
        <v>513</v>
      </c>
      <c r="M2171" s="33">
        <v>6.0</v>
      </c>
      <c r="N2171" s="34"/>
      <c r="O2171" s="34"/>
    </row>
    <row r="2172">
      <c r="A2172" s="85">
        <v>46133.0</v>
      </c>
      <c r="B2172" s="31" t="s">
        <v>6060</v>
      </c>
      <c r="C2172" s="31">
        <v>8.05011573619E11</v>
      </c>
      <c r="D2172" s="31" t="s">
        <v>6061</v>
      </c>
      <c r="E2172" s="31" t="s">
        <v>6062</v>
      </c>
      <c r="F2172" s="31" t="s">
        <v>6063</v>
      </c>
      <c r="G2172" s="31" t="s">
        <v>20</v>
      </c>
      <c r="H2172" s="31" t="s">
        <v>20</v>
      </c>
      <c r="I2172" s="31">
        <v>4400.0</v>
      </c>
      <c r="J2172" s="31">
        <v>3.875614284E9</v>
      </c>
      <c r="K2172" s="31" t="s">
        <v>1345</v>
      </c>
      <c r="L2172" s="31" t="s">
        <v>3639</v>
      </c>
      <c r="M2172" s="33">
        <v>1.0</v>
      </c>
      <c r="N2172" s="34"/>
      <c r="O2172" s="34"/>
    </row>
    <row r="2173">
      <c r="A2173" s="85">
        <v>46133.0</v>
      </c>
      <c r="B2173" s="31" t="s">
        <v>6064</v>
      </c>
      <c r="C2173" s="31">
        <v>8.05011573778E11</v>
      </c>
      <c r="D2173" s="31" t="s">
        <v>6065</v>
      </c>
      <c r="E2173" s="31" t="s">
        <v>6066</v>
      </c>
      <c r="F2173" s="31" t="s">
        <v>6067</v>
      </c>
      <c r="G2173" s="31" t="s">
        <v>5534</v>
      </c>
      <c r="H2173" s="31" t="s">
        <v>20</v>
      </c>
      <c r="I2173" s="31">
        <v>4440.0</v>
      </c>
      <c r="J2173" s="31">
        <v>3.876408536E9</v>
      </c>
      <c r="K2173" s="31" t="s">
        <v>617</v>
      </c>
      <c r="L2173" s="31" t="s">
        <v>3867</v>
      </c>
      <c r="M2173" s="33">
        <v>1.0</v>
      </c>
      <c r="N2173" s="34"/>
      <c r="O2173" s="31" t="s">
        <v>6068</v>
      </c>
    </row>
    <row r="2174">
      <c r="A2174" s="85">
        <v>46133.0</v>
      </c>
      <c r="B2174" s="31" t="s">
        <v>6064</v>
      </c>
      <c r="C2174" s="31">
        <v>8.05011573778E11</v>
      </c>
      <c r="D2174" s="31" t="s">
        <v>6065</v>
      </c>
      <c r="E2174" s="31" t="s">
        <v>6066</v>
      </c>
      <c r="F2174" s="31" t="s">
        <v>6067</v>
      </c>
      <c r="G2174" s="31" t="s">
        <v>5534</v>
      </c>
      <c r="H2174" s="31" t="s">
        <v>20</v>
      </c>
      <c r="I2174" s="31">
        <v>4440.0</v>
      </c>
      <c r="J2174" s="31">
        <v>3.876408536E9</v>
      </c>
      <c r="K2174" s="31" t="s">
        <v>512</v>
      </c>
      <c r="L2174" s="31" t="s">
        <v>513</v>
      </c>
      <c r="M2174" s="33">
        <v>12.0</v>
      </c>
      <c r="N2174" s="34"/>
      <c r="O2174" s="31" t="s">
        <v>6068</v>
      </c>
    </row>
    <row r="2175">
      <c r="A2175" s="85">
        <v>46133.0</v>
      </c>
      <c r="B2175" s="31" t="s">
        <v>6064</v>
      </c>
      <c r="C2175" s="31">
        <v>8.05011573778E11</v>
      </c>
      <c r="D2175" s="31" t="s">
        <v>6065</v>
      </c>
      <c r="E2175" s="31" t="s">
        <v>6066</v>
      </c>
      <c r="F2175" s="31" t="s">
        <v>6067</v>
      </c>
      <c r="G2175" s="31" t="s">
        <v>5534</v>
      </c>
      <c r="H2175" s="31" t="s">
        <v>20</v>
      </c>
      <c r="I2175" s="31">
        <v>4440.0</v>
      </c>
      <c r="J2175" s="31">
        <v>3.876408536E9</v>
      </c>
      <c r="K2175" s="31" t="s">
        <v>645</v>
      </c>
      <c r="L2175" s="31" t="s">
        <v>3253</v>
      </c>
      <c r="M2175" s="33">
        <v>2.0</v>
      </c>
      <c r="N2175" s="34"/>
      <c r="O2175" s="31" t="s">
        <v>6068</v>
      </c>
    </row>
    <row r="2176">
      <c r="A2176" s="85">
        <v>46133.0</v>
      </c>
      <c r="B2176" s="31" t="s">
        <v>6069</v>
      </c>
      <c r="C2176" s="31">
        <v>8.07025035581E11</v>
      </c>
      <c r="D2176" s="31" t="s">
        <v>6070</v>
      </c>
      <c r="E2176" s="31" t="s">
        <v>6071</v>
      </c>
      <c r="F2176" s="31" t="s">
        <v>6072</v>
      </c>
      <c r="G2176" s="31" t="s">
        <v>127</v>
      </c>
      <c r="H2176" s="31" t="s">
        <v>20</v>
      </c>
      <c r="I2176" s="31">
        <v>4400.0</v>
      </c>
      <c r="J2176" s="31">
        <v>1.165206266E9</v>
      </c>
      <c r="K2176" s="31">
        <v>125811.0</v>
      </c>
      <c r="L2176" s="31" t="s">
        <v>6073</v>
      </c>
      <c r="M2176" s="33">
        <v>4.0</v>
      </c>
      <c r="N2176" s="34"/>
      <c r="O2176" s="31" t="s">
        <v>6074</v>
      </c>
    </row>
    <row r="2177">
      <c r="A2177" s="85">
        <v>46133.0</v>
      </c>
      <c r="B2177" s="31" t="s">
        <v>6075</v>
      </c>
      <c r="C2177" s="31">
        <v>8.07839003939E11</v>
      </c>
      <c r="D2177" s="31" t="s">
        <v>6076</v>
      </c>
      <c r="E2177" s="31" t="s">
        <v>6077</v>
      </c>
      <c r="F2177" s="31" t="s">
        <v>6078</v>
      </c>
      <c r="G2177" s="31" t="s">
        <v>20</v>
      </c>
      <c r="H2177" s="31" t="s">
        <v>20</v>
      </c>
      <c r="I2177" s="31">
        <v>4400.0</v>
      </c>
      <c r="J2177" s="31">
        <v>3.87553564E9</v>
      </c>
      <c r="K2177" s="31" t="s">
        <v>262</v>
      </c>
      <c r="L2177" s="31" t="s">
        <v>3461</v>
      </c>
      <c r="M2177" s="33">
        <v>1.0</v>
      </c>
      <c r="N2177" s="34"/>
      <c r="O2177" s="31" t="s">
        <v>6079</v>
      </c>
    </row>
    <row r="2178">
      <c r="A2178" s="85">
        <v>46133.0</v>
      </c>
      <c r="B2178" s="31" t="s">
        <v>6080</v>
      </c>
      <c r="C2178" s="31">
        <v>8.07839004035E11</v>
      </c>
      <c r="D2178" s="31" t="s">
        <v>6081</v>
      </c>
      <c r="E2178" s="31" t="s">
        <v>6082</v>
      </c>
      <c r="F2178" s="31" t="s">
        <v>6083</v>
      </c>
      <c r="G2178" s="31" t="s">
        <v>1142</v>
      </c>
      <c r="H2178" s="31" t="s">
        <v>20</v>
      </c>
      <c r="I2178" s="31">
        <v>4430.0</v>
      </c>
      <c r="J2178" s="31">
        <v>3.874431086E9</v>
      </c>
      <c r="K2178" s="31" t="s">
        <v>98</v>
      </c>
      <c r="L2178" s="31" t="s">
        <v>3187</v>
      </c>
      <c r="M2178" s="33">
        <v>1.0</v>
      </c>
      <c r="N2178" s="34"/>
      <c r="O2178" s="31" t="s">
        <v>6084</v>
      </c>
    </row>
    <row r="2179">
      <c r="A2179" s="85">
        <v>46133.0</v>
      </c>
      <c r="B2179" s="31" t="s">
        <v>6080</v>
      </c>
      <c r="C2179" s="31">
        <v>8.07839004035E11</v>
      </c>
      <c r="D2179" s="31" t="s">
        <v>6081</v>
      </c>
      <c r="E2179" s="31" t="s">
        <v>6082</v>
      </c>
      <c r="F2179" s="31" t="s">
        <v>6083</v>
      </c>
      <c r="G2179" s="31" t="s">
        <v>1142</v>
      </c>
      <c r="H2179" s="31" t="s">
        <v>20</v>
      </c>
      <c r="I2179" s="31">
        <v>4430.0</v>
      </c>
      <c r="J2179" s="31">
        <v>3.874431086E9</v>
      </c>
      <c r="K2179" s="31" t="s">
        <v>512</v>
      </c>
      <c r="L2179" s="31" t="s">
        <v>513</v>
      </c>
      <c r="M2179" s="33">
        <v>6.0</v>
      </c>
      <c r="N2179" s="34"/>
      <c r="O2179" s="31" t="s">
        <v>6084</v>
      </c>
    </row>
    <row r="2180">
      <c r="A2180" s="85">
        <v>46133.0</v>
      </c>
      <c r="B2180" s="31" t="s">
        <v>6080</v>
      </c>
      <c r="C2180" s="31">
        <v>8.07839004035E11</v>
      </c>
      <c r="D2180" s="31" t="s">
        <v>6081</v>
      </c>
      <c r="E2180" s="31" t="s">
        <v>6082</v>
      </c>
      <c r="F2180" s="31" t="s">
        <v>6083</v>
      </c>
      <c r="G2180" s="31" t="s">
        <v>1142</v>
      </c>
      <c r="H2180" s="31" t="s">
        <v>20</v>
      </c>
      <c r="I2180" s="31">
        <v>4430.0</v>
      </c>
      <c r="J2180" s="31">
        <v>3.874431086E9</v>
      </c>
      <c r="K2180" s="31" t="s">
        <v>670</v>
      </c>
      <c r="L2180" s="31" t="s">
        <v>3410</v>
      </c>
      <c r="M2180" s="33">
        <v>1.0</v>
      </c>
      <c r="N2180" s="34"/>
      <c r="O2180" s="31" t="s">
        <v>6084</v>
      </c>
    </row>
    <row r="2181">
      <c r="A2181" s="85">
        <v>46133.0</v>
      </c>
      <c r="B2181" s="31" t="s">
        <v>6085</v>
      </c>
      <c r="C2181" s="31">
        <v>8.07025035582E11</v>
      </c>
      <c r="D2181" s="31" t="s">
        <v>6070</v>
      </c>
      <c r="E2181" s="31" t="s">
        <v>6071</v>
      </c>
      <c r="F2181" s="31" t="s">
        <v>6072</v>
      </c>
      <c r="G2181" s="31" t="s">
        <v>127</v>
      </c>
      <c r="H2181" s="31" t="s">
        <v>20</v>
      </c>
      <c r="I2181" s="31">
        <v>4400.0</v>
      </c>
      <c r="J2181" s="31">
        <v>1.165206266E9</v>
      </c>
      <c r="K2181" s="31" t="s">
        <v>6086</v>
      </c>
      <c r="L2181" s="31" t="s">
        <v>6087</v>
      </c>
      <c r="M2181" s="33">
        <v>6.0</v>
      </c>
      <c r="N2181" s="34"/>
      <c r="O2181" s="31" t="s">
        <v>6074</v>
      </c>
    </row>
    <row r="2182">
      <c r="A2182" s="85">
        <v>46133.0</v>
      </c>
      <c r="B2182" s="31" t="s">
        <v>6085</v>
      </c>
      <c r="C2182" s="31">
        <v>8.07025035582E11</v>
      </c>
      <c r="D2182" s="31" t="s">
        <v>6070</v>
      </c>
      <c r="E2182" s="31" t="s">
        <v>6071</v>
      </c>
      <c r="F2182" s="31" t="s">
        <v>6072</v>
      </c>
      <c r="G2182" s="31" t="s">
        <v>127</v>
      </c>
      <c r="H2182" s="31" t="s">
        <v>20</v>
      </c>
      <c r="I2182" s="31">
        <v>4400.0</v>
      </c>
      <c r="J2182" s="31">
        <v>1.165206266E9</v>
      </c>
      <c r="K2182" s="31" t="s">
        <v>512</v>
      </c>
      <c r="L2182" s="31" t="s">
        <v>513</v>
      </c>
      <c r="M2182" s="33">
        <v>36.0</v>
      </c>
      <c r="N2182" s="34"/>
      <c r="O2182" s="31" t="s">
        <v>6074</v>
      </c>
    </row>
    <row r="2183">
      <c r="A2183" s="85">
        <v>46133.0</v>
      </c>
      <c r="B2183" s="31" t="s">
        <v>6085</v>
      </c>
      <c r="C2183" s="31">
        <v>8.07025035582E11</v>
      </c>
      <c r="D2183" s="31" t="s">
        <v>6070</v>
      </c>
      <c r="E2183" s="31" t="s">
        <v>6071</v>
      </c>
      <c r="F2183" s="31" t="s">
        <v>6072</v>
      </c>
      <c r="G2183" s="31" t="s">
        <v>127</v>
      </c>
      <c r="H2183" s="31" t="s">
        <v>20</v>
      </c>
      <c r="I2183" s="31">
        <v>4400.0</v>
      </c>
      <c r="J2183" s="31">
        <v>1.165206266E9</v>
      </c>
      <c r="K2183" s="31" t="s">
        <v>121</v>
      </c>
      <c r="L2183" s="31" t="s">
        <v>3199</v>
      </c>
      <c r="M2183" s="33">
        <v>6.0</v>
      </c>
      <c r="N2183" s="34"/>
      <c r="O2183" s="31" t="s">
        <v>6074</v>
      </c>
    </row>
    <row r="2184">
      <c r="A2184" s="85">
        <v>46133.0</v>
      </c>
      <c r="B2184" s="31" t="s">
        <v>6088</v>
      </c>
      <c r="C2184" s="31">
        <v>8.07025035729E11</v>
      </c>
      <c r="D2184" s="31" t="s">
        <v>6089</v>
      </c>
      <c r="E2184" s="31" t="s">
        <v>6090</v>
      </c>
      <c r="F2184" s="31" t="s">
        <v>6091</v>
      </c>
      <c r="G2184" s="31" t="s">
        <v>127</v>
      </c>
      <c r="H2184" s="31" t="s">
        <v>20</v>
      </c>
      <c r="I2184" s="31">
        <v>4400.0</v>
      </c>
      <c r="J2184" s="31">
        <v>3.874555655E9</v>
      </c>
      <c r="K2184" s="31" t="s">
        <v>3285</v>
      </c>
      <c r="L2184" s="31" t="s">
        <v>3286</v>
      </c>
      <c r="M2184" s="33">
        <v>1.0</v>
      </c>
      <c r="N2184" s="34"/>
      <c r="O2184" s="34"/>
    </row>
    <row r="2185">
      <c r="A2185" s="85">
        <v>46133.0</v>
      </c>
      <c r="B2185" s="31" t="s">
        <v>6092</v>
      </c>
      <c r="C2185" s="31">
        <v>8.0702503574E11</v>
      </c>
      <c r="D2185" s="31" t="s">
        <v>6093</v>
      </c>
      <c r="E2185" s="31" t="s">
        <v>6094</v>
      </c>
      <c r="F2185" s="31" t="s">
        <v>6095</v>
      </c>
      <c r="G2185" s="31" t="s">
        <v>127</v>
      </c>
      <c r="H2185" s="31" t="s">
        <v>20</v>
      </c>
      <c r="I2185" s="31">
        <v>4400.0</v>
      </c>
      <c r="J2185" s="31">
        <v>3.875385097E9</v>
      </c>
      <c r="K2185" s="31" t="s">
        <v>3512</v>
      </c>
      <c r="L2185" s="31" t="s">
        <v>3513</v>
      </c>
      <c r="M2185" s="33">
        <v>12.0</v>
      </c>
      <c r="N2185" s="34"/>
      <c r="O2185" s="31" t="s">
        <v>6096</v>
      </c>
    </row>
    <row r="2186" ht="15.0" customHeight="1">
      <c r="A2186" s="85">
        <v>46133.0</v>
      </c>
      <c r="B2186" s="107" t="s">
        <v>6097</v>
      </c>
      <c r="C2186" s="107">
        <v>8.05011574168E11</v>
      </c>
      <c r="D2186" s="107" t="s">
        <v>6098</v>
      </c>
      <c r="E2186" s="107" t="s">
        <v>6099</v>
      </c>
      <c r="F2186" s="107" t="s">
        <v>6100</v>
      </c>
      <c r="G2186" s="107" t="s">
        <v>20</v>
      </c>
      <c r="H2186" s="107" t="s">
        <v>20</v>
      </c>
      <c r="I2186" s="107">
        <v>4400.0</v>
      </c>
      <c r="J2186" s="107">
        <v>3.875723601E9</v>
      </c>
      <c r="K2186" s="107" t="s">
        <v>50</v>
      </c>
      <c r="L2186" s="107" t="s">
        <v>51</v>
      </c>
      <c r="M2186" s="108">
        <v>1.0</v>
      </c>
      <c r="N2186" s="109"/>
      <c r="O2186" s="109"/>
    </row>
    <row r="2187">
      <c r="A2187" s="85">
        <v>46133.0</v>
      </c>
      <c r="B2187" s="31" t="s">
        <v>6097</v>
      </c>
      <c r="C2187" s="31">
        <v>8.05011574168E11</v>
      </c>
      <c r="D2187" s="31" t="s">
        <v>6098</v>
      </c>
      <c r="E2187" s="31" t="s">
        <v>6099</v>
      </c>
      <c r="F2187" s="31" t="s">
        <v>6100</v>
      </c>
      <c r="G2187" s="31" t="s">
        <v>20</v>
      </c>
      <c r="H2187" s="31" t="s">
        <v>20</v>
      </c>
      <c r="I2187" s="31">
        <v>4400.0</v>
      </c>
      <c r="J2187" s="31">
        <v>3.875723601E9</v>
      </c>
      <c r="K2187" s="31" t="s">
        <v>512</v>
      </c>
      <c r="L2187" s="31" t="s">
        <v>513</v>
      </c>
      <c r="M2187" s="33">
        <v>6.0</v>
      </c>
      <c r="N2187" s="34"/>
      <c r="O2187" s="34"/>
    </row>
    <row r="2188">
      <c r="A2188" s="85">
        <v>46133.0</v>
      </c>
      <c r="B2188" s="31" t="s">
        <v>6097</v>
      </c>
      <c r="C2188" s="31">
        <v>8.05011574168E11</v>
      </c>
      <c r="D2188" s="31" t="s">
        <v>6098</v>
      </c>
      <c r="E2188" s="31" t="s">
        <v>6099</v>
      </c>
      <c r="F2188" s="31" t="s">
        <v>6100</v>
      </c>
      <c r="G2188" s="31" t="s">
        <v>20</v>
      </c>
      <c r="H2188" s="31" t="s">
        <v>20</v>
      </c>
      <c r="I2188" s="31">
        <v>4400.0</v>
      </c>
      <c r="J2188" s="31">
        <v>3.875723601E9</v>
      </c>
      <c r="K2188" s="31" t="s">
        <v>25</v>
      </c>
      <c r="L2188" s="31" t="s">
        <v>3401</v>
      </c>
      <c r="M2188" s="33">
        <v>1.0</v>
      </c>
      <c r="N2188" s="34"/>
      <c r="O2188" s="34"/>
    </row>
    <row r="2189" ht="10.5" customHeight="1">
      <c r="A2189" s="87"/>
      <c r="B2189" s="88"/>
      <c r="C2189" s="88"/>
      <c r="D2189" s="88"/>
      <c r="E2189" s="88"/>
      <c r="F2189" s="88"/>
      <c r="G2189" s="88"/>
      <c r="H2189" s="88"/>
      <c r="I2189" s="88"/>
      <c r="J2189" s="88"/>
      <c r="K2189" s="88"/>
      <c r="L2189" s="88"/>
      <c r="M2189" s="89"/>
      <c r="N2189" s="90"/>
      <c r="O2189" s="90"/>
    </row>
    <row r="2190">
      <c r="A2190" s="98">
        <v>46150.0</v>
      </c>
      <c r="B2190" s="99" t="s">
        <v>6101</v>
      </c>
      <c r="C2190" s="99">
        <v>8.07940000748E11</v>
      </c>
      <c r="D2190" s="99" t="s">
        <v>6102</v>
      </c>
      <c r="E2190" s="99" t="s">
        <v>6103</v>
      </c>
      <c r="F2190" s="99" t="s">
        <v>6104</v>
      </c>
      <c r="G2190" s="99" t="s">
        <v>20</v>
      </c>
      <c r="H2190" s="99" t="s">
        <v>20</v>
      </c>
      <c r="I2190" s="99" t="s">
        <v>4086</v>
      </c>
      <c r="J2190" s="99">
        <v>3.87529834E9</v>
      </c>
      <c r="K2190" s="99" t="s">
        <v>6105</v>
      </c>
      <c r="L2190" s="99" t="s">
        <v>6106</v>
      </c>
      <c r="M2190" s="100">
        <v>1.0</v>
      </c>
      <c r="N2190" s="99" t="s">
        <v>6107</v>
      </c>
      <c r="O2190" s="101"/>
    </row>
    <row r="2191">
      <c r="A2191" s="98">
        <v>46150.0</v>
      </c>
      <c r="B2191" s="99" t="s">
        <v>6101</v>
      </c>
      <c r="C2191" s="99">
        <v>8.07940000748E11</v>
      </c>
      <c r="D2191" s="99" t="s">
        <v>6102</v>
      </c>
      <c r="E2191" s="99" t="s">
        <v>6103</v>
      </c>
      <c r="F2191" s="99" t="s">
        <v>6104</v>
      </c>
      <c r="G2191" s="99" t="s">
        <v>20</v>
      </c>
      <c r="H2191" s="99" t="s">
        <v>20</v>
      </c>
      <c r="I2191" s="99" t="s">
        <v>4086</v>
      </c>
      <c r="J2191" s="99">
        <v>3.87529834E9</v>
      </c>
      <c r="K2191" s="99" t="s">
        <v>512</v>
      </c>
      <c r="L2191" s="99" t="s">
        <v>513</v>
      </c>
      <c r="M2191" s="100">
        <v>12.0</v>
      </c>
      <c r="N2191" s="101"/>
      <c r="O2191" s="101"/>
    </row>
    <row r="2192">
      <c r="A2192" s="98">
        <v>46150.0</v>
      </c>
      <c r="B2192" s="99" t="s">
        <v>6101</v>
      </c>
      <c r="C2192" s="99">
        <v>8.07940000748E11</v>
      </c>
      <c r="D2192" s="99" t="s">
        <v>6102</v>
      </c>
      <c r="E2192" s="99" t="s">
        <v>6103</v>
      </c>
      <c r="F2192" s="99" t="s">
        <v>6104</v>
      </c>
      <c r="G2192" s="99" t="s">
        <v>20</v>
      </c>
      <c r="H2192" s="99" t="s">
        <v>20</v>
      </c>
      <c r="I2192" s="99" t="s">
        <v>4086</v>
      </c>
      <c r="J2192" s="99">
        <v>3.87529834E9</v>
      </c>
      <c r="K2192" s="99" t="s">
        <v>758</v>
      </c>
      <c r="L2192" s="99" t="s">
        <v>3574</v>
      </c>
      <c r="M2192" s="100">
        <v>2.0</v>
      </c>
      <c r="N2192" s="101"/>
      <c r="O2192" s="101"/>
    </row>
    <row r="2193">
      <c r="A2193" s="85">
        <v>46150.0</v>
      </c>
      <c r="B2193" s="31" t="s">
        <v>6108</v>
      </c>
      <c r="C2193" s="31">
        <v>8.07025035809E11</v>
      </c>
      <c r="D2193" s="31" t="s">
        <v>6109</v>
      </c>
      <c r="E2193" s="31" t="s">
        <v>6110</v>
      </c>
      <c r="F2193" s="31" t="s">
        <v>6111</v>
      </c>
      <c r="G2193" s="31" t="s">
        <v>127</v>
      </c>
      <c r="H2193" s="31" t="s">
        <v>20</v>
      </c>
      <c r="I2193" s="31">
        <v>4400.0</v>
      </c>
      <c r="J2193" s="31">
        <v>3.875098628E9</v>
      </c>
      <c r="K2193" s="31" t="s">
        <v>5262</v>
      </c>
      <c r="L2193" s="31" t="s">
        <v>5263</v>
      </c>
      <c r="M2193" s="33">
        <v>1.0</v>
      </c>
      <c r="N2193" s="31" t="s">
        <v>261</v>
      </c>
      <c r="O2193" s="34"/>
    </row>
    <row r="2194">
      <c r="A2194" s="85">
        <v>46150.0</v>
      </c>
      <c r="B2194" s="31" t="s">
        <v>6112</v>
      </c>
      <c r="C2194" s="31">
        <v>8.07025035808E11</v>
      </c>
      <c r="D2194" s="31" t="s">
        <v>6109</v>
      </c>
      <c r="E2194" s="31" t="s">
        <v>6110</v>
      </c>
      <c r="F2194" s="31" t="s">
        <v>6111</v>
      </c>
      <c r="G2194" s="31" t="s">
        <v>127</v>
      </c>
      <c r="H2194" s="31" t="s">
        <v>20</v>
      </c>
      <c r="I2194" s="31">
        <v>4400.0</v>
      </c>
      <c r="J2194" s="31">
        <v>3.875098628E9</v>
      </c>
      <c r="K2194" s="31" t="s">
        <v>6113</v>
      </c>
      <c r="L2194" s="31" t="s">
        <v>6114</v>
      </c>
      <c r="M2194" s="33">
        <v>1.0</v>
      </c>
      <c r="N2194" s="31" t="s">
        <v>261</v>
      </c>
      <c r="O2194" s="34"/>
    </row>
    <row r="2195">
      <c r="A2195" s="85">
        <v>46150.0</v>
      </c>
      <c r="B2195" s="31" t="s">
        <v>6115</v>
      </c>
      <c r="C2195" s="31">
        <v>8.07025035811E11</v>
      </c>
      <c r="D2195" s="31" t="s">
        <v>6116</v>
      </c>
      <c r="E2195" s="31" t="s">
        <v>6117</v>
      </c>
      <c r="F2195" s="31" t="s">
        <v>6118</v>
      </c>
      <c r="G2195" s="31" t="s">
        <v>127</v>
      </c>
      <c r="H2195" s="31" t="s">
        <v>20</v>
      </c>
      <c r="I2195" s="31">
        <v>4400.0</v>
      </c>
      <c r="J2195" s="31">
        <v>3.874150381E9</v>
      </c>
      <c r="K2195" s="31" t="s">
        <v>6119</v>
      </c>
      <c r="L2195" s="31" t="s">
        <v>6120</v>
      </c>
      <c r="M2195" s="33">
        <v>1.0</v>
      </c>
      <c r="N2195" s="34"/>
      <c r="O2195" s="31" t="s">
        <v>6121</v>
      </c>
    </row>
    <row r="2196">
      <c r="A2196" s="85">
        <v>46150.0</v>
      </c>
      <c r="B2196" s="31" t="s">
        <v>6115</v>
      </c>
      <c r="C2196" s="31">
        <v>8.07025035811E11</v>
      </c>
      <c r="D2196" s="31" t="s">
        <v>6116</v>
      </c>
      <c r="E2196" s="31" t="s">
        <v>6117</v>
      </c>
      <c r="F2196" s="31" t="s">
        <v>6118</v>
      </c>
      <c r="G2196" s="31" t="s">
        <v>127</v>
      </c>
      <c r="H2196" s="31" t="s">
        <v>20</v>
      </c>
      <c r="I2196" s="31">
        <v>4400.0</v>
      </c>
      <c r="J2196" s="31">
        <v>3.874150381E9</v>
      </c>
      <c r="K2196" s="31" t="s">
        <v>512</v>
      </c>
      <c r="L2196" s="31" t="s">
        <v>513</v>
      </c>
      <c r="M2196" s="33">
        <v>12.0</v>
      </c>
      <c r="N2196" s="34"/>
      <c r="O2196" s="31" t="s">
        <v>6121</v>
      </c>
    </row>
    <row r="2197">
      <c r="A2197" s="85">
        <v>46150.0</v>
      </c>
      <c r="B2197" s="31" t="s">
        <v>6115</v>
      </c>
      <c r="C2197" s="31">
        <v>8.07025035811E11</v>
      </c>
      <c r="D2197" s="31" t="s">
        <v>6116</v>
      </c>
      <c r="E2197" s="31" t="s">
        <v>6117</v>
      </c>
      <c r="F2197" s="31" t="s">
        <v>6118</v>
      </c>
      <c r="G2197" s="31" t="s">
        <v>127</v>
      </c>
      <c r="H2197" s="31" t="s">
        <v>20</v>
      </c>
      <c r="I2197" s="31">
        <v>4400.0</v>
      </c>
      <c r="J2197" s="31">
        <v>3.874150381E9</v>
      </c>
      <c r="K2197" s="31" t="s">
        <v>772</v>
      </c>
      <c r="L2197" s="31" t="s">
        <v>3363</v>
      </c>
      <c r="M2197" s="33">
        <v>2.0</v>
      </c>
      <c r="N2197" s="34"/>
      <c r="O2197" s="31" t="s">
        <v>6121</v>
      </c>
    </row>
    <row r="2198">
      <c r="A2198" s="85">
        <v>46150.0</v>
      </c>
      <c r="B2198" s="31" t="s">
        <v>6122</v>
      </c>
      <c r="C2198" s="31">
        <v>8.07839004858E11</v>
      </c>
      <c r="D2198" s="31" t="s">
        <v>6123</v>
      </c>
      <c r="E2198" s="31" t="s">
        <v>6124</v>
      </c>
      <c r="F2198" s="31" t="s">
        <v>6125</v>
      </c>
      <c r="G2198" s="31" t="s">
        <v>1142</v>
      </c>
      <c r="H2198" s="31" t="s">
        <v>20</v>
      </c>
      <c r="I2198" s="31">
        <v>4430.0</v>
      </c>
      <c r="J2198" s="31">
        <v>3.875676783E9</v>
      </c>
      <c r="K2198" s="31" t="s">
        <v>98</v>
      </c>
      <c r="L2198" s="31" t="s">
        <v>3187</v>
      </c>
      <c r="M2198" s="33">
        <v>1.0</v>
      </c>
      <c r="N2198" s="34"/>
      <c r="O2198" s="34"/>
    </row>
    <row r="2199">
      <c r="A2199" s="85">
        <v>46150.0</v>
      </c>
      <c r="B2199" s="31" t="s">
        <v>6122</v>
      </c>
      <c r="C2199" s="31">
        <v>8.07839004858E11</v>
      </c>
      <c r="D2199" s="31" t="s">
        <v>6123</v>
      </c>
      <c r="E2199" s="31" t="s">
        <v>6124</v>
      </c>
      <c r="F2199" s="31" t="s">
        <v>6125</v>
      </c>
      <c r="G2199" s="31" t="s">
        <v>1142</v>
      </c>
      <c r="H2199" s="31" t="s">
        <v>20</v>
      </c>
      <c r="I2199" s="31">
        <v>4430.0</v>
      </c>
      <c r="J2199" s="31">
        <v>3.875676783E9</v>
      </c>
      <c r="K2199" s="31" t="s">
        <v>512</v>
      </c>
      <c r="L2199" s="31" t="s">
        <v>513</v>
      </c>
      <c r="M2199" s="33">
        <v>6.0</v>
      </c>
      <c r="N2199" s="34"/>
      <c r="O2199" s="34"/>
    </row>
    <row r="2200">
      <c r="A2200" s="85">
        <v>46150.0</v>
      </c>
      <c r="B2200" s="31" t="s">
        <v>6122</v>
      </c>
      <c r="C2200" s="31">
        <v>8.07839004858E11</v>
      </c>
      <c r="D2200" s="31" t="s">
        <v>6123</v>
      </c>
      <c r="E2200" s="31" t="s">
        <v>6124</v>
      </c>
      <c r="F2200" s="31" t="s">
        <v>6125</v>
      </c>
      <c r="G2200" s="31" t="s">
        <v>1142</v>
      </c>
      <c r="H2200" s="31" t="s">
        <v>20</v>
      </c>
      <c r="I2200" s="31">
        <v>4430.0</v>
      </c>
      <c r="J2200" s="31">
        <v>3.875676783E9</v>
      </c>
      <c r="K2200" s="31" t="s">
        <v>670</v>
      </c>
      <c r="L2200" s="31" t="s">
        <v>3410</v>
      </c>
      <c r="M2200" s="33">
        <v>1.0</v>
      </c>
      <c r="N2200" s="34"/>
      <c r="O2200" s="34"/>
    </row>
    <row r="2201" ht="6.75" customHeight="1">
      <c r="A2201" s="87"/>
      <c r="B2201" s="88"/>
      <c r="C2201" s="88"/>
      <c r="D2201" s="88"/>
      <c r="E2201" s="88"/>
      <c r="F2201" s="88"/>
      <c r="G2201" s="88"/>
      <c r="H2201" s="88"/>
      <c r="I2201" s="88"/>
      <c r="J2201" s="88"/>
      <c r="K2201" s="88"/>
      <c r="L2201" s="88"/>
      <c r="M2201" s="89"/>
      <c r="N2201" s="90"/>
      <c r="O2201" s="90"/>
    </row>
    <row r="2202">
      <c r="A2202" s="85">
        <v>46153.0</v>
      </c>
      <c r="B2202" s="31" t="s">
        <v>6126</v>
      </c>
      <c r="C2202" s="31">
        <v>8.06015100582E11</v>
      </c>
      <c r="D2202" s="31" t="s">
        <v>6127</v>
      </c>
      <c r="E2202" s="31" t="s">
        <v>6128</v>
      </c>
      <c r="F2202" s="31" t="s">
        <v>6129</v>
      </c>
      <c r="G2202" s="31" t="s">
        <v>6130</v>
      </c>
      <c r="H2202" s="31" t="s">
        <v>20</v>
      </c>
      <c r="I2202" s="31">
        <v>4452.0</v>
      </c>
      <c r="J2202" s="31">
        <v>3.875119725E9</v>
      </c>
      <c r="K2202" s="31" t="s">
        <v>6131</v>
      </c>
      <c r="L2202" s="31" t="s">
        <v>6132</v>
      </c>
      <c r="M2202" s="33">
        <v>1.0</v>
      </c>
      <c r="N2202" s="34"/>
      <c r="O2202" s="31" t="s">
        <v>6133</v>
      </c>
    </row>
    <row r="2203">
      <c r="A2203" s="85">
        <v>46153.0</v>
      </c>
      <c r="B2203" s="31" t="s">
        <v>6126</v>
      </c>
      <c r="C2203" s="31">
        <v>8.06015100582E11</v>
      </c>
      <c r="D2203" s="31" t="s">
        <v>6127</v>
      </c>
      <c r="E2203" s="31" t="s">
        <v>6128</v>
      </c>
      <c r="F2203" s="31" t="s">
        <v>6129</v>
      </c>
      <c r="G2203" s="31" t="s">
        <v>6130</v>
      </c>
      <c r="H2203" s="31" t="s">
        <v>20</v>
      </c>
      <c r="I2203" s="31">
        <v>4452.0</v>
      </c>
      <c r="J2203" s="31">
        <v>3.875119725E9</v>
      </c>
      <c r="K2203" s="31" t="s">
        <v>512</v>
      </c>
      <c r="L2203" s="31" t="s">
        <v>513</v>
      </c>
      <c r="M2203" s="33">
        <v>12.0</v>
      </c>
      <c r="N2203" s="34"/>
      <c r="O2203" s="31" t="s">
        <v>6133</v>
      </c>
    </row>
    <row r="2204">
      <c r="A2204" s="85">
        <v>46153.0</v>
      </c>
      <c r="B2204" s="31" t="s">
        <v>6126</v>
      </c>
      <c r="C2204" s="31">
        <v>8.06015100582E11</v>
      </c>
      <c r="D2204" s="31" t="s">
        <v>6127</v>
      </c>
      <c r="E2204" s="31" t="s">
        <v>6128</v>
      </c>
      <c r="F2204" s="31" t="s">
        <v>6129</v>
      </c>
      <c r="G2204" s="31" t="s">
        <v>6130</v>
      </c>
      <c r="H2204" s="31" t="s">
        <v>20</v>
      </c>
      <c r="I2204" s="31">
        <v>4452.0</v>
      </c>
      <c r="J2204" s="31">
        <v>3.875119725E9</v>
      </c>
      <c r="K2204" s="31" t="s">
        <v>645</v>
      </c>
      <c r="L2204" s="31" t="s">
        <v>3253</v>
      </c>
      <c r="M2204" s="33">
        <v>2.0</v>
      </c>
      <c r="N2204" s="34"/>
      <c r="O2204" s="31" t="s">
        <v>6133</v>
      </c>
    </row>
    <row r="2205">
      <c r="A2205" s="85">
        <v>46153.0</v>
      </c>
      <c r="B2205" s="31" t="s">
        <v>6134</v>
      </c>
      <c r="C2205" s="31">
        <v>8.07839004913E11</v>
      </c>
      <c r="D2205" s="31" t="s">
        <v>6135</v>
      </c>
      <c r="E2205" s="31" t="s">
        <v>6136</v>
      </c>
      <c r="F2205" s="31" t="s">
        <v>6137</v>
      </c>
      <c r="G2205" s="31" t="s">
        <v>6138</v>
      </c>
      <c r="H2205" s="31" t="s">
        <v>20</v>
      </c>
      <c r="I2205" s="31">
        <v>4411.0</v>
      </c>
      <c r="J2205" s="31">
        <v>3.875297378E9</v>
      </c>
      <c r="K2205" s="31" t="s">
        <v>32</v>
      </c>
      <c r="L2205" s="31" t="s">
        <v>3225</v>
      </c>
      <c r="M2205" s="33">
        <v>1.0</v>
      </c>
      <c r="N2205" s="34"/>
      <c r="O2205" s="31" t="s">
        <v>6139</v>
      </c>
    </row>
    <row r="2206">
      <c r="A2206" s="85">
        <v>46153.0</v>
      </c>
      <c r="B2206" s="31" t="s">
        <v>6134</v>
      </c>
      <c r="C2206" s="31">
        <v>8.07839004913E11</v>
      </c>
      <c r="D2206" s="31" t="s">
        <v>6135</v>
      </c>
      <c r="E2206" s="31" t="s">
        <v>6136</v>
      </c>
      <c r="F2206" s="31" t="s">
        <v>6137</v>
      </c>
      <c r="G2206" s="31" t="s">
        <v>6138</v>
      </c>
      <c r="H2206" s="31" t="s">
        <v>20</v>
      </c>
      <c r="I2206" s="31">
        <v>4411.0</v>
      </c>
      <c r="J2206" s="31">
        <v>3.875297378E9</v>
      </c>
      <c r="K2206" s="31" t="s">
        <v>512</v>
      </c>
      <c r="L2206" s="31" t="s">
        <v>513</v>
      </c>
      <c r="M2206" s="33">
        <v>6.0</v>
      </c>
      <c r="N2206" s="34"/>
      <c r="O2206" s="31" t="s">
        <v>6139</v>
      </c>
    </row>
    <row r="2207">
      <c r="A2207" s="85">
        <v>46153.0</v>
      </c>
      <c r="B2207" s="31" t="s">
        <v>6134</v>
      </c>
      <c r="C2207" s="31">
        <v>8.07839004913E11</v>
      </c>
      <c r="D2207" s="31" t="s">
        <v>6135</v>
      </c>
      <c r="E2207" s="31" t="s">
        <v>6136</v>
      </c>
      <c r="F2207" s="31" t="s">
        <v>6137</v>
      </c>
      <c r="G2207" s="31" t="s">
        <v>6138</v>
      </c>
      <c r="H2207" s="31" t="s">
        <v>20</v>
      </c>
      <c r="I2207" s="31">
        <v>4411.0</v>
      </c>
      <c r="J2207" s="31">
        <v>3.875297378E9</v>
      </c>
      <c r="K2207" s="31" t="s">
        <v>670</v>
      </c>
      <c r="L2207" s="31" t="s">
        <v>3410</v>
      </c>
      <c r="M2207" s="33">
        <v>1.0</v>
      </c>
      <c r="N2207" s="34"/>
      <c r="O2207" s="31" t="s">
        <v>6139</v>
      </c>
    </row>
    <row r="2208">
      <c r="A2208" s="85">
        <v>46153.0</v>
      </c>
      <c r="B2208" s="31" t="s">
        <v>6140</v>
      </c>
      <c r="C2208" s="31">
        <v>8.07839005094E11</v>
      </c>
      <c r="D2208" s="31" t="s">
        <v>6141</v>
      </c>
      <c r="E2208" s="31" t="s">
        <v>6142</v>
      </c>
      <c r="F2208" s="31" t="s">
        <v>6143</v>
      </c>
      <c r="G2208" s="31" t="s">
        <v>6144</v>
      </c>
      <c r="H2208" s="31" t="s">
        <v>20</v>
      </c>
      <c r="I2208" s="31">
        <v>4533.0</v>
      </c>
      <c r="J2208" s="31">
        <v>3.878406993E9</v>
      </c>
      <c r="K2208" s="31" t="s">
        <v>289</v>
      </c>
      <c r="L2208" s="31" t="s">
        <v>290</v>
      </c>
      <c r="M2208" s="33">
        <v>1.0</v>
      </c>
      <c r="N2208" s="34"/>
      <c r="O2208" s="34"/>
    </row>
    <row r="2209">
      <c r="A2209" s="85">
        <v>46153.0</v>
      </c>
      <c r="B2209" s="31" t="s">
        <v>6145</v>
      </c>
      <c r="C2209" s="31">
        <v>8.05011574605E11</v>
      </c>
      <c r="D2209" s="31" t="s">
        <v>6146</v>
      </c>
      <c r="E2209" s="31" t="s">
        <v>6147</v>
      </c>
      <c r="F2209" s="31" t="s">
        <v>6148</v>
      </c>
      <c r="G2209" s="31" t="s">
        <v>20</v>
      </c>
      <c r="H2209" s="31" t="s">
        <v>20</v>
      </c>
      <c r="I2209" s="31">
        <v>4400.0</v>
      </c>
      <c r="J2209" s="31">
        <v>3.876836977E9</v>
      </c>
      <c r="K2209" s="31" t="s">
        <v>5289</v>
      </c>
      <c r="L2209" s="31" t="s">
        <v>5290</v>
      </c>
      <c r="M2209" s="33">
        <v>1.0</v>
      </c>
      <c r="N2209" s="34"/>
      <c r="O2209" s="34"/>
    </row>
    <row r="2210">
      <c r="A2210" s="85">
        <v>46153.0</v>
      </c>
      <c r="B2210" s="31" t="s">
        <v>6145</v>
      </c>
      <c r="C2210" s="31">
        <v>8.05011574605E11</v>
      </c>
      <c r="D2210" s="31" t="s">
        <v>6146</v>
      </c>
      <c r="E2210" s="31" t="s">
        <v>6147</v>
      </c>
      <c r="F2210" s="31" t="s">
        <v>6148</v>
      </c>
      <c r="G2210" s="31" t="s">
        <v>20</v>
      </c>
      <c r="H2210" s="31" t="s">
        <v>20</v>
      </c>
      <c r="I2210" s="31">
        <v>4400.0</v>
      </c>
      <c r="J2210" s="31">
        <v>3.876836977E9</v>
      </c>
      <c r="K2210" s="31" t="s">
        <v>512</v>
      </c>
      <c r="L2210" s="31" t="s">
        <v>513</v>
      </c>
      <c r="M2210" s="33">
        <v>12.0</v>
      </c>
      <c r="N2210" s="34"/>
      <c r="O2210" s="34"/>
    </row>
    <row r="2211">
      <c r="A2211" s="85">
        <v>46153.0</v>
      </c>
      <c r="B2211" s="31" t="s">
        <v>6145</v>
      </c>
      <c r="C2211" s="31">
        <v>8.05011574605E11</v>
      </c>
      <c r="D2211" s="31" t="s">
        <v>6146</v>
      </c>
      <c r="E2211" s="31" t="s">
        <v>6147</v>
      </c>
      <c r="F2211" s="31" t="s">
        <v>6148</v>
      </c>
      <c r="G2211" s="31" t="s">
        <v>20</v>
      </c>
      <c r="H2211" s="31" t="s">
        <v>20</v>
      </c>
      <c r="I2211" s="31">
        <v>4400.0</v>
      </c>
      <c r="J2211" s="31">
        <v>3.876836977E9</v>
      </c>
      <c r="K2211" s="31" t="s">
        <v>645</v>
      </c>
      <c r="L2211" s="31" t="s">
        <v>3253</v>
      </c>
      <c r="M2211" s="33">
        <v>2.0</v>
      </c>
      <c r="N2211" s="34"/>
      <c r="O2211" s="34"/>
    </row>
    <row r="2212">
      <c r="A2212" s="85">
        <v>46153.0</v>
      </c>
      <c r="B2212" s="31" t="s">
        <v>6149</v>
      </c>
      <c r="C2212" s="31">
        <v>8.07025035883E11</v>
      </c>
      <c r="D2212" s="31" t="s">
        <v>6150</v>
      </c>
      <c r="E2212" s="31" t="s">
        <v>6151</v>
      </c>
      <c r="F2212" s="31" t="s">
        <v>6152</v>
      </c>
      <c r="G2212" s="31" t="s">
        <v>2907</v>
      </c>
      <c r="H2212" s="31" t="s">
        <v>20</v>
      </c>
      <c r="I2212" s="31">
        <v>4400.0</v>
      </c>
      <c r="J2212" s="31">
        <v>3.87442644E9</v>
      </c>
      <c r="K2212" s="31" t="s">
        <v>6153</v>
      </c>
      <c r="L2212" s="31" t="s">
        <v>6154</v>
      </c>
      <c r="M2212" s="33">
        <v>1.0</v>
      </c>
      <c r="N2212" s="34"/>
      <c r="O2212" s="34"/>
    </row>
    <row r="2213">
      <c r="A2213" s="85">
        <v>46153.0</v>
      </c>
      <c r="B2213" s="31" t="s">
        <v>6149</v>
      </c>
      <c r="C2213" s="31">
        <v>8.07025035883E11</v>
      </c>
      <c r="D2213" s="31" t="s">
        <v>6150</v>
      </c>
      <c r="E2213" s="31" t="s">
        <v>6151</v>
      </c>
      <c r="F2213" s="31" t="s">
        <v>6152</v>
      </c>
      <c r="G2213" s="31" t="s">
        <v>2907</v>
      </c>
      <c r="H2213" s="31" t="s">
        <v>20</v>
      </c>
      <c r="I2213" s="31">
        <v>4400.0</v>
      </c>
      <c r="J2213" s="31">
        <v>3.87442644E9</v>
      </c>
      <c r="K2213" s="31" t="s">
        <v>512</v>
      </c>
      <c r="L2213" s="31" t="s">
        <v>513</v>
      </c>
      <c r="M2213" s="33">
        <v>6.0</v>
      </c>
      <c r="N2213" s="34"/>
      <c r="O2213" s="34"/>
    </row>
    <row r="2214">
      <c r="A2214" s="85">
        <v>46153.0</v>
      </c>
      <c r="B2214" s="31" t="s">
        <v>6149</v>
      </c>
      <c r="C2214" s="31">
        <v>8.07025035883E11</v>
      </c>
      <c r="D2214" s="31" t="s">
        <v>6150</v>
      </c>
      <c r="E2214" s="31" t="s">
        <v>6151</v>
      </c>
      <c r="F2214" s="31" t="s">
        <v>6152</v>
      </c>
      <c r="G2214" s="31" t="s">
        <v>2907</v>
      </c>
      <c r="H2214" s="31" t="s">
        <v>20</v>
      </c>
      <c r="I2214" s="31">
        <v>4400.0</v>
      </c>
      <c r="J2214" s="31">
        <v>3.87442644E9</v>
      </c>
      <c r="K2214" s="31" t="s">
        <v>2031</v>
      </c>
      <c r="L2214" s="31" t="s">
        <v>3348</v>
      </c>
      <c r="M2214" s="33">
        <v>1.0</v>
      </c>
      <c r="N2214" s="34"/>
      <c r="O2214" s="34"/>
    </row>
    <row r="2215">
      <c r="A2215" s="98">
        <v>46153.0</v>
      </c>
      <c r="B2215" s="99" t="s">
        <v>6155</v>
      </c>
      <c r="C2215" s="99">
        <v>8.07839005248E11</v>
      </c>
      <c r="D2215" s="99" t="s">
        <v>6156</v>
      </c>
      <c r="E2215" s="99" t="s">
        <v>6157</v>
      </c>
      <c r="F2215" s="99" t="s">
        <v>6158</v>
      </c>
      <c r="G2215" s="99" t="s">
        <v>5576</v>
      </c>
      <c r="H2215" s="99" t="s">
        <v>20</v>
      </c>
      <c r="I2215" s="99">
        <v>4561.0</v>
      </c>
      <c r="J2215" s="99">
        <v>3.873219909E9</v>
      </c>
      <c r="K2215" s="99" t="s">
        <v>289</v>
      </c>
      <c r="L2215" s="99" t="s">
        <v>290</v>
      </c>
      <c r="M2215" s="100">
        <v>1.0</v>
      </c>
      <c r="N2215" s="101"/>
      <c r="O2215" s="99" t="s">
        <v>6159</v>
      </c>
    </row>
    <row r="2216">
      <c r="A2216" s="85">
        <v>46153.0</v>
      </c>
      <c r="B2216" s="31" t="s">
        <v>6160</v>
      </c>
      <c r="C2216" s="31">
        <v>8.07839005264E11</v>
      </c>
      <c r="D2216" s="31" t="s">
        <v>6161</v>
      </c>
      <c r="E2216" s="31" t="s">
        <v>6162</v>
      </c>
      <c r="F2216" s="31" t="s">
        <v>6163</v>
      </c>
      <c r="G2216" s="31" t="s">
        <v>6164</v>
      </c>
      <c r="H2216" s="31" t="s">
        <v>20</v>
      </c>
      <c r="I2216" s="31">
        <v>4554.0</v>
      </c>
      <c r="J2216" s="31">
        <v>3.878823562E9</v>
      </c>
      <c r="K2216" s="31" t="s">
        <v>32</v>
      </c>
      <c r="L2216" s="31" t="s">
        <v>3225</v>
      </c>
      <c r="M2216" s="33">
        <v>1.0</v>
      </c>
      <c r="N2216" s="34"/>
      <c r="O2216" s="34"/>
    </row>
    <row r="2217">
      <c r="A2217" s="85">
        <v>46153.0</v>
      </c>
      <c r="B2217" s="31" t="s">
        <v>6160</v>
      </c>
      <c r="C2217" s="31">
        <v>8.07839005264E11</v>
      </c>
      <c r="D2217" s="31" t="s">
        <v>6161</v>
      </c>
      <c r="E2217" s="31" t="s">
        <v>6162</v>
      </c>
      <c r="F2217" s="31" t="s">
        <v>6163</v>
      </c>
      <c r="G2217" s="31" t="s">
        <v>6164</v>
      </c>
      <c r="H2217" s="31" t="s">
        <v>20</v>
      </c>
      <c r="I2217" s="31">
        <v>4554.0</v>
      </c>
      <c r="J2217" s="31">
        <v>3.878823562E9</v>
      </c>
      <c r="K2217" s="31" t="s">
        <v>512</v>
      </c>
      <c r="L2217" s="31" t="s">
        <v>513</v>
      </c>
      <c r="M2217" s="33">
        <v>6.0</v>
      </c>
      <c r="N2217" s="34"/>
      <c r="O2217" s="34"/>
    </row>
    <row r="2218">
      <c r="A2218" s="85">
        <v>46153.0</v>
      </c>
      <c r="B2218" s="31" t="s">
        <v>6160</v>
      </c>
      <c r="C2218" s="31">
        <v>8.07839005264E11</v>
      </c>
      <c r="D2218" s="31" t="s">
        <v>6161</v>
      </c>
      <c r="E2218" s="31" t="s">
        <v>6162</v>
      </c>
      <c r="F2218" s="31" t="s">
        <v>6163</v>
      </c>
      <c r="G2218" s="31" t="s">
        <v>6164</v>
      </c>
      <c r="H2218" s="31" t="s">
        <v>20</v>
      </c>
      <c r="I2218" s="31">
        <v>4554.0</v>
      </c>
      <c r="J2218" s="31">
        <v>3.878823562E9</v>
      </c>
      <c r="K2218" s="31" t="s">
        <v>670</v>
      </c>
      <c r="L2218" s="31" t="s">
        <v>3410</v>
      </c>
      <c r="M2218" s="33">
        <v>1.0</v>
      </c>
      <c r="N2218" s="34"/>
      <c r="O2218" s="34"/>
    </row>
    <row r="2219">
      <c r="A2219" s="85">
        <v>46153.0</v>
      </c>
      <c r="B2219" s="31" t="s">
        <v>6165</v>
      </c>
      <c r="C2219" s="31">
        <v>8.05011574675E11</v>
      </c>
      <c r="D2219" s="31" t="s">
        <v>6166</v>
      </c>
      <c r="E2219" s="31" t="s">
        <v>6167</v>
      </c>
      <c r="F2219" s="69" t="s">
        <v>6168</v>
      </c>
      <c r="G2219" s="31" t="s">
        <v>5534</v>
      </c>
      <c r="H2219" s="31" t="s">
        <v>20</v>
      </c>
      <c r="I2219" s="31">
        <v>4440.0</v>
      </c>
      <c r="J2219" s="31">
        <v>3.876415203E9</v>
      </c>
      <c r="K2219" s="31" t="s">
        <v>32</v>
      </c>
      <c r="L2219" s="31" t="s">
        <v>3225</v>
      </c>
      <c r="M2219" s="33">
        <v>1.0</v>
      </c>
      <c r="N2219" s="34"/>
      <c r="O2219" s="34"/>
    </row>
    <row r="2220">
      <c r="A2220" s="85">
        <v>46153.0</v>
      </c>
      <c r="B2220" s="31" t="s">
        <v>6169</v>
      </c>
      <c r="C2220" s="31">
        <v>8.05011574662E11</v>
      </c>
      <c r="D2220" s="31" t="s">
        <v>6170</v>
      </c>
      <c r="E2220" s="31" t="s">
        <v>6171</v>
      </c>
      <c r="F2220" s="31" t="s">
        <v>6172</v>
      </c>
      <c r="G2220" s="31" t="s">
        <v>58</v>
      </c>
      <c r="H2220" s="31" t="s">
        <v>20</v>
      </c>
      <c r="I2220" s="31">
        <v>4400.0</v>
      </c>
      <c r="J2220" s="31">
        <v>3.876051181E9</v>
      </c>
      <c r="K2220" s="31" t="s">
        <v>50</v>
      </c>
      <c r="L2220" s="31" t="s">
        <v>51</v>
      </c>
      <c r="M2220" s="33">
        <v>1.0</v>
      </c>
      <c r="N2220" s="34"/>
      <c r="O2220" s="34"/>
    </row>
    <row r="2221">
      <c r="A2221" s="85">
        <v>46153.0</v>
      </c>
      <c r="B2221" s="31" t="s">
        <v>6169</v>
      </c>
      <c r="C2221" s="31">
        <v>8.05011574662E11</v>
      </c>
      <c r="D2221" s="31" t="s">
        <v>6170</v>
      </c>
      <c r="E2221" s="31" t="s">
        <v>6171</v>
      </c>
      <c r="F2221" s="31" t="s">
        <v>6172</v>
      </c>
      <c r="G2221" s="31" t="s">
        <v>58</v>
      </c>
      <c r="H2221" s="31" t="s">
        <v>20</v>
      </c>
      <c r="I2221" s="31">
        <v>4400.0</v>
      </c>
      <c r="J2221" s="31">
        <v>3.876051181E9</v>
      </c>
      <c r="K2221" s="31" t="s">
        <v>512</v>
      </c>
      <c r="L2221" s="31" t="s">
        <v>513</v>
      </c>
      <c r="M2221" s="33">
        <v>6.0</v>
      </c>
      <c r="N2221" s="34"/>
      <c r="O2221" s="34"/>
    </row>
    <row r="2222">
      <c r="A2222" s="85">
        <v>46153.0</v>
      </c>
      <c r="B2222" s="31" t="s">
        <v>6169</v>
      </c>
      <c r="C2222" s="31">
        <v>8.05011574662E11</v>
      </c>
      <c r="D2222" s="31" t="s">
        <v>6170</v>
      </c>
      <c r="E2222" s="31" t="s">
        <v>6171</v>
      </c>
      <c r="F2222" s="31" t="s">
        <v>6172</v>
      </c>
      <c r="G2222" s="31" t="s">
        <v>58</v>
      </c>
      <c r="H2222" s="31" t="s">
        <v>20</v>
      </c>
      <c r="I2222" s="31">
        <v>4400.0</v>
      </c>
      <c r="J2222" s="31">
        <v>3.876051181E9</v>
      </c>
      <c r="K2222" s="31" t="s">
        <v>25</v>
      </c>
      <c r="L2222" s="31" t="s">
        <v>3401</v>
      </c>
      <c r="M2222" s="33">
        <v>1.0</v>
      </c>
      <c r="N2222" s="34"/>
      <c r="O2222" s="34"/>
    </row>
    <row r="2223">
      <c r="A2223" s="85">
        <v>46153.0</v>
      </c>
      <c r="B2223" s="31" t="s">
        <v>6173</v>
      </c>
      <c r="C2223" s="31">
        <v>8.07839004908E11</v>
      </c>
      <c r="D2223" s="31" t="s">
        <v>6174</v>
      </c>
      <c r="E2223" s="31" t="s">
        <v>6175</v>
      </c>
      <c r="F2223" s="31" t="s">
        <v>6176</v>
      </c>
      <c r="G2223" s="31" t="s">
        <v>20</v>
      </c>
      <c r="H2223" s="31" t="s">
        <v>20</v>
      </c>
      <c r="I2223" s="31">
        <v>4400.0</v>
      </c>
      <c r="J2223" s="31">
        <v>3.876556784E9</v>
      </c>
      <c r="K2223" s="31" t="s">
        <v>98</v>
      </c>
      <c r="L2223" s="31" t="s">
        <v>3187</v>
      </c>
      <c r="M2223" s="33">
        <v>1.0</v>
      </c>
      <c r="N2223" s="34"/>
      <c r="O2223" s="31" t="s">
        <v>6177</v>
      </c>
    </row>
    <row r="2224">
      <c r="A2224" s="85">
        <v>46153.0</v>
      </c>
      <c r="B2224" s="31" t="s">
        <v>6173</v>
      </c>
      <c r="C2224" s="31">
        <v>8.07839004908E11</v>
      </c>
      <c r="D2224" s="31" t="s">
        <v>6174</v>
      </c>
      <c r="E2224" s="31" t="s">
        <v>6175</v>
      </c>
      <c r="F2224" s="31" t="s">
        <v>6176</v>
      </c>
      <c r="G2224" s="31" t="s">
        <v>20</v>
      </c>
      <c r="H2224" s="31" t="s">
        <v>20</v>
      </c>
      <c r="I2224" s="31">
        <v>4400.0</v>
      </c>
      <c r="J2224" s="31">
        <v>3.876556784E9</v>
      </c>
      <c r="K2224" s="31" t="s">
        <v>512</v>
      </c>
      <c r="L2224" s="31" t="s">
        <v>513</v>
      </c>
      <c r="M2224" s="33">
        <v>6.0</v>
      </c>
      <c r="N2224" s="34"/>
      <c r="O2224" s="31" t="s">
        <v>6177</v>
      </c>
    </row>
    <row r="2225">
      <c r="A2225" s="85">
        <v>46153.0</v>
      </c>
      <c r="B2225" s="31" t="s">
        <v>6173</v>
      </c>
      <c r="C2225" s="31">
        <v>8.07839004908E11</v>
      </c>
      <c r="D2225" s="31" t="s">
        <v>6174</v>
      </c>
      <c r="E2225" s="31" t="s">
        <v>6175</v>
      </c>
      <c r="F2225" s="31" t="s">
        <v>6176</v>
      </c>
      <c r="G2225" s="31" t="s">
        <v>20</v>
      </c>
      <c r="H2225" s="31" t="s">
        <v>20</v>
      </c>
      <c r="I2225" s="31">
        <v>4400.0</v>
      </c>
      <c r="J2225" s="31">
        <v>3.876556784E9</v>
      </c>
      <c r="K2225" s="31" t="s">
        <v>670</v>
      </c>
      <c r="L2225" s="31" t="s">
        <v>3410</v>
      </c>
      <c r="M2225" s="33">
        <v>1.0</v>
      </c>
      <c r="N2225" s="34"/>
      <c r="O2225" s="31" t="s">
        <v>6177</v>
      </c>
    </row>
    <row r="2226">
      <c r="A2226" s="87"/>
      <c r="B2226" s="88"/>
      <c r="C2226" s="88"/>
      <c r="D2226" s="88"/>
      <c r="E2226" s="88"/>
      <c r="F2226" s="88"/>
      <c r="G2226" s="88"/>
      <c r="H2226" s="88"/>
      <c r="I2226" s="88"/>
      <c r="J2226" s="88"/>
      <c r="K2226" s="88"/>
      <c r="L2226" s="88"/>
      <c r="M2226" s="89"/>
      <c r="N2226" s="90"/>
      <c r="O2226" s="90"/>
    </row>
    <row r="2227">
      <c r="A2227" s="85">
        <v>46161.0</v>
      </c>
      <c r="B2227" s="31" t="s">
        <v>6178</v>
      </c>
      <c r="C2227" s="31">
        <v>8.07839005715E11</v>
      </c>
      <c r="D2227" s="31" t="s">
        <v>6179</v>
      </c>
      <c r="E2227" s="31" t="s">
        <v>6180</v>
      </c>
      <c r="F2227" s="31" t="s">
        <v>6181</v>
      </c>
      <c r="G2227" s="31" t="s">
        <v>20</v>
      </c>
      <c r="H2227" s="31" t="s">
        <v>20</v>
      </c>
      <c r="I2227" s="31">
        <v>4400.0</v>
      </c>
      <c r="J2227" s="31">
        <v>2.804604847E9</v>
      </c>
      <c r="K2227" s="31" t="s">
        <v>32</v>
      </c>
      <c r="L2227" s="31" t="s">
        <v>3225</v>
      </c>
      <c r="M2227" s="33">
        <v>1.0</v>
      </c>
      <c r="N2227" s="34"/>
      <c r="O2227" s="31" t="s">
        <v>6182</v>
      </c>
    </row>
    <row r="2228">
      <c r="A2228" s="85">
        <v>46161.0</v>
      </c>
      <c r="B2228" s="31" t="s">
        <v>6183</v>
      </c>
      <c r="C2228" s="31">
        <v>8.0783900579E11</v>
      </c>
      <c r="D2228" s="31" t="s">
        <v>6184</v>
      </c>
      <c r="E2228" s="31" t="s">
        <v>6185</v>
      </c>
      <c r="F2228" s="31" t="s">
        <v>6186</v>
      </c>
      <c r="G2228" s="31" t="s">
        <v>3234</v>
      </c>
      <c r="H2228" s="31" t="s">
        <v>20</v>
      </c>
      <c r="I2228" s="31">
        <v>4403.0</v>
      </c>
      <c r="J2228" s="31">
        <v>3.875039877E9</v>
      </c>
      <c r="K2228" s="31" t="s">
        <v>32</v>
      </c>
      <c r="L2228" s="31" t="s">
        <v>3225</v>
      </c>
      <c r="M2228" s="33">
        <v>1.0</v>
      </c>
      <c r="N2228" s="34"/>
      <c r="O2228" s="31" t="s">
        <v>6187</v>
      </c>
    </row>
    <row r="2229">
      <c r="A2229" s="85">
        <v>46161.0</v>
      </c>
      <c r="B2229" s="31" t="s">
        <v>6183</v>
      </c>
      <c r="C2229" s="31">
        <v>8.0783900579E11</v>
      </c>
      <c r="D2229" s="31" t="s">
        <v>6184</v>
      </c>
      <c r="E2229" s="31" t="s">
        <v>6185</v>
      </c>
      <c r="F2229" s="31" t="s">
        <v>6186</v>
      </c>
      <c r="G2229" s="31" t="s">
        <v>3234</v>
      </c>
      <c r="H2229" s="31" t="s">
        <v>20</v>
      </c>
      <c r="I2229" s="31">
        <v>4403.0</v>
      </c>
      <c r="J2229" s="31">
        <v>3.875039877E9</v>
      </c>
      <c r="K2229" s="31" t="s">
        <v>512</v>
      </c>
      <c r="L2229" s="31" t="s">
        <v>513</v>
      </c>
      <c r="M2229" s="33">
        <v>6.0</v>
      </c>
      <c r="N2229" s="34"/>
      <c r="O2229" s="31" t="s">
        <v>6187</v>
      </c>
    </row>
    <row r="2230">
      <c r="A2230" s="85">
        <v>46161.0</v>
      </c>
      <c r="B2230" s="31" t="s">
        <v>6183</v>
      </c>
      <c r="C2230" s="31">
        <v>8.0783900579E11</v>
      </c>
      <c r="D2230" s="31" t="s">
        <v>6184</v>
      </c>
      <c r="E2230" s="31" t="s">
        <v>6185</v>
      </c>
      <c r="F2230" s="31" t="s">
        <v>6186</v>
      </c>
      <c r="G2230" s="31" t="s">
        <v>3234</v>
      </c>
      <c r="H2230" s="31" t="s">
        <v>20</v>
      </c>
      <c r="I2230" s="31">
        <v>4403.0</v>
      </c>
      <c r="J2230" s="31">
        <v>3.875039877E9</v>
      </c>
      <c r="K2230" s="31" t="s">
        <v>670</v>
      </c>
      <c r="L2230" s="31" t="s">
        <v>3410</v>
      </c>
      <c r="M2230" s="33">
        <v>1.0</v>
      </c>
      <c r="N2230" s="34"/>
      <c r="O2230" s="31" t="s">
        <v>6187</v>
      </c>
    </row>
    <row r="2231">
      <c r="A2231" s="85">
        <v>46161.0</v>
      </c>
      <c r="B2231" s="31" t="s">
        <v>6188</v>
      </c>
      <c r="C2231" s="31">
        <v>8.05011575089E11</v>
      </c>
      <c r="D2231" s="31" t="s">
        <v>6189</v>
      </c>
      <c r="E2231" s="31" t="s">
        <v>6190</v>
      </c>
      <c r="F2231" s="31" t="s">
        <v>6191</v>
      </c>
      <c r="G2231" s="31" t="s">
        <v>20</v>
      </c>
      <c r="H2231" s="31" t="s">
        <v>20</v>
      </c>
      <c r="I2231" s="31">
        <v>4400.0</v>
      </c>
      <c r="J2231" s="31">
        <v>3.875144674E9</v>
      </c>
      <c r="K2231" s="31" t="s">
        <v>32</v>
      </c>
      <c r="L2231" s="31" t="s">
        <v>3225</v>
      </c>
      <c r="M2231" s="33">
        <v>1.0</v>
      </c>
      <c r="N2231" s="34"/>
      <c r="O2231" s="31" t="s">
        <v>6192</v>
      </c>
    </row>
    <row r="2232">
      <c r="A2232" s="85">
        <v>46161.0</v>
      </c>
      <c r="B2232" s="31" t="s">
        <v>6188</v>
      </c>
      <c r="C2232" s="31">
        <v>8.05011575089E11</v>
      </c>
      <c r="D2232" s="31" t="s">
        <v>6189</v>
      </c>
      <c r="E2232" s="31" t="s">
        <v>6190</v>
      </c>
      <c r="F2232" s="31" t="s">
        <v>6191</v>
      </c>
      <c r="G2232" s="31" t="s">
        <v>20</v>
      </c>
      <c r="H2232" s="31" t="s">
        <v>20</v>
      </c>
      <c r="I2232" s="31">
        <v>4400.0</v>
      </c>
      <c r="J2232" s="31">
        <v>3.875144674E9</v>
      </c>
      <c r="K2232" s="31" t="s">
        <v>512</v>
      </c>
      <c r="L2232" s="31" t="s">
        <v>513</v>
      </c>
      <c r="M2232" s="33">
        <v>6.0</v>
      </c>
      <c r="N2232" s="34"/>
      <c r="O2232" s="31" t="s">
        <v>6192</v>
      </c>
    </row>
    <row r="2233">
      <c r="A2233" s="85">
        <v>46161.0</v>
      </c>
      <c r="B2233" s="31" t="s">
        <v>6188</v>
      </c>
      <c r="C2233" s="31">
        <v>8.05011575089E11</v>
      </c>
      <c r="D2233" s="31" t="s">
        <v>6189</v>
      </c>
      <c r="E2233" s="31" t="s">
        <v>6190</v>
      </c>
      <c r="F2233" s="31" t="s">
        <v>6191</v>
      </c>
      <c r="G2233" s="31" t="s">
        <v>20</v>
      </c>
      <c r="H2233" s="31" t="s">
        <v>20</v>
      </c>
      <c r="I2233" s="31">
        <v>4400.0</v>
      </c>
      <c r="J2233" s="31">
        <v>3.875144674E9</v>
      </c>
      <c r="K2233" s="31" t="s">
        <v>670</v>
      </c>
      <c r="L2233" s="31" t="s">
        <v>3410</v>
      </c>
      <c r="M2233" s="33">
        <v>1.0</v>
      </c>
      <c r="N2233" s="34"/>
      <c r="O2233" s="31" t="s">
        <v>6192</v>
      </c>
    </row>
    <row r="2234">
      <c r="A2234" s="85">
        <v>46161.0</v>
      </c>
      <c r="B2234" s="31" t="s">
        <v>6193</v>
      </c>
      <c r="C2234" s="31">
        <v>8.07839005939E11</v>
      </c>
      <c r="D2234" s="31" t="s">
        <v>6194</v>
      </c>
      <c r="E2234" s="31" t="s">
        <v>6195</v>
      </c>
      <c r="F2234" s="31" t="s">
        <v>6196</v>
      </c>
      <c r="G2234" s="31" t="s">
        <v>41</v>
      </c>
      <c r="H2234" s="31" t="s">
        <v>20</v>
      </c>
      <c r="I2234" s="31">
        <v>5460.0</v>
      </c>
      <c r="J2234" s="31">
        <v>3.873653792E9</v>
      </c>
      <c r="K2234" s="31" t="s">
        <v>32</v>
      </c>
      <c r="L2234" s="31" t="s">
        <v>3225</v>
      </c>
      <c r="M2234" s="33">
        <v>1.0</v>
      </c>
      <c r="N2234" s="34"/>
      <c r="O2234" s="34"/>
    </row>
    <row r="2235">
      <c r="A2235" s="85">
        <v>46161.0</v>
      </c>
      <c r="B2235" s="31" t="s">
        <v>6193</v>
      </c>
      <c r="C2235" s="31">
        <v>8.07839005939E11</v>
      </c>
      <c r="D2235" s="31" t="s">
        <v>6194</v>
      </c>
      <c r="E2235" s="31" t="s">
        <v>6195</v>
      </c>
      <c r="F2235" s="31" t="s">
        <v>6196</v>
      </c>
      <c r="G2235" s="31" t="s">
        <v>41</v>
      </c>
      <c r="H2235" s="31" t="s">
        <v>20</v>
      </c>
      <c r="I2235" s="31">
        <v>5460.0</v>
      </c>
      <c r="J2235" s="31">
        <v>3.873653792E9</v>
      </c>
      <c r="K2235" s="31" t="s">
        <v>512</v>
      </c>
      <c r="L2235" s="31" t="s">
        <v>513</v>
      </c>
      <c r="M2235" s="33">
        <v>6.0</v>
      </c>
      <c r="N2235" s="34"/>
      <c r="O2235" s="34"/>
    </row>
    <row r="2236">
      <c r="A2236" s="85">
        <v>46161.0</v>
      </c>
      <c r="B2236" s="31" t="s">
        <v>6193</v>
      </c>
      <c r="C2236" s="31">
        <v>8.07839005939E11</v>
      </c>
      <c r="D2236" s="31" t="s">
        <v>6194</v>
      </c>
      <c r="E2236" s="31" t="s">
        <v>6195</v>
      </c>
      <c r="F2236" s="31" t="s">
        <v>6196</v>
      </c>
      <c r="G2236" s="31" t="s">
        <v>41</v>
      </c>
      <c r="H2236" s="31" t="s">
        <v>20</v>
      </c>
      <c r="I2236" s="31">
        <v>5460.0</v>
      </c>
      <c r="J2236" s="31">
        <v>3.873653792E9</v>
      </c>
      <c r="K2236" s="31" t="s">
        <v>670</v>
      </c>
      <c r="L2236" s="31" t="s">
        <v>3410</v>
      </c>
      <c r="M2236" s="33">
        <v>1.0</v>
      </c>
      <c r="N2236" s="34"/>
      <c r="O2236" s="34"/>
    </row>
    <row r="2237">
      <c r="A2237" s="85">
        <v>46161.0</v>
      </c>
      <c r="B2237" s="31" t="s">
        <v>6197</v>
      </c>
      <c r="C2237" s="31">
        <v>8.07839005958E11</v>
      </c>
      <c r="D2237" s="31" t="s">
        <v>6198</v>
      </c>
      <c r="E2237" s="31" t="s">
        <v>6199</v>
      </c>
      <c r="F2237" s="31" t="s">
        <v>6200</v>
      </c>
      <c r="G2237" s="31" t="s">
        <v>6201</v>
      </c>
      <c r="H2237" s="31" t="s">
        <v>20</v>
      </c>
      <c r="I2237" s="31">
        <v>4425.0</v>
      </c>
      <c r="J2237" s="31">
        <v>3.875173107E9</v>
      </c>
      <c r="K2237" s="31" t="s">
        <v>617</v>
      </c>
      <c r="L2237" s="31" t="s">
        <v>3867</v>
      </c>
      <c r="M2237" s="33">
        <v>1.0</v>
      </c>
      <c r="N2237" s="34"/>
      <c r="O2237" s="31" t="s">
        <v>6202</v>
      </c>
    </row>
    <row r="2238">
      <c r="A2238" s="85">
        <v>46161.0</v>
      </c>
      <c r="B2238" s="31" t="s">
        <v>6197</v>
      </c>
      <c r="C2238" s="31">
        <v>8.07839005958E11</v>
      </c>
      <c r="D2238" s="31" t="s">
        <v>6198</v>
      </c>
      <c r="E2238" s="31" t="s">
        <v>6199</v>
      </c>
      <c r="F2238" s="31" t="s">
        <v>6200</v>
      </c>
      <c r="G2238" s="31" t="s">
        <v>6201</v>
      </c>
      <c r="H2238" s="31" t="s">
        <v>20</v>
      </c>
      <c r="I2238" s="31">
        <v>4425.0</v>
      </c>
      <c r="J2238" s="31">
        <v>3.875173107E9</v>
      </c>
      <c r="K2238" s="31" t="s">
        <v>512</v>
      </c>
      <c r="L2238" s="31" t="s">
        <v>513</v>
      </c>
      <c r="M2238" s="33">
        <v>12.0</v>
      </c>
      <c r="N2238" s="34"/>
      <c r="O2238" s="31" t="s">
        <v>6202</v>
      </c>
    </row>
    <row r="2239">
      <c r="A2239" s="85">
        <v>46161.0</v>
      </c>
      <c r="B2239" s="31" t="s">
        <v>6197</v>
      </c>
      <c r="C2239" s="31">
        <v>8.07839005958E11</v>
      </c>
      <c r="D2239" s="31" t="s">
        <v>6198</v>
      </c>
      <c r="E2239" s="31" t="s">
        <v>6199</v>
      </c>
      <c r="F2239" s="31" t="s">
        <v>6200</v>
      </c>
      <c r="G2239" s="31" t="s">
        <v>6201</v>
      </c>
      <c r="H2239" s="31" t="s">
        <v>20</v>
      </c>
      <c r="I2239" s="31">
        <v>4425.0</v>
      </c>
      <c r="J2239" s="31">
        <v>3.875173107E9</v>
      </c>
      <c r="K2239" s="31" t="s">
        <v>233</v>
      </c>
      <c r="L2239" s="31" t="s">
        <v>3459</v>
      </c>
      <c r="M2239" s="33">
        <v>2.0</v>
      </c>
      <c r="N2239" s="34"/>
      <c r="O2239" s="31" t="s">
        <v>6202</v>
      </c>
    </row>
    <row r="2240">
      <c r="A2240" s="85">
        <v>46161.0</v>
      </c>
      <c r="B2240" s="31" t="s">
        <v>6203</v>
      </c>
      <c r="C2240" s="31">
        <v>8.07839006052E11</v>
      </c>
      <c r="D2240" s="31" t="s">
        <v>6204</v>
      </c>
      <c r="E2240" s="31" t="s">
        <v>6205</v>
      </c>
      <c r="F2240" s="31" t="s">
        <v>6206</v>
      </c>
      <c r="G2240" s="31" t="s">
        <v>3786</v>
      </c>
      <c r="H2240" s="31" t="s">
        <v>20</v>
      </c>
      <c r="I2240" s="31">
        <v>4533.0</v>
      </c>
      <c r="J2240" s="31">
        <v>3.878637674E9</v>
      </c>
      <c r="K2240" s="31" t="s">
        <v>32</v>
      </c>
      <c r="L2240" s="31" t="s">
        <v>3225</v>
      </c>
      <c r="M2240" s="33">
        <v>1.0</v>
      </c>
      <c r="N2240" s="34"/>
      <c r="O2240" s="31" t="s">
        <v>6207</v>
      </c>
    </row>
    <row r="2241">
      <c r="A2241" s="85">
        <v>46161.0</v>
      </c>
      <c r="B2241" s="31" t="s">
        <v>6203</v>
      </c>
      <c r="C2241" s="31">
        <v>8.07839006052E11</v>
      </c>
      <c r="D2241" s="31" t="s">
        <v>6204</v>
      </c>
      <c r="E2241" s="31" t="s">
        <v>6205</v>
      </c>
      <c r="F2241" s="31" t="s">
        <v>6206</v>
      </c>
      <c r="G2241" s="31" t="s">
        <v>3786</v>
      </c>
      <c r="H2241" s="31" t="s">
        <v>20</v>
      </c>
      <c r="I2241" s="31">
        <v>4533.0</v>
      </c>
      <c r="J2241" s="31">
        <v>3.878637674E9</v>
      </c>
      <c r="K2241" s="31" t="s">
        <v>512</v>
      </c>
      <c r="L2241" s="31" t="s">
        <v>513</v>
      </c>
      <c r="M2241" s="33">
        <v>6.0</v>
      </c>
      <c r="N2241" s="34"/>
      <c r="O2241" s="31" t="s">
        <v>6207</v>
      </c>
    </row>
    <row r="2242">
      <c r="A2242" s="85">
        <v>46161.0</v>
      </c>
      <c r="B2242" s="31" t="s">
        <v>6203</v>
      </c>
      <c r="C2242" s="31">
        <v>8.07839006052E11</v>
      </c>
      <c r="D2242" s="31" t="s">
        <v>6204</v>
      </c>
      <c r="E2242" s="31" t="s">
        <v>6205</v>
      </c>
      <c r="F2242" s="31" t="s">
        <v>6206</v>
      </c>
      <c r="G2242" s="31" t="s">
        <v>3786</v>
      </c>
      <c r="H2242" s="31" t="s">
        <v>20</v>
      </c>
      <c r="I2242" s="31">
        <v>4533.0</v>
      </c>
      <c r="J2242" s="31">
        <v>3.878637674E9</v>
      </c>
      <c r="K2242" s="31" t="s">
        <v>670</v>
      </c>
      <c r="L2242" s="31" t="s">
        <v>3410</v>
      </c>
      <c r="M2242" s="33">
        <v>1.0</v>
      </c>
      <c r="N2242" s="34"/>
      <c r="O2242" s="31" t="s">
        <v>6207</v>
      </c>
    </row>
    <row r="2243">
      <c r="A2243" s="85">
        <v>46161.0</v>
      </c>
      <c r="B2243" s="31" t="s">
        <v>6208</v>
      </c>
      <c r="C2243" s="31">
        <v>8.05011575501E11</v>
      </c>
      <c r="D2243" s="31" t="s">
        <v>6209</v>
      </c>
      <c r="E2243" s="31" t="s">
        <v>6210</v>
      </c>
      <c r="F2243" s="31" t="s">
        <v>6211</v>
      </c>
      <c r="G2243" s="31" t="s">
        <v>20</v>
      </c>
      <c r="H2243" s="31" t="s">
        <v>20</v>
      </c>
      <c r="I2243" s="31">
        <v>4400.0</v>
      </c>
      <c r="J2243" s="31">
        <v>3.874067194E9</v>
      </c>
      <c r="K2243" s="31" t="s">
        <v>32</v>
      </c>
      <c r="L2243" s="31" t="s">
        <v>3225</v>
      </c>
      <c r="M2243" s="33">
        <v>1.0</v>
      </c>
      <c r="N2243" s="34"/>
      <c r="O2243" s="34"/>
    </row>
    <row r="2244">
      <c r="A2244" s="85">
        <v>46161.0</v>
      </c>
      <c r="B2244" s="31" t="s">
        <v>6208</v>
      </c>
      <c r="C2244" s="31">
        <v>8.05011575501E11</v>
      </c>
      <c r="D2244" s="31" t="s">
        <v>6209</v>
      </c>
      <c r="E2244" s="31" t="s">
        <v>6210</v>
      </c>
      <c r="F2244" s="31" t="s">
        <v>6211</v>
      </c>
      <c r="G2244" s="31" t="s">
        <v>20</v>
      </c>
      <c r="H2244" s="31" t="s">
        <v>20</v>
      </c>
      <c r="I2244" s="31">
        <v>4400.0</v>
      </c>
      <c r="J2244" s="31">
        <v>3.874067194E9</v>
      </c>
      <c r="K2244" s="31" t="s">
        <v>512</v>
      </c>
      <c r="L2244" s="31" t="s">
        <v>513</v>
      </c>
      <c r="M2244" s="33">
        <v>6.0</v>
      </c>
      <c r="N2244" s="34"/>
      <c r="O2244" s="34"/>
    </row>
    <row r="2245">
      <c r="A2245" s="85">
        <v>46161.0</v>
      </c>
      <c r="B2245" s="31" t="s">
        <v>6208</v>
      </c>
      <c r="C2245" s="31">
        <v>8.05011575501E11</v>
      </c>
      <c r="D2245" s="31" t="s">
        <v>6209</v>
      </c>
      <c r="E2245" s="31" t="s">
        <v>6210</v>
      </c>
      <c r="F2245" s="31" t="s">
        <v>6211</v>
      </c>
      <c r="G2245" s="31" t="s">
        <v>20</v>
      </c>
      <c r="H2245" s="31" t="s">
        <v>20</v>
      </c>
      <c r="I2245" s="31">
        <v>4400.0</v>
      </c>
      <c r="J2245" s="31">
        <v>3.874067194E9</v>
      </c>
      <c r="K2245" s="31" t="s">
        <v>670</v>
      </c>
      <c r="L2245" s="31" t="s">
        <v>3410</v>
      </c>
      <c r="M2245" s="33">
        <v>1.0</v>
      </c>
      <c r="N2245" s="34"/>
      <c r="O2245" s="34"/>
    </row>
    <row r="2246">
      <c r="A2246" s="85">
        <v>46161.0</v>
      </c>
      <c r="B2246" s="31" t="s">
        <v>6212</v>
      </c>
      <c r="C2246" s="31">
        <v>8.05011575275E11</v>
      </c>
      <c r="D2246" s="31" t="s">
        <v>6213</v>
      </c>
      <c r="E2246" s="31" t="s">
        <v>6214</v>
      </c>
      <c r="F2246" s="31" t="s">
        <v>6215</v>
      </c>
      <c r="G2246" s="31" t="s">
        <v>20</v>
      </c>
      <c r="H2246" s="31" t="s">
        <v>20</v>
      </c>
      <c r="I2246" s="31">
        <v>4400.0</v>
      </c>
      <c r="J2246" s="31">
        <v>3.875843436E9</v>
      </c>
      <c r="K2246" s="31" t="s">
        <v>6216</v>
      </c>
      <c r="L2246" s="31" t="s">
        <v>6217</v>
      </c>
      <c r="M2246" s="33">
        <v>1.0</v>
      </c>
      <c r="N2246" s="34"/>
      <c r="O2246" s="34"/>
    </row>
    <row r="2247">
      <c r="A2247" s="85">
        <v>46161.0</v>
      </c>
      <c r="B2247" s="31" t="s">
        <v>6218</v>
      </c>
      <c r="C2247" s="31">
        <v>8.05011575534E11</v>
      </c>
      <c r="D2247" s="31" t="s">
        <v>6219</v>
      </c>
      <c r="E2247" s="31" t="s">
        <v>6220</v>
      </c>
      <c r="F2247" s="31" t="s">
        <v>6221</v>
      </c>
      <c r="G2247" s="31" t="s">
        <v>20</v>
      </c>
      <c r="H2247" s="31" t="s">
        <v>20</v>
      </c>
      <c r="I2247" s="31">
        <v>4400.0</v>
      </c>
      <c r="J2247" s="31">
        <v>3.875370328E9</v>
      </c>
      <c r="K2247" s="31" t="s">
        <v>32</v>
      </c>
      <c r="L2247" s="31" t="s">
        <v>3225</v>
      </c>
      <c r="M2247" s="33">
        <v>1.0</v>
      </c>
      <c r="N2247" s="34"/>
      <c r="O2247" s="31" t="s">
        <v>6222</v>
      </c>
    </row>
    <row r="2248">
      <c r="A2248" s="85">
        <v>46161.0</v>
      </c>
      <c r="B2248" s="31" t="s">
        <v>6218</v>
      </c>
      <c r="C2248" s="31">
        <v>8.05011575534E11</v>
      </c>
      <c r="D2248" s="31" t="s">
        <v>6219</v>
      </c>
      <c r="E2248" s="31" t="s">
        <v>6220</v>
      </c>
      <c r="F2248" s="31" t="s">
        <v>6221</v>
      </c>
      <c r="G2248" s="31" t="s">
        <v>20</v>
      </c>
      <c r="H2248" s="31" t="s">
        <v>20</v>
      </c>
      <c r="I2248" s="31">
        <v>4400.0</v>
      </c>
      <c r="J2248" s="31">
        <v>3.875370328E9</v>
      </c>
      <c r="K2248" s="31" t="s">
        <v>512</v>
      </c>
      <c r="L2248" s="31" t="s">
        <v>513</v>
      </c>
      <c r="M2248" s="33">
        <v>6.0</v>
      </c>
      <c r="N2248" s="34"/>
      <c r="O2248" s="31" t="s">
        <v>6222</v>
      </c>
    </row>
    <row r="2249">
      <c r="A2249" s="85">
        <v>46161.0</v>
      </c>
      <c r="B2249" s="31" t="s">
        <v>6218</v>
      </c>
      <c r="C2249" s="31">
        <v>8.05011575534E11</v>
      </c>
      <c r="D2249" s="31" t="s">
        <v>6219</v>
      </c>
      <c r="E2249" s="31" t="s">
        <v>6220</v>
      </c>
      <c r="F2249" s="31" t="s">
        <v>6221</v>
      </c>
      <c r="G2249" s="31" t="s">
        <v>20</v>
      </c>
      <c r="H2249" s="31" t="s">
        <v>20</v>
      </c>
      <c r="I2249" s="31">
        <v>4400.0</v>
      </c>
      <c r="J2249" s="31">
        <v>3.875370328E9</v>
      </c>
      <c r="K2249" s="31" t="s">
        <v>670</v>
      </c>
      <c r="L2249" s="31" t="s">
        <v>3410</v>
      </c>
      <c r="M2249" s="33">
        <v>1.0</v>
      </c>
      <c r="N2249" s="34"/>
      <c r="O2249" s="31" t="s">
        <v>6222</v>
      </c>
    </row>
    <row r="2250">
      <c r="A2250" s="85">
        <v>46161.0</v>
      </c>
      <c r="B2250" s="31" t="s">
        <v>6223</v>
      </c>
      <c r="C2250" s="31">
        <v>8.07940000748E11</v>
      </c>
      <c r="D2250" s="31" t="s">
        <v>6102</v>
      </c>
      <c r="E2250" s="31" t="s">
        <v>6103</v>
      </c>
      <c r="F2250" s="31" t="s">
        <v>6104</v>
      </c>
      <c r="G2250" s="31" t="s">
        <v>20</v>
      </c>
      <c r="H2250" s="31" t="s">
        <v>20</v>
      </c>
      <c r="I2250" s="31" t="s">
        <v>4086</v>
      </c>
      <c r="J2250" s="31">
        <v>3.87529834E9</v>
      </c>
      <c r="K2250" s="31" t="s">
        <v>6105</v>
      </c>
      <c r="L2250" s="31" t="s">
        <v>6106</v>
      </c>
      <c r="M2250" s="33">
        <v>1.0</v>
      </c>
      <c r="N2250" s="34"/>
      <c r="O2250" s="34"/>
    </row>
    <row r="2251">
      <c r="A2251" s="85">
        <v>46161.0</v>
      </c>
      <c r="B2251" s="31" t="s">
        <v>6223</v>
      </c>
      <c r="C2251" s="31">
        <v>8.07940000748E11</v>
      </c>
      <c r="D2251" s="31" t="s">
        <v>6102</v>
      </c>
      <c r="E2251" s="31" t="s">
        <v>6103</v>
      </c>
      <c r="F2251" s="31" t="s">
        <v>6104</v>
      </c>
      <c r="G2251" s="31" t="s">
        <v>20</v>
      </c>
      <c r="H2251" s="31" t="s">
        <v>20</v>
      </c>
      <c r="I2251" s="31" t="s">
        <v>4086</v>
      </c>
      <c r="J2251" s="31">
        <v>3.87529834E9</v>
      </c>
      <c r="K2251" s="31" t="s">
        <v>512</v>
      </c>
      <c r="L2251" s="31" t="s">
        <v>513</v>
      </c>
      <c r="M2251" s="33">
        <v>12.0</v>
      </c>
      <c r="N2251" s="34"/>
      <c r="O2251" s="34"/>
    </row>
    <row r="2252">
      <c r="A2252" s="85">
        <v>46161.0</v>
      </c>
      <c r="B2252" s="31" t="s">
        <v>6223</v>
      </c>
      <c r="C2252" s="31">
        <v>8.07940000748E11</v>
      </c>
      <c r="D2252" s="31" t="s">
        <v>6102</v>
      </c>
      <c r="E2252" s="31" t="s">
        <v>6103</v>
      </c>
      <c r="F2252" s="31" t="s">
        <v>6104</v>
      </c>
      <c r="G2252" s="31" t="s">
        <v>20</v>
      </c>
      <c r="H2252" s="31" t="s">
        <v>20</v>
      </c>
      <c r="I2252" s="31" t="s">
        <v>4086</v>
      </c>
      <c r="J2252" s="31">
        <v>3.87529834E9</v>
      </c>
      <c r="K2252" s="31" t="s">
        <v>758</v>
      </c>
      <c r="L2252" s="31" t="s">
        <v>3574</v>
      </c>
      <c r="M2252" s="33">
        <v>2.0</v>
      </c>
      <c r="N2252" s="34"/>
      <c r="O2252" s="34"/>
    </row>
    <row r="2253">
      <c r="A2253" s="85">
        <v>46161.0</v>
      </c>
      <c r="B2253" s="31" t="s">
        <v>6224</v>
      </c>
      <c r="C2253" s="31">
        <v>8.05011575955E11</v>
      </c>
      <c r="D2253" s="31" t="s">
        <v>6225</v>
      </c>
      <c r="E2253" s="31" t="s">
        <v>6226</v>
      </c>
      <c r="F2253" s="31" t="s">
        <v>6227</v>
      </c>
      <c r="G2253" s="31" t="s">
        <v>104</v>
      </c>
      <c r="H2253" s="31" t="s">
        <v>20</v>
      </c>
      <c r="I2253" s="31">
        <v>4400.0</v>
      </c>
      <c r="J2253" s="31">
        <v>3.875726465E9</v>
      </c>
      <c r="K2253" s="31" t="s">
        <v>32</v>
      </c>
      <c r="L2253" s="31" t="s">
        <v>3225</v>
      </c>
      <c r="M2253" s="33">
        <v>1.0</v>
      </c>
      <c r="N2253" s="34"/>
      <c r="O2253" s="31" t="s">
        <v>6228</v>
      </c>
    </row>
    <row r="2254">
      <c r="A2254" s="85">
        <v>46161.0</v>
      </c>
      <c r="B2254" s="31" t="s">
        <v>6224</v>
      </c>
      <c r="C2254" s="31">
        <v>8.05011575955E11</v>
      </c>
      <c r="D2254" s="31" t="s">
        <v>6225</v>
      </c>
      <c r="E2254" s="31" t="s">
        <v>6226</v>
      </c>
      <c r="F2254" s="31" t="s">
        <v>6227</v>
      </c>
      <c r="G2254" s="31" t="s">
        <v>104</v>
      </c>
      <c r="H2254" s="31" t="s">
        <v>20</v>
      </c>
      <c r="I2254" s="31">
        <v>4400.0</v>
      </c>
      <c r="J2254" s="31">
        <v>3.875726465E9</v>
      </c>
      <c r="K2254" s="31" t="s">
        <v>512</v>
      </c>
      <c r="L2254" s="31" t="s">
        <v>513</v>
      </c>
      <c r="M2254" s="33">
        <v>6.0</v>
      </c>
      <c r="N2254" s="34"/>
      <c r="O2254" s="31" t="s">
        <v>6228</v>
      </c>
    </row>
    <row r="2255">
      <c r="A2255" s="85">
        <v>46161.0</v>
      </c>
      <c r="B2255" s="31" t="s">
        <v>6224</v>
      </c>
      <c r="C2255" s="31">
        <v>8.05011575955E11</v>
      </c>
      <c r="D2255" s="31" t="s">
        <v>6225</v>
      </c>
      <c r="E2255" s="31" t="s">
        <v>6226</v>
      </c>
      <c r="F2255" s="31" t="s">
        <v>6227</v>
      </c>
      <c r="G2255" s="31" t="s">
        <v>104</v>
      </c>
      <c r="H2255" s="31" t="s">
        <v>20</v>
      </c>
      <c r="I2255" s="31">
        <v>4400.0</v>
      </c>
      <c r="J2255" s="31">
        <v>3.875726465E9</v>
      </c>
      <c r="K2255" s="31" t="s">
        <v>670</v>
      </c>
      <c r="L2255" s="31" t="s">
        <v>3410</v>
      </c>
      <c r="M2255" s="33">
        <v>1.0</v>
      </c>
      <c r="N2255" s="34"/>
      <c r="O2255" s="31" t="s">
        <v>6228</v>
      </c>
    </row>
    <row r="2256">
      <c r="A2256" s="85">
        <v>46161.0</v>
      </c>
      <c r="B2256" s="31" t="s">
        <v>6229</v>
      </c>
      <c r="C2256" s="31">
        <v>8.0501157621E11</v>
      </c>
      <c r="D2256" s="31" t="s">
        <v>6230</v>
      </c>
      <c r="E2256" s="31" t="s">
        <v>6231</v>
      </c>
      <c r="F2256" s="31" t="s">
        <v>6232</v>
      </c>
      <c r="G2256" s="31" t="s">
        <v>20</v>
      </c>
      <c r="H2256" s="31" t="s">
        <v>20</v>
      </c>
      <c r="I2256" s="31">
        <v>4400.0</v>
      </c>
      <c r="J2256" s="31">
        <v>3.875893913E9</v>
      </c>
      <c r="K2256" s="31" t="s">
        <v>32</v>
      </c>
      <c r="L2256" s="31" t="s">
        <v>3225</v>
      </c>
      <c r="M2256" s="33">
        <v>1.0</v>
      </c>
      <c r="N2256" s="34"/>
      <c r="O2256" s="31" t="s">
        <v>6233</v>
      </c>
    </row>
    <row r="2257">
      <c r="A2257" s="85">
        <v>46161.0</v>
      </c>
      <c r="B2257" s="31" t="s">
        <v>6229</v>
      </c>
      <c r="C2257" s="31">
        <v>8.0501157621E11</v>
      </c>
      <c r="D2257" s="31" t="s">
        <v>6230</v>
      </c>
      <c r="E2257" s="31" t="s">
        <v>6231</v>
      </c>
      <c r="F2257" s="31" t="s">
        <v>6232</v>
      </c>
      <c r="G2257" s="31" t="s">
        <v>20</v>
      </c>
      <c r="H2257" s="31" t="s">
        <v>20</v>
      </c>
      <c r="I2257" s="31">
        <v>4400.0</v>
      </c>
      <c r="J2257" s="31">
        <v>3.875893913E9</v>
      </c>
      <c r="K2257" s="31" t="s">
        <v>512</v>
      </c>
      <c r="L2257" s="31" t="s">
        <v>513</v>
      </c>
      <c r="M2257" s="33">
        <v>6.0</v>
      </c>
      <c r="N2257" s="34"/>
      <c r="O2257" s="31" t="s">
        <v>6233</v>
      </c>
    </row>
    <row r="2258">
      <c r="A2258" s="85">
        <v>46161.0</v>
      </c>
      <c r="B2258" s="31" t="s">
        <v>6229</v>
      </c>
      <c r="C2258" s="31">
        <v>8.0501157621E11</v>
      </c>
      <c r="D2258" s="31" t="s">
        <v>6230</v>
      </c>
      <c r="E2258" s="31" t="s">
        <v>6231</v>
      </c>
      <c r="F2258" s="31" t="s">
        <v>6232</v>
      </c>
      <c r="G2258" s="31" t="s">
        <v>20</v>
      </c>
      <c r="H2258" s="31" t="s">
        <v>20</v>
      </c>
      <c r="I2258" s="31">
        <v>4400.0</v>
      </c>
      <c r="J2258" s="31">
        <v>3.875893913E9</v>
      </c>
      <c r="K2258" s="31" t="s">
        <v>670</v>
      </c>
      <c r="L2258" s="31" t="s">
        <v>3410</v>
      </c>
      <c r="M2258" s="33">
        <v>1.0</v>
      </c>
      <c r="N2258" s="34"/>
      <c r="O2258" s="31" t="s">
        <v>6233</v>
      </c>
    </row>
    <row r="2259">
      <c r="A2259" s="85">
        <v>46161.0</v>
      </c>
      <c r="B2259" s="31" t="s">
        <v>6234</v>
      </c>
      <c r="C2259" s="31">
        <v>8.05011575884E11</v>
      </c>
      <c r="D2259" s="31" t="s">
        <v>6235</v>
      </c>
      <c r="E2259" s="31" t="s">
        <v>6236</v>
      </c>
      <c r="F2259" s="31" t="s">
        <v>6237</v>
      </c>
      <c r="G2259" s="31" t="s">
        <v>6238</v>
      </c>
      <c r="H2259" s="31" t="s">
        <v>20</v>
      </c>
      <c r="I2259" s="31">
        <v>4452.0</v>
      </c>
      <c r="J2259" s="31">
        <v>3.877442555E9</v>
      </c>
      <c r="K2259" s="31" t="s">
        <v>32</v>
      </c>
      <c r="L2259" s="31" t="s">
        <v>3225</v>
      </c>
      <c r="M2259" s="33">
        <v>1.0</v>
      </c>
      <c r="N2259" s="34"/>
      <c r="O2259" s="34"/>
    </row>
    <row r="2260">
      <c r="A2260" s="85">
        <v>46161.0</v>
      </c>
      <c r="B2260" s="31" t="s">
        <v>6239</v>
      </c>
      <c r="C2260" s="31">
        <v>8.05011576073E11</v>
      </c>
      <c r="D2260" s="31" t="s">
        <v>3896</v>
      </c>
      <c r="E2260" s="31" t="s">
        <v>3897</v>
      </c>
      <c r="F2260" s="31" t="s">
        <v>6240</v>
      </c>
      <c r="G2260" s="31" t="s">
        <v>835</v>
      </c>
      <c r="H2260" s="31" t="s">
        <v>20</v>
      </c>
      <c r="I2260" s="31">
        <v>4550.0</v>
      </c>
      <c r="J2260" s="31">
        <v>3.878403462E9</v>
      </c>
      <c r="K2260" s="31" t="s">
        <v>32</v>
      </c>
      <c r="L2260" s="31" t="s">
        <v>3225</v>
      </c>
      <c r="M2260" s="33">
        <v>1.0</v>
      </c>
      <c r="N2260" s="34"/>
      <c r="O2260" s="31" t="s">
        <v>6241</v>
      </c>
    </row>
    <row r="2261">
      <c r="A2261" s="85">
        <v>46161.0</v>
      </c>
      <c r="B2261" s="31" t="s">
        <v>6239</v>
      </c>
      <c r="C2261" s="31">
        <v>8.05011576073E11</v>
      </c>
      <c r="D2261" s="31" t="s">
        <v>3896</v>
      </c>
      <c r="E2261" s="31" t="s">
        <v>3897</v>
      </c>
      <c r="F2261" s="31" t="s">
        <v>6240</v>
      </c>
      <c r="G2261" s="31" t="s">
        <v>835</v>
      </c>
      <c r="H2261" s="31" t="s">
        <v>20</v>
      </c>
      <c r="I2261" s="31">
        <v>4550.0</v>
      </c>
      <c r="J2261" s="31">
        <v>3.878403462E9</v>
      </c>
      <c r="K2261" s="31" t="s">
        <v>512</v>
      </c>
      <c r="L2261" s="31" t="s">
        <v>513</v>
      </c>
      <c r="M2261" s="33">
        <v>6.0</v>
      </c>
      <c r="N2261" s="34"/>
      <c r="O2261" s="31" t="s">
        <v>6241</v>
      </c>
    </row>
    <row r="2262">
      <c r="A2262" s="85">
        <v>46161.0</v>
      </c>
      <c r="B2262" s="31" t="s">
        <v>6239</v>
      </c>
      <c r="C2262" s="31">
        <v>8.05011576073E11</v>
      </c>
      <c r="D2262" s="31" t="s">
        <v>3896</v>
      </c>
      <c r="E2262" s="31" t="s">
        <v>3897</v>
      </c>
      <c r="F2262" s="31" t="s">
        <v>6240</v>
      </c>
      <c r="G2262" s="31" t="s">
        <v>835</v>
      </c>
      <c r="H2262" s="31" t="s">
        <v>20</v>
      </c>
      <c r="I2262" s="31">
        <v>4550.0</v>
      </c>
      <c r="J2262" s="31">
        <v>3.878403462E9</v>
      </c>
      <c r="K2262" s="31" t="s">
        <v>670</v>
      </c>
      <c r="L2262" s="31" t="s">
        <v>3410</v>
      </c>
      <c r="M2262" s="33">
        <v>1.0</v>
      </c>
      <c r="N2262" s="34"/>
      <c r="O2262" s="31" t="s">
        <v>6241</v>
      </c>
    </row>
    <row r="2263">
      <c r="A2263" s="85">
        <v>46161.0</v>
      </c>
      <c r="B2263" s="31" t="s">
        <v>6242</v>
      </c>
      <c r="C2263" s="31">
        <v>8.05011576296E11</v>
      </c>
      <c r="D2263" s="31" t="s">
        <v>6243</v>
      </c>
      <c r="E2263" s="31" t="s">
        <v>6244</v>
      </c>
      <c r="F2263" s="31" t="s">
        <v>6245</v>
      </c>
      <c r="G2263" s="31" t="s">
        <v>376</v>
      </c>
      <c r="H2263" s="31" t="s">
        <v>20</v>
      </c>
      <c r="I2263" s="31">
        <v>4421.0</v>
      </c>
      <c r="J2263" s="31">
        <v>3.875611531E9</v>
      </c>
      <c r="K2263" s="31" t="s">
        <v>6246</v>
      </c>
      <c r="L2263" s="31" t="s">
        <v>6247</v>
      </c>
      <c r="M2263" s="33">
        <v>1.0</v>
      </c>
      <c r="N2263" s="34"/>
      <c r="O2263" s="34"/>
    </row>
    <row r="2264">
      <c r="A2264" s="85">
        <v>46161.0</v>
      </c>
      <c r="B2264" s="31" t="s">
        <v>6248</v>
      </c>
      <c r="C2264" s="31">
        <v>8.05011575802E11</v>
      </c>
      <c r="D2264" s="31" t="s">
        <v>6249</v>
      </c>
      <c r="E2264" s="31" t="s">
        <v>6250</v>
      </c>
      <c r="F2264" s="31" t="s">
        <v>6251</v>
      </c>
      <c r="G2264" s="31" t="s">
        <v>20</v>
      </c>
      <c r="H2264" s="31" t="s">
        <v>20</v>
      </c>
      <c r="I2264" s="31">
        <v>4400.0</v>
      </c>
      <c r="J2264" s="31">
        <v>3.877402781E9</v>
      </c>
      <c r="K2264" s="31" t="s">
        <v>6252</v>
      </c>
      <c r="L2264" s="31" t="s">
        <v>6253</v>
      </c>
      <c r="M2264" s="33">
        <v>1.0</v>
      </c>
      <c r="N2264" s="34"/>
      <c r="O2264" s="34"/>
    </row>
    <row r="2265">
      <c r="A2265" s="85">
        <v>46161.0</v>
      </c>
      <c r="B2265" s="31" t="s">
        <v>6254</v>
      </c>
      <c r="C2265" s="31">
        <v>8.07940001146E11</v>
      </c>
      <c r="D2265" s="31" t="s">
        <v>6255</v>
      </c>
      <c r="E2265" s="31" t="s">
        <v>6256</v>
      </c>
      <c r="F2265" s="31" t="s">
        <v>6257</v>
      </c>
      <c r="G2265" s="31" t="s">
        <v>20</v>
      </c>
      <c r="H2265" s="31" t="s">
        <v>20</v>
      </c>
      <c r="I2265" s="31" t="s">
        <v>4086</v>
      </c>
      <c r="J2265" s="31">
        <v>2.214559495E9</v>
      </c>
      <c r="K2265" s="31" t="s">
        <v>5817</v>
      </c>
      <c r="L2265" s="31" t="s">
        <v>5417</v>
      </c>
      <c r="M2265" s="33">
        <v>1.0</v>
      </c>
      <c r="N2265" s="34"/>
      <c r="O2265" s="31" t="s">
        <v>6258</v>
      </c>
    </row>
    <row r="2266">
      <c r="A2266" s="85">
        <v>46161.0</v>
      </c>
      <c r="B2266" s="31" t="s">
        <v>6254</v>
      </c>
      <c r="C2266" s="31">
        <v>8.07940001146E11</v>
      </c>
      <c r="D2266" s="31" t="s">
        <v>6255</v>
      </c>
      <c r="E2266" s="31" t="s">
        <v>6256</v>
      </c>
      <c r="F2266" s="31" t="s">
        <v>6257</v>
      </c>
      <c r="G2266" s="31" t="s">
        <v>20</v>
      </c>
      <c r="H2266" s="31" t="s">
        <v>20</v>
      </c>
      <c r="I2266" s="31" t="s">
        <v>4086</v>
      </c>
      <c r="J2266" s="31">
        <v>2.214559495E9</v>
      </c>
      <c r="K2266" s="31" t="s">
        <v>2294</v>
      </c>
      <c r="L2266" s="31" t="s">
        <v>5415</v>
      </c>
      <c r="M2266" s="33">
        <v>1.0</v>
      </c>
      <c r="N2266" s="34"/>
      <c r="O2266" s="31" t="s">
        <v>6258</v>
      </c>
    </row>
    <row r="2267">
      <c r="A2267" s="85">
        <v>46161.0</v>
      </c>
      <c r="B2267" s="31" t="s">
        <v>6259</v>
      </c>
      <c r="C2267" s="31">
        <v>8.07025036086E11</v>
      </c>
      <c r="D2267" s="31" t="s">
        <v>6260</v>
      </c>
      <c r="E2267" s="31" t="s">
        <v>6261</v>
      </c>
      <c r="F2267" s="31" t="s">
        <v>6262</v>
      </c>
      <c r="G2267" s="31" t="s">
        <v>127</v>
      </c>
      <c r="H2267" s="31" t="s">
        <v>20</v>
      </c>
      <c r="I2267" s="31">
        <v>4400.0</v>
      </c>
      <c r="J2267" s="31">
        <v>3.875822207E9</v>
      </c>
      <c r="K2267" s="31">
        <v>110.0</v>
      </c>
      <c r="L2267" s="31" t="s">
        <v>6263</v>
      </c>
      <c r="M2267" s="33">
        <v>1.0</v>
      </c>
      <c r="N2267" s="34"/>
      <c r="O2267" s="31" t="s">
        <v>261</v>
      </c>
    </row>
    <row r="2268">
      <c r="A2268" s="85">
        <v>46161.0</v>
      </c>
      <c r="B2268" s="31" t="s">
        <v>6259</v>
      </c>
      <c r="C2268" s="31">
        <v>8.07025036086E11</v>
      </c>
      <c r="D2268" s="31" t="s">
        <v>6260</v>
      </c>
      <c r="E2268" s="31" t="s">
        <v>6261</v>
      </c>
      <c r="F2268" s="31" t="s">
        <v>6262</v>
      </c>
      <c r="G2268" s="31" t="s">
        <v>127</v>
      </c>
      <c r="H2268" s="31" t="s">
        <v>20</v>
      </c>
      <c r="I2268" s="31">
        <v>4400.0</v>
      </c>
      <c r="J2268" s="31">
        <v>3.875822207E9</v>
      </c>
      <c r="K2268" s="31" t="s">
        <v>4070</v>
      </c>
      <c r="L2268" s="31" t="s">
        <v>6264</v>
      </c>
      <c r="M2268" s="33">
        <v>1.0</v>
      </c>
      <c r="N2268" s="34"/>
      <c r="O2268" s="31" t="s">
        <v>261</v>
      </c>
    </row>
    <row r="2269">
      <c r="A2269" s="85">
        <v>46161.0</v>
      </c>
      <c r="B2269" s="31" t="s">
        <v>6259</v>
      </c>
      <c r="C2269" s="31">
        <v>8.07025036086E11</v>
      </c>
      <c r="D2269" s="31" t="s">
        <v>6260</v>
      </c>
      <c r="E2269" s="31" t="s">
        <v>6261</v>
      </c>
      <c r="F2269" s="31" t="s">
        <v>6262</v>
      </c>
      <c r="G2269" s="31" t="s">
        <v>127</v>
      </c>
      <c r="H2269" s="31" t="s">
        <v>20</v>
      </c>
      <c r="I2269" s="31">
        <v>4400.0</v>
      </c>
      <c r="J2269" s="31">
        <v>3.875822207E9</v>
      </c>
      <c r="K2269" s="31" t="s">
        <v>6265</v>
      </c>
      <c r="L2269" s="31" t="s">
        <v>6266</v>
      </c>
      <c r="M2269" s="33">
        <v>1.0</v>
      </c>
      <c r="N2269" s="34"/>
      <c r="O2269" s="31" t="s">
        <v>261</v>
      </c>
    </row>
    <row r="2270">
      <c r="A2270" s="85">
        <v>46161.0</v>
      </c>
      <c r="B2270" s="31" t="s">
        <v>6259</v>
      </c>
      <c r="C2270" s="31">
        <v>8.07025036086E11</v>
      </c>
      <c r="D2270" s="31" t="s">
        <v>6260</v>
      </c>
      <c r="E2270" s="31" t="s">
        <v>6261</v>
      </c>
      <c r="F2270" s="31" t="s">
        <v>6262</v>
      </c>
      <c r="G2270" s="31" t="s">
        <v>127</v>
      </c>
      <c r="H2270" s="31" t="s">
        <v>20</v>
      </c>
      <c r="I2270" s="31">
        <v>4400.0</v>
      </c>
      <c r="J2270" s="31">
        <v>3.875822207E9</v>
      </c>
      <c r="K2270" s="31" t="s">
        <v>5842</v>
      </c>
      <c r="L2270" s="31" t="s">
        <v>5843</v>
      </c>
      <c r="M2270" s="33">
        <v>1.0</v>
      </c>
      <c r="N2270" s="34"/>
      <c r="O2270" s="31" t="s">
        <v>261</v>
      </c>
    </row>
    <row r="2271">
      <c r="A2271" s="85">
        <v>46161.0</v>
      </c>
      <c r="B2271" s="31" t="s">
        <v>6259</v>
      </c>
      <c r="C2271" s="31">
        <v>8.07025036086E11</v>
      </c>
      <c r="D2271" s="31" t="s">
        <v>6260</v>
      </c>
      <c r="E2271" s="31" t="s">
        <v>6261</v>
      </c>
      <c r="F2271" s="31" t="s">
        <v>6262</v>
      </c>
      <c r="G2271" s="31" t="s">
        <v>127</v>
      </c>
      <c r="H2271" s="31" t="s">
        <v>20</v>
      </c>
      <c r="I2271" s="31">
        <v>4400.0</v>
      </c>
      <c r="J2271" s="31">
        <v>3.875822207E9</v>
      </c>
      <c r="K2271" s="31" t="s">
        <v>32</v>
      </c>
      <c r="L2271" s="31" t="s">
        <v>3225</v>
      </c>
      <c r="M2271" s="33">
        <v>1.0</v>
      </c>
      <c r="N2271" s="34"/>
      <c r="O2271" s="31" t="s">
        <v>261</v>
      </c>
    </row>
    <row r="2272">
      <c r="A2272" s="87"/>
      <c r="B2272" s="88"/>
      <c r="C2272" s="88"/>
      <c r="D2272" s="88"/>
      <c r="E2272" s="88"/>
      <c r="F2272" s="88"/>
      <c r="G2272" s="88"/>
      <c r="H2272" s="88"/>
      <c r="I2272" s="88"/>
      <c r="J2272" s="88"/>
      <c r="K2272" s="88"/>
      <c r="L2272" s="88"/>
      <c r="M2272" s="89"/>
      <c r="N2272" s="90"/>
      <c r="O2272" s="90"/>
    </row>
    <row r="2273">
      <c r="A2273" s="85">
        <v>46169.0</v>
      </c>
      <c r="B2273" s="31" t="s">
        <v>6267</v>
      </c>
      <c r="C2273" s="31">
        <v>8.07839006006E11</v>
      </c>
      <c r="D2273" s="31" t="s">
        <v>6268</v>
      </c>
      <c r="E2273" s="31" t="s">
        <v>6269</v>
      </c>
      <c r="F2273" s="31" t="s">
        <v>6270</v>
      </c>
      <c r="G2273" s="31" t="s">
        <v>1142</v>
      </c>
      <c r="H2273" s="31" t="s">
        <v>20</v>
      </c>
      <c r="I2273" s="31">
        <v>4430.0</v>
      </c>
      <c r="J2273" s="31">
        <v>3.874145321E9</v>
      </c>
      <c r="K2273" s="31" t="s">
        <v>6271</v>
      </c>
      <c r="L2273" s="31" t="s">
        <v>6272</v>
      </c>
      <c r="M2273" s="33">
        <v>1.0</v>
      </c>
      <c r="N2273" s="34"/>
      <c r="O2273" s="31" t="s">
        <v>6273</v>
      </c>
    </row>
    <row r="2274">
      <c r="A2274" s="85">
        <v>46169.0</v>
      </c>
      <c r="B2274" s="31" t="s">
        <v>6267</v>
      </c>
      <c r="C2274" s="31">
        <v>8.07839006006E11</v>
      </c>
      <c r="D2274" s="31" t="s">
        <v>6268</v>
      </c>
      <c r="E2274" s="31" t="s">
        <v>6269</v>
      </c>
      <c r="F2274" s="31" t="s">
        <v>6270</v>
      </c>
      <c r="G2274" s="31" t="s">
        <v>1142</v>
      </c>
      <c r="H2274" s="31" t="s">
        <v>20</v>
      </c>
      <c r="I2274" s="31">
        <v>4430.0</v>
      </c>
      <c r="J2274" s="31">
        <v>3.874145321E9</v>
      </c>
      <c r="K2274" s="31" t="s">
        <v>512</v>
      </c>
      <c r="L2274" s="31" t="s">
        <v>513</v>
      </c>
      <c r="M2274" s="33">
        <v>1.0</v>
      </c>
      <c r="N2274" s="34"/>
      <c r="O2274" s="31" t="s">
        <v>6273</v>
      </c>
    </row>
    <row r="2275">
      <c r="A2275" s="85">
        <v>46169.0</v>
      </c>
      <c r="B2275" s="31" t="s">
        <v>6267</v>
      </c>
      <c r="C2275" s="31">
        <v>8.07839006006E11</v>
      </c>
      <c r="D2275" s="31" t="s">
        <v>6268</v>
      </c>
      <c r="E2275" s="31" t="s">
        <v>6269</v>
      </c>
      <c r="F2275" s="31" t="s">
        <v>6270</v>
      </c>
      <c r="G2275" s="31" t="s">
        <v>1142</v>
      </c>
      <c r="H2275" s="31" t="s">
        <v>20</v>
      </c>
      <c r="I2275" s="31">
        <v>4430.0</v>
      </c>
      <c r="J2275" s="31">
        <v>3.874145321E9</v>
      </c>
      <c r="K2275" s="31" t="s">
        <v>670</v>
      </c>
      <c r="L2275" s="31" t="s">
        <v>3410</v>
      </c>
      <c r="M2275" s="33">
        <v>1.0</v>
      </c>
      <c r="N2275" s="34"/>
      <c r="O2275" s="31" t="s">
        <v>6273</v>
      </c>
    </row>
    <row r="2276">
      <c r="A2276" s="85">
        <v>46169.0</v>
      </c>
      <c r="B2276" s="31" t="s">
        <v>6274</v>
      </c>
      <c r="C2276" s="31">
        <v>8.0501157634E11</v>
      </c>
      <c r="D2276" s="31" t="s">
        <v>6275</v>
      </c>
      <c r="E2276" s="31" t="s">
        <v>6276</v>
      </c>
      <c r="F2276" s="31" t="s">
        <v>6277</v>
      </c>
      <c r="G2276" s="31" t="s">
        <v>20</v>
      </c>
      <c r="H2276" s="31" t="s">
        <v>20</v>
      </c>
      <c r="I2276" s="31">
        <v>4400.0</v>
      </c>
      <c r="J2276" s="31">
        <v>3.874042169E9</v>
      </c>
      <c r="K2276" s="31" t="s">
        <v>617</v>
      </c>
      <c r="L2276" s="31" t="s">
        <v>3867</v>
      </c>
      <c r="M2276" s="33">
        <v>1.0</v>
      </c>
      <c r="N2276" s="34"/>
      <c r="O2276" s="34"/>
    </row>
    <row r="2277">
      <c r="A2277" s="85">
        <v>46169.0</v>
      </c>
      <c r="B2277" s="31" t="s">
        <v>6274</v>
      </c>
      <c r="C2277" s="31">
        <v>8.0501157634E11</v>
      </c>
      <c r="D2277" s="31" t="s">
        <v>6275</v>
      </c>
      <c r="E2277" s="31" t="s">
        <v>6276</v>
      </c>
      <c r="F2277" s="31" t="s">
        <v>6277</v>
      </c>
      <c r="G2277" s="31" t="s">
        <v>20</v>
      </c>
      <c r="H2277" s="31" t="s">
        <v>20</v>
      </c>
      <c r="I2277" s="31">
        <v>4400.0</v>
      </c>
      <c r="J2277" s="31">
        <v>3.874042169E9</v>
      </c>
      <c r="K2277" s="31" t="s">
        <v>512</v>
      </c>
      <c r="L2277" s="31" t="s">
        <v>513</v>
      </c>
      <c r="M2277" s="33">
        <v>2.0</v>
      </c>
      <c r="N2277" s="34"/>
      <c r="O2277" s="34"/>
    </row>
    <row r="2278">
      <c r="A2278" s="85">
        <v>46169.0</v>
      </c>
      <c r="B2278" s="31" t="s">
        <v>6274</v>
      </c>
      <c r="C2278" s="31">
        <v>8.0501157634E11</v>
      </c>
      <c r="D2278" s="31" t="s">
        <v>6275</v>
      </c>
      <c r="E2278" s="31" t="s">
        <v>6276</v>
      </c>
      <c r="F2278" s="31" t="s">
        <v>6277</v>
      </c>
      <c r="G2278" s="31" t="s">
        <v>20</v>
      </c>
      <c r="H2278" s="31" t="s">
        <v>20</v>
      </c>
      <c r="I2278" s="31">
        <v>4400.0</v>
      </c>
      <c r="J2278" s="31">
        <v>3.874042169E9</v>
      </c>
      <c r="K2278" s="31" t="s">
        <v>645</v>
      </c>
      <c r="L2278" s="31" t="s">
        <v>3253</v>
      </c>
      <c r="M2278" s="33">
        <v>2.0</v>
      </c>
      <c r="N2278" s="34"/>
      <c r="O2278" s="34"/>
    </row>
    <row r="2279">
      <c r="A2279" s="85">
        <v>46169.0</v>
      </c>
      <c r="B2279" s="31" t="s">
        <v>6278</v>
      </c>
      <c r="C2279" s="31">
        <v>8.05011576325E11</v>
      </c>
      <c r="D2279" s="31" t="s">
        <v>6275</v>
      </c>
      <c r="E2279" s="31" t="s">
        <v>6276</v>
      </c>
      <c r="F2279" s="31" t="s">
        <v>6279</v>
      </c>
      <c r="G2279" s="31" t="s">
        <v>20</v>
      </c>
      <c r="H2279" s="31" t="s">
        <v>20</v>
      </c>
      <c r="I2279" s="31">
        <v>4400.0</v>
      </c>
      <c r="J2279" s="31">
        <v>3.874042169E9</v>
      </c>
      <c r="K2279" s="31" t="s">
        <v>617</v>
      </c>
      <c r="L2279" s="31" t="s">
        <v>3867</v>
      </c>
      <c r="M2279" s="33">
        <v>1.0</v>
      </c>
      <c r="N2279" s="34"/>
      <c r="O2279" s="34"/>
    </row>
    <row r="2280">
      <c r="A2280" s="85">
        <v>46169.0</v>
      </c>
      <c r="B2280" s="31" t="s">
        <v>6278</v>
      </c>
      <c r="C2280" s="31">
        <v>8.05011576325E11</v>
      </c>
      <c r="D2280" s="31" t="s">
        <v>6275</v>
      </c>
      <c r="E2280" s="31" t="s">
        <v>6276</v>
      </c>
      <c r="F2280" s="31" t="s">
        <v>6279</v>
      </c>
      <c r="G2280" s="31" t="s">
        <v>20</v>
      </c>
      <c r="H2280" s="31" t="s">
        <v>20</v>
      </c>
      <c r="I2280" s="31">
        <v>4400.0</v>
      </c>
      <c r="J2280" s="31">
        <v>3.874042169E9</v>
      </c>
      <c r="K2280" s="31" t="s">
        <v>512</v>
      </c>
      <c r="L2280" s="31" t="s">
        <v>513</v>
      </c>
      <c r="M2280" s="33">
        <v>2.0</v>
      </c>
      <c r="N2280" s="34"/>
      <c r="O2280" s="34"/>
    </row>
    <row r="2281">
      <c r="A2281" s="85">
        <v>46169.0</v>
      </c>
      <c r="B2281" s="31" t="s">
        <v>6278</v>
      </c>
      <c r="C2281" s="31">
        <v>8.05011576325E11</v>
      </c>
      <c r="D2281" s="31" t="s">
        <v>6275</v>
      </c>
      <c r="E2281" s="31" t="s">
        <v>6276</v>
      </c>
      <c r="F2281" s="31" t="s">
        <v>6279</v>
      </c>
      <c r="G2281" s="31" t="s">
        <v>20</v>
      </c>
      <c r="H2281" s="31" t="s">
        <v>20</v>
      </c>
      <c r="I2281" s="31">
        <v>4400.0</v>
      </c>
      <c r="J2281" s="31">
        <v>3.874042169E9</v>
      </c>
      <c r="K2281" s="31" t="s">
        <v>645</v>
      </c>
      <c r="L2281" s="31" t="s">
        <v>3253</v>
      </c>
      <c r="M2281" s="33">
        <v>2.0</v>
      </c>
      <c r="N2281" s="34"/>
      <c r="O2281" s="34"/>
    </row>
    <row r="2282">
      <c r="A2282" s="85">
        <v>46169.0</v>
      </c>
      <c r="B2282" s="31" t="s">
        <v>6280</v>
      </c>
      <c r="C2282" s="31">
        <v>8.05011576454E11</v>
      </c>
      <c r="D2282" s="31" t="s">
        <v>6281</v>
      </c>
      <c r="E2282" s="31" t="s">
        <v>6282</v>
      </c>
      <c r="F2282" s="31" t="s">
        <v>6283</v>
      </c>
      <c r="G2282" s="31" t="s">
        <v>20</v>
      </c>
      <c r="H2282" s="31" t="s">
        <v>20</v>
      </c>
      <c r="I2282" s="31">
        <v>4400.0</v>
      </c>
      <c r="J2282" s="31">
        <v>3.875240548E9</v>
      </c>
      <c r="K2282" s="31" t="s">
        <v>5842</v>
      </c>
      <c r="L2282" s="31" t="s">
        <v>5843</v>
      </c>
      <c r="M2282" s="33">
        <v>1.0</v>
      </c>
      <c r="N2282" s="34"/>
      <c r="O2282" s="34"/>
    </row>
    <row r="2283">
      <c r="A2283" s="85">
        <v>46169.0</v>
      </c>
      <c r="B2283" s="31" t="s">
        <v>6280</v>
      </c>
      <c r="C2283" s="31">
        <v>8.05011576454E11</v>
      </c>
      <c r="D2283" s="31" t="s">
        <v>6281</v>
      </c>
      <c r="E2283" s="31" t="s">
        <v>6282</v>
      </c>
      <c r="F2283" s="31" t="s">
        <v>6283</v>
      </c>
      <c r="G2283" s="31" t="s">
        <v>20</v>
      </c>
      <c r="H2283" s="31" t="s">
        <v>20</v>
      </c>
      <c r="I2283" s="31">
        <v>4400.0</v>
      </c>
      <c r="J2283" s="31">
        <v>3.875240548E9</v>
      </c>
      <c r="K2283" s="31" t="s">
        <v>32</v>
      </c>
      <c r="L2283" s="31" t="s">
        <v>3225</v>
      </c>
      <c r="M2283" s="33">
        <v>1.0</v>
      </c>
      <c r="N2283" s="34"/>
      <c r="O2283" s="34"/>
    </row>
    <row r="2284">
      <c r="A2284" s="85">
        <v>46169.0</v>
      </c>
      <c r="B2284" s="31" t="s">
        <v>6284</v>
      </c>
      <c r="C2284" s="31">
        <v>8.05011576292E11</v>
      </c>
      <c r="D2284" s="31" t="s">
        <v>6285</v>
      </c>
      <c r="E2284" s="31" t="s">
        <v>6286</v>
      </c>
      <c r="F2284" s="31" t="s">
        <v>6287</v>
      </c>
      <c r="G2284" s="31" t="s">
        <v>20</v>
      </c>
      <c r="H2284" s="31" t="s">
        <v>20</v>
      </c>
      <c r="I2284" s="31">
        <v>4400.0</v>
      </c>
      <c r="J2284" s="31">
        <v>3.874402651E9</v>
      </c>
      <c r="K2284" s="31" t="s">
        <v>1241</v>
      </c>
      <c r="L2284" s="31" t="s">
        <v>3500</v>
      </c>
      <c r="M2284" s="33">
        <v>1.0</v>
      </c>
      <c r="N2284" s="34"/>
      <c r="O2284" s="34"/>
    </row>
    <row r="2285">
      <c r="A2285" s="85">
        <v>46169.0</v>
      </c>
      <c r="B2285" s="31" t="s">
        <v>6284</v>
      </c>
      <c r="C2285" s="31">
        <v>8.05011576292E11</v>
      </c>
      <c r="D2285" s="31" t="s">
        <v>6285</v>
      </c>
      <c r="E2285" s="31" t="s">
        <v>6286</v>
      </c>
      <c r="F2285" s="31" t="s">
        <v>6287</v>
      </c>
      <c r="G2285" s="31" t="s">
        <v>20</v>
      </c>
      <c r="H2285" s="31" t="s">
        <v>20</v>
      </c>
      <c r="I2285" s="31">
        <v>4400.0</v>
      </c>
      <c r="J2285" s="31">
        <v>3.874402651E9</v>
      </c>
      <c r="K2285" s="31" t="s">
        <v>32</v>
      </c>
      <c r="L2285" s="31" t="s">
        <v>3225</v>
      </c>
      <c r="M2285" s="33">
        <v>1.0</v>
      </c>
      <c r="N2285" s="34"/>
      <c r="O2285" s="34"/>
    </row>
    <row r="2286">
      <c r="A2286" s="85">
        <v>46169.0</v>
      </c>
      <c r="B2286" s="31" t="s">
        <v>6284</v>
      </c>
      <c r="C2286" s="31">
        <v>8.05011576292E11</v>
      </c>
      <c r="D2286" s="31" t="s">
        <v>6285</v>
      </c>
      <c r="E2286" s="31" t="s">
        <v>6286</v>
      </c>
      <c r="F2286" s="31" t="s">
        <v>6287</v>
      </c>
      <c r="G2286" s="31" t="s">
        <v>20</v>
      </c>
      <c r="H2286" s="31" t="s">
        <v>20</v>
      </c>
      <c r="I2286" s="31">
        <v>4400.0</v>
      </c>
      <c r="J2286" s="31">
        <v>3.874402651E9</v>
      </c>
      <c r="K2286" s="31" t="s">
        <v>512</v>
      </c>
      <c r="L2286" s="31" t="s">
        <v>513</v>
      </c>
      <c r="M2286" s="33">
        <v>1.0</v>
      </c>
      <c r="N2286" s="34"/>
      <c r="O2286" s="34"/>
    </row>
    <row r="2287">
      <c r="A2287" s="85">
        <v>46169.0</v>
      </c>
      <c r="B2287" s="31" t="s">
        <v>6284</v>
      </c>
      <c r="C2287" s="31">
        <v>8.05011576292E11</v>
      </c>
      <c r="D2287" s="31" t="s">
        <v>6285</v>
      </c>
      <c r="E2287" s="31" t="s">
        <v>6286</v>
      </c>
      <c r="F2287" s="31" t="s">
        <v>6287</v>
      </c>
      <c r="G2287" s="31" t="s">
        <v>20</v>
      </c>
      <c r="H2287" s="31" t="s">
        <v>20</v>
      </c>
      <c r="I2287" s="31">
        <v>4400.0</v>
      </c>
      <c r="J2287" s="31">
        <v>3.874402651E9</v>
      </c>
      <c r="K2287" s="31" t="s">
        <v>670</v>
      </c>
      <c r="L2287" s="31" t="s">
        <v>3410</v>
      </c>
      <c r="M2287" s="33">
        <v>1.0</v>
      </c>
      <c r="N2287" s="34"/>
      <c r="O2287" s="34"/>
    </row>
    <row r="2288">
      <c r="A2288" s="85">
        <v>46169.0</v>
      </c>
      <c r="B2288" s="31" t="s">
        <v>6288</v>
      </c>
      <c r="C2288" s="31">
        <v>8.07025036052E11</v>
      </c>
      <c r="D2288" s="31" t="s">
        <v>6289</v>
      </c>
      <c r="E2288" s="31" t="s">
        <v>6290</v>
      </c>
      <c r="F2288" s="31" t="s">
        <v>6291</v>
      </c>
      <c r="G2288" s="31" t="s">
        <v>104</v>
      </c>
      <c r="H2288" s="31" t="s">
        <v>20</v>
      </c>
      <c r="I2288" s="31">
        <v>4400.0</v>
      </c>
      <c r="J2288" s="31">
        <v>3.874489882E9</v>
      </c>
      <c r="K2288" s="31" t="s">
        <v>6292</v>
      </c>
      <c r="L2288" s="31" t="s">
        <v>6293</v>
      </c>
      <c r="M2288" s="33">
        <v>3.0</v>
      </c>
      <c r="N2288" s="34"/>
      <c r="O2288" s="31" t="s">
        <v>261</v>
      </c>
    </row>
    <row r="2289">
      <c r="A2289" s="85">
        <v>46169.0</v>
      </c>
      <c r="B2289" s="31" t="s">
        <v>6294</v>
      </c>
      <c r="C2289" s="31">
        <v>8.07839006614E11</v>
      </c>
      <c r="D2289" s="31" t="s">
        <v>6295</v>
      </c>
      <c r="E2289" s="31" t="s">
        <v>6296</v>
      </c>
      <c r="F2289" s="31" t="s">
        <v>6297</v>
      </c>
      <c r="G2289" s="31" t="s">
        <v>247</v>
      </c>
      <c r="H2289" s="31" t="s">
        <v>20</v>
      </c>
      <c r="I2289" s="31">
        <v>4400.0</v>
      </c>
      <c r="J2289" s="31">
        <v>3.87591297E9</v>
      </c>
      <c r="K2289" s="31" t="s">
        <v>32</v>
      </c>
      <c r="L2289" s="31" t="s">
        <v>3225</v>
      </c>
      <c r="M2289" s="33">
        <v>1.0</v>
      </c>
      <c r="N2289" s="34"/>
      <c r="O2289" s="34"/>
    </row>
    <row r="2290">
      <c r="A2290" s="85">
        <v>46169.0</v>
      </c>
      <c r="B2290" s="31" t="s">
        <v>6294</v>
      </c>
      <c r="C2290" s="31">
        <v>8.07839006614E11</v>
      </c>
      <c r="D2290" s="31" t="s">
        <v>6295</v>
      </c>
      <c r="E2290" s="31" t="s">
        <v>4529</v>
      </c>
      <c r="F2290" s="31" t="s">
        <v>6297</v>
      </c>
      <c r="G2290" s="31" t="s">
        <v>247</v>
      </c>
      <c r="H2290" s="31" t="s">
        <v>20</v>
      </c>
      <c r="I2290" s="31">
        <v>4400.0</v>
      </c>
      <c r="J2290" s="31">
        <v>3.87591297E9</v>
      </c>
      <c r="K2290" s="31" t="s">
        <v>512</v>
      </c>
      <c r="L2290" s="31" t="s">
        <v>513</v>
      </c>
      <c r="M2290" s="33">
        <v>1.0</v>
      </c>
      <c r="N2290" s="34"/>
      <c r="O2290" s="34"/>
    </row>
    <row r="2291">
      <c r="A2291" s="85">
        <v>46169.0</v>
      </c>
      <c r="B2291" s="31" t="s">
        <v>6294</v>
      </c>
      <c r="C2291" s="31">
        <v>8.07839006614E11</v>
      </c>
      <c r="D2291" s="31" t="s">
        <v>6295</v>
      </c>
      <c r="E2291" s="31" t="s">
        <v>6296</v>
      </c>
      <c r="F2291" s="31" t="s">
        <v>6297</v>
      </c>
      <c r="G2291" s="31" t="s">
        <v>247</v>
      </c>
      <c r="H2291" s="31" t="s">
        <v>20</v>
      </c>
      <c r="I2291" s="31">
        <v>4400.0</v>
      </c>
      <c r="J2291" s="31">
        <v>3.87591297E9</v>
      </c>
      <c r="K2291" s="31" t="s">
        <v>670</v>
      </c>
      <c r="L2291" s="31" t="s">
        <v>3410</v>
      </c>
      <c r="M2291" s="33">
        <v>1.0</v>
      </c>
      <c r="N2291" s="34"/>
      <c r="O2291" s="34"/>
    </row>
    <row r="2292">
      <c r="A2292" s="85">
        <v>46169.0</v>
      </c>
      <c r="B2292" s="31" t="s">
        <v>6298</v>
      </c>
      <c r="C2292" s="31">
        <v>8.07839006695E11</v>
      </c>
      <c r="D2292" s="31" t="s">
        <v>6299</v>
      </c>
      <c r="E2292" s="31" t="s">
        <v>6300</v>
      </c>
      <c r="F2292" s="31" t="s">
        <v>6301</v>
      </c>
      <c r="G2292" s="31" t="s">
        <v>41</v>
      </c>
      <c r="H2292" s="31" t="s">
        <v>20</v>
      </c>
      <c r="I2292" s="31">
        <v>4560.0</v>
      </c>
      <c r="J2292" s="31">
        <v>2.995274395E9</v>
      </c>
      <c r="K2292" s="31" t="s">
        <v>32</v>
      </c>
      <c r="L2292" s="31" t="s">
        <v>3225</v>
      </c>
      <c r="M2292" s="33">
        <v>1.0</v>
      </c>
      <c r="N2292" s="34"/>
      <c r="O2292" s="31" t="s">
        <v>6302</v>
      </c>
    </row>
    <row r="2293">
      <c r="A2293" s="85">
        <v>46169.0</v>
      </c>
      <c r="B2293" s="31" t="s">
        <v>6298</v>
      </c>
      <c r="C2293" s="31">
        <v>8.07839006695E11</v>
      </c>
      <c r="D2293" s="31" t="s">
        <v>6299</v>
      </c>
      <c r="E2293" s="31" t="s">
        <v>6300</v>
      </c>
      <c r="F2293" s="31" t="s">
        <v>6301</v>
      </c>
      <c r="G2293" s="31" t="s">
        <v>41</v>
      </c>
      <c r="H2293" s="31" t="s">
        <v>20</v>
      </c>
      <c r="I2293" s="31">
        <v>4560.0</v>
      </c>
      <c r="J2293" s="31">
        <v>2.995274395E9</v>
      </c>
      <c r="K2293" s="31" t="s">
        <v>512</v>
      </c>
      <c r="L2293" s="31" t="s">
        <v>513</v>
      </c>
      <c r="M2293" s="33">
        <v>1.0</v>
      </c>
      <c r="N2293" s="34"/>
      <c r="O2293" s="31" t="s">
        <v>6302</v>
      </c>
    </row>
    <row r="2294">
      <c r="A2294" s="85">
        <v>46169.0</v>
      </c>
      <c r="B2294" s="31" t="s">
        <v>6298</v>
      </c>
      <c r="C2294" s="31">
        <v>8.07839006695E11</v>
      </c>
      <c r="D2294" s="31" t="s">
        <v>6299</v>
      </c>
      <c r="E2294" s="31" t="s">
        <v>6300</v>
      </c>
      <c r="F2294" s="31" t="s">
        <v>6301</v>
      </c>
      <c r="G2294" s="31" t="s">
        <v>41</v>
      </c>
      <c r="H2294" s="31" t="s">
        <v>20</v>
      </c>
      <c r="I2294" s="31">
        <v>4560.0</v>
      </c>
      <c r="J2294" s="31">
        <v>2.995274395E9</v>
      </c>
      <c r="K2294" s="31" t="s">
        <v>670</v>
      </c>
      <c r="L2294" s="31" t="s">
        <v>3410</v>
      </c>
      <c r="M2294" s="33">
        <v>1.0</v>
      </c>
      <c r="N2294" s="34"/>
      <c r="O2294" s="31" t="s">
        <v>6302</v>
      </c>
    </row>
    <row r="2295">
      <c r="A2295" s="85">
        <v>46169.0</v>
      </c>
      <c r="B2295" s="31" t="s">
        <v>6303</v>
      </c>
      <c r="C2295" s="31">
        <v>8.078390067E11</v>
      </c>
      <c r="D2295" s="31" t="s">
        <v>6304</v>
      </c>
      <c r="E2295" s="31" t="s">
        <v>6305</v>
      </c>
      <c r="F2295" s="31" t="s">
        <v>6306</v>
      </c>
      <c r="G2295" s="31" t="s">
        <v>20</v>
      </c>
      <c r="H2295" s="31" t="s">
        <v>20</v>
      </c>
      <c r="I2295" s="31">
        <v>4400.0</v>
      </c>
      <c r="J2295" s="31">
        <v>3.876109682E9</v>
      </c>
      <c r="K2295" s="31" t="s">
        <v>32</v>
      </c>
      <c r="L2295" s="31" t="s">
        <v>3225</v>
      </c>
      <c r="M2295" s="33">
        <v>1.0</v>
      </c>
      <c r="N2295" s="34"/>
      <c r="O2295" s="31" t="s">
        <v>6307</v>
      </c>
    </row>
    <row r="2296">
      <c r="A2296" s="85">
        <v>46169.0</v>
      </c>
      <c r="B2296" s="31" t="s">
        <v>6303</v>
      </c>
      <c r="C2296" s="31">
        <v>8.078390067E11</v>
      </c>
      <c r="D2296" s="31" t="s">
        <v>6304</v>
      </c>
      <c r="E2296" s="31" t="s">
        <v>6305</v>
      </c>
      <c r="F2296" s="31" t="s">
        <v>6306</v>
      </c>
      <c r="G2296" s="31" t="s">
        <v>20</v>
      </c>
      <c r="H2296" s="31" t="s">
        <v>20</v>
      </c>
      <c r="I2296" s="31">
        <v>4400.0</v>
      </c>
      <c r="J2296" s="31">
        <v>3.876109682E9</v>
      </c>
      <c r="K2296" s="31" t="s">
        <v>512</v>
      </c>
      <c r="L2296" s="31" t="s">
        <v>513</v>
      </c>
      <c r="M2296" s="33">
        <v>1.0</v>
      </c>
      <c r="N2296" s="34"/>
      <c r="O2296" s="31" t="s">
        <v>6307</v>
      </c>
    </row>
    <row r="2297">
      <c r="A2297" s="85">
        <v>46169.0</v>
      </c>
      <c r="B2297" s="31" t="s">
        <v>6303</v>
      </c>
      <c r="C2297" s="31">
        <v>8.078390067E11</v>
      </c>
      <c r="D2297" s="31" t="s">
        <v>6304</v>
      </c>
      <c r="E2297" s="31" t="s">
        <v>6305</v>
      </c>
      <c r="F2297" s="31" t="s">
        <v>6306</v>
      </c>
      <c r="G2297" s="31" t="s">
        <v>20</v>
      </c>
      <c r="H2297" s="31" t="s">
        <v>20</v>
      </c>
      <c r="I2297" s="31">
        <v>4400.0</v>
      </c>
      <c r="J2297" s="31">
        <v>3.876109682E9</v>
      </c>
      <c r="K2297" s="31" t="s">
        <v>670</v>
      </c>
      <c r="L2297" s="31" t="s">
        <v>3410</v>
      </c>
      <c r="M2297" s="33">
        <v>1.0</v>
      </c>
      <c r="N2297" s="34"/>
      <c r="O2297" s="31" t="s">
        <v>6307</v>
      </c>
    </row>
    <row r="2298">
      <c r="A2298" s="85">
        <v>46169.0</v>
      </c>
      <c r="B2298" s="31" t="s">
        <v>6308</v>
      </c>
      <c r="C2298" s="31">
        <v>8.07839006824E11</v>
      </c>
      <c r="D2298" s="31" t="s">
        <v>6309</v>
      </c>
      <c r="E2298" s="31" t="s">
        <v>6310</v>
      </c>
      <c r="F2298" s="31" t="s">
        <v>6311</v>
      </c>
      <c r="G2298" s="31" t="s">
        <v>127</v>
      </c>
      <c r="H2298" s="31" t="s">
        <v>20</v>
      </c>
      <c r="I2298" s="31">
        <v>4400.0</v>
      </c>
      <c r="J2298" s="31">
        <v>3.8744792E9</v>
      </c>
      <c r="K2298" s="31" t="s">
        <v>32</v>
      </c>
      <c r="L2298" s="31" t="s">
        <v>3225</v>
      </c>
      <c r="M2298" s="33">
        <v>1.0</v>
      </c>
      <c r="N2298" s="34"/>
      <c r="O2298" s="34"/>
    </row>
    <row r="2299">
      <c r="A2299" s="85">
        <v>46169.0</v>
      </c>
      <c r="B2299" s="31" t="s">
        <v>6308</v>
      </c>
      <c r="C2299" s="31">
        <v>8.07839006824E11</v>
      </c>
      <c r="D2299" s="31" t="s">
        <v>6309</v>
      </c>
      <c r="E2299" s="31" t="s">
        <v>6310</v>
      </c>
      <c r="F2299" s="31" t="s">
        <v>6311</v>
      </c>
      <c r="G2299" s="31" t="s">
        <v>127</v>
      </c>
      <c r="H2299" s="31" t="s">
        <v>20</v>
      </c>
      <c r="I2299" s="31">
        <v>4400.0</v>
      </c>
      <c r="J2299" s="31">
        <v>3.8744792E9</v>
      </c>
      <c r="K2299" s="31" t="s">
        <v>512</v>
      </c>
      <c r="L2299" s="31" t="s">
        <v>513</v>
      </c>
      <c r="M2299" s="33">
        <v>1.0</v>
      </c>
      <c r="N2299" s="34"/>
      <c r="O2299" s="34"/>
    </row>
    <row r="2300">
      <c r="A2300" s="85">
        <v>46169.0</v>
      </c>
      <c r="B2300" s="31" t="s">
        <v>6308</v>
      </c>
      <c r="C2300" s="31">
        <v>8.07839006824E11</v>
      </c>
      <c r="D2300" s="31" t="s">
        <v>6309</v>
      </c>
      <c r="E2300" s="31" t="s">
        <v>6310</v>
      </c>
      <c r="F2300" s="31" t="s">
        <v>6311</v>
      </c>
      <c r="G2300" s="31" t="s">
        <v>127</v>
      </c>
      <c r="H2300" s="31" t="s">
        <v>20</v>
      </c>
      <c r="I2300" s="31">
        <v>4400.0</v>
      </c>
      <c r="J2300" s="31">
        <v>3.8744792E9</v>
      </c>
      <c r="K2300" s="31" t="s">
        <v>670</v>
      </c>
      <c r="L2300" s="31" t="s">
        <v>3410</v>
      </c>
      <c r="M2300" s="33">
        <v>1.0</v>
      </c>
      <c r="N2300" s="34"/>
      <c r="O2300" s="34"/>
    </row>
    <row r="2301">
      <c r="A2301" s="85">
        <v>46169.0</v>
      </c>
      <c r="B2301" s="31" t="s">
        <v>6312</v>
      </c>
      <c r="C2301" s="31">
        <v>8.0783900683E11</v>
      </c>
      <c r="D2301" s="31" t="s">
        <v>6313</v>
      </c>
      <c r="E2301" s="31" t="s">
        <v>6314</v>
      </c>
      <c r="F2301" s="31" t="s">
        <v>6315</v>
      </c>
      <c r="G2301" s="31" t="s">
        <v>20</v>
      </c>
      <c r="H2301" s="31" t="s">
        <v>20</v>
      </c>
      <c r="I2301" s="31">
        <v>4400.0</v>
      </c>
      <c r="J2301" s="31">
        <v>3.874599959E9</v>
      </c>
      <c r="K2301" s="31" t="s">
        <v>617</v>
      </c>
      <c r="L2301" s="31" t="s">
        <v>3867</v>
      </c>
      <c r="M2301" s="33">
        <v>1.0</v>
      </c>
      <c r="N2301" s="34"/>
      <c r="O2301" s="31" t="s">
        <v>5479</v>
      </c>
    </row>
    <row r="2302">
      <c r="A2302" s="85">
        <v>46169.0</v>
      </c>
      <c r="B2302" s="31" t="s">
        <v>6316</v>
      </c>
      <c r="C2302" s="31">
        <v>8.07839006854E11</v>
      </c>
      <c r="D2302" s="31" t="s">
        <v>6317</v>
      </c>
      <c r="E2302" s="31" t="s">
        <v>6318</v>
      </c>
      <c r="F2302" s="31" t="s">
        <v>6319</v>
      </c>
      <c r="G2302" s="31" t="s">
        <v>20</v>
      </c>
      <c r="H2302" s="31" t="s">
        <v>20</v>
      </c>
      <c r="I2302" s="31">
        <v>4400.0</v>
      </c>
      <c r="J2302" s="31">
        <v>3.874032949E9</v>
      </c>
      <c r="K2302" s="31" t="s">
        <v>32</v>
      </c>
      <c r="L2302" s="31" t="s">
        <v>3225</v>
      </c>
      <c r="M2302" s="33">
        <v>1.0</v>
      </c>
      <c r="N2302" s="34"/>
      <c r="O2302" s="31" t="s">
        <v>6320</v>
      </c>
    </row>
    <row r="2303">
      <c r="A2303" s="85">
        <v>46169.0</v>
      </c>
      <c r="B2303" s="31" t="s">
        <v>6316</v>
      </c>
      <c r="C2303" s="31">
        <v>8.07839006854E11</v>
      </c>
      <c r="D2303" s="31" t="s">
        <v>6317</v>
      </c>
      <c r="E2303" s="31" t="s">
        <v>6318</v>
      </c>
      <c r="F2303" s="31" t="s">
        <v>6319</v>
      </c>
      <c r="G2303" s="31" t="s">
        <v>20</v>
      </c>
      <c r="H2303" s="31" t="s">
        <v>20</v>
      </c>
      <c r="I2303" s="31">
        <v>4400.0</v>
      </c>
      <c r="J2303" s="31">
        <v>3.874032949E9</v>
      </c>
      <c r="K2303" s="31" t="s">
        <v>512</v>
      </c>
      <c r="L2303" s="31" t="s">
        <v>513</v>
      </c>
      <c r="M2303" s="33">
        <v>1.0</v>
      </c>
      <c r="N2303" s="34"/>
      <c r="O2303" s="31" t="s">
        <v>6320</v>
      </c>
    </row>
    <row r="2304">
      <c r="A2304" s="85">
        <v>46169.0</v>
      </c>
      <c r="B2304" s="31" t="s">
        <v>6316</v>
      </c>
      <c r="C2304" s="31">
        <v>8.07839006854E11</v>
      </c>
      <c r="D2304" s="31" t="s">
        <v>6317</v>
      </c>
      <c r="E2304" s="31" t="s">
        <v>6318</v>
      </c>
      <c r="F2304" s="31" t="s">
        <v>6319</v>
      </c>
      <c r="G2304" s="31" t="s">
        <v>20</v>
      </c>
      <c r="H2304" s="31" t="s">
        <v>20</v>
      </c>
      <c r="I2304" s="31">
        <v>4400.0</v>
      </c>
      <c r="J2304" s="31">
        <v>3.874032949E9</v>
      </c>
      <c r="K2304" s="31" t="s">
        <v>670</v>
      </c>
      <c r="L2304" s="31" t="s">
        <v>3410</v>
      </c>
      <c r="M2304" s="33">
        <v>1.0</v>
      </c>
      <c r="N2304" s="34"/>
      <c r="O2304" s="31" t="s">
        <v>6320</v>
      </c>
    </row>
    <row r="2305">
      <c r="A2305" s="85">
        <v>46169.0</v>
      </c>
      <c r="B2305" s="31" t="s">
        <v>6321</v>
      </c>
      <c r="C2305" s="31">
        <v>8.07839007062E11</v>
      </c>
      <c r="D2305" s="31" t="s">
        <v>6322</v>
      </c>
      <c r="E2305" s="31" t="s">
        <v>6323</v>
      </c>
      <c r="F2305" s="31" t="s">
        <v>6324</v>
      </c>
      <c r="G2305" s="31" t="s">
        <v>247</v>
      </c>
      <c r="H2305" s="31" t="s">
        <v>20</v>
      </c>
      <c r="I2305" s="31">
        <v>4400.0</v>
      </c>
      <c r="J2305" s="31">
        <v>5.43875929446E11</v>
      </c>
      <c r="K2305" s="31" t="s">
        <v>32</v>
      </c>
      <c r="L2305" s="31" t="s">
        <v>3225</v>
      </c>
      <c r="M2305" s="33">
        <v>1.0</v>
      </c>
      <c r="N2305" s="34"/>
      <c r="O2305" s="31" t="s">
        <v>6325</v>
      </c>
    </row>
    <row r="2306">
      <c r="A2306" s="85">
        <v>46169.0</v>
      </c>
      <c r="B2306" s="31" t="s">
        <v>6321</v>
      </c>
      <c r="C2306" s="31">
        <v>8.07839007062E11</v>
      </c>
      <c r="D2306" s="31" t="s">
        <v>6322</v>
      </c>
      <c r="E2306" s="31" t="s">
        <v>6323</v>
      </c>
      <c r="F2306" s="31" t="s">
        <v>6324</v>
      </c>
      <c r="G2306" s="31" t="s">
        <v>247</v>
      </c>
      <c r="H2306" s="31" t="s">
        <v>20</v>
      </c>
      <c r="I2306" s="31">
        <v>4400.0</v>
      </c>
      <c r="J2306" s="31">
        <v>5.43875929446E11</v>
      </c>
      <c r="K2306" s="31" t="s">
        <v>512</v>
      </c>
      <c r="L2306" s="31" t="s">
        <v>513</v>
      </c>
      <c r="M2306" s="33">
        <v>1.0</v>
      </c>
      <c r="N2306" s="34"/>
      <c r="O2306" s="31" t="s">
        <v>6325</v>
      </c>
    </row>
    <row r="2307">
      <c r="A2307" s="85">
        <v>46169.0</v>
      </c>
      <c r="B2307" s="31" t="s">
        <v>6321</v>
      </c>
      <c r="C2307" s="31">
        <v>8.07839007062E11</v>
      </c>
      <c r="D2307" s="31" t="s">
        <v>6322</v>
      </c>
      <c r="E2307" s="31" t="s">
        <v>6323</v>
      </c>
      <c r="F2307" s="31" t="s">
        <v>6324</v>
      </c>
      <c r="G2307" s="31" t="s">
        <v>247</v>
      </c>
      <c r="H2307" s="31" t="s">
        <v>20</v>
      </c>
      <c r="I2307" s="31">
        <v>4400.0</v>
      </c>
      <c r="J2307" s="31">
        <v>5.43875929446E11</v>
      </c>
      <c r="K2307" s="31" t="s">
        <v>670</v>
      </c>
      <c r="L2307" s="31" t="s">
        <v>3410</v>
      </c>
      <c r="M2307" s="33">
        <v>1.0</v>
      </c>
      <c r="N2307" s="34"/>
      <c r="O2307" s="31" t="s">
        <v>6325</v>
      </c>
    </row>
    <row r="2308">
      <c r="A2308" s="85">
        <v>46169.0</v>
      </c>
      <c r="B2308" s="31" t="s">
        <v>6326</v>
      </c>
      <c r="C2308" s="31">
        <v>8.05011574926E11</v>
      </c>
      <c r="D2308" s="31" t="s">
        <v>6327</v>
      </c>
      <c r="E2308" s="31" t="s">
        <v>6328</v>
      </c>
      <c r="F2308" s="31" t="s">
        <v>6329</v>
      </c>
      <c r="G2308" s="31" t="s">
        <v>247</v>
      </c>
      <c r="H2308" s="31" t="s">
        <v>20</v>
      </c>
      <c r="I2308" s="31">
        <v>4400.0</v>
      </c>
      <c r="J2308" s="31">
        <v>3.875716752E9</v>
      </c>
      <c r="K2308" s="31" t="s">
        <v>6105</v>
      </c>
      <c r="L2308" s="31" t="s">
        <v>6106</v>
      </c>
      <c r="M2308" s="33">
        <v>1.0</v>
      </c>
      <c r="N2308" s="34"/>
      <c r="O2308" s="34"/>
    </row>
    <row r="2309">
      <c r="A2309" s="85">
        <v>46169.0</v>
      </c>
      <c r="B2309" s="31" t="s">
        <v>6330</v>
      </c>
      <c r="C2309" s="31">
        <v>8.0501157579E11</v>
      </c>
      <c r="D2309" s="31" t="s">
        <v>6331</v>
      </c>
      <c r="E2309" s="31" t="s">
        <v>6332</v>
      </c>
      <c r="F2309" s="31" t="s">
        <v>6333</v>
      </c>
      <c r="G2309" s="31" t="s">
        <v>247</v>
      </c>
      <c r="H2309" s="31" t="s">
        <v>20</v>
      </c>
      <c r="I2309" s="31">
        <v>4400.0</v>
      </c>
      <c r="J2309" s="31">
        <v>3.875742269E9</v>
      </c>
      <c r="K2309" s="31" t="s">
        <v>6105</v>
      </c>
      <c r="L2309" s="31" t="s">
        <v>6106</v>
      </c>
      <c r="M2309" s="33">
        <v>1.0</v>
      </c>
      <c r="N2309" s="34"/>
      <c r="O2309" s="34"/>
    </row>
    <row r="2310">
      <c r="A2310" s="85">
        <v>46169.0</v>
      </c>
      <c r="B2310" s="31" t="s">
        <v>6334</v>
      </c>
      <c r="C2310" s="31">
        <v>8.07025036055E11</v>
      </c>
      <c r="D2310" s="31" t="s">
        <v>6335</v>
      </c>
      <c r="E2310" s="31" t="s">
        <v>6336</v>
      </c>
      <c r="F2310" s="31" t="s">
        <v>6337</v>
      </c>
      <c r="G2310" s="31" t="s">
        <v>247</v>
      </c>
      <c r="H2310" s="31" t="s">
        <v>20</v>
      </c>
      <c r="I2310" s="31">
        <v>4400.0</v>
      </c>
      <c r="J2310" s="31">
        <v>3.874493285E9</v>
      </c>
      <c r="K2310" s="31" t="s">
        <v>5185</v>
      </c>
      <c r="L2310" s="31" t="s">
        <v>5186</v>
      </c>
      <c r="M2310" s="33">
        <v>2.0</v>
      </c>
      <c r="N2310" s="34"/>
      <c r="O2310" s="34"/>
    </row>
    <row r="2311">
      <c r="A2311" s="85">
        <v>46169.0</v>
      </c>
      <c r="B2311" s="31" t="s">
        <v>6338</v>
      </c>
      <c r="C2311" s="31">
        <v>8.07025036208E11</v>
      </c>
      <c r="D2311" s="31" t="s">
        <v>6339</v>
      </c>
      <c r="E2311" s="31" t="s">
        <v>6340</v>
      </c>
      <c r="F2311" s="31" t="s">
        <v>6341</v>
      </c>
      <c r="G2311" s="31" t="s">
        <v>247</v>
      </c>
      <c r="H2311" s="31" t="s">
        <v>20</v>
      </c>
      <c r="I2311" s="31">
        <v>4400.0</v>
      </c>
      <c r="J2311" s="54">
        <v>3.874835385E9</v>
      </c>
      <c r="K2311" s="31" t="s">
        <v>512</v>
      </c>
      <c r="L2311" s="31" t="s">
        <v>513</v>
      </c>
      <c r="M2311" s="55">
        <v>12.0</v>
      </c>
    </row>
    <row r="2312">
      <c r="A2312" s="85">
        <v>46169.0</v>
      </c>
      <c r="B2312" s="31" t="s">
        <v>6342</v>
      </c>
      <c r="C2312" s="31">
        <v>8.07025036209E11</v>
      </c>
      <c r="D2312" s="31" t="s">
        <v>6339</v>
      </c>
      <c r="E2312" s="31" t="s">
        <v>6340</v>
      </c>
      <c r="F2312" s="31" t="s">
        <v>6341</v>
      </c>
      <c r="G2312" s="31" t="s">
        <v>247</v>
      </c>
      <c r="H2312" s="31" t="s">
        <v>20</v>
      </c>
      <c r="I2312" s="31">
        <v>4400.0</v>
      </c>
      <c r="J2312" s="54">
        <v>3.874835385E9</v>
      </c>
      <c r="K2312" s="31" t="s">
        <v>6343</v>
      </c>
      <c r="L2312" s="31" t="s">
        <v>6344</v>
      </c>
      <c r="M2312" s="55">
        <v>1.0</v>
      </c>
    </row>
    <row r="2313">
      <c r="A2313" s="85">
        <v>46169.0</v>
      </c>
      <c r="B2313" s="31" t="s">
        <v>6342</v>
      </c>
      <c r="C2313" s="31">
        <v>8.07025036209E11</v>
      </c>
      <c r="D2313" s="31" t="s">
        <v>6339</v>
      </c>
      <c r="E2313" s="31" t="s">
        <v>6340</v>
      </c>
      <c r="F2313" s="31" t="s">
        <v>6341</v>
      </c>
      <c r="G2313" s="31" t="s">
        <v>247</v>
      </c>
      <c r="H2313" s="31" t="s">
        <v>20</v>
      </c>
      <c r="I2313" s="31">
        <v>4400.0</v>
      </c>
      <c r="J2313" s="54">
        <v>3.874835385E9</v>
      </c>
      <c r="K2313" s="31" t="s">
        <v>233</v>
      </c>
      <c r="L2313" s="31" t="s">
        <v>3459</v>
      </c>
      <c r="M2313" s="33">
        <v>2.0</v>
      </c>
    </row>
    <row r="2314">
      <c r="A2314" s="87"/>
      <c r="B2314" s="88"/>
      <c r="C2314" s="88"/>
      <c r="D2314" s="88"/>
      <c r="E2314" s="88"/>
      <c r="F2314" s="88"/>
      <c r="G2314" s="88"/>
      <c r="H2314" s="88"/>
      <c r="I2314" s="88"/>
      <c r="J2314" s="88"/>
      <c r="K2314" s="88"/>
      <c r="L2314" s="88"/>
      <c r="M2314" s="89"/>
      <c r="N2314" s="90"/>
      <c r="O2314" s="90"/>
    </row>
    <row r="2315">
      <c r="A2315" s="85">
        <v>46174.0</v>
      </c>
      <c r="B2315" s="31" t="s">
        <v>6345</v>
      </c>
      <c r="C2315" s="31">
        <v>8.07839006983E11</v>
      </c>
      <c r="D2315" s="31" t="s">
        <v>6346</v>
      </c>
      <c r="E2315" s="31" t="s">
        <v>6347</v>
      </c>
      <c r="F2315" s="31" t="s">
        <v>6348</v>
      </c>
      <c r="G2315" s="31" t="s">
        <v>247</v>
      </c>
      <c r="H2315" s="31" t="s">
        <v>20</v>
      </c>
      <c r="I2315" s="31">
        <v>4400.0</v>
      </c>
      <c r="J2315" s="31">
        <v>3.878342003E9</v>
      </c>
      <c r="K2315" s="31" t="s">
        <v>541</v>
      </c>
      <c r="L2315" s="31" t="s">
        <v>3947</v>
      </c>
      <c r="M2315" s="33">
        <v>1.0</v>
      </c>
      <c r="N2315" s="34"/>
      <c r="O2315" s="31" t="s">
        <v>6349</v>
      </c>
    </row>
    <row r="2316">
      <c r="A2316" s="85">
        <v>46174.0</v>
      </c>
      <c r="B2316" s="31" t="s">
        <v>6350</v>
      </c>
      <c r="C2316" s="31">
        <v>8.07839007026E11</v>
      </c>
      <c r="D2316" s="31" t="s">
        <v>6351</v>
      </c>
      <c r="E2316" s="31" t="s">
        <v>6352</v>
      </c>
      <c r="F2316" s="31" t="s">
        <v>6353</v>
      </c>
      <c r="G2316" s="31" t="s">
        <v>41</v>
      </c>
      <c r="H2316" s="31" t="s">
        <v>20</v>
      </c>
      <c r="I2316" s="31">
        <v>4560.0</v>
      </c>
      <c r="J2316" s="31">
        <v>3.873330518E9</v>
      </c>
      <c r="K2316" s="31" t="s">
        <v>32</v>
      </c>
      <c r="L2316" s="31" t="s">
        <v>3225</v>
      </c>
      <c r="M2316" s="33">
        <v>1.0</v>
      </c>
      <c r="N2316" s="34"/>
      <c r="O2316" s="31" t="s">
        <v>6354</v>
      </c>
    </row>
    <row r="2317">
      <c r="A2317" s="85">
        <v>46174.0</v>
      </c>
      <c r="B2317" s="31" t="s">
        <v>6350</v>
      </c>
      <c r="C2317" s="31">
        <v>8.07839007026E11</v>
      </c>
      <c r="D2317" s="31" t="s">
        <v>6351</v>
      </c>
      <c r="E2317" s="31" t="s">
        <v>6352</v>
      </c>
      <c r="F2317" s="31" t="s">
        <v>6353</v>
      </c>
      <c r="G2317" s="31" t="s">
        <v>41</v>
      </c>
      <c r="H2317" s="31" t="s">
        <v>20</v>
      </c>
      <c r="I2317" s="31">
        <v>4560.0</v>
      </c>
      <c r="J2317" s="31">
        <v>3.873330518E9</v>
      </c>
      <c r="K2317" s="31" t="s">
        <v>512</v>
      </c>
      <c r="L2317" s="31" t="s">
        <v>513</v>
      </c>
      <c r="M2317" s="33">
        <v>6.0</v>
      </c>
      <c r="N2317" s="34"/>
      <c r="O2317" s="31" t="s">
        <v>6354</v>
      </c>
    </row>
    <row r="2318">
      <c r="A2318" s="85">
        <v>46174.0</v>
      </c>
      <c r="B2318" s="31" t="s">
        <v>6350</v>
      </c>
      <c r="C2318" s="31">
        <v>8.07839007026E11</v>
      </c>
      <c r="D2318" s="31" t="s">
        <v>6351</v>
      </c>
      <c r="E2318" s="31" t="s">
        <v>6352</v>
      </c>
      <c r="F2318" s="31" t="s">
        <v>6353</v>
      </c>
      <c r="G2318" s="31" t="s">
        <v>41</v>
      </c>
      <c r="H2318" s="31" t="s">
        <v>20</v>
      </c>
      <c r="I2318" s="31">
        <v>4560.0</v>
      </c>
      <c r="J2318" s="31">
        <v>3.873330518E9</v>
      </c>
      <c r="K2318" s="31" t="s">
        <v>670</v>
      </c>
      <c r="L2318" s="31" t="s">
        <v>3410</v>
      </c>
      <c r="M2318" s="33">
        <v>1.0</v>
      </c>
      <c r="N2318" s="34"/>
      <c r="O2318" s="31" t="s">
        <v>6354</v>
      </c>
    </row>
    <row r="2319">
      <c r="A2319" s="85">
        <v>46174.0</v>
      </c>
      <c r="B2319" s="31" t="s">
        <v>6355</v>
      </c>
      <c r="C2319" s="31">
        <v>8.05011576836E11</v>
      </c>
      <c r="D2319" s="31" t="s">
        <v>6356</v>
      </c>
      <c r="E2319" s="31" t="s">
        <v>6357</v>
      </c>
      <c r="F2319" s="31" t="s">
        <v>6358</v>
      </c>
      <c r="G2319" s="31" t="s">
        <v>20</v>
      </c>
      <c r="H2319" s="31" t="s">
        <v>20</v>
      </c>
      <c r="I2319" s="31">
        <v>4400.0</v>
      </c>
      <c r="J2319" s="31">
        <v>3.87545101E9</v>
      </c>
      <c r="K2319" s="31" t="s">
        <v>5842</v>
      </c>
      <c r="L2319" s="31" t="s">
        <v>5843</v>
      </c>
      <c r="M2319" s="33">
        <v>1.0</v>
      </c>
      <c r="N2319" s="34"/>
      <c r="O2319" s="34"/>
    </row>
    <row r="2320">
      <c r="A2320" s="85">
        <v>46174.0</v>
      </c>
      <c r="B2320" s="31" t="s">
        <v>6355</v>
      </c>
      <c r="C2320" s="31">
        <v>8.05011576836E11</v>
      </c>
      <c r="D2320" s="31" t="s">
        <v>6356</v>
      </c>
      <c r="E2320" s="31" t="s">
        <v>6357</v>
      </c>
      <c r="F2320" s="31" t="s">
        <v>6358</v>
      </c>
      <c r="G2320" s="31" t="s">
        <v>20</v>
      </c>
      <c r="H2320" s="31" t="s">
        <v>20</v>
      </c>
      <c r="I2320" s="31">
        <v>4400.0</v>
      </c>
      <c r="J2320" s="31">
        <v>3.87545101E9</v>
      </c>
      <c r="K2320" s="31" t="s">
        <v>32</v>
      </c>
      <c r="L2320" s="31" t="s">
        <v>3225</v>
      </c>
      <c r="M2320" s="33">
        <v>1.0</v>
      </c>
      <c r="N2320" s="34"/>
      <c r="O2320" s="34"/>
    </row>
    <row r="2321">
      <c r="A2321" s="85">
        <v>46174.0</v>
      </c>
      <c r="B2321" s="31" t="s">
        <v>6359</v>
      </c>
      <c r="C2321" s="31">
        <v>8.05011576898E11</v>
      </c>
      <c r="D2321" s="31" t="s">
        <v>6360</v>
      </c>
      <c r="E2321" s="31" t="s">
        <v>6361</v>
      </c>
      <c r="F2321" s="31" t="s">
        <v>6362</v>
      </c>
      <c r="G2321" s="31" t="s">
        <v>376</v>
      </c>
      <c r="H2321" s="31" t="s">
        <v>20</v>
      </c>
      <c r="I2321" s="31">
        <v>4421.0</v>
      </c>
      <c r="J2321" s="31">
        <v>2.901519149E9</v>
      </c>
      <c r="K2321" s="31" t="s">
        <v>32</v>
      </c>
      <c r="L2321" s="31" t="s">
        <v>3225</v>
      </c>
      <c r="M2321" s="33">
        <v>2.0</v>
      </c>
      <c r="N2321" s="34"/>
      <c r="O2321" s="34"/>
    </row>
    <row r="2322">
      <c r="A2322" s="85">
        <v>46174.0</v>
      </c>
      <c r="B2322" s="31" t="s">
        <v>6359</v>
      </c>
      <c r="C2322" s="31">
        <v>8.05011576898E11</v>
      </c>
      <c r="D2322" s="31" t="s">
        <v>6360</v>
      </c>
      <c r="E2322" s="31" t="s">
        <v>6361</v>
      </c>
      <c r="F2322" s="31" t="s">
        <v>6362</v>
      </c>
      <c r="G2322" s="31" t="s">
        <v>376</v>
      </c>
      <c r="H2322" s="31" t="s">
        <v>20</v>
      </c>
      <c r="I2322" s="31">
        <v>4421.0</v>
      </c>
      <c r="J2322" s="31">
        <v>2.901519149E9</v>
      </c>
      <c r="K2322" s="31" t="s">
        <v>512</v>
      </c>
      <c r="L2322" s="31" t="s">
        <v>513</v>
      </c>
      <c r="M2322" s="33">
        <v>12.0</v>
      </c>
      <c r="N2322" s="34"/>
      <c r="O2322" s="34"/>
    </row>
    <row r="2323">
      <c r="A2323" s="85">
        <v>46174.0</v>
      </c>
      <c r="B2323" s="31" t="s">
        <v>6359</v>
      </c>
      <c r="C2323" s="31">
        <v>8.05011576898E11</v>
      </c>
      <c r="D2323" s="31" t="s">
        <v>6360</v>
      </c>
      <c r="E2323" s="31" t="s">
        <v>6361</v>
      </c>
      <c r="F2323" s="31" t="s">
        <v>6362</v>
      </c>
      <c r="G2323" s="31" t="s">
        <v>376</v>
      </c>
      <c r="H2323" s="31" t="s">
        <v>20</v>
      </c>
      <c r="I2323" s="31">
        <v>4421.0</v>
      </c>
      <c r="J2323" s="31">
        <v>2.901519149E9</v>
      </c>
      <c r="K2323" s="31" t="s">
        <v>670</v>
      </c>
      <c r="L2323" s="31" t="s">
        <v>3410</v>
      </c>
      <c r="M2323" s="33">
        <v>2.0</v>
      </c>
      <c r="N2323" s="34"/>
      <c r="O2323" s="34"/>
    </row>
    <row r="2324">
      <c r="A2324" s="85">
        <v>46174.0</v>
      </c>
      <c r="B2324" s="31" t="s">
        <v>6363</v>
      </c>
      <c r="C2324" s="31">
        <v>8.0783900712E11</v>
      </c>
      <c r="D2324" s="31" t="s">
        <v>6364</v>
      </c>
      <c r="E2324" s="31" t="s">
        <v>6365</v>
      </c>
      <c r="F2324" s="31" t="s">
        <v>6366</v>
      </c>
      <c r="G2324" s="31" t="s">
        <v>278</v>
      </c>
      <c r="H2324" s="31" t="s">
        <v>20</v>
      </c>
      <c r="I2324" s="31">
        <v>4400.0</v>
      </c>
      <c r="J2324" s="31">
        <v>3.876415836E9</v>
      </c>
      <c r="K2324" s="31" t="s">
        <v>32</v>
      </c>
      <c r="L2324" s="31" t="s">
        <v>3225</v>
      </c>
      <c r="M2324" s="33">
        <v>1.0</v>
      </c>
      <c r="N2324" s="34"/>
      <c r="O2324" s="31" t="s">
        <v>6367</v>
      </c>
    </row>
    <row r="2325">
      <c r="A2325" s="85">
        <v>46174.0</v>
      </c>
      <c r="B2325" s="31" t="s">
        <v>6363</v>
      </c>
      <c r="C2325" s="31">
        <v>8.0783900712E11</v>
      </c>
      <c r="D2325" s="31" t="s">
        <v>6364</v>
      </c>
      <c r="E2325" s="31" t="s">
        <v>6365</v>
      </c>
      <c r="F2325" s="31" t="s">
        <v>6366</v>
      </c>
      <c r="G2325" s="31" t="s">
        <v>278</v>
      </c>
      <c r="H2325" s="31" t="s">
        <v>20</v>
      </c>
      <c r="I2325" s="31">
        <v>4400.0</v>
      </c>
      <c r="J2325" s="31">
        <v>3.876415836E9</v>
      </c>
      <c r="K2325" s="31" t="s">
        <v>512</v>
      </c>
      <c r="L2325" s="31" t="s">
        <v>513</v>
      </c>
      <c r="M2325" s="33">
        <v>6.0</v>
      </c>
      <c r="N2325" s="34"/>
      <c r="O2325" s="31" t="s">
        <v>6367</v>
      </c>
    </row>
    <row r="2326">
      <c r="A2326" s="85">
        <v>46174.0</v>
      </c>
      <c r="B2326" s="31" t="s">
        <v>6363</v>
      </c>
      <c r="C2326" s="31">
        <v>8.0783900712E11</v>
      </c>
      <c r="D2326" s="31" t="s">
        <v>6364</v>
      </c>
      <c r="E2326" s="31" t="s">
        <v>6365</v>
      </c>
      <c r="F2326" s="31" t="s">
        <v>6366</v>
      </c>
      <c r="G2326" s="31" t="s">
        <v>278</v>
      </c>
      <c r="H2326" s="31" t="s">
        <v>20</v>
      </c>
      <c r="I2326" s="31">
        <v>4400.0</v>
      </c>
      <c r="J2326" s="31">
        <v>3.876415836E9</v>
      </c>
      <c r="K2326" s="31" t="s">
        <v>670</v>
      </c>
      <c r="L2326" s="31" t="s">
        <v>3410</v>
      </c>
      <c r="M2326" s="33">
        <v>1.0</v>
      </c>
      <c r="N2326" s="34"/>
      <c r="O2326" s="31" t="s">
        <v>6367</v>
      </c>
    </row>
    <row r="2327">
      <c r="A2327" s="85">
        <v>46174.0</v>
      </c>
      <c r="B2327" s="31" t="s">
        <v>6368</v>
      </c>
      <c r="C2327" s="31">
        <v>8.07839007358E11</v>
      </c>
      <c r="D2327" s="31" t="s">
        <v>6369</v>
      </c>
      <c r="E2327" s="31" t="s">
        <v>6370</v>
      </c>
      <c r="F2327" s="31" t="s">
        <v>6371</v>
      </c>
      <c r="G2327" s="31" t="s">
        <v>1197</v>
      </c>
      <c r="H2327" s="31" t="s">
        <v>20</v>
      </c>
      <c r="I2327" s="31">
        <v>4449.0</v>
      </c>
      <c r="J2327" s="31">
        <v>3.877441703E9</v>
      </c>
      <c r="K2327" s="31" t="s">
        <v>1241</v>
      </c>
      <c r="L2327" s="31" t="s">
        <v>3500</v>
      </c>
      <c r="M2327" s="33">
        <v>1.0</v>
      </c>
      <c r="N2327" s="34"/>
      <c r="O2327" s="34"/>
    </row>
    <row r="2328">
      <c r="A2328" s="85">
        <v>46174.0</v>
      </c>
      <c r="B2328" s="31" t="s">
        <v>6372</v>
      </c>
      <c r="C2328" s="31">
        <v>8.07839007145E11</v>
      </c>
      <c r="D2328" s="31" t="s">
        <v>6373</v>
      </c>
      <c r="E2328" s="31" t="s">
        <v>6374</v>
      </c>
      <c r="F2328" s="31" t="s">
        <v>6375</v>
      </c>
      <c r="G2328" s="31" t="s">
        <v>41</v>
      </c>
      <c r="H2328" s="31" t="s">
        <v>20</v>
      </c>
      <c r="I2328" s="31">
        <v>4560.0</v>
      </c>
      <c r="J2328" s="31">
        <v>3.873699797E9</v>
      </c>
      <c r="K2328" s="31" t="s">
        <v>32</v>
      </c>
      <c r="L2328" s="31" t="s">
        <v>3225</v>
      </c>
      <c r="M2328" s="33">
        <v>1.0</v>
      </c>
      <c r="N2328" s="34"/>
      <c r="O2328" s="31" t="s">
        <v>6376</v>
      </c>
    </row>
    <row r="2329">
      <c r="A2329" s="85">
        <v>46174.0</v>
      </c>
      <c r="B2329" s="31" t="s">
        <v>6372</v>
      </c>
      <c r="C2329" s="31">
        <v>8.07839007145E11</v>
      </c>
      <c r="D2329" s="31" t="s">
        <v>6373</v>
      </c>
      <c r="E2329" s="31" t="s">
        <v>6374</v>
      </c>
      <c r="F2329" s="31" t="s">
        <v>6375</v>
      </c>
      <c r="G2329" s="31" t="s">
        <v>41</v>
      </c>
      <c r="H2329" s="31" t="s">
        <v>20</v>
      </c>
      <c r="I2329" s="31">
        <v>4560.0</v>
      </c>
      <c r="J2329" s="31">
        <v>3.873699797E9</v>
      </c>
      <c r="K2329" s="31" t="s">
        <v>512</v>
      </c>
      <c r="L2329" s="31" t="s">
        <v>513</v>
      </c>
      <c r="M2329" s="33">
        <v>6.0</v>
      </c>
      <c r="N2329" s="34"/>
      <c r="O2329" s="31" t="s">
        <v>6376</v>
      </c>
    </row>
    <row r="2330">
      <c r="A2330" s="85">
        <v>46174.0</v>
      </c>
      <c r="B2330" s="31" t="s">
        <v>6372</v>
      </c>
      <c r="C2330" s="31">
        <v>8.07839007145E11</v>
      </c>
      <c r="D2330" s="31" t="s">
        <v>6373</v>
      </c>
      <c r="E2330" s="31" t="s">
        <v>6374</v>
      </c>
      <c r="F2330" s="31" t="s">
        <v>6375</v>
      </c>
      <c r="G2330" s="31" t="s">
        <v>41</v>
      </c>
      <c r="H2330" s="31" t="s">
        <v>20</v>
      </c>
      <c r="I2330" s="31">
        <v>4560.0</v>
      </c>
      <c r="J2330" s="31">
        <v>3.873699797E9</v>
      </c>
      <c r="K2330" s="31" t="s">
        <v>670</v>
      </c>
      <c r="L2330" s="31" t="s">
        <v>3410</v>
      </c>
      <c r="M2330" s="33">
        <v>1.0</v>
      </c>
      <c r="N2330" s="34"/>
      <c r="O2330" s="31" t="s">
        <v>6376</v>
      </c>
    </row>
    <row r="2331">
      <c r="A2331" s="85">
        <v>46174.0</v>
      </c>
      <c r="B2331" s="31" t="s">
        <v>6377</v>
      </c>
      <c r="C2331" s="31">
        <v>8.07940001265E11</v>
      </c>
      <c r="D2331" s="31" t="s">
        <v>6378</v>
      </c>
      <c r="E2331" s="31" t="s">
        <v>6379</v>
      </c>
      <c r="F2331" s="31" t="s">
        <v>6380</v>
      </c>
      <c r="G2331" s="31" t="s">
        <v>20</v>
      </c>
      <c r="H2331" s="31" t="s">
        <v>20</v>
      </c>
      <c r="I2331" s="31">
        <v>4401.0</v>
      </c>
      <c r="J2331" s="31">
        <v>3.875020462E9</v>
      </c>
      <c r="K2331" s="31" t="s">
        <v>617</v>
      </c>
      <c r="L2331" s="31" t="s">
        <v>3867</v>
      </c>
      <c r="M2331" s="33">
        <v>1.0</v>
      </c>
      <c r="N2331" s="34"/>
      <c r="O2331" s="31" t="s">
        <v>6381</v>
      </c>
    </row>
    <row r="2332">
      <c r="A2332" s="85">
        <v>46174.0</v>
      </c>
      <c r="B2332" s="31" t="s">
        <v>6377</v>
      </c>
      <c r="C2332" s="31">
        <v>8.07940001265E11</v>
      </c>
      <c r="D2332" s="31" t="s">
        <v>6378</v>
      </c>
      <c r="E2332" s="31" t="s">
        <v>6379</v>
      </c>
      <c r="F2332" s="31" t="s">
        <v>6380</v>
      </c>
      <c r="G2332" s="31" t="s">
        <v>20</v>
      </c>
      <c r="H2332" s="31" t="s">
        <v>20</v>
      </c>
      <c r="I2332" s="31">
        <v>4401.0</v>
      </c>
      <c r="J2332" s="31">
        <v>3.875020462E9</v>
      </c>
      <c r="K2332" s="31" t="s">
        <v>512</v>
      </c>
      <c r="L2332" s="31" t="s">
        <v>513</v>
      </c>
      <c r="M2332" s="33">
        <v>12.0</v>
      </c>
      <c r="N2332" s="34"/>
      <c r="O2332" s="31" t="s">
        <v>6381</v>
      </c>
    </row>
    <row r="2333">
      <c r="A2333" s="85">
        <v>46174.0</v>
      </c>
      <c r="B2333" s="31" t="s">
        <v>6377</v>
      </c>
      <c r="C2333" s="31">
        <v>8.07940001265E11</v>
      </c>
      <c r="D2333" s="31" t="s">
        <v>6378</v>
      </c>
      <c r="E2333" s="31" t="s">
        <v>6379</v>
      </c>
      <c r="F2333" s="31" t="s">
        <v>6380</v>
      </c>
      <c r="G2333" s="31" t="s">
        <v>20</v>
      </c>
      <c r="H2333" s="31" t="s">
        <v>20</v>
      </c>
      <c r="I2333" s="31">
        <v>4401.0</v>
      </c>
      <c r="J2333" s="31">
        <v>3.875020462E9</v>
      </c>
      <c r="K2333" s="31" t="s">
        <v>645</v>
      </c>
      <c r="L2333" s="31" t="s">
        <v>3253</v>
      </c>
      <c r="M2333" s="33">
        <v>2.0</v>
      </c>
      <c r="N2333" s="34"/>
      <c r="O2333" s="31" t="s">
        <v>6381</v>
      </c>
    </row>
    <row r="2334">
      <c r="A2334" s="85">
        <v>46174.0</v>
      </c>
      <c r="B2334" s="31" t="s">
        <v>6382</v>
      </c>
      <c r="C2334" s="31">
        <v>8.07940001294E11</v>
      </c>
      <c r="D2334" s="31" t="s">
        <v>6383</v>
      </c>
      <c r="E2334" s="31" t="s">
        <v>6384</v>
      </c>
      <c r="F2334" s="31" t="s">
        <v>6385</v>
      </c>
      <c r="G2334" s="31" t="s">
        <v>2020</v>
      </c>
      <c r="H2334" s="31" t="s">
        <v>20</v>
      </c>
      <c r="I2334" s="31" t="s">
        <v>4086</v>
      </c>
      <c r="J2334" s="31">
        <v>3.875202802E9</v>
      </c>
      <c r="K2334" s="31" t="s">
        <v>6153</v>
      </c>
      <c r="L2334" s="31" t="s">
        <v>6154</v>
      </c>
      <c r="M2334" s="33">
        <v>1.0</v>
      </c>
      <c r="N2334" s="34"/>
      <c r="O2334" s="31" t="s">
        <v>6386</v>
      </c>
    </row>
    <row r="2335">
      <c r="A2335" s="85">
        <v>46174.0</v>
      </c>
      <c r="B2335" s="31" t="s">
        <v>6382</v>
      </c>
      <c r="C2335" s="31">
        <v>8.07940001294E11</v>
      </c>
      <c r="D2335" s="31" t="s">
        <v>6383</v>
      </c>
      <c r="E2335" s="31" t="s">
        <v>6384</v>
      </c>
      <c r="F2335" s="31" t="s">
        <v>6385</v>
      </c>
      <c r="G2335" s="31" t="s">
        <v>2020</v>
      </c>
      <c r="H2335" s="31" t="s">
        <v>20</v>
      </c>
      <c r="I2335" s="31" t="s">
        <v>4086</v>
      </c>
      <c r="J2335" s="31">
        <v>3.875202802E9</v>
      </c>
      <c r="K2335" s="31" t="s">
        <v>512</v>
      </c>
      <c r="L2335" s="31" t="s">
        <v>513</v>
      </c>
      <c r="M2335" s="33">
        <v>6.0</v>
      </c>
      <c r="N2335" s="34"/>
      <c r="O2335" s="31" t="s">
        <v>6386</v>
      </c>
    </row>
    <row r="2336">
      <c r="A2336" s="85">
        <v>46174.0</v>
      </c>
      <c r="B2336" s="31" t="s">
        <v>6382</v>
      </c>
      <c r="C2336" s="31">
        <v>8.07940001294E11</v>
      </c>
      <c r="D2336" s="31" t="s">
        <v>6383</v>
      </c>
      <c r="E2336" s="31" t="s">
        <v>6384</v>
      </c>
      <c r="F2336" s="31" t="s">
        <v>6385</v>
      </c>
      <c r="G2336" s="31" t="s">
        <v>2020</v>
      </c>
      <c r="H2336" s="31" t="s">
        <v>20</v>
      </c>
      <c r="I2336" s="31" t="s">
        <v>4086</v>
      </c>
      <c r="J2336" s="31">
        <v>3.875202802E9</v>
      </c>
      <c r="K2336" s="31" t="s">
        <v>2031</v>
      </c>
      <c r="L2336" s="31" t="s">
        <v>3348</v>
      </c>
      <c r="M2336" s="33">
        <v>1.0</v>
      </c>
      <c r="N2336" s="34"/>
      <c r="O2336" s="31" t="s">
        <v>6386</v>
      </c>
    </row>
    <row r="2337">
      <c r="A2337" s="85">
        <v>46174.0</v>
      </c>
      <c r="B2337" s="31" t="s">
        <v>6387</v>
      </c>
      <c r="C2337" s="31">
        <v>8.05011577194E11</v>
      </c>
      <c r="D2337" s="31" t="s">
        <v>6388</v>
      </c>
      <c r="E2337" s="31" t="s">
        <v>6389</v>
      </c>
      <c r="F2337" s="31" t="s">
        <v>6390</v>
      </c>
      <c r="G2337" s="31" t="s">
        <v>41</v>
      </c>
      <c r="H2337" s="31" t="s">
        <v>20</v>
      </c>
      <c r="I2337" s="31">
        <v>4560.0</v>
      </c>
      <c r="J2337" s="31">
        <v>3.878575222E9</v>
      </c>
      <c r="K2337" s="31" t="s">
        <v>6216</v>
      </c>
      <c r="L2337" s="31" t="s">
        <v>6217</v>
      </c>
      <c r="M2337" s="33">
        <v>1.0</v>
      </c>
      <c r="N2337" s="34"/>
      <c r="O2337" s="34"/>
    </row>
    <row r="2338">
      <c r="A2338" s="85">
        <v>46174.0</v>
      </c>
      <c r="B2338" s="31" t="s">
        <v>6387</v>
      </c>
      <c r="C2338" s="31">
        <v>8.05011577194E11</v>
      </c>
      <c r="D2338" s="31" t="s">
        <v>6388</v>
      </c>
      <c r="E2338" s="31" t="s">
        <v>6389</v>
      </c>
      <c r="F2338" s="31" t="s">
        <v>6390</v>
      </c>
      <c r="G2338" s="31" t="s">
        <v>41</v>
      </c>
      <c r="H2338" s="31" t="s">
        <v>20</v>
      </c>
      <c r="I2338" s="31">
        <v>4560.0</v>
      </c>
      <c r="J2338" s="31">
        <v>3.878575222E9</v>
      </c>
      <c r="K2338" s="31" t="s">
        <v>512</v>
      </c>
      <c r="L2338" s="31" t="s">
        <v>513</v>
      </c>
      <c r="M2338" s="33">
        <v>6.0</v>
      </c>
      <c r="N2338" s="34"/>
      <c r="O2338" s="34"/>
    </row>
    <row r="2339">
      <c r="A2339" s="85">
        <v>46174.0</v>
      </c>
      <c r="B2339" s="31" t="s">
        <v>6387</v>
      </c>
      <c r="C2339" s="31">
        <v>8.05011577194E11</v>
      </c>
      <c r="D2339" s="31" t="s">
        <v>6388</v>
      </c>
      <c r="E2339" s="31" t="s">
        <v>6389</v>
      </c>
      <c r="F2339" s="31" t="s">
        <v>6390</v>
      </c>
      <c r="G2339" s="31" t="s">
        <v>41</v>
      </c>
      <c r="H2339" s="31" t="s">
        <v>20</v>
      </c>
      <c r="I2339" s="31">
        <v>4560.0</v>
      </c>
      <c r="J2339" s="31">
        <v>3.878575222E9</v>
      </c>
      <c r="K2339" s="31" t="s">
        <v>670</v>
      </c>
      <c r="L2339" s="31" t="s">
        <v>3410</v>
      </c>
      <c r="M2339" s="33">
        <v>1.0</v>
      </c>
      <c r="N2339" s="34"/>
      <c r="O2339" s="34"/>
    </row>
    <row r="2340">
      <c r="A2340" s="85">
        <v>46174.0</v>
      </c>
      <c r="B2340" s="31" t="s">
        <v>6391</v>
      </c>
      <c r="C2340" s="31">
        <v>8.07839007426E11</v>
      </c>
      <c r="D2340" s="31" t="s">
        <v>6392</v>
      </c>
      <c r="E2340" s="31" t="s">
        <v>6393</v>
      </c>
      <c r="F2340" s="31" t="s">
        <v>6394</v>
      </c>
      <c r="G2340" s="31" t="s">
        <v>6395</v>
      </c>
      <c r="H2340" s="31" t="s">
        <v>20</v>
      </c>
      <c r="I2340" s="31">
        <v>4190.0</v>
      </c>
      <c r="J2340" s="31">
        <v>3.876549806E9</v>
      </c>
      <c r="K2340" s="31" t="s">
        <v>50</v>
      </c>
      <c r="L2340" s="31" t="s">
        <v>51</v>
      </c>
      <c r="M2340" s="33">
        <v>1.0</v>
      </c>
      <c r="N2340" s="34"/>
      <c r="O2340" s="31" t="s">
        <v>6396</v>
      </c>
    </row>
    <row r="2341">
      <c r="A2341" s="85">
        <v>46174.0</v>
      </c>
      <c r="B2341" s="31" t="s">
        <v>6397</v>
      </c>
      <c r="C2341" s="31">
        <v>8.07839007484E11</v>
      </c>
      <c r="D2341" s="31" t="s">
        <v>6398</v>
      </c>
      <c r="E2341" s="31" t="s">
        <v>6399</v>
      </c>
      <c r="F2341" s="31" t="s">
        <v>6400</v>
      </c>
      <c r="G2341" s="31" t="s">
        <v>6401</v>
      </c>
      <c r="H2341" s="31" t="s">
        <v>20</v>
      </c>
      <c r="I2341" s="31">
        <v>4401.0</v>
      </c>
      <c r="J2341" s="31">
        <v>3.875117046E9</v>
      </c>
      <c r="K2341" s="31" t="s">
        <v>698</v>
      </c>
      <c r="L2341" s="31" t="s">
        <v>699</v>
      </c>
      <c r="M2341" s="33">
        <v>1.0</v>
      </c>
      <c r="N2341" s="34"/>
      <c r="O2341" s="31" t="s">
        <v>6402</v>
      </c>
    </row>
    <row r="2342">
      <c r="A2342" s="85">
        <v>46174.0</v>
      </c>
      <c r="B2342" s="31" t="s">
        <v>6403</v>
      </c>
      <c r="C2342" s="31">
        <v>8.0501157728E11</v>
      </c>
      <c r="D2342" s="31" t="s">
        <v>6404</v>
      </c>
      <c r="E2342" s="31" t="s">
        <v>6405</v>
      </c>
      <c r="F2342" s="31" t="s">
        <v>6406</v>
      </c>
      <c r="G2342" s="31" t="s">
        <v>376</v>
      </c>
      <c r="H2342" s="31" t="s">
        <v>20</v>
      </c>
      <c r="I2342" s="31">
        <v>4421.0</v>
      </c>
      <c r="J2342" s="31">
        <v>2.234394817E9</v>
      </c>
      <c r="K2342" s="31" t="s">
        <v>32</v>
      </c>
      <c r="L2342" s="31" t="s">
        <v>3225</v>
      </c>
      <c r="M2342" s="33">
        <v>1.0</v>
      </c>
      <c r="N2342" s="34"/>
      <c r="O2342" s="34"/>
    </row>
    <row r="2343">
      <c r="A2343" s="85">
        <v>46174.0</v>
      </c>
      <c r="B2343" s="31" t="s">
        <v>6407</v>
      </c>
      <c r="C2343" s="31">
        <v>8.07025036144E11</v>
      </c>
      <c r="D2343" s="31" t="s">
        <v>6408</v>
      </c>
      <c r="E2343" s="31" t="s">
        <v>6409</v>
      </c>
      <c r="F2343" s="31" t="s">
        <v>6410</v>
      </c>
      <c r="G2343" s="31" t="s">
        <v>1859</v>
      </c>
      <c r="H2343" s="31" t="s">
        <v>20</v>
      </c>
      <c r="I2343" s="31">
        <v>4403.0</v>
      </c>
      <c r="J2343" s="31">
        <v>3.8750965E8</v>
      </c>
      <c r="K2343" s="31" t="s">
        <v>6105</v>
      </c>
      <c r="L2343" s="31" t="s">
        <v>6106</v>
      </c>
      <c r="M2343" s="33">
        <v>1.0</v>
      </c>
      <c r="N2343" s="34"/>
      <c r="O2343" s="31" t="s">
        <v>6411</v>
      </c>
    </row>
    <row r="2344">
      <c r="A2344" s="85">
        <v>46174.0</v>
      </c>
      <c r="B2344" s="31" t="s">
        <v>6412</v>
      </c>
      <c r="C2344" s="31">
        <v>8.07839007536E11</v>
      </c>
      <c r="D2344" s="31" t="s">
        <v>6413</v>
      </c>
      <c r="E2344" s="31" t="s">
        <v>6414</v>
      </c>
      <c r="F2344" s="31" t="s">
        <v>6415</v>
      </c>
      <c r="G2344" s="31" t="s">
        <v>582</v>
      </c>
      <c r="H2344" s="31" t="s">
        <v>20</v>
      </c>
      <c r="I2344" s="31">
        <v>4407.0</v>
      </c>
      <c r="J2344" s="31">
        <v>3.874408183E9</v>
      </c>
      <c r="K2344" s="31" t="s">
        <v>289</v>
      </c>
      <c r="L2344" s="31" t="s">
        <v>290</v>
      </c>
      <c r="M2344" s="33">
        <v>1.0</v>
      </c>
      <c r="N2344" s="34"/>
      <c r="O2344" s="34"/>
    </row>
    <row r="2345">
      <c r="A2345" s="85">
        <v>46174.0</v>
      </c>
      <c r="B2345" s="31" t="s">
        <v>6412</v>
      </c>
      <c r="C2345" s="31">
        <v>8.07839007536E11</v>
      </c>
      <c r="D2345" s="31" t="s">
        <v>6413</v>
      </c>
      <c r="E2345" s="31" t="s">
        <v>6414</v>
      </c>
      <c r="F2345" s="31" t="s">
        <v>6415</v>
      </c>
      <c r="G2345" s="31" t="s">
        <v>582</v>
      </c>
      <c r="H2345" s="31" t="s">
        <v>20</v>
      </c>
      <c r="I2345" s="31">
        <v>4407.0</v>
      </c>
      <c r="J2345" s="31">
        <v>3.874408183E9</v>
      </c>
      <c r="K2345" s="31" t="s">
        <v>512</v>
      </c>
      <c r="L2345" s="31" t="s">
        <v>513</v>
      </c>
      <c r="M2345" s="33">
        <v>6.0</v>
      </c>
      <c r="N2345" s="34"/>
      <c r="O2345" s="34"/>
    </row>
    <row r="2346">
      <c r="A2346" s="85">
        <v>46174.0</v>
      </c>
      <c r="B2346" s="31" t="s">
        <v>6412</v>
      </c>
      <c r="C2346" s="31">
        <v>8.07839007536E11</v>
      </c>
      <c r="D2346" s="31" t="s">
        <v>6413</v>
      </c>
      <c r="E2346" s="31" t="s">
        <v>6414</v>
      </c>
      <c r="F2346" s="31" t="s">
        <v>6415</v>
      </c>
      <c r="G2346" s="31" t="s">
        <v>582</v>
      </c>
      <c r="H2346" s="31" t="s">
        <v>20</v>
      </c>
      <c r="I2346" s="31">
        <v>4407.0</v>
      </c>
      <c r="J2346" s="31">
        <v>3.874408183E9</v>
      </c>
      <c r="K2346" s="31" t="s">
        <v>273</v>
      </c>
      <c r="L2346" s="31" t="s">
        <v>3594</v>
      </c>
      <c r="M2346" s="33">
        <v>1.0</v>
      </c>
      <c r="N2346" s="34"/>
      <c r="O2346" s="34"/>
    </row>
    <row r="2347">
      <c r="A2347" s="85">
        <v>46174.0</v>
      </c>
      <c r="B2347" s="31" t="s">
        <v>6416</v>
      </c>
      <c r="C2347" s="31">
        <v>8.05011577658E11</v>
      </c>
      <c r="D2347" s="31" t="s">
        <v>6417</v>
      </c>
      <c r="E2347" s="31" t="s">
        <v>6418</v>
      </c>
      <c r="F2347" s="31" t="s">
        <v>6419</v>
      </c>
      <c r="G2347" s="31" t="s">
        <v>624</v>
      </c>
      <c r="H2347" s="31" t="s">
        <v>20</v>
      </c>
      <c r="I2347" s="31">
        <v>4403.0</v>
      </c>
      <c r="J2347" s="31">
        <v>3.874558566E9</v>
      </c>
      <c r="K2347" s="31" t="s">
        <v>6420</v>
      </c>
      <c r="L2347" s="31" t="s">
        <v>6421</v>
      </c>
      <c r="M2347" s="33">
        <v>2.0</v>
      </c>
      <c r="N2347" s="34"/>
      <c r="O2347" s="34"/>
    </row>
    <row r="2348">
      <c r="A2348" s="85">
        <v>46174.0</v>
      </c>
      <c r="B2348" s="31" t="s">
        <v>6422</v>
      </c>
      <c r="C2348" s="31">
        <v>8.05011577615E11</v>
      </c>
      <c r="D2348" s="31" t="s">
        <v>6423</v>
      </c>
      <c r="E2348" s="31" t="s">
        <v>6424</v>
      </c>
      <c r="F2348" s="31" t="s">
        <v>6425</v>
      </c>
      <c r="G2348" s="31" t="s">
        <v>6426</v>
      </c>
      <c r="H2348" s="31" t="s">
        <v>20</v>
      </c>
      <c r="I2348" s="31">
        <v>4429.0</v>
      </c>
      <c r="J2348" s="31">
        <v>3.868411475E9</v>
      </c>
      <c r="K2348" s="31" t="s">
        <v>947</v>
      </c>
      <c r="L2348" s="31" t="s">
        <v>3750</v>
      </c>
      <c r="M2348" s="33">
        <v>1.0</v>
      </c>
      <c r="N2348" s="34"/>
      <c r="O2348" s="34"/>
    </row>
    <row r="2349">
      <c r="A2349" s="85">
        <v>46174.0</v>
      </c>
      <c r="B2349" s="31" t="s">
        <v>6427</v>
      </c>
      <c r="C2349" s="31">
        <v>8.07025036188E11</v>
      </c>
      <c r="D2349" s="31" t="s">
        <v>6428</v>
      </c>
      <c r="E2349" s="31" t="s">
        <v>6429</v>
      </c>
      <c r="F2349" s="31" t="s">
        <v>1877</v>
      </c>
      <c r="G2349" s="31" t="s">
        <v>20</v>
      </c>
      <c r="H2349" s="31" t="s">
        <v>20</v>
      </c>
      <c r="I2349" s="31" t="s">
        <v>1878</v>
      </c>
      <c r="J2349" s="31">
        <v>3.874599911E9</v>
      </c>
      <c r="K2349" s="31" t="s">
        <v>5262</v>
      </c>
      <c r="L2349" s="31" t="s">
        <v>5263</v>
      </c>
      <c r="M2349" s="33">
        <v>1.0</v>
      </c>
      <c r="N2349" s="34"/>
      <c r="O2349" s="34"/>
    </row>
    <row r="2350">
      <c r="A2350" s="85">
        <v>46174.0</v>
      </c>
      <c r="B2350" s="31" t="s">
        <v>6430</v>
      </c>
      <c r="C2350" s="31">
        <v>8.05011577785E11</v>
      </c>
      <c r="D2350" s="31" t="s">
        <v>6431</v>
      </c>
      <c r="E2350" s="31" t="s">
        <v>6432</v>
      </c>
      <c r="F2350" s="31" t="s">
        <v>6433</v>
      </c>
      <c r="G2350" s="31" t="s">
        <v>247</v>
      </c>
      <c r="H2350" s="31" t="s">
        <v>20</v>
      </c>
      <c r="I2350" s="31">
        <v>4400.0</v>
      </c>
      <c r="J2350" s="31">
        <v>3.874027626E9</v>
      </c>
      <c r="K2350" s="31" t="s">
        <v>6420</v>
      </c>
      <c r="L2350" s="31" t="s">
        <v>6421</v>
      </c>
      <c r="M2350" s="33">
        <v>1.0</v>
      </c>
      <c r="N2350" s="34"/>
      <c r="O2350" s="34"/>
    </row>
    <row r="2351">
      <c r="A2351" s="85">
        <v>46174.0</v>
      </c>
      <c r="B2351" s="31" t="s">
        <v>6430</v>
      </c>
      <c r="C2351" s="31">
        <v>8.05011577785E11</v>
      </c>
      <c r="D2351" s="31" t="s">
        <v>6431</v>
      </c>
      <c r="E2351" s="31" t="s">
        <v>6432</v>
      </c>
      <c r="F2351" s="31" t="s">
        <v>6433</v>
      </c>
      <c r="G2351" s="31" t="s">
        <v>247</v>
      </c>
      <c r="H2351" s="31" t="s">
        <v>20</v>
      </c>
      <c r="I2351" s="31">
        <v>4400.0</v>
      </c>
      <c r="J2351" s="31">
        <v>3.874027626E9</v>
      </c>
      <c r="K2351" s="31" t="s">
        <v>512</v>
      </c>
      <c r="L2351" s="31" t="s">
        <v>513</v>
      </c>
      <c r="M2351" s="33">
        <v>6.0</v>
      </c>
      <c r="N2351" s="34"/>
      <c r="O2351" s="34"/>
    </row>
    <row r="2352">
      <c r="A2352" s="85">
        <v>46174.0</v>
      </c>
      <c r="B2352" s="31" t="s">
        <v>6430</v>
      </c>
      <c r="C2352" s="31">
        <v>8.05011577785E11</v>
      </c>
      <c r="D2352" s="31" t="s">
        <v>6431</v>
      </c>
      <c r="E2352" s="31" t="s">
        <v>6432</v>
      </c>
      <c r="F2352" s="31" t="s">
        <v>6433</v>
      </c>
      <c r="G2352" s="31" t="s">
        <v>247</v>
      </c>
      <c r="H2352" s="31" t="s">
        <v>20</v>
      </c>
      <c r="I2352" s="31">
        <v>4400.0</v>
      </c>
      <c r="J2352" s="31">
        <v>3.874027626E9</v>
      </c>
      <c r="K2352" s="31" t="s">
        <v>2031</v>
      </c>
      <c r="L2352" s="31" t="s">
        <v>3348</v>
      </c>
      <c r="M2352" s="33">
        <v>1.0</v>
      </c>
      <c r="N2352" s="34"/>
      <c r="O2352" s="34"/>
    </row>
    <row r="2353">
      <c r="A2353" s="98">
        <v>46174.0</v>
      </c>
      <c r="B2353" s="99" t="s">
        <v>6434</v>
      </c>
      <c r="C2353" s="99">
        <v>8.07025036209E11</v>
      </c>
      <c r="D2353" s="99" t="s">
        <v>6339</v>
      </c>
      <c r="E2353" s="99" t="s">
        <v>6340</v>
      </c>
      <c r="F2353" s="99" t="s">
        <v>6341</v>
      </c>
      <c r="G2353" s="99" t="s">
        <v>127</v>
      </c>
      <c r="H2353" s="99" t="s">
        <v>20</v>
      </c>
      <c r="I2353" s="99">
        <v>4400.0</v>
      </c>
      <c r="J2353" s="99">
        <v>3.874835385E9</v>
      </c>
      <c r="K2353" s="99" t="s">
        <v>6343</v>
      </c>
      <c r="L2353" s="99" t="s">
        <v>6435</v>
      </c>
      <c r="M2353" s="100">
        <v>1.0</v>
      </c>
      <c r="N2353" s="101"/>
      <c r="O2353" s="101"/>
    </row>
    <row r="2354">
      <c r="A2354" s="98">
        <v>46174.0</v>
      </c>
      <c r="B2354" s="99" t="s">
        <v>6434</v>
      </c>
      <c r="C2354" s="99">
        <v>8.07025036209E11</v>
      </c>
      <c r="D2354" s="99" t="s">
        <v>6339</v>
      </c>
      <c r="E2354" s="99" t="s">
        <v>6340</v>
      </c>
      <c r="F2354" s="99" t="s">
        <v>6341</v>
      </c>
      <c r="G2354" s="99" t="s">
        <v>127</v>
      </c>
      <c r="H2354" s="99" t="s">
        <v>20</v>
      </c>
      <c r="I2354" s="99">
        <v>4400.0</v>
      </c>
      <c r="J2354" s="99">
        <v>3.874835385E9</v>
      </c>
      <c r="K2354" s="99" t="s">
        <v>233</v>
      </c>
      <c r="L2354" s="99" t="s">
        <v>3459</v>
      </c>
      <c r="M2354" s="100">
        <v>2.0</v>
      </c>
      <c r="N2354" s="101"/>
      <c r="O2354" s="101"/>
    </row>
    <row r="2355">
      <c r="A2355" s="98">
        <v>46174.0</v>
      </c>
      <c r="B2355" s="99" t="s">
        <v>6436</v>
      </c>
      <c r="C2355" s="99">
        <v>8.07025036208E11</v>
      </c>
      <c r="D2355" s="99" t="s">
        <v>6339</v>
      </c>
      <c r="E2355" s="99" t="s">
        <v>6340</v>
      </c>
      <c r="F2355" s="99" t="s">
        <v>6341</v>
      </c>
      <c r="G2355" s="99" t="s">
        <v>127</v>
      </c>
      <c r="H2355" s="99" t="s">
        <v>20</v>
      </c>
      <c r="I2355" s="99">
        <v>4400.0</v>
      </c>
      <c r="J2355" s="99">
        <v>3.874835385E9</v>
      </c>
      <c r="K2355" s="99" t="s">
        <v>512</v>
      </c>
      <c r="L2355" s="99" t="s">
        <v>513</v>
      </c>
      <c r="M2355" s="100">
        <v>12.0</v>
      </c>
      <c r="N2355" s="101"/>
      <c r="O2355" s="101"/>
    </row>
    <row r="2356">
      <c r="A2356" s="85">
        <v>46174.0</v>
      </c>
      <c r="B2356" s="31" t="s">
        <v>6437</v>
      </c>
      <c r="C2356" s="31">
        <v>8.07940001412E11</v>
      </c>
      <c r="D2356" s="31" t="s">
        <v>6438</v>
      </c>
      <c r="E2356" s="31" t="s">
        <v>6439</v>
      </c>
      <c r="F2356" s="31" t="s">
        <v>6440</v>
      </c>
      <c r="G2356" s="31" t="s">
        <v>20</v>
      </c>
      <c r="H2356" s="31" t="s">
        <v>20</v>
      </c>
      <c r="I2356" s="31" t="s">
        <v>6441</v>
      </c>
      <c r="J2356" s="31">
        <v>3.874076103E9</v>
      </c>
      <c r="K2356" s="31" t="s">
        <v>32</v>
      </c>
      <c r="L2356" s="31" t="s">
        <v>3225</v>
      </c>
      <c r="M2356" s="33">
        <v>1.0</v>
      </c>
      <c r="N2356" s="34"/>
      <c r="O2356" s="34"/>
    </row>
    <row r="2357">
      <c r="A2357" s="85">
        <v>46174.0</v>
      </c>
      <c r="B2357" s="31" t="s">
        <v>6442</v>
      </c>
      <c r="C2357" s="31">
        <v>8.07940001413E11</v>
      </c>
      <c r="D2357" s="31" t="s">
        <v>6438</v>
      </c>
      <c r="E2357" s="31" t="s">
        <v>6439</v>
      </c>
      <c r="F2357" s="31" t="s">
        <v>6440</v>
      </c>
      <c r="G2357" s="31" t="s">
        <v>20</v>
      </c>
      <c r="H2357" s="31" t="s">
        <v>20</v>
      </c>
      <c r="I2357" s="31" t="s">
        <v>6441</v>
      </c>
      <c r="J2357" s="31">
        <v>3.874076103E9</v>
      </c>
      <c r="K2357" s="31" t="s">
        <v>5842</v>
      </c>
      <c r="L2357" s="31" t="s">
        <v>5843</v>
      </c>
      <c r="M2357" s="33">
        <v>1.0</v>
      </c>
      <c r="N2357" s="34"/>
      <c r="O2357" s="34"/>
    </row>
    <row r="2358">
      <c r="A2358" s="85">
        <v>46174.0</v>
      </c>
      <c r="B2358" s="31" t="s">
        <v>6443</v>
      </c>
      <c r="C2358" s="31">
        <v>8.07839007934E11</v>
      </c>
      <c r="D2358" s="31" t="s">
        <v>6444</v>
      </c>
      <c r="E2358" s="31" t="s">
        <v>6445</v>
      </c>
      <c r="F2358" s="31" t="s">
        <v>6446</v>
      </c>
      <c r="G2358" s="31" t="s">
        <v>6045</v>
      </c>
      <c r="H2358" s="31" t="s">
        <v>20</v>
      </c>
      <c r="I2358" s="31">
        <v>4440.0</v>
      </c>
      <c r="J2358" s="31">
        <v>3.876662886E9</v>
      </c>
      <c r="K2358" s="31" t="s">
        <v>32</v>
      </c>
      <c r="L2358" s="31" t="s">
        <v>3225</v>
      </c>
      <c r="M2358" s="33">
        <v>1.0</v>
      </c>
      <c r="N2358" s="34"/>
      <c r="O2358" s="31" t="s">
        <v>6447</v>
      </c>
    </row>
    <row r="2359">
      <c r="A2359" s="85">
        <v>46174.0</v>
      </c>
      <c r="B2359" s="31" t="s">
        <v>6443</v>
      </c>
      <c r="C2359" s="31">
        <v>8.07839007934E11</v>
      </c>
      <c r="D2359" s="31" t="s">
        <v>6444</v>
      </c>
      <c r="E2359" s="31" t="s">
        <v>6445</v>
      </c>
      <c r="F2359" s="31" t="s">
        <v>6446</v>
      </c>
      <c r="G2359" s="31" t="s">
        <v>6045</v>
      </c>
      <c r="H2359" s="31" t="s">
        <v>20</v>
      </c>
      <c r="I2359" s="31">
        <v>4440.0</v>
      </c>
      <c r="J2359" s="31">
        <v>3.876662886E9</v>
      </c>
      <c r="K2359" s="31" t="s">
        <v>512</v>
      </c>
      <c r="L2359" s="31" t="s">
        <v>513</v>
      </c>
      <c r="M2359" s="33">
        <v>6.0</v>
      </c>
      <c r="N2359" s="34"/>
      <c r="O2359" s="31" t="s">
        <v>6447</v>
      </c>
    </row>
    <row r="2360">
      <c r="A2360" s="85">
        <v>46174.0</v>
      </c>
      <c r="B2360" s="31" t="s">
        <v>6443</v>
      </c>
      <c r="C2360" s="31">
        <v>8.07839007934E11</v>
      </c>
      <c r="D2360" s="31" t="s">
        <v>6444</v>
      </c>
      <c r="E2360" s="31" t="s">
        <v>6445</v>
      </c>
      <c r="F2360" s="31" t="s">
        <v>6446</v>
      </c>
      <c r="G2360" s="31" t="s">
        <v>6045</v>
      </c>
      <c r="H2360" s="31" t="s">
        <v>20</v>
      </c>
      <c r="I2360" s="31">
        <v>4440.0</v>
      </c>
      <c r="J2360" s="31">
        <v>3.876662886E9</v>
      </c>
      <c r="K2360" s="31" t="s">
        <v>670</v>
      </c>
      <c r="L2360" s="31" t="s">
        <v>3410</v>
      </c>
      <c r="M2360" s="33">
        <v>1.0</v>
      </c>
      <c r="N2360" s="34"/>
      <c r="O2360" s="31" t="s">
        <v>6447</v>
      </c>
    </row>
    <row r="2361">
      <c r="A2361" s="85">
        <v>46174.0</v>
      </c>
      <c r="B2361" s="31" t="s">
        <v>6448</v>
      </c>
      <c r="C2361" s="31">
        <v>8.07940000944E11</v>
      </c>
      <c r="D2361" s="31" t="s">
        <v>6449</v>
      </c>
      <c r="E2361" s="31" t="s">
        <v>6450</v>
      </c>
      <c r="F2361" s="31" t="s">
        <v>6451</v>
      </c>
      <c r="G2361" s="31" t="s">
        <v>983</v>
      </c>
      <c r="H2361" s="31" t="s">
        <v>20</v>
      </c>
      <c r="I2361" s="31">
        <v>4400.0</v>
      </c>
      <c r="J2361" s="31">
        <v>3.874126689E9</v>
      </c>
      <c r="K2361" s="31" t="s">
        <v>6119</v>
      </c>
      <c r="L2361" s="31" t="s">
        <v>6120</v>
      </c>
      <c r="M2361" s="33">
        <v>1.0</v>
      </c>
      <c r="N2361" s="34"/>
      <c r="O2361" s="31" t="s">
        <v>6452</v>
      </c>
    </row>
    <row r="2362">
      <c r="A2362" s="85">
        <v>46174.0</v>
      </c>
      <c r="B2362" s="31" t="s">
        <v>6448</v>
      </c>
      <c r="C2362" s="31">
        <v>8.07940000944E11</v>
      </c>
      <c r="D2362" s="31" t="s">
        <v>6449</v>
      </c>
      <c r="E2362" s="31" t="s">
        <v>6450</v>
      </c>
      <c r="F2362" s="31" t="s">
        <v>6451</v>
      </c>
      <c r="G2362" s="31" t="s">
        <v>983</v>
      </c>
      <c r="H2362" s="31" t="s">
        <v>20</v>
      </c>
      <c r="I2362" s="31">
        <v>4400.0</v>
      </c>
      <c r="J2362" s="31">
        <v>3.874126689E9</v>
      </c>
      <c r="K2362" s="31" t="s">
        <v>512</v>
      </c>
      <c r="L2362" s="31" t="s">
        <v>513</v>
      </c>
      <c r="M2362" s="33">
        <v>12.0</v>
      </c>
      <c r="N2362" s="34"/>
      <c r="O2362" s="31" t="s">
        <v>6452</v>
      </c>
    </row>
    <row r="2363">
      <c r="A2363" s="85">
        <v>46174.0</v>
      </c>
      <c r="B2363" s="31" t="s">
        <v>6448</v>
      </c>
      <c r="C2363" s="31">
        <v>8.07940000944E11</v>
      </c>
      <c r="D2363" s="31" t="s">
        <v>6449</v>
      </c>
      <c r="E2363" s="31" t="s">
        <v>6450</v>
      </c>
      <c r="F2363" s="31" t="s">
        <v>6451</v>
      </c>
      <c r="G2363" s="31" t="s">
        <v>983</v>
      </c>
      <c r="H2363" s="31" t="s">
        <v>20</v>
      </c>
      <c r="I2363" s="31">
        <v>4400.0</v>
      </c>
      <c r="J2363" s="31">
        <v>3.874126689E9</v>
      </c>
      <c r="K2363" s="31" t="s">
        <v>772</v>
      </c>
      <c r="L2363" s="31" t="s">
        <v>3363</v>
      </c>
      <c r="M2363" s="33">
        <v>2.0</v>
      </c>
      <c r="N2363" s="34"/>
      <c r="O2363" s="31" t="s">
        <v>6452</v>
      </c>
    </row>
    <row r="2364">
      <c r="A2364" s="85">
        <v>46174.0</v>
      </c>
      <c r="B2364" s="31" t="s">
        <v>6453</v>
      </c>
      <c r="C2364" s="31">
        <v>8.07025036076E11</v>
      </c>
      <c r="D2364" s="31" t="s">
        <v>6454</v>
      </c>
      <c r="E2364" s="31" t="s">
        <v>6455</v>
      </c>
      <c r="F2364" s="31" t="s">
        <v>6456</v>
      </c>
      <c r="G2364" s="31" t="s">
        <v>127</v>
      </c>
      <c r="H2364" s="31" t="s">
        <v>20</v>
      </c>
      <c r="I2364" s="31">
        <v>4400.0</v>
      </c>
      <c r="J2364" s="31">
        <v>3.875856684E9</v>
      </c>
      <c r="K2364" s="31" t="s">
        <v>6131</v>
      </c>
      <c r="L2364" s="31" t="s">
        <v>6132</v>
      </c>
      <c r="M2364" s="33">
        <v>1.0</v>
      </c>
      <c r="N2364" s="34"/>
      <c r="O2364" s="31" t="s">
        <v>6457</v>
      </c>
    </row>
    <row r="2365">
      <c r="A2365" s="85">
        <v>46174.0</v>
      </c>
      <c r="B2365" s="31" t="s">
        <v>6453</v>
      </c>
      <c r="C2365" s="31">
        <v>8.07025036076E11</v>
      </c>
      <c r="D2365" s="31" t="s">
        <v>6454</v>
      </c>
      <c r="E2365" s="31" t="s">
        <v>6455</v>
      </c>
      <c r="F2365" s="31" t="s">
        <v>6456</v>
      </c>
      <c r="G2365" s="31" t="s">
        <v>127</v>
      </c>
      <c r="H2365" s="31" t="s">
        <v>20</v>
      </c>
      <c r="I2365" s="31">
        <v>4400.0</v>
      </c>
      <c r="J2365" s="31">
        <v>3.875856684E9</v>
      </c>
      <c r="K2365" s="31" t="s">
        <v>512</v>
      </c>
      <c r="L2365" s="31" t="s">
        <v>513</v>
      </c>
      <c r="M2365" s="33">
        <v>12.0</v>
      </c>
      <c r="N2365" s="34"/>
      <c r="O2365" s="31" t="s">
        <v>6457</v>
      </c>
    </row>
    <row r="2366">
      <c r="A2366" s="85">
        <v>46174.0</v>
      </c>
      <c r="B2366" s="31" t="s">
        <v>6453</v>
      </c>
      <c r="C2366" s="31">
        <v>8.07025036076E11</v>
      </c>
      <c r="D2366" s="31" t="s">
        <v>6454</v>
      </c>
      <c r="E2366" s="31" t="s">
        <v>6455</v>
      </c>
      <c r="F2366" s="31" t="s">
        <v>6456</v>
      </c>
      <c r="G2366" s="31" t="s">
        <v>127</v>
      </c>
      <c r="H2366" s="31" t="s">
        <v>20</v>
      </c>
      <c r="I2366" s="31">
        <v>4400.0</v>
      </c>
      <c r="J2366" s="31">
        <v>3.875856684E9</v>
      </c>
      <c r="K2366" s="31" t="s">
        <v>645</v>
      </c>
      <c r="L2366" s="31" t="s">
        <v>3253</v>
      </c>
      <c r="M2366" s="33">
        <v>2.0</v>
      </c>
      <c r="N2366" s="34"/>
      <c r="O2366" s="31" t="s">
        <v>6457</v>
      </c>
    </row>
    <row r="2367">
      <c r="A2367" s="85">
        <v>46174.0</v>
      </c>
      <c r="B2367" s="31" t="s">
        <v>6458</v>
      </c>
      <c r="C2367" s="31">
        <v>8.05011577411E11</v>
      </c>
      <c r="D2367" s="31" t="s">
        <v>6459</v>
      </c>
      <c r="E2367" s="31" t="s">
        <v>6460</v>
      </c>
      <c r="F2367" s="31" t="s">
        <v>6461</v>
      </c>
      <c r="G2367" s="31" t="s">
        <v>624</v>
      </c>
      <c r="H2367" s="31" t="s">
        <v>20</v>
      </c>
      <c r="I2367" s="31">
        <v>4403.0</v>
      </c>
      <c r="J2367" s="31">
        <v>3.874651722E9</v>
      </c>
      <c r="K2367" s="31" t="s">
        <v>5842</v>
      </c>
      <c r="L2367" s="31" t="s">
        <v>5843</v>
      </c>
      <c r="M2367" s="33">
        <v>1.0</v>
      </c>
      <c r="N2367" s="34"/>
      <c r="O2367" s="34"/>
    </row>
    <row r="2368">
      <c r="A2368" s="85">
        <v>46174.0</v>
      </c>
      <c r="B2368" s="31" t="s">
        <v>6458</v>
      </c>
      <c r="C2368" s="31">
        <v>8.05011577411E11</v>
      </c>
      <c r="D2368" s="31" t="s">
        <v>6459</v>
      </c>
      <c r="E2368" s="31" t="s">
        <v>6460</v>
      </c>
      <c r="F2368" s="31" t="s">
        <v>6461</v>
      </c>
      <c r="G2368" s="31" t="s">
        <v>624</v>
      </c>
      <c r="H2368" s="31" t="s">
        <v>20</v>
      </c>
      <c r="I2368" s="31">
        <v>4403.0</v>
      </c>
      <c r="J2368" s="31">
        <v>3.874651722E9</v>
      </c>
      <c r="K2368" s="31" t="s">
        <v>32</v>
      </c>
      <c r="L2368" s="31" t="s">
        <v>3225</v>
      </c>
      <c r="M2368" s="33">
        <v>1.0</v>
      </c>
      <c r="N2368" s="34"/>
      <c r="O2368" s="34"/>
    </row>
    <row r="2369">
      <c r="A2369" s="85">
        <v>46174.0</v>
      </c>
      <c r="B2369" s="31" t="s">
        <v>6462</v>
      </c>
      <c r="C2369" s="31">
        <v>8.07839008075E11</v>
      </c>
      <c r="D2369" s="31" t="s">
        <v>6463</v>
      </c>
      <c r="E2369" s="31" t="s">
        <v>6464</v>
      </c>
      <c r="F2369" s="31" t="s">
        <v>6465</v>
      </c>
      <c r="G2369" s="31" t="s">
        <v>247</v>
      </c>
      <c r="H2369" s="31" t="s">
        <v>20</v>
      </c>
      <c r="I2369" s="31">
        <v>4400.0</v>
      </c>
      <c r="J2369" s="31">
        <v>3.875331561E9</v>
      </c>
      <c r="K2369" s="31" t="s">
        <v>32</v>
      </c>
      <c r="L2369" s="31" t="s">
        <v>3225</v>
      </c>
      <c r="M2369" s="33">
        <v>2.0</v>
      </c>
      <c r="N2369" s="34"/>
      <c r="O2369" s="34"/>
    </row>
    <row r="2370">
      <c r="A2370" s="85">
        <v>46174.0</v>
      </c>
      <c r="B2370" s="31" t="s">
        <v>6462</v>
      </c>
      <c r="C2370" s="31">
        <v>8.07839008075E11</v>
      </c>
      <c r="D2370" s="31" t="s">
        <v>6463</v>
      </c>
      <c r="E2370" s="31" t="s">
        <v>6464</v>
      </c>
      <c r="F2370" s="31" t="s">
        <v>6465</v>
      </c>
      <c r="G2370" s="31" t="s">
        <v>247</v>
      </c>
      <c r="H2370" s="31" t="s">
        <v>20</v>
      </c>
      <c r="I2370" s="31">
        <v>4400.0</v>
      </c>
      <c r="J2370" s="31">
        <v>3.875331561E9</v>
      </c>
      <c r="K2370" s="31" t="s">
        <v>512</v>
      </c>
      <c r="L2370" s="31" t="s">
        <v>513</v>
      </c>
      <c r="M2370" s="33">
        <v>12.0</v>
      </c>
      <c r="N2370" s="34"/>
      <c r="O2370" s="34"/>
    </row>
    <row r="2371">
      <c r="A2371" s="85">
        <v>46174.0</v>
      </c>
      <c r="B2371" s="31" t="s">
        <v>6462</v>
      </c>
      <c r="C2371" s="31">
        <v>8.07839008075E11</v>
      </c>
      <c r="D2371" s="31" t="s">
        <v>6463</v>
      </c>
      <c r="E2371" s="31" t="s">
        <v>6464</v>
      </c>
      <c r="F2371" s="31" t="s">
        <v>6465</v>
      </c>
      <c r="G2371" s="31" t="s">
        <v>247</v>
      </c>
      <c r="H2371" s="31" t="s">
        <v>20</v>
      </c>
      <c r="I2371" s="31">
        <v>4400.0</v>
      </c>
      <c r="J2371" s="31">
        <v>3.875331561E9</v>
      </c>
      <c r="K2371" s="31" t="s">
        <v>670</v>
      </c>
      <c r="L2371" s="31" t="s">
        <v>3410</v>
      </c>
      <c r="M2371" s="33">
        <v>2.0</v>
      </c>
      <c r="N2371" s="34"/>
      <c r="O2371" s="34"/>
    </row>
    <row r="2372">
      <c r="A2372" s="110">
        <v>46174.0</v>
      </c>
      <c r="B2372" s="111" t="s">
        <v>6466</v>
      </c>
      <c r="C2372" s="111">
        <v>8.07025036237E11</v>
      </c>
      <c r="D2372" s="111" t="s">
        <v>6467</v>
      </c>
      <c r="E2372" s="111" t="s">
        <v>6468</v>
      </c>
      <c r="F2372" s="111" t="s">
        <v>6469</v>
      </c>
      <c r="G2372" s="111" t="s">
        <v>1567</v>
      </c>
      <c r="H2372" s="111" t="s">
        <v>20</v>
      </c>
      <c r="I2372" s="111">
        <v>4400.0</v>
      </c>
      <c r="J2372" s="111">
        <v>3.873575474E9</v>
      </c>
      <c r="K2372" s="111" t="s">
        <v>4793</v>
      </c>
      <c r="L2372" s="111" t="s">
        <v>4794</v>
      </c>
      <c r="M2372" s="112">
        <v>2.0</v>
      </c>
      <c r="N2372" s="113"/>
      <c r="O2372" s="111" t="s">
        <v>6470</v>
      </c>
    </row>
    <row r="2373">
      <c r="A2373" s="85">
        <v>46174.0</v>
      </c>
      <c r="B2373" s="31" t="s">
        <v>6471</v>
      </c>
      <c r="C2373" s="31">
        <v>8.07025036252E11</v>
      </c>
      <c r="D2373" s="31" t="s">
        <v>6472</v>
      </c>
      <c r="E2373" s="31" t="s">
        <v>6473</v>
      </c>
      <c r="F2373" s="31" t="s">
        <v>6474</v>
      </c>
      <c r="G2373" s="31" t="s">
        <v>127</v>
      </c>
      <c r="H2373" s="31" t="s">
        <v>20</v>
      </c>
      <c r="I2373" s="31">
        <v>4400.0</v>
      </c>
      <c r="J2373" s="31">
        <v>3.875737109E9</v>
      </c>
      <c r="K2373" s="31" t="s">
        <v>5817</v>
      </c>
      <c r="L2373" s="31" t="s">
        <v>5417</v>
      </c>
      <c r="M2373" s="33">
        <v>1.0</v>
      </c>
      <c r="N2373" s="34"/>
      <c r="O2373" s="34"/>
    </row>
    <row r="2374">
      <c r="A2374" s="85">
        <v>46174.0</v>
      </c>
      <c r="B2374" s="31" t="s">
        <v>6471</v>
      </c>
      <c r="C2374" s="31">
        <v>8.07025036252E11</v>
      </c>
      <c r="D2374" s="31" t="s">
        <v>6472</v>
      </c>
      <c r="E2374" s="31" t="s">
        <v>6473</v>
      </c>
      <c r="F2374" s="31" t="s">
        <v>6474</v>
      </c>
      <c r="G2374" s="31" t="s">
        <v>127</v>
      </c>
      <c r="H2374" s="31" t="s">
        <v>20</v>
      </c>
      <c r="I2374" s="31">
        <v>4400.0</v>
      </c>
      <c r="J2374" s="31">
        <v>3.875737109E9</v>
      </c>
      <c r="K2374" s="31" t="s">
        <v>2294</v>
      </c>
      <c r="L2374" s="31" t="s">
        <v>5415</v>
      </c>
      <c r="M2374" s="33">
        <v>1.0</v>
      </c>
      <c r="N2374" s="34"/>
      <c r="O2374" s="34"/>
    </row>
    <row r="2375">
      <c r="A2375" s="85">
        <v>46174.0</v>
      </c>
      <c r="B2375" s="31" t="s">
        <v>6475</v>
      </c>
      <c r="C2375" s="31">
        <v>8.07839008202E11</v>
      </c>
      <c r="D2375" s="31" t="s">
        <v>6476</v>
      </c>
      <c r="E2375" s="31" t="s">
        <v>6477</v>
      </c>
      <c r="F2375" s="31" t="s">
        <v>6478</v>
      </c>
      <c r="G2375" s="31" t="s">
        <v>278</v>
      </c>
      <c r="H2375" s="31" t="s">
        <v>20</v>
      </c>
      <c r="I2375" s="31">
        <v>4400.0</v>
      </c>
      <c r="J2375" s="31">
        <v>3.874115921E9</v>
      </c>
      <c r="K2375" s="31" t="s">
        <v>698</v>
      </c>
      <c r="L2375" s="31" t="s">
        <v>699</v>
      </c>
      <c r="M2375" s="33">
        <v>1.0</v>
      </c>
      <c r="N2375" s="34"/>
      <c r="O2375" s="31" t="s">
        <v>6479</v>
      </c>
    </row>
    <row r="2376">
      <c r="A2376" s="85">
        <v>46174.0</v>
      </c>
      <c r="B2376" s="31" t="s">
        <v>6480</v>
      </c>
      <c r="C2376" s="31">
        <v>8.05011577937E11</v>
      </c>
      <c r="D2376" s="31" t="s">
        <v>6481</v>
      </c>
      <c r="E2376" s="31" t="s">
        <v>6482</v>
      </c>
      <c r="F2376" s="31" t="s">
        <v>6483</v>
      </c>
      <c r="G2376" s="31" t="s">
        <v>582</v>
      </c>
      <c r="H2376" s="31" t="s">
        <v>20</v>
      </c>
      <c r="I2376" s="31">
        <v>4407.0</v>
      </c>
      <c r="J2376" s="31">
        <v>3.876107869E9</v>
      </c>
      <c r="K2376" s="31" t="s">
        <v>6420</v>
      </c>
      <c r="L2376" s="31" t="s">
        <v>6421</v>
      </c>
      <c r="M2376" s="33">
        <v>1.0</v>
      </c>
      <c r="N2376" s="34"/>
      <c r="O2376" s="34"/>
    </row>
    <row r="2377">
      <c r="A2377" s="98">
        <v>46174.0</v>
      </c>
      <c r="B2377" s="99" t="s">
        <v>6484</v>
      </c>
      <c r="C2377" s="99">
        <v>8.05011577931E11</v>
      </c>
      <c r="D2377" s="99" t="s">
        <v>6485</v>
      </c>
      <c r="E2377" s="99" t="s">
        <v>6486</v>
      </c>
      <c r="F2377" s="99" t="s">
        <v>6487</v>
      </c>
      <c r="G2377" s="99" t="s">
        <v>58</v>
      </c>
      <c r="H2377" s="99" t="s">
        <v>20</v>
      </c>
      <c r="I2377" s="99">
        <v>4400.0</v>
      </c>
      <c r="J2377" s="99">
        <v>3.872233337E9</v>
      </c>
      <c r="K2377" s="99" t="s">
        <v>761</v>
      </c>
      <c r="L2377" s="99" t="s">
        <v>3761</v>
      </c>
      <c r="M2377" s="100">
        <v>1.0</v>
      </c>
      <c r="N2377" s="101"/>
      <c r="O2377" s="99" t="s">
        <v>6488</v>
      </c>
    </row>
    <row r="2378">
      <c r="A2378" s="85">
        <v>46174.0</v>
      </c>
      <c r="B2378" s="31" t="s">
        <v>6489</v>
      </c>
      <c r="C2378" s="31">
        <v>8.07025036255E11</v>
      </c>
      <c r="D2378" s="31" t="s">
        <v>6490</v>
      </c>
      <c r="E2378" s="31" t="s">
        <v>6491</v>
      </c>
      <c r="F2378" s="31" t="s">
        <v>6492</v>
      </c>
      <c r="G2378" s="31" t="s">
        <v>127</v>
      </c>
      <c r="H2378" s="31" t="s">
        <v>20</v>
      </c>
      <c r="I2378" s="31">
        <v>4400.0</v>
      </c>
      <c r="J2378" s="31">
        <v>1.5411226E8</v>
      </c>
      <c r="K2378" s="31" t="s">
        <v>32</v>
      </c>
      <c r="L2378" s="31" t="s">
        <v>3225</v>
      </c>
      <c r="M2378" s="33">
        <v>1.0</v>
      </c>
      <c r="N2378" s="34"/>
      <c r="O2378" s="31" t="s">
        <v>6493</v>
      </c>
    </row>
    <row r="2379">
      <c r="A2379" s="85">
        <v>46174.0</v>
      </c>
      <c r="B2379" s="31" t="s">
        <v>6494</v>
      </c>
      <c r="C2379" s="31">
        <v>8.07025036262E11</v>
      </c>
      <c r="D2379" s="31" t="s">
        <v>6495</v>
      </c>
      <c r="E2379" s="31" t="s">
        <v>6496</v>
      </c>
      <c r="F2379" s="31" t="s">
        <v>6497</v>
      </c>
      <c r="G2379" s="31" t="s">
        <v>127</v>
      </c>
      <c r="H2379" s="31" t="s">
        <v>20</v>
      </c>
      <c r="I2379" s="31">
        <v>4400.0</v>
      </c>
      <c r="J2379" s="31">
        <v>3.885097852E9</v>
      </c>
      <c r="K2379" s="31" t="s">
        <v>5817</v>
      </c>
      <c r="L2379" s="31" t="s">
        <v>5417</v>
      </c>
      <c r="M2379" s="33">
        <v>1.0</v>
      </c>
      <c r="N2379" s="34"/>
      <c r="O2379" s="31" t="s">
        <v>4214</v>
      </c>
    </row>
    <row r="2380">
      <c r="A2380" s="85">
        <v>46174.0</v>
      </c>
      <c r="B2380" s="31" t="s">
        <v>6494</v>
      </c>
      <c r="C2380" s="31">
        <v>8.07025036262E11</v>
      </c>
      <c r="D2380" s="31" t="s">
        <v>6495</v>
      </c>
      <c r="E2380" s="31" t="s">
        <v>6496</v>
      </c>
      <c r="F2380" s="31" t="s">
        <v>6497</v>
      </c>
      <c r="G2380" s="31" t="s">
        <v>127</v>
      </c>
      <c r="H2380" s="31" t="s">
        <v>20</v>
      </c>
      <c r="I2380" s="31">
        <v>4400.0</v>
      </c>
      <c r="J2380" s="31">
        <v>3.885097852E9</v>
      </c>
      <c r="K2380" s="31" t="s">
        <v>2294</v>
      </c>
      <c r="L2380" s="31" t="s">
        <v>5415</v>
      </c>
      <c r="M2380" s="33">
        <v>1.0</v>
      </c>
      <c r="N2380" s="34"/>
      <c r="O2380" s="31" t="s">
        <v>4214</v>
      </c>
    </row>
    <row r="2381">
      <c r="A2381" s="85">
        <v>46174.0</v>
      </c>
      <c r="B2381" s="31" t="s">
        <v>6498</v>
      </c>
      <c r="C2381" s="31">
        <v>8.07839008324E11</v>
      </c>
      <c r="D2381" s="31" t="s">
        <v>6499</v>
      </c>
      <c r="E2381" s="31" t="s">
        <v>6500</v>
      </c>
      <c r="F2381" s="69" t="s">
        <v>6501</v>
      </c>
      <c r="G2381" s="31" t="s">
        <v>6502</v>
      </c>
      <c r="H2381" s="31" t="s">
        <v>20</v>
      </c>
      <c r="I2381" s="31">
        <v>4444.0</v>
      </c>
      <c r="J2381" s="31">
        <v>3.876565088E9</v>
      </c>
      <c r="K2381" s="31" t="s">
        <v>32</v>
      </c>
      <c r="L2381" s="31" t="s">
        <v>3225</v>
      </c>
      <c r="M2381" s="33">
        <v>1.0</v>
      </c>
      <c r="N2381" s="34"/>
      <c r="O2381" s="31" t="s">
        <v>6503</v>
      </c>
    </row>
    <row r="2382">
      <c r="A2382" s="85">
        <v>46174.0</v>
      </c>
      <c r="B2382" s="31" t="s">
        <v>6498</v>
      </c>
      <c r="C2382" s="31">
        <v>8.07839008324E11</v>
      </c>
      <c r="D2382" s="31" t="s">
        <v>6499</v>
      </c>
      <c r="E2382" s="31" t="s">
        <v>6500</v>
      </c>
      <c r="F2382" s="69" t="s">
        <v>6501</v>
      </c>
      <c r="G2382" s="31" t="s">
        <v>6502</v>
      </c>
      <c r="H2382" s="31" t="s">
        <v>20</v>
      </c>
      <c r="I2382" s="31">
        <v>4444.0</v>
      </c>
      <c r="J2382" s="31">
        <v>3.876565088E9</v>
      </c>
      <c r="K2382" s="31" t="s">
        <v>512</v>
      </c>
      <c r="L2382" s="31" t="s">
        <v>513</v>
      </c>
      <c r="M2382" s="33">
        <v>6.0</v>
      </c>
      <c r="N2382" s="34"/>
      <c r="O2382" s="31" t="s">
        <v>6503</v>
      </c>
    </row>
    <row r="2383">
      <c r="A2383" s="85">
        <v>46174.0</v>
      </c>
      <c r="B2383" s="31" t="s">
        <v>6498</v>
      </c>
      <c r="C2383" s="31">
        <v>8.07839008324E11</v>
      </c>
      <c r="D2383" s="31" t="s">
        <v>6499</v>
      </c>
      <c r="E2383" s="31" t="s">
        <v>6500</v>
      </c>
      <c r="F2383" s="69" t="s">
        <v>6501</v>
      </c>
      <c r="G2383" s="31" t="s">
        <v>6502</v>
      </c>
      <c r="H2383" s="31" t="s">
        <v>20</v>
      </c>
      <c r="I2383" s="31">
        <v>4444.0</v>
      </c>
      <c r="J2383" s="31">
        <v>3.876565088E9</v>
      </c>
      <c r="K2383" s="31" t="s">
        <v>670</v>
      </c>
      <c r="L2383" s="31" t="s">
        <v>3410</v>
      </c>
      <c r="M2383" s="33">
        <v>1.0</v>
      </c>
      <c r="N2383" s="34"/>
      <c r="O2383" s="31" t="s">
        <v>6503</v>
      </c>
    </row>
    <row r="2384">
      <c r="A2384" s="87"/>
      <c r="B2384" s="88"/>
      <c r="C2384" s="88"/>
      <c r="D2384" s="88"/>
      <c r="E2384" s="88"/>
      <c r="F2384" s="114"/>
      <c r="G2384" s="88"/>
      <c r="H2384" s="88"/>
      <c r="I2384" s="88"/>
      <c r="J2384" s="88"/>
      <c r="K2384" s="88"/>
      <c r="L2384" s="88"/>
      <c r="M2384" s="89"/>
      <c r="N2384" s="90"/>
      <c r="O2384" s="88"/>
    </row>
    <row r="2385">
      <c r="A2385" s="85">
        <v>46183.0</v>
      </c>
      <c r="B2385" s="31" t="s">
        <v>6504</v>
      </c>
      <c r="C2385" s="31">
        <v>8.0501157808E11</v>
      </c>
      <c r="D2385" s="31" t="s">
        <v>6505</v>
      </c>
      <c r="E2385" s="31" t="s">
        <v>6506</v>
      </c>
      <c r="F2385" s="31" t="s">
        <v>6507</v>
      </c>
      <c r="G2385" s="31" t="s">
        <v>127</v>
      </c>
      <c r="H2385" s="31" t="s">
        <v>20</v>
      </c>
      <c r="I2385" s="31">
        <v>4400.0</v>
      </c>
      <c r="J2385" s="31">
        <v>3.875441965E9</v>
      </c>
      <c r="K2385" s="31" t="s">
        <v>6216</v>
      </c>
      <c r="L2385" s="31" t="s">
        <v>6217</v>
      </c>
      <c r="M2385" s="33">
        <v>1.0</v>
      </c>
      <c r="N2385" s="34"/>
      <c r="O2385" s="34"/>
    </row>
    <row r="2386">
      <c r="A2386" s="85">
        <v>46183.0</v>
      </c>
      <c r="B2386" s="31" t="s">
        <v>6508</v>
      </c>
      <c r="C2386" s="31">
        <v>8.07839008398E11</v>
      </c>
      <c r="D2386" s="31" t="s">
        <v>6509</v>
      </c>
      <c r="E2386" s="31" t="s">
        <v>6510</v>
      </c>
      <c r="F2386" s="31" t="s">
        <v>6511</v>
      </c>
      <c r="G2386" s="31" t="s">
        <v>350</v>
      </c>
      <c r="H2386" s="31" t="s">
        <v>20</v>
      </c>
      <c r="I2386" s="31">
        <v>4401.0</v>
      </c>
      <c r="J2386" s="31">
        <v>3.875981743E9</v>
      </c>
      <c r="K2386" s="31" t="s">
        <v>1241</v>
      </c>
      <c r="L2386" s="31" t="s">
        <v>3500</v>
      </c>
      <c r="M2386" s="33">
        <v>1.0</v>
      </c>
      <c r="N2386" s="34"/>
      <c r="O2386" s="34"/>
    </row>
    <row r="2387">
      <c r="A2387" s="85">
        <v>46183.0</v>
      </c>
      <c r="B2387" s="31" t="s">
        <v>6512</v>
      </c>
      <c r="C2387" s="31">
        <v>8.07025036194E11</v>
      </c>
      <c r="D2387" s="31" t="s">
        <v>6513</v>
      </c>
      <c r="E2387" s="31" t="s">
        <v>6514</v>
      </c>
      <c r="F2387" s="31" t="s">
        <v>6515</v>
      </c>
      <c r="G2387" s="31" t="s">
        <v>6516</v>
      </c>
      <c r="H2387" s="31" t="s">
        <v>20</v>
      </c>
      <c r="I2387" s="31">
        <v>4400.0</v>
      </c>
      <c r="J2387" s="31">
        <v>3.875398628E9</v>
      </c>
      <c r="K2387" s="31" t="s">
        <v>6113</v>
      </c>
      <c r="L2387" s="31" t="s">
        <v>6114</v>
      </c>
      <c r="M2387" s="33">
        <v>1.0</v>
      </c>
      <c r="N2387" s="34"/>
      <c r="O2387" s="34"/>
    </row>
    <row r="2388">
      <c r="A2388" s="85">
        <v>46183.0</v>
      </c>
      <c r="B2388" s="31" t="s">
        <v>6517</v>
      </c>
      <c r="C2388" s="31">
        <v>8.07025036322E11</v>
      </c>
      <c r="D2388" s="31" t="s">
        <v>6518</v>
      </c>
      <c r="E2388" s="31" t="s">
        <v>6519</v>
      </c>
      <c r="F2388" s="31" t="s">
        <v>6520</v>
      </c>
      <c r="G2388" s="31" t="s">
        <v>127</v>
      </c>
      <c r="H2388" s="31" t="s">
        <v>20</v>
      </c>
      <c r="I2388" s="31">
        <v>4400.0</v>
      </c>
      <c r="J2388" s="31">
        <v>3.874074523E9</v>
      </c>
      <c r="K2388" s="31" t="s">
        <v>5817</v>
      </c>
      <c r="L2388" s="31" t="s">
        <v>5417</v>
      </c>
      <c r="M2388" s="33">
        <v>1.0</v>
      </c>
      <c r="N2388" s="34"/>
      <c r="O2388" s="34"/>
    </row>
    <row r="2389">
      <c r="A2389" s="85">
        <v>46183.0</v>
      </c>
      <c r="B2389" s="31" t="s">
        <v>6517</v>
      </c>
      <c r="C2389" s="31">
        <v>8.07025036322E11</v>
      </c>
      <c r="D2389" s="31" t="s">
        <v>6518</v>
      </c>
      <c r="E2389" s="31" t="s">
        <v>6519</v>
      </c>
      <c r="F2389" s="31" t="s">
        <v>6520</v>
      </c>
      <c r="G2389" s="31" t="s">
        <v>127</v>
      </c>
      <c r="H2389" s="31" t="s">
        <v>20</v>
      </c>
      <c r="I2389" s="31">
        <v>4400.0</v>
      </c>
      <c r="J2389" s="31">
        <v>3.874074523E9</v>
      </c>
      <c r="K2389" s="31" t="s">
        <v>2294</v>
      </c>
      <c r="L2389" s="31" t="s">
        <v>5415</v>
      </c>
      <c r="M2389" s="33">
        <v>1.0</v>
      </c>
      <c r="N2389" s="34"/>
      <c r="O2389" s="34"/>
    </row>
    <row r="2390">
      <c r="A2390" s="85">
        <v>46183.0</v>
      </c>
      <c r="B2390" s="31" t="s">
        <v>6521</v>
      </c>
      <c r="C2390" s="31">
        <v>8.07025036357E11</v>
      </c>
      <c r="D2390" s="31" t="s">
        <v>6522</v>
      </c>
      <c r="E2390" s="31" t="s">
        <v>6523</v>
      </c>
      <c r="F2390" s="31" t="s">
        <v>6524</v>
      </c>
      <c r="G2390" s="31" t="s">
        <v>104</v>
      </c>
      <c r="H2390" s="31" t="s">
        <v>20</v>
      </c>
      <c r="I2390" s="31">
        <v>4400.0</v>
      </c>
      <c r="J2390" s="31">
        <v>3.876856212E9</v>
      </c>
      <c r="K2390" s="31" t="s">
        <v>5817</v>
      </c>
      <c r="L2390" s="31" t="s">
        <v>5417</v>
      </c>
      <c r="M2390" s="33">
        <v>2.0</v>
      </c>
      <c r="N2390" s="34"/>
      <c r="O2390" s="31" t="s">
        <v>6525</v>
      </c>
    </row>
    <row r="2391">
      <c r="A2391" s="85">
        <v>46183.0</v>
      </c>
      <c r="B2391" s="31" t="s">
        <v>6521</v>
      </c>
      <c r="C2391" s="31">
        <v>8.07025036357E11</v>
      </c>
      <c r="D2391" s="31" t="s">
        <v>6522</v>
      </c>
      <c r="E2391" s="31" t="s">
        <v>6523</v>
      </c>
      <c r="F2391" s="31" t="s">
        <v>6524</v>
      </c>
      <c r="G2391" s="31" t="s">
        <v>104</v>
      </c>
      <c r="H2391" s="31" t="s">
        <v>20</v>
      </c>
      <c r="I2391" s="31">
        <v>4400.0</v>
      </c>
      <c r="J2391" s="31">
        <v>3.876856212E9</v>
      </c>
      <c r="K2391" s="31" t="s">
        <v>2294</v>
      </c>
      <c r="L2391" s="31" t="s">
        <v>5415</v>
      </c>
      <c r="M2391" s="33">
        <v>2.0</v>
      </c>
      <c r="N2391" s="34"/>
      <c r="O2391" s="31" t="s">
        <v>6525</v>
      </c>
    </row>
    <row r="2392">
      <c r="A2392" s="85">
        <v>46183.0</v>
      </c>
      <c r="B2392" s="31" t="s">
        <v>6526</v>
      </c>
      <c r="C2392" s="31">
        <v>8.05011578236E11</v>
      </c>
      <c r="D2392" s="31" t="s">
        <v>6527</v>
      </c>
      <c r="E2392" s="31" t="s">
        <v>6528</v>
      </c>
      <c r="F2392" s="31" t="s">
        <v>6529</v>
      </c>
      <c r="G2392" s="31" t="s">
        <v>20</v>
      </c>
      <c r="H2392" s="31" t="s">
        <v>20</v>
      </c>
      <c r="I2392" s="31">
        <v>4400.0</v>
      </c>
      <c r="J2392" s="31">
        <v>3.875902552E9</v>
      </c>
      <c r="K2392" s="31" t="s">
        <v>6271</v>
      </c>
      <c r="L2392" s="31" t="s">
        <v>6272</v>
      </c>
      <c r="M2392" s="33">
        <v>1.0</v>
      </c>
      <c r="N2392" s="34"/>
      <c r="O2392" s="34"/>
    </row>
    <row r="2393">
      <c r="A2393" s="85">
        <v>46183.0</v>
      </c>
      <c r="B2393" s="31" t="s">
        <v>6530</v>
      </c>
      <c r="C2393" s="31">
        <v>8.05011578308E11</v>
      </c>
      <c r="D2393" s="31" t="s">
        <v>6531</v>
      </c>
      <c r="E2393" s="31" t="s">
        <v>6532</v>
      </c>
      <c r="F2393" s="31" t="s">
        <v>6533</v>
      </c>
      <c r="G2393" s="31" t="s">
        <v>20</v>
      </c>
      <c r="H2393" s="31" t="s">
        <v>20</v>
      </c>
      <c r="I2393" s="31">
        <v>4400.0</v>
      </c>
      <c r="J2393" s="31">
        <v>3.875201634E9</v>
      </c>
      <c r="K2393" s="31">
        <v>125818.0</v>
      </c>
      <c r="L2393" s="31" t="s">
        <v>4334</v>
      </c>
      <c r="M2393" s="33">
        <v>2.0</v>
      </c>
      <c r="N2393" s="34"/>
      <c r="O2393" s="34"/>
    </row>
    <row r="2394">
      <c r="A2394" s="85">
        <v>46183.0</v>
      </c>
      <c r="B2394" s="31" t="s">
        <v>6530</v>
      </c>
      <c r="C2394" s="31">
        <v>8.05011578308E11</v>
      </c>
      <c r="D2394" s="31" t="s">
        <v>6531</v>
      </c>
      <c r="E2394" s="31" t="s">
        <v>6532</v>
      </c>
      <c r="F2394" s="31" t="s">
        <v>6533</v>
      </c>
      <c r="G2394" s="31" t="s">
        <v>20</v>
      </c>
      <c r="H2394" s="31" t="s">
        <v>20</v>
      </c>
      <c r="I2394" s="31">
        <v>4400.0</v>
      </c>
      <c r="J2394" s="31">
        <v>3.875201634E9</v>
      </c>
      <c r="K2394" s="31" t="s">
        <v>32</v>
      </c>
      <c r="L2394" s="31" t="s">
        <v>3225</v>
      </c>
      <c r="M2394" s="33">
        <v>1.0</v>
      </c>
      <c r="N2394" s="34"/>
      <c r="O2394" s="34"/>
    </row>
    <row r="2395">
      <c r="A2395" s="85">
        <v>46183.0</v>
      </c>
      <c r="B2395" s="31" t="s">
        <v>6534</v>
      </c>
      <c r="C2395" s="31">
        <v>8.0783900864E11</v>
      </c>
      <c r="D2395" s="31" t="s">
        <v>6535</v>
      </c>
      <c r="E2395" s="31" t="s">
        <v>6536</v>
      </c>
      <c r="F2395" s="31" t="s">
        <v>6537</v>
      </c>
      <c r="G2395" s="31" t="s">
        <v>278</v>
      </c>
      <c r="H2395" s="31" t="s">
        <v>20</v>
      </c>
      <c r="I2395" s="31">
        <v>4400.0</v>
      </c>
      <c r="J2395" s="31">
        <v>3.875840447E9</v>
      </c>
      <c r="K2395" s="31" t="s">
        <v>493</v>
      </c>
      <c r="L2395" s="31" t="s">
        <v>6538</v>
      </c>
      <c r="M2395" s="33">
        <v>1.0</v>
      </c>
      <c r="N2395" s="34"/>
      <c r="O2395" s="31" t="s">
        <v>6539</v>
      </c>
    </row>
    <row r="2396">
      <c r="A2396" s="85">
        <v>46183.0</v>
      </c>
      <c r="B2396" s="31" t="s">
        <v>6534</v>
      </c>
      <c r="C2396" s="31">
        <v>8.0783900864E11</v>
      </c>
      <c r="D2396" s="31" t="s">
        <v>6535</v>
      </c>
      <c r="E2396" s="31" t="s">
        <v>6536</v>
      </c>
      <c r="F2396" s="31" t="s">
        <v>6537</v>
      </c>
      <c r="G2396" s="31" t="s">
        <v>278</v>
      </c>
      <c r="H2396" s="31" t="s">
        <v>20</v>
      </c>
      <c r="I2396" s="31">
        <v>4400.0</v>
      </c>
      <c r="J2396" s="31">
        <v>3.875840447E9</v>
      </c>
      <c r="K2396" s="31" t="s">
        <v>512</v>
      </c>
      <c r="L2396" s="31" t="s">
        <v>513</v>
      </c>
      <c r="M2396" s="33">
        <v>12.0</v>
      </c>
      <c r="N2396" s="34"/>
      <c r="O2396" s="31" t="s">
        <v>6539</v>
      </c>
    </row>
    <row r="2397">
      <c r="A2397" s="85">
        <v>46183.0</v>
      </c>
      <c r="B2397" s="31" t="s">
        <v>6534</v>
      </c>
      <c r="C2397" s="31">
        <v>8.0783900864E11</v>
      </c>
      <c r="D2397" s="31" t="s">
        <v>6535</v>
      </c>
      <c r="E2397" s="31" t="s">
        <v>6536</v>
      </c>
      <c r="F2397" s="31" t="s">
        <v>6537</v>
      </c>
      <c r="G2397" s="31" t="s">
        <v>278</v>
      </c>
      <c r="H2397" s="31" t="s">
        <v>20</v>
      </c>
      <c r="I2397" s="31">
        <v>4400.0</v>
      </c>
      <c r="J2397" s="31">
        <v>3.875840447E9</v>
      </c>
      <c r="K2397" s="31" t="s">
        <v>340</v>
      </c>
      <c r="L2397" s="31" t="s">
        <v>3486</v>
      </c>
      <c r="M2397" s="33">
        <v>2.0</v>
      </c>
      <c r="N2397" s="34"/>
      <c r="O2397" s="31" t="s">
        <v>6539</v>
      </c>
    </row>
    <row r="2398">
      <c r="A2398" s="85">
        <v>46183.0</v>
      </c>
      <c r="B2398" s="31" t="s">
        <v>6540</v>
      </c>
      <c r="C2398" s="31">
        <v>8.05011577266E11</v>
      </c>
      <c r="D2398" s="31" t="s">
        <v>6541</v>
      </c>
      <c r="E2398" s="31" t="s">
        <v>6542</v>
      </c>
      <c r="F2398" s="31" t="s">
        <v>6543</v>
      </c>
      <c r="G2398" s="31" t="s">
        <v>20</v>
      </c>
      <c r="H2398" s="31" t="s">
        <v>20</v>
      </c>
      <c r="I2398" s="31">
        <v>4400.0</v>
      </c>
      <c r="J2398" s="31">
        <v>3.875223679E9</v>
      </c>
      <c r="K2398" s="31" t="s">
        <v>6216</v>
      </c>
      <c r="L2398" s="31" t="s">
        <v>6217</v>
      </c>
      <c r="M2398" s="33">
        <v>1.0</v>
      </c>
      <c r="N2398" s="34"/>
      <c r="O2398" s="34"/>
    </row>
    <row r="2399">
      <c r="A2399" s="85">
        <v>46183.0</v>
      </c>
      <c r="B2399" s="31" t="s">
        <v>6540</v>
      </c>
      <c r="C2399" s="31">
        <v>8.05011577266E11</v>
      </c>
      <c r="D2399" s="31" t="s">
        <v>6541</v>
      </c>
      <c r="E2399" s="31" t="s">
        <v>6542</v>
      </c>
      <c r="F2399" s="31" t="s">
        <v>6543</v>
      </c>
      <c r="G2399" s="31" t="s">
        <v>20</v>
      </c>
      <c r="H2399" s="31" t="s">
        <v>20</v>
      </c>
      <c r="I2399" s="31">
        <v>4400.0</v>
      </c>
      <c r="J2399" s="31">
        <v>3.875223679E9</v>
      </c>
      <c r="K2399" s="31" t="s">
        <v>512</v>
      </c>
      <c r="L2399" s="31" t="s">
        <v>513</v>
      </c>
      <c r="M2399" s="33">
        <v>6.0</v>
      </c>
      <c r="N2399" s="34"/>
      <c r="O2399" s="34"/>
    </row>
    <row r="2400">
      <c r="A2400" s="85">
        <v>46183.0</v>
      </c>
      <c r="B2400" s="31" t="s">
        <v>6540</v>
      </c>
      <c r="C2400" s="31">
        <v>8.05011577266E11</v>
      </c>
      <c r="D2400" s="31" t="s">
        <v>6541</v>
      </c>
      <c r="E2400" s="31" t="s">
        <v>6542</v>
      </c>
      <c r="F2400" s="31" t="s">
        <v>6543</v>
      </c>
      <c r="G2400" s="31" t="s">
        <v>20</v>
      </c>
      <c r="H2400" s="31" t="s">
        <v>20</v>
      </c>
      <c r="I2400" s="31">
        <v>4400.0</v>
      </c>
      <c r="J2400" s="31">
        <v>3.875223679E9</v>
      </c>
      <c r="K2400" s="31" t="s">
        <v>670</v>
      </c>
      <c r="L2400" s="31" t="s">
        <v>3410</v>
      </c>
      <c r="M2400" s="33">
        <v>1.0</v>
      </c>
      <c r="N2400" s="34"/>
      <c r="O2400" s="34"/>
    </row>
    <row r="2401">
      <c r="A2401" s="85">
        <v>46183.0</v>
      </c>
      <c r="B2401" s="31" t="s">
        <v>6544</v>
      </c>
      <c r="C2401" s="31">
        <v>8.07025036385E11</v>
      </c>
      <c r="D2401" s="31" t="s">
        <v>6545</v>
      </c>
      <c r="E2401" s="31" t="s">
        <v>6546</v>
      </c>
      <c r="F2401" s="31" t="s">
        <v>6547</v>
      </c>
      <c r="G2401" s="31" t="s">
        <v>3599</v>
      </c>
      <c r="H2401" s="31" t="s">
        <v>20</v>
      </c>
      <c r="I2401" s="31">
        <v>4554.0</v>
      </c>
      <c r="J2401" s="31">
        <v>3.875287662E9</v>
      </c>
      <c r="K2401" s="31" t="s">
        <v>6548</v>
      </c>
      <c r="L2401" s="31" t="s">
        <v>6549</v>
      </c>
      <c r="M2401" s="33">
        <v>1.0</v>
      </c>
      <c r="N2401" s="34"/>
      <c r="O2401" s="34"/>
    </row>
    <row r="2402">
      <c r="A2402" s="85">
        <v>46183.0</v>
      </c>
      <c r="B2402" s="31" t="s">
        <v>6544</v>
      </c>
      <c r="C2402" s="31">
        <v>8.07025036385E11</v>
      </c>
      <c r="D2402" s="31" t="s">
        <v>6545</v>
      </c>
      <c r="E2402" s="31" t="s">
        <v>6546</v>
      </c>
      <c r="F2402" s="31" t="s">
        <v>6547</v>
      </c>
      <c r="G2402" s="31" t="s">
        <v>3599</v>
      </c>
      <c r="H2402" s="31" t="s">
        <v>20</v>
      </c>
      <c r="I2402" s="31">
        <v>4554.0</v>
      </c>
      <c r="J2402" s="31">
        <v>3.875287662E9</v>
      </c>
      <c r="K2402" s="31" t="s">
        <v>512</v>
      </c>
      <c r="L2402" s="31" t="s">
        <v>513</v>
      </c>
      <c r="M2402" s="33">
        <v>6.0</v>
      </c>
      <c r="N2402" s="34"/>
      <c r="O2402" s="34"/>
    </row>
    <row r="2403">
      <c r="A2403" s="85">
        <v>46183.0</v>
      </c>
      <c r="B2403" s="31" t="s">
        <v>6544</v>
      </c>
      <c r="C2403" s="31">
        <v>8.07025036385E11</v>
      </c>
      <c r="D2403" s="31" t="s">
        <v>6545</v>
      </c>
      <c r="E2403" s="31" t="s">
        <v>6546</v>
      </c>
      <c r="F2403" s="31" t="s">
        <v>6547</v>
      </c>
      <c r="G2403" s="31" t="s">
        <v>3599</v>
      </c>
      <c r="H2403" s="31" t="s">
        <v>20</v>
      </c>
      <c r="I2403" s="31">
        <v>4554.0</v>
      </c>
      <c r="J2403" s="31">
        <v>3.875287662E9</v>
      </c>
      <c r="K2403" s="31" t="s">
        <v>233</v>
      </c>
      <c r="L2403" s="31" t="s">
        <v>3459</v>
      </c>
      <c r="M2403" s="33">
        <v>1.0</v>
      </c>
      <c r="N2403" s="34"/>
      <c r="O2403" s="34"/>
    </row>
    <row r="2404">
      <c r="A2404" s="85">
        <v>46183.0</v>
      </c>
      <c r="B2404" s="31" t="s">
        <v>6550</v>
      </c>
      <c r="C2404" s="31">
        <v>8.07839008674E11</v>
      </c>
      <c r="D2404" s="31" t="s">
        <v>6551</v>
      </c>
      <c r="E2404" s="31" t="s">
        <v>6552</v>
      </c>
      <c r="F2404" s="31" t="s">
        <v>6553</v>
      </c>
      <c r="G2404" s="31" t="s">
        <v>486</v>
      </c>
      <c r="H2404" s="31" t="s">
        <v>20</v>
      </c>
      <c r="I2404" s="31">
        <v>4440.0</v>
      </c>
      <c r="J2404" s="31">
        <v>3.876454402E9</v>
      </c>
      <c r="K2404" s="31" t="s">
        <v>698</v>
      </c>
      <c r="L2404" s="31" t="s">
        <v>699</v>
      </c>
      <c r="M2404" s="33">
        <v>1.0</v>
      </c>
      <c r="N2404" s="34"/>
      <c r="O2404" s="34"/>
    </row>
    <row r="2405">
      <c r="A2405" s="85">
        <v>46183.0</v>
      </c>
      <c r="B2405" s="31" t="s">
        <v>6554</v>
      </c>
      <c r="C2405" s="31">
        <v>8.05011578429E11</v>
      </c>
      <c r="D2405" s="31" t="s">
        <v>6555</v>
      </c>
      <c r="E2405" s="31" t="s">
        <v>6556</v>
      </c>
      <c r="F2405" s="31" t="s">
        <v>6557</v>
      </c>
      <c r="G2405" s="31" t="s">
        <v>5936</v>
      </c>
      <c r="H2405" s="31" t="s">
        <v>20</v>
      </c>
      <c r="I2405" s="31">
        <v>4542.0</v>
      </c>
      <c r="J2405" s="31">
        <v>3.875380142E9</v>
      </c>
      <c r="K2405" s="31" t="s">
        <v>6216</v>
      </c>
      <c r="L2405" s="31" t="s">
        <v>6217</v>
      </c>
      <c r="M2405" s="33">
        <v>1.0</v>
      </c>
      <c r="N2405" s="34"/>
      <c r="O2405" s="34"/>
    </row>
    <row r="2406">
      <c r="A2406" s="85">
        <v>46183.0</v>
      </c>
      <c r="B2406" s="31" t="s">
        <v>6558</v>
      </c>
      <c r="C2406" s="31">
        <v>8.05011578437E11</v>
      </c>
      <c r="D2406" s="31" t="s">
        <v>6559</v>
      </c>
      <c r="E2406" s="31" t="s">
        <v>6560</v>
      </c>
      <c r="F2406" s="31" t="s">
        <v>6561</v>
      </c>
      <c r="G2406" s="31" t="s">
        <v>6562</v>
      </c>
      <c r="H2406" s="31" t="s">
        <v>20</v>
      </c>
      <c r="I2406" s="31">
        <v>4440.0</v>
      </c>
      <c r="J2406" s="31">
        <v>3.876631E9</v>
      </c>
      <c r="K2406" s="31" t="s">
        <v>50</v>
      </c>
      <c r="L2406" s="31" t="s">
        <v>51</v>
      </c>
      <c r="M2406" s="33">
        <v>1.0</v>
      </c>
      <c r="N2406" s="34"/>
      <c r="O2406" s="34"/>
    </row>
    <row r="2407">
      <c r="A2407" s="85">
        <v>46183.0</v>
      </c>
      <c r="B2407" s="31" t="s">
        <v>6558</v>
      </c>
      <c r="C2407" s="31">
        <v>8.05011578437E11</v>
      </c>
      <c r="D2407" s="31" t="s">
        <v>6559</v>
      </c>
      <c r="E2407" s="31" t="s">
        <v>6560</v>
      </c>
      <c r="F2407" s="31" t="s">
        <v>6561</v>
      </c>
      <c r="G2407" s="31" t="s">
        <v>6562</v>
      </c>
      <c r="H2407" s="31" t="s">
        <v>20</v>
      </c>
      <c r="I2407" s="31">
        <v>4440.0</v>
      </c>
      <c r="J2407" s="31">
        <v>3.876631E9</v>
      </c>
      <c r="K2407" s="31" t="s">
        <v>512</v>
      </c>
      <c r="L2407" s="31" t="s">
        <v>513</v>
      </c>
      <c r="M2407" s="33">
        <v>6.0</v>
      </c>
      <c r="N2407" s="34"/>
      <c r="O2407" s="34"/>
    </row>
    <row r="2408">
      <c r="A2408" s="85">
        <v>46183.0</v>
      </c>
      <c r="B2408" s="31" t="s">
        <v>6558</v>
      </c>
      <c r="C2408" s="31">
        <v>8.05011578437E11</v>
      </c>
      <c r="D2408" s="31" t="s">
        <v>6559</v>
      </c>
      <c r="E2408" s="31" t="s">
        <v>6560</v>
      </c>
      <c r="F2408" s="31" t="s">
        <v>6561</v>
      </c>
      <c r="G2408" s="31" t="s">
        <v>6562</v>
      </c>
      <c r="H2408" s="31" t="s">
        <v>20</v>
      </c>
      <c r="I2408" s="31">
        <v>4440.0</v>
      </c>
      <c r="J2408" s="31">
        <v>3.876631E9</v>
      </c>
      <c r="K2408" s="31" t="s">
        <v>25</v>
      </c>
      <c r="L2408" s="31" t="s">
        <v>3401</v>
      </c>
      <c r="M2408" s="33">
        <v>1.0</v>
      </c>
      <c r="N2408" s="34"/>
      <c r="O2408" s="34"/>
    </row>
    <row r="2409">
      <c r="A2409" s="85">
        <v>46183.0</v>
      </c>
      <c r="B2409" s="31" t="s">
        <v>6563</v>
      </c>
      <c r="C2409" s="31">
        <v>8.05011578523E11</v>
      </c>
      <c r="D2409" s="31" t="s">
        <v>6485</v>
      </c>
      <c r="E2409" s="31" t="s">
        <v>6486</v>
      </c>
      <c r="F2409" s="31" t="s">
        <v>6487</v>
      </c>
      <c r="G2409" s="31" t="s">
        <v>58</v>
      </c>
      <c r="H2409" s="31" t="s">
        <v>20</v>
      </c>
      <c r="I2409" s="31">
        <v>4400.0</v>
      </c>
      <c r="J2409" s="31">
        <v>3.872233337E9</v>
      </c>
      <c r="K2409" s="31" t="s">
        <v>6271</v>
      </c>
      <c r="L2409" s="31" t="s">
        <v>6272</v>
      </c>
      <c r="M2409" s="33">
        <v>1.0</v>
      </c>
      <c r="N2409" s="34"/>
      <c r="O2409" s="34"/>
    </row>
    <row r="2410">
      <c r="A2410" s="85">
        <v>46183.0</v>
      </c>
      <c r="B2410" s="31" t="s">
        <v>6564</v>
      </c>
      <c r="C2410" s="31">
        <v>8.07839008832E11</v>
      </c>
      <c r="D2410" s="31" t="s">
        <v>6565</v>
      </c>
      <c r="E2410" s="31" t="s">
        <v>6566</v>
      </c>
      <c r="F2410" s="31" t="s">
        <v>6567</v>
      </c>
      <c r="G2410" s="31" t="s">
        <v>278</v>
      </c>
      <c r="H2410" s="31" t="s">
        <v>20</v>
      </c>
      <c r="I2410" s="31">
        <v>4400.0</v>
      </c>
      <c r="J2410" s="31">
        <v>3.875434658E9</v>
      </c>
      <c r="K2410" s="31" t="s">
        <v>32</v>
      </c>
      <c r="L2410" s="31" t="s">
        <v>3225</v>
      </c>
      <c r="M2410" s="33">
        <v>1.0</v>
      </c>
      <c r="N2410" s="34"/>
      <c r="O2410" s="31" t="s">
        <v>6568</v>
      </c>
    </row>
    <row r="2411">
      <c r="A2411" s="85">
        <v>46183.0</v>
      </c>
      <c r="B2411" s="31" t="s">
        <v>6564</v>
      </c>
      <c r="C2411" s="31">
        <v>8.07839008832E11</v>
      </c>
      <c r="D2411" s="31" t="s">
        <v>6565</v>
      </c>
      <c r="E2411" s="31" t="s">
        <v>6566</v>
      </c>
      <c r="F2411" s="31" t="s">
        <v>6567</v>
      </c>
      <c r="G2411" s="31" t="s">
        <v>278</v>
      </c>
      <c r="H2411" s="31" t="s">
        <v>20</v>
      </c>
      <c r="I2411" s="31">
        <v>4400.0</v>
      </c>
      <c r="J2411" s="31">
        <v>3.875434658E9</v>
      </c>
      <c r="K2411" s="31" t="s">
        <v>512</v>
      </c>
      <c r="L2411" s="31" t="s">
        <v>513</v>
      </c>
      <c r="M2411" s="33">
        <v>6.0</v>
      </c>
      <c r="N2411" s="34"/>
      <c r="O2411" s="31" t="s">
        <v>6568</v>
      </c>
    </row>
    <row r="2412">
      <c r="A2412" s="85">
        <v>46183.0</v>
      </c>
      <c r="B2412" s="31" t="s">
        <v>6564</v>
      </c>
      <c r="C2412" s="31">
        <v>8.07839008832E11</v>
      </c>
      <c r="D2412" s="31" t="s">
        <v>6565</v>
      </c>
      <c r="E2412" s="31" t="s">
        <v>6566</v>
      </c>
      <c r="F2412" s="31" t="s">
        <v>6567</v>
      </c>
      <c r="G2412" s="31" t="s">
        <v>278</v>
      </c>
      <c r="H2412" s="31" t="s">
        <v>20</v>
      </c>
      <c r="I2412" s="31">
        <v>4400.0</v>
      </c>
      <c r="J2412" s="31">
        <v>3.875434658E9</v>
      </c>
      <c r="K2412" s="31" t="s">
        <v>670</v>
      </c>
      <c r="L2412" s="31" t="s">
        <v>3410</v>
      </c>
      <c r="M2412" s="33">
        <v>1.0</v>
      </c>
      <c r="N2412" s="34"/>
      <c r="O2412" s="31" t="s">
        <v>6568</v>
      </c>
    </row>
    <row r="2413">
      <c r="A2413" s="85">
        <v>46183.0</v>
      </c>
      <c r="B2413" s="31" t="s">
        <v>6569</v>
      </c>
      <c r="C2413" s="31">
        <v>8.07025036449E11</v>
      </c>
      <c r="D2413" s="31" t="s">
        <v>6570</v>
      </c>
      <c r="E2413" s="31" t="s">
        <v>6571</v>
      </c>
      <c r="F2413" s="31" t="s">
        <v>6572</v>
      </c>
      <c r="G2413" s="31" t="s">
        <v>127</v>
      </c>
      <c r="H2413" s="31" t="s">
        <v>20</v>
      </c>
      <c r="I2413" s="31">
        <v>4400.0</v>
      </c>
      <c r="J2413" s="31">
        <v>3.875849304E9</v>
      </c>
      <c r="K2413" s="31" t="s">
        <v>5262</v>
      </c>
      <c r="L2413" s="31" t="s">
        <v>5263</v>
      </c>
      <c r="M2413" s="33">
        <v>1.0</v>
      </c>
      <c r="N2413" s="34"/>
      <c r="O2413" s="34"/>
    </row>
    <row r="2414">
      <c r="A2414" s="85">
        <v>46183.0</v>
      </c>
      <c r="B2414" s="31" t="s">
        <v>6569</v>
      </c>
      <c r="C2414" s="31">
        <v>8.07025036449E11</v>
      </c>
      <c r="D2414" s="31" t="s">
        <v>6570</v>
      </c>
      <c r="E2414" s="31" t="s">
        <v>6571</v>
      </c>
      <c r="F2414" s="31" t="s">
        <v>6572</v>
      </c>
      <c r="G2414" s="31" t="s">
        <v>127</v>
      </c>
      <c r="H2414" s="31" t="s">
        <v>20</v>
      </c>
      <c r="I2414" s="31">
        <v>4400.0</v>
      </c>
      <c r="J2414" s="31">
        <v>3.875849304E9</v>
      </c>
      <c r="K2414" s="31" t="s">
        <v>6573</v>
      </c>
      <c r="L2414" s="31" t="s">
        <v>6574</v>
      </c>
      <c r="M2414" s="33">
        <v>1.0</v>
      </c>
      <c r="N2414" s="34"/>
      <c r="O2414" s="34"/>
    </row>
    <row r="2415">
      <c r="A2415" s="85">
        <v>46183.0</v>
      </c>
      <c r="B2415" s="31" t="s">
        <v>6575</v>
      </c>
      <c r="C2415" s="31">
        <v>8.05011578655E11</v>
      </c>
      <c r="D2415" s="31" t="s">
        <v>6576</v>
      </c>
      <c r="E2415" s="31" t="s">
        <v>6577</v>
      </c>
      <c r="F2415" s="31" t="s">
        <v>6578</v>
      </c>
      <c r="G2415" s="31" t="s">
        <v>20</v>
      </c>
      <c r="H2415" s="31" t="s">
        <v>20</v>
      </c>
      <c r="I2415" s="31">
        <v>4400.0</v>
      </c>
      <c r="J2415" s="31">
        <v>3.876417825E9</v>
      </c>
      <c r="K2415" s="31" t="s">
        <v>5262</v>
      </c>
      <c r="L2415" s="31" t="s">
        <v>5263</v>
      </c>
      <c r="M2415" s="33">
        <v>1.0</v>
      </c>
      <c r="N2415" s="34"/>
      <c r="O2415" s="34"/>
    </row>
    <row r="2416">
      <c r="A2416" s="85">
        <v>46183.0</v>
      </c>
      <c r="B2416" s="31" t="s">
        <v>6579</v>
      </c>
      <c r="C2416" s="31">
        <v>8.07025036289E11</v>
      </c>
      <c r="D2416" s="31" t="s">
        <v>6580</v>
      </c>
      <c r="E2416" s="31" t="s">
        <v>6581</v>
      </c>
      <c r="F2416" s="31" t="s">
        <v>6582</v>
      </c>
      <c r="G2416" s="31" t="s">
        <v>127</v>
      </c>
      <c r="H2416" s="31" t="s">
        <v>20</v>
      </c>
      <c r="I2416" s="31">
        <v>4400.0</v>
      </c>
      <c r="J2416" s="31">
        <v>3.874825024E9</v>
      </c>
      <c r="K2416" s="31" t="s">
        <v>761</v>
      </c>
      <c r="L2416" s="31" t="s">
        <v>3761</v>
      </c>
      <c r="M2416" s="33">
        <v>1.0</v>
      </c>
      <c r="N2416" s="34"/>
      <c r="O2416" s="31"/>
    </row>
    <row r="2417">
      <c r="A2417" s="85">
        <v>46183.0</v>
      </c>
      <c r="B2417" s="31" t="s">
        <v>6579</v>
      </c>
      <c r="C2417" s="31">
        <v>8.07025036289E11</v>
      </c>
      <c r="D2417" s="31" t="s">
        <v>6580</v>
      </c>
      <c r="E2417" s="31" t="s">
        <v>6581</v>
      </c>
      <c r="F2417" s="31" t="s">
        <v>6582</v>
      </c>
      <c r="G2417" s="31" t="s">
        <v>127</v>
      </c>
      <c r="H2417" s="31" t="s">
        <v>20</v>
      </c>
      <c r="I2417" s="31">
        <v>4400.0</v>
      </c>
      <c r="J2417" s="31">
        <v>3.874825024E9</v>
      </c>
      <c r="K2417" s="31" t="s">
        <v>4695</v>
      </c>
      <c r="L2417" s="31" t="s">
        <v>4696</v>
      </c>
      <c r="M2417" s="33">
        <v>1.0</v>
      </c>
      <c r="N2417" s="34"/>
      <c r="O2417" s="31"/>
    </row>
    <row r="2418" ht="6.75" customHeight="1">
      <c r="A2418" s="87"/>
      <c r="B2418" s="88"/>
      <c r="C2418" s="88"/>
      <c r="D2418" s="88"/>
      <c r="E2418" s="88"/>
      <c r="F2418" s="114"/>
      <c r="G2418" s="88"/>
      <c r="H2418" s="88"/>
      <c r="I2418" s="88"/>
      <c r="J2418" s="88"/>
      <c r="K2418" s="88"/>
      <c r="L2418" s="88"/>
      <c r="M2418" s="89"/>
      <c r="N2418" s="90"/>
      <c r="O2418" s="88"/>
    </row>
    <row r="2419">
      <c r="A2419" s="115">
        <v>46190.0</v>
      </c>
      <c r="B2419" s="54" t="s">
        <v>6583</v>
      </c>
      <c r="C2419" s="54">
        <v>8.07839008715E11</v>
      </c>
      <c r="D2419" s="54" t="s">
        <v>6584</v>
      </c>
      <c r="E2419" s="54" t="s">
        <v>6585</v>
      </c>
      <c r="F2419" s="54" t="s">
        <v>6586</v>
      </c>
      <c r="G2419" s="54" t="s">
        <v>127</v>
      </c>
      <c r="H2419" s="54" t="s">
        <v>20</v>
      </c>
      <c r="I2419" s="54">
        <v>4400.0</v>
      </c>
      <c r="J2419" s="54">
        <v>3.875986911E9</v>
      </c>
      <c r="K2419" s="54" t="s">
        <v>1040</v>
      </c>
      <c r="L2419" s="54" t="s">
        <v>3294</v>
      </c>
      <c r="M2419" s="55">
        <v>1.0</v>
      </c>
      <c r="O2419" s="54"/>
    </row>
    <row r="2420">
      <c r="A2420" s="115">
        <v>46190.0</v>
      </c>
      <c r="B2420" s="54" t="s">
        <v>6583</v>
      </c>
      <c r="C2420" s="54">
        <v>8.07839008715E11</v>
      </c>
      <c r="D2420" s="54" t="s">
        <v>6584</v>
      </c>
      <c r="E2420" s="54" t="s">
        <v>6585</v>
      </c>
      <c r="F2420" s="54" t="s">
        <v>6586</v>
      </c>
      <c r="G2420" s="54" t="s">
        <v>127</v>
      </c>
      <c r="H2420" s="54" t="s">
        <v>20</v>
      </c>
      <c r="I2420" s="54">
        <v>4400.0</v>
      </c>
      <c r="J2420" s="54">
        <v>3.875986911E9</v>
      </c>
      <c r="K2420" s="54" t="s">
        <v>512</v>
      </c>
      <c r="L2420" s="54" t="s">
        <v>513</v>
      </c>
      <c r="M2420" s="55">
        <v>6.0</v>
      </c>
      <c r="O2420" s="54"/>
    </row>
    <row r="2421">
      <c r="A2421" s="115">
        <v>46190.0</v>
      </c>
      <c r="B2421" s="54" t="s">
        <v>6583</v>
      </c>
      <c r="C2421" s="54">
        <v>8.07839008715E11</v>
      </c>
      <c r="D2421" s="54" t="s">
        <v>6584</v>
      </c>
      <c r="E2421" s="54" t="s">
        <v>6585</v>
      </c>
      <c r="F2421" s="54" t="s">
        <v>6586</v>
      </c>
      <c r="G2421" s="54" t="s">
        <v>127</v>
      </c>
      <c r="H2421" s="54" t="s">
        <v>20</v>
      </c>
      <c r="I2421" s="54">
        <v>4400.0</v>
      </c>
      <c r="J2421" s="54">
        <v>3.875986911E9</v>
      </c>
      <c r="K2421" s="54" t="s">
        <v>969</v>
      </c>
      <c r="L2421" s="54" t="s">
        <v>3296</v>
      </c>
      <c r="M2421" s="55">
        <v>1.0</v>
      </c>
      <c r="O2421" s="54"/>
    </row>
    <row r="2422">
      <c r="A2422" s="116">
        <v>46190.0</v>
      </c>
      <c r="B2422" s="54" t="s">
        <v>6587</v>
      </c>
      <c r="C2422" s="117">
        <v>8.0783900877E11</v>
      </c>
      <c r="D2422" s="54" t="s">
        <v>6588</v>
      </c>
      <c r="E2422" s="54" t="s">
        <v>6589</v>
      </c>
      <c r="F2422" s="54" t="s">
        <v>6590</v>
      </c>
      <c r="G2422" s="54" t="s">
        <v>6591</v>
      </c>
      <c r="H2422" s="54" t="s">
        <v>20</v>
      </c>
      <c r="I2422" s="54">
        <v>4444.0</v>
      </c>
      <c r="J2422" s="54">
        <v>1.87220821E8</v>
      </c>
      <c r="K2422" s="54" t="s">
        <v>698</v>
      </c>
      <c r="L2422" s="54" t="s">
        <v>699</v>
      </c>
      <c r="M2422" s="55">
        <v>1.0</v>
      </c>
      <c r="O2422" s="54" t="s">
        <v>6592</v>
      </c>
    </row>
    <row r="2423" ht="9.0" customHeight="1">
      <c r="A2423" s="87"/>
      <c r="B2423" s="88"/>
      <c r="C2423" s="88"/>
      <c r="D2423" s="88"/>
      <c r="E2423" s="88"/>
      <c r="F2423" s="114"/>
      <c r="G2423" s="88"/>
      <c r="H2423" s="88"/>
      <c r="I2423" s="88"/>
      <c r="J2423" s="88"/>
      <c r="K2423" s="88"/>
      <c r="L2423" s="88"/>
      <c r="M2423" s="89"/>
      <c r="N2423" s="90"/>
      <c r="O2423" s="88"/>
    </row>
    <row r="2424">
      <c r="A2424" s="115"/>
      <c r="B2424" s="54"/>
      <c r="C2424" s="54"/>
      <c r="D2424" s="54"/>
      <c r="E2424" s="54"/>
      <c r="F2424" s="118"/>
      <c r="G2424" s="54"/>
      <c r="H2424" s="54"/>
      <c r="I2424" s="54"/>
      <c r="J2424" s="54"/>
      <c r="K2424" s="54"/>
      <c r="L2424" s="54"/>
      <c r="M2424" s="55"/>
      <c r="O2424" s="54"/>
    </row>
    <row r="2425">
      <c r="A2425" s="115"/>
      <c r="B2425" s="54"/>
      <c r="C2425" s="54"/>
      <c r="D2425" s="54"/>
      <c r="E2425" s="54"/>
      <c r="F2425" s="118"/>
      <c r="G2425" s="54"/>
      <c r="H2425" s="54"/>
      <c r="I2425" s="54"/>
      <c r="J2425" s="54"/>
      <c r="K2425" s="54"/>
      <c r="L2425" s="54"/>
      <c r="M2425" s="55"/>
      <c r="O2425" s="54"/>
    </row>
    <row r="2426">
      <c r="A2426" s="115"/>
      <c r="B2426" s="54"/>
      <c r="C2426" s="54"/>
      <c r="D2426" s="54"/>
      <c r="E2426" s="54"/>
      <c r="F2426" s="118"/>
      <c r="G2426" s="54"/>
      <c r="H2426" s="54"/>
      <c r="I2426" s="54"/>
      <c r="J2426" s="54"/>
      <c r="K2426" s="54"/>
      <c r="L2426" s="54"/>
      <c r="M2426" s="55"/>
      <c r="O2426" s="54"/>
    </row>
    <row r="2427">
      <c r="A2427" s="115"/>
      <c r="B2427" s="54"/>
      <c r="C2427" s="54"/>
      <c r="D2427" s="54"/>
      <c r="E2427" s="54"/>
      <c r="F2427" s="118"/>
      <c r="G2427" s="54"/>
      <c r="H2427" s="54"/>
      <c r="I2427" s="54"/>
      <c r="J2427" s="54"/>
      <c r="K2427" s="54"/>
      <c r="L2427" s="54"/>
      <c r="M2427" s="55"/>
      <c r="O2427" s="54"/>
    </row>
    <row r="2428">
      <c r="A2428" s="115"/>
      <c r="B2428" s="54"/>
      <c r="C2428" s="54"/>
      <c r="D2428" s="54"/>
      <c r="E2428" s="54"/>
      <c r="F2428" s="118"/>
      <c r="G2428" s="54"/>
      <c r="H2428" s="54"/>
      <c r="I2428" s="54"/>
      <c r="J2428" s="54"/>
      <c r="K2428" s="54"/>
      <c r="L2428" s="54"/>
      <c r="M2428" s="55"/>
      <c r="O2428" s="54"/>
    </row>
    <row r="2429">
      <c r="A2429" s="115"/>
      <c r="B2429" s="54"/>
      <c r="C2429" s="54"/>
      <c r="D2429" s="54"/>
      <c r="E2429" s="54"/>
      <c r="F2429" s="118"/>
      <c r="G2429" s="54"/>
      <c r="H2429" s="54"/>
      <c r="I2429" s="54"/>
      <c r="J2429" s="54"/>
      <c r="K2429" s="54"/>
      <c r="L2429" s="54"/>
      <c r="M2429" s="55"/>
      <c r="O2429" s="54"/>
    </row>
    <row r="2430">
      <c r="A2430" s="115"/>
      <c r="B2430" s="54"/>
      <c r="C2430" s="54"/>
      <c r="D2430" s="54"/>
      <c r="E2430" s="54"/>
      <c r="F2430" s="118"/>
      <c r="G2430" s="54"/>
      <c r="H2430" s="54"/>
      <c r="I2430" s="54"/>
      <c r="J2430" s="54"/>
      <c r="K2430" s="54"/>
      <c r="L2430" s="54"/>
      <c r="M2430" s="55"/>
      <c r="O2430" s="54"/>
    </row>
    <row r="2431">
      <c r="A2431" s="115"/>
      <c r="B2431" s="54"/>
      <c r="C2431" s="54"/>
      <c r="D2431" s="54"/>
      <c r="E2431" s="54"/>
      <c r="F2431" s="118"/>
      <c r="G2431" s="54"/>
      <c r="H2431" s="54"/>
      <c r="I2431" s="54"/>
      <c r="J2431" s="54"/>
      <c r="K2431" s="54"/>
      <c r="L2431" s="54"/>
      <c r="M2431" s="55"/>
      <c r="O2431" s="54"/>
    </row>
    <row r="2432">
      <c r="A2432" s="115"/>
      <c r="B2432" s="54"/>
      <c r="C2432" s="54"/>
      <c r="D2432" s="54"/>
      <c r="E2432" s="54"/>
      <c r="F2432" s="118"/>
      <c r="G2432" s="54"/>
      <c r="H2432" s="54"/>
      <c r="I2432" s="54"/>
      <c r="J2432" s="54"/>
      <c r="K2432" s="54"/>
      <c r="L2432" s="54"/>
      <c r="M2432" s="55"/>
      <c r="O2432" s="54"/>
    </row>
    <row r="2433">
      <c r="A2433" s="115"/>
      <c r="B2433" s="54"/>
      <c r="C2433" s="54"/>
      <c r="D2433" s="54"/>
      <c r="E2433" s="54"/>
      <c r="F2433" s="118"/>
      <c r="G2433" s="54"/>
      <c r="H2433" s="54"/>
      <c r="I2433" s="54"/>
      <c r="J2433" s="54"/>
      <c r="K2433" s="54"/>
      <c r="L2433" s="54"/>
      <c r="M2433" s="55"/>
      <c r="O2433" s="54"/>
    </row>
    <row r="2434">
      <c r="A2434" s="115"/>
      <c r="B2434" s="54"/>
      <c r="C2434" s="54"/>
      <c r="D2434" s="54"/>
      <c r="E2434" s="54"/>
      <c r="F2434" s="118"/>
      <c r="G2434" s="54"/>
      <c r="H2434" s="54"/>
      <c r="I2434" s="54"/>
      <c r="J2434" s="54"/>
      <c r="K2434" s="54"/>
      <c r="L2434" s="54"/>
      <c r="M2434" s="55"/>
      <c r="O2434" s="54"/>
    </row>
    <row r="2435">
      <c r="A2435" s="115"/>
      <c r="B2435" s="54"/>
      <c r="C2435" s="54"/>
      <c r="D2435" s="54"/>
      <c r="E2435" s="54"/>
      <c r="F2435" s="118"/>
      <c r="G2435" s="54"/>
      <c r="H2435" s="54"/>
      <c r="I2435" s="54"/>
      <c r="J2435" s="54"/>
      <c r="K2435" s="54"/>
      <c r="L2435" s="54"/>
      <c r="M2435" s="55"/>
      <c r="O2435" s="54"/>
    </row>
    <row r="2436">
      <c r="A2436" s="115"/>
      <c r="B2436" s="54"/>
      <c r="C2436" s="54"/>
      <c r="D2436" s="54"/>
      <c r="E2436" s="54"/>
      <c r="F2436" s="118"/>
      <c r="G2436" s="54"/>
      <c r="H2436" s="54"/>
      <c r="I2436" s="54"/>
      <c r="J2436" s="54"/>
      <c r="K2436" s="54"/>
      <c r="L2436" s="54"/>
      <c r="M2436" s="55"/>
      <c r="O2436" s="54"/>
    </row>
    <row r="2437">
      <c r="A2437" s="115"/>
      <c r="B2437" s="54"/>
      <c r="C2437" s="54"/>
      <c r="D2437" s="54"/>
      <c r="E2437" s="54"/>
      <c r="F2437" s="118"/>
      <c r="G2437" s="54"/>
      <c r="H2437" s="54"/>
      <c r="I2437" s="54"/>
      <c r="J2437" s="54"/>
      <c r="K2437" s="54"/>
      <c r="L2437" s="54"/>
      <c r="M2437" s="55"/>
      <c r="O2437" s="54"/>
    </row>
    <row r="2438">
      <c r="A2438" s="115"/>
      <c r="B2438" s="54"/>
      <c r="C2438" s="54"/>
      <c r="D2438" s="54"/>
      <c r="E2438" s="54"/>
      <c r="F2438" s="118"/>
      <c r="G2438" s="54"/>
      <c r="H2438" s="54"/>
      <c r="I2438" s="54"/>
      <c r="J2438" s="54"/>
      <c r="K2438" s="54"/>
      <c r="L2438" s="54"/>
      <c r="M2438" s="55"/>
      <c r="O2438" s="54"/>
    </row>
    <row r="2439">
      <c r="A2439" s="115"/>
      <c r="B2439" s="54"/>
      <c r="C2439" s="54"/>
      <c r="D2439" s="54"/>
      <c r="E2439" s="54"/>
      <c r="F2439" s="118"/>
      <c r="G2439" s="54"/>
      <c r="H2439" s="54"/>
      <c r="I2439" s="54"/>
      <c r="J2439" s="54"/>
      <c r="K2439" s="54"/>
      <c r="L2439" s="54"/>
      <c r="M2439" s="55"/>
      <c r="O2439" s="54"/>
    </row>
    <row r="2440">
      <c r="A2440" s="115"/>
      <c r="B2440" s="54"/>
      <c r="C2440" s="54"/>
      <c r="D2440" s="54"/>
      <c r="E2440" s="54"/>
      <c r="F2440" s="118"/>
      <c r="G2440" s="54"/>
      <c r="H2440" s="54"/>
      <c r="I2440" s="54"/>
      <c r="J2440" s="54"/>
      <c r="K2440" s="54"/>
      <c r="L2440" s="54"/>
      <c r="M2440" s="55"/>
      <c r="O2440" s="54"/>
    </row>
    <row r="2441">
      <c r="A2441" s="115"/>
      <c r="B2441" s="54"/>
      <c r="C2441" s="54"/>
      <c r="D2441" s="54"/>
      <c r="E2441" s="54"/>
      <c r="F2441" s="118"/>
      <c r="G2441" s="54"/>
      <c r="H2441" s="54"/>
      <c r="I2441" s="54"/>
      <c r="J2441" s="54"/>
      <c r="K2441" s="54"/>
      <c r="L2441" s="54"/>
      <c r="M2441" s="55"/>
      <c r="O2441" s="54"/>
    </row>
    <row r="2442">
      <c r="A2442" s="115"/>
      <c r="B2442" s="54"/>
      <c r="C2442" s="54"/>
      <c r="D2442" s="54"/>
      <c r="E2442" s="54"/>
      <c r="F2442" s="118"/>
      <c r="G2442" s="54"/>
      <c r="H2442" s="54"/>
      <c r="I2442" s="54"/>
      <c r="J2442" s="54"/>
      <c r="K2442" s="54"/>
      <c r="L2442" s="54"/>
      <c r="M2442" s="55"/>
      <c r="O2442" s="54"/>
    </row>
    <row r="2443">
      <c r="A2443" s="115"/>
      <c r="B2443" s="54"/>
      <c r="C2443" s="54"/>
      <c r="D2443" s="54"/>
      <c r="E2443" s="54"/>
      <c r="F2443" s="118"/>
      <c r="G2443" s="54"/>
      <c r="H2443" s="54"/>
      <c r="I2443" s="54"/>
      <c r="J2443" s="54"/>
      <c r="K2443" s="54"/>
      <c r="L2443" s="54"/>
      <c r="M2443" s="55"/>
      <c r="O2443" s="54"/>
    </row>
    <row r="2444">
      <c r="A2444" s="115"/>
      <c r="B2444" s="54"/>
      <c r="C2444" s="54"/>
      <c r="D2444" s="54"/>
      <c r="E2444" s="54"/>
      <c r="F2444" s="118"/>
      <c r="G2444" s="54"/>
      <c r="H2444" s="54"/>
      <c r="I2444" s="54"/>
      <c r="J2444" s="54"/>
      <c r="K2444" s="54"/>
      <c r="L2444" s="54"/>
      <c r="M2444" s="55"/>
      <c r="O2444" s="54"/>
    </row>
    <row r="2445">
      <c r="A2445" s="115"/>
      <c r="B2445" s="54"/>
      <c r="C2445" s="54"/>
      <c r="D2445" s="54"/>
      <c r="E2445" s="54"/>
      <c r="F2445" s="118"/>
      <c r="G2445" s="54"/>
      <c r="H2445" s="54"/>
      <c r="I2445" s="54"/>
      <c r="J2445" s="54"/>
      <c r="K2445" s="54"/>
      <c r="L2445" s="54"/>
      <c r="M2445" s="55"/>
      <c r="O2445" s="54"/>
    </row>
    <row r="2446">
      <c r="A2446" s="115"/>
      <c r="B2446" s="54"/>
      <c r="C2446" s="54"/>
      <c r="D2446" s="54"/>
      <c r="E2446" s="54"/>
      <c r="F2446" s="118"/>
      <c r="G2446" s="54"/>
      <c r="H2446" s="54"/>
      <c r="I2446" s="54"/>
      <c r="J2446" s="54"/>
      <c r="K2446" s="54"/>
      <c r="L2446" s="54"/>
      <c r="M2446" s="55"/>
      <c r="O2446" s="54"/>
    </row>
    <row r="2447">
      <c r="A2447" s="115"/>
      <c r="B2447" s="54"/>
      <c r="C2447" s="54"/>
      <c r="D2447" s="54"/>
      <c r="E2447" s="54"/>
      <c r="F2447" s="118"/>
      <c r="G2447" s="54"/>
      <c r="H2447" s="54"/>
      <c r="I2447" s="54"/>
      <c r="J2447" s="54"/>
      <c r="K2447" s="54"/>
      <c r="L2447" s="54"/>
      <c r="M2447" s="55"/>
      <c r="O2447" s="54"/>
    </row>
    <row r="2448">
      <c r="A2448" s="115"/>
      <c r="B2448" s="54"/>
      <c r="C2448" s="54"/>
      <c r="D2448" s="54"/>
      <c r="E2448" s="54"/>
      <c r="F2448" s="118"/>
      <c r="G2448" s="54"/>
      <c r="H2448" s="54"/>
      <c r="I2448" s="54"/>
      <c r="J2448" s="54"/>
      <c r="K2448" s="54"/>
      <c r="L2448" s="54"/>
      <c r="M2448" s="55"/>
      <c r="O2448" s="54"/>
    </row>
    <row r="2449">
      <c r="A2449" s="115"/>
      <c r="B2449" s="54"/>
      <c r="C2449" s="54"/>
      <c r="D2449" s="54"/>
      <c r="E2449" s="54"/>
      <c r="F2449" s="118"/>
      <c r="G2449" s="54"/>
      <c r="H2449" s="54"/>
      <c r="I2449" s="54"/>
      <c r="J2449" s="54"/>
      <c r="K2449" s="54"/>
      <c r="L2449" s="54"/>
      <c r="M2449" s="55"/>
      <c r="O2449" s="54"/>
    </row>
    <row r="2450">
      <c r="A2450" s="115"/>
      <c r="B2450" s="54"/>
      <c r="C2450" s="54"/>
      <c r="D2450" s="54"/>
      <c r="E2450" s="54"/>
      <c r="F2450" s="118"/>
      <c r="G2450" s="54"/>
      <c r="H2450" s="54"/>
      <c r="I2450" s="54"/>
      <c r="J2450" s="54"/>
      <c r="K2450" s="54"/>
      <c r="L2450" s="54"/>
      <c r="M2450" s="55"/>
      <c r="O2450" s="54"/>
    </row>
    <row r="2451">
      <c r="A2451" s="115"/>
      <c r="B2451" s="54"/>
      <c r="C2451" s="54"/>
      <c r="D2451" s="54"/>
      <c r="E2451" s="54"/>
      <c r="F2451" s="118"/>
      <c r="G2451" s="54"/>
      <c r="H2451" s="54"/>
      <c r="I2451" s="54"/>
      <c r="J2451" s="54"/>
      <c r="K2451" s="54"/>
      <c r="L2451" s="54"/>
      <c r="M2451" s="55"/>
      <c r="O2451" s="54"/>
    </row>
    <row r="2452">
      <c r="A2452" s="115"/>
      <c r="B2452" s="54"/>
      <c r="C2452" s="54"/>
      <c r="D2452" s="54"/>
      <c r="E2452" s="54"/>
      <c r="F2452" s="118"/>
      <c r="G2452" s="54"/>
      <c r="H2452" s="54"/>
      <c r="I2452" s="54"/>
      <c r="J2452" s="54"/>
      <c r="K2452" s="54"/>
      <c r="L2452" s="54"/>
      <c r="M2452" s="55"/>
      <c r="O2452" s="54"/>
    </row>
    <row r="2453">
      <c r="A2453" s="115"/>
      <c r="B2453" s="54"/>
      <c r="C2453" s="54"/>
      <c r="D2453" s="54"/>
      <c r="E2453" s="54"/>
      <c r="F2453" s="118"/>
      <c r="G2453" s="54"/>
      <c r="H2453" s="54"/>
      <c r="I2453" s="54"/>
      <c r="J2453" s="54"/>
      <c r="K2453" s="54"/>
      <c r="L2453" s="54"/>
      <c r="M2453" s="55"/>
      <c r="O2453" s="54"/>
    </row>
    <row r="2454">
      <c r="A2454" s="115"/>
      <c r="B2454" s="54"/>
      <c r="C2454" s="54"/>
      <c r="D2454" s="54"/>
      <c r="E2454" s="54"/>
      <c r="F2454" s="118"/>
      <c r="G2454" s="54"/>
      <c r="H2454" s="54"/>
      <c r="I2454" s="54"/>
      <c r="J2454" s="54"/>
      <c r="K2454" s="54"/>
      <c r="L2454" s="54"/>
      <c r="M2454" s="55"/>
      <c r="O2454" s="54"/>
    </row>
    <row r="2455">
      <c r="A2455" s="115"/>
      <c r="B2455" s="54"/>
      <c r="C2455" s="54"/>
      <c r="D2455" s="54"/>
      <c r="E2455" s="54"/>
      <c r="F2455" s="118"/>
      <c r="G2455" s="54"/>
      <c r="H2455" s="54"/>
      <c r="I2455" s="54"/>
      <c r="J2455" s="54"/>
      <c r="K2455" s="54"/>
      <c r="L2455" s="54"/>
      <c r="M2455" s="55"/>
      <c r="O2455" s="54"/>
    </row>
    <row r="2456">
      <c r="A2456" s="115"/>
      <c r="B2456" s="54"/>
      <c r="C2456" s="54"/>
      <c r="D2456" s="54"/>
      <c r="E2456" s="54"/>
      <c r="F2456" s="118"/>
      <c r="G2456" s="54"/>
      <c r="H2456" s="54"/>
      <c r="I2456" s="54"/>
      <c r="J2456" s="54"/>
      <c r="K2456" s="54"/>
      <c r="L2456" s="54"/>
      <c r="M2456" s="55"/>
      <c r="O2456" s="54"/>
    </row>
    <row r="2457">
      <c r="A2457" s="115"/>
      <c r="B2457" s="54"/>
      <c r="C2457" s="54"/>
      <c r="D2457" s="54"/>
      <c r="E2457" s="54"/>
      <c r="F2457" s="118"/>
      <c r="G2457" s="54"/>
      <c r="H2457" s="54"/>
      <c r="I2457" s="54"/>
      <c r="J2457" s="54"/>
      <c r="K2457" s="54"/>
      <c r="L2457" s="54"/>
      <c r="M2457" s="55"/>
      <c r="O2457" s="54"/>
    </row>
    <row r="2458">
      <c r="A2458" s="115"/>
      <c r="B2458" s="54"/>
      <c r="C2458" s="54"/>
      <c r="D2458" s="54"/>
      <c r="E2458" s="54"/>
      <c r="F2458" s="118"/>
      <c r="G2458" s="54"/>
      <c r="H2458" s="54"/>
      <c r="I2458" s="54"/>
      <c r="J2458" s="54"/>
      <c r="K2458" s="54"/>
      <c r="L2458" s="54"/>
      <c r="M2458" s="55"/>
      <c r="O2458" s="54"/>
    </row>
    <row r="2459">
      <c r="A2459" s="115"/>
      <c r="B2459" s="54"/>
      <c r="C2459" s="54"/>
      <c r="D2459" s="54"/>
      <c r="E2459" s="54"/>
      <c r="F2459" s="118"/>
      <c r="G2459" s="54"/>
      <c r="H2459" s="54"/>
      <c r="I2459" s="54"/>
      <c r="J2459" s="54"/>
      <c r="K2459" s="54"/>
      <c r="L2459" s="54"/>
      <c r="M2459" s="55"/>
      <c r="O2459" s="54"/>
    </row>
    <row r="2460">
      <c r="A2460" s="115"/>
      <c r="B2460" s="54"/>
      <c r="C2460" s="54"/>
      <c r="D2460" s="54"/>
      <c r="E2460" s="54"/>
      <c r="F2460" s="118"/>
      <c r="G2460" s="54"/>
      <c r="H2460" s="54"/>
      <c r="I2460" s="54"/>
      <c r="J2460" s="54"/>
      <c r="K2460" s="54"/>
      <c r="L2460" s="54"/>
      <c r="M2460" s="55"/>
      <c r="O2460" s="54"/>
    </row>
    <row r="2461">
      <c r="A2461" s="115"/>
      <c r="B2461" s="54"/>
      <c r="C2461" s="54"/>
      <c r="D2461" s="54"/>
      <c r="E2461" s="54"/>
      <c r="F2461" s="118"/>
      <c r="G2461" s="54"/>
      <c r="H2461" s="54"/>
      <c r="I2461" s="54"/>
      <c r="J2461" s="54"/>
      <c r="K2461" s="54"/>
      <c r="L2461" s="54"/>
      <c r="M2461" s="55"/>
      <c r="O2461" s="54"/>
    </row>
    <row r="2462">
      <c r="A2462" s="115"/>
      <c r="B2462" s="54"/>
      <c r="C2462" s="54"/>
      <c r="D2462" s="54"/>
      <c r="E2462" s="54"/>
      <c r="F2462" s="118"/>
      <c r="G2462" s="54"/>
      <c r="H2462" s="54"/>
      <c r="I2462" s="54"/>
      <c r="J2462" s="54"/>
      <c r="K2462" s="54"/>
      <c r="L2462" s="54"/>
      <c r="M2462" s="55"/>
      <c r="O2462" s="54"/>
    </row>
    <row r="2463">
      <c r="A2463" s="115"/>
      <c r="B2463" s="54"/>
      <c r="C2463" s="54"/>
      <c r="D2463" s="54"/>
      <c r="E2463" s="54"/>
      <c r="F2463" s="118"/>
      <c r="G2463" s="54"/>
      <c r="H2463" s="54"/>
      <c r="I2463" s="54"/>
      <c r="J2463" s="54"/>
      <c r="K2463" s="54"/>
      <c r="L2463" s="54"/>
      <c r="M2463" s="55"/>
      <c r="O2463" s="54"/>
    </row>
    <row r="2464">
      <c r="A2464" s="115"/>
      <c r="B2464" s="54"/>
      <c r="C2464" s="54"/>
      <c r="D2464" s="54"/>
      <c r="E2464" s="54"/>
      <c r="F2464" s="118"/>
      <c r="G2464" s="54"/>
      <c r="H2464" s="54"/>
      <c r="I2464" s="54"/>
      <c r="J2464" s="54"/>
      <c r="K2464" s="54"/>
      <c r="L2464" s="54"/>
      <c r="M2464" s="55"/>
      <c r="O2464" s="54"/>
    </row>
    <row r="2465">
      <c r="A2465" s="115"/>
      <c r="B2465" s="54"/>
      <c r="C2465" s="54"/>
      <c r="D2465" s="54"/>
      <c r="E2465" s="54"/>
      <c r="F2465" s="118"/>
      <c r="G2465" s="54"/>
      <c r="H2465" s="54"/>
      <c r="I2465" s="54"/>
      <c r="J2465" s="54"/>
      <c r="K2465" s="54"/>
      <c r="L2465" s="54"/>
      <c r="M2465" s="55"/>
      <c r="O2465" s="54"/>
    </row>
    <row r="2466">
      <c r="A2466" s="115"/>
      <c r="B2466" s="54"/>
      <c r="C2466" s="54"/>
      <c r="D2466" s="54"/>
      <c r="E2466" s="54"/>
      <c r="F2466" s="118"/>
      <c r="G2466" s="54"/>
      <c r="H2466" s="54"/>
      <c r="I2466" s="54"/>
      <c r="J2466" s="54"/>
      <c r="K2466" s="54"/>
      <c r="L2466" s="54"/>
      <c r="M2466" s="55"/>
      <c r="O2466" s="54"/>
    </row>
    <row r="2467">
      <c r="A2467" s="115"/>
      <c r="B2467" s="54"/>
      <c r="C2467" s="54"/>
      <c r="D2467" s="54"/>
      <c r="E2467" s="54"/>
      <c r="F2467" s="118"/>
      <c r="G2467" s="54"/>
      <c r="H2467" s="54"/>
      <c r="I2467" s="54"/>
      <c r="J2467" s="54"/>
      <c r="K2467" s="54"/>
      <c r="L2467" s="54"/>
      <c r="M2467" s="55"/>
      <c r="O2467" s="54"/>
    </row>
    <row r="2468">
      <c r="A2468" s="115"/>
      <c r="B2468" s="54"/>
      <c r="C2468" s="54"/>
      <c r="D2468" s="54"/>
      <c r="E2468" s="54"/>
      <c r="F2468" s="118"/>
      <c r="G2468" s="54"/>
      <c r="H2468" s="54"/>
      <c r="I2468" s="54"/>
      <c r="J2468" s="54"/>
      <c r="K2468" s="54"/>
      <c r="L2468" s="54"/>
      <c r="M2468" s="55"/>
      <c r="O2468" s="54"/>
    </row>
    <row r="2469">
      <c r="A2469" s="115"/>
      <c r="B2469" s="54"/>
      <c r="C2469" s="54"/>
      <c r="D2469" s="54"/>
      <c r="E2469" s="54"/>
      <c r="F2469" s="118"/>
      <c r="G2469" s="54"/>
      <c r="H2469" s="54"/>
      <c r="I2469" s="54"/>
      <c r="J2469" s="54"/>
      <c r="K2469" s="54"/>
      <c r="L2469" s="54"/>
      <c r="M2469" s="55"/>
      <c r="O2469" s="54"/>
    </row>
    <row r="2470">
      <c r="A2470" s="115"/>
      <c r="B2470" s="54"/>
      <c r="C2470" s="54"/>
      <c r="D2470" s="54"/>
      <c r="E2470" s="54"/>
      <c r="F2470" s="118"/>
      <c r="G2470" s="54"/>
      <c r="H2470" s="54"/>
      <c r="I2470" s="54"/>
      <c r="J2470" s="54"/>
      <c r="K2470" s="54"/>
      <c r="L2470" s="54"/>
      <c r="M2470" s="55"/>
      <c r="O2470" s="54"/>
    </row>
    <row r="2471">
      <c r="A2471" s="115"/>
      <c r="B2471" s="54"/>
      <c r="C2471" s="54"/>
      <c r="D2471" s="54"/>
      <c r="E2471" s="54"/>
      <c r="F2471" s="118"/>
      <c r="G2471" s="54"/>
      <c r="H2471" s="54"/>
      <c r="I2471" s="54"/>
      <c r="J2471" s="54"/>
      <c r="K2471" s="54"/>
      <c r="L2471" s="54"/>
      <c r="M2471" s="55"/>
      <c r="O2471" s="54"/>
    </row>
    <row r="2472">
      <c r="A2472" s="115"/>
      <c r="B2472" s="54"/>
      <c r="C2472" s="54"/>
      <c r="D2472" s="54"/>
      <c r="E2472" s="54"/>
      <c r="F2472" s="118"/>
      <c r="G2472" s="54"/>
      <c r="H2472" s="54"/>
      <c r="I2472" s="54"/>
      <c r="J2472" s="54"/>
      <c r="K2472" s="54"/>
      <c r="L2472" s="54"/>
      <c r="M2472" s="55"/>
      <c r="O2472" s="54"/>
    </row>
    <row r="2473">
      <c r="A2473" s="115"/>
      <c r="B2473" s="54"/>
      <c r="C2473" s="54"/>
      <c r="D2473" s="54"/>
      <c r="E2473" s="54"/>
      <c r="F2473" s="118"/>
      <c r="G2473" s="54"/>
      <c r="H2473" s="54"/>
      <c r="I2473" s="54"/>
      <c r="J2473" s="54"/>
      <c r="K2473" s="54"/>
      <c r="L2473" s="54"/>
      <c r="M2473" s="55"/>
      <c r="O2473" s="54"/>
    </row>
    <row r="2474">
      <c r="A2474" s="115"/>
      <c r="B2474" s="54"/>
      <c r="C2474" s="54"/>
      <c r="D2474" s="54"/>
      <c r="E2474" s="54"/>
      <c r="F2474" s="118"/>
      <c r="G2474" s="54"/>
      <c r="H2474" s="54"/>
      <c r="I2474" s="54"/>
      <c r="J2474" s="54"/>
      <c r="K2474" s="54"/>
      <c r="L2474" s="54"/>
      <c r="M2474" s="55"/>
      <c r="O2474" s="54"/>
    </row>
    <row r="2475">
      <c r="A2475" s="115"/>
      <c r="B2475" s="54"/>
      <c r="C2475" s="54"/>
      <c r="D2475" s="54"/>
      <c r="E2475" s="54"/>
      <c r="F2475" s="118"/>
      <c r="G2475" s="54"/>
      <c r="H2475" s="54"/>
      <c r="I2475" s="54"/>
      <c r="J2475" s="54"/>
      <c r="K2475" s="54"/>
      <c r="L2475" s="54"/>
      <c r="M2475" s="55"/>
      <c r="O2475" s="54"/>
    </row>
    <row r="2476">
      <c r="A2476" s="115"/>
      <c r="B2476" s="54"/>
      <c r="C2476" s="54"/>
      <c r="D2476" s="54"/>
      <c r="E2476" s="54"/>
      <c r="F2476" s="118"/>
      <c r="G2476" s="54"/>
      <c r="H2476" s="54"/>
      <c r="I2476" s="54"/>
      <c r="J2476" s="54"/>
      <c r="K2476" s="54"/>
      <c r="L2476" s="54"/>
      <c r="M2476" s="55"/>
      <c r="O2476" s="54"/>
    </row>
    <row r="2477">
      <c r="A2477" s="115"/>
      <c r="B2477" s="54"/>
      <c r="C2477" s="54"/>
      <c r="D2477" s="54"/>
      <c r="E2477" s="54"/>
      <c r="F2477" s="118"/>
      <c r="G2477" s="54"/>
      <c r="H2477" s="54"/>
      <c r="I2477" s="54"/>
      <c r="J2477" s="54"/>
      <c r="K2477" s="54"/>
      <c r="L2477" s="54"/>
      <c r="M2477" s="55"/>
      <c r="O2477" s="54"/>
    </row>
    <row r="2478">
      <c r="A2478" s="115"/>
      <c r="B2478" s="54"/>
      <c r="C2478" s="54"/>
      <c r="D2478" s="54"/>
      <c r="E2478" s="54"/>
      <c r="F2478" s="118"/>
      <c r="G2478" s="54"/>
      <c r="H2478" s="54"/>
      <c r="I2478" s="54"/>
      <c r="J2478" s="54"/>
      <c r="K2478" s="54"/>
      <c r="L2478" s="54"/>
      <c r="M2478" s="55"/>
      <c r="O2478" s="54"/>
    </row>
    <row r="2479">
      <c r="A2479" s="115"/>
      <c r="B2479" s="54"/>
      <c r="C2479" s="54"/>
      <c r="D2479" s="54"/>
      <c r="E2479" s="54"/>
      <c r="F2479" s="118"/>
      <c r="G2479" s="54"/>
      <c r="H2479" s="54"/>
      <c r="I2479" s="54"/>
      <c r="J2479" s="54"/>
      <c r="K2479" s="54"/>
      <c r="L2479" s="54"/>
      <c r="M2479" s="55"/>
      <c r="O2479" s="54"/>
    </row>
    <row r="2480">
      <c r="A2480" s="115"/>
      <c r="B2480" s="54"/>
      <c r="C2480" s="54"/>
      <c r="D2480" s="54"/>
      <c r="E2480" s="54"/>
      <c r="F2480" s="118"/>
      <c r="G2480" s="54"/>
      <c r="H2480" s="54"/>
      <c r="I2480" s="54"/>
      <c r="J2480" s="54"/>
      <c r="K2480" s="54"/>
      <c r="L2480" s="54"/>
      <c r="M2480" s="55"/>
      <c r="O2480" s="54"/>
    </row>
    <row r="2481">
      <c r="A2481" s="115"/>
      <c r="B2481" s="54"/>
      <c r="C2481" s="54"/>
      <c r="D2481" s="54"/>
      <c r="E2481" s="54"/>
      <c r="F2481" s="118"/>
      <c r="G2481" s="54"/>
      <c r="H2481" s="54"/>
      <c r="I2481" s="54"/>
      <c r="J2481" s="54"/>
      <c r="K2481" s="54"/>
      <c r="L2481" s="54"/>
      <c r="M2481" s="55"/>
      <c r="O2481" s="54"/>
    </row>
    <row r="2482">
      <c r="A2482" s="115"/>
      <c r="B2482" s="54"/>
      <c r="C2482" s="54"/>
      <c r="D2482" s="54"/>
      <c r="E2482" s="54"/>
      <c r="F2482" s="118"/>
      <c r="G2482" s="54"/>
      <c r="H2482" s="54"/>
      <c r="I2482" s="54"/>
      <c r="J2482" s="54"/>
      <c r="K2482" s="54"/>
      <c r="L2482" s="54"/>
      <c r="M2482" s="55"/>
      <c r="O2482" s="54"/>
    </row>
    <row r="2483">
      <c r="A2483" s="115"/>
      <c r="B2483" s="54"/>
      <c r="C2483" s="54"/>
      <c r="D2483" s="54"/>
      <c r="E2483" s="54"/>
      <c r="F2483" s="118"/>
      <c r="G2483" s="54"/>
      <c r="H2483" s="54"/>
      <c r="I2483" s="54"/>
      <c r="J2483" s="54"/>
      <c r="K2483" s="54"/>
      <c r="L2483" s="54"/>
      <c r="M2483" s="55"/>
      <c r="O2483" s="54"/>
    </row>
    <row r="2484">
      <c r="A2484" s="115"/>
      <c r="B2484" s="54"/>
      <c r="C2484" s="54"/>
      <c r="D2484" s="54"/>
      <c r="E2484" s="54"/>
      <c r="F2484" s="118"/>
      <c r="G2484" s="54"/>
      <c r="H2484" s="54"/>
      <c r="I2484" s="54"/>
      <c r="J2484" s="54"/>
      <c r="K2484" s="54"/>
      <c r="L2484" s="54"/>
      <c r="M2484" s="55"/>
      <c r="O2484" s="54"/>
    </row>
    <row r="2485">
      <c r="A2485" s="115"/>
      <c r="B2485" s="54"/>
      <c r="C2485" s="54"/>
      <c r="D2485" s="54"/>
      <c r="E2485" s="54"/>
      <c r="F2485" s="118"/>
      <c r="G2485" s="54"/>
      <c r="H2485" s="54"/>
      <c r="I2485" s="54"/>
      <c r="J2485" s="54"/>
      <c r="K2485" s="54"/>
      <c r="L2485" s="54"/>
      <c r="M2485" s="55"/>
      <c r="O2485" s="54"/>
    </row>
    <row r="2486">
      <c r="A2486" s="115"/>
      <c r="B2486" s="54"/>
      <c r="C2486" s="54"/>
      <c r="D2486" s="54"/>
      <c r="E2486" s="54"/>
      <c r="F2486" s="118"/>
      <c r="G2486" s="54"/>
      <c r="H2486" s="54"/>
      <c r="I2486" s="54"/>
      <c r="J2486" s="54"/>
      <c r="K2486" s="54"/>
      <c r="L2486" s="54"/>
      <c r="M2486" s="55"/>
      <c r="O2486" s="54"/>
    </row>
    <row r="2487">
      <c r="A2487" s="115"/>
      <c r="B2487" s="54"/>
      <c r="C2487" s="54"/>
      <c r="D2487" s="54"/>
      <c r="E2487" s="54"/>
      <c r="F2487" s="118"/>
      <c r="G2487" s="54"/>
      <c r="H2487" s="54"/>
      <c r="I2487" s="54"/>
      <c r="J2487" s="54"/>
      <c r="K2487" s="54"/>
      <c r="L2487" s="54"/>
      <c r="M2487" s="55"/>
      <c r="O2487" s="54"/>
    </row>
    <row r="2488">
      <c r="A2488" s="115"/>
      <c r="B2488" s="54"/>
      <c r="C2488" s="54"/>
      <c r="D2488" s="54"/>
      <c r="E2488" s="54"/>
      <c r="F2488" s="118"/>
      <c r="G2488" s="54"/>
      <c r="H2488" s="54"/>
      <c r="I2488" s="54"/>
      <c r="J2488" s="54"/>
      <c r="K2488" s="54"/>
      <c r="L2488" s="54"/>
      <c r="M2488" s="55"/>
      <c r="O2488" s="54"/>
    </row>
    <row r="2489">
      <c r="A2489" s="115"/>
      <c r="B2489" s="54"/>
      <c r="C2489" s="54"/>
      <c r="D2489" s="54"/>
      <c r="E2489" s="54"/>
      <c r="F2489" s="118"/>
      <c r="G2489" s="54"/>
      <c r="H2489" s="54"/>
      <c r="I2489" s="54"/>
      <c r="J2489" s="54"/>
      <c r="K2489" s="54"/>
      <c r="L2489" s="54"/>
      <c r="M2489" s="55"/>
      <c r="O2489" s="54"/>
    </row>
    <row r="2490">
      <c r="A2490" s="115"/>
      <c r="B2490" s="54"/>
      <c r="C2490" s="54"/>
      <c r="D2490" s="54"/>
      <c r="E2490" s="54"/>
      <c r="F2490" s="118"/>
      <c r="G2490" s="54"/>
      <c r="H2490" s="54"/>
      <c r="I2490" s="54"/>
      <c r="J2490" s="54"/>
      <c r="K2490" s="54"/>
      <c r="L2490" s="54"/>
      <c r="M2490" s="55"/>
      <c r="O2490" s="54"/>
    </row>
    <row r="2491">
      <c r="A2491" s="115"/>
      <c r="B2491" s="54"/>
      <c r="C2491" s="54"/>
      <c r="D2491" s="54"/>
      <c r="E2491" s="54"/>
      <c r="F2491" s="118"/>
      <c r="G2491" s="54"/>
      <c r="H2491" s="54"/>
      <c r="I2491" s="54"/>
      <c r="J2491" s="54"/>
      <c r="K2491" s="54"/>
      <c r="L2491" s="54"/>
      <c r="M2491" s="55"/>
      <c r="O2491" s="54"/>
    </row>
    <row r="2492">
      <c r="A2492" s="115"/>
      <c r="B2492" s="54"/>
      <c r="C2492" s="54"/>
      <c r="D2492" s="54"/>
      <c r="E2492" s="54"/>
      <c r="F2492" s="118"/>
      <c r="G2492" s="54"/>
      <c r="H2492" s="54"/>
      <c r="I2492" s="54"/>
      <c r="J2492" s="54"/>
      <c r="K2492" s="54"/>
      <c r="L2492" s="54"/>
      <c r="M2492" s="55"/>
      <c r="O2492" s="54"/>
    </row>
    <row r="2493">
      <c r="A2493" s="115"/>
      <c r="B2493" s="54"/>
      <c r="C2493" s="54"/>
      <c r="D2493" s="54"/>
      <c r="E2493" s="54"/>
      <c r="F2493" s="118"/>
      <c r="G2493" s="54"/>
      <c r="H2493" s="54"/>
      <c r="I2493" s="54"/>
      <c r="J2493" s="54"/>
      <c r="K2493" s="54"/>
      <c r="L2493" s="54"/>
      <c r="M2493" s="55"/>
      <c r="O2493" s="54"/>
    </row>
    <row r="2494">
      <c r="A2494" s="115"/>
      <c r="B2494" s="54"/>
      <c r="C2494" s="54"/>
      <c r="D2494" s="54"/>
      <c r="E2494" s="54"/>
      <c r="F2494" s="118"/>
      <c r="G2494" s="54"/>
      <c r="H2494" s="54"/>
      <c r="I2494" s="54"/>
      <c r="J2494" s="54"/>
      <c r="K2494" s="54"/>
      <c r="L2494" s="54"/>
      <c r="M2494" s="55"/>
      <c r="O2494" s="54"/>
    </row>
    <row r="2495">
      <c r="A2495" s="115"/>
      <c r="B2495" s="54"/>
      <c r="C2495" s="54"/>
      <c r="D2495" s="54"/>
      <c r="E2495" s="54"/>
      <c r="F2495" s="118"/>
      <c r="G2495" s="54"/>
      <c r="H2495" s="54"/>
      <c r="I2495" s="54"/>
      <c r="J2495" s="54"/>
      <c r="K2495" s="54"/>
      <c r="L2495" s="54"/>
      <c r="M2495" s="55"/>
      <c r="O2495" s="54"/>
    </row>
    <row r="2496">
      <c r="A2496" s="115"/>
      <c r="B2496" s="54"/>
      <c r="C2496" s="54"/>
      <c r="D2496" s="54"/>
      <c r="E2496" s="54"/>
      <c r="F2496" s="118"/>
      <c r="G2496" s="54"/>
      <c r="H2496" s="54"/>
      <c r="I2496" s="54"/>
      <c r="J2496" s="54"/>
      <c r="K2496" s="54"/>
      <c r="L2496" s="54"/>
      <c r="M2496" s="55"/>
      <c r="O2496" s="54"/>
    </row>
    <row r="2497">
      <c r="A2497" s="115"/>
      <c r="B2497" s="54"/>
      <c r="C2497" s="54"/>
      <c r="D2497" s="54"/>
      <c r="E2497" s="54"/>
      <c r="F2497" s="118"/>
      <c r="G2497" s="54"/>
      <c r="H2497" s="54"/>
      <c r="I2497" s="54"/>
      <c r="J2497" s="54"/>
      <c r="K2497" s="54"/>
      <c r="L2497" s="54"/>
      <c r="M2497" s="55"/>
      <c r="O2497" s="54"/>
    </row>
    <row r="2498">
      <c r="A2498" s="115"/>
      <c r="B2498" s="54"/>
      <c r="C2498" s="54"/>
      <c r="D2498" s="54"/>
      <c r="E2498" s="54"/>
      <c r="F2498" s="118"/>
      <c r="G2498" s="54"/>
      <c r="H2498" s="54"/>
      <c r="I2498" s="54"/>
      <c r="J2498" s="54"/>
      <c r="K2498" s="54"/>
      <c r="L2498" s="54"/>
      <c r="M2498" s="55"/>
      <c r="O2498" s="54"/>
    </row>
    <row r="2499">
      <c r="A2499" s="115"/>
      <c r="B2499" s="54"/>
      <c r="C2499" s="54"/>
      <c r="D2499" s="54"/>
      <c r="E2499" s="54"/>
      <c r="F2499" s="118"/>
      <c r="G2499" s="54"/>
      <c r="H2499" s="54"/>
      <c r="I2499" s="54"/>
      <c r="J2499" s="54"/>
      <c r="K2499" s="54"/>
      <c r="L2499" s="54"/>
      <c r="M2499" s="55"/>
      <c r="O2499" s="54"/>
    </row>
    <row r="2500">
      <c r="A2500" s="115"/>
      <c r="B2500" s="54"/>
      <c r="C2500" s="54"/>
      <c r="D2500" s="54"/>
      <c r="E2500" s="54"/>
      <c r="F2500" s="118"/>
      <c r="G2500" s="54"/>
      <c r="H2500" s="54"/>
      <c r="I2500" s="54"/>
      <c r="J2500" s="54"/>
      <c r="K2500" s="54"/>
      <c r="L2500" s="54"/>
      <c r="M2500" s="55"/>
      <c r="O2500" s="54"/>
    </row>
    <row r="2501">
      <c r="A2501" s="115"/>
      <c r="B2501" s="54"/>
      <c r="C2501" s="54"/>
      <c r="D2501" s="54"/>
      <c r="E2501" s="54"/>
      <c r="F2501" s="118"/>
      <c r="G2501" s="54"/>
      <c r="H2501" s="54"/>
      <c r="I2501" s="54"/>
      <c r="J2501" s="54"/>
      <c r="K2501" s="54"/>
      <c r="L2501" s="54"/>
      <c r="M2501" s="55"/>
      <c r="O2501" s="54"/>
    </row>
    <row r="2502">
      <c r="A2502" s="115"/>
      <c r="B2502" s="54"/>
      <c r="C2502" s="54"/>
      <c r="D2502" s="54"/>
      <c r="E2502" s="54"/>
      <c r="F2502" s="118"/>
      <c r="G2502" s="54"/>
      <c r="H2502" s="54"/>
      <c r="I2502" s="54"/>
      <c r="J2502" s="54"/>
      <c r="K2502" s="54"/>
      <c r="L2502" s="54"/>
      <c r="M2502" s="55"/>
      <c r="O2502" s="54"/>
    </row>
    <row r="2503">
      <c r="A2503" s="115"/>
      <c r="B2503" s="54"/>
      <c r="C2503" s="54"/>
      <c r="D2503" s="54"/>
      <c r="E2503" s="54"/>
      <c r="F2503" s="118"/>
      <c r="G2503" s="54"/>
      <c r="H2503" s="54"/>
      <c r="I2503" s="54"/>
      <c r="J2503" s="54"/>
      <c r="K2503" s="54"/>
      <c r="L2503" s="54"/>
      <c r="M2503" s="55"/>
      <c r="O2503" s="54"/>
    </row>
    <row r="2504">
      <c r="A2504" s="115"/>
      <c r="B2504" s="54"/>
      <c r="C2504" s="54"/>
      <c r="D2504" s="54"/>
      <c r="E2504" s="54"/>
      <c r="F2504" s="118"/>
      <c r="G2504" s="54"/>
      <c r="H2504" s="54"/>
      <c r="I2504" s="54"/>
      <c r="J2504" s="54"/>
      <c r="K2504" s="54"/>
      <c r="L2504" s="54"/>
      <c r="M2504" s="55"/>
      <c r="O2504" s="54"/>
    </row>
    <row r="2505">
      <c r="A2505" s="115"/>
      <c r="B2505" s="54"/>
      <c r="C2505" s="54"/>
      <c r="D2505" s="54"/>
      <c r="E2505" s="54"/>
      <c r="F2505" s="118"/>
      <c r="G2505" s="54"/>
      <c r="H2505" s="54"/>
      <c r="I2505" s="54"/>
      <c r="J2505" s="54"/>
      <c r="K2505" s="54"/>
      <c r="L2505" s="54"/>
      <c r="M2505" s="55"/>
      <c r="O2505" s="54"/>
    </row>
    <row r="2506">
      <c r="A2506" s="115"/>
      <c r="B2506" s="54"/>
      <c r="C2506" s="54"/>
      <c r="D2506" s="54"/>
      <c r="E2506" s="54"/>
      <c r="F2506" s="118"/>
      <c r="G2506" s="54"/>
      <c r="H2506" s="54"/>
      <c r="I2506" s="54"/>
      <c r="J2506" s="54"/>
      <c r="K2506" s="54"/>
      <c r="L2506" s="54"/>
      <c r="M2506" s="55"/>
      <c r="O2506" s="54"/>
    </row>
    <row r="2507">
      <c r="A2507" s="115"/>
      <c r="B2507" s="54"/>
      <c r="C2507" s="54"/>
      <c r="D2507" s="54"/>
      <c r="E2507" s="54"/>
      <c r="F2507" s="118"/>
      <c r="G2507" s="54"/>
      <c r="H2507" s="54"/>
      <c r="I2507" s="54"/>
      <c r="J2507" s="54"/>
      <c r="K2507" s="54"/>
      <c r="L2507" s="54"/>
      <c r="M2507" s="55"/>
      <c r="O2507" s="54"/>
    </row>
    <row r="2508">
      <c r="A2508" s="115"/>
      <c r="B2508" s="54"/>
      <c r="C2508" s="54"/>
      <c r="D2508" s="54"/>
      <c r="E2508" s="54"/>
      <c r="F2508" s="118"/>
      <c r="G2508" s="54"/>
      <c r="H2508" s="54"/>
      <c r="I2508" s="54"/>
      <c r="J2508" s="54"/>
      <c r="K2508" s="54"/>
      <c r="L2508" s="54"/>
      <c r="M2508" s="55"/>
      <c r="O2508" s="54"/>
    </row>
    <row r="2509">
      <c r="A2509" s="115"/>
      <c r="B2509" s="54"/>
      <c r="C2509" s="54"/>
      <c r="D2509" s="54"/>
      <c r="E2509" s="54"/>
      <c r="F2509" s="118"/>
      <c r="G2509" s="54"/>
      <c r="H2509" s="54"/>
      <c r="I2509" s="54"/>
      <c r="J2509" s="54"/>
      <c r="K2509" s="54"/>
      <c r="L2509" s="54"/>
      <c r="M2509" s="55"/>
      <c r="O2509" s="54"/>
    </row>
    <row r="2510">
      <c r="A2510" s="115"/>
      <c r="B2510" s="54"/>
      <c r="C2510" s="54"/>
      <c r="D2510" s="54"/>
      <c r="E2510" s="54"/>
      <c r="F2510" s="118"/>
      <c r="G2510" s="54"/>
      <c r="H2510" s="54"/>
      <c r="I2510" s="54"/>
      <c r="J2510" s="54"/>
      <c r="K2510" s="54"/>
      <c r="L2510" s="54"/>
      <c r="M2510" s="55"/>
      <c r="O2510" s="54"/>
    </row>
    <row r="2511">
      <c r="A2511" s="115"/>
      <c r="B2511" s="54"/>
      <c r="C2511" s="54"/>
      <c r="D2511" s="54"/>
      <c r="E2511" s="54"/>
      <c r="F2511" s="118"/>
      <c r="G2511" s="54"/>
      <c r="H2511" s="54"/>
      <c r="I2511" s="54"/>
      <c r="J2511" s="54"/>
      <c r="K2511" s="54"/>
      <c r="L2511" s="54"/>
      <c r="M2511" s="55"/>
      <c r="O2511" s="54"/>
    </row>
    <row r="2512">
      <c r="A2512" s="115"/>
      <c r="B2512" s="54"/>
      <c r="C2512" s="54"/>
      <c r="D2512" s="54"/>
      <c r="E2512" s="54"/>
      <c r="F2512" s="118"/>
      <c r="G2512" s="54"/>
      <c r="H2512" s="54"/>
      <c r="I2512" s="54"/>
      <c r="J2512" s="54"/>
      <c r="K2512" s="54"/>
      <c r="L2512" s="54"/>
      <c r="M2512" s="55"/>
      <c r="O2512" s="54"/>
    </row>
    <row r="2513">
      <c r="A2513" s="115"/>
      <c r="B2513" s="54"/>
      <c r="C2513" s="54"/>
      <c r="D2513" s="54"/>
      <c r="E2513" s="54"/>
      <c r="F2513" s="118"/>
      <c r="G2513" s="54"/>
      <c r="H2513" s="54"/>
      <c r="I2513" s="54"/>
      <c r="J2513" s="54"/>
      <c r="K2513" s="54"/>
      <c r="L2513" s="54"/>
      <c r="M2513" s="55"/>
      <c r="O2513" s="54"/>
    </row>
    <row r="2514">
      <c r="A2514" s="115"/>
      <c r="B2514" s="54"/>
      <c r="C2514" s="54"/>
      <c r="D2514" s="54"/>
      <c r="E2514" s="54"/>
      <c r="F2514" s="118"/>
      <c r="G2514" s="54"/>
      <c r="H2514" s="54"/>
      <c r="I2514" s="54"/>
      <c r="J2514" s="54"/>
      <c r="K2514" s="54"/>
      <c r="L2514" s="54"/>
      <c r="M2514" s="55"/>
      <c r="O2514" s="54"/>
    </row>
    <row r="2515">
      <c r="A2515" s="115"/>
      <c r="B2515" s="54"/>
      <c r="C2515" s="54"/>
      <c r="D2515" s="54"/>
      <c r="E2515" s="54"/>
      <c r="F2515" s="118"/>
      <c r="G2515" s="54"/>
      <c r="H2515" s="54"/>
      <c r="I2515" s="54"/>
      <c r="J2515" s="54"/>
      <c r="K2515" s="54"/>
      <c r="L2515" s="54"/>
      <c r="M2515" s="55"/>
      <c r="O2515" s="54"/>
    </row>
    <row r="2516">
      <c r="A2516" s="115"/>
      <c r="B2516" s="54"/>
      <c r="C2516" s="54"/>
      <c r="D2516" s="54"/>
      <c r="E2516" s="54"/>
      <c r="F2516" s="118"/>
      <c r="G2516" s="54"/>
      <c r="H2516" s="54"/>
      <c r="I2516" s="54"/>
      <c r="J2516" s="54"/>
      <c r="K2516" s="54"/>
      <c r="L2516" s="54"/>
      <c r="M2516" s="55"/>
      <c r="O2516" s="54"/>
    </row>
    <row r="2517">
      <c r="A2517" s="115"/>
      <c r="B2517" s="54"/>
      <c r="C2517" s="54"/>
      <c r="D2517" s="54"/>
      <c r="E2517" s="54"/>
      <c r="F2517" s="118"/>
      <c r="G2517" s="54"/>
      <c r="H2517" s="54"/>
      <c r="I2517" s="54"/>
      <c r="J2517" s="54"/>
      <c r="K2517" s="54"/>
      <c r="L2517" s="54"/>
      <c r="M2517" s="55"/>
      <c r="O2517" s="54"/>
    </row>
    <row r="2518">
      <c r="A2518" s="115"/>
      <c r="B2518" s="54"/>
      <c r="C2518" s="54"/>
      <c r="D2518" s="54"/>
      <c r="E2518" s="54"/>
      <c r="F2518" s="118"/>
      <c r="G2518" s="54"/>
      <c r="H2518" s="54"/>
      <c r="I2518" s="54"/>
      <c r="J2518" s="54"/>
      <c r="K2518" s="54"/>
      <c r="L2518" s="54"/>
      <c r="M2518" s="55"/>
      <c r="O2518" s="54"/>
    </row>
    <row r="2519">
      <c r="A2519" s="115"/>
      <c r="B2519" s="54"/>
      <c r="C2519" s="54"/>
      <c r="D2519" s="54"/>
      <c r="E2519" s="54"/>
      <c r="F2519" s="118"/>
      <c r="G2519" s="54"/>
      <c r="H2519" s="54"/>
      <c r="I2519" s="54"/>
      <c r="J2519" s="54"/>
      <c r="K2519" s="54"/>
      <c r="L2519" s="54"/>
      <c r="M2519" s="55"/>
      <c r="O2519" s="54"/>
    </row>
    <row r="2520">
      <c r="A2520" s="115"/>
      <c r="B2520" s="54"/>
      <c r="C2520" s="54"/>
      <c r="D2520" s="54"/>
      <c r="E2520" s="54"/>
      <c r="F2520" s="118"/>
      <c r="G2520" s="54"/>
      <c r="H2520" s="54"/>
      <c r="I2520" s="54"/>
      <c r="J2520" s="54"/>
      <c r="K2520" s="54"/>
      <c r="L2520" s="54"/>
      <c r="M2520" s="55"/>
      <c r="O2520" s="54"/>
    </row>
    <row r="2521">
      <c r="A2521" s="115"/>
      <c r="B2521" s="54"/>
      <c r="C2521" s="54"/>
      <c r="D2521" s="54"/>
      <c r="E2521" s="54"/>
      <c r="F2521" s="118"/>
      <c r="G2521" s="54"/>
      <c r="H2521" s="54"/>
      <c r="I2521" s="54"/>
      <c r="J2521" s="54"/>
      <c r="K2521" s="54"/>
      <c r="L2521" s="54"/>
      <c r="M2521" s="55"/>
      <c r="O2521" s="54"/>
    </row>
    <row r="2522">
      <c r="A2522" s="115"/>
      <c r="B2522" s="54"/>
      <c r="C2522" s="54"/>
      <c r="D2522" s="54"/>
      <c r="E2522" s="54"/>
      <c r="F2522" s="118"/>
      <c r="G2522" s="54"/>
      <c r="H2522" s="54"/>
      <c r="I2522" s="54"/>
      <c r="J2522" s="54"/>
      <c r="K2522" s="54"/>
      <c r="L2522" s="54"/>
      <c r="M2522" s="55"/>
      <c r="O2522" s="54"/>
    </row>
    <row r="2523">
      <c r="A2523" s="115"/>
      <c r="B2523" s="54"/>
      <c r="C2523" s="54"/>
      <c r="D2523" s="54"/>
      <c r="E2523" s="54"/>
      <c r="F2523" s="118"/>
      <c r="G2523" s="54"/>
      <c r="H2523" s="54"/>
      <c r="I2523" s="54"/>
      <c r="J2523" s="54"/>
      <c r="K2523" s="54"/>
      <c r="L2523" s="54"/>
      <c r="M2523" s="55"/>
      <c r="O2523" s="54"/>
    </row>
    <row r="2524">
      <c r="A2524" s="115"/>
      <c r="B2524" s="54"/>
      <c r="C2524" s="54"/>
      <c r="D2524" s="54"/>
      <c r="E2524" s="54"/>
      <c r="F2524" s="118"/>
      <c r="G2524" s="54"/>
      <c r="H2524" s="54"/>
      <c r="I2524" s="54"/>
      <c r="J2524" s="54"/>
      <c r="K2524" s="54"/>
      <c r="L2524" s="54"/>
      <c r="M2524" s="55"/>
      <c r="O2524" s="54"/>
    </row>
    <row r="2525">
      <c r="A2525" s="115"/>
      <c r="B2525" s="54"/>
      <c r="C2525" s="54"/>
      <c r="D2525" s="54"/>
      <c r="E2525" s="54"/>
      <c r="F2525" s="118"/>
      <c r="G2525" s="54"/>
      <c r="H2525" s="54"/>
      <c r="I2525" s="54"/>
      <c r="J2525" s="54"/>
      <c r="K2525" s="54"/>
      <c r="L2525" s="54"/>
      <c r="M2525" s="55"/>
      <c r="O2525" s="54"/>
    </row>
    <row r="2526">
      <c r="A2526" s="115"/>
      <c r="B2526" s="54"/>
      <c r="C2526" s="54"/>
      <c r="D2526" s="54"/>
      <c r="E2526" s="54"/>
      <c r="F2526" s="118"/>
      <c r="G2526" s="54"/>
      <c r="H2526" s="54"/>
      <c r="I2526" s="54"/>
      <c r="J2526" s="54"/>
      <c r="K2526" s="54"/>
      <c r="L2526" s="54"/>
      <c r="M2526" s="55"/>
      <c r="O2526" s="54"/>
    </row>
    <row r="2527">
      <c r="A2527" s="115"/>
      <c r="B2527" s="54"/>
      <c r="C2527" s="54"/>
      <c r="D2527" s="54"/>
      <c r="E2527" s="54"/>
      <c r="F2527" s="118"/>
      <c r="G2527" s="54"/>
      <c r="H2527" s="54"/>
      <c r="I2527" s="54"/>
      <c r="J2527" s="54"/>
      <c r="K2527" s="54"/>
      <c r="L2527" s="54"/>
      <c r="M2527" s="55"/>
      <c r="O2527" s="54"/>
    </row>
    <row r="2528">
      <c r="A2528" s="115"/>
      <c r="B2528" s="54"/>
      <c r="C2528" s="54"/>
      <c r="D2528" s="54"/>
      <c r="E2528" s="54"/>
      <c r="F2528" s="118"/>
      <c r="G2528" s="54"/>
      <c r="H2528" s="54"/>
      <c r="I2528" s="54"/>
      <c r="J2528" s="54"/>
      <c r="K2528" s="54"/>
      <c r="L2528" s="54"/>
      <c r="M2528" s="55"/>
      <c r="O2528" s="54"/>
    </row>
    <row r="2529">
      <c r="A2529" s="115"/>
      <c r="B2529" s="54"/>
      <c r="C2529" s="54"/>
      <c r="D2529" s="54"/>
      <c r="E2529" s="54"/>
      <c r="F2529" s="118"/>
      <c r="G2529" s="54"/>
      <c r="H2529" s="54"/>
      <c r="I2529" s="54"/>
      <c r="J2529" s="54"/>
      <c r="K2529" s="54"/>
      <c r="L2529" s="54"/>
      <c r="M2529" s="55"/>
      <c r="O2529" s="54"/>
    </row>
    <row r="2530">
      <c r="A2530" s="115"/>
      <c r="B2530" s="54"/>
      <c r="C2530" s="54"/>
      <c r="D2530" s="54"/>
      <c r="E2530" s="54"/>
      <c r="F2530" s="118"/>
      <c r="G2530" s="54"/>
      <c r="H2530" s="54"/>
      <c r="I2530" s="54"/>
      <c r="J2530" s="54"/>
      <c r="K2530" s="54"/>
      <c r="L2530" s="54"/>
      <c r="M2530" s="55"/>
      <c r="O2530" s="54"/>
    </row>
    <row r="2531">
      <c r="A2531" s="115"/>
      <c r="B2531" s="54"/>
      <c r="C2531" s="54"/>
      <c r="D2531" s="54"/>
      <c r="E2531" s="54"/>
      <c r="F2531" s="118"/>
      <c r="G2531" s="54"/>
      <c r="H2531" s="54"/>
      <c r="I2531" s="54"/>
      <c r="J2531" s="54"/>
      <c r="K2531" s="54"/>
      <c r="L2531" s="54"/>
      <c r="M2531" s="55"/>
      <c r="O2531" s="54"/>
    </row>
    <row r="2532">
      <c r="A2532" s="115"/>
      <c r="B2532" s="54"/>
      <c r="C2532" s="54"/>
      <c r="D2532" s="54"/>
      <c r="E2532" s="54"/>
      <c r="F2532" s="118"/>
      <c r="G2532" s="54"/>
      <c r="H2532" s="54"/>
      <c r="I2532" s="54"/>
      <c r="J2532" s="54"/>
      <c r="K2532" s="54"/>
      <c r="L2532" s="54"/>
      <c r="M2532" s="55"/>
      <c r="O2532" s="54"/>
    </row>
    <row r="2533">
      <c r="A2533" s="115"/>
      <c r="B2533" s="54"/>
      <c r="C2533" s="54"/>
      <c r="D2533" s="54"/>
      <c r="E2533" s="54"/>
      <c r="F2533" s="118"/>
      <c r="G2533" s="54"/>
      <c r="H2533" s="54"/>
      <c r="I2533" s="54"/>
      <c r="J2533" s="54"/>
      <c r="K2533" s="54"/>
      <c r="L2533" s="54"/>
      <c r="M2533" s="55"/>
      <c r="O2533" s="54"/>
    </row>
    <row r="2534">
      <c r="A2534" s="115"/>
      <c r="B2534" s="54"/>
      <c r="C2534" s="54"/>
      <c r="D2534" s="54"/>
      <c r="E2534" s="54"/>
      <c r="F2534" s="118"/>
      <c r="G2534" s="54"/>
      <c r="H2534" s="54"/>
      <c r="I2534" s="54"/>
      <c r="J2534" s="54"/>
      <c r="K2534" s="54"/>
      <c r="L2534" s="54"/>
      <c r="M2534" s="55"/>
      <c r="O2534" s="54"/>
    </row>
    <row r="2535">
      <c r="A2535" s="115"/>
      <c r="B2535" s="54"/>
      <c r="C2535" s="54"/>
      <c r="D2535" s="54"/>
      <c r="E2535" s="54"/>
      <c r="F2535" s="118"/>
      <c r="G2535" s="54"/>
      <c r="H2535" s="54"/>
      <c r="I2535" s="54"/>
      <c r="J2535" s="54"/>
      <c r="K2535" s="54"/>
      <c r="L2535" s="54"/>
      <c r="M2535" s="55"/>
      <c r="O2535" s="54"/>
    </row>
    <row r="2536">
      <c r="A2536" s="115"/>
      <c r="B2536" s="54"/>
      <c r="C2536" s="54"/>
      <c r="D2536" s="54"/>
      <c r="E2536" s="54"/>
      <c r="F2536" s="118"/>
      <c r="G2536" s="54"/>
      <c r="H2536" s="54"/>
      <c r="I2536" s="54"/>
      <c r="J2536" s="54"/>
      <c r="K2536" s="54"/>
      <c r="L2536" s="54"/>
      <c r="M2536" s="55"/>
      <c r="O2536" s="54"/>
    </row>
    <row r="2537">
      <c r="A2537" s="115"/>
      <c r="B2537" s="54"/>
      <c r="C2537" s="54"/>
      <c r="D2537" s="54"/>
      <c r="E2537" s="54"/>
      <c r="F2537" s="118"/>
      <c r="G2537" s="54"/>
      <c r="H2537" s="54"/>
      <c r="I2537" s="54"/>
      <c r="J2537" s="54"/>
      <c r="K2537" s="54"/>
      <c r="L2537" s="54"/>
      <c r="M2537" s="55"/>
      <c r="O2537" s="54"/>
    </row>
    <row r="2538">
      <c r="A2538" s="115"/>
      <c r="B2538" s="54"/>
      <c r="C2538" s="54"/>
      <c r="D2538" s="54"/>
      <c r="E2538" s="54"/>
      <c r="F2538" s="118"/>
      <c r="G2538" s="54"/>
      <c r="H2538" s="54"/>
      <c r="I2538" s="54"/>
      <c r="J2538" s="54"/>
      <c r="K2538" s="54"/>
      <c r="L2538" s="54"/>
      <c r="M2538" s="55"/>
      <c r="O2538" s="54"/>
    </row>
    <row r="2539">
      <c r="A2539" s="115"/>
      <c r="B2539" s="54"/>
      <c r="C2539" s="54"/>
      <c r="D2539" s="54"/>
      <c r="E2539" s="54"/>
      <c r="F2539" s="118"/>
      <c r="G2539" s="54"/>
      <c r="H2539" s="54"/>
      <c r="I2539" s="54"/>
      <c r="J2539" s="54"/>
      <c r="K2539" s="54"/>
      <c r="L2539" s="54"/>
      <c r="M2539" s="55"/>
      <c r="O2539" s="54"/>
    </row>
    <row r="2540">
      <c r="A2540" s="115"/>
      <c r="B2540" s="54"/>
      <c r="C2540" s="54"/>
      <c r="D2540" s="54"/>
      <c r="E2540" s="54"/>
      <c r="F2540" s="118"/>
      <c r="G2540" s="54"/>
      <c r="H2540" s="54"/>
      <c r="I2540" s="54"/>
      <c r="J2540" s="54"/>
      <c r="K2540" s="54"/>
      <c r="L2540" s="54"/>
      <c r="M2540" s="55"/>
      <c r="O2540" s="54"/>
    </row>
    <row r="2541">
      <c r="A2541" s="115"/>
      <c r="B2541" s="54"/>
      <c r="C2541" s="54"/>
      <c r="D2541" s="54"/>
      <c r="E2541" s="54"/>
      <c r="F2541" s="118"/>
      <c r="G2541" s="54"/>
      <c r="H2541" s="54"/>
      <c r="I2541" s="54"/>
      <c r="J2541" s="54"/>
      <c r="K2541" s="54"/>
      <c r="L2541" s="54"/>
      <c r="M2541" s="55"/>
      <c r="O2541" s="54"/>
    </row>
    <row r="2542">
      <c r="A2542" s="115"/>
      <c r="B2542" s="54"/>
      <c r="C2542" s="54"/>
      <c r="D2542" s="54"/>
      <c r="E2542" s="54"/>
      <c r="F2542" s="118"/>
      <c r="G2542" s="54"/>
      <c r="H2542" s="54"/>
      <c r="I2542" s="54"/>
      <c r="J2542" s="54"/>
      <c r="K2542" s="54"/>
      <c r="L2542" s="54"/>
      <c r="M2542" s="55"/>
      <c r="O2542" s="54"/>
    </row>
    <row r="2543">
      <c r="A2543" s="115"/>
      <c r="B2543" s="54"/>
      <c r="C2543" s="54"/>
      <c r="D2543" s="54"/>
      <c r="E2543" s="54"/>
      <c r="F2543" s="118"/>
      <c r="G2543" s="54"/>
      <c r="H2543" s="54"/>
      <c r="I2543" s="54"/>
      <c r="J2543" s="54"/>
      <c r="K2543" s="54"/>
      <c r="L2543" s="54"/>
      <c r="M2543" s="55"/>
      <c r="O2543" s="54"/>
    </row>
    <row r="2544">
      <c r="A2544" s="115"/>
      <c r="B2544" s="54"/>
      <c r="C2544" s="54"/>
      <c r="D2544" s="54"/>
      <c r="E2544" s="54"/>
      <c r="F2544" s="118"/>
      <c r="G2544" s="54"/>
      <c r="H2544" s="54"/>
      <c r="I2544" s="54"/>
      <c r="J2544" s="54"/>
      <c r="K2544" s="54"/>
      <c r="L2544" s="54"/>
      <c r="M2544" s="55"/>
      <c r="O2544" s="54"/>
    </row>
    <row r="2545">
      <c r="A2545" s="115"/>
      <c r="B2545" s="54"/>
      <c r="C2545" s="54"/>
      <c r="D2545" s="54"/>
      <c r="E2545" s="54"/>
      <c r="F2545" s="118"/>
      <c r="G2545" s="54"/>
      <c r="H2545" s="54"/>
      <c r="I2545" s="54"/>
      <c r="J2545" s="54"/>
      <c r="K2545" s="54"/>
      <c r="L2545" s="54"/>
      <c r="M2545" s="55"/>
      <c r="O2545" s="54"/>
    </row>
    <row r="2546">
      <c r="A2546" s="115"/>
      <c r="B2546" s="54"/>
      <c r="C2546" s="54"/>
      <c r="D2546" s="54"/>
      <c r="E2546" s="54"/>
      <c r="F2546" s="118"/>
      <c r="G2546" s="54"/>
      <c r="H2546" s="54"/>
      <c r="I2546" s="54"/>
      <c r="J2546" s="54"/>
      <c r="K2546" s="54"/>
      <c r="L2546" s="54"/>
      <c r="M2546" s="55"/>
      <c r="O2546" s="54"/>
    </row>
    <row r="2547">
      <c r="A2547" s="115"/>
      <c r="B2547" s="54"/>
      <c r="C2547" s="54"/>
      <c r="D2547" s="54"/>
      <c r="E2547" s="54"/>
      <c r="F2547" s="118"/>
      <c r="G2547" s="54"/>
      <c r="H2547" s="54"/>
      <c r="I2547" s="54"/>
      <c r="J2547" s="54"/>
      <c r="K2547" s="54"/>
      <c r="L2547" s="54"/>
      <c r="M2547" s="55"/>
      <c r="O2547" s="54"/>
    </row>
    <row r="2548">
      <c r="A2548" s="115"/>
      <c r="B2548" s="54"/>
      <c r="C2548" s="54"/>
      <c r="D2548" s="54"/>
      <c r="E2548" s="54"/>
      <c r="F2548" s="118"/>
      <c r="G2548" s="54"/>
      <c r="H2548" s="54"/>
      <c r="I2548" s="54"/>
      <c r="J2548" s="54"/>
      <c r="K2548" s="54"/>
      <c r="L2548" s="54"/>
      <c r="M2548" s="55"/>
      <c r="O2548" s="54"/>
    </row>
    <row r="2549">
      <c r="A2549" s="115"/>
      <c r="B2549" s="54"/>
      <c r="C2549" s="54"/>
      <c r="D2549" s="54"/>
      <c r="E2549" s="54"/>
      <c r="F2549" s="118"/>
      <c r="G2549" s="54"/>
      <c r="H2549" s="54"/>
      <c r="I2549" s="54"/>
      <c r="J2549" s="54"/>
      <c r="K2549" s="54"/>
      <c r="L2549" s="54"/>
      <c r="M2549" s="55"/>
      <c r="O2549" s="54"/>
    </row>
    <row r="2550">
      <c r="A2550" s="115"/>
      <c r="B2550" s="54"/>
      <c r="C2550" s="54"/>
      <c r="D2550" s="54"/>
      <c r="E2550" s="54"/>
      <c r="F2550" s="118"/>
      <c r="G2550" s="54"/>
      <c r="H2550" s="54"/>
      <c r="I2550" s="54"/>
      <c r="J2550" s="54"/>
      <c r="K2550" s="54"/>
      <c r="L2550" s="54"/>
      <c r="M2550" s="55"/>
      <c r="O2550" s="54"/>
    </row>
    <row r="2551">
      <c r="A2551" s="115"/>
      <c r="B2551" s="54"/>
      <c r="C2551" s="54"/>
      <c r="D2551" s="54"/>
      <c r="E2551" s="54"/>
      <c r="F2551" s="118"/>
      <c r="G2551" s="54"/>
      <c r="H2551" s="54"/>
      <c r="I2551" s="54"/>
      <c r="J2551" s="54"/>
      <c r="K2551" s="54"/>
      <c r="L2551" s="54"/>
      <c r="M2551" s="55"/>
      <c r="O2551" s="54"/>
    </row>
    <row r="2552">
      <c r="A2552" s="115"/>
      <c r="B2552" s="54"/>
      <c r="C2552" s="54"/>
      <c r="D2552" s="54"/>
      <c r="E2552" s="54"/>
      <c r="F2552" s="118"/>
      <c r="G2552" s="54"/>
      <c r="H2552" s="54"/>
      <c r="I2552" s="54"/>
      <c r="J2552" s="54"/>
      <c r="K2552" s="54"/>
      <c r="L2552" s="54"/>
      <c r="M2552" s="55"/>
      <c r="O2552" s="54"/>
    </row>
    <row r="2553">
      <c r="A2553" s="115"/>
      <c r="B2553" s="54"/>
      <c r="C2553" s="54"/>
      <c r="D2553" s="54"/>
      <c r="E2553" s="54"/>
      <c r="F2553" s="118"/>
      <c r="G2553" s="54"/>
      <c r="H2553" s="54"/>
      <c r="I2553" s="54"/>
      <c r="J2553" s="54"/>
      <c r="K2553" s="54"/>
      <c r="L2553" s="54"/>
      <c r="M2553" s="55"/>
      <c r="O2553" s="54"/>
    </row>
    <row r="2554">
      <c r="A2554" s="115"/>
      <c r="B2554" s="54"/>
      <c r="C2554" s="54"/>
      <c r="D2554" s="54"/>
      <c r="E2554" s="54"/>
      <c r="F2554" s="118"/>
      <c r="G2554" s="54"/>
      <c r="H2554" s="54"/>
      <c r="I2554" s="54"/>
      <c r="J2554" s="54"/>
      <c r="K2554" s="54"/>
      <c r="L2554" s="54"/>
      <c r="M2554" s="55"/>
      <c r="O2554" s="54"/>
    </row>
    <row r="2555">
      <c r="A2555" s="115"/>
      <c r="B2555" s="54"/>
      <c r="C2555" s="54"/>
      <c r="D2555" s="54"/>
      <c r="E2555" s="54"/>
      <c r="F2555" s="118"/>
      <c r="G2555" s="54"/>
      <c r="H2555" s="54"/>
      <c r="I2555" s="54"/>
      <c r="J2555" s="54"/>
      <c r="K2555" s="54"/>
      <c r="L2555" s="54"/>
      <c r="M2555" s="55"/>
      <c r="O2555" s="54"/>
    </row>
    <row r="2556">
      <c r="A2556" s="115"/>
      <c r="B2556" s="54"/>
      <c r="C2556" s="54"/>
      <c r="D2556" s="54"/>
      <c r="E2556" s="54"/>
      <c r="F2556" s="118"/>
      <c r="G2556" s="54"/>
      <c r="H2556" s="54"/>
      <c r="I2556" s="54"/>
      <c r="J2556" s="54"/>
      <c r="K2556" s="54"/>
      <c r="L2556" s="54"/>
      <c r="M2556" s="55"/>
      <c r="O2556" s="54"/>
    </row>
    <row r="2557">
      <c r="A2557" s="115"/>
      <c r="B2557" s="54"/>
      <c r="C2557" s="54"/>
      <c r="D2557" s="54"/>
      <c r="E2557" s="54"/>
      <c r="F2557" s="118"/>
      <c r="G2557" s="54"/>
      <c r="H2557" s="54"/>
      <c r="I2557" s="54"/>
      <c r="J2557" s="54"/>
      <c r="K2557" s="54"/>
      <c r="L2557" s="54"/>
      <c r="M2557" s="55"/>
      <c r="O2557" s="54"/>
    </row>
    <row r="2558">
      <c r="A2558" s="115"/>
      <c r="B2558" s="54"/>
      <c r="C2558" s="54"/>
      <c r="D2558" s="54"/>
      <c r="E2558" s="54"/>
      <c r="F2558" s="118"/>
      <c r="G2558" s="54"/>
      <c r="H2558" s="54"/>
      <c r="I2558" s="54"/>
      <c r="J2558" s="54"/>
      <c r="K2558" s="54"/>
      <c r="L2558" s="54"/>
      <c r="M2558" s="55"/>
      <c r="O2558" s="54"/>
    </row>
    <row r="2559">
      <c r="A2559" s="115"/>
      <c r="B2559" s="54"/>
      <c r="C2559" s="54"/>
      <c r="D2559" s="54"/>
      <c r="E2559" s="54"/>
      <c r="F2559" s="118"/>
      <c r="G2559" s="54"/>
      <c r="H2559" s="54"/>
      <c r="I2559" s="54"/>
      <c r="J2559" s="54"/>
      <c r="K2559" s="54"/>
      <c r="L2559" s="54"/>
      <c r="M2559" s="55"/>
      <c r="O2559" s="54"/>
    </row>
    <row r="2560">
      <c r="A2560" s="115"/>
      <c r="B2560" s="54"/>
      <c r="C2560" s="54"/>
      <c r="D2560" s="54"/>
      <c r="E2560" s="54"/>
      <c r="F2560" s="118"/>
      <c r="G2560" s="54"/>
      <c r="H2560" s="54"/>
      <c r="I2560" s="54"/>
      <c r="J2560" s="54"/>
      <c r="K2560" s="54"/>
      <c r="L2560" s="54"/>
      <c r="M2560" s="55"/>
      <c r="O2560" s="54"/>
    </row>
    <row r="2561">
      <c r="A2561" s="115"/>
      <c r="B2561" s="54"/>
      <c r="C2561" s="54"/>
      <c r="D2561" s="54"/>
      <c r="E2561" s="54"/>
      <c r="F2561" s="118"/>
      <c r="G2561" s="54"/>
      <c r="H2561" s="54"/>
      <c r="I2561" s="54"/>
      <c r="J2561" s="54"/>
      <c r="K2561" s="54"/>
      <c r="L2561" s="54"/>
      <c r="M2561" s="55"/>
      <c r="O2561" s="54"/>
    </row>
    <row r="2562">
      <c r="A2562" s="115"/>
      <c r="B2562" s="54"/>
      <c r="C2562" s="54"/>
      <c r="D2562" s="54"/>
      <c r="E2562" s="54"/>
      <c r="F2562" s="118"/>
      <c r="G2562" s="54"/>
      <c r="H2562" s="54"/>
      <c r="I2562" s="54"/>
      <c r="J2562" s="54"/>
      <c r="K2562" s="54"/>
      <c r="L2562" s="54"/>
      <c r="M2562" s="55"/>
      <c r="O2562" s="54"/>
    </row>
    <row r="2563">
      <c r="A2563" s="115"/>
      <c r="B2563" s="54"/>
      <c r="C2563" s="54"/>
      <c r="D2563" s="54"/>
      <c r="E2563" s="54"/>
      <c r="F2563" s="118"/>
      <c r="G2563" s="54"/>
      <c r="H2563" s="54"/>
      <c r="I2563" s="54"/>
      <c r="J2563" s="54"/>
      <c r="K2563" s="54"/>
      <c r="L2563" s="54"/>
      <c r="M2563" s="55"/>
      <c r="O2563" s="54"/>
    </row>
    <row r="2564">
      <c r="A2564" s="115"/>
      <c r="B2564" s="54"/>
      <c r="C2564" s="54"/>
      <c r="D2564" s="54"/>
      <c r="E2564" s="54"/>
      <c r="F2564" s="118"/>
      <c r="G2564" s="54"/>
      <c r="H2564" s="54"/>
      <c r="I2564" s="54"/>
      <c r="J2564" s="54"/>
      <c r="K2564" s="54"/>
      <c r="L2564" s="54"/>
      <c r="M2564" s="55"/>
      <c r="O2564" s="54"/>
    </row>
    <row r="2565">
      <c r="A2565" s="115"/>
      <c r="B2565" s="54"/>
      <c r="C2565" s="54"/>
      <c r="D2565" s="54"/>
      <c r="E2565" s="54"/>
      <c r="F2565" s="118"/>
      <c r="G2565" s="54"/>
      <c r="H2565" s="54"/>
      <c r="I2565" s="54"/>
      <c r="J2565" s="54"/>
      <c r="K2565" s="54"/>
      <c r="L2565" s="54"/>
      <c r="M2565" s="55"/>
      <c r="O2565" s="54"/>
    </row>
    <row r="2566">
      <c r="A2566" s="115"/>
      <c r="B2566" s="54"/>
      <c r="C2566" s="54"/>
      <c r="D2566" s="54"/>
      <c r="E2566" s="54"/>
      <c r="F2566" s="118"/>
      <c r="G2566" s="54"/>
      <c r="H2566" s="54"/>
      <c r="I2566" s="54"/>
      <c r="J2566" s="54"/>
      <c r="K2566" s="54"/>
      <c r="L2566" s="54"/>
      <c r="M2566" s="55"/>
      <c r="O2566" s="54"/>
    </row>
    <row r="2567">
      <c r="A2567" s="115"/>
      <c r="B2567" s="54"/>
      <c r="C2567" s="54"/>
      <c r="D2567" s="54"/>
      <c r="E2567" s="54"/>
      <c r="F2567" s="118"/>
      <c r="G2567" s="54"/>
      <c r="H2567" s="54"/>
      <c r="I2567" s="54"/>
      <c r="J2567" s="54"/>
      <c r="K2567" s="54"/>
      <c r="L2567" s="54"/>
      <c r="M2567" s="55"/>
      <c r="O2567" s="54"/>
    </row>
    <row r="2568">
      <c r="A2568" s="115"/>
      <c r="B2568" s="54"/>
      <c r="C2568" s="54"/>
      <c r="D2568" s="54"/>
      <c r="E2568" s="54"/>
      <c r="F2568" s="118"/>
      <c r="G2568" s="54"/>
      <c r="H2568" s="54"/>
      <c r="I2568" s="54"/>
      <c r="J2568" s="54"/>
      <c r="K2568" s="54"/>
      <c r="L2568" s="54"/>
      <c r="M2568" s="55"/>
      <c r="O2568" s="54"/>
    </row>
    <row r="2569">
      <c r="A2569" s="115"/>
      <c r="B2569" s="54"/>
      <c r="C2569" s="54"/>
      <c r="D2569" s="54"/>
      <c r="E2569" s="54"/>
      <c r="F2569" s="118"/>
      <c r="G2569" s="54"/>
      <c r="H2569" s="54"/>
      <c r="I2569" s="54"/>
      <c r="J2569" s="54"/>
      <c r="K2569" s="54"/>
      <c r="L2569" s="54"/>
      <c r="M2569" s="55"/>
      <c r="O2569" s="54"/>
    </row>
    <row r="2570">
      <c r="A2570" s="115"/>
      <c r="B2570" s="54"/>
      <c r="C2570" s="54"/>
      <c r="D2570" s="54"/>
      <c r="E2570" s="54"/>
      <c r="F2570" s="118"/>
      <c r="G2570" s="54"/>
      <c r="H2570" s="54"/>
      <c r="I2570" s="54"/>
      <c r="J2570" s="54"/>
      <c r="K2570" s="54"/>
      <c r="L2570" s="54"/>
      <c r="M2570" s="55"/>
      <c r="O2570" s="54"/>
    </row>
    <row r="2571">
      <c r="A2571" s="115"/>
      <c r="B2571" s="54"/>
      <c r="C2571" s="54"/>
      <c r="D2571" s="54"/>
      <c r="E2571" s="54"/>
      <c r="F2571" s="118"/>
      <c r="G2571" s="54"/>
      <c r="H2571" s="54"/>
      <c r="I2571" s="54"/>
      <c r="J2571" s="54"/>
      <c r="K2571" s="54"/>
      <c r="L2571" s="54"/>
      <c r="M2571" s="55"/>
      <c r="O2571" s="54"/>
    </row>
    <row r="2572">
      <c r="A2572" s="115"/>
      <c r="B2572" s="54"/>
      <c r="C2572" s="54"/>
      <c r="D2572" s="54"/>
      <c r="E2572" s="54"/>
      <c r="F2572" s="118"/>
      <c r="G2572" s="54"/>
      <c r="H2572" s="54"/>
      <c r="I2572" s="54"/>
      <c r="J2572" s="54"/>
      <c r="K2572" s="54"/>
      <c r="L2572" s="54"/>
      <c r="M2572" s="55"/>
      <c r="O2572" s="54"/>
    </row>
    <row r="2573">
      <c r="A2573" s="115"/>
      <c r="B2573" s="54"/>
      <c r="C2573" s="54"/>
      <c r="D2573" s="54"/>
      <c r="E2573" s="54"/>
      <c r="F2573" s="118"/>
      <c r="G2573" s="54"/>
      <c r="H2573" s="54"/>
      <c r="I2573" s="54"/>
      <c r="J2573" s="54"/>
      <c r="K2573" s="54"/>
      <c r="L2573" s="54"/>
      <c r="M2573" s="55"/>
      <c r="O2573" s="54"/>
    </row>
    <row r="2574">
      <c r="A2574" s="115"/>
      <c r="B2574" s="54"/>
      <c r="C2574" s="54"/>
      <c r="D2574" s="54"/>
      <c r="E2574" s="54"/>
      <c r="F2574" s="118"/>
      <c r="G2574" s="54"/>
      <c r="H2574" s="54"/>
      <c r="I2574" s="54"/>
      <c r="J2574" s="54"/>
      <c r="K2574" s="54"/>
      <c r="L2574" s="54"/>
      <c r="M2574" s="55"/>
      <c r="O2574" s="54"/>
    </row>
    <row r="2575">
      <c r="A2575" s="115"/>
      <c r="B2575" s="54"/>
      <c r="C2575" s="54"/>
      <c r="D2575" s="54"/>
      <c r="E2575" s="54"/>
      <c r="F2575" s="118"/>
      <c r="G2575" s="54"/>
      <c r="H2575" s="54"/>
      <c r="I2575" s="54"/>
      <c r="J2575" s="54"/>
      <c r="K2575" s="54"/>
      <c r="L2575" s="54"/>
      <c r="M2575" s="55"/>
      <c r="O2575" s="54"/>
    </row>
    <row r="2576">
      <c r="A2576" s="115"/>
      <c r="B2576" s="54"/>
      <c r="C2576" s="54"/>
      <c r="D2576" s="54"/>
      <c r="E2576" s="54"/>
      <c r="F2576" s="118"/>
      <c r="G2576" s="54"/>
      <c r="H2576" s="54"/>
      <c r="I2576" s="54"/>
      <c r="J2576" s="54"/>
      <c r="K2576" s="54"/>
      <c r="L2576" s="54"/>
      <c r="M2576" s="55"/>
      <c r="O2576" s="54"/>
    </row>
    <row r="2577">
      <c r="A2577" s="115"/>
      <c r="B2577" s="54"/>
      <c r="C2577" s="54"/>
      <c r="D2577" s="54"/>
      <c r="E2577" s="54"/>
      <c r="F2577" s="118"/>
      <c r="G2577" s="54"/>
      <c r="H2577" s="54"/>
      <c r="I2577" s="54"/>
      <c r="J2577" s="54"/>
      <c r="K2577" s="54"/>
      <c r="L2577" s="54"/>
      <c r="M2577" s="55"/>
      <c r="O2577" s="54"/>
    </row>
    <row r="2578">
      <c r="A2578" s="115"/>
      <c r="B2578" s="54"/>
      <c r="C2578" s="54"/>
      <c r="D2578" s="54"/>
      <c r="E2578" s="54"/>
      <c r="F2578" s="118"/>
      <c r="G2578" s="54"/>
      <c r="H2578" s="54"/>
      <c r="I2578" s="54"/>
      <c r="J2578" s="54"/>
      <c r="K2578" s="54"/>
      <c r="L2578" s="54"/>
      <c r="M2578" s="55"/>
      <c r="O2578" s="54"/>
    </row>
    <row r="2579">
      <c r="A2579" s="115"/>
      <c r="B2579" s="54"/>
      <c r="C2579" s="54"/>
      <c r="D2579" s="54"/>
      <c r="E2579" s="54"/>
      <c r="F2579" s="118"/>
      <c r="G2579" s="54"/>
      <c r="H2579" s="54"/>
      <c r="I2579" s="54"/>
      <c r="J2579" s="54"/>
      <c r="K2579" s="54"/>
      <c r="L2579" s="54"/>
      <c r="M2579" s="55"/>
      <c r="O2579" s="54"/>
    </row>
    <row r="2580">
      <c r="A2580" s="115"/>
      <c r="B2580" s="54"/>
      <c r="C2580" s="54"/>
      <c r="D2580" s="54"/>
      <c r="E2580" s="54"/>
      <c r="F2580" s="118"/>
      <c r="G2580" s="54"/>
      <c r="H2580" s="54"/>
      <c r="I2580" s="54"/>
      <c r="J2580" s="54"/>
      <c r="K2580" s="54"/>
      <c r="L2580" s="54"/>
      <c r="M2580" s="55"/>
      <c r="O2580" s="54"/>
    </row>
    <row r="2581">
      <c r="A2581" s="115"/>
      <c r="B2581" s="54"/>
      <c r="C2581" s="54"/>
      <c r="D2581" s="54"/>
      <c r="E2581" s="54"/>
      <c r="F2581" s="118"/>
      <c r="G2581" s="54"/>
      <c r="H2581" s="54"/>
      <c r="I2581" s="54"/>
      <c r="J2581" s="54"/>
      <c r="K2581" s="54"/>
      <c r="L2581" s="54"/>
      <c r="M2581" s="55"/>
      <c r="O2581" s="54"/>
    </row>
    <row r="2582">
      <c r="A2582" s="115"/>
      <c r="B2582" s="54"/>
      <c r="C2582" s="54"/>
      <c r="D2582" s="54"/>
      <c r="E2582" s="54"/>
      <c r="F2582" s="118"/>
      <c r="G2582" s="54"/>
      <c r="H2582" s="54"/>
      <c r="I2582" s="54"/>
      <c r="J2582" s="54"/>
      <c r="K2582" s="54"/>
      <c r="L2582" s="54"/>
      <c r="M2582" s="55"/>
      <c r="O2582" s="54"/>
    </row>
    <row r="2583">
      <c r="A2583" s="115"/>
      <c r="B2583" s="54"/>
      <c r="C2583" s="54"/>
      <c r="D2583" s="54"/>
      <c r="E2583" s="54"/>
      <c r="F2583" s="118"/>
      <c r="G2583" s="54"/>
      <c r="H2583" s="54"/>
      <c r="I2583" s="54"/>
      <c r="J2583" s="54"/>
      <c r="K2583" s="54"/>
      <c r="L2583" s="54"/>
      <c r="M2583" s="55"/>
      <c r="O2583" s="54"/>
    </row>
    <row r="2584">
      <c r="A2584" s="115"/>
      <c r="B2584" s="54"/>
      <c r="C2584" s="54"/>
      <c r="D2584" s="54"/>
      <c r="E2584" s="54"/>
      <c r="F2584" s="118"/>
      <c r="G2584" s="54"/>
      <c r="H2584" s="54"/>
      <c r="I2584" s="54"/>
      <c r="J2584" s="54"/>
      <c r="K2584" s="54"/>
      <c r="L2584" s="54"/>
      <c r="M2584" s="55"/>
      <c r="O2584" s="54"/>
    </row>
    <row r="2585">
      <c r="A2585" s="115"/>
      <c r="B2585" s="54"/>
      <c r="C2585" s="54"/>
      <c r="D2585" s="54"/>
      <c r="E2585" s="54"/>
      <c r="F2585" s="118"/>
      <c r="G2585" s="54"/>
      <c r="H2585" s="54"/>
      <c r="I2585" s="54"/>
      <c r="J2585" s="54"/>
      <c r="K2585" s="54"/>
      <c r="L2585" s="54"/>
      <c r="M2585" s="55"/>
      <c r="O2585" s="54"/>
    </row>
    <row r="2586">
      <c r="A2586" s="115"/>
      <c r="B2586" s="54"/>
      <c r="C2586" s="54"/>
      <c r="D2586" s="54"/>
      <c r="E2586" s="54"/>
      <c r="F2586" s="118"/>
      <c r="G2586" s="54"/>
      <c r="H2586" s="54"/>
      <c r="I2586" s="54"/>
      <c r="J2586" s="54"/>
      <c r="K2586" s="54"/>
      <c r="L2586" s="54"/>
      <c r="M2586" s="55"/>
      <c r="O2586" s="54"/>
    </row>
    <row r="2587">
      <c r="A2587" s="115"/>
      <c r="B2587" s="54"/>
      <c r="C2587" s="54"/>
      <c r="D2587" s="54"/>
      <c r="E2587" s="54"/>
      <c r="F2587" s="118"/>
      <c r="G2587" s="54"/>
      <c r="H2587" s="54"/>
      <c r="I2587" s="54"/>
      <c r="J2587" s="54"/>
      <c r="K2587" s="54"/>
      <c r="L2587" s="54"/>
      <c r="M2587" s="55"/>
      <c r="O2587" s="54"/>
    </row>
    <row r="2588">
      <c r="A2588" s="115"/>
      <c r="B2588" s="54"/>
      <c r="C2588" s="54"/>
      <c r="D2588" s="54"/>
      <c r="E2588" s="54"/>
      <c r="F2588" s="118"/>
      <c r="G2588" s="54"/>
      <c r="H2588" s="54"/>
      <c r="I2588" s="54"/>
      <c r="J2588" s="54"/>
      <c r="K2588" s="54"/>
      <c r="L2588" s="54"/>
      <c r="M2588" s="55"/>
      <c r="O2588" s="54"/>
    </row>
    <row r="2589">
      <c r="A2589" s="115"/>
      <c r="B2589" s="54"/>
      <c r="C2589" s="54"/>
      <c r="D2589" s="54"/>
      <c r="E2589" s="54"/>
      <c r="F2589" s="118"/>
      <c r="G2589" s="54"/>
      <c r="H2589" s="54"/>
      <c r="I2589" s="54"/>
      <c r="J2589" s="54"/>
      <c r="K2589" s="54"/>
      <c r="L2589" s="54"/>
      <c r="M2589" s="55"/>
      <c r="O2589" s="54"/>
    </row>
    <row r="2590">
      <c r="A2590" s="115"/>
      <c r="B2590" s="54"/>
      <c r="C2590" s="54"/>
      <c r="D2590" s="54"/>
      <c r="E2590" s="54"/>
      <c r="F2590" s="118"/>
      <c r="G2590" s="54"/>
      <c r="H2590" s="54"/>
      <c r="I2590" s="54"/>
      <c r="J2590" s="54"/>
      <c r="K2590" s="54"/>
      <c r="L2590" s="54"/>
      <c r="M2590" s="55"/>
      <c r="O2590" s="54"/>
    </row>
    <row r="2591">
      <c r="A2591" s="115"/>
      <c r="B2591" s="54"/>
      <c r="C2591" s="54"/>
      <c r="D2591" s="54"/>
      <c r="E2591" s="54"/>
      <c r="F2591" s="118"/>
      <c r="G2591" s="54"/>
      <c r="H2591" s="54"/>
      <c r="I2591" s="54"/>
      <c r="J2591" s="54"/>
      <c r="K2591" s="54"/>
      <c r="L2591" s="54"/>
      <c r="M2591" s="55"/>
      <c r="O2591" s="54"/>
    </row>
    <row r="2592">
      <c r="A2592" s="115"/>
      <c r="B2592" s="54"/>
      <c r="C2592" s="54"/>
      <c r="D2592" s="54"/>
      <c r="E2592" s="54"/>
      <c r="F2592" s="118"/>
      <c r="G2592" s="54"/>
      <c r="H2592" s="54"/>
      <c r="I2592" s="54"/>
      <c r="J2592" s="54"/>
      <c r="K2592" s="54"/>
      <c r="L2592" s="54"/>
      <c r="M2592" s="55"/>
      <c r="O2592" s="54"/>
    </row>
    <row r="2593">
      <c r="A2593" s="115"/>
      <c r="B2593" s="54"/>
      <c r="C2593" s="54"/>
      <c r="D2593" s="54"/>
      <c r="E2593" s="54"/>
      <c r="F2593" s="118"/>
      <c r="G2593" s="54"/>
      <c r="H2593" s="54"/>
      <c r="I2593" s="54"/>
      <c r="J2593" s="54"/>
      <c r="K2593" s="54"/>
      <c r="L2593" s="54"/>
      <c r="M2593" s="55"/>
      <c r="O2593" s="54"/>
    </row>
    <row r="2594">
      <c r="A2594" s="115"/>
      <c r="B2594" s="54"/>
      <c r="C2594" s="54"/>
      <c r="D2594" s="54"/>
      <c r="E2594" s="54"/>
      <c r="F2594" s="118"/>
      <c r="G2594" s="54"/>
      <c r="H2594" s="54"/>
      <c r="I2594" s="54"/>
      <c r="J2594" s="54"/>
      <c r="K2594" s="54"/>
      <c r="L2594" s="54"/>
      <c r="M2594" s="55"/>
      <c r="O2594" s="54"/>
    </row>
    <row r="2595">
      <c r="A2595" s="115"/>
      <c r="B2595" s="54"/>
      <c r="C2595" s="54"/>
      <c r="D2595" s="54"/>
      <c r="E2595" s="54"/>
      <c r="F2595" s="118"/>
      <c r="G2595" s="54"/>
      <c r="H2595" s="54"/>
      <c r="I2595" s="54"/>
      <c r="J2595" s="54"/>
      <c r="K2595" s="54"/>
      <c r="L2595" s="54"/>
      <c r="M2595" s="55"/>
      <c r="O2595" s="54"/>
    </row>
    <row r="2596">
      <c r="A2596" s="115"/>
      <c r="B2596" s="54"/>
      <c r="C2596" s="54"/>
      <c r="D2596" s="54"/>
      <c r="E2596" s="54"/>
      <c r="F2596" s="118"/>
      <c r="G2596" s="54"/>
      <c r="H2596" s="54"/>
      <c r="I2596" s="54"/>
      <c r="J2596" s="54"/>
      <c r="K2596" s="54"/>
      <c r="L2596" s="54"/>
      <c r="M2596" s="55"/>
      <c r="O2596" s="54"/>
    </row>
    <row r="2597">
      <c r="A2597" s="115"/>
      <c r="B2597" s="54"/>
      <c r="C2597" s="54"/>
      <c r="D2597" s="54"/>
      <c r="E2597" s="54"/>
      <c r="F2597" s="118"/>
      <c r="G2597" s="54"/>
      <c r="H2597" s="54"/>
      <c r="I2597" s="54"/>
      <c r="J2597" s="54"/>
      <c r="K2597" s="54"/>
      <c r="L2597" s="54"/>
      <c r="M2597" s="55"/>
      <c r="O2597" s="54"/>
    </row>
    <row r="2598">
      <c r="A2598" s="115"/>
      <c r="B2598" s="54"/>
      <c r="C2598" s="54"/>
      <c r="D2598" s="54"/>
      <c r="E2598" s="54"/>
      <c r="F2598" s="118"/>
      <c r="G2598" s="54"/>
      <c r="H2598" s="54"/>
      <c r="I2598" s="54"/>
      <c r="J2598" s="54"/>
      <c r="K2598" s="54"/>
      <c r="L2598" s="54"/>
      <c r="M2598" s="55"/>
      <c r="O2598" s="54"/>
    </row>
    <row r="2599">
      <c r="A2599" s="115"/>
      <c r="B2599" s="54"/>
      <c r="C2599" s="54"/>
      <c r="D2599" s="54"/>
      <c r="E2599" s="54"/>
      <c r="F2599" s="118"/>
      <c r="G2599" s="54"/>
      <c r="H2599" s="54"/>
      <c r="I2599" s="54"/>
      <c r="J2599" s="54"/>
      <c r="K2599" s="54"/>
      <c r="L2599" s="54"/>
      <c r="M2599" s="55"/>
      <c r="O2599" s="54"/>
    </row>
    <row r="2600">
      <c r="A2600" s="115"/>
      <c r="B2600" s="54"/>
      <c r="C2600" s="54"/>
      <c r="D2600" s="54"/>
      <c r="E2600" s="54"/>
      <c r="F2600" s="118"/>
      <c r="G2600" s="54"/>
      <c r="H2600" s="54"/>
      <c r="I2600" s="54"/>
      <c r="J2600" s="54"/>
      <c r="K2600" s="54"/>
      <c r="L2600" s="54"/>
      <c r="M2600" s="55"/>
      <c r="O2600" s="54"/>
    </row>
    <row r="2601">
      <c r="A2601" s="115"/>
      <c r="B2601" s="54"/>
      <c r="C2601" s="54"/>
      <c r="D2601" s="54"/>
      <c r="E2601" s="54"/>
      <c r="F2601" s="118"/>
      <c r="G2601" s="54"/>
      <c r="H2601" s="54"/>
      <c r="I2601" s="54"/>
      <c r="J2601" s="54"/>
      <c r="K2601" s="54"/>
      <c r="L2601" s="54"/>
      <c r="M2601" s="55"/>
      <c r="O2601" s="54"/>
    </row>
    <row r="2602">
      <c r="A2602" s="115"/>
      <c r="B2602" s="54"/>
      <c r="C2602" s="54"/>
      <c r="D2602" s="54"/>
      <c r="E2602" s="54"/>
      <c r="F2602" s="118"/>
      <c r="G2602" s="54"/>
      <c r="H2602" s="54"/>
      <c r="I2602" s="54"/>
      <c r="J2602" s="54"/>
      <c r="K2602" s="54"/>
      <c r="L2602" s="54"/>
      <c r="M2602" s="55"/>
      <c r="O2602" s="54"/>
    </row>
    <row r="2603">
      <c r="A2603" s="115"/>
      <c r="B2603" s="54"/>
      <c r="C2603" s="54"/>
      <c r="D2603" s="54"/>
      <c r="E2603" s="54"/>
      <c r="F2603" s="118"/>
      <c r="G2603" s="54"/>
      <c r="H2603" s="54"/>
      <c r="I2603" s="54"/>
      <c r="J2603" s="54"/>
      <c r="K2603" s="54"/>
      <c r="L2603" s="54"/>
      <c r="M2603" s="55"/>
      <c r="O2603" s="54"/>
    </row>
    <row r="2604">
      <c r="A2604" s="115"/>
      <c r="B2604" s="54"/>
      <c r="C2604" s="54"/>
      <c r="D2604" s="54"/>
      <c r="E2604" s="54"/>
      <c r="F2604" s="118"/>
      <c r="G2604" s="54"/>
      <c r="H2604" s="54"/>
      <c r="I2604" s="54"/>
      <c r="J2604" s="54"/>
      <c r="K2604" s="54"/>
      <c r="L2604" s="54"/>
      <c r="M2604" s="55"/>
      <c r="O2604" s="54"/>
    </row>
    <row r="2605">
      <c r="A2605" s="115"/>
      <c r="B2605" s="54"/>
      <c r="C2605" s="54"/>
      <c r="D2605" s="54"/>
      <c r="E2605" s="54"/>
      <c r="F2605" s="118"/>
      <c r="G2605" s="54"/>
      <c r="H2605" s="54"/>
      <c r="I2605" s="54"/>
      <c r="J2605" s="54"/>
      <c r="K2605" s="54"/>
      <c r="L2605" s="54"/>
      <c r="M2605" s="55"/>
      <c r="O2605" s="54"/>
    </row>
    <row r="2606">
      <c r="A2606" s="115"/>
      <c r="B2606" s="54"/>
      <c r="C2606" s="54"/>
      <c r="D2606" s="54"/>
      <c r="E2606" s="54"/>
      <c r="F2606" s="118"/>
      <c r="G2606" s="54"/>
      <c r="H2606" s="54"/>
      <c r="I2606" s="54"/>
      <c r="J2606" s="54"/>
      <c r="K2606" s="54"/>
      <c r="L2606" s="54"/>
      <c r="M2606" s="55"/>
      <c r="O2606" s="54"/>
    </row>
    <row r="2607">
      <c r="A2607" s="115"/>
      <c r="B2607" s="54"/>
      <c r="C2607" s="54"/>
      <c r="D2607" s="54"/>
      <c r="E2607" s="54"/>
      <c r="F2607" s="118"/>
      <c r="G2607" s="54"/>
      <c r="H2607" s="54"/>
      <c r="I2607" s="54"/>
      <c r="J2607" s="54"/>
      <c r="K2607" s="54"/>
      <c r="L2607" s="54"/>
      <c r="M2607" s="55"/>
      <c r="O2607" s="54"/>
    </row>
    <row r="2608">
      <c r="A2608" s="115"/>
      <c r="B2608" s="54"/>
      <c r="C2608" s="54"/>
      <c r="D2608" s="54"/>
      <c r="E2608" s="54"/>
      <c r="F2608" s="118"/>
      <c r="G2608" s="54"/>
      <c r="H2608" s="54"/>
      <c r="I2608" s="54"/>
      <c r="J2608" s="54"/>
      <c r="K2608" s="54"/>
      <c r="L2608" s="54"/>
      <c r="M2608" s="55"/>
      <c r="O2608" s="54"/>
    </row>
    <row r="2609">
      <c r="A2609" s="115"/>
      <c r="B2609" s="54"/>
      <c r="C2609" s="54"/>
      <c r="D2609" s="54"/>
      <c r="E2609" s="54"/>
      <c r="F2609" s="118"/>
      <c r="G2609" s="54"/>
      <c r="H2609" s="54"/>
      <c r="I2609" s="54"/>
      <c r="J2609" s="54"/>
      <c r="K2609" s="54"/>
      <c r="L2609" s="54"/>
      <c r="M2609" s="55"/>
      <c r="O2609" s="54"/>
    </row>
    <row r="2610">
      <c r="A2610" s="115"/>
      <c r="B2610" s="54"/>
      <c r="C2610" s="54"/>
      <c r="D2610" s="54"/>
      <c r="E2610" s="54"/>
      <c r="F2610" s="118"/>
      <c r="G2610" s="54"/>
      <c r="H2610" s="54"/>
      <c r="I2610" s="54"/>
      <c r="J2610" s="54"/>
      <c r="K2610" s="54"/>
      <c r="L2610" s="54"/>
      <c r="M2610" s="55"/>
      <c r="O2610" s="54"/>
    </row>
    <row r="2611">
      <c r="A2611" s="115"/>
      <c r="B2611" s="54"/>
      <c r="C2611" s="54"/>
      <c r="D2611" s="54"/>
      <c r="E2611" s="54"/>
      <c r="F2611" s="118"/>
      <c r="G2611" s="54"/>
      <c r="H2611" s="54"/>
      <c r="I2611" s="54"/>
      <c r="J2611" s="54"/>
      <c r="K2611" s="54"/>
      <c r="L2611" s="54"/>
      <c r="M2611" s="55"/>
      <c r="O2611" s="54"/>
    </row>
    <row r="2612">
      <c r="A2612" s="115"/>
      <c r="B2612" s="54"/>
      <c r="C2612" s="54"/>
      <c r="D2612" s="54"/>
      <c r="E2612" s="54"/>
      <c r="F2612" s="118"/>
      <c r="G2612" s="54"/>
      <c r="H2612" s="54"/>
      <c r="I2612" s="54"/>
      <c r="J2612" s="54"/>
      <c r="K2612" s="54"/>
      <c r="L2612" s="54"/>
      <c r="M2612" s="55"/>
      <c r="O2612" s="54"/>
    </row>
    <row r="2613">
      <c r="A2613" s="115"/>
      <c r="B2613" s="54"/>
      <c r="C2613" s="54"/>
      <c r="D2613" s="54"/>
      <c r="E2613" s="54"/>
      <c r="F2613" s="118"/>
      <c r="G2613" s="54"/>
      <c r="H2613" s="54"/>
      <c r="I2613" s="54"/>
      <c r="J2613" s="54"/>
      <c r="K2613" s="54"/>
      <c r="L2613" s="54"/>
      <c r="M2613" s="55"/>
      <c r="O2613" s="54"/>
    </row>
    <row r="2614">
      <c r="A2614" s="115"/>
      <c r="B2614" s="54"/>
      <c r="C2614" s="54"/>
      <c r="D2614" s="54"/>
      <c r="E2614" s="54"/>
      <c r="F2614" s="118"/>
      <c r="G2614" s="54"/>
      <c r="H2614" s="54"/>
      <c r="I2614" s="54"/>
      <c r="J2614" s="54"/>
      <c r="K2614" s="54"/>
      <c r="L2614" s="54"/>
      <c r="M2614" s="55"/>
      <c r="O2614" s="54"/>
    </row>
    <row r="2615">
      <c r="A2615" s="115"/>
      <c r="B2615" s="54"/>
      <c r="C2615" s="54"/>
      <c r="D2615" s="54"/>
      <c r="E2615" s="54"/>
      <c r="F2615" s="118"/>
      <c r="G2615" s="54"/>
      <c r="H2615" s="54"/>
      <c r="I2615" s="54"/>
      <c r="J2615" s="54"/>
      <c r="K2615" s="54"/>
      <c r="L2615" s="54"/>
      <c r="M2615" s="55"/>
      <c r="O2615" s="54"/>
    </row>
    <row r="2616">
      <c r="A2616" s="115"/>
      <c r="B2616" s="54"/>
      <c r="C2616" s="54"/>
      <c r="D2616" s="54"/>
      <c r="E2616" s="54"/>
      <c r="F2616" s="118"/>
      <c r="G2616" s="54"/>
      <c r="H2616" s="54"/>
      <c r="I2616" s="54"/>
      <c r="J2616" s="54"/>
      <c r="K2616" s="54"/>
      <c r="L2616" s="54"/>
      <c r="M2616" s="55"/>
      <c r="O2616" s="54"/>
    </row>
    <row r="2617">
      <c r="A2617" s="115"/>
      <c r="B2617" s="54"/>
      <c r="C2617" s="54"/>
      <c r="D2617" s="54"/>
      <c r="E2617" s="54"/>
      <c r="F2617" s="118"/>
      <c r="G2617" s="54"/>
      <c r="H2617" s="54"/>
      <c r="I2617" s="54"/>
      <c r="J2617" s="54"/>
      <c r="K2617" s="54"/>
      <c r="L2617" s="54"/>
      <c r="M2617" s="55"/>
      <c r="O2617" s="54"/>
    </row>
    <row r="2618">
      <c r="A2618" s="115"/>
      <c r="B2618" s="54"/>
      <c r="C2618" s="54"/>
      <c r="D2618" s="54"/>
      <c r="E2618" s="54"/>
      <c r="F2618" s="118"/>
      <c r="G2618" s="54"/>
      <c r="H2618" s="54"/>
      <c r="I2618" s="54"/>
      <c r="J2618" s="54"/>
      <c r="K2618" s="54"/>
      <c r="L2618" s="54"/>
      <c r="M2618" s="55"/>
      <c r="O2618" s="54"/>
    </row>
    <row r="2619">
      <c r="A2619" s="115"/>
      <c r="B2619" s="54"/>
      <c r="C2619" s="54"/>
      <c r="D2619" s="54"/>
      <c r="E2619" s="54"/>
      <c r="F2619" s="118"/>
      <c r="G2619" s="54"/>
      <c r="H2619" s="54"/>
      <c r="I2619" s="54"/>
      <c r="J2619" s="54"/>
      <c r="K2619" s="54"/>
      <c r="L2619" s="54"/>
      <c r="M2619" s="55"/>
      <c r="O2619" s="54"/>
    </row>
    <row r="2620">
      <c r="A2620" s="115"/>
      <c r="B2620" s="54"/>
      <c r="C2620" s="54"/>
      <c r="D2620" s="54"/>
      <c r="E2620" s="54"/>
      <c r="F2620" s="118"/>
      <c r="G2620" s="54"/>
      <c r="H2620" s="54"/>
      <c r="I2620" s="54"/>
      <c r="J2620" s="54"/>
      <c r="K2620" s="54"/>
      <c r="L2620" s="54"/>
      <c r="M2620" s="55"/>
      <c r="O2620" s="54"/>
    </row>
    <row r="2621">
      <c r="A2621" s="115"/>
      <c r="B2621" s="54"/>
      <c r="C2621" s="54"/>
      <c r="D2621" s="54"/>
      <c r="E2621" s="54"/>
      <c r="F2621" s="118"/>
      <c r="G2621" s="54"/>
      <c r="H2621" s="54"/>
      <c r="I2621" s="54"/>
      <c r="J2621" s="54"/>
      <c r="K2621" s="54"/>
      <c r="L2621" s="54"/>
      <c r="M2621" s="55"/>
      <c r="O2621" s="54"/>
    </row>
    <row r="2622">
      <c r="A2622" s="115"/>
      <c r="B2622" s="54"/>
      <c r="C2622" s="54"/>
      <c r="D2622" s="54"/>
      <c r="E2622" s="54"/>
      <c r="F2622" s="118"/>
      <c r="G2622" s="54"/>
      <c r="H2622" s="54"/>
      <c r="I2622" s="54"/>
      <c r="J2622" s="54"/>
      <c r="K2622" s="54"/>
      <c r="L2622" s="54"/>
      <c r="M2622" s="55"/>
      <c r="O2622" s="54"/>
    </row>
    <row r="2623">
      <c r="A2623" s="115"/>
      <c r="B2623" s="54"/>
      <c r="C2623" s="54"/>
      <c r="D2623" s="54"/>
      <c r="E2623" s="54"/>
      <c r="F2623" s="118"/>
      <c r="G2623" s="54"/>
      <c r="H2623" s="54"/>
      <c r="I2623" s="54"/>
      <c r="J2623" s="54"/>
      <c r="K2623" s="54"/>
      <c r="L2623" s="54"/>
      <c r="M2623" s="55"/>
      <c r="O2623" s="54"/>
    </row>
    <row r="2624">
      <c r="A2624" s="115"/>
      <c r="B2624" s="54"/>
      <c r="C2624" s="54"/>
      <c r="D2624" s="54"/>
      <c r="E2624" s="54"/>
      <c r="F2624" s="118"/>
      <c r="G2624" s="54"/>
      <c r="H2624" s="54"/>
      <c r="I2624" s="54"/>
      <c r="J2624" s="54"/>
      <c r="K2624" s="54"/>
      <c r="L2624" s="54"/>
      <c r="M2624" s="55"/>
      <c r="O2624" s="54"/>
    </row>
    <row r="2625">
      <c r="A2625" s="115"/>
      <c r="B2625" s="54"/>
      <c r="C2625" s="54"/>
      <c r="D2625" s="54"/>
      <c r="E2625" s="54"/>
      <c r="F2625" s="118"/>
      <c r="G2625" s="54"/>
      <c r="H2625" s="54"/>
      <c r="I2625" s="54"/>
      <c r="J2625" s="54"/>
      <c r="K2625" s="54"/>
      <c r="L2625" s="54"/>
      <c r="M2625" s="55"/>
      <c r="O2625" s="54"/>
    </row>
    <row r="2626">
      <c r="A2626" s="115"/>
      <c r="B2626" s="54"/>
      <c r="C2626" s="54"/>
      <c r="D2626" s="54"/>
      <c r="E2626" s="54"/>
      <c r="F2626" s="118"/>
      <c r="G2626" s="54"/>
      <c r="H2626" s="54"/>
      <c r="I2626" s="54"/>
      <c r="J2626" s="54"/>
      <c r="K2626" s="54"/>
      <c r="L2626" s="54"/>
      <c r="M2626" s="55"/>
      <c r="O2626" s="54"/>
    </row>
    <row r="2627">
      <c r="A2627" s="115"/>
      <c r="B2627" s="54"/>
      <c r="C2627" s="54"/>
      <c r="D2627" s="54"/>
      <c r="E2627" s="54"/>
      <c r="F2627" s="118"/>
      <c r="G2627" s="54"/>
      <c r="H2627" s="54"/>
      <c r="I2627" s="54"/>
      <c r="J2627" s="54"/>
      <c r="K2627" s="54"/>
      <c r="L2627" s="54"/>
      <c r="M2627" s="55"/>
      <c r="O2627" s="54"/>
    </row>
    <row r="2628">
      <c r="A2628" s="115"/>
      <c r="B2628" s="54"/>
      <c r="C2628" s="54"/>
      <c r="D2628" s="54"/>
      <c r="E2628" s="54"/>
      <c r="F2628" s="118"/>
      <c r="G2628" s="54"/>
      <c r="H2628" s="54"/>
      <c r="I2628" s="54"/>
      <c r="J2628" s="54"/>
      <c r="K2628" s="54"/>
      <c r="L2628" s="54"/>
      <c r="M2628" s="55"/>
      <c r="O2628" s="54"/>
    </row>
    <row r="2629">
      <c r="A2629" s="115"/>
      <c r="B2629" s="54"/>
      <c r="C2629" s="54"/>
      <c r="D2629" s="54"/>
      <c r="E2629" s="54"/>
      <c r="F2629" s="118"/>
      <c r="G2629" s="54"/>
      <c r="H2629" s="54"/>
      <c r="I2629" s="54"/>
      <c r="J2629" s="54"/>
      <c r="K2629" s="54"/>
      <c r="L2629" s="54"/>
      <c r="M2629" s="55"/>
      <c r="O2629" s="54"/>
    </row>
    <row r="2630">
      <c r="A2630" s="115"/>
      <c r="B2630" s="54"/>
      <c r="C2630" s="54"/>
      <c r="D2630" s="54"/>
      <c r="E2630" s="54"/>
      <c r="F2630" s="118"/>
      <c r="G2630" s="54"/>
      <c r="H2630" s="54"/>
      <c r="I2630" s="54"/>
      <c r="J2630" s="54"/>
      <c r="K2630" s="54"/>
      <c r="L2630" s="54"/>
      <c r="M2630" s="55"/>
      <c r="O2630" s="54"/>
    </row>
    <row r="2631">
      <c r="A2631" s="115"/>
      <c r="B2631" s="54"/>
      <c r="C2631" s="54"/>
      <c r="D2631" s="54"/>
      <c r="E2631" s="54"/>
      <c r="F2631" s="118"/>
      <c r="G2631" s="54"/>
      <c r="H2631" s="54"/>
      <c r="I2631" s="54"/>
      <c r="J2631" s="54"/>
      <c r="K2631" s="54"/>
      <c r="L2631" s="54"/>
      <c r="M2631" s="55"/>
      <c r="O2631" s="54"/>
    </row>
    <row r="2632">
      <c r="A2632" s="115"/>
      <c r="B2632" s="54"/>
      <c r="C2632" s="54"/>
      <c r="D2632" s="54"/>
      <c r="E2632" s="54"/>
      <c r="F2632" s="118"/>
      <c r="G2632" s="54"/>
      <c r="H2632" s="54"/>
      <c r="I2632" s="54"/>
      <c r="J2632" s="54"/>
      <c r="K2632" s="54"/>
      <c r="L2632" s="54"/>
      <c r="M2632" s="55"/>
      <c r="O2632" s="54"/>
    </row>
    <row r="2633">
      <c r="A2633" s="115"/>
      <c r="B2633" s="54"/>
      <c r="C2633" s="54"/>
      <c r="D2633" s="54"/>
      <c r="E2633" s="54"/>
      <c r="F2633" s="118"/>
      <c r="G2633" s="54"/>
      <c r="H2633" s="54"/>
      <c r="I2633" s="54"/>
      <c r="J2633" s="54"/>
      <c r="K2633" s="54"/>
      <c r="L2633" s="54"/>
      <c r="M2633" s="55"/>
      <c r="O2633" s="54"/>
    </row>
    <row r="2634">
      <c r="A2634" s="115"/>
      <c r="B2634" s="54"/>
      <c r="C2634" s="54"/>
      <c r="D2634" s="54"/>
      <c r="E2634" s="54"/>
      <c r="F2634" s="118"/>
      <c r="G2634" s="54"/>
      <c r="H2634" s="54"/>
      <c r="I2634" s="54"/>
      <c r="J2634" s="54"/>
      <c r="K2634" s="54"/>
      <c r="L2634" s="54"/>
      <c r="M2634" s="55"/>
      <c r="O2634" s="54"/>
    </row>
    <row r="2635">
      <c r="A2635" s="115"/>
      <c r="B2635" s="54"/>
      <c r="C2635" s="54"/>
      <c r="D2635" s="54"/>
      <c r="E2635" s="54"/>
      <c r="F2635" s="118"/>
      <c r="G2635" s="54"/>
      <c r="H2635" s="54"/>
      <c r="I2635" s="54"/>
      <c r="J2635" s="54"/>
      <c r="K2635" s="54"/>
      <c r="L2635" s="54"/>
      <c r="M2635" s="55"/>
      <c r="O2635" s="54"/>
    </row>
    <row r="2636">
      <c r="A2636" s="115"/>
      <c r="B2636" s="54"/>
      <c r="C2636" s="54"/>
      <c r="D2636" s="54"/>
      <c r="E2636" s="54"/>
      <c r="F2636" s="118"/>
      <c r="G2636" s="54"/>
      <c r="H2636" s="54"/>
      <c r="I2636" s="54"/>
      <c r="J2636" s="54"/>
      <c r="K2636" s="54"/>
      <c r="L2636" s="54"/>
      <c r="M2636" s="55"/>
      <c r="O2636" s="54"/>
    </row>
    <row r="2637">
      <c r="A2637" s="115"/>
      <c r="B2637" s="54"/>
      <c r="C2637" s="54"/>
      <c r="D2637" s="54"/>
      <c r="E2637" s="54"/>
      <c r="F2637" s="118"/>
      <c r="G2637" s="54"/>
      <c r="H2637" s="54"/>
      <c r="I2637" s="54"/>
      <c r="J2637" s="54"/>
      <c r="K2637" s="54"/>
      <c r="L2637" s="54"/>
      <c r="M2637" s="55"/>
      <c r="O2637" s="54"/>
    </row>
    <row r="2638">
      <c r="A2638" s="115"/>
      <c r="B2638" s="54"/>
      <c r="C2638" s="54"/>
      <c r="D2638" s="54"/>
      <c r="E2638" s="54"/>
      <c r="F2638" s="118"/>
      <c r="G2638" s="54"/>
      <c r="H2638" s="54"/>
      <c r="I2638" s="54"/>
      <c r="J2638" s="54"/>
      <c r="K2638" s="54"/>
      <c r="L2638" s="54"/>
      <c r="M2638" s="55"/>
      <c r="O2638" s="54"/>
    </row>
    <row r="2639">
      <c r="A2639" s="115"/>
      <c r="B2639" s="54"/>
      <c r="C2639" s="54"/>
      <c r="D2639" s="54"/>
      <c r="E2639" s="54"/>
      <c r="F2639" s="118"/>
      <c r="G2639" s="54"/>
      <c r="H2639" s="54"/>
      <c r="I2639" s="54"/>
      <c r="J2639" s="54"/>
      <c r="K2639" s="54"/>
      <c r="L2639" s="54"/>
      <c r="M2639" s="55"/>
      <c r="O2639" s="54"/>
    </row>
    <row r="2640">
      <c r="A2640" s="115"/>
      <c r="B2640" s="54"/>
      <c r="C2640" s="54"/>
      <c r="D2640" s="54"/>
      <c r="E2640" s="54"/>
      <c r="F2640" s="118"/>
      <c r="G2640" s="54"/>
      <c r="H2640" s="54"/>
      <c r="I2640" s="54"/>
      <c r="J2640" s="54"/>
      <c r="K2640" s="54"/>
      <c r="L2640" s="54"/>
      <c r="M2640" s="55"/>
      <c r="O2640" s="54"/>
    </row>
    <row r="2641">
      <c r="A2641" s="115"/>
      <c r="B2641" s="54"/>
      <c r="C2641" s="54"/>
      <c r="D2641" s="54"/>
      <c r="E2641" s="54"/>
      <c r="F2641" s="118"/>
      <c r="G2641" s="54"/>
      <c r="H2641" s="54"/>
      <c r="I2641" s="54"/>
      <c r="J2641" s="54"/>
      <c r="K2641" s="54"/>
      <c r="L2641" s="54"/>
      <c r="M2641" s="55"/>
      <c r="O2641" s="54"/>
    </row>
    <row r="2642">
      <c r="A2642" s="115"/>
      <c r="B2642" s="54"/>
      <c r="C2642" s="54"/>
      <c r="D2642" s="54"/>
      <c r="E2642" s="54"/>
      <c r="F2642" s="118"/>
      <c r="G2642" s="54"/>
      <c r="H2642" s="54"/>
      <c r="I2642" s="54"/>
      <c r="J2642" s="54"/>
      <c r="K2642" s="54"/>
      <c r="L2642" s="54"/>
      <c r="M2642" s="55"/>
      <c r="O2642" s="54"/>
    </row>
    <row r="2643">
      <c r="A2643" s="115"/>
      <c r="B2643" s="54"/>
      <c r="C2643" s="54"/>
      <c r="D2643" s="54"/>
      <c r="E2643" s="54"/>
      <c r="F2643" s="118"/>
      <c r="G2643" s="54"/>
      <c r="H2643" s="54"/>
      <c r="I2643" s="54"/>
      <c r="J2643" s="54"/>
      <c r="K2643" s="54"/>
      <c r="L2643" s="54"/>
      <c r="M2643" s="55"/>
      <c r="O2643" s="54"/>
    </row>
    <row r="2644">
      <c r="A2644" s="115"/>
      <c r="B2644" s="54"/>
      <c r="C2644" s="54"/>
      <c r="D2644" s="54"/>
      <c r="E2644" s="54"/>
      <c r="F2644" s="118"/>
      <c r="G2644" s="54"/>
      <c r="H2644" s="54"/>
      <c r="I2644" s="54"/>
      <c r="J2644" s="54"/>
      <c r="K2644" s="54"/>
      <c r="L2644" s="54"/>
      <c r="M2644" s="55"/>
      <c r="O2644" s="54"/>
    </row>
    <row r="2645">
      <c r="A2645" s="115"/>
      <c r="B2645" s="54"/>
      <c r="C2645" s="54"/>
      <c r="D2645" s="54"/>
      <c r="E2645" s="54"/>
      <c r="F2645" s="118"/>
      <c r="G2645" s="54"/>
      <c r="H2645" s="54"/>
      <c r="I2645" s="54"/>
      <c r="J2645" s="54"/>
      <c r="K2645" s="54"/>
      <c r="L2645" s="54"/>
      <c r="M2645" s="55"/>
      <c r="O2645" s="54"/>
    </row>
    <row r="2646">
      <c r="A2646" s="115"/>
      <c r="B2646" s="54"/>
      <c r="C2646" s="54"/>
      <c r="D2646" s="54"/>
      <c r="E2646" s="54"/>
      <c r="F2646" s="118"/>
      <c r="G2646" s="54"/>
      <c r="H2646" s="54"/>
      <c r="I2646" s="54"/>
      <c r="J2646" s="54"/>
      <c r="K2646" s="54"/>
      <c r="L2646" s="54"/>
      <c r="M2646" s="55"/>
      <c r="O2646" s="54"/>
    </row>
    <row r="2647">
      <c r="A2647" s="115"/>
      <c r="B2647" s="54"/>
      <c r="C2647" s="54"/>
      <c r="D2647" s="54"/>
      <c r="E2647" s="54"/>
      <c r="F2647" s="118"/>
      <c r="G2647" s="54"/>
      <c r="H2647" s="54"/>
      <c r="I2647" s="54"/>
      <c r="J2647" s="54"/>
      <c r="K2647" s="54"/>
      <c r="L2647" s="54"/>
      <c r="M2647" s="55"/>
      <c r="O2647" s="54"/>
    </row>
    <row r="2648">
      <c r="A2648" s="115"/>
      <c r="B2648" s="54"/>
      <c r="C2648" s="54"/>
      <c r="D2648" s="54"/>
      <c r="E2648" s="54"/>
      <c r="F2648" s="118"/>
      <c r="G2648" s="54"/>
      <c r="H2648" s="54"/>
      <c r="I2648" s="54"/>
      <c r="J2648" s="54"/>
      <c r="K2648" s="54"/>
      <c r="L2648" s="54"/>
      <c r="M2648" s="55"/>
      <c r="O2648" s="54"/>
    </row>
    <row r="2649">
      <c r="A2649" s="115"/>
      <c r="B2649" s="54"/>
      <c r="C2649" s="54"/>
      <c r="D2649" s="54"/>
      <c r="E2649" s="54"/>
      <c r="F2649" s="118"/>
      <c r="G2649" s="54"/>
      <c r="H2649" s="54"/>
      <c r="I2649" s="54"/>
      <c r="J2649" s="54"/>
      <c r="K2649" s="54"/>
      <c r="L2649" s="54"/>
      <c r="M2649" s="55"/>
      <c r="O2649" s="54"/>
    </row>
    <row r="2650">
      <c r="A2650" s="115"/>
      <c r="B2650" s="54"/>
      <c r="C2650" s="54"/>
      <c r="D2650" s="54"/>
      <c r="E2650" s="54"/>
      <c r="F2650" s="118"/>
      <c r="G2650" s="54"/>
      <c r="H2650" s="54"/>
      <c r="I2650" s="54"/>
      <c r="J2650" s="54"/>
      <c r="K2650" s="54"/>
      <c r="L2650" s="54"/>
      <c r="M2650" s="55"/>
      <c r="O2650" s="54"/>
    </row>
    <row r="2651">
      <c r="A2651" s="115"/>
      <c r="B2651" s="54"/>
      <c r="C2651" s="54"/>
      <c r="D2651" s="54"/>
      <c r="E2651" s="54"/>
      <c r="F2651" s="118"/>
      <c r="G2651" s="54"/>
      <c r="H2651" s="54"/>
      <c r="I2651" s="54"/>
      <c r="J2651" s="54"/>
      <c r="K2651" s="54"/>
      <c r="L2651" s="54"/>
      <c r="M2651" s="55"/>
      <c r="O2651" s="54"/>
    </row>
    <row r="2652">
      <c r="A2652" s="115"/>
      <c r="B2652" s="54"/>
      <c r="C2652" s="54"/>
      <c r="D2652" s="54"/>
      <c r="E2652" s="54"/>
      <c r="F2652" s="118"/>
      <c r="G2652" s="54"/>
      <c r="H2652" s="54"/>
      <c r="I2652" s="54"/>
      <c r="J2652" s="54"/>
      <c r="K2652" s="54"/>
      <c r="L2652" s="54"/>
      <c r="M2652" s="55"/>
      <c r="O2652" s="54"/>
    </row>
    <row r="2653">
      <c r="A2653" s="115"/>
      <c r="B2653" s="54"/>
      <c r="C2653" s="54"/>
      <c r="D2653" s="54"/>
      <c r="E2653" s="54"/>
      <c r="F2653" s="118"/>
      <c r="G2653" s="54"/>
      <c r="H2653" s="54"/>
      <c r="I2653" s="54"/>
      <c r="J2653" s="54"/>
      <c r="K2653" s="54"/>
      <c r="L2653" s="54"/>
      <c r="M2653" s="55"/>
      <c r="O2653" s="54"/>
    </row>
    <row r="2654">
      <c r="A2654" s="115"/>
      <c r="B2654" s="54"/>
      <c r="C2654" s="54"/>
      <c r="D2654" s="54"/>
      <c r="E2654" s="54"/>
      <c r="F2654" s="118"/>
      <c r="G2654" s="54"/>
      <c r="H2654" s="54"/>
      <c r="I2654" s="54"/>
      <c r="J2654" s="54"/>
      <c r="K2654" s="54"/>
      <c r="L2654" s="54"/>
      <c r="M2654" s="55"/>
      <c r="O2654" s="54"/>
    </row>
    <row r="2655">
      <c r="A2655" s="115"/>
      <c r="B2655" s="54"/>
      <c r="C2655" s="54"/>
      <c r="D2655" s="54"/>
      <c r="E2655" s="54"/>
      <c r="F2655" s="118"/>
      <c r="G2655" s="54"/>
      <c r="H2655" s="54"/>
      <c r="I2655" s="54"/>
      <c r="J2655" s="54"/>
      <c r="K2655" s="54"/>
      <c r="L2655" s="54"/>
      <c r="M2655" s="55"/>
      <c r="O2655" s="54"/>
    </row>
    <row r="2656">
      <c r="A2656" s="115"/>
      <c r="B2656" s="54"/>
      <c r="C2656" s="54"/>
      <c r="D2656" s="54"/>
      <c r="E2656" s="54"/>
      <c r="F2656" s="118"/>
      <c r="G2656" s="54"/>
      <c r="H2656" s="54"/>
      <c r="I2656" s="54"/>
      <c r="J2656" s="54"/>
      <c r="K2656" s="54"/>
      <c r="L2656" s="54"/>
      <c r="M2656" s="55"/>
      <c r="O2656" s="54"/>
    </row>
    <row r="2657">
      <c r="A2657" s="115"/>
      <c r="B2657" s="54"/>
      <c r="C2657" s="54"/>
      <c r="D2657" s="54"/>
      <c r="E2657" s="54"/>
      <c r="F2657" s="118"/>
      <c r="G2657" s="54"/>
      <c r="H2657" s="54"/>
      <c r="I2657" s="54"/>
      <c r="J2657" s="54"/>
      <c r="K2657" s="54"/>
      <c r="L2657" s="54"/>
      <c r="M2657" s="55"/>
      <c r="O2657" s="54"/>
    </row>
    <row r="2658">
      <c r="A2658" s="115"/>
      <c r="B2658" s="54"/>
      <c r="C2658" s="54"/>
      <c r="D2658" s="54"/>
      <c r="E2658" s="54"/>
      <c r="F2658" s="118"/>
      <c r="G2658" s="54"/>
      <c r="H2658" s="54"/>
      <c r="I2658" s="54"/>
      <c r="J2658" s="54"/>
      <c r="K2658" s="54"/>
      <c r="L2658" s="54"/>
      <c r="M2658" s="55"/>
      <c r="O2658" s="54"/>
    </row>
    <row r="2659">
      <c r="A2659" s="115"/>
      <c r="B2659" s="54"/>
      <c r="C2659" s="54"/>
      <c r="D2659" s="54"/>
      <c r="E2659" s="54"/>
      <c r="F2659" s="118"/>
      <c r="G2659" s="54"/>
      <c r="H2659" s="54"/>
      <c r="I2659" s="54"/>
      <c r="J2659" s="54"/>
      <c r="K2659" s="54"/>
      <c r="L2659" s="54"/>
      <c r="M2659" s="55"/>
      <c r="O2659" s="54"/>
    </row>
    <row r="2660">
      <c r="A2660" s="115"/>
      <c r="B2660" s="54"/>
      <c r="C2660" s="54"/>
      <c r="D2660" s="54"/>
      <c r="E2660" s="54"/>
      <c r="F2660" s="118"/>
      <c r="G2660" s="54"/>
      <c r="H2660" s="54"/>
      <c r="I2660" s="54"/>
      <c r="J2660" s="54"/>
      <c r="K2660" s="54"/>
      <c r="L2660" s="54"/>
      <c r="M2660" s="55"/>
      <c r="O2660" s="54"/>
    </row>
    <row r="2661">
      <c r="A2661" s="115"/>
      <c r="B2661" s="54"/>
      <c r="C2661" s="54"/>
      <c r="D2661" s="54"/>
      <c r="E2661" s="54"/>
      <c r="F2661" s="118"/>
      <c r="G2661" s="54"/>
      <c r="H2661" s="54"/>
      <c r="I2661" s="54"/>
      <c r="J2661" s="54"/>
      <c r="K2661" s="54"/>
      <c r="L2661" s="54"/>
      <c r="M2661" s="55"/>
      <c r="O2661" s="54"/>
    </row>
    <row r="2662">
      <c r="A2662" s="115"/>
      <c r="B2662" s="54"/>
      <c r="C2662" s="54"/>
      <c r="D2662" s="54"/>
      <c r="E2662" s="54"/>
      <c r="F2662" s="118"/>
      <c r="G2662" s="54"/>
      <c r="H2662" s="54"/>
      <c r="I2662" s="54"/>
      <c r="J2662" s="54"/>
      <c r="K2662" s="54"/>
      <c r="L2662" s="54"/>
      <c r="M2662" s="55"/>
      <c r="O2662" s="54"/>
    </row>
    <row r="2663">
      <c r="A2663" s="115"/>
      <c r="B2663" s="54"/>
      <c r="C2663" s="54"/>
      <c r="D2663" s="54"/>
      <c r="E2663" s="54"/>
      <c r="F2663" s="118"/>
      <c r="G2663" s="54"/>
      <c r="H2663" s="54"/>
      <c r="I2663" s="54"/>
      <c r="J2663" s="54"/>
      <c r="K2663" s="54"/>
      <c r="L2663" s="54"/>
      <c r="M2663" s="55"/>
      <c r="O2663" s="54"/>
    </row>
    <row r="2664">
      <c r="A2664" s="115"/>
      <c r="B2664" s="54"/>
      <c r="C2664" s="54"/>
      <c r="D2664" s="54"/>
      <c r="E2664" s="54"/>
      <c r="F2664" s="118"/>
      <c r="G2664" s="54"/>
      <c r="H2664" s="54"/>
      <c r="I2664" s="54"/>
      <c r="J2664" s="54"/>
      <c r="K2664" s="54"/>
      <c r="L2664" s="54"/>
      <c r="M2664" s="55"/>
      <c r="O2664" s="54"/>
    </row>
    <row r="2665">
      <c r="A2665" s="115"/>
      <c r="B2665" s="54"/>
      <c r="C2665" s="54"/>
      <c r="D2665" s="54"/>
      <c r="E2665" s="54"/>
      <c r="F2665" s="118"/>
      <c r="G2665" s="54"/>
      <c r="H2665" s="54"/>
      <c r="I2665" s="54"/>
      <c r="J2665" s="54"/>
      <c r="K2665" s="54"/>
      <c r="L2665" s="54"/>
      <c r="M2665" s="55"/>
      <c r="O2665" s="54"/>
    </row>
    <row r="2666">
      <c r="A2666" s="115"/>
      <c r="B2666" s="54"/>
      <c r="C2666" s="54"/>
      <c r="D2666" s="54"/>
      <c r="E2666" s="54"/>
      <c r="F2666" s="118"/>
      <c r="G2666" s="54"/>
      <c r="H2666" s="54"/>
      <c r="I2666" s="54"/>
      <c r="J2666" s="54"/>
      <c r="K2666" s="54"/>
      <c r="L2666" s="54"/>
      <c r="M2666" s="55"/>
      <c r="O2666" s="54"/>
    </row>
    <row r="2667">
      <c r="A2667" s="115"/>
      <c r="B2667" s="54"/>
      <c r="C2667" s="54"/>
      <c r="D2667" s="54"/>
      <c r="E2667" s="54"/>
      <c r="F2667" s="118"/>
      <c r="G2667" s="54"/>
      <c r="H2667" s="54"/>
      <c r="I2667" s="54"/>
      <c r="J2667" s="54"/>
      <c r="K2667" s="54"/>
      <c r="L2667" s="54"/>
      <c r="M2667" s="55"/>
      <c r="O2667" s="54"/>
    </row>
    <row r="2668">
      <c r="A2668" s="115"/>
      <c r="B2668" s="54"/>
      <c r="C2668" s="54"/>
      <c r="D2668" s="54"/>
      <c r="E2668" s="54"/>
      <c r="F2668" s="118"/>
      <c r="G2668" s="54"/>
      <c r="H2668" s="54"/>
      <c r="I2668" s="54"/>
      <c r="J2668" s="54"/>
      <c r="K2668" s="54"/>
      <c r="L2668" s="54"/>
      <c r="M2668" s="55"/>
      <c r="O2668" s="54"/>
    </row>
    <row r="2669">
      <c r="A2669" s="115"/>
      <c r="B2669" s="54"/>
      <c r="C2669" s="54"/>
      <c r="D2669" s="54"/>
      <c r="E2669" s="54"/>
      <c r="F2669" s="118"/>
      <c r="G2669" s="54"/>
      <c r="H2669" s="54"/>
      <c r="I2669" s="54"/>
      <c r="J2669" s="54"/>
      <c r="K2669" s="54"/>
      <c r="L2669" s="54"/>
      <c r="M2669" s="55"/>
      <c r="O2669" s="54"/>
    </row>
    <row r="2670">
      <c r="A2670" s="115"/>
      <c r="B2670" s="54"/>
      <c r="C2670" s="54"/>
      <c r="D2670" s="54"/>
      <c r="E2670" s="54"/>
      <c r="F2670" s="118"/>
      <c r="G2670" s="54"/>
      <c r="H2670" s="54"/>
      <c r="I2670" s="54"/>
      <c r="J2670" s="54"/>
      <c r="K2670" s="54"/>
      <c r="L2670" s="54"/>
      <c r="M2670" s="55"/>
      <c r="O2670" s="54"/>
    </row>
    <row r="2671">
      <c r="A2671" s="115"/>
      <c r="B2671" s="54"/>
      <c r="C2671" s="54"/>
      <c r="D2671" s="54"/>
      <c r="E2671" s="54"/>
      <c r="F2671" s="118"/>
      <c r="G2671" s="54"/>
      <c r="H2671" s="54"/>
      <c r="I2671" s="54"/>
      <c r="J2671" s="54"/>
      <c r="K2671" s="54"/>
      <c r="L2671" s="54"/>
      <c r="M2671" s="55"/>
      <c r="O2671" s="54"/>
    </row>
    <row r="2672">
      <c r="A2672" s="115"/>
      <c r="B2672" s="54"/>
      <c r="C2672" s="54"/>
      <c r="D2672" s="54"/>
      <c r="E2672" s="54"/>
      <c r="F2672" s="118"/>
      <c r="G2672" s="54"/>
      <c r="H2672" s="54"/>
      <c r="I2672" s="54"/>
      <c r="J2672" s="54"/>
      <c r="K2672" s="54"/>
      <c r="L2672" s="54"/>
      <c r="M2672" s="55"/>
      <c r="O2672" s="54"/>
    </row>
    <row r="2673">
      <c r="A2673" s="115"/>
      <c r="B2673" s="54"/>
      <c r="C2673" s="54"/>
      <c r="D2673" s="54"/>
      <c r="E2673" s="54"/>
      <c r="F2673" s="118"/>
      <c r="G2673" s="54"/>
      <c r="H2673" s="54"/>
      <c r="I2673" s="54"/>
      <c r="J2673" s="54"/>
      <c r="K2673" s="54"/>
      <c r="L2673" s="54"/>
      <c r="M2673" s="55"/>
      <c r="O2673" s="54"/>
    </row>
    <row r="2674">
      <c r="A2674" s="115"/>
      <c r="B2674" s="54"/>
      <c r="C2674" s="54"/>
      <c r="D2674" s="54"/>
      <c r="E2674" s="54"/>
      <c r="F2674" s="118"/>
      <c r="G2674" s="54"/>
      <c r="H2674" s="54"/>
      <c r="I2674" s="54"/>
      <c r="J2674" s="54"/>
      <c r="K2674" s="54"/>
      <c r="L2674" s="54"/>
      <c r="M2674" s="55"/>
      <c r="O2674" s="54"/>
    </row>
    <row r="2675">
      <c r="A2675" s="115"/>
      <c r="B2675" s="54"/>
      <c r="C2675" s="54"/>
      <c r="D2675" s="54"/>
      <c r="E2675" s="54"/>
      <c r="F2675" s="118"/>
      <c r="G2675" s="54"/>
      <c r="H2675" s="54"/>
      <c r="I2675" s="54"/>
      <c r="J2675" s="54"/>
      <c r="K2675" s="54"/>
      <c r="L2675" s="54"/>
      <c r="M2675" s="55"/>
      <c r="O2675" s="54"/>
    </row>
    <row r="2676">
      <c r="A2676" s="115"/>
      <c r="B2676" s="54"/>
      <c r="C2676" s="54"/>
      <c r="D2676" s="54"/>
      <c r="E2676" s="54"/>
      <c r="F2676" s="118"/>
      <c r="G2676" s="54"/>
      <c r="H2676" s="54"/>
      <c r="I2676" s="54"/>
      <c r="J2676" s="54"/>
      <c r="K2676" s="54"/>
      <c r="L2676" s="54"/>
      <c r="M2676" s="55"/>
      <c r="O2676" s="54"/>
    </row>
    <row r="2677">
      <c r="A2677" s="115"/>
      <c r="B2677" s="54"/>
      <c r="C2677" s="54"/>
      <c r="D2677" s="54"/>
      <c r="E2677" s="54"/>
      <c r="F2677" s="118"/>
      <c r="G2677" s="54"/>
      <c r="H2677" s="54"/>
      <c r="I2677" s="54"/>
      <c r="J2677" s="54"/>
      <c r="K2677" s="54"/>
      <c r="L2677" s="54"/>
      <c r="M2677" s="55"/>
      <c r="O2677" s="54"/>
    </row>
    <row r="2678">
      <c r="A2678" s="115"/>
      <c r="B2678" s="54"/>
      <c r="C2678" s="54"/>
      <c r="D2678" s="54"/>
      <c r="E2678" s="54"/>
      <c r="F2678" s="118"/>
      <c r="G2678" s="54"/>
      <c r="H2678" s="54"/>
      <c r="I2678" s="54"/>
      <c r="J2678" s="54"/>
      <c r="K2678" s="54"/>
      <c r="L2678" s="54"/>
      <c r="M2678" s="55"/>
      <c r="O2678" s="54"/>
    </row>
    <row r="2679">
      <c r="A2679" s="115"/>
      <c r="B2679" s="54"/>
      <c r="C2679" s="54"/>
      <c r="D2679" s="54"/>
      <c r="E2679" s="54"/>
      <c r="F2679" s="118"/>
      <c r="G2679" s="54"/>
      <c r="H2679" s="54"/>
      <c r="I2679" s="54"/>
      <c r="J2679" s="54"/>
      <c r="K2679" s="54"/>
      <c r="L2679" s="54"/>
      <c r="M2679" s="55"/>
      <c r="O2679" s="54"/>
    </row>
    <row r="2680">
      <c r="A2680" s="115"/>
      <c r="B2680" s="54"/>
      <c r="C2680" s="54"/>
      <c r="D2680" s="54"/>
      <c r="E2680" s="54"/>
      <c r="F2680" s="118"/>
      <c r="G2680" s="54"/>
      <c r="H2680" s="54"/>
      <c r="I2680" s="54"/>
      <c r="J2680" s="54"/>
      <c r="K2680" s="54"/>
      <c r="L2680" s="54"/>
      <c r="M2680" s="55"/>
      <c r="O2680" s="54"/>
    </row>
    <row r="2681">
      <c r="A2681" s="115"/>
      <c r="B2681" s="54"/>
      <c r="C2681" s="54"/>
      <c r="D2681" s="54"/>
      <c r="E2681" s="54"/>
      <c r="F2681" s="118"/>
      <c r="G2681" s="54"/>
      <c r="H2681" s="54"/>
      <c r="I2681" s="54"/>
      <c r="J2681" s="54"/>
      <c r="K2681" s="54"/>
      <c r="L2681" s="54"/>
      <c r="M2681" s="55"/>
      <c r="O2681" s="54"/>
    </row>
    <row r="2682">
      <c r="A2682" s="115"/>
      <c r="B2682" s="54"/>
      <c r="C2682" s="54"/>
      <c r="D2682" s="54"/>
      <c r="E2682" s="54"/>
      <c r="F2682" s="118"/>
      <c r="G2682" s="54"/>
      <c r="H2682" s="54"/>
      <c r="I2682" s="54"/>
      <c r="J2682" s="54"/>
      <c r="K2682" s="54"/>
      <c r="L2682" s="54"/>
      <c r="M2682" s="55"/>
      <c r="O2682" s="54"/>
    </row>
    <row r="2683">
      <c r="A2683" s="115"/>
      <c r="B2683" s="54"/>
      <c r="C2683" s="54"/>
      <c r="D2683" s="54"/>
      <c r="E2683" s="54"/>
      <c r="F2683" s="118"/>
      <c r="G2683" s="54"/>
      <c r="H2683" s="54"/>
      <c r="I2683" s="54"/>
      <c r="J2683" s="54"/>
      <c r="K2683" s="54"/>
      <c r="L2683" s="54"/>
      <c r="M2683" s="55"/>
      <c r="O2683" s="54"/>
    </row>
    <row r="2684">
      <c r="A2684" s="115"/>
      <c r="B2684" s="54"/>
      <c r="C2684" s="54"/>
      <c r="D2684" s="54"/>
      <c r="E2684" s="54"/>
      <c r="F2684" s="118"/>
      <c r="G2684" s="54"/>
      <c r="H2684" s="54"/>
      <c r="I2684" s="54"/>
      <c r="J2684" s="54"/>
      <c r="K2684" s="54"/>
      <c r="L2684" s="54"/>
      <c r="M2684" s="55"/>
      <c r="O2684" s="54"/>
    </row>
    <row r="2685">
      <c r="A2685" s="115"/>
      <c r="B2685" s="54"/>
      <c r="C2685" s="54"/>
      <c r="D2685" s="54"/>
      <c r="E2685" s="54"/>
      <c r="F2685" s="118"/>
      <c r="G2685" s="54"/>
      <c r="H2685" s="54"/>
      <c r="I2685" s="54"/>
      <c r="J2685" s="54"/>
      <c r="K2685" s="54"/>
      <c r="L2685" s="54"/>
      <c r="M2685" s="55"/>
      <c r="O2685" s="54"/>
    </row>
    <row r="2686">
      <c r="A2686" s="115"/>
      <c r="B2686" s="54"/>
      <c r="C2686" s="54"/>
      <c r="D2686" s="54"/>
      <c r="E2686" s="54"/>
      <c r="F2686" s="118"/>
      <c r="G2686" s="54"/>
      <c r="H2686" s="54"/>
      <c r="I2686" s="54"/>
      <c r="J2686" s="54"/>
      <c r="K2686" s="54"/>
      <c r="L2686" s="54"/>
      <c r="M2686" s="55"/>
      <c r="O2686" s="54"/>
    </row>
    <row r="2687">
      <c r="A2687" s="115"/>
      <c r="B2687" s="54"/>
      <c r="C2687" s="54"/>
      <c r="D2687" s="54"/>
      <c r="E2687" s="54"/>
      <c r="F2687" s="118"/>
      <c r="G2687" s="54"/>
      <c r="H2687" s="54"/>
      <c r="I2687" s="54"/>
      <c r="J2687" s="54"/>
      <c r="K2687" s="54"/>
      <c r="L2687" s="54"/>
      <c r="M2687" s="55"/>
      <c r="O2687" s="54"/>
    </row>
    <row r="2688">
      <c r="A2688" s="115"/>
      <c r="B2688" s="54"/>
      <c r="C2688" s="54"/>
      <c r="D2688" s="54"/>
      <c r="E2688" s="54"/>
      <c r="F2688" s="118"/>
      <c r="G2688" s="54"/>
      <c r="H2688" s="54"/>
      <c r="I2688" s="54"/>
      <c r="J2688" s="54"/>
      <c r="K2688" s="54"/>
      <c r="L2688" s="54"/>
      <c r="M2688" s="55"/>
      <c r="O2688" s="54"/>
    </row>
    <row r="2689">
      <c r="A2689" s="115"/>
      <c r="B2689" s="54"/>
      <c r="C2689" s="54"/>
      <c r="D2689" s="54"/>
      <c r="E2689" s="54"/>
      <c r="F2689" s="118"/>
      <c r="G2689" s="54"/>
      <c r="H2689" s="54"/>
      <c r="I2689" s="54"/>
      <c r="J2689" s="54"/>
      <c r="K2689" s="54"/>
      <c r="L2689" s="54"/>
      <c r="M2689" s="55"/>
      <c r="O2689" s="54"/>
    </row>
    <row r="2690">
      <c r="A2690" s="115"/>
      <c r="B2690" s="54"/>
      <c r="C2690" s="54"/>
      <c r="D2690" s="54"/>
      <c r="E2690" s="54"/>
      <c r="F2690" s="118"/>
      <c r="G2690" s="54"/>
      <c r="H2690" s="54"/>
      <c r="I2690" s="54"/>
      <c r="J2690" s="54"/>
      <c r="K2690" s="54"/>
      <c r="L2690" s="54"/>
      <c r="M2690" s="55"/>
      <c r="O2690" s="54"/>
    </row>
    <row r="2691">
      <c r="A2691" s="115"/>
      <c r="B2691" s="54"/>
      <c r="C2691" s="54"/>
      <c r="D2691" s="54"/>
      <c r="E2691" s="54"/>
      <c r="F2691" s="118"/>
      <c r="G2691" s="54"/>
      <c r="H2691" s="54"/>
      <c r="I2691" s="54"/>
      <c r="J2691" s="54"/>
      <c r="K2691" s="54"/>
      <c r="L2691" s="54"/>
      <c r="M2691" s="55"/>
      <c r="O2691" s="54"/>
    </row>
    <row r="2692">
      <c r="A2692" s="115"/>
      <c r="B2692" s="54"/>
      <c r="C2692" s="54"/>
      <c r="D2692" s="54"/>
      <c r="E2692" s="54"/>
      <c r="F2692" s="118"/>
      <c r="G2692" s="54"/>
      <c r="H2692" s="54"/>
      <c r="I2692" s="54"/>
      <c r="J2692" s="54"/>
      <c r="K2692" s="54"/>
      <c r="L2692" s="54"/>
      <c r="M2692" s="55"/>
      <c r="O2692" s="54"/>
    </row>
    <row r="2693">
      <c r="A2693" s="115"/>
      <c r="B2693" s="54"/>
      <c r="C2693" s="54"/>
      <c r="D2693" s="54"/>
      <c r="E2693" s="54"/>
      <c r="F2693" s="118"/>
      <c r="G2693" s="54"/>
      <c r="H2693" s="54"/>
      <c r="I2693" s="54"/>
      <c r="J2693" s="54"/>
      <c r="K2693" s="54"/>
      <c r="L2693" s="54"/>
      <c r="M2693" s="55"/>
      <c r="O2693" s="54"/>
    </row>
    <row r="2694">
      <c r="A2694" s="115"/>
      <c r="B2694" s="54"/>
      <c r="C2694" s="54"/>
      <c r="D2694" s="54"/>
      <c r="E2694" s="54"/>
      <c r="F2694" s="118"/>
      <c r="G2694" s="54"/>
      <c r="H2694" s="54"/>
      <c r="I2694" s="54"/>
      <c r="J2694" s="54"/>
      <c r="K2694" s="54"/>
      <c r="L2694" s="54"/>
      <c r="M2694" s="55"/>
      <c r="O2694" s="54"/>
    </row>
    <row r="2695">
      <c r="A2695" s="115"/>
      <c r="B2695" s="54"/>
      <c r="C2695" s="54"/>
      <c r="D2695" s="54"/>
      <c r="E2695" s="54"/>
      <c r="F2695" s="118"/>
      <c r="G2695" s="54"/>
      <c r="H2695" s="54"/>
      <c r="I2695" s="54"/>
      <c r="J2695" s="54"/>
      <c r="K2695" s="54"/>
      <c r="L2695" s="54"/>
      <c r="M2695" s="55"/>
      <c r="O2695" s="54"/>
    </row>
    <row r="2696">
      <c r="A2696" s="115"/>
      <c r="B2696" s="54"/>
      <c r="C2696" s="54"/>
      <c r="D2696" s="54"/>
      <c r="E2696" s="54"/>
      <c r="F2696" s="118"/>
      <c r="G2696" s="54"/>
      <c r="H2696" s="54"/>
      <c r="I2696" s="54"/>
      <c r="J2696" s="54"/>
      <c r="K2696" s="54"/>
      <c r="L2696" s="54"/>
      <c r="M2696" s="55"/>
      <c r="O2696" s="54"/>
    </row>
    <row r="2697">
      <c r="A2697" s="115"/>
      <c r="B2697" s="54"/>
      <c r="C2697" s="54"/>
      <c r="D2697" s="54"/>
      <c r="E2697" s="54"/>
      <c r="F2697" s="118"/>
      <c r="G2697" s="54"/>
      <c r="H2697" s="54"/>
      <c r="I2697" s="54"/>
      <c r="J2697" s="54"/>
      <c r="K2697" s="54"/>
      <c r="L2697" s="54"/>
      <c r="M2697" s="55"/>
      <c r="O2697" s="54"/>
    </row>
    <row r="2698">
      <c r="A2698" s="115"/>
      <c r="B2698" s="54"/>
      <c r="C2698" s="54"/>
      <c r="D2698" s="54"/>
      <c r="E2698" s="54"/>
      <c r="F2698" s="118"/>
      <c r="G2698" s="54"/>
      <c r="H2698" s="54"/>
      <c r="I2698" s="54"/>
      <c r="J2698" s="54"/>
      <c r="K2698" s="54"/>
      <c r="L2698" s="54"/>
      <c r="M2698" s="55"/>
      <c r="O2698" s="54"/>
    </row>
    <row r="2699">
      <c r="A2699" s="115"/>
      <c r="B2699" s="54"/>
      <c r="C2699" s="54"/>
      <c r="D2699" s="54"/>
      <c r="E2699" s="54"/>
      <c r="F2699" s="118"/>
      <c r="G2699" s="54"/>
      <c r="H2699" s="54"/>
      <c r="I2699" s="54"/>
      <c r="J2699" s="54"/>
      <c r="K2699" s="54"/>
      <c r="L2699" s="54"/>
      <c r="M2699" s="55"/>
      <c r="O2699" s="54"/>
    </row>
    <row r="2700">
      <c r="A2700" s="115"/>
      <c r="B2700" s="54"/>
      <c r="C2700" s="54"/>
      <c r="D2700" s="54"/>
      <c r="E2700" s="54"/>
      <c r="F2700" s="118"/>
      <c r="G2700" s="54"/>
      <c r="H2700" s="54"/>
      <c r="I2700" s="54"/>
      <c r="J2700" s="54"/>
      <c r="K2700" s="54"/>
      <c r="L2700" s="54"/>
      <c r="M2700" s="55"/>
      <c r="O2700" s="54"/>
    </row>
    <row r="2701">
      <c r="A2701" s="115"/>
      <c r="B2701" s="54"/>
      <c r="C2701" s="54"/>
      <c r="D2701" s="54"/>
      <c r="E2701" s="54"/>
      <c r="F2701" s="118"/>
      <c r="G2701" s="54"/>
      <c r="H2701" s="54"/>
      <c r="I2701" s="54"/>
      <c r="J2701" s="54"/>
      <c r="K2701" s="54"/>
      <c r="L2701" s="54"/>
      <c r="M2701" s="55"/>
      <c r="O2701" s="54"/>
    </row>
    <row r="2702">
      <c r="A2702" s="115"/>
      <c r="B2702" s="54"/>
      <c r="C2702" s="54"/>
      <c r="D2702" s="54"/>
      <c r="E2702" s="54"/>
      <c r="F2702" s="118"/>
      <c r="G2702" s="54"/>
      <c r="H2702" s="54"/>
      <c r="I2702" s="54"/>
      <c r="J2702" s="54"/>
      <c r="K2702" s="54"/>
      <c r="L2702" s="54"/>
      <c r="M2702" s="55"/>
      <c r="O2702" s="54"/>
    </row>
    <row r="2703">
      <c r="A2703" s="115"/>
      <c r="B2703" s="54"/>
      <c r="C2703" s="54"/>
      <c r="D2703" s="54"/>
      <c r="E2703" s="54"/>
      <c r="F2703" s="118"/>
      <c r="G2703" s="54"/>
      <c r="H2703" s="54"/>
      <c r="I2703" s="54"/>
      <c r="J2703" s="54"/>
      <c r="K2703" s="54"/>
      <c r="L2703" s="54"/>
      <c r="M2703" s="55"/>
      <c r="O2703" s="54"/>
    </row>
    <row r="2704">
      <c r="A2704" s="115"/>
      <c r="B2704" s="54"/>
      <c r="C2704" s="54"/>
      <c r="D2704" s="54"/>
      <c r="E2704" s="54"/>
      <c r="F2704" s="118"/>
      <c r="G2704" s="54"/>
      <c r="H2704" s="54"/>
      <c r="I2704" s="54"/>
      <c r="J2704" s="54"/>
      <c r="K2704" s="54"/>
      <c r="L2704" s="54"/>
      <c r="M2704" s="55"/>
      <c r="O2704" s="54"/>
    </row>
    <row r="2705">
      <c r="A2705" s="115"/>
      <c r="B2705" s="54"/>
      <c r="C2705" s="54"/>
      <c r="D2705" s="54"/>
      <c r="E2705" s="54"/>
      <c r="F2705" s="118"/>
      <c r="G2705" s="54"/>
      <c r="H2705" s="54"/>
      <c r="I2705" s="54"/>
      <c r="J2705" s="54"/>
      <c r="K2705" s="54"/>
      <c r="L2705" s="54"/>
      <c r="M2705" s="55"/>
      <c r="O2705" s="54"/>
    </row>
    <row r="2706">
      <c r="A2706" s="115"/>
      <c r="B2706" s="54"/>
      <c r="C2706" s="54"/>
      <c r="D2706" s="54"/>
      <c r="E2706" s="54"/>
      <c r="F2706" s="118"/>
      <c r="G2706" s="54"/>
      <c r="H2706" s="54"/>
      <c r="I2706" s="54"/>
      <c r="J2706" s="54"/>
      <c r="K2706" s="54"/>
      <c r="L2706" s="54"/>
      <c r="M2706" s="55"/>
      <c r="O2706" s="54"/>
    </row>
    <row r="2707">
      <c r="A2707" s="115"/>
      <c r="B2707" s="54"/>
      <c r="C2707" s="54"/>
      <c r="D2707" s="54"/>
      <c r="E2707" s="54"/>
      <c r="F2707" s="118"/>
      <c r="G2707" s="54"/>
      <c r="H2707" s="54"/>
      <c r="I2707" s="54"/>
      <c r="J2707" s="54"/>
      <c r="K2707" s="54"/>
      <c r="L2707" s="54"/>
      <c r="M2707" s="55"/>
      <c r="O2707" s="54"/>
    </row>
    <row r="2708">
      <c r="A2708" s="115"/>
      <c r="B2708" s="54"/>
      <c r="C2708" s="54"/>
      <c r="D2708" s="54"/>
      <c r="E2708" s="54"/>
      <c r="F2708" s="118"/>
      <c r="G2708" s="54"/>
      <c r="H2708" s="54"/>
      <c r="I2708" s="54"/>
      <c r="J2708" s="54"/>
      <c r="K2708" s="54"/>
      <c r="L2708" s="54"/>
      <c r="M2708" s="55"/>
      <c r="O2708" s="54"/>
    </row>
    <row r="2709">
      <c r="A2709" s="115"/>
      <c r="B2709" s="54"/>
      <c r="C2709" s="54"/>
      <c r="D2709" s="54"/>
      <c r="E2709" s="54"/>
      <c r="F2709" s="118"/>
      <c r="G2709" s="54"/>
      <c r="H2709" s="54"/>
      <c r="I2709" s="54"/>
      <c r="J2709" s="54"/>
      <c r="K2709" s="54"/>
      <c r="L2709" s="54"/>
      <c r="M2709" s="55"/>
      <c r="O2709" s="54"/>
    </row>
    <row r="2710">
      <c r="A2710" s="115"/>
      <c r="B2710" s="54"/>
      <c r="C2710" s="54"/>
      <c r="D2710" s="54"/>
      <c r="E2710" s="54"/>
      <c r="F2710" s="118"/>
      <c r="G2710" s="54"/>
      <c r="H2710" s="54"/>
      <c r="I2710" s="54"/>
      <c r="J2710" s="54"/>
      <c r="K2710" s="54"/>
      <c r="L2710" s="54"/>
      <c r="M2710" s="55"/>
      <c r="O2710" s="54"/>
    </row>
    <row r="2711">
      <c r="A2711" s="115"/>
      <c r="B2711" s="54"/>
      <c r="C2711" s="54"/>
      <c r="D2711" s="54"/>
      <c r="E2711" s="54"/>
      <c r="F2711" s="118"/>
      <c r="G2711" s="54"/>
      <c r="H2711" s="54"/>
      <c r="I2711" s="54"/>
      <c r="J2711" s="54"/>
      <c r="K2711" s="54"/>
      <c r="L2711" s="54"/>
      <c r="M2711" s="55"/>
      <c r="O2711" s="54"/>
    </row>
    <row r="2712">
      <c r="A2712" s="115"/>
      <c r="B2712" s="54"/>
      <c r="C2712" s="54"/>
      <c r="D2712" s="54"/>
      <c r="E2712" s="54"/>
      <c r="F2712" s="118"/>
      <c r="G2712" s="54"/>
      <c r="H2712" s="54"/>
      <c r="I2712" s="54"/>
      <c r="J2712" s="54"/>
      <c r="K2712" s="54"/>
      <c r="L2712" s="54"/>
      <c r="M2712" s="55"/>
      <c r="O2712" s="54"/>
    </row>
    <row r="2713">
      <c r="A2713" s="115"/>
      <c r="B2713" s="54"/>
      <c r="C2713" s="54"/>
      <c r="D2713" s="54"/>
      <c r="E2713" s="54"/>
      <c r="F2713" s="118"/>
      <c r="G2713" s="54"/>
      <c r="H2713" s="54"/>
      <c r="I2713" s="54"/>
      <c r="J2713" s="54"/>
      <c r="K2713" s="54"/>
      <c r="L2713" s="54"/>
      <c r="M2713" s="55"/>
      <c r="O2713" s="54"/>
    </row>
    <row r="2714">
      <c r="A2714" s="115"/>
      <c r="B2714" s="54"/>
      <c r="C2714" s="54"/>
      <c r="D2714" s="54"/>
      <c r="E2714" s="54"/>
      <c r="F2714" s="118"/>
      <c r="G2714" s="54"/>
      <c r="H2714" s="54"/>
      <c r="I2714" s="54"/>
      <c r="J2714" s="54"/>
      <c r="K2714" s="54"/>
      <c r="L2714" s="54"/>
      <c r="M2714" s="55"/>
      <c r="O2714" s="54"/>
    </row>
    <row r="2715">
      <c r="A2715" s="115"/>
      <c r="B2715" s="54"/>
      <c r="C2715" s="54"/>
      <c r="D2715" s="54"/>
      <c r="E2715" s="54"/>
      <c r="F2715" s="118"/>
      <c r="G2715" s="54"/>
      <c r="H2715" s="54"/>
      <c r="I2715" s="54"/>
      <c r="J2715" s="54"/>
      <c r="K2715" s="54"/>
      <c r="L2715" s="54"/>
      <c r="M2715" s="55"/>
      <c r="O2715" s="54"/>
    </row>
    <row r="2716">
      <c r="A2716" s="115"/>
      <c r="B2716" s="54"/>
      <c r="C2716" s="54"/>
      <c r="D2716" s="54"/>
      <c r="E2716" s="54"/>
      <c r="F2716" s="118"/>
      <c r="G2716" s="54"/>
      <c r="H2716" s="54"/>
      <c r="I2716" s="54"/>
      <c r="J2716" s="54"/>
      <c r="K2716" s="54"/>
      <c r="L2716" s="54"/>
      <c r="M2716" s="55"/>
      <c r="O2716" s="54"/>
    </row>
    <row r="2717">
      <c r="A2717" s="115"/>
      <c r="B2717" s="54"/>
      <c r="C2717" s="54"/>
      <c r="D2717" s="54"/>
      <c r="E2717" s="54"/>
      <c r="F2717" s="118"/>
      <c r="G2717" s="54"/>
      <c r="H2717" s="54"/>
      <c r="I2717" s="54"/>
      <c r="J2717" s="54"/>
      <c r="K2717" s="54"/>
      <c r="L2717" s="54"/>
      <c r="M2717" s="55"/>
      <c r="O2717" s="54"/>
    </row>
    <row r="2718">
      <c r="A2718" s="115"/>
      <c r="B2718" s="54"/>
      <c r="C2718" s="54"/>
      <c r="D2718" s="54"/>
      <c r="E2718" s="54"/>
      <c r="F2718" s="118"/>
      <c r="G2718" s="54"/>
      <c r="H2718" s="54"/>
      <c r="I2718" s="54"/>
      <c r="J2718" s="54"/>
      <c r="K2718" s="54"/>
      <c r="L2718" s="54"/>
      <c r="M2718" s="55"/>
      <c r="O2718" s="54"/>
    </row>
    <row r="2719">
      <c r="A2719" s="115"/>
      <c r="B2719" s="54"/>
      <c r="C2719" s="54"/>
      <c r="D2719" s="54"/>
      <c r="E2719" s="54"/>
      <c r="F2719" s="118"/>
      <c r="G2719" s="54"/>
      <c r="H2719" s="54"/>
      <c r="I2719" s="54"/>
      <c r="J2719" s="54"/>
      <c r="K2719" s="54"/>
      <c r="L2719" s="54"/>
      <c r="M2719" s="55"/>
      <c r="O2719" s="54"/>
    </row>
    <row r="2720">
      <c r="A2720" s="115"/>
      <c r="B2720" s="54"/>
      <c r="C2720" s="54"/>
      <c r="D2720" s="54"/>
      <c r="E2720" s="54"/>
      <c r="F2720" s="118"/>
      <c r="G2720" s="54"/>
      <c r="H2720" s="54"/>
      <c r="I2720" s="54"/>
      <c r="J2720" s="54"/>
      <c r="K2720" s="54"/>
      <c r="L2720" s="54"/>
      <c r="M2720" s="55"/>
      <c r="O2720" s="54"/>
    </row>
    <row r="2721">
      <c r="A2721" s="115"/>
      <c r="B2721" s="54"/>
      <c r="C2721" s="54"/>
      <c r="D2721" s="54"/>
      <c r="E2721" s="54"/>
      <c r="F2721" s="118"/>
      <c r="G2721" s="54"/>
      <c r="H2721" s="54"/>
      <c r="I2721" s="54"/>
      <c r="J2721" s="54"/>
      <c r="K2721" s="54"/>
      <c r="L2721" s="54"/>
      <c r="M2721" s="55"/>
      <c r="O2721" s="54"/>
    </row>
    <row r="2722">
      <c r="A2722" s="115"/>
      <c r="B2722" s="54"/>
      <c r="C2722" s="54"/>
      <c r="D2722" s="54"/>
      <c r="E2722" s="54"/>
      <c r="F2722" s="118"/>
      <c r="G2722" s="54"/>
      <c r="H2722" s="54"/>
      <c r="I2722" s="54"/>
      <c r="J2722" s="54"/>
      <c r="K2722" s="54"/>
      <c r="L2722" s="54"/>
      <c r="M2722" s="55"/>
      <c r="O2722" s="54"/>
    </row>
    <row r="2723">
      <c r="A2723" s="115"/>
      <c r="B2723" s="54"/>
      <c r="C2723" s="54"/>
      <c r="D2723" s="54"/>
      <c r="E2723" s="54"/>
      <c r="F2723" s="118"/>
      <c r="G2723" s="54"/>
      <c r="H2723" s="54"/>
      <c r="I2723" s="54"/>
      <c r="J2723" s="54"/>
      <c r="K2723" s="54"/>
      <c r="L2723" s="54"/>
      <c r="M2723" s="55"/>
      <c r="O2723" s="54"/>
    </row>
    <row r="2724">
      <c r="A2724" s="115"/>
      <c r="B2724" s="54"/>
      <c r="C2724" s="54"/>
      <c r="D2724" s="54"/>
      <c r="E2724" s="54"/>
      <c r="F2724" s="118"/>
      <c r="G2724" s="54"/>
      <c r="H2724" s="54"/>
      <c r="I2724" s="54"/>
      <c r="J2724" s="54"/>
      <c r="K2724" s="54"/>
      <c r="L2724" s="54"/>
      <c r="M2724" s="55"/>
      <c r="O2724" s="54"/>
    </row>
    <row r="2725">
      <c r="A2725" s="115"/>
      <c r="B2725" s="54"/>
      <c r="C2725" s="54"/>
      <c r="D2725" s="54"/>
      <c r="E2725" s="54"/>
      <c r="F2725" s="118"/>
      <c r="G2725" s="54"/>
      <c r="H2725" s="54"/>
      <c r="I2725" s="54"/>
      <c r="J2725" s="54"/>
      <c r="K2725" s="54"/>
      <c r="L2725" s="54"/>
      <c r="M2725" s="55"/>
      <c r="O2725" s="54"/>
    </row>
    <row r="2726">
      <c r="A2726" s="115"/>
      <c r="B2726" s="54"/>
      <c r="C2726" s="54"/>
      <c r="D2726" s="54"/>
      <c r="E2726" s="54"/>
      <c r="F2726" s="118"/>
      <c r="G2726" s="54"/>
      <c r="H2726" s="54"/>
      <c r="I2726" s="54"/>
      <c r="J2726" s="54"/>
      <c r="K2726" s="54"/>
      <c r="L2726" s="54"/>
      <c r="M2726" s="55"/>
      <c r="O2726" s="54"/>
    </row>
    <row r="2727">
      <c r="A2727" s="115"/>
      <c r="B2727" s="54"/>
      <c r="C2727" s="54"/>
      <c r="D2727" s="54"/>
      <c r="E2727" s="54"/>
      <c r="F2727" s="118"/>
      <c r="G2727" s="54"/>
      <c r="H2727" s="54"/>
      <c r="I2727" s="54"/>
      <c r="J2727" s="54"/>
      <c r="K2727" s="54"/>
      <c r="L2727" s="54"/>
      <c r="M2727" s="55"/>
      <c r="O2727" s="54"/>
    </row>
    <row r="2728">
      <c r="A2728" s="115"/>
      <c r="B2728" s="54"/>
      <c r="C2728" s="54"/>
      <c r="D2728" s="54"/>
      <c r="E2728" s="54"/>
      <c r="F2728" s="118"/>
      <c r="G2728" s="54"/>
      <c r="H2728" s="54"/>
      <c r="I2728" s="54"/>
      <c r="J2728" s="54"/>
      <c r="K2728" s="54"/>
      <c r="L2728" s="54"/>
      <c r="M2728" s="55"/>
      <c r="O2728" s="54"/>
    </row>
    <row r="2729">
      <c r="A2729" s="115"/>
      <c r="B2729" s="54"/>
      <c r="C2729" s="54"/>
      <c r="D2729" s="54"/>
      <c r="E2729" s="54"/>
      <c r="F2729" s="118"/>
      <c r="G2729" s="54"/>
      <c r="H2729" s="54"/>
      <c r="I2729" s="54"/>
      <c r="J2729" s="54"/>
      <c r="K2729" s="54"/>
      <c r="L2729" s="54"/>
      <c r="M2729" s="55"/>
      <c r="O2729" s="54"/>
    </row>
    <row r="2730">
      <c r="A2730" s="115"/>
      <c r="B2730" s="54"/>
      <c r="C2730" s="54"/>
      <c r="D2730" s="54"/>
      <c r="E2730" s="54"/>
      <c r="F2730" s="118"/>
      <c r="G2730" s="54"/>
      <c r="H2730" s="54"/>
      <c r="I2730" s="54"/>
      <c r="J2730" s="54"/>
      <c r="K2730" s="54"/>
      <c r="L2730" s="54"/>
      <c r="M2730" s="55"/>
      <c r="O2730" s="54"/>
    </row>
    <row r="2731">
      <c r="A2731" s="115"/>
      <c r="B2731" s="54"/>
      <c r="C2731" s="54"/>
      <c r="D2731" s="54"/>
      <c r="E2731" s="54"/>
      <c r="F2731" s="118"/>
      <c r="G2731" s="54"/>
      <c r="H2731" s="54"/>
      <c r="I2731" s="54"/>
      <c r="J2731" s="54"/>
      <c r="K2731" s="54"/>
      <c r="L2731" s="54"/>
      <c r="M2731" s="55"/>
      <c r="O2731" s="54"/>
    </row>
    <row r="2732">
      <c r="A2732" s="115"/>
      <c r="B2732" s="54"/>
      <c r="C2732" s="54"/>
      <c r="D2732" s="54"/>
      <c r="E2732" s="54"/>
      <c r="F2732" s="118"/>
      <c r="G2732" s="54"/>
      <c r="H2732" s="54"/>
      <c r="I2732" s="54"/>
      <c r="J2732" s="54"/>
      <c r="K2732" s="54"/>
      <c r="L2732" s="54"/>
      <c r="M2732" s="55"/>
      <c r="O2732" s="54"/>
    </row>
    <row r="2733">
      <c r="A2733" s="115"/>
      <c r="B2733" s="54"/>
      <c r="C2733" s="54"/>
      <c r="D2733" s="54"/>
      <c r="E2733" s="54"/>
      <c r="F2733" s="118"/>
      <c r="G2733" s="54"/>
      <c r="H2733" s="54"/>
      <c r="I2733" s="54"/>
      <c r="J2733" s="54"/>
      <c r="K2733" s="54"/>
      <c r="L2733" s="54"/>
      <c r="M2733" s="55"/>
      <c r="O2733" s="54"/>
    </row>
    <row r="2734">
      <c r="A2734" s="115"/>
      <c r="B2734" s="54"/>
      <c r="C2734" s="54"/>
      <c r="D2734" s="54"/>
      <c r="E2734" s="54"/>
      <c r="F2734" s="118"/>
      <c r="G2734" s="54"/>
      <c r="H2734" s="54"/>
      <c r="I2734" s="54"/>
      <c r="J2734" s="54"/>
      <c r="K2734" s="54"/>
      <c r="L2734" s="54"/>
      <c r="M2734" s="55"/>
      <c r="O2734" s="54"/>
    </row>
    <row r="2735">
      <c r="A2735" s="115"/>
      <c r="B2735" s="54"/>
      <c r="C2735" s="54"/>
      <c r="D2735" s="54"/>
      <c r="E2735" s="54"/>
      <c r="F2735" s="118"/>
      <c r="G2735" s="54"/>
      <c r="H2735" s="54"/>
      <c r="I2735" s="54"/>
      <c r="J2735" s="54"/>
      <c r="K2735" s="54"/>
      <c r="L2735" s="54"/>
      <c r="M2735" s="55"/>
      <c r="O2735" s="54"/>
    </row>
    <row r="2736">
      <c r="A2736" s="115"/>
      <c r="B2736" s="54"/>
      <c r="C2736" s="54"/>
      <c r="D2736" s="54"/>
      <c r="E2736" s="54"/>
      <c r="F2736" s="118"/>
      <c r="G2736" s="54"/>
      <c r="H2736" s="54"/>
      <c r="I2736" s="54"/>
      <c r="J2736" s="54"/>
      <c r="K2736" s="54"/>
      <c r="L2736" s="54"/>
      <c r="M2736" s="55"/>
      <c r="O2736" s="54"/>
    </row>
    <row r="2737">
      <c r="A2737" s="115"/>
      <c r="B2737" s="54"/>
      <c r="C2737" s="54"/>
      <c r="D2737" s="54"/>
      <c r="E2737" s="54"/>
      <c r="F2737" s="118"/>
      <c r="G2737" s="54"/>
      <c r="H2737" s="54"/>
      <c r="I2737" s="54"/>
      <c r="J2737" s="54"/>
      <c r="K2737" s="54"/>
      <c r="L2737" s="54"/>
      <c r="M2737" s="55"/>
      <c r="O2737" s="54"/>
    </row>
    <row r="2738">
      <c r="A2738" s="115"/>
      <c r="B2738" s="54"/>
      <c r="C2738" s="54"/>
      <c r="D2738" s="54"/>
      <c r="E2738" s="54"/>
      <c r="F2738" s="118"/>
      <c r="G2738" s="54"/>
      <c r="H2738" s="54"/>
      <c r="I2738" s="54"/>
      <c r="J2738" s="54"/>
      <c r="K2738" s="54"/>
      <c r="L2738" s="54"/>
      <c r="M2738" s="55"/>
      <c r="O2738" s="54"/>
    </row>
    <row r="2739">
      <c r="A2739" s="115"/>
      <c r="B2739" s="54"/>
      <c r="C2739" s="54"/>
      <c r="D2739" s="54"/>
      <c r="E2739" s="54"/>
      <c r="F2739" s="118"/>
      <c r="G2739" s="54"/>
      <c r="H2739" s="54"/>
      <c r="I2739" s="54"/>
      <c r="J2739" s="54"/>
      <c r="K2739" s="54"/>
      <c r="L2739" s="54"/>
      <c r="M2739" s="55"/>
      <c r="O2739" s="54"/>
    </row>
    <row r="2740">
      <c r="A2740" s="115"/>
      <c r="B2740" s="54"/>
      <c r="C2740" s="54"/>
      <c r="D2740" s="54"/>
      <c r="E2740" s="54"/>
      <c r="F2740" s="118"/>
      <c r="G2740" s="54"/>
      <c r="H2740" s="54"/>
      <c r="I2740" s="54"/>
      <c r="J2740" s="54"/>
      <c r="K2740" s="54"/>
      <c r="L2740" s="54"/>
      <c r="M2740" s="55"/>
      <c r="O2740" s="54"/>
    </row>
    <row r="2741">
      <c r="A2741" s="115"/>
      <c r="B2741" s="54"/>
      <c r="C2741" s="54"/>
      <c r="D2741" s="54"/>
      <c r="E2741" s="54"/>
      <c r="F2741" s="118"/>
      <c r="G2741" s="54"/>
      <c r="H2741" s="54"/>
      <c r="I2741" s="54"/>
      <c r="J2741" s="54"/>
      <c r="K2741" s="54"/>
      <c r="L2741" s="54"/>
      <c r="M2741" s="55"/>
      <c r="O2741" s="54"/>
    </row>
    <row r="2742">
      <c r="A2742" s="115"/>
      <c r="B2742" s="54"/>
      <c r="C2742" s="54"/>
      <c r="D2742" s="54"/>
      <c r="E2742" s="54"/>
      <c r="F2742" s="118"/>
      <c r="G2742" s="54"/>
      <c r="H2742" s="54"/>
      <c r="I2742" s="54"/>
      <c r="J2742" s="54"/>
      <c r="K2742" s="54"/>
      <c r="L2742" s="54"/>
      <c r="M2742" s="55"/>
      <c r="O2742" s="54"/>
    </row>
    <row r="2743">
      <c r="A2743" s="115"/>
      <c r="B2743" s="54"/>
      <c r="C2743" s="54"/>
      <c r="D2743" s="54"/>
      <c r="E2743" s="54"/>
      <c r="F2743" s="118"/>
      <c r="G2743" s="54"/>
      <c r="H2743" s="54"/>
      <c r="I2743" s="54"/>
      <c r="J2743" s="54"/>
      <c r="K2743" s="54"/>
      <c r="L2743" s="54"/>
      <c r="M2743" s="55"/>
      <c r="O2743" s="54"/>
    </row>
    <row r="2744">
      <c r="A2744" s="115"/>
      <c r="B2744" s="54"/>
      <c r="C2744" s="54"/>
      <c r="D2744" s="54"/>
      <c r="E2744" s="54"/>
      <c r="F2744" s="118"/>
      <c r="G2744" s="54"/>
      <c r="H2744" s="54"/>
      <c r="I2744" s="54"/>
      <c r="J2744" s="54"/>
      <c r="K2744" s="54"/>
      <c r="L2744" s="54"/>
      <c r="M2744" s="55"/>
      <c r="O2744" s="54"/>
    </row>
    <row r="2745">
      <c r="A2745" s="115"/>
      <c r="B2745" s="54"/>
      <c r="C2745" s="54"/>
      <c r="D2745" s="54"/>
      <c r="E2745" s="54"/>
      <c r="F2745" s="118"/>
      <c r="G2745" s="54"/>
      <c r="H2745" s="54"/>
      <c r="I2745" s="54"/>
      <c r="J2745" s="54"/>
      <c r="K2745" s="54"/>
      <c r="L2745" s="54"/>
      <c r="M2745" s="55"/>
      <c r="O2745" s="54"/>
    </row>
    <row r="2746">
      <c r="A2746" s="115"/>
      <c r="B2746" s="54"/>
      <c r="C2746" s="54"/>
      <c r="D2746" s="54"/>
      <c r="E2746" s="54"/>
      <c r="F2746" s="118"/>
      <c r="G2746" s="54"/>
      <c r="H2746" s="54"/>
      <c r="I2746" s="54"/>
      <c r="J2746" s="54"/>
      <c r="K2746" s="54"/>
      <c r="L2746" s="54"/>
      <c r="M2746" s="55"/>
      <c r="O2746" s="54"/>
    </row>
    <row r="2747">
      <c r="A2747" s="115"/>
      <c r="B2747" s="54"/>
      <c r="C2747" s="54"/>
      <c r="D2747" s="54"/>
      <c r="E2747" s="54"/>
      <c r="F2747" s="118"/>
      <c r="G2747" s="54"/>
      <c r="H2747" s="54"/>
      <c r="I2747" s="54"/>
      <c r="J2747" s="54"/>
      <c r="K2747" s="54"/>
      <c r="L2747" s="54"/>
      <c r="M2747" s="55"/>
      <c r="O2747" s="54"/>
    </row>
    <row r="2748">
      <c r="A2748" s="115"/>
      <c r="B2748" s="54"/>
      <c r="C2748" s="54"/>
      <c r="D2748" s="54"/>
      <c r="E2748" s="54"/>
      <c r="F2748" s="118"/>
      <c r="G2748" s="54"/>
      <c r="H2748" s="54"/>
      <c r="I2748" s="54"/>
      <c r="J2748" s="54"/>
      <c r="K2748" s="54"/>
      <c r="L2748" s="54"/>
      <c r="M2748" s="55"/>
      <c r="O2748" s="54"/>
    </row>
    <row r="2749">
      <c r="A2749" s="115"/>
      <c r="B2749" s="54"/>
      <c r="C2749" s="54"/>
      <c r="D2749" s="54"/>
      <c r="E2749" s="54"/>
      <c r="F2749" s="118"/>
      <c r="G2749" s="54"/>
      <c r="H2749" s="54"/>
      <c r="I2749" s="54"/>
      <c r="J2749" s="54"/>
      <c r="K2749" s="54"/>
      <c r="L2749" s="54"/>
      <c r="M2749" s="55"/>
      <c r="O2749" s="54"/>
    </row>
    <row r="2750">
      <c r="A2750" s="115"/>
      <c r="B2750" s="54"/>
      <c r="C2750" s="54"/>
      <c r="D2750" s="54"/>
      <c r="E2750" s="54"/>
      <c r="F2750" s="118"/>
      <c r="G2750" s="54"/>
      <c r="H2750" s="54"/>
      <c r="I2750" s="54"/>
      <c r="J2750" s="54"/>
      <c r="K2750" s="54"/>
      <c r="L2750" s="54"/>
      <c r="M2750" s="55"/>
      <c r="O2750" s="54"/>
    </row>
    <row r="2751">
      <c r="A2751" s="115"/>
      <c r="B2751" s="54"/>
      <c r="C2751" s="54"/>
      <c r="D2751" s="54"/>
      <c r="E2751" s="54"/>
      <c r="F2751" s="118"/>
      <c r="G2751" s="54"/>
      <c r="H2751" s="54"/>
      <c r="I2751" s="54"/>
      <c r="J2751" s="54"/>
      <c r="K2751" s="54"/>
      <c r="L2751" s="54"/>
      <c r="M2751" s="55"/>
      <c r="O2751" s="54"/>
    </row>
    <row r="2752">
      <c r="A2752" s="115"/>
      <c r="B2752" s="54"/>
      <c r="C2752" s="54"/>
      <c r="D2752" s="54"/>
      <c r="E2752" s="54"/>
      <c r="F2752" s="118"/>
      <c r="G2752" s="54"/>
      <c r="H2752" s="54"/>
      <c r="I2752" s="54"/>
      <c r="J2752" s="54"/>
      <c r="K2752" s="54"/>
      <c r="L2752" s="54"/>
      <c r="M2752" s="55"/>
      <c r="O2752" s="54"/>
    </row>
    <row r="2753">
      <c r="A2753" s="115"/>
      <c r="B2753" s="54"/>
      <c r="C2753" s="54"/>
      <c r="D2753" s="54"/>
      <c r="E2753" s="54"/>
      <c r="F2753" s="118"/>
      <c r="G2753" s="54"/>
      <c r="H2753" s="54"/>
      <c r="I2753" s="54"/>
      <c r="J2753" s="54"/>
      <c r="K2753" s="54"/>
      <c r="L2753" s="54"/>
      <c r="M2753" s="55"/>
      <c r="O2753" s="54"/>
    </row>
    <row r="2754">
      <c r="A2754" s="115"/>
      <c r="B2754" s="54"/>
      <c r="C2754" s="54"/>
      <c r="D2754" s="54"/>
      <c r="E2754" s="54"/>
      <c r="F2754" s="118"/>
      <c r="G2754" s="54"/>
      <c r="H2754" s="54"/>
      <c r="I2754" s="54"/>
      <c r="J2754" s="54"/>
      <c r="K2754" s="54"/>
      <c r="L2754" s="54"/>
      <c r="M2754" s="55"/>
      <c r="O2754" s="54"/>
    </row>
    <row r="2755">
      <c r="A2755" s="115"/>
      <c r="B2755" s="54"/>
      <c r="C2755" s="54"/>
      <c r="D2755" s="54"/>
      <c r="E2755" s="54"/>
      <c r="F2755" s="118"/>
      <c r="G2755" s="54"/>
      <c r="H2755" s="54"/>
      <c r="I2755" s="54"/>
      <c r="J2755" s="54"/>
      <c r="K2755" s="54"/>
      <c r="L2755" s="54"/>
      <c r="M2755" s="55"/>
      <c r="O2755" s="54"/>
    </row>
    <row r="2756">
      <c r="A2756" s="115"/>
      <c r="B2756" s="54"/>
      <c r="C2756" s="54"/>
      <c r="D2756" s="54"/>
      <c r="E2756" s="54"/>
      <c r="F2756" s="118"/>
      <c r="G2756" s="54"/>
      <c r="H2756" s="54"/>
      <c r="I2756" s="54"/>
      <c r="J2756" s="54"/>
      <c r="K2756" s="54"/>
      <c r="L2756" s="54"/>
      <c r="M2756" s="55"/>
      <c r="O2756" s="54"/>
    </row>
    <row r="2757">
      <c r="A2757" s="115"/>
      <c r="B2757" s="54"/>
      <c r="C2757" s="54"/>
      <c r="D2757" s="54"/>
      <c r="E2757" s="54"/>
      <c r="F2757" s="118"/>
      <c r="G2757" s="54"/>
      <c r="H2757" s="54"/>
      <c r="I2757" s="54"/>
      <c r="J2757" s="54"/>
      <c r="K2757" s="54"/>
      <c r="L2757" s="54"/>
      <c r="M2757" s="55"/>
      <c r="O2757" s="54"/>
    </row>
    <row r="2758">
      <c r="A2758" s="115"/>
      <c r="B2758" s="54"/>
      <c r="C2758" s="54"/>
      <c r="D2758" s="54"/>
      <c r="E2758" s="54"/>
      <c r="F2758" s="118"/>
      <c r="G2758" s="54"/>
      <c r="H2758" s="54"/>
      <c r="I2758" s="54"/>
      <c r="J2758" s="54"/>
      <c r="K2758" s="54"/>
      <c r="L2758" s="54"/>
      <c r="M2758" s="55"/>
      <c r="O2758" s="54"/>
    </row>
    <row r="2759">
      <c r="A2759" s="115"/>
      <c r="B2759" s="54"/>
      <c r="C2759" s="54"/>
      <c r="D2759" s="54"/>
      <c r="E2759" s="54"/>
      <c r="F2759" s="118"/>
      <c r="G2759" s="54"/>
      <c r="H2759" s="54"/>
      <c r="I2759" s="54"/>
      <c r="J2759" s="54"/>
      <c r="K2759" s="54"/>
      <c r="L2759" s="54"/>
      <c r="M2759" s="55"/>
      <c r="O2759" s="54"/>
    </row>
    <row r="2760">
      <c r="A2760" s="115"/>
      <c r="B2760" s="54"/>
      <c r="C2760" s="54"/>
      <c r="D2760" s="54"/>
      <c r="E2760" s="54"/>
      <c r="F2760" s="118"/>
      <c r="G2760" s="54"/>
      <c r="H2760" s="54"/>
      <c r="I2760" s="54"/>
      <c r="J2760" s="54"/>
      <c r="K2760" s="54"/>
      <c r="L2760" s="54"/>
      <c r="M2760" s="55"/>
      <c r="O2760" s="54"/>
    </row>
    <row r="2761">
      <c r="A2761" s="115"/>
      <c r="B2761" s="54"/>
      <c r="C2761" s="54"/>
      <c r="D2761" s="54"/>
      <c r="E2761" s="54"/>
      <c r="F2761" s="118"/>
      <c r="G2761" s="54"/>
      <c r="H2761" s="54"/>
      <c r="I2761" s="54"/>
      <c r="J2761" s="54"/>
      <c r="K2761" s="54"/>
      <c r="L2761" s="54"/>
      <c r="M2761" s="55"/>
      <c r="O2761" s="54"/>
    </row>
    <row r="2762">
      <c r="A2762" s="115"/>
      <c r="B2762" s="54"/>
      <c r="C2762" s="54"/>
      <c r="D2762" s="54"/>
      <c r="E2762" s="54"/>
      <c r="F2762" s="118"/>
      <c r="G2762" s="54"/>
      <c r="H2762" s="54"/>
      <c r="I2762" s="54"/>
      <c r="J2762" s="54"/>
      <c r="K2762" s="54"/>
      <c r="L2762" s="54"/>
      <c r="M2762" s="55"/>
      <c r="O2762" s="54"/>
    </row>
    <row r="2763">
      <c r="A2763" s="115"/>
      <c r="B2763" s="54"/>
      <c r="C2763" s="54"/>
      <c r="D2763" s="54"/>
      <c r="E2763" s="54"/>
      <c r="F2763" s="118"/>
      <c r="G2763" s="54"/>
      <c r="H2763" s="54"/>
      <c r="I2763" s="54"/>
      <c r="J2763" s="54"/>
      <c r="K2763" s="54"/>
      <c r="L2763" s="54"/>
      <c r="M2763" s="55"/>
      <c r="O2763" s="54"/>
    </row>
    <row r="2764">
      <c r="A2764" s="115"/>
      <c r="B2764" s="54"/>
      <c r="C2764" s="54"/>
      <c r="D2764" s="54"/>
      <c r="E2764" s="54"/>
      <c r="F2764" s="118"/>
      <c r="G2764" s="54"/>
      <c r="H2764" s="54"/>
      <c r="I2764" s="54"/>
      <c r="J2764" s="54"/>
      <c r="K2764" s="54"/>
      <c r="L2764" s="54"/>
      <c r="M2764" s="55"/>
      <c r="O2764" s="54"/>
    </row>
    <row r="2765">
      <c r="A2765" s="115"/>
      <c r="B2765" s="54"/>
      <c r="C2765" s="54"/>
      <c r="D2765" s="54"/>
      <c r="E2765" s="54"/>
      <c r="F2765" s="118"/>
      <c r="G2765" s="54"/>
      <c r="H2765" s="54"/>
      <c r="I2765" s="54"/>
      <c r="J2765" s="54"/>
      <c r="K2765" s="54"/>
      <c r="L2765" s="54"/>
      <c r="M2765" s="55"/>
      <c r="O2765" s="54"/>
    </row>
    <row r="2766">
      <c r="A2766" s="115"/>
      <c r="B2766" s="54"/>
      <c r="C2766" s="54"/>
      <c r="D2766" s="54"/>
      <c r="E2766" s="54"/>
      <c r="F2766" s="118"/>
      <c r="G2766" s="54"/>
      <c r="H2766" s="54"/>
      <c r="I2766" s="54"/>
      <c r="J2766" s="54"/>
      <c r="K2766" s="54"/>
      <c r="L2766" s="54"/>
      <c r="M2766" s="55"/>
      <c r="O2766" s="54"/>
    </row>
    <row r="2767">
      <c r="A2767" s="115"/>
      <c r="B2767" s="54"/>
      <c r="C2767" s="54"/>
      <c r="D2767" s="54"/>
      <c r="E2767" s="54"/>
      <c r="F2767" s="118"/>
      <c r="G2767" s="54"/>
      <c r="H2767" s="54"/>
      <c r="I2767" s="54"/>
      <c r="J2767" s="54"/>
      <c r="K2767" s="54"/>
      <c r="L2767" s="54"/>
      <c r="M2767" s="55"/>
      <c r="O2767" s="54"/>
    </row>
    <row r="2768">
      <c r="A2768" s="115"/>
      <c r="B2768" s="54"/>
      <c r="C2768" s="54"/>
      <c r="D2768" s="54"/>
      <c r="E2768" s="54"/>
      <c r="F2768" s="118"/>
      <c r="G2768" s="54"/>
      <c r="H2768" s="54"/>
      <c r="I2768" s="54"/>
      <c r="J2768" s="54"/>
      <c r="K2768" s="54"/>
      <c r="L2768" s="54"/>
      <c r="M2768" s="55"/>
      <c r="O2768" s="54"/>
    </row>
    <row r="2769">
      <c r="A2769" s="115"/>
      <c r="B2769" s="54"/>
      <c r="C2769" s="54"/>
      <c r="D2769" s="54"/>
      <c r="E2769" s="54"/>
      <c r="F2769" s="118"/>
      <c r="G2769" s="54"/>
      <c r="H2769" s="54"/>
      <c r="I2769" s="54"/>
      <c r="J2769" s="54"/>
      <c r="K2769" s="54"/>
      <c r="L2769" s="54"/>
      <c r="M2769" s="55"/>
      <c r="O2769" s="54"/>
    </row>
    <row r="2770">
      <c r="A2770" s="115"/>
      <c r="B2770" s="54"/>
      <c r="C2770" s="54"/>
      <c r="D2770" s="54"/>
      <c r="E2770" s="54"/>
      <c r="F2770" s="118"/>
      <c r="G2770" s="54"/>
      <c r="H2770" s="54"/>
      <c r="I2770" s="54"/>
      <c r="J2770" s="54"/>
      <c r="K2770" s="54"/>
      <c r="L2770" s="54"/>
      <c r="M2770" s="55"/>
      <c r="O2770" s="54"/>
    </row>
    <row r="2771">
      <c r="A2771" s="115"/>
      <c r="B2771" s="54"/>
      <c r="C2771" s="54"/>
      <c r="D2771" s="54"/>
      <c r="E2771" s="54"/>
      <c r="F2771" s="118"/>
      <c r="G2771" s="54"/>
      <c r="H2771" s="54"/>
      <c r="I2771" s="54"/>
      <c r="J2771" s="54"/>
      <c r="K2771" s="54"/>
      <c r="L2771" s="54"/>
      <c r="M2771" s="55"/>
      <c r="O2771" s="54"/>
    </row>
    <row r="2772">
      <c r="A2772" s="115"/>
      <c r="B2772" s="54"/>
      <c r="C2772" s="54"/>
      <c r="D2772" s="54"/>
      <c r="E2772" s="54"/>
      <c r="F2772" s="118"/>
      <c r="G2772" s="54"/>
      <c r="H2772" s="54"/>
      <c r="I2772" s="54"/>
      <c r="J2772" s="54"/>
      <c r="K2772" s="54"/>
      <c r="L2772" s="54"/>
      <c r="M2772" s="55"/>
      <c r="O2772" s="54"/>
    </row>
    <row r="2773">
      <c r="A2773" s="115"/>
      <c r="B2773" s="54"/>
      <c r="C2773" s="54"/>
      <c r="D2773" s="54"/>
      <c r="E2773" s="54"/>
      <c r="F2773" s="118"/>
      <c r="G2773" s="54"/>
      <c r="H2773" s="54"/>
      <c r="I2773" s="54"/>
      <c r="J2773" s="54"/>
      <c r="K2773" s="54"/>
      <c r="L2773" s="54"/>
      <c r="M2773" s="55"/>
      <c r="O2773" s="54"/>
    </row>
    <row r="2774">
      <c r="A2774" s="115"/>
      <c r="B2774" s="54"/>
      <c r="C2774" s="54"/>
      <c r="D2774" s="54"/>
      <c r="E2774" s="54"/>
      <c r="F2774" s="118"/>
      <c r="G2774" s="54"/>
      <c r="H2774" s="54"/>
      <c r="I2774" s="54"/>
      <c r="J2774" s="54"/>
      <c r="K2774" s="54"/>
      <c r="L2774" s="54"/>
      <c r="M2774" s="55"/>
      <c r="O2774" s="54"/>
    </row>
    <row r="2775">
      <c r="A2775" s="115"/>
      <c r="B2775" s="54"/>
      <c r="C2775" s="54"/>
      <c r="D2775" s="54"/>
      <c r="E2775" s="54"/>
      <c r="F2775" s="118"/>
      <c r="G2775" s="54"/>
      <c r="H2775" s="54"/>
      <c r="I2775" s="54"/>
      <c r="J2775" s="54"/>
      <c r="K2775" s="54"/>
      <c r="L2775" s="54"/>
      <c r="M2775" s="55"/>
      <c r="O2775" s="54"/>
    </row>
    <row r="2776">
      <c r="A2776" s="115"/>
      <c r="B2776" s="54"/>
      <c r="C2776" s="54"/>
      <c r="D2776" s="54"/>
      <c r="E2776" s="54"/>
      <c r="F2776" s="118"/>
      <c r="G2776" s="54"/>
      <c r="H2776" s="54"/>
      <c r="I2776" s="54"/>
      <c r="J2776" s="54"/>
      <c r="K2776" s="54"/>
      <c r="L2776" s="54"/>
      <c r="M2776" s="55"/>
      <c r="O2776" s="54"/>
    </row>
    <row r="2777">
      <c r="A2777" s="115"/>
      <c r="B2777" s="54"/>
      <c r="C2777" s="54"/>
      <c r="D2777" s="54"/>
      <c r="E2777" s="54"/>
      <c r="F2777" s="118"/>
      <c r="G2777" s="54"/>
      <c r="H2777" s="54"/>
      <c r="I2777" s="54"/>
      <c r="J2777" s="54"/>
      <c r="K2777" s="54"/>
      <c r="L2777" s="54"/>
      <c r="M2777" s="55"/>
      <c r="O2777" s="54"/>
    </row>
    <row r="2778">
      <c r="A2778" s="115"/>
      <c r="B2778" s="54"/>
      <c r="C2778" s="54"/>
      <c r="D2778" s="54"/>
      <c r="E2778" s="54"/>
      <c r="F2778" s="118"/>
      <c r="G2778" s="54"/>
      <c r="H2778" s="54"/>
      <c r="I2778" s="54"/>
      <c r="J2778" s="54"/>
      <c r="K2778" s="54"/>
      <c r="L2778" s="54"/>
      <c r="M2778" s="55"/>
      <c r="O2778" s="54"/>
    </row>
    <row r="2779">
      <c r="A2779" s="115"/>
      <c r="B2779" s="54"/>
      <c r="C2779" s="54"/>
      <c r="D2779" s="54"/>
      <c r="E2779" s="54"/>
      <c r="F2779" s="118"/>
      <c r="G2779" s="54"/>
      <c r="H2779" s="54"/>
      <c r="I2779" s="54"/>
      <c r="J2779" s="54"/>
      <c r="K2779" s="54"/>
      <c r="L2779" s="54"/>
      <c r="M2779" s="55"/>
      <c r="O2779" s="54"/>
    </row>
    <row r="2780">
      <c r="A2780" s="115"/>
      <c r="B2780" s="54"/>
      <c r="C2780" s="54"/>
      <c r="D2780" s="54"/>
      <c r="E2780" s="54"/>
      <c r="F2780" s="118"/>
      <c r="G2780" s="54"/>
      <c r="H2780" s="54"/>
      <c r="I2780" s="54"/>
      <c r="J2780" s="54"/>
      <c r="K2780" s="54"/>
      <c r="L2780" s="54"/>
      <c r="M2780" s="55"/>
      <c r="O2780" s="54"/>
    </row>
    <row r="2781">
      <c r="A2781" s="115"/>
      <c r="B2781" s="54"/>
      <c r="C2781" s="54"/>
      <c r="D2781" s="54"/>
      <c r="E2781" s="54"/>
      <c r="F2781" s="118"/>
      <c r="G2781" s="54"/>
      <c r="H2781" s="54"/>
      <c r="I2781" s="54"/>
      <c r="J2781" s="54"/>
      <c r="K2781" s="54"/>
      <c r="L2781" s="54"/>
      <c r="M2781" s="55"/>
      <c r="O2781" s="54"/>
    </row>
    <row r="2782">
      <c r="A2782" s="115"/>
      <c r="B2782" s="54"/>
      <c r="C2782" s="54"/>
      <c r="D2782" s="54"/>
      <c r="E2782" s="54"/>
      <c r="F2782" s="118"/>
      <c r="G2782" s="54"/>
      <c r="H2782" s="54"/>
      <c r="I2782" s="54"/>
      <c r="J2782" s="54"/>
      <c r="K2782" s="54"/>
      <c r="L2782" s="54"/>
      <c r="M2782" s="55"/>
      <c r="O2782" s="54"/>
    </row>
    <row r="2783">
      <c r="A2783" s="115"/>
      <c r="B2783" s="54"/>
      <c r="C2783" s="54"/>
      <c r="D2783" s="54"/>
      <c r="E2783" s="54"/>
      <c r="F2783" s="118"/>
      <c r="G2783" s="54"/>
      <c r="H2783" s="54"/>
      <c r="I2783" s="54"/>
      <c r="J2783" s="54"/>
      <c r="K2783" s="54"/>
      <c r="L2783" s="54"/>
      <c r="M2783" s="55"/>
      <c r="O2783" s="54"/>
    </row>
    <row r="2784">
      <c r="A2784" s="115"/>
      <c r="B2784" s="54"/>
      <c r="C2784" s="54"/>
      <c r="D2784" s="54"/>
      <c r="E2784" s="54"/>
      <c r="F2784" s="118"/>
      <c r="G2784" s="54"/>
      <c r="H2784" s="54"/>
      <c r="I2784" s="54"/>
      <c r="J2784" s="54"/>
      <c r="K2784" s="54"/>
      <c r="L2784" s="54"/>
      <c r="M2784" s="55"/>
      <c r="O2784" s="54"/>
    </row>
    <row r="2785">
      <c r="A2785" s="115"/>
      <c r="B2785" s="54"/>
      <c r="C2785" s="54"/>
      <c r="D2785" s="54"/>
      <c r="E2785" s="54"/>
      <c r="F2785" s="118"/>
      <c r="G2785" s="54"/>
      <c r="H2785" s="54"/>
      <c r="I2785" s="54"/>
      <c r="J2785" s="54"/>
      <c r="K2785" s="54"/>
      <c r="L2785" s="54"/>
      <c r="M2785" s="55"/>
      <c r="O2785" s="54"/>
    </row>
    <row r="2786">
      <c r="A2786" s="115"/>
      <c r="B2786" s="54"/>
      <c r="C2786" s="54"/>
      <c r="D2786" s="54"/>
      <c r="E2786" s="54"/>
      <c r="F2786" s="118"/>
      <c r="G2786" s="54"/>
      <c r="H2786" s="54"/>
      <c r="I2786" s="54"/>
      <c r="J2786" s="54"/>
      <c r="K2786" s="54"/>
      <c r="L2786" s="54"/>
      <c r="M2786" s="55"/>
      <c r="O2786" s="54"/>
    </row>
    <row r="2787">
      <c r="A2787" s="115"/>
      <c r="B2787" s="54"/>
      <c r="C2787" s="54"/>
      <c r="D2787" s="54"/>
      <c r="E2787" s="54"/>
      <c r="F2787" s="118"/>
      <c r="G2787" s="54"/>
      <c r="H2787" s="54"/>
      <c r="I2787" s="54"/>
      <c r="J2787" s="54"/>
      <c r="K2787" s="54"/>
      <c r="L2787" s="54"/>
      <c r="M2787" s="55"/>
      <c r="O2787" s="54"/>
    </row>
    <row r="2788">
      <c r="A2788" s="115"/>
      <c r="B2788" s="54"/>
      <c r="C2788" s="54"/>
      <c r="D2788" s="54"/>
      <c r="E2788" s="54"/>
      <c r="F2788" s="118"/>
      <c r="G2788" s="54"/>
      <c r="H2788" s="54"/>
      <c r="I2788" s="54"/>
      <c r="J2788" s="54"/>
      <c r="K2788" s="54"/>
      <c r="L2788" s="54"/>
      <c r="M2788" s="55"/>
      <c r="O2788" s="54"/>
    </row>
    <row r="2789">
      <c r="A2789" s="115"/>
      <c r="B2789" s="54"/>
      <c r="C2789" s="54"/>
      <c r="D2789" s="54"/>
      <c r="E2789" s="54"/>
      <c r="F2789" s="118"/>
      <c r="G2789" s="54"/>
      <c r="H2789" s="54"/>
      <c r="I2789" s="54"/>
      <c r="J2789" s="54"/>
      <c r="K2789" s="54"/>
      <c r="L2789" s="54"/>
      <c r="M2789" s="55"/>
      <c r="O2789" s="54"/>
    </row>
    <row r="2790">
      <c r="A2790" s="115"/>
      <c r="B2790" s="54"/>
      <c r="C2790" s="54"/>
      <c r="D2790" s="54"/>
      <c r="E2790" s="54"/>
      <c r="F2790" s="118"/>
      <c r="G2790" s="54"/>
      <c r="H2790" s="54"/>
      <c r="I2790" s="54"/>
      <c r="J2790" s="54"/>
      <c r="K2790" s="54"/>
      <c r="L2790" s="54"/>
      <c r="M2790" s="55"/>
      <c r="O2790" s="54"/>
    </row>
    <row r="2791">
      <c r="A2791" s="115"/>
      <c r="B2791" s="54"/>
      <c r="C2791" s="54"/>
      <c r="D2791" s="54"/>
      <c r="E2791" s="54"/>
      <c r="F2791" s="118"/>
      <c r="G2791" s="54"/>
      <c r="H2791" s="54"/>
      <c r="I2791" s="54"/>
      <c r="J2791" s="54"/>
      <c r="K2791" s="54"/>
      <c r="L2791" s="54"/>
      <c r="M2791" s="55"/>
      <c r="O2791" s="54"/>
    </row>
    <row r="2792">
      <c r="A2792" s="115"/>
      <c r="B2792" s="54"/>
      <c r="C2792" s="54"/>
      <c r="D2792" s="54"/>
      <c r="E2792" s="54"/>
      <c r="F2792" s="118"/>
      <c r="G2792" s="54"/>
      <c r="H2792" s="54"/>
      <c r="I2792" s="54"/>
      <c r="J2792" s="54"/>
      <c r="K2792" s="54"/>
      <c r="L2792" s="54"/>
      <c r="M2792" s="55"/>
      <c r="O2792" s="54"/>
    </row>
    <row r="2793">
      <c r="A2793" s="115"/>
      <c r="B2793" s="54"/>
      <c r="C2793" s="54"/>
      <c r="D2793" s="54"/>
      <c r="E2793" s="54"/>
      <c r="F2793" s="118"/>
      <c r="G2793" s="54"/>
      <c r="H2793" s="54"/>
      <c r="I2793" s="54"/>
      <c r="J2793" s="54"/>
      <c r="K2793" s="54"/>
      <c r="L2793" s="54"/>
      <c r="M2793" s="55"/>
      <c r="O2793" s="54"/>
    </row>
    <row r="2794">
      <c r="A2794" s="115"/>
      <c r="B2794" s="54"/>
      <c r="C2794" s="54"/>
      <c r="D2794" s="54"/>
      <c r="E2794" s="54"/>
      <c r="F2794" s="118"/>
      <c r="G2794" s="54"/>
      <c r="H2794" s="54"/>
      <c r="I2794" s="54"/>
      <c r="J2794" s="54"/>
      <c r="K2794" s="54"/>
      <c r="L2794" s="54"/>
      <c r="M2794" s="55"/>
      <c r="O2794" s="54"/>
    </row>
    <row r="2795">
      <c r="A2795" s="115"/>
      <c r="B2795" s="54"/>
      <c r="C2795" s="54"/>
      <c r="D2795" s="54"/>
      <c r="E2795" s="54"/>
      <c r="F2795" s="118"/>
      <c r="G2795" s="54"/>
      <c r="H2795" s="54"/>
      <c r="I2795" s="54"/>
      <c r="J2795" s="54"/>
      <c r="K2795" s="54"/>
      <c r="L2795" s="54"/>
      <c r="M2795" s="55"/>
      <c r="O2795" s="54"/>
    </row>
    <row r="2796">
      <c r="A2796" s="115"/>
      <c r="B2796" s="54"/>
      <c r="C2796" s="54"/>
      <c r="D2796" s="54"/>
      <c r="E2796" s="54"/>
      <c r="F2796" s="118"/>
      <c r="G2796" s="54"/>
      <c r="H2796" s="54"/>
      <c r="I2796" s="54"/>
      <c r="J2796" s="54"/>
      <c r="K2796" s="54"/>
      <c r="L2796" s="54"/>
      <c r="M2796" s="55"/>
      <c r="O2796" s="54"/>
    </row>
    <row r="2797">
      <c r="A2797" s="115"/>
      <c r="B2797" s="54"/>
      <c r="C2797" s="54"/>
      <c r="D2797" s="54"/>
      <c r="E2797" s="54"/>
      <c r="F2797" s="118"/>
      <c r="G2797" s="54"/>
      <c r="H2797" s="54"/>
      <c r="I2797" s="54"/>
      <c r="J2797" s="54"/>
      <c r="K2797" s="54"/>
      <c r="L2797" s="54"/>
      <c r="M2797" s="55"/>
      <c r="O2797" s="54"/>
    </row>
    <row r="2798">
      <c r="A2798" s="115"/>
      <c r="B2798" s="54"/>
      <c r="C2798" s="54"/>
      <c r="D2798" s="54"/>
      <c r="E2798" s="54"/>
      <c r="F2798" s="118"/>
      <c r="G2798" s="54"/>
      <c r="H2798" s="54"/>
      <c r="I2798" s="54"/>
      <c r="J2798" s="54"/>
      <c r="K2798" s="54"/>
      <c r="L2798" s="54"/>
      <c r="M2798" s="55"/>
      <c r="O2798" s="54"/>
    </row>
    <row r="2799">
      <c r="A2799" s="115"/>
      <c r="B2799" s="54"/>
      <c r="C2799" s="54"/>
      <c r="D2799" s="54"/>
      <c r="E2799" s="54"/>
      <c r="F2799" s="118"/>
      <c r="G2799" s="54"/>
      <c r="H2799" s="54"/>
      <c r="I2799" s="54"/>
      <c r="J2799" s="54"/>
      <c r="K2799" s="54"/>
      <c r="L2799" s="54"/>
      <c r="M2799" s="55"/>
      <c r="O2799" s="54"/>
    </row>
    <row r="2800">
      <c r="A2800" s="115"/>
      <c r="B2800" s="54"/>
      <c r="C2800" s="54"/>
      <c r="D2800" s="54"/>
      <c r="E2800" s="54"/>
      <c r="F2800" s="118"/>
      <c r="G2800" s="54"/>
      <c r="H2800" s="54"/>
      <c r="I2800" s="54"/>
      <c r="J2800" s="54"/>
      <c r="K2800" s="54"/>
      <c r="L2800" s="54"/>
      <c r="M2800" s="55"/>
      <c r="O2800" s="54"/>
    </row>
    <row r="2801">
      <c r="A2801" s="115"/>
      <c r="B2801" s="54"/>
      <c r="C2801" s="54"/>
      <c r="D2801" s="54"/>
      <c r="E2801" s="54"/>
      <c r="F2801" s="118"/>
      <c r="G2801" s="54"/>
      <c r="H2801" s="54"/>
      <c r="I2801" s="54"/>
      <c r="J2801" s="54"/>
      <c r="K2801" s="54"/>
      <c r="L2801" s="54"/>
      <c r="M2801" s="55"/>
      <c r="O2801" s="54"/>
    </row>
    <row r="2802">
      <c r="A2802" s="115"/>
      <c r="B2802" s="54"/>
      <c r="C2802" s="54"/>
      <c r="D2802" s="54"/>
      <c r="E2802" s="54"/>
      <c r="F2802" s="118"/>
      <c r="G2802" s="54"/>
      <c r="H2802" s="54"/>
      <c r="I2802" s="54"/>
      <c r="J2802" s="54"/>
      <c r="K2802" s="54"/>
      <c r="L2802" s="54"/>
      <c r="M2802" s="55"/>
      <c r="O2802" s="54"/>
    </row>
    <row r="2803">
      <c r="A2803" s="115"/>
      <c r="B2803" s="54"/>
      <c r="C2803" s="54"/>
      <c r="D2803" s="54"/>
      <c r="E2803" s="54"/>
      <c r="F2803" s="118"/>
      <c r="G2803" s="54"/>
      <c r="H2803" s="54"/>
      <c r="I2803" s="54"/>
      <c r="J2803" s="54"/>
      <c r="K2803" s="54"/>
      <c r="L2803" s="54"/>
      <c r="M2803" s="55"/>
      <c r="O2803" s="54"/>
    </row>
    <row r="2804">
      <c r="A2804" s="115"/>
      <c r="B2804" s="54"/>
      <c r="C2804" s="54"/>
      <c r="D2804" s="54"/>
      <c r="E2804" s="54"/>
      <c r="F2804" s="118"/>
      <c r="G2804" s="54"/>
      <c r="H2804" s="54"/>
      <c r="I2804" s="54"/>
      <c r="J2804" s="54"/>
      <c r="K2804" s="54"/>
      <c r="L2804" s="54"/>
      <c r="M2804" s="55"/>
      <c r="O2804" s="54"/>
    </row>
    <row r="2805">
      <c r="A2805" s="115"/>
      <c r="B2805" s="54"/>
      <c r="C2805" s="54"/>
      <c r="D2805" s="54"/>
      <c r="E2805" s="54"/>
      <c r="F2805" s="118"/>
      <c r="G2805" s="54"/>
      <c r="H2805" s="54"/>
      <c r="I2805" s="54"/>
      <c r="J2805" s="54"/>
      <c r="K2805" s="54"/>
      <c r="L2805" s="54"/>
      <c r="M2805" s="55"/>
      <c r="O2805" s="54"/>
    </row>
    <row r="2806">
      <c r="A2806" s="115"/>
      <c r="B2806" s="54"/>
      <c r="C2806" s="54"/>
      <c r="D2806" s="54"/>
      <c r="E2806" s="54"/>
      <c r="F2806" s="118"/>
      <c r="G2806" s="54"/>
      <c r="H2806" s="54"/>
      <c r="I2806" s="54"/>
      <c r="J2806" s="54"/>
      <c r="K2806" s="54"/>
      <c r="L2806" s="54"/>
      <c r="M2806" s="55"/>
      <c r="O2806" s="54"/>
    </row>
    <row r="2807">
      <c r="A2807" s="115"/>
      <c r="B2807" s="54"/>
      <c r="C2807" s="54"/>
      <c r="D2807" s="54"/>
      <c r="E2807" s="54"/>
      <c r="F2807" s="118"/>
      <c r="G2807" s="54"/>
      <c r="H2807" s="54"/>
      <c r="I2807" s="54"/>
      <c r="J2807" s="54"/>
      <c r="K2807" s="54"/>
      <c r="L2807" s="54"/>
      <c r="M2807" s="55"/>
      <c r="O2807" s="54"/>
    </row>
    <row r="2808">
      <c r="A2808" s="115"/>
      <c r="B2808" s="54"/>
      <c r="C2808" s="54"/>
      <c r="D2808" s="54"/>
      <c r="E2808" s="54"/>
      <c r="F2808" s="118"/>
      <c r="G2808" s="54"/>
      <c r="H2808" s="54"/>
      <c r="I2808" s="54"/>
      <c r="J2808" s="54"/>
      <c r="K2808" s="54"/>
      <c r="L2808" s="54"/>
      <c r="M2808" s="55"/>
      <c r="O2808" s="54"/>
    </row>
    <row r="2809">
      <c r="A2809" s="115"/>
      <c r="B2809" s="54"/>
      <c r="C2809" s="54"/>
      <c r="D2809" s="54"/>
      <c r="E2809" s="54"/>
      <c r="F2809" s="118"/>
      <c r="G2809" s="54"/>
      <c r="H2809" s="54"/>
      <c r="I2809" s="54"/>
      <c r="J2809" s="54"/>
      <c r="K2809" s="54"/>
      <c r="L2809" s="54"/>
      <c r="M2809" s="55"/>
      <c r="O2809" s="54"/>
    </row>
    <row r="2810">
      <c r="A2810" s="115"/>
      <c r="B2810" s="54"/>
      <c r="C2810" s="54"/>
      <c r="D2810" s="54"/>
      <c r="E2810" s="54"/>
      <c r="F2810" s="118"/>
      <c r="G2810" s="54"/>
      <c r="H2810" s="54"/>
      <c r="I2810" s="54"/>
      <c r="J2810" s="54"/>
      <c r="K2810" s="54"/>
      <c r="L2810" s="54"/>
      <c r="M2810" s="55"/>
      <c r="O2810" s="54"/>
    </row>
    <row r="2811">
      <c r="A2811" s="115"/>
      <c r="B2811" s="54"/>
      <c r="C2811" s="54"/>
      <c r="D2811" s="54"/>
      <c r="E2811" s="54"/>
      <c r="F2811" s="118"/>
      <c r="G2811" s="54"/>
      <c r="H2811" s="54"/>
      <c r="I2811" s="54"/>
      <c r="J2811" s="54"/>
      <c r="K2811" s="54"/>
      <c r="L2811" s="54"/>
      <c r="M2811" s="55"/>
      <c r="O2811" s="54"/>
    </row>
    <row r="2812">
      <c r="A2812" s="115"/>
      <c r="B2812" s="54"/>
      <c r="C2812" s="54"/>
      <c r="D2812" s="54"/>
      <c r="E2812" s="54"/>
      <c r="F2812" s="118"/>
      <c r="G2812" s="54"/>
      <c r="H2812" s="54"/>
      <c r="I2812" s="54"/>
      <c r="J2812" s="54"/>
      <c r="K2812" s="54"/>
      <c r="L2812" s="54"/>
      <c r="M2812" s="55"/>
      <c r="O2812" s="54"/>
    </row>
    <row r="2813">
      <c r="A2813" s="115"/>
      <c r="B2813" s="54"/>
      <c r="C2813" s="54"/>
      <c r="D2813" s="54"/>
      <c r="E2813" s="54"/>
      <c r="F2813" s="118"/>
      <c r="G2813" s="54"/>
      <c r="H2813" s="54"/>
      <c r="I2813" s="54"/>
      <c r="J2813" s="54"/>
      <c r="K2813" s="54"/>
      <c r="L2813" s="54"/>
      <c r="M2813" s="55"/>
      <c r="O2813" s="54"/>
    </row>
    <row r="2814">
      <c r="A2814" s="115"/>
      <c r="B2814" s="54"/>
      <c r="C2814" s="54"/>
      <c r="D2814" s="54"/>
      <c r="E2814" s="54"/>
      <c r="F2814" s="118"/>
      <c r="G2814" s="54"/>
      <c r="H2814" s="54"/>
      <c r="I2814" s="54"/>
      <c r="J2814" s="54"/>
      <c r="K2814" s="54"/>
      <c r="L2814" s="54"/>
      <c r="M2814" s="55"/>
      <c r="O2814" s="54"/>
    </row>
    <row r="2815">
      <c r="A2815" s="115"/>
      <c r="B2815" s="54"/>
      <c r="C2815" s="54"/>
      <c r="D2815" s="54"/>
      <c r="E2815" s="54"/>
      <c r="F2815" s="118"/>
      <c r="G2815" s="54"/>
      <c r="H2815" s="54"/>
      <c r="I2815" s="54"/>
      <c r="J2815" s="54"/>
      <c r="K2815" s="54"/>
      <c r="L2815" s="54"/>
      <c r="M2815" s="55"/>
      <c r="O2815" s="54"/>
    </row>
    <row r="2816">
      <c r="A2816" s="115"/>
      <c r="B2816" s="54"/>
      <c r="C2816" s="54"/>
      <c r="D2816" s="54"/>
      <c r="E2816" s="54"/>
      <c r="F2816" s="118"/>
      <c r="G2816" s="54"/>
      <c r="H2816" s="54"/>
      <c r="I2816" s="54"/>
      <c r="J2816" s="54"/>
      <c r="K2816" s="54"/>
      <c r="L2816" s="54"/>
      <c r="M2816" s="55"/>
      <c r="O2816" s="54"/>
    </row>
    <row r="2817">
      <c r="A2817" s="115"/>
      <c r="B2817" s="54"/>
      <c r="C2817" s="54"/>
      <c r="D2817" s="54"/>
      <c r="E2817" s="54"/>
      <c r="F2817" s="118"/>
      <c r="G2817" s="54"/>
      <c r="H2817" s="54"/>
      <c r="I2817" s="54"/>
      <c r="J2817" s="54"/>
      <c r="K2817" s="54"/>
      <c r="L2817" s="54"/>
      <c r="M2817" s="55"/>
      <c r="O2817" s="54"/>
    </row>
    <row r="2818">
      <c r="A2818" s="115"/>
      <c r="B2818" s="54"/>
      <c r="C2818" s="54"/>
      <c r="D2818" s="54"/>
      <c r="E2818" s="54"/>
      <c r="F2818" s="118"/>
      <c r="G2818" s="54"/>
      <c r="H2818" s="54"/>
      <c r="I2818" s="54"/>
      <c r="J2818" s="54"/>
      <c r="K2818" s="54"/>
      <c r="L2818" s="54"/>
      <c r="M2818" s="55"/>
      <c r="O2818" s="54"/>
    </row>
    <row r="2819">
      <c r="A2819" s="115"/>
      <c r="B2819" s="54"/>
      <c r="C2819" s="54"/>
      <c r="D2819" s="54"/>
      <c r="E2819" s="54"/>
      <c r="F2819" s="118"/>
      <c r="G2819" s="54"/>
      <c r="H2819" s="54"/>
      <c r="I2819" s="54"/>
      <c r="J2819" s="54"/>
      <c r="K2819" s="54"/>
      <c r="L2819" s="54"/>
      <c r="M2819" s="55"/>
      <c r="O2819" s="54"/>
    </row>
    <row r="2820">
      <c r="A2820" s="115"/>
      <c r="B2820" s="54"/>
      <c r="C2820" s="54"/>
      <c r="D2820" s="54"/>
      <c r="E2820" s="54"/>
      <c r="F2820" s="118"/>
      <c r="G2820" s="54"/>
      <c r="H2820" s="54"/>
      <c r="I2820" s="54"/>
      <c r="J2820" s="54"/>
      <c r="K2820" s="54"/>
      <c r="L2820" s="54"/>
      <c r="M2820" s="55"/>
      <c r="O2820" s="54"/>
    </row>
    <row r="2821">
      <c r="A2821" s="115"/>
      <c r="B2821" s="54"/>
      <c r="C2821" s="54"/>
      <c r="D2821" s="54"/>
      <c r="E2821" s="54"/>
      <c r="F2821" s="118"/>
      <c r="G2821" s="54"/>
      <c r="H2821" s="54"/>
      <c r="I2821" s="54"/>
      <c r="J2821" s="54"/>
      <c r="K2821" s="54"/>
      <c r="L2821" s="54"/>
      <c r="M2821" s="55"/>
      <c r="O2821" s="54"/>
    </row>
    <row r="2822">
      <c r="A2822" s="115"/>
      <c r="B2822" s="54"/>
      <c r="C2822" s="54"/>
      <c r="D2822" s="54"/>
      <c r="E2822" s="54"/>
      <c r="F2822" s="118"/>
      <c r="G2822" s="54"/>
      <c r="H2822" s="54"/>
      <c r="I2822" s="54"/>
      <c r="J2822" s="54"/>
      <c r="K2822" s="54"/>
      <c r="L2822" s="54"/>
      <c r="M2822" s="55"/>
      <c r="O2822" s="54"/>
    </row>
    <row r="2823">
      <c r="A2823" s="115"/>
      <c r="B2823" s="54"/>
      <c r="C2823" s="54"/>
      <c r="D2823" s="54"/>
      <c r="E2823" s="54"/>
      <c r="F2823" s="118"/>
      <c r="G2823" s="54"/>
      <c r="H2823" s="54"/>
      <c r="I2823" s="54"/>
      <c r="J2823" s="54"/>
      <c r="K2823" s="54"/>
      <c r="L2823" s="54"/>
      <c r="M2823" s="55"/>
      <c r="O2823" s="54"/>
    </row>
    <row r="2824">
      <c r="A2824" s="115"/>
      <c r="B2824" s="54"/>
      <c r="C2824" s="54"/>
      <c r="D2824" s="54"/>
      <c r="E2824" s="54"/>
      <c r="F2824" s="118"/>
      <c r="G2824" s="54"/>
      <c r="H2824" s="54"/>
      <c r="I2824" s="54"/>
      <c r="J2824" s="54"/>
      <c r="K2824" s="54"/>
      <c r="L2824" s="54"/>
      <c r="M2824" s="55"/>
      <c r="O2824" s="54"/>
    </row>
    <row r="2825">
      <c r="A2825" s="115"/>
      <c r="B2825" s="54"/>
      <c r="C2825" s="54"/>
      <c r="D2825" s="54"/>
      <c r="E2825" s="54"/>
      <c r="F2825" s="118"/>
      <c r="G2825" s="54"/>
      <c r="H2825" s="54"/>
      <c r="I2825" s="54"/>
      <c r="J2825" s="54"/>
      <c r="K2825" s="54"/>
      <c r="L2825" s="54"/>
      <c r="M2825" s="55"/>
      <c r="O2825" s="54"/>
    </row>
    <row r="2826">
      <c r="A2826" s="115"/>
      <c r="B2826" s="54"/>
      <c r="C2826" s="54"/>
      <c r="D2826" s="54"/>
      <c r="E2826" s="54"/>
      <c r="F2826" s="118"/>
      <c r="G2826" s="54"/>
      <c r="H2826" s="54"/>
      <c r="I2826" s="54"/>
      <c r="J2826" s="54"/>
      <c r="K2826" s="54"/>
      <c r="L2826" s="54"/>
      <c r="M2826" s="55"/>
      <c r="O2826" s="54"/>
    </row>
    <row r="2827">
      <c r="A2827" s="115"/>
      <c r="B2827" s="54"/>
      <c r="C2827" s="54"/>
      <c r="D2827" s="54"/>
      <c r="E2827" s="54"/>
      <c r="F2827" s="118"/>
      <c r="G2827" s="54"/>
      <c r="H2827" s="54"/>
      <c r="I2827" s="54"/>
      <c r="J2827" s="54"/>
      <c r="K2827" s="54"/>
      <c r="L2827" s="54"/>
      <c r="M2827" s="55"/>
      <c r="O2827" s="54"/>
    </row>
    <row r="2828">
      <c r="A2828" s="115"/>
      <c r="B2828" s="54"/>
      <c r="C2828" s="54"/>
      <c r="D2828" s="54"/>
      <c r="E2828" s="54"/>
      <c r="F2828" s="118"/>
      <c r="G2828" s="54"/>
      <c r="H2828" s="54"/>
      <c r="I2828" s="54"/>
      <c r="J2828" s="54"/>
      <c r="K2828" s="54"/>
      <c r="L2828" s="54"/>
      <c r="M2828" s="55"/>
      <c r="O2828" s="54"/>
    </row>
    <row r="2829">
      <c r="A2829" s="115"/>
      <c r="B2829" s="54"/>
      <c r="C2829" s="54"/>
      <c r="D2829" s="54"/>
      <c r="E2829" s="54"/>
      <c r="F2829" s="118"/>
      <c r="G2829" s="54"/>
      <c r="H2829" s="54"/>
      <c r="I2829" s="54"/>
      <c r="J2829" s="54"/>
      <c r="K2829" s="54"/>
      <c r="L2829" s="54"/>
      <c r="M2829" s="55"/>
      <c r="O2829" s="54"/>
    </row>
    <row r="2830">
      <c r="A2830" s="115"/>
      <c r="B2830" s="54"/>
      <c r="C2830" s="54"/>
      <c r="D2830" s="54"/>
      <c r="E2830" s="54"/>
      <c r="F2830" s="118"/>
      <c r="G2830" s="54"/>
      <c r="H2830" s="54"/>
      <c r="I2830" s="54"/>
      <c r="J2830" s="54"/>
      <c r="K2830" s="54"/>
      <c r="L2830" s="54"/>
      <c r="M2830" s="55"/>
      <c r="O2830" s="54"/>
    </row>
    <row r="2831">
      <c r="A2831" s="115"/>
      <c r="B2831" s="54"/>
      <c r="C2831" s="54"/>
      <c r="D2831" s="54"/>
      <c r="E2831" s="54"/>
      <c r="F2831" s="118"/>
      <c r="G2831" s="54"/>
      <c r="H2831" s="54"/>
      <c r="I2831" s="54"/>
      <c r="J2831" s="54"/>
      <c r="K2831" s="54"/>
      <c r="L2831" s="54"/>
      <c r="M2831" s="55"/>
      <c r="O2831" s="54"/>
    </row>
    <row r="2832">
      <c r="A2832" s="115"/>
      <c r="B2832" s="54"/>
      <c r="C2832" s="54"/>
      <c r="D2832" s="54"/>
      <c r="E2832" s="54"/>
      <c r="F2832" s="118"/>
      <c r="G2832" s="54"/>
      <c r="H2832" s="54"/>
      <c r="I2832" s="54"/>
      <c r="J2832" s="54"/>
      <c r="K2832" s="54"/>
      <c r="L2832" s="54"/>
      <c r="M2832" s="55"/>
      <c r="O2832" s="54"/>
    </row>
    <row r="2833">
      <c r="A2833" s="115"/>
      <c r="B2833" s="54"/>
      <c r="C2833" s="54"/>
      <c r="D2833" s="54"/>
      <c r="E2833" s="54"/>
      <c r="F2833" s="118"/>
      <c r="G2833" s="54"/>
      <c r="H2833" s="54"/>
      <c r="I2833" s="54"/>
      <c r="J2833" s="54"/>
      <c r="K2833" s="54"/>
      <c r="L2833" s="54"/>
      <c r="M2833" s="55"/>
      <c r="O2833" s="54"/>
    </row>
    <row r="2834">
      <c r="A2834" s="115"/>
      <c r="B2834" s="54"/>
      <c r="C2834" s="54"/>
      <c r="D2834" s="54"/>
      <c r="E2834" s="54"/>
      <c r="F2834" s="118"/>
      <c r="G2834" s="54"/>
      <c r="H2834" s="54"/>
      <c r="I2834" s="54"/>
      <c r="J2834" s="54"/>
      <c r="K2834" s="54"/>
      <c r="L2834" s="54"/>
      <c r="M2834" s="55"/>
      <c r="O2834" s="54"/>
    </row>
    <row r="2835">
      <c r="A2835" s="115"/>
      <c r="B2835" s="54"/>
      <c r="C2835" s="54"/>
      <c r="D2835" s="54"/>
      <c r="E2835" s="54"/>
      <c r="F2835" s="118"/>
      <c r="G2835" s="54"/>
      <c r="H2835" s="54"/>
      <c r="I2835" s="54"/>
      <c r="J2835" s="54"/>
      <c r="K2835" s="54"/>
      <c r="L2835" s="54"/>
      <c r="M2835" s="55"/>
      <c r="O2835" s="54"/>
    </row>
    <row r="2836">
      <c r="A2836" s="115"/>
      <c r="B2836" s="54"/>
      <c r="C2836" s="54"/>
      <c r="D2836" s="54"/>
      <c r="E2836" s="54"/>
      <c r="F2836" s="118"/>
      <c r="G2836" s="54"/>
      <c r="H2836" s="54"/>
      <c r="I2836" s="54"/>
      <c r="J2836" s="54"/>
      <c r="K2836" s="54"/>
      <c r="L2836" s="54"/>
      <c r="M2836" s="55"/>
      <c r="O2836" s="54"/>
    </row>
    <row r="2837">
      <c r="A2837" s="115"/>
      <c r="B2837" s="54"/>
      <c r="C2837" s="54"/>
      <c r="D2837" s="54"/>
      <c r="E2837" s="54"/>
      <c r="F2837" s="118"/>
      <c r="G2837" s="54"/>
      <c r="H2837" s="54"/>
      <c r="I2837" s="54"/>
      <c r="J2837" s="54"/>
      <c r="K2837" s="54"/>
      <c r="L2837" s="54"/>
      <c r="M2837" s="55"/>
      <c r="O2837" s="54"/>
    </row>
    <row r="2838">
      <c r="A2838" s="115"/>
      <c r="B2838" s="54"/>
      <c r="C2838" s="54"/>
      <c r="D2838" s="54"/>
      <c r="E2838" s="54"/>
      <c r="F2838" s="118"/>
      <c r="G2838" s="54"/>
      <c r="H2838" s="54"/>
      <c r="I2838" s="54"/>
      <c r="J2838" s="54"/>
      <c r="K2838" s="54"/>
      <c r="L2838" s="54"/>
      <c r="M2838" s="55"/>
      <c r="O2838" s="54"/>
    </row>
    <row r="2839">
      <c r="A2839" s="115"/>
      <c r="B2839" s="54"/>
      <c r="C2839" s="54"/>
      <c r="D2839" s="54"/>
      <c r="E2839" s="54"/>
      <c r="F2839" s="118"/>
      <c r="G2839" s="54"/>
      <c r="H2839" s="54"/>
      <c r="I2839" s="54"/>
      <c r="J2839" s="54"/>
      <c r="K2839" s="54"/>
      <c r="L2839" s="54"/>
      <c r="M2839" s="55"/>
      <c r="O2839" s="54"/>
    </row>
    <row r="2840">
      <c r="A2840" s="115"/>
      <c r="B2840" s="54"/>
      <c r="C2840" s="54"/>
      <c r="D2840" s="54"/>
      <c r="E2840" s="54"/>
      <c r="F2840" s="118"/>
      <c r="G2840" s="54"/>
      <c r="H2840" s="54"/>
      <c r="I2840" s="54"/>
      <c r="J2840" s="54"/>
      <c r="K2840" s="54"/>
      <c r="L2840" s="54"/>
      <c r="M2840" s="55"/>
      <c r="O2840" s="54"/>
    </row>
    <row r="2841">
      <c r="A2841" s="115"/>
      <c r="B2841" s="54"/>
      <c r="C2841" s="54"/>
      <c r="D2841" s="54"/>
      <c r="E2841" s="54"/>
      <c r="F2841" s="118"/>
      <c r="G2841" s="54"/>
      <c r="H2841" s="54"/>
      <c r="I2841" s="54"/>
      <c r="J2841" s="54"/>
      <c r="K2841" s="54"/>
      <c r="L2841" s="54"/>
      <c r="M2841" s="55"/>
      <c r="O2841" s="54"/>
    </row>
    <row r="2842">
      <c r="A2842" s="115"/>
      <c r="B2842" s="54"/>
      <c r="C2842" s="54"/>
      <c r="D2842" s="54"/>
      <c r="E2842" s="54"/>
      <c r="F2842" s="118"/>
      <c r="G2842" s="54"/>
      <c r="H2842" s="54"/>
      <c r="I2842" s="54"/>
      <c r="J2842" s="54"/>
      <c r="K2842" s="54"/>
      <c r="L2842" s="54"/>
      <c r="M2842" s="55"/>
      <c r="O2842" s="54"/>
    </row>
    <row r="2843">
      <c r="A2843" s="115"/>
      <c r="B2843" s="54"/>
      <c r="C2843" s="54"/>
      <c r="D2843" s="54"/>
      <c r="E2843" s="54"/>
      <c r="F2843" s="118"/>
      <c r="G2843" s="54"/>
      <c r="H2843" s="54"/>
      <c r="I2843" s="54"/>
      <c r="J2843" s="54"/>
      <c r="K2843" s="54"/>
      <c r="L2843" s="54"/>
      <c r="M2843" s="55"/>
      <c r="O2843" s="54"/>
    </row>
    <row r="2844">
      <c r="A2844" s="115"/>
      <c r="B2844" s="54"/>
      <c r="C2844" s="54"/>
      <c r="D2844" s="54"/>
      <c r="E2844" s="54"/>
      <c r="F2844" s="118"/>
      <c r="G2844" s="54"/>
      <c r="H2844" s="54"/>
      <c r="I2844" s="54"/>
      <c r="J2844" s="54"/>
      <c r="K2844" s="54"/>
      <c r="L2844" s="54"/>
      <c r="M2844" s="55"/>
      <c r="O2844" s="54"/>
    </row>
    <row r="2845">
      <c r="A2845" s="115"/>
      <c r="B2845" s="54"/>
      <c r="C2845" s="54"/>
      <c r="D2845" s="54"/>
      <c r="E2845" s="54"/>
      <c r="F2845" s="118"/>
      <c r="G2845" s="54"/>
      <c r="H2845" s="54"/>
      <c r="I2845" s="54"/>
      <c r="J2845" s="54"/>
      <c r="K2845" s="54"/>
      <c r="L2845" s="54"/>
      <c r="M2845" s="55"/>
      <c r="O2845" s="54"/>
    </row>
    <row r="2846">
      <c r="A2846" s="115"/>
      <c r="B2846" s="54"/>
      <c r="C2846" s="54"/>
      <c r="D2846" s="54"/>
      <c r="E2846" s="54"/>
      <c r="F2846" s="118"/>
      <c r="G2846" s="54"/>
      <c r="H2846" s="54"/>
      <c r="I2846" s="54"/>
      <c r="J2846" s="54"/>
      <c r="K2846" s="54"/>
      <c r="L2846" s="54"/>
      <c r="M2846" s="55"/>
      <c r="O2846" s="54"/>
    </row>
    <row r="2847">
      <c r="A2847" s="115"/>
      <c r="B2847" s="54"/>
      <c r="C2847" s="54"/>
      <c r="D2847" s="54"/>
      <c r="E2847" s="54"/>
      <c r="F2847" s="118"/>
      <c r="G2847" s="54"/>
      <c r="H2847" s="54"/>
      <c r="I2847" s="54"/>
      <c r="J2847" s="54"/>
      <c r="K2847" s="54"/>
      <c r="L2847" s="54"/>
      <c r="M2847" s="55"/>
      <c r="O2847" s="54"/>
    </row>
    <row r="2848">
      <c r="A2848" s="115"/>
      <c r="B2848" s="54"/>
      <c r="C2848" s="54"/>
      <c r="D2848" s="54"/>
      <c r="E2848" s="54"/>
      <c r="F2848" s="118"/>
      <c r="G2848" s="54"/>
      <c r="H2848" s="54"/>
      <c r="I2848" s="54"/>
      <c r="J2848" s="54"/>
      <c r="K2848" s="54"/>
      <c r="L2848" s="54"/>
      <c r="M2848" s="55"/>
      <c r="O2848" s="54"/>
    </row>
    <row r="2849">
      <c r="A2849" s="115"/>
      <c r="B2849" s="54"/>
      <c r="C2849" s="54"/>
      <c r="D2849" s="54"/>
      <c r="E2849" s="54"/>
      <c r="F2849" s="118"/>
      <c r="G2849" s="54"/>
      <c r="H2849" s="54"/>
      <c r="I2849" s="54"/>
      <c r="J2849" s="54"/>
      <c r="K2849" s="54"/>
      <c r="L2849" s="54"/>
      <c r="M2849" s="55"/>
      <c r="O2849" s="54"/>
    </row>
    <row r="2850">
      <c r="A2850" s="115"/>
      <c r="B2850" s="54"/>
      <c r="C2850" s="54"/>
      <c r="D2850" s="54"/>
      <c r="E2850" s="54"/>
      <c r="F2850" s="118"/>
      <c r="G2850" s="54"/>
      <c r="H2850" s="54"/>
      <c r="I2850" s="54"/>
      <c r="J2850" s="54"/>
      <c r="K2850" s="54"/>
      <c r="L2850" s="54"/>
      <c r="M2850" s="55"/>
      <c r="O2850" s="54"/>
    </row>
    <row r="2851">
      <c r="A2851" s="115"/>
      <c r="B2851" s="54"/>
      <c r="C2851" s="54"/>
      <c r="D2851" s="54"/>
      <c r="E2851" s="54"/>
      <c r="F2851" s="118"/>
      <c r="G2851" s="54"/>
      <c r="H2851" s="54"/>
      <c r="I2851" s="54"/>
      <c r="J2851" s="54"/>
      <c r="K2851" s="54"/>
      <c r="L2851" s="54"/>
      <c r="M2851" s="55"/>
      <c r="O2851" s="54"/>
    </row>
    <row r="2852">
      <c r="A2852" s="115"/>
      <c r="B2852" s="54"/>
      <c r="C2852" s="54"/>
      <c r="D2852" s="54"/>
      <c r="E2852" s="54"/>
      <c r="F2852" s="118"/>
      <c r="G2852" s="54"/>
      <c r="H2852" s="54"/>
      <c r="I2852" s="54"/>
      <c r="J2852" s="54"/>
      <c r="K2852" s="54"/>
      <c r="L2852" s="54"/>
      <c r="M2852" s="55"/>
      <c r="O2852" s="54"/>
    </row>
    <row r="2853">
      <c r="A2853" s="115"/>
      <c r="B2853" s="54"/>
      <c r="C2853" s="54"/>
      <c r="D2853" s="54"/>
      <c r="E2853" s="54"/>
      <c r="F2853" s="118"/>
      <c r="G2853" s="54"/>
      <c r="H2853" s="54"/>
      <c r="I2853" s="54"/>
      <c r="J2853" s="54"/>
      <c r="K2853" s="54"/>
      <c r="L2853" s="54"/>
      <c r="M2853" s="55"/>
      <c r="O2853" s="54"/>
    </row>
    <row r="2854">
      <c r="A2854" s="115"/>
      <c r="B2854" s="54"/>
      <c r="C2854" s="54"/>
      <c r="D2854" s="54"/>
      <c r="E2854" s="54"/>
      <c r="F2854" s="118"/>
      <c r="G2854" s="54"/>
      <c r="H2854" s="54"/>
      <c r="I2854" s="54"/>
      <c r="J2854" s="54"/>
      <c r="K2854" s="54"/>
      <c r="L2854" s="54"/>
      <c r="M2854" s="55"/>
      <c r="O2854" s="54"/>
    </row>
    <row r="2855">
      <c r="A2855" s="115"/>
      <c r="B2855" s="54"/>
      <c r="C2855" s="54"/>
      <c r="D2855" s="54"/>
      <c r="E2855" s="54"/>
      <c r="F2855" s="118"/>
      <c r="G2855" s="54"/>
      <c r="H2855" s="54"/>
      <c r="I2855" s="54"/>
      <c r="J2855" s="54"/>
      <c r="K2855" s="54"/>
      <c r="L2855" s="54"/>
      <c r="M2855" s="55"/>
      <c r="O2855" s="54"/>
    </row>
    <row r="2856">
      <c r="A2856" s="115"/>
      <c r="B2856" s="54"/>
      <c r="C2856" s="54"/>
      <c r="D2856" s="54"/>
      <c r="E2856" s="54"/>
      <c r="F2856" s="118"/>
      <c r="G2856" s="54"/>
      <c r="H2856" s="54"/>
      <c r="I2856" s="54"/>
      <c r="J2856" s="54"/>
      <c r="K2856" s="54"/>
      <c r="L2856" s="54"/>
      <c r="M2856" s="55"/>
      <c r="O2856" s="54"/>
    </row>
    <row r="2857">
      <c r="A2857" s="115"/>
      <c r="B2857" s="54"/>
      <c r="C2857" s="54"/>
      <c r="D2857" s="54"/>
      <c r="E2857" s="54"/>
      <c r="F2857" s="118"/>
      <c r="G2857" s="54"/>
      <c r="H2857" s="54"/>
      <c r="I2857" s="54"/>
      <c r="J2857" s="54"/>
      <c r="K2857" s="54"/>
      <c r="L2857" s="54"/>
      <c r="M2857" s="55"/>
      <c r="O2857" s="54"/>
    </row>
    <row r="2858">
      <c r="A2858" s="115"/>
      <c r="B2858" s="54"/>
      <c r="C2858" s="54"/>
      <c r="D2858" s="54"/>
      <c r="E2858" s="54"/>
      <c r="F2858" s="118"/>
      <c r="G2858" s="54"/>
      <c r="H2858" s="54"/>
      <c r="I2858" s="54"/>
      <c r="J2858" s="54"/>
      <c r="K2858" s="54"/>
      <c r="L2858" s="54"/>
      <c r="M2858" s="55"/>
      <c r="O2858" s="54"/>
    </row>
    <row r="2859">
      <c r="A2859" s="115"/>
      <c r="B2859" s="54"/>
      <c r="C2859" s="54"/>
      <c r="D2859" s="54"/>
      <c r="E2859" s="54"/>
      <c r="F2859" s="118"/>
      <c r="G2859" s="54"/>
      <c r="H2859" s="54"/>
      <c r="I2859" s="54"/>
      <c r="J2859" s="54"/>
      <c r="K2859" s="54"/>
      <c r="L2859" s="54"/>
      <c r="M2859" s="55"/>
      <c r="O2859" s="54"/>
    </row>
    <row r="2860">
      <c r="A2860" s="115"/>
      <c r="B2860" s="54"/>
      <c r="C2860" s="54"/>
      <c r="D2860" s="54"/>
      <c r="E2860" s="54"/>
      <c r="F2860" s="118"/>
      <c r="G2860" s="54"/>
      <c r="H2860" s="54"/>
      <c r="I2860" s="54"/>
      <c r="J2860" s="54"/>
      <c r="K2860" s="54"/>
      <c r="L2860" s="54"/>
      <c r="M2860" s="55"/>
      <c r="O2860" s="54"/>
    </row>
    <row r="2861">
      <c r="A2861" s="115"/>
      <c r="B2861" s="54"/>
      <c r="C2861" s="54"/>
      <c r="D2861" s="54"/>
      <c r="E2861" s="54"/>
      <c r="F2861" s="118"/>
      <c r="G2861" s="54"/>
      <c r="H2861" s="54"/>
      <c r="I2861" s="54"/>
      <c r="J2861" s="54"/>
      <c r="K2861" s="54"/>
      <c r="L2861" s="54"/>
      <c r="M2861" s="55"/>
      <c r="O2861" s="54"/>
    </row>
    <row r="2862">
      <c r="A2862" s="115"/>
      <c r="B2862" s="54"/>
      <c r="C2862" s="54"/>
      <c r="D2862" s="54"/>
      <c r="E2862" s="54"/>
      <c r="F2862" s="118"/>
      <c r="G2862" s="54"/>
      <c r="H2862" s="54"/>
      <c r="I2862" s="54"/>
      <c r="J2862" s="54"/>
      <c r="K2862" s="54"/>
      <c r="L2862" s="54"/>
      <c r="M2862" s="55"/>
      <c r="O2862" s="54"/>
    </row>
    <row r="2863">
      <c r="A2863" s="115"/>
      <c r="B2863" s="54"/>
      <c r="C2863" s="54"/>
      <c r="D2863" s="54"/>
      <c r="E2863" s="54"/>
      <c r="F2863" s="118"/>
      <c r="G2863" s="54"/>
      <c r="H2863" s="54"/>
      <c r="I2863" s="54"/>
      <c r="J2863" s="54"/>
      <c r="K2863" s="54"/>
      <c r="L2863" s="54"/>
      <c r="M2863" s="55"/>
      <c r="O2863" s="54"/>
    </row>
    <row r="2864">
      <c r="A2864" s="115"/>
      <c r="B2864" s="54"/>
      <c r="C2864" s="54"/>
      <c r="D2864" s="54"/>
      <c r="E2864" s="54"/>
      <c r="F2864" s="118"/>
      <c r="G2864" s="54"/>
      <c r="H2864" s="54"/>
      <c r="I2864" s="54"/>
      <c r="J2864" s="54"/>
      <c r="K2864" s="54"/>
      <c r="L2864" s="54"/>
      <c r="M2864" s="55"/>
      <c r="O2864" s="54"/>
    </row>
    <row r="2865">
      <c r="A2865" s="115"/>
      <c r="B2865" s="54"/>
      <c r="C2865" s="54"/>
      <c r="D2865" s="54"/>
      <c r="E2865" s="54"/>
      <c r="F2865" s="118"/>
      <c r="G2865" s="54"/>
      <c r="H2865" s="54"/>
      <c r="I2865" s="54"/>
      <c r="J2865" s="54"/>
      <c r="K2865" s="54"/>
      <c r="L2865" s="54"/>
      <c r="M2865" s="55"/>
      <c r="O2865" s="54"/>
    </row>
    <row r="2866">
      <c r="A2866" s="115"/>
      <c r="B2866" s="54"/>
      <c r="C2866" s="54"/>
      <c r="D2866" s="54"/>
      <c r="E2866" s="54"/>
      <c r="F2866" s="118"/>
      <c r="G2866" s="54"/>
      <c r="H2866" s="54"/>
      <c r="I2866" s="54"/>
      <c r="J2866" s="54"/>
      <c r="K2866" s="54"/>
      <c r="L2866" s="54"/>
      <c r="M2866" s="55"/>
      <c r="O2866" s="54"/>
    </row>
    <row r="2867">
      <c r="A2867" s="115"/>
      <c r="B2867" s="54"/>
      <c r="C2867" s="54"/>
      <c r="D2867" s="54"/>
      <c r="E2867" s="54"/>
      <c r="F2867" s="118"/>
      <c r="G2867" s="54"/>
      <c r="H2867" s="54"/>
      <c r="I2867" s="54"/>
      <c r="J2867" s="54"/>
      <c r="K2867" s="54"/>
      <c r="L2867" s="54"/>
      <c r="M2867" s="55"/>
      <c r="O2867" s="54"/>
    </row>
    <row r="2868">
      <c r="A2868" s="115"/>
      <c r="B2868" s="54"/>
      <c r="C2868" s="54"/>
      <c r="D2868" s="54"/>
      <c r="E2868" s="54"/>
      <c r="F2868" s="118"/>
      <c r="G2868" s="54"/>
      <c r="H2868" s="54"/>
      <c r="I2868" s="54"/>
      <c r="J2868" s="54"/>
      <c r="K2868" s="54"/>
      <c r="L2868" s="54"/>
      <c r="M2868" s="55"/>
      <c r="O2868" s="54"/>
    </row>
    <row r="2869">
      <c r="A2869" s="115"/>
      <c r="B2869" s="54"/>
      <c r="C2869" s="54"/>
      <c r="D2869" s="54"/>
      <c r="E2869" s="54"/>
      <c r="F2869" s="118"/>
      <c r="G2869" s="54"/>
      <c r="H2869" s="54"/>
      <c r="I2869" s="54"/>
      <c r="J2869" s="54"/>
      <c r="K2869" s="54"/>
      <c r="L2869" s="54"/>
      <c r="M2869" s="55"/>
      <c r="O2869" s="54"/>
    </row>
    <row r="2870">
      <c r="A2870" s="115"/>
      <c r="B2870" s="54"/>
      <c r="C2870" s="54"/>
      <c r="D2870" s="54"/>
      <c r="E2870" s="54"/>
      <c r="F2870" s="118"/>
      <c r="G2870" s="54"/>
      <c r="H2870" s="54"/>
      <c r="I2870" s="54"/>
      <c r="J2870" s="54"/>
      <c r="K2870" s="54"/>
      <c r="L2870" s="54"/>
      <c r="M2870" s="55"/>
      <c r="O2870" s="54"/>
    </row>
    <row r="2871">
      <c r="A2871" s="115"/>
      <c r="B2871" s="54"/>
      <c r="C2871" s="54"/>
      <c r="D2871" s="54"/>
      <c r="E2871" s="54"/>
      <c r="F2871" s="118"/>
      <c r="G2871" s="54"/>
      <c r="H2871" s="54"/>
      <c r="I2871" s="54"/>
      <c r="J2871" s="54"/>
      <c r="K2871" s="54"/>
      <c r="L2871" s="54"/>
      <c r="M2871" s="55"/>
      <c r="O2871" s="54"/>
    </row>
    <row r="2872">
      <c r="A2872" s="115"/>
      <c r="B2872" s="54"/>
      <c r="C2872" s="54"/>
      <c r="D2872" s="54"/>
      <c r="E2872" s="54"/>
      <c r="F2872" s="118"/>
      <c r="G2872" s="54"/>
      <c r="H2872" s="54"/>
      <c r="I2872" s="54"/>
      <c r="J2872" s="54"/>
      <c r="K2872" s="54"/>
      <c r="L2872" s="54"/>
      <c r="M2872" s="55"/>
      <c r="O2872" s="54"/>
    </row>
    <row r="2873">
      <c r="A2873" s="115"/>
      <c r="B2873" s="54"/>
      <c r="C2873" s="54"/>
      <c r="D2873" s="54"/>
      <c r="E2873" s="54"/>
      <c r="F2873" s="118"/>
      <c r="G2873" s="54"/>
      <c r="H2873" s="54"/>
      <c r="I2873" s="54"/>
      <c r="J2873" s="54"/>
      <c r="K2873" s="54"/>
      <c r="L2873" s="54"/>
      <c r="M2873" s="55"/>
      <c r="O2873" s="54"/>
    </row>
    <row r="2874">
      <c r="A2874" s="115"/>
      <c r="B2874" s="54"/>
      <c r="C2874" s="54"/>
      <c r="D2874" s="54"/>
      <c r="E2874" s="54"/>
      <c r="F2874" s="118"/>
      <c r="G2874" s="54"/>
      <c r="H2874" s="54"/>
      <c r="I2874" s="54"/>
      <c r="J2874" s="54"/>
      <c r="K2874" s="54"/>
      <c r="L2874" s="54"/>
      <c r="M2874" s="55"/>
      <c r="O2874" s="54"/>
    </row>
    <row r="2875">
      <c r="A2875" s="115"/>
      <c r="B2875" s="54"/>
      <c r="C2875" s="54"/>
      <c r="D2875" s="54"/>
      <c r="E2875" s="54"/>
      <c r="F2875" s="118"/>
      <c r="G2875" s="54"/>
      <c r="H2875" s="54"/>
      <c r="I2875" s="54"/>
      <c r="J2875" s="54"/>
      <c r="K2875" s="54"/>
      <c r="L2875" s="54"/>
      <c r="M2875" s="55"/>
      <c r="O2875" s="54"/>
    </row>
    <row r="2876">
      <c r="A2876" s="115"/>
      <c r="B2876" s="54"/>
      <c r="C2876" s="54"/>
      <c r="D2876" s="54"/>
      <c r="E2876" s="54"/>
      <c r="F2876" s="118"/>
      <c r="G2876" s="54"/>
      <c r="H2876" s="54"/>
      <c r="I2876" s="54"/>
      <c r="J2876" s="54"/>
      <c r="K2876" s="54"/>
      <c r="L2876" s="54"/>
      <c r="M2876" s="55"/>
      <c r="O2876" s="54"/>
    </row>
    <row r="2877">
      <c r="A2877" s="115"/>
      <c r="B2877" s="54"/>
      <c r="C2877" s="54"/>
      <c r="D2877" s="54"/>
      <c r="E2877" s="54"/>
      <c r="F2877" s="118"/>
      <c r="G2877" s="54"/>
      <c r="H2877" s="54"/>
      <c r="I2877" s="54"/>
      <c r="J2877" s="54"/>
      <c r="K2877" s="54"/>
      <c r="L2877" s="54"/>
      <c r="M2877" s="55"/>
      <c r="O2877" s="54"/>
    </row>
    <row r="2878">
      <c r="A2878" s="115"/>
      <c r="B2878" s="54"/>
      <c r="C2878" s="54"/>
      <c r="D2878" s="54"/>
      <c r="E2878" s="54"/>
      <c r="F2878" s="118"/>
      <c r="G2878" s="54"/>
      <c r="H2878" s="54"/>
      <c r="I2878" s="54"/>
      <c r="J2878" s="54"/>
      <c r="K2878" s="54"/>
      <c r="L2878" s="54"/>
      <c r="M2878" s="55"/>
      <c r="O2878" s="54"/>
    </row>
    <row r="2879">
      <c r="A2879" s="115"/>
      <c r="B2879" s="54"/>
      <c r="C2879" s="54"/>
      <c r="D2879" s="54"/>
      <c r="E2879" s="54"/>
      <c r="F2879" s="118"/>
      <c r="G2879" s="54"/>
      <c r="H2879" s="54"/>
      <c r="I2879" s="54"/>
      <c r="J2879" s="54"/>
      <c r="K2879" s="54"/>
      <c r="L2879" s="54"/>
      <c r="M2879" s="55"/>
      <c r="O2879" s="54"/>
    </row>
    <row r="2880">
      <c r="A2880" s="115"/>
      <c r="B2880" s="54"/>
      <c r="C2880" s="54"/>
      <c r="D2880" s="54"/>
      <c r="E2880" s="54"/>
      <c r="F2880" s="118"/>
      <c r="G2880" s="54"/>
      <c r="H2880" s="54"/>
      <c r="I2880" s="54"/>
      <c r="J2880" s="54"/>
      <c r="K2880" s="54"/>
      <c r="L2880" s="54"/>
      <c r="M2880" s="55"/>
      <c r="O2880" s="54"/>
    </row>
    <row r="2881">
      <c r="A2881" s="115"/>
      <c r="B2881" s="54"/>
      <c r="C2881" s="54"/>
      <c r="D2881" s="54"/>
      <c r="E2881" s="54"/>
      <c r="F2881" s="118"/>
      <c r="G2881" s="54"/>
      <c r="H2881" s="54"/>
      <c r="I2881" s="54"/>
      <c r="J2881" s="54"/>
      <c r="K2881" s="54"/>
      <c r="L2881" s="54"/>
      <c r="M2881" s="55"/>
      <c r="O2881" s="54"/>
    </row>
    <row r="2882">
      <c r="A2882" s="115"/>
      <c r="B2882" s="54"/>
      <c r="C2882" s="54"/>
      <c r="D2882" s="54"/>
      <c r="E2882" s="54"/>
      <c r="F2882" s="118"/>
      <c r="G2882" s="54"/>
      <c r="H2882" s="54"/>
      <c r="I2882" s="54"/>
      <c r="J2882" s="54"/>
      <c r="K2882" s="54"/>
      <c r="L2882" s="54"/>
      <c r="M2882" s="55"/>
      <c r="O2882" s="54"/>
    </row>
    <row r="2883">
      <c r="A2883" s="115"/>
      <c r="B2883" s="54"/>
      <c r="C2883" s="54"/>
      <c r="D2883" s="54"/>
      <c r="E2883" s="54"/>
      <c r="F2883" s="118"/>
      <c r="G2883" s="54"/>
      <c r="H2883" s="54"/>
      <c r="I2883" s="54"/>
      <c r="J2883" s="54"/>
      <c r="K2883" s="54"/>
      <c r="L2883" s="54"/>
      <c r="M2883" s="55"/>
      <c r="O2883" s="54"/>
    </row>
    <row r="2884">
      <c r="A2884" s="115"/>
      <c r="B2884" s="54"/>
      <c r="C2884" s="54"/>
      <c r="D2884" s="54"/>
      <c r="E2884" s="54"/>
      <c r="F2884" s="118"/>
      <c r="G2884" s="54"/>
      <c r="H2884" s="54"/>
      <c r="I2884" s="54"/>
      <c r="J2884" s="54"/>
      <c r="K2884" s="54"/>
      <c r="L2884" s="54"/>
      <c r="M2884" s="55"/>
      <c r="O2884" s="54"/>
    </row>
    <row r="2885">
      <c r="A2885" s="115"/>
      <c r="B2885" s="54"/>
      <c r="C2885" s="54"/>
      <c r="D2885" s="54"/>
      <c r="E2885" s="54"/>
      <c r="F2885" s="118"/>
      <c r="G2885" s="54"/>
      <c r="H2885" s="54"/>
      <c r="I2885" s="54"/>
      <c r="J2885" s="54"/>
      <c r="K2885" s="54"/>
      <c r="L2885" s="54"/>
      <c r="M2885" s="55"/>
      <c r="O2885" s="54"/>
    </row>
    <row r="2886">
      <c r="A2886" s="115"/>
      <c r="B2886" s="54"/>
      <c r="C2886" s="54"/>
      <c r="D2886" s="54"/>
      <c r="E2886" s="54"/>
      <c r="F2886" s="118"/>
      <c r="G2886" s="54"/>
      <c r="H2886" s="54"/>
      <c r="I2886" s="54"/>
      <c r="J2886" s="54"/>
      <c r="K2886" s="54"/>
      <c r="L2886" s="54"/>
      <c r="M2886" s="55"/>
      <c r="O2886" s="54"/>
    </row>
    <row r="2887">
      <c r="A2887" s="115"/>
      <c r="B2887" s="54"/>
      <c r="C2887" s="54"/>
      <c r="D2887" s="54"/>
      <c r="E2887" s="54"/>
      <c r="F2887" s="118"/>
      <c r="G2887" s="54"/>
      <c r="H2887" s="54"/>
      <c r="I2887" s="54"/>
      <c r="J2887" s="54"/>
      <c r="K2887" s="54"/>
      <c r="L2887" s="54"/>
      <c r="M2887" s="55"/>
      <c r="O2887" s="54"/>
    </row>
    <row r="2888">
      <c r="A2888" s="115"/>
      <c r="B2888" s="54"/>
      <c r="C2888" s="54"/>
      <c r="D2888" s="54"/>
      <c r="E2888" s="54"/>
      <c r="F2888" s="118"/>
      <c r="G2888" s="54"/>
      <c r="H2888" s="54"/>
      <c r="I2888" s="54"/>
      <c r="J2888" s="54"/>
      <c r="K2888" s="54"/>
      <c r="L2888" s="54"/>
      <c r="M2888" s="55"/>
      <c r="O2888" s="54"/>
    </row>
    <row r="2889">
      <c r="A2889" s="115"/>
      <c r="B2889" s="54"/>
      <c r="C2889" s="54"/>
      <c r="D2889" s="54"/>
      <c r="E2889" s="54"/>
      <c r="F2889" s="118"/>
      <c r="G2889" s="54"/>
      <c r="H2889" s="54"/>
      <c r="I2889" s="54"/>
      <c r="J2889" s="54"/>
      <c r="K2889" s="54"/>
      <c r="L2889" s="54"/>
      <c r="M2889" s="55"/>
      <c r="O2889" s="54"/>
    </row>
    <row r="2890">
      <c r="A2890" s="115"/>
      <c r="B2890" s="54"/>
      <c r="C2890" s="54"/>
      <c r="D2890" s="54"/>
      <c r="E2890" s="54"/>
      <c r="F2890" s="118"/>
      <c r="G2890" s="54"/>
      <c r="H2890" s="54"/>
      <c r="I2890" s="54"/>
      <c r="J2890" s="54"/>
      <c r="K2890" s="54"/>
      <c r="L2890" s="54"/>
      <c r="M2890" s="55"/>
      <c r="O2890" s="54"/>
    </row>
    <row r="2891">
      <c r="A2891" s="115"/>
      <c r="B2891" s="54"/>
      <c r="C2891" s="54"/>
      <c r="D2891" s="54"/>
      <c r="E2891" s="54"/>
      <c r="F2891" s="118"/>
      <c r="G2891" s="54"/>
      <c r="H2891" s="54"/>
      <c r="I2891" s="54"/>
      <c r="J2891" s="54"/>
      <c r="K2891" s="54"/>
      <c r="L2891" s="54"/>
      <c r="M2891" s="55"/>
      <c r="O2891" s="54"/>
    </row>
    <row r="2892">
      <c r="A2892" s="115"/>
      <c r="B2892" s="54"/>
      <c r="C2892" s="54"/>
      <c r="D2892" s="54"/>
      <c r="E2892" s="54"/>
      <c r="F2892" s="118"/>
      <c r="G2892" s="54"/>
      <c r="H2892" s="54"/>
      <c r="I2892" s="54"/>
      <c r="J2892" s="54"/>
      <c r="K2892" s="54"/>
      <c r="L2892" s="54"/>
      <c r="M2892" s="55"/>
      <c r="O2892" s="54"/>
    </row>
    <row r="2893">
      <c r="A2893" s="115"/>
      <c r="B2893" s="54"/>
      <c r="C2893" s="54"/>
      <c r="D2893" s="54"/>
      <c r="E2893" s="54"/>
      <c r="F2893" s="118"/>
      <c r="G2893" s="54"/>
      <c r="H2893" s="54"/>
      <c r="I2893" s="54"/>
      <c r="J2893" s="54"/>
      <c r="K2893" s="54"/>
      <c r="L2893" s="54"/>
      <c r="M2893" s="55"/>
      <c r="O2893" s="54"/>
    </row>
    <row r="2894">
      <c r="A2894" s="115"/>
      <c r="B2894" s="54"/>
      <c r="C2894" s="54"/>
      <c r="D2894" s="54"/>
      <c r="E2894" s="54"/>
      <c r="F2894" s="118"/>
      <c r="G2894" s="54"/>
      <c r="H2894" s="54"/>
      <c r="I2894" s="54"/>
      <c r="J2894" s="54"/>
      <c r="K2894" s="54"/>
      <c r="L2894" s="54"/>
      <c r="M2894" s="55"/>
      <c r="O2894" s="54"/>
    </row>
    <row r="2895">
      <c r="A2895" s="115"/>
      <c r="B2895" s="54"/>
      <c r="C2895" s="54"/>
      <c r="D2895" s="54"/>
      <c r="E2895" s="54"/>
      <c r="F2895" s="118"/>
      <c r="G2895" s="54"/>
      <c r="H2895" s="54"/>
      <c r="I2895" s="54"/>
      <c r="J2895" s="54"/>
      <c r="K2895" s="54"/>
      <c r="L2895" s="54"/>
      <c r="M2895" s="55"/>
      <c r="O2895" s="54"/>
    </row>
    <row r="2896">
      <c r="A2896" s="115"/>
      <c r="B2896" s="54"/>
      <c r="C2896" s="54"/>
      <c r="D2896" s="54"/>
      <c r="E2896" s="54"/>
      <c r="F2896" s="118"/>
      <c r="G2896" s="54"/>
      <c r="H2896" s="54"/>
      <c r="I2896" s="54"/>
      <c r="J2896" s="54"/>
      <c r="K2896" s="54"/>
      <c r="L2896" s="54"/>
      <c r="M2896" s="55"/>
      <c r="O2896" s="54"/>
    </row>
    <row r="2897">
      <c r="A2897" s="115"/>
      <c r="B2897" s="54"/>
      <c r="C2897" s="54"/>
      <c r="D2897" s="54"/>
      <c r="E2897" s="54"/>
      <c r="F2897" s="118"/>
      <c r="G2897" s="54"/>
      <c r="H2897" s="54"/>
      <c r="I2897" s="54"/>
      <c r="J2897" s="54"/>
      <c r="K2897" s="54"/>
      <c r="L2897" s="54"/>
      <c r="M2897" s="55"/>
      <c r="O2897" s="54"/>
    </row>
    <row r="2898">
      <c r="A2898" s="115"/>
      <c r="B2898" s="54"/>
      <c r="C2898" s="54"/>
      <c r="D2898" s="54"/>
      <c r="E2898" s="54"/>
      <c r="F2898" s="118"/>
      <c r="G2898" s="54"/>
      <c r="H2898" s="54"/>
      <c r="I2898" s="54"/>
      <c r="J2898" s="54"/>
      <c r="K2898" s="54"/>
      <c r="L2898" s="54"/>
      <c r="M2898" s="55"/>
      <c r="O2898" s="54"/>
    </row>
    <row r="2899">
      <c r="A2899" s="115"/>
      <c r="B2899" s="54"/>
      <c r="C2899" s="54"/>
      <c r="D2899" s="54"/>
      <c r="E2899" s="54"/>
      <c r="F2899" s="118"/>
      <c r="G2899" s="54"/>
      <c r="H2899" s="54"/>
      <c r="I2899" s="54"/>
      <c r="J2899" s="54"/>
      <c r="K2899" s="54"/>
      <c r="L2899" s="54"/>
      <c r="M2899" s="55"/>
      <c r="O2899" s="54"/>
    </row>
    <row r="2900">
      <c r="A2900" s="115"/>
      <c r="B2900" s="54"/>
      <c r="C2900" s="54"/>
      <c r="D2900" s="54"/>
      <c r="E2900" s="54"/>
      <c r="F2900" s="118"/>
      <c r="G2900" s="54"/>
      <c r="H2900" s="54"/>
      <c r="I2900" s="54"/>
      <c r="J2900" s="54"/>
      <c r="K2900" s="54"/>
      <c r="L2900" s="54"/>
      <c r="M2900" s="55"/>
      <c r="O2900" s="54"/>
    </row>
    <row r="2901">
      <c r="A2901" s="115"/>
      <c r="B2901" s="54"/>
      <c r="C2901" s="54"/>
      <c r="D2901" s="54"/>
      <c r="E2901" s="54"/>
      <c r="F2901" s="118"/>
      <c r="G2901" s="54"/>
      <c r="H2901" s="54"/>
      <c r="I2901" s="54"/>
      <c r="J2901" s="54"/>
      <c r="K2901" s="54"/>
      <c r="L2901" s="54"/>
      <c r="M2901" s="55"/>
      <c r="O2901" s="54"/>
    </row>
    <row r="2902">
      <c r="A2902" s="115"/>
      <c r="B2902" s="54"/>
      <c r="C2902" s="54"/>
      <c r="D2902" s="54"/>
      <c r="E2902" s="54"/>
      <c r="F2902" s="118"/>
      <c r="G2902" s="54"/>
      <c r="H2902" s="54"/>
      <c r="I2902" s="54"/>
      <c r="J2902" s="54"/>
      <c r="K2902" s="54"/>
      <c r="L2902" s="54"/>
      <c r="M2902" s="55"/>
      <c r="O2902" s="54"/>
    </row>
    <row r="2903">
      <c r="A2903" s="115"/>
      <c r="B2903" s="54"/>
      <c r="C2903" s="54"/>
      <c r="D2903" s="54"/>
      <c r="E2903" s="54"/>
      <c r="F2903" s="118"/>
      <c r="G2903" s="54"/>
      <c r="H2903" s="54"/>
      <c r="I2903" s="54"/>
      <c r="J2903" s="54"/>
      <c r="K2903" s="54"/>
      <c r="L2903" s="54"/>
      <c r="M2903" s="55"/>
      <c r="O2903" s="54"/>
    </row>
    <row r="2904">
      <c r="A2904" s="115"/>
      <c r="B2904" s="54"/>
      <c r="C2904" s="54"/>
      <c r="D2904" s="54"/>
      <c r="E2904" s="54"/>
      <c r="F2904" s="118"/>
      <c r="G2904" s="54"/>
      <c r="H2904" s="54"/>
      <c r="I2904" s="54"/>
      <c r="J2904" s="54"/>
      <c r="K2904" s="54"/>
      <c r="L2904" s="54"/>
      <c r="M2904" s="55"/>
      <c r="O2904" s="54"/>
    </row>
    <row r="2905">
      <c r="A2905" s="115"/>
      <c r="B2905" s="54"/>
      <c r="C2905" s="54"/>
      <c r="D2905" s="54"/>
      <c r="E2905" s="54"/>
      <c r="F2905" s="118"/>
      <c r="G2905" s="54"/>
      <c r="H2905" s="54"/>
      <c r="I2905" s="54"/>
      <c r="J2905" s="54"/>
      <c r="K2905" s="54"/>
      <c r="L2905" s="54"/>
      <c r="M2905" s="55"/>
      <c r="O2905" s="54"/>
    </row>
    <row r="2906">
      <c r="A2906" s="115"/>
      <c r="B2906" s="54"/>
      <c r="C2906" s="54"/>
      <c r="D2906" s="54"/>
      <c r="E2906" s="54"/>
      <c r="F2906" s="118"/>
      <c r="G2906" s="54"/>
      <c r="H2906" s="54"/>
      <c r="I2906" s="54"/>
      <c r="J2906" s="54"/>
      <c r="K2906" s="54"/>
      <c r="L2906" s="54"/>
      <c r="M2906" s="55"/>
      <c r="O2906" s="54"/>
    </row>
    <row r="2907">
      <c r="A2907" s="115"/>
      <c r="B2907" s="54"/>
      <c r="C2907" s="54"/>
      <c r="D2907" s="54"/>
      <c r="E2907" s="54"/>
      <c r="F2907" s="118"/>
      <c r="G2907" s="54"/>
      <c r="H2907" s="54"/>
      <c r="I2907" s="54"/>
      <c r="J2907" s="54"/>
      <c r="K2907" s="54"/>
      <c r="L2907" s="54"/>
      <c r="M2907" s="55"/>
      <c r="O2907" s="54"/>
    </row>
    <row r="2908">
      <c r="A2908" s="115"/>
      <c r="B2908" s="54"/>
      <c r="C2908" s="54"/>
      <c r="D2908" s="54"/>
      <c r="E2908" s="54"/>
      <c r="F2908" s="118"/>
      <c r="G2908" s="54"/>
      <c r="H2908" s="54"/>
      <c r="I2908" s="54"/>
      <c r="J2908" s="54"/>
      <c r="K2908" s="54"/>
      <c r="L2908" s="54"/>
      <c r="M2908" s="55"/>
      <c r="O2908" s="54"/>
    </row>
    <row r="2909">
      <c r="A2909" s="115"/>
      <c r="B2909" s="54"/>
      <c r="C2909" s="54"/>
      <c r="D2909" s="54"/>
      <c r="E2909" s="54"/>
      <c r="F2909" s="118"/>
      <c r="G2909" s="54"/>
      <c r="H2909" s="54"/>
      <c r="I2909" s="54"/>
      <c r="J2909" s="54"/>
      <c r="K2909" s="54"/>
      <c r="L2909" s="54"/>
      <c r="M2909" s="55"/>
      <c r="O2909" s="54"/>
    </row>
    <row r="2910">
      <c r="A2910" s="115"/>
      <c r="B2910" s="54"/>
      <c r="C2910" s="54"/>
      <c r="D2910" s="54"/>
      <c r="E2910" s="54"/>
      <c r="F2910" s="118"/>
      <c r="G2910" s="54"/>
      <c r="H2910" s="54"/>
      <c r="I2910" s="54"/>
      <c r="J2910" s="54"/>
      <c r="K2910" s="54"/>
      <c r="L2910" s="54"/>
      <c r="M2910" s="55"/>
      <c r="O2910" s="54"/>
    </row>
    <row r="2911">
      <c r="A2911" s="115"/>
      <c r="B2911" s="54"/>
      <c r="C2911" s="54"/>
      <c r="D2911" s="54"/>
      <c r="E2911" s="54"/>
      <c r="F2911" s="118"/>
      <c r="G2911" s="54"/>
      <c r="H2911" s="54"/>
      <c r="I2911" s="54"/>
      <c r="J2911" s="54"/>
      <c r="K2911" s="54"/>
      <c r="L2911" s="54"/>
      <c r="M2911" s="55"/>
      <c r="O2911" s="54"/>
    </row>
    <row r="2912">
      <c r="A2912" s="115"/>
      <c r="B2912" s="54"/>
      <c r="C2912" s="54"/>
      <c r="D2912" s="54"/>
      <c r="E2912" s="54"/>
      <c r="F2912" s="118"/>
      <c r="G2912" s="54"/>
      <c r="H2912" s="54"/>
      <c r="I2912" s="54"/>
      <c r="J2912" s="54"/>
      <c r="K2912" s="54"/>
      <c r="L2912" s="54"/>
      <c r="M2912" s="55"/>
      <c r="O2912" s="54"/>
    </row>
    <row r="2913">
      <c r="A2913" s="115"/>
      <c r="B2913" s="54"/>
      <c r="C2913" s="54"/>
      <c r="D2913" s="54"/>
      <c r="E2913" s="54"/>
      <c r="F2913" s="118"/>
      <c r="G2913" s="54"/>
      <c r="H2913" s="54"/>
      <c r="I2913" s="54"/>
      <c r="J2913" s="54"/>
      <c r="K2913" s="54"/>
      <c r="L2913" s="54"/>
      <c r="M2913" s="55"/>
      <c r="O2913" s="54"/>
    </row>
    <row r="2914">
      <c r="A2914" s="115"/>
      <c r="B2914" s="54"/>
      <c r="C2914" s="54"/>
      <c r="D2914" s="54"/>
      <c r="E2914" s="54"/>
      <c r="F2914" s="118"/>
      <c r="G2914" s="54"/>
      <c r="H2914" s="54"/>
      <c r="I2914" s="54"/>
      <c r="J2914" s="54"/>
      <c r="K2914" s="54"/>
      <c r="L2914" s="54"/>
      <c r="M2914" s="55"/>
      <c r="O2914" s="54"/>
    </row>
    <row r="2915">
      <c r="A2915" s="115"/>
      <c r="B2915" s="54"/>
      <c r="C2915" s="54"/>
      <c r="D2915" s="54"/>
      <c r="E2915" s="54"/>
      <c r="F2915" s="118"/>
      <c r="G2915" s="54"/>
      <c r="H2915" s="54"/>
      <c r="I2915" s="54"/>
      <c r="J2915" s="54"/>
      <c r="K2915" s="54"/>
      <c r="L2915" s="54"/>
      <c r="M2915" s="55"/>
      <c r="O2915" s="54"/>
    </row>
    <row r="2916">
      <c r="A2916" s="115"/>
      <c r="B2916" s="54"/>
      <c r="C2916" s="54"/>
      <c r="D2916" s="54"/>
      <c r="E2916" s="54"/>
      <c r="F2916" s="118"/>
      <c r="G2916" s="54"/>
      <c r="H2916" s="54"/>
      <c r="I2916" s="54"/>
      <c r="J2916" s="54"/>
      <c r="K2916" s="54"/>
      <c r="L2916" s="54"/>
      <c r="M2916" s="55"/>
      <c r="O2916" s="54"/>
    </row>
    <row r="2917">
      <c r="A2917" s="115"/>
      <c r="B2917" s="54"/>
      <c r="C2917" s="54"/>
      <c r="D2917" s="54"/>
      <c r="E2917" s="54"/>
      <c r="F2917" s="118"/>
      <c r="G2917" s="54"/>
      <c r="H2917" s="54"/>
      <c r="I2917" s="54"/>
      <c r="J2917" s="54"/>
      <c r="K2917" s="54"/>
      <c r="L2917" s="54"/>
      <c r="M2917" s="55"/>
      <c r="O2917" s="54"/>
    </row>
    <row r="2918">
      <c r="A2918" s="115"/>
      <c r="B2918" s="54"/>
      <c r="C2918" s="54"/>
      <c r="D2918" s="54"/>
      <c r="E2918" s="54"/>
      <c r="F2918" s="118"/>
      <c r="G2918" s="54"/>
      <c r="H2918" s="54"/>
      <c r="I2918" s="54"/>
      <c r="J2918" s="54"/>
      <c r="K2918" s="54"/>
      <c r="L2918" s="54"/>
      <c r="M2918" s="55"/>
      <c r="O2918" s="54"/>
    </row>
    <row r="2919">
      <c r="A2919" s="115"/>
      <c r="B2919" s="54"/>
      <c r="C2919" s="54"/>
      <c r="D2919" s="54"/>
      <c r="E2919" s="54"/>
      <c r="F2919" s="118"/>
      <c r="G2919" s="54"/>
      <c r="H2919" s="54"/>
      <c r="I2919" s="54"/>
      <c r="J2919" s="54"/>
      <c r="K2919" s="54"/>
      <c r="L2919" s="54"/>
      <c r="M2919" s="55"/>
      <c r="O2919" s="54"/>
    </row>
    <row r="2920">
      <c r="A2920" s="115"/>
      <c r="B2920" s="54"/>
      <c r="C2920" s="54"/>
      <c r="D2920" s="54"/>
      <c r="E2920" s="54"/>
      <c r="F2920" s="118"/>
      <c r="G2920" s="54"/>
      <c r="H2920" s="54"/>
      <c r="I2920" s="54"/>
      <c r="J2920" s="54"/>
      <c r="K2920" s="54"/>
      <c r="L2920" s="54"/>
      <c r="M2920" s="55"/>
      <c r="O2920" s="54"/>
    </row>
    <row r="2921">
      <c r="A2921" s="115"/>
      <c r="B2921" s="54"/>
      <c r="C2921" s="54"/>
      <c r="D2921" s="54"/>
      <c r="E2921" s="54"/>
      <c r="F2921" s="118"/>
      <c r="G2921" s="54"/>
      <c r="H2921" s="54"/>
      <c r="I2921" s="54"/>
      <c r="J2921" s="54"/>
      <c r="K2921" s="54"/>
      <c r="L2921" s="54"/>
      <c r="M2921" s="55"/>
      <c r="O2921" s="54"/>
    </row>
    <row r="2922">
      <c r="A2922" s="115"/>
      <c r="B2922" s="54"/>
      <c r="C2922" s="54"/>
      <c r="D2922" s="54"/>
      <c r="E2922" s="54"/>
      <c r="F2922" s="118"/>
      <c r="G2922" s="54"/>
      <c r="H2922" s="54"/>
      <c r="I2922" s="54"/>
      <c r="J2922" s="54"/>
      <c r="K2922" s="54"/>
      <c r="L2922" s="54"/>
      <c r="M2922" s="55"/>
      <c r="O2922" s="54"/>
    </row>
    <row r="2923">
      <c r="A2923" s="115"/>
      <c r="B2923" s="54"/>
      <c r="C2923" s="54"/>
      <c r="D2923" s="54"/>
      <c r="E2923" s="54"/>
      <c r="F2923" s="118"/>
      <c r="G2923" s="54"/>
      <c r="H2923" s="54"/>
      <c r="I2923" s="54"/>
      <c r="J2923" s="54"/>
      <c r="K2923" s="54"/>
      <c r="L2923" s="54"/>
      <c r="M2923" s="55"/>
      <c r="O2923" s="54"/>
    </row>
    <row r="2924">
      <c r="A2924" s="115"/>
      <c r="B2924" s="54"/>
      <c r="C2924" s="54"/>
      <c r="D2924" s="54"/>
      <c r="E2924" s="54"/>
      <c r="F2924" s="118"/>
      <c r="G2924" s="54"/>
      <c r="H2924" s="54"/>
      <c r="I2924" s="54"/>
      <c r="J2924" s="54"/>
      <c r="K2924" s="54"/>
      <c r="L2924" s="54"/>
      <c r="M2924" s="55"/>
      <c r="O2924" s="54"/>
    </row>
    <row r="2925">
      <c r="A2925" s="115"/>
      <c r="B2925" s="54"/>
      <c r="C2925" s="54"/>
      <c r="D2925" s="54"/>
      <c r="E2925" s="54"/>
      <c r="F2925" s="118"/>
      <c r="G2925" s="54"/>
      <c r="H2925" s="54"/>
      <c r="I2925" s="54"/>
      <c r="J2925" s="54"/>
      <c r="K2925" s="54"/>
      <c r="L2925" s="54"/>
      <c r="M2925" s="55"/>
      <c r="O2925" s="54"/>
    </row>
    <row r="2926">
      <c r="A2926" s="115"/>
      <c r="B2926" s="54"/>
      <c r="C2926" s="54"/>
      <c r="D2926" s="54"/>
      <c r="E2926" s="54"/>
      <c r="F2926" s="118"/>
      <c r="G2926" s="54"/>
      <c r="H2926" s="54"/>
      <c r="I2926" s="54"/>
      <c r="J2926" s="54"/>
      <c r="K2926" s="54"/>
      <c r="L2926" s="54"/>
      <c r="M2926" s="55"/>
      <c r="O2926" s="54"/>
    </row>
    <row r="2927">
      <c r="A2927" s="115"/>
      <c r="B2927" s="54"/>
      <c r="C2927" s="54"/>
      <c r="D2927" s="54"/>
      <c r="E2927" s="54"/>
      <c r="F2927" s="118"/>
      <c r="G2927" s="54"/>
      <c r="H2927" s="54"/>
      <c r="I2927" s="54"/>
      <c r="J2927" s="54"/>
      <c r="K2927" s="54"/>
      <c r="L2927" s="54"/>
      <c r="M2927" s="55"/>
      <c r="O2927" s="54"/>
    </row>
    <row r="2928">
      <c r="A2928" s="115"/>
      <c r="B2928" s="54"/>
      <c r="C2928" s="54"/>
      <c r="D2928" s="54"/>
      <c r="E2928" s="54"/>
      <c r="F2928" s="118"/>
      <c r="G2928" s="54"/>
      <c r="H2928" s="54"/>
      <c r="I2928" s="54"/>
      <c r="J2928" s="54"/>
      <c r="K2928" s="54"/>
      <c r="L2928" s="54"/>
      <c r="M2928" s="55"/>
      <c r="O2928" s="54"/>
    </row>
    <row r="2929">
      <c r="A2929" s="115"/>
      <c r="B2929" s="54"/>
      <c r="C2929" s="54"/>
      <c r="D2929" s="54"/>
      <c r="E2929" s="54"/>
      <c r="F2929" s="118"/>
      <c r="G2929" s="54"/>
      <c r="H2929" s="54"/>
      <c r="I2929" s="54"/>
      <c r="J2929" s="54"/>
      <c r="K2929" s="54"/>
      <c r="L2929" s="54"/>
      <c r="M2929" s="55"/>
      <c r="O2929" s="54"/>
    </row>
    <row r="2930">
      <c r="A2930" s="115"/>
      <c r="B2930" s="54"/>
      <c r="C2930" s="54"/>
      <c r="D2930" s="54"/>
      <c r="E2930" s="54"/>
      <c r="F2930" s="118"/>
      <c r="G2930" s="54"/>
      <c r="H2930" s="54"/>
      <c r="I2930" s="54"/>
      <c r="J2930" s="54"/>
      <c r="K2930" s="54"/>
      <c r="L2930" s="54"/>
      <c r="M2930" s="55"/>
      <c r="O2930" s="54"/>
    </row>
    <row r="2931">
      <c r="A2931" s="115"/>
      <c r="B2931" s="54"/>
      <c r="C2931" s="54"/>
      <c r="D2931" s="54"/>
      <c r="E2931" s="54"/>
      <c r="F2931" s="118"/>
      <c r="G2931" s="54"/>
      <c r="H2931" s="54"/>
      <c r="I2931" s="54"/>
      <c r="J2931" s="54"/>
      <c r="K2931" s="54"/>
      <c r="L2931" s="54"/>
      <c r="M2931" s="55"/>
      <c r="O2931" s="54"/>
    </row>
    <row r="2932">
      <c r="A2932" s="115"/>
      <c r="B2932" s="54"/>
      <c r="C2932" s="54"/>
      <c r="D2932" s="54"/>
      <c r="E2932" s="54"/>
      <c r="F2932" s="118"/>
      <c r="G2932" s="54"/>
      <c r="H2932" s="54"/>
      <c r="I2932" s="54"/>
      <c r="J2932" s="54"/>
      <c r="K2932" s="54"/>
      <c r="L2932" s="54"/>
      <c r="M2932" s="55"/>
      <c r="O2932" s="54"/>
    </row>
    <row r="2933">
      <c r="A2933" s="115"/>
      <c r="B2933" s="54"/>
      <c r="C2933" s="54"/>
      <c r="D2933" s="54"/>
      <c r="E2933" s="54"/>
      <c r="F2933" s="118"/>
      <c r="G2933" s="54"/>
      <c r="H2933" s="54"/>
      <c r="I2933" s="54"/>
      <c r="J2933" s="54"/>
      <c r="K2933" s="54"/>
      <c r="L2933" s="54"/>
      <c r="M2933" s="55"/>
      <c r="O2933" s="54"/>
    </row>
    <row r="2934">
      <c r="A2934" s="115"/>
      <c r="B2934" s="54"/>
      <c r="C2934" s="54"/>
      <c r="D2934" s="54"/>
      <c r="E2934" s="54"/>
      <c r="F2934" s="118"/>
      <c r="G2934" s="54"/>
      <c r="H2934" s="54"/>
      <c r="I2934" s="54"/>
      <c r="J2934" s="54"/>
      <c r="K2934" s="54"/>
      <c r="L2934" s="54"/>
      <c r="M2934" s="55"/>
      <c r="O2934" s="54"/>
    </row>
    <row r="2935">
      <c r="A2935" s="115"/>
      <c r="B2935" s="54"/>
      <c r="C2935" s="54"/>
      <c r="D2935" s="54"/>
      <c r="E2935" s="54"/>
      <c r="F2935" s="118"/>
      <c r="G2935" s="54"/>
      <c r="H2935" s="54"/>
      <c r="I2935" s="54"/>
      <c r="J2935" s="54"/>
      <c r="K2935" s="54"/>
      <c r="L2935" s="54"/>
      <c r="M2935" s="55"/>
      <c r="O2935" s="54"/>
    </row>
    <row r="2936">
      <c r="A2936" s="115"/>
      <c r="B2936" s="54"/>
      <c r="C2936" s="54"/>
      <c r="D2936" s="54"/>
      <c r="E2936" s="54"/>
      <c r="F2936" s="118"/>
      <c r="G2936" s="54"/>
      <c r="H2936" s="54"/>
      <c r="I2936" s="54"/>
      <c r="J2936" s="54"/>
      <c r="K2936" s="54"/>
      <c r="L2936" s="54"/>
      <c r="M2936" s="55"/>
      <c r="O2936" s="54"/>
    </row>
    <row r="2937">
      <c r="A2937" s="115"/>
      <c r="B2937" s="54"/>
      <c r="C2937" s="54"/>
      <c r="D2937" s="54"/>
      <c r="E2937" s="54"/>
      <c r="F2937" s="118"/>
      <c r="G2937" s="54"/>
      <c r="H2937" s="54"/>
      <c r="I2937" s="54"/>
      <c r="J2937" s="54"/>
      <c r="K2937" s="54"/>
      <c r="L2937" s="54"/>
      <c r="M2937" s="55"/>
      <c r="O2937" s="54"/>
    </row>
    <row r="2938">
      <c r="A2938" s="115"/>
      <c r="B2938" s="54"/>
      <c r="C2938" s="54"/>
      <c r="D2938" s="54"/>
      <c r="E2938" s="54"/>
      <c r="F2938" s="118"/>
      <c r="G2938" s="54"/>
      <c r="H2938" s="54"/>
      <c r="I2938" s="54"/>
      <c r="J2938" s="54"/>
      <c r="K2938" s="54"/>
      <c r="L2938" s="54"/>
      <c r="M2938" s="55"/>
      <c r="O2938" s="54"/>
    </row>
    <row r="2939">
      <c r="A2939" s="115"/>
      <c r="B2939" s="54"/>
      <c r="C2939" s="54"/>
      <c r="D2939" s="54"/>
      <c r="E2939" s="54"/>
      <c r="F2939" s="118"/>
      <c r="G2939" s="54"/>
      <c r="H2939" s="54"/>
      <c r="I2939" s="54"/>
      <c r="J2939" s="54"/>
      <c r="K2939" s="54"/>
      <c r="L2939" s="54"/>
      <c r="M2939" s="55"/>
      <c r="O2939" s="54"/>
    </row>
    <row r="2940">
      <c r="A2940" s="115"/>
      <c r="B2940" s="54"/>
      <c r="C2940" s="54"/>
      <c r="D2940" s="54"/>
      <c r="E2940" s="54"/>
      <c r="F2940" s="118"/>
      <c r="G2940" s="54"/>
      <c r="H2940" s="54"/>
      <c r="I2940" s="54"/>
      <c r="J2940" s="54"/>
      <c r="K2940" s="54"/>
      <c r="L2940" s="54"/>
      <c r="M2940" s="55"/>
      <c r="O2940" s="54"/>
    </row>
    <row r="2941">
      <c r="A2941" s="115"/>
      <c r="B2941" s="54"/>
      <c r="C2941" s="54"/>
      <c r="D2941" s="54"/>
      <c r="E2941" s="54"/>
      <c r="F2941" s="118"/>
      <c r="G2941" s="54"/>
      <c r="H2941" s="54"/>
      <c r="I2941" s="54"/>
      <c r="J2941" s="54"/>
      <c r="K2941" s="54"/>
      <c r="L2941" s="54"/>
      <c r="M2941" s="55"/>
      <c r="O2941" s="54"/>
    </row>
    <row r="2942">
      <c r="A2942" s="115"/>
      <c r="B2942" s="54"/>
      <c r="C2942" s="54"/>
      <c r="D2942" s="54"/>
      <c r="E2942" s="54"/>
      <c r="F2942" s="118"/>
      <c r="G2942" s="54"/>
      <c r="H2942" s="54"/>
      <c r="I2942" s="54"/>
      <c r="J2942" s="54"/>
      <c r="K2942" s="54"/>
      <c r="L2942" s="54"/>
      <c r="M2942" s="55"/>
      <c r="O2942" s="54"/>
    </row>
    <row r="2943">
      <c r="A2943" s="115"/>
      <c r="B2943" s="54"/>
      <c r="C2943" s="54"/>
      <c r="D2943" s="54"/>
      <c r="E2943" s="54"/>
      <c r="F2943" s="118"/>
      <c r="G2943" s="54"/>
      <c r="H2943" s="54"/>
      <c r="I2943" s="54"/>
      <c r="J2943" s="54"/>
      <c r="K2943" s="54"/>
      <c r="L2943" s="54"/>
      <c r="M2943" s="55"/>
      <c r="O2943" s="54"/>
    </row>
    <row r="2944">
      <c r="A2944" s="115"/>
      <c r="B2944" s="54"/>
      <c r="C2944" s="54"/>
      <c r="D2944" s="54"/>
      <c r="E2944" s="54"/>
      <c r="F2944" s="118"/>
      <c r="G2944" s="54"/>
      <c r="H2944" s="54"/>
      <c r="I2944" s="54"/>
      <c r="J2944" s="54"/>
      <c r="K2944" s="54"/>
      <c r="L2944" s="54"/>
      <c r="M2944" s="55"/>
      <c r="O2944" s="54"/>
    </row>
    <row r="2945">
      <c r="A2945" s="115"/>
      <c r="B2945" s="54"/>
      <c r="C2945" s="54"/>
      <c r="D2945" s="54"/>
      <c r="E2945" s="54"/>
      <c r="F2945" s="118"/>
      <c r="G2945" s="54"/>
      <c r="H2945" s="54"/>
      <c r="I2945" s="54"/>
      <c r="J2945" s="54"/>
      <c r="K2945" s="54"/>
      <c r="L2945" s="54"/>
      <c r="M2945" s="55"/>
      <c r="O2945" s="54"/>
    </row>
    <row r="2946">
      <c r="A2946" s="115"/>
      <c r="B2946" s="54"/>
      <c r="C2946" s="54"/>
      <c r="D2946" s="54"/>
      <c r="E2946" s="54"/>
      <c r="F2946" s="118"/>
      <c r="G2946" s="54"/>
      <c r="H2946" s="54"/>
      <c r="I2946" s="54"/>
      <c r="J2946" s="54"/>
      <c r="K2946" s="54"/>
      <c r="L2946" s="54"/>
      <c r="M2946" s="55"/>
      <c r="O2946" s="54"/>
    </row>
    <row r="2947">
      <c r="A2947" s="115"/>
      <c r="B2947" s="54"/>
      <c r="C2947" s="54"/>
      <c r="D2947" s="54"/>
      <c r="E2947" s="54"/>
      <c r="F2947" s="118"/>
      <c r="G2947" s="54"/>
      <c r="H2947" s="54"/>
      <c r="I2947" s="54"/>
      <c r="J2947" s="54"/>
      <c r="K2947" s="54"/>
      <c r="L2947" s="54"/>
      <c r="M2947" s="55"/>
      <c r="O2947" s="54"/>
    </row>
    <row r="2948">
      <c r="A2948" s="115"/>
      <c r="B2948" s="54"/>
      <c r="C2948" s="54"/>
      <c r="D2948" s="54"/>
      <c r="E2948" s="54"/>
      <c r="F2948" s="118"/>
      <c r="G2948" s="54"/>
      <c r="H2948" s="54"/>
      <c r="I2948" s="54"/>
      <c r="J2948" s="54"/>
      <c r="K2948" s="54"/>
      <c r="L2948" s="54"/>
      <c r="M2948" s="55"/>
      <c r="O2948" s="54"/>
    </row>
    <row r="2949">
      <c r="A2949" s="115"/>
      <c r="B2949" s="54"/>
      <c r="C2949" s="54"/>
      <c r="D2949" s="54"/>
      <c r="E2949" s="54"/>
      <c r="F2949" s="118"/>
      <c r="G2949" s="54"/>
      <c r="H2949" s="54"/>
      <c r="I2949" s="54"/>
      <c r="J2949" s="54"/>
      <c r="K2949" s="54"/>
      <c r="L2949" s="54"/>
      <c r="M2949" s="55"/>
      <c r="O2949" s="54"/>
    </row>
    <row r="2950">
      <c r="A2950" s="115"/>
      <c r="B2950" s="54"/>
      <c r="C2950" s="54"/>
      <c r="D2950" s="54"/>
      <c r="E2950" s="54"/>
      <c r="F2950" s="118"/>
      <c r="G2950" s="54"/>
      <c r="H2950" s="54"/>
      <c r="I2950" s="54"/>
      <c r="J2950" s="54"/>
      <c r="K2950" s="54"/>
      <c r="L2950" s="54"/>
      <c r="M2950" s="55"/>
      <c r="O2950" s="54"/>
    </row>
    <row r="2951">
      <c r="A2951" s="115"/>
      <c r="B2951" s="54"/>
      <c r="C2951" s="54"/>
      <c r="D2951" s="54"/>
      <c r="E2951" s="54"/>
      <c r="F2951" s="118"/>
      <c r="G2951" s="54"/>
      <c r="H2951" s="54"/>
      <c r="I2951" s="54"/>
      <c r="J2951" s="54"/>
      <c r="K2951" s="54"/>
      <c r="L2951" s="54"/>
      <c r="M2951" s="55"/>
      <c r="O2951" s="54"/>
    </row>
    <row r="2952">
      <c r="A2952" s="115"/>
      <c r="B2952" s="54"/>
      <c r="C2952" s="54"/>
      <c r="D2952" s="54"/>
      <c r="E2952" s="54"/>
      <c r="F2952" s="118"/>
      <c r="G2952" s="54"/>
      <c r="H2952" s="54"/>
      <c r="I2952" s="54"/>
      <c r="J2952" s="54"/>
      <c r="K2952" s="54"/>
      <c r="L2952" s="54"/>
      <c r="M2952" s="55"/>
      <c r="O2952" s="54"/>
    </row>
    <row r="2953">
      <c r="A2953" s="115"/>
      <c r="B2953" s="54"/>
      <c r="C2953" s="54"/>
      <c r="D2953" s="54"/>
      <c r="E2953" s="54"/>
      <c r="F2953" s="118"/>
      <c r="G2953" s="54"/>
      <c r="H2953" s="54"/>
      <c r="I2953" s="54"/>
      <c r="J2953" s="54"/>
      <c r="K2953" s="54"/>
      <c r="L2953" s="54"/>
      <c r="M2953" s="55"/>
      <c r="O2953" s="54"/>
    </row>
    <row r="2954">
      <c r="A2954" s="115"/>
      <c r="B2954" s="54"/>
      <c r="C2954" s="54"/>
      <c r="D2954" s="54"/>
      <c r="E2954" s="54"/>
      <c r="F2954" s="118"/>
      <c r="G2954" s="54"/>
      <c r="H2954" s="54"/>
      <c r="I2954" s="54"/>
      <c r="J2954" s="54"/>
      <c r="K2954" s="54"/>
      <c r="L2954" s="54"/>
      <c r="M2954" s="55"/>
      <c r="O2954" s="54"/>
    </row>
    <row r="2955">
      <c r="A2955" s="115"/>
      <c r="B2955" s="54"/>
      <c r="C2955" s="54"/>
      <c r="D2955" s="54"/>
      <c r="E2955" s="54"/>
      <c r="F2955" s="118"/>
      <c r="G2955" s="54"/>
      <c r="H2955" s="54"/>
      <c r="I2955" s="54"/>
      <c r="J2955" s="54"/>
      <c r="K2955" s="54"/>
      <c r="L2955" s="54"/>
      <c r="M2955" s="55"/>
      <c r="O2955" s="54"/>
    </row>
    <row r="2956">
      <c r="A2956" s="115"/>
      <c r="B2956" s="54"/>
      <c r="C2956" s="54"/>
      <c r="D2956" s="54"/>
      <c r="E2956" s="54"/>
      <c r="F2956" s="118"/>
      <c r="G2956" s="54"/>
      <c r="H2956" s="54"/>
      <c r="I2956" s="54"/>
      <c r="J2956" s="54"/>
      <c r="K2956" s="54"/>
      <c r="L2956" s="54"/>
      <c r="M2956" s="55"/>
      <c r="O2956" s="54"/>
    </row>
    <row r="2957">
      <c r="A2957" s="115"/>
      <c r="B2957" s="54"/>
      <c r="C2957" s="54"/>
      <c r="D2957" s="54"/>
      <c r="E2957" s="54"/>
      <c r="F2957" s="118"/>
      <c r="G2957" s="54"/>
      <c r="H2957" s="54"/>
      <c r="I2957" s="54"/>
      <c r="J2957" s="54"/>
      <c r="K2957" s="54"/>
      <c r="L2957" s="54"/>
      <c r="M2957" s="55"/>
      <c r="O2957" s="54"/>
    </row>
    <row r="2958">
      <c r="A2958" s="115"/>
      <c r="B2958" s="54"/>
      <c r="C2958" s="54"/>
      <c r="D2958" s="54"/>
      <c r="E2958" s="54"/>
      <c r="F2958" s="118"/>
      <c r="G2958" s="54"/>
      <c r="H2958" s="54"/>
      <c r="I2958" s="54"/>
      <c r="J2958" s="54"/>
      <c r="K2958" s="54"/>
      <c r="L2958" s="54"/>
      <c r="M2958" s="55"/>
      <c r="O2958" s="54"/>
    </row>
    <row r="2959">
      <c r="A2959" s="115"/>
      <c r="B2959" s="54"/>
      <c r="C2959" s="54"/>
      <c r="D2959" s="54"/>
      <c r="E2959" s="54"/>
      <c r="F2959" s="118"/>
      <c r="G2959" s="54"/>
      <c r="H2959" s="54"/>
      <c r="I2959" s="54"/>
      <c r="J2959" s="54"/>
      <c r="K2959" s="54"/>
      <c r="L2959" s="54"/>
      <c r="M2959" s="55"/>
      <c r="O2959" s="54"/>
    </row>
    <row r="2960">
      <c r="A2960" s="115"/>
      <c r="B2960" s="54"/>
      <c r="C2960" s="54"/>
      <c r="D2960" s="54"/>
      <c r="E2960" s="54"/>
      <c r="F2960" s="118"/>
      <c r="G2960" s="54"/>
      <c r="H2960" s="54"/>
      <c r="I2960" s="54"/>
      <c r="J2960" s="54"/>
      <c r="K2960" s="54"/>
      <c r="L2960" s="54"/>
      <c r="M2960" s="55"/>
      <c r="O2960" s="54"/>
    </row>
    <row r="2961">
      <c r="A2961" s="115"/>
      <c r="B2961" s="54"/>
      <c r="C2961" s="54"/>
      <c r="D2961" s="54"/>
      <c r="E2961" s="54"/>
      <c r="F2961" s="118"/>
      <c r="G2961" s="54"/>
      <c r="H2961" s="54"/>
      <c r="I2961" s="54"/>
      <c r="J2961" s="54"/>
      <c r="K2961" s="54"/>
      <c r="L2961" s="54"/>
      <c r="M2961" s="55"/>
      <c r="O2961" s="54"/>
    </row>
    <row r="2962">
      <c r="A2962" s="115"/>
      <c r="B2962" s="54"/>
      <c r="C2962" s="54"/>
      <c r="D2962" s="54"/>
      <c r="E2962" s="54"/>
      <c r="F2962" s="118"/>
      <c r="G2962" s="54"/>
      <c r="H2962" s="54"/>
      <c r="I2962" s="54"/>
      <c r="J2962" s="54"/>
      <c r="K2962" s="54"/>
      <c r="L2962" s="54"/>
      <c r="M2962" s="55"/>
      <c r="O2962" s="54"/>
    </row>
    <row r="2963">
      <c r="A2963" s="115"/>
      <c r="B2963" s="54"/>
      <c r="C2963" s="54"/>
      <c r="D2963" s="54"/>
      <c r="E2963" s="54"/>
      <c r="F2963" s="118"/>
      <c r="G2963" s="54"/>
      <c r="H2963" s="54"/>
      <c r="I2963" s="54"/>
      <c r="J2963" s="54"/>
      <c r="K2963" s="54"/>
      <c r="L2963" s="54"/>
      <c r="M2963" s="55"/>
      <c r="O2963" s="54"/>
    </row>
    <row r="2964">
      <c r="A2964" s="115"/>
      <c r="B2964" s="54"/>
      <c r="C2964" s="54"/>
      <c r="D2964" s="54"/>
      <c r="E2964" s="54"/>
      <c r="F2964" s="118"/>
      <c r="G2964" s="54"/>
      <c r="H2964" s="54"/>
      <c r="I2964" s="54"/>
      <c r="J2964" s="54"/>
      <c r="K2964" s="54"/>
      <c r="L2964" s="54"/>
      <c r="M2964" s="55"/>
      <c r="O2964" s="54"/>
    </row>
    <row r="2965">
      <c r="A2965" s="115"/>
      <c r="B2965" s="54"/>
      <c r="C2965" s="54"/>
      <c r="D2965" s="54"/>
      <c r="E2965" s="54"/>
      <c r="F2965" s="118"/>
      <c r="G2965" s="54"/>
      <c r="H2965" s="54"/>
      <c r="I2965" s="54"/>
      <c r="J2965" s="54"/>
      <c r="K2965" s="54"/>
      <c r="L2965" s="54"/>
      <c r="M2965" s="55"/>
      <c r="O2965" s="54"/>
    </row>
    <row r="2966">
      <c r="A2966" s="115"/>
      <c r="B2966" s="54"/>
      <c r="C2966" s="54"/>
      <c r="D2966" s="54"/>
      <c r="E2966" s="54"/>
      <c r="F2966" s="118"/>
      <c r="G2966" s="54"/>
      <c r="H2966" s="54"/>
      <c r="I2966" s="54"/>
      <c r="J2966" s="54"/>
      <c r="K2966" s="54"/>
      <c r="L2966" s="54"/>
      <c r="M2966" s="55"/>
      <c r="O2966" s="54"/>
    </row>
    <row r="2967">
      <c r="A2967" s="115"/>
      <c r="B2967" s="54"/>
      <c r="C2967" s="54"/>
      <c r="D2967" s="54"/>
      <c r="E2967" s="54"/>
      <c r="F2967" s="118"/>
      <c r="G2967" s="54"/>
      <c r="H2967" s="54"/>
      <c r="I2967" s="54"/>
      <c r="J2967" s="54"/>
      <c r="K2967" s="54"/>
      <c r="L2967" s="54"/>
      <c r="M2967" s="55"/>
      <c r="O2967" s="54"/>
    </row>
    <row r="2968">
      <c r="A2968" s="115"/>
      <c r="B2968" s="54"/>
      <c r="C2968" s="54"/>
      <c r="D2968" s="54"/>
      <c r="E2968" s="54"/>
      <c r="F2968" s="118"/>
      <c r="G2968" s="54"/>
      <c r="H2968" s="54"/>
      <c r="I2968" s="54"/>
      <c r="J2968" s="54"/>
      <c r="K2968" s="54"/>
      <c r="L2968" s="54"/>
      <c r="M2968" s="55"/>
      <c r="O2968" s="54"/>
    </row>
    <row r="2969">
      <c r="A2969" s="115"/>
      <c r="B2969" s="54"/>
      <c r="C2969" s="54"/>
      <c r="D2969" s="54"/>
      <c r="E2969" s="54"/>
      <c r="F2969" s="118"/>
      <c r="G2969" s="54"/>
      <c r="H2969" s="54"/>
      <c r="I2969" s="54"/>
      <c r="J2969" s="54"/>
      <c r="K2969" s="54"/>
      <c r="L2969" s="54"/>
      <c r="M2969" s="55"/>
      <c r="O2969" s="54"/>
    </row>
    <row r="2970">
      <c r="A2970" s="115"/>
      <c r="B2970" s="54"/>
      <c r="C2970" s="54"/>
      <c r="D2970" s="54"/>
      <c r="E2970" s="54"/>
      <c r="F2970" s="118"/>
      <c r="G2970" s="54"/>
      <c r="H2970" s="54"/>
      <c r="I2970" s="54"/>
      <c r="J2970" s="54"/>
      <c r="K2970" s="54"/>
      <c r="L2970" s="54"/>
      <c r="M2970" s="55"/>
      <c r="O2970" s="54"/>
    </row>
    <row r="2971">
      <c r="A2971" s="115"/>
      <c r="B2971" s="54"/>
      <c r="C2971" s="54"/>
      <c r="D2971" s="54"/>
      <c r="E2971" s="54"/>
      <c r="F2971" s="118"/>
      <c r="G2971" s="54"/>
      <c r="H2971" s="54"/>
      <c r="I2971" s="54"/>
      <c r="J2971" s="54"/>
      <c r="K2971" s="54"/>
      <c r="L2971" s="54"/>
      <c r="M2971" s="55"/>
      <c r="O2971" s="54"/>
    </row>
    <row r="2972">
      <c r="A2972" s="115"/>
      <c r="B2972" s="54"/>
      <c r="C2972" s="54"/>
      <c r="D2972" s="54"/>
      <c r="E2972" s="54"/>
      <c r="F2972" s="118"/>
      <c r="G2972" s="54"/>
      <c r="H2972" s="54"/>
      <c r="I2972" s="54"/>
      <c r="J2972" s="54"/>
      <c r="K2972" s="54"/>
      <c r="L2972" s="54"/>
      <c r="M2972" s="55"/>
      <c r="O2972" s="54"/>
    </row>
    <row r="2973">
      <c r="A2973" s="115"/>
      <c r="B2973" s="54"/>
      <c r="C2973" s="54"/>
      <c r="D2973" s="54"/>
      <c r="E2973" s="54"/>
      <c r="F2973" s="118"/>
      <c r="G2973" s="54"/>
      <c r="H2973" s="54"/>
      <c r="I2973" s="54"/>
      <c r="J2973" s="54"/>
      <c r="K2973" s="54"/>
      <c r="L2973" s="54"/>
      <c r="M2973" s="55"/>
      <c r="O2973" s="54"/>
    </row>
    <row r="2974">
      <c r="A2974" s="115"/>
      <c r="B2974" s="54"/>
      <c r="C2974" s="54"/>
      <c r="D2974" s="54"/>
      <c r="E2974" s="54"/>
      <c r="F2974" s="118"/>
      <c r="G2974" s="54"/>
      <c r="H2974" s="54"/>
      <c r="I2974" s="54"/>
      <c r="J2974" s="54"/>
      <c r="K2974" s="54"/>
      <c r="L2974" s="54"/>
      <c r="M2974" s="55"/>
      <c r="O2974" s="54"/>
    </row>
    <row r="2975">
      <c r="A2975" s="115"/>
      <c r="B2975" s="54"/>
      <c r="C2975" s="54"/>
      <c r="D2975" s="54"/>
      <c r="E2975" s="54"/>
      <c r="F2975" s="118"/>
      <c r="G2975" s="54"/>
      <c r="H2975" s="54"/>
      <c r="I2975" s="54"/>
      <c r="J2975" s="54"/>
      <c r="K2975" s="54"/>
      <c r="L2975" s="54"/>
      <c r="M2975" s="55"/>
      <c r="O2975" s="54"/>
    </row>
    <row r="2976">
      <c r="A2976" s="115"/>
      <c r="B2976" s="54"/>
      <c r="C2976" s="54"/>
      <c r="D2976" s="54"/>
      <c r="E2976" s="54"/>
      <c r="F2976" s="118"/>
      <c r="G2976" s="54"/>
      <c r="H2976" s="54"/>
      <c r="I2976" s="54"/>
      <c r="J2976" s="54"/>
      <c r="K2976" s="54"/>
      <c r="L2976" s="54"/>
      <c r="M2976" s="55"/>
      <c r="O2976" s="54"/>
    </row>
    <row r="2977">
      <c r="A2977" s="115"/>
      <c r="B2977" s="54"/>
      <c r="C2977" s="54"/>
      <c r="D2977" s="54"/>
      <c r="E2977" s="54"/>
      <c r="F2977" s="118"/>
      <c r="G2977" s="54"/>
      <c r="H2977" s="54"/>
      <c r="I2977" s="54"/>
      <c r="J2977" s="54"/>
      <c r="K2977" s="54"/>
      <c r="L2977" s="54"/>
      <c r="M2977" s="55"/>
      <c r="O2977" s="54"/>
    </row>
    <row r="2978">
      <c r="A2978" s="115"/>
      <c r="B2978" s="54"/>
      <c r="C2978" s="54"/>
      <c r="D2978" s="54"/>
      <c r="E2978" s="54"/>
      <c r="F2978" s="118"/>
      <c r="G2978" s="54"/>
      <c r="H2978" s="54"/>
      <c r="I2978" s="54"/>
      <c r="J2978" s="54"/>
      <c r="K2978" s="54"/>
      <c r="L2978" s="54"/>
      <c r="M2978" s="55"/>
      <c r="O2978" s="54"/>
    </row>
    <row r="2979">
      <c r="A2979" s="115"/>
      <c r="B2979" s="54"/>
      <c r="C2979" s="54"/>
      <c r="D2979" s="54"/>
      <c r="E2979" s="54"/>
      <c r="F2979" s="118"/>
      <c r="G2979" s="54"/>
      <c r="H2979" s="54"/>
      <c r="I2979" s="54"/>
      <c r="J2979" s="54"/>
      <c r="K2979" s="54"/>
      <c r="L2979" s="54"/>
      <c r="M2979" s="55"/>
      <c r="O2979" s="54"/>
    </row>
    <row r="2980">
      <c r="A2980" s="115"/>
      <c r="B2980" s="54"/>
      <c r="C2980" s="54"/>
      <c r="D2980" s="54"/>
      <c r="E2980" s="54"/>
      <c r="F2980" s="118"/>
      <c r="G2980" s="54"/>
      <c r="H2980" s="54"/>
      <c r="I2980" s="54"/>
      <c r="J2980" s="54"/>
      <c r="K2980" s="54"/>
      <c r="L2980" s="54"/>
      <c r="M2980" s="55"/>
      <c r="O2980" s="54"/>
    </row>
    <row r="2981">
      <c r="A2981" s="115"/>
      <c r="B2981" s="54"/>
      <c r="C2981" s="54"/>
      <c r="D2981" s="54"/>
      <c r="E2981" s="54"/>
      <c r="F2981" s="118"/>
      <c r="G2981" s="54"/>
      <c r="H2981" s="54"/>
      <c r="I2981" s="54"/>
      <c r="J2981" s="54"/>
      <c r="K2981" s="54"/>
      <c r="L2981" s="54"/>
      <c r="M2981" s="55"/>
      <c r="O2981" s="54"/>
    </row>
    <row r="2982">
      <c r="A2982" s="115"/>
      <c r="B2982" s="54"/>
      <c r="C2982" s="54"/>
      <c r="D2982" s="54"/>
      <c r="E2982" s="54"/>
      <c r="F2982" s="118"/>
      <c r="G2982" s="54"/>
      <c r="H2982" s="54"/>
      <c r="I2982" s="54"/>
      <c r="J2982" s="54"/>
      <c r="K2982" s="54"/>
      <c r="L2982" s="54"/>
      <c r="M2982" s="55"/>
      <c r="O2982" s="54"/>
    </row>
    <row r="2983">
      <c r="A2983" s="115"/>
      <c r="B2983" s="54"/>
      <c r="C2983" s="54"/>
      <c r="D2983" s="54"/>
      <c r="E2983" s="54"/>
      <c r="F2983" s="118"/>
      <c r="G2983" s="54"/>
      <c r="H2983" s="54"/>
      <c r="I2983" s="54"/>
      <c r="J2983" s="54"/>
      <c r="K2983" s="54"/>
      <c r="L2983" s="54"/>
      <c r="M2983" s="55"/>
      <c r="O2983" s="54"/>
    </row>
    <row r="2984">
      <c r="A2984" s="115"/>
      <c r="B2984" s="54"/>
      <c r="C2984" s="54"/>
      <c r="D2984" s="54"/>
      <c r="E2984" s="54"/>
      <c r="F2984" s="118"/>
      <c r="G2984" s="54"/>
      <c r="H2984" s="54"/>
      <c r="I2984" s="54"/>
      <c r="J2984" s="54"/>
      <c r="K2984" s="54"/>
      <c r="L2984" s="54"/>
      <c r="M2984" s="55"/>
      <c r="O2984" s="54"/>
    </row>
    <row r="2985">
      <c r="A2985" s="115"/>
      <c r="B2985" s="54"/>
      <c r="C2985" s="54"/>
      <c r="D2985" s="54"/>
      <c r="E2985" s="54"/>
      <c r="F2985" s="118"/>
      <c r="G2985" s="54"/>
      <c r="H2985" s="54"/>
      <c r="I2985" s="54"/>
      <c r="J2985" s="54"/>
      <c r="K2985" s="54"/>
      <c r="L2985" s="54"/>
      <c r="M2985" s="55"/>
      <c r="O2985" s="54"/>
    </row>
    <row r="2986">
      <c r="A2986" s="115"/>
      <c r="B2986" s="54"/>
      <c r="C2986" s="54"/>
      <c r="D2986" s="54"/>
      <c r="E2986" s="54"/>
      <c r="F2986" s="118"/>
      <c r="G2986" s="54"/>
      <c r="H2986" s="54"/>
      <c r="I2986" s="54"/>
      <c r="J2986" s="54"/>
      <c r="K2986" s="54"/>
      <c r="L2986" s="54"/>
      <c r="M2986" s="55"/>
      <c r="O2986" s="54"/>
    </row>
    <row r="2987">
      <c r="A2987" s="115"/>
      <c r="B2987" s="54"/>
      <c r="C2987" s="54"/>
      <c r="D2987" s="54"/>
      <c r="E2987" s="54"/>
      <c r="F2987" s="118"/>
      <c r="G2987" s="54"/>
      <c r="H2987" s="54"/>
      <c r="I2987" s="54"/>
      <c r="J2987" s="54"/>
      <c r="K2987" s="54"/>
      <c r="L2987" s="54"/>
      <c r="M2987" s="55"/>
      <c r="O2987" s="54"/>
    </row>
    <row r="2988">
      <c r="A2988" s="115"/>
      <c r="B2988" s="54"/>
      <c r="C2988" s="54"/>
      <c r="D2988" s="54"/>
      <c r="E2988" s="54"/>
      <c r="F2988" s="118"/>
      <c r="G2988" s="54"/>
      <c r="H2988" s="54"/>
      <c r="I2988" s="54"/>
      <c r="J2988" s="54"/>
      <c r="K2988" s="54"/>
      <c r="L2988" s="54"/>
      <c r="M2988" s="55"/>
      <c r="O2988" s="54"/>
    </row>
    <row r="2989">
      <c r="A2989" s="115"/>
      <c r="B2989" s="54"/>
      <c r="C2989" s="54"/>
      <c r="D2989" s="54"/>
      <c r="E2989" s="54"/>
      <c r="F2989" s="118"/>
      <c r="G2989" s="54"/>
      <c r="H2989" s="54"/>
      <c r="I2989" s="54"/>
      <c r="J2989" s="54"/>
      <c r="K2989" s="54"/>
      <c r="L2989" s="54"/>
      <c r="M2989" s="55"/>
      <c r="O2989" s="54"/>
    </row>
    <row r="2990">
      <c r="A2990" s="115"/>
      <c r="B2990" s="54"/>
      <c r="C2990" s="54"/>
      <c r="D2990" s="54"/>
      <c r="E2990" s="54"/>
      <c r="F2990" s="118"/>
      <c r="G2990" s="54"/>
      <c r="H2990" s="54"/>
      <c r="I2990" s="54"/>
      <c r="J2990" s="54"/>
      <c r="K2990" s="54"/>
      <c r="L2990" s="54"/>
      <c r="M2990" s="55"/>
      <c r="O2990" s="54"/>
    </row>
    <row r="2991">
      <c r="A2991" s="115"/>
      <c r="B2991" s="54"/>
      <c r="C2991" s="54"/>
      <c r="D2991" s="54"/>
      <c r="E2991" s="54"/>
      <c r="F2991" s="118"/>
      <c r="G2991" s="54"/>
      <c r="H2991" s="54"/>
      <c r="I2991" s="54"/>
      <c r="J2991" s="54"/>
      <c r="K2991" s="54"/>
      <c r="L2991" s="54"/>
      <c r="M2991" s="55"/>
      <c r="O2991" s="54"/>
    </row>
    <row r="2992">
      <c r="A2992" s="115"/>
      <c r="B2992" s="54"/>
      <c r="C2992" s="54"/>
      <c r="D2992" s="54"/>
      <c r="E2992" s="54"/>
      <c r="F2992" s="118"/>
      <c r="G2992" s="54"/>
      <c r="H2992" s="54"/>
      <c r="I2992" s="54"/>
      <c r="J2992" s="54"/>
      <c r="K2992" s="54"/>
      <c r="L2992" s="54"/>
      <c r="M2992" s="55"/>
      <c r="O2992" s="54"/>
    </row>
    <row r="2993">
      <c r="A2993" s="115"/>
      <c r="B2993" s="54"/>
      <c r="C2993" s="54"/>
      <c r="D2993" s="54"/>
      <c r="E2993" s="54"/>
      <c r="F2993" s="118"/>
      <c r="G2993" s="54"/>
      <c r="H2993" s="54"/>
      <c r="I2993" s="54"/>
      <c r="J2993" s="54"/>
      <c r="K2993" s="54"/>
      <c r="L2993" s="54"/>
      <c r="M2993" s="55"/>
      <c r="O2993" s="54"/>
    </row>
    <row r="2994">
      <c r="A2994" s="115"/>
      <c r="B2994" s="54"/>
      <c r="C2994" s="54"/>
      <c r="D2994" s="54"/>
      <c r="E2994" s="54"/>
      <c r="F2994" s="118"/>
      <c r="G2994" s="54"/>
      <c r="H2994" s="54"/>
      <c r="I2994" s="54"/>
      <c r="J2994" s="54"/>
      <c r="K2994" s="54"/>
      <c r="L2994" s="54"/>
      <c r="M2994" s="55"/>
      <c r="O2994" s="54"/>
    </row>
    <row r="2995">
      <c r="A2995" s="115"/>
      <c r="B2995" s="54"/>
      <c r="C2995" s="54"/>
      <c r="D2995" s="54"/>
      <c r="E2995" s="54"/>
      <c r="F2995" s="118"/>
      <c r="G2995" s="54"/>
      <c r="H2995" s="54"/>
      <c r="I2995" s="54"/>
      <c r="J2995" s="54"/>
      <c r="K2995" s="54"/>
      <c r="L2995" s="54"/>
      <c r="M2995" s="55"/>
      <c r="O2995" s="54"/>
    </row>
    <row r="2996">
      <c r="A2996" s="115"/>
      <c r="B2996" s="54"/>
      <c r="C2996" s="54"/>
      <c r="D2996" s="54"/>
      <c r="E2996" s="54"/>
      <c r="F2996" s="118"/>
      <c r="G2996" s="54"/>
      <c r="H2996" s="54"/>
      <c r="I2996" s="54"/>
      <c r="J2996" s="54"/>
      <c r="K2996" s="54"/>
      <c r="L2996" s="54"/>
      <c r="M2996" s="55"/>
      <c r="O2996" s="54"/>
    </row>
    <row r="2997">
      <c r="A2997" s="115"/>
      <c r="B2997" s="54"/>
      <c r="C2997" s="54"/>
      <c r="D2997" s="54"/>
      <c r="E2997" s="54"/>
      <c r="F2997" s="118"/>
      <c r="G2997" s="54"/>
      <c r="H2997" s="54"/>
      <c r="I2997" s="54"/>
      <c r="J2997" s="54"/>
      <c r="K2997" s="54"/>
      <c r="L2997" s="54"/>
      <c r="M2997" s="55"/>
      <c r="O2997" s="54"/>
    </row>
    <row r="2998">
      <c r="A2998" s="115"/>
      <c r="B2998" s="54"/>
      <c r="C2998" s="54"/>
      <c r="D2998" s="54"/>
      <c r="E2998" s="54"/>
      <c r="F2998" s="118"/>
      <c r="G2998" s="54"/>
      <c r="H2998" s="54"/>
      <c r="I2998" s="54"/>
      <c r="J2998" s="54"/>
      <c r="K2998" s="54"/>
      <c r="L2998" s="54"/>
      <c r="M2998" s="55"/>
      <c r="O2998" s="54"/>
    </row>
    <row r="2999">
      <c r="A2999" s="115"/>
      <c r="B2999" s="54"/>
      <c r="C2999" s="54"/>
      <c r="D2999" s="54"/>
      <c r="E2999" s="54"/>
      <c r="F2999" s="118"/>
      <c r="G2999" s="54"/>
      <c r="H2999" s="54"/>
      <c r="I2999" s="54"/>
      <c r="J2999" s="54"/>
      <c r="K2999" s="54"/>
      <c r="L2999" s="54"/>
      <c r="M2999" s="55"/>
      <c r="O2999" s="54"/>
    </row>
    <row r="3000">
      <c r="A3000" s="115"/>
      <c r="B3000" s="54"/>
      <c r="C3000" s="54"/>
      <c r="D3000" s="54"/>
      <c r="E3000" s="54"/>
      <c r="F3000" s="118"/>
      <c r="G3000" s="54"/>
      <c r="H3000" s="54"/>
      <c r="I3000" s="54"/>
      <c r="J3000" s="54"/>
      <c r="K3000" s="54"/>
      <c r="L3000" s="54"/>
      <c r="M3000" s="55"/>
      <c r="O3000" s="54"/>
    </row>
    <row r="3001">
      <c r="A3001" s="115"/>
      <c r="B3001" s="54"/>
      <c r="C3001" s="54"/>
      <c r="D3001" s="54"/>
      <c r="E3001" s="54"/>
      <c r="F3001" s="118"/>
      <c r="G3001" s="54"/>
      <c r="H3001" s="54"/>
      <c r="I3001" s="54"/>
      <c r="J3001" s="54"/>
      <c r="K3001" s="54"/>
      <c r="L3001" s="54"/>
      <c r="M3001" s="55"/>
      <c r="O3001" s="54"/>
    </row>
    <row r="3002">
      <c r="A3002" s="115"/>
      <c r="B3002" s="54"/>
      <c r="C3002" s="54"/>
      <c r="D3002" s="54"/>
      <c r="E3002" s="54"/>
      <c r="F3002" s="118"/>
      <c r="G3002" s="54"/>
      <c r="H3002" s="54"/>
      <c r="I3002" s="54"/>
      <c r="J3002" s="54"/>
      <c r="K3002" s="54"/>
      <c r="L3002" s="54"/>
      <c r="M3002" s="55"/>
      <c r="O3002" s="54"/>
    </row>
    <row r="3003">
      <c r="A3003" s="115"/>
      <c r="B3003" s="54"/>
      <c r="C3003" s="54"/>
      <c r="D3003" s="54"/>
      <c r="E3003" s="54"/>
      <c r="F3003" s="118"/>
      <c r="G3003" s="54"/>
      <c r="H3003" s="54"/>
      <c r="I3003" s="54"/>
      <c r="J3003" s="54"/>
      <c r="K3003" s="54"/>
      <c r="L3003" s="54"/>
      <c r="M3003" s="55"/>
      <c r="O3003" s="54"/>
    </row>
    <row r="3004">
      <c r="A3004" s="115"/>
      <c r="B3004" s="54"/>
      <c r="C3004" s="54"/>
      <c r="D3004" s="54"/>
      <c r="E3004" s="54"/>
      <c r="F3004" s="118"/>
      <c r="G3004" s="54"/>
      <c r="H3004" s="54"/>
      <c r="I3004" s="54"/>
      <c r="J3004" s="54"/>
      <c r="K3004" s="54"/>
      <c r="L3004" s="54"/>
      <c r="M3004" s="55"/>
      <c r="O3004" s="54"/>
    </row>
    <row r="3005">
      <c r="A3005" s="115"/>
      <c r="B3005" s="54"/>
      <c r="C3005" s="54"/>
      <c r="D3005" s="54"/>
      <c r="E3005" s="54"/>
      <c r="F3005" s="118"/>
      <c r="G3005" s="54"/>
      <c r="H3005" s="54"/>
      <c r="I3005" s="54"/>
      <c r="J3005" s="54"/>
      <c r="K3005" s="54"/>
      <c r="L3005" s="54"/>
      <c r="M3005" s="55"/>
      <c r="O3005" s="54"/>
    </row>
    <row r="3006">
      <c r="A3006" s="115"/>
      <c r="B3006" s="54"/>
      <c r="C3006" s="54"/>
      <c r="D3006" s="54"/>
      <c r="E3006" s="54"/>
      <c r="F3006" s="118"/>
      <c r="G3006" s="54"/>
      <c r="H3006" s="54"/>
      <c r="I3006" s="54"/>
      <c r="J3006" s="54"/>
      <c r="K3006" s="54"/>
      <c r="L3006" s="54"/>
      <c r="M3006" s="55"/>
      <c r="O3006" s="54"/>
    </row>
    <row r="3007">
      <c r="A3007" s="115"/>
      <c r="B3007" s="54"/>
      <c r="C3007" s="54"/>
      <c r="D3007" s="54"/>
      <c r="E3007" s="54"/>
      <c r="F3007" s="118"/>
      <c r="G3007" s="54"/>
      <c r="H3007" s="54"/>
      <c r="I3007" s="54"/>
      <c r="J3007" s="54"/>
      <c r="K3007" s="54"/>
      <c r="L3007" s="54"/>
      <c r="M3007" s="55"/>
      <c r="O3007" s="54"/>
    </row>
    <row r="3008">
      <c r="A3008" s="115"/>
      <c r="B3008" s="54"/>
      <c r="C3008" s="54"/>
      <c r="D3008" s="54"/>
      <c r="E3008" s="54"/>
      <c r="F3008" s="118"/>
      <c r="G3008" s="54"/>
      <c r="H3008" s="54"/>
      <c r="I3008" s="54"/>
      <c r="J3008" s="54"/>
      <c r="K3008" s="54"/>
      <c r="L3008" s="54"/>
      <c r="M3008" s="55"/>
      <c r="O3008" s="54"/>
    </row>
    <row r="3009">
      <c r="A3009" s="115"/>
      <c r="B3009" s="54"/>
      <c r="C3009" s="54"/>
      <c r="D3009" s="54"/>
      <c r="E3009" s="54"/>
      <c r="F3009" s="118"/>
      <c r="G3009" s="54"/>
      <c r="H3009" s="54"/>
      <c r="I3009" s="54"/>
      <c r="J3009" s="54"/>
      <c r="K3009" s="54"/>
      <c r="L3009" s="54"/>
      <c r="M3009" s="55"/>
      <c r="O3009" s="54"/>
    </row>
    <row r="3010">
      <c r="A3010" s="115"/>
      <c r="B3010" s="54"/>
      <c r="C3010" s="54"/>
      <c r="D3010" s="54"/>
      <c r="E3010" s="54"/>
      <c r="F3010" s="118"/>
      <c r="G3010" s="54"/>
      <c r="H3010" s="54"/>
      <c r="I3010" s="54"/>
      <c r="J3010" s="54"/>
      <c r="K3010" s="54"/>
      <c r="L3010" s="54"/>
      <c r="M3010" s="55"/>
      <c r="O3010" s="54"/>
    </row>
    <row r="3011">
      <c r="A3011" s="115"/>
      <c r="B3011" s="54"/>
      <c r="C3011" s="54"/>
      <c r="D3011" s="54"/>
      <c r="E3011" s="54"/>
      <c r="F3011" s="118"/>
      <c r="G3011" s="54"/>
      <c r="H3011" s="54"/>
      <c r="I3011" s="54"/>
      <c r="J3011" s="54"/>
      <c r="K3011" s="54"/>
      <c r="L3011" s="54"/>
      <c r="M3011" s="55"/>
      <c r="O3011" s="54"/>
    </row>
    <row r="3012">
      <c r="A3012" s="115"/>
      <c r="B3012" s="54"/>
      <c r="C3012" s="54"/>
      <c r="D3012" s="54"/>
      <c r="E3012" s="54"/>
      <c r="F3012" s="118"/>
      <c r="G3012" s="54"/>
      <c r="H3012" s="54"/>
      <c r="I3012" s="54"/>
      <c r="J3012" s="54"/>
      <c r="K3012" s="54"/>
      <c r="L3012" s="54"/>
      <c r="M3012" s="55"/>
      <c r="O3012" s="54"/>
    </row>
    <row r="3013">
      <c r="A3013" s="115"/>
      <c r="B3013" s="54"/>
      <c r="C3013" s="54"/>
      <c r="D3013" s="54"/>
      <c r="E3013" s="54"/>
      <c r="F3013" s="118"/>
      <c r="G3013" s="54"/>
      <c r="H3013" s="54"/>
      <c r="I3013" s="54"/>
      <c r="J3013" s="54"/>
      <c r="K3013" s="54"/>
      <c r="L3013" s="54"/>
      <c r="M3013" s="55"/>
      <c r="O3013" s="54"/>
    </row>
    <row r="3014">
      <c r="A3014" s="115"/>
      <c r="B3014" s="54"/>
      <c r="C3014" s="54"/>
      <c r="D3014" s="54"/>
      <c r="E3014" s="54"/>
      <c r="F3014" s="118"/>
      <c r="G3014" s="54"/>
      <c r="H3014" s="54"/>
      <c r="I3014" s="54"/>
      <c r="J3014" s="54"/>
      <c r="K3014" s="54"/>
      <c r="L3014" s="54"/>
      <c r="M3014" s="55"/>
      <c r="O3014" s="54"/>
    </row>
    <row r="3015">
      <c r="A3015" s="115"/>
      <c r="B3015" s="54"/>
      <c r="C3015" s="54"/>
      <c r="D3015" s="54"/>
      <c r="E3015" s="54"/>
      <c r="F3015" s="118"/>
      <c r="G3015" s="54"/>
      <c r="H3015" s="54"/>
      <c r="I3015" s="54"/>
      <c r="J3015" s="54"/>
      <c r="K3015" s="54"/>
      <c r="L3015" s="54"/>
      <c r="M3015" s="55"/>
      <c r="O3015" s="54"/>
    </row>
    <row r="3016">
      <c r="A3016" s="115"/>
      <c r="B3016" s="54"/>
      <c r="C3016" s="54"/>
      <c r="D3016" s="54"/>
      <c r="E3016" s="54"/>
      <c r="F3016" s="118"/>
      <c r="G3016" s="54"/>
      <c r="H3016" s="54"/>
      <c r="I3016" s="54"/>
      <c r="J3016" s="54"/>
      <c r="K3016" s="54"/>
      <c r="L3016" s="54"/>
      <c r="M3016" s="55"/>
      <c r="O3016" s="54"/>
    </row>
    <row r="3017">
      <c r="A3017" s="115"/>
      <c r="B3017" s="54"/>
      <c r="C3017" s="54"/>
      <c r="D3017" s="54"/>
      <c r="E3017" s="54"/>
      <c r="F3017" s="118"/>
      <c r="G3017" s="54"/>
      <c r="H3017" s="54"/>
      <c r="I3017" s="54"/>
      <c r="J3017" s="54"/>
      <c r="K3017" s="54"/>
      <c r="L3017" s="54"/>
      <c r="M3017" s="55"/>
      <c r="O3017" s="54"/>
    </row>
    <row r="3018">
      <c r="A3018" s="115"/>
      <c r="B3018" s="54"/>
      <c r="C3018" s="54"/>
      <c r="D3018" s="54"/>
      <c r="E3018" s="54"/>
      <c r="F3018" s="118"/>
      <c r="G3018" s="54"/>
      <c r="H3018" s="54"/>
      <c r="I3018" s="54"/>
      <c r="J3018" s="54"/>
      <c r="K3018" s="54"/>
      <c r="L3018" s="54"/>
      <c r="M3018" s="55"/>
      <c r="O3018" s="54"/>
    </row>
    <row r="3019">
      <c r="A3019" s="115"/>
      <c r="B3019" s="54"/>
      <c r="C3019" s="54"/>
      <c r="D3019" s="54"/>
      <c r="E3019" s="54"/>
      <c r="F3019" s="118"/>
      <c r="G3019" s="54"/>
      <c r="H3019" s="54"/>
      <c r="I3019" s="54"/>
      <c r="J3019" s="54"/>
      <c r="K3019" s="54"/>
      <c r="L3019" s="54"/>
      <c r="M3019" s="55"/>
      <c r="O3019" s="54"/>
    </row>
    <row r="3020">
      <c r="A3020" s="115"/>
      <c r="B3020" s="54"/>
      <c r="C3020" s="54"/>
      <c r="D3020" s="54"/>
      <c r="E3020" s="54"/>
      <c r="F3020" s="118"/>
      <c r="G3020" s="54"/>
      <c r="H3020" s="54"/>
      <c r="I3020" s="54"/>
      <c r="J3020" s="54"/>
      <c r="K3020" s="54"/>
      <c r="L3020" s="54"/>
      <c r="M3020" s="55"/>
      <c r="O3020" s="54"/>
    </row>
    <row r="3021">
      <c r="A3021" s="115"/>
      <c r="B3021" s="54"/>
      <c r="C3021" s="54"/>
      <c r="D3021" s="54"/>
      <c r="E3021" s="54"/>
      <c r="F3021" s="118"/>
      <c r="G3021" s="54"/>
      <c r="H3021" s="54"/>
      <c r="I3021" s="54"/>
      <c r="J3021" s="54"/>
      <c r="K3021" s="54"/>
      <c r="L3021" s="54"/>
      <c r="M3021" s="55"/>
      <c r="O3021" s="54"/>
    </row>
    <row r="3022">
      <c r="A3022" s="115"/>
      <c r="B3022" s="54"/>
      <c r="C3022" s="54"/>
      <c r="D3022" s="54"/>
      <c r="E3022" s="54"/>
      <c r="F3022" s="118"/>
      <c r="G3022" s="54"/>
      <c r="H3022" s="54"/>
      <c r="I3022" s="54"/>
      <c r="J3022" s="54"/>
      <c r="K3022" s="54"/>
      <c r="L3022" s="54"/>
      <c r="M3022" s="55"/>
      <c r="O3022" s="54"/>
    </row>
    <row r="3023">
      <c r="A3023" s="115"/>
      <c r="B3023" s="54"/>
      <c r="C3023" s="54"/>
      <c r="D3023" s="54"/>
      <c r="E3023" s="54"/>
      <c r="F3023" s="118"/>
      <c r="G3023" s="54"/>
      <c r="H3023" s="54"/>
      <c r="I3023" s="54"/>
      <c r="J3023" s="54"/>
      <c r="K3023" s="54"/>
      <c r="L3023" s="54"/>
      <c r="M3023" s="55"/>
      <c r="O3023" s="54"/>
    </row>
    <row r="3024">
      <c r="A3024" s="115"/>
      <c r="B3024" s="54"/>
      <c r="C3024" s="54"/>
      <c r="D3024" s="54"/>
      <c r="E3024" s="54"/>
      <c r="F3024" s="118"/>
      <c r="G3024" s="54"/>
      <c r="H3024" s="54"/>
      <c r="I3024" s="54"/>
      <c r="J3024" s="54"/>
      <c r="K3024" s="54"/>
      <c r="L3024" s="54"/>
      <c r="M3024" s="55"/>
      <c r="O3024" s="54"/>
    </row>
    <row r="3025">
      <c r="A3025" s="115"/>
      <c r="B3025" s="54"/>
      <c r="C3025" s="54"/>
      <c r="D3025" s="54"/>
      <c r="E3025" s="54"/>
      <c r="F3025" s="118"/>
      <c r="G3025" s="54"/>
      <c r="H3025" s="54"/>
      <c r="I3025" s="54"/>
      <c r="J3025" s="54"/>
      <c r="K3025" s="54"/>
      <c r="L3025" s="54"/>
      <c r="M3025" s="55"/>
      <c r="O3025" s="54"/>
    </row>
    <row r="3026">
      <c r="A3026" s="115"/>
      <c r="B3026" s="54"/>
      <c r="C3026" s="54"/>
      <c r="D3026" s="54"/>
      <c r="E3026" s="54"/>
      <c r="F3026" s="118"/>
      <c r="G3026" s="54"/>
      <c r="H3026" s="54"/>
      <c r="I3026" s="54"/>
      <c r="J3026" s="54"/>
      <c r="K3026" s="54"/>
      <c r="L3026" s="54"/>
      <c r="M3026" s="55"/>
      <c r="O3026" s="54"/>
    </row>
    <row r="3027">
      <c r="A3027" s="115"/>
      <c r="B3027" s="54"/>
      <c r="C3027" s="54"/>
      <c r="D3027" s="54"/>
      <c r="E3027" s="54"/>
      <c r="F3027" s="118"/>
      <c r="G3027" s="54"/>
      <c r="H3027" s="54"/>
      <c r="I3027" s="54"/>
      <c r="J3027" s="54"/>
      <c r="K3027" s="54"/>
      <c r="L3027" s="54"/>
      <c r="M3027" s="55"/>
      <c r="O3027" s="54"/>
    </row>
    <row r="3028">
      <c r="A3028" s="115"/>
      <c r="B3028" s="54"/>
      <c r="C3028" s="54"/>
      <c r="D3028" s="54"/>
      <c r="E3028" s="54"/>
      <c r="F3028" s="118"/>
      <c r="G3028" s="54"/>
      <c r="H3028" s="54"/>
      <c r="I3028" s="54"/>
      <c r="J3028" s="54"/>
      <c r="K3028" s="54"/>
      <c r="L3028" s="54"/>
      <c r="M3028" s="55"/>
      <c r="O3028" s="54"/>
    </row>
    <row r="3029">
      <c r="A3029" s="115"/>
      <c r="B3029" s="54"/>
      <c r="C3029" s="54"/>
      <c r="D3029" s="54"/>
      <c r="E3029" s="54"/>
      <c r="F3029" s="118"/>
      <c r="G3029" s="54"/>
      <c r="H3029" s="54"/>
      <c r="I3029" s="54"/>
      <c r="J3029" s="54"/>
      <c r="K3029" s="54"/>
      <c r="L3029" s="54"/>
      <c r="M3029" s="55"/>
      <c r="O3029" s="54"/>
    </row>
    <row r="3030">
      <c r="A3030" s="115"/>
      <c r="B3030" s="54"/>
      <c r="C3030" s="54"/>
      <c r="D3030" s="54"/>
      <c r="E3030" s="54"/>
      <c r="F3030" s="118"/>
      <c r="G3030" s="54"/>
      <c r="H3030" s="54"/>
      <c r="I3030" s="54"/>
      <c r="J3030" s="54"/>
      <c r="K3030" s="54"/>
      <c r="L3030" s="54"/>
      <c r="M3030" s="55"/>
      <c r="O3030" s="54"/>
    </row>
    <row r="3031">
      <c r="A3031" s="115"/>
      <c r="B3031" s="54"/>
      <c r="C3031" s="54"/>
      <c r="D3031" s="54"/>
      <c r="E3031" s="54"/>
      <c r="F3031" s="118"/>
      <c r="G3031" s="54"/>
      <c r="H3031" s="54"/>
      <c r="I3031" s="54"/>
      <c r="J3031" s="54"/>
      <c r="K3031" s="54"/>
      <c r="L3031" s="54"/>
      <c r="M3031" s="55"/>
      <c r="O3031" s="54"/>
    </row>
    <row r="3032">
      <c r="A3032" s="115"/>
      <c r="B3032" s="54"/>
      <c r="C3032" s="54"/>
      <c r="D3032" s="54"/>
      <c r="E3032" s="54"/>
      <c r="F3032" s="118"/>
      <c r="G3032" s="54"/>
      <c r="H3032" s="54"/>
      <c r="I3032" s="54"/>
      <c r="J3032" s="54"/>
      <c r="K3032" s="54"/>
      <c r="L3032" s="54"/>
      <c r="M3032" s="55"/>
      <c r="O3032" s="54"/>
    </row>
    <row r="3033">
      <c r="A3033" s="115"/>
      <c r="B3033" s="54"/>
      <c r="C3033" s="54"/>
      <c r="D3033" s="54"/>
      <c r="E3033" s="54"/>
      <c r="F3033" s="118"/>
      <c r="G3033" s="54"/>
      <c r="H3033" s="54"/>
      <c r="I3033" s="54"/>
      <c r="J3033" s="54"/>
      <c r="K3033" s="54"/>
      <c r="L3033" s="54"/>
      <c r="M3033" s="55"/>
      <c r="O3033" s="54"/>
    </row>
    <row r="3034">
      <c r="A3034" s="115"/>
      <c r="B3034" s="54"/>
      <c r="C3034" s="54"/>
      <c r="D3034" s="54"/>
      <c r="E3034" s="54"/>
      <c r="F3034" s="118"/>
      <c r="G3034" s="54"/>
      <c r="H3034" s="54"/>
      <c r="I3034" s="54"/>
      <c r="J3034" s="54"/>
      <c r="K3034" s="54"/>
      <c r="L3034" s="54"/>
      <c r="M3034" s="55"/>
      <c r="O3034" s="54"/>
    </row>
    <row r="3035">
      <c r="A3035" s="115"/>
      <c r="B3035" s="54"/>
      <c r="C3035" s="54"/>
      <c r="D3035" s="54"/>
      <c r="E3035" s="54"/>
      <c r="F3035" s="118"/>
      <c r="G3035" s="54"/>
      <c r="H3035" s="54"/>
      <c r="I3035" s="54"/>
      <c r="J3035" s="54"/>
      <c r="K3035" s="54"/>
      <c r="L3035" s="54"/>
      <c r="M3035" s="55"/>
      <c r="O3035" s="54"/>
    </row>
    <row r="3036">
      <c r="A3036" s="115"/>
      <c r="B3036" s="54"/>
      <c r="C3036" s="54"/>
      <c r="D3036" s="54"/>
      <c r="E3036" s="54"/>
      <c r="F3036" s="118"/>
      <c r="G3036" s="54"/>
      <c r="H3036" s="54"/>
      <c r="I3036" s="54"/>
      <c r="J3036" s="54"/>
      <c r="K3036" s="54"/>
      <c r="L3036" s="54"/>
      <c r="M3036" s="55"/>
      <c r="O3036" s="54"/>
    </row>
    <row r="3037">
      <c r="A3037" s="115"/>
      <c r="B3037" s="54"/>
      <c r="C3037" s="54"/>
      <c r="D3037" s="54"/>
      <c r="E3037" s="54"/>
      <c r="F3037" s="118"/>
      <c r="G3037" s="54"/>
      <c r="H3037" s="54"/>
      <c r="I3037" s="54"/>
      <c r="J3037" s="54"/>
      <c r="K3037" s="54"/>
      <c r="L3037" s="54"/>
      <c r="M3037" s="55"/>
      <c r="O3037" s="54"/>
    </row>
    <row r="3038">
      <c r="A3038" s="115"/>
      <c r="B3038" s="54"/>
      <c r="C3038" s="54"/>
      <c r="D3038" s="54"/>
      <c r="E3038" s="54"/>
      <c r="F3038" s="118"/>
      <c r="G3038" s="54"/>
      <c r="H3038" s="54"/>
      <c r="I3038" s="54"/>
      <c r="J3038" s="54"/>
      <c r="K3038" s="54"/>
      <c r="L3038" s="54"/>
      <c r="M3038" s="55"/>
      <c r="O3038" s="54"/>
    </row>
    <row r="3039">
      <c r="A3039" s="115"/>
      <c r="B3039" s="54"/>
      <c r="C3039" s="54"/>
      <c r="D3039" s="54"/>
      <c r="E3039" s="54"/>
      <c r="F3039" s="118"/>
      <c r="G3039" s="54"/>
      <c r="H3039" s="54"/>
      <c r="I3039" s="54"/>
      <c r="J3039" s="54"/>
      <c r="K3039" s="54"/>
      <c r="L3039" s="54"/>
      <c r="M3039" s="55"/>
      <c r="O3039" s="54"/>
    </row>
    <row r="3040">
      <c r="A3040" s="115"/>
      <c r="B3040" s="54"/>
      <c r="C3040" s="54"/>
      <c r="D3040" s="54"/>
      <c r="E3040" s="54"/>
      <c r="F3040" s="118"/>
      <c r="G3040" s="54"/>
      <c r="H3040" s="54"/>
      <c r="I3040" s="54"/>
      <c r="J3040" s="54"/>
      <c r="K3040" s="54"/>
      <c r="L3040" s="54"/>
      <c r="M3040" s="55"/>
      <c r="O3040" s="54"/>
    </row>
    <row r="3041">
      <c r="A3041" s="115"/>
      <c r="B3041" s="54"/>
      <c r="C3041" s="54"/>
      <c r="D3041" s="54"/>
      <c r="E3041" s="54"/>
      <c r="F3041" s="118"/>
      <c r="G3041" s="54"/>
      <c r="H3041" s="54"/>
      <c r="I3041" s="54"/>
      <c r="J3041" s="54"/>
      <c r="K3041" s="54"/>
      <c r="L3041" s="54"/>
      <c r="M3041" s="55"/>
      <c r="O3041" s="54"/>
    </row>
    <row r="3042">
      <c r="A3042" s="115"/>
      <c r="B3042" s="54"/>
      <c r="C3042" s="54"/>
      <c r="D3042" s="54"/>
      <c r="E3042" s="54"/>
      <c r="F3042" s="118"/>
      <c r="G3042" s="54"/>
      <c r="H3042" s="54"/>
      <c r="I3042" s="54"/>
      <c r="J3042" s="54"/>
      <c r="K3042" s="54"/>
      <c r="L3042" s="54"/>
      <c r="M3042" s="55"/>
      <c r="O3042" s="54"/>
    </row>
    <row r="3043">
      <c r="A3043" s="115"/>
      <c r="B3043" s="54"/>
      <c r="C3043" s="54"/>
      <c r="D3043" s="54"/>
      <c r="E3043" s="54"/>
      <c r="F3043" s="118"/>
      <c r="G3043" s="54"/>
      <c r="H3043" s="54"/>
      <c r="I3043" s="54"/>
      <c r="J3043" s="54"/>
      <c r="K3043" s="54"/>
      <c r="L3043" s="54"/>
      <c r="M3043" s="55"/>
      <c r="O3043" s="54"/>
    </row>
    <row r="3044">
      <c r="A3044" s="115"/>
      <c r="B3044" s="54"/>
      <c r="C3044" s="54"/>
      <c r="D3044" s="54"/>
      <c r="E3044" s="54"/>
      <c r="F3044" s="118"/>
      <c r="G3044" s="54"/>
      <c r="H3044" s="54"/>
      <c r="I3044" s="54"/>
      <c r="J3044" s="54"/>
      <c r="K3044" s="54"/>
      <c r="L3044" s="54"/>
      <c r="M3044" s="55"/>
      <c r="O3044" s="54"/>
    </row>
    <row r="3045">
      <c r="A3045" s="115"/>
      <c r="B3045" s="54"/>
      <c r="C3045" s="54"/>
      <c r="D3045" s="54"/>
      <c r="E3045" s="54"/>
      <c r="F3045" s="118"/>
      <c r="G3045" s="54"/>
      <c r="H3045" s="54"/>
      <c r="I3045" s="54"/>
      <c r="J3045" s="54"/>
      <c r="K3045" s="54"/>
      <c r="L3045" s="54"/>
      <c r="M3045" s="55"/>
      <c r="O3045" s="54"/>
    </row>
    <row r="3046">
      <c r="A3046" s="115"/>
      <c r="B3046" s="54"/>
      <c r="C3046" s="54"/>
      <c r="D3046" s="54"/>
      <c r="E3046" s="54"/>
      <c r="F3046" s="118"/>
      <c r="G3046" s="54"/>
      <c r="H3046" s="54"/>
      <c r="I3046" s="54"/>
      <c r="J3046" s="54"/>
      <c r="K3046" s="54"/>
      <c r="L3046" s="54"/>
      <c r="M3046" s="55"/>
      <c r="O3046" s="54"/>
    </row>
    <row r="3047">
      <c r="A3047" s="115"/>
      <c r="B3047" s="54"/>
      <c r="C3047" s="54"/>
      <c r="D3047" s="54"/>
      <c r="E3047" s="54"/>
      <c r="F3047" s="118"/>
      <c r="G3047" s="54"/>
      <c r="H3047" s="54"/>
      <c r="I3047" s="54"/>
      <c r="J3047" s="54"/>
      <c r="K3047" s="54"/>
      <c r="L3047" s="54"/>
      <c r="M3047" s="55"/>
      <c r="O3047" s="54"/>
    </row>
    <row r="3048">
      <c r="A3048" s="115"/>
      <c r="B3048" s="54"/>
      <c r="C3048" s="54"/>
      <c r="D3048" s="54"/>
      <c r="E3048" s="54"/>
      <c r="F3048" s="118"/>
      <c r="G3048" s="54"/>
      <c r="H3048" s="54"/>
      <c r="I3048" s="54"/>
      <c r="J3048" s="54"/>
      <c r="K3048" s="54"/>
      <c r="L3048" s="54"/>
      <c r="M3048" s="55"/>
      <c r="O3048" s="54"/>
    </row>
    <row r="3049">
      <c r="A3049" s="115"/>
      <c r="B3049" s="54"/>
      <c r="C3049" s="54"/>
      <c r="D3049" s="54"/>
      <c r="E3049" s="54"/>
      <c r="F3049" s="118"/>
      <c r="G3049" s="54"/>
      <c r="H3049" s="54"/>
      <c r="I3049" s="54"/>
      <c r="J3049" s="54"/>
      <c r="K3049" s="54"/>
      <c r="L3049" s="54"/>
      <c r="M3049" s="55"/>
      <c r="O3049" s="54"/>
    </row>
    <row r="3050">
      <c r="A3050" s="115"/>
      <c r="B3050" s="54"/>
      <c r="C3050" s="54"/>
      <c r="D3050" s="54"/>
      <c r="E3050" s="54"/>
      <c r="F3050" s="118"/>
      <c r="G3050" s="54"/>
      <c r="H3050" s="54"/>
      <c r="I3050" s="54"/>
      <c r="J3050" s="54"/>
      <c r="K3050" s="54"/>
      <c r="L3050" s="54"/>
      <c r="M3050" s="55"/>
      <c r="O3050" s="54"/>
    </row>
    <row r="3051">
      <c r="A3051" s="115"/>
      <c r="B3051" s="54"/>
      <c r="C3051" s="54"/>
      <c r="D3051" s="54"/>
      <c r="E3051" s="54"/>
      <c r="F3051" s="118"/>
      <c r="G3051" s="54"/>
      <c r="H3051" s="54"/>
      <c r="I3051" s="54"/>
      <c r="J3051" s="54"/>
      <c r="K3051" s="54"/>
      <c r="L3051" s="54"/>
      <c r="M3051" s="55"/>
      <c r="O3051" s="54"/>
    </row>
    <row r="3052">
      <c r="A3052" s="115"/>
      <c r="B3052" s="54"/>
      <c r="C3052" s="54"/>
      <c r="D3052" s="54"/>
      <c r="E3052" s="54"/>
      <c r="F3052" s="118"/>
      <c r="G3052" s="54"/>
      <c r="H3052" s="54"/>
      <c r="I3052" s="54"/>
      <c r="J3052" s="54"/>
      <c r="K3052" s="54"/>
      <c r="L3052" s="54"/>
      <c r="M3052" s="55"/>
      <c r="O3052" s="54"/>
    </row>
    <row r="3053">
      <c r="A3053" s="115"/>
      <c r="B3053" s="54"/>
      <c r="C3053" s="54"/>
      <c r="D3053" s="54"/>
      <c r="E3053" s="54"/>
      <c r="F3053" s="118"/>
      <c r="G3053" s="54"/>
      <c r="H3053" s="54"/>
      <c r="I3053" s="54"/>
      <c r="J3053" s="54"/>
      <c r="K3053" s="54"/>
      <c r="L3053" s="54"/>
      <c r="M3053" s="55"/>
      <c r="O3053" s="54"/>
    </row>
    <row r="3054">
      <c r="A3054" s="115"/>
      <c r="B3054" s="54"/>
      <c r="C3054" s="54"/>
      <c r="D3054" s="54"/>
      <c r="E3054" s="54"/>
      <c r="F3054" s="118"/>
      <c r="G3054" s="54"/>
      <c r="H3054" s="54"/>
      <c r="I3054" s="54"/>
      <c r="J3054" s="54"/>
      <c r="K3054" s="54"/>
      <c r="L3054" s="54"/>
      <c r="M3054" s="55"/>
      <c r="O3054" s="54"/>
    </row>
    <row r="3055">
      <c r="A3055" s="115"/>
      <c r="B3055" s="54"/>
      <c r="C3055" s="54"/>
      <c r="D3055" s="54"/>
      <c r="E3055" s="54"/>
      <c r="F3055" s="118"/>
      <c r="G3055" s="54"/>
      <c r="H3055" s="54"/>
      <c r="I3055" s="54"/>
      <c r="J3055" s="54"/>
      <c r="K3055" s="54"/>
      <c r="L3055" s="54"/>
      <c r="M3055" s="55"/>
      <c r="O3055" s="54"/>
    </row>
    <row r="3056">
      <c r="A3056" s="115"/>
      <c r="B3056" s="54"/>
      <c r="C3056" s="54"/>
      <c r="D3056" s="54"/>
      <c r="E3056" s="54"/>
      <c r="F3056" s="118"/>
      <c r="G3056" s="54"/>
      <c r="H3056" s="54"/>
      <c r="I3056" s="54"/>
      <c r="J3056" s="54"/>
      <c r="K3056" s="54"/>
      <c r="L3056" s="54"/>
      <c r="M3056" s="55"/>
      <c r="O3056" s="54"/>
    </row>
    <row r="3057">
      <c r="A3057" s="115"/>
      <c r="B3057" s="54"/>
      <c r="C3057" s="54"/>
      <c r="D3057" s="54"/>
      <c r="E3057" s="54"/>
      <c r="F3057" s="118"/>
      <c r="G3057" s="54"/>
      <c r="H3057" s="54"/>
      <c r="I3057" s="54"/>
      <c r="J3057" s="54"/>
      <c r="K3057" s="54"/>
      <c r="L3057" s="54"/>
      <c r="M3057" s="55"/>
      <c r="O3057" s="54"/>
    </row>
    <row r="3058">
      <c r="A3058" s="115"/>
      <c r="B3058" s="54"/>
      <c r="C3058" s="54"/>
      <c r="D3058" s="54"/>
      <c r="E3058" s="54"/>
      <c r="F3058" s="118"/>
      <c r="G3058" s="54"/>
      <c r="H3058" s="54"/>
      <c r="I3058" s="54"/>
      <c r="J3058" s="54"/>
      <c r="K3058" s="54"/>
      <c r="L3058" s="54"/>
      <c r="M3058" s="55"/>
      <c r="O3058" s="54"/>
    </row>
    <row r="3059">
      <c r="A3059" s="115"/>
      <c r="B3059" s="54"/>
      <c r="C3059" s="54"/>
      <c r="D3059" s="54"/>
      <c r="E3059" s="54"/>
      <c r="F3059" s="118"/>
      <c r="G3059" s="54"/>
      <c r="H3059" s="54"/>
      <c r="I3059" s="54"/>
      <c r="J3059" s="54"/>
      <c r="K3059" s="54"/>
      <c r="L3059" s="54"/>
      <c r="M3059" s="55"/>
      <c r="O3059" s="54"/>
    </row>
    <row r="3060">
      <c r="A3060" s="115"/>
      <c r="B3060" s="54"/>
      <c r="C3060" s="54"/>
      <c r="D3060" s="54"/>
      <c r="E3060" s="54"/>
      <c r="F3060" s="118"/>
      <c r="G3060" s="54"/>
      <c r="H3060" s="54"/>
      <c r="I3060" s="54"/>
      <c r="J3060" s="54"/>
      <c r="K3060" s="54"/>
      <c r="L3060" s="54"/>
      <c r="M3060" s="55"/>
      <c r="O3060" s="54"/>
    </row>
    <row r="3061">
      <c r="A3061" s="115"/>
      <c r="B3061" s="54"/>
      <c r="C3061" s="54"/>
      <c r="D3061" s="54"/>
      <c r="E3061" s="54"/>
      <c r="F3061" s="118"/>
      <c r="G3061" s="54"/>
      <c r="H3061" s="54"/>
      <c r="I3061" s="54"/>
      <c r="J3061" s="54"/>
      <c r="K3061" s="54"/>
      <c r="L3061" s="54"/>
      <c r="M3061" s="55"/>
      <c r="O3061" s="54"/>
    </row>
    <row r="3062">
      <c r="A3062" s="115"/>
      <c r="B3062" s="54"/>
      <c r="C3062" s="54"/>
      <c r="D3062" s="54"/>
      <c r="E3062" s="54"/>
      <c r="F3062" s="118"/>
      <c r="G3062" s="54"/>
      <c r="H3062" s="54"/>
      <c r="I3062" s="54"/>
      <c r="J3062" s="54"/>
      <c r="K3062" s="54"/>
      <c r="L3062" s="54"/>
      <c r="M3062" s="55"/>
      <c r="O3062" s="54"/>
    </row>
    <row r="3063">
      <c r="A3063" s="115"/>
      <c r="B3063" s="54"/>
      <c r="C3063" s="54"/>
      <c r="D3063" s="54"/>
      <c r="E3063" s="54"/>
      <c r="F3063" s="118"/>
      <c r="G3063" s="54"/>
      <c r="H3063" s="54"/>
      <c r="I3063" s="54"/>
      <c r="J3063" s="54"/>
      <c r="K3063" s="54"/>
      <c r="L3063" s="54"/>
      <c r="M3063" s="55"/>
      <c r="O3063" s="54"/>
    </row>
    <row r="3064">
      <c r="A3064" s="115"/>
      <c r="B3064" s="54"/>
      <c r="C3064" s="54"/>
      <c r="D3064" s="54"/>
      <c r="E3064" s="54"/>
      <c r="F3064" s="118"/>
      <c r="G3064" s="54"/>
      <c r="H3064" s="54"/>
      <c r="I3064" s="54"/>
      <c r="J3064" s="54"/>
      <c r="K3064" s="54"/>
      <c r="L3064" s="54"/>
      <c r="M3064" s="55"/>
      <c r="O3064" s="54"/>
    </row>
    <row r="3065">
      <c r="A3065" s="115"/>
      <c r="B3065" s="54"/>
      <c r="C3065" s="54"/>
      <c r="D3065" s="54"/>
      <c r="E3065" s="54"/>
      <c r="F3065" s="118"/>
      <c r="G3065" s="54"/>
      <c r="H3065" s="54"/>
      <c r="I3065" s="54"/>
      <c r="J3065" s="54"/>
      <c r="K3065" s="54"/>
      <c r="L3065" s="54"/>
      <c r="M3065" s="55"/>
      <c r="O3065" s="54"/>
    </row>
    <row r="3066">
      <c r="A3066" s="115"/>
      <c r="B3066" s="54"/>
      <c r="C3066" s="54"/>
      <c r="D3066" s="54"/>
      <c r="E3066" s="54"/>
      <c r="F3066" s="118"/>
      <c r="G3066" s="54"/>
      <c r="H3066" s="54"/>
      <c r="I3066" s="54"/>
      <c r="J3066" s="54"/>
      <c r="K3066" s="54"/>
      <c r="L3066" s="54"/>
      <c r="M3066" s="55"/>
      <c r="O3066" s="54"/>
    </row>
    <row r="3067">
      <c r="A3067" s="115"/>
      <c r="B3067" s="54"/>
      <c r="C3067" s="54"/>
      <c r="D3067" s="54"/>
      <c r="E3067" s="54"/>
      <c r="F3067" s="118"/>
      <c r="G3067" s="54"/>
      <c r="H3067" s="54"/>
      <c r="I3067" s="54"/>
      <c r="J3067" s="54"/>
      <c r="K3067" s="54"/>
      <c r="L3067" s="54"/>
      <c r="M3067" s="55"/>
      <c r="O3067" s="54"/>
    </row>
    <row r="3068">
      <c r="A3068" s="115"/>
      <c r="B3068" s="54"/>
      <c r="C3068" s="54"/>
      <c r="D3068" s="54"/>
      <c r="E3068" s="54"/>
      <c r="F3068" s="118"/>
      <c r="G3068" s="54"/>
      <c r="H3068" s="54"/>
      <c r="I3068" s="54"/>
      <c r="J3068" s="54"/>
      <c r="K3068" s="54"/>
      <c r="L3068" s="54"/>
      <c r="M3068" s="55"/>
      <c r="O3068" s="54"/>
    </row>
    <row r="3069">
      <c r="A3069" s="115"/>
      <c r="B3069" s="54"/>
      <c r="C3069" s="54"/>
      <c r="D3069" s="54"/>
      <c r="E3069" s="54"/>
      <c r="F3069" s="118"/>
      <c r="G3069" s="54"/>
      <c r="H3069" s="54"/>
      <c r="I3069" s="54"/>
      <c r="J3069" s="54"/>
      <c r="K3069" s="54"/>
      <c r="L3069" s="54"/>
      <c r="M3069" s="55"/>
      <c r="O3069" s="54"/>
    </row>
    <row r="3070">
      <c r="A3070" s="115"/>
      <c r="B3070" s="54"/>
      <c r="C3070" s="54"/>
      <c r="D3070" s="54"/>
      <c r="E3070" s="54"/>
      <c r="F3070" s="118"/>
      <c r="G3070" s="54"/>
      <c r="H3070" s="54"/>
      <c r="I3070" s="54"/>
      <c r="J3070" s="54"/>
      <c r="K3070" s="54"/>
      <c r="L3070" s="54"/>
      <c r="M3070" s="55"/>
      <c r="O3070" s="54"/>
    </row>
    <row r="3071">
      <c r="A3071" s="115"/>
      <c r="B3071" s="54"/>
      <c r="C3071" s="54"/>
      <c r="D3071" s="54"/>
      <c r="E3071" s="54"/>
      <c r="F3071" s="118"/>
      <c r="G3071" s="54"/>
      <c r="H3071" s="54"/>
      <c r="I3071" s="54"/>
      <c r="J3071" s="54"/>
      <c r="K3071" s="54"/>
      <c r="L3071" s="54"/>
      <c r="M3071" s="55"/>
      <c r="O3071" s="54"/>
    </row>
    <row r="3072">
      <c r="A3072" s="115"/>
      <c r="B3072" s="54"/>
      <c r="C3072" s="54"/>
      <c r="D3072" s="54"/>
      <c r="E3072" s="54"/>
      <c r="F3072" s="118"/>
      <c r="G3072" s="54"/>
      <c r="H3072" s="54"/>
      <c r="I3072" s="54"/>
      <c r="J3072" s="54"/>
      <c r="K3072" s="54"/>
      <c r="L3072" s="54"/>
      <c r="M3072" s="55"/>
      <c r="O3072" s="54"/>
    </row>
    <row r="3073">
      <c r="A3073" s="115"/>
      <c r="B3073" s="54"/>
      <c r="C3073" s="54"/>
      <c r="D3073" s="54"/>
      <c r="E3073" s="54"/>
      <c r="F3073" s="118"/>
      <c r="G3073" s="54"/>
      <c r="H3073" s="54"/>
      <c r="I3073" s="54"/>
      <c r="J3073" s="54"/>
      <c r="K3073" s="54"/>
      <c r="L3073" s="54"/>
      <c r="M3073" s="55"/>
      <c r="O3073" s="54"/>
    </row>
    <row r="3074">
      <c r="A3074" s="115"/>
      <c r="B3074" s="54"/>
      <c r="C3074" s="54"/>
      <c r="D3074" s="54"/>
      <c r="E3074" s="54"/>
      <c r="F3074" s="118"/>
      <c r="G3074" s="54"/>
      <c r="H3074" s="54"/>
      <c r="I3074" s="54"/>
      <c r="J3074" s="54"/>
      <c r="K3074" s="54"/>
      <c r="L3074" s="54"/>
      <c r="M3074" s="55"/>
      <c r="O3074" s="54"/>
    </row>
    <row r="3075">
      <c r="A3075" s="115"/>
      <c r="B3075" s="54"/>
      <c r="C3075" s="54"/>
      <c r="D3075" s="54"/>
      <c r="E3075" s="54"/>
      <c r="F3075" s="118"/>
      <c r="G3075" s="54"/>
      <c r="H3075" s="54"/>
      <c r="I3075" s="54"/>
      <c r="J3075" s="54"/>
      <c r="K3075" s="54"/>
      <c r="L3075" s="54"/>
      <c r="M3075" s="55"/>
      <c r="O3075" s="54"/>
    </row>
    <row r="3076">
      <c r="A3076" s="115"/>
      <c r="B3076" s="54"/>
      <c r="C3076" s="54"/>
      <c r="D3076" s="54"/>
      <c r="E3076" s="54"/>
      <c r="F3076" s="118"/>
      <c r="G3076" s="54"/>
      <c r="H3076" s="54"/>
      <c r="I3076" s="54"/>
      <c r="J3076" s="54"/>
      <c r="K3076" s="54"/>
      <c r="L3076" s="54"/>
      <c r="M3076" s="55"/>
      <c r="O3076" s="54"/>
    </row>
    <row r="3077">
      <c r="A3077" s="115"/>
      <c r="B3077" s="54"/>
      <c r="C3077" s="54"/>
      <c r="D3077" s="54"/>
      <c r="E3077" s="54"/>
      <c r="F3077" s="118"/>
      <c r="G3077" s="54"/>
      <c r="H3077" s="54"/>
      <c r="I3077" s="54"/>
      <c r="J3077" s="54"/>
      <c r="K3077" s="54"/>
      <c r="L3077" s="54"/>
      <c r="M3077" s="55"/>
      <c r="O3077" s="54"/>
    </row>
    <row r="3078">
      <c r="A3078" s="115"/>
      <c r="B3078" s="54"/>
      <c r="C3078" s="54"/>
      <c r="D3078" s="54"/>
      <c r="E3078" s="54"/>
      <c r="F3078" s="118"/>
      <c r="G3078" s="54"/>
      <c r="H3078" s="54"/>
      <c r="I3078" s="54"/>
      <c r="J3078" s="54"/>
      <c r="K3078" s="54"/>
      <c r="L3078" s="54"/>
      <c r="M3078" s="55"/>
      <c r="O3078" s="54"/>
    </row>
    <row r="3079">
      <c r="A3079" s="115"/>
      <c r="B3079" s="54"/>
      <c r="C3079" s="54"/>
      <c r="D3079" s="54"/>
      <c r="E3079" s="54"/>
      <c r="F3079" s="118"/>
      <c r="G3079" s="54"/>
      <c r="H3079" s="54"/>
      <c r="I3079" s="54"/>
      <c r="J3079" s="54"/>
      <c r="K3079" s="54"/>
      <c r="L3079" s="54"/>
      <c r="M3079" s="55"/>
      <c r="O3079" s="54"/>
    </row>
    <row r="3080">
      <c r="A3080" s="115"/>
      <c r="B3080" s="54"/>
      <c r="C3080" s="54"/>
      <c r="D3080" s="54"/>
      <c r="E3080" s="54"/>
      <c r="F3080" s="118"/>
      <c r="G3080" s="54"/>
      <c r="H3080" s="54"/>
      <c r="I3080" s="54"/>
      <c r="J3080" s="54"/>
      <c r="K3080" s="54"/>
      <c r="L3080" s="54"/>
      <c r="M3080" s="55"/>
      <c r="O3080" s="54"/>
    </row>
    <row r="3081">
      <c r="A3081" s="115"/>
      <c r="B3081" s="54"/>
      <c r="C3081" s="54"/>
      <c r="D3081" s="54"/>
      <c r="E3081" s="54"/>
      <c r="F3081" s="118"/>
      <c r="G3081" s="54"/>
      <c r="H3081" s="54"/>
      <c r="I3081" s="54"/>
      <c r="J3081" s="54"/>
      <c r="K3081" s="54"/>
      <c r="L3081" s="54"/>
      <c r="M3081" s="55"/>
      <c r="O3081" s="54"/>
    </row>
    <row r="3082">
      <c r="A3082" s="115"/>
      <c r="B3082" s="54"/>
      <c r="C3082" s="54"/>
      <c r="D3082" s="54"/>
      <c r="E3082" s="54"/>
      <c r="F3082" s="118"/>
      <c r="G3082" s="54"/>
      <c r="H3082" s="54"/>
      <c r="I3082" s="54"/>
      <c r="J3082" s="54"/>
      <c r="K3082" s="54"/>
      <c r="L3082" s="54"/>
      <c r="M3082" s="55"/>
      <c r="O3082" s="54"/>
    </row>
    <row r="3083">
      <c r="A3083" s="115"/>
      <c r="B3083" s="54"/>
      <c r="C3083" s="54"/>
      <c r="D3083" s="54"/>
      <c r="E3083" s="54"/>
      <c r="F3083" s="118"/>
      <c r="G3083" s="54"/>
      <c r="H3083" s="54"/>
      <c r="I3083" s="54"/>
      <c r="J3083" s="54"/>
      <c r="K3083" s="54"/>
      <c r="L3083" s="54"/>
      <c r="M3083" s="55"/>
      <c r="O3083" s="54"/>
    </row>
    <row r="3084">
      <c r="A3084" s="115"/>
      <c r="B3084" s="54"/>
      <c r="C3084" s="54"/>
      <c r="D3084" s="54"/>
      <c r="E3084" s="54"/>
      <c r="F3084" s="118"/>
      <c r="G3084" s="54"/>
      <c r="H3084" s="54"/>
      <c r="I3084" s="54"/>
      <c r="J3084" s="54"/>
      <c r="K3084" s="54"/>
      <c r="L3084" s="54"/>
      <c r="M3084" s="55"/>
      <c r="O3084" s="54"/>
    </row>
    <row r="3085">
      <c r="A3085" s="115"/>
      <c r="B3085" s="54"/>
      <c r="C3085" s="54"/>
      <c r="D3085" s="54"/>
      <c r="E3085" s="54"/>
      <c r="F3085" s="118"/>
      <c r="G3085" s="54"/>
      <c r="H3085" s="54"/>
      <c r="I3085" s="54"/>
      <c r="J3085" s="54"/>
      <c r="K3085" s="54"/>
      <c r="L3085" s="54"/>
      <c r="M3085" s="55"/>
      <c r="O3085" s="54"/>
    </row>
    <row r="3086">
      <c r="A3086" s="115"/>
      <c r="B3086" s="54"/>
      <c r="C3086" s="54"/>
      <c r="D3086" s="54"/>
      <c r="E3086" s="54"/>
      <c r="F3086" s="118"/>
      <c r="G3086" s="54"/>
      <c r="H3086" s="54"/>
      <c r="I3086" s="54"/>
      <c r="J3086" s="54"/>
      <c r="K3086" s="54"/>
      <c r="L3086" s="54"/>
      <c r="M3086" s="55"/>
      <c r="O3086" s="54"/>
    </row>
    <row r="3087">
      <c r="A3087" s="115"/>
      <c r="B3087" s="54"/>
      <c r="C3087" s="54"/>
      <c r="D3087" s="54"/>
      <c r="E3087" s="54"/>
      <c r="F3087" s="118"/>
      <c r="G3087" s="54"/>
      <c r="H3087" s="54"/>
      <c r="I3087" s="54"/>
      <c r="J3087" s="54"/>
      <c r="K3087" s="54"/>
      <c r="L3087" s="54"/>
      <c r="M3087" s="55"/>
      <c r="O3087" s="54"/>
    </row>
    <row r="3088">
      <c r="A3088" s="115"/>
      <c r="B3088" s="54"/>
      <c r="C3088" s="54"/>
      <c r="D3088" s="54"/>
      <c r="E3088" s="54"/>
      <c r="F3088" s="118"/>
      <c r="G3088" s="54"/>
      <c r="H3088" s="54"/>
      <c r="I3088" s="54"/>
      <c r="J3088" s="54"/>
      <c r="K3088" s="54"/>
      <c r="L3088" s="54"/>
      <c r="M3088" s="55"/>
      <c r="O3088" s="54"/>
    </row>
    <row r="3089">
      <c r="A3089" s="115"/>
      <c r="B3089" s="54"/>
      <c r="C3089" s="54"/>
      <c r="D3089" s="54"/>
      <c r="E3089" s="54"/>
      <c r="F3089" s="118"/>
      <c r="G3089" s="54"/>
      <c r="H3089" s="54"/>
      <c r="I3089" s="54"/>
      <c r="J3089" s="54"/>
      <c r="K3089" s="54"/>
      <c r="L3089" s="54"/>
      <c r="M3089" s="55"/>
      <c r="O3089" s="54"/>
    </row>
    <row r="3090">
      <c r="A3090" s="115"/>
      <c r="B3090" s="54"/>
      <c r="C3090" s="54"/>
      <c r="D3090" s="54"/>
      <c r="E3090" s="54"/>
      <c r="F3090" s="118"/>
      <c r="G3090" s="54"/>
      <c r="H3090" s="54"/>
      <c r="I3090" s="54"/>
      <c r="J3090" s="54"/>
      <c r="K3090" s="54"/>
      <c r="L3090" s="54"/>
      <c r="M3090" s="55"/>
      <c r="O3090" s="54"/>
    </row>
    <row r="3091">
      <c r="A3091" s="115"/>
      <c r="B3091" s="54"/>
      <c r="C3091" s="54"/>
      <c r="D3091" s="54"/>
      <c r="E3091" s="54"/>
      <c r="F3091" s="118"/>
      <c r="G3091" s="54"/>
      <c r="H3091" s="54"/>
      <c r="I3091" s="54"/>
      <c r="J3091" s="54"/>
      <c r="K3091" s="54"/>
      <c r="L3091" s="54"/>
      <c r="M3091" s="55"/>
      <c r="O3091" s="54"/>
    </row>
    <row r="3092">
      <c r="A3092" s="115"/>
      <c r="B3092" s="54"/>
      <c r="C3092" s="54"/>
      <c r="D3092" s="54"/>
      <c r="E3092" s="54"/>
      <c r="F3092" s="118"/>
      <c r="G3092" s="54"/>
      <c r="H3092" s="54"/>
      <c r="I3092" s="54"/>
      <c r="J3092" s="54"/>
      <c r="K3092" s="54"/>
      <c r="L3092" s="54"/>
      <c r="M3092" s="55"/>
      <c r="O3092" s="54"/>
    </row>
    <row r="3093">
      <c r="A3093" s="115"/>
      <c r="B3093" s="54"/>
      <c r="C3093" s="54"/>
      <c r="D3093" s="54"/>
      <c r="E3093" s="54"/>
      <c r="F3093" s="118"/>
      <c r="G3093" s="54"/>
      <c r="H3093" s="54"/>
      <c r="I3093" s="54"/>
      <c r="J3093" s="54"/>
      <c r="K3093" s="54"/>
      <c r="L3093" s="54"/>
      <c r="M3093" s="55"/>
      <c r="O3093" s="54"/>
    </row>
    <row r="3094">
      <c r="A3094" s="115"/>
      <c r="B3094" s="54"/>
      <c r="C3094" s="54"/>
      <c r="D3094" s="54"/>
      <c r="E3094" s="54"/>
      <c r="F3094" s="118"/>
      <c r="G3094" s="54"/>
      <c r="H3094" s="54"/>
      <c r="I3094" s="54"/>
      <c r="J3094" s="54"/>
      <c r="K3094" s="54"/>
      <c r="L3094" s="54"/>
      <c r="M3094" s="55"/>
      <c r="O3094" s="54"/>
    </row>
    <row r="3095">
      <c r="A3095" s="115"/>
      <c r="B3095" s="54"/>
      <c r="C3095" s="54"/>
      <c r="D3095" s="54"/>
      <c r="E3095" s="54"/>
      <c r="F3095" s="118"/>
      <c r="G3095" s="54"/>
      <c r="H3095" s="54"/>
      <c r="I3095" s="54"/>
      <c r="J3095" s="54"/>
      <c r="K3095" s="54"/>
      <c r="L3095" s="54"/>
      <c r="M3095" s="55"/>
      <c r="O3095" s="54"/>
    </row>
    <row r="3096">
      <c r="A3096" s="115"/>
      <c r="B3096" s="54"/>
      <c r="C3096" s="54"/>
      <c r="D3096" s="54"/>
      <c r="E3096" s="54"/>
      <c r="F3096" s="118"/>
      <c r="G3096" s="54"/>
      <c r="H3096" s="54"/>
      <c r="I3096" s="54"/>
      <c r="J3096" s="54"/>
      <c r="K3096" s="54"/>
      <c r="L3096" s="54"/>
      <c r="M3096" s="55"/>
      <c r="O3096" s="54"/>
    </row>
    <row r="3097">
      <c r="A3097" s="115"/>
      <c r="B3097" s="54"/>
      <c r="C3097" s="54"/>
      <c r="D3097" s="54"/>
      <c r="E3097" s="54"/>
      <c r="F3097" s="118"/>
      <c r="G3097" s="54"/>
      <c r="H3097" s="54"/>
      <c r="I3097" s="54"/>
      <c r="J3097" s="54"/>
      <c r="K3097" s="54"/>
      <c r="L3097" s="54"/>
      <c r="M3097" s="55"/>
      <c r="O3097" s="54"/>
    </row>
    <row r="3098">
      <c r="A3098" s="115"/>
      <c r="B3098" s="54"/>
      <c r="C3098" s="54"/>
      <c r="D3098" s="54"/>
      <c r="E3098" s="54"/>
      <c r="F3098" s="118"/>
      <c r="G3098" s="54"/>
      <c r="H3098" s="54"/>
      <c r="I3098" s="54"/>
      <c r="J3098" s="54"/>
      <c r="K3098" s="54"/>
      <c r="L3098" s="54"/>
      <c r="M3098" s="55"/>
      <c r="O3098" s="54"/>
    </row>
    <row r="3099">
      <c r="A3099" s="115"/>
      <c r="B3099" s="54"/>
      <c r="C3099" s="54"/>
      <c r="D3099" s="54"/>
      <c r="E3099" s="54"/>
      <c r="F3099" s="118"/>
      <c r="G3099" s="54"/>
      <c r="H3099" s="54"/>
      <c r="I3099" s="54"/>
      <c r="J3099" s="54"/>
      <c r="K3099" s="54"/>
      <c r="L3099" s="54"/>
      <c r="M3099" s="55"/>
      <c r="O3099" s="54"/>
    </row>
    <row r="3100">
      <c r="A3100" s="115"/>
      <c r="B3100" s="54"/>
      <c r="C3100" s="54"/>
      <c r="D3100" s="54"/>
      <c r="E3100" s="54"/>
      <c r="F3100" s="118"/>
      <c r="G3100" s="54"/>
      <c r="H3100" s="54"/>
      <c r="I3100" s="54"/>
      <c r="J3100" s="54"/>
      <c r="K3100" s="54"/>
      <c r="L3100" s="54"/>
      <c r="M3100" s="55"/>
      <c r="O3100" s="54"/>
    </row>
    <row r="3101">
      <c r="A3101" s="115"/>
      <c r="B3101" s="54"/>
      <c r="C3101" s="54"/>
      <c r="D3101" s="54"/>
      <c r="E3101" s="54"/>
      <c r="F3101" s="118"/>
      <c r="G3101" s="54"/>
      <c r="H3101" s="54"/>
      <c r="I3101" s="54"/>
      <c r="J3101" s="54"/>
      <c r="K3101" s="54"/>
      <c r="L3101" s="54"/>
      <c r="M3101" s="55"/>
      <c r="O3101" s="54"/>
    </row>
    <row r="3102">
      <c r="A3102" s="115"/>
      <c r="B3102" s="54"/>
      <c r="C3102" s="54"/>
      <c r="D3102" s="54"/>
      <c r="E3102" s="54"/>
      <c r="F3102" s="118"/>
      <c r="G3102" s="54"/>
      <c r="H3102" s="54"/>
      <c r="I3102" s="54"/>
      <c r="J3102" s="54"/>
      <c r="K3102" s="54"/>
      <c r="L3102" s="54"/>
      <c r="M3102" s="55"/>
      <c r="O3102" s="54"/>
    </row>
    <row r="3103">
      <c r="A3103" s="115"/>
      <c r="B3103" s="54"/>
      <c r="C3103" s="54"/>
      <c r="D3103" s="54"/>
      <c r="E3103" s="54"/>
      <c r="F3103" s="118"/>
      <c r="G3103" s="54"/>
      <c r="H3103" s="54"/>
      <c r="I3103" s="54"/>
      <c r="J3103" s="54"/>
      <c r="K3103" s="54"/>
      <c r="L3103" s="54"/>
      <c r="M3103" s="55"/>
      <c r="O3103" s="54"/>
    </row>
    <row r="3104">
      <c r="A3104" s="115"/>
      <c r="B3104" s="54"/>
      <c r="C3104" s="54"/>
      <c r="D3104" s="54"/>
      <c r="E3104" s="54"/>
      <c r="F3104" s="118"/>
      <c r="G3104" s="54"/>
      <c r="H3104" s="54"/>
      <c r="I3104" s="54"/>
      <c r="J3104" s="54"/>
      <c r="K3104" s="54"/>
      <c r="L3104" s="54"/>
      <c r="M3104" s="55"/>
      <c r="O3104" s="54"/>
    </row>
    <row r="3105">
      <c r="A3105" s="115"/>
      <c r="B3105" s="54"/>
      <c r="C3105" s="54"/>
      <c r="D3105" s="54"/>
      <c r="E3105" s="54"/>
      <c r="F3105" s="118"/>
      <c r="G3105" s="54"/>
      <c r="H3105" s="54"/>
      <c r="I3105" s="54"/>
      <c r="J3105" s="54"/>
      <c r="K3105" s="54"/>
      <c r="L3105" s="54"/>
      <c r="M3105" s="55"/>
      <c r="O3105" s="54"/>
    </row>
    <row r="3106">
      <c r="A3106" s="115"/>
      <c r="B3106" s="54"/>
      <c r="C3106" s="54"/>
      <c r="D3106" s="54"/>
      <c r="E3106" s="54"/>
      <c r="F3106" s="118"/>
      <c r="G3106" s="54"/>
      <c r="H3106" s="54"/>
      <c r="I3106" s="54"/>
      <c r="J3106" s="54"/>
      <c r="K3106" s="54"/>
      <c r="L3106" s="54"/>
      <c r="M3106" s="55"/>
      <c r="O3106" s="54"/>
    </row>
    <row r="3107">
      <c r="A3107" s="115"/>
      <c r="B3107" s="54"/>
      <c r="C3107" s="54"/>
      <c r="D3107" s="54"/>
      <c r="E3107" s="54"/>
      <c r="F3107" s="118"/>
      <c r="G3107" s="54"/>
      <c r="H3107" s="54"/>
      <c r="I3107" s="54"/>
      <c r="J3107" s="54"/>
      <c r="K3107" s="54"/>
      <c r="L3107" s="54"/>
      <c r="M3107" s="55"/>
      <c r="O3107" s="54"/>
    </row>
    <row r="3108">
      <c r="A3108" s="115"/>
      <c r="B3108" s="54"/>
      <c r="C3108" s="54"/>
      <c r="D3108" s="54"/>
      <c r="E3108" s="54"/>
      <c r="F3108" s="118"/>
      <c r="G3108" s="54"/>
      <c r="H3108" s="54"/>
      <c r="I3108" s="54"/>
      <c r="J3108" s="54"/>
      <c r="K3108" s="54"/>
      <c r="L3108" s="54"/>
      <c r="M3108" s="55"/>
      <c r="O3108" s="54"/>
    </row>
    <row r="3109">
      <c r="A3109" s="115"/>
      <c r="B3109" s="54"/>
      <c r="C3109" s="54"/>
      <c r="D3109" s="54"/>
      <c r="E3109" s="54"/>
      <c r="F3109" s="118"/>
      <c r="G3109" s="54"/>
      <c r="H3109" s="54"/>
      <c r="I3109" s="54"/>
      <c r="J3109" s="54"/>
      <c r="K3109" s="54"/>
      <c r="L3109" s="54"/>
      <c r="M3109" s="55"/>
      <c r="O3109" s="54"/>
    </row>
    <row r="3110">
      <c r="A3110" s="115"/>
      <c r="B3110" s="54"/>
      <c r="C3110" s="54"/>
      <c r="D3110" s="54"/>
      <c r="E3110" s="54"/>
      <c r="F3110" s="118"/>
      <c r="G3110" s="54"/>
      <c r="H3110" s="54"/>
      <c r="I3110" s="54"/>
      <c r="J3110" s="54"/>
      <c r="K3110" s="54"/>
      <c r="L3110" s="54"/>
      <c r="M3110" s="55"/>
      <c r="O3110" s="54"/>
    </row>
    <row r="3111">
      <c r="A3111" s="115"/>
      <c r="B3111" s="54"/>
      <c r="C3111" s="54"/>
      <c r="D3111" s="54"/>
      <c r="E3111" s="54"/>
      <c r="F3111" s="118"/>
      <c r="G3111" s="54"/>
      <c r="H3111" s="54"/>
      <c r="I3111" s="54"/>
      <c r="J3111" s="54"/>
      <c r="K3111" s="54"/>
      <c r="L3111" s="54"/>
      <c r="M3111" s="55"/>
      <c r="O3111" s="54"/>
    </row>
    <row r="3112">
      <c r="A3112" s="115"/>
      <c r="B3112" s="54"/>
      <c r="C3112" s="54"/>
      <c r="D3112" s="54"/>
      <c r="E3112" s="54"/>
      <c r="F3112" s="118"/>
      <c r="G3112" s="54"/>
      <c r="H3112" s="54"/>
      <c r="I3112" s="54"/>
      <c r="J3112" s="54"/>
      <c r="K3112" s="54"/>
      <c r="L3112" s="54"/>
      <c r="M3112" s="55"/>
      <c r="O3112" s="54"/>
    </row>
    <row r="3113">
      <c r="A3113" s="115"/>
      <c r="B3113" s="54"/>
      <c r="C3113" s="54"/>
      <c r="D3113" s="54"/>
      <c r="E3113" s="54"/>
      <c r="F3113" s="118"/>
      <c r="G3113" s="54"/>
      <c r="H3113" s="54"/>
      <c r="I3113" s="54"/>
      <c r="J3113" s="54"/>
      <c r="K3113" s="54"/>
      <c r="L3113" s="54"/>
      <c r="M3113" s="55"/>
      <c r="O3113" s="54"/>
    </row>
    <row r="3114">
      <c r="A3114" s="115"/>
      <c r="B3114" s="54"/>
      <c r="C3114" s="54"/>
      <c r="D3114" s="54"/>
      <c r="E3114" s="54"/>
      <c r="F3114" s="118"/>
      <c r="G3114" s="54"/>
      <c r="H3114" s="54"/>
      <c r="I3114" s="54"/>
      <c r="J3114" s="54"/>
      <c r="K3114" s="54"/>
      <c r="L3114" s="54"/>
      <c r="M3114" s="55"/>
      <c r="O3114" s="54"/>
    </row>
    <row r="3115">
      <c r="A3115" s="115"/>
      <c r="B3115" s="54"/>
      <c r="C3115" s="54"/>
      <c r="D3115" s="54"/>
      <c r="E3115" s="54"/>
      <c r="F3115" s="118"/>
      <c r="G3115" s="54"/>
      <c r="H3115" s="54"/>
      <c r="I3115" s="54"/>
      <c r="J3115" s="54"/>
      <c r="K3115" s="54"/>
      <c r="L3115" s="54"/>
      <c r="M3115" s="55"/>
      <c r="O3115" s="54"/>
    </row>
    <row r="3116">
      <c r="A3116" s="115"/>
      <c r="B3116" s="54"/>
      <c r="C3116" s="54"/>
      <c r="D3116" s="54"/>
      <c r="E3116" s="54"/>
      <c r="F3116" s="118"/>
      <c r="G3116" s="54"/>
      <c r="H3116" s="54"/>
      <c r="I3116" s="54"/>
      <c r="J3116" s="54"/>
      <c r="K3116" s="54"/>
      <c r="L3116" s="54"/>
      <c r="M3116" s="55"/>
      <c r="O3116" s="54"/>
    </row>
    <row r="3117">
      <c r="A3117" s="115"/>
      <c r="B3117" s="54"/>
      <c r="C3117" s="54"/>
      <c r="D3117" s="54"/>
      <c r="E3117" s="54"/>
      <c r="F3117" s="118"/>
      <c r="G3117" s="54"/>
      <c r="H3117" s="54"/>
      <c r="I3117" s="54"/>
      <c r="J3117" s="54"/>
      <c r="K3117" s="54"/>
      <c r="L3117" s="54"/>
      <c r="M3117" s="55"/>
      <c r="O3117" s="54"/>
    </row>
    <row r="3118">
      <c r="A3118" s="115"/>
      <c r="B3118" s="54"/>
      <c r="C3118" s="54"/>
      <c r="D3118" s="54"/>
      <c r="E3118" s="54"/>
      <c r="F3118" s="118"/>
      <c r="G3118" s="54"/>
      <c r="H3118" s="54"/>
      <c r="I3118" s="54"/>
      <c r="J3118" s="54"/>
      <c r="K3118" s="54"/>
      <c r="L3118" s="54"/>
      <c r="M3118" s="55"/>
      <c r="O3118" s="54"/>
    </row>
    <row r="3119">
      <c r="A3119" s="115"/>
      <c r="B3119" s="54"/>
      <c r="C3119" s="54"/>
      <c r="D3119" s="54"/>
      <c r="E3119" s="54"/>
      <c r="F3119" s="118"/>
      <c r="G3119" s="54"/>
      <c r="H3119" s="54"/>
      <c r="I3119" s="54"/>
      <c r="J3119" s="54"/>
      <c r="K3119" s="54"/>
      <c r="L3119" s="54"/>
      <c r="M3119" s="55"/>
      <c r="O3119" s="54"/>
    </row>
    <row r="3120">
      <c r="A3120" s="115"/>
      <c r="B3120" s="54"/>
      <c r="C3120" s="54"/>
      <c r="D3120" s="54"/>
      <c r="E3120" s="54"/>
      <c r="F3120" s="118"/>
      <c r="G3120" s="54"/>
      <c r="H3120" s="54"/>
      <c r="I3120" s="54"/>
      <c r="J3120" s="54"/>
      <c r="K3120" s="54"/>
      <c r="L3120" s="54"/>
      <c r="M3120" s="55"/>
      <c r="O3120" s="54"/>
    </row>
    <row r="3121">
      <c r="A3121" s="115"/>
      <c r="B3121" s="54"/>
      <c r="C3121" s="54"/>
      <c r="D3121" s="54"/>
      <c r="E3121" s="54"/>
      <c r="F3121" s="118"/>
      <c r="G3121" s="54"/>
      <c r="H3121" s="54"/>
      <c r="I3121" s="54"/>
      <c r="J3121" s="54"/>
      <c r="K3121" s="54"/>
      <c r="L3121" s="54"/>
      <c r="M3121" s="55"/>
      <c r="O3121" s="54"/>
    </row>
    <row r="3122">
      <c r="A3122" s="115"/>
      <c r="B3122" s="54"/>
      <c r="C3122" s="54"/>
      <c r="D3122" s="54"/>
      <c r="E3122" s="54"/>
      <c r="F3122" s="118"/>
      <c r="G3122" s="54"/>
      <c r="H3122" s="54"/>
      <c r="I3122" s="54"/>
      <c r="J3122" s="54"/>
      <c r="K3122" s="54"/>
      <c r="L3122" s="54"/>
      <c r="M3122" s="55"/>
      <c r="O3122" s="54"/>
    </row>
    <row r="3123">
      <c r="A3123" s="115"/>
      <c r="B3123" s="54"/>
      <c r="C3123" s="54"/>
      <c r="D3123" s="54"/>
      <c r="E3123" s="54"/>
      <c r="F3123" s="118"/>
      <c r="G3123" s="54"/>
      <c r="H3123" s="54"/>
      <c r="I3123" s="54"/>
      <c r="J3123" s="54"/>
      <c r="K3123" s="54"/>
      <c r="L3123" s="54"/>
      <c r="M3123" s="55"/>
      <c r="O3123" s="54"/>
    </row>
    <row r="3124">
      <c r="A3124" s="115"/>
      <c r="B3124" s="54"/>
      <c r="C3124" s="54"/>
      <c r="D3124" s="54"/>
      <c r="E3124" s="54"/>
      <c r="F3124" s="118"/>
      <c r="G3124" s="54"/>
      <c r="H3124" s="54"/>
      <c r="I3124" s="54"/>
      <c r="J3124" s="54"/>
      <c r="K3124" s="54"/>
      <c r="L3124" s="54"/>
      <c r="M3124" s="55"/>
      <c r="O3124" s="54"/>
    </row>
    <row r="3125">
      <c r="A3125" s="115"/>
      <c r="B3125" s="54"/>
      <c r="C3125" s="54"/>
      <c r="D3125" s="54"/>
      <c r="E3125" s="54"/>
      <c r="F3125" s="118"/>
      <c r="G3125" s="54"/>
      <c r="H3125" s="54"/>
      <c r="I3125" s="54"/>
      <c r="J3125" s="54"/>
      <c r="K3125" s="54"/>
      <c r="L3125" s="54"/>
      <c r="M3125" s="55"/>
      <c r="O3125" s="54"/>
    </row>
    <row r="3126">
      <c r="A3126" s="115"/>
      <c r="B3126" s="54"/>
      <c r="C3126" s="54"/>
      <c r="D3126" s="54"/>
      <c r="E3126" s="54"/>
      <c r="F3126" s="118"/>
      <c r="G3126" s="54"/>
      <c r="H3126" s="54"/>
      <c r="I3126" s="54"/>
      <c r="J3126" s="54"/>
      <c r="K3126" s="54"/>
      <c r="L3126" s="54"/>
      <c r="M3126" s="55"/>
      <c r="O3126" s="54"/>
    </row>
    <row r="3127">
      <c r="A3127" s="115"/>
      <c r="B3127" s="54"/>
      <c r="C3127" s="54"/>
      <c r="D3127" s="54"/>
      <c r="E3127" s="54"/>
      <c r="F3127" s="118"/>
      <c r="G3127" s="54"/>
      <c r="H3127" s="54"/>
      <c r="I3127" s="54"/>
      <c r="J3127" s="54"/>
      <c r="K3127" s="54"/>
      <c r="L3127" s="54"/>
      <c r="M3127" s="55"/>
      <c r="O3127" s="54"/>
    </row>
    <row r="3128">
      <c r="A3128" s="115"/>
      <c r="B3128" s="54"/>
      <c r="C3128" s="54"/>
      <c r="D3128" s="54"/>
      <c r="E3128" s="54"/>
      <c r="F3128" s="118"/>
      <c r="G3128" s="54"/>
      <c r="H3128" s="54"/>
      <c r="I3128" s="54"/>
      <c r="J3128" s="54"/>
      <c r="K3128" s="54"/>
      <c r="L3128" s="54"/>
      <c r="M3128" s="55"/>
      <c r="O3128" s="54"/>
    </row>
    <row r="3129">
      <c r="A3129" s="115"/>
      <c r="B3129" s="54"/>
      <c r="C3129" s="54"/>
      <c r="D3129" s="54"/>
      <c r="E3129" s="54"/>
      <c r="F3129" s="118"/>
      <c r="G3129" s="54"/>
      <c r="H3129" s="54"/>
      <c r="I3129" s="54"/>
      <c r="J3129" s="54"/>
      <c r="K3129" s="54"/>
      <c r="L3129" s="54"/>
      <c r="M3129" s="55"/>
      <c r="O3129" s="54"/>
    </row>
    <row r="3130">
      <c r="A3130" s="115"/>
      <c r="B3130" s="54"/>
      <c r="C3130" s="54"/>
      <c r="D3130" s="54"/>
      <c r="E3130" s="54"/>
      <c r="F3130" s="118"/>
      <c r="G3130" s="54"/>
      <c r="H3130" s="54"/>
      <c r="I3130" s="54"/>
      <c r="J3130" s="54"/>
      <c r="K3130" s="54"/>
      <c r="L3130" s="54"/>
      <c r="M3130" s="55"/>
      <c r="O3130" s="54"/>
    </row>
    <row r="3131">
      <c r="A3131" s="115"/>
      <c r="B3131" s="54"/>
      <c r="C3131" s="54"/>
      <c r="D3131" s="54"/>
      <c r="E3131" s="54"/>
      <c r="F3131" s="118"/>
      <c r="G3131" s="54"/>
      <c r="H3131" s="54"/>
      <c r="I3131" s="54"/>
      <c r="J3131" s="54"/>
      <c r="K3131" s="54"/>
      <c r="L3131" s="54"/>
      <c r="M3131" s="55"/>
      <c r="O3131" s="54"/>
    </row>
    <row r="3132">
      <c r="A3132" s="115"/>
      <c r="B3132" s="54"/>
      <c r="C3132" s="54"/>
      <c r="D3132" s="54"/>
      <c r="E3132" s="54"/>
      <c r="F3132" s="118"/>
      <c r="G3132" s="54"/>
      <c r="H3132" s="54"/>
      <c r="I3132" s="54"/>
      <c r="J3132" s="54"/>
      <c r="K3132" s="54"/>
      <c r="L3132" s="54"/>
      <c r="M3132" s="55"/>
      <c r="O3132" s="54"/>
    </row>
    <row r="3133">
      <c r="A3133" s="115"/>
      <c r="B3133" s="54"/>
      <c r="C3133" s="54"/>
      <c r="D3133" s="54"/>
      <c r="E3133" s="54"/>
      <c r="F3133" s="118"/>
      <c r="G3133" s="54"/>
      <c r="H3133" s="54"/>
      <c r="I3133" s="54"/>
      <c r="J3133" s="54"/>
      <c r="K3133" s="54"/>
      <c r="L3133" s="54"/>
      <c r="M3133" s="55"/>
      <c r="O3133" s="54"/>
    </row>
    <row r="3134">
      <c r="A3134" s="115"/>
      <c r="B3134" s="54"/>
      <c r="C3134" s="54"/>
      <c r="D3134" s="54"/>
      <c r="E3134" s="54"/>
      <c r="F3134" s="118"/>
      <c r="G3134" s="54"/>
      <c r="H3134" s="54"/>
      <c r="I3134" s="54"/>
      <c r="J3134" s="54"/>
      <c r="K3134" s="54"/>
      <c r="L3134" s="54"/>
      <c r="M3134" s="55"/>
      <c r="O3134" s="54"/>
    </row>
    <row r="3135">
      <c r="A3135" s="115"/>
      <c r="B3135" s="54"/>
      <c r="C3135" s="54"/>
      <c r="D3135" s="54"/>
      <c r="E3135" s="54"/>
      <c r="F3135" s="118"/>
      <c r="G3135" s="54"/>
      <c r="H3135" s="54"/>
      <c r="I3135" s="54"/>
      <c r="J3135" s="54"/>
      <c r="K3135" s="54"/>
      <c r="L3135" s="54"/>
      <c r="M3135" s="55"/>
      <c r="O3135" s="54"/>
    </row>
    <row r="3136">
      <c r="A3136" s="115"/>
      <c r="B3136" s="54"/>
      <c r="C3136" s="54"/>
      <c r="D3136" s="54"/>
      <c r="E3136" s="54"/>
      <c r="F3136" s="118"/>
      <c r="G3136" s="54"/>
      <c r="H3136" s="54"/>
      <c r="I3136" s="54"/>
      <c r="J3136" s="54"/>
      <c r="K3136" s="54"/>
      <c r="L3136" s="54"/>
      <c r="M3136" s="55"/>
      <c r="O3136" s="54"/>
    </row>
    <row r="3137">
      <c r="A3137" s="115"/>
      <c r="B3137" s="54"/>
      <c r="C3137" s="54"/>
      <c r="D3137" s="54"/>
      <c r="E3137" s="54"/>
      <c r="F3137" s="118"/>
      <c r="G3137" s="54"/>
      <c r="H3137" s="54"/>
      <c r="I3137" s="54"/>
      <c r="J3137" s="54"/>
      <c r="K3137" s="54"/>
      <c r="L3137" s="54"/>
      <c r="M3137" s="55"/>
      <c r="O3137" s="54"/>
    </row>
    <row r="3138">
      <c r="A3138" s="115"/>
      <c r="B3138" s="54"/>
      <c r="C3138" s="54"/>
      <c r="D3138" s="54"/>
      <c r="E3138" s="54"/>
      <c r="F3138" s="118"/>
      <c r="G3138" s="54"/>
      <c r="H3138" s="54"/>
      <c r="I3138" s="54"/>
      <c r="J3138" s="54"/>
      <c r="K3138" s="54"/>
      <c r="L3138" s="54"/>
      <c r="M3138" s="55"/>
      <c r="O3138" s="54"/>
    </row>
    <row r="3139">
      <c r="A3139" s="115"/>
      <c r="B3139" s="54"/>
      <c r="C3139" s="54"/>
      <c r="D3139" s="54"/>
      <c r="E3139" s="54"/>
      <c r="F3139" s="118"/>
      <c r="G3139" s="54"/>
      <c r="H3139" s="54"/>
      <c r="I3139" s="54"/>
      <c r="J3139" s="54"/>
      <c r="K3139" s="54"/>
      <c r="L3139" s="54"/>
      <c r="M3139" s="55"/>
      <c r="O3139" s="54"/>
    </row>
    <row r="3140">
      <c r="A3140" s="115"/>
      <c r="B3140" s="54"/>
      <c r="C3140" s="54"/>
      <c r="D3140" s="54"/>
      <c r="E3140" s="54"/>
      <c r="F3140" s="118"/>
      <c r="G3140" s="54"/>
      <c r="H3140" s="54"/>
      <c r="I3140" s="54"/>
      <c r="J3140" s="54"/>
      <c r="K3140" s="54"/>
      <c r="L3140" s="54"/>
      <c r="M3140" s="55"/>
      <c r="O3140" s="54"/>
    </row>
    <row r="3141">
      <c r="A3141" s="115"/>
      <c r="B3141" s="54"/>
      <c r="C3141" s="54"/>
      <c r="D3141" s="54"/>
      <c r="E3141" s="54"/>
      <c r="F3141" s="118"/>
      <c r="G3141" s="54"/>
      <c r="H3141" s="54"/>
      <c r="I3141" s="54"/>
      <c r="J3141" s="54"/>
      <c r="K3141" s="54"/>
      <c r="L3141" s="54"/>
      <c r="M3141" s="55"/>
      <c r="O3141" s="54"/>
    </row>
    <row r="3142">
      <c r="A3142" s="115"/>
      <c r="B3142" s="54"/>
      <c r="C3142" s="54"/>
      <c r="D3142" s="54"/>
      <c r="E3142" s="54"/>
      <c r="F3142" s="118"/>
      <c r="G3142" s="54"/>
      <c r="H3142" s="54"/>
      <c r="I3142" s="54"/>
      <c r="J3142" s="54"/>
      <c r="K3142" s="54"/>
      <c r="L3142" s="54"/>
      <c r="M3142" s="55"/>
      <c r="O3142" s="54"/>
    </row>
    <row r="3143">
      <c r="A3143" s="115"/>
      <c r="B3143" s="54"/>
      <c r="C3143" s="54"/>
      <c r="D3143" s="54"/>
      <c r="E3143" s="54"/>
      <c r="F3143" s="118"/>
      <c r="G3143" s="54"/>
      <c r="H3143" s="54"/>
      <c r="I3143" s="54"/>
      <c r="J3143" s="54"/>
      <c r="K3143" s="54"/>
      <c r="L3143" s="54"/>
      <c r="M3143" s="55"/>
      <c r="O3143" s="54"/>
    </row>
    <row r="3144">
      <c r="A3144" s="115"/>
      <c r="B3144" s="54"/>
      <c r="C3144" s="54"/>
      <c r="D3144" s="54"/>
      <c r="E3144" s="54"/>
      <c r="F3144" s="118"/>
      <c r="G3144" s="54"/>
      <c r="H3144" s="54"/>
      <c r="I3144" s="54"/>
      <c r="J3144" s="54"/>
      <c r="K3144" s="54"/>
      <c r="L3144" s="54"/>
      <c r="M3144" s="55"/>
      <c r="O3144" s="54"/>
    </row>
    <row r="3145">
      <c r="A3145" s="115"/>
      <c r="B3145" s="54"/>
      <c r="C3145" s="54"/>
      <c r="D3145" s="54"/>
      <c r="E3145" s="54"/>
      <c r="F3145" s="118"/>
      <c r="G3145" s="54"/>
      <c r="H3145" s="54"/>
      <c r="I3145" s="54"/>
      <c r="J3145" s="54"/>
      <c r="K3145" s="54"/>
      <c r="L3145" s="54"/>
      <c r="M3145" s="55"/>
      <c r="O3145" s="54"/>
    </row>
    <row r="3146">
      <c r="A3146" s="115"/>
      <c r="B3146" s="54"/>
      <c r="C3146" s="54"/>
      <c r="D3146" s="54"/>
      <c r="E3146" s="54"/>
      <c r="F3146" s="118"/>
      <c r="G3146" s="54"/>
      <c r="H3146" s="54"/>
      <c r="I3146" s="54"/>
      <c r="J3146" s="54"/>
      <c r="K3146" s="54"/>
      <c r="L3146" s="54"/>
      <c r="M3146" s="55"/>
      <c r="O3146" s="54"/>
    </row>
    <row r="3147">
      <c r="A3147" s="115"/>
      <c r="B3147" s="54"/>
      <c r="C3147" s="54"/>
      <c r="D3147" s="54"/>
      <c r="E3147" s="54"/>
      <c r="F3147" s="118"/>
      <c r="G3147" s="54"/>
      <c r="H3147" s="54"/>
      <c r="I3147" s="54"/>
      <c r="J3147" s="54"/>
      <c r="K3147" s="54"/>
      <c r="L3147" s="54"/>
      <c r="M3147" s="55"/>
      <c r="O3147" s="54"/>
    </row>
    <row r="3148">
      <c r="A3148" s="115"/>
      <c r="B3148" s="54"/>
      <c r="C3148" s="54"/>
      <c r="D3148" s="54"/>
      <c r="E3148" s="54"/>
      <c r="F3148" s="118"/>
      <c r="G3148" s="54"/>
      <c r="H3148" s="54"/>
      <c r="I3148" s="54"/>
      <c r="J3148" s="54"/>
      <c r="K3148" s="54"/>
      <c r="L3148" s="54"/>
      <c r="M3148" s="55"/>
      <c r="O3148" s="54"/>
    </row>
    <row r="3149">
      <c r="A3149" s="115"/>
      <c r="B3149" s="54"/>
      <c r="C3149" s="54"/>
      <c r="D3149" s="54"/>
      <c r="E3149" s="54"/>
      <c r="F3149" s="118"/>
      <c r="G3149" s="54"/>
      <c r="H3149" s="54"/>
      <c r="I3149" s="54"/>
      <c r="J3149" s="54"/>
      <c r="K3149" s="54"/>
      <c r="L3149" s="54"/>
      <c r="M3149" s="55"/>
      <c r="O3149" s="54"/>
    </row>
    <row r="3150">
      <c r="A3150" s="115"/>
      <c r="B3150" s="54"/>
      <c r="C3150" s="54"/>
      <c r="D3150" s="54"/>
      <c r="E3150" s="54"/>
      <c r="F3150" s="118"/>
      <c r="G3150" s="54"/>
      <c r="H3150" s="54"/>
      <c r="I3150" s="54"/>
      <c r="J3150" s="54"/>
      <c r="K3150" s="54"/>
      <c r="L3150" s="54"/>
      <c r="M3150" s="55"/>
      <c r="O3150" s="54"/>
    </row>
    <row r="3151">
      <c r="A3151" s="115"/>
      <c r="B3151" s="54"/>
      <c r="C3151" s="54"/>
      <c r="D3151" s="54"/>
      <c r="E3151" s="54"/>
      <c r="F3151" s="118"/>
      <c r="G3151" s="54"/>
      <c r="H3151" s="54"/>
      <c r="I3151" s="54"/>
      <c r="J3151" s="54"/>
      <c r="K3151" s="54"/>
      <c r="L3151" s="54"/>
      <c r="M3151" s="55"/>
      <c r="O3151" s="54"/>
    </row>
    <row r="3152">
      <c r="A3152" s="115"/>
      <c r="B3152" s="54"/>
      <c r="C3152" s="54"/>
      <c r="D3152" s="54"/>
      <c r="E3152" s="54"/>
      <c r="F3152" s="118"/>
      <c r="G3152" s="54"/>
      <c r="H3152" s="54"/>
      <c r="I3152" s="54"/>
      <c r="J3152" s="54"/>
      <c r="K3152" s="54"/>
      <c r="L3152" s="54"/>
      <c r="M3152" s="55"/>
      <c r="O3152" s="54"/>
    </row>
    <row r="3153">
      <c r="A3153" s="115"/>
      <c r="B3153" s="54"/>
      <c r="C3153" s="54"/>
      <c r="D3153" s="54"/>
      <c r="E3153" s="54"/>
      <c r="F3153" s="118"/>
      <c r="G3153" s="54"/>
      <c r="H3153" s="54"/>
      <c r="I3153" s="54"/>
      <c r="J3153" s="54"/>
      <c r="K3153" s="54"/>
      <c r="L3153" s="54"/>
      <c r="M3153" s="55"/>
      <c r="O3153" s="54"/>
    </row>
    <row r="3154">
      <c r="A3154" s="115"/>
      <c r="B3154" s="54"/>
      <c r="C3154" s="54"/>
      <c r="D3154" s="54"/>
      <c r="E3154" s="54"/>
      <c r="F3154" s="118"/>
      <c r="G3154" s="54"/>
      <c r="H3154" s="54"/>
      <c r="I3154" s="54"/>
      <c r="J3154" s="54"/>
      <c r="K3154" s="54"/>
      <c r="L3154" s="54"/>
      <c r="M3154" s="55"/>
      <c r="O3154" s="54"/>
    </row>
    <row r="3155">
      <c r="A3155" s="115"/>
      <c r="B3155" s="54"/>
      <c r="C3155" s="54"/>
      <c r="D3155" s="54"/>
      <c r="E3155" s="54"/>
      <c r="F3155" s="118"/>
      <c r="G3155" s="54"/>
      <c r="H3155" s="54"/>
      <c r="I3155" s="54"/>
      <c r="J3155" s="54"/>
      <c r="K3155" s="54"/>
      <c r="L3155" s="54"/>
      <c r="M3155" s="55"/>
      <c r="O3155" s="54"/>
    </row>
    <row r="3156">
      <c r="A3156" s="115"/>
      <c r="B3156" s="54"/>
      <c r="C3156" s="54"/>
      <c r="D3156" s="54"/>
      <c r="E3156" s="54"/>
      <c r="F3156" s="118"/>
      <c r="G3156" s="54"/>
      <c r="H3156" s="54"/>
      <c r="I3156" s="54"/>
      <c r="J3156" s="54"/>
      <c r="K3156" s="54"/>
      <c r="L3156" s="54"/>
      <c r="M3156" s="55"/>
      <c r="O3156" s="54"/>
    </row>
    <row r="3157">
      <c r="A3157" s="115"/>
      <c r="B3157" s="54"/>
      <c r="C3157" s="54"/>
      <c r="D3157" s="54"/>
      <c r="E3157" s="54"/>
      <c r="F3157" s="118"/>
      <c r="G3157" s="54"/>
      <c r="H3157" s="54"/>
      <c r="I3157" s="54"/>
      <c r="J3157" s="54"/>
      <c r="K3157" s="54"/>
      <c r="L3157" s="54"/>
      <c r="M3157" s="55"/>
      <c r="O3157" s="54"/>
    </row>
    <row r="3158">
      <c r="A3158" s="115"/>
      <c r="B3158" s="54"/>
      <c r="C3158" s="54"/>
      <c r="D3158" s="54"/>
      <c r="E3158" s="54"/>
      <c r="F3158" s="118"/>
      <c r="G3158" s="54"/>
      <c r="H3158" s="54"/>
      <c r="I3158" s="54"/>
      <c r="J3158" s="54"/>
      <c r="K3158" s="54"/>
      <c r="L3158" s="54"/>
      <c r="M3158" s="55"/>
      <c r="O3158" s="54"/>
    </row>
    <row r="3159">
      <c r="A3159" s="115"/>
      <c r="B3159" s="54"/>
      <c r="C3159" s="54"/>
      <c r="D3159" s="54"/>
      <c r="E3159" s="54"/>
      <c r="F3159" s="118"/>
      <c r="G3159" s="54"/>
      <c r="H3159" s="54"/>
      <c r="I3159" s="54"/>
      <c r="J3159" s="54"/>
      <c r="K3159" s="54"/>
      <c r="L3159" s="54"/>
      <c r="M3159" s="55"/>
      <c r="O3159" s="54"/>
    </row>
    <row r="3160">
      <c r="A3160" s="115"/>
      <c r="B3160" s="54"/>
      <c r="C3160" s="54"/>
      <c r="D3160" s="54"/>
      <c r="E3160" s="54"/>
      <c r="F3160" s="118"/>
      <c r="G3160" s="54"/>
      <c r="H3160" s="54"/>
      <c r="I3160" s="54"/>
      <c r="J3160" s="54"/>
      <c r="K3160" s="54"/>
      <c r="L3160" s="54"/>
      <c r="M3160" s="55"/>
      <c r="O3160" s="54"/>
    </row>
    <row r="3161">
      <c r="A3161" s="115"/>
      <c r="B3161" s="54"/>
      <c r="C3161" s="54"/>
      <c r="D3161" s="54"/>
      <c r="E3161" s="54"/>
      <c r="F3161" s="118"/>
      <c r="G3161" s="54"/>
      <c r="H3161" s="54"/>
      <c r="I3161" s="54"/>
      <c r="J3161" s="54"/>
      <c r="K3161" s="54"/>
      <c r="L3161" s="54"/>
      <c r="M3161" s="55"/>
      <c r="O3161" s="54"/>
    </row>
    <row r="3162">
      <c r="A3162" s="115"/>
      <c r="B3162" s="54"/>
      <c r="C3162" s="54"/>
      <c r="D3162" s="54"/>
      <c r="E3162" s="54"/>
      <c r="F3162" s="118"/>
      <c r="G3162" s="54"/>
      <c r="H3162" s="54"/>
      <c r="I3162" s="54"/>
      <c r="J3162" s="54"/>
      <c r="K3162" s="54"/>
      <c r="L3162" s="54"/>
      <c r="M3162" s="55"/>
      <c r="O3162" s="54"/>
    </row>
    <row r="3163">
      <c r="A3163" s="115"/>
      <c r="B3163" s="54"/>
      <c r="C3163" s="54"/>
      <c r="D3163" s="54"/>
      <c r="E3163" s="54"/>
      <c r="F3163" s="118"/>
      <c r="G3163" s="54"/>
      <c r="H3163" s="54"/>
      <c r="I3163" s="54"/>
      <c r="J3163" s="54"/>
      <c r="K3163" s="54"/>
      <c r="L3163" s="54"/>
      <c r="M3163" s="55"/>
      <c r="O3163" s="54"/>
    </row>
    <row r="3164">
      <c r="A3164" s="115"/>
      <c r="B3164" s="54"/>
      <c r="C3164" s="54"/>
      <c r="D3164" s="54"/>
      <c r="E3164" s="54"/>
      <c r="F3164" s="118"/>
      <c r="G3164" s="54"/>
      <c r="H3164" s="54"/>
      <c r="I3164" s="54"/>
      <c r="J3164" s="54"/>
      <c r="K3164" s="54"/>
      <c r="L3164" s="54"/>
      <c r="M3164" s="55"/>
      <c r="O3164" s="54"/>
    </row>
    <row r="3165">
      <c r="A3165" s="115"/>
      <c r="B3165" s="54"/>
      <c r="C3165" s="54"/>
      <c r="D3165" s="54"/>
      <c r="E3165" s="54"/>
      <c r="F3165" s="118"/>
      <c r="G3165" s="54"/>
      <c r="H3165" s="54"/>
      <c r="I3165" s="54"/>
      <c r="J3165" s="54"/>
      <c r="K3165" s="54"/>
      <c r="L3165" s="54"/>
      <c r="M3165" s="55"/>
      <c r="O3165" s="54"/>
    </row>
    <row r="3166">
      <c r="A3166" s="115"/>
      <c r="B3166" s="54"/>
      <c r="C3166" s="54"/>
      <c r="D3166" s="54"/>
      <c r="E3166" s="54"/>
      <c r="F3166" s="118"/>
      <c r="G3166" s="54"/>
      <c r="H3166" s="54"/>
      <c r="I3166" s="54"/>
      <c r="J3166" s="54"/>
      <c r="K3166" s="54"/>
      <c r="L3166" s="54"/>
      <c r="M3166" s="55"/>
      <c r="O3166" s="54"/>
    </row>
    <row r="3167">
      <c r="A3167" s="115"/>
      <c r="B3167" s="54"/>
      <c r="C3167" s="54"/>
      <c r="D3167" s="54"/>
      <c r="E3167" s="54"/>
      <c r="F3167" s="118"/>
      <c r="G3167" s="54"/>
      <c r="H3167" s="54"/>
      <c r="I3167" s="54"/>
      <c r="J3167" s="54"/>
      <c r="K3167" s="54"/>
      <c r="L3167" s="54"/>
      <c r="M3167" s="55"/>
      <c r="O3167" s="54"/>
    </row>
    <row r="3168">
      <c r="A3168" s="115"/>
      <c r="B3168" s="54"/>
      <c r="C3168" s="54"/>
      <c r="D3168" s="54"/>
      <c r="E3168" s="54"/>
      <c r="F3168" s="118"/>
      <c r="G3168" s="54"/>
      <c r="H3168" s="54"/>
      <c r="I3168" s="54"/>
      <c r="J3168" s="54"/>
      <c r="K3168" s="54"/>
      <c r="L3168" s="54"/>
      <c r="M3168" s="55"/>
      <c r="O3168" s="54"/>
    </row>
    <row r="3169">
      <c r="A3169" s="115"/>
      <c r="B3169" s="54"/>
      <c r="C3169" s="54"/>
      <c r="D3169" s="54"/>
      <c r="E3169" s="54"/>
      <c r="F3169" s="118"/>
      <c r="G3169" s="54"/>
      <c r="H3169" s="54"/>
      <c r="I3169" s="54"/>
      <c r="J3169" s="54"/>
      <c r="K3169" s="54"/>
      <c r="L3169" s="54"/>
      <c r="M3169" s="55"/>
      <c r="O3169" s="54"/>
    </row>
    <row r="3170">
      <c r="A3170" s="115"/>
      <c r="B3170" s="54"/>
      <c r="C3170" s="54"/>
      <c r="D3170" s="54"/>
      <c r="E3170" s="54"/>
      <c r="F3170" s="118"/>
      <c r="G3170" s="54"/>
      <c r="H3170" s="54"/>
      <c r="I3170" s="54"/>
      <c r="J3170" s="54"/>
      <c r="K3170" s="54"/>
      <c r="L3170" s="54"/>
      <c r="M3170" s="55"/>
      <c r="O3170" s="54"/>
    </row>
    <row r="3171">
      <c r="A3171" s="115"/>
      <c r="B3171" s="54"/>
      <c r="C3171" s="54"/>
      <c r="D3171" s="54"/>
      <c r="E3171" s="54"/>
      <c r="F3171" s="118"/>
      <c r="G3171" s="54"/>
      <c r="H3171" s="54"/>
      <c r="I3171" s="54"/>
      <c r="J3171" s="54"/>
      <c r="K3171" s="54"/>
      <c r="L3171" s="54"/>
      <c r="M3171" s="55"/>
      <c r="O3171" s="54"/>
    </row>
    <row r="3172">
      <c r="A3172" s="115"/>
      <c r="B3172" s="54"/>
      <c r="C3172" s="54"/>
      <c r="D3172" s="54"/>
      <c r="E3172" s="54"/>
      <c r="F3172" s="118"/>
      <c r="G3172" s="54"/>
      <c r="H3172" s="54"/>
      <c r="I3172" s="54"/>
      <c r="J3172" s="54"/>
      <c r="K3172" s="54"/>
      <c r="L3172" s="54"/>
      <c r="M3172" s="55"/>
      <c r="O3172" s="54"/>
    </row>
    <row r="3173">
      <c r="A3173" s="115"/>
      <c r="B3173" s="54"/>
      <c r="C3173" s="54"/>
      <c r="D3173" s="54"/>
      <c r="E3173" s="54"/>
      <c r="F3173" s="118"/>
      <c r="G3173" s="54"/>
      <c r="H3173" s="54"/>
      <c r="I3173" s="54"/>
      <c r="J3173" s="54"/>
      <c r="K3173" s="54"/>
      <c r="L3173" s="54"/>
      <c r="M3173" s="55"/>
      <c r="O3173" s="54"/>
    </row>
    <row r="3174">
      <c r="A3174" s="115"/>
      <c r="B3174" s="54"/>
      <c r="C3174" s="54"/>
      <c r="D3174" s="54"/>
      <c r="E3174" s="54"/>
      <c r="F3174" s="118"/>
      <c r="G3174" s="54"/>
      <c r="H3174" s="54"/>
      <c r="I3174" s="54"/>
      <c r="J3174" s="54"/>
      <c r="K3174" s="54"/>
      <c r="L3174" s="54"/>
      <c r="M3174" s="55"/>
      <c r="O3174" s="54"/>
    </row>
    <row r="3175">
      <c r="A3175" s="115"/>
      <c r="B3175" s="54"/>
      <c r="C3175" s="54"/>
      <c r="D3175" s="54"/>
      <c r="E3175" s="54"/>
      <c r="F3175" s="118"/>
      <c r="G3175" s="54"/>
      <c r="H3175" s="54"/>
      <c r="I3175" s="54"/>
      <c r="J3175" s="54"/>
      <c r="K3175" s="54"/>
      <c r="L3175" s="54"/>
      <c r="M3175" s="55"/>
      <c r="O3175" s="54"/>
    </row>
    <row r="3176">
      <c r="A3176" s="115"/>
      <c r="B3176" s="54"/>
      <c r="C3176" s="54"/>
      <c r="D3176" s="54"/>
      <c r="E3176" s="54"/>
      <c r="F3176" s="118"/>
      <c r="G3176" s="54"/>
      <c r="H3176" s="54"/>
      <c r="I3176" s="54"/>
      <c r="J3176" s="54"/>
      <c r="K3176" s="54"/>
      <c r="L3176" s="54"/>
      <c r="M3176" s="55"/>
      <c r="O3176" s="54"/>
    </row>
    <row r="3177">
      <c r="A3177" s="115"/>
      <c r="B3177" s="54"/>
      <c r="C3177" s="54"/>
      <c r="D3177" s="54"/>
      <c r="E3177" s="54"/>
      <c r="F3177" s="118"/>
      <c r="G3177" s="54"/>
      <c r="H3177" s="54"/>
      <c r="I3177" s="54"/>
      <c r="J3177" s="54"/>
      <c r="K3177" s="54"/>
      <c r="L3177" s="54"/>
      <c r="M3177" s="55"/>
      <c r="O3177" s="54"/>
    </row>
    <row r="3178">
      <c r="A3178" s="115"/>
      <c r="B3178" s="54"/>
      <c r="C3178" s="54"/>
      <c r="D3178" s="54"/>
      <c r="E3178" s="54"/>
      <c r="F3178" s="118"/>
      <c r="G3178" s="54"/>
      <c r="H3178" s="54"/>
      <c r="I3178" s="54"/>
      <c r="J3178" s="54"/>
      <c r="K3178" s="54"/>
      <c r="L3178" s="54"/>
      <c r="M3178" s="55"/>
      <c r="O3178" s="54"/>
    </row>
    <row r="3179">
      <c r="A3179" s="115"/>
      <c r="B3179" s="54"/>
      <c r="C3179" s="54"/>
      <c r="D3179" s="54"/>
      <c r="E3179" s="54"/>
      <c r="F3179" s="118"/>
      <c r="G3179" s="54"/>
      <c r="H3179" s="54"/>
      <c r="I3179" s="54"/>
      <c r="J3179" s="54"/>
      <c r="K3179" s="54"/>
      <c r="L3179" s="54"/>
      <c r="M3179" s="55"/>
      <c r="O3179" s="54"/>
    </row>
    <row r="3180">
      <c r="A3180" s="115"/>
      <c r="B3180" s="54"/>
      <c r="C3180" s="54"/>
      <c r="D3180" s="54"/>
      <c r="E3180" s="54"/>
      <c r="F3180" s="118"/>
      <c r="G3180" s="54"/>
      <c r="H3180" s="54"/>
      <c r="I3180" s="54"/>
      <c r="J3180" s="54"/>
      <c r="K3180" s="54"/>
      <c r="L3180" s="54"/>
      <c r="M3180" s="55"/>
      <c r="O3180" s="54"/>
    </row>
    <row r="3181">
      <c r="A3181" s="115"/>
      <c r="B3181" s="54"/>
      <c r="C3181" s="54"/>
      <c r="D3181" s="54"/>
      <c r="E3181" s="54"/>
      <c r="F3181" s="118"/>
      <c r="G3181" s="54"/>
      <c r="H3181" s="54"/>
      <c r="I3181" s="54"/>
      <c r="J3181" s="54"/>
      <c r="K3181" s="54"/>
      <c r="L3181" s="54"/>
      <c r="M3181" s="55"/>
      <c r="O3181" s="54"/>
    </row>
    <row r="3182">
      <c r="A3182" s="115"/>
      <c r="B3182" s="54"/>
      <c r="C3182" s="54"/>
      <c r="D3182" s="54"/>
      <c r="E3182" s="54"/>
      <c r="F3182" s="118"/>
      <c r="G3182" s="54"/>
      <c r="H3182" s="54"/>
      <c r="I3182" s="54"/>
      <c r="J3182" s="54"/>
      <c r="K3182" s="54"/>
      <c r="L3182" s="54"/>
      <c r="M3182" s="55"/>
      <c r="O3182" s="54"/>
    </row>
    <row r="3183">
      <c r="A3183" s="115"/>
      <c r="B3183" s="54"/>
      <c r="C3183" s="54"/>
      <c r="D3183" s="54"/>
      <c r="E3183" s="54"/>
      <c r="F3183" s="118"/>
      <c r="G3183" s="54"/>
      <c r="H3183" s="54"/>
      <c r="I3183" s="54"/>
      <c r="J3183" s="54"/>
      <c r="K3183" s="54"/>
      <c r="L3183" s="54"/>
      <c r="M3183" s="55"/>
      <c r="O3183" s="54"/>
    </row>
    <row r="3184">
      <c r="A3184" s="115"/>
      <c r="B3184" s="54"/>
      <c r="C3184" s="54"/>
      <c r="D3184" s="54"/>
      <c r="E3184" s="54"/>
      <c r="F3184" s="118"/>
      <c r="G3184" s="54"/>
      <c r="H3184" s="54"/>
      <c r="I3184" s="54"/>
      <c r="J3184" s="54"/>
      <c r="K3184" s="54"/>
      <c r="L3184" s="54"/>
      <c r="M3184" s="55"/>
      <c r="O3184" s="54"/>
    </row>
    <row r="3185">
      <c r="A3185" s="115"/>
      <c r="B3185" s="54"/>
      <c r="C3185" s="54"/>
      <c r="D3185" s="54"/>
      <c r="E3185" s="54"/>
      <c r="F3185" s="118"/>
      <c r="G3185" s="54"/>
      <c r="H3185" s="54"/>
      <c r="I3185" s="54"/>
      <c r="J3185" s="54"/>
      <c r="K3185" s="54"/>
      <c r="L3185" s="54"/>
      <c r="M3185" s="55"/>
      <c r="O3185" s="54"/>
    </row>
    <row r="3186">
      <c r="A3186" s="115"/>
      <c r="B3186" s="54"/>
      <c r="C3186" s="54"/>
      <c r="D3186" s="54"/>
      <c r="E3186" s="54"/>
      <c r="F3186" s="118"/>
      <c r="G3186" s="54"/>
      <c r="H3186" s="54"/>
      <c r="I3186" s="54"/>
      <c r="J3186" s="54"/>
      <c r="K3186" s="54"/>
      <c r="L3186" s="54"/>
      <c r="M3186" s="55"/>
      <c r="O3186" s="54"/>
    </row>
    <row r="3187">
      <c r="A3187" s="115"/>
      <c r="B3187" s="54"/>
      <c r="C3187" s="54"/>
      <c r="D3187" s="54"/>
      <c r="E3187" s="54"/>
      <c r="F3187" s="118"/>
      <c r="G3187" s="54"/>
      <c r="H3187" s="54"/>
      <c r="I3187" s="54"/>
      <c r="J3187" s="54"/>
      <c r="K3187" s="54"/>
      <c r="L3187" s="54"/>
      <c r="M3187" s="55"/>
      <c r="O3187" s="54"/>
    </row>
    <row r="3188">
      <c r="A3188" s="115"/>
      <c r="B3188" s="54"/>
      <c r="C3188" s="54"/>
      <c r="D3188" s="54"/>
      <c r="E3188" s="54"/>
      <c r="F3188" s="118"/>
      <c r="G3188" s="54"/>
      <c r="H3188" s="54"/>
      <c r="I3188" s="54"/>
      <c r="J3188" s="54"/>
      <c r="K3188" s="54"/>
      <c r="L3188" s="54"/>
      <c r="M3188" s="55"/>
      <c r="O3188" s="54"/>
    </row>
    <row r="3189">
      <c r="A3189" s="115"/>
      <c r="B3189" s="54"/>
      <c r="C3189" s="54"/>
      <c r="D3189" s="54"/>
      <c r="E3189" s="54"/>
      <c r="F3189" s="118"/>
      <c r="G3189" s="54"/>
      <c r="H3189" s="54"/>
      <c r="I3189" s="54"/>
      <c r="J3189" s="54"/>
      <c r="K3189" s="54"/>
      <c r="L3189" s="54"/>
      <c r="M3189" s="55"/>
      <c r="O3189" s="54"/>
    </row>
    <row r="3190">
      <c r="A3190" s="115"/>
      <c r="B3190" s="54"/>
      <c r="C3190" s="54"/>
      <c r="D3190" s="54"/>
      <c r="E3190" s="54"/>
      <c r="F3190" s="118"/>
      <c r="G3190" s="54"/>
      <c r="H3190" s="54"/>
      <c r="I3190" s="54"/>
      <c r="J3190" s="54"/>
      <c r="K3190" s="54"/>
      <c r="L3190" s="54"/>
      <c r="M3190" s="55"/>
      <c r="O3190" s="54"/>
    </row>
    <row r="3191">
      <c r="A3191" s="115"/>
      <c r="B3191" s="54"/>
      <c r="C3191" s="54"/>
      <c r="D3191" s="54"/>
      <c r="E3191" s="54"/>
      <c r="F3191" s="118"/>
      <c r="G3191" s="54"/>
      <c r="H3191" s="54"/>
      <c r="I3191" s="54"/>
      <c r="J3191" s="54"/>
      <c r="K3191" s="54"/>
      <c r="L3191" s="54"/>
      <c r="M3191" s="55"/>
      <c r="O3191" s="54"/>
    </row>
    <row r="3192">
      <c r="A3192" s="115"/>
      <c r="B3192" s="54"/>
      <c r="C3192" s="54"/>
      <c r="D3192" s="54"/>
      <c r="E3192" s="54"/>
      <c r="F3192" s="118"/>
      <c r="G3192" s="54"/>
      <c r="H3192" s="54"/>
      <c r="I3192" s="54"/>
      <c r="J3192" s="54"/>
      <c r="K3192" s="54"/>
      <c r="L3192" s="54"/>
      <c r="M3192" s="55"/>
      <c r="O3192" s="54"/>
    </row>
    <row r="3193">
      <c r="A3193" s="115"/>
      <c r="B3193" s="54"/>
      <c r="C3193" s="54"/>
      <c r="D3193" s="54"/>
      <c r="E3193" s="54"/>
      <c r="F3193" s="118"/>
      <c r="G3193" s="54"/>
      <c r="H3193" s="54"/>
      <c r="I3193" s="54"/>
      <c r="J3193" s="54"/>
      <c r="K3193" s="54"/>
      <c r="L3193" s="54"/>
      <c r="M3193" s="55"/>
      <c r="O3193" s="54"/>
    </row>
    <row r="3194">
      <c r="A3194" s="115"/>
      <c r="B3194" s="54"/>
      <c r="C3194" s="54"/>
      <c r="D3194" s="54"/>
      <c r="E3194" s="54"/>
      <c r="F3194" s="118"/>
      <c r="G3194" s="54"/>
      <c r="H3194" s="54"/>
      <c r="I3194" s="54"/>
      <c r="J3194" s="54"/>
      <c r="K3194" s="54"/>
      <c r="L3194" s="54"/>
      <c r="M3194" s="55"/>
      <c r="O3194" s="54"/>
    </row>
    <row r="3195">
      <c r="A3195" s="115"/>
      <c r="B3195" s="54"/>
      <c r="C3195" s="54"/>
      <c r="D3195" s="54"/>
      <c r="E3195" s="54"/>
      <c r="F3195" s="118"/>
      <c r="G3195" s="54"/>
      <c r="H3195" s="54"/>
      <c r="I3195" s="54"/>
      <c r="J3195" s="54"/>
      <c r="K3195" s="54"/>
      <c r="L3195" s="54"/>
      <c r="M3195" s="55"/>
      <c r="O3195" s="54"/>
    </row>
    <row r="3196">
      <c r="A3196" s="115"/>
      <c r="B3196" s="54"/>
      <c r="C3196" s="54"/>
      <c r="D3196" s="54"/>
      <c r="E3196" s="54"/>
      <c r="F3196" s="118"/>
      <c r="G3196" s="54"/>
      <c r="H3196" s="54"/>
      <c r="I3196" s="54"/>
      <c r="J3196" s="54"/>
      <c r="K3196" s="54"/>
      <c r="L3196" s="54"/>
      <c r="M3196" s="55"/>
      <c r="O3196" s="54"/>
    </row>
    <row r="3197">
      <c r="A3197" s="115"/>
      <c r="B3197" s="54"/>
      <c r="C3197" s="54"/>
      <c r="D3197" s="54"/>
      <c r="E3197" s="54"/>
      <c r="F3197" s="118"/>
      <c r="G3197" s="54"/>
      <c r="H3197" s="54"/>
      <c r="I3197" s="54"/>
      <c r="J3197" s="54"/>
      <c r="K3197" s="54"/>
      <c r="L3197" s="54"/>
      <c r="M3197" s="55"/>
      <c r="O3197" s="54"/>
    </row>
    <row r="3198">
      <c r="A3198" s="115"/>
      <c r="B3198" s="54"/>
      <c r="C3198" s="54"/>
      <c r="D3198" s="54"/>
      <c r="E3198" s="54"/>
      <c r="F3198" s="118"/>
      <c r="G3198" s="54"/>
      <c r="H3198" s="54"/>
      <c r="I3198" s="54"/>
      <c r="J3198" s="54"/>
      <c r="K3198" s="54"/>
      <c r="L3198" s="54"/>
      <c r="M3198" s="55"/>
      <c r="O3198" s="54"/>
    </row>
    <row r="3199">
      <c r="A3199" s="115"/>
      <c r="B3199" s="54"/>
      <c r="C3199" s="54"/>
      <c r="D3199" s="54"/>
      <c r="E3199" s="54"/>
      <c r="F3199" s="118"/>
      <c r="G3199" s="54"/>
      <c r="H3199" s="54"/>
      <c r="I3199" s="54"/>
      <c r="J3199" s="54"/>
      <c r="K3199" s="54"/>
      <c r="L3199" s="54"/>
      <c r="M3199" s="55"/>
      <c r="O3199" s="54"/>
    </row>
    <row r="3200">
      <c r="A3200" s="115"/>
      <c r="B3200" s="54"/>
      <c r="C3200" s="54"/>
      <c r="D3200" s="54"/>
      <c r="E3200" s="54"/>
      <c r="F3200" s="118"/>
      <c r="G3200" s="54"/>
      <c r="H3200" s="54"/>
      <c r="I3200" s="54"/>
      <c r="J3200" s="54"/>
      <c r="K3200" s="54"/>
      <c r="L3200" s="54"/>
      <c r="M3200" s="55"/>
      <c r="O3200" s="54"/>
    </row>
    <row r="3201">
      <c r="A3201" s="115"/>
      <c r="B3201" s="54"/>
      <c r="C3201" s="54"/>
      <c r="D3201" s="54"/>
      <c r="E3201" s="54"/>
      <c r="F3201" s="118"/>
      <c r="G3201" s="54"/>
      <c r="H3201" s="54"/>
      <c r="I3201" s="54"/>
      <c r="J3201" s="54"/>
      <c r="K3201" s="54"/>
      <c r="L3201" s="54"/>
      <c r="M3201" s="55"/>
      <c r="O3201" s="54"/>
    </row>
    <row r="3202">
      <c r="A3202" s="115"/>
      <c r="B3202" s="54"/>
      <c r="C3202" s="54"/>
      <c r="D3202" s="54"/>
      <c r="E3202" s="54"/>
      <c r="F3202" s="118"/>
      <c r="G3202" s="54"/>
      <c r="H3202" s="54"/>
      <c r="I3202" s="54"/>
      <c r="J3202" s="54"/>
      <c r="K3202" s="54"/>
      <c r="L3202" s="54"/>
      <c r="M3202" s="55"/>
      <c r="O3202" s="54"/>
    </row>
    <row r="3203">
      <c r="A3203" s="115"/>
      <c r="B3203" s="54"/>
      <c r="C3203" s="54"/>
      <c r="D3203" s="54"/>
      <c r="E3203" s="54"/>
      <c r="F3203" s="118"/>
      <c r="G3203" s="54"/>
      <c r="H3203" s="54"/>
      <c r="I3203" s="54"/>
      <c r="J3203" s="54"/>
      <c r="K3203" s="54"/>
      <c r="L3203" s="54"/>
      <c r="M3203" s="55"/>
      <c r="O3203" s="54"/>
    </row>
    <row r="3204">
      <c r="A3204" s="115"/>
      <c r="B3204" s="54"/>
      <c r="C3204" s="54"/>
      <c r="D3204" s="54"/>
      <c r="E3204" s="54"/>
      <c r="F3204" s="118"/>
      <c r="G3204" s="54"/>
      <c r="H3204" s="54"/>
      <c r="I3204" s="54"/>
      <c r="J3204" s="54"/>
      <c r="K3204" s="54"/>
      <c r="L3204" s="54"/>
      <c r="M3204" s="55"/>
      <c r="O3204" s="54"/>
    </row>
    <row r="3205">
      <c r="A3205" s="115"/>
      <c r="B3205" s="54"/>
      <c r="C3205" s="54"/>
      <c r="D3205" s="54"/>
      <c r="E3205" s="54"/>
      <c r="F3205" s="118"/>
      <c r="G3205" s="54"/>
      <c r="H3205" s="54"/>
      <c r="I3205" s="54"/>
      <c r="J3205" s="54"/>
      <c r="K3205" s="54"/>
      <c r="L3205" s="54"/>
      <c r="M3205" s="55"/>
      <c r="O3205" s="54"/>
    </row>
    <row r="3206">
      <c r="A3206" s="115"/>
      <c r="B3206" s="54"/>
      <c r="C3206" s="54"/>
      <c r="D3206" s="54"/>
      <c r="E3206" s="54"/>
      <c r="F3206" s="118"/>
      <c r="G3206" s="54"/>
      <c r="H3206" s="54"/>
      <c r="I3206" s="54"/>
      <c r="J3206" s="54"/>
      <c r="K3206" s="54"/>
      <c r="L3206" s="54"/>
      <c r="M3206" s="55"/>
      <c r="O3206" s="54"/>
    </row>
    <row r="3207">
      <c r="A3207" s="115"/>
      <c r="B3207" s="54"/>
      <c r="C3207" s="54"/>
      <c r="D3207" s="54"/>
      <c r="E3207" s="54"/>
      <c r="F3207" s="118"/>
      <c r="G3207" s="54"/>
      <c r="H3207" s="54"/>
      <c r="I3207" s="54"/>
      <c r="J3207" s="54"/>
      <c r="K3207" s="54"/>
      <c r="L3207" s="54"/>
      <c r="M3207" s="55"/>
      <c r="O3207" s="54"/>
    </row>
    <row r="3208">
      <c r="A3208" s="115"/>
      <c r="B3208" s="54"/>
      <c r="C3208" s="54"/>
      <c r="D3208" s="54"/>
      <c r="E3208" s="54"/>
      <c r="F3208" s="118"/>
      <c r="G3208" s="54"/>
      <c r="H3208" s="54"/>
      <c r="I3208" s="54"/>
      <c r="J3208" s="54"/>
      <c r="K3208" s="54"/>
      <c r="L3208" s="54"/>
      <c r="M3208" s="55"/>
      <c r="O3208" s="54"/>
    </row>
    <row r="3209">
      <c r="A3209" s="115"/>
      <c r="B3209" s="54"/>
      <c r="C3209" s="54"/>
      <c r="D3209" s="54"/>
      <c r="E3209" s="54"/>
      <c r="F3209" s="118"/>
      <c r="G3209" s="54"/>
      <c r="H3209" s="54"/>
      <c r="I3209" s="54"/>
      <c r="J3209" s="54"/>
      <c r="K3209" s="54"/>
      <c r="L3209" s="54"/>
      <c r="M3209" s="55"/>
      <c r="O3209" s="54"/>
    </row>
    <row r="3210">
      <c r="A3210" s="115"/>
      <c r="B3210" s="54"/>
      <c r="C3210" s="54"/>
      <c r="D3210" s="54"/>
      <c r="E3210" s="54"/>
      <c r="F3210" s="118"/>
      <c r="G3210" s="54"/>
      <c r="H3210" s="54"/>
      <c r="I3210" s="54"/>
      <c r="J3210" s="54"/>
      <c r="K3210" s="54"/>
      <c r="L3210" s="54"/>
      <c r="M3210" s="55"/>
      <c r="O3210" s="54"/>
    </row>
    <row r="3211">
      <c r="A3211" s="115"/>
      <c r="B3211" s="54"/>
      <c r="C3211" s="54"/>
      <c r="D3211" s="54"/>
      <c r="E3211" s="54"/>
      <c r="F3211" s="118"/>
      <c r="G3211" s="54"/>
      <c r="H3211" s="54"/>
      <c r="I3211" s="54"/>
      <c r="J3211" s="54"/>
      <c r="K3211" s="54"/>
      <c r="L3211" s="54"/>
      <c r="M3211" s="55"/>
      <c r="O3211" s="54"/>
    </row>
    <row r="3212">
      <c r="A3212" s="115"/>
      <c r="B3212" s="54"/>
      <c r="C3212" s="54"/>
      <c r="D3212" s="54"/>
      <c r="E3212" s="54"/>
      <c r="F3212" s="118"/>
      <c r="G3212" s="54"/>
      <c r="H3212" s="54"/>
      <c r="I3212" s="54"/>
      <c r="J3212" s="54"/>
      <c r="K3212" s="54"/>
      <c r="L3212" s="54"/>
      <c r="M3212" s="55"/>
      <c r="O3212" s="54"/>
    </row>
    <row r="3213">
      <c r="A3213" s="115"/>
      <c r="B3213" s="54"/>
      <c r="C3213" s="54"/>
      <c r="D3213" s="54"/>
      <c r="E3213" s="54"/>
      <c r="F3213" s="118"/>
      <c r="G3213" s="54"/>
      <c r="H3213" s="54"/>
      <c r="I3213" s="54"/>
      <c r="J3213" s="54"/>
      <c r="K3213" s="54"/>
      <c r="L3213" s="54"/>
      <c r="M3213" s="55"/>
      <c r="O3213" s="54"/>
    </row>
    <row r="3214">
      <c r="A3214" s="115"/>
      <c r="B3214" s="54"/>
      <c r="C3214" s="54"/>
      <c r="D3214" s="54"/>
      <c r="E3214" s="54"/>
      <c r="F3214" s="118"/>
      <c r="G3214" s="54"/>
      <c r="H3214" s="54"/>
      <c r="I3214" s="54"/>
      <c r="J3214" s="54"/>
      <c r="K3214" s="54"/>
      <c r="L3214" s="54"/>
      <c r="M3214" s="55"/>
      <c r="O3214" s="54"/>
    </row>
    <row r="3215">
      <c r="A3215" s="115"/>
      <c r="B3215" s="54"/>
      <c r="C3215" s="54"/>
      <c r="D3215" s="54"/>
      <c r="E3215" s="54"/>
      <c r="F3215" s="118"/>
      <c r="G3215" s="54"/>
      <c r="H3215" s="54"/>
      <c r="I3215" s="54"/>
      <c r="J3215" s="54"/>
      <c r="K3215" s="54"/>
      <c r="L3215" s="54"/>
      <c r="M3215" s="55"/>
      <c r="O3215" s="54"/>
    </row>
    <row r="3216">
      <c r="A3216" s="115"/>
      <c r="B3216" s="54"/>
      <c r="C3216" s="54"/>
      <c r="D3216" s="54"/>
      <c r="E3216" s="54"/>
      <c r="F3216" s="118"/>
      <c r="G3216" s="54"/>
      <c r="H3216" s="54"/>
      <c r="I3216" s="54"/>
      <c r="J3216" s="54"/>
      <c r="K3216" s="54"/>
      <c r="L3216" s="54"/>
      <c r="M3216" s="55"/>
      <c r="O3216" s="54"/>
    </row>
    <row r="3217">
      <c r="A3217" s="115"/>
      <c r="B3217" s="54"/>
      <c r="C3217" s="54"/>
      <c r="D3217" s="54"/>
      <c r="E3217" s="54"/>
      <c r="F3217" s="118"/>
      <c r="G3217" s="54"/>
      <c r="H3217" s="54"/>
      <c r="I3217" s="54"/>
      <c r="J3217" s="54"/>
      <c r="K3217" s="54"/>
      <c r="L3217" s="54"/>
      <c r="M3217" s="55"/>
      <c r="O3217" s="54"/>
    </row>
    <row r="3218">
      <c r="A3218" s="115"/>
      <c r="B3218" s="54"/>
      <c r="C3218" s="54"/>
      <c r="D3218" s="54"/>
      <c r="E3218" s="54"/>
      <c r="F3218" s="118"/>
      <c r="G3218" s="54"/>
      <c r="H3218" s="54"/>
      <c r="I3218" s="54"/>
      <c r="J3218" s="54"/>
      <c r="K3218" s="54"/>
      <c r="L3218" s="54"/>
      <c r="M3218" s="55"/>
      <c r="O3218" s="54"/>
    </row>
    <row r="3219">
      <c r="A3219" s="115"/>
      <c r="B3219" s="54"/>
      <c r="C3219" s="54"/>
      <c r="D3219" s="54"/>
      <c r="E3219" s="54"/>
      <c r="F3219" s="118"/>
      <c r="G3219" s="54"/>
      <c r="H3219" s="54"/>
      <c r="I3219" s="54"/>
      <c r="J3219" s="54"/>
      <c r="K3219" s="54"/>
      <c r="L3219" s="54"/>
      <c r="M3219" s="55"/>
      <c r="O3219" s="54"/>
    </row>
    <row r="3220">
      <c r="A3220" s="115"/>
      <c r="B3220" s="54"/>
      <c r="C3220" s="54"/>
      <c r="D3220" s="54"/>
      <c r="E3220" s="54"/>
      <c r="F3220" s="118"/>
      <c r="G3220" s="54"/>
      <c r="H3220" s="54"/>
      <c r="I3220" s="54"/>
      <c r="J3220" s="54"/>
      <c r="K3220" s="54"/>
      <c r="L3220" s="54"/>
      <c r="M3220" s="55"/>
      <c r="O3220" s="54"/>
    </row>
    <row r="3221">
      <c r="A3221" s="115"/>
      <c r="B3221" s="54"/>
      <c r="C3221" s="54"/>
      <c r="D3221" s="54"/>
      <c r="E3221" s="54"/>
      <c r="F3221" s="118"/>
      <c r="G3221" s="54"/>
      <c r="H3221" s="54"/>
      <c r="I3221" s="54"/>
      <c r="J3221" s="54"/>
      <c r="K3221" s="54"/>
      <c r="L3221" s="54"/>
      <c r="M3221" s="55"/>
      <c r="O3221" s="54"/>
    </row>
    <row r="3222">
      <c r="A3222" s="115"/>
      <c r="B3222" s="54"/>
      <c r="C3222" s="54"/>
      <c r="D3222" s="54"/>
      <c r="E3222" s="54"/>
      <c r="F3222" s="118"/>
      <c r="G3222" s="54"/>
      <c r="H3222" s="54"/>
      <c r="I3222" s="54"/>
      <c r="J3222" s="54"/>
      <c r="K3222" s="54"/>
      <c r="L3222" s="54"/>
      <c r="M3222" s="55"/>
      <c r="O3222" s="54"/>
    </row>
    <row r="3223">
      <c r="A3223" s="115"/>
      <c r="B3223" s="54"/>
      <c r="C3223" s="54"/>
      <c r="D3223" s="54"/>
      <c r="E3223" s="54"/>
      <c r="F3223" s="118"/>
      <c r="G3223" s="54"/>
      <c r="H3223" s="54"/>
      <c r="I3223" s="54"/>
      <c r="J3223" s="54"/>
      <c r="K3223" s="54"/>
      <c r="L3223" s="54"/>
      <c r="M3223" s="55"/>
      <c r="O3223" s="54"/>
    </row>
    <row r="3224">
      <c r="A3224" s="115"/>
      <c r="B3224" s="54"/>
      <c r="C3224" s="54"/>
      <c r="D3224" s="54"/>
      <c r="E3224" s="54"/>
      <c r="F3224" s="118"/>
      <c r="G3224" s="54"/>
      <c r="H3224" s="54"/>
      <c r="I3224" s="54"/>
      <c r="J3224" s="54"/>
      <c r="K3224" s="54"/>
      <c r="L3224" s="54"/>
      <c r="M3224" s="55"/>
      <c r="O3224" s="54"/>
    </row>
    <row r="3225">
      <c r="A3225" s="115"/>
      <c r="B3225" s="54"/>
      <c r="C3225" s="54"/>
      <c r="D3225" s="54"/>
      <c r="E3225" s="54"/>
      <c r="F3225" s="118"/>
      <c r="G3225" s="54"/>
      <c r="H3225" s="54"/>
      <c r="I3225" s="54"/>
      <c r="J3225" s="54"/>
      <c r="K3225" s="54"/>
      <c r="L3225" s="54"/>
      <c r="M3225" s="55"/>
      <c r="O3225" s="54"/>
    </row>
    <row r="3226">
      <c r="A3226" s="115"/>
      <c r="B3226" s="54"/>
      <c r="C3226" s="54"/>
      <c r="D3226" s="54"/>
      <c r="E3226" s="54"/>
      <c r="F3226" s="118"/>
      <c r="G3226" s="54"/>
      <c r="H3226" s="54"/>
      <c r="I3226" s="54"/>
      <c r="J3226" s="54"/>
      <c r="K3226" s="54"/>
      <c r="L3226" s="54"/>
      <c r="M3226" s="55"/>
      <c r="O3226" s="54"/>
    </row>
    <row r="3227">
      <c r="A3227" s="115"/>
      <c r="B3227" s="54"/>
      <c r="C3227" s="54"/>
      <c r="D3227" s="54"/>
      <c r="E3227" s="54"/>
      <c r="F3227" s="118"/>
      <c r="G3227" s="54"/>
      <c r="H3227" s="54"/>
      <c r="I3227" s="54"/>
      <c r="J3227" s="54"/>
      <c r="K3227" s="54"/>
      <c r="L3227" s="54"/>
      <c r="M3227" s="55"/>
      <c r="O3227" s="54"/>
    </row>
    <row r="3228">
      <c r="A3228" s="115"/>
      <c r="B3228" s="54"/>
      <c r="C3228" s="54"/>
      <c r="D3228" s="54"/>
      <c r="E3228" s="54"/>
      <c r="F3228" s="118"/>
      <c r="G3228" s="54"/>
      <c r="H3228" s="54"/>
      <c r="I3228" s="54"/>
      <c r="J3228" s="54"/>
      <c r="K3228" s="54"/>
      <c r="L3228" s="54"/>
      <c r="M3228" s="55"/>
      <c r="O3228" s="54"/>
    </row>
    <row r="3229">
      <c r="A3229" s="115"/>
      <c r="B3229" s="54"/>
      <c r="C3229" s="54"/>
      <c r="D3229" s="54"/>
      <c r="E3229" s="54"/>
      <c r="F3229" s="118"/>
      <c r="G3229" s="54"/>
      <c r="H3229" s="54"/>
      <c r="I3229" s="54"/>
      <c r="J3229" s="54"/>
      <c r="K3229" s="54"/>
      <c r="L3229" s="54"/>
      <c r="M3229" s="55"/>
      <c r="O3229" s="54"/>
    </row>
    <row r="3230">
      <c r="A3230" s="115"/>
      <c r="B3230" s="54"/>
      <c r="C3230" s="54"/>
      <c r="D3230" s="54"/>
      <c r="E3230" s="54"/>
      <c r="F3230" s="118"/>
      <c r="G3230" s="54"/>
      <c r="H3230" s="54"/>
      <c r="I3230" s="54"/>
      <c r="J3230" s="54"/>
      <c r="K3230" s="54"/>
      <c r="L3230" s="54"/>
      <c r="M3230" s="55"/>
      <c r="O3230" s="54"/>
    </row>
    <row r="3231">
      <c r="A3231" s="115"/>
      <c r="B3231" s="54"/>
      <c r="C3231" s="54"/>
      <c r="D3231" s="54"/>
      <c r="E3231" s="54"/>
      <c r="F3231" s="118"/>
      <c r="G3231" s="54"/>
      <c r="H3231" s="54"/>
      <c r="I3231" s="54"/>
      <c r="J3231" s="54"/>
      <c r="K3231" s="54"/>
      <c r="L3231" s="54"/>
      <c r="M3231" s="55"/>
      <c r="O3231" s="54"/>
    </row>
    <row r="3232">
      <c r="A3232" s="115"/>
      <c r="B3232" s="54"/>
      <c r="C3232" s="54"/>
      <c r="D3232" s="54"/>
      <c r="E3232" s="54"/>
      <c r="F3232" s="118"/>
      <c r="G3232" s="54"/>
      <c r="H3232" s="54"/>
      <c r="I3232" s="54"/>
      <c r="J3232" s="54"/>
      <c r="K3232" s="54"/>
      <c r="L3232" s="54"/>
      <c r="M3232" s="55"/>
      <c r="O3232" s="54"/>
    </row>
    <row r="3233">
      <c r="A3233" s="115"/>
      <c r="B3233" s="54"/>
      <c r="C3233" s="54"/>
      <c r="D3233" s="54"/>
      <c r="E3233" s="54"/>
      <c r="F3233" s="118"/>
      <c r="G3233" s="54"/>
      <c r="H3233" s="54"/>
      <c r="I3233" s="54"/>
      <c r="J3233" s="54"/>
      <c r="K3233" s="54"/>
      <c r="L3233" s="54"/>
      <c r="M3233" s="55"/>
      <c r="O3233" s="54"/>
    </row>
    <row r="3234">
      <c r="A3234" s="115"/>
      <c r="B3234" s="54"/>
      <c r="C3234" s="54"/>
      <c r="D3234" s="54"/>
      <c r="E3234" s="54"/>
      <c r="F3234" s="118"/>
      <c r="G3234" s="54"/>
      <c r="H3234" s="54"/>
      <c r="I3234" s="54"/>
      <c r="J3234" s="54"/>
      <c r="K3234" s="54"/>
      <c r="L3234" s="54"/>
      <c r="M3234" s="55"/>
      <c r="O3234" s="54"/>
    </row>
    <row r="3235">
      <c r="A3235" s="115"/>
      <c r="B3235" s="54"/>
      <c r="C3235" s="54"/>
      <c r="D3235" s="54"/>
      <c r="E3235" s="54"/>
      <c r="F3235" s="118"/>
      <c r="G3235" s="54"/>
      <c r="H3235" s="54"/>
      <c r="I3235" s="54"/>
      <c r="J3235" s="54"/>
      <c r="K3235" s="54"/>
      <c r="L3235" s="54"/>
      <c r="M3235" s="55"/>
      <c r="O3235" s="54"/>
    </row>
    <row r="3236">
      <c r="A3236" s="115"/>
      <c r="B3236" s="54"/>
      <c r="C3236" s="54"/>
      <c r="D3236" s="54"/>
      <c r="E3236" s="54"/>
      <c r="F3236" s="118"/>
      <c r="G3236" s="54"/>
      <c r="H3236" s="54"/>
      <c r="I3236" s="54"/>
      <c r="J3236" s="54"/>
      <c r="K3236" s="54"/>
      <c r="L3236" s="54"/>
      <c r="M3236" s="55"/>
      <c r="O3236" s="54"/>
    </row>
    <row r="3237">
      <c r="A3237" s="115"/>
      <c r="B3237" s="54"/>
      <c r="C3237" s="54"/>
      <c r="D3237" s="54"/>
      <c r="E3237" s="54"/>
      <c r="F3237" s="118"/>
      <c r="G3237" s="54"/>
      <c r="H3237" s="54"/>
      <c r="I3237" s="54"/>
      <c r="J3237" s="54"/>
      <c r="K3237" s="54"/>
      <c r="L3237" s="54"/>
      <c r="M3237" s="55"/>
      <c r="O3237" s="54"/>
    </row>
    <row r="3238">
      <c r="A3238" s="115"/>
      <c r="B3238" s="54"/>
      <c r="C3238" s="54"/>
      <c r="D3238" s="54"/>
      <c r="E3238" s="54"/>
      <c r="F3238" s="118"/>
      <c r="G3238" s="54"/>
      <c r="H3238" s="54"/>
      <c r="I3238" s="54"/>
      <c r="J3238" s="54"/>
      <c r="K3238" s="54"/>
      <c r="L3238" s="54"/>
      <c r="M3238" s="55"/>
      <c r="O3238" s="54"/>
    </row>
    <row r="3239">
      <c r="A3239" s="115"/>
      <c r="B3239" s="54"/>
      <c r="C3239" s="54"/>
      <c r="D3239" s="54"/>
      <c r="E3239" s="54"/>
      <c r="F3239" s="118"/>
      <c r="G3239" s="54"/>
      <c r="H3239" s="54"/>
      <c r="I3239" s="54"/>
      <c r="J3239" s="54"/>
      <c r="K3239" s="54"/>
      <c r="L3239" s="54"/>
      <c r="M3239" s="55"/>
      <c r="O3239" s="54"/>
    </row>
    <row r="3240">
      <c r="A3240" s="115"/>
      <c r="B3240" s="54"/>
      <c r="C3240" s="54"/>
      <c r="D3240" s="54"/>
      <c r="E3240" s="54"/>
      <c r="F3240" s="118"/>
      <c r="G3240" s="54"/>
      <c r="H3240" s="54"/>
      <c r="I3240" s="54"/>
      <c r="J3240" s="54"/>
      <c r="K3240" s="54"/>
      <c r="L3240" s="54"/>
      <c r="M3240" s="55"/>
      <c r="O3240" s="54"/>
    </row>
    <row r="3241">
      <c r="A3241" s="115"/>
      <c r="B3241" s="54"/>
      <c r="C3241" s="54"/>
      <c r="D3241" s="54"/>
      <c r="E3241" s="54"/>
      <c r="F3241" s="118"/>
      <c r="G3241" s="54"/>
      <c r="H3241" s="54"/>
      <c r="I3241" s="54"/>
      <c r="J3241" s="54"/>
      <c r="K3241" s="54"/>
      <c r="L3241" s="54"/>
      <c r="M3241" s="55"/>
      <c r="O3241" s="54"/>
    </row>
    <row r="3242">
      <c r="A3242" s="115"/>
      <c r="B3242" s="54"/>
      <c r="C3242" s="54"/>
      <c r="D3242" s="54"/>
      <c r="E3242" s="54"/>
      <c r="F3242" s="118"/>
      <c r="G3242" s="54"/>
      <c r="H3242" s="54"/>
      <c r="I3242" s="54"/>
      <c r="J3242" s="54"/>
      <c r="K3242" s="54"/>
      <c r="L3242" s="54"/>
      <c r="M3242" s="55"/>
      <c r="O3242" s="54"/>
    </row>
    <row r="3243">
      <c r="A3243" s="115"/>
      <c r="B3243" s="54"/>
      <c r="C3243" s="54"/>
      <c r="D3243" s="54"/>
      <c r="E3243" s="54"/>
      <c r="F3243" s="118"/>
      <c r="G3243" s="54"/>
      <c r="H3243" s="54"/>
      <c r="I3243" s="54"/>
      <c r="J3243" s="54"/>
      <c r="K3243" s="54"/>
      <c r="L3243" s="54"/>
      <c r="M3243" s="55"/>
      <c r="O3243" s="54"/>
    </row>
    <row r="3244">
      <c r="A3244" s="115"/>
      <c r="B3244" s="54"/>
      <c r="C3244" s="54"/>
      <c r="D3244" s="54"/>
      <c r="E3244" s="54"/>
      <c r="F3244" s="118"/>
      <c r="G3244" s="54"/>
      <c r="H3244" s="54"/>
      <c r="I3244" s="54"/>
      <c r="J3244" s="54"/>
      <c r="K3244" s="54"/>
      <c r="L3244" s="54"/>
      <c r="M3244" s="55"/>
      <c r="O3244" s="54"/>
    </row>
    <row r="3245">
      <c r="A3245" s="115"/>
      <c r="B3245" s="54"/>
      <c r="C3245" s="54"/>
      <c r="D3245" s="54"/>
      <c r="E3245" s="54"/>
      <c r="F3245" s="118"/>
      <c r="G3245" s="54"/>
      <c r="H3245" s="54"/>
      <c r="I3245" s="54"/>
      <c r="J3245" s="54"/>
      <c r="K3245" s="54"/>
      <c r="L3245" s="54"/>
      <c r="M3245" s="55"/>
      <c r="O3245" s="54"/>
    </row>
    <row r="3246">
      <c r="A3246" s="115"/>
      <c r="B3246" s="54"/>
      <c r="C3246" s="54"/>
      <c r="D3246" s="54"/>
      <c r="E3246" s="54"/>
      <c r="F3246" s="118"/>
      <c r="G3246" s="54"/>
      <c r="H3246" s="54"/>
      <c r="I3246" s="54"/>
      <c r="J3246" s="54"/>
      <c r="K3246" s="54"/>
      <c r="L3246" s="54"/>
      <c r="M3246" s="55"/>
      <c r="O3246" s="54"/>
    </row>
    <row r="3247">
      <c r="A3247" s="115"/>
      <c r="B3247" s="54"/>
      <c r="C3247" s="54"/>
      <c r="D3247" s="54"/>
      <c r="E3247" s="54"/>
      <c r="F3247" s="118"/>
      <c r="G3247" s="54"/>
      <c r="H3247" s="54"/>
      <c r="I3247" s="54"/>
      <c r="J3247" s="54"/>
      <c r="K3247" s="54"/>
      <c r="L3247" s="54"/>
      <c r="M3247" s="55"/>
      <c r="O3247" s="54"/>
    </row>
    <row r="3248">
      <c r="A3248" s="115"/>
      <c r="B3248" s="54"/>
      <c r="C3248" s="54"/>
      <c r="D3248" s="54"/>
      <c r="E3248" s="54"/>
      <c r="F3248" s="118"/>
      <c r="G3248" s="54"/>
      <c r="H3248" s="54"/>
      <c r="I3248" s="54"/>
      <c r="J3248" s="54"/>
      <c r="K3248" s="54"/>
      <c r="L3248" s="54"/>
      <c r="M3248" s="55"/>
      <c r="O3248" s="54"/>
    </row>
    <row r="3249">
      <c r="A3249" s="115"/>
      <c r="B3249" s="54"/>
      <c r="C3249" s="54"/>
      <c r="D3249" s="54"/>
      <c r="E3249" s="54"/>
      <c r="F3249" s="118"/>
      <c r="G3249" s="54"/>
      <c r="H3249" s="54"/>
      <c r="I3249" s="54"/>
      <c r="J3249" s="54"/>
      <c r="K3249" s="54"/>
      <c r="L3249" s="54"/>
      <c r="M3249" s="55"/>
      <c r="O3249" s="54"/>
    </row>
    <row r="3250">
      <c r="A3250" s="115"/>
      <c r="B3250" s="54"/>
      <c r="C3250" s="54"/>
      <c r="D3250" s="54"/>
      <c r="E3250" s="54"/>
      <c r="F3250" s="118"/>
      <c r="G3250" s="54"/>
      <c r="H3250" s="54"/>
      <c r="I3250" s="54"/>
      <c r="J3250" s="54"/>
      <c r="K3250" s="54"/>
      <c r="L3250" s="54"/>
      <c r="M3250" s="55"/>
      <c r="O3250" s="54"/>
    </row>
    <row r="3251">
      <c r="A3251" s="115"/>
      <c r="B3251" s="54"/>
      <c r="C3251" s="54"/>
      <c r="D3251" s="54"/>
      <c r="E3251" s="54"/>
      <c r="F3251" s="118"/>
      <c r="G3251" s="54"/>
      <c r="H3251" s="54"/>
      <c r="I3251" s="54"/>
      <c r="J3251" s="54"/>
      <c r="K3251" s="54"/>
      <c r="L3251" s="54"/>
      <c r="M3251" s="55"/>
      <c r="O3251" s="54"/>
    </row>
    <row r="3252">
      <c r="A3252" s="115"/>
      <c r="B3252" s="54"/>
      <c r="C3252" s="54"/>
      <c r="D3252" s="54"/>
      <c r="E3252" s="54"/>
      <c r="F3252" s="118"/>
      <c r="G3252" s="54"/>
      <c r="H3252" s="54"/>
      <c r="I3252" s="54"/>
      <c r="J3252" s="54"/>
      <c r="K3252" s="54"/>
      <c r="L3252" s="54"/>
      <c r="M3252" s="55"/>
      <c r="O3252" s="54"/>
    </row>
    <row r="3253">
      <c r="A3253" s="115"/>
      <c r="B3253" s="54"/>
      <c r="C3253" s="54"/>
      <c r="D3253" s="54"/>
      <c r="E3253" s="54"/>
      <c r="F3253" s="118"/>
      <c r="G3253" s="54"/>
      <c r="H3253" s="54"/>
      <c r="I3253" s="54"/>
      <c r="J3253" s="54"/>
      <c r="K3253" s="54"/>
      <c r="L3253" s="54"/>
      <c r="M3253" s="55"/>
      <c r="O3253" s="54"/>
    </row>
    <row r="3254">
      <c r="A3254" s="115"/>
      <c r="B3254" s="54"/>
      <c r="C3254" s="54"/>
      <c r="D3254" s="54"/>
      <c r="E3254" s="54"/>
      <c r="F3254" s="118"/>
      <c r="G3254" s="54"/>
      <c r="H3254" s="54"/>
      <c r="I3254" s="54"/>
      <c r="J3254" s="54"/>
      <c r="K3254" s="54"/>
      <c r="L3254" s="54"/>
      <c r="M3254" s="55"/>
      <c r="O3254" s="54"/>
    </row>
    <row r="3255">
      <c r="A3255" s="115"/>
      <c r="B3255" s="54"/>
      <c r="C3255" s="54"/>
      <c r="D3255" s="54"/>
      <c r="E3255" s="54"/>
      <c r="F3255" s="118"/>
      <c r="G3255" s="54"/>
      <c r="H3255" s="54"/>
      <c r="I3255" s="54"/>
      <c r="J3255" s="54"/>
      <c r="K3255" s="54"/>
      <c r="L3255" s="54"/>
      <c r="M3255" s="55"/>
      <c r="O3255" s="54"/>
    </row>
    <row r="3256">
      <c r="A3256" s="115"/>
      <c r="B3256" s="54"/>
      <c r="C3256" s="54"/>
      <c r="D3256" s="54"/>
      <c r="E3256" s="54"/>
      <c r="F3256" s="118"/>
      <c r="G3256" s="54"/>
      <c r="H3256" s="54"/>
      <c r="I3256" s="54"/>
      <c r="J3256" s="54"/>
      <c r="K3256" s="54"/>
      <c r="L3256" s="54"/>
      <c r="M3256" s="55"/>
      <c r="O3256" s="54"/>
    </row>
    <row r="3257">
      <c r="A3257" s="115"/>
      <c r="B3257" s="54"/>
      <c r="C3257" s="54"/>
      <c r="D3257" s="54"/>
      <c r="E3257" s="54"/>
      <c r="F3257" s="118"/>
      <c r="G3257" s="54"/>
      <c r="H3257" s="54"/>
      <c r="I3257" s="54"/>
      <c r="J3257" s="54"/>
      <c r="K3257" s="54"/>
      <c r="L3257" s="54"/>
      <c r="M3257" s="55"/>
      <c r="O3257" s="54"/>
    </row>
    <row r="3258">
      <c r="A3258" s="115"/>
      <c r="B3258" s="54"/>
      <c r="C3258" s="54"/>
      <c r="D3258" s="54"/>
      <c r="E3258" s="54"/>
      <c r="F3258" s="118"/>
      <c r="G3258" s="54"/>
      <c r="H3258" s="54"/>
      <c r="I3258" s="54"/>
      <c r="J3258" s="54"/>
      <c r="K3258" s="54"/>
      <c r="L3258" s="54"/>
      <c r="M3258" s="55"/>
      <c r="O3258" s="54"/>
    </row>
    <row r="3259">
      <c r="A3259" s="115"/>
      <c r="B3259" s="54"/>
      <c r="C3259" s="54"/>
      <c r="D3259" s="54"/>
      <c r="E3259" s="54"/>
      <c r="F3259" s="118"/>
      <c r="G3259" s="54"/>
      <c r="H3259" s="54"/>
      <c r="I3259" s="54"/>
      <c r="J3259" s="54"/>
      <c r="K3259" s="54"/>
      <c r="L3259" s="54"/>
      <c r="M3259" s="55"/>
      <c r="O3259" s="54"/>
    </row>
    <row r="3260">
      <c r="A3260" s="115"/>
      <c r="B3260" s="54"/>
      <c r="C3260" s="54"/>
      <c r="D3260" s="54"/>
      <c r="E3260" s="54"/>
      <c r="F3260" s="118"/>
      <c r="G3260" s="54"/>
      <c r="H3260" s="54"/>
      <c r="I3260" s="54"/>
      <c r="J3260" s="54"/>
      <c r="K3260" s="54"/>
      <c r="L3260" s="54"/>
      <c r="M3260" s="55"/>
      <c r="O3260" s="54"/>
    </row>
    <row r="3261">
      <c r="A3261" s="115"/>
      <c r="B3261" s="54"/>
      <c r="C3261" s="54"/>
      <c r="D3261" s="54"/>
      <c r="E3261" s="54"/>
      <c r="F3261" s="118"/>
      <c r="G3261" s="54"/>
      <c r="H3261" s="54"/>
      <c r="I3261" s="54"/>
      <c r="J3261" s="54"/>
      <c r="K3261" s="54"/>
      <c r="L3261" s="54"/>
      <c r="M3261" s="55"/>
      <c r="O3261" s="54"/>
    </row>
    <row r="3262">
      <c r="A3262" s="115"/>
      <c r="B3262" s="54"/>
      <c r="C3262" s="54"/>
      <c r="D3262" s="54"/>
      <c r="E3262" s="54"/>
      <c r="F3262" s="118"/>
      <c r="G3262" s="54"/>
      <c r="H3262" s="54"/>
      <c r="I3262" s="54"/>
      <c r="J3262" s="54"/>
      <c r="K3262" s="54"/>
      <c r="L3262" s="54"/>
      <c r="M3262" s="55"/>
      <c r="O3262" s="54"/>
    </row>
    <row r="3263">
      <c r="A3263" s="115"/>
      <c r="B3263" s="54"/>
      <c r="C3263" s="54"/>
      <c r="D3263" s="54"/>
      <c r="E3263" s="54"/>
      <c r="F3263" s="118"/>
      <c r="G3263" s="54"/>
      <c r="H3263" s="54"/>
      <c r="I3263" s="54"/>
      <c r="J3263" s="54"/>
      <c r="K3263" s="54"/>
      <c r="L3263" s="54"/>
      <c r="M3263" s="55"/>
      <c r="O3263" s="54"/>
    </row>
    <row r="3264">
      <c r="A3264" s="115"/>
      <c r="B3264" s="54"/>
      <c r="C3264" s="54"/>
      <c r="D3264" s="54"/>
      <c r="E3264" s="54"/>
      <c r="F3264" s="118"/>
      <c r="G3264" s="54"/>
      <c r="H3264" s="54"/>
      <c r="I3264" s="54"/>
      <c r="J3264" s="54"/>
      <c r="K3264" s="54"/>
      <c r="L3264" s="54"/>
      <c r="M3264" s="55"/>
      <c r="O3264" s="54"/>
    </row>
    <row r="3265">
      <c r="A3265" s="115"/>
      <c r="B3265" s="54"/>
      <c r="C3265" s="54"/>
      <c r="D3265" s="54"/>
      <c r="E3265" s="54"/>
      <c r="F3265" s="118"/>
      <c r="G3265" s="54"/>
      <c r="H3265" s="54"/>
      <c r="I3265" s="54"/>
      <c r="J3265" s="54"/>
      <c r="K3265" s="54"/>
      <c r="L3265" s="54"/>
      <c r="M3265" s="55"/>
      <c r="O3265" s="54"/>
    </row>
    <row r="3266">
      <c r="A3266" s="115"/>
      <c r="B3266" s="54"/>
      <c r="C3266" s="54"/>
      <c r="D3266" s="54"/>
      <c r="E3266" s="54"/>
      <c r="F3266" s="118"/>
      <c r="G3266" s="54"/>
      <c r="H3266" s="54"/>
      <c r="I3266" s="54"/>
      <c r="J3266" s="54"/>
      <c r="K3266" s="54"/>
      <c r="L3266" s="54"/>
      <c r="M3266" s="55"/>
      <c r="O3266" s="54"/>
    </row>
    <row r="3267">
      <c r="A3267" s="115"/>
      <c r="B3267" s="54"/>
      <c r="C3267" s="54"/>
      <c r="D3267" s="54"/>
      <c r="E3267" s="54"/>
      <c r="F3267" s="118"/>
      <c r="G3267" s="54"/>
      <c r="H3267" s="54"/>
      <c r="I3267" s="54"/>
      <c r="J3267" s="54"/>
      <c r="K3267" s="54"/>
      <c r="L3267" s="54"/>
      <c r="M3267" s="55"/>
      <c r="O3267" s="54"/>
    </row>
    <row r="3268">
      <c r="A3268" s="115"/>
      <c r="B3268" s="54"/>
      <c r="C3268" s="54"/>
      <c r="D3268" s="54"/>
      <c r="E3268" s="54"/>
      <c r="F3268" s="118"/>
      <c r="G3268" s="54"/>
      <c r="H3268" s="54"/>
      <c r="I3268" s="54"/>
      <c r="J3268" s="54"/>
      <c r="K3268" s="54"/>
      <c r="L3268" s="54"/>
      <c r="M3268" s="55"/>
      <c r="O3268" s="54"/>
    </row>
    <row r="3269">
      <c r="A3269" s="115"/>
      <c r="B3269" s="54"/>
      <c r="C3269" s="54"/>
      <c r="D3269" s="54"/>
      <c r="E3269" s="54"/>
      <c r="F3269" s="118"/>
      <c r="G3269" s="54"/>
      <c r="H3269" s="54"/>
      <c r="I3269" s="54"/>
      <c r="J3269" s="54"/>
      <c r="K3269" s="54"/>
      <c r="L3269" s="54"/>
      <c r="M3269" s="55"/>
      <c r="O3269" s="54"/>
    </row>
    <row r="3270">
      <c r="A3270" s="115"/>
      <c r="B3270" s="54"/>
      <c r="C3270" s="54"/>
      <c r="D3270" s="54"/>
      <c r="E3270" s="54"/>
      <c r="F3270" s="118"/>
      <c r="G3270" s="54"/>
      <c r="H3270" s="54"/>
      <c r="I3270" s="54"/>
      <c r="J3270" s="54"/>
      <c r="K3270" s="54"/>
      <c r="L3270" s="54"/>
      <c r="M3270" s="55"/>
      <c r="O3270" s="54"/>
    </row>
    <row r="3271">
      <c r="A3271" s="115"/>
      <c r="B3271" s="54"/>
      <c r="C3271" s="54"/>
      <c r="D3271" s="54"/>
      <c r="E3271" s="54"/>
      <c r="F3271" s="118"/>
      <c r="G3271" s="54"/>
      <c r="H3271" s="54"/>
      <c r="I3271" s="54"/>
      <c r="J3271" s="54"/>
      <c r="K3271" s="54"/>
      <c r="L3271" s="54"/>
      <c r="M3271" s="55"/>
      <c r="O3271" s="54"/>
    </row>
    <row r="3272">
      <c r="A3272" s="115"/>
      <c r="B3272" s="54"/>
      <c r="C3272" s="54"/>
      <c r="D3272" s="54"/>
      <c r="E3272" s="54"/>
      <c r="F3272" s="118"/>
      <c r="G3272" s="54"/>
      <c r="H3272" s="54"/>
      <c r="I3272" s="54"/>
      <c r="J3272" s="54"/>
      <c r="K3272" s="54"/>
      <c r="L3272" s="54"/>
      <c r="M3272" s="55"/>
      <c r="O3272" s="54"/>
    </row>
    <row r="3273">
      <c r="A3273" s="115"/>
      <c r="B3273" s="54"/>
      <c r="C3273" s="54"/>
      <c r="D3273" s="54"/>
      <c r="E3273" s="54"/>
      <c r="F3273" s="118"/>
      <c r="G3273" s="54"/>
      <c r="H3273" s="54"/>
      <c r="I3273" s="54"/>
      <c r="J3273" s="54"/>
      <c r="K3273" s="54"/>
      <c r="L3273" s="54"/>
      <c r="M3273" s="55"/>
      <c r="O3273" s="54"/>
    </row>
    <row r="3274">
      <c r="A3274" s="115"/>
      <c r="B3274" s="54"/>
      <c r="C3274" s="54"/>
      <c r="D3274" s="54"/>
      <c r="E3274" s="54"/>
      <c r="F3274" s="118"/>
      <c r="G3274" s="54"/>
      <c r="H3274" s="54"/>
      <c r="I3274" s="54"/>
      <c r="J3274" s="54"/>
      <c r="K3274" s="54"/>
      <c r="L3274" s="54"/>
      <c r="M3274" s="55"/>
      <c r="O3274" s="54"/>
    </row>
    <row r="3275">
      <c r="A3275" s="115"/>
      <c r="B3275" s="54"/>
      <c r="C3275" s="54"/>
      <c r="D3275" s="54"/>
      <c r="E3275" s="54"/>
      <c r="F3275" s="118"/>
      <c r="G3275" s="54"/>
      <c r="H3275" s="54"/>
      <c r="I3275" s="54"/>
      <c r="J3275" s="54"/>
      <c r="K3275" s="54"/>
      <c r="L3275" s="54"/>
      <c r="M3275" s="55"/>
      <c r="O3275" s="54"/>
    </row>
    <row r="3276">
      <c r="A3276" s="115"/>
      <c r="B3276" s="54"/>
      <c r="C3276" s="54"/>
      <c r="D3276" s="54"/>
      <c r="E3276" s="54"/>
      <c r="F3276" s="118"/>
      <c r="G3276" s="54"/>
      <c r="H3276" s="54"/>
      <c r="I3276" s="54"/>
      <c r="J3276" s="54"/>
      <c r="K3276" s="54"/>
      <c r="L3276" s="54"/>
      <c r="M3276" s="55"/>
      <c r="O3276" s="54"/>
    </row>
    <row r="3277">
      <c r="A3277" s="115"/>
      <c r="B3277" s="54"/>
      <c r="C3277" s="54"/>
      <c r="D3277" s="54"/>
      <c r="E3277" s="54"/>
      <c r="F3277" s="118"/>
      <c r="G3277" s="54"/>
      <c r="H3277" s="54"/>
      <c r="I3277" s="54"/>
      <c r="J3277" s="54"/>
      <c r="K3277" s="54"/>
      <c r="L3277" s="54"/>
      <c r="M3277" s="55"/>
      <c r="O3277" s="54"/>
    </row>
    <row r="3278">
      <c r="A3278" s="115"/>
      <c r="B3278" s="54"/>
      <c r="C3278" s="54"/>
      <c r="D3278" s="54"/>
      <c r="E3278" s="54"/>
      <c r="F3278" s="118"/>
      <c r="G3278" s="54"/>
      <c r="H3278" s="54"/>
      <c r="I3278" s="54"/>
      <c r="J3278" s="54"/>
      <c r="K3278" s="54"/>
      <c r="L3278" s="54"/>
      <c r="M3278" s="55"/>
      <c r="O3278" s="54"/>
    </row>
    <row r="3279">
      <c r="A3279" s="115"/>
      <c r="B3279" s="54"/>
      <c r="C3279" s="54"/>
      <c r="D3279" s="54"/>
      <c r="E3279" s="54"/>
      <c r="F3279" s="118"/>
      <c r="G3279" s="54"/>
      <c r="H3279" s="54"/>
      <c r="I3279" s="54"/>
      <c r="J3279" s="54"/>
      <c r="K3279" s="54"/>
      <c r="L3279" s="54"/>
      <c r="M3279" s="55"/>
      <c r="O3279" s="54"/>
    </row>
    <row r="3280">
      <c r="A3280" s="115"/>
      <c r="B3280" s="54"/>
      <c r="C3280" s="54"/>
      <c r="D3280" s="54"/>
      <c r="E3280" s="54"/>
      <c r="F3280" s="118"/>
      <c r="G3280" s="54"/>
      <c r="H3280" s="54"/>
      <c r="I3280" s="54"/>
      <c r="J3280" s="54"/>
      <c r="K3280" s="54"/>
      <c r="L3280" s="54"/>
      <c r="M3280" s="55"/>
      <c r="O3280" s="54"/>
    </row>
    <row r="3281">
      <c r="A3281" s="115"/>
      <c r="B3281" s="54"/>
      <c r="C3281" s="54"/>
      <c r="D3281" s="54"/>
      <c r="E3281" s="54"/>
      <c r="F3281" s="118"/>
      <c r="G3281" s="54"/>
      <c r="H3281" s="54"/>
      <c r="I3281" s="54"/>
      <c r="J3281" s="54"/>
      <c r="K3281" s="54"/>
      <c r="L3281" s="54"/>
      <c r="M3281" s="55"/>
      <c r="O3281" s="54"/>
    </row>
    <row r="3282">
      <c r="A3282" s="115"/>
      <c r="B3282" s="54"/>
      <c r="C3282" s="54"/>
      <c r="D3282" s="54"/>
      <c r="E3282" s="54"/>
      <c r="F3282" s="118"/>
      <c r="G3282" s="54"/>
      <c r="H3282" s="54"/>
      <c r="I3282" s="54"/>
      <c r="J3282" s="54"/>
      <c r="K3282" s="54"/>
      <c r="L3282" s="54"/>
      <c r="M3282" s="55"/>
      <c r="O3282" s="54"/>
    </row>
    <row r="3283">
      <c r="A3283" s="115"/>
      <c r="B3283" s="54"/>
      <c r="C3283" s="54"/>
      <c r="D3283" s="54"/>
      <c r="E3283" s="54"/>
      <c r="F3283" s="118"/>
      <c r="G3283" s="54"/>
      <c r="H3283" s="54"/>
      <c r="I3283" s="54"/>
      <c r="J3283" s="54"/>
      <c r="K3283" s="54"/>
      <c r="L3283" s="54"/>
      <c r="M3283" s="55"/>
      <c r="O3283" s="54"/>
    </row>
    <row r="3284">
      <c r="A3284" s="115"/>
      <c r="B3284" s="54"/>
      <c r="C3284" s="54"/>
      <c r="D3284" s="54"/>
      <c r="E3284" s="54"/>
      <c r="F3284" s="118"/>
      <c r="G3284" s="54"/>
      <c r="H3284" s="54"/>
      <c r="I3284" s="54"/>
      <c r="J3284" s="54"/>
      <c r="K3284" s="54"/>
      <c r="L3284" s="54"/>
      <c r="M3284" s="55"/>
      <c r="O3284" s="54"/>
    </row>
    <row r="3285">
      <c r="A3285" s="115"/>
      <c r="B3285" s="54"/>
      <c r="C3285" s="54"/>
      <c r="D3285" s="54"/>
      <c r="E3285" s="54"/>
      <c r="F3285" s="118"/>
      <c r="G3285" s="54"/>
      <c r="H3285" s="54"/>
      <c r="I3285" s="54"/>
      <c r="J3285" s="54"/>
      <c r="K3285" s="54"/>
      <c r="L3285" s="54"/>
      <c r="M3285" s="55"/>
      <c r="O3285" s="54"/>
    </row>
    <row r="3286">
      <c r="A3286" s="115"/>
      <c r="B3286" s="54"/>
      <c r="C3286" s="54"/>
      <c r="D3286" s="54"/>
      <c r="E3286" s="54"/>
      <c r="F3286" s="118"/>
      <c r="G3286" s="54"/>
      <c r="H3286" s="54"/>
      <c r="I3286" s="54"/>
      <c r="J3286" s="54"/>
      <c r="K3286" s="54"/>
      <c r="L3286" s="54"/>
      <c r="M3286" s="55"/>
      <c r="O3286" s="54"/>
    </row>
    <row r="3287">
      <c r="A3287" s="115"/>
      <c r="B3287" s="54"/>
      <c r="C3287" s="54"/>
      <c r="D3287" s="54"/>
      <c r="E3287" s="54"/>
      <c r="F3287" s="118"/>
      <c r="G3287" s="54"/>
      <c r="H3287" s="54"/>
      <c r="I3287" s="54"/>
      <c r="J3287" s="54"/>
      <c r="K3287" s="54"/>
      <c r="L3287" s="54"/>
      <c r="M3287" s="55"/>
      <c r="O3287" s="54"/>
    </row>
    <row r="3288">
      <c r="A3288" s="115"/>
      <c r="B3288" s="54"/>
      <c r="C3288" s="54"/>
      <c r="D3288" s="54"/>
      <c r="E3288" s="54"/>
      <c r="F3288" s="118"/>
      <c r="G3288" s="54"/>
      <c r="H3288" s="54"/>
      <c r="I3288" s="54"/>
      <c r="J3288" s="54"/>
      <c r="K3288" s="54"/>
      <c r="L3288" s="54"/>
      <c r="M3288" s="55"/>
      <c r="O3288" s="54"/>
    </row>
    <row r="3289">
      <c r="A3289" s="115"/>
      <c r="B3289" s="54"/>
      <c r="C3289" s="54"/>
      <c r="D3289" s="54"/>
      <c r="E3289" s="54"/>
      <c r="F3289" s="118"/>
      <c r="G3289" s="54"/>
      <c r="H3289" s="54"/>
      <c r="I3289" s="54"/>
      <c r="J3289" s="54"/>
      <c r="K3289" s="54"/>
      <c r="L3289" s="54"/>
      <c r="M3289" s="55"/>
      <c r="O3289" s="54"/>
    </row>
    <row r="3290">
      <c r="A3290" s="115"/>
      <c r="B3290" s="54"/>
      <c r="C3290" s="54"/>
      <c r="D3290" s="54"/>
      <c r="E3290" s="54"/>
      <c r="F3290" s="118"/>
      <c r="G3290" s="54"/>
      <c r="H3290" s="54"/>
      <c r="I3290" s="54"/>
      <c r="J3290" s="54"/>
      <c r="K3290" s="54"/>
      <c r="L3290" s="54"/>
      <c r="M3290" s="55"/>
      <c r="O3290" s="54"/>
    </row>
    <row r="3291">
      <c r="A3291" s="115"/>
      <c r="B3291" s="54"/>
      <c r="C3291" s="54"/>
      <c r="D3291" s="54"/>
      <c r="E3291" s="54"/>
      <c r="F3291" s="118"/>
      <c r="G3291" s="54"/>
      <c r="H3291" s="54"/>
      <c r="I3291" s="54"/>
      <c r="J3291" s="54"/>
      <c r="K3291" s="54"/>
      <c r="L3291" s="54"/>
      <c r="M3291" s="55"/>
      <c r="O3291" s="54"/>
    </row>
    <row r="3292">
      <c r="A3292" s="115"/>
      <c r="B3292" s="54"/>
      <c r="C3292" s="54"/>
      <c r="D3292" s="54"/>
      <c r="E3292" s="54"/>
      <c r="F3292" s="118"/>
      <c r="G3292" s="54"/>
      <c r="H3292" s="54"/>
      <c r="I3292" s="54"/>
      <c r="J3292" s="54"/>
      <c r="K3292" s="54"/>
      <c r="L3292" s="54"/>
      <c r="M3292" s="55"/>
      <c r="O3292" s="54"/>
    </row>
    <row r="3293">
      <c r="A3293" s="115"/>
      <c r="B3293" s="54"/>
      <c r="C3293" s="54"/>
      <c r="D3293" s="54"/>
      <c r="E3293" s="54"/>
      <c r="F3293" s="118"/>
      <c r="G3293" s="54"/>
      <c r="H3293" s="54"/>
      <c r="I3293" s="54"/>
      <c r="J3293" s="54"/>
      <c r="K3293" s="54"/>
      <c r="L3293" s="54"/>
      <c r="M3293" s="55"/>
      <c r="O3293" s="54"/>
    </row>
    <row r="3294">
      <c r="A3294" s="115"/>
      <c r="B3294" s="54"/>
      <c r="C3294" s="54"/>
      <c r="D3294" s="54"/>
      <c r="E3294" s="54"/>
      <c r="F3294" s="118"/>
      <c r="G3294" s="54"/>
      <c r="H3294" s="54"/>
      <c r="I3294" s="54"/>
      <c r="J3294" s="54"/>
      <c r="K3294" s="54"/>
      <c r="L3294" s="54"/>
      <c r="M3294" s="55"/>
      <c r="O3294" s="54"/>
    </row>
    <row r="3295">
      <c r="A3295" s="115"/>
      <c r="B3295" s="54"/>
      <c r="C3295" s="54"/>
      <c r="D3295" s="54"/>
      <c r="E3295" s="54"/>
      <c r="F3295" s="118"/>
      <c r="G3295" s="54"/>
      <c r="H3295" s="54"/>
      <c r="I3295" s="54"/>
      <c r="J3295" s="54"/>
      <c r="K3295" s="54"/>
      <c r="L3295" s="54"/>
      <c r="M3295" s="55"/>
      <c r="O3295" s="54"/>
    </row>
    <row r="3296">
      <c r="A3296" s="115"/>
      <c r="B3296" s="54"/>
      <c r="C3296" s="54"/>
      <c r="D3296" s="54"/>
      <c r="E3296" s="54"/>
      <c r="F3296" s="118"/>
      <c r="G3296" s="54"/>
      <c r="H3296" s="54"/>
      <c r="I3296" s="54"/>
      <c r="J3296" s="54"/>
      <c r="K3296" s="54"/>
      <c r="L3296" s="54"/>
      <c r="M3296" s="55"/>
      <c r="O3296" s="54"/>
    </row>
    <row r="3297">
      <c r="A3297" s="115"/>
      <c r="B3297" s="54"/>
      <c r="C3297" s="54"/>
      <c r="D3297" s="54"/>
      <c r="E3297" s="54"/>
      <c r="F3297" s="118"/>
      <c r="G3297" s="54"/>
      <c r="H3297" s="54"/>
      <c r="I3297" s="54"/>
      <c r="J3297" s="54"/>
      <c r="K3297" s="54"/>
      <c r="L3297" s="54"/>
      <c r="M3297" s="55"/>
      <c r="O3297" s="54"/>
    </row>
    <row r="3298">
      <c r="A3298" s="115"/>
      <c r="B3298" s="54"/>
      <c r="C3298" s="54"/>
      <c r="D3298" s="54"/>
      <c r="E3298" s="54"/>
      <c r="F3298" s="118"/>
      <c r="G3298" s="54"/>
      <c r="H3298" s="54"/>
      <c r="I3298" s="54"/>
      <c r="J3298" s="54"/>
      <c r="K3298" s="54"/>
      <c r="L3298" s="54"/>
      <c r="M3298" s="55"/>
      <c r="O3298" s="54"/>
    </row>
    <row r="3299">
      <c r="A3299" s="115"/>
      <c r="B3299" s="54"/>
      <c r="C3299" s="54"/>
      <c r="D3299" s="54"/>
      <c r="E3299" s="54"/>
      <c r="F3299" s="118"/>
      <c r="G3299" s="54"/>
      <c r="H3299" s="54"/>
      <c r="I3299" s="54"/>
      <c r="J3299" s="54"/>
      <c r="K3299" s="54"/>
      <c r="L3299" s="54"/>
      <c r="M3299" s="55"/>
      <c r="O3299" s="54"/>
    </row>
    <row r="3300">
      <c r="A3300" s="115"/>
      <c r="B3300" s="54"/>
      <c r="C3300" s="54"/>
      <c r="D3300" s="54"/>
      <c r="E3300" s="54"/>
      <c r="F3300" s="118"/>
      <c r="G3300" s="54"/>
      <c r="H3300" s="54"/>
      <c r="I3300" s="54"/>
      <c r="J3300" s="54"/>
      <c r="K3300" s="54"/>
      <c r="L3300" s="54"/>
      <c r="M3300" s="55"/>
      <c r="O3300" s="54"/>
    </row>
    <row r="3301">
      <c r="A3301" s="115"/>
      <c r="B3301" s="54"/>
      <c r="C3301" s="54"/>
      <c r="D3301" s="54"/>
      <c r="E3301" s="54"/>
      <c r="F3301" s="118"/>
      <c r="G3301" s="54"/>
      <c r="H3301" s="54"/>
      <c r="I3301" s="54"/>
      <c r="J3301" s="54"/>
      <c r="K3301" s="54"/>
      <c r="L3301" s="54"/>
      <c r="M3301" s="55"/>
      <c r="O3301" s="54"/>
    </row>
    <row r="3302">
      <c r="A3302" s="115"/>
      <c r="B3302" s="54"/>
      <c r="C3302" s="54"/>
      <c r="D3302" s="54"/>
      <c r="E3302" s="54"/>
      <c r="F3302" s="118"/>
      <c r="G3302" s="54"/>
      <c r="H3302" s="54"/>
      <c r="I3302" s="54"/>
      <c r="J3302" s="54"/>
      <c r="K3302" s="54"/>
      <c r="L3302" s="54"/>
      <c r="M3302" s="55"/>
      <c r="O3302" s="54"/>
    </row>
    <row r="3303">
      <c r="A3303" s="115"/>
      <c r="B3303" s="54"/>
      <c r="C3303" s="54"/>
      <c r="D3303" s="54"/>
      <c r="E3303" s="54"/>
      <c r="F3303" s="118"/>
      <c r="G3303" s="54"/>
      <c r="H3303" s="54"/>
      <c r="I3303" s="54"/>
      <c r="J3303" s="54"/>
      <c r="K3303" s="54"/>
      <c r="L3303" s="54"/>
      <c r="M3303" s="55"/>
      <c r="O3303" s="54"/>
    </row>
    <row r="3304">
      <c r="A3304" s="115"/>
      <c r="B3304" s="54"/>
      <c r="C3304" s="54"/>
      <c r="D3304" s="54"/>
      <c r="E3304" s="54"/>
      <c r="F3304" s="118"/>
      <c r="G3304" s="54"/>
      <c r="H3304" s="54"/>
      <c r="I3304" s="54"/>
      <c r="J3304" s="54"/>
      <c r="K3304" s="54"/>
      <c r="L3304" s="54"/>
      <c r="M3304" s="55"/>
      <c r="O3304" s="54"/>
    </row>
    <row r="3305">
      <c r="A3305" s="115"/>
      <c r="B3305" s="54"/>
      <c r="C3305" s="54"/>
      <c r="D3305" s="54"/>
      <c r="E3305" s="54"/>
      <c r="F3305" s="118"/>
      <c r="G3305" s="54"/>
      <c r="H3305" s="54"/>
      <c r="I3305" s="54"/>
      <c r="J3305" s="54"/>
      <c r="K3305" s="54"/>
      <c r="L3305" s="54"/>
      <c r="M3305" s="55"/>
      <c r="O3305" s="54"/>
    </row>
    <row r="3306">
      <c r="A3306" s="115"/>
      <c r="B3306" s="54"/>
      <c r="C3306" s="54"/>
      <c r="D3306" s="54"/>
      <c r="E3306" s="54"/>
      <c r="F3306" s="118"/>
      <c r="G3306" s="54"/>
      <c r="H3306" s="54"/>
      <c r="I3306" s="54"/>
      <c r="J3306" s="54"/>
      <c r="K3306" s="54"/>
      <c r="L3306" s="54"/>
      <c r="M3306" s="55"/>
      <c r="O3306" s="54"/>
    </row>
    <row r="3307">
      <c r="A3307" s="115"/>
      <c r="B3307" s="54"/>
      <c r="C3307" s="54"/>
      <c r="D3307" s="54"/>
      <c r="E3307" s="54"/>
      <c r="F3307" s="118"/>
      <c r="G3307" s="54"/>
      <c r="H3307" s="54"/>
      <c r="I3307" s="54"/>
      <c r="J3307" s="54"/>
      <c r="K3307" s="54"/>
      <c r="L3307" s="54"/>
      <c r="M3307" s="55"/>
      <c r="O3307" s="54"/>
    </row>
    <row r="3308">
      <c r="A3308" s="115"/>
      <c r="B3308" s="54"/>
      <c r="C3308" s="54"/>
      <c r="D3308" s="54"/>
      <c r="E3308" s="54"/>
      <c r="F3308" s="118"/>
      <c r="G3308" s="54"/>
      <c r="H3308" s="54"/>
      <c r="I3308" s="54"/>
      <c r="J3308" s="54"/>
      <c r="K3308" s="54"/>
      <c r="L3308" s="54"/>
      <c r="M3308" s="55"/>
      <c r="O3308" s="54"/>
    </row>
    <row r="3309">
      <c r="A3309" s="115"/>
      <c r="B3309" s="54"/>
      <c r="C3309" s="54"/>
      <c r="D3309" s="54"/>
      <c r="E3309" s="54"/>
      <c r="F3309" s="118"/>
      <c r="G3309" s="54"/>
      <c r="H3309" s="54"/>
      <c r="I3309" s="54"/>
      <c r="J3309" s="54"/>
      <c r="K3309" s="54"/>
      <c r="L3309" s="54"/>
      <c r="M3309" s="55"/>
      <c r="O3309" s="54"/>
    </row>
    <row r="3310">
      <c r="A3310" s="115"/>
      <c r="B3310" s="54"/>
      <c r="C3310" s="54"/>
      <c r="D3310" s="54"/>
      <c r="E3310" s="54"/>
      <c r="F3310" s="118"/>
      <c r="G3310" s="54"/>
      <c r="H3310" s="54"/>
      <c r="I3310" s="54"/>
      <c r="J3310" s="54"/>
      <c r="K3310" s="54"/>
      <c r="L3310" s="54"/>
      <c r="M3310" s="55"/>
      <c r="O3310" s="54"/>
    </row>
    <row r="3311">
      <c r="A3311" s="115"/>
      <c r="B3311" s="54"/>
      <c r="C3311" s="54"/>
      <c r="D3311" s="54"/>
      <c r="E3311" s="54"/>
      <c r="F3311" s="118"/>
      <c r="G3311" s="54"/>
      <c r="H3311" s="54"/>
      <c r="I3311" s="54"/>
      <c r="J3311" s="54"/>
      <c r="K3311" s="54"/>
      <c r="L3311" s="54"/>
      <c r="M3311" s="55"/>
      <c r="O3311" s="54"/>
    </row>
    <row r="3312">
      <c r="A3312" s="115"/>
      <c r="B3312" s="54"/>
      <c r="C3312" s="54"/>
      <c r="D3312" s="54"/>
      <c r="E3312" s="54"/>
      <c r="F3312" s="118"/>
      <c r="G3312" s="54"/>
      <c r="H3312" s="54"/>
      <c r="I3312" s="54"/>
      <c r="J3312" s="54"/>
      <c r="K3312" s="54"/>
      <c r="L3312" s="54"/>
      <c r="M3312" s="55"/>
      <c r="O3312" s="54"/>
    </row>
    <row r="3313">
      <c r="A3313" s="115"/>
      <c r="B3313" s="54"/>
      <c r="C3313" s="54"/>
      <c r="D3313" s="54"/>
      <c r="E3313" s="54"/>
      <c r="F3313" s="118"/>
      <c r="G3313" s="54"/>
      <c r="H3313" s="54"/>
      <c r="I3313" s="54"/>
      <c r="J3313" s="54"/>
      <c r="K3313" s="54"/>
      <c r="L3313" s="54"/>
      <c r="M3313" s="55"/>
      <c r="O3313" s="54"/>
    </row>
    <row r="3314">
      <c r="A3314" s="115"/>
      <c r="B3314" s="54"/>
      <c r="C3314" s="54"/>
      <c r="D3314" s="54"/>
      <c r="E3314" s="54"/>
      <c r="F3314" s="118"/>
      <c r="G3314" s="54"/>
      <c r="H3314" s="54"/>
      <c r="I3314" s="54"/>
      <c r="J3314" s="54"/>
      <c r="K3314" s="54"/>
      <c r="L3314" s="54"/>
      <c r="M3314" s="55"/>
      <c r="O3314" s="54"/>
    </row>
    <row r="3315">
      <c r="A3315" s="115"/>
      <c r="B3315" s="54"/>
      <c r="C3315" s="54"/>
      <c r="D3315" s="54"/>
      <c r="E3315" s="54"/>
      <c r="F3315" s="118"/>
      <c r="G3315" s="54"/>
      <c r="H3315" s="54"/>
      <c r="I3315" s="54"/>
      <c r="J3315" s="54"/>
      <c r="K3315" s="54"/>
      <c r="L3315" s="54"/>
      <c r="M3315" s="55"/>
      <c r="O3315" s="54"/>
    </row>
    <row r="3316">
      <c r="A3316" s="115"/>
      <c r="B3316" s="54"/>
      <c r="C3316" s="54"/>
      <c r="D3316" s="54"/>
      <c r="E3316" s="54"/>
      <c r="F3316" s="118"/>
      <c r="G3316" s="54"/>
      <c r="H3316" s="54"/>
      <c r="I3316" s="54"/>
      <c r="J3316" s="54"/>
      <c r="K3316" s="54"/>
      <c r="L3316" s="54"/>
      <c r="M3316" s="55"/>
      <c r="O3316" s="54"/>
    </row>
    <row r="3317">
      <c r="A3317" s="115"/>
      <c r="B3317" s="54"/>
      <c r="C3317" s="54"/>
      <c r="D3317" s="54"/>
      <c r="E3317" s="54"/>
      <c r="F3317" s="118"/>
      <c r="G3317" s="54"/>
      <c r="H3317" s="54"/>
      <c r="I3317" s="54"/>
      <c r="J3317" s="54"/>
      <c r="K3317" s="54"/>
      <c r="L3317" s="54"/>
      <c r="M3317" s="55"/>
      <c r="O3317" s="54"/>
    </row>
    <row r="3318">
      <c r="A3318" s="115"/>
      <c r="B3318" s="54"/>
      <c r="C3318" s="54"/>
      <c r="D3318" s="54"/>
      <c r="E3318" s="54"/>
      <c r="F3318" s="118"/>
      <c r="G3318" s="54"/>
      <c r="H3318" s="54"/>
      <c r="I3318" s="54"/>
      <c r="J3318" s="54"/>
      <c r="K3318" s="54"/>
      <c r="L3318" s="54"/>
      <c r="M3318" s="55"/>
      <c r="O3318" s="54"/>
    </row>
    <row r="3319">
      <c r="A3319" s="115"/>
      <c r="B3319" s="54"/>
      <c r="C3319" s="54"/>
      <c r="D3319" s="54"/>
      <c r="E3319" s="54"/>
      <c r="F3319" s="118"/>
      <c r="G3319" s="54"/>
      <c r="H3319" s="54"/>
      <c r="I3319" s="54"/>
      <c r="J3319" s="54"/>
      <c r="K3319" s="54"/>
      <c r="L3319" s="54"/>
      <c r="M3319" s="55"/>
      <c r="O3319" s="54"/>
    </row>
    <row r="3320">
      <c r="A3320" s="115"/>
      <c r="B3320" s="54"/>
      <c r="C3320" s="54"/>
      <c r="D3320" s="54"/>
      <c r="E3320" s="54"/>
      <c r="F3320" s="118"/>
      <c r="G3320" s="54"/>
      <c r="H3320" s="54"/>
      <c r="I3320" s="54"/>
      <c r="J3320" s="54"/>
      <c r="K3320" s="54"/>
      <c r="L3320" s="54"/>
      <c r="M3320" s="55"/>
      <c r="O3320" s="54"/>
    </row>
    <row r="3321">
      <c r="A3321" s="115"/>
      <c r="B3321" s="54"/>
      <c r="C3321" s="54"/>
      <c r="D3321" s="54"/>
      <c r="E3321" s="54"/>
      <c r="F3321" s="118"/>
      <c r="G3321" s="54"/>
      <c r="H3321" s="54"/>
      <c r="I3321" s="54"/>
      <c r="J3321" s="54"/>
      <c r="K3321" s="54"/>
      <c r="L3321" s="54"/>
      <c r="M3321" s="55"/>
      <c r="O3321" s="54"/>
    </row>
    <row r="3322">
      <c r="A3322" s="115"/>
      <c r="B3322" s="54"/>
      <c r="C3322" s="54"/>
      <c r="D3322" s="54"/>
      <c r="E3322" s="54"/>
      <c r="F3322" s="118"/>
      <c r="G3322" s="54"/>
      <c r="H3322" s="54"/>
      <c r="I3322" s="54"/>
      <c r="J3322" s="54"/>
      <c r="K3322" s="54"/>
      <c r="L3322" s="54"/>
      <c r="M3322" s="55"/>
      <c r="O3322" s="54"/>
    </row>
    <row r="3323">
      <c r="A3323" s="115"/>
      <c r="B3323" s="54"/>
      <c r="C3323" s="54"/>
      <c r="D3323" s="54"/>
      <c r="E3323" s="54"/>
      <c r="F3323" s="118"/>
      <c r="G3323" s="54"/>
      <c r="H3323" s="54"/>
      <c r="I3323" s="54"/>
      <c r="J3323" s="54"/>
      <c r="K3323" s="54"/>
      <c r="L3323" s="54"/>
      <c r="M3323" s="55"/>
      <c r="O3323" s="54"/>
    </row>
    <row r="3324">
      <c r="A3324" s="115"/>
      <c r="B3324" s="54"/>
      <c r="C3324" s="54"/>
      <c r="D3324" s="54"/>
      <c r="E3324" s="54"/>
      <c r="F3324" s="118"/>
      <c r="G3324" s="54"/>
      <c r="H3324" s="54"/>
      <c r="I3324" s="54"/>
      <c r="J3324" s="54"/>
      <c r="K3324" s="54"/>
      <c r="L3324" s="54"/>
      <c r="M3324" s="55"/>
      <c r="O3324" s="54"/>
    </row>
    <row r="3325">
      <c r="A3325" s="115"/>
      <c r="B3325" s="54"/>
      <c r="C3325" s="54"/>
      <c r="D3325" s="54"/>
      <c r="E3325" s="54"/>
      <c r="F3325" s="118"/>
      <c r="G3325" s="54"/>
      <c r="H3325" s="54"/>
      <c r="I3325" s="54"/>
      <c r="J3325" s="54"/>
      <c r="K3325" s="54"/>
      <c r="L3325" s="54"/>
      <c r="M3325" s="55"/>
      <c r="O3325" s="54"/>
    </row>
    <row r="3326">
      <c r="A3326" s="115"/>
      <c r="B3326" s="54"/>
      <c r="C3326" s="54"/>
      <c r="D3326" s="54"/>
      <c r="E3326" s="54"/>
      <c r="F3326" s="118"/>
      <c r="G3326" s="54"/>
      <c r="H3326" s="54"/>
      <c r="I3326" s="54"/>
      <c r="J3326" s="54"/>
      <c r="K3326" s="54"/>
      <c r="L3326" s="54"/>
      <c r="M3326" s="55"/>
      <c r="O3326" s="54"/>
    </row>
    <row r="3327">
      <c r="A3327" s="115"/>
      <c r="B3327" s="54"/>
      <c r="C3327" s="54"/>
      <c r="D3327" s="54"/>
      <c r="E3327" s="54"/>
      <c r="F3327" s="118"/>
      <c r="G3327" s="54"/>
      <c r="H3327" s="54"/>
      <c r="I3327" s="54"/>
      <c r="J3327" s="54"/>
      <c r="K3327" s="54"/>
      <c r="L3327" s="54"/>
      <c r="M3327" s="55"/>
      <c r="O3327" s="54"/>
    </row>
    <row r="3328">
      <c r="A3328" s="115"/>
      <c r="B3328" s="54"/>
      <c r="C3328" s="54"/>
      <c r="D3328" s="54"/>
      <c r="E3328" s="54"/>
      <c r="F3328" s="118"/>
      <c r="G3328" s="54"/>
      <c r="H3328" s="54"/>
      <c r="I3328" s="54"/>
      <c r="J3328" s="54"/>
      <c r="K3328" s="54"/>
      <c r="L3328" s="54"/>
      <c r="M3328" s="55"/>
      <c r="O3328" s="54"/>
    </row>
    <row r="3329">
      <c r="A3329" s="115"/>
      <c r="B3329" s="54"/>
      <c r="C3329" s="54"/>
      <c r="D3329" s="54"/>
      <c r="E3329" s="54"/>
      <c r="F3329" s="118"/>
      <c r="G3329" s="54"/>
      <c r="H3329" s="54"/>
      <c r="I3329" s="54"/>
      <c r="J3329" s="54"/>
      <c r="K3329" s="54"/>
      <c r="L3329" s="54"/>
      <c r="M3329" s="55"/>
      <c r="O3329" s="54"/>
    </row>
    <row r="3330">
      <c r="A3330" s="115"/>
      <c r="B3330" s="54"/>
      <c r="C3330" s="54"/>
      <c r="D3330" s="54"/>
      <c r="E3330" s="54"/>
      <c r="F3330" s="118"/>
      <c r="G3330" s="54"/>
      <c r="H3330" s="54"/>
      <c r="I3330" s="54"/>
      <c r="J3330" s="54"/>
      <c r="K3330" s="54"/>
      <c r="L3330" s="54"/>
      <c r="M3330" s="55"/>
      <c r="O3330" s="54"/>
    </row>
    <row r="3331">
      <c r="A3331" s="115"/>
      <c r="B3331" s="54"/>
      <c r="C3331" s="54"/>
      <c r="D3331" s="54"/>
      <c r="E3331" s="54"/>
      <c r="F3331" s="118"/>
      <c r="G3331" s="54"/>
      <c r="H3331" s="54"/>
      <c r="I3331" s="54"/>
      <c r="J3331" s="54"/>
      <c r="K3331" s="54"/>
      <c r="L3331" s="54"/>
      <c r="M3331" s="55"/>
      <c r="O3331" s="54"/>
    </row>
    <row r="3332">
      <c r="A3332" s="115"/>
      <c r="B3332" s="54"/>
      <c r="C3332" s="54"/>
      <c r="D3332" s="54"/>
      <c r="E3332" s="54"/>
      <c r="F3332" s="118"/>
      <c r="G3332" s="54"/>
      <c r="H3332" s="54"/>
      <c r="I3332" s="54"/>
      <c r="J3332" s="54"/>
      <c r="K3332" s="54"/>
      <c r="L3332" s="54"/>
      <c r="M3332" s="55"/>
      <c r="O3332" s="54"/>
    </row>
    <row r="3333">
      <c r="A3333" s="115"/>
      <c r="B3333" s="54"/>
      <c r="C3333" s="54"/>
      <c r="D3333" s="54"/>
      <c r="E3333" s="54"/>
      <c r="F3333" s="118"/>
      <c r="G3333" s="54"/>
      <c r="H3333" s="54"/>
      <c r="I3333" s="54"/>
      <c r="J3333" s="54"/>
      <c r="K3333" s="54"/>
      <c r="L3333" s="54"/>
      <c r="M3333" s="55"/>
      <c r="O3333" s="54"/>
    </row>
    <row r="3334">
      <c r="A3334" s="115"/>
      <c r="B3334" s="54"/>
      <c r="C3334" s="54"/>
      <c r="D3334" s="54"/>
      <c r="E3334" s="54"/>
      <c r="F3334" s="118"/>
      <c r="G3334" s="54"/>
      <c r="H3334" s="54"/>
      <c r="I3334" s="54"/>
      <c r="J3334" s="54"/>
      <c r="K3334" s="54"/>
      <c r="L3334" s="54"/>
      <c r="M3334" s="55"/>
      <c r="O3334" s="54"/>
    </row>
    <row r="3335">
      <c r="A3335" s="115"/>
      <c r="B3335" s="54"/>
      <c r="C3335" s="54"/>
      <c r="D3335" s="54"/>
      <c r="E3335" s="54"/>
      <c r="F3335" s="118"/>
      <c r="G3335" s="54"/>
      <c r="H3335" s="54"/>
      <c r="I3335" s="54"/>
      <c r="J3335" s="54"/>
      <c r="K3335" s="54"/>
      <c r="L3335" s="54"/>
      <c r="M3335" s="55"/>
      <c r="O3335" s="54"/>
    </row>
    <row r="3336">
      <c r="A3336" s="115"/>
      <c r="B3336" s="54"/>
      <c r="C3336" s="54"/>
      <c r="D3336" s="54"/>
      <c r="E3336" s="54"/>
      <c r="F3336" s="118"/>
      <c r="G3336" s="54"/>
      <c r="H3336" s="54"/>
      <c r="I3336" s="54"/>
      <c r="J3336" s="54"/>
      <c r="K3336" s="54"/>
      <c r="L3336" s="54"/>
      <c r="M3336" s="55"/>
      <c r="O3336" s="54"/>
    </row>
    <row r="3337">
      <c r="A3337" s="115"/>
      <c r="B3337" s="54"/>
      <c r="C3337" s="54"/>
      <c r="D3337" s="54"/>
      <c r="E3337" s="54"/>
      <c r="F3337" s="118"/>
      <c r="G3337" s="54"/>
      <c r="H3337" s="54"/>
      <c r="I3337" s="54"/>
      <c r="J3337" s="54"/>
      <c r="K3337" s="54"/>
      <c r="L3337" s="54"/>
      <c r="M3337" s="55"/>
      <c r="O3337" s="54"/>
    </row>
    <row r="3338">
      <c r="A3338" s="115"/>
      <c r="B3338" s="54"/>
      <c r="C3338" s="54"/>
      <c r="D3338" s="54"/>
      <c r="E3338" s="54"/>
      <c r="F3338" s="118"/>
      <c r="G3338" s="54"/>
      <c r="H3338" s="54"/>
      <c r="I3338" s="54"/>
      <c r="J3338" s="54"/>
      <c r="K3338" s="54"/>
      <c r="L3338" s="54"/>
      <c r="M3338" s="55"/>
      <c r="O3338" s="54"/>
    </row>
    <row r="3339">
      <c r="A3339" s="115"/>
      <c r="B3339" s="54"/>
      <c r="C3339" s="54"/>
      <c r="D3339" s="54"/>
      <c r="E3339" s="54"/>
      <c r="F3339" s="118"/>
      <c r="G3339" s="54"/>
      <c r="H3339" s="54"/>
      <c r="I3339" s="54"/>
      <c r="J3339" s="54"/>
      <c r="K3339" s="54"/>
      <c r="L3339" s="54"/>
      <c r="M3339" s="55"/>
      <c r="O3339" s="54"/>
    </row>
    <row r="3340">
      <c r="A3340" s="115"/>
      <c r="B3340" s="54"/>
      <c r="C3340" s="54"/>
      <c r="D3340" s="54"/>
      <c r="E3340" s="54"/>
      <c r="F3340" s="118"/>
      <c r="G3340" s="54"/>
      <c r="H3340" s="54"/>
      <c r="I3340" s="54"/>
      <c r="J3340" s="54"/>
      <c r="K3340" s="54"/>
      <c r="L3340" s="54"/>
      <c r="M3340" s="55"/>
      <c r="O3340" s="54"/>
    </row>
    <row r="3341">
      <c r="A3341" s="115"/>
      <c r="B3341" s="54"/>
      <c r="C3341" s="54"/>
      <c r="D3341" s="54"/>
      <c r="E3341" s="54"/>
      <c r="F3341" s="118"/>
      <c r="G3341" s="54"/>
      <c r="H3341" s="54"/>
      <c r="I3341" s="54"/>
      <c r="J3341" s="54"/>
      <c r="K3341" s="54"/>
      <c r="L3341" s="54"/>
      <c r="M3341" s="55"/>
      <c r="O3341" s="54"/>
    </row>
    <row r="3342">
      <c r="A3342" s="115"/>
      <c r="B3342" s="54"/>
      <c r="C3342" s="54"/>
      <c r="D3342" s="54"/>
      <c r="E3342" s="54"/>
      <c r="F3342" s="118"/>
      <c r="G3342" s="54"/>
      <c r="H3342" s="54"/>
      <c r="I3342" s="54"/>
      <c r="J3342" s="54"/>
      <c r="K3342" s="54"/>
      <c r="L3342" s="54"/>
      <c r="M3342" s="55"/>
      <c r="O3342" s="54"/>
    </row>
    <row r="3343">
      <c r="A3343" s="115"/>
      <c r="B3343" s="54"/>
      <c r="C3343" s="54"/>
      <c r="D3343" s="54"/>
      <c r="E3343" s="54"/>
      <c r="F3343" s="118"/>
      <c r="G3343" s="54"/>
      <c r="H3343" s="54"/>
      <c r="I3343" s="54"/>
      <c r="J3343" s="54"/>
      <c r="K3343" s="54"/>
      <c r="L3343" s="54"/>
      <c r="M3343" s="55"/>
      <c r="O3343" s="54"/>
    </row>
    <row r="3344">
      <c r="A3344" s="115"/>
      <c r="B3344" s="54"/>
      <c r="C3344" s="54"/>
      <c r="D3344" s="54"/>
      <c r="E3344" s="54"/>
      <c r="F3344" s="118"/>
      <c r="G3344" s="54"/>
      <c r="H3344" s="54"/>
      <c r="I3344" s="54"/>
      <c r="J3344" s="54"/>
      <c r="K3344" s="54"/>
      <c r="L3344" s="54"/>
      <c r="M3344" s="55"/>
      <c r="O3344" s="54"/>
    </row>
    <row r="3345">
      <c r="A3345" s="115"/>
      <c r="B3345" s="54"/>
      <c r="C3345" s="54"/>
      <c r="D3345" s="54"/>
      <c r="E3345" s="54"/>
      <c r="F3345" s="118"/>
      <c r="G3345" s="54"/>
      <c r="H3345" s="54"/>
      <c r="I3345" s="54"/>
      <c r="J3345" s="54"/>
      <c r="K3345" s="54"/>
      <c r="L3345" s="54"/>
      <c r="M3345" s="55"/>
      <c r="O3345" s="54"/>
    </row>
    <row r="3346">
      <c r="A3346" s="115"/>
      <c r="B3346" s="54"/>
      <c r="C3346" s="54"/>
      <c r="D3346" s="54"/>
      <c r="E3346" s="54"/>
      <c r="F3346" s="118"/>
      <c r="G3346" s="54"/>
      <c r="H3346" s="54"/>
      <c r="I3346" s="54"/>
      <c r="J3346" s="54"/>
      <c r="K3346" s="54"/>
      <c r="L3346" s="54"/>
      <c r="M3346" s="55"/>
      <c r="O3346" s="54"/>
    </row>
    <row r="3347">
      <c r="A3347" s="115"/>
      <c r="B3347" s="54"/>
      <c r="C3347" s="54"/>
      <c r="D3347" s="54"/>
      <c r="E3347" s="54"/>
      <c r="F3347" s="118"/>
      <c r="G3347" s="54"/>
      <c r="H3347" s="54"/>
      <c r="I3347" s="54"/>
      <c r="J3347" s="54"/>
      <c r="K3347" s="54"/>
      <c r="L3347" s="54"/>
      <c r="M3347" s="55"/>
      <c r="O3347" s="54"/>
    </row>
    <row r="3348">
      <c r="A3348" s="115"/>
      <c r="B3348" s="54"/>
      <c r="C3348" s="54"/>
      <c r="D3348" s="54"/>
      <c r="E3348" s="54"/>
      <c r="F3348" s="118"/>
      <c r="G3348" s="54"/>
      <c r="H3348" s="54"/>
      <c r="I3348" s="54"/>
      <c r="J3348" s="54"/>
      <c r="K3348" s="54"/>
      <c r="L3348" s="54"/>
      <c r="M3348" s="55"/>
      <c r="O3348" s="54"/>
    </row>
    <row r="3349">
      <c r="A3349" s="115"/>
      <c r="B3349" s="54"/>
      <c r="C3349" s="54"/>
      <c r="D3349" s="54"/>
      <c r="E3349" s="54"/>
      <c r="F3349" s="118"/>
      <c r="G3349" s="54"/>
      <c r="H3349" s="54"/>
      <c r="I3349" s="54"/>
      <c r="J3349" s="54"/>
      <c r="K3349" s="54"/>
      <c r="L3349" s="54"/>
      <c r="M3349" s="55"/>
      <c r="O3349" s="54"/>
    </row>
    <row r="3350">
      <c r="A3350" s="115"/>
      <c r="B3350" s="54"/>
      <c r="C3350" s="54"/>
      <c r="D3350" s="54"/>
      <c r="E3350" s="54"/>
      <c r="F3350" s="118"/>
      <c r="G3350" s="54"/>
      <c r="H3350" s="54"/>
      <c r="I3350" s="54"/>
      <c r="J3350" s="54"/>
      <c r="K3350" s="54"/>
      <c r="L3350" s="54"/>
      <c r="M3350" s="55"/>
      <c r="O3350" s="54"/>
    </row>
    <row r="3351">
      <c r="A3351" s="115"/>
      <c r="B3351" s="54"/>
      <c r="C3351" s="54"/>
      <c r="D3351" s="54"/>
      <c r="E3351" s="54"/>
      <c r="F3351" s="118"/>
      <c r="G3351" s="54"/>
      <c r="H3351" s="54"/>
      <c r="I3351" s="54"/>
      <c r="J3351" s="54"/>
      <c r="K3351" s="54"/>
      <c r="L3351" s="54"/>
      <c r="M3351" s="55"/>
      <c r="O3351" s="54"/>
    </row>
    <row r="3352">
      <c r="A3352" s="115"/>
      <c r="B3352" s="54"/>
      <c r="C3352" s="54"/>
      <c r="D3352" s="54"/>
      <c r="E3352" s="54"/>
      <c r="F3352" s="118"/>
      <c r="G3352" s="54"/>
      <c r="H3352" s="54"/>
      <c r="I3352" s="54"/>
      <c r="J3352" s="54"/>
      <c r="K3352" s="54"/>
      <c r="L3352" s="54"/>
      <c r="M3352" s="55"/>
      <c r="O3352" s="54"/>
    </row>
    <row r="3353">
      <c r="A3353" s="115"/>
      <c r="B3353" s="54"/>
      <c r="C3353" s="54"/>
      <c r="D3353" s="54"/>
      <c r="E3353" s="54"/>
      <c r="F3353" s="118"/>
      <c r="G3353" s="54"/>
      <c r="H3353" s="54"/>
      <c r="I3353" s="54"/>
      <c r="J3353" s="54"/>
      <c r="K3353" s="54"/>
      <c r="L3353" s="54"/>
      <c r="M3353" s="55"/>
      <c r="O3353" s="54"/>
    </row>
    <row r="3354">
      <c r="A3354" s="115"/>
      <c r="B3354" s="54"/>
      <c r="C3354" s="54"/>
      <c r="D3354" s="54"/>
      <c r="E3354" s="54"/>
      <c r="F3354" s="118"/>
      <c r="G3354" s="54"/>
      <c r="H3354" s="54"/>
      <c r="I3354" s="54"/>
      <c r="J3354" s="54"/>
      <c r="K3354" s="54"/>
      <c r="L3354" s="54"/>
      <c r="M3354" s="55"/>
      <c r="O3354" s="54"/>
    </row>
    <row r="3355">
      <c r="A3355" s="115"/>
      <c r="B3355" s="54"/>
      <c r="C3355" s="54"/>
      <c r="D3355" s="54"/>
      <c r="E3355" s="54"/>
      <c r="F3355" s="118"/>
      <c r="G3355" s="54"/>
      <c r="H3355" s="54"/>
      <c r="I3355" s="54"/>
      <c r="J3355" s="54"/>
      <c r="K3355" s="54"/>
      <c r="L3355" s="54"/>
      <c r="M3355" s="55"/>
      <c r="O3355" s="54"/>
    </row>
    <row r="3356">
      <c r="A3356" s="115"/>
      <c r="B3356" s="54"/>
      <c r="C3356" s="54"/>
      <c r="D3356" s="54"/>
      <c r="E3356" s="54"/>
      <c r="F3356" s="118"/>
      <c r="G3356" s="54"/>
      <c r="H3356" s="54"/>
      <c r="I3356" s="54"/>
      <c r="J3356" s="54"/>
      <c r="K3356" s="54"/>
      <c r="L3356" s="54"/>
      <c r="M3356" s="55"/>
      <c r="O3356" s="54"/>
    </row>
    <row r="3357">
      <c r="A3357" s="115"/>
      <c r="B3357" s="54"/>
      <c r="C3357" s="54"/>
      <c r="D3357" s="54"/>
      <c r="E3357" s="54"/>
      <c r="F3357" s="118"/>
      <c r="G3357" s="54"/>
      <c r="H3357" s="54"/>
      <c r="I3357" s="54"/>
      <c r="J3357" s="54"/>
      <c r="K3357" s="54"/>
      <c r="L3357" s="54"/>
      <c r="M3357" s="55"/>
      <c r="O3357" s="54"/>
    </row>
    <row r="3358">
      <c r="A3358" s="115"/>
      <c r="B3358" s="54"/>
      <c r="C3358" s="54"/>
      <c r="D3358" s="54"/>
      <c r="E3358" s="54"/>
      <c r="F3358" s="118"/>
      <c r="G3358" s="54"/>
      <c r="H3358" s="54"/>
      <c r="I3358" s="54"/>
      <c r="J3358" s="54"/>
      <c r="K3358" s="54"/>
      <c r="L3358" s="54"/>
      <c r="M3358" s="55"/>
      <c r="O3358" s="54"/>
    </row>
    <row r="3359">
      <c r="A3359" s="115"/>
      <c r="B3359" s="54"/>
      <c r="C3359" s="54"/>
      <c r="D3359" s="54"/>
      <c r="E3359" s="54"/>
      <c r="F3359" s="118"/>
      <c r="G3359" s="54"/>
      <c r="H3359" s="54"/>
      <c r="I3359" s="54"/>
      <c r="J3359" s="54"/>
      <c r="K3359" s="54"/>
      <c r="L3359" s="54"/>
      <c r="M3359" s="55"/>
      <c r="O3359" s="54"/>
    </row>
    <row r="3360">
      <c r="A3360" s="115"/>
      <c r="B3360" s="54"/>
      <c r="C3360" s="54"/>
      <c r="D3360" s="54"/>
      <c r="E3360" s="54"/>
      <c r="F3360" s="118"/>
      <c r="G3360" s="54"/>
      <c r="H3360" s="54"/>
      <c r="I3360" s="54"/>
      <c r="J3360" s="54"/>
      <c r="K3360" s="54"/>
      <c r="L3360" s="54"/>
      <c r="M3360" s="55"/>
      <c r="O3360" s="54"/>
    </row>
    <row r="3361">
      <c r="A3361" s="115"/>
      <c r="B3361" s="54"/>
      <c r="C3361" s="54"/>
      <c r="D3361" s="54"/>
      <c r="E3361" s="54"/>
      <c r="F3361" s="118"/>
      <c r="G3361" s="54"/>
      <c r="H3361" s="54"/>
      <c r="I3361" s="54"/>
      <c r="J3361" s="54"/>
      <c r="K3361" s="54"/>
      <c r="L3361" s="54"/>
      <c r="M3361" s="55"/>
      <c r="O3361" s="54"/>
    </row>
    <row r="3362">
      <c r="A3362" s="115"/>
      <c r="B3362" s="54"/>
      <c r="C3362" s="54"/>
      <c r="D3362" s="54"/>
      <c r="E3362" s="54"/>
      <c r="F3362" s="118"/>
      <c r="G3362" s="54"/>
      <c r="H3362" s="54"/>
      <c r="I3362" s="54"/>
      <c r="J3362" s="54"/>
      <c r="K3362" s="54"/>
      <c r="L3362" s="54"/>
      <c r="M3362" s="55"/>
      <c r="O3362" s="54"/>
    </row>
    <row r="3363">
      <c r="A3363" s="115"/>
      <c r="B3363" s="54"/>
      <c r="C3363" s="54"/>
      <c r="D3363" s="54"/>
      <c r="E3363" s="54"/>
      <c r="F3363" s="118"/>
      <c r="G3363" s="54"/>
      <c r="H3363" s="54"/>
      <c r="I3363" s="54"/>
      <c r="J3363" s="54"/>
      <c r="K3363" s="54"/>
      <c r="L3363" s="54"/>
      <c r="M3363" s="55"/>
      <c r="O3363" s="54"/>
    </row>
    <row r="3364">
      <c r="A3364" s="115"/>
      <c r="B3364" s="54"/>
      <c r="C3364" s="54"/>
      <c r="D3364" s="54"/>
      <c r="E3364" s="54"/>
      <c r="F3364" s="118"/>
      <c r="G3364" s="54"/>
      <c r="H3364" s="54"/>
      <c r="I3364" s="54"/>
      <c r="J3364" s="54"/>
      <c r="K3364" s="54"/>
      <c r="L3364" s="54"/>
      <c r="M3364" s="55"/>
      <c r="O3364" s="54"/>
    </row>
    <row r="3365">
      <c r="A3365" s="115"/>
      <c r="B3365" s="54"/>
      <c r="C3365" s="54"/>
      <c r="D3365" s="54"/>
      <c r="E3365" s="54"/>
      <c r="F3365" s="118"/>
      <c r="G3365" s="54"/>
      <c r="H3365" s="54"/>
      <c r="I3365" s="54"/>
      <c r="J3365" s="54"/>
      <c r="K3365" s="54"/>
      <c r="L3365" s="54"/>
      <c r="M3365" s="55"/>
      <c r="O3365" s="54"/>
    </row>
    <row r="3366">
      <c r="A3366" s="115"/>
      <c r="B3366" s="54"/>
      <c r="C3366" s="54"/>
      <c r="D3366" s="54"/>
      <c r="E3366" s="54"/>
      <c r="F3366" s="118"/>
      <c r="G3366" s="54"/>
      <c r="H3366" s="54"/>
      <c r="I3366" s="54"/>
      <c r="J3366" s="54"/>
      <c r="K3366" s="54"/>
      <c r="L3366" s="54"/>
      <c r="M3366" s="55"/>
      <c r="O3366" s="54"/>
    </row>
    <row r="3367">
      <c r="A3367" s="115"/>
      <c r="B3367" s="54"/>
      <c r="C3367" s="54"/>
      <c r="D3367" s="54"/>
      <c r="E3367" s="54"/>
      <c r="F3367" s="118"/>
      <c r="G3367" s="54"/>
      <c r="H3367" s="54"/>
      <c r="I3367" s="54"/>
      <c r="J3367" s="54"/>
      <c r="K3367" s="54"/>
      <c r="L3367" s="54"/>
      <c r="M3367" s="55"/>
      <c r="O3367" s="54"/>
    </row>
    <row r="3368">
      <c r="A3368" s="115"/>
      <c r="B3368" s="54"/>
      <c r="C3368" s="54"/>
      <c r="D3368" s="54"/>
      <c r="E3368" s="54"/>
      <c r="F3368" s="118"/>
      <c r="G3368" s="54"/>
      <c r="H3368" s="54"/>
      <c r="I3368" s="54"/>
      <c r="J3368" s="54"/>
      <c r="K3368" s="54"/>
      <c r="L3368" s="54"/>
      <c r="M3368" s="55"/>
      <c r="O3368" s="54"/>
    </row>
    <row r="3369">
      <c r="A3369" s="115"/>
      <c r="B3369" s="54"/>
      <c r="C3369" s="54"/>
      <c r="D3369" s="54"/>
      <c r="E3369" s="54"/>
      <c r="F3369" s="118"/>
      <c r="G3369" s="54"/>
      <c r="H3369" s="54"/>
      <c r="I3369" s="54"/>
      <c r="J3369" s="54"/>
      <c r="K3369" s="54"/>
      <c r="L3369" s="54"/>
      <c r="M3369" s="55"/>
      <c r="O3369" s="54"/>
    </row>
    <row r="3370">
      <c r="A3370" s="115"/>
      <c r="B3370" s="54"/>
      <c r="C3370" s="54"/>
      <c r="D3370" s="54"/>
      <c r="E3370" s="54"/>
      <c r="F3370" s="118"/>
      <c r="G3370" s="54"/>
      <c r="H3370" s="54"/>
      <c r="I3370" s="54"/>
      <c r="J3370" s="54"/>
      <c r="K3370" s="54"/>
      <c r="L3370" s="54"/>
      <c r="M3370" s="55"/>
      <c r="O3370" s="54"/>
    </row>
    <row r="3371">
      <c r="A3371" s="115"/>
      <c r="B3371" s="54"/>
      <c r="C3371" s="54"/>
      <c r="D3371" s="54"/>
      <c r="E3371" s="54"/>
      <c r="F3371" s="118"/>
      <c r="G3371" s="54"/>
      <c r="H3371" s="54"/>
      <c r="I3371" s="54"/>
      <c r="J3371" s="54"/>
      <c r="K3371" s="54"/>
      <c r="L3371" s="54"/>
      <c r="M3371" s="55"/>
      <c r="O3371" s="54"/>
    </row>
    <row r="3372">
      <c r="A3372" s="115"/>
      <c r="B3372" s="54"/>
      <c r="C3372" s="54"/>
      <c r="D3372" s="54"/>
      <c r="E3372" s="54"/>
      <c r="F3372" s="118"/>
      <c r="G3372" s="54"/>
      <c r="H3372" s="54"/>
      <c r="I3372" s="54"/>
      <c r="J3372" s="54"/>
      <c r="K3372" s="54"/>
      <c r="L3372" s="54"/>
      <c r="M3372" s="55"/>
      <c r="O3372" s="54"/>
    </row>
    <row r="3373">
      <c r="A3373" s="115"/>
      <c r="B3373" s="54"/>
      <c r="C3373" s="54"/>
      <c r="D3373" s="54"/>
      <c r="E3373" s="54"/>
      <c r="F3373" s="118"/>
      <c r="G3373" s="54"/>
      <c r="H3373" s="54"/>
      <c r="I3373" s="54"/>
      <c r="J3373" s="54"/>
      <c r="K3373" s="54"/>
      <c r="L3373" s="54"/>
      <c r="M3373" s="55"/>
      <c r="O3373" s="54"/>
    </row>
    <row r="3374">
      <c r="A3374" s="115"/>
      <c r="B3374" s="54"/>
      <c r="C3374" s="54"/>
      <c r="D3374" s="54"/>
      <c r="E3374" s="54"/>
      <c r="F3374" s="118"/>
      <c r="G3374" s="54"/>
      <c r="H3374" s="54"/>
      <c r="I3374" s="54"/>
      <c r="J3374" s="54"/>
      <c r="K3374" s="54"/>
      <c r="L3374" s="54"/>
      <c r="M3374" s="55"/>
      <c r="O3374" s="54"/>
    </row>
    <row r="3375">
      <c r="A3375" s="115"/>
      <c r="B3375" s="54"/>
      <c r="C3375" s="54"/>
      <c r="D3375" s="54"/>
      <c r="E3375" s="54"/>
      <c r="F3375" s="118"/>
      <c r="G3375" s="54"/>
      <c r="H3375" s="54"/>
      <c r="I3375" s="54"/>
      <c r="J3375" s="54"/>
      <c r="K3375" s="54"/>
      <c r="L3375" s="54"/>
      <c r="M3375" s="55"/>
      <c r="O3375" s="54"/>
    </row>
    <row r="3376">
      <c r="A3376" s="115"/>
      <c r="B3376" s="54"/>
      <c r="C3376" s="54"/>
      <c r="D3376" s="54"/>
      <c r="E3376" s="54"/>
      <c r="F3376" s="118"/>
      <c r="G3376" s="54"/>
      <c r="H3376" s="54"/>
      <c r="I3376" s="54"/>
      <c r="J3376" s="54"/>
      <c r="K3376" s="54"/>
      <c r="L3376" s="54"/>
      <c r="M3376" s="55"/>
      <c r="O3376" s="54"/>
    </row>
    <row r="3377">
      <c r="A3377" s="115"/>
      <c r="B3377" s="54"/>
      <c r="C3377" s="54"/>
      <c r="D3377" s="54"/>
      <c r="E3377" s="54"/>
      <c r="F3377" s="118"/>
      <c r="G3377" s="54"/>
      <c r="H3377" s="54"/>
      <c r="I3377" s="54"/>
      <c r="J3377" s="54"/>
      <c r="K3377" s="54"/>
      <c r="L3377" s="54"/>
      <c r="M3377" s="55"/>
      <c r="O3377" s="54"/>
    </row>
    <row r="3378">
      <c r="A3378" s="115"/>
      <c r="B3378" s="54"/>
      <c r="C3378" s="54"/>
      <c r="D3378" s="54"/>
      <c r="E3378" s="54"/>
      <c r="F3378" s="118"/>
      <c r="G3378" s="54"/>
      <c r="H3378" s="54"/>
      <c r="I3378" s="54"/>
      <c r="J3378" s="54"/>
      <c r="K3378" s="54"/>
      <c r="L3378" s="54"/>
      <c r="M3378" s="55"/>
      <c r="O3378" s="54"/>
    </row>
    <row r="3379">
      <c r="A3379" s="115"/>
      <c r="B3379" s="54"/>
      <c r="C3379" s="54"/>
      <c r="D3379" s="54"/>
      <c r="E3379" s="54"/>
      <c r="F3379" s="118"/>
      <c r="G3379" s="54"/>
      <c r="H3379" s="54"/>
      <c r="I3379" s="54"/>
      <c r="J3379" s="54"/>
      <c r="K3379" s="54"/>
      <c r="L3379" s="54"/>
      <c r="M3379" s="55"/>
      <c r="O3379" s="54"/>
    </row>
    <row r="3380">
      <c r="A3380" s="115"/>
      <c r="B3380" s="54"/>
      <c r="C3380" s="54"/>
      <c r="D3380" s="54"/>
      <c r="E3380" s="54"/>
      <c r="F3380" s="118"/>
      <c r="G3380" s="54"/>
      <c r="H3380" s="54"/>
      <c r="I3380" s="54"/>
      <c r="J3380" s="54"/>
      <c r="K3380" s="54"/>
      <c r="L3380" s="54"/>
      <c r="M3380" s="55"/>
      <c r="O3380" s="54"/>
    </row>
    <row r="3381">
      <c r="A3381" s="115"/>
      <c r="B3381" s="54"/>
      <c r="C3381" s="54"/>
      <c r="D3381" s="54"/>
      <c r="E3381" s="54"/>
      <c r="F3381" s="118"/>
      <c r="G3381" s="54"/>
      <c r="H3381" s="54"/>
      <c r="I3381" s="54"/>
      <c r="J3381" s="54"/>
      <c r="K3381" s="54"/>
      <c r="L3381" s="54"/>
      <c r="M3381" s="55"/>
      <c r="O3381" s="54"/>
    </row>
    <row r="3382">
      <c r="A3382" s="115"/>
      <c r="B3382" s="54"/>
      <c r="C3382" s="54"/>
      <c r="D3382" s="54"/>
      <c r="E3382" s="54"/>
      <c r="F3382" s="118"/>
      <c r="G3382" s="54"/>
      <c r="H3382" s="54"/>
      <c r="I3382" s="54"/>
      <c r="J3382" s="54"/>
      <c r="K3382" s="54"/>
      <c r="L3382" s="54"/>
      <c r="M3382" s="55"/>
      <c r="O3382" s="5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9.38"/>
    <col customWidth="1" min="3" max="3" width="12.13"/>
    <col customWidth="1" min="4" max="4" width="9.75"/>
    <col customWidth="1" min="5" max="5" width="36.88"/>
    <col customWidth="1" min="6" max="6" width="49.75"/>
    <col customWidth="1" min="7" max="7" width="20.88"/>
    <col customWidth="1" min="8" max="8" width="8.63"/>
    <col customWidth="1" min="9" max="9" width="25.13"/>
    <col customWidth="1" min="10" max="10" width="28.75"/>
    <col customWidth="1" min="11" max="11" width="5.25"/>
    <col customWidth="1" min="12" max="12" width="12.13"/>
    <col customWidth="1" min="13" max="29" width="38.0"/>
  </cols>
  <sheetData>
    <row r="1">
      <c r="F1" s="119"/>
      <c r="G1" s="119"/>
      <c r="H1" s="119"/>
      <c r="I1" s="120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</row>
    <row r="2" ht="35.25" customHeight="1">
      <c r="F2" s="119"/>
      <c r="G2" s="119"/>
      <c r="H2" s="119"/>
      <c r="I2" s="120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</row>
    <row r="3" hidden="1">
      <c r="A3" s="33" t="s">
        <v>6593</v>
      </c>
      <c r="B3" s="122">
        <v>45542.0</v>
      </c>
      <c r="C3" s="33">
        <v>8.07000027239E11</v>
      </c>
      <c r="D3" s="33" t="s">
        <v>6594</v>
      </c>
      <c r="E3" s="33" t="s">
        <v>6595</v>
      </c>
      <c r="F3" s="123" t="s">
        <v>6596</v>
      </c>
      <c r="G3" s="123" t="s">
        <v>6597</v>
      </c>
      <c r="H3" s="123">
        <v>4427.0</v>
      </c>
      <c r="I3" s="33" t="s">
        <v>1083</v>
      </c>
      <c r="J3" s="33" t="s">
        <v>1084</v>
      </c>
      <c r="K3" s="33">
        <v>1.0</v>
      </c>
      <c r="L3" s="124" t="s">
        <v>6598</v>
      </c>
      <c r="M3" s="34"/>
    </row>
    <row r="4" hidden="1">
      <c r="A4" s="125" t="s">
        <v>6593</v>
      </c>
      <c r="B4" s="126">
        <v>45542.0</v>
      </c>
      <c r="C4" s="125">
        <v>8.07000027239E11</v>
      </c>
      <c r="D4" s="125" t="s">
        <v>6594</v>
      </c>
      <c r="E4" s="125" t="s">
        <v>6595</v>
      </c>
      <c r="F4" s="127" t="s">
        <v>6596</v>
      </c>
      <c r="G4" s="128" t="s">
        <v>6597</v>
      </c>
      <c r="H4" s="127">
        <v>4427.0</v>
      </c>
      <c r="I4" s="125" t="s">
        <v>121</v>
      </c>
      <c r="J4" s="125" t="s">
        <v>122</v>
      </c>
      <c r="K4" s="125">
        <v>2.0</v>
      </c>
      <c r="L4" s="129" t="s">
        <v>6598</v>
      </c>
      <c r="M4" s="130"/>
    </row>
    <row r="5" hidden="1">
      <c r="A5" s="131" t="s">
        <v>6599</v>
      </c>
      <c r="B5" s="132">
        <v>45560.0</v>
      </c>
      <c r="C5" s="131">
        <v>8.07000027179E11</v>
      </c>
      <c r="D5" s="131" t="s">
        <v>337</v>
      </c>
      <c r="E5" s="131" t="s">
        <v>338</v>
      </c>
      <c r="F5" s="133" t="s">
        <v>6600</v>
      </c>
      <c r="G5" s="123" t="s">
        <v>350</v>
      </c>
      <c r="H5" s="133">
        <v>4401.0</v>
      </c>
      <c r="I5" s="131">
        <v>185902.0</v>
      </c>
      <c r="J5" s="131" t="s">
        <v>6601</v>
      </c>
      <c r="K5" s="131">
        <v>1.0</v>
      </c>
      <c r="L5" s="134" t="s">
        <v>6602</v>
      </c>
      <c r="M5" s="135" t="s">
        <v>6603</v>
      </c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hidden="1">
      <c r="A6" s="125" t="s">
        <v>6599</v>
      </c>
      <c r="B6" s="126">
        <v>45560.0</v>
      </c>
      <c r="C6" s="125">
        <v>8.07000027179E11</v>
      </c>
      <c r="D6" s="125" t="s">
        <v>337</v>
      </c>
      <c r="E6" s="125" t="s">
        <v>338</v>
      </c>
      <c r="F6" s="127" t="s">
        <v>6600</v>
      </c>
      <c r="G6" s="128" t="s">
        <v>350</v>
      </c>
      <c r="H6" s="127">
        <v>4401.0</v>
      </c>
      <c r="I6" s="125" t="s">
        <v>6604</v>
      </c>
      <c r="J6" s="125" t="s">
        <v>6605</v>
      </c>
      <c r="K6" s="125">
        <v>1.0</v>
      </c>
      <c r="L6" s="129" t="s">
        <v>6602</v>
      </c>
      <c r="M6" s="136" t="s">
        <v>6603</v>
      </c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</row>
    <row r="7" hidden="1">
      <c r="A7" s="131" t="s">
        <v>6606</v>
      </c>
      <c r="B7" s="137">
        <v>45582.0</v>
      </c>
      <c r="C7" s="131">
        <v>8.06015084221E11</v>
      </c>
      <c r="D7" s="131" t="s">
        <v>475</v>
      </c>
      <c r="E7" s="131" t="s">
        <v>476</v>
      </c>
      <c r="F7" s="133" t="s">
        <v>6607</v>
      </c>
      <c r="G7" s="123" t="s">
        <v>368</v>
      </c>
      <c r="H7" s="133">
        <v>4530.0</v>
      </c>
      <c r="I7" s="131">
        <v>20400.0</v>
      </c>
      <c r="J7" s="131" t="s">
        <v>6608</v>
      </c>
      <c r="K7" s="131">
        <v>8.0</v>
      </c>
      <c r="L7" s="134" t="s">
        <v>6609</v>
      </c>
      <c r="M7" s="138"/>
    </row>
    <row r="8" hidden="1">
      <c r="A8" s="131" t="s">
        <v>6606</v>
      </c>
      <c r="B8" s="139">
        <v>45582.0</v>
      </c>
      <c r="C8" s="33">
        <v>8.06015084221E11</v>
      </c>
      <c r="D8" s="33" t="s">
        <v>475</v>
      </c>
      <c r="E8" s="33" t="s">
        <v>476</v>
      </c>
      <c r="F8" s="123" t="s">
        <v>6607</v>
      </c>
      <c r="G8" s="123" t="s">
        <v>368</v>
      </c>
      <c r="H8" s="123">
        <v>4530.0</v>
      </c>
      <c r="I8" s="33">
        <v>20404.0</v>
      </c>
      <c r="J8" s="33" t="s">
        <v>6610</v>
      </c>
      <c r="K8" s="33">
        <v>1.0</v>
      </c>
      <c r="L8" s="124" t="s">
        <v>6609</v>
      </c>
      <c r="M8" s="34"/>
    </row>
    <row r="9" hidden="1">
      <c r="A9" s="125" t="s">
        <v>6611</v>
      </c>
      <c r="B9" s="126">
        <v>45582.0</v>
      </c>
      <c r="C9" s="125">
        <v>8.07000027725E11</v>
      </c>
      <c r="D9" s="125" t="s">
        <v>6612</v>
      </c>
      <c r="E9" s="125" t="s">
        <v>6613</v>
      </c>
      <c r="F9" s="127" t="s">
        <v>6614</v>
      </c>
      <c r="G9" s="128" t="s">
        <v>6615</v>
      </c>
      <c r="H9" s="127">
        <v>4421.0</v>
      </c>
      <c r="I9" s="125" t="s">
        <v>1004</v>
      </c>
      <c r="J9" s="125" t="s">
        <v>1005</v>
      </c>
      <c r="K9" s="125">
        <v>1.0</v>
      </c>
      <c r="L9" s="129" t="s">
        <v>6616</v>
      </c>
      <c r="M9" s="130"/>
    </row>
    <row r="10" hidden="1">
      <c r="A10" s="131" t="s">
        <v>6617</v>
      </c>
      <c r="B10" s="132">
        <v>45597.0</v>
      </c>
      <c r="C10" s="131">
        <v>8.05011493852E11</v>
      </c>
      <c r="D10" s="131" t="s">
        <v>6618</v>
      </c>
      <c r="E10" s="131" t="s">
        <v>6619</v>
      </c>
      <c r="F10" s="133" t="s">
        <v>6620</v>
      </c>
      <c r="G10" s="123" t="s">
        <v>6621</v>
      </c>
      <c r="H10" s="133">
        <v>4550.0</v>
      </c>
      <c r="I10" s="131" t="s">
        <v>6622</v>
      </c>
      <c r="J10" s="131" t="s">
        <v>36</v>
      </c>
      <c r="K10" s="131">
        <v>1.0</v>
      </c>
      <c r="L10" s="134" t="s">
        <v>6623</v>
      </c>
      <c r="M10" s="138"/>
    </row>
    <row r="11" hidden="1">
      <c r="A11" s="140" t="s">
        <v>6617</v>
      </c>
      <c r="B11" s="141">
        <v>45597.0</v>
      </c>
      <c r="C11" s="140">
        <v>8.05011493852E11</v>
      </c>
      <c r="D11" s="140" t="s">
        <v>6618</v>
      </c>
      <c r="E11" s="140" t="s">
        <v>6619</v>
      </c>
      <c r="F11" s="128" t="s">
        <v>6620</v>
      </c>
      <c r="G11" s="128" t="s">
        <v>6621</v>
      </c>
      <c r="H11" s="127">
        <v>4550.0</v>
      </c>
      <c r="I11" s="125" t="s">
        <v>32</v>
      </c>
      <c r="J11" s="125" t="s">
        <v>33</v>
      </c>
      <c r="K11" s="125">
        <v>1.0</v>
      </c>
      <c r="L11" s="142" t="s">
        <v>6623</v>
      </c>
      <c r="M11" s="130"/>
    </row>
    <row r="12" hidden="1">
      <c r="A12" s="131" t="s">
        <v>6624</v>
      </c>
      <c r="B12" s="132">
        <v>45605.0</v>
      </c>
      <c r="C12" s="131">
        <v>8.07000028079E11</v>
      </c>
      <c r="D12" s="131" t="s">
        <v>6625</v>
      </c>
      <c r="E12" s="131" t="s">
        <v>6626</v>
      </c>
      <c r="F12" s="133" t="s">
        <v>6627</v>
      </c>
      <c r="G12" s="123" t="s">
        <v>247</v>
      </c>
      <c r="H12" s="133">
        <v>4400.0</v>
      </c>
      <c r="I12" s="131" t="s">
        <v>985</v>
      </c>
      <c r="J12" s="131" t="s">
        <v>986</v>
      </c>
      <c r="K12" s="131">
        <v>1.0</v>
      </c>
      <c r="L12" s="134" t="s">
        <v>6628</v>
      </c>
      <c r="M12" s="138"/>
    </row>
    <row r="13" hidden="1">
      <c r="A13" s="131" t="s">
        <v>6624</v>
      </c>
      <c r="B13" s="132">
        <v>45605.0</v>
      </c>
      <c r="C13" s="131">
        <v>8.07000028079E11</v>
      </c>
      <c r="D13" s="131" t="s">
        <v>6625</v>
      </c>
      <c r="E13" s="131" t="s">
        <v>6626</v>
      </c>
      <c r="F13" s="133" t="s">
        <v>6627</v>
      </c>
      <c r="G13" s="123" t="s">
        <v>247</v>
      </c>
      <c r="H13" s="133">
        <v>4400.0</v>
      </c>
      <c r="I13" s="33" t="s">
        <v>35</v>
      </c>
      <c r="J13" s="33" t="s">
        <v>36</v>
      </c>
      <c r="K13" s="33">
        <v>1.0</v>
      </c>
      <c r="L13" s="134" t="s">
        <v>6628</v>
      </c>
      <c r="M13" s="34"/>
    </row>
    <row r="14" hidden="1">
      <c r="A14" s="140" t="s">
        <v>6624</v>
      </c>
      <c r="B14" s="141">
        <v>45605.0</v>
      </c>
      <c r="C14" s="140">
        <v>8.07000028079E11</v>
      </c>
      <c r="D14" s="140" t="s">
        <v>6625</v>
      </c>
      <c r="E14" s="140" t="s">
        <v>6626</v>
      </c>
      <c r="F14" s="128" t="s">
        <v>6627</v>
      </c>
      <c r="G14" s="128" t="s">
        <v>247</v>
      </c>
      <c r="H14" s="127">
        <v>4400.0</v>
      </c>
      <c r="I14" s="125" t="s">
        <v>512</v>
      </c>
      <c r="J14" s="125" t="s">
        <v>513</v>
      </c>
      <c r="K14" s="125">
        <v>6.0</v>
      </c>
      <c r="L14" s="142" t="s">
        <v>6628</v>
      </c>
      <c r="M14" s="130"/>
    </row>
    <row r="15" hidden="1">
      <c r="A15" s="33" t="s">
        <v>6629</v>
      </c>
      <c r="B15" s="139">
        <v>45607.0</v>
      </c>
      <c r="C15" s="33">
        <v>8.07000028202E11</v>
      </c>
      <c r="D15" s="33" t="s">
        <v>6630</v>
      </c>
      <c r="E15" s="33" t="s">
        <v>6631</v>
      </c>
      <c r="F15" s="123" t="s">
        <v>6632</v>
      </c>
      <c r="G15" s="123" t="s">
        <v>247</v>
      </c>
      <c r="H15" s="133">
        <v>4400.0</v>
      </c>
      <c r="I15" s="33" t="s">
        <v>340</v>
      </c>
      <c r="J15" s="33" t="s">
        <v>341</v>
      </c>
      <c r="K15" s="33">
        <v>2.0</v>
      </c>
      <c r="L15" s="124" t="s">
        <v>6633</v>
      </c>
      <c r="M15" s="31" t="s">
        <v>6634</v>
      </c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</row>
    <row r="16" hidden="1">
      <c r="A16" s="33" t="s">
        <v>6635</v>
      </c>
      <c r="B16" s="139">
        <v>45607.0</v>
      </c>
      <c r="C16" s="33">
        <v>8.07000028205E11</v>
      </c>
      <c r="D16" s="33" t="s">
        <v>6630</v>
      </c>
      <c r="E16" s="33" t="s">
        <v>6631</v>
      </c>
      <c r="F16" s="123" t="s">
        <v>6632</v>
      </c>
      <c r="G16" s="123" t="s">
        <v>247</v>
      </c>
      <c r="H16" s="133">
        <v>4400.0</v>
      </c>
      <c r="I16" s="33" t="s">
        <v>298</v>
      </c>
      <c r="J16" s="33" t="s">
        <v>6035</v>
      </c>
      <c r="K16" s="33">
        <v>1.0</v>
      </c>
      <c r="L16" s="124" t="s">
        <v>6633</v>
      </c>
      <c r="M16" s="34"/>
    </row>
    <row r="17" hidden="1">
      <c r="A17" s="33" t="s">
        <v>6635</v>
      </c>
      <c r="B17" s="139">
        <v>45607.0</v>
      </c>
      <c r="C17" s="33">
        <v>8.07000028208E11</v>
      </c>
      <c r="D17" s="33" t="s">
        <v>6630</v>
      </c>
      <c r="E17" s="33" t="s">
        <v>6631</v>
      </c>
      <c r="F17" s="123" t="s">
        <v>6632</v>
      </c>
      <c r="G17" s="123" t="s">
        <v>247</v>
      </c>
      <c r="H17" s="133">
        <v>4400.0</v>
      </c>
      <c r="I17" s="33" t="s">
        <v>512</v>
      </c>
      <c r="J17" s="33" t="s">
        <v>513</v>
      </c>
      <c r="K17" s="33">
        <v>12.0</v>
      </c>
      <c r="L17" s="124" t="s">
        <v>6633</v>
      </c>
      <c r="M17" s="34"/>
    </row>
    <row r="18" hidden="1">
      <c r="A18" s="33" t="s">
        <v>6636</v>
      </c>
      <c r="B18" s="139">
        <v>45607.0</v>
      </c>
      <c r="C18" s="33">
        <v>8.07000028221E11</v>
      </c>
      <c r="D18" s="33" t="s">
        <v>6637</v>
      </c>
      <c r="E18" s="33" t="s">
        <v>6638</v>
      </c>
      <c r="F18" s="123" t="s">
        <v>6639</v>
      </c>
      <c r="G18" s="123" t="s">
        <v>247</v>
      </c>
      <c r="H18" s="123">
        <v>4400.0</v>
      </c>
      <c r="I18" s="33" t="s">
        <v>280</v>
      </c>
      <c r="J18" s="33" t="s">
        <v>281</v>
      </c>
      <c r="K18" s="33">
        <v>1.0</v>
      </c>
      <c r="L18" s="124" t="s">
        <v>6640</v>
      </c>
      <c r="M18" s="34"/>
    </row>
    <row r="19" hidden="1">
      <c r="A19" s="33" t="s">
        <v>6636</v>
      </c>
      <c r="B19" s="139">
        <v>45607.0</v>
      </c>
      <c r="C19" s="33">
        <v>8.07000028221E11</v>
      </c>
      <c r="D19" s="33" t="s">
        <v>6637</v>
      </c>
      <c r="E19" s="33" t="s">
        <v>6638</v>
      </c>
      <c r="F19" s="123" t="s">
        <v>6639</v>
      </c>
      <c r="G19" s="123" t="s">
        <v>247</v>
      </c>
      <c r="H19" s="123">
        <v>4400.0</v>
      </c>
      <c r="I19" s="33" t="s">
        <v>340</v>
      </c>
      <c r="J19" s="33" t="s">
        <v>341</v>
      </c>
      <c r="K19" s="33">
        <v>2.0</v>
      </c>
      <c r="L19" s="124" t="s">
        <v>6640</v>
      </c>
      <c r="M19" s="34"/>
    </row>
    <row r="20" hidden="1">
      <c r="A20" s="33" t="s">
        <v>6636</v>
      </c>
      <c r="B20" s="139">
        <v>45607.0</v>
      </c>
      <c r="C20" s="33">
        <v>8.07000028222E11</v>
      </c>
      <c r="D20" s="33" t="s">
        <v>6637</v>
      </c>
      <c r="E20" s="33" t="s">
        <v>6638</v>
      </c>
      <c r="F20" s="123" t="s">
        <v>6639</v>
      </c>
      <c r="G20" s="123" t="s">
        <v>247</v>
      </c>
      <c r="H20" s="123">
        <v>4400.0</v>
      </c>
      <c r="I20" s="33" t="s">
        <v>512</v>
      </c>
      <c r="J20" s="33" t="s">
        <v>513</v>
      </c>
      <c r="K20" s="33">
        <v>12.0</v>
      </c>
      <c r="L20" s="124" t="s">
        <v>6640</v>
      </c>
      <c r="M20" s="34"/>
    </row>
    <row r="21" hidden="1">
      <c r="A21" s="33" t="s">
        <v>6641</v>
      </c>
      <c r="B21" s="139">
        <v>45607.0</v>
      </c>
      <c r="C21" s="33">
        <v>8.07000028252E11</v>
      </c>
      <c r="D21" s="33" t="s">
        <v>6642</v>
      </c>
      <c r="E21" s="33" t="s">
        <v>6643</v>
      </c>
      <c r="F21" s="123" t="s">
        <v>6644</v>
      </c>
      <c r="G21" s="123" t="s">
        <v>247</v>
      </c>
      <c r="H21" s="123">
        <v>4400.0</v>
      </c>
      <c r="I21" s="33" t="s">
        <v>145</v>
      </c>
      <c r="J21" s="33" t="s">
        <v>146</v>
      </c>
      <c r="K21" s="33">
        <v>1.0</v>
      </c>
      <c r="L21" s="124" t="s">
        <v>6645</v>
      </c>
      <c r="M21" s="34"/>
    </row>
    <row r="22" hidden="1">
      <c r="A22" s="33" t="s">
        <v>6641</v>
      </c>
      <c r="B22" s="139">
        <v>45607.0</v>
      </c>
      <c r="C22" s="33">
        <v>8.07000028252E11</v>
      </c>
      <c r="D22" s="33" t="s">
        <v>6642</v>
      </c>
      <c r="E22" s="33" t="s">
        <v>6643</v>
      </c>
      <c r="F22" s="123" t="s">
        <v>6644</v>
      </c>
      <c r="G22" s="123" t="s">
        <v>247</v>
      </c>
      <c r="H22" s="123">
        <v>4400.0</v>
      </c>
      <c r="I22" s="33" t="s">
        <v>6646</v>
      </c>
      <c r="J22" s="33" t="s">
        <v>150</v>
      </c>
      <c r="K22" s="33">
        <v>2.0</v>
      </c>
      <c r="L22" s="124" t="s">
        <v>6645</v>
      </c>
      <c r="M22" s="34"/>
    </row>
    <row r="23" hidden="1">
      <c r="A23" s="33" t="s">
        <v>6641</v>
      </c>
      <c r="B23" s="139">
        <v>45607.0</v>
      </c>
      <c r="C23" s="33">
        <v>8.07000028253E11</v>
      </c>
      <c r="D23" s="33" t="s">
        <v>6642</v>
      </c>
      <c r="E23" s="33" t="s">
        <v>6643</v>
      </c>
      <c r="F23" s="123" t="s">
        <v>6644</v>
      </c>
      <c r="G23" s="123" t="s">
        <v>247</v>
      </c>
      <c r="H23" s="123">
        <v>4400.0</v>
      </c>
      <c r="I23" s="33" t="s">
        <v>512</v>
      </c>
      <c r="J23" s="33" t="s">
        <v>513</v>
      </c>
      <c r="K23" s="33">
        <v>12.0</v>
      </c>
      <c r="L23" s="124" t="s">
        <v>6645</v>
      </c>
      <c r="M23" s="34"/>
    </row>
    <row r="24" hidden="1">
      <c r="A24" s="33" t="s">
        <v>6647</v>
      </c>
      <c r="B24" s="139">
        <v>45607.0</v>
      </c>
      <c r="C24" s="33">
        <v>8.07000028256E11</v>
      </c>
      <c r="D24" s="33" t="s">
        <v>6648</v>
      </c>
      <c r="E24" s="33" t="s">
        <v>6649</v>
      </c>
      <c r="F24" s="123" t="s">
        <v>6650</v>
      </c>
      <c r="G24" s="123" t="s">
        <v>247</v>
      </c>
      <c r="H24" s="123">
        <v>4400.0</v>
      </c>
      <c r="I24" s="33" t="s">
        <v>1937</v>
      </c>
      <c r="J24" s="33" t="s">
        <v>1938</v>
      </c>
      <c r="K24" s="33">
        <v>1.0</v>
      </c>
      <c r="L24" s="124" t="s">
        <v>6651</v>
      </c>
      <c r="M24" s="34"/>
    </row>
    <row r="25" hidden="1">
      <c r="A25" s="33" t="s">
        <v>6647</v>
      </c>
      <c r="B25" s="139">
        <v>45607.0</v>
      </c>
      <c r="C25" s="33">
        <v>8.07000028256E11</v>
      </c>
      <c r="D25" s="33" t="s">
        <v>6648</v>
      </c>
      <c r="E25" s="33" t="s">
        <v>6649</v>
      </c>
      <c r="F25" s="123" t="s">
        <v>6650</v>
      </c>
      <c r="G25" s="123" t="s">
        <v>247</v>
      </c>
      <c r="H25" s="123">
        <v>4400.0</v>
      </c>
      <c r="I25" s="33" t="s">
        <v>233</v>
      </c>
      <c r="J25" s="33" t="s">
        <v>234</v>
      </c>
      <c r="K25" s="33">
        <v>2.0</v>
      </c>
      <c r="L25" s="124" t="s">
        <v>6651</v>
      </c>
      <c r="M25" s="34"/>
    </row>
    <row r="26" hidden="1">
      <c r="A26" s="33" t="s">
        <v>6652</v>
      </c>
      <c r="B26" s="139">
        <v>45607.0</v>
      </c>
      <c r="C26" s="33">
        <v>8.07000028243E11</v>
      </c>
      <c r="D26" s="33" t="s">
        <v>6653</v>
      </c>
      <c r="E26" s="33" t="s">
        <v>6654</v>
      </c>
      <c r="F26" s="123" t="s">
        <v>6655</v>
      </c>
      <c r="G26" s="123" t="s">
        <v>247</v>
      </c>
      <c r="H26" s="123">
        <v>4400.0</v>
      </c>
      <c r="I26" s="33" t="s">
        <v>6656</v>
      </c>
      <c r="J26" s="33" t="s">
        <v>6657</v>
      </c>
      <c r="K26" s="33">
        <v>1.0</v>
      </c>
      <c r="L26" s="124" t="s">
        <v>6658</v>
      </c>
      <c r="M26" s="34"/>
    </row>
    <row r="27" hidden="1">
      <c r="A27" s="33" t="s">
        <v>6652</v>
      </c>
      <c r="B27" s="139">
        <v>45607.0</v>
      </c>
      <c r="C27" s="33">
        <v>8.07000028343E11</v>
      </c>
      <c r="D27" s="33" t="s">
        <v>6653</v>
      </c>
      <c r="E27" s="33" t="s">
        <v>6654</v>
      </c>
      <c r="F27" s="123" t="s">
        <v>6655</v>
      </c>
      <c r="G27" s="123" t="s">
        <v>247</v>
      </c>
      <c r="H27" s="123">
        <v>4400.0</v>
      </c>
      <c r="I27" s="33" t="s">
        <v>4250</v>
      </c>
      <c r="J27" s="33" t="s">
        <v>6659</v>
      </c>
      <c r="K27" s="33">
        <v>2.0</v>
      </c>
      <c r="L27" s="124" t="s">
        <v>6658</v>
      </c>
      <c r="M27" s="34"/>
    </row>
    <row r="28" hidden="1">
      <c r="A28" s="33" t="s">
        <v>6652</v>
      </c>
      <c r="B28" s="139">
        <v>45607.0</v>
      </c>
      <c r="C28" s="33">
        <v>8.07000028244E11</v>
      </c>
      <c r="D28" s="33" t="s">
        <v>6653</v>
      </c>
      <c r="E28" s="33" t="s">
        <v>6654</v>
      </c>
      <c r="F28" s="123" t="s">
        <v>6655</v>
      </c>
      <c r="G28" s="123" t="s">
        <v>247</v>
      </c>
      <c r="H28" s="123">
        <v>4400.0</v>
      </c>
      <c r="I28" s="33" t="s">
        <v>3512</v>
      </c>
      <c r="J28" s="33" t="s">
        <v>3513</v>
      </c>
      <c r="K28" s="33">
        <v>12.0</v>
      </c>
      <c r="L28" s="124" t="s">
        <v>6658</v>
      </c>
      <c r="M28" s="34"/>
    </row>
    <row r="29" hidden="1">
      <c r="A29" s="33" t="s">
        <v>6660</v>
      </c>
      <c r="B29" s="139">
        <v>45610.0</v>
      </c>
      <c r="C29" s="33">
        <v>8.07000028285E11</v>
      </c>
      <c r="D29" s="33" t="s">
        <v>6661</v>
      </c>
      <c r="E29" s="33" t="s">
        <v>6662</v>
      </c>
      <c r="F29" s="123" t="s">
        <v>6663</v>
      </c>
      <c r="G29" s="123" t="s">
        <v>247</v>
      </c>
      <c r="H29" s="123">
        <v>4400.0</v>
      </c>
      <c r="I29" s="33" t="s">
        <v>3512</v>
      </c>
      <c r="J29" s="33" t="s">
        <v>3513</v>
      </c>
      <c r="K29" s="33">
        <v>12.0</v>
      </c>
      <c r="L29" s="124" t="s">
        <v>6664</v>
      </c>
      <c r="M29" s="34"/>
    </row>
    <row r="30" hidden="1">
      <c r="A30" s="33" t="s">
        <v>6660</v>
      </c>
      <c r="B30" s="139">
        <v>45610.0</v>
      </c>
      <c r="C30" s="33">
        <v>8.07000028286E11</v>
      </c>
      <c r="D30" s="33" t="s">
        <v>6661</v>
      </c>
      <c r="E30" s="33" t="s">
        <v>6662</v>
      </c>
      <c r="F30" s="123" t="s">
        <v>6663</v>
      </c>
      <c r="G30" s="123" t="s">
        <v>247</v>
      </c>
      <c r="H30" s="123">
        <v>4400.0</v>
      </c>
      <c r="I30" s="33" t="s">
        <v>6665</v>
      </c>
      <c r="J30" s="33" t="s">
        <v>6666</v>
      </c>
      <c r="K30" s="33">
        <v>1.0</v>
      </c>
      <c r="L30" s="124" t="s">
        <v>6664</v>
      </c>
      <c r="M30" s="34"/>
    </row>
    <row r="31" hidden="1">
      <c r="A31" s="140" t="s">
        <v>6660</v>
      </c>
      <c r="B31" s="141">
        <v>45610.0</v>
      </c>
      <c r="C31" s="140">
        <v>8.07000028286E11</v>
      </c>
      <c r="D31" s="140" t="s">
        <v>6661</v>
      </c>
      <c r="E31" s="140" t="s">
        <v>6662</v>
      </c>
      <c r="F31" s="128" t="s">
        <v>6663</v>
      </c>
      <c r="G31" s="128" t="s">
        <v>247</v>
      </c>
      <c r="H31" s="127">
        <v>4400.0</v>
      </c>
      <c r="I31" s="125" t="s">
        <v>4250</v>
      </c>
      <c r="J31" s="125" t="s">
        <v>6659</v>
      </c>
      <c r="K31" s="125">
        <v>2.0</v>
      </c>
      <c r="L31" s="142" t="s">
        <v>6664</v>
      </c>
      <c r="M31" s="130"/>
    </row>
    <row r="32" hidden="1">
      <c r="A32" s="33" t="s">
        <v>6667</v>
      </c>
      <c r="B32" s="139">
        <v>45619.0</v>
      </c>
      <c r="C32" s="33">
        <v>8.0700002837E11</v>
      </c>
      <c r="D32" s="33" t="s">
        <v>6668</v>
      </c>
      <c r="E32" s="33" t="s">
        <v>6669</v>
      </c>
      <c r="F32" s="123" t="s">
        <v>6670</v>
      </c>
      <c r="G32" s="123" t="s">
        <v>539</v>
      </c>
      <c r="H32" s="143"/>
      <c r="I32" s="33" t="s">
        <v>129</v>
      </c>
      <c r="J32" s="33" t="s">
        <v>130</v>
      </c>
      <c r="K32" s="33">
        <v>2.0</v>
      </c>
      <c r="L32" s="124" t="s">
        <v>6671</v>
      </c>
      <c r="M32" s="34"/>
    </row>
    <row r="33" hidden="1">
      <c r="A33" s="33" t="s">
        <v>6667</v>
      </c>
      <c r="B33" s="139">
        <v>45619.0</v>
      </c>
      <c r="C33" s="33">
        <v>8.0700002837E11</v>
      </c>
      <c r="D33" s="33" t="s">
        <v>6668</v>
      </c>
      <c r="E33" s="33" t="s">
        <v>6669</v>
      </c>
      <c r="F33" s="123" t="s">
        <v>6670</v>
      </c>
      <c r="G33" s="123" t="s">
        <v>539</v>
      </c>
      <c r="H33" s="143"/>
      <c r="I33" s="33" t="s">
        <v>1544</v>
      </c>
      <c r="J33" s="33" t="s">
        <v>1545</v>
      </c>
      <c r="K33" s="33">
        <v>2.0</v>
      </c>
      <c r="L33" s="124" t="s">
        <v>6671</v>
      </c>
      <c r="M33" s="34"/>
    </row>
    <row r="34" hidden="1">
      <c r="A34" s="33" t="s">
        <v>6672</v>
      </c>
      <c r="B34" s="139">
        <v>45619.0</v>
      </c>
      <c r="C34" s="33">
        <v>8.07000028386E11</v>
      </c>
      <c r="D34" s="33" t="s">
        <v>6673</v>
      </c>
      <c r="E34" s="144" t="s">
        <v>6674</v>
      </c>
      <c r="F34" s="123" t="s">
        <v>6675</v>
      </c>
      <c r="G34" s="123" t="s">
        <v>6676</v>
      </c>
      <c r="H34" s="143"/>
      <c r="I34" s="33" t="s">
        <v>298</v>
      </c>
      <c r="J34" s="33" t="s">
        <v>299</v>
      </c>
      <c r="K34" s="33">
        <v>1.0</v>
      </c>
      <c r="L34" s="124" t="s">
        <v>6677</v>
      </c>
      <c r="M34" s="31" t="s">
        <v>6678</v>
      </c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</row>
    <row r="35" hidden="1">
      <c r="A35" s="33" t="s">
        <v>6679</v>
      </c>
      <c r="B35" s="139">
        <v>45619.0</v>
      </c>
      <c r="C35" s="33">
        <v>8.07000028388E11</v>
      </c>
      <c r="D35" s="33" t="s">
        <v>6673</v>
      </c>
      <c r="E35" s="33" t="s">
        <v>6674</v>
      </c>
      <c r="F35" s="123" t="s">
        <v>6675</v>
      </c>
      <c r="G35" s="123" t="s">
        <v>6676</v>
      </c>
      <c r="H35" s="143"/>
      <c r="I35" s="33" t="s">
        <v>340</v>
      </c>
      <c r="J35" s="33" t="s">
        <v>341</v>
      </c>
      <c r="K35" s="33">
        <v>2.0</v>
      </c>
      <c r="L35" s="124" t="s">
        <v>6677</v>
      </c>
      <c r="M35" s="34"/>
    </row>
    <row r="36" hidden="1">
      <c r="A36" s="33" t="s">
        <v>6680</v>
      </c>
      <c r="B36" s="139">
        <v>45620.0</v>
      </c>
      <c r="C36" s="33">
        <v>8.07000028402E11</v>
      </c>
      <c r="D36" s="33" t="s">
        <v>6681</v>
      </c>
      <c r="E36" s="33" t="s">
        <v>6682</v>
      </c>
      <c r="F36" s="123" t="s">
        <v>6683</v>
      </c>
      <c r="G36" s="123" t="s">
        <v>247</v>
      </c>
      <c r="H36" s="123">
        <v>4400.0</v>
      </c>
      <c r="I36" s="33" t="s">
        <v>4250</v>
      </c>
      <c r="J36" s="33" t="s">
        <v>6659</v>
      </c>
      <c r="K36" s="33">
        <v>2.0</v>
      </c>
      <c r="L36" s="124" t="s">
        <v>6684</v>
      </c>
      <c r="M36" s="34"/>
    </row>
    <row r="37" hidden="1">
      <c r="A37" s="33" t="s">
        <v>6680</v>
      </c>
      <c r="B37" s="139">
        <v>45620.0</v>
      </c>
      <c r="C37" s="33">
        <v>8.07000028403E11</v>
      </c>
      <c r="D37" s="33" t="s">
        <v>6681</v>
      </c>
      <c r="E37" s="33" t="s">
        <v>6682</v>
      </c>
      <c r="F37" s="123" t="s">
        <v>6683</v>
      </c>
      <c r="G37" s="123" t="s">
        <v>247</v>
      </c>
      <c r="H37" s="123">
        <v>4400.0</v>
      </c>
      <c r="I37" s="33" t="s">
        <v>1766</v>
      </c>
      <c r="J37" s="33" t="s">
        <v>1767</v>
      </c>
      <c r="K37" s="33">
        <v>1.0</v>
      </c>
      <c r="L37" s="124" t="s">
        <v>6684</v>
      </c>
      <c r="M37" s="34"/>
    </row>
    <row r="38" hidden="1">
      <c r="A38" s="33" t="s">
        <v>6680</v>
      </c>
      <c r="B38" s="139">
        <v>45620.0</v>
      </c>
      <c r="C38" s="33">
        <v>8.07000028404E11</v>
      </c>
      <c r="D38" s="33" t="s">
        <v>6681</v>
      </c>
      <c r="E38" s="33" t="s">
        <v>6682</v>
      </c>
      <c r="F38" s="123" t="s">
        <v>6683</v>
      </c>
      <c r="G38" s="123" t="s">
        <v>247</v>
      </c>
      <c r="H38" s="123">
        <v>4400.0</v>
      </c>
      <c r="I38" s="33" t="s">
        <v>969</v>
      </c>
      <c r="J38" s="33" t="s">
        <v>6685</v>
      </c>
      <c r="K38" s="33">
        <v>1.0</v>
      </c>
      <c r="L38" s="124" t="s">
        <v>6684</v>
      </c>
      <c r="M38" s="34"/>
    </row>
    <row r="39" hidden="1">
      <c r="A39" s="140" t="s">
        <v>6680</v>
      </c>
      <c r="B39" s="141">
        <v>45620.0</v>
      </c>
      <c r="C39" s="140">
        <v>8.07000028406E11</v>
      </c>
      <c r="D39" s="140" t="s">
        <v>6681</v>
      </c>
      <c r="E39" s="140" t="s">
        <v>6682</v>
      </c>
      <c r="F39" s="128" t="s">
        <v>6683</v>
      </c>
      <c r="G39" s="128" t="s">
        <v>247</v>
      </c>
      <c r="H39" s="127">
        <v>4400.0</v>
      </c>
      <c r="I39" s="125" t="s">
        <v>352</v>
      </c>
      <c r="J39" s="125" t="s">
        <v>353</v>
      </c>
      <c r="K39" s="125">
        <v>1.0</v>
      </c>
      <c r="L39" s="142" t="s">
        <v>6684</v>
      </c>
      <c r="M39" s="130"/>
    </row>
    <row r="40" hidden="1">
      <c r="A40" s="33" t="s">
        <v>6686</v>
      </c>
      <c r="B40" s="139">
        <v>45625.0</v>
      </c>
      <c r="C40" s="33">
        <v>8.07000028474E11</v>
      </c>
      <c r="D40" s="33" t="s">
        <v>6687</v>
      </c>
      <c r="E40" s="33" t="s">
        <v>6688</v>
      </c>
      <c r="F40" s="145" t="s">
        <v>6689</v>
      </c>
      <c r="G40" s="123" t="s">
        <v>1038</v>
      </c>
      <c r="H40" s="123">
        <v>4400.0</v>
      </c>
      <c r="I40" s="33" t="s">
        <v>1115</v>
      </c>
      <c r="J40" s="33" t="s">
        <v>6690</v>
      </c>
      <c r="K40" s="33">
        <v>1.0</v>
      </c>
      <c r="L40" s="124" t="s">
        <v>6691</v>
      </c>
      <c r="M40" s="34"/>
    </row>
    <row r="41" hidden="1">
      <c r="A41" s="33" t="s">
        <v>6692</v>
      </c>
      <c r="B41" s="139">
        <v>45625.0</v>
      </c>
      <c r="C41" s="33">
        <v>8.0700002849E11</v>
      </c>
      <c r="D41" s="33" t="s">
        <v>6693</v>
      </c>
      <c r="E41" s="33" t="s">
        <v>6694</v>
      </c>
      <c r="F41" s="123" t="s">
        <v>6695</v>
      </c>
      <c r="G41" s="123" t="s">
        <v>247</v>
      </c>
      <c r="H41" s="123">
        <v>4400.0</v>
      </c>
      <c r="I41" s="33" t="s">
        <v>6696</v>
      </c>
      <c r="J41" s="33" t="s">
        <v>6697</v>
      </c>
      <c r="K41" s="33">
        <v>1.0</v>
      </c>
      <c r="L41" s="124" t="s">
        <v>6698</v>
      </c>
      <c r="M41" s="31" t="s">
        <v>6699</v>
      </c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</row>
    <row r="42" hidden="1">
      <c r="A42" s="33" t="s">
        <v>6700</v>
      </c>
      <c r="B42" s="139">
        <v>45626.0</v>
      </c>
      <c r="C42" s="33">
        <v>8.07000028524E11</v>
      </c>
      <c r="D42" s="33" t="s">
        <v>6701</v>
      </c>
      <c r="E42" s="33" t="s">
        <v>6702</v>
      </c>
      <c r="F42" s="123" t="s">
        <v>6703</v>
      </c>
      <c r="G42" s="123" t="s">
        <v>247</v>
      </c>
      <c r="H42" s="123">
        <v>4400.0</v>
      </c>
      <c r="I42" s="33" t="s">
        <v>568</v>
      </c>
      <c r="J42" s="33" t="s">
        <v>569</v>
      </c>
      <c r="K42" s="33">
        <v>2.0</v>
      </c>
      <c r="L42" s="124" t="s">
        <v>6704</v>
      </c>
      <c r="M42" s="31" t="s">
        <v>6705</v>
      </c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</row>
    <row r="43" hidden="1">
      <c r="A43" s="33" t="s">
        <v>6700</v>
      </c>
      <c r="B43" s="139">
        <v>45626.0</v>
      </c>
      <c r="C43" s="33">
        <v>8.07000028533E11</v>
      </c>
      <c r="D43" s="33" t="s">
        <v>6701</v>
      </c>
      <c r="E43" s="33" t="s">
        <v>6702</v>
      </c>
      <c r="F43" s="123" t="s">
        <v>6703</v>
      </c>
      <c r="G43" s="123" t="s">
        <v>247</v>
      </c>
      <c r="H43" s="123">
        <v>4400.0</v>
      </c>
      <c r="I43" s="33" t="s">
        <v>218</v>
      </c>
      <c r="J43" s="33" t="s">
        <v>219</v>
      </c>
      <c r="K43" s="33">
        <v>1.0</v>
      </c>
      <c r="L43" s="124" t="s">
        <v>6704</v>
      </c>
      <c r="M43" s="31" t="s">
        <v>6705</v>
      </c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</row>
    <row r="44" hidden="1">
      <c r="A44" s="33" t="s">
        <v>6700</v>
      </c>
      <c r="B44" s="139">
        <v>45626.0</v>
      </c>
      <c r="C44" s="33">
        <v>8.07000028533E11</v>
      </c>
      <c r="D44" s="33" t="s">
        <v>6701</v>
      </c>
      <c r="E44" s="33" t="s">
        <v>6702</v>
      </c>
      <c r="F44" s="123" t="s">
        <v>6703</v>
      </c>
      <c r="G44" s="123" t="s">
        <v>247</v>
      </c>
      <c r="H44" s="123">
        <v>4400.0</v>
      </c>
      <c r="I44" s="33" t="s">
        <v>121</v>
      </c>
      <c r="J44" s="33" t="s">
        <v>122</v>
      </c>
      <c r="K44" s="33">
        <v>2.0</v>
      </c>
      <c r="L44" s="124" t="s">
        <v>6704</v>
      </c>
      <c r="M44" s="31" t="s">
        <v>6705</v>
      </c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</row>
    <row r="45" hidden="1">
      <c r="A45" s="33" t="s">
        <v>6706</v>
      </c>
      <c r="B45" s="139">
        <v>45626.0</v>
      </c>
      <c r="C45" s="33">
        <v>8.07000028529E11</v>
      </c>
      <c r="D45" s="33" t="s">
        <v>6707</v>
      </c>
      <c r="E45" s="33" t="s">
        <v>6708</v>
      </c>
      <c r="F45" s="123" t="s">
        <v>6709</v>
      </c>
      <c r="G45" s="123" t="s">
        <v>247</v>
      </c>
      <c r="H45" s="123">
        <v>4400.0</v>
      </c>
      <c r="I45" s="33" t="s">
        <v>118</v>
      </c>
      <c r="J45" s="33" t="s">
        <v>119</v>
      </c>
      <c r="K45" s="33">
        <v>1.0</v>
      </c>
      <c r="L45" s="124" t="s">
        <v>6710</v>
      </c>
      <c r="M45" s="34"/>
    </row>
    <row r="46" hidden="1">
      <c r="A46" s="33" t="s">
        <v>6706</v>
      </c>
      <c r="B46" s="139">
        <v>45626.0</v>
      </c>
      <c r="C46" s="33">
        <v>8.07000028529E11</v>
      </c>
      <c r="D46" s="33" t="s">
        <v>6707</v>
      </c>
      <c r="E46" s="33" t="s">
        <v>6708</v>
      </c>
      <c r="F46" s="123" t="s">
        <v>6709</v>
      </c>
      <c r="G46" s="123" t="s">
        <v>247</v>
      </c>
      <c r="H46" s="123">
        <v>4400.0</v>
      </c>
      <c r="I46" s="33" t="s">
        <v>121</v>
      </c>
      <c r="J46" s="33" t="s">
        <v>122</v>
      </c>
      <c r="K46" s="33">
        <v>2.0</v>
      </c>
      <c r="L46" s="124" t="s">
        <v>6710</v>
      </c>
      <c r="M46" s="34"/>
    </row>
    <row r="47" hidden="1">
      <c r="A47" s="33" t="s">
        <v>6706</v>
      </c>
      <c r="B47" s="139">
        <v>45626.0</v>
      </c>
      <c r="C47" s="33">
        <v>8.07000028532E11</v>
      </c>
      <c r="D47" s="33" t="s">
        <v>6707</v>
      </c>
      <c r="E47" s="33" t="s">
        <v>6708</v>
      </c>
      <c r="F47" s="123" t="s">
        <v>6709</v>
      </c>
      <c r="G47" s="123" t="s">
        <v>247</v>
      </c>
      <c r="H47" s="123">
        <v>4400.0</v>
      </c>
      <c r="I47" s="33">
        <v>208502.0</v>
      </c>
      <c r="J47" s="33" t="s">
        <v>4551</v>
      </c>
      <c r="K47" s="33">
        <v>2.0</v>
      </c>
      <c r="L47" s="124" t="s">
        <v>6710</v>
      </c>
      <c r="M47" s="34"/>
    </row>
    <row r="48" hidden="1">
      <c r="A48" s="33" t="s">
        <v>6711</v>
      </c>
      <c r="B48" s="139">
        <v>45626.0</v>
      </c>
      <c r="C48" s="33">
        <v>8.07000028542E11</v>
      </c>
      <c r="D48" s="33" t="s">
        <v>6712</v>
      </c>
      <c r="E48" s="33" t="s">
        <v>6713</v>
      </c>
      <c r="F48" s="123" t="s">
        <v>6714</v>
      </c>
      <c r="G48" s="123" t="s">
        <v>247</v>
      </c>
      <c r="H48" s="123">
        <v>4400.0</v>
      </c>
      <c r="I48" s="33" t="s">
        <v>1379</v>
      </c>
      <c r="J48" s="33" t="s">
        <v>1380</v>
      </c>
      <c r="K48" s="33">
        <v>1.0</v>
      </c>
      <c r="L48" s="124" t="s">
        <v>6715</v>
      </c>
      <c r="M48" s="34"/>
    </row>
    <row r="49" hidden="1">
      <c r="A49" s="125" t="s">
        <v>6711</v>
      </c>
      <c r="B49" s="146">
        <v>45626.0</v>
      </c>
      <c r="C49" s="125">
        <v>8.07000028542E11</v>
      </c>
      <c r="D49" s="125" t="s">
        <v>6712</v>
      </c>
      <c r="E49" s="125" t="s">
        <v>6713</v>
      </c>
      <c r="F49" s="127" t="s">
        <v>6714</v>
      </c>
      <c r="G49" s="128" t="s">
        <v>247</v>
      </c>
      <c r="H49" s="127">
        <v>4400.0</v>
      </c>
      <c r="I49" s="125" t="s">
        <v>35</v>
      </c>
      <c r="J49" s="125" t="s">
        <v>36</v>
      </c>
      <c r="K49" s="125">
        <v>1.0</v>
      </c>
      <c r="L49" s="129" t="s">
        <v>6715</v>
      </c>
      <c r="M49" s="130"/>
    </row>
    <row r="50" hidden="1">
      <c r="A50" s="147" t="s">
        <v>6716</v>
      </c>
      <c r="B50" s="148">
        <v>45635.0</v>
      </c>
      <c r="C50" s="147">
        <v>8.07000028671E11</v>
      </c>
      <c r="D50" s="147" t="s">
        <v>6717</v>
      </c>
      <c r="E50" s="147" t="s">
        <v>6718</v>
      </c>
      <c r="F50" s="149" t="s">
        <v>6719</v>
      </c>
      <c r="G50" s="123" t="s">
        <v>1190</v>
      </c>
      <c r="H50" s="149">
        <v>4419.0</v>
      </c>
      <c r="I50" s="147" t="s">
        <v>1533</v>
      </c>
      <c r="J50" s="33" t="s">
        <v>6720</v>
      </c>
      <c r="K50" s="147">
        <v>1.0</v>
      </c>
      <c r="L50" s="150" t="s">
        <v>6721</v>
      </c>
      <c r="M50" s="151" t="s">
        <v>6722</v>
      </c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</row>
    <row r="51" hidden="1">
      <c r="A51" s="33" t="s">
        <v>6723</v>
      </c>
      <c r="B51" s="139">
        <v>45639.0</v>
      </c>
      <c r="C51" s="33">
        <v>8.07000028698E11</v>
      </c>
      <c r="D51" s="33" t="s">
        <v>6717</v>
      </c>
      <c r="E51" s="33" t="s">
        <v>6718</v>
      </c>
      <c r="F51" s="123" t="s">
        <v>6719</v>
      </c>
      <c r="G51" s="123" t="s">
        <v>1190</v>
      </c>
      <c r="H51" s="123">
        <v>4419.0</v>
      </c>
      <c r="I51" s="33" t="s">
        <v>6724</v>
      </c>
      <c r="J51" s="33" t="s">
        <v>6725</v>
      </c>
      <c r="K51" s="33">
        <v>1.0</v>
      </c>
      <c r="L51" s="124" t="s">
        <v>6721</v>
      </c>
      <c r="M51" s="34"/>
    </row>
    <row r="52" hidden="1">
      <c r="A52" s="131" t="s">
        <v>6726</v>
      </c>
      <c r="B52" s="137">
        <v>45639.0</v>
      </c>
      <c r="C52" s="131">
        <v>8.07000028645E11</v>
      </c>
      <c r="D52" s="131" t="s">
        <v>6727</v>
      </c>
      <c r="E52" s="131" t="s">
        <v>6728</v>
      </c>
      <c r="F52" s="133" t="s">
        <v>6729</v>
      </c>
      <c r="G52" s="123" t="s">
        <v>247</v>
      </c>
      <c r="H52" s="133">
        <v>4400.0</v>
      </c>
      <c r="I52" s="131" t="s">
        <v>6730</v>
      </c>
      <c r="J52" s="131" t="s">
        <v>6731</v>
      </c>
      <c r="K52" s="131">
        <v>1.0</v>
      </c>
      <c r="L52" s="134" t="s">
        <v>6732</v>
      </c>
      <c r="M52" s="138"/>
    </row>
    <row r="53" hidden="1">
      <c r="A53" s="131" t="s">
        <v>6726</v>
      </c>
      <c r="B53" s="137">
        <v>45639.0</v>
      </c>
      <c r="C53" s="131">
        <v>8.07000028645E11</v>
      </c>
      <c r="D53" s="131" t="s">
        <v>6727</v>
      </c>
      <c r="E53" s="131" t="s">
        <v>6728</v>
      </c>
      <c r="F53" s="133" t="s">
        <v>6729</v>
      </c>
      <c r="G53" s="123" t="s">
        <v>247</v>
      </c>
      <c r="H53" s="133">
        <v>4400.0</v>
      </c>
      <c r="I53" s="131" t="s">
        <v>1177</v>
      </c>
      <c r="J53" s="33" t="s">
        <v>6733</v>
      </c>
      <c r="K53" s="131">
        <v>2.0</v>
      </c>
      <c r="L53" s="134" t="s">
        <v>6732</v>
      </c>
      <c r="M53" s="138"/>
    </row>
    <row r="54" hidden="1">
      <c r="A54" s="131" t="s">
        <v>6734</v>
      </c>
      <c r="B54" s="137">
        <v>45639.0</v>
      </c>
      <c r="C54" s="131">
        <v>8.07000028727E11</v>
      </c>
      <c r="D54" s="131" t="s">
        <v>6735</v>
      </c>
      <c r="E54" s="131" t="s">
        <v>6736</v>
      </c>
      <c r="F54" s="133" t="s">
        <v>6737</v>
      </c>
      <c r="G54" s="123" t="s">
        <v>247</v>
      </c>
      <c r="H54" s="133">
        <v>4400.0</v>
      </c>
      <c r="I54" s="131" t="s">
        <v>6738</v>
      </c>
      <c r="J54" s="33" t="s">
        <v>6690</v>
      </c>
      <c r="K54" s="131">
        <v>1.0</v>
      </c>
      <c r="L54" s="134" t="s">
        <v>6739</v>
      </c>
      <c r="M54" s="138"/>
    </row>
    <row r="55" hidden="1">
      <c r="A55" s="131" t="s">
        <v>6734</v>
      </c>
      <c r="B55" s="137">
        <v>45639.0</v>
      </c>
      <c r="C55" s="131">
        <v>8.07000028664E11</v>
      </c>
      <c r="D55" s="131" t="s">
        <v>6735</v>
      </c>
      <c r="E55" s="131" t="s">
        <v>6736</v>
      </c>
      <c r="F55" s="133" t="s">
        <v>6737</v>
      </c>
      <c r="G55" s="123" t="s">
        <v>247</v>
      </c>
      <c r="H55" s="133">
        <v>4400.0</v>
      </c>
      <c r="I55" s="131" t="s">
        <v>340</v>
      </c>
      <c r="J55" s="33" t="s">
        <v>341</v>
      </c>
      <c r="K55" s="131">
        <v>2.0</v>
      </c>
      <c r="L55" s="134" t="s">
        <v>6739</v>
      </c>
      <c r="M55" s="138"/>
    </row>
    <row r="56" hidden="1">
      <c r="A56" s="33" t="s">
        <v>6740</v>
      </c>
      <c r="B56" s="139">
        <v>45640.0</v>
      </c>
      <c r="C56" s="33">
        <v>8.07000028654E11</v>
      </c>
      <c r="D56" s="33" t="s">
        <v>6741</v>
      </c>
      <c r="E56" s="33" t="s">
        <v>6742</v>
      </c>
      <c r="F56" s="123" t="s">
        <v>6743</v>
      </c>
      <c r="G56" s="123" t="s">
        <v>624</v>
      </c>
      <c r="H56" s="123">
        <v>4403.0</v>
      </c>
      <c r="I56" s="33" t="s">
        <v>6744</v>
      </c>
      <c r="J56" s="33" t="s">
        <v>119</v>
      </c>
      <c r="K56" s="33">
        <v>1.0</v>
      </c>
      <c r="L56" s="124" t="s">
        <v>6745</v>
      </c>
      <c r="M56" s="34"/>
    </row>
    <row r="57" hidden="1">
      <c r="A57" s="33" t="s">
        <v>6740</v>
      </c>
      <c r="B57" s="139">
        <v>45640.0</v>
      </c>
      <c r="C57" s="33">
        <v>8.07000028654E11</v>
      </c>
      <c r="D57" s="33" t="s">
        <v>6741</v>
      </c>
      <c r="E57" s="33" t="s">
        <v>6742</v>
      </c>
      <c r="F57" s="123" t="s">
        <v>6743</v>
      </c>
      <c r="G57" s="123" t="s">
        <v>624</v>
      </c>
      <c r="H57" s="123">
        <v>4403.0</v>
      </c>
      <c r="I57" s="33" t="s">
        <v>121</v>
      </c>
      <c r="J57" s="33" t="s">
        <v>122</v>
      </c>
      <c r="K57" s="33">
        <v>2.0</v>
      </c>
      <c r="L57" s="124" t="s">
        <v>6745</v>
      </c>
      <c r="M57" s="34"/>
    </row>
    <row r="58" hidden="1">
      <c r="A58" s="131" t="s">
        <v>6746</v>
      </c>
      <c r="B58" s="139">
        <v>45640.0</v>
      </c>
      <c r="C58" s="131">
        <v>8.07000028635E11</v>
      </c>
      <c r="D58" s="131" t="s">
        <v>6747</v>
      </c>
      <c r="E58" s="131" t="s">
        <v>6748</v>
      </c>
      <c r="F58" s="133" t="s">
        <v>6749</v>
      </c>
      <c r="G58" s="123" t="s">
        <v>6676</v>
      </c>
      <c r="H58" s="133">
        <v>4400.0</v>
      </c>
      <c r="I58" s="131" t="s">
        <v>98</v>
      </c>
      <c r="J58" s="131" t="s">
        <v>99</v>
      </c>
      <c r="K58" s="131">
        <v>1.0</v>
      </c>
      <c r="L58" s="134" t="s">
        <v>6750</v>
      </c>
      <c r="M58" s="138"/>
    </row>
    <row r="59" hidden="1">
      <c r="A59" s="131" t="s">
        <v>6746</v>
      </c>
      <c r="B59" s="139">
        <v>45640.0</v>
      </c>
      <c r="C59" s="131">
        <v>8.07000028635E11</v>
      </c>
      <c r="D59" s="131" t="s">
        <v>6747</v>
      </c>
      <c r="E59" s="131" t="s">
        <v>6748</v>
      </c>
      <c r="F59" s="133" t="s">
        <v>6749</v>
      </c>
      <c r="G59" s="123" t="s">
        <v>6676</v>
      </c>
      <c r="H59" s="133">
        <v>4400.0</v>
      </c>
      <c r="I59" s="33">
        <v>125807.0</v>
      </c>
      <c r="J59" s="33" t="s">
        <v>237</v>
      </c>
      <c r="K59" s="33">
        <v>2.0</v>
      </c>
      <c r="L59" s="124" t="s">
        <v>6750</v>
      </c>
      <c r="M59" s="34"/>
    </row>
    <row r="60" hidden="1">
      <c r="A60" s="131" t="s">
        <v>6746</v>
      </c>
      <c r="B60" s="139">
        <v>45640.0</v>
      </c>
      <c r="C60" s="131">
        <v>8.07000028635E11</v>
      </c>
      <c r="D60" s="131" t="s">
        <v>6751</v>
      </c>
      <c r="E60" s="131" t="s">
        <v>6748</v>
      </c>
      <c r="F60" s="133" t="s">
        <v>6752</v>
      </c>
      <c r="G60" s="123" t="s">
        <v>6676</v>
      </c>
      <c r="H60" s="133">
        <v>4400.0</v>
      </c>
      <c r="I60" s="33" t="s">
        <v>88</v>
      </c>
      <c r="J60" s="33" t="s">
        <v>89</v>
      </c>
      <c r="K60" s="33">
        <v>1.0</v>
      </c>
      <c r="L60" s="124" t="s">
        <v>6750</v>
      </c>
      <c r="M60" s="34"/>
    </row>
    <row r="61" hidden="1">
      <c r="A61" s="152" t="s">
        <v>6753</v>
      </c>
      <c r="B61" s="139">
        <v>45640.0</v>
      </c>
      <c r="C61" s="153">
        <v>8.07000028746E11</v>
      </c>
      <c r="D61" s="153" t="s">
        <v>6754</v>
      </c>
      <c r="E61" s="153" t="s">
        <v>6755</v>
      </c>
      <c r="F61" s="154" t="s">
        <v>6756</v>
      </c>
      <c r="G61" s="155" t="s">
        <v>247</v>
      </c>
      <c r="H61" s="156">
        <v>4400.0</v>
      </c>
      <c r="I61" s="157" t="s">
        <v>2372</v>
      </c>
      <c r="J61" s="33" t="s">
        <v>6757</v>
      </c>
      <c r="K61" s="152">
        <v>1.0</v>
      </c>
      <c r="L61" s="158" t="s">
        <v>6758</v>
      </c>
      <c r="M61" s="159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</row>
    <row r="62" hidden="1">
      <c r="A62" s="152" t="s">
        <v>6759</v>
      </c>
      <c r="B62" s="161">
        <v>45646.0</v>
      </c>
      <c r="C62" s="153">
        <v>8.0700002862E11</v>
      </c>
      <c r="D62" s="153" t="s">
        <v>6760</v>
      </c>
      <c r="E62" s="153" t="s">
        <v>6761</v>
      </c>
      <c r="F62" s="154" t="s">
        <v>6762</v>
      </c>
      <c r="G62" s="155" t="s">
        <v>247</v>
      </c>
      <c r="H62" s="156">
        <v>4400.0</v>
      </c>
      <c r="I62" s="157" t="s">
        <v>1747</v>
      </c>
      <c r="J62" s="33" t="s">
        <v>6763</v>
      </c>
      <c r="K62" s="152">
        <v>1.0</v>
      </c>
      <c r="L62" s="158" t="s">
        <v>6764</v>
      </c>
      <c r="M62" s="159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</row>
    <row r="63" hidden="1">
      <c r="A63" s="152" t="s">
        <v>6765</v>
      </c>
      <c r="B63" s="161">
        <v>45646.0</v>
      </c>
      <c r="C63" s="153">
        <v>8.07000028842E11</v>
      </c>
      <c r="D63" s="153" t="s">
        <v>6766</v>
      </c>
      <c r="E63" s="153" t="s">
        <v>6767</v>
      </c>
      <c r="F63" s="154" t="s">
        <v>6768</v>
      </c>
      <c r="G63" s="155" t="s">
        <v>6769</v>
      </c>
      <c r="H63" s="156">
        <v>4400.0</v>
      </c>
      <c r="I63" s="157" t="s">
        <v>6770</v>
      </c>
      <c r="J63" s="33" t="s">
        <v>6771</v>
      </c>
      <c r="K63" s="152">
        <v>1.0</v>
      </c>
      <c r="L63" s="162" t="s">
        <v>6772</v>
      </c>
      <c r="M63" s="159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</row>
    <row r="64" hidden="1">
      <c r="A64" s="152" t="s">
        <v>6765</v>
      </c>
      <c r="B64" s="161">
        <v>45646.0</v>
      </c>
      <c r="C64" s="153">
        <v>8.07000028843E11</v>
      </c>
      <c r="D64" s="153" t="s">
        <v>6766</v>
      </c>
      <c r="E64" s="153" t="s">
        <v>6767</v>
      </c>
      <c r="F64" s="154" t="s">
        <v>6768</v>
      </c>
      <c r="G64" s="155" t="s">
        <v>6769</v>
      </c>
      <c r="H64" s="156">
        <v>4400.0</v>
      </c>
      <c r="I64" s="157" t="s">
        <v>6773</v>
      </c>
      <c r="J64" s="33" t="s">
        <v>6774</v>
      </c>
      <c r="K64" s="152">
        <v>1.0</v>
      </c>
      <c r="L64" s="162" t="s">
        <v>6772</v>
      </c>
      <c r="M64" s="159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</row>
    <row r="65" hidden="1">
      <c r="A65" s="152" t="s">
        <v>6765</v>
      </c>
      <c r="B65" s="161">
        <v>45646.0</v>
      </c>
      <c r="C65" s="153">
        <v>8.07000028843E11</v>
      </c>
      <c r="D65" s="153" t="s">
        <v>6766</v>
      </c>
      <c r="E65" s="153" t="s">
        <v>6767</v>
      </c>
      <c r="F65" s="154" t="s">
        <v>6768</v>
      </c>
      <c r="G65" s="155" t="s">
        <v>6769</v>
      </c>
      <c r="H65" s="156">
        <v>4400.0</v>
      </c>
      <c r="I65" s="157">
        <v>208502.0</v>
      </c>
      <c r="J65" s="157" t="s">
        <v>4551</v>
      </c>
      <c r="K65" s="152">
        <v>1.0</v>
      </c>
      <c r="L65" s="162" t="s">
        <v>6772</v>
      </c>
      <c r="M65" s="159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</row>
    <row r="66" hidden="1">
      <c r="A66" s="152" t="s">
        <v>6775</v>
      </c>
      <c r="B66" s="161">
        <v>45647.0</v>
      </c>
      <c r="C66" s="157">
        <v>8.07000028857E11</v>
      </c>
      <c r="D66" s="157" t="s">
        <v>6776</v>
      </c>
      <c r="E66" s="157" t="s">
        <v>6777</v>
      </c>
      <c r="F66" s="163" t="s">
        <v>6778</v>
      </c>
      <c r="G66" s="155" t="s">
        <v>247</v>
      </c>
      <c r="H66" s="155">
        <v>4400.0</v>
      </c>
      <c r="I66" s="157" t="s">
        <v>541</v>
      </c>
      <c r="J66" s="157" t="s">
        <v>542</v>
      </c>
      <c r="K66" s="152">
        <v>1.0</v>
      </c>
      <c r="L66" s="158" t="s">
        <v>6779</v>
      </c>
      <c r="M66" s="159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</row>
    <row r="67" hidden="1">
      <c r="A67" s="152" t="s">
        <v>6780</v>
      </c>
      <c r="B67" s="161">
        <v>45647.0</v>
      </c>
      <c r="C67" s="152">
        <v>8.07000028858E11</v>
      </c>
      <c r="D67" s="152" t="s">
        <v>6776</v>
      </c>
      <c r="E67" s="152" t="s">
        <v>6777</v>
      </c>
      <c r="F67" s="163" t="s">
        <v>6778</v>
      </c>
      <c r="G67" s="155" t="s">
        <v>247</v>
      </c>
      <c r="H67" s="155">
        <v>4400.0</v>
      </c>
      <c r="I67" s="152" t="s">
        <v>701</v>
      </c>
      <c r="J67" s="152" t="s">
        <v>702</v>
      </c>
      <c r="K67" s="152">
        <v>1.0</v>
      </c>
      <c r="L67" s="158" t="s">
        <v>6779</v>
      </c>
      <c r="M67" s="159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</row>
    <row r="68" hidden="1">
      <c r="A68" s="152" t="s">
        <v>6781</v>
      </c>
      <c r="B68" s="161">
        <v>45647.0</v>
      </c>
      <c r="C68" s="164">
        <v>8.07000028849E11</v>
      </c>
      <c r="D68" s="164" t="s">
        <v>6782</v>
      </c>
      <c r="E68" s="152" t="s">
        <v>6783</v>
      </c>
      <c r="F68" s="165" t="s">
        <v>6784</v>
      </c>
      <c r="G68" s="155" t="s">
        <v>247</v>
      </c>
      <c r="H68" s="165">
        <v>4400.0</v>
      </c>
      <c r="I68" s="164" t="s">
        <v>6665</v>
      </c>
      <c r="J68" s="164" t="s">
        <v>6785</v>
      </c>
      <c r="K68" s="164">
        <v>1.0</v>
      </c>
      <c r="L68" s="158" t="s">
        <v>6786</v>
      </c>
      <c r="M68" s="159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</row>
    <row r="69" hidden="1">
      <c r="A69" s="152" t="s">
        <v>6781</v>
      </c>
      <c r="B69" s="161">
        <v>45647.0</v>
      </c>
      <c r="C69" s="164">
        <v>8.07000028849E11</v>
      </c>
      <c r="D69" s="164" t="s">
        <v>6782</v>
      </c>
      <c r="E69" s="152" t="s">
        <v>6783</v>
      </c>
      <c r="F69" s="165" t="s">
        <v>6784</v>
      </c>
      <c r="G69" s="155" t="s">
        <v>247</v>
      </c>
      <c r="H69" s="165">
        <v>4400.0</v>
      </c>
      <c r="I69" s="152" t="s">
        <v>98</v>
      </c>
      <c r="J69" s="152" t="s">
        <v>6787</v>
      </c>
      <c r="K69" s="152">
        <v>3.0</v>
      </c>
      <c r="L69" s="158" t="s">
        <v>6786</v>
      </c>
      <c r="M69" s="159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</row>
    <row r="70" hidden="1">
      <c r="A70" s="152" t="s">
        <v>6781</v>
      </c>
      <c r="B70" s="161">
        <v>45647.0</v>
      </c>
      <c r="C70" s="164">
        <v>8.07000028849E11</v>
      </c>
      <c r="D70" s="164" t="s">
        <v>6782</v>
      </c>
      <c r="E70" s="152" t="s">
        <v>6783</v>
      </c>
      <c r="F70" s="165" t="s">
        <v>6784</v>
      </c>
      <c r="G70" s="155" t="s">
        <v>247</v>
      </c>
      <c r="H70" s="165">
        <v>4400.0</v>
      </c>
      <c r="I70" s="152">
        <v>208502.0</v>
      </c>
      <c r="J70" s="164" t="s">
        <v>6785</v>
      </c>
      <c r="K70" s="152">
        <v>6.0</v>
      </c>
      <c r="L70" s="158" t="s">
        <v>6786</v>
      </c>
      <c r="M70" s="159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</row>
    <row r="71" hidden="1">
      <c r="A71" s="33" t="s">
        <v>6788</v>
      </c>
      <c r="B71" s="139">
        <v>45649.0</v>
      </c>
      <c r="C71" s="33">
        <v>8.07000028887E11</v>
      </c>
      <c r="D71" s="33" t="s">
        <v>6789</v>
      </c>
      <c r="E71" s="33" t="s">
        <v>6790</v>
      </c>
      <c r="F71" s="123" t="s">
        <v>6791</v>
      </c>
      <c r="G71" s="155" t="s">
        <v>247</v>
      </c>
      <c r="H71" s="123">
        <v>4400.0</v>
      </c>
      <c r="I71" s="131" t="s">
        <v>98</v>
      </c>
      <c r="J71" s="131" t="s">
        <v>99</v>
      </c>
      <c r="K71" s="131">
        <v>1.0</v>
      </c>
      <c r="L71" s="124" t="s">
        <v>6792</v>
      </c>
      <c r="M71" s="34"/>
    </row>
    <row r="72" hidden="1">
      <c r="A72" s="33" t="s">
        <v>6788</v>
      </c>
      <c r="B72" s="139">
        <v>45649.0</v>
      </c>
      <c r="C72" s="33">
        <v>8.07000028895E11</v>
      </c>
      <c r="D72" s="33" t="s">
        <v>6789</v>
      </c>
      <c r="E72" s="33" t="s">
        <v>6790</v>
      </c>
      <c r="F72" s="123" t="s">
        <v>6791</v>
      </c>
      <c r="G72" s="155" t="s">
        <v>247</v>
      </c>
      <c r="H72" s="123">
        <v>4400.0</v>
      </c>
      <c r="I72" s="33" t="s">
        <v>35</v>
      </c>
      <c r="J72" s="33" t="s">
        <v>36</v>
      </c>
      <c r="K72" s="33">
        <v>1.0</v>
      </c>
      <c r="L72" s="124" t="s">
        <v>6792</v>
      </c>
      <c r="M72" s="34"/>
    </row>
    <row r="73" hidden="1">
      <c r="A73" s="33" t="s">
        <v>6793</v>
      </c>
      <c r="B73" s="139">
        <v>45656.0</v>
      </c>
      <c r="C73" s="33">
        <v>8.07000028958E11</v>
      </c>
      <c r="D73" s="33" t="s">
        <v>6794</v>
      </c>
      <c r="E73" s="33" t="s">
        <v>6795</v>
      </c>
      <c r="F73" s="123" t="s">
        <v>6796</v>
      </c>
      <c r="G73" s="155" t="s">
        <v>247</v>
      </c>
      <c r="H73" s="123">
        <v>4400.0</v>
      </c>
      <c r="I73" s="33" t="s">
        <v>985</v>
      </c>
      <c r="J73" s="33" t="s">
        <v>6797</v>
      </c>
      <c r="K73" s="33">
        <v>1.0</v>
      </c>
      <c r="L73" s="124" t="s">
        <v>6798</v>
      </c>
      <c r="M73" s="34"/>
    </row>
    <row r="74" hidden="1">
      <c r="A74" s="33" t="s">
        <v>6793</v>
      </c>
      <c r="B74" s="139">
        <v>45656.0</v>
      </c>
      <c r="C74" s="33">
        <v>8.07000028958E11</v>
      </c>
      <c r="D74" s="33" t="s">
        <v>6794</v>
      </c>
      <c r="E74" s="33" t="s">
        <v>6795</v>
      </c>
      <c r="F74" s="123" t="s">
        <v>6796</v>
      </c>
      <c r="G74" s="155" t="s">
        <v>247</v>
      </c>
      <c r="H74" s="123">
        <v>4400.0</v>
      </c>
      <c r="I74" s="33" t="s">
        <v>35</v>
      </c>
      <c r="J74" s="33" t="s">
        <v>6799</v>
      </c>
      <c r="K74" s="33">
        <v>1.0</v>
      </c>
      <c r="L74" s="124" t="s">
        <v>6798</v>
      </c>
      <c r="M74" s="34"/>
    </row>
    <row r="75" hidden="1">
      <c r="A75" s="33" t="s">
        <v>6800</v>
      </c>
      <c r="B75" s="139">
        <v>45656.0</v>
      </c>
      <c r="C75" s="33">
        <v>8.07000028956E11</v>
      </c>
      <c r="D75" s="33" t="s">
        <v>6801</v>
      </c>
      <c r="E75" s="33" t="s">
        <v>6802</v>
      </c>
      <c r="F75" s="123" t="s">
        <v>6803</v>
      </c>
      <c r="G75" s="155" t="s">
        <v>247</v>
      </c>
      <c r="H75" s="123">
        <v>4400.0</v>
      </c>
      <c r="I75" s="33" t="s">
        <v>6804</v>
      </c>
      <c r="J75" s="33" t="s">
        <v>6805</v>
      </c>
      <c r="K75" s="33">
        <v>1.0</v>
      </c>
      <c r="L75" s="124" t="s">
        <v>6806</v>
      </c>
      <c r="M75" s="34"/>
    </row>
    <row r="76" hidden="1">
      <c r="A76" s="125" t="s">
        <v>6807</v>
      </c>
      <c r="B76" s="126">
        <v>45661.0</v>
      </c>
      <c r="C76" s="125">
        <v>8.7000029061E10</v>
      </c>
      <c r="D76" s="125" t="s">
        <v>6808</v>
      </c>
      <c r="E76" s="125" t="s">
        <v>6809</v>
      </c>
      <c r="F76" s="127" t="s">
        <v>6810</v>
      </c>
      <c r="G76" s="127" t="s">
        <v>247</v>
      </c>
      <c r="H76" s="127">
        <v>4400.0</v>
      </c>
      <c r="I76" s="125" t="s">
        <v>1379</v>
      </c>
      <c r="J76" s="125" t="s">
        <v>6811</v>
      </c>
      <c r="K76" s="125">
        <v>1.0</v>
      </c>
      <c r="L76" s="129">
        <v>3.874271687E9</v>
      </c>
      <c r="M76" s="130"/>
    </row>
    <row r="77" hidden="1">
      <c r="A77" s="131" t="s">
        <v>6812</v>
      </c>
      <c r="B77" s="137">
        <v>45666.0</v>
      </c>
      <c r="C77" s="131">
        <v>8.07000029139E11</v>
      </c>
      <c r="D77" s="131" t="s">
        <v>6813</v>
      </c>
      <c r="E77" s="131" t="s">
        <v>6814</v>
      </c>
      <c r="F77" s="133" t="s">
        <v>6815</v>
      </c>
      <c r="G77" s="123" t="s">
        <v>247</v>
      </c>
      <c r="H77" s="133">
        <v>4400.0</v>
      </c>
      <c r="I77" s="131" t="s">
        <v>1533</v>
      </c>
      <c r="J77" s="131" t="s">
        <v>6816</v>
      </c>
      <c r="K77" s="131">
        <v>1.0</v>
      </c>
      <c r="L77" s="166" t="s">
        <v>6817</v>
      </c>
      <c r="M77" s="138"/>
    </row>
    <row r="78" hidden="1">
      <c r="A78" s="33" t="s">
        <v>6812</v>
      </c>
      <c r="B78" s="139">
        <v>45666.0</v>
      </c>
      <c r="C78" s="33">
        <v>8.07000029139E11</v>
      </c>
      <c r="D78" s="33" t="s">
        <v>6813</v>
      </c>
      <c r="E78" s="33" t="s">
        <v>6814</v>
      </c>
      <c r="F78" s="123" t="s">
        <v>6815</v>
      </c>
      <c r="G78" s="123" t="s">
        <v>247</v>
      </c>
      <c r="H78" s="123">
        <v>4400.0</v>
      </c>
      <c r="I78" s="33" t="s">
        <v>121</v>
      </c>
      <c r="J78" s="33" t="s">
        <v>6818</v>
      </c>
      <c r="K78" s="33">
        <v>2.0</v>
      </c>
      <c r="L78" s="162" t="s">
        <v>6817</v>
      </c>
      <c r="M78" s="34"/>
    </row>
    <row r="79" hidden="1">
      <c r="A79" s="33" t="s">
        <v>6819</v>
      </c>
      <c r="B79" s="139">
        <v>45666.0</v>
      </c>
      <c r="C79" s="33">
        <v>8.07000029151E11</v>
      </c>
      <c r="D79" s="33" t="s">
        <v>6820</v>
      </c>
      <c r="E79" s="33" t="s">
        <v>6821</v>
      </c>
      <c r="F79" s="123" t="s">
        <v>6822</v>
      </c>
      <c r="G79" s="123" t="s">
        <v>247</v>
      </c>
      <c r="H79" s="123">
        <v>4400.0</v>
      </c>
      <c r="I79" s="33" t="s">
        <v>4250</v>
      </c>
      <c r="J79" s="33" t="s">
        <v>6823</v>
      </c>
      <c r="K79" s="33">
        <v>2.0</v>
      </c>
      <c r="L79" s="162">
        <v>3.87155094224E11</v>
      </c>
      <c r="M79" s="34"/>
    </row>
    <row r="80" hidden="1">
      <c r="A80" s="33" t="s">
        <v>6824</v>
      </c>
      <c r="B80" s="139">
        <v>45666.0</v>
      </c>
      <c r="C80" s="33">
        <v>8.07000029153E11</v>
      </c>
      <c r="D80" s="33" t="s">
        <v>6825</v>
      </c>
      <c r="E80" s="33" t="s">
        <v>6826</v>
      </c>
      <c r="F80" s="123" t="s">
        <v>6827</v>
      </c>
      <c r="G80" s="123" t="s">
        <v>582</v>
      </c>
      <c r="H80" s="123">
        <v>4407.0</v>
      </c>
      <c r="I80" s="33" t="s">
        <v>1408</v>
      </c>
      <c r="J80" s="33" t="s">
        <v>6828</v>
      </c>
      <c r="K80" s="33">
        <v>1.0</v>
      </c>
      <c r="L80" s="162">
        <v>3.87154740545E11</v>
      </c>
      <c r="M80" s="34"/>
    </row>
    <row r="81" hidden="1">
      <c r="A81" s="33" t="s">
        <v>6824</v>
      </c>
      <c r="B81" s="139">
        <v>45666.0</v>
      </c>
      <c r="C81" s="33">
        <v>8.07000029153E11</v>
      </c>
      <c r="D81" s="33" t="s">
        <v>6825</v>
      </c>
      <c r="E81" s="33" t="s">
        <v>6826</v>
      </c>
      <c r="F81" s="123" t="s">
        <v>6827</v>
      </c>
      <c r="G81" s="123" t="s">
        <v>582</v>
      </c>
      <c r="H81" s="123">
        <v>4407.0</v>
      </c>
      <c r="I81" s="33" t="s">
        <v>121</v>
      </c>
      <c r="J81" s="33" t="s">
        <v>6818</v>
      </c>
      <c r="K81" s="33">
        <v>2.0</v>
      </c>
      <c r="L81" s="162">
        <v>3.87154740545E11</v>
      </c>
      <c r="M81" s="34"/>
    </row>
    <row r="82" hidden="1">
      <c r="A82" s="33" t="s">
        <v>6829</v>
      </c>
      <c r="B82" s="139">
        <v>45666.0</v>
      </c>
      <c r="C82" s="33">
        <v>8.07000029119E11</v>
      </c>
      <c r="D82" s="33" t="s">
        <v>6830</v>
      </c>
      <c r="E82" s="33" t="s">
        <v>6831</v>
      </c>
      <c r="F82" s="123" t="s">
        <v>6832</v>
      </c>
      <c r="G82" s="123" t="s">
        <v>247</v>
      </c>
      <c r="H82" s="123">
        <v>4400.0</v>
      </c>
      <c r="I82" s="33" t="s">
        <v>6833</v>
      </c>
      <c r="J82" s="33" t="s">
        <v>6834</v>
      </c>
      <c r="K82" s="33">
        <v>1.0</v>
      </c>
      <c r="L82" s="162">
        <v>3.874667009E9</v>
      </c>
      <c r="M82" s="34"/>
    </row>
    <row r="83" hidden="1">
      <c r="A83" s="33" t="s">
        <v>6829</v>
      </c>
      <c r="B83" s="139">
        <v>45666.0</v>
      </c>
      <c r="C83" s="33">
        <v>8.07000029119E11</v>
      </c>
      <c r="D83" s="33" t="s">
        <v>6830</v>
      </c>
      <c r="E83" s="139" t="s">
        <v>6831</v>
      </c>
      <c r="F83" s="123" t="s">
        <v>6832</v>
      </c>
      <c r="G83" s="123" t="s">
        <v>247</v>
      </c>
      <c r="H83" s="123">
        <v>4400.0</v>
      </c>
      <c r="I83" s="33" t="s">
        <v>6835</v>
      </c>
      <c r="J83" s="33" t="s">
        <v>6836</v>
      </c>
      <c r="K83" s="80">
        <v>2.0</v>
      </c>
      <c r="L83" s="162">
        <v>3.874667009E9</v>
      </c>
      <c r="M83" s="31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hidden="1">
      <c r="A84" s="33" t="s">
        <v>6837</v>
      </c>
      <c r="B84" s="139">
        <v>45666.0</v>
      </c>
      <c r="C84" s="33">
        <v>8.07000029139E11</v>
      </c>
      <c r="D84" s="33" t="s">
        <v>6838</v>
      </c>
      <c r="E84" s="139" t="s">
        <v>6839</v>
      </c>
      <c r="F84" s="123" t="s">
        <v>6840</v>
      </c>
      <c r="G84" s="123" t="s">
        <v>247</v>
      </c>
      <c r="H84" s="123">
        <v>4400.0</v>
      </c>
      <c r="I84" s="33">
        <v>4200.7</v>
      </c>
      <c r="J84" s="33" t="s">
        <v>6841</v>
      </c>
      <c r="K84" s="80">
        <v>1.0</v>
      </c>
      <c r="L84" s="162">
        <v>3.875095724E9</v>
      </c>
      <c r="M84" s="31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</row>
    <row r="85" hidden="1">
      <c r="A85" s="33" t="s">
        <v>6837</v>
      </c>
      <c r="B85" s="139">
        <v>45666.0</v>
      </c>
      <c r="C85" s="33">
        <v>8.07000029139E11</v>
      </c>
      <c r="D85" s="33" t="s">
        <v>6838</v>
      </c>
      <c r="E85" s="139" t="s">
        <v>6839</v>
      </c>
      <c r="F85" s="123" t="s">
        <v>6840</v>
      </c>
      <c r="G85" s="123" t="s">
        <v>247</v>
      </c>
      <c r="H85" s="123">
        <v>4400.0</v>
      </c>
      <c r="I85" s="33" t="s">
        <v>1747</v>
      </c>
      <c r="J85" s="33" t="s">
        <v>6842</v>
      </c>
      <c r="K85" s="80">
        <v>1.0</v>
      </c>
      <c r="L85" s="162">
        <v>3.875095724E9</v>
      </c>
      <c r="M85" s="31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</row>
    <row r="86" hidden="1">
      <c r="A86" s="33" t="s">
        <v>6843</v>
      </c>
      <c r="B86" s="139">
        <v>45666.0</v>
      </c>
      <c r="C86" s="33">
        <v>8.07000029159E11</v>
      </c>
      <c r="D86" s="33" t="s">
        <v>6844</v>
      </c>
      <c r="E86" s="139" t="s">
        <v>6845</v>
      </c>
      <c r="F86" s="123" t="s">
        <v>6846</v>
      </c>
      <c r="G86" s="123" t="s">
        <v>247</v>
      </c>
      <c r="H86" s="123">
        <v>4400.0</v>
      </c>
      <c r="I86" s="33" t="s">
        <v>1766</v>
      </c>
      <c r="J86" s="33" t="s">
        <v>6847</v>
      </c>
      <c r="K86" s="80">
        <v>1.0</v>
      </c>
      <c r="L86" s="162">
        <v>3.875383261E9</v>
      </c>
      <c r="M86" s="31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</row>
    <row r="87" hidden="1">
      <c r="A87" s="33" t="s">
        <v>6843</v>
      </c>
      <c r="B87" s="139">
        <v>45666.0</v>
      </c>
      <c r="C87" s="33">
        <v>8.07000029159E11</v>
      </c>
      <c r="D87" s="33" t="s">
        <v>6844</v>
      </c>
      <c r="E87" s="33" t="s">
        <v>6845</v>
      </c>
      <c r="F87" s="123" t="s">
        <v>6846</v>
      </c>
      <c r="G87" s="123" t="s">
        <v>247</v>
      </c>
      <c r="H87" s="123">
        <v>4400.0</v>
      </c>
      <c r="I87" s="33" t="s">
        <v>233</v>
      </c>
      <c r="J87" s="33" t="s">
        <v>6848</v>
      </c>
      <c r="K87" s="33">
        <v>2.0</v>
      </c>
      <c r="L87" s="124">
        <v>3.875383261E9</v>
      </c>
      <c r="M87" s="34"/>
    </row>
    <row r="88" hidden="1">
      <c r="A88" s="33" t="s">
        <v>6843</v>
      </c>
      <c r="B88" s="139">
        <v>45666.0</v>
      </c>
      <c r="C88" s="33">
        <v>8.07000029159E11</v>
      </c>
      <c r="D88" s="33" t="s">
        <v>6844</v>
      </c>
      <c r="E88" s="33" t="s">
        <v>6845</v>
      </c>
      <c r="F88" s="123" t="s">
        <v>6846</v>
      </c>
      <c r="G88" s="123" t="s">
        <v>247</v>
      </c>
      <c r="H88" s="123">
        <v>4400.0</v>
      </c>
      <c r="I88" s="33" t="s">
        <v>5638</v>
      </c>
      <c r="J88" s="33" t="s">
        <v>6849</v>
      </c>
      <c r="K88" s="33">
        <v>1.0</v>
      </c>
      <c r="L88" s="124">
        <v>3.875383261E9</v>
      </c>
      <c r="M88" s="34"/>
    </row>
    <row r="89" hidden="1">
      <c r="A89" s="33" t="s">
        <v>6850</v>
      </c>
      <c r="B89" s="139">
        <v>45666.0</v>
      </c>
      <c r="C89" s="33">
        <v>8.07000029164E11</v>
      </c>
      <c r="D89" s="33" t="s">
        <v>6851</v>
      </c>
      <c r="E89" s="33" t="s">
        <v>6852</v>
      </c>
      <c r="F89" s="123" t="s">
        <v>6853</v>
      </c>
      <c r="G89" s="123" t="s">
        <v>247</v>
      </c>
      <c r="H89" s="123">
        <v>4400.0</v>
      </c>
      <c r="I89" s="33" t="s">
        <v>6854</v>
      </c>
      <c r="J89" s="33" t="s">
        <v>6855</v>
      </c>
      <c r="K89" s="33">
        <v>1.0</v>
      </c>
      <c r="L89" s="124">
        <v>3.875848583E9</v>
      </c>
      <c r="M89" s="34"/>
    </row>
    <row r="90" hidden="1">
      <c r="A90" s="33" t="s">
        <v>6850</v>
      </c>
      <c r="B90" s="139">
        <v>45666.0</v>
      </c>
      <c r="C90" s="33">
        <v>8.07000029164E11</v>
      </c>
      <c r="D90" s="33" t="s">
        <v>6851</v>
      </c>
      <c r="E90" s="33" t="s">
        <v>6852</v>
      </c>
      <c r="F90" s="123" t="s">
        <v>6853</v>
      </c>
      <c r="G90" s="123" t="s">
        <v>247</v>
      </c>
      <c r="H90" s="123">
        <v>4400.0</v>
      </c>
      <c r="I90" s="33" t="s">
        <v>659</v>
      </c>
      <c r="J90" s="33" t="s">
        <v>6856</v>
      </c>
      <c r="K90" s="33">
        <v>1.0</v>
      </c>
      <c r="L90" s="124">
        <v>3.875848583E9</v>
      </c>
      <c r="M90" s="34"/>
    </row>
    <row r="91" hidden="1">
      <c r="A91" s="33" t="s">
        <v>6850</v>
      </c>
      <c r="B91" s="139">
        <v>45666.0</v>
      </c>
      <c r="C91" s="33">
        <v>8.07000029164E11</v>
      </c>
      <c r="D91" s="33" t="s">
        <v>6851</v>
      </c>
      <c r="E91" s="33" t="s">
        <v>6852</v>
      </c>
      <c r="F91" s="123" t="s">
        <v>6853</v>
      </c>
      <c r="G91" s="123" t="s">
        <v>247</v>
      </c>
      <c r="H91" s="123">
        <v>4400.0</v>
      </c>
      <c r="I91" s="33" t="s">
        <v>4368</v>
      </c>
      <c r="J91" s="33" t="s">
        <v>6857</v>
      </c>
      <c r="K91" s="33">
        <v>1.0</v>
      </c>
      <c r="L91" s="124">
        <v>3.875848583E9</v>
      </c>
      <c r="M91" s="34"/>
    </row>
    <row r="92" hidden="1">
      <c r="A92" s="33" t="s">
        <v>6858</v>
      </c>
      <c r="B92" s="139">
        <v>45666.0</v>
      </c>
      <c r="C92" s="33">
        <v>8.07000029166E11</v>
      </c>
      <c r="D92" s="33" t="s">
        <v>6859</v>
      </c>
      <c r="E92" s="33" t="s">
        <v>6860</v>
      </c>
      <c r="F92" s="123" t="s">
        <v>6861</v>
      </c>
      <c r="G92" s="123" t="s">
        <v>247</v>
      </c>
      <c r="H92" s="123">
        <v>4400.0</v>
      </c>
      <c r="I92" s="33" t="s">
        <v>118</v>
      </c>
      <c r="J92" s="33" t="s">
        <v>6862</v>
      </c>
      <c r="K92" s="33">
        <v>1.0</v>
      </c>
      <c r="L92" s="124">
        <v>3.876833752E9</v>
      </c>
      <c r="M92" s="34"/>
    </row>
    <row r="93" hidden="1">
      <c r="A93" s="33" t="s">
        <v>6858</v>
      </c>
      <c r="B93" s="139">
        <v>45666.0</v>
      </c>
      <c r="C93" s="33">
        <v>8.07000029166E11</v>
      </c>
      <c r="D93" s="33" t="s">
        <v>6859</v>
      </c>
      <c r="E93" s="33" t="s">
        <v>6860</v>
      </c>
      <c r="F93" s="123" t="s">
        <v>6861</v>
      </c>
      <c r="G93" s="123" t="s">
        <v>247</v>
      </c>
      <c r="H93" s="123">
        <v>4400.0</v>
      </c>
      <c r="I93" s="33" t="s">
        <v>121</v>
      </c>
      <c r="J93" s="33" t="s">
        <v>6863</v>
      </c>
      <c r="K93" s="33">
        <v>2.0</v>
      </c>
      <c r="L93" s="124">
        <v>3.876833752E9</v>
      </c>
      <c r="M93" s="34"/>
    </row>
    <row r="94" hidden="1">
      <c r="A94" s="33" t="s">
        <v>6864</v>
      </c>
      <c r="B94" s="139">
        <v>45670.0</v>
      </c>
      <c r="C94" s="33">
        <v>8.07000029185E11</v>
      </c>
      <c r="D94" s="33" t="s">
        <v>6865</v>
      </c>
      <c r="E94" s="33" t="s">
        <v>6866</v>
      </c>
      <c r="F94" s="123" t="s">
        <v>6867</v>
      </c>
      <c r="G94" s="123" t="s">
        <v>247</v>
      </c>
      <c r="H94" s="123">
        <v>4400.0</v>
      </c>
      <c r="I94" s="33" t="s">
        <v>1129</v>
      </c>
      <c r="J94" s="33" t="s">
        <v>1130</v>
      </c>
      <c r="K94" s="33">
        <v>1.0</v>
      </c>
      <c r="L94" s="124">
        <v>3.872147107E9</v>
      </c>
      <c r="M94" s="34"/>
    </row>
    <row r="95" hidden="1">
      <c r="A95" s="33" t="s">
        <v>6864</v>
      </c>
      <c r="B95" s="139">
        <v>45670.0</v>
      </c>
      <c r="C95" s="33">
        <v>8.07000029185E11</v>
      </c>
      <c r="D95" s="33" t="s">
        <v>6865</v>
      </c>
      <c r="E95" s="33" t="s">
        <v>6866</v>
      </c>
      <c r="F95" s="123" t="s">
        <v>6867</v>
      </c>
      <c r="G95" s="123" t="s">
        <v>247</v>
      </c>
      <c r="H95" s="123">
        <v>4400.0</v>
      </c>
      <c r="I95" s="33" t="s">
        <v>512</v>
      </c>
      <c r="J95" s="33" t="s">
        <v>513</v>
      </c>
      <c r="K95" s="33">
        <v>6.0</v>
      </c>
      <c r="L95" s="124">
        <v>4212074.0</v>
      </c>
      <c r="M95" s="34"/>
    </row>
    <row r="96" hidden="1">
      <c r="A96" s="33" t="s">
        <v>6864</v>
      </c>
      <c r="B96" s="139">
        <v>45670.0</v>
      </c>
      <c r="C96" s="33">
        <v>8.07000029185E11</v>
      </c>
      <c r="D96" s="33" t="s">
        <v>6865</v>
      </c>
      <c r="E96" s="33" t="s">
        <v>6866</v>
      </c>
      <c r="F96" s="123" t="s">
        <v>6867</v>
      </c>
      <c r="G96" s="123" t="s">
        <v>247</v>
      </c>
      <c r="H96" s="123">
        <v>4400.0</v>
      </c>
      <c r="I96" s="33" t="s">
        <v>110</v>
      </c>
      <c r="J96" s="33" t="s">
        <v>111</v>
      </c>
      <c r="K96" s="33">
        <v>1.0</v>
      </c>
      <c r="L96" s="124">
        <v>4212074.0</v>
      </c>
      <c r="M96" s="34"/>
    </row>
    <row r="97" hidden="1">
      <c r="A97" s="33" t="s">
        <v>6864</v>
      </c>
      <c r="B97" s="139">
        <v>45670.0</v>
      </c>
      <c r="C97" s="33">
        <v>8.07000029185E11</v>
      </c>
      <c r="D97" s="33" t="s">
        <v>6865</v>
      </c>
      <c r="E97" s="33" t="s">
        <v>6866</v>
      </c>
      <c r="F97" s="123" t="s">
        <v>6867</v>
      </c>
      <c r="G97" s="123" t="s">
        <v>247</v>
      </c>
      <c r="H97" s="123">
        <v>4400.0</v>
      </c>
      <c r="I97" s="33">
        <v>208501.0</v>
      </c>
      <c r="J97" s="33" t="s">
        <v>481</v>
      </c>
      <c r="K97" s="33">
        <v>2.0</v>
      </c>
      <c r="L97" s="124">
        <v>3.872147107E9</v>
      </c>
      <c r="M97" s="34"/>
    </row>
    <row r="98" hidden="1">
      <c r="A98" s="33" t="s">
        <v>6868</v>
      </c>
      <c r="B98" s="139">
        <v>45670.0</v>
      </c>
      <c r="C98" s="33">
        <v>8.07000029202E11</v>
      </c>
      <c r="D98" s="33" t="s">
        <v>6869</v>
      </c>
      <c r="E98" s="33" t="s">
        <v>6870</v>
      </c>
      <c r="F98" s="123" t="s">
        <v>6871</v>
      </c>
      <c r="G98" s="123" t="s">
        <v>247</v>
      </c>
      <c r="H98" s="123">
        <v>4400.0</v>
      </c>
      <c r="I98" s="33" t="s">
        <v>2076</v>
      </c>
      <c r="J98" s="33" t="s">
        <v>2077</v>
      </c>
      <c r="K98" s="33">
        <v>1.0</v>
      </c>
      <c r="L98" s="124">
        <v>3.875192538E9</v>
      </c>
      <c r="M98" s="34"/>
    </row>
    <row r="99" hidden="1">
      <c r="A99" s="33" t="s">
        <v>6872</v>
      </c>
      <c r="B99" s="139">
        <v>45670.0</v>
      </c>
      <c r="C99" s="33">
        <v>8.07000029238E11</v>
      </c>
      <c r="D99" s="33" t="s">
        <v>6873</v>
      </c>
      <c r="E99" s="33" t="s">
        <v>6874</v>
      </c>
      <c r="F99" s="123" t="s">
        <v>6875</v>
      </c>
      <c r="G99" s="123" t="s">
        <v>247</v>
      </c>
      <c r="H99" s="123">
        <v>4400.0</v>
      </c>
      <c r="I99" s="33" t="s">
        <v>5638</v>
      </c>
      <c r="J99" s="33" t="s">
        <v>5639</v>
      </c>
      <c r="K99" s="33">
        <v>1.0</v>
      </c>
      <c r="L99" s="124">
        <v>1.126633181E9</v>
      </c>
      <c r="M99" s="34"/>
    </row>
    <row r="100" hidden="1">
      <c r="A100" s="33" t="s">
        <v>6876</v>
      </c>
      <c r="B100" s="139">
        <v>45670.0</v>
      </c>
      <c r="C100" s="33">
        <v>8.07000029231E11</v>
      </c>
      <c r="D100" s="33" t="s">
        <v>6873</v>
      </c>
      <c r="E100" s="33" t="s">
        <v>6874</v>
      </c>
      <c r="F100" s="123" t="s">
        <v>6875</v>
      </c>
      <c r="G100" s="123" t="s">
        <v>247</v>
      </c>
      <c r="H100" s="123">
        <v>4400.0</v>
      </c>
      <c r="I100" s="33" t="s">
        <v>6877</v>
      </c>
      <c r="J100" s="33" t="s">
        <v>6878</v>
      </c>
      <c r="K100" s="33">
        <v>1.0</v>
      </c>
      <c r="L100" s="124">
        <v>1.126633181E9</v>
      </c>
      <c r="M100" s="34"/>
    </row>
    <row r="101" hidden="1">
      <c r="A101" s="33" t="s">
        <v>6876</v>
      </c>
      <c r="B101" s="139">
        <v>45670.0</v>
      </c>
      <c r="C101" s="33">
        <v>8.07000029231E11</v>
      </c>
      <c r="D101" s="33" t="s">
        <v>6873</v>
      </c>
      <c r="E101" s="33" t="s">
        <v>6874</v>
      </c>
      <c r="F101" s="123" t="s">
        <v>6875</v>
      </c>
      <c r="G101" s="123" t="s">
        <v>247</v>
      </c>
      <c r="H101" s="123">
        <v>4400.0</v>
      </c>
      <c r="I101" s="33" t="s">
        <v>1829</v>
      </c>
      <c r="J101" s="33" t="s">
        <v>1830</v>
      </c>
      <c r="K101" s="33">
        <v>1.0</v>
      </c>
      <c r="L101" s="124">
        <v>1.126633181E9</v>
      </c>
      <c r="M101" s="34"/>
    </row>
    <row r="102" hidden="1">
      <c r="A102" s="33" t="s">
        <v>6879</v>
      </c>
      <c r="B102" s="139">
        <v>45670.0</v>
      </c>
      <c r="C102" s="33">
        <v>8.07000029232E11</v>
      </c>
      <c r="D102" s="33" t="s">
        <v>6880</v>
      </c>
      <c r="E102" s="33" t="s">
        <v>6881</v>
      </c>
      <c r="F102" s="123" t="s">
        <v>6882</v>
      </c>
      <c r="G102" s="123" t="s">
        <v>247</v>
      </c>
      <c r="H102" s="123">
        <v>4400.0</v>
      </c>
      <c r="I102" s="33" t="s">
        <v>659</v>
      </c>
      <c r="J102" s="33" t="s">
        <v>660</v>
      </c>
      <c r="K102" s="33">
        <v>1.0</v>
      </c>
      <c r="L102" s="124">
        <v>3.874075444E9</v>
      </c>
      <c r="M102" s="34"/>
    </row>
    <row r="103" hidden="1">
      <c r="A103" s="33" t="s">
        <v>6879</v>
      </c>
      <c r="B103" s="139">
        <v>45670.0</v>
      </c>
      <c r="C103" s="33">
        <v>8.07000029232E11</v>
      </c>
      <c r="D103" s="33" t="s">
        <v>6880</v>
      </c>
      <c r="E103" s="33" t="s">
        <v>6881</v>
      </c>
      <c r="F103" s="123" t="s">
        <v>6882</v>
      </c>
      <c r="G103" s="123" t="s">
        <v>247</v>
      </c>
      <c r="H103" s="123">
        <v>4400.0</v>
      </c>
      <c r="I103" s="33" t="s">
        <v>512</v>
      </c>
      <c r="J103" s="33" t="s">
        <v>513</v>
      </c>
      <c r="K103" s="33">
        <v>6.0</v>
      </c>
      <c r="L103" s="124">
        <v>3.874075444E9</v>
      </c>
      <c r="M103" s="34"/>
    </row>
    <row r="104" hidden="1">
      <c r="A104" s="33" t="s">
        <v>6879</v>
      </c>
      <c r="B104" s="139">
        <v>45670.0</v>
      </c>
      <c r="C104" s="33">
        <v>8.07000029232E11</v>
      </c>
      <c r="D104" s="33" t="s">
        <v>6880</v>
      </c>
      <c r="E104" s="33" t="s">
        <v>6881</v>
      </c>
      <c r="F104" s="123" t="s">
        <v>6882</v>
      </c>
      <c r="G104" s="123" t="s">
        <v>247</v>
      </c>
      <c r="H104" s="123">
        <v>4400.0</v>
      </c>
      <c r="I104" s="33" t="s">
        <v>35</v>
      </c>
      <c r="J104" s="33" t="s">
        <v>36</v>
      </c>
      <c r="K104" s="33">
        <v>1.0</v>
      </c>
      <c r="L104" s="124">
        <v>3.874075444E9</v>
      </c>
      <c r="M104" s="34"/>
    </row>
    <row r="105" hidden="1">
      <c r="A105" s="33" t="s">
        <v>6883</v>
      </c>
      <c r="B105" s="139">
        <v>45670.0</v>
      </c>
      <c r="C105" s="33">
        <v>8.07000029239E11</v>
      </c>
      <c r="D105" s="33" t="s">
        <v>6884</v>
      </c>
      <c r="E105" s="33" t="s">
        <v>6885</v>
      </c>
      <c r="F105" s="123" t="s">
        <v>6886</v>
      </c>
      <c r="G105" s="123" t="s">
        <v>247</v>
      </c>
      <c r="H105" s="123">
        <v>4400.0</v>
      </c>
      <c r="I105" s="33">
        <v>208501.0</v>
      </c>
      <c r="J105" s="33" t="s">
        <v>481</v>
      </c>
      <c r="K105" s="33">
        <v>2.0</v>
      </c>
      <c r="L105" s="124">
        <v>3.875444546E9</v>
      </c>
      <c r="M105" s="34"/>
    </row>
    <row r="106" hidden="1">
      <c r="A106" s="33" t="s">
        <v>6883</v>
      </c>
      <c r="B106" s="139">
        <v>45670.0</v>
      </c>
      <c r="C106" s="33">
        <v>8.07000029239E11</v>
      </c>
      <c r="D106" s="33" t="s">
        <v>6884</v>
      </c>
      <c r="E106" s="33" t="s">
        <v>6885</v>
      </c>
      <c r="F106" s="123" t="s">
        <v>6886</v>
      </c>
      <c r="G106" s="123" t="s">
        <v>247</v>
      </c>
      <c r="H106" s="123">
        <v>4400.0</v>
      </c>
      <c r="I106" s="33" t="s">
        <v>495</v>
      </c>
      <c r="J106" s="33" t="s">
        <v>496</v>
      </c>
      <c r="K106" s="33">
        <v>2.0</v>
      </c>
      <c r="L106" s="124"/>
      <c r="M106" s="34"/>
    </row>
    <row r="107" hidden="1">
      <c r="A107" s="125" t="s">
        <v>6883</v>
      </c>
      <c r="B107" s="146">
        <v>45670.0</v>
      </c>
      <c r="C107" s="125">
        <v>8.07000029239E11</v>
      </c>
      <c r="D107" s="125" t="s">
        <v>6884</v>
      </c>
      <c r="E107" s="125" t="s">
        <v>6885</v>
      </c>
      <c r="F107" s="127" t="s">
        <v>6886</v>
      </c>
      <c r="G107" s="127" t="s">
        <v>247</v>
      </c>
      <c r="H107" s="127">
        <v>4400.0</v>
      </c>
      <c r="I107" s="125" t="s">
        <v>493</v>
      </c>
      <c r="J107" s="125" t="s">
        <v>494</v>
      </c>
      <c r="K107" s="125">
        <v>1.0</v>
      </c>
      <c r="L107" s="129"/>
      <c r="M107" s="130"/>
    </row>
    <row r="108" hidden="1">
      <c r="A108" s="131" t="s">
        <v>6887</v>
      </c>
      <c r="B108" s="132">
        <v>45673.0</v>
      </c>
      <c r="C108" s="131">
        <v>8.07000029274E11</v>
      </c>
      <c r="D108" s="131" t="s">
        <v>6888</v>
      </c>
      <c r="E108" s="131" t="s">
        <v>6889</v>
      </c>
      <c r="F108" s="133" t="s">
        <v>6890</v>
      </c>
      <c r="G108" s="123" t="s">
        <v>247</v>
      </c>
      <c r="H108" s="133">
        <v>4400.0</v>
      </c>
      <c r="I108" s="131" t="s">
        <v>1721</v>
      </c>
      <c r="J108" s="131" t="s">
        <v>6891</v>
      </c>
      <c r="K108" s="131">
        <v>1.0</v>
      </c>
      <c r="L108" s="134" t="s">
        <v>6892</v>
      </c>
      <c r="M108" s="138"/>
    </row>
    <row r="109" hidden="1">
      <c r="A109" s="131" t="s">
        <v>6887</v>
      </c>
      <c r="B109" s="132">
        <v>45673.0</v>
      </c>
      <c r="C109" s="131">
        <v>8.07000029274E11</v>
      </c>
      <c r="D109" s="131" t="s">
        <v>6888</v>
      </c>
      <c r="E109" s="131" t="s">
        <v>6889</v>
      </c>
      <c r="F109" s="133" t="s">
        <v>6890</v>
      </c>
      <c r="G109" s="123" t="s">
        <v>247</v>
      </c>
      <c r="H109" s="133">
        <v>4400.0</v>
      </c>
      <c r="I109" s="131" t="s">
        <v>6893</v>
      </c>
      <c r="J109" s="33" t="s">
        <v>122</v>
      </c>
      <c r="K109" s="131">
        <v>2.0</v>
      </c>
      <c r="L109" s="134" t="s">
        <v>6892</v>
      </c>
      <c r="M109" s="135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</row>
    <row r="110" hidden="1">
      <c r="A110" s="33" t="s">
        <v>6894</v>
      </c>
      <c r="B110" s="122">
        <v>45673.0</v>
      </c>
      <c r="C110" s="33">
        <v>8.07000029208E11</v>
      </c>
      <c r="D110" s="33" t="s">
        <v>6895</v>
      </c>
      <c r="E110" s="33" t="s">
        <v>6896</v>
      </c>
      <c r="F110" s="123" t="s">
        <v>6897</v>
      </c>
      <c r="G110" s="145" t="s">
        <v>247</v>
      </c>
      <c r="H110" s="123">
        <v>4400.0</v>
      </c>
      <c r="I110" s="33" t="s">
        <v>867</v>
      </c>
      <c r="J110" s="33" t="s">
        <v>868</v>
      </c>
      <c r="K110" s="33">
        <v>1.0</v>
      </c>
      <c r="L110" s="124">
        <v>3.874530294E9</v>
      </c>
      <c r="M110" s="31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</row>
    <row r="111" hidden="1">
      <c r="A111" s="33" t="s">
        <v>6894</v>
      </c>
      <c r="B111" s="122">
        <v>45673.0</v>
      </c>
      <c r="C111" s="33">
        <v>8.07000029208E11</v>
      </c>
      <c r="D111" s="33" t="s">
        <v>6895</v>
      </c>
      <c r="E111" s="33" t="s">
        <v>6896</v>
      </c>
      <c r="F111" s="123" t="s">
        <v>6897</v>
      </c>
      <c r="G111" s="145" t="s">
        <v>247</v>
      </c>
      <c r="H111" s="123">
        <v>4400.0</v>
      </c>
      <c r="I111" s="33" t="s">
        <v>512</v>
      </c>
      <c r="J111" s="33" t="s">
        <v>513</v>
      </c>
      <c r="K111" s="33">
        <v>12.0</v>
      </c>
      <c r="L111" s="124">
        <v>3.874530294E9</v>
      </c>
      <c r="M111" s="31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</row>
    <row r="112" hidden="1">
      <c r="A112" s="125" t="s">
        <v>6894</v>
      </c>
      <c r="B112" s="126">
        <v>45673.0</v>
      </c>
      <c r="C112" s="125">
        <v>8.07000029208E11</v>
      </c>
      <c r="D112" s="125" t="s">
        <v>6895</v>
      </c>
      <c r="E112" s="125" t="s">
        <v>6896</v>
      </c>
      <c r="F112" s="127" t="s">
        <v>6897</v>
      </c>
      <c r="G112" s="127" t="s">
        <v>247</v>
      </c>
      <c r="H112" s="127">
        <v>4400.0</v>
      </c>
      <c r="I112" s="125" t="s">
        <v>340</v>
      </c>
      <c r="J112" s="125" t="s">
        <v>341</v>
      </c>
      <c r="K112" s="125">
        <v>2.0</v>
      </c>
      <c r="L112" s="129">
        <v>3.874530294E9</v>
      </c>
      <c r="M112" s="136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</row>
    <row r="113" hidden="1">
      <c r="A113" s="167" t="s">
        <v>6898</v>
      </c>
      <c r="B113" s="168">
        <v>45680.0</v>
      </c>
      <c r="C113" s="167">
        <v>8.07000029354E11</v>
      </c>
      <c r="D113" s="167" t="s">
        <v>6899</v>
      </c>
      <c r="E113" s="167" t="s">
        <v>6900</v>
      </c>
      <c r="F113" s="169" t="s">
        <v>6901</v>
      </c>
      <c r="G113" s="145" t="s">
        <v>247</v>
      </c>
      <c r="H113" s="169">
        <v>4400.0</v>
      </c>
      <c r="I113" s="167" t="s">
        <v>6902</v>
      </c>
      <c r="J113" s="167" t="s">
        <v>2538</v>
      </c>
      <c r="K113" s="167">
        <v>1.0</v>
      </c>
      <c r="L113" s="170" t="s">
        <v>6903</v>
      </c>
      <c r="M113" s="171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</row>
    <row r="114" hidden="1">
      <c r="A114" s="167" t="s">
        <v>6904</v>
      </c>
      <c r="B114" s="168">
        <v>45681.0</v>
      </c>
      <c r="C114" s="167">
        <v>8.07000029403E11</v>
      </c>
      <c r="D114" s="167" t="s">
        <v>6905</v>
      </c>
      <c r="E114" s="167" t="s">
        <v>6906</v>
      </c>
      <c r="F114" s="169" t="s">
        <v>6907</v>
      </c>
      <c r="G114" s="145" t="s">
        <v>247</v>
      </c>
      <c r="H114" s="169">
        <v>4400.0</v>
      </c>
      <c r="I114" s="167" t="s">
        <v>2410</v>
      </c>
      <c r="J114" s="167" t="s">
        <v>2411</v>
      </c>
      <c r="K114" s="167">
        <v>1.0</v>
      </c>
      <c r="L114" s="170" t="s">
        <v>6908</v>
      </c>
      <c r="M114" s="171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</row>
    <row r="115" hidden="1">
      <c r="A115" s="167" t="s">
        <v>6909</v>
      </c>
      <c r="B115" s="168">
        <v>45681.0</v>
      </c>
      <c r="C115" s="167">
        <v>8.07000029384E11</v>
      </c>
      <c r="D115" s="167" t="s">
        <v>6910</v>
      </c>
      <c r="E115" s="167" t="s">
        <v>6911</v>
      </c>
      <c r="F115" s="169" t="s">
        <v>6912</v>
      </c>
      <c r="G115" s="145" t="s">
        <v>247</v>
      </c>
      <c r="H115" s="169">
        <v>4400.0</v>
      </c>
      <c r="I115" s="167" t="s">
        <v>495</v>
      </c>
      <c r="J115" s="167" t="s">
        <v>496</v>
      </c>
      <c r="K115" s="167">
        <v>2.0</v>
      </c>
      <c r="L115" s="170" t="s">
        <v>6913</v>
      </c>
      <c r="M115" s="171" t="s">
        <v>6914</v>
      </c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</row>
    <row r="116" hidden="1">
      <c r="A116" s="167" t="s">
        <v>6909</v>
      </c>
      <c r="B116" s="168">
        <v>45681.0</v>
      </c>
      <c r="C116" s="167">
        <v>8.07000029384E11</v>
      </c>
      <c r="D116" s="167" t="s">
        <v>6910</v>
      </c>
      <c r="E116" s="167" t="s">
        <v>6911</v>
      </c>
      <c r="F116" s="169" t="s">
        <v>6912</v>
      </c>
      <c r="G116" s="145" t="s">
        <v>247</v>
      </c>
      <c r="H116" s="169">
        <v>4400.0</v>
      </c>
      <c r="I116" s="167" t="s">
        <v>2537</v>
      </c>
      <c r="J116" s="167" t="s">
        <v>2538</v>
      </c>
      <c r="K116" s="167">
        <v>1.0</v>
      </c>
      <c r="L116" s="170" t="s">
        <v>6913</v>
      </c>
      <c r="M116" s="171" t="s">
        <v>6914</v>
      </c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</row>
    <row r="117" hidden="1">
      <c r="A117" s="167" t="s">
        <v>6915</v>
      </c>
      <c r="B117" s="168">
        <v>45681.0</v>
      </c>
      <c r="C117" s="167">
        <v>8.07000029432E11</v>
      </c>
      <c r="D117" s="167" t="s">
        <v>6916</v>
      </c>
      <c r="E117" s="167" t="s">
        <v>6917</v>
      </c>
      <c r="F117" s="169" t="s">
        <v>6918</v>
      </c>
      <c r="G117" s="145" t="s">
        <v>247</v>
      </c>
      <c r="H117" s="169">
        <v>4400.0</v>
      </c>
      <c r="I117" s="167" t="s">
        <v>1115</v>
      </c>
      <c r="J117" s="33" t="s">
        <v>6919</v>
      </c>
      <c r="K117" s="167">
        <v>1.0</v>
      </c>
      <c r="L117" s="170" t="s">
        <v>6920</v>
      </c>
      <c r="M117" s="171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</row>
    <row r="118" hidden="1">
      <c r="A118" s="167" t="s">
        <v>6921</v>
      </c>
      <c r="B118" s="168">
        <v>45684.0</v>
      </c>
      <c r="C118" s="167">
        <v>8.05011511511E11</v>
      </c>
      <c r="D118" s="167" t="s">
        <v>6922</v>
      </c>
      <c r="E118" s="167" t="s">
        <v>6923</v>
      </c>
      <c r="F118" s="169" t="s">
        <v>6924</v>
      </c>
      <c r="G118" s="145" t="s">
        <v>247</v>
      </c>
      <c r="H118" s="169">
        <v>4400.0</v>
      </c>
      <c r="I118" s="167" t="s">
        <v>360</v>
      </c>
      <c r="J118" s="108" t="s">
        <v>361</v>
      </c>
      <c r="K118" s="167">
        <v>1.0</v>
      </c>
      <c r="L118" s="170" t="s">
        <v>6925</v>
      </c>
      <c r="M118" s="171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</row>
    <row r="119" hidden="1">
      <c r="A119" s="167" t="s">
        <v>6921</v>
      </c>
      <c r="B119" s="168">
        <v>45684.0</v>
      </c>
      <c r="C119" s="167">
        <v>8.05011511511E11</v>
      </c>
      <c r="D119" s="167" t="s">
        <v>6926</v>
      </c>
      <c r="E119" s="167" t="s">
        <v>6923</v>
      </c>
      <c r="F119" s="169" t="s">
        <v>6924</v>
      </c>
      <c r="G119" s="145" t="s">
        <v>247</v>
      </c>
      <c r="H119" s="169">
        <v>4400.0</v>
      </c>
      <c r="I119" s="167" t="s">
        <v>741</v>
      </c>
      <c r="J119" s="108" t="s">
        <v>742</v>
      </c>
      <c r="K119" s="167">
        <v>1.0</v>
      </c>
      <c r="L119" s="170" t="s">
        <v>6925</v>
      </c>
      <c r="M119" s="171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</row>
    <row r="120" hidden="1">
      <c r="A120" s="167" t="s">
        <v>6927</v>
      </c>
      <c r="B120" s="168">
        <v>45684.0</v>
      </c>
      <c r="C120" s="167">
        <v>8.05011508612E11</v>
      </c>
      <c r="D120" s="167" t="s">
        <v>2104</v>
      </c>
      <c r="E120" s="167" t="s">
        <v>2105</v>
      </c>
      <c r="F120" s="169" t="s">
        <v>2106</v>
      </c>
      <c r="G120" s="145" t="s">
        <v>247</v>
      </c>
      <c r="H120" s="169">
        <v>4400.0</v>
      </c>
      <c r="I120" s="167" t="s">
        <v>541</v>
      </c>
      <c r="J120" s="108" t="s">
        <v>542</v>
      </c>
      <c r="K120" s="167">
        <v>1.0</v>
      </c>
      <c r="L120" s="170">
        <v>3.875117687E9</v>
      </c>
      <c r="M120" s="171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</row>
    <row r="121" hidden="1">
      <c r="A121" s="108" t="s">
        <v>6928</v>
      </c>
      <c r="B121" s="173">
        <v>45684.0</v>
      </c>
      <c r="C121" s="108">
        <v>8.05011508609E11</v>
      </c>
      <c r="D121" s="108" t="s">
        <v>2110</v>
      </c>
      <c r="E121" s="108" t="s">
        <v>2111</v>
      </c>
      <c r="F121" s="145" t="s">
        <v>2112</v>
      </c>
      <c r="G121" s="145" t="s">
        <v>247</v>
      </c>
      <c r="H121" s="145">
        <v>4400.0</v>
      </c>
      <c r="I121" s="108" t="s">
        <v>541</v>
      </c>
      <c r="J121" s="108" t="s">
        <v>542</v>
      </c>
      <c r="K121" s="108">
        <v>1.0</v>
      </c>
      <c r="L121" s="174" t="s">
        <v>6929</v>
      </c>
      <c r="M121" s="107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</row>
    <row r="122" hidden="1">
      <c r="A122" s="167" t="s">
        <v>6930</v>
      </c>
      <c r="B122" s="122">
        <v>45684.0</v>
      </c>
      <c r="C122" s="33">
        <v>8.07000029475E11</v>
      </c>
      <c r="D122" s="33" t="s">
        <v>6931</v>
      </c>
      <c r="E122" s="33" t="s">
        <v>6932</v>
      </c>
      <c r="F122" s="123" t="s">
        <v>6933</v>
      </c>
      <c r="G122" s="145" t="s">
        <v>247</v>
      </c>
      <c r="H122" s="123">
        <v>4400.0</v>
      </c>
      <c r="I122" s="33" t="s">
        <v>947</v>
      </c>
      <c r="J122" s="33" t="s">
        <v>948</v>
      </c>
      <c r="K122" s="33">
        <v>1.0</v>
      </c>
      <c r="L122" s="124" t="s">
        <v>6934</v>
      </c>
      <c r="M122" s="34"/>
    </row>
    <row r="123" hidden="1">
      <c r="A123" s="33" t="s">
        <v>6935</v>
      </c>
      <c r="B123" s="122">
        <v>45686.0</v>
      </c>
      <c r="C123" s="33">
        <v>8.07000028401E11</v>
      </c>
      <c r="D123" s="33" t="s">
        <v>6936</v>
      </c>
      <c r="E123" s="33" t="s">
        <v>6937</v>
      </c>
      <c r="F123" s="123" t="s">
        <v>6938</v>
      </c>
      <c r="G123" s="145" t="s">
        <v>247</v>
      </c>
      <c r="H123" s="123">
        <v>4400.0</v>
      </c>
      <c r="I123" s="33" t="s">
        <v>1044</v>
      </c>
      <c r="J123" s="33" t="s">
        <v>1045</v>
      </c>
      <c r="K123" s="33">
        <v>1.0</v>
      </c>
      <c r="L123" s="124" t="s">
        <v>6939</v>
      </c>
      <c r="M123" s="34"/>
    </row>
    <row r="124" hidden="1">
      <c r="A124" s="33" t="s">
        <v>6935</v>
      </c>
      <c r="B124" s="122">
        <v>45686.0</v>
      </c>
      <c r="C124" s="167">
        <v>8.07000028401E11</v>
      </c>
      <c r="D124" s="33" t="s">
        <v>6936</v>
      </c>
      <c r="E124" s="33" t="s">
        <v>6937</v>
      </c>
      <c r="F124" s="123" t="s">
        <v>6938</v>
      </c>
      <c r="G124" s="145" t="s">
        <v>247</v>
      </c>
      <c r="H124" s="123">
        <v>4400.0</v>
      </c>
      <c r="I124" s="33" t="s">
        <v>785</v>
      </c>
      <c r="J124" s="33" t="s">
        <v>786</v>
      </c>
      <c r="K124" s="33">
        <v>1.0</v>
      </c>
      <c r="L124" s="124" t="s">
        <v>6939</v>
      </c>
      <c r="M124" s="34"/>
    </row>
    <row r="125" hidden="1">
      <c r="A125" s="33" t="s">
        <v>6935</v>
      </c>
      <c r="B125" s="122">
        <v>45686.0</v>
      </c>
      <c r="C125" s="33">
        <v>8.07000028401E11</v>
      </c>
      <c r="D125" s="33" t="s">
        <v>6936</v>
      </c>
      <c r="E125" s="33" t="s">
        <v>6937</v>
      </c>
      <c r="F125" s="123" t="s">
        <v>6938</v>
      </c>
      <c r="G125" s="145" t="s">
        <v>247</v>
      </c>
      <c r="H125" s="123">
        <v>4400.0</v>
      </c>
      <c r="I125" s="33" t="s">
        <v>1275</v>
      </c>
      <c r="J125" s="33" t="s">
        <v>1276</v>
      </c>
      <c r="K125" s="33">
        <v>1.0</v>
      </c>
      <c r="L125" s="124" t="s">
        <v>6939</v>
      </c>
      <c r="M125" s="34"/>
    </row>
    <row r="126" hidden="1">
      <c r="A126" s="33" t="s">
        <v>6940</v>
      </c>
      <c r="B126" s="122">
        <v>45686.0</v>
      </c>
      <c r="C126" s="33">
        <v>8.07000029488E11</v>
      </c>
      <c r="D126" s="33" t="s">
        <v>3236</v>
      </c>
      <c r="E126" s="33" t="s">
        <v>6941</v>
      </c>
      <c r="F126" s="123" t="s">
        <v>6942</v>
      </c>
      <c r="G126" s="123" t="s">
        <v>6676</v>
      </c>
      <c r="H126" s="143"/>
      <c r="I126" s="33" t="s">
        <v>828</v>
      </c>
      <c r="J126" s="33" t="s">
        <v>829</v>
      </c>
      <c r="K126" s="33">
        <v>2.0</v>
      </c>
      <c r="L126" s="124" t="s">
        <v>6943</v>
      </c>
      <c r="M126" s="31" t="s">
        <v>6944</v>
      </c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hidden="1">
      <c r="A127" s="33" t="s">
        <v>6940</v>
      </c>
      <c r="B127" s="122">
        <v>45686.0</v>
      </c>
      <c r="C127" s="33">
        <v>8.07000029488E11</v>
      </c>
      <c r="D127" s="33" t="s">
        <v>3236</v>
      </c>
      <c r="E127" s="33" t="s">
        <v>6941</v>
      </c>
      <c r="F127" s="123" t="s">
        <v>6942</v>
      </c>
      <c r="G127" s="123" t="s">
        <v>6676</v>
      </c>
      <c r="H127" s="143"/>
      <c r="I127" s="33" t="s">
        <v>118</v>
      </c>
      <c r="J127" s="33" t="s">
        <v>119</v>
      </c>
      <c r="K127" s="33">
        <v>1.0</v>
      </c>
      <c r="L127" s="124" t="s">
        <v>6943</v>
      </c>
      <c r="M127" s="31" t="s">
        <v>6944</v>
      </c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hidden="1">
      <c r="A128" s="33" t="s">
        <v>6945</v>
      </c>
      <c r="B128" s="122">
        <v>45686.0</v>
      </c>
      <c r="C128" s="33">
        <v>8.07000029483E11</v>
      </c>
      <c r="D128" s="33" t="s">
        <v>3236</v>
      </c>
      <c r="E128" s="33" t="s">
        <v>6941</v>
      </c>
      <c r="F128" s="123" t="s">
        <v>6942</v>
      </c>
      <c r="G128" s="123" t="s">
        <v>6676</v>
      </c>
      <c r="H128" s="143"/>
      <c r="I128" s="33" t="s">
        <v>121</v>
      </c>
      <c r="J128" s="33" t="s">
        <v>122</v>
      </c>
      <c r="K128" s="33">
        <v>2.0</v>
      </c>
      <c r="L128" s="124" t="s">
        <v>6943</v>
      </c>
      <c r="M128" s="34"/>
    </row>
    <row r="129" hidden="1">
      <c r="A129" s="125" t="s">
        <v>6946</v>
      </c>
      <c r="B129" s="126">
        <v>45686.0</v>
      </c>
      <c r="C129" s="125">
        <v>8.07000029367E11</v>
      </c>
      <c r="D129" s="125" t="s">
        <v>6947</v>
      </c>
      <c r="E129" s="125" t="s">
        <v>6948</v>
      </c>
      <c r="F129" s="127" t="s">
        <v>6949</v>
      </c>
      <c r="G129" s="127" t="s">
        <v>247</v>
      </c>
      <c r="H129" s="127">
        <v>4400.0</v>
      </c>
      <c r="I129" s="125" t="s">
        <v>4087</v>
      </c>
      <c r="J129" s="125" t="s">
        <v>4088</v>
      </c>
      <c r="K129" s="125">
        <v>1.0</v>
      </c>
      <c r="L129" s="129" t="s">
        <v>6950</v>
      </c>
      <c r="M129" s="130"/>
    </row>
    <row r="130" hidden="1">
      <c r="A130" s="131" t="s">
        <v>6951</v>
      </c>
      <c r="B130" s="132">
        <v>45687.0</v>
      </c>
      <c r="C130" s="131">
        <v>8.07000029508E11</v>
      </c>
      <c r="D130" s="131" t="s">
        <v>6952</v>
      </c>
      <c r="E130" s="131" t="s">
        <v>6953</v>
      </c>
      <c r="F130" s="133" t="s">
        <v>6954</v>
      </c>
      <c r="G130" s="123" t="s">
        <v>247</v>
      </c>
      <c r="H130" s="133">
        <v>4400.0</v>
      </c>
      <c r="I130" s="131" t="s">
        <v>828</v>
      </c>
      <c r="J130" s="131" t="s">
        <v>829</v>
      </c>
      <c r="K130" s="131">
        <v>2.0</v>
      </c>
      <c r="L130" s="134" t="s">
        <v>6955</v>
      </c>
      <c r="M130" s="135" t="s">
        <v>6956</v>
      </c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hidden="1">
      <c r="A131" s="33" t="s">
        <v>6951</v>
      </c>
      <c r="B131" s="122">
        <v>45687.0</v>
      </c>
      <c r="C131" s="33">
        <v>8.07000029508E11</v>
      </c>
      <c r="D131" s="33" t="s">
        <v>6952</v>
      </c>
      <c r="E131" s="33" t="s">
        <v>6953</v>
      </c>
      <c r="F131" s="133" t="s">
        <v>6954</v>
      </c>
      <c r="G131" s="123" t="s">
        <v>247</v>
      </c>
      <c r="H131" s="123">
        <v>4400.0</v>
      </c>
      <c r="I131" s="33" t="s">
        <v>1766</v>
      </c>
      <c r="J131" s="33" t="s">
        <v>1767</v>
      </c>
      <c r="K131" s="33">
        <v>1.0</v>
      </c>
      <c r="L131" s="134" t="s">
        <v>6955</v>
      </c>
      <c r="M131" s="31" t="s">
        <v>6956</v>
      </c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hidden="1">
      <c r="A132" s="108" t="s">
        <v>6951</v>
      </c>
      <c r="B132" s="122">
        <v>45687.0</v>
      </c>
      <c r="C132" s="108">
        <v>8.07000029508E11</v>
      </c>
      <c r="D132" s="108" t="s">
        <v>6952</v>
      </c>
      <c r="E132" s="108" t="s">
        <v>6953</v>
      </c>
      <c r="F132" s="133" t="s">
        <v>6954</v>
      </c>
      <c r="G132" s="123" t="s">
        <v>247</v>
      </c>
      <c r="H132" s="145">
        <v>4400.0</v>
      </c>
      <c r="I132" s="108" t="s">
        <v>512</v>
      </c>
      <c r="J132" s="108" t="s">
        <v>513</v>
      </c>
      <c r="K132" s="108">
        <v>12.0</v>
      </c>
      <c r="L132" s="134" t="s">
        <v>6955</v>
      </c>
      <c r="M132" s="107" t="s">
        <v>6956</v>
      </c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  <c r="AA132" s="172"/>
      <c r="AB132" s="172"/>
      <c r="AC132" s="172"/>
    </row>
    <row r="133" hidden="1">
      <c r="A133" s="108" t="s">
        <v>6951</v>
      </c>
      <c r="B133" s="122">
        <v>45687.0</v>
      </c>
      <c r="C133" s="108">
        <v>8.07000029508E11</v>
      </c>
      <c r="D133" s="108" t="s">
        <v>6952</v>
      </c>
      <c r="E133" s="108" t="s">
        <v>6953</v>
      </c>
      <c r="F133" s="133" t="s">
        <v>6954</v>
      </c>
      <c r="G133" s="123" t="s">
        <v>247</v>
      </c>
      <c r="H133" s="145">
        <v>4400.0</v>
      </c>
      <c r="I133" s="108" t="s">
        <v>233</v>
      </c>
      <c r="J133" s="108" t="s">
        <v>234</v>
      </c>
      <c r="K133" s="108">
        <v>2.0</v>
      </c>
      <c r="L133" s="134" t="s">
        <v>6955</v>
      </c>
      <c r="M133" s="107" t="s">
        <v>6956</v>
      </c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  <c r="AA133" s="172"/>
      <c r="AB133" s="172"/>
      <c r="AC133" s="172"/>
    </row>
    <row r="134" hidden="1">
      <c r="A134" s="108" t="s">
        <v>6951</v>
      </c>
      <c r="B134" s="122">
        <v>45687.0</v>
      </c>
      <c r="C134" s="108">
        <v>8.07000029509E11</v>
      </c>
      <c r="D134" s="108" t="s">
        <v>6952</v>
      </c>
      <c r="E134" s="108" t="s">
        <v>6953</v>
      </c>
      <c r="F134" s="133" t="s">
        <v>6954</v>
      </c>
      <c r="G134" s="123" t="s">
        <v>247</v>
      </c>
      <c r="H134" s="145">
        <v>4400.0</v>
      </c>
      <c r="I134" s="108" t="s">
        <v>5638</v>
      </c>
      <c r="J134" s="108" t="s">
        <v>5639</v>
      </c>
      <c r="K134" s="108">
        <v>1.0</v>
      </c>
      <c r="L134" s="134" t="s">
        <v>6955</v>
      </c>
      <c r="M134" s="107" t="s">
        <v>6956</v>
      </c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  <c r="AA134" s="172"/>
      <c r="AB134" s="172"/>
      <c r="AC134" s="172"/>
    </row>
    <row r="135" hidden="1">
      <c r="A135" s="108" t="s">
        <v>6957</v>
      </c>
      <c r="B135" s="173">
        <v>45687.0</v>
      </c>
      <c r="C135" s="108">
        <v>8.07000029497E11</v>
      </c>
      <c r="D135" s="108" t="s">
        <v>6958</v>
      </c>
      <c r="E135" s="108" t="s">
        <v>6959</v>
      </c>
      <c r="F135" s="145" t="s">
        <v>6960</v>
      </c>
      <c r="G135" s="145" t="s">
        <v>247</v>
      </c>
      <c r="H135" s="145">
        <v>4400.0</v>
      </c>
      <c r="I135" s="108" t="s">
        <v>6961</v>
      </c>
      <c r="J135" s="108" t="s">
        <v>6962</v>
      </c>
      <c r="K135" s="108">
        <v>1.0</v>
      </c>
      <c r="L135" s="174" t="s">
        <v>6963</v>
      </c>
      <c r="M135" s="107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  <c r="AA135" s="172"/>
      <c r="AB135" s="172"/>
      <c r="AC135" s="172"/>
    </row>
    <row r="136" hidden="1">
      <c r="A136" s="33" t="s">
        <v>6957</v>
      </c>
      <c r="B136" s="122">
        <v>45687.0</v>
      </c>
      <c r="C136" s="33">
        <v>8.07000029497E11</v>
      </c>
      <c r="D136" s="33" t="s">
        <v>6958</v>
      </c>
      <c r="E136" s="33" t="s">
        <v>6959</v>
      </c>
      <c r="F136" s="123" t="s">
        <v>6960</v>
      </c>
      <c r="G136" s="123" t="s">
        <v>247</v>
      </c>
      <c r="H136" s="123">
        <v>4400.0</v>
      </c>
      <c r="I136" s="33" t="s">
        <v>149</v>
      </c>
      <c r="J136" s="33" t="s">
        <v>150</v>
      </c>
      <c r="K136" s="33">
        <v>1.0</v>
      </c>
      <c r="L136" s="124" t="s">
        <v>6963</v>
      </c>
      <c r="M136" s="34"/>
    </row>
    <row r="137" hidden="1">
      <c r="A137" s="33" t="s">
        <v>6957</v>
      </c>
      <c r="B137" s="122">
        <v>45687.0</v>
      </c>
      <c r="C137" s="33">
        <v>8.07000029514E11</v>
      </c>
      <c r="D137" s="33" t="s">
        <v>6958</v>
      </c>
      <c r="E137" s="33" t="s">
        <v>6959</v>
      </c>
      <c r="F137" s="123" t="s">
        <v>6960</v>
      </c>
      <c r="G137" s="123" t="s">
        <v>247</v>
      </c>
      <c r="H137" s="123">
        <v>4400.0</v>
      </c>
      <c r="I137" s="33" t="s">
        <v>3166</v>
      </c>
      <c r="J137" s="33" t="s">
        <v>6964</v>
      </c>
      <c r="K137" s="33">
        <v>1.0</v>
      </c>
      <c r="L137" s="124" t="s">
        <v>6963</v>
      </c>
      <c r="M137" s="34"/>
    </row>
    <row r="138" hidden="1">
      <c r="A138" s="33" t="s">
        <v>6965</v>
      </c>
      <c r="B138" s="122">
        <v>45687.0</v>
      </c>
      <c r="C138" s="33">
        <v>8.07000029507E11</v>
      </c>
      <c r="D138" s="33" t="s">
        <v>6966</v>
      </c>
      <c r="E138" s="33" t="s">
        <v>6967</v>
      </c>
      <c r="F138" s="123" t="s">
        <v>6968</v>
      </c>
      <c r="G138" s="123" t="s">
        <v>247</v>
      </c>
      <c r="H138" s="123">
        <v>4400.0</v>
      </c>
      <c r="I138" s="33" t="s">
        <v>2410</v>
      </c>
      <c r="J138" s="33" t="s">
        <v>2411</v>
      </c>
      <c r="K138" s="33">
        <v>1.0</v>
      </c>
      <c r="L138" s="124" t="s">
        <v>6969</v>
      </c>
      <c r="M138" s="31" t="s">
        <v>6970</v>
      </c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hidden="1">
      <c r="A139" s="33" t="s">
        <v>6965</v>
      </c>
      <c r="B139" s="122">
        <v>45687.0</v>
      </c>
      <c r="C139" s="33">
        <v>8.07000029507E11</v>
      </c>
      <c r="D139" s="33" t="s">
        <v>6966</v>
      </c>
      <c r="E139" s="33" t="s">
        <v>6967</v>
      </c>
      <c r="F139" s="123" t="s">
        <v>6968</v>
      </c>
      <c r="G139" s="123" t="s">
        <v>247</v>
      </c>
      <c r="H139" s="123">
        <v>4400.0</v>
      </c>
      <c r="I139" s="33" t="s">
        <v>3168</v>
      </c>
      <c r="J139" s="33" t="s">
        <v>3169</v>
      </c>
      <c r="K139" s="33">
        <v>1.0</v>
      </c>
      <c r="L139" s="124" t="s">
        <v>6969</v>
      </c>
      <c r="M139" s="31" t="s">
        <v>6970</v>
      </c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</row>
    <row r="140" hidden="1">
      <c r="A140" s="33" t="s">
        <v>6971</v>
      </c>
      <c r="B140" s="122">
        <v>45687.0</v>
      </c>
      <c r="C140" s="33">
        <v>8.07000029537E11</v>
      </c>
      <c r="D140" s="33" t="s">
        <v>6972</v>
      </c>
      <c r="E140" s="33" t="s">
        <v>6973</v>
      </c>
      <c r="F140" s="123" t="s">
        <v>6974</v>
      </c>
      <c r="G140" s="123" t="s">
        <v>247</v>
      </c>
      <c r="H140" s="123">
        <v>4400.0</v>
      </c>
      <c r="I140" s="33">
        <v>87604.6</v>
      </c>
      <c r="J140" s="33" t="s">
        <v>6975</v>
      </c>
      <c r="K140" s="33">
        <v>1.0</v>
      </c>
      <c r="L140" s="124" t="s">
        <v>6976</v>
      </c>
      <c r="M140" s="34"/>
    </row>
    <row r="141" hidden="1">
      <c r="A141" s="33" t="s">
        <v>6971</v>
      </c>
      <c r="B141" s="122">
        <v>45687.0</v>
      </c>
      <c r="C141" s="33">
        <v>8.07000029537E11</v>
      </c>
      <c r="D141" s="33" t="s">
        <v>6972</v>
      </c>
      <c r="E141" s="33" t="s">
        <v>6973</v>
      </c>
      <c r="F141" s="123" t="s">
        <v>6974</v>
      </c>
      <c r="G141" s="123" t="s">
        <v>247</v>
      </c>
      <c r="H141" s="123">
        <v>4400.0</v>
      </c>
      <c r="I141" s="33" t="s">
        <v>2372</v>
      </c>
      <c r="J141" s="33" t="s">
        <v>6977</v>
      </c>
      <c r="K141" s="33">
        <v>1.0</v>
      </c>
      <c r="L141" s="124" t="s">
        <v>6976</v>
      </c>
      <c r="M141" s="34"/>
    </row>
    <row r="142" hidden="1">
      <c r="A142" s="33" t="s">
        <v>6978</v>
      </c>
      <c r="B142" s="122">
        <v>45688.0</v>
      </c>
      <c r="C142" s="33">
        <v>8.07000029532E11</v>
      </c>
      <c r="D142" s="33" t="s">
        <v>6979</v>
      </c>
      <c r="E142" s="33" t="s">
        <v>6980</v>
      </c>
      <c r="F142" s="123" t="s">
        <v>6981</v>
      </c>
      <c r="G142" s="123" t="s">
        <v>247</v>
      </c>
      <c r="H142" s="123">
        <v>4400.0</v>
      </c>
      <c r="I142" s="33" t="s">
        <v>1115</v>
      </c>
      <c r="J142" s="33" t="s">
        <v>1116</v>
      </c>
      <c r="K142" s="33">
        <v>1.0</v>
      </c>
      <c r="L142" s="175"/>
      <c r="M142" s="34"/>
    </row>
    <row r="143" hidden="1">
      <c r="A143" s="33" t="s">
        <v>6978</v>
      </c>
      <c r="B143" s="122">
        <v>45688.0</v>
      </c>
      <c r="C143" s="33">
        <v>8.07000029532E11</v>
      </c>
      <c r="D143" s="33" t="s">
        <v>6979</v>
      </c>
      <c r="E143" s="33" t="s">
        <v>6980</v>
      </c>
      <c r="F143" s="123" t="s">
        <v>6981</v>
      </c>
      <c r="G143" s="123" t="s">
        <v>247</v>
      </c>
      <c r="H143" s="123">
        <v>4400.0</v>
      </c>
      <c r="I143" s="33" t="s">
        <v>340</v>
      </c>
      <c r="J143" s="33" t="s">
        <v>341</v>
      </c>
      <c r="K143" s="33">
        <v>2.0</v>
      </c>
      <c r="L143" s="175"/>
      <c r="M143" s="34"/>
    </row>
    <row r="144" hidden="1">
      <c r="A144" s="33" t="s">
        <v>6982</v>
      </c>
      <c r="B144" s="122">
        <v>45688.0</v>
      </c>
      <c r="C144" s="176">
        <v>8.07000029541E11</v>
      </c>
      <c r="D144" s="33" t="s">
        <v>6983</v>
      </c>
      <c r="E144" s="33" t="s">
        <v>6984</v>
      </c>
      <c r="F144" s="145" t="s">
        <v>6985</v>
      </c>
      <c r="G144" s="145" t="s">
        <v>6986</v>
      </c>
      <c r="H144" s="177">
        <v>4409.0</v>
      </c>
      <c r="I144" s="176" t="s">
        <v>2410</v>
      </c>
      <c r="J144" s="176" t="s">
        <v>2411</v>
      </c>
      <c r="K144" s="176">
        <v>1.0</v>
      </c>
      <c r="L144" s="124" t="s">
        <v>6987</v>
      </c>
      <c r="M144" s="31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</row>
    <row r="145" hidden="1">
      <c r="A145" s="33" t="s">
        <v>6982</v>
      </c>
      <c r="B145" s="122">
        <v>45688.0</v>
      </c>
      <c r="C145" s="176">
        <v>8.07000029541E11</v>
      </c>
      <c r="D145" s="33" t="s">
        <v>6983</v>
      </c>
      <c r="E145" s="33" t="s">
        <v>6984</v>
      </c>
      <c r="F145" s="145" t="s">
        <v>6985</v>
      </c>
      <c r="G145" s="145" t="s">
        <v>6986</v>
      </c>
      <c r="H145" s="177">
        <v>4409.0</v>
      </c>
      <c r="I145" s="176" t="s">
        <v>3168</v>
      </c>
      <c r="J145" s="176" t="s">
        <v>3169</v>
      </c>
      <c r="K145" s="176">
        <v>1.0</v>
      </c>
      <c r="L145" s="124" t="s">
        <v>6987</v>
      </c>
      <c r="M145" s="31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</row>
    <row r="146" hidden="1">
      <c r="A146" s="33" t="s">
        <v>6988</v>
      </c>
      <c r="B146" s="122">
        <v>45692.0</v>
      </c>
      <c r="C146" s="176">
        <v>8.07000029574E11</v>
      </c>
      <c r="D146" s="33" t="s">
        <v>6989</v>
      </c>
      <c r="E146" s="33" t="s">
        <v>6990</v>
      </c>
      <c r="F146" s="145" t="s">
        <v>6991</v>
      </c>
      <c r="G146" s="145" t="s">
        <v>247</v>
      </c>
      <c r="H146" s="177">
        <v>4400.0</v>
      </c>
      <c r="I146" s="176" t="s">
        <v>88</v>
      </c>
      <c r="J146" s="176" t="s">
        <v>89</v>
      </c>
      <c r="K146" s="176">
        <v>1.0</v>
      </c>
      <c r="L146" s="124" t="s">
        <v>6992</v>
      </c>
      <c r="M146" s="31" t="s">
        <v>6993</v>
      </c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</row>
    <row r="147" hidden="1">
      <c r="A147" s="33" t="s">
        <v>6988</v>
      </c>
      <c r="B147" s="122">
        <v>45692.0</v>
      </c>
      <c r="C147" s="176">
        <v>8.07000029574E11</v>
      </c>
      <c r="D147" s="33" t="s">
        <v>6989</v>
      </c>
      <c r="E147" s="33" t="s">
        <v>6990</v>
      </c>
      <c r="F147" s="145" t="s">
        <v>6991</v>
      </c>
      <c r="G147" s="145" t="s">
        <v>247</v>
      </c>
      <c r="H147" s="145">
        <v>4400.0</v>
      </c>
      <c r="I147" s="176" t="s">
        <v>98</v>
      </c>
      <c r="J147" s="176" t="s">
        <v>99</v>
      </c>
      <c r="K147" s="176">
        <v>1.0</v>
      </c>
      <c r="L147" s="124" t="s">
        <v>6992</v>
      </c>
      <c r="M147" s="31" t="s">
        <v>6993</v>
      </c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</row>
    <row r="148" hidden="1">
      <c r="A148" s="33" t="s">
        <v>6988</v>
      </c>
      <c r="B148" s="122">
        <v>45692.0</v>
      </c>
      <c r="C148" s="176">
        <v>8.07000029574E11</v>
      </c>
      <c r="D148" s="33" t="s">
        <v>6989</v>
      </c>
      <c r="E148" s="33" t="s">
        <v>6990</v>
      </c>
      <c r="F148" s="145" t="s">
        <v>6991</v>
      </c>
      <c r="G148" s="145" t="s">
        <v>247</v>
      </c>
      <c r="H148" s="145">
        <v>4400.0</v>
      </c>
      <c r="I148" s="176" t="s">
        <v>2397</v>
      </c>
      <c r="J148" s="176" t="s">
        <v>2398</v>
      </c>
      <c r="K148" s="176">
        <v>1.0</v>
      </c>
      <c r="L148" s="124" t="s">
        <v>6992</v>
      </c>
      <c r="M148" s="31" t="s">
        <v>6993</v>
      </c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</row>
    <row r="149" hidden="1">
      <c r="A149" s="33" t="s">
        <v>6994</v>
      </c>
      <c r="B149" s="122">
        <v>45692.0</v>
      </c>
      <c r="C149" s="176">
        <v>8.07000029625E11</v>
      </c>
      <c r="D149" s="33" t="s">
        <v>6995</v>
      </c>
      <c r="E149" s="33" t="s">
        <v>6996</v>
      </c>
      <c r="F149" s="145" t="s">
        <v>6997</v>
      </c>
      <c r="G149" s="145" t="s">
        <v>247</v>
      </c>
      <c r="H149" s="145">
        <v>4400.0</v>
      </c>
      <c r="I149" s="176" t="s">
        <v>6998</v>
      </c>
      <c r="J149" s="176" t="s">
        <v>6999</v>
      </c>
      <c r="K149" s="108">
        <v>1.0</v>
      </c>
      <c r="L149" s="124" t="s">
        <v>7000</v>
      </c>
      <c r="M149" s="34"/>
    </row>
    <row r="150" hidden="1">
      <c r="A150" s="33" t="s">
        <v>7001</v>
      </c>
      <c r="B150" s="122">
        <v>45692.0</v>
      </c>
      <c r="C150" s="176">
        <v>8.0700002961E11</v>
      </c>
      <c r="D150" s="33" t="s">
        <v>7002</v>
      </c>
      <c r="E150" s="33" t="s">
        <v>7003</v>
      </c>
      <c r="F150" s="145" t="s">
        <v>7004</v>
      </c>
      <c r="G150" s="145" t="s">
        <v>247</v>
      </c>
      <c r="H150" s="145">
        <v>4400.0</v>
      </c>
      <c r="I150" s="176" t="s">
        <v>2314</v>
      </c>
      <c r="J150" s="176" t="s">
        <v>2315</v>
      </c>
      <c r="K150" s="108">
        <v>1.0</v>
      </c>
      <c r="L150" s="124" t="s">
        <v>7005</v>
      </c>
      <c r="M150" s="34"/>
    </row>
    <row r="151" hidden="1">
      <c r="A151" s="33" t="s">
        <v>7001</v>
      </c>
      <c r="B151" s="122">
        <v>45692.0</v>
      </c>
      <c r="C151" s="176">
        <v>8.0700002961E11</v>
      </c>
      <c r="D151" s="33" t="s">
        <v>7002</v>
      </c>
      <c r="E151" s="33" t="s">
        <v>7003</v>
      </c>
      <c r="F151" s="145" t="s">
        <v>7004</v>
      </c>
      <c r="G151" s="145" t="s">
        <v>247</v>
      </c>
      <c r="H151" s="145">
        <v>4400.0</v>
      </c>
      <c r="I151" s="176" t="s">
        <v>1100</v>
      </c>
      <c r="J151" s="176" t="s">
        <v>1101</v>
      </c>
      <c r="K151" s="108">
        <v>1.0</v>
      </c>
      <c r="L151" s="124" t="s">
        <v>7005</v>
      </c>
      <c r="M151" s="34"/>
    </row>
    <row r="152" hidden="1">
      <c r="A152" s="33" t="s">
        <v>7006</v>
      </c>
      <c r="B152" s="122">
        <v>45692.0</v>
      </c>
      <c r="C152" s="176">
        <v>8.07000028185E11</v>
      </c>
      <c r="D152" s="33" t="s">
        <v>7007</v>
      </c>
      <c r="E152" s="33" t="s">
        <v>7008</v>
      </c>
      <c r="F152" s="145" t="s">
        <v>7009</v>
      </c>
      <c r="G152" s="145" t="s">
        <v>247</v>
      </c>
      <c r="H152" s="145">
        <v>4400.0</v>
      </c>
      <c r="I152" s="176" t="s">
        <v>7010</v>
      </c>
      <c r="J152" s="176" t="s">
        <v>7011</v>
      </c>
      <c r="K152" s="108">
        <v>1.0</v>
      </c>
      <c r="L152" s="124" t="s">
        <v>7012</v>
      </c>
      <c r="M152" s="34"/>
    </row>
    <row r="153" hidden="1">
      <c r="A153" s="33" t="s">
        <v>7006</v>
      </c>
      <c r="B153" s="122">
        <v>45692.0</v>
      </c>
      <c r="C153" s="176">
        <v>8.07000028185E11</v>
      </c>
      <c r="D153" s="33" t="s">
        <v>7007</v>
      </c>
      <c r="E153" s="33" t="s">
        <v>7008</v>
      </c>
      <c r="F153" s="145" t="s">
        <v>7009</v>
      </c>
      <c r="G153" s="145" t="s">
        <v>247</v>
      </c>
      <c r="H153" s="145">
        <v>4400.0</v>
      </c>
      <c r="I153" s="176" t="s">
        <v>169</v>
      </c>
      <c r="J153" s="176" t="s">
        <v>170</v>
      </c>
      <c r="K153" s="108">
        <v>1.0</v>
      </c>
      <c r="L153" s="124" t="s">
        <v>7012</v>
      </c>
      <c r="M153" s="34"/>
    </row>
    <row r="154" hidden="1">
      <c r="A154" s="33" t="s">
        <v>7013</v>
      </c>
      <c r="B154" s="122">
        <v>45692.0</v>
      </c>
      <c r="C154" s="176">
        <v>8.07000028186E11</v>
      </c>
      <c r="D154" s="33" t="s">
        <v>7007</v>
      </c>
      <c r="E154" s="33" t="s">
        <v>7008</v>
      </c>
      <c r="F154" s="145" t="s">
        <v>7009</v>
      </c>
      <c r="G154" s="145" t="s">
        <v>247</v>
      </c>
      <c r="H154" s="145">
        <v>4400.0</v>
      </c>
      <c r="I154" s="176" t="s">
        <v>7010</v>
      </c>
      <c r="J154" s="176" t="s">
        <v>7011</v>
      </c>
      <c r="K154" s="108">
        <v>1.0</v>
      </c>
      <c r="L154" s="124" t="s">
        <v>7012</v>
      </c>
      <c r="M154" s="34"/>
    </row>
    <row r="155" hidden="1">
      <c r="A155" s="33" t="s">
        <v>7013</v>
      </c>
      <c r="B155" s="122">
        <v>45692.0</v>
      </c>
      <c r="C155" s="176">
        <v>8.07000028186E11</v>
      </c>
      <c r="D155" s="33" t="s">
        <v>7007</v>
      </c>
      <c r="E155" s="33" t="s">
        <v>7008</v>
      </c>
      <c r="F155" s="145" t="s">
        <v>7009</v>
      </c>
      <c r="G155" s="145" t="s">
        <v>247</v>
      </c>
      <c r="H155" s="145">
        <v>4400.0</v>
      </c>
      <c r="I155" s="176" t="s">
        <v>169</v>
      </c>
      <c r="J155" s="176" t="s">
        <v>170</v>
      </c>
      <c r="K155" s="108">
        <v>1.0</v>
      </c>
      <c r="L155" s="124" t="s">
        <v>7012</v>
      </c>
      <c r="M155" s="34"/>
    </row>
    <row r="156" hidden="1">
      <c r="A156" s="33" t="s">
        <v>7014</v>
      </c>
      <c r="B156" s="122">
        <v>45692.0</v>
      </c>
      <c r="C156" s="176">
        <v>8.0700002819E11</v>
      </c>
      <c r="D156" s="33" t="s">
        <v>7007</v>
      </c>
      <c r="E156" s="33" t="s">
        <v>7008</v>
      </c>
      <c r="F156" s="145" t="s">
        <v>7009</v>
      </c>
      <c r="G156" s="145" t="s">
        <v>247</v>
      </c>
      <c r="H156" s="145">
        <v>4400.0</v>
      </c>
      <c r="I156" s="176">
        <v>208501.0</v>
      </c>
      <c r="J156" s="176" t="s">
        <v>481</v>
      </c>
      <c r="K156" s="108">
        <v>2.0</v>
      </c>
      <c r="L156" s="124" t="s">
        <v>7012</v>
      </c>
      <c r="M156" s="34"/>
    </row>
    <row r="157" hidden="1">
      <c r="A157" s="33" t="s">
        <v>7015</v>
      </c>
      <c r="B157" s="122">
        <v>45693.0</v>
      </c>
      <c r="C157" s="33">
        <v>8.07000029634E11</v>
      </c>
      <c r="D157" s="33" t="s">
        <v>7016</v>
      </c>
      <c r="E157" s="33" t="s">
        <v>7017</v>
      </c>
      <c r="F157" s="123" t="s">
        <v>7018</v>
      </c>
      <c r="G157" s="145" t="s">
        <v>247</v>
      </c>
      <c r="H157" s="145">
        <v>4400.0</v>
      </c>
      <c r="I157" s="33" t="s">
        <v>1435</v>
      </c>
      <c r="J157" s="33" t="s">
        <v>1436</v>
      </c>
      <c r="K157" s="33">
        <v>1.0</v>
      </c>
      <c r="L157" s="124" t="s">
        <v>7019</v>
      </c>
      <c r="M157" s="34"/>
    </row>
    <row r="158" hidden="1">
      <c r="A158" s="33" t="s">
        <v>7015</v>
      </c>
      <c r="B158" s="122">
        <v>45693.0</v>
      </c>
      <c r="C158" s="33">
        <v>8.07000029623E11</v>
      </c>
      <c r="D158" s="33" t="s">
        <v>7016</v>
      </c>
      <c r="E158" s="33" t="s">
        <v>7017</v>
      </c>
      <c r="F158" s="123" t="s">
        <v>7020</v>
      </c>
      <c r="G158" s="145" t="s">
        <v>247</v>
      </c>
      <c r="H158" s="145">
        <v>4400.0</v>
      </c>
      <c r="I158" s="33" t="s">
        <v>1893</v>
      </c>
      <c r="J158" s="33" t="s">
        <v>1894</v>
      </c>
      <c r="K158" s="33">
        <v>2.0</v>
      </c>
      <c r="L158" s="124" t="s">
        <v>7019</v>
      </c>
      <c r="M158" s="34"/>
    </row>
    <row r="159" hidden="1">
      <c r="A159" s="33" t="s">
        <v>7015</v>
      </c>
      <c r="B159" s="122">
        <v>45693.0</v>
      </c>
      <c r="C159" s="33">
        <v>8.07000029623E11</v>
      </c>
      <c r="D159" s="33" t="s">
        <v>7016</v>
      </c>
      <c r="E159" s="33" t="s">
        <v>7017</v>
      </c>
      <c r="F159" s="123" t="s">
        <v>7021</v>
      </c>
      <c r="G159" s="145" t="s">
        <v>247</v>
      </c>
      <c r="H159" s="145">
        <v>4400.0</v>
      </c>
      <c r="I159" s="33" t="s">
        <v>512</v>
      </c>
      <c r="J159" s="33" t="s">
        <v>513</v>
      </c>
      <c r="K159" s="33">
        <v>6.0</v>
      </c>
      <c r="L159" s="124" t="s">
        <v>7019</v>
      </c>
      <c r="M159" s="34"/>
    </row>
    <row r="160" hidden="1">
      <c r="A160" s="33" t="s">
        <v>7022</v>
      </c>
      <c r="B160" s="122">
        <v>45693.0</v>
      </c>
      <c r="C160" s="33">
        <v>8.07000029623E11</v>
      </c>
      <c r="D160" s="33" t="s">
        <v>7016</v>
      </c>
      <c r="E160" s="33" t="s">
        <v>7017</v>
      </c>
      <c r="F160" s="123" t="s">
        <v>7023</v>
      </c>
      <c r="G160" s="145" t="s">
        <v>247</v>
      </c>
      <c r="H160" s="145">
        <v>4400.0</v>
      </c>
      <c r="I160" s="33" t="s">
        <v>1897</v>
      </c>
      <c r="J160" s="33" t="s">
        <v>1898</v>
      </c>
      <c r="K160" s="33">
        <v>2.0</v>
      </c>
      <c r="L160" s="124" t="s">
        <v>7019</v>
      </c>
      <c r="M160" s="34"/>
    </row>
    <row r="161" hidden="1">
      <c r="A161" s="33" t="s">
        <v>7022</v>
      </c>
      <c r="B161" s="122">
        <v>45693.0</v>
      </c>
      <c r="C161" s="33">
        <v>8.07000029633E11</v>
      </c>
      <c r="D161" s="33" t="s">
        <v>7024</v>
      </c>
      <c r="E161" s="33" t="s">
        <v>7025</v>
      </c>
      <c r="F161" s="123" t="s">
        <v>7026</v>
      </c>
      <c r="G161" s="145" t="s">
        <v>247</v>
      </c>
      <c r="H161" s="145">
        <v>4400.0</v>
      </c>
      <c r="I161" s="33" t="s">
        <v>2410</v>
      </c>
      <c r="J161" s="33" t="s">
        <v>2411</v>
      </c>
      <c r="K161" s="33">
        <v>1.0</v>
      </c>
      <c r="L161" s="124" t="s">
        <v>7027</v>
      </c>
      <c r="M161" s="34"/>
    </row>
    <row r="162" hidden="1">
      <c r="A162" s="33" t="s">
        <v>7022</v>
      </c>
      <c r="B162" s="122">
        <v>45693.0</v>
      </c>
      <c r="C162" s="33">
        <v>8.07000029633E11</v>
      </c>
      <c r="D162" s="33" t="s">
        <v>7024</v>
      </c>
      <c r="E162" s="33" t="s">
        <v>7025</v>
      </c>
      <c r="F162" s="123" t="s">
        <v>7026</v>
      </c>
      <c r="G162" s="145" t="s">
        <v>247</v>
      </c>
      <c r="H162" s="145">
        <v>4400.0</v>
      </c>
      <c r="I162" s="33" t="s">
        <v>3168</v>
      </c>
      <c r="J162" s="33" t="s">
        <v>3169</v>
      </c>
      <c r="K162" s="33">
        <v>1.0</v>
      </c>
      <c r="L162" s="124" t="s">
        <v>7027</v>
      </c>
      <c r="M162" s="34"/>
    </row>
    <row r="163" hidden="1">
      <c r="A163" s="33" t="s">
        <v>7028</v>
      </c>
      <c r="B163" s="122">
        <v>45694.0</v>
      </c>
      <c r="C163" s="33">
        <v>8.07000029646E11</v>
      </c>
      <c r="D163" s="33" t="s">
        <v>7029</v>
      </c>
      <c r="E163" s="33" t="s">
        <v>7030</v>
      </c>
      <c r="F163" s="123" t="s">
        <v>7031</v>
      </c>
      <c r="G163" s="145" t="s">
        <v>247</v>
      </c>
      <c r="H163" s="145">
        <v>4400.0</v>
      </c>
      <c r="I163" s="33" t="s">
        <v>568</v>
      </c>
      <c r="J163" s="33" t="s">
        <v>569</v>
      </c>
      <c r="K163" s="33">
        <v>2.0</v>
      </c>
      <c r="L163" s="124" t="s">
        <v>7032</v>
      </c>
      <c r="M163" s="34"/>
    </row>
    <row r="164" hidden="1">
      <c r="A164" s="33" t="s">
        <v>7028</v>
      </c>
      <c r="B164" s="122">
        <v>45694.0</v>
      </c>
      <c r="C164" s="33">
        <v>8.07000029646E11</v>
      </c>
      <c r="D164" s="33" t="s">
        <v>7029</v>
      </c>
      <c r="E164" s="33" t="s">
        <v>7030</v>
      </c>
      <c r="F164" s="123" t="s">
        <v>7031</v>
      </c>
      <c r="G164" s="145" t="s">
        <v>247</v>
      </c>
      <c r="H164" s="145">
        <v>4400.0</v>
      </c>
      <c r="I164" s="33">
        <v>208501.0</v>
      </c>
      <c r="J164" s="33" t="s">
        <v>481</v>
      </c>
      <c r="K164" s="33">
        <v>2.0</v>
      </c>
      <c r="L164" s="124" t="s">
        <v>7032</v>
      </c>
      <c r="M164" s="34"/>
    </row>
    <row r="165" hidden="1">
      <c r="A165" s="33" t="s">
        <v>7028</v>
      </c>
      <c r="B165" s="122">
        <v>45694.0</v>
      </c>
      <c r="C165" s="33">
        <v>8.07000029646E11</v>
      </c>
      <c r="D165" s="33" t="s">
        <v>7029</v>
      </c>
      <c r="E165" s="33" t="s">
        <v>7030</v>
      </c>
      <c r="F165" s="123" t="s">
        <v>7031</v>
      </c>
      <c r="G165" s="145" t="s">
        <v>247</v>
      </c>
      <c r="H165" s="145">
        <v>4400.0</v>
      </c>
      <c r="I165" s="33" t="s">
        <v>280</v>
      </c>
      <c r="J165" s="33" t="s">
        <v>281</v>
      </c>
      <c r="K165" s="33">
        <v>1.0</v>
      </c>
      <c r="L165" s="124" t="s">
        <v>7032</v>
      </c>
      <c r="M165" s="34"/>
    </row>
    <row r="166" hidden="1">
      <c r="A166" s="33" t="s">
        <v>7028</v>
      </c>
      <c r="B166" s="122">
        <v>45694.0</v>
      </c>
      <c r="C166" s="33">
        <v>8.07000029646E11</v>
      </c>
      <c r="D166" s="33" t="s">
        <v>7029</v>
      </c>
      <c r="E166" s="33" t="s">
        <v>7030</v>
      </c>
      <c r="F166" s="123" t="s">
        <v>7031</v>
      </c>
      <c r="G166" s="145" t="s">
        <v>247</v>
      </c>
      <c r="H166" s="145">
        <v>4400.0</v>
      </c>
      <c r="I166" s="33" t="s">
        <v>2537</v>
      </c>
      <c r="J166" s="33" t="s">
        <v>2538</v>
      </c>
      <c r="K166" s="33">
        <v>1.0</v>
      </c>
      <c r="L166" s="124" t="s">
        <v>7032</v>
      </c>
      <c r="M166" s="34"/>
    </row>
    <row r="167" hidden="1">
      <c r="A167" s="33" t="s">
        <v>7028</v>
      </c>
      <c r="B167" s="122">
        <v>45694.0</v>
      </c>
      <c r="C167" s="33">
        <v>8.07000029646E11</v>
      </c>
      <c r="D167" s="33" t="s">
        <v>7029</v>
      </c>
      <c r="E167" s="33" t="s">
        <v>7030</v>
      </c>
      <c r="F167" s="123" t="s">
        <v>7031</v>
      </c>
      <c r="G167" s="145" t="s">
        <v>247</v>
      </c>
      <c r="H167" s="145">
        <v>4400.0</v>
      </c>
      <c r="I167" s="33" t="s">
        <v>340</v>
      </c>
      <c r="J167" s="33" t="s">
        <v>341</v>
      </c>
      <c r="K167" s="33">
        <v>4.0</v>
      </c>
      <c r="L167" s="124" t="s">
        <v>7032</v>
      </c>
      <c r="M167" s="34"/>
    </row>
    <row r="168" hidden="1">
      <c r="A168" s="33" t="s">
        <v>7033</v>
      </c>
      <c r="B168" s="122">
        <v>45694.0</v>
      </c>
      <c r="C168" s="33">
        <v>8.07000029637E11</v>
      </c>
      <c r="D168" s="33" t="s">
        <v>7034</v>
      </c>
      <c r="E168" s="33" t="s">
        <v>7035</v>
      </c>
      <c r="F168" s="123" t="s">
        <v>7036</v>
      </c>
      <c r="G168" s="145" t="s">
        <v>247</v>
      </c>
      <c r="H168" s="145">
        <v>4400.0</v>
      </c>
      <c r="I168" s="33" t="s">
        <v>280</v>
      </c>
      <c r="J168" s="33" t="s">
        <v>281</v>
      </c>
      <c r="K168" s="33">
        <v>1.0</v>
      </c>
      <c r="L168" s="124" t="s">
        <v>7037</v>
      </c>
      <c r="M168" s="34"/>
    </row>
    <row r="169" hidden="1">
      <c r="A169" s="33" t="s">
        <v>7033</v>
      </c>
      <c r="B169" s="122">
        <v>45694.0</v>
      </c>
      <c r="C169" s="33">
        <v>8.07000029637E11</v>
      </c>
      <c r="D169" s="33" t="s">
        <v>7034</v>
      </c>
      <c r="E169" s="33" t="s">
        <v>7035</v>
      </c>
      <c r="F169" s="123" t="s">
        <v>7036</v>
      </c>
      <c r="G169" s="145" t="s">
        <v>247</v>
      </c>
      <c r="H169" s="145">
        <v>4400.0</v>
      </c>
      <c r="I169" s="33" t="s">
        <v>512</v>
      </c>
      <c r="J169" s="33" t="s">
        <v>513</v>
      </c>
      <c r="K169" s="33">
        <v>12.0</v>
      </c>
      <c r="L169" s="124" t="s">
        <v>7037</v>
      </c>
      <c r="M169" s="34"/>
    </row>
    <row r="170" hidden="1">
      <c r="A170" s="125" t="s">
        <v>7033</v>
      </c>
      <c r="B170" s="126">
        <v>45694.0</v>
      </c>
      <c r="C170" s="125">
        <v>8.07000029637E11</v>
      </c>
      <c r="D170" s="125" t="s">
        <v>7034</v>
      </c>
      <c r="E170" s="125" t="s">
        <v>7035</v>
      </c>
      <c r="F170" s="127" t="s">
        <v>7036</v>
      </c>
      <c r="G170" s="127" t="s">
        <v>247</v>
      </c>
      <c r="H170" s="178">
        <v>4400.0</v>
      </c>
      <c r="I170" s="125" t="s">
        <v>340</v>
      </c>
      <c r="J170" s="125" t="s">
        <v>341</v>
      </c>
      <c r="K170" s="125">
        <v>2.0</v>
      </c>
      <c r="L170" s="129" t="s">
        <v>7037</v>
      </c>
      <c r="M170" s="130"/>
    </row>
    <row r="171" hidden="1">
      <c r="A171" s="131" t="s">
        <v>7038</v>
      </c>
      <c r="B171" s="132">
        <v>45694.0</v>
      </c>
      <c r="C171" s="131">
        <v>8.07000029635E11</v>
      </c>
      <c r="D171" s="131" t="s">
        <v>7039</v>
      </c>
      <c r="E171" s="131" t="s">
        <v>7040</v>
      </c>
      <c r="F171" s="133" t="s">
        <v>7041</v>
      </c>
      <c r="G171" s="123" t="s">
        <v>247</v>
      </c>
      <c r="H171" s="133">
        <v>4400.0</v>
      </c>
      <c r="I171" s="131" t="s">
        <v>323</v>
      </c>
      <c r="J171" s="131" t="s">
        <v>324</v>
      </c>
      <c r="K171" s="131">
        <v>1.0</v>
      </c>
      <c r="L171" s="134" t="s">
        <v>7042</v>
      </c>
      <c r="M171" s="138"/>
    </row>
    <row r="172" hidden="1">
      <c r="A172" s="33" t="s">
        <v>7038</v>
      </c>
      <c r="B172" s="122">
        <v>45694.0</v>
      </c>
      <c r="C172" s="33">
        <v>8.07000029636E11</v>
      </c>
      <c r="D172" s="33" t="s">
        <v>7039</v>
      </c>
      <c r="E172" s="33" t="s">
        <v>7040</v>
      </c>
      <c r="F172" s="133" t="s">
        <v>7041</v>
      </c>
      <c r="G172" s="123" t="s">
        <v>247</v>
      </c>
      <c r="H172" s="123">
        <v>4400.0</v>
      </c>
      <c r="I172" s="33" t="s">
        <v>1061</v>
      </c>
      <c r="J172" s="33" t="s">
        <v>1062</v>
      </c>
      <c r="K172" s="33">
        <v>1.0</v>
      </c>
      <c r="L172" s="124" t="s">
        <v>7042</v>
      </c>
      <c r="M172" s="34"/>
    </row>
    <row r="173" hidden="1">
      <c r="A173" s="33" t="s">
        <v>7043</v>
      </c>
      <c r="B173" s="122">
        <v>45694.0</v>
      </c>
      <c r="C173" s="33">
        <v>8.0700002965E11</v>
      </c>
      <c r="D173" s="33" t="s">
        <v>7044</v>
      </c>
      <c r="E173" s="33" t="s">
        <v>7045</v>
      </c>
      <c r="F173" s="123" t="s">
        <v>7046</v>
      </c>
      <c r="G173" s="123" t="s">
        <v>247</v>
      </c>
      <c r="H173" s="123">
        <v>4400.0</v>
      </c>
      <c r="I173" s="33" t="s">
        <v>3313</v>
      </c>
      <c r="J173" s="33" t="s">
        <v>7047</v>
      </c>
      <c r="K173" s="33">
        <v>1.0</v>
      </c>
      <c r="L173" s="124" t="s">
        <v>7048</v>
      </c>
      <c r="M173" s="34"/>
    </row>
    <row r="174" hidden="1">
      <c r="A174" s="33" t="s">
        <v>7043</v>
      </c>
      <c r="B174" s="122">
        <v>45694.0</v>
      </c>
      <c r="C174" s="33">
        <v>8.0700002965E11</v>
      </c>
      <c r="D174" s="33" t="s">
        <v>7044</v>
      </c>
      <c r="E174" s="33" t="s">
        <v>7045</v>
      </c>
      <c r="F174" s="123" t="s">
        <v>7046</v>
      </c>
      <c r="G174" s="123" t="s">
        <v>247</v>
      </c>
      <c r="H174" s="123">
        <v>4400.0</v>
      </c>
      <c r="I174" s="33" t="s">
        <v>3797</v>
      </c>
      <c r="J174" s="33" t="s">
        <v>7049</v>
      </c>
      <c r="K174" s="33">
        <v>1.0</v>
      </c>
      <c r="L174" s="124" t="s">
        <v>7048</v>
      </c>
      <c r="M174" s="34"/>
    </row>
    <row r="175" hidden="1">
      <c r="A175" s="33" t="s">
        <v>7050</v>
      </c>
      <c r="B175" s="122">
        <v>45695.0</v>
      </c>
      <c r="C175" s="33">
        <v>8.07000029656E11</v>
      </c>
      <c r="D175" s="33" t="s">
        <v>7051</v>
      </c>
      <c r="E175" s="33" t="s">
        <v>7052</v>
      </c>
      <c r="F175" s="123" t="s">
        <v>7053</v>
      </c>
      <c r="G175" s="123" t="s">
        <v>6615</v>
      </c>
      <c r="H175" s="123">
        <v>4421.0</v>
      </c>
      <c r="I175" s="33" t="s">
        <v>22</v>
      </c>
      <c r="J175" s="33" t="s">
        <v>23</v>
      </c>
      <c r="K175" s="33">
        <v>1.0</v>
      </c>
      <c r="L175" s="124" t="s">
        <v>7054</v>
      </c>
      <c r="M175" s="34"/>
    </row>
    <row r="176" hidden="1">
      <c r="A176" s="33" t="s">
        <v>7055</v>
      </c>
      <c r="B176" s="122">
        <v>45695.0</v>
      </c>
      <c r="C176" s="33">
        <v>8.07000029664E11</v>
      </c>
      <c r="D176" s="33" t="s">
        <v>7056</v>
      </c>
      <c r="E176" s="33" t="s">
        <v>7057</v>
      </c>
      <c r="F176" s="123" t="s">
        <v>7058</v>
      </c>
      <c r="G176" s="123" t="s">
        <v>247</v>
      </c>
      <c r="H176" s="123">
        <v>4400.0</v>
      </c>
      <c r="I176" s="33" t="s">
        <v>2686</v>
      </c>
      <c r="J176" s="33" t="s">
        <v>2687</v>
      </c>
      <c r="K176" s="33">
        <v>1.0</v>
      </c>
      <c r="L176" s="124" t="s">
        <v>7059</v>
      </c>
      <c r="M176" s="34"/>
    </row>
    <row r="177" hidden="1">
      <c r="A177" s="33" t="s">
        <v>7060</v>
      </c>
      <c r="B177" s="122">
        <v>45698.0</v>
      </c>
      <c r="C177" s="33">
        <v>8.07000029689E11</v>
      </c>
      <c r="D177" s="33" t="s">
        <v>7061</v>
      </c>
      <c r="E177" s="33" t="s">
        <v>7062</v>
      </c>
      <c r="F177" s="123" t="s">
        <v>7063</v>
      </c>
      <c r="G177" s="123" t="s">
        <v>247</v>
      </c>
      <c r="H177" s="123">
        <v>4400.0</v>
      </c>
      <c r="I177" s="33" t="s">
        <v>378</v>
      </c>
      <c r="J177" s="33" t="s">
        <v>379</v>
      </c>
      <c r="K177" s="33">
        <v>1.0</v>
      </c>
      <c r="L177" s="162" t="s">
        <v>7064</v>
      </c>
      <c r="M177" s="34"/>
    </row>
    <row r="178" hidden="1">
      <c r="A178" s="33" t="s">
        <v>7060</v>
      </c>
      <c r="B178" s="122">
        <v>45698.0</v>
      </c>
      <c r="C178" s="33">
        <v>8.07000029689E11</v>
      </c>
      <c r="D178" s="33" t="s">
        <v>7061</v>
      </c>
      <c r="E178" s="33" t="s">
        <v>7062</v>
      </c>
      <c r="F178" s="123" t="s">
        <v>7063</v>
      </c>
      <c r="G178" s="123" t="s">
        <v>247</v>
      </c>
      <c r="H178" s="123">
        <v>4400.0</v>
      </c>
      <c r="I178" s="33" t="s">
        <v>512</v>
      </c>
      <c r="J178" s="33" t="s">
        <v>513</v>
      </c>
      <c r="K178" s="33">
        <v>12.0</v>
      </c>
      <c r="L178" s="162" t="s">
        <v>7064</v>
      </c>
      <c r="M178" s="34"/>
    </row>
    <row r="179" hidden="1">
      <c r="A179" s="33" t="s">
        <v>7060</v>
      </c>
      <c r="B179" s="122">
        <v>45698.0</v>
      </c>
      <c r="C179" s="33">
        <v>8.07000029689E11</v>
      </c>
      <c r="D179" s="33" t="s">
        <v>7061</v>
      </c>
      <c r="E179" s="33" t="s">
        <v>7062</v>
      </c>
      <c r="F179" s="123" t="s">
        <v>7063</v>
      </c>
      <c r="G179" s="123" t="s">
        <v>247</v>
      </c>
      <c r="H179" s="123">
        <v>4400.0</v>
      </c>
      <c r="I179" s="33" t="s">
        <v>7065</v>
      </c>
      <c r="J179" s="33" t="s">
        <v>382</v>
      </c>
      <c r="K179" s="33">
        <v>2.0</v>
      </c>
      <c r="L179" s="162" t="s">
        <v>7064</v>
      </c>
      <c r="M179" s="34"/>
    </row>
    <row r="180" hidden="1">
      <c r="A180" s="33" t="s">
        <v>7066</v>
      </c>
      <c r="B180" s="122">
        <v>45698.0</v>
      </c>
      <c r="C180" s="33">
        <v>8.07000029686E11</v>
      </c>
      <c r="D180" s="33" t="s">
        <v>7067</v>
      </c>
      <c r="E180" s="33" t="s">
        <v>7068</v>
      </c>
      <c r="F180" s="123" t="s">
        <v>7069</v>
      </c>
      <c r="G180" s="123" t="s">
        <v>247</v>
      </c>
      <c r="H180" s="123">
        <v>4400.0</v>
      </c>
      <c r="I180" s="33" t="s">
        <v>4512</v>
      </c>
      <c r="J180" s="33" t="s">
        <v>7070</v>
      </c>
      <c r="K180" s="33">
        <v>1.0</v>
      </c>
      <c r="L180" s="162" t="s">
        <v>7071</v>
      </c>
      <c r="M180" s="34"/>
    </row>
    <row r="181" hidden="1">
      <c r="A181" s="33" t="s">
        <v>7072</v>
      </c>
      <c r="B181" s="122">
        <v>45698.0</v>
      </c>
      <c r="C181" s="33">
        <v>8.07000029687E11</v>
      </c>
      <c r="D181" s="33" t="s">
        <v>7067</v>
      </c>
      <c r="E181" s="33" t="s">
        <v>7068</v>
      </c>
      <c r="F181" s="123" t="s">
        <v>7069</v>
      </c>
      <c r="G181" s="123" t="s">
        <v>247</v>
      </c>
      <c r="H181" s="123">
        <v>4400.0</v>
      </c>
      <c r="I181" s="33" t="s">
        <v>512</v>
      </c>
      <c r="J181" s="33" t="s">
        <v>513</v>
      </c>
      <c r="K181" s="33">
        <v>6.0</v>
      </c>
      <c r="L181" s="162" t="s">
        <v>7071</v>
      </c>
      <c r="M181" s="34"/>
    </row>
    <row r="182" hidden="1">
      <c r="A182" s="33" t="s">
        <v>7072</v>
      </c>
      <c r="B182" s="122">
        <v>45698.0</v>
      </c>
      <c r="C182" s="33">
        <v>8.07000029687E11</v>
      </c>
      <c r="D182" s="33" t="s">
        <v>7067</v>
      </c>
      <c r="E182" s="33" t="s">
        <v>7068</v>
      </c>
      <c r="F182" s="123" t="s">
        <v>7069</v>
      </c>
      <c r="G182" s="123" t="s">
        <v>247</v>
      </c>
      <c r="H182" s="123">
        <v>4400.0</v>
      </c>
      <c r="I182" s="33" t="s">
        <v>169</v>
      </c>
      <c r="J182" s="33" t="s">
        <v>170</v>
      </c>
      <c r="K182" s="33">
        <v>1.0</v>
      </c>
      <c r="L182" s="162" t="s">
        <v>7071</v>
      </c>
      <c r="M182" s="34"/>
    </row>
    <row r="183" hidden="1">
      <c r="A183" s="33" t="s">
        <v>7072</v>
      </c>
      <c r="B183" s="122">
        <v>45698.0</v>
      </c>
      <c r="C183" s="33">
        <v>8.07000029688E11</v>
      </c>
      <c r="D183" s="33" t="s">
        <v>7067</v>
      </c>
      <c r="E183" s="33" t="s">
        <v>7068</v>
      </c>
      <c r="F183" s="123" t="s">
        <v>7069</v>
      </c>
      <c r="G183" s="123" t="s">
        <v>247</v>
      </c>
      <c r="H183" s="123">
        <v>4400.0</v>
      </c>
      <c r="I183" s="33">
        <v>208502.0</v>
      </c>
      <c r="J183" s="33" t="s">
        <v>4551</v>
      </c>
      <c r="K183" s="33">
        <v>1.0</v>
      </c>
      <c r="L183" s="162" t="s">
        <v>7071</v>
      </c>
      <c r="M183" s="34"/>
    </row>
    <row r="184" hidden="1">
      <c r="A184" s="33" t="s">
        <v>7073</v>
      </c>
      <c r="B184" s="122">
        <v>45698.0</v>
      </c>
      <c r="C184" s="33">
        <v>8.07000029678E11</v>
      </c>
      <c r="D184" s="33" t="s">
        <v>7074</v>
      </c>
      <c r="E184" s="33" t="s">
        <v>7075</v>
      </c>
      <c r="F184" s="123" t="s">
        <v>7076</v>
      </c>
      <c r="G184" s="123" t="s">
        <v>247</v>
      </c>
      <c r="H184" s="123">
        <v>4400.0</v>
      </c>
      <c r="I184" s="33" t="s">
        <v>218</v>
      </c>
      <c r="J184" s="33" t="s">
        <v>219</v>
      </c>
      <c r="K184" s="33">
        <v>1.0</v>
      </c>
      <c r="L184" s="162" t="s">
        <v>7077</v>
      </c>
      <c r="M184" s="34"/>
    </row>
    <row r="185" hidden="1">
      <c r="A185" s="33" t="s">
        <v>7073</v>
      </c>
      <c r="B185" s="122">
        <v>45698.0</v>
      </c>
      <c r="C185" s="33">
        <v>8.07000029678E11</v>
      </c>
      <c r="D185" s="33" t="s">
        <v>7074</v>
      </c>
      <c r="E185" s="33" t="s">
        <v>7075</v>
      </c>
      <c r="F185" s="123" t="s">
        <v>7076</v>
      </c>
      <c r="G185" s="123" t="s">
        <v>247</v>
      </c>
      <c r="H185" s="123">
        <v>4400.0</v>
      </c>
      <c r="I185" s="33" t="s">
        <v>5638</v>
      </c>
      <c r="J185" s="33" t="s">
        <v>5639</v>
      </c>
      <c r="K185" s="33">
        <v>1.0</v>
      </c>
      <c r="L185" s="162" t="s">
        <v>7077</v>
      </c>
      <c r="M185" s="34"/>
    </row>
    <row r="186" hidden="1">
      <c r="A186" s="33" t="s">
        <v>7073</v>
      </c>
      <c r="B186" s="122">
        <v>45698.0</v>
      </c>
      <c r="C186" s="33">
        <v>8.07000029678E11</v>
      </c>
      <c r="D186" s="33" t="s">
        <v>7074</v>
      </c>
      <c r="E186" s="33" t="s">
        <v>7075</v>
      </c>
      <c r="F186" s="123" t="s">
        <v>7076</v>
      </c>
      <c r="G186" s="123" t="s">
        <v>247</v>
      </c>
      <c r="H186" s="123">
        <v>4400.0</v>
      </c>
      <c r="I186" s="33" t="s">
        <v>512</v>
      </c>
      <c r="J186" s="33" t="s">
        <v>513</v>
      </c>
      <c r="K186" s="33">
        <v>12.0</v>
      </c>
      <c r="L186" s="162" t="s">
        <v>7077</v>
      </c>
      <c r="M186" s="34"/>
    </row>
    <row r="187" hidden="1">
      <c r="A187" s="33" t="s">
        <v>7073</v>
      </c>
      <c r="B187" s="122">
        <v>45698.0</v>
      </c>
      <c r="C187" s="33">
        <v>8.07000029678E11</v>
      </c>
      <c r="D187" s="33" t="s">
        <v>7074</v>
      </c>
      <c r="E187" s="33" t="s">
        <v>7075</v>
      </c>
      <c r="F187" s="123" t="s">
        <v>7076</v>
      </c>
      <c r="G187" s="123" t="s">
        <v>247</v>
      </c>
      <c r="H187" s="123">
        <v>4400.0</v>
      </c>
      <c r="I187" s="33" t="s">
        <v>121</v>
      </c>
      <c r="J187" s="33" t="s">
        <v>122</v>
      </c>
      <c r="K187" s="33">
        <v>2.0</v>
      </c>
      <c r="L187" s="162" t="s">
        <v>7077</v>
      </c>
      <c r="M187" s="34"/>
    </row>
    <row r="188" hidden="1">
      <c r="A188" s="33" t="s">
        <v>7073</v>
      </c>
      <c r="B188" s="122">
        <v>45698.0</v>
      </c>
      <c r="C188" s="33">
        <v>8.07000029679E11</v>
      </c>
      <c r="D188" s="33" t="s">
        <v>7074</v>
      </c>
      <c r="E188" s="33" t="s">
        <v>7075</v>
      </c>
      <c r="F188" s="123" t="s">
        <v>7076</v>
      </c>
      <c r="G188" s="123" t="s">
        <v>247</v>
      </c>
      <c r="H188" s="123">
        <v>4400.0</v>
      </c>
      <c r="I188" s="33">
        <v>125807.0</v>
      </c>
      <c r="J188" s="33" t="s">
        <v>237</v>
      </c>
      <c r="K188" s="33">
        <v>2.0</v>
      </c>
      <c r="L188" s="162" t="s">
        <v>7077</v>
      </c>
      <c r="M188" s="34"/>
    </row>
    <row r="189" hidden="1">
      <c r="A189" s="33" t="s">
        <v>7078</v>
      </c>
      <c r="B189" s="122">
        <v>45700.0</v>
      </c>
      <c r="C189" s="33">
        <v>8.07000029705E11</v>
      </c>
      <c r="D189" s="33" t="s">
        <v>7079</v>
      </c>
      <c r="E189" s="33" t="s">
        <v>7080</v>
      </c>
      <c r="F189" s="123" t="s">
        <v>7081</v>
      </c>
      <c r="G189" s="123" t="s">
        <v>247</v>
      </c>
      <c r="H189" s="123">
        <v>4400.0</v>
      </c>
      <c r="I189" s="33" t="s">
        <v>1115</v>
      </c>
      <c r="J189" s="33" t="s">
        <v>1116</v>
      </c>
      <c r="K189" s="33">
        <v>1.0</v>
      </c>
      <c r="L189" s="162" t="s">
        <v>7082</v>
      </c>
      <c r="M189" s="31" t="s">
        <v>7083</v>
      </c>
    </row>
    <row r="190" hidden="1">
      <c r="A190" s="33" t="s">
        <v>7084</v>
      </c>
      <c r="B190" s="122">
        <v>45700.0</v>
      </c>
      <c r="C190" s="33">
        <v>8.07000029712E11</v>
      </c>
      <c r="D190" s="33" t="s">
        <v>7085</v>
      </c>
      <c r="E190" s="33" t="s">
        <v>7086</v>
      </c>
      <c r="F190" s="123" t="s">
        <v>7087</v>
      </c>
      <c r="G190" s="123" t="s">
        <v>247</v>
      </c>
      <c r="H190" s="123">
        <v>4400.0</v>
      </c>
      <c r="I190" s="33" t="s">
        <v>7088</v>
      </c>
      <c r="J190" s="33" t="s">
        <v>7089</v>
      </c>
      <c r="K190" s="33">
        <v>1.0</v>
      </c>
      <c r="L190" s="162" t="s">
        <v>7090</v>
      </c>
      <c r="M190" s="34"/>
    </row>
    <row r="191" hidden="1">
      <c r="A191" s="33" t="s">
        <v>7084</v>
      </c>
      <c r="B191" s="122">
        <v>45700.0</v>
      </c>
      <c r="C191" s="33">
        <v>8.07000029712E11</v>
      </c>
      <c r="D191" s="33" t="s">
        <v>7085</v>
      </c>
      <c r="E191" s="33" t="s">
        <v>7086</v>
      </c>
      <c r="F191" s="123" t="s">
        <v>7087</v>
      </c>
      <c r="G191" s="123" t="s">
        <v>247</v>
      </c>
      <c r="H191" s="123">
        <v>4400.0</v>
      </c>
      <c r="I191" s="33" t="s">
        <v>7091</v>
      </c>
      <c r="J191" s="33" t="s">
        <v>7092</v>
      </c>
      <c r="K191" s="33">
        <v>2.0</v>
      </c>
      <c r="L191" s="162" t="s">
        <v>7090</v>
      </c>
      <c r="M191" s="34"/>
    </row>
    <row r="192" hidden="1">
      <c r="A192" s="33" t="s">
        <v>7093</v>
      </c>
      <c r="B192" s="122">
        <v>45700.0</v>
      </c>
      <c r="C192" s="33">
        <v>8.0700002971E11</v>
      </c>
      <c r="D192" s="33" t="s">
        <v>7094</v>
      </c>
      <c r="E192" s="33" t="s">
        <v>7095</v>
      </c>
      <c r="F192" s="123" t="s">
        <v>7096</v>
      </c>
      <c r="G192" s="123" t="s">
        <v>247</v>
      </c>
      <c r="H192" s="123">
        <v>4400.0</v>
      </c>
      <c r="I192" s="33" t="s">
        <v>344</v>
      </c>
      <c r="J192" s="33" t="s">
        <v>345</v>
      </c>
      <c r="K192" s="33">
        <v>1.0</v>
      </c>
      <c r="L192" s="124" t="s">
        <v>7097</v>
      </c>
      <c r="M192" s="34"/>
    </row>
    <row r="193" hidden="1">
      <c r="A193" s="33" t="s">
        <v>7093</v>
      </c>
      <c r="B193" s="122">
        <v>45700.0</v>
      </c>
      <c r="C193" s="33">
        <v>8.0700002971E11</v>
      </c>
      <c r="D193" s="33" t="s">
        <v>7094</v>
      </c>
      <c r="E193" s="33" t="s">
        <v>7095</v>
      </c>
      <c r="F193" s="123" t="s">
        <v>7096</v>
      </c>
      <c r="G193" s="123" t="s">
        <v>247</v>
      </c>
      <c r="H193" s="123">
        <v>4400.0</v>
      </c>
      <c r="I193" s="33" t="s">
        <v>512</v>
      </c>
      <c r="J193" s="33" t="s">
        <v>513</v>
      </c>
      <c r="K193" s="33">
        <v>12.0</v>
      </c>
      <c r="L193" s="124" t="s">
        <v>7097</v>
      </c>
      <c r="M193" s="34"/>
    </row>
    <row r="194" hidden="1">
      <c r="A194" s="33" t="s">
        <v>7093</v>
      </c>
      <c r="B194" s="122">
        <v>45700.0</v>
      </c>
      <c r="C194" s="33">
        <v>8.0700002971E11</v>
      </c>
      <c r="D194" s="33" t="s">
        <v>7094</v>
      </c>
      <c r="E194" s="33" t="s">
        <v>7095</v>
      </c>
      <c r="F194" s="123" t="s">
        <v>7096</v>
      </c>
      <c r="G194" s="123" t="s">
        <v>247</v>
      </c>
      <c r="H194" s="123">
        <v>4400.0</v>
      </c>
      <c r="I194" s="33" t="s">
        <v>340</v>
      </c>
      <c r="J194" s="33" t="s">
        <v>341</v>
      </c>
      <c r="K194" s="33">
        <v>2.0</v>
      </c>
      <c r="L194" s="124" t="s">
        <v>7097</v>
      </c>
      <c r="M194" s="34"/>
    </row>
    <row r="195" hidden="1">
      <c r="A195" s="33" t="s">
        <v>7098</v>
      </c>
      <c r="B195" s="122">
        <v>45700.0</v>
      </c>
      <c r="C195" s="33">
        <v>8.07000029719E11</v>
      </c>
      <c r="D195" s="33" t="s">
        <v>7099</v>
      </c>
      <c r="E195" s="33" t="s">
        <v>7100</v>
      </c>
      <c r="F195" s="123" t="s">
        <v>7101</v>
      </c>
      <c r="G195" s="123" t="s">
        <v>247</v>
      </c>
      <c r="H195" s="123">
        <v>4400.0</v>
      </c>
      <c r="I195" s="33" t="s">
        <v>2185</v>
      </c>
      <c r="J195" s="33" t="s">
        <v>2186</v>
      </c>
      <c r="K195" s="33">
        <v>1.0</v>
      </c>
      <c r="L195" s="124" t="s">
        <v>7102</v>
      </c>
      <c r="M195" s="34"/>
    </row>
    <row r="196" hidden="1">
      <c r="A196" s="33" t="s">
        <v>7098</v>
      </c>
      <c r="B196" s="122">
        <v>45700.0</v>
      </c>
      <c r="C196" s="33">
        <v>8.07000029719E11</v>
      </c>
      <c r="D196" s="33" t="s">
        <v>7099</v>
      </c>
      <c r="E196" s="33" t="s">
        <v>7100</v>
      </c>
      <c r="F196" s="123" t="s">
        <v>7101</v>
      </c>
      <c r="G196" s="123" t="s">
        <v>247</v>
      </c>
      <c r="H196" s="123">
        <v>4400.0</v>
      </c>
      <c r="I196" s="33" t="s">
        <v>512</v>
      </c>
      <c r="J196" s="33" t="s">
        <v>513</v>
      </c>
      <c r="K196" s="33">
        <v>12.0</v>
      </c>
      <c r="L196" s="124" t="s">
        <v>7102</v>
      </c>
      <c r="M196" s="34"/>
    </row>
    <row r="197" hidden="1">
      <c r="A197" s="33" t="s">
        <v>7098</v>
      </c>
      <c r="B197" s="122">
        <v>45700.0</v>
      </c>
      <c r="C197" s="33">
        <v>8.07000029719E11</v>
      </c>
      <c r="D197" s="33" t="s">
        <v>7099</v>
      </c>
      <c r="E197" s="33" t="s">
        <v>7100</v>
      </c>
      <c r="F197" s="123" t="s">
        <v>7101</v>
      </c>
      <c r="G197" s="123" t="s">
        <v>247</v>
      </c>
      <c r="H197" s="123">
        <v>4400.0</v>
      </c>
      <c r="I197" s="33" t="s">
        <v>149</v>
      </c>
      <c r="J197" s="33" t="s">
        <v>150</v>
      </c>
      <c r="K197" s="33">
        <v>2.0</v>
      </c>
      <c r="L197" s="124" t="s">
        <v>7102</v>
      </c>
      <c r="M197" s="34"/>
    </row>
    <row r="198" hidden="1">
      <c r="A198" s="33" t="s">
        <v>7098</v>
      </c>
      <c r="B198" s="122">
        <v>45700.0</v>
      </c>
      <c r="C198" s="33">
        <v>8.0700002972E11</v>
      </c>
      <c r="D198" s="33" t="s">
        <v>7099</v>
      </c>
      <c r="E198" s="33" t="s">
        <v>7100</v>
      </c>
      <c r="F198" s="123" t="s">
        <v>7101</v>
      </c>
      <c r="G198" s="123" t="s">
        <v>247</v>
      </c>
      <c r="H198" s="123">
        <v>4400.0</v>
      </c>
      <c r="I198" s="33" t="s">
        <v>493</v>
      </c>
      <c r="J198" s="33" t="s">
        <v>494</v>
      </c>
      <c r="K198" s="33">
        <v>1.0</v>
      </c>
      <c r="L198" s="124" t="s">
        <v>7102</v>
      </c>
      <c r="M198" s="34"/>
    </row>
    <row r="199" hidden="1">
      <c r="A199" s="33" t="s">
        <v>7103</v>
      </c>
      <c r="B199" s="122">
        <v>45700.0</v>
      </c>
      <c r="C199" s="33">
        <v>8.07000029717E11</v>
      </c>
      <c r="D199" s="33" t="s">
        <v>7104</v>
      </c>
      <c r="E199" s="33" t="s">
        <v>7105</v>
      </c>
      <c r="F199" s="123" t="s">
        <v>7106</v>
      </c>
      <c r="G199" s="123" t="s">
        <v>247</v>
      </c>
      <c r="H199" s="123">
        <v>4400.0</v>
      </c>
      <c r="I199" s="33" t="s">
        <v>2410</v>
      </c>
      <c r="J199" s="33" t="s">
        <v>2411</v>
      </c>
      <c r="K199" s="33">
        <v>1.0</v>
      </c>
      <c r="L199" s="124" t="s">
        <v>7107</v>
      </c>
      <c r="M199" s="34"/>
    </row>
    <row r="200" hidden="1">
      <c r="A200" s="33" t="s">
        <v>7103</v>
      </c>
      <c r="B200" s="122">
        <v>45700.0</v>
      </c>
      <c r="C200" s="33">
        <v>8.07000029717E11</v>
      </c>
      <c r="D200" s="33" t="s">
        <v>7104</v>
      </c>
      <c r="E200" s="33" t="s">
        <v>7105</v>
      </c>
      <c r="F200" s="123" t="s">
        <v>7106</v>
      </c>
      <c r="G200" s="123" t="s">
        <v>247</v>
      </c>
      <c r="H200" s="123">
        <v>4400.0</v>
      </c>
      <c r="I200" s="33" t="s">
        <v>2412</v>
      </c>
      <c r="J200" s="33" t="s">
        <v>2413</v>
      </c>
      <c r="K200" s="33">
        <v>1.0</v>
      </c>
      <c r="L200" s="124" t="s">
        <v>7107</v>
      </c>
      <c r="M200" s="34"/>
    </row>
    <row r="201" hidden="1">
      <c r="A201" s="33" t="s">
        <v>7108</v>
      </c>
      <c r="B201" s="122">
        <v>45700.0</v>
      </c>
      <c r="C201" s="33">
        <v>8.07000029676E11</v>
      </c>
      <c r="D201" s="33" t="s">
        <v>7109</v>
      </c>
      <c r="E201" s="33" t="s">
        <v>7110</v>
      </c>
      <c r="F201" s="123" t="s">
        <v>7111</v>
      </c>
      <c r="G201" s="123" t="s">
        <v>247</v>
      </c>
      <c r="H201" s="123">
        <v>4400.0</v>
      </c>
      <c r="I201" s="33" t="s">
        <v>2372</v>
      </c>
      <c r="J201" s="33" t="s">
        <v>2373</v>
      </c>
      <c r="K201" s="33">
        <v>1.0</v>
      </c>
      <c r="L201" s="124" t="s">
        <v>7112</v>
      </c>
      <c r="M201" s="34"/>
    </row>
    <row r="202" hidden="1">
      <c r="A202" s="33" t="s">
        <v>7108</v>
      </c>
      <c r="B202" s="122">
        <v>45700.0</v>
      </c>
      <c r="C202" s="33">
        <v>8.07000029676E11</v>
      </c>
      <c r="D202" s="33" t="s">
        <v>7109</v>
      </c>
      <c r="E202" s="33" t="s">
        <v>7110</v>
      </c>
      <c r="F202" s="123" t="s">
        <v>7111</v>
      </c>
      <c r="G202" s="123" t="s">
        <v>247</v>
      </c>
      <c r="H202" s="123">
        <v>4400.0</v>
      </c>
      <c r="I202" s="33" t="s">
        <v>512</v>
      </c>
      <c r="J202" s="33" t="s">
        <v>513</v>
      </c>
      <c r="K202" s="33">
        <v>6.0</v>
      </c>
      <c r="L202" s="124" t="s">
        <v>7112</v>
      </c>
      <c r="M202" s="34"/>
    </row>
    <row r="203" hidden="1">
      <c r="A203" s="125" t="s">
        <v>7108</v>
      </c>
      <c r="B203" s="126">
        <v>45700.0</v>
      </c>
      <c r="C203" s="125">
        <v>8.07000029676E11</v>
      </c>
      <c r="D203" s="125" t="s">
        <v>7109</v>
      </c>
      <c r="E203" s="125" t="s">
        <v>7110</v>
      </c>
      <c r="F203" s="127" t="s">
        <v>7111</v>
      </c>
      <c r="G203" s="127" t="s">
        <v>247</v>
      </c>
      <c r="H203" s="127">
        <v>4400.0</v>
      </c>
      <c r="I203" s="125" t="s">
        <v>35</v>
      </c>
      <c r="J203" s="125" t="s">
        <v>36</v>
      </c>
      <c r="K203" s="125">
        <v>1.0</v>
      </c>
      <c r="L203" s="129" t="s">
        <v>7112</v>
      </c>
      <c r="M203" s="130"/>
      <c r="N203" s="179"/>
      <c r="O203" s="179"/>
    </row>
    <row r="204" hidden="1">
      <c r="A204" s="131" t="s">
        <v>7113</v>
      </c>
      <c r="B204" s="132">
        <v>45701.0</v>
      </c>
      <c r="C204" s="131">
        <v>8.07000029724E11</v>
      </c>
      <c r="D204" s="131" t="s">
        <v>7114</v>
      </c>
      <c r="E204" s="131" t="s">
        <v>7115</v>
      </c>
      <c r="F204" s="133" t="s">
        <v>7116</v>
      </c>
      <c r="G204" s="123" t="s">
        <v>247</v>
      </c>
      <c r="H204" s="123">
        <v>4400.0</v>
      </c>
      <c r="I204" s="131" t="s">
        <v>1747</v>
      </c>
      <c r="J204" s="131" t="s">
        <v>1748</v>
      </c>
      <c r="K204" s="131">
        <v>1.0</v>
      </c>
      <c r="L204" s="134" t="s">
        <v>7117</v>
      </c>
      <c r="M204" s="138"/>
    </row>
    <row r="205" hidden="1">
      <c r="A205" s="131" t="s">
        <v>7113</v>
      </c>
      <c r="B205" s="122">
        <v>45701.0</v>
      </c>
      <c r="C205" s="33">
        <v>8.07000029724E11</v>
      </c>
      <c r="D205" s="33" t="s">
        <v>7114</v>
      </c>
      <c r="E205" s="33" t="s">
        <v>7115</v>
      </c>
      <c r="F205" s="133" t="s">
        <v>7116</v>
      </c>
      <c r="G205" s="123" t="s">
        <v>247</v>
      </c>
      <c r="H205" s="123">
        <v>4400.0</v>
      </c>
      <c r="I205" s="33" t="s">
        <v>98</v>
      </c>
      <c r="J205" s="33" t="s">
        <v>99</v>
      </c>
      <c r="K205" s="33">
        <v>1.0</v>
      </c>
      <c r="L205" s="124" t="s">
        <v>7117</v>
      </c>
      <c r="M205" s="34"/>
    </row>
    <row r="206" hidden="1">
      <c r="A206" s="131" t="s">
        <v>7113</v>
      </c>
      <c r="B206" s="122">
        <v>45701.0</v>
      </c>
      <c r="C206" s="33">
        <v>8.07000029724E11</v>
      </c>
      <c r="D206" s="33" t="s">
        <v>7114</v>
      </c>
      <c r="E206" s="33" t="s">
        <v>7115</v>
      </c>
      <c r="F206" s="133" t="s">
        <v>7116</v>
      </c>
      <c r="G206" s="123" t="s">
        <v>247</v>
      </c>
      <c r="H206" s="123">
        <v>4400.0</v>
      </c>
      <c r="I206" s="33" t="s">
        <v>1749</v>
      </c>
      <c r="J206" s="33" t="s">
        <v>1750</v>
      </c>
      <c r="K206" s="33">
        <v>1.0</v>
      </c>
      <c r="L206" s="124" t="s">
        <v>7117</v>
      </c>
      <c r="M206" s="34"/>
    </row>
    <row r="207" hidden="1">
      <c r="A207" s="131" t="s">
        <v>7113</v>
      </c>
      <c r="B207" s="122">
        <v>45701.0</v>
      </c>
      <c r="C207" s="33">
        <v>8.07000029724E11</v>
      </c>
      <c r="D207" s="33" t="s">
        <v>7114</v>
      </c>
      <c r="E207" s="33" t="s">
        <v>7115</v>
      </c>
      <c r="F207" s="133" t="s">
        <v>7116</v>
      </c>
      <c r="G207" s="123" t="s">
        <v>247</v>
      </c>
      <c r="H207" s="123">
        <v>4400.0</v>
      </c>
      <c r="I207" s="33" t="s">
        <v>670</v>
      </c>
      <c r="J207" s="33" t="s">
        <v>671</v>
      </c>
      <c r="K207" s="33">
        <v>1.0</v>
      </c>
      <c r="L207" s="124" t="s">
        <v>7117</v>
      </c>
      <c r="M207" s="34"/>
    </row>
    <row r="208" hidden="1">
      <c r="A208" s="33" t="s">
        <v>7118</v>
      </c>
      <c r="B208" s="122">
        <v>45701.0</v>
      </c>
      <c r="C208" s="33">
        <v>8.07000029748E11</v>
      </c>
      <c r="D208" s="33" t="s">
        <v>7119</v>
      </c>
      <c r="E208" s="33" t="s">
        <v>7120</v>
      </c>
      <c r="F208" s="123" t="s">
        <v>7121</v>
      </c>
      <c r="G208" s="123" t="s">
        <v>247</v>
      </c>
      <c r="H208" s="123">
        <v>4400.0</v>
      </c>
      <c r="I208" s="33" t="s">
        <v>2076</v>
      </c>
      <c r="J208" s="33" t="s">
        <v>2077</v>
      </c>
      <c r="K208" s="33">
        <v>1.0</v>
      </c>
      <c r="L208" s="124" t="s">
        <v>7122</v>
      </c>
      <c r="M208" s="34"/>
    </row>
    <row r="209" hidden="1">
      <c r="A209" s="33" t="s">
        <v>7118</v>
      </c>
      <c r="B209" s="122">
        <v>45701.0</v>
      </c>
      <c r="C209" s="33">
        <v>8.07000029748E11</v>
      </c>
      <c r="D209" s="33" t="s">
        <v>7119</v>
      </c>
      <c r="E209" s="33" t="s">
        <v>7120</v>
      </c>
      <c r="F209" s="123" t="s">
        <v>7121</v>
      </c>
      <c r="G209" s="123" t="s">
        <v>247</v>
      </c>
      <c r="H209" s="123">
        <v>4400.0</v>
      </c>
      <c r="I209" s="33" t="s">
        <v>512</v>
      </c>
      <c r="J209" s="33" t="s">
        <v>513</v>
      </c>
      <c r="K209" s="33">
        <v>6.0</v>
      </c>
      <c r="L209" s="124" t="s">
        <v>7122</v>
      </c>
      <c r="M209" s="34"/>
    </row>
    <row r="210" hidden="1">
      <c r="A210" s="33" t="s">
        <v>7118</v>
      </c>
      <c r="B210" s="122">
        <v>45701.0</v>
      </c>
      <c r="C210" s="33">
        <v>8.07000029748E11</v>
      </c>
      <c r="D210" s="33" t="s">
        <v>7119</v>
      </c>
      <c r="E210" s="33" t="s">
        <v>7120</v>
      </c>
      <c r="F210" s="123" t="s">
        <v>7121</v>
      </c>
      <c r="G210" s="123" t="s">
        <v>247</v>
      </c>
      <c r="H210" s="123">
        <v>4400.0</v>
      </c>
      <c r="I210" s="33" t="s">
        <v>110</v>
      </c>
      <c r="J210" s="33" t="s">
        <v>111</v>
      </c>
      <c r="K210" s="33">
        <v>1.0</v>
      </c>
      <c r="L210" s="124" t="s">
        <v>7122</v>
      </c>
      <c r="M210" s="34"/>
    </row>
    <row r="211" hidden="1">
      <c r="A211" s="33" t="s">
        <v>7123</v>
      </c>
      <c r="B211" s="122">
        <v>45701.0</v>
      </c>
      <c r="C211" s="33">
        <v>8.0700002967E11</v>
      </c>
      <c r="D211" s="33" t="s">
        <v>2663</v>
      </c>
      <c r="E211" s="33" t="s">
        <v>2664</v>
      </c>
      <c r="F211" s="123" t="s">
        <v>2665</v>
      </c>
      <c r="G211" s="123" t="s">
        <v>247</v>
      </c>
      <c r="H211" s="123">
        <v>4400.0</v>
      </c>
      <c r="I211" s="33" t="s">
        <v>225</v>
      </c>
      <c r="J211" s="33" t="s">
        <v>226</v>
      </c>
      <c r="K211" s="33">
        <v>2.0</v>
      </c>
      <c r="L211" s="124" t="s">
        <v>7124</v>
      </c>
      <c r="M211" s="34"/>
    </row>
    <row r="212" hidden="1">
      <c r="A212" s="33" t="s">
        <v>7123</v>
      </c>
      <c r="B212" s="122">
        <v>45701.0</v>
      </c>
      <c r="C212" s="33">
        <v>8.0700002967E11</v>
      </c>
      <c r="D212" s="33" t="s">
        <v>2663</v>
      </c>
      <c r="E212" s="33" t="s">
        <v>2664</v>
      </c>
      <c r="F212" s="123" t="s">
        <v>2665</v>
      </c>
      <c r="G212" s="123" t="s">
        <v>247</v>
      </c>
      <c r="H212" s="123">
        <v>4400.0</v>
      </c>
      <c r="I212" s="33" t="s">
        <v>512</v>
      </c>
      <c r="J212" s="33" t="s">
        <v>513</v>
      </c>
      <c r="K212" s="33">
        <v>6.0</v>
      </c>
      <c r="L212" s="124" t="s">
        <v>7124</v>
      </c>
      <c r="M212" s="34"/>
    </row>
    <row r="213" hidden="1">
      <c r="A213" s="33" t="s">
        <v>7125</v>
      </c>
      <c r="B213" s="122">
        <v>45701.0</v>
      </c>
      <c r="C213" s="33">
        <v>8.07000029751E11</v>
      </c>
      <c r="D213" s="33" t="s">
        <v>7126</v>
      </c>
      <c r="E213" s="33" t="s">
        <v>7127</v>
      </c>
      <c r="F213" s="123" t="s">
        <v>7128</v>
      </c>
      <c r="G213" s="123" t="s">
        <v>247</v>
      </c>
      <c r="H213" s="123">
        <v>4400.0</v>
      </c>
      <c r="I213" s="33" t="s">
        <v>7129</v>
      </c>
      <c r="J213" s="33" t="s">
        <v>7130</v>
      </c>
      <c r="K213" s="33">
        <v>1.0</v>
      </c>
      <c r="L213" s="124" t="s">
        <v>7131</v>
      </c>
      <c r="M213" s="34"/>
    </row>
    <row r="214" hidden="1">
      <c r="A214" s="33" t="s">
        <v>7125</v>
      </c>
      <c r="B214" s="122">
        <v>45701.0</v>
      </c>
      <c r="C214" s="33">
        <v>8.07000029751E11</v>
      </c>
      <c r="D214" s="33" t="s">
        <v>7126</v>
      </c>
      <c r="E214" s="33" t="s">
        <v>7127</v>
      </c>
      <c r="F214" s="123" t="s">
        <v>7128</v>
      </c>
      <c r="G214" s="123" t="s">
        <v>247</v>
      </c>
      <c r="H214" s="123">
        <v>4400.0</v>
      </c>
      <c r="I214" s="33">
        <v>87604.0</v>
      </c>
      <c r="J214" s="33" t="s">
        <v>480</v>
      </c>
      <c r="K214" s="33">
        <v>1.0</v>
      </c>
      <c r="L214" s="124" t="s">
        <v>7131</v>
      </c>
      <c r="M214" s="34"/>
    </row>
    <row r="215" hidden="1">
      <c r="A215" s="33" t="s">
        <v>7125</v>
      </c>
      <c r="B215" s="122">
        <v>45701.0</v>
      </c>
      <c r="C215" s="33">
        <v>8.07000029751E11</v>
      </c>
      <c r="D215" s="33" t="s">
        <v>7126</v>
      </c>
      <c r="E215" s="33" t="s">
        <v>7127</v>
      </c>
      <c r="F215" s="123" t="s">
        <v>7128</v>
      </c>
      <c r="G215" s="123" t="s">
        <v>247</v>
      </c>
      <c r="H215" s="123">
        <v>4400.0</v>
      </c>
      <c r="I215" s="33" t="s">
        <v>289</v>
      </c>
      <c r="J215" s="33" t="s">
        <v>290</v>
      </c>
      <c r="K215" s="33">
        <v>1.0</v>
      </c>
      <c r="L215" s="124" t="s">
        <v>7131</v>
      </c>
      <c r="M215" s="34"/>
    </row>
    <row r="216" hidden="1">
      <c r="A216" s="33" t="s">
        <v>7125</v>
      </c>
      <c r="B216" s="122">
        <v>45701.0</v>
      </c>
      <c r="C216" s="33">
        <v>8.07000029752E11</v>
      </c>
      <c r="D216" s="33" t="s">
        <v>7126</v>
      </c>
      <c r="E216" s="33" t="s">
        <v>7127</v>
      </c>
      <c r="F216" s="123" t="s">
        <v>7128</v>
      </c>
      <c r="G216" s="123" t="s">
        <v>247</v>
      </c>
      <c r="H216" s="123">
        <v>4400.0</v>
      </c>
      <c r="I216" s="33" t="s">
        <v>1544</v>
      </c>
      <c r="J216" s="33" t="s">
        <v>1545</v>
      </c>
      <c r="K216" s="33">
        <v>1.0</v>
      </c>
      <c r="L216" s="175"/>
      <c r="M216" s="34"/>
    </row>
    <row r="217" hidden="1">
      <c r="A217" s="33" t="s">
        <v>7132</v>
      </c>
      <c r="B217" s="122">
        <v>45704.0</v>
      </c>
      <c r="C217" s="33">
        <v>8.07000029734E11</v>
      </c>
      <c r="D217" s="33" t="s">
        <v>7133</v>
      </c>
      <c r="E217" s="33" t="s">
        <v>7134</v>
      </c>
      <c r="F217" s="123" t="s">
        <v>7135</v>
      </c>
      <c r="G217" s="123" t="s">
        <v>247</v>
      </c>
      <c r="H217" s="123">
        <v>4400.0</v>
      </c>
      <c r="I217" s="33" t="s">
        <v>659</v>
      </c>
      <c r="J217" s="33" t="s">
        <v>660</v>
      </c>
      <c r="K217" s="33">
        <v>1.0</v>
      </c>
      <c r="L217" s="162" t="s">
        <v>7136</v>
      </c>
      <c r="M217" s="34"/>
    </row>
    <row r="218" hidden="1">
      <c r="A218" s="33" t="s">
        <v>7132</v>
      </c>
      <c r="B218" s="122">
        <v>45704.0</v>
      </c>
      <c r="C218" s="33">
        <v>8.07000029734E11</v>
      </c>
      <c r="D218" s="33" t="s">
        <v>7133</v>
      </c>
      <c r="E218" s="33" t="s">
        <v>7134</v>
      </c>
      <c r="F218" s="123" t="s">
        <v>7135</v>
      </c>
      <c r="G218" s="123" t="s">
        <v>247</v>
      </c>
      <c r="H218" s="123">
        <v>4400.0</v>
      </c>
      <c r="I218" s="33" t="s">
        <v>512</v>
      </c>
      <c r="J218" s="33" t="s">
        <v>513</v>
      </c>
      <c r="K218" s="33">
        <v>6.0</v>
      </c>
      <c r="L218" s="162" t="s">
        <v>7136</v>
      </c>
      <c r="M218" s="34"/>
    </row>
    <row r="219" hidden="1">
      <c r="A219" s="33" t="s">
        <v>7132</v>
      </c>
      <c r="B219" s="122">
        <v>45704.0</v>
      </c>
      <c r="C219" s="33">
        <v>8.07000029734E11</v>
      </c>
      <c r="D219" s="33" t="s">
        <v>7133</v>
      </c>
      <c r="E219" s="33" t="s">
        <v>7134</v>
      </c>
      <c r="F219" s="123" t="s">
        <v>7135</v>
      </c>
      <c r="G219" s="123" t="s">
        <v>247</v>
      </c>
      <c r="H219" s="123">
        <v>4400.0</v>
      </c>
      <c r="I219" s="33" t="s">
        <v>35</v>
      </c>
      <c r="J219" s="33" t="s">
        <v>36</v>
      </c>
      <c r="K219" s="33">
        <v>1.0</v>
      </c>
      <c r="L219" s="162" t="s">
        <v>7136</v>
      </c>
      <c r="M219" s="34"/>
    </row>
    <row r="220" hidden="1">
      <c r="A220" s="33" t="s">
        <v>7137</v>
      </c>
      <c r="B220" s="122">
        <v>45704.0</v>
      </c>
      <c r="C220" s="33">
        <v>8.07000029755E11</v>
      </c>
      <c r="D220" s="33" t="s">
        <v>7138</v>
      </c>
      <c r="E220" s="33" t="s">
        <v>7139</v>
      </c>
      <c r="F220" s="123" t="s">
        <v>7140</v>
      </c>
      <c r="G220" s="123" t="s">
        <v>247</v>
      </c>
      <c r="H220" s="123">
        <v>4400.0</v>
      </c>
      <c r="I220" s="33" t="s">
        <v>1337</v>
      </c>
      <c r="J220" s="33" t="s">
        <v>1338</v>
      </c>
      <c r="K220" s="33">
        <v>1.0</v>
      </c>
      <c r="L220" s="162" t="s">
        <v>7141</v>
      </c>
      <c r="M220" s="34"/>
    </row>
    <row r="221" hidden="1">
      <c r="A221" s="33" t="s">
        <v>7137</v>
      </c>
      <c r="B221" s="122">
        <v>45704.0</v>
      </c>
      <c r="C221" s="33">
        <v>8.07000029755E11</v>
      </c>
      <c r="D221" s="33" t="s">
        <v>7138</v>
      </c>
      <c r="E221" s="33" t="s">
        <v>7139</v>
      </c>
      <c r="F221" s="123" t="s">
        <v>7140</v>
      </c>
      <c r="G221" s="123" t="s">
        <v>247</v>
      </c>
      <c r="H221" s="123">
        <v>4400.0</v>
      </c>
      <c r="I221" s="33" t="s">
        <v>512</v>
      </c>
      <c r="J221" s="33" t="s">
        <v>513</v>
      </c>
      <c r="K221" s="33">
        <v>12.0</v>
      </c>
      <c r="L221" s="162" t="s">
        <v>7141</v>
      </c>
      <c r="M221" s="34"/>
    </row>
    <row r="222" hidden="1">
      <c r="A222" s="33" t="s">
        <v>7137</v>
      </c>
      <c r="B222" s="122">
        <v>45704.0</v>
      </c>
      <c r="C222" s="33">
        <v>8.07000029755E11</v>
      </c>
      <c r="D222" s="33" t="s">
        <v>7138</v>
      </c>
      <c r="E222" s="33" t="s">
        <v>7139</v>
      </c>
      <c r="F222" s="123" t="s">
        <v>7140</v>
      </c>
      <c r="G222" s="123" t="s">
        <v>247</v>
      </c>
      <c r="H222" s="123">
        <v>4400.0</v>
      </c>
      <c r="I222" s="33" t="s">
        <v>233</v>
      </c>
      <c r="J222" s="33" t="s">
        <v>234</v>
      </c>
      <c r="K222" s="33">
        <v>2.0</v>
      </c>
      <c r="L222" s="162" t="s">
        <v>7141</v>
      </c>
      <c r="M222" s="34"/>
    </row>
    <row r="223" hidden="1">
      <c r="A223" s="33" t="s">
        <v>7142</v>
      </c>
      <c r="B223" s="122">
        <v>45704.0</v>
      </c>
      <c r="C223" s="33">
        <v>8.0700002976E11</v>
      </c>
      <c r="D223" s="33" t="s">
        <v>7143</v>
      </c>
      <c r="E223" s="33" t="s">
        <v>7144</v>
      </c>
      <c r="F223" s="123" t="s">
        <v>7145</v>
      </c>
      <c r="G223" s="123" t="s">
        <v>247</v>
      </c>
      <c r="H223" s="123">
        <v>4400.0</v>
      </c>
      <c r="I223" s="33" t="s">
        <v>495</v>
      </c>
      <c r="J223" s="33" t="s">
        <v>496</v>
      </c>
      <c r="K223" s="33">
        <v>2.0</v>
      </c>
      <c r="L223" s="124" t="s">
        <v>7146</v>
      </c>
      <c r="M223" s="34"/>
    </row>
    <row r="224" hidden="1">
      <c r="A224" s="33" t="s">
        <v>7142</v>
      </c>
      <c r="B224" s="122">
        <v>45704.0</v>
      </c>
      <c r="C224" s="33">
        <v>8.0700002976E11</v>
      </c>
      <c r="D224" s="33" t="s">
        <v>7143</v>
      </c>
      <c r="E224" s="33" t="s">
        <v>7144</v>
      </c>
      <c r="F224" s="123" t="s">
        <v>7145</v>
      </c>
      <c r="G224" s="123" t="s">
        <v>247</v>
      </c>
      <c r="H224" s="123">
        <v>4400.0</v>
      </c>
      <c r="I224" s="33" t="s">
        <v>761</v>
      </c>
      <c r="J224" s="33" t="s">
        <v>762</v>
      </c>
      <c r="K224" s="33">
        <v>1.0</v>
      </c>
      <c r="L224" s="124" t="s">
        <v>7146</v>
      </c>
      <c r="M224" s="34"/>
    </row>
    <row r="225" hidden="1">
      <c r="A225" s="33" t="s">
        <v>7147</v>
      </c>
      <c r="B225" s="122">
        <v>45704.0</v>
      </c>
      <c r="C225" s="33">
        <v>8.07000029807E11</v>
      </c>
      <c r="D225" s="33" t="s">
        <v>7148</v>
      </c>
      <c r="E225" s="33" t="s">
        <v>7149</v>
      </c>
      <c r="F225" s="123" t="s">
        <v>7150</v>
      </c>
      <c r="G225" s="123" t="s">
        <v>247</v>
      </c>
      <c r="H225" s="123">
        <v>4400.0</v>
      </c>
      <c r="I225" s="33" t="s">
        <v>129</v>
      </c>
      <c r="J225" s="33" t="s">
        <v>130</v>
      </c>
      <c r="K225" s="33">
        <v>1.0</v>
      </c>
      <c r="L225" s="124" t="s">
        <v>7151</v>
      </c>
      <c r="M225" s="34"/>
    </row>
    <row r="226" hidden="1">
      <c r="A226" s="33" t="s">
        <v>7147</v>
      </c>
      <c r="B226" s="122">
        <v>45704.0</v>
      </c>
      <c r="C226" s="33">
        <v>8.07000029807E11</v>
      </c>
      <c r="D226" s="33" t="s">
        <v>7148</v>
      </c>
      <c r="E226" s="33" t="s">
        <v>7149</v>
      </c>
      <c r="F226" s="123" t="s">
        <v>7150</v>
      </c>
      <c r="G226" s="123" t="s">
        <v>247</v>
      </c>
      <c r="H226" s="123">
        <v>4400.0</v>
      </c>
      <c r="I226" s="33" t="s">
        <v>512</v>
      </c>
      <c r="J226" s="33" t="s">
        <v>513</v>
      </c>
      <c r="K226" s="33">
        <v>6.0</v>
      </c>
      <c r="L226" s="124" t="s">
        <v>7151</v>
      </c>
      <c r="M226" s="34"/>
    </row>
    <row r="227" hidden="1">
      <c r="A227" s="33" t="s">
        <v>7147</v>
      </c>
      <c r="B227" s="122">
        <v>45704.0</v>
      </c>
      <c r="C227" s="33">
        <v>8.07000029807E11</v>
      </c>
      <c r="D227" s="33" t="s">
        <v>7148</v>
      </c>
      <c r="E227" s="33" t="s">
        <v>7149</v>
      </c>
      <c r="F227" s="123" t="s">
        <v>7150</v>
      </c>
      <c r="G227" s="123" t="s">
        <v>247</v>
      </c>
      <c r="H227" s="123">
        <v>4400.0</v>
      </c>
      <c r="I227" s="33" t="s">
        <v>1544</v>
      </c>
      <c r="J227" s="33" t="s">
        <v>1545</v>
      </c>
      <c r="K227" s="33">
        <v>1.0</v>
      </c>
      <c r="L227" s="124" t="s">
        <v>7151</v>
      </c>
      <c r="M227" s="34"/>
    </row>
    <row r="228" hidden="1">
      <c r="A228" s="33" t="s">
        <v>7152</v>
      </c>
      <c r="B228" s="122">
        <v>45704.0</v>
      </c>
      <c r="C228" s="33">
        <v>8.07000029808E11</v>
      </c>
      <c r="D228" s="33" t="s">
        <v>7153</v>
      </c>
      <c r="E228" s="33" t="s">
        <v>7154</v>
      </c>
      <c r="F228" s="123" t="s">
        <v>7150</v>
      </c>
      <c r="G228" s="123" t="s">
        <v>247</v>
      </c>
      <c r="H228" s="123">
        <v>4400.0</v>
      </c>
      <c r="I228" s="33" t="s">
        <v>129</v>
      </c>
      <c r="J228" s="33" t="s">
        <v>130</v>
      </c>
      <c r="K228" s="33">
        <v>1.0</v>
      </c>
      <c r="L228" s="124" t="s">
        <v>7155</v>
      </c>
    </row>
    <row r="229" hidden="1">
      <c r="A229" s="33" t="s">
        <v>7152</v>
      </c>
      <c r="B229" s="122">
        <v>45704.0</v>
      </c>
      <c r="C229" s="33">
        <v>8.07000029808E11</v>
      </c>
      <c r="D229" s="33" t="s">
        <v>7153</v>
      </c>
      <c r="E229" s="33" t="s">
        <v>7154</v>
      </c>
      <c r="F229" s="123" t="s">
        <v>7150</v>
      </c>
      <c r="G229" s="123" t="s">
        <v>247</v>
      </c>
      <c r="H229" s="123">
        <v>4400.0</v>
      </c>
      <c r="I229" s="33" t="s">
        <v>512</v>
      </c>
      <c r="J229" s="33" t="s">
        <v>513</v>
      </c>
      <c r="K229" s="33">
        <v>6.0</v>
      </c>
      <c r="L229" s="124" t="s">
        <v>7155</v>
      </c>
      <c r="M229" s="34"/>
    </row>
    <row r="230" hidden="1">
      <c r="A230" s="33" t="s">
        <v>7152</v>
      </c>
      <c r="B230" s="122">
        <v>45704.0</v>
      </c>
      <c r="C230" s="33">
        <v>8.07000029808E11</v>
      </c>
      <c r="D230" s="33" t="s">
        <v>7153</v>
      </c>
      <c r="E230" s="33" t="s">
        <v>7154</v>
      </c>
      <c r="F230" s="123" t="s">
        <v>7150</v>
      </c>
      <c r="G230" s="123" t="s">
        <v>247</v>
      </c>
      <c r="H230" s="123">
        <v>4400.0</v>
      </c>
      <c r="I230" s="33" t="s">
        <v>1544</v>
      </c>
      <c r="J230" s="33" t="s">
        <v>1545</v>
      </c>
      <c r="K230" s="33">
        <v>1.0</v>
      </c>
      <c r="L230" s="124" t="s">
        <v>7156</v>
      </c>
      <c r="M230" s="34"/>
    </row>
    <row r="231" hidden="1">
      <c r="A231" s="33" t="s">
        <v>7157</v>
      </c>
      <c r="B231" s="122">
        <v>45704.0</v>
      </c>
      <c r="C231" s="33">
        <v>8.07000029801E11</v>
      </c>
      <c r="D231" s="33" t="s">
        <v>2719</v>
      </c>
      <c r="E231" s="33" t="s">
        <v>2720</v>
      </c>
      <c r="F231" s="123" t="s">
        <v>7158</v>
      </c>
      <c r="G231" s="123" t="s">
        <v>247</v>
      </c>
      <c r="H231" s="123">
        <v>4400.0</v>
      </c>
      <c r="I231" s="33" t="s">
        <v>50</v>
      </c>
      <c r="J231" s="33" t="s">
        <v>51</v>
      </c>
      <c r="K231" s="33">
        <v>1.0</v>
      </c>
      <c r="L231" s="124" t="s">
        <v>7156</v>
      </c>
      <c r="M231" s="34"/>
    </row>
    <row r="232" hidden="1">
      <c r="A232" s="33" t="s">
        <v>7157</v>
      </c>
      <c r="B232" s="122">
        <v>45704.0</v>
      </c>
      <c r="C232" s="33">
        <v>8.07000029801E11</v>
      </c>
      <c r="D232" s="33" t="s">
        <v>2719</v>
      </c>
      <c r="E232" s="33" t="s">
        <v>2720</v>
      </c>
      <c r="F232" s="123" t="s">
        <v>7158</v>
      </c>
      <c r="G232" s="123" t="s">
        <v>247</v>
      </c>
      <c r="H232" s="123">
        <v>4400.0</v>
      </c>
      <c r="I232" s="33" t="s">
        <v>3168</v>
      </c>
      <c r="J232" s="33" t="s">
        <v>3169</v>
      </c>
      <c r="K232" s="33">
        <v>1.0</v>
      </c>
      <c r="L232" s="180"/>
      <c r="M232" s="34"/>
    </row>
    <row r="233" hidden="1">
      <c r="A233" s="33" t="s">
        <v>7159</v>
      </c>
      <c r="B233" s="122">
        <v>45704.0</v>
      </c>
      <c r="C233" s="33">
        <v>8.07000029812E11</v>
      </c>
      <c r="D233" s="33" t="s">
        <v>7160</v>
      </c>
      <c r="E233" s="33" t="s">
        <v>7161</v>
      </c>
      <c r="F233" s="123" t="s">
        <v>7162</v>
      </c>
      <c r="G233" s="123" t="s">
        <v>247</v>
      </c>
      <c r="H233" s="123">
        <v>4400.0</v>
      </c>
      <c r="I233" s="33" t="s">
        <v>1914</v>
      </c>
      <c r="J233" s="33" t="s">
        <v>1915</v>
      </c>
      <c r="K233" s="33">
        <v>1.0</v>
      </c>
      <c r="L233" s="124" t="s">
        <v>7163</v>
      </c>
      <c r="M233" s="34"/>
    </row>
    <row r="234" hidden="1">
      <c r="A234" s="33" t="s">
        <v>7159</v>
      </c>
      <c r="B234" s="122">
        <v>45704.0</v>
      </c>
      <c r="C234" s="33">
        <v>8.07000029813E11</v>
      </c>
      <c r="D234" s="33" t="s">
        <v>7160</v>
      </c>
      <c r="E234" s="33" t="s">
        <v>7161</v>
      </c>
      <c r="F234" s="123" t="s">
        <v>7162</v>
      </c>
      <c r="G234" s="123" t="s">
        <v>247</v>
      </c>
      <c r="H234" s="123">
        <v>4400.0</v>
      </c>
      <c r="I234" s="33">
        <v>125815.0</v>
      </c>
      <c r="J234" s="33" t="s">
        <v>569</v>
      </c>
      <c r="K234" s="33">
        <v>1.0</v>
      </c>
      <c r="L234" s="124" t="s">
        <v>7163</v>
      </c>
      <c r="M234" s="34"/>
    </row>
    <row r="235" hidden="1">
      <c r="A235" s="33" t="s">
        <v>7159</v>
      </c>
      <c r="B235" s="122">
        <v>45704.0</v>
      </c>
      <c r="C235" s="33">
        <v>8.07000029813E11</v>
      </c>
      <c r="D235" s="33" t="s">
        <v>7160</v>
      </c>
      <c r="E235" s="33" t="s">
        <v>7161</v>
      </c>
      <c r="F235" s="123" t="s">
        <v>7162</v>
      </c>
      <c r="G235" s="123" t="s">
        <v>247</v>
      </c>
      <c r="H235" s="123">
        <v>4400.0</v>
      </c>
      <c r="I235" s="33">
        <v>2.2346259137E10</v>
      </c>
      <c r="J235" s="33" t="s">
        <v>7164</v>
      </c>
      <c r="K235" s="33">
        <v>1.0</v>
      </c>
      <c r="L235" s="124" t="s">
        <v>7163</v>
      </c>
      <c r="M235" s="34"/>
    </row>
    <row r="236" hidden="1">
      <c r="A236" s="33" t="s">
        <v>7159</v>
      </c>
      <c r="B236" s="122">
        <v>45704.0</v>
      </c>
      <c r="C236" s="33">
        <v>8.07000029813E11</v>
      </c>
      <c r="D236" s="33" t="s">
        <v>7160</v>
      </c>
      <c r="E236" s="33" t="s">
        <v>7161</v>
      </c>
      <c r="F236" s="123" t="s">
        <v>7162</v>
      </c>
      <c r="G236" s="123" t="s">
        <v>247</v>
      </c>
      <c r="H236" s="123">
        <v>4400.0</v>
      </c>
      <c r="I236" s="33" t="s">
        <v>323</v>
      </c>
      <c r="J236" s="33" t="s">
        <v>324</v>
      </c>
      <c r="K236" s="33">
        <v>1.0</v>
      </c>
      <c r="L236" s="124" t="s">
        <v>7163</v>
      </c>
      <c r="M236" s="34"/>
    </row>
    <row r="237" hidden="1">
      <c r="A237" s="33" t="s">
        <v>7159</v>
      </c>
      <c r="B237" s="122">
        <v>45704.0</v>
      </c>
      <c r="C237" s="33">
        <v>8.07000029813E11</v>
      </c>
      <c r="D237" s="33" t="s">
        <v>7160</v>
      </c>
      <c r="E237" s="33" t="s">
        <v>7161</v>
      </c>
      <c r="F237" s="123" t="s">
        <v>7162</v>
      </c>
      <c r="G237" s="123" t="s">
        <v>247</v>
      </c>
      <c r="H237" s="123">
        <v>4400.0</v>
      </c>
      <c r="I237" s="33" t="s">
        <v>493</v>
      </c>
      <c r="J237" s="33" t="s">
        <v>494</v>
      </c>
      <c r="K237" s="33">
        <v>1.0</v>
      </c>
      <c r="L237" s="124" t="s">
        <v>7163</v>
      </c>
      <c r="M237" s="34"/>
    </row>
    <row r="238" hidden="1">
      <c r="A238" s="33" t="s">
        <v>7159</v>
      </c>
      <c r="B238" s="122">
        <v>45704.0</v>
      </c>
      <c r="C238" s="33">
        <v>8.07000029813E11</v>
      </c>
      <c r="D238" s="33" t="s">
        <v>7160</v>
      </c>
      <c r="E238" s="33" t="s">
        <v>7161</v>
      </c>
      <c r="F238" s="123" t="s">
        <v>7162</v>
      </c>
      <c r="G238" s="123" t="s">
        <v>247</v>
      </c>
      <c r="H238" s="123">
        <v>4400.0</v>
      </c>
      <c r="I238" s="33" t="s">
        <v>758</v>
      </c>
      <c r="J238" s="33" t="s">
        <v>759</v>
      </c>
      <c r="K238" s="33">
        <v>2.0</v>
      </c>
      <c r="L238" s="124" t="s">
        <v>7163</v>
      </c>
      <c r="M238" s="34"/>
    </row>
    <row r="239" hidden="1">
      <c r="A239" s="33" t="s">
        <v>7159</v>
      </c>
      <c r="B239" s="122">
        <v>45704.0</v>
      </c>
      <c r="C239" s="33">
        <v>8.07000029814E11</v>
      </c>
      <c r="D239" s="33" t="s">
        <v>7160</v>
      </c>
      <c r="E239" s="33" t="s">
        <v>7161</v>
      </c>
      <c r="F239" s="123" t="s">
        <v>7162</v>
      </c>
      <c r="G239" s="123" t="s">
        <v>247</v>
      </c>
      <c r="H239" s="123">
        <v>4400.0</v>
      </c>
      <c r="I239" s="33">
        <v>2.2346229137E10</v>
      </c>
      <c r="J239" s="33" t="s">
        <v>7165</v>
      </c>
      <c r="K239" s="33">
        <v>1.0</v>
      </c>
      <c r="L239" s="124" t="s">
        <v>7163</v>
      </c>
      <c r="M239" s="34"/>
    </row>
    <row r="240" hidden="1">
      <c r="A240" s="33" t="s">
        <v>7166</v>
      </c>
      <c r="B240" s="122">
        <v>45704.0</v>
      </c>
      <c r="C240" s="33">
        <v>8.07000029789E11</v>
      </c>
      <c r="D240" s="33" t="s">
        <v>7167</v>
      </c>
      <c r="E240" s="33" t="s">
        <v>7168</v>
      </c>
      <c r="F240" s="123" t="s">
        <v>7169</v>
      </c>
      <c r="G240" s="123" t="s">
        <v>7170</v>
      </c>
      <c r="H240" s="123">
        <v>4401.0</v>
      </c>
      <c r="I240" s="33" t="s">
        <v>262</v>
      </c>
      <c r="J240" s="33" t="s">
        <v>263</v>
      </c>
      <c r="K240" s="33">
        <v>1.0</v>
      </c>
      <c r="L240" s="162" t="s">
        <v>7171</v>
      </c>
      <c r="M240" s="34"/>
    </row>
    <row r="241" hidden="1">
      <c r="A241" s="33" t="s">
        <v>7166</v>
      </c>
      <c r="B241" s="122">
        <v>45704.0</v>
      </c>
      <c r="C241" s="33">
        <v>8.07000029789E11</v>
      </c>
      <c r="D241" s="33" t="s">
        <v>7167</v>
      </c>
      <c r="E241" s="33" t="s">
        <v>7168</v>
      </c>
      <c r="F241" s="123" t="s">
        <v>7169</v>
      </c>
      <c r="G241" s="123" t="s">
        <v>7170</v>
      </c>
      <c r="H241" s="123">
        <v>4401.0</v>
      </c>
      <c r="I241" s="33" t="s">
        <v>512</v>
      </c>
      <c r="J241" s="33" t="s">
        <v>513</v>
      </c>
      <c r="K241" s="33">
        <v>12.0</v>
      </c>
      <c r="L241" s="162" t="s">
        <v>7171</v>
      </c>
      <c r="M241" s="34"/>
    </row>
    <row r="242" hidden="1">
      <c r="A242" s="33" t="s">
        <v>7166</v>
      </c>
      <c r="B242" s="122">
        <v>45704.0</v>
      </c>
      <c r="C242" s="33">
        <v>8.07000029789E11</v>
      </c>
      <c r="D242" s="33" t="s">
        <v>7167</v>
      </c>
      <c r="E242" s="33" t="s">
        <v>7168</v>
      </c>
      <c r="F242" s="123" t="s">
        <v>7169</v>
      </c>
      <c r="G242" s="123" t="s">
        <v>7170</v>
      </c>
      <c r="H242" s="123">
        <v>4401.0</v>
      </c>
      <c r="I242" s="33" t="s">
        <v>645</v>
      </c>
      <c r="J242" s="33" t="s">
        <v>646</v>
      </c>
      <c r="K242" s="33">
        <v>2.0</v>
      </c>
      <c r="L242" s="162" t="s">
        <v>7171</v>
      </c>
      <c r="M242" s="34"/>
    </row>
    <row r="243" hidden="1">
      <c r="A243" s="33" t="s">
        <v>7166</v>
      </c>
      <c r="B243" s="122">
        <v>45704.0</v>
      </c>
      <c r="C243" s="33">
        <v>8.0700002979E11</v>
      </c>
      <c r="D243" s="33" t="s">
        <v>7167</v>
      </c>
      <c r="E243" s="33" t="s">
        <v>7168</v>
      </c>
      <c r="F243" s="123" t="s">
        <v>7169</v>
      </c>
      <c r="G243" s="123" t="s">
        <v>7170</v>
      </c>
      <c r="H243" s="123">
        <v>4401.0</v>
      </c>
      <c r="I243" s="33">
        <v>208502.0</v>
      </c>
      <c r="J243" s="33" t="s">
        <v>4551</v>
      </c>
      <c r="K243" s="33">
        <v>2.0</v>
      </c>
      <c r="L243" s="162" t="s">
        <v>7171</v>
      </c>
      <c r="M243" s="34"/>
    </row>
    <row r="244" hidden="1">
      <c r="A244" s="33" t="s">
        <v>7172</v>
      </c>
      <c r="B244" s="122">
        <v>45704.0</v>
      </c>
      <c r="C244" s="33">
        <v>8.07000029775E11</v>
      </c>
      <c r="D244" s="33" t="s">
        <v>7173</v>
      </c>
      <c r="E244" s="33" t="s">
        <v>7174</v>
      </c>
      <c r="F244" s="123" t="s">
        <v>7175</v>
      </c>
      <c r="G244" s="123" t="s">
        <v>247</v>
      </c>
      <c r="H244" s="123">
        <v>4400.0</v>
      </c>
      <c r="I244" s="33" t="s">
        <v>1747</v>
      </c>
      <c r="J244" s="33" t="s">
        <v>1748</v>
      </c>
      <c r="K244" s="33">
        <v>2.0</v>
      </c>
      <c r="L244" s="124" t="s">
        <v>7176</v>
      </c>
      <c r="M244" s="34"/>
    </row>
    <row r="245" hidden="1">
      <c r="A245" s="33" t="s">
        <v>7177</v>
      </c>
      <c r="B245" s="122">
        <v>45704.0</v>
      </c>
      <c r="C245" s="33">
        <v>8.07000029816E11</v>
      </c>
      <c r="D245" s="33" t="s">
        <v>4614</v>
      </c>
      <c r="E245" s="33" t="s">
        <v>4615</v>
      </c>
      <c r="F245" s="123" t="s">
        <v>7178</v>
      </c>
      <c r="G245" s="123" t="s">
        <v>247</v>
      </c>
      <c r="H245" s="123">
        <v>4400.0</v>
      </c>
      <c r="I245" s="33" t="s">
        <v>867</v>
      </c>
      <c r="J245" s="33" t="s">
        <v>868</v>
      </c>
      <c r="K245" s="33">
        <v>1.0</v>
      </c>
      <c r="L245" s="124" t="s">
        <v>7176</v>
      </c>
      <c r="M245" s="34"/>
    </row>
    <row r="246" hidden="1">
      <c r="A246" s="33" t="s">
        <v>7177</v>
      </c>
      <c r="B246" s="122">
        <v>45704.0</v>
      </c>
      <c r="C246" s="33">
        <v>8.07000029816E11</v>
      </c>
      <c r="D246" s="33" t="s">
        <v>4614</v>
      </c>
      <c r="E246" s="33" t="s">
        <v>4615</v>
      </c>
      <c r="F246" s="123" t="s">
        <v>7178</v>
      </c>
      <c r="G246" s="123" t="s">
        <v>247</v>
      </c>
      <c r="H246" s="123">
        <v>4400.0</v>
      </c>
      <c r="I246" s="33" t="s">
        <v>512</v>
      </c>
      <c r="J246" s="33" t="s">
        <v>513</v>
      </c>
      <c r="K246" s="33">
        <v>12.0</v>
      </c>
      <c r="L246" s="124" t="s">
        <v>7176</v>
      </c>
      <c r="M246" s="34"/>
    </row>
    <row r="247" hidden="1">
      <c r="A247" s="33" t="s">
        <v>7177</v>
      </c>
      <c r="B247" s="122">
        <v>45704.0</v>
      </c>
      <c r="C247" s="33">
        <v>8.07000029816E11</v>
      </c>
      <c r="D247" s="33" t="s">
        <v>4614</v>
      </c>
      <c r="E247" s="33" t="s">
        <v>4615</v>
      </c>
      <c r="F247" s="123" t="s">
        <v>7178</v>
      </c>
      <c r="G247" s="123" t="s">
        <v>247</v>
      </c>
      <c r="H247" s="123">
        <v>4400.0</v>
      </c>
      <c r="I247" s="33" t="s">
        <v>340</v>
      </c>
      <c r="J247" s="33" t="s">
        <v>341</v>
      </c>
      <c r="K247" s="33">
        <v>2.0</v>
      </c>
      <c r="L247" s="124" t="s">
        <v>7176</v>
      </c>
      <c r="M247" s="34"/>
    </row>
    <row r="248" hidden="1">
      <c r="A248" s="33" t="s">
        <v>7179</v>
      </c>
      <c r="B248" s="122">
        <v>45707.0</v>
      </c>
      <c r="C248" s="33">
        <v>8.07000029819E11</v>
      </c>
      <c r="D248" s="33" t="s">
        <v>7180</v>
      </c>
      <c r="E248" s="33" t="s">
        <v>7181</v>
      </c>
      <c r="F248" s="123" t="s">
        <v>7169</v>
      </c>
      <c r="G248" s="123" t="s">
        <v>7170</v>
      </c>
      <c r="H248" s="123">
        <v>4401.0</v>
      </c>
      <c r="I248" s="33" t="s">
        <v>98</v>
      </c>
      <c r="J248" s="33" t="s">
        <v>99</v>
      </c>
      <c r="K248" s="33">
        <v>1.0</v>
      </c>
      <c r="L248" s="162" t="s">
        <v>7171</v>
      </c>
      <c r="M248" s="34"/>
    </row>
    <row r="249" hidden="1">
      <c r="A249" s="33" t="s">
        <v>7179</v>
      </c>
      <c r="B249" s="122">
        <v>45707.0</v>
      </c>
      <c r="C249" s="33">
        <v>8.07000029819E11</v>
      </c>
      <c r="D249" s="33" t="s">
        <v>7180</v>
      </c>
      <c r="E249" s="33" t="s">
        <v>7181</v>
      </c>
      <c r="F249" s="123" t="s">
        <v>7169</v>
      </c>
      <c r="G249" s="123" t="s">
        <v>7170</v>
      </c>
      <c r="H249" s="123">
        <v>4401.0</v>
      </c>
      <c r="I249" s="33" t="s">
        <v>670</v>
      </c>
      <c r="J249" s="33" t="s">
        <v>671</v>
      </c>
      <c r="K249" s="33">
        <v>1.0</v>
      </c>
      <c r="L249" s="162" t="s">
        <v>7171</v>
      </c>
      <c r="M249" s="34"/>
    </row>
    <row r="250" hidden="1">
      <c r="A250" s="33" t="s">
        <v>7182</v>
      </c>
      <c r="B250" s="122">
        <v>45707.0</v>
      </c>
      <c r="C250" s="33">
        <v>8.0700002985E11</v>
      </c>
      <c r="D250" s="33" t="s">
        <v>7183</v>
      </c>
      <c r="E250" s="33" t="s">
        <v>7184</v>
      </c>
      <c r="F250" s="123" t="s">
        <v>7185</v>
      </c>
      <c r="G250" s="123" t="s">
        <v>247</v>
      </c>
      <c r="H250" s="123">
        <v>4400.0</v>
      </c>
      <c r="I250" s="33" t="s">
        <v>1593</v>
      </c>
      <c r="J250" s="33" t="s">
        <v>1594</v>
      </c>
      <c r="K250" s="33">
        <v>1.0</v>
      </c>
      <c r="L250" s="162" t="s">
        <v>7186</v>
      </c>
      <c r="M250" s="34"/>
    </row>
    <row r="251" hidden="1">
      <c r="A251" s="33" t="s">
        <v>7182</v>
      </c>
      <c r="B251" s="122">
        <v>45707.0</v>
      </c>
      <c r="C251" s="33">
        <v>8.0700002985E11</v>
      </c>
      <c r="D251" s="33" t="s">
        <v>7183</v>
      </c>
      <c r="E251" s="33" t="s">
        <v>7184</v>
      </c>
      <c r="F251" s="123" t="s">
        <v>7185</v>
      </c>
      <c r="G251" s="123" t="s">
        <v>247</v>
      </c>
      <c r="H251" s="123">
        <v>4400.0</v>
      </c>
      <c r="I251" s="33" t="s">
        <v>727</v>
      </c>
      <c r="J251" s="33" t="s">
        <v>728</v>
      </c>
      <c r="K251" s="33">
        <v>2.0</v>
      </c>
      <c r="L251" s="162" t="s">
        <v>7186</v>
      </c>
      <c r="M251" s="34"/>
    </row>
    <row r="252" hidden="1">
      <c r="A252" s="125" t="s">
        <v>7187</v>
      </c>
      <c r="B252" s="126">
        <v>45707.0</v>
      </c>
      <c r="C252" s="125">
        <v>8.07000029845E11</v>
      </c>
      <c r="D252" s="125" t="s">
        <v>7188</v>
      </c>
      <c r="E252" s="125" t="s">
        <v>7189</v>
      </c>
      <c r="F252" s="127" t="s">
        <v>7190</v>
      </c>
      <c r="G252" s="127" t="s">
        <v>247</v>
      </c>
      <c r="H252" s="127">
        <v>4400.0</v>
      </c>
      <c r="I252" s="125" t="s">
        <v>659</v>
      </c>
      <c r="J252" s="125" t="s">
        <v>660</v>
      </c>
      <c r="K252" s="125">
        <v>1.0</v>
      </c>
      <c r="L252" s="181" t="s">
        <v>7191</v>
      </c>
      <c r="M252" s="130"/>
      <c r="N252" s="179"/>
      <c r="O252" s="179"/>
    </row>
    <row r="253" hidden="1">
      <c r="A253" s="33" t="s">
        <v>7192</v>
      </c>
      <c r="B253" s="137">
        <v>45708.0</v>
      </c>
      <c r="C253" s="131">
        <v>8.07000029838E11</v>
      </c>
      <c r="D253" s="131" t="s">
        <v>7193</v>
      </c>
      <c r="E253" s="131" t="s">
        <v>7194</v>
      </c>
      <c r="F253" s="133" t="s">
        <v>7195</v>
      </c>
      <c r="G253" s="123" t="s">
        <v>247</v>
      </c>
      <c r="H253" s="123">
        <v>4400.0</v>
      </c>
      <c r="I253" s="131">
        <v>125708.0</v>
      </c>
      <c r="J253" s="131" t="s">
        <v>7196</v>
      </c>
      <c r="K253" s="131">
        <v>1.0</v>
      </c>
      <c r="L253" s="166" t="s">
        <v>7197</v>
      </c>
      <c r="M253" s="138"/>
    </row>
    <row r="254" hidden="1">
      <c r="A254" s="33" t="s">
        <v>7192</v>
      </c>
      <c r="B254" s="137">
        <v>45708.0</v>
      </c>
      <c r="C254" s="33">
        <v>8.07000029838E11</v>
      </c>
      <c r="D254" s="33" t="s">
        <v>7193</v>
      </c>
      <c r="E254" s="33" t="s">
        <v>7194</v>
      </c>
      <c r="F254" s="133" t="s">
        <v>7198</v>
      </c>
      <c r="G254" s="123" t="s">
        <v>247</v>
      </c>
      <c r="H254" s="123">
        <v>4400.0</v>
      </c>
      <c r="I254" s="33">
        <v>125808.0</v>
      </c>
      <c r="J254" s="33" t="s">
        <v>7199</v>
      </c>
      <c r="K254" s="33">
        <v>2.0</v>
      </c>
      <c r="L254" s="166" t="s">
        <v>7197</v>
      </c>
      <c r="M254" s="34"/>
    </row>
    <row r="255" hidden="1">
      <c r="A255" s="33" t="s">
        <v>7192</v>
      </c>
      <c r="B255" s="137">
        <v>45708.0</v>
      </c>
      <c r="C255" s="33">
        <v>8.07000029838E11</v>
      </c>
      <c r="D255" s="33" t="s">
        <v>7193</v>
      </c>
      <c r="E255" s="33" t="s">
        <v>7194</v>
      </c>
      <c r="F255" s="133" t="s">
        <v>7198</v>
      </c>
      <c r="G255" s="123" t="s">
        <v>247</v>
      </c>
      <c r="H255" s="123">
        <v>4400.0</v>
      </c>
      <c r="I255" s="33" t="s">
        <v>2140</v>
      </c>
      <c r="J255" s="33" t="s">
        <v>2141</v>
      </c>
      <c r="K255" s="33">
        <v>2.0</v>
      </c>
      <c r="L255" s="166" t="s">
        <v>7197</v>
      </c>
      <c r="M255" s="34"/>
    </row>
    <row r="256" hidden="1">
      <c r="A256" s="33" t="s">
        <v>7192</v>
      </c>
      <c r="B256" s="137">
        <v>45708.0</v>
      </c>
      <c r="C256" s="33">
        <v>8.07000029838E11</v>
      </c>
      <c r="D256" s="33" t="s">
        <v>7193</v>
      </c>
      <c r="E256" s="33" t="s">
        <v>7194</v>
      </c>
      <c r="F256" s="133" t="s">
        <v>7198</v>
      </c>
      <c r="G256" s="123" t="s">
        <v>247</v>
      </c>
      <c r="H256" s="123">
        <v>4400.0</v>
      </c>
      <c r="I256" s="33" t="s">
        <v>512</v>
      </c>
      <c r="J256" s="33" t="s">
        <v>513</v>
      </c>
      <c r="K256" s="33">
        <v>12.0</v>
      </c>
      <c r="L256" s="166" t="s">
        <v>7197</v>
      </c>
      <c r="M256" s="34"/>
    </row>
    <row r="257" hidden="1">
      <c r="A257" s="33" t="s">
        <v>7192</v>
      </c>
      <c r="B257" s="137">
        <v>45708.0</v>
      </c>
      <c r="C257" s="33">
        <v>8.07000029838E11</v>
      </c>
      <c r="D257" s="33" t="s">
        <v>7193</v>
      </c>
      <c r="E257" s="33" t="s">
        <v>7194</v>
      </c>
      <c r="F257" s="133" t="s">
        <v>7198</v>
      </c>
      <c r="G257" s="123" t="s">
        <v>247</v>
      </c>
      <c r="H257" s="123">
        <v>4400.0</v>
      </c>
      <c r="I257" s="33" t="s">
        <v>1897</v>
      </c>
      <c r="J257" s="33" t="s">
        <v>1898</v>
      </c>
      <c r="K257" s="33">
        <v>2.0</v>
      </c>
      <c r="L257" s="166" t="s">
        <v>7197</v>
      </c>
      <c r="M257" s="34"/>
    </row>
    <row r="258" hidden="1">
      <c r="A258" s="33" t="s">
        <v>7200</v>
      </c>
      <c r="B258" s="137">
        <v>45708.0</v>
      </c>
      <c r="C258" s="33">
        <v>8.07000029848E11</v>
      </c>
      <c r="D258" s="33" t="s">
        <v>7201</v>
      </c>
      <c r="E258" s="33" t="s">
        <v>7202</v>
      </c>
      <c r="F258" s="123" t="s">
        <v>7203</v>
      </c>
      <c r="G258" s="123" t="s">
        <v>247</v>
      </c>
      <c r="H258" s="123">
        <v>4400.0</v>
      </c>
      <c r="I258" s="33" t="s">
        <v>785</v>
      </c>
      <c r="J258" s="33" t="s">
        <v>786</v>
      </c>
      <c r="K258" s="33">
        <v>1.0</v>
      </c>
      <c r="L258" s="124" t="s">
        <v>7204</v>
      </c>
      <c r="M258" s="34"/>
    </row>
    <row r="259" hidden="1">
      <c r="A259" s="33" t="s">
        <v>7200</v>
      </c>
      <c r="B259" s="137">
        <v>45708.0</v>
      </c>
      <c r="C259" s="33">
        <v>8.07000029848E11</v>
      </c>
      <c r="D259" s="33" t="s">
        <v>7201</v>
      </c>
      <c r="E259" s="33" t="s">
        <v>7202</v>
      </c>
      <c r="F259" s="123" t="s">
        <v>7203</v>
      </c>
      <c r="G259" s="123" t="s">
        <v>247</v>
      </c>
      <c r="H259" s="123">
        <v>4400.0</v>
      </c>
      <c r="I259" s="33" t="s">
        <v>512</v>
      </c>
      <c r="J259" s="33" t="s">
        <v>513</v>
      </c>
      <c r="K259" s="33">
        <v>6.0</v>
      </c>
      <c r="L259" s="124" t="s">
        <v>7204</v>
      </c>
      <c r="M259" s="34"/>
    </row>
    <row r="260" hidden="1">
      <c r="A260" s="33" t="s">
        <v>7200</v>
      </c>
      <c r="B260" s="137">
        <v>45708.0</v>
      </c>
      <c r="C260" s="33">
        <v>8.07000029848E11</v>
      </c>
      <c r="D260" s="33" t="s">
        <v>7201</v>
      </c>
      <c r="E260" s="33" t="s">
        <v>7202</v>
      </c>
      <c r="F260" s="123" t="s">
        <v>7203</v>
      </c>
      <c r="G260" s="123" t="s">
        <v>247</v>
      </c>
      <c r="H260" s="123">
        <v>4400.0</v>
      </c>
      <c r="I260" s="33" t="s">
        <v>1275</v>
      </c>
      <c r="J260" s="33" t="s">
        <v>1276</v>
      </c>
      <c r="K260" s="33">
        <v>1.0</v>
      </c>
      <c r="L260" s="124" t="s">
        <v>7204</v>
      </c>
      <c r="M260" s="34"/>
    </row>
    <row r="261" hidden="1">
      <c r="A261" s="33" t="s">
        <v>7205</v>
      </c>
      <c r="B261" s="137">
        <v>45708.0</v>
      </c>
      <c r="C261" s="33">
        <v>8.07000029862E11</v>
      </c>
      <c r="D261" s="33" t="s">
        <v>7206</v>
      </c>
      <c r="E261" s="33" t="s">
        <v>7207</v>
      </c>
      <c r="F261" s="123" t="s">
        <v>7208</v>
      </c>
      <c r="G261" s="123" t="s">
        <v>247</v>
      </c>
      <c r="H261" s="123">
        <v>4400.0</v>
      </c>
      <c r="I261" s="33" t="s">
        <v>225</v>
      </c>
      <c r="J261" s="33" t="s">
        <v>226</v>
      </c>
      <c r="K261" s="33">
        <v>1.0</v>
      </c>
      <c r="L261" s="124" t="s">
        <v>7209</v>
      </c>
      <c r="M261" s="34"/>
    </row>
    <row r="262" hidden="1">
      <c r="A262" s="33" t="s">
        <v>7205</v>
      </c>
      <c r="B262" s="137">
        <v>45708.0</v>
      </c>
      <c r="C262" s="33">
        <v>8.07000029862E11</v>
      </c>
      <c r="D262" s="33" t="s">
        <v>7206</v>
      </c>
      <c r="E262" s="33" t="s">
        <v>7207</v>
      </c>
      <c r="F262" s="123" t="s">
        <v>7208</v>
      </c>
      <c r="G262" s="123" t="s">
        <v>247</v>
      </c>
      <c r="H262" s="123">
        <v>4400.0</v>
      </c>
      <c r="I262" s="33" t="s">
        <v>512</v>
      </c>
      <c r="J262" s="33" t="s">
        <v>513</v>
      </c>
      <c r="K262" s="33">
        <v>6.0</v>
      </c>
      <c r="L262" s="124" t="s">
        <v>7209</v>
      </c>
      <c r="M262" s="34"/>
    </row>
    <row r="263" hidden="1">
      <c r="A263" s="33" t="s">
        <v>7205</v>
      </c>
      <c r="B263" s="137">
        <v>45708.0</v>
      </c>
      <c r="C263" s="33">
        <v>8.07000029862E11</v>
      </c>
      <c r="D263" s="33" t="s">
        <v>7206</v>
      </c>
      <c r="E263" s="33" t="s">
        <v>7207</v>
      </c>
      <c r="F263" s="123" t="s">
        <v>7208</v>
      </c>
      <c r="G263" s="123" t="s">
        <v>247</v>
      </c>
      <c r="H263" s="123">
        <v>4400.0</v>
      </c>
      <c r="I263" s="33" t="s">
        <v>1345</v>
      </c>
      <c r="J263" s="33" t="s">
        <v>1346</v>
      </c>
      <c r="K263" s="33">
        <v>1.0</v>
      </c>
      <c r="L263" s="124" t="s">
        <v>7209</v>
      </c>
      <c r="M263" s="34"/>
    </row>
    <row r="264" hidden="1">
      <c r="A264" s="33" t="s">
        <v>7210</v>
      </c>
      <c r="B264" s="137">
        <v>45712.0</v>
      </c>
      <c r="C264" s="33">
        <v>8.07000029893E11</v>
      </c>
      <c r="D264" s="33" t="s">
        <v>7211</v>
      </c>
      <c r="E264" s="33" t="s">
        <v>7212</v>
      </c>
      <c r="F264" s="123" t="s">
        <v>7213</v>
      </c>
      <c r="G264" s="123" t="s">
        <v>247</v>
      </c>
      <c r="H264" s="123">
        <v>4400.0</v>
      </c>
      <c r="I264" s="33" t="s">
        <v>50</v>
      </c>
      <c r="J264" s="33" t="s">
        <v>51</v>
      </c>
      <c r="K264" s="33">
        <v>1.0</v>
      </c>
      <c r="L264" s="124" t="s">
        <v>7214</v>
      </c>
      <c r="M264" s="34"/>
    </row>
    <row r="265" hidden="1">
      <c r="A265" s="33" t="s">
        <v>7210</v>
      </c>
      <c r="B265" s="137">
        <v>45712.0</v>
      </c>
      <c r="C265" s="33">
        <v>8.07000029894E11</v>
      </c>
      <c r="D265" s="33" t="s">
        <v>7211</v>
      </c>
      <c r="E265" s="33" t="s">
        <v>7212</v>
      </c>
      <c r="F265" s="123" t="s">
        <v>7213</v>
      </c>
      <c r="G265" s="123" t="s">
        <v>247</v>
      </c>
      <c r="H265" s="123">
        <v>4400.0</v>
      </c>
      <c r="I265" s="33" t="s">
        <v>110</v>
      </c>
      <c r="J265" s="33" t="s">
        <v>111</v>
      </c>
      <c r="K265" s="33">
        <v>1.0</v>
      </c>
      <c r="L265" s="124" t="s">
        <v>7215</v>
      </c>
      <c r="M265" s="34"/>
    </row>
    <row r="266" hidden="1">
      <c r="A266" s="33" t="s">
        <v>7216</v>
      </c>
      <c r="B266" s="137">
        <v>45712.0</v>
      </c>
      <c r="C266" s="33">
        <v>8.0700002992E11</v>
      </c>
      <c r="D266" s="33" t="s">
        <v>7217</v>
      </c>
      <c r="E266" s="33" t="s">
        <v>7218</v>
      </c>
      <c r="F266" s="123" t="s">
        <v>7219</v>
      </c>
      <c r="G266" s="123" t="s">
        <v>247</v>
      </c>
      <c r="H266" s="123">
        <v>4400.0</v>
      </c>
      <c r="I266" s="33" t="s">
        <v>1241</v>
      </c>
      <c r="J266" s="33" t="s">
        <v>1242</v>
      </c>
      <c r="K266" s="33">
        <v>1.0</v>
      </c>
      <c r="L266" s="124" t="s">
        <v>7215</v>
      </c>
      <c r="M266" s="34"/>
    </row>
    <row r="267" hidden="1">
      <c r="A267" s="33" t="s">
        <v>7216</v>
      </c>
      <c r="B267" s="137">
        <v>45712.0</v>
      </c>
      <c r="C267" s="33">
        <v>8.0700002992E11</v>
      </c>
      <c r="D267" s="33" t="s">
        <v>7217</v>
      </c>
      <c r="E267" s="33" t="s">
        <v>7218</v>
      </c>
      <c r="F267" s="123" t="s">
        <v>7219</v>
      </c>
      <c r="G267" s="123" t="s">
        <v>247</v>
      </c>
      <c r="H267" s="123">
        <v>4400.0</v>
      </c>
      <c r="I267" s="33" t="s">
        <v>512</v>
      </c>
      <c r="J267" s="33" t="s">
        <v>513</v>
      </c>
      <c r="K267" s="33">
        <v>6.0</v>
      </c>
      <c r="L267" s="124" t="s">
        <v>7215</v>
      </c>
      <c r="M267" s="34"/>
    </row>
    <row r="268" hidden="1">
      <c r="A268" s="33" t="s">
        <v>7216</v>
      </c>
      <c r="B268" s="137">
        <v>45712.0</v>
      </c>
      <c r="C268" s="33">
        <v>8.0700002992E11</v>
      </c>
      <c r="D268" s="33" t="s">
        <v>7217</v>
      </c>
      <c r="E268" s="33" t="s">
        <v>7218</v>
      </c>
      <c r="F268" s="123" t="s">
        <v>7219</v>
      </c>
      <c r="G268" s="123" t="s">
        <v>247</v>
      </c>
      <c r="H268" s="123">
        <v>4400.0</v>
      </c>
      <c r="I268" s="33" t="s">
        <v>1749</v>
      </c>
      <c r="J268" s="33" t="s">
        <v>1750</v>
      </c>
      <c r="K268" s="33">
        <v>1.0</v>
      </c>
      <c r="L268" s="124" t="s">
        <v>7215</v>
      </c>
      <c r="M268" s="34"/>
    </row>
    <row r="269" hidden="1">
      <c r="A269" s="33" t="s">
        <v>7220</v>
      </c>
      <c r="B269" s="137">
        <v>45712.0</v>
      </c>
      <c r="C269" s="33">
        <v>8.07000029924E11</v>
      </c>
      <c r="D269" s="33" t="s">
        <v>7221</v>
      </c>
      <c r="E269" s="33" t="s">
        <v>7222</v>
      </c>
      <c r="F269" s="123" t="s">
        <v>7223</v>
      </c>
      <c r="G269" s="123" t="s">
        <v>247</v>
      </c>
      <c r="H269" s="123">
        <v>4400.0</v>
      </c>
      <c r="I269" s="33" t="s">
        <v>98</v>
      </c>
      <c r="J269" s="33" t="s">
        <v>99</v>
      </c>
      <c r="K269" s="33">
        <v>1.0</v>
      </c>
      <c r="L269" s="124" t="s">
        <v>7224</v>
      </c>
      <c r="M269" s="34"/>
    </row>
    <row r="270" hidden="1">
      <c r="A270" s="33" t="s">
        <v>7220</v>
      </c>
      <c r="B270" s="137">
        <v>45712.0</v>
      </c>
      <c r="C270" s="33">
        <v>8.07000029925E11</v>
      </c>
      <c r="D270" s="33" t="s">
        <v>7221</v>
      </c>
      <c r="E270" s="33" t="s">
        <v>7222</v>
      </c>
      <c r="F270" s="123" t="s">
        <v>7223</v>
      </c>
      <c r="G270" s="123" t="s">
        <v>247</v>
      </c>
      <c r="H270" s="123">
        <v>4400.0</v>
      </c>
      <c r="I270" s="33" t="s">
        <v>110</v>
      </c>
      <c r="J270" s="33" t="s">
        <v>111</v>
      </c>
      <c r="K270" s="33">
        <v>1.0</v>
      </c>
      <c r="L270" s="124" t="s">
        <v>7224</v>
      </c>
      <c r="M270" s="34"/>
    </row>
    <row r="271" hidden="1">
      <c r="A271" s="33" t="s">
        <v>7225</v>
      </c>
      <c r="B271" s="122">
        <v>45713.0</v>
      </c>
      <c r="C271" s="33">
        <v>8.07000029926E11</v>
      </c>
      <c r="D271" s="33" t="s">
        <v>7226</v>
      </c>
      <c r="E271" s="33" t="s">
        <v>7227</v>
      </c>
      <c r="F271" s="123" t="s">
        <v>7228</v>
      </c>
      <c r="G271" s="123" t="s">
        <v>247</v>
      </c>
      <c r="H271" s="123">
        <v>4400.0</v>
      </c>
      <c r="I271" s="33" t="s">
        <v>5658</v>
      </c>
      <c r="J271" s="33" t="s">
        <v>7229</v>
      </c>
      <c r="K271" s="33">
        <v>1.0</v>
      </c>
      <c r="L271" s="124" t="s">
        <v>7230</v>
      </c>
      <c r="M271" s="31" t="s">
        <v>7231</v>
      </c>
    </row>
    <row r="272" hidden="1">
      <c r="A272" s="33" t="s">
        <v>7232</v>
      </c>
      <c r="B272" s="122">
        <v>45713.0</v>
      </c>
      <c r="C272" s="33">
        <v>8.05011515026E11</v>
      </c>
      <c r="D272" s="33" t="s">
        <v>7233</v>
      </c>
      <c r="E272" s="33" t="s">
        <v>7234</v>
      </c>
      <c r="F272" s="123" t="s">
        <v>7235</v>
      </c>
      <c r="G272" s="123" t="s">
        <v>1038</v>
      </c>
      <c r="H272" s="123">
        <v>4401.0</v>
      </c>
      <c r="I272" s="33" t="s">
        <v>7236</v>
      </c>
      <c r="J272" s="33" t="s">
        <v>7237</v>
      </c>
      <c r="K272" s="33">
        <v>1.0</v>
      </c>
      <c r="L272" s="124" t="s">
        <v>7238</v>
      </c>
      <c r="M272" s="34"/>
    </row>
    <row r="273" hidden="1">
      <c r="A273" s="33" t="s">
        <v>7232</v>
      </c>
      <c r="B273" s="122">
        <v>45713.0</v>
      </c>
      <c r="C273" s="33">
        <v>8.05011515026E11</v>
      </c>
      <c r="D273" s="33" t="s">
        <v>7233</v>
      </c>
      <c r="E273" s="33" t="s">
        <v>7234</v>
      </c>
      <c r="F273" s="123" t="s">
        <v>7235</v>
      </c>
      <c r="G273" s="123" t="s">
        <v>1038</v>
      </c>
      <c r="H273" s="123">
        <v>4401.0</v>
      </c>
      <c r="I273" s="33" t="s">
        <v>512</v>
      </c>
      <c r="J273" s="33" t="s">
        <v>513</v>
      </c>
      <c r="K273" s="33">
        <v>12.0</v>
      </c>
      <c r="L273" s="124" t="s">
        <v>7238</v>
      </c>
      <c r="M273" s="34"/>
    </row>
    <row r="274" hidden="1">
      <c r="A274" s="33" t="s">
        <v>7232</v>
      </c>
      <c r="B274" s="122">
        <v>45713.0</v>
      </c>
      <c r="C274" s="33">
        <v>8.05011515026E11</v>
      </c>
      <c r="D274" s="33" t="s">
        <v>7233</v>
      </c>
      <c r="E274" s="33" t="s">
        <v>7234</v>
      </c>
      <c r="F274" s="123" t="s">
        <v>7235</v>
      </c>
      <c r="G274" s="123" t="s">
        <v>1038</v>
      </c>
      <c r="H274" s="123">
        <v>4401.0</v>
      </c>
      <c r="I274" s="33" t="s">
        <v>149</v>
      </c>
      <c r="J274" s="33" t="s">
        <v>150</v>
      </c>
      <c r="K274" s="33">
        <v>2.0</v>
      </c>
      <c r="L274" s="124" t="s">
        <v>7238</v>
      </c>
      <c r="M274" s="34"/>
    </row>
    <row r="275" hidden="1">
      <c r="A275" s="33" t="s">
        <v>7239</v>
      </c>
      <c r="B275" s="122">
        <v>45713.0</v>
      </c>
      <c r="C275" s="33">
        <v>8.07000029933E11</v>
      </c>
      <c r="D275" s="33" t="s">
        <v>7240</v>
      </c>
      <c r="E275" s="33" t="s">
        <v>7241</v>
      </c>
      <c r="F275" s="123" t="s">
        <v>7242</v>
      </c>
      <c r="G275" s="123" t="s">
        <v>247</v>
      </c>
      <c r="H275" s="123">
        <v>4400.0</v>
      </c>
      <c r="I275" s="33" t="s">
        <v>2410</v>
      </c>
      <c r="J275" s="33" t="s">
        <v>2411</v>
      </c>
      <c r="K275" s="33">
        <v>1.0</v>
      </c>
      <c r="L275" s="124" t="s">
        <v>7243</v>
      </c>
      <c r="M275" s="34"/>
    </row>
    <row r="276" hidden="1">
      <c r="A276" s="33" t="s">
        <v>7239</v>
      </c>
      <c r="B276" s="122">
        <v>45713.0</v>
      </c>
      <c r="C276" s="33">
        <v>8.07000029933E11</v>
      </c>
      <c r="D276" s="33" t="s">
        <v>7240</v>
      </c>
      <c r="E276" s="33" t="s">
        <v>7241</v>
      </c>
      <c r="F276" s="123" t="s">
        <v>7242</v>
      </c>
      <c r="G276" s="123" t="s">
        <v>247</v>
      </c>
      <c r="H276" s="123">
        <v>4400.0</v>
      </c>
      <c r="I276" s="33" t="s">
        <v>2412</v>
      </c>
      <c r="J276" s="33" t="s">
        <v>2413</v>
      </c>
      <c r="K276" s="33">
        <v>1.0</v>
      </c>
      <c r="L276" s="124" t="s">
        <v>7243</v>
      </c>
      <c r="M276" s="34"/>
    </row>
    <row r="277" hidden="1">
      <c r="A277" s="33" t="s">
        <v>7244</v>
      </c>
      <c r="B277" s="122">
        <v>45713.0</v>
      </c>
      <c r="C277" s="33">
        <v>8.07000029934E11</v>
      </c>
      <c r="D277" s="33" t="s">
        <v>7240</v>
      </c>
      <c r="E277" s="33" t="s">
        <v>7241</v>
      </c>
      <c r="F277" s="123" t="s">
        <v>7242</v>
      </c>
      <c r="G277" s="123" t="s">
        <v>247</v>
      </c>
      <c r="H277" s="123">
        <v>4400.0</v>
      </c>
      <c r="I277" s="33">
        <v>125815.0</v>
      </c>
      <c r="J277" s="33" t="s">
        <v>569</v>
      </c>
      <c r="K277" s="33">
        <v>2.0</v>
      </c>
      <c r="L277" s="124" t="s">
        <v>7243</v>
      </c>
      <c r="M277" s="34"/>
    </row>
    <row r="278" hidden="1">
      <c r="A278" s="33" t="s">
        <v>7244</v>
      </c>
      <c r="B278" s="122">
        <v>45713.0</v>
      </c>
      <c r="C278" s="33">
        <v>8.07000029935E11</v>
      </c>
      <c r="D278" s="33" t="s">
        <v>7240</v>
      </c>
      <c r="E278" s="33" t="s">
        <v>7241</v>
      </c>
      <c r="F278" s="123" t="s">
        <v>7242</v>
      </c>
      <c r="G278" s="123" t="s">
        <v>247</v>
      </c>
      <c r="H278" s="123">
        <v>4400.0</v>
      </c>
      <c r="I278" s="33">
        <v>125815.0</v>
      </c>
      <c r="J278" s="33" t="s">
        <v>569</v>
      </c>
      <c r="K278" s="33">
        <v>1.0</v>
      </c>
      <c r="L278" s="124" t="s">
        <v>7243</v>
      </c>
      <c r="M278" s="34"/>
    </row>
    <row r="279" hidden="1">
      <c r="A279" s="33" t="s">
        <v>7245</v>
      </c>
      <c r="B279" s="122">
        <v>45713.0</v>
      </c>
      <c r="C279" s="33">
        <v>8.07000029939E11</v>
      </c>
      <c r="D279" s="33" t="s">
        <v>7246</v>
      </c>
      <c r="E279" s="33" t="s">
        <v>7247</v>
      </c>
      <c r="F279" s="123" t="s">
        <v>7248</v>
      </c>
      <c r="G279" s="123" t="s">
        <v>532</v>
      </c>
      <c r="H279" s="123">
        <v>4500.0</v>
      </c>
      <c r="I279" s="33" t="s">
        <v>302</v>
      </c>
      <c r="J279" s="33" t="s">
        <v>303</v>
      </c>
      <c r="K279" s="33">
        <v>1.0</v>
      </c>
      <c r="L279" s="124" t="s">
        <v>7249</v>
      </c>
      <c r="M279" s="34"/>
    </row>
    <row r="280" hidden="1">
      <c r="A280" s="33" t="s">
        <v>7245</v>
      </c>
      <c r="B280" s="122">
        <v>45713.0</v>
      </c>
      <c r="C280" s="33">
        <v>8.07000029939E11</v>
      </c>
      <c r="D280" s="33" t="s">
        <v>7246</v>
      </c>
      <c r="E280" s="33" t="s">
        <v>7247</v>
      </c>
      <c r="F280" s="123" t="s">
        <v>7248</v>
      </c>
      <c r="G280" s="123" t="s">
        <v>532</v>
      </c>
      <c r="H280" s="123">
        <v>4500.0</v>
      </c>
      <c r="I280" s="33" t="s">
        <v>1593</v>
      </c>
      <c r="J280" s="33" t="s">
        <v>1594</v>
      </c>
      <c r="K280" s="33">
        <v>1.0</v>
      </c>
      <c r="L280" s="124" t="s">
        <v>7249</v>
      </c>
      <c r="M280" s="34"/>
    </row>
    <row r="281" hidden="1">
      <c r="A281" s="33" t="s">
        <v>7250</v>
      </c>
      <c r="B281" s="122">
        <v>45715.0</v>
      </c>
      <c r="C281" s="33">
        <v>8.0700002995E11</v>
      </c>
      <c r="D281" s="33" t="s">
        <v>7251</v>
      </c>
      <c r="E281" s="33" t="s">
        <v>7252</v>
      </c>
      <c r="F281" s="123" t="s">
        <v>7253</v>
      </c>
      <c r="G281" s="123" t="s">
        <v>247</v>
      </c>
      <c r="H281" s="123">
        <v>4400.0</v>
      </c>
      <c r="I281" s="33" t="s">
        <v>1100</v>
      </c>
      <c r="J281" s="33" t="s">
        <v>1101</v>
      </c>
      <c r="K281" s="33">
        <v>1.0</v>
      </c>
      <c r="L281" s="124" t="s">
        <v>7254</v>
      </c>
      <c r="M281" s="34"/>
    </row>
    <row r="282" hidden="1">
      <c r="A282" s="33" t="s">
        <v>7250</v>
      </c>
      <c r="B282" s="122">
        <v>45715.0</v>
      </c>
      <c r="C282" s="33">
        <v>8.0700002995E11</v>
      </c>
      <c r="D282" s="33" t="s">
        <v>7251</v>
      </c>
      <c r="E282" s="33" t="s">
        <v>7252</v>
      </c>
      <c r="F282" s="123" t="s">
        <v>7253</v>
      </c>
      <c r="G282" s="123" t="s">
        <v>247</v>
      </c>
      <c r="H282" s="123">
        <v>4400.0</v>
      </c>
      <c r="I282" s="33" t="s">
        <v>512</v>
      </c>
      <c r="J282" s="33" t="s">
        <v>513</v>
      </c>
      <c r="K282" s="33">
        <v>12.0</v>
      </c>
      <c r="L282" s="124" t="s">
        <v>7254</v>
      </c>
      <c r="M282" s="34"/>
    </row>
    <row r="283" hidden="1">
      <c r="A283" s="33" t="s">
        <v>7250</v>
      </c>
      <c r="B283" s="122">
        <v>45715.0</v>
      </c>
      <c r="C283" s="33">
        <v>8.0700002995E11</v>
      </c>
      <c r="D283" s="33" t="s">
        <v>7251</v>
      </c>
      <c r="E283" s="33" t="s">
        <v>7252</v>
      </c>
      <c r="F283" s="123" t="s">
        <v>7253</v>
      </c>
      <c r="G283" s="123" t="s">
        <v>247</v>
      </c>
      <c r="H283" s="123">
        <v>4400.0</v>
      </c>
      <c r="I283" s="33" t="s">
        <v>727</v>
      </c>
      <c r="J283" s="33" t="s">
        <v>728</v>
      </c>
      <c r="K283" s="33">
        <v>2.0</v>
      </c>
      <c r="L283" s="124" t="s">
        <v>7254</v>
      </c>
      <c r="M283" s="34"/>
    </row>
    <row r="284" hidden="1">
      <c r="A284" s="33" t="s">
        <v>7250</v>
      </c>
      <c r="B284" s="122">
        <v>45715.0</v>
      </c>
      <c r="C284" s="33">
        <v>8.0700002995E11</v>
      </c>
      <c r="D284" s="33" t="s">
        <v>7251</v>
      </c>
      <c r="E284" s="33" t="s">
        <v>7252</v>
      </c>
      <c r="F284" s="123" t="s">
        <v>7253</v>
      </c>
      <c r="G284" s="123" t="s">
        <v>247</v>
      </c>
      <c r="H284" s="123">
        <v>4400.0</v>
      </c>
      <c r="I284" s="33" t="s">
        <v>169</v>
      </c>
      <c r="J284" s="33" t="s">
        <v>170</v>
      </c>
      <c r="K284" s="33">
        <v>1.0</v>
      </c>
      <c r="L284" s="124" t="s">
        <v>7254</v>
      </c>
      <c r="M284" s="34"/>
    </row>
    <row r="285" hidden="1">
      <c r="A285" s="33" t="s">
        <v>7255</v>
      </c>
      <c r="B285" s="122">
        <v>45715.0</v>
      </c>
      <c r="C285" s="33">
        <v>8.07000029951E11</v>
      </c>
      <c r="D285" s="33" t="s">
        <v>7256</v>
      </c>
      <c r="E285" s="33" t="s">
        <v>7257</v>
      </c>
      <c r="F285" s="123" t="s">
        <v>7258</v>
      </c>
      <c r="G285" s="123" t="s">
        <v>247</v>
      </c>
      <c r="H285" s="123">
        <v>4400.0</v>
      </c>
      <c r="I285" s="33" t="s">
        <v>5028</v>
      </c>
      <c r="J285" s="33" t="s">
        <v>7259</v>
      </c>
      <c r="K285" s="33">
        <v>1.0</v>
      </c>
      <c r="L285" s="124" t="s">
        <v>7260</v>
      </c>
      <c r="M285" s="34"/>
    </row>
    <row r="286" hidden="1">
      <c r="A286" s="33" t="s">
        <v>7255</v>
      </c>
      <c r="B286" s="122">
        <v>45715.0</v>
      </c>
      <c r="C286" s="33">
        <v>8.07000029952E11</v>
      </c>
      <c r="D286" s="33" t="s">
        <v>7256</v>
      </c>
      <c r="E286" s="33" t="s">
        <v>7257</v>
      </c>
      <c r="F286" s="123" t="s">
        <v>7258</v>
      </c>
      <c r="G286" s="123" t="s">
        <v>247</v>
      </c>
      <c r="H286" s="123">
        <v>4400.0</v>
      </c>
      <c r="I286" s="33" t="s">
        <v>332</v>
      </c>
      <c r="J286" s="33" t="s">
        <v>333</v>
      </c>
      <c r="K286" s="33">
        <v>1.0</v>
      </c>
      <c r="L286" s="124" t="s">
        <v>7260</v>
      </c>
      <c r="M286" s="34"/>
    </row>
    <row r="287" hidden="1">
      <c r="A287" s="33" t="s">
        <v>7261</v>
      </c>
      <c r="B287" s="122">
        <v>45715.0</v>
      </c>
      <c r="C287" s="33">
        <v>8.07000029964E11</v>
      </c>
      <c r="D287" s="33" t="s">
        <v>7262</v>
      </c>
      <c r="E287" s="33" t="s">
        <v>7263</v>
      </c>
      <c r="F287" s="123" t="s">
        <v>7264</v>
      </c>
      <c r="G287" s="123" t="s">
        <v>247</v>
      </c>
      <c r="H287" s="123">
        <v>4400.0</v>
      </c>
      <c r="I287" s="33" t="s">
        <v>7265</v>
      </c>
      <c r="J287" s="33" t="s">
        <v>7266</v>
      </c>
      <c r="K287" s="33">
        <v>2.0</v>
      </c>
      <c r="L287" s="124" t="s">
        <v>7267</v>
      </c>
      <c r="M287" s="31" t="s">
        <v>7268</v>
      </c>
    </row>
    <row r="288" hidden="1">
      <c r="A288" s="33" t="s">
        <v>7269</v>
      </c>
      <c r="B288" s="122">
        <v>45715.0</v>
      </c>
      <c r="C288" s="33">
        <v>8.07000029967E11</v>
      </c>
      <c r="D288" s="33" t="s">
        <v>7270</v>
      </c>
      <c r="E288" s="33" t="s">
        <v>7271</v>
      </c>
      <c r="F288" s="123" t="s">
        <v>7272</v>
      </c>
      <c r="G288" s="123" t="s">
        <v>247</v>
      </c>
      <c r="H288" s="123">
        <v>4400.0</v>
      </c>
      <c r="I288" s="33" t="s">
        <v>298</v>
      </c>
      <c r="J288" s="33" t="s">
        <v>299</v>
      </c>
      <c r="K288" s="33">
        <v>1.0</v>
      </c>
      <c r="L288" s="124" t="s">
        <v>7273</v>
      </c>
      <c r="M288" s="34"/>
    </row>
    <row r="289" hidden="1">
      <c r="A289" s="33" t="s">
        <v>7269</v>
      </c>
      <c r="B289" s="122">
        <v>45715.0</v>
      </c>
      <c r="C289" s="33">
        <v>8.07000029967E11</v>
      </c>
      <c r="D289" s="33" t="s">
        <v>7270</v>
      </c>
      <c r="E289" s="33" t="s">
        <v>7271</v>
      </c>
      <c r="F289" s="123" t="s">
        <v>7272</v>
      </c>
      <c r="G289" s="123" t="s">
        <v>247</v>
      </c>
      <c r="H289" s="123">
        <v>4400.0</v>
      </c>
      <c r="I289" s="33" t="s">
        <v>512</v>
      </c>
      <c r="J289" s="33" t="s">
        <v>513</v>
      </c>
      <c r="K289" s="33">
        <v>12.0</v>
      </c>
      <c r="L289" s="124" t="s">
        <v>7273</v>
      </c>
      <c r="M289" s="34"/>
    </row>
    <row r="290" hidden="1">
      <c r="A290" s="33" t="s">
        <v>7269</v>
      </c>
      <c r="B290" s="122">
        <v>45715.0</v>
      </c>
      <c r="C290" s="33">
        <v>8.07000029967E11</v>
      </c>
      <c r="D290" s="33" t="s">
        <v>7270</v>
      </c>
      <c r="E290" s="33" t="s">
        <v>7271</v>
      </c>
      <c r="F290" s="123" t="s">
        <v>7272</v>
      </c>
      <c r="G290" s="123" t="s">
        <v>247</v>
      </c>
      <c r="H290" s="123">
        <v>4400.0</v>
      </c>
      <c r="I290" s="33" t="s">
        <v>340</v>
      </c>
      <c r="J290" s="33" t="s">
        <v>341</v>
      </c>
      <c r="K290" s="33">
        <v>2.0</v>
      </c>
      <c r="L290" s="124" t="s">
        <v>7273</v>
      </c>
      <c r="M290" s="34"/>
    </row>
    <row r="291" hidden="1">
      <c r="A291" s="33" t="s">
        <v>7274</v>
      </c>
      <c r="B291" s="122">
        <v>45716.0</v>
      </c>
      <c r="C291" s="33">
        <v>8.07000029974E11</v>
      </c>
      <c r="D291" s="33" t="s">
        <v>7275</v>
      </c>
      <c r="E291" s="33" t="s">
        <v>7276</v>
      </c>
      <c r="F291" s="123" t="s">
        <v>7277</v>
      </c>
      <c r="G291" s="123" t="s">
        <v>247</v>
      </c>
      <c r="H291" s="123">
        <v>4400.0</v>
      </c>
      <c r="I291" s="33" t="s">
        <v>249</v>
      </c>
      <c r="J291" s="33" t="s">
        <v>250</v>
      </c>
      <c r="K291" s="33">
        <v>1.0</v>
      </c>
      <c r="L291" s="124" t="s">
        <v>7278</v>
      </c>
      <c r="M291" s="31" t="s">
        <v>7279</v>
      </c>
    </row>
    <row r="292" hidden="1">
      <c r="A292" s="33" t="s">
        <v>7280</v>
      </c>
      <c r="B292" s="122">
        <v>45716.0</v>
      </c>
      <c r="C292" s="33">
        <v>8.07000029974E11</v>
      </c>
      <c r="D292" s="33" t="s">
        <v>7275</v>
      </c>
      <c r="E292" s="33" t="s">
        <v>7276</v>
      </c>
      <c r="F292" s="123" t="s">
        <v>7277</v>
      </c>
      <c r="G292" s="123" t="s">
        <v>247</v>
      </c>
      <c r="H292" s="123">
        <v>4400.0</v>
      </c>
      <c r="I292" s="33" t="s">
        <v>512</v>
      </c>
      <c r="J292" s="33" t="s">
        <v>513</v>
      </c>
      <c r="K292" s="33">
        <v>12.0</v>
      </c>
      <c r="L292" s="124" t="s">
        <v>7278</v>
      </c>
      <c r="M292" s="31" t="s">
        <v>7279</v>
      </c>
    </row>
    <row r="293" hidden="1">
      <c r="A293" s="33" t="s">
        <v>7281</v>
      </c>
      <c r="B293" s="122">
        <v>45716.0</v>
      </c>
      <c r="C293" s="33">
        <v>8.0700002997E11</v>
      </c>
      <c r="D293" s="33" t="s">
        <v>7282</v>
      </c>
      <c r="E293" s="33" t="s">
        <v>7283</v>
      </c>
      <c r="F293" s="123" t="s">
        <v>7284</v>
      </c>
      <c r="G293" s="123" t="s">
        <v>247</v>
      </c>
      <c r="H293" s="123">
        <v>4400.0</v>
      </c>
      <c r="I293" s="33" t="s">
        <v>985</v>
      </c>
      <c r="J293" s="33" t="s">
        <v>986</v>
      </c>
      <c r="K293" s="33">
        <v>1.0</v>
      </c>
      <c r="L293" s="124" t="s">
        <v>7285</v>
      </c>
      <c r="M293" s="34"/>
    </row>
    <row r="294" hidden="1">
      <c r="A294" s="33" t="s">
        <v>7286</v>
      </c>
      <c r="B294" s="122">
        <v>45716.0</v>
      </c>
      <c r="C294" s="33">
        <v>8.07000029979E11</v>
      </c>
      <c r="D294" s="33" t="s">
        <v>1900</v>
      </c>
      <c r="E294" s="33" t="s">
        <v>1901</v>
      </c>
      <c r="F294" s="123" t="s">
        <v>7287</v>
      </c>
      <c r="G294" s="123" t="s">
        <v>247</v>
      </c>
      <c r="H294" s="123">
        <v>4400.0</v>
      </c>
      <c r="I294" s="33" t="s">
        <v>106</v>
      </c>
      <c r="J294" s="33" t="s">
        <v>107</v>
      </c>
      <c r="K294" s="33">
        <v>1.0</v>
      </c>
      <c r="L294" s="124" t="s">
        <v>7285</v>
      </c>
      <c r="M294" s="34"/>
    </row>
    <row r="295" hidden="1">
      <c r="A295" s="33" t="s">
        <v>7286</v>
      </c>
      <c r="B295" s="122">
        <v>45716.0</v>
      </c>
      <c r="C295" s="33">
        <v>8.07000029979E11</v>
      </c>
      <c r="D295" s="33" t="s">
        <v>1900</v>
      </c>
      <c r="E295" s="33" t="s">
        <v>1901</v>
      </c>
      <c r="F295" s="123" t="s">
        <v>7287</v>
      </c>
      <c r="G295" s="123" t="s">
        <v>247</v>
      </c>
      <c r="H295" s="123">
        <v>4400.0</v>
      </c>
      <c r="I295" s="33" t="s">
        <v>512</v>
      </c>
      <c r="J295" s="33" t="s">
        <v>513</v>
      </c>
      <c r="K295" s="33">
        <v>6.0</v>
      </c>
      <c r="L295" s="124" t="s">
        <v>7285</v>
      </c>
      <c r="M295" s="34"/>
    </row>
    <row r="296" hidden="1">
      <c r="A296" s="33" t="s">
        <v>7286</v>
      </c>
      <c r="B296" s="122">
        <v>45716.0</v>
      </c>
      <c r="C296" s="33">
        <v>8.07000029979E11</v>
      </c>
      <c r="D296" s="33" t="s">
        <v>1900</v>
      </c>
      <c r="E296" s="33" t="s">
        <v>1901</v>
      </c>
      <c r="F296" s="123" t="s">
        <v>7287</v>
      </c>
      <c r="G296" s="123" t="s">
        <v>247</v>
      </c>
      <c r="H296" s="123">
        <v>4400.0</v>
      </c>
      <c r="I296" s="33" t="s">
        <v>110</v>
      </c>
      <c r="J296" s="33" t="s">
        <v>111</v>
      </c>
      <c r="K296" s="33">
        <v>1.0</v>
      </c>
      <c r="L296" s="124" t="s">
        <v>7285</v>
      </c>
      <c r="M296" s="34"/>
    </row>
    <row r="297" hidden="1">
      <c r="A297" s="33" t="s">
        <v>7288</v>
      </c>
      <c r="B297" s="122">
        <v>45716.0</v>
      </c>
      <c r="C297" s="33">
        <v>8.07000029953E11</v>
      </c>
      <c r="D297" s="33" t="s">
        <v>7289</v>
      </c>
      <c r="E297" s="33" t="s">
        <v>7290</v>
      </c>
      <c r="F297" s="123" t="s">
        <v>7291</v>
      </c>
      <c r="G297" s="123" t="s">
        <v>247</v>
      </c>
      <c r="H297" s="123">
        <v>4400.0</v>
      </c>
      <c r="I297" s="33" t="s">
        <v>106</v>
      </c>
      <c r="J297" s="33" t="s">
        <v>107</v>
      </c>
      <c r="K297" s="33">
        <v>1.0</v>
      </c>
      <c r="L297" s="124" t="s">
        <v>7292</v>
      </c>
      <c r="M297" s="34"/>
    </row>
    <row r="298" hidden="1">
      <c r="A298" s="33" t="s">
        <v>7288</v>
      </c>
      <c r="B298" s="122">
        <v>45716.0</v>
      </c>
      <c r="C298" s="33">
        <v>8.07000029953E11</v>
      </c>
      <c r="D298" s="33" t="s">
        <v>7289</v>
      </c>
      <c r="E298" s="33" t="s">
        <v>7290</v>
      </c>
      <c r="F298" s="123" t="s">
        <v>7291</v>
      </c>
      <c r="G298" s="123" t="s">
        <v>247</v>
      </c>
      <c r="H298" s="123">
        <v>4400.0</v>
      </c>
      <c r="I298" s="33" t="s">
        <v>512</v>
      </c>
      <c r="J298" s="33" t="s">
        <v>513</v>
      </c>
      <c r="K298" s="33">
        <v>6.0</v>
      </c>
      <c r="L298" s="124" t="s">
        <v>7292</v>
      </c>
      <c r="M298" s="34"/>
    </row>
    <row r="299" hidden="1">
      <c r="A299" s="33" t="s">
        <v>7288</v>
      </c>
      <c r="B299" s="122">
        <v>45716.0</v>
      </c>
      <c r="C299" s="33">
        <v>8.07000029953E11</v>
      </c>
      <c r="D299" s="33" t="s">
        <v>7289</v>
      </c>
      <c r="E299" s="33" t="s">
        <v>7290</v>
      </c>
      <c r="F299" s="123" t="s">
        <v>7291</v>
      </c>
      <c r="G299" s="123" t="s">
        <v>247</v>
      </c>
      <c r="H299" s="123">
        <v>4400.0</v>
      </c>
      <c r="I299" s="33" t="s">
        <v>110</v>
      </c>
      <c r="J299" s="33" t="s">
        <v>111</v>
      </c>
      <c r="K299" s="33">
        <v>1.0</v>
      </c>
      <c r="L299" s="124" t="s">
        <v>7292</v>
      </c>
      <c r="M299" s="34"/>
    </row>
    <row r="300" hidden="1">
      <c r="A300" s="33" t="s">
        <v>7293</v>
      </c>
      <c r="B300" s="122">
        <v>45717.0</v>
      </c>
      <c r="C300" s="33">
        <v>8.0700002999E11</v>
      </c>
      <c r="D300" s="33" t="s">
        <v>7294</v>
      </c>
      <c r="E300" s="33" t="s">
        <v>7295</v>
      </c>
      <c r="F300" s="123" t="s">
        <v>7296</v>
      </c>
      <c r="G300" s="123" t="s">
        <v>624</v>
      </c>
      <c r="H300" s="123">
        <v>4403.0</v>
      </c>
      <c r="I300" s="33" t="s">
        <v>1593</v>
      </c>
      <c r="J300" s="33" t="s">
        <v>1594</v>
      </c>
      <c r="K300" s="33">
        <v>1.0</v>
      </c>
      <c r="L300" s="124" t="s">
        <v>7297</v>
      </c>
      <c r="M300" s="34"/>
    </row>
    <row r="301" hidden="1">
      <c r="A301" s="33" t="s">
        <v>7293</v>
      </c>
      <c r="B301" s="122">
        <v>45717.0</v>
      </c>
      <c r="C301" s="33">
        <v>8.0700002999E11</v>
      </c>
      <c r="D301" s="33" t="s">
        <v>7294</v>
      </c>
      <c r="E301" s="33" t="s">
        <v>7295</v>
      </c>
      <c r="F301" s="123" t="s">
        <v>7296</v>
      </c>
      <c r="G301" s="123" t="s">
        <v>624</v>
      </c>
      <c r="H301" s="123">
        <v>4403.0</v>
      </c>
      <c r="I301" s="33" t="s">
        <v>512</v>
      </c>
      <c r="J301" s="33" t="s">
        <v>513</v>
      </c>
      <c r="K301" s="33">
        <v>12.0</v>
      </c>
      <c r="L301" s="124" t="s">
        <v>7297</v>
      </c>
      <c r="M301" s="34"/>
    </row>
    <row r="302" hidden="1">
      <c r="A302" s="33" t="s">
        <v>7293</v>
      </c>
      <c r="B302" s="122">
        <v>45717.0</v>
      </c>
      <c r="C302" s="33">
        <v>8.0700002999E11</v>
      </c>
      <c r="D302" s="33" t="s">
        <v>7294</v>
      </c>
      <c r="E302" s="33" t="s">
        <v>7295</v>
      </c>
      <c r="F302" s="123" t="s">
        <v>7296</v>
      </c>
      <c r="G302" s="123" t="s">
        <v>624</v>
      </c>
      <c r="H302" s="123">
        <v>4403.0</v>
      </c>
      <c r="I302" s="33" t="s">
        <v>727</v>
      </c>
      <c r="J302" s="33" t="s">
        <v>728</v>
      </c>
      <c r="K302" s="33">
        <v>2.0</v>
      </c>
      <c r="L302" s="124" t="s">
        <v>7297</v>
      </c>
      <c r="M302" s="34"/>
    </row>
    <row r="303" hidden="1">
      <c r="A303" s="33" t="s">
        <v>7298</v>
      </c>
      <c r="B303" s="122">
        <v>45717.0</v>
      </c>
      <c r="C303" s="33">
        <v>8.07000029991E11</v>
      </c>
      <c r="D303" s="33" t="s">
        <v>7299</v>
      </c>
      <c r="E303" s="33" t="s">
        <v>7300</v>
      </c>
      <c r="F303" s="123" t="s">
        <v>7301</v>
      </c>
      <c r="G303" s="123" t="s">
        <v>247</v>
      </c>
      <c r="H303" s="123">
        <v>4400.0</v>
      </c>
      <c r="I303" s="33" t="s">
        <v>2927</v>
      </c>
      <c r="J303" s="33" t="s">
        <v>2928</v>
      </c>
      <c r="K303" s="33">
        <v>1.0</v>
      </c>
      <c r="L303" s="124" t="s">
        <v>7302</v>
      </c>
      <c r="M303" s="34"/>
    </row>
    <row r="304" hidden="1">
      <c r="A304" s="33" t="s">
        <v>7303</v>
      </c>
      <c r="B304" s="122">
        <v>45717.0</v>
      </c>
      <c r="C304" s="33">
        <v>8.07000029995E11</v>
      </c>
      <c r="D304" s="33" t="s">
        <v>7304</v>
      </c>
      <c r="E304" s="33" t="s">
        <v>7305</v>
      </c>
      <c r="F304" s="123" t="s">
        <v>7306</v>
      </c>
      <c r="G304" s="123" t="s">
        <v>247</v>
      </c>
      <c r="H304" s="123">
        <v>4400.0</v>
      </c>
      <c r="I304" s="33" t="s">
        <v>1593</v>
      </c>
      <c r="J304" s="33" t="s">
        <v>1594</v>
      </c>
      <c r="K304" s="33">
        <v>1.0</v>
      </c>
      <c r="L304" s="124" t="s">
        <v>7307</v>
      </c>
      <c r="M304" s="34"/>
    </row>
    <row r="305" hidden="1">
      <c r="A305" s="33" t="s">
        <v>7303</v>
      </c>
      <c r="B305" s="122">
        <v>45717.0</v>
      </c>
      <c r="C305" s="33">
        <v>8.07000029995E11</v>
      </c>
      <c r="D305" s="33" t="s">
        <v>7304</v>
      </c>
      <c r="E305" s="33" t="s">
        <v>7305</v>
      </c>
      <c r="F305" s="123" t="s">
        <v>7306</v>
      </c>
      <c r="G305" s="123" t="s">
        <v>247</v>
      </c>
      <c r="H305" s="123">
        <v>4400.0</v>
      </c>
      <c r="I305" s="33" t="s">
        <v>512</v>
      </c>
      <c r="J305" s="33" t="s">
        <v>513</v>
      </c>
      <c r="K305" s="33">
        <v>12.0</v>
      </c>
      <c r="L305" s="124" t="s">
        <v>7307</v>
      </c>
      <c r="M305" s="34"/>
    </row>
    <row r="306" hidden="1">
      <c r="A306" s="33" t="s">
        <v>7303</v>
      </c>
      <c r="B306" s="122">
        <v>45717.0</v>
      </c>
      <c r="C306" s="33">
        <v>8.07000029995E11</v>
      </c>
      <c r="D306" s="33" t="s">
        <v>7304</v>
      </c>
      <c r="E306" s="33" t="s">
        <v>7305</v>
      </c>
      <c r="F306" s="123" t="s">
        <v>7306</v>
      </c>
      <c r="G306" s="123" t="s">
        <v>247</v>
      </c>
      <c r="H306" s="123">
        <v>4400.0</v>
      </c>
      <c r="I306" s="33" t="s">
        <v>727</v>
      </c>
      <c r="J306" s="33" t="s">
        <v>728</v>
      </c>
      <c r="K306" s="33">
        <v>2.0</v>
      </c>
      <c r="L306" s="124" t="s">
        <v>7307</v>
      </c>
      <c r="M306" s="34"/>
    </row>
    <row r="307" hidden="1">
      <c r="A307" s="33" t="s">
        <v>7308</v>
      </c>
      <c r="B307" s="122">
        <v>45717.0</v>
      </c>
      <c r="C307" s="33">
        <v>8.07000030003E11</v>
      </c>
      <c r="D307" s="33" t="s">
        <v>2997</v>
      </c>
      <c r="E307" s="33" t="s">
        <v>2998</v>
      </c>
      <c r="F307" s="123" t="s">
        <v>7309</v>
      </c>
      <c r="G307" s="123" t="s">
        <v>247</v>
      </c>
      <c r="H307" s="123">
        <v>4400.0</v>
      </c>
      <c r="I307" s="33" t="s">
        <v>2546</v>
      </c>
      <c r="J307" s="33" t="s">
        <v>2547</v>
      </c>
      <c r="K307" s="33">
        <v>1.0</v>
      </c>
      <c r="L307" s="124" t="s">
        <v>7310</v>
      </c>
      <c r="M307" s="34"/>
    </row>
    <row r="308" hidden="1">
      <c r="A308" s="33" t="s">
        <v>7308</v>
      </c>
      <c r="B308" s="122">
        <v>45717.0</v>
      </c>
      <c r="C308" s="33">
        <v>8.07000030003E11</v>
      </c>
      <c r="D308" s="33" t="s">
        <v>2997</v>
      </c>
      <c r="E308" s="33" t="s">
        <v>2998</v>
      </c>
      <c r="F308" s="123" t="s">
        <v>7309</v>
      </c>
      <c r="G308" s="123" t="s">
        <v>247</v>
      </c>
      <c r="H308" s="123">
        <v>4400.0</v>
      </c>
      <c r="I308" s="33" t="s">
        <v>512</v>
      </c>
      <c r="J308" s="33" t="s">
        <v>513</v>
      </c>
      <c r="K308" s="33">
        <v>6.0</v>
      </c>
      <c r="L308" s="124" t="s">
        <v>7310</v>
      </c>
      <c r="M308" s="34"/>
    </row>
    <row r="309" hidden="1">
      <c r="A309" s="33" t="s">
        <v>7308</v>
      </c>
      <c r="B309" s="122">
        <v>45717.0</v>
      </c>
      <c r="C309" s="33">
        <v>8.07000030004E11</v>
      </c>
      <c r="D309" s="33" t="s">
        <v>2997</v>
      </c>
      <c r="E309" s="33" t="s">
        <v>2998</v>
      </c>
      <c r="F309" s="123" t="s">
        <v>7309</v>
      </c>
      <c r="G309" s="123" t="s">
        <v>247</v>
      </c>
      <c r="H309" s="123">
        <v>4400.0</v>
      </c>
      <c r="I309" s="33" t="s">
        <v>2031</v>
      </c>
      <c r="J309" s="33" t="s">
        <v>2032</v>
      </c>
      <c r="K309" s="33">
        <v>1.0</v>
      </c>
      <c r="L309" s="124" t="s">
        <v>7310</v>
      </c>
      <c r="M309" s="34"/>
    </row>
    <row r="310" hidden="1">
      <c r="A310" s="33" t="s">
        <v>7311</v>
      </c>
      <c r="B310" s="122">
        <v>45717.0</v>
      </c>
      <c r="C310" s="33">
        <v>8.07000030012E11</v>
      </c>
      <c r="D310" s="33" t="s">
        <v>7312</v>
      </c>
      <c r="E310" s="33" t="s">
        <v>7313</v>
      </c>
      <c r="F310" s="123" t="s">
        <v>7314</v>
      </c>
      <c r="G310" s="123" t="s">
        <v>247</v>
      </c>
      <c r="H310" s="123">
        <v>4400.0</v>
      </c>
      <c r="I310" s="33" t="s">
        <v>6961</v>
      </c>
      <c r="J310" s="33" t="s">
        <v>6962</v>
      </c>
      <c r="K310" s="33">
        <v>1.0</v>
      </c>
      <c r="L310" s="124" t="s">
        <v>7315</v>
      </c>
      <c r="M310" s="34"/>
    </row>
    <row r="311" hidden="1">
      <c r="A311" s="33" t="s">
        <v>7311</v>
      </c>
      <c r="B311" s="122">
        <v>45717.0</v>
      </c>
      <c r="C311" s="33">
        <v>8.07000030012E11</v>
      </c>
      <c r="D311" s="33" t="s">
        <v>7312</v>
      </c>
      <c r="E311" s="33" t="s">
        <v>7313</v>
      </c>
      <c r="F311" s="123" t="s">
        <v>7314</v>
      </c>
      <c r="G311" s="123" t="s">
        <v>247</v>
      </c>
      <c r="H311" s="123">
        <v>4400.0</v>
      </c>
      <c r="I311" s="33" t="s">
        <v>1759</v>
      </c>
      <c r="J311" s="33" t="s">
        <v>1760</v>
      </c>
      <c r="K311" s="33">
        <v>1.0</v>
      </c>
      <c r="L311" s="124" t="s">
        <v>7315</v>
      </c>
      <c r="M311" s="34"/>
    </row>
    <row r="312" hidden="1">
      <c r="A312" s="33" t="s">
        <v>7316</v>
      </c>
      <c r="B312" s="122">
        <v>45723.0</v>
      </c>
      <c r="C312" s="33">
        <v>8.0700003009E11</v>
      </c>
      <c r="D312" s="33" t="s">
        <v>7317</v>
      </c>
      <c r="E312" s="33" t="s">
        <v>7318</v>
      </c>
      <c r="F312" s="123" t="s">
        <v>7319</v>
      </c>
      <c r="G312" s="123" t="s">
        <v>247</v>
      </c>
      <c r="H312" s="123">
        <v>4400.0</v>
      </c>
      <c r="I312" s="33" t="s">
        <v>32</v>
      </c>
      <c r="J312" s="33" t="s">
        <v>33</v>
      </c>
      <c r="K312" s="33">
        <v>1.0</v>
      </c>
      <c r="L312" s="124" t="s">
        <v>7320</v>
      </c>
      <c r="M312" s="34"/>
    </row>
    <row r="313" hidden="1">
      <c r="A313" s="33" t="s">
        <v>7321</v>
      </c>
      <c r="B313" s="122">
        <v>45723.0</v>
      </c>
      <c r="C313" s="33">
        <v>8.07000030091E11</v>
      </c>
      <c r="D313" s="33" t="s">
        <v>7322</v>
      </c>
      <c r="E313" s="33" t="s">
        <v>7323</v>
      </c>
      <c r="F313" s="123" t="s">
        <v>7319</v>
      </c>
      <c r="G313" s="123" t="s">
        <v>247</v>
      </c>
      <c r="H313" s="123">
        <v>4400.0</v>
      </c>
      <c r="I313" s="33" t="s">
        <v>6998</v>
      </c>
      <c r="J313" s="33" t="s">
        <v>6999</v>
      </c>
      <c r="K313" s="33">
        <v>1.0</v>
      </c>
      <c r="L313" s="124" t="s">
        <v>7324</v>
      </c>
      <c r="M313" s="34"/>
    </row>
    <row r="314" hidden="1">
      <c r="A314" s="33" t="s">
        <v>7321</v>
      </c>
      <c r="B314" s="122">
        <v>45723.0</v>
      </c>
      <c r="C314" s="33">
        <v>8.07000030091E11</v>
      </c>
      <c r="D314" s="33" t="s">
        <v>7322</v>
      </c>
      <c r="E314" s="33" t="s">
        <v>7323</v>
      </c>
      <c r="F314" s="123" t="s">
        <v>7319</v>
      </c>
      <c r="G314" s="123" t="s">
        <v>247</v>
      </c>
      <c r="H314" s="123">
        <v>4400.0</v>
      </c>
      <c r="I314" s="33" t="s">
        <v>512</v>
      </c>
      <c r="J314" s="33" t="s">
        <v>513</v>
      </c>
      <c r="K314" s="33">
        <v>6.0</v>
      </c>
      <c r="L314" s="124" t="s">
        <v>7324</v>
      </c>
      <c r="M314" s="34"/>
    </row>
    <row r="315" hidden="1">
      <c r="A315" s="33" t="s">
        <v>7321</v>
      </c>
      <c r="B315" s="122">
        <v>45723.0</v>
      </c>
      <c r="C315" s="33">
        <v>8.07000030091E11</v>
      </c>
      <c r="D315" s="33" t="s">
        <v>7322</v>
      </c>
      <c r="E315" s="33" t="s">
        <v>7323</v>
      </c>
      <c r="F315" s="123" t="s">
        <v>7319</v>
      </c>
      <c r="G315" s="123" t="s">
        <v>247</v>
      </c>
      <c r="H315" s="123">
        <v>4400.0</v>
      </c>
      <c r="I315" s="33" t="s">
        <v>110</v>
      </c>
      <c r="J315" s="33" t="s">
        <v>111</v>
      </c>
      <c r="K315" s="33">
        <v>1.0</v>
      </c>
      <c r="L315" s="124" t="s">
        <v>7324</v>
      </c>
      <c r="M315" s="34"/>
    </row>
    <row r="316" hidden="1">
      <c r="A316" s="33" t="s">
        <v>7325</v>
      </c>
      <c r="B316" s="122">
        <v>45723.0</v>
      </c>
      <c r="C316" s="33">
        <v>8.07000030068E11</v>
      </c>
      <c r="D316" s="33" t="s">
        <v>7326</v>
      </c>
      <c r="E316" s="33" t="s">
        <v>7327</v>
      </c>
      <c r="F316" s="123" t="s">
        <v>7328</v>
      </c>
      <c r="G316" s="123" t="s">
        <v>247</v>
      </c>
      <c r="H316" s="123">
        <v>4400.0</v>
      </c>
      <c r="I316" s="33" t="s">
        <v>7329</v>
      </c>
      <c r="J316" s="33" t="s">
        <v>7330</v>
      </c>
      <c r="K316" s="33">
        <v>1.0</v>
      </c>
      <c r="L316" s="124" t="s">
        <v>7331</v>
      </c>
      <c r="M316" s="34"/>
    </row>
    <row r="317" hidden="1">
      <c r="A317" s="33" t="s">
        <v>7325</v>
      </c>
      <c r="B317" s="122">
        <v>45723.0</v>
      </c>
      <c r="C317" s="33">
        <v>8.07000030068E11</v>
      </c>
      <c r="D317" s="33" t="s">
        <v>7326</v>
      </c>
      <c r="E317" s="33" t="s">
        <v>7327</v>
      </c>
      <c r="F317" s="123" t="s">
        <v>7328</v>
      </c>
      <c r="G317" s="123" t="s">
        <v>247</v>
      </c>
      <c r="H317" s="123">
        <v>4400.0</v>
      </c>
      <c r="I317" s="33" t="s">
        <v>512</v>
      </c>
      <c r="J317" s="33" t="s">
        <v>513</v>
      </c>
      <c r="K317" s="33">
        <v>12.0</v>
      </c>
      <c r="L317" s="124" t="s">
        <v>7331</v>
      </c>
      <c r="M317" s="34"/>
    </row>
    <row r="318" hidden="1">
      <c r="A318" s="33" t="s">
        <v>7325</v>
      </c>
      <c r="B318" s="122">
        <v>45723.0</v>
      </c>
      <c r="C318" s="33">
        <v>8.07000030068E11</v>
      </c>
      <c r="D318" s="33" t="s">
        <v>7326</v>
      </c>
      <c r="E318" s="33" t="s">
        <v>7327</v>
      </c>
      <c r="F318" s="123" t="s">
        <v>7328</v>
      </c>
      <c r="G318" s="123" t="s">
        <v>247</v>
      </c>
      <c r="H318" s="123">
        <v>4400.0</v>
      </c>
      <c r="I318" s="33" t="s">
        <v>121</v>
      </c>
      <c r="J318" s="33" t="s">
        <v>122</v>
      </c>
      <c r="K318" s="33">
        <v>2.0</v>
      </c>
      <c r="L318" s="124" t="s">
        <v>7331</v>
      </c>
      <c r="M318" s="34"/>
    </row>
    <row r="319" hidden="1">
      <c r="A319" s="33" t="s">
        <v>7332</v>
      </c>
      <c r="B319" s="122">
        <v>45723.0</v>
      </c>
      <c r="C319" s="33">
        <v>8.07000030075E11</v>
      </c>
      <c r="D319" s="33" t="s">
        <v>7333</v>
      </c>
      <c r="E319" s="33" t="s">
        <v>7334</v>
      </c>
      <c r="F319" s="123" t="s">
        <v>7335</v>
      </c>
      <c r="G319" s="123" t="s">
        <v>5618</v>
      </c>
      <c r="H319" s="123">
        <v>4400.0</v>
      </c>
      <c r="I319" s="33" t="s">
        <v>196</v>
      </c>
      <c r="J319" s="33" t="s">
        <v>197</v>
      </c>
      <c r="K319" s="33">
        <v>1.0</v>
      </c>
      <c r="L319" s="124" t="s">
        <v>7336</v>
      </c>
      <c r="M319" s="34"/>
    </row>
    <row r="320" hidden="1">
      <c r="A320" s="33" t="s">
        <v>7332</v>
      </c>
      <c r="B320" s="122">
        <v>45723.0</v>
      </c>
      <c r="C320" s="33">
        <v>8.07000030075E11</v>
      </c>
      <c r="D320" s="33" t="s">
        <v>7333</v>
      </c>
      <c r="E320" s="33" t="s">
        <v>7334</v>
      </c>
      <c r="F320" s="123" t="s">
        <v>7335</v>
      </c>
      <c r="G320" s="123" t="s">
        <v>5618</v>
      </c>
      <c r="H320" s="123">
        <v>4400.0</v>
      </c>
      <c r="I320" s="33" t="s">
        <v>512</v>
      </c>
      <c r="J320" s="33" t="s">
        <v>513</v>
      </c>
      <c r="K320" s="33">
        <v>12.0</v>
      </c>
      <c r="L320" s="124" t="s">
        <v>7336</v>
      </c>
      <c r="M320" s="34"/>
    </row>
    <row r="321" hidden="1">
      <c r="A321" s="33" t="s">
        <v>7332</v>
      </c>
      <c r="B321" s="122">
        <v>45723.0</v>
      </c>
      <c r="C321" s="33">
        <v>8.07000030075E11</v>
      </c>
      <c r="D321" s="33" t="s">
        <v>7333</v>
      </c>
      <c r="E321" s="33" t="s">
        <v>7334</v>
      </c>
      <c r="F321" s="123" t="s">
        <v>7335</v>
      </c>
      <c r="G321" s="123" t="s">
        <v>5618</v>
      </c>
      <c r="H321" s="123">
        <v>4400.0</v>
      </c>
      <c r="I321" s="33" t="s">
        <v>381</v>
      </c>
      <c r="J321" s="33" t="s">
        <v>382</v>
      </c>
      <c r="K321" s="33">
        <v>2.0</v>
      </c>
      <c r="L321" s="124" t="s">
        <v>7336</v>
      </c>
      <c r="M321" s="34"/>
    </row>
    <row r="322" hidden="1">
      <c r="A322" s="33" t="s">
        <v>7337</v>
      </c>
      <c r="B322" s="122">
        <v>45723.0</v>
      </c>
      <c r="C322" s="33">
        <v>8.07000030037E11</v>
      </c>
      <c r="D322" s="33" t="s">
        <v>7338</v>
      </c>
      <c r="E322" s="33" t="s">
        <v>7339</v>
      </c>
      <c r="F322" s="123" t="s">
        <v>7340</v>
      </c>
      <c r="G322" s="123" t="s">
        <v>247</v>
      </c>
      <c r="H322" s="123">
        <v>4400.0</v>
      </c>
      <c r="I322" s="33" t="s">
        <v>727</v>
      </c>
      <c r="J322" s="33" t="s">
        <v>728</v>
      </c>
      <c r="K322" s="33">
        <v>2.0</v>
      </c>
      <c r="L322" s="124" t="s">
        <v>7341</v>
      </c>
      <c r="M322" s="34"/>
    </row>
    <row r="323" hidden="1">
      <c r="A323" s="33" t="s">
        <v>7342</v>
      </c>
      <c r="B323" s="122">
        <v>45723.0</v>
      </c>
      <c r="C323" s="33">
        <v>8.07000030038E11</v>
      </c>
      <c r="D323" s="33" t="s">
        <v>7338</v>
      </c>
      <c r="E323" s="33" t="s">
        <v>7339</v>
      </c>
      <c r="F323" s="123" t="s">
        <v>7340</v>
      </c>
      <c r="G323" s="123" t="s">
        <v>247</v>
      </c>
      <c r="H323" s="123">
        <v>4400.0</v>
      </c>
      <c r="I323" s="33">
        <v>63406.0</v>
      </c>
      <c r="J323" s="33" t="s">
        <v>7343</v>
      </c>
      <c r="K323" s="33">
        <v>1.0</v>
      </c>
      <c r="L323" s="124" t="s">
        <v>7341</v>
      </c>
      <c r="M323" s="34"/>
    </row>
    <row r="324" hidden="1">
      <c r="A324" s="33" t="s">
        <v>7344</v>
      </c>
      <c r="B324" s="122">
        <v>45723.0</v>
      </c>
      <c r="C324" s="33">
        <v>8.07000030042E11</v>
      </c>
      <c r="D324" s="33" t="s">
        <v>7345</v>
      </c>
      <c r="E324" s="33" t="s">
        <v>7346</v>
      </c>
      <c r="F324" s="123" t="s">
        <v>7347</v>
      </c>
      <c r="G324" s="123" t="s">
        <v>247</v>
      </c>
      <c r="H324" s="123">
        <v>4400.0</v>
      </c>
      <c r="I324" s="33" t="s">
        <v>2537</v>
      </c>
      <c r="J324" s="33" t="s">
        <v>2538</v>
      </c>
      <c r="K324" s="33">
        <v>1.0</v>
      </c>
      <c r="L324" s="174" t="s">
        <v>7348</v>
      </c>
      <c r="M324" s="34"/>
    </row>
    <row r="325" hidden="1">
      <c r="A325" s="33" t="s">
        <v>7344</v>
      </c>
      <c r="B325" s="122">
        <v>45723.0</v>
      </c>
      <c r="C325" s="33">
        <v>8.07000030042E11</v>
      </c>
      <c r="D325" s="33" t="s">
        <v>7345</v>
      </c>
      <c r="E325" s="33" t="s">
        <v>7346</v>
      </c>
      <c r="F325" s="123" t="s">
        <v>7347</v>
      </c>
      <c r="G325" s="123" t="s">
        <v>247</v>
      </c>
      <c r="H325" s="123">
        <v>4400.0</v>
      </c>
      <c r="I325" s="33" t="s">
        <v>512</v>
      </c>
      <c r="J325" s="33" t="s">
        <v>513</v>
      </c>
      <c r="K325" s="33">
        <v>12.0</v>
      </c>
      <c r="L325" s="174" t="s">
        <v>7348</v>
      </c>
      <c r="M325" s="34"/>
    </row>
    <row r="326" hidden="1">
      <c r="A326" s="33" t="s">
        <v>7344</v>
      </c>
      <c r="B326" s="122">
        <v>45723.0</v>
      </c>
      <c r="C326" s="33">
        <v>8.07000030042E11</v>
      </c>
      <c r="D326" s="33" t="s">
        <v>7345</v>
      </c>
      <c r="E326" s="33" t="s">
        <v>7346</v>
      </c>
      <c r="F326" s="123" t="s">
        <v>7347</v>
      </c>
      <c r="G326" s="123" t="s">
        <v>247</v>
      </c>
      <c r="H326" s="123">
        <v>4400.0</v>
      </c>
      <c r="I326" s="33" t="s">
        <v>340</v>
      </c>
      <c r="J326" s="33" t="s">
        <v>341</v>
      </c>
      <c r="K326" s="33">
        <v>2.0</v>
      </c>
      <c r="L326" s="174" t="s">
        <v>7348</v>
      </c>
      <c r="M326" s="34"/>
    </row>
    <row r="327" hidden="1">
      <c r="A327" s="33" t="s">
        <v>7349</v>
      </c>
      <c r="B327" s="122">
        <v>45723.0</v>
      </c>
      <c r="C327" s="33">
        <v>8.0700003003E11</v>
      </c>
      <c r="D327" s="33" t="s">
        <v>7350</v>
      </c>
      <c r="E327" s="33" t="s">
        <v>7351</v>
      </c>
      <c r="F327" s="123" t="s">
        <v>7352</v>
      </c>
      <c r="G327" s="123" t="s">
        <v>539</v>
      </c>
      <c r="H327" s="123">
        <v>4405.0</v>
      </c>
      <c r="I327" s="33" t="s">
        <v>1658</v>
      </c>
      <c r="J327" s="33" t="s">
        <v>1659</v>
      </c>
      <c r="K327" s="33">
        <v>1.0</v>
      </c>
      <c r="L327" s="124" t="s">
        <v>7353</v>
      </c>
      <c r="M327" s="34"/>
    </row>
    <row r="328" hidden="1">
      <c r="A328" s="33" t="s">
        <v>7349</v>
      </c>
      <c r="B328" s="122">
        <v>45723.0</v>
      </c>
      <c r="C328" s="33">
        <v>8.0700003003E11</v>
      </c>
      <c r="D328" s="33" t="s">
        <v>7350</v>
      </c>
      <c r="E328" s="33" t="s">
        <v>7351</v>
      </c>
      <c r="F328" s="123" t="s">
        <v>7352</v>
      </c>
      <c r="G328" s="123" t="s">
        <v>539</v>
      </c>
      <c r="H328" s="123">
        <v>4405.0</v>
      </c>
      <c r="I328" s="33" t="s">
        <v>512</v>
      </c>
      <c r="J328" s="33" t="s">
        <v>513</v>
      </c>
      <c r="K328" s="33">
        <v>12.0</v>
      </c>
      <c r="L328" s="124" t="s">
        <v>7353</v>
      </c>
      <c r="M328" s="34"/>
    </row>
    <row r="329" hidden="1">
      <c r="A329" s="33" t="s">
        <v>7354</v>
      </c>
      <c r="B329" s="122">
        <v>45723.0</v>
      </c>
      <c r="C329" s="33">
        <v>8.0700003003E11</v>
      </c>
      <c r="D329" s="33" t="s">
        <v>7350</v>
      </c>
      <c r="E329" s="33" t="s">
        <v>7351</v>
      </c>
      <c r="F329" s="123" t="s">
        <v>7352</v>
      </c>
      <c r="G329" s="123" t="s">
        <v>539</v>
      </c>
      <c r="H329" s="123">
        <v>4405.0</v>
      </c>
      <c r="I329" s="33" t="s">
        <v>727</v>
      </c>
      <c r="J329" s="33" t="s">
        <v>728</v>
      </c>
      <c r="K329" s="33">
        <v>2.0</v>
      </c>
      <c r="L329" s="124" t="s">
        <v>7353</v>
      </c>
      <c r="M329" s="34"/>
    </row>
    <row r="330" hidden="1">
      <c r="A330" s="33" t="s">
        <v>7355</v>
      </c>
      <c r="B330" s="122">
        <v>45723.0</v>
      </c>
      <c r="C330" s="33">
        <v>8.07000030031E11</v>
      </c>
      <c r="D330" s="33" t="s">
        <v>7350</v>
      </c>
      <c r="E330" s="33" t="s">
        <v>7351</v>
      </c>
      <c r="F330" s="123" t="s">
        <v>7352</v>
      </c>
      <c r="G330" s="123" t="s">
        <v>539</v>
      </c>
      <c r="H330" s="123">
        <v>4405.0</v>
      </c>
      <c r="I330" s="33" t="s">
        <v>575</v>
      </c>
      <c r="J330" s="33" t="s">
        <v>576</v>
      </c>
      <c r="K330" s="33">
        <v>2.0</v>
      </c>
      <c r="L330" s="124" t="s">
        <v>7353</v>
      </c>
      <c r="M330" s="34"/>
    </row>
    <row r="331" hidden="1">
      <c r="A331" s="33" t="s">
        <v>7356</v>
      </c>
      <c r="B331" s="122">
        <v>45723.0</v>
      </c>
      <c r="C331" s="33">
        <v>8.0700003005E11</v>
      </c>
      <c r="D331" s="33" t="s">
        <v>7357</v>
      </c>
      <c r="E331" s="33" t="s">
        <v>7358</v>
      </c>
      <c r="F331" s="123" t="s">
        <v>7359</v>
      </c>
      <c r="G331" s="123" t="s">
        <v>247</v>
      </c>
      <c r="H331" s="123">
        <v>4400.0</v>
      </c>
      <c r="I331" s="33" t="s">
        <v>32</v>
      </c>
      <c r="J331" s="33" t="s">
        <v>33</v>
      </c>
      <c r="K331" s="33">
        <v>1.0</v>
      </c>
      <c r="L331" s="124" t="s">
        <v>7360</v>
      </c>
      <c r="M331" s="34"/>
    </row>
    <row r="332" hidden="1">
      <c r="A332" s="33" t="s">
        <v>7356</v>
      </c>
      <c r="B332" s="122">
        <v>45723.0</v>
      </c>
      <c r="C332" s="33">
        <v>8.0700003005E11</v>
      </c>
      <c r="D332" s="33" t="s">
        <v>7357</v>
      </c>
      <c r="E332" s="33" t="s">
        <v>7358</v>
      </c>
      <c r="F332" s="123" t="s">
        <v>7359</v>
      </c>
      <c r="G332" s="123" t="s">
        <v>247</v>
      </c>
      <c r="H332" s="123">
        <v>4400.0</v>
      </c>
      <c r="I332" s="33" t="s">
        <v>512</v>
      </c>
      <c r="J332" s="33" t="s">
        <v>513</v>
      </c>
      <c r="K332" s="33">
        <v>6.0</v>
      </c>
      <c r="L332" s="124" t="s">
        <v>7360</v>
      </c>
      <c r="M332" s="34"/>
    </row>
    <row r="333" hidden="1">
      <c r="A333" s="33" t="s">
        <v>7356</v>
      </c>
      <c r="B333" s="122">
        <v>45723.0</v>
      </c>
      <c r="C333" s="33">
        <v>8.0700003005E11</v>
      </c>
      <c r="D333" s="33" t="s">
        <v>7357</v>
      </c>
      <c r="E333" s="33" t="s">
        <v>7358</v>
      </c>
      <c r="F333" s="123" t="s">
        <v>7359</v>
      </c>
      <c r="G333" s="123" t="s">
        <v>247</v>
      </c>
      <c r="H333" s="123">
        <v>4400.0</v>
      </c>
      <c r="I333" s="33" t="s">
        <v>670</v>
      </c>
      <c r="J333" s="33" t="s">
        <v>671</v>
      </c>
      <c r="K333" s="33">
        <v>1.0</v>
      </c>
      <c r="L333" s="124" t="s">
        <v>7360</v>
      </c>
      <c r="M333" s="34"/>
    </row>
    <row r="334" hidden="1">
      <c r="A334" s="33" t="s">
        <v>7361</v>
      </c>
      <c r="B334" s="122">
        <v>45723.0</v>
      </c>
      <c r="C334" s="33">
        <v>8.07000030064E11</v>
      </c>
      <c r="D334" s="33" t="s">
        <v>7362</v>
      </c>
      <c r="E334" s="33" t="s">
        <v>7363</v>
      </c>
      <c r="F334" s="123" t="s">
        <v>7347</v>
      </c>
      <c r="G334" s="123" t="s">
        <v>247</v>
      </c>
      <c r="H334" s="123">
        <v>4400.0</v>
      </c>
      <c r="I334" s="33" t="s">
        <v>7265</v>
      </c>
      <c r="J334" s="33" t="s">
        <v>7266</v>
      </c>
      <c r="K334" s="33">
        <v>1.0</v>
      </c>
      <c r="L334" s="124" t="s">
        <v>7364</v>
      </c>
      <c r="M334" s="34"/>
    </row>
    <row r="335" hidden="1">
      <c r="A335" s="33" t="s">
        <v>7365</v>
      </c>
      <c r="B335" s="122">
        <v>45723.0</v>
      </c>
      <c r="C335" s="33">
        <v>8.07000030092E11</v>
      </c>
      <c r="D335" s="33" t="s">
        <v>7366</v>
      </c>
      <c r="E335" s="33" t="s">
        <v>7367</v>
      </c>
      <c r="F335" s="123" t="s">
        <v>7368</v>
      </c>
      <c r="G335" s="123" t="s">
        <v>247</v>
      </c>
      <c r="H335" s="123">
        <v>4400.0</v>
      </c>
      <c r="I335" s="33">
        <v>186006.0</v>
      </c>
      <c r="J335" s="33" t="s">
        <v>7369</v>
      </c>
      <c r="K335" s="33">
        <v>1.0</v>
      </c>
      <c r="L335" s="124" t="s">
        <v>7370</v>
      </c>
      <c r="M335" s="34"/>
    </row>
    <row r="336" hidden="1">
      <c r="A336" s="33" t="s">
        <v>7365</v>
      </c>
      <c r="B336" s="122">
        <v>45723.0</v>
      </c>
      <c r="C336" s="33">
        <v>8.07000030092E11</v>
      </c>
      <c r="D336" s="33" t="s">
        <v>7366</v>
      </c>
      <c r="E336" s="33" t="s">
        <v>7367</v>
      </c>
      <c r="F336" s="123" t="s">
        <v>7368</v>
      </c>
      <c r="G336" s="123" t="s">
        <v>247</v>
      </c>
      <c r="H336" s="123">
        <v>4400.0</v>
      </c>
      <c r="I336" s="33" t="s">
        <v>7371</v>
      </c>
      <c r="J336" s="33" t="s">
        <v>7372</v>
      </c>
      <c r="K336" s="33">
        <v>2.0</v>
      </c>
      <c r="L336" s="124" t="s">
        <v>7370</v>
      </c>
      <c r="M336" s="34"/>
    </row>
    <row r="337" hidden="1">
      <c r="A337" s="33" t="s">
        <v>7373</v>
      </c>
      <c r="B337" s="122">
        <v>45723.0</v>
      </c>
      <c r="C337" s="33">
        <v>8.07000030093E11</v>
      </c>
      <c r="D337" s="33" t="s">
        <v>7374</v>
      </c>
      <c r="E337" s="33" t="s">
        <v>7375</v>
      </c>
      <c r="F337" s="123" t="s">
        <v>7376</v>
      </c>
      <c r="G337" s="123" t="s">
        <v>247</v>
      </c>
      <c r="H337" s="123">
        <v>4400.0</v>
      </c>
      <c r="I337" s="33" t="s">
        <v>723</v>
      </c>
      <c r="J337" s="33" t="s">
        <v>724</v>
      </c>
      <c r="K337" s="33">
        <v>1.0</v>
      </c>
      <c r="L337" s="124" t="s">
        <v>7377</v>
      </c>
      <c r="M337" s="34"/>
    </row>
    <row r="338" hidden="1">
      <c r="A338" s="33" t="s">
        <v>7373</v>
      </c>
      <c r="B338" s="122">
        <v>45723.0</v>
      </c>
      <c r="C338" s="33">
        <v>8.07000030097E11</v>
      </c>
      <c r="D338" s="33" t="s">
        <v>7374</v>
      </c>
      <c r="E338" s="33" t="s">
        <v>7375</v>
      </c>
      <c r="F338" s="123" t="s">
        <v>7376</v>
      </c>
      <c r="G338" s="123" t="s">
        <v>247</v>
      </c>
      <c r="H338" s="123">
        <v>4400.0</v>
      </c>
      <c r="I338" s="33" t="s">
        <v>495</v>
      </c>
      <c r="J338" s="33" t="s">
        <v>496</v>
      </c>
      <c r="K338" s="33">
        <v>2.0</v>
      </c>
      <c r="L338" s="124" t="s">
        <v>7377</v>
      </c>
      <c r="M338" s="34"/>
    </row>
    <row r="339" hidden="1">
      <c r="A339" s="33" t="s">
        <v>7373</v>
      </c>
      <c r="B339" s="122">
        <v>45723.0</v>
      </c>
      <c r="C339" s="33">
        <v>8.07000030098E11</v>
      </c>
      <c r="D339" s="33" t="s">
        <v>7374</v>
      </c>
      <c r="E339" s="33" t="s">
        <v>7375</v>
      </c>
      <c r="F339" s="123" t="s">
        <v>7376</v>
      </c>
      <c r="G339" s="123" t="s">
        <v>247</v>
      </c>
      <c r="H339" s="123">
        <v>4400.0</v>
      </c>
      <c r="I339" s="33" t="s">
        <v>575</v>
      </c>
      <c r="J339" s="33" t="s">
        <v>576</v>
      </c>
      <c r="K339" s="33">
        <v>2.0</v>
      </c>
      <c r="L339" s="124" t="s">
        <v>7377</v>
      </c>
      <c r="M339" s="34"/>
    </row>
    <row r="340" hidden="1">
      <c r="A340" s="33" t="s">
        <v>7378</v>
      </c>
      <c r="B340" s="122">
        <v>45723.0</v>
      </c>
      <c r="C340" s="33">
        <v>8.07000030099E11</v>
      </c>
      <c r="D340" s="33" t="s">
        <v>7374</v>
      </c>
      <c r="E340" s="33" t="s">
        <v>7375</v>
      </c>
      <c r="F340" s="123" t="s">
        <v>7376</v>
      </c>
      <c r="G340" s="123" t="s">
        <v>247</v>
      </c>
      <c r="H340" s="123">
        <v>4400.0</v>
      </c>
      <c r="I340" s="33" t="s">
        <v>1129</v>
      </c>
      <c r="J340" s="33" t="s">
        <v>1130</v>
      </c>
      <c r="K340" s="33">
        <v>1.0</v>
      </c>
      <c r="L340" s="124" t="s">
        <v>7377</v>
      </c>
      <c r="M340" s="34"/>
    </row>
    <row r="341" hidden="1">
      <c r="A341" s="33" t="s">
        <v>7379</v>
      </c>
      <c r="B341" s="122">
        <v>45723.0</v>
      </c>
      <c r="C341" s="33">
        <v>8.07000030104E11</v>
      </c>
      <c r="D341" s="33" t="s">
        <v>7380</v>
      </c>
      <c r="E341" s="33" t="s">
        <v>7381</v>
      </c>
      <c r="F341" s="123" t="s">
        <v>7382</v>
      </c>
      <c r="G341" s="123" t="s">
        <v>247</v>
      </c>
      <c r="H341" s="123">
        <v>4400.0</v>
      </c>
      <c r="I341" s="33" t="s">
        <v>3334</v>
      </c>
      <c r="J341" s="33" t="s">
        <v>7383</v>
      </c>
      <c r="K341" s="33">
        <v>1.0</v>
      </c>
      <c r="L341" s="124" t="s">
        <v>7384</v>
      </c>
      <c r="M341" s="34"/>
    </row>
    <row r="342" hidden="1">
      <c r="A342" s="33" t="s">
        <v>7385</v>
      </c>
      <c r="B342" s="122">
        <v>45726.0</v>
      </c>
      <c r="C342" s="33">
        <v>8.07000030089E11</v>
      </c>
      <c r="D342" s="33" t="s">
        <v>7386</v>
      </c>
      <c r="E342" s="33" t="s">
        <v>7387</v>
      </c>
      <c r="F342" s="123" t="s">
        <v>7388</v>
      </c>
      <c r="G342" s="123" t="s">
        <v>247</v>
      </c>
      <c r="H342" s="123">
        <v>4400.0</v>
      </c>
      <c r="I342" s="33">
        <v>125806.0</v>
      </c>
      <c r="J342" s="33" t="s">
        <v>7389</v>
      </c>
      <c r="K342" s="33">
        <v>2.0</v>
      </c>
      <c r="L342" s="124" t="s">
        <v>7390</v>
      </c>
      <c r="M342" s="34"/>
    </row>
    <row r="343" hidden="1">
      <c r="A343" s="33" t="s">
        <v>7385</v>
      </c>
      <c r="B343" s="122">
        <v>45726.0</v>
      </c>
      <c r="C343" s="33">
        <v>8.07000030102E11</v>
      </c>
      <c r="D343" s="33" t="s">
        <v>7386</v>
      </c>
      <c r="E343" s="33" t="s">
        <v>7387</v>
      </c>
      <c r="F343" s="123" t="s">
        <v>7388</v>
      </c>
      <c r="G343" s="123" t="s">
        <v>247</v>
      </c>
      <c r="H343" s="123">
        <v>4400.0</v>
      </c>
      <c r="I343" s="33">
        <v>2.2346229137E10</v>
      </c>
      <c r="J343" s="33" t="s">
        <v>7165</v>
      </c>
      <c r="K343" s="33">
        <v>1.0</v>
      </c>
      <c r="L343" s="124" t="s">
        <v>7390</v>
      </c>
      <c r="M343" s="34"/>
    </row>
    <row r="344" hidden="1">
      <c r="A344" s="33" t="s">
        <v>7385</v>
      </c>
      <c r="B344" s="122">
        <v>45726.0</v>
      </c>
      <c r="C344" s="33">
        <v>8.07000030102E11</v>
      </c>
      <c r="D344" s="33" t="s">
        <v>7386</v>
      </c>
      <c r="E344" s="33" t="s">
        <v>7387</v>
      </c>
      <c r="F344" s="123" t="s">
        <v>7388</v>
      </c>
      <c r="G344" s="123" t="s">
        <v>247</v>
      </c>
      <c r="H344" s="123">
        <v>4400.0</v>
      </c>
      <c r="I344" s="33" t="s">
        <v>2956</v>
      </c>
      <c r="J344" s="33" t="s">
        <v>2957</v>
      </c>
      <c r="K344" s="33">
        <v>1.0</v>
      </c>
      <c r="L344" s="124" t="s">
        <v>7390</v>
      </c>
      <c r="M344" s="34"/>
    </row>
    <row r="345" hidden="1">
      <c r="A345" s="33" t="s">
        <v>7391</v>
      </c>
      <c r="B345" s="122">
        <v>45726.0</v>
      </c>
      <c r="C345" s="33">
        <v>8.0700003013E11</v>
      </c>
      <c r="D345" s="33" t="s">
        <v>7392</v>
      </c>
      <c r="E345" s="33" t="s">
        <v>7393</v>
      </c>
      <c r="F345" s="123" t="s">
        <v>7394</v>
      </c>
      <c r="G345" s="123" t="s">
        <v>247</v>
      </c>
      <c r="H345" s="123">
        <v>4400.0</v>
      </c>
      <c r="I345" s="33" t="s">
        <v>659</v>
      </c>
      <c r="J345" s="33" t="s">
        <v>660</v>
      </c>
      <c r="K345" s="33">
        <v>1.0</v>
      </c>
      <c r="L345" s="124" t="s">
        <v>7395</v>
      </c>
      <c r="M345" s="34"/>
    </row>
    <row r="346" hidden="1">
      <c r="A346" s="33" t="s">
        <v>7396</v>
      </c>
      <c r="B346" s="122">
        <v>45726.0</v>
      </c>
      <c r="C346" s="33">
        <v>8.07000030131E11</v>
      </c>
      <c r="D346" s="33" t="s">
        <v>7392</v>
      </c>
      <c r="E346" s="33" t="s">
        <v>7393</v>
      </c>
      <c r="F346" s="123" t="s">
        <v>7394</v>
      </c>
      <c r="G346" s="123" t="s">
        <v>247</v>
      </c>
      <c r="H346" s="123">
        <v>4400.0</v>
      </c>
      <c r="I346" s="33" t="s">
        <v>1452</v>
      </c>
      <c r="J346" s="33" t="s">
        <v>1453</v>
      </c>
      <c r="K346" s="33">
        <v>2.0</v>
      </c>
      <c r="L346" s="124" t="s">
        <v>7395</v>
      </c>
      <c r="M346" s="34"/>
    </row>
    <row r="347" hidden="1">
      <c r="A347" s="33" t="s">
        <v>7397</v>
      </c>
      <c r="B347" s="122">
        <v>45726.0</v>
      </c>
      <c r="C347" s="33">
        <v>8.07000030135E11</v>
      </c>
      <c r="D347" s="33" t="s">
        <v>7398</v>
      </c>
      <c r="E347" s="33" t="s">
        <v>7399</v>
      </c>
      <c r="F347" s="123" t="s">
        <v>7400</v>
      </c>
      <c r="G347" s="123" t="s">
        <v>247</v>
      </c>
      <c r="H347" s="123">
        <v>4400.0</v>
      </c>
      <c r="I347" s="33" t="s">
        <v>3285</v>
      </c>
      <c r="J347" s="33" t="s">
        <v>7401</v>
      </c>
      <c r="K347" s="33">
        <v>1.0</v>
      </c>
      <c r="L347" s="124" t="s">
        <v>7402</v>
      </c>
      <c r="M347" s="34"/>
    </row>
    <row r="348" hidden="1">
      <c r="A348" s="33" t="s">
        <v>7397</v>
      </c>
      <c r="B348" s="122">
        <v>45726.0</v>
      </c>
      <c r="C348" s="33">
        <v>8.07000030135E11</v>
      </c>
      <c r="D348" s="33" t="s">
        <v>7398</v>
      </c>
      <c r="E348" s="33" t="s">
        <v>7399</v>
      </c>
      <c r="F348" s="123" t="s">
        <v>7400</v>
      </c>
      <c r="G348" s="123" t="s">
        <v>247</v>
      </c>
      <c r="H348" s="123">
        <v>4400.0</v>
      </c>
      <c r="I348" s="33" t="s">
        <v>512</v>
      </c>
      <c r="J348" s="33" t="s">
        <v>513</v>
      </c>
      <c r="K348" s="33">
        <v>6.0</v>
      </c>
      <c r="L348" s="124" t="s">
        <v>7402</v>
      </c>
      <c r="M348" s="34"/>
    </row>
    <row r="349" hidden="1">
      <c r="A349" s="33" t="s">
        <v>7397</v>
      </c>
      <c r="B349" s="122">
        <v>45726.0</v>
      </c>
      <c r="C349" s="33">
        <v>8.07000030135E11</v>
      </c>
      <c r="D349" s="33" t="s">
        <v>7398</v>
      </c>
      <c r="E349" s="33" t="s">
        <v>7399</v>
      </c>
      <c r="F349" s="123" t="s">
        <v>7400</v>
      </c>
      <c r="G349" s="123" t="s">
        <v>247</v>
      </c>
      <c r="H349" s="123">
        <v>4400.0</v>
      </c>
      <c r="I349" s="33" t="s">
        <v>670</v>
      </c>
      <c r="J349" s="33" t="s">
        <v>671</v>
      </c>
      <c r="K349" s="33">
        <v>1.0</v>
      </c>
      <c r="L349" s="124" t="s">
        <v>7402</v>
      </c>
      <c r="M349" s="34"/>
    </row>
    <row r="350" hidden="1">
      <c r="A350" s="33" t="s">
        <v>7403</v>
      </c>
      <c r="B350" s="122">
        <v>45726.0</v>
      </c>
      <c r="C350" s="33">
        <v>8.07000030146E11</v>
      </c>
      <c r="D350" s="33" t="s">
        <v>4067</v>
      </c>
      <c r="E350" s="33" t="s">
        <v>4068</v>
      </c>
      <c r="F350" s="123" t="s">
        <v>7404</v>
      </c>
      <c r="G350" s="123" t="s">
        <v>247</v>
      </c>
      <c r="H350" s="123">
        <v>4400.0</v>
      </c>
      <c r="I350" s="33" t="s">
        <v>2956</v>
      </c>
      <c r="J350" s="33" t="s">
        <v>2957</v>
      </c>
      <c r="K350" s="33">
        <v>1.0</v>
      </c>
      <c r="L350" s="124" t="s">
        <v>7405</v>
      </c>
      <c r="M350" s="34"/>
    </row>
    <row r="351" hidden="1">
      <c r="A351" s="33" t="s">
        <v>7403</v>
      </c>
      <c r="B351" s="122">
        <v>45726.0</v>
      </c>
      <c r="C351" s="33">
        <v>8.07000030146E11</v>
      </c>
      <c r="D351" s="33" t="s">
        <v>4067</v>
      </c>
      <c r="E351" s="33" t="s">
        <v>4068</v>
      </c>
      <c r="F351" s="123" t="s">
        <v>7404</v>
      </c>
      <c r="G351" s="123" t="s">
        <v>247</v>
      </c>
      <c r="H351" s="123">
        <v>4400.0</v>
      </c>
      <c r="I351" s="33" t="s">
        <v>512</v>
      </c>
      <c r="J351" s="33" t="s">
        <v>513</v>
      </c>
      <c r="K351" s="33">
        <v>6.0</v>
      </c>
      <c r="L351" s="124" t="s">
        <v>7405</v>
      </c>
      <c r="M351" s="34"/>
    </row>
    <row r="352" hidden="1">
      <c r="A352" s="125" t="s">
        <v>7403</v>
      </c>
      <c r="B352" s="126">
        <v>45726.0</v>
      </c>
      <c r="C352" s="125">
        <v>8.07000030146E11</v>
      </c>
      <c r="D352" s="125" t="s">
        <v>4067</v>
      </c>
      <c r="E352" s="125" t="s">
        <v>4068</v>
      </c>
      <c r="F352" s="127" t="s">
        <v>7404</v>
      </c>
      <c r="G352" s="127" t="s">
        <v>247</v>
      </c>
      <c r="H352" s="127">
        <v>4400.0</v>
      </c>
      <c r="I352" s="125" t="s">
        <v>670</v>
      </c>
      <c r="J352" s="125" t="s">
        <v>671</v>
      </c>
      <c r="K352" s="125">
        <v>1.0</v>
      </c>
      <c r="L352" s="129" t="s">
        <v>7405</v>
      </c>
      <c r="M352" s="130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  <c r="AC352" s="179"/>
    </row>
    <row r="353" hidden="1">
      <c r="A353" s="131" t="s">
        <v>7406</v>
      </c>
      <c r="B353" s="132">
        <v>45730.0</v>
      </c>
      <c r="C353" s="131">
        <v>8.07000030183E11</v>
      </c>
      <c r="D353" s="131" t="s">
        <v>7407</v>
      </c>
      <c r="E353" s="131" t="s">
        <v>7408</v>
      </c>
      <c r="F353" s="133" t="s">
        <v>7409</v>
      </c>
      <c r="G353" s="123" t="s">
        <v>247</v>
      </c>
      <c r="H353" s="133">
        <v>4400.0</v>
      </c>
      <c r="I353" s="131" t="s">
        <v>659</v>
      </c>
      <c r="J353" s="131" t="s">
        <v>660</v>
      </c>
      <c r="K353" s="131">
        <v>1.0</v>
      </c>
      <c r="L353" s="134" t="s">
        <v>7410</v>
      </c>
      <c r="M353" s="138"/>
    </row>
    <row r="354" hidden="1">
      <c r="A354" s="33" t="s">
        <v>7406</v>
      </c>
      <c r="B354" s="122">
        <v>45730.0</v>
      </c>
      <c r="C354" s="33">
        <v>8.07000030183E11</v>
      </c>
      <c r="D354" s="33" t="s">
        <v>7407</v>
      </c>
      <c r="E354" s="33" t="s">
        <v>7408</v>
      </c>
      <c r="F354" s="123" t="s">
        <v>7409</v>
      </c>
      <c r="G354" s="123" t="s">
        <v>247</v>
      </c>
      <c r="H354" s="123">
        <v>4400.0</v>
      </c>
      <c r="I354" s="33" t="s">
        <v>35</v>
      </c>
      <c r="J354" s="33" t="s">
        <v>36</v>
      </c>
      <c r="K354" s="33">
        <v>1.0</v>
      </c>
      <c r="L354" s="124" t="s">
        <v>7410</v>
      </c>
      <c r="M354" s="34"/>
    </row>
    <row r="355" hidden="1">
      <c r="A355" s="33" t="s">
        <v>7411</v>
      </c>
      <c r="B355" s="122">
        <v>45730.0</v>
      </c>
      <c r="C355" s="33">
        <v>8.0700003019E11</v>
      </c>
      <c r="D355" s="33" t="s">
        <v>7412</v>
      </c>
      <c r="E355" s="33" t="s">
        <v>7413</v>
      </c>
      <c r="F355" s="123" t="s">
        <v>7414</v>
      </c>
      <c r="G355" s="123" t="s">
        <v>247</v>
      </c>
      <c r="H355" s="123">
        <v>4400.0</v>
      </c>
      <c r="I355" s="33" t="s">
        <v>7236</v>
      </c>
      <c r="J355" s="33" t="s">
        <v>7237</v>
      </c>
      <c r="K355" s="33">
        <v>1.0</v>
      </c>
      <c r="L355" s="124" t="s">
        <v>7415</v>
      </c>
      <c r="M355" s="34"/>
    </row>
    <row r="356" hidden="1">
      <c r="A356" s="33" t="s">
        <v>7411</v>
      </c>
      <c r="B356" s="122">
        <v>45730.0</v>
      </c>
      <c r="C356" s="33">
        <v>8.0700003019E11</v>
      </c>
      <c r="D356" s="33" t="s">
        <v>7412</v>
      </c>
      <c r="E356" s="33" t="s">
        <v>7413</v>
      </c>
      <c r="F356" s="123" t="s">
        <v>7414</v>
      </c>
      <c r="G356" s="123" t="s">
        <v>247</v>
      </c>
      <c r="H356" s="123">
        <v>4400.0</v>
      </c>
      <c r="I356" s="33" t="s">
        <v>512</v>
      </c>
      <c r="J356" s="33" t="s">
        <v>513</v>
      </c>
      <c r="K356" s="33">
        <v>12.0</v>
      </c>
      <c r="L356" s="124" t="s">
        <v>7415</v>
      </c>
      <c r="M356" s="34"/>
    </row>
    <row r="357" hidden="1">
      <c r="A357" s="33" t="s">
        <v>7411</v>
      </c>
      <c r="B357" s="122">
        <v>45730.0</v>
      </c>
      <c r="C357" s="33">
        <v>8.0700003019E11</v>
      </c>
      <c r="D357" s="33" t="s">
        <v>7412</v>
      </c>
      <c r="E357" s="33" t="s">
        <v>7413</v>
      </c>
      <c r="F357" s="123" t="s">
        <v>7414</v>
      </c>
      <c r="G357" s="123" t="s">
        <v>247</v>
      </c>
      <c r="H357" s="123">
        <v>4400.0</v>
      </c>
      <c r="I357" s="33" t="s">
        <v>149</v>
      </c>
      <c r="J357" s="33" t="s">
        <v>150</v>
      </c>
      <c r="K357" s="33">
        <v>2.0</v>
      </c>
      <c r="L357" s="124" t="s">
        <v>7415</v>
      </c>
      <c r="M357" s="34"/>
    </row>
    <row r="358" hidden="1">
      <c r="A358" s="33" t="s">
        <v>7416</v>
      </c>
      <c r="B358" s="122">
        <v>45730.0</v>
      </c>
      <c r="C358" s="33">
        <v>8.0700003017E11</v>
      </c>
      <c r="D358" s="33" t="s">
        <v>7417</v>
      </c>
      <c r="E358" s="33" t="s">
        <v>7418</v>
      </c>
      <c r="F358" s="123" t="s">
        <v>7419</v>
      </c>
      <c r="G358" s="123" t="s">
        <v>247</v>
      </c>
      <c r="H358" s="123">
        <v>4400.0</v>
      </c>
      <c r="I358" s="33" t="s">
        <v>761</v>
      </c>
      <c r="J358" s="33" t="s">
        <v>762</v>
      </c>
      <c r="K358" s="33">
        <v>1.0</v>
      </c>
      <c r="L358" s="124" t="s">
        <v>7420</v>
      </c>
      <c r="M358" s="34"/>
    </row>
    <row r="359" hidden="1">
      <c r="A359" s="33" t="s">
        <v>7416</v>
      </c>
      <c r="B359" s="122">
        <v>45730.0</v>
      </c>
      <c r="C359" s="33">
        <v>8.0700003017E11</v>
      </c>
      <c r="D359" s="33" t="s">
        <v>7417</v>
      </c>
      <c r="E359" s="33" t="s">
        <v>7418</v>
      </c>
      <c r="F359" s="123" t="s">
        <v>7419</v>
      </c>
      <c r="G359" s="123" t="s">
        <v>247</v>
      </c>
      <c r="H359" s="123">
        <v>4400.0</v>
      </c>
      <c r="I359" s="33" t="s">
        <v>758</v>
      </c>
      <c r="J359" s="33" t="s">
        <v>759</v>
      </c>
      <c r="K359" s="33">
        <v>2.0</v>
      </c>
      <c r="L359" s="124" t="s">
        <v>7420</v>
      </c>
      <c r="M359" s="34"/>
    </row>
    <row r="360" hidden="1">
      <c r="A360" s="33" t="s">
        <v>7421</v>
      </c>
      <c r="B360" s="122">
        <v>45730.0</v>
      </c>
      <c r="C360" s="33">
        <v>8.07000030185E11</v>
      </c>
      <c r="D360" s="33" t="s">
        <v>7422</v>
      </c>
      <c r="E360" s="33" t="s">
        <v>7423</v>
      </c>
      <c r="F360" s="123" t="s">
        <v>7424</v>
      </c>
      <c r="G360" s="123" t="s">
        <v>247</v>
      </c>
      <c r="H360" s="123">
        <v>4400.0</v>
      </c>
      <c r="I360" s="33" t="s">
        <v>6961</v>
      </c>
      <c r="J360" s="33" t="s">
        <v>6962</v>
      </c>
      <c r="K360" s="33">
        <v>1.0</v>
      </c>
      <c r="L360" s="124" t="s">
        <v>7425</v>
      </c>
      <c r="M360" s="34"/>
    </row>
    <row r="361" hidden="1">
      <c r="A361" s="33" t="s">
        <v>7421</v>
      </c>
      <c r="B361" s="122">
        <v>45730.0</v>
      </c>
      <c r="C361" s="33">
        <v>8.07000030185E11</v>
      </c>
      <c r="D361" s="33" t="s">
        <v>7422</v>
      </c>
      <c r="E361" s="33" t="s">
        <v>7423</v>
      </c>
      <c r="F361" s="123" t="s">
        <v>7424</v>
      </c>
      <c r="G361" s="123" t="s">
        <v>247</v>
      </c>
      <c r="H361" s="123">
        <v>4400.0</v>
      </c>
      <c r="I361" s="33" t="s">
        <v>512</v>
      </c>
      <c r="J361" s="33" t="s">
        <v>513</v>
      </c>
      <c r="K361" s="33">
        <v>6.0</v>
      </c>
      <c r="L361" s="124" t="s">
        <v>7425</v>
      </c>
      <c r="M361" s="34"/>
    </row>
    <row r="362" hidden="1">
      <c r="A362" s="33" t="s">
        <v>7421</v>
      </c>
      <c r="B362" s="122">
        <v>45730.0</v>
      </c>
      <c r="C362" s="33">
        <v>8.07000030185E11</v>
      </c>
      <c r="D362" s="33" t="s">
        <v>7422</v>
      </c>
      <c r="E362" s="33" t="s">
        <v>7423</v>
      </c>
      <c r="F362" s="123" t="s">
        <v>7424</v>
      </c>
      <c r="G362" s="123" t="s">
        <v>247</v>
      </c>
      <c r="H362" s="123">
        <v>4400.0</v>
      </c>
      <c r="I362" s="33" t="s">
        <v>149</v>
      </c>
      <c r="J362" s="33" t="s">
        <v>150</v>
      </c>
      <c r="K362" s="33">
        <v>1.0</v>
      </c>
      <c r="L362" s="124" t="s">
        <v>7425</v>
      </c>
      <c r="M362" s="34"/>
    </row>
    <row r="363" hidden="1">
      <c r="A363" s="33" t="s">
        <v>7426</v>
      </c>
      <c r="B363" s="122">
        <v>45730.0</v>
      </c>
      <c r="C363" s="33">
        <v>8.07000030186E11</v>
      </c>
      <c r="D363" s="33" t="s">
        <v>7422</v>
      </c>
      <c r="E363" s="33" t="s">
        <v>7423</v>
      </c>
      <c r="F363" s="123" t="s">
        <v>7424</v>
      </c>
      <c r="G363" s="123" t="s">
        <v>247</v>
      </c>
      <c r="H363" s="123">
        <v>4400.0</v>
      </c>
      <c r="I363" s="33" t="s">
        <v>6961</v>
      </c>
      <c r="J363" s="33" t="s">
        <v>6962</v>
      </c>
      <c r="K363" s="33">
        <v>1.0</v>
      </c>
      <c r="L363" s="124" t="s">
        <v>7425</v>
      </c>
      <c r="M363" s="34"/>
    </row>
    <row r="364" hidden="1">
      <c r="A364" s="33" t="s">
        <v>7426</v>
      </c>
      <c r="B364" s="122">
        <v>45730.0</v>
      </c>
      <c r="C364" s="33">
        <v>8.07000030186E11</v>
      </c>
      <c r="D364" s="33" t="s">
        <v>7422</v>
      </c>
      <c r="E364" s="33" t="s">
        <v>7423</v>
      </c>
      <c r="F364" s="123" t="s">
        <v>7424</v>
      </c>
      <c r="G364" s="123" t="s">
        <v>247</v>
      </c>
      <c r="H364" s="123">
        <v>4400.0</v>
      </c>
      <c r="I364" s="33" t="s">
        <v>512</v>
      </c>
      <c r="J364" s="33" t="s">
        <v>513</v>
      </c>
      <c r="K364" s="33">
        <v>6.0</v>
      </c>
      <c r="L364" s="124" t="s">
        <v>7425</v>
      </c>
      <c r="M364" s="34"/>
    </row>
    <row r="365" hidden="1">
      <c r="A365" s="33" t="s">
        <v>7426</v>
      </c>
      <c r="B365" s="122">
        <v>45730.0</v>
      </c>
      <c r="C365" s="33">
        <v>8.07000030186E11</v>
      </c>
      <c r="D365" s="33" t="s">
        <v>7422</v>
      </c>
      <c r="E365" s="33" t="s">
        <v>7423</v>
      </c>
      <c r="F365" s="123" t="s">
        <v>7424</v>
      </c>
      <c r="G365" s="123" t="s">
        <v>247</v>
      </c>
      <c r="H365" s="123">
        <v>4400.0</v>
      </c>
      <c r="I365" s="33" t="s">
        <v>149</v>
      </c>
      <c r="J365" s="33" t="s">
        <v>150</v>
      </c>
      <c r="K365" s="33">
        <v>1.0</v>
      </c>
      <c r="L365" s="124" t="s">
        <v>7425</v>
      </c>
      <c r="M365" s="34"/>
    </row>
    <row r="366" hidden="1">
      <c r="A366" s="33" t="s">
        <v>7427</v>
      </c>
      <c r="B366" s="122">
        <v>45730.0</v>
      </c>
      <c r="C366" s="33">
        <v>8.07000030159E11</v>
      </c>
      <c r="D366" s="33" t="s">
        <v>7428</v>
      </c>
      <c r="E366" s="33" t="s">
        <v>7429</v>
      </c>
      <c r="F366" s="123" t="s">
        <v>7430</v>
      </c>
      <c r="G366" s="123" t="s">
        <v>247</v>
      </c>
      <c r="H366" s="123">
        <v>4400.0</v>
      </c>
      <c r="I366" s="33" t="s">
        <v>6343</v>
      </c>
      <c r="J366" s="33" t="s">
        <v>7431</v>
      </c>
      <c r="K366" s="33">
        <v>1.0</v>
      </c>
      <c r="L366" s="124" t="s">
        <v>7432</v>
      </c>
      <c r="M366" s="34"/>
    </row>
    <row r="367" hidden="1">
      <c r="A367" s="33" t="s">
        <v>7427</v>
      </c>
      <c r="B367" s="122">
        <v>45730.0</v>
      </c>
      <c r="C367" s="33">
        <v>8.07000030159E11</v>
      </c>
      <c r="D367" s="33" t="s">
        <v>7428</v>
      </c>
      <c r="E367" s="33" t="s">
        <v>7429</v>
      </c>
      <c r="F367" s="123" t="s">
        <v>7430</v>
      </c>
      <c r="G367" s="123" t="s">
        <v>247</v>
      </c>
      <c r="H367" s="123">
        <v>4400.0</v>
      </c>
      <c r="I367" s="33" t="s">
        <v>512</v>
      </c>
      <c r="J367" s="33" t="s">
        <v>513</v>
      </c>
      <c r="K367" s="33">
        <v>12.0</v>
      </c>
      <c r="L367" s="124" t="s">
        <v>7432</v>
      </c>
      <c r="M367" s="34"/>
    </row>
    <row r="368" hidden="1">
      <c r="A368" s="33" t="s">
        <v>7427</v>
      </c>
      <c r="B368" s="122">
        <v>45730.0</v>
      </c>
      <c r="C368" s="33">
        <v>8.07000030159E11</v>
      </c>
      <c r="D368" s="33" t="s">
        <v>7428</v>
      </c>
      <c r="E368" s="33" t="s">
        <v>7429</v>
      </c>
      <c r="F368" s="123" t="s">
        <v>7430</v>
      </c>
      <c r="G368" s="123" t="s">
        <v>247</v>
      </c>
      <c r="H368" s="123">
        <v>4400.0</v>
      </c>
      <c r="I368" s="33" t="s">
        <v>233</v>
      </c>
      <c r="J368" s="33" t="s">
        <v>234</v>
      </c>
      <c r="K368" s="33">
        <v>2.0</v>
      </c>
      <c r="L368" s="124" t="s">
        <v>7432</v>
      </c>
      <c r="M368" s="34"/>
    </row>
    <row r="369" hidden="1">
      <c r="A369" s="33" t="s">
        <v>7433</v>
      </c>
      <c r="B369" s="122">
        <v>45730.0</v>
      </c>
      <c r="C369" s="33">
        <v>8.07000030161E11</v>
      </c>
      <c r="D369" s="33" t="s">
        <v>7434</v>
      </c>
      <c r="E369" s="33" t="s">
        <v>7435</v>
      </c>
      <c r="F369" s="123" t="s">
        <v>7436</v>
      </c>
      <c r="G369" s="123" t="s">
        <v>1038</v>
      </c>
      <c r="H369" s="123"/>
      <c r="I369" s="33">
        <v>125807.0</v>
      </c>
      <c r="J369" s="33" t="s">
        <v>237</v>
      </c>
      <c r="K369" s="33">
        <v>2.0</v>
      </c>
      <c r="L369" s="124" t="s">
        <v>7437</v>
      </c>
      <c r="M369" s="34"/>
    </row>
    <row r="370" hidden="1">
      <c r="A370" s="33" t="s">
        <v>7433</v>
      </c>
      <c r="B370" s="122">
        <v>45730.0</v>
      </c>
      <c r="C370" s="33">
        <v>8.07000030161E11</v>
      </c>
      <c r="D370" s="33" t="s">
        <v>7434</v>
      </c>
      <c r="E370" s="33" t="s">
        <v>7435</v>
      </c>
      <c r="F370" s="123" t="s">
        <v>7436</v>
      </c>
      <c r="G370" s="123" t="s">
        <v>1038</v>
      </c>
      <c r="H370" s="123"/>
      <c r="I370" s="33" t="s">
        <v>617</v>
      </c>
      <c r="J370" s="33" t="s">
        <v>618</v>
      </c>
      <c r="K370" s="33">
        <v>1.0</v>
      </c>
      <c r="L370" s="124" t="s">
        <v>7437</v>
      </c>
      <c r="M370" s="34"/>
    </row>
    <row r="371" hidden="1">
      <c r="A371" s="33" t="s">
        <v>7433</v>
      </c>
      <c r="B371" s="122">
        <v>45730.0</v>
      </c>
      <c r="C371" s="33">
        <v>8.07000030161E11</v>
      </c>
      <c r="D371" s="33" t="s">
        <v>7434</v>
      </c>
      <c r="E371" s="33" t="s">
        <v>7435</v>
      </c>
      <c r="F371" s="123" t="s">
        <v>7436</v>
      </c>
      <c r="G371" s="123" t="s">
        <v>1038</v>
      </c>
      <c r="H371" s="123"/>
      <c r="I371" s="33" t="s">
        <v>512</v>
      </c>
      <c r="J371" s="33" t="s">
        <v>513</v>
      </c>
      <c r="K371" s="33">
        <v>12.0</v>
      </c>
      <c r="L371" s="124" t="s">
        <v>7437</v>
      </c>
      <c r="M371" s="34"/>
    </row>
    <row r="372" hidden="1">
      <c r="A372" s="33" t="s">
        <v>7433</v>
      </c>
      <c r="B372" s="122">
        <v>45730.0</v>
      </c>
      <c r="C372" s="33">
        <v>8.07000030161E11</v>
      </c>
      <c r="D372" s="33" t="s">
        <v>7434</v>
      </c>
      <c r="E372" s="33" t="s">
        <v>7435</v>
      </c>
      <c r="F372" s="123" t="s">
        <v>7436</v>
      </c>
      <c r="G372" s="123" t="s">
        <v>1038</v>
      </c>
      <c r="H372" s="123"/>
      <c r="I372" s="33" t="s">
        <v>645</v>
      </c>
      <c r="J372" s="33" t="s">
        <v>646</v>
      </c>
      <c r="K372" s="33">
        <v>2.0</v>
      </c>
      <c r="L372" s="124" t="s">
        <v>7437</v>
      </c>
      <c r="M372" s="34"/>
    </row>
    <row r="373" hidden="1">
      <c r="A373" s="33" t="s">
        <v>7438</v>
      </c>
      <c r="B373" s="122">
        <v>45731.0</v>
      </c>
      <c r="C373" s="33">
        <v>8.07025030116E11</v>
      </c>
      <c r="D373" s="33" t="s">
        <v>2945</v>
      </c>
      <c r="E373" s="33" t="s">
        <v>2946</v>
      </c>
      <c r="F373" s="123" t="s">
        <v>2947</v>
      </c>
      <c r="G373" s="123" t="s">
        <v>247</v>
      </c>
      <c r="H373" s="123">
        <v>4400.0</v>
      </c>
      <c r="I373" s="33" t="s">
        <v>1040</v>
      </c>
      <c r="J373" s="33" t="s">
        <v>1041</v>
      </c>
      <c r="K373" s="33">
        <v>1.0</v>
      </c>
      <c r="L373" s="124" t="s">
        <v>7439</v>
      </c>
      <c r="M373" s="34"/>
    </row>
    <row r="374" hidden="1">
      <c r="A374" s="33" t="s">
        <v>7438</v>
      </c>
      <c r="B374" s="122">
        <v>45731.0</v>
      </c>
      <c r="C374" s="33">
        <v>8.07025030116E11</v>
      </c>
      <c r="D374" s="33" t="s">
        <v>2945</v>
      </c>
      <c r="E374" s="33" t="s">
        <v>2946</v>
      </c>
      <c r="F374" s="123" t="s">
        <v>2947</v>
      </c>
      <c r="G374" s="123" t="s">
        <v>247</v>
      </c>
      <c r="H374" s="123">
        <v>4400.0</v>
      </c>
      <c r="I374" s="33" t="s">
        <v>512</v>
      </c>
      <c r="J374" s="33" t="s">
        <v>513</v>
      </c>
      <c r="K374" s="33">
        <v>6.0</v>
      </c>
      <c r="L374" s="124" t="s">
        <v>7439</v>
      </c>
      <c r="M374" s="34"/>
    </row>
    <row r="375" hidden="1">
      <c r="A375" s="33" t="s">
        <v>7438</v>
      </c>
      <c r="B375" s="122">
        <v>45731.0</v>
      </c>
      <c r="C375" s="33">
        <v>8.07025030116E11</v>
      </c>
      <c r="D375" s="33" t="s">
        <v>2945</v>
      </c>
      <c r="E375" s="33" t="s">
        <v>2946</v>
      </c>
      <c r="F375" s="123" t="s">
        <v>2947</v>
      </c>
      <c r="G375" s="123" t="s">
        <v>247</v>
      </c>
      <c r="H375" s="123">
        <v>4400.0</v>
      </c>
      <c r="I375" s="33" t="s">
        <v>2031</v>
      </c>
      <c r="J375" s="33" t="s">
        <v>2032</v>
      </c>
      <c r="K375" s="33">
        <v>1.0</v>
      </c>
      <c r="L375" s="124" t="s">
        <v>7439</v>
      </c>
      <c r="M375" s="34"/>
    </row>
    <row r="376" hidden="1">
      <c r="A376" s="33" t="s">
        <v>7440</v>
      </c>
      <c r="B376" s="122">
        <v>45731.0</v>
      </c>
      <c r="C376" s="33">
        <v>8.07000030201E11</v>
      </c>
      <c r="D376" s="33" t="s">
        <v>7441</v>
      </c>
      <c r="E376" s="33" t="s">
        <v>7442</v>
      </c>
      <c r="F376" s="123" t="s">
        <v>7443</v>
      </c>
      <c r="G376" s="123" t="s">
        <v>247</v>
      </c>
      <c r="H376" s="123">
        <v>4400.0</v>
      </c>
      <c r="I376" s="33" t="s">
        <v>1061</v>
      </c>
      <c r="J376" s="33" t="s">
        <v>1062</v>
      </c>
      <c r="K376" s="33">
        <v>1.0</v>
      </c>
      <c r="L376" s="124" t="s">
        <v>7444</v>
      </c>
      <c r="M376" s="34"/>
    </row>
    <row r="377" hidden="1">
      <c r="A377" s="33" t="s">
        <v>7440</v>
      </c>
      <c r="B377" s="122">
        <v>45731.0</v>
      </c>
      <c r="C377" s="33">
        <v>8.07000030202E11</v>
      </c>
      <c r="D377" s="33" t="s">
        <v>7441</v>
      </c>
      <c r="E377" s="33" t="s">
        <v>7442</v>
      </c>
      <c r="F377" s="123" t="s">
        <v>7443</v>
      </c>
      <c r="G377" s="123" t="s">
        <v>247</v>
      </c>
      <c r="H377" s="123">
        <v>4400.0</v>
      </c>
      <c r="I377" s="33" t="s">
        <v>1843</v>
      </c>
      <c r="J377" s="33" t="s">
        <v>1844</v>
      </c>
      <c r="K377" s="33">
        <v>1.0</v>
      </c>
      <c r="L377" s="124" t="s">
        <v>7444</v>
      </c>
      <c r="M377" s="34"/>
    </row>
    <row r="378" hidden="1">
      <c r="A378" s="33" t="s">
        <v>7445</v>
      </c>
      <c r="B378" s="122">
        <v>45731.0</v>
      </c>
      <c r="C378" s="33">
        <v>8.07000030203E11</v>
      </c>
      <c r="D378" s="33" t="s">
        <v>7441</v>
      </c>
      <c r="E378" s="33" t="s">
        <v>7442</v>
      </c>
      <c r="F378" s="123" t="s">
        <v>7443</v>
      </c>
      <c r="G378" s="123" t="s">
        <v>247</v>
      </c>
      <c r="H378" s="123">
        <v>4400.0</v>
      </c>
      <c r="I378" s="33" t="s">
        <v>2135</v>
      </c>
      <c r="J378" s="33" t="s">
        <v>2136</v>
      </c>
      <c r="K378" s="33">
        <v>1.0</v>
      </c>
      <c r="L378" s="124" t="s">
        <v>7444</v>
      </c>
      <c r="M378" s="34"/>
    </row>
    <row r="379" hidden="1">
      <c r="A379" s="33" t="s">
        <v>7445</v>
      </c>
      <c r="B379" s="122">
        <v>45731.0</v>
      </c>
      <c r="C379" s="33">
        <v>8.07000030203E11</v>
      </c>
      <c r="D379" s="33" t="s">
        <v>7441</v>
      </c>
      <c r="E379" s="33" t="s">
        <v>7442</v>
      </c>
      <c r="F379" s="123" t="s">
        <v>7443</v>
      </c>
      <c r="G379" s="123" t="s">
        <v>247</v>
      </c>
      <c r="H379" s="123">
        <v>4400.0</v>
      </c>
      <c r="I379" s="33" t="s">
        <v>512</v>
      </c>
      <c r="J379" s="33" t="s">
        <v>513</v>
      </c>
      <c r="K379" s="33">
        <v>6.0</v>
      </c>
      <c r="L379" s="124" t="s">
        <v>7444</v>
      </c>
      <c r="M379" s="34"/>
    </row>
    <row r="380" hidden="1">
      <c r="A380" s="33" t="s">
        <v>7446</v>
      </c>
      <c r="B380" s="122">
        <v>45731.0</v>
      </c>
      <c r="C380" s="33">
        <v>8.07000030199E11</v>
      </c>
      <c r="D380" s="33" t="s">
        <v>7447</v>
      </c>
      <c r="E380" s="33" t="s">
        <v>7448</v>
      </c>
      <c r="F380" s="123" t="s">
        <v>7449</v>
      </c>
      <c r="G380" s="123" t="s">
        <v>539</v>
      </c>
      <c r="H380" s="123">
        <v>4405.0</v>
      </c>
      <c r="I380" s="33" t="s">
        <v>3054</v>
      </c>
      <c r="J380" s="33" t="s">
        <v>3055</v>
      </c>
      <c r="K380" s="33">
        <v>1.0</v>
      </c>
      <c r="L380" s="124" t="s">
        <v>7450</v>
      </c>
      <c r="M380" s="34"/>
    </row>
    <row r="381" hidden="1">
      <c r="A381" s="33" t="s">
        <v>7446</v>
      </c>
      <c r="B381" s="122">
        <v>45731.0</v>
      </c>
      <c r="C381" s="33">
        <v>8.07000030199E11</v>
      </c>
      <c r="D381" s="33" t="s">
        <v>7447</v>
      </c>
      <c r="E381" s="33" t="s">
        <v>7448</v>
      </c>
      <c r="F381" s="123" t="s">
        <v>7449</v>
      </c>
      <c r="G381" s="123" t="s">
        <v>539</v>
      </c>
      <c r="H381" s="123">
        <v>4405.0</v>
      </c>
      <c r="I381" s="33" t="s">
        <v>512</v>
      </c>
      <c r="J381" s="33" t="s">
        <v>513</v>
      </c>
      <c r="K381" s="33">
        <v>6.0</v>
      </c>
      <c r="L381" s="124" t="s">
        <v>7450</v>
      </c>
      <c r="M381" s="34"/>
    </row>
    <row r="382" hidden="1">
      <c r="A382" s="33" t="s">
        <v>7446</v>
      </c>
      <c r="B382" s="122">
        <v>45731.0</v>
      </c>
      <c r="C382" s="33">
        <v>8.07000030199E11</v>
      </c>
      <c r="D382" s="33" t="s">
        <v>7447</v>
      </c>
      <c r="E382" s="33" t="s">
        <v>7448</v>
      </c>
      <c r="F382" s="123" t="s">
        <v>7449</v>
      </c>
      <c r="G382" s="123" t="s">
        <v>539</v>
      </c>
      <c r="H382" s="123">
        <v>4405.0</v>
      </c>
      <c r="I382" s="33" t="s">
        <v>2031</v>
      </c>
      <c r="J382" s="33" t="s">
        <v>2032</v>
      </c>
      <c r="K382" s="33">
        <v>1.0</v>
      </c>
      <c r="L382" s="124" t="s">
        <v>7450</v>
      </c>
      <c r="M382" s="34"/>
    </row>
    <row r="383" hidden="1">
      <c r="A383" s="33" t="s">
        <v>7451</v>
      </c>
      <c r="B383" s="122">
        <v>45731.0</v>
      </c>
      <c r="C383" s="33">
        <v>8.07000030195E11</v>
      </c>
      <c r="D383" s="33" t="s">
        <v>7452</v>
      </c>
      <c r="E383" s="33" t="s">
        <v>7453</v>
      </c>
      <c r="F383" s="123" t="s">
        <v>7454</v>
      </c>
      <c r="G383" s="123" t="s">
        <v>247</v>
      </c>
      <c r="H383" s="123">
        <v>4400.0</v>
      </c>
      <c r="I383" s="33" t="s">
        <v>1756</v>
      </c>
      <c r="J383" s="33" t="s">
        <v>1757</v>
      </c>
      <c r="K383" s="33">
        <v>1.0</v>
      </c>
      <c r="L383" s="124" t="s">
        <v>7455</v>
      </c>
      <c r="M383" s="34"/>
    </row>
    <row r="384" hidden="1">
      <c r="A384" s="33" t="s">
        <v>7451</v>
      </c>
      <c r="B384" s="122">
        <v>45731.0</v>
      </c>
      <c r="C384" s="33">
        <v>8.07000030195E11</v>
      </c>
      <c r="D384" s="33" t="s">
        <v>7452</v>
      </c>
      <c r="E384" s="33" t="s">
        <v>7453</v>
      </c>
      <c r="F384" s="123" t="s">
        <v>7454</v>
      </c>
      <c r="G384" s="123" t="s">
        <v>247</v>
      </c>
      <c r="H384" s="123">
        <v>4400.0</v>
      </c>
      <c r="I384" s="33" t="s">
        <v>7456</v>
      </c>
      <c r="J384" s="33" t="s">
        <v>7457</v>
      </c>
      <c r="K384" s="33">
        <v>1.0</v>
      </c>
      <c r="L384" s="124" t="s">
        <v>7455</v>
      </c>
      <c r="M384" s="34"/>
    </row>
    <row r="385" hidden="1">
      <c r="A385" s="33" t="s">
        <v>7458</v>
      </c>
      <c r="B385" s="122">
        <v>45731.0</v>
      </c>
      <c r="C385" s="33">
        <v>8.07000030127E11</v>
      </c>
      <c r="D385" s="33" t="s">
        <v>4828</v>
      </c>
      <c r="E385" s="33" t="s">
        <v>4829</v>
      </c>
      <c r="F385" s="123" t="s">
        <v>7459</v>
      </c>
      <c r="G385" s="123" t="s">
        <v>1038</v>
      </c>
      <c r="H385" s="123">
        <v>4401.0</v>
      </c>
      <c r="I385" s="33" t="s">
        <v>7460</v>
      </c>
      <c r="J385" s="33" t="s">
        <v>7461</v>
      </c>
      <c r="K385" s="33">
        <v>1.0</v>
      </c>
      <c r="L385" s="124" t="s">
        <v>7462</v>
      </c>
      <c r="M385" s="34"/>
    </row>
    <row r="386" hidden="1">
      <c r="A386" s="33" t="s">
        <v>7458</v>
      </c>
      <c r="B386" s="122">
        <v>45731.0</v>
      </c>
      <c r="C386" s="33">
        <v>8.07000030127E11</v>
      </c>
      <c r="D386" s="33" t="s">
        <v>4828</v>
      </c>
      <c r="E386" s="33" t="s">
        <v>4829</v>
      </c>
      <c r="F386" s="123" t="s">
        <v>7459</v>
      </c>
      <c r="G386" s="123" t="s">
        <v>1038</v>
      </c>
      <c r="H386" s="123">
        <v>4401.0</v>
      </c>
      <c r="I386" s="33" t="s">
        <v>4133</v>
      </c>
      <c r="J386" s="33" t="s">
        <v>7463</v>
      </c>
      <c r="K386" s="33">
        <v>1.0</v>
      </c>
      <c r="L386" s="124" t="s">
        <v>7462</v>
      </c>
      <c r="M386" s="34"/>
    </row>
    <row r="387" hidden="1">
      <c r="A387" s="33" t="s">
        <v>7464</v>
      </c>
      <c r="B387" s="122">
        <v>45732.0</v>
      </c>
      <c r="C387" s="33">
        <v>8.07000030225E11</v>
      </c>
      <c r="D387" s="33" t="s">
        <v>7465</v>
      </c>
      <c r="E387" s="33" t="s">
        <v>7466</v>
      </c>
      <c r="F387" s="123" t="s">
        <v>7467</v>
      </c>
      <c r="G387" s="123" t="s">
        <v>247</v>
      </c>
      <c r="H387" s="123">
        <v>4400.0</v>
      </c>
      <c r="I387" s="33" t="s">
        <v>6343</v>
      </c>
      <c r="J387" s="33" t="s">
        <v>7431</v>
      </c>
      <c r="K387" s="33">
        <v>1.0</v>
      </c>
      <c r="L387" s="124" t="s">
        <v>7468</v>
      </c>
      <c r="M387" s="34"/>
    </row>
    <row r="388" hidden="1">
      <c r="A388" s="33" t="s">
        <v>7464</v>
      </c>
      <c r="B388" s="122">
        <v>45732.0</v>
      </c>
      <c r="C388" s="33">
        <v>8.07000030225E11</v>
      </c>
      <c r="D388" s="33" t="s">
        <v>7465</v>
      </c>
      <c r="E388" s="33" t="s">
        <v>7466</v>
      </c>
      <c r="F388" s="123" t="s">
        <v>7467</v>
      </c>
      <c r="G388" s="123" t="s">
        <v>247</v>
      </c>
      <c r="H388" s="123">
        <v>4400.0</v>
      </c>
      <c r="I388" s="33" t="s">
        <v>512</v>
      </c>
      <c r="J388" s="33" t="s">
        <v>513</v>
      </c>
      <c r="K388" s="33">
        <v>12.0</v>
      </c>
      <c r="L388" s="124" t="s">
        <v>7468</v>
      </c>
      <c r="M388" s="34"/>
    </row>
    <row r="389" hidden="1">
      <c r="A389" s="33" t="s">
        <v>7464</v>
      </c>
      <c r="B389" s="122">
        <v>45732.0</v>
      </c>
      <c r="C389" s="33">
        <v>8.07000030225E11</v>
      </c>
      <c r="D389" s="33" t="s">
        <v>7465</v>
      </c>
      <c r="E389" s="33" t="s">
        <v>7466</v>
      </c>
      <c r="F389" s="123" t="s">
        <v>7467</v>
      </c>
      <c r="G389" s="123" t="s">
        <v>247</v>
      </c>
      <c r="H389" s="123">
        <v>4400.0</v>
      </c>
      <c r="I389" s="33" t="s">
        <v>233</v>
      </c>
      <c r="J389" s="33" t="s">
        <v>234</v>
      </c>
      <c r="K389" s="33">
        <v>2.0</v>
      </c>
      <c r="L389" s="124" t="s">
        <v>7468</v>
      </c>
      <c r="M389" s="34"/>
    </row>
    <row r="390" hidden="1">
      <c r="A390" s="33" t="s">
        <v>7469</v>
      </c>
      <c r="B390" s="122">
        <v>45735.0</v>
      </c>
      <c r="C390" s="33">
        <v>8.07000030187E11</v>
      </c>
      <c r="D390" s="33" t="s">
        <v>7470</v>
      </c>
      <c r="E390" s="33" t="s">
        <v>7471</v>
      </c>
      <c r="F390" s="123" t="s">
        <v>7472</v>
      </c>
      <c r="G390" s="123" t="s">
        <v>247</v>
      </c>
      <c r="H390" s="123">
        <v>4400.0</v>
      </c>
      <c r="I390" s="33" t="s">
        <v>2956</v>
      </c>
      <c r="J390" s="33" t="s">
        <v>2957</v>
      </c>
      <c r="K390" s="33">
        <v>1.0</v>
      </c>
      <c r="L390" s="124" t="s">
        <v>7473</v>
      </c>
      <c r="M390" s="34"/>
    </row>
    <row r="391" hidden="1">
      <c r="A391" s="33" t="s">
        <v>7469</v>
      </c>
      <c r="B391" s="122">
        <v>45735.0</v>
      </c>
      <c r="C391" s="33">
        <v>8.07000030188E11</v>
      </c>
      <c r="D391" s="33" t="s">
        <v>7470</v>
      </c>
      <c r="E391" s="33" t="s">
        <v>7471</v>
      </c>
      <c r="F391" s="123" t="s">
        <v>7472</v>
      </c>
      <c r="G391" s="123" t="s">
        <v>247</v>
      </c>
      <c r="H391" s="123">
        <v>4400.0</v>
      </c>
      <c r="I391" s="33" t="s">
        <v>1452</v>
      </c>
      <c r="J391" s="33" t="s">
        <v>1453</v>
      </c>
      <c r="K391" s="33">
        <v>2.0</v>
      </c>
      <c r="L391" s="124" t="s">
        <v>7473</v>
      </c>
      <c r="M391" s="34"/>
    </row>
    <row r="392" hidden="1">
      <c r="A392" s="33" t="s">
        <v>7474</v>
      </c>
      <c r="B392" s="122">
        <v>45735.0</v>
      </c>
      <c r="C392" s="33">
        <v>8.0700003021E11</v>
      </c>
      <c r="D392" s="33" t="s">
        <v>7475</v>
      </c>
      <c r="E392" s="33" t="s">
        <v>7476</v>
      </c>
      <c r="F392" s="123" t="s">
        <v>7477</v>
      </c>
      <c r="G392" s="123" t="s">
        <v>247</v>
      </c>
      <c r="H392" s="123">
        <v>4400.0</v>
      </c>
      <c r="I392" s="33" t="s">
        <v>2537</v>
      </c>
      <c r="J392" s="33" t="s">
        <v>2538</v>
      </c>
      <c r="K392" s="33">
        <v>1.0</v>
      </c>
      <c r="L392" s="124" t="s">
        <v>7478</v>
      </c>
      <c r="M392" s="34"/>
    </row>
    <row r="393" hidden="1">
      <c r="A393" s="33" t="s">
        <v>7479</v>
      </c>
      <c r="B393" s="122">
        <v>45735.0</v>
      </c>
      <c r="C393" s="33">
        <v>8.07000030234E11</v>
      </c>
      <c r="D393" s="33" t="s">
        <v>7480</v>
      </c>
      <c r="E393" s="33" t="s">
        <v>7481</v>
      </c>
      <c r="F393" s="123" t="s">
        <v>7482</v>
      </c>
      <c r="G393" s="123" t="s">
        <v>7483</v>
      </c>
      <c r="H393" s="123"/>
      <c r="I393" s="33" t="s">
        <v>2686</v>
      </c>
      <c r="J393" s="33" t="s">
        <v>2687</v>
      </c>
      <c r="K393" s="33">
        <v>1.0</v>
      </c>
      <c r="L393" s="124" t="s">
        <v>7484</v>
      </c>
      <c r="M393" s="34"/>
    </row>
    <row r="394" hidden="1">
      <c r="A394" s="33" t="s">
        <v>7479</v>
      </c>
      <c r="B394" s="122">
        <v>45735.0</v>
      </c>
      <c r="C394" s="33">
        <v>8.07000030234E11</v>
      </c>
      <c r="D394" s="33" t="s">
        <v>7480</v>
      </c>
      <c r="E394" s="33" t="s">
        <v>7481</v>
      </c>
      <c r="F394" s="123" t="s">
        <v>7482</v>
      </c>
      <c r="G394" s="123" t="s">
        <v>7483</v>
      </c>
      <c r="H394" s="123"/>
      <c r="I394" s="33" t="s">
        <v>5638</v>
      </c>
      <c r="J394" s="33" t="s">
        <v>5639</v>
      </c>
      <c r="K394" s="33">
        <v>1.0</v>
      </c>
      <c r="L394" s="124" t="s">
        <v>7484</v>
      </c>
      <c r="M394" s="34"/>
    </row>
    <row r="395" hidden="1">
      <c r="A395" s="33" t="s">
        <v>7479</v>
      </c>
      <c r="B395" s="122">
        <v>45735.0</v>
      </c>
      <c r="C395" s="33">
        <v>8.07000030234E11</v>
      </c>
      <c r="D395" s="33" t="s">
        <v>7480</v>
      </c>
      <c r="E395" s="33" t="s">
        <v>7481</v>
      </c>
      <c r="F395" s="123" t="s">
        <v>7482</v>
      </c>
      <c r="G395" s="123" t="s">
        <v>7483</v>
      </c>
      <c r="H395" s="123"/>
      <c r="I395" s="33" t="s">
        <v>512</v>
      </c>
      <c r="J395" s="33" t="s">
        <v>513</v>
      </c>
      <c r="K395" s="33">
        <v>6.0</v>
      </c>
      <c r="L395" s="124" t="s">
        <v>7484</v>
      </c>
      <c r="M395" s="34"/>
    </row>
    <row r="396" hidden="1">
      <c r="A396" s="33" t="s">
        <v>7479</v>
      </c>
      <c r="B396" s="122">
        <v>45735.0</v>
      </c>
      <c r="C396" s="33">
        <v>8.07000030234E11</v>
      </c>
      <c r="D396" s="33" t="s">
        <v>7480</v>
      </c>
      <c r="E396" s="33" t="s">
        <v>7481</v>
      </c>
      <c r="F396" s="123" t="s">
        <v>7482</v>
      </c>
      <c r="G396" s="123" t="s">
        <v>7483</v>
      </c>
      <c r="H396" s="123"/>
      <c r="I396" s="33" t="s">
        <v>35</v>
      </c>
      <c r="J396" s="33" t="s">
        <v>36</v>
      </c>
      <c r="K396" s="33">
        <v>1.0</v>
      </c>
      <c r="L396" s="124" t="s">
        <v>7484</v>
      </c>
      <c r="M396" s="34"/>
    </row>
    <row r="397" hidden="1">
      <c r="A397" s="33" t="s">
        <v>7485</v>
      </c>
      <c r="B397" s="122">
        <v>45735.0</v>
      </c>
      <c r="C397" s="33">
        <v>8.05011520331E11</v>
      </c>
      <c r="D397" s="33" t="s">
        <v>7486</v>
      </c>
      <c r="E397" s="33" t="s">
        <v>7487</v>
      </c>
      <c r="F397" s="123" t="s">
        <v>7488</v>
      </c>
      <c r="G397" s="123" t="s">
        <v>247</v>
      </c>
      <c r="H397" s="123">
        <v>4400.0</v>
      </c>
      <c r="I397" s="33" t="s">
        <v>3205</v>
      </c>
      <c r="J397" s="33" t="s">
        <v>7489</v>
      </c>
      <c r="K397" s="33">
        <v>1.0</v>
      </c>
      <c r="L397" s="124" t="s">
        <v>7490</v>
      </c>
      <c r="M397" s="34"/>
    </row>
    <row r="398" hidden="1">
      <c r="A398" s="33" t="s">
        <v>7491</v>
      </c>
      <c r="B398" s="122">
        <v>45735.0</v>
      </c>
      <c r="C398" s="33">
        <v>8.0700003024E11</v>
      </c>
      <c r="D398" s="33" t="s">
        <v>7492</v>
      </c>
      <c r="E398" s="33" t="s">
        <v>7493</v>
      </c>
      <c r="F398" s="123" t="s">
        <v>7494</v>
      </c>
      <c r="G398" s="123" t="s">
        <v>247</v>
      </c>
      <c r="H398" s="123">
        <v>4400.0</v>
      </c>
      <c r="I398" s="33" t="s">
        <v>761</v>
      </c>
      <c r="J398" s="33" t="s">
        <v>762</v>
      </c>
      <c r="K398" s="33">
        <v>1.0</v>
      </c>
      <c r="L398" s="124" t="s">
        <v>7495</v>
      </c>
      <c r="M398" s="34"/>
    </row>
    <row r="399" hidden="1">
      <c r="A399" s="33" t="s">
        <v>7491</v>
      </c>
      <c r="B399" s="122">
        <v>45735.0</v>
      </c>
      <c r="C399" s="33">
        <v>8.0700003024E11</v>
      </c>
      <c r="D399" s="33" t="s">
        <v>7492</v>
      </c>
      <c r="E399" s="33" t="s">
        <v>7493</v>
      </c>
      <c r="F399" s="123" t="s">
        <v>7494</v>
      </c>
      <c r="G399" s="123" t="s">
        <v>247</v>
      </c>
      <c r="H399" s="123">
        <v>4400.0</v>
      </c>
      <c r="I399" s="33" t="s">
        <v>512</v>
      </c>
      <c r="J399" s="33" t="s">
        <v>513</v>
      </c>
      <c r="K399" s="33">
        <v>12.0</v>
      </c>
      <c r="L399" s="124" t="s">
        <v>7495</v>
      </c>
      <c r="M399" s="34"/>
    </row>
    <row r="400" hidden="1">
      <c r="A400" s="33" t="s">
        <v>7491</v>
      </c>
      <c r="B400" s="122">
        <v>45735.0</v>
      </c>
      <c r="C400" s="33">
        <v>8.0700003024E11</v>
      </c>
      <c r="D400" s="33" t="s">
        <v>7492</v>
      </c>
      <c r="E400" s="33" t="s">
        <v>7493</v>
      </c>
      <c r="F400" s="123" t="s">
        <v>7494</v>
      </c>
      <c r="G400" s="123" t="s">
        <v>247</v>
      </c>
      <c r="H400" s="123">
        <v>4400.0</v>
      </c>
      <c r="I400" s="33" t="s">
        <v>758</v>
      </c>
      <c r="J400" s="33" t="s">
        <v>759</v>
      </c>
      <c r="K400" s="33">
        <v>2.0</v>
      </c>
      <c r="L400" s="124" t="s">
        <v>7495</v>
      </c>
      <c r="M400" s="34"/>
    </row>
    <row r="401" hidden="1">
      <c r="A401" s="33" t="s">
        <v>7496</v>
      </c>
      <c r="B401" s="122">
        <v>45735.0</v>
      </c>
      <c r="C401" s="33">
        <v>8.06015089743E11</v>
      </c>
      <c r="D401" s="33" t="s">
        <v>7497</v>
      </c>
      <c r="E401" s="33" t="s">
        <v>7498</v>
      </c>
      <c r="F401" s="123" t="s">
        <v>7499</v>
      </c>
      <c r="G401" s="123" t="s">
        <v>247</v>
      </c>
      <c r="H401" s="123">
        <v>4400.0</v>
      </c>
      <c r="I401" s="33" t="s">
        <v>659</v>
      </c>
      <c r="J401" s="33" t="s">
        <v>660</v>
      </c>
      <c r="K401" s="33">
        <v>1.0</v>
      </c>
      <c r="L401" s="124" t="s">
        <v>7500</v>
      </c>
      <c r="M401" s="34"/>
    </row>
    <row r="402" hidden="1">
      <c r="A402" s="33" t="s">
        <v>7501</v>
      </c>
      <c r="B402" s="122">
        <v>45735.0</v>
      </c>
      <c r="C402" s="33">
        <v>8.07000030237E11</v>
      </c>
      <c r="D402" s="33" t="s">
        <v>7502</v>
      </c>
      <c r="E402" s="33" t="s">
        <v>7503</v>
      </c>
      <c r="F402" s="123" t="s">
        <v>7504</v>
      </c>
      <c r="G402" s="123" t="s">
        <v>7505</v>
      </c>
      <c r="H402" s="123">
        <v>4430.0</v>
      </c>
      <c r="I402" s="33" t="s">
        <v>2397</v>
      </c>
      <c r="J402" s="33" t="s">
        <v>2398</v>
      </c>
      <c r="K402" s="33">
        <v>1.0</v>
      </c>
      <c r="L402" s="124" t="s">
        <v>7506</v>
      </c>
      <c r="M402" s="34"/>
    </row>
    <row r="403" hidden="1">
      <c r="A403" s="33" t="s">
        <v>7501</v>
      </c>
      <c r="B403" s="122">
        <v>45735.0</v>
      </c>
      <c r="C403" s="33">
        <v>8.07000030237E11</v>
      </c>
      <c r="D403" s="33" t="s">
        <v>7502</v>
      </c>
      <c r="E403" s="33" t="s">
        <v>7503</v>
      </c>
      <c r="F403" s="123" t="s">
        <v>7504</v>
      </c>
      <c r="G403" s="123" t="s">
        <v>7505</v>
      </c>
      <c r="H403" s="123">
        <v>4430.0</v>
      </c>
      <c r="I403" s="33" t="s">
        <v>512</v>
      </c>
      <c r="J403" s="33" t="s">
        <v>513</v>
      </c>
      <c r="K403" s="33">
        <v>6.0</v>
      </c>
      <c r="L403" s="124" t="s">
        <v>7506</v>
      </c>
      <c r="M403" s="34"/>
    </row>
    <row r="404" hidden="1">
      <c r="A404" s="33" t="s">
        <v>7501</v>
      </c>
      <c r="B404" s="122">
        <v>45735.0</v>
      </c>
      <c r="C404" s="33">
        <v>8.07000030237E11</v>
      </c>
      <c r="D404" s="33" t="s">
        <v>7502</v>
      </c>
      <c r="E404" s="33" t="s">
        <v>7503</v>
      </c>
      <c r="F404" s="123" t="s">
        <v>7504</v>
      </c>
      <c r="G404" s="123" t="s">
        <v>7505</v>
      </c>
      <c r="H404" s="123">
        <v>4430.0</v>
      </c>
      <c r="I404" s="33" t="s">
        <v>969</v>
      </c>
      <c r="J404" s="33" t="s">
        <v>970</v>
      </c>
      <c r="K404" s="33">
        <v>1.0</v>
      </c>
      <c r="L404" s="124" t="s">
        <v>7506</v>
      </c>
      <c r="M404" s="34"/>
    </row>
    <row r="405" hidden="1">
      <c r="A405" s="33" t="s">
        <v>7507</v>
      </c>
      <c r="B405" s="122">
        <v>45736.0</v>
      </c>
      <c r="C405" s="33">
        <v>8.07000030178E11</v>
      </c>
      <c r="D405" s="33" t="s">
        <v>7508</v>
      </c>
      <c r="E405" s="33" t="s">
        <v>7509</v>
      </c>
      <c r="F405" s="123" t="s">
        <v>7510</v>
      </c>
      <c r="G405" s="123" t="s">
        <v>376</v>
      </c>
      <c r="H405" s="123">
        <v>4421.0</v>
      </c>
      <c r="I405" s="33" t="s">
        <v>7511</v>
      </c>
      <c r="J405" s="33" t="s">
        <v>33</v>
      </c>
      <c r="K405" s="33">
        <v>1.0</v>
      </c>
      <c r="L405" s="124" t="s">
        <v>7512</v>
      </c>
      <c r="M405" s="34"/>
    </row>
    <row r="406" hidden="1">
      <c r="A406" s="33" t="s">
        <v>7507</v>
      </c>
      <c r="B406" s="122">
        <v>45736.0</v>
      </c>
      <c r="C406" s="33">
        <v>8.07000030178E11</v>
      </c>
      <c r="D406" s="33" t="s">
        <v>7508</v>
      </c>
      <c r="E406" s="33" t="s">
        <v>7509</v>
      </c>
      <c r="F406" s="123" t="s">
        <v>7510</v>
      </c>
      <c r="G406" s="123" t="s">
        <v>376</v>
      </c>
      <c r="H406" s="123">
        <v>4421.0</v>
      </c>
      <c r="I406" s="33" t="s">
        <v>512</v>
      </c>
      <c r="J406" s="33" t="s">
        <v>513</v>
      </c>
      <c r="K406" s="33">
        <v>6.0</v>
      </c>
      <c r="L406" s="124" t="s">
        <v>7512</v>
      </c>
      <c r="M406" s="34"/>
    </row>
    <row r="407" hidden="1">
      <c r="A407" s="33" t="s">
        <v>7507</v>
      </c>
      <c r="B407" s="122">
        <v>45736.0</v>
      </c>
      <c r="C407" s="33">
        <v>8.07000030178E11</v>
      </c>
      <c r="D407" s="33" t="s">
        <v>7508</v>
      </c>
      <c r="E407" s="33" t="s">
        <v>7509</v>
      </c>
      <c r="F407" s="123" t="s">
        <v>7510</v>
      </c>
      <c r="G407" s="123" t="s">
        <v>376</v>
      </c>
      <c r="H407" s="123">
        <v>4421.0</v>
      </c>
      <c r="I407" s="33" t="s">
        <v>670</v>
      </c>
      <c r="J407" s="33" t="s">
        <v>671</v>
      </c>
      <c r="K407" s="33">
        <v>1.0</v>
      </c>
      <c r="L407" s="124" t="s">
        <v>7512</v>
      </c>
      <c r="M407" s="34"/>
    </row>
    <row r="408" hidden="1">
      <c r="A408" s="33" t="s">
        <v>7513</v>
      </c>
      <c r="B408" s="122">
        <v>45736.0</v>
      </c>
      <c r="C408" s="33">
        <v>8.07000030258E11</v>
      </c>
      <c r="D408" s="33" t="s">
        <v>7514</v>
      </c>
      <c r="E408" s="33" t="s">
        <v>7515</v>
      </c>
      <c r="F408" s="123" t="s">
        <v>7516</v>
      </c>
      <c r="G408" s="123" t="s">
        <v>247</v>
      </c>
      <c r="H408" s="123">
        <v>4400.0</v>
      </c>
      <c r="I408" s="33" t="s">
        <v>659</v>
      </c>
      <c r="J408" s="33" t="s">
        <v>7517</v>
      </c>
      <c r="K408" s="33">
        <v>1.0</v>
      </c>
      <c r="L408" s="124" t="s">
        <v>7518</v>
      </c>
      <c r="M408" s="34"/>
    </row>
    <row r="409" hidden="1">
      <c r="A409" s="33" t="s">
        <v>7519</v>
      </c>
      <c r="B409" s="122">
        <v>45736.0</v>
      </c>
      <c r="C409" s="33">
        <v>8.07000030265E11</v>
      </c>
      <c r="D409" s="33" t="s">
        <v>7520</v>
      </c>
      <c r="E409" s="33" t="s">
        <v>7521</v>
      </c>
      <c r="F409" s="123" t="s">
        <v>7522</v>
      </c>
      <c r="G409" s="123" t="s">
        <v>247</v>
      </c>
      <c r="H409" s="123">
        <v>4400.0</v>
      </c>
      <c r="I409" s="55" t="s">
        <v>196</v>
      </c>
      <c r="J409" s="33" t="s">
        <v>197</v>
      </c>
      <c r="K409" s="33">
        <v>1.0</v>
      </c>
      <c r="L409" s="124" t="s">
        <v>7523</v>
      </c>
      <c r="M409" s="34"/>
    </row>
    <row r="410" hidden="1">
      <c r="A410" s="33" t="s">
        <v>7519</v>
      </c>
      <c r="B410" s="122">
        <v>45736.0</v>
      </c>
      <c r="C410" s="33">
        <v>8.07000030266E11</v>
      </c>
      <c r="D410" s="33" t="s">
        <v>7520</v>
      </c>
      <c r="E410" s="33" t="s">
        <v>7521</v>
      </c>
      <c r="F410" s="123" t="s">
        <v>7522</v>
      </c>
      <c r="G410" s="123" t="s">
        <v>247</v>
      </c>
      <c r="H410" s="123">
        <v>4400.0</v>
      </c>
      <c r="I410" s="33" t="s">
        <v>121</v>
      </c>
      <c r="J410" s="33" t="s">
        <v>122</v>
      </c>
      <c r="K410" s="33">
        <v>2.0</v>
      </c>
      <c r="L410" s="124" t="s">
        <v>7523</v>
      </c>
      <c r="M410" s="34"/>
    </row>
    <row r="411" hidden="1">
      <c r="A411" s="33" t="s">
        <v>7519</v>
      </c>
      <c r="B411" s="122">
        <v>45736.0</v>
      </c>
      <c r="C411" s="33">
        <v>8.07000030267E11</v>
      </c>
      <c r="D411" s="33" t="s">
        <v>7520</v>
      </c>
      <c r="E411" s="33" t="s">
        <v>7521</v>
      </c>
      <c r="F411" s="123" t="s">
        <v>7522</v>
      </c>
      <c r="G411" s="123" t="s">
        <v>247</v>
      </c>
      <c r="H411" s="123">
        <v>4400.0</v>
      </c>
      <c r="I411" s="33" t="s">
        <v>512</v>
      </c>
      <c r="J411" s="33" t="s">
        <v>513</v>
      </c>
      <c r="K411" s="33">
        <v>12.0</v>
      </c>
      <c r="L411" s="124" t="s">
        <v>7523</v>
      </c>
      <c r="M411" s="34"/>
    </row>
    <row r="412" hidden="1">
      <c r="A412" s="33" t="s">
        <v>7524</v>
      </c>
      <c r="B412" s="122">
        <v>45740.0</v>
      </c>
      <c r="C412" s="33">
        <v>8.07000030286E11</v>
      </c>
      <c r="D412" s="33" t="s">
        <v>7525</v>
      </c>
      <c r="E412" s="33" t="s">
        <v>7526</v>
      </c>
      <c r="F412" s="123" t="s">
        <v>7527</v>
      </c>
      <c r="G412" s="123" t="s">
        <v>247</v>
      </c>
      <c r="H412" s="123">
        <v>4400.0</v>
      </c>
      <c r="I412" s="33" t="s">
        <v>3649</v>
      </c>
      <c r="J412" s="33" t="s">
        <v>7528</v>
      </c>
      <c r="K412" s="33">
        <v>1.0</v>
      </c>
      <c r="L412" s="124" t="s">
        <v>7529</v>
      </c>
      <c r="M412" s="34"/>
    </row>
    <row r="413" hidden="1">
      <c r="A413" s="33" t="s">
        <v>7524</v>
      </c>
      <c r="B413" s="122">
        <v>45740.0</v>
      </c>
      <c r="C413" s="33">
        <v>8.07000030286E11</v>
      </c>
      <c r="D413" s="33" t="s">
        <v>7525</v>
      </c>
      <c r="E413" s="33" t="s">
        <v>7526</v>
      </c>
      <c r="F413" s="123" t="s">
        <v>7527</v>
      </c>
      <c r="G413" s="123" t="s">
        <v>247</v>
      </c>
      <c r="H413" s="123">
        <v>4400.0</v>
      </c>
      <c r="I413" s="33" t="s">
        <v>512</v>
      </c>
      <c r="J413" s="33" t="s">
        <v>513</v>
      </c>
      <c r="K413" s="33">
        <v>6.0</v>
      </c>
      <c r="L413" s="124" t="s">
        <v>7529</v>
      </c>
      <c r="M413" s="34"/>
    </row>
    <row r="414" hidden="1">
      <c r="A414" s="33" t="s">
        <v>7524</v>
      </c>
      <c r="B414" s="122">
        <v>45740.0</v>
      </c>
      <c r="C414" s="33">
        <v>8.07000030286E11</v>
      </c>
      <c r="D414" s="33" t="s">
        <v>7525</v>
      </c>
      <c r="E414" s="33" t="s">
        <v>7526</v>
      </c>
      <c r="F414" s="123" t="s">
        <v>7527</v>
      </c>
      <c r="G414" s="123" t="s">
        <v>247</v>
      </c>
      <c r="H414" s="123">
        <v>4400.0</v>
      </c>
      <c r="I414" s="33" t="s">
        <v>670</v>
      </c>
      <c r="J414" s="33" t="s">
        <v>671</v>
      </c>
      <c r="K414" s="33">
        <v>1.0</v>
      </c>
      <c r="L414" s="124" t="s">
        <v>7529</v>
      </c>
      <c r="M414" s="34"/>
    </row>
    <row r="415" hidden="1">
      <c r="A415" s="33" t="s">
        <v>7530</v>
      </c>
      <c r="B415" s="122">
        <v>45740.0</v>
      </c>
      <c r="C415" s="33">
        <v>8.07000030288E11</v>
      </c>
      <c r="D415" s="33" t="s">
        <v>7531</v>
      </c>
      <c r="E415" s="33" t="s">
        <v>7532</v>
      </c>
      <c r="F415" s="123" t="s">
        <v>7533</v>
      </c>
      <c r="G415" s="123" t="s">
        <v>7170</v>
      </c>
      <c r="H415" s="123">
        <v>4401.0</v>
      </c>
      <c r="I415" s="33" t="s">
        <v>7534</v>
      </c>
      <c r="J415" s="33" t="s">
        <v>7535</v>
      </c>
      <c r="K415" s="33">
        <v>2.0</v>
      </c>
      <c r="L415" s="124" t="s">
        <v>7536</v>
      </c>
      <c r="M415" s="34"/>
    </row>
    <row r="416" hidden="1">
      <c r="A416" s="33" t="s">
        <v>7537</v>
      </c>
      <c r="B416" s="122">
        <v>45740.0</v>
      </c>
      <c r="C416" s="33">
        <v>8.07000030291E11</v>
      </c>
      <c r="D416" s="33" t="s">
        <v>7538</v>
      </c>
      <c r="E416" s="33" t="s">
        <v>7539</v>
      </c>
      <c r="F416" s="123" t="s">
        <v>7540</v>
      </c>
      <c r="G416" s="123" t="s">
        <v>247</v>
      </c>
      <c r="H416" s="123">
        <v>4400.0</v>
      </c>
      <c r="I416" s="33" t="s">
        <v>6833</v>
      </c>
      <c r="J416" s="33" t="s">
        <v>6834</v>
      </c>
      <c r="K416" s="33">
        <v>1.0</v>
      </c>
      <c r="L416" s="124" t="s">
        <v>7541</v>
      </c>
      <c r="M416" s="34"/>
    </row>
    <row r="417" hidden="1">
      <c r="A417" s="33" t="s">
        <v>7542</v>
      </c>
      <c r="B417" s="122">
        <v>45740.0</v>
      </c>
      <c r="C417" s="33">
        <v>8.07000030292E11</v>
      </c>
      <c r="D417" s="33" t="s">
        <v>7538</v>
      </c>
      <c r="E417" s="33" t="s">
        <v>7539</v>
      </c>
      <c r="F417" s="123" t="s">
        <v>7540</v>
      </c>
      <c r="G417" s="123" t="s">
        <v>247</v>
      </c>
      <c r="H417" s="123">
        <v>4400.0</v>
      </c>
      <c r="I417" s="33" t="s">
        <v>6835</v>
      </c>
      <c r="J417" s="33" t="s">
        <v>6836</v>
      </c>
      <c r="K417" s="33">
        <v>2.0</v>
      </c>
      <c r="L417" s="124" t="s">
        <v>7541</v>
      </c>
      <c r="M417" s="34"/>
    </row>
    <row r="418" hidden="1">
      <c r="A418" s="33" t="s">
        <v>7543</v>
      </c>
      <c r="B418" s="122">
        <v>45740.0</v>
      </c>
      <c r="C418" s="33">
        <v>8.07000030297E11</v>
      </c>
      <c r="D418" s="33" t="s">
        <v>7544</v>
      </c>
      <c r="E418" s="33" t="s">
        <v>7545</v>
      </c>
      <c r="F418" s="123" t="s">
        <v>7546</v>
      </c>
      <c r="G418" s="123" t="s">
        <v>247</v>
      </c>
      <c r="H418" s="123">
        <v>4400.0</v>
      </c>
      <c r="I418" s="33" t="s">
        <v>1075</v>
      </c>
      <c r="J418" s="33" t="s">
        <v>1076</v>
      </c>
      <c r="K418" s="33">
        <v>1.0</v>
      </c>
      <c r="L418" s="124" t="s">
        <v>7547</v>
      </c>
      <c r="M418" s="34"/>
    </row>
    <row r="419" hidden="1">
      <c r="A419" s="33" t="s">
        <v>7543</v>
      </c>
      <c r="B419" s="122">
        <v>45740.0</v>
      </c>
      <c r="C419" s="33">
        <v>8.07000030297E11</v>
      </c>
      <c r="D419" s="33" t="s">
        <v>7544</v>
      </c>
      <c r="E419" s="33" t="s">
        <v>7545</v>
      </c>
      <c r="F419" s="123" t="s">
        <v>7546</v>
      </c>
      <c r="G419" s="123" t="s">
        <v>247</v>
      </c>
      <c r="H419" s="123">
        <v>4400.0</v>
      </c>
      <c r="I419" s="33" t="s">
        <v>512</v>
      </c>
      <c r="J419" s="33" t="s">
        <v>513</v>
      </c>
      <c r="K419" s="33">
        <v>12.0</v>
      </c>
      <c r="L419" s="124" t="s">
        <v>7547</v>
      </c>
      <c r="M419" s="34"/>
    </row>
    <row r="420" hidden="1">
      <c r="A420" s="33" t="s">
        <v>7543</v>
      </c>
      <c r="B420" s="122">
        <v>45740.0</v>
      </c>
      <c r="C420" s="33">
        <v>8.07000030297E11</v>
      </c>
      <c r="D420" s="33" t="s">
        <v>7544</v>
      </c>
      <c r="E420" s="33" t="s">
        <v>7545</v>
      </c>
      <c r="F420" s="123" t="s">
        <v>7546</v>
      </c>
      <c r="G420" s="123" t="s">
        <v>247</v>
      </c>
      <c r="H420" s="123">
        <v>4400.0</v>
      </c>
      <c r="I420" s="33" t="s">
        <v>381</v>
      </c>
      <c r="J420" s="33" t="s">
        <v>382</v>
      </c>
      <c r="K420" s="33">
        <v>2.0</v>
      </c>
      <c r="L420" s="124" t="s">
        <v>7547</v>
      </c>
      <c r="M420" s="34"/>
    </row>
    <row r="421" hidden="1">
      <c r="A421" s="33" t="s">
        <v>7548</v>
      </c>
      <c r="B421" s="122">
        <v>45740.0</v>
      </c>
      <c r="C421" s="33">
        <v>8.07000030302E11</v>
      </c>
      <c r="D421" s="33" t="s">
        <v>7549</v>
      </c>
      <c r="E421" s="33" t="s">
        <v>7550</v>
      </c>
      <c r="F421" s="123" t="s">
        <v>7551</v>
      </c>
      <c r="G421" s="123" t="s">
        <v>6769</v>
      </c>
      <c r="H421" s="123">
        <v>4400.0</v>
      </c>
      <c r="I421" s="33" t="s">
        <v>698</v>
      </c>
      <c r="J421" s="33" t="s">
        <v>7552</v>
      </c>
      <c r="K421" s="33">
        <v>2.0</v>
      </c>
      <c r="L421" s="124" t="s">
        <v>7553</v>
      </c>
      <c r="M421" s="34"/>
    </row>
    <row r="422" hidden="1">
      <c r="A422" s="33" t="s">
        <v>7548</v>
      </c>
      <c r="B422" s="122">
        <v>45740.0</v>
      </c>
      <c r="C422" s="33">
        <v>8.07000030302E11</v>
      </c>
      <c r="D422" s="33" t="s">
        <v>7549</v>
      </c>
      <c r="E422" s="33" t="s">
        <v>7550</v>
      </c>
      <c r="F422" s="123" t="s">
        <v>7551</v>
      </c>
      <c r="G422" s="123" t="s">
        <v>6769</v>
      </c>
      <c r="H422" s="123">
        <v>4400.0</v>
      </c>
      <c r="I422" s="33" t="s">
        <v>512</v>
      </c>
      <c r="J422" s="33" t="s">
        <v>513</v>
      </c>
      <c r="K422" s="33">
        <v>12.0</v>
      </c>
      <c r="L422" s="124" t="s">
        <v>7553</v>
      </c>
      <c r="M422" s="34"/>
    </row>
    <row r="423" hidden="1">
      <c r="A423" s="33" t="s">
        <v>7548</v>
      </c>
      <c r="B423" s="122">
        <v>45740.0</v>
      </c>
      <c r="C423" s="33">
        <v>8.07000030302E11</v>
      </c>
      <c r="D423" s="33" t="s">
        <v>7549</v>
      </c>
      <c r="E423" s="33" t="s">
        <v>7550</v>
      </c>
      <c r="F423" s="123" t="s">
        <v>7551</v>
      </c>
      <c r="G423" s="123" t="s">
        <v>6769</v>
      </c>
      <c r="H423" s="123">
        <v>4400.0</v>
      </c>
      <c r="I423" s="33" t="s">
        <v>64</v>
      </c>
      <c r="J423" s="33" t="s">
        <v>65</v>
      </c>
      <c r="K423" s="33">
        <v>2.0</v>
      </c>
      <c r="L423" s="124" t="s">
        <v>7553</v>
      </c>
      <c r="M423" s="34"/>
    </row>
    <row r="424" hidden="1">
      <c r="A424" s="33" t="s">
        <v>7554</v>
      </c>
      <c r="B424" s="122">
        <v>45740.0</v>
      </c>
      <c r="C424" s="33">
        <v>8.07000030303E11</v>
      </c>
      <c r="D424" s="33" t="s">
        <v>7555</v>
      </c>
      <c r="E424" s="33" t="s">
        <v>7556</v>
      </c>
      <c r="F424" s="123" t="s">
        <v>7557</v>
      </c>
      <c r="G424" s="123" t="s">
        <v>247</v>
      </c>
      <c r="H424" s="123">
        <v>4400.0</v>
      </c>
      <c r="I424" s="33" t="s">
        <v>7558</v>
      </c>
      <c r="J424" s="33" t="s">
        <v>7559</v>
      </c>
      <c r="K424" s="33">
        <v>1.0</v>
      </c>
      <c r="L424" s="124" t="s">
        <v>7560</v>
      </c>
      <c r="M424" s="34"/>
    </row>
    <row r="425" hidden="1">
      <c r="A425" s="33" t="s">
        <v>7554</v>
      </c>
      <c r="B425" s="122">
        <v>45740.0</v>
      </c>
      <c r="C425" s="33">
        <v>8.07000030303E11</v>
      </c>
      <c r="D425" s="33" t="s">
        <v>7555</v>
      </c>
      <c r="E425" s="33" t="s">
        <v>7556</v>
      </c>
      <c r="F425" s="123" t="s">
        <v>7557</v>
      </c>
      <c r="G425" s="123" t="s">
        <v>247</v>
      </c>
      <c r="H425" s="123">
        <v>4400.0</v>
      </c>
      <c r="I425" s="33" t="s">
        <v>512</v>
      </c>
      <c r="J425" s="33" t="s">
        <v>513</v>
      </c>
      <c r="K425" s="33">
        <v>12.0</v>
      </c>
      <c r="L425" s="124" t="s">
        <v>7560</v>
      </c>
      <c r="M425" s="34"/>
    </row>
    <row r="426" hidden="1">
      <c r="A426" s="33" t="s">
        <v>7554</v>
      </c>
      <c r="B426" s="122">
        <v>45740.0</v>
      </c>
      <c r="C426" s="33">
        <v>8.07000030303E11</v>
      </c>
      <c r="D426" s="33" t="s">
        <v>7555</v>
      </c>
      <c r="E426" s="33" t="s">
        <v>7556</v>
      </c>
      <c r="F426" s="123" t="s">
        <v>7557</v>
      </c>
      <c r="G426" s="123" t="s">
        <v>247</v>
      </c>
      <c r="H426" s="123">
        <v>4400.0</v>
      </c>
      <c r="I426" s="33" t="s">
        <v>772</v>
      </c>
      <c r="J426" s="33" t="s">
        <v>773</v>
      </c>
      <c r="K426" s="33">
        <v>2.0</v>
      </c>
      <c r="L426" s="124" t="s">
        <v>7560</v>
      </c>
      <c r="M426" s="34"/>
    </row>
    <row r="427" hidden="1">
      <c r="A427" s="33" t="s">
        <v>7561</v>
      </c>
      <c r="B427" s="122">
        <v>45740.0</v>
      </c>
      <c r="C427" s="33">
        <v>8.07000030305E11</v>
      </c>
      <c r="D427" s="33" t="s">
        <v>7562</v>
      </c>
      <c r="E427" s="33" t="s">
        <v>7563</v>
      </c>
      <c r="F427" s="123" t="s">
        <v>7564</v>
      </c>
      <c r="G427" s="123" t="s">
        <v>247</v>
      </c>
      <c r="H427" s="123">
        <v>4400.0</v>
      </c>
      <c r="I427" s="33" t="s">
        <v>3484</v>
      </c>
      <c r="J427" s="33" t="s">
        <v>7565</v>
      </c>
      <c r="K427" s="33">
        <v>1.0</v>
      </c>
      <c r="L427" s="124" t="s">
        <v>7566</v>
      </c>
      <c r="M427" s="34"/>
    </row>
    <row r="428" hidden="1">
      <c r="A428" s="33" t="s">
        <v>7561</v>
      </c>
      <c r="B428" s="122">
        <v>45740.0</v>
      </c>
      <c r="C428" s="33">
        <v>8.07000030305E11</v>
      </c>
      <c r="D428" s="33" t="s">
        <v>7562</v>
      </c>
      <c r="E428" s="33" t="s">
        <v>7563</v>
      </c>
      <c r="F428" s="123" t="s">
        <v>7564</v>
      </c>
      <c r="G428" s="123" t="s">
        <v>247</v>
      </c>
      <c r="H428" s="123">
        <v>4400.0</v>
      </c>
      <c r="I428" s="33" t="s">
        <v>512</v>
      </c>
      <c r="J428" s="33" t="s">
        <v>513</v>
      </c>
      <c r="K428" s="33">
        <v>12.0</v>
      </c>
      <c r="L428" s="124" t="s">
        <v>7566</v>
      </c>
      <c r="M428" s="34"/>
    </row>
    <row r="429" hidden="1">
      <c r="A429" s="33" t="s">
        <v>7561</v>
      </c>
      <c r="B429" s="122">
        <v>45740.0</v>
      </c>
      <c r="C429" s="33">
        <v>8.07000030305E11</v>
      </c>
      <c r="D429" s="33" t="s">
        <v>7562</v>
      </c>
      <c r="E429" s="33" t="s">
        <v>7563</v>
      </c>
      <c r="F429" s="123" t="s">
        <v>7564</v>
      </c>
      <c r="G429" s="123" t="s">
        <v>247</v>
      </c>
      <c r="H429" s="123">
        <v>4400.0</v>
      </c>
      <c r="I429" s="33" t="s">
        <v>340</v>
      </c>
      <c r="J429" s="33" t="s">
        <v>341</v>
      </c>
      <c r="K429" s="33">
        <v>2.0</v>
      </c>
      <c r="L429" s="124" t="s">
        <v>7566</v>
      </c>
      <c r="M429" s="34"/>
    </row>
    <row r="430" hidden="1">
      <c r="A430" s="33" t="s">
        <v>7561</v>
      </c>
      <c r="B430" s="122">
        <v>45740.0</v>
      </c>
      <c r="C430" s="33">
        <v>8.07000030306E11</v>
      </c>
      <c r="D430" s="33" t="s">
        <v>7562</v>
      </c>
      <c r="E430" s="33" t="s">
        <v>7563</v>
      </c>
      <c r="F430" s="123" t="s">
        <v>7564</v>
      </c>
      <c r="G430" s="123" t="s">
        <v>247</v>
      </c>
      <c r="H430" s="123">
        <v>4400.0</v>
      </c>
      <c r="I430" s="33">
        <v>125815.0</v>
      </c>
      <c r="J430" s="33" t="s">
        <v>569</v>
      </c>
      <c r="K430" s="33">
        <v>2.0</v>
      </c>
      <c r="L430" s="124" t="s">
        <v>7566</v>
      </c>
      <c r="M430" s="34"/>
    </row>
    <row r="431" hidden="1">
      <c r="A431" s="33" t="s">
        <v>7567</v>
      </c>
      <c r="B431" s="122">
        <v>45740.0</v>
      </c>
      <c r="C431" s="33">
        <v>8.07000030307E11</v>
      </c>
      <c r="D431" s="33" t="s">
        <v>7568</v>
      </c>
      <c r="E431" s="33" t="s">
        <v>7569</v>
      </c>
      <c r="F431" s="123" t="s">
        <v>7570</v>
      </c>
      <c r="G431" s="123" t="s">
        <v>247</v>
      </c>
      <c r="H431" s="123">
        <v>4400.0</v>
      </c>
      <c r="I431" s="33" t="s">
        <v>280</v>
      </c>
      <c r="J431" s="33" t="s">
        <v>281</v>
      </c>
      <c r="K431" s="33">
        <v>1.0</v>
      </c>
      <c r="L431" s="124" t="s">
        <v>7571</v>
      </c>
      <c r="M431" s="34"/>
    </row>
    <row r="432" hidden="1">
      <c r="A432" s="33" t="s">
        <v>7567</v>
      </c>
      <c r="B432" s="122">
        <v>45740.0</v>
      </c>
      <c r="C432" s="33">
        <v>8.07000030307E11</v>
      </c>
      <c r="D432" s="33" t="s">
        <v>7568</v>
      </c>
      <c r="E432" s="33" t="s">
        <v>7569</v>
      </c>
      <c r="F432" s="123" t="s">
        <v>7570</v>
      </c>
      <c r="G432" s="123" t="s">
        <v>247</v>
      </c>
      <c r="H432" s="123">
        <v>4400.0</v>
      </c>
      <c r="I432" s="33" t="s">
        <v>512</v>
      </c>
      <c r="J432" s="33" t="s">
        <v>513</v>
      </c>
      <c r="K432" s="33">
        <v>12.0</v>
      </c>
      <c r="L432" s="124" t="s">
        <v>7571</v>
      </c>
      <c r="M432" s="34"/>
    </row>
    <row r="433" hidden="1">
      <c r="A433" s="33" t="s">
        <v>7567</v>
      </c>
      <c r="B433" s="122">
        <v>45740.0</v>
      </c>
      <c r="C433" s="33">
        <v>8.07000030307E11</v>
      </c>
      <c r="D433" s="33" t="s">
        <v>7568</v>
      </c>
      <c r="E433" s="33" t="s">
        <v>7569</v>
      </c>
      <c r="F433" s="123" t="s">
        <v>7570</v>
      </c>
      <c r="G433" s="123" t="s">
        <v>247</v>
      </c>
      <c r="H433" s="123">
        <v>4400.0</v>
      </c>
      <c r="I433" s="33" t="s">
        <v>340</v>
      </c>
      <c r="J433" s="33" t="s">
        <v>341</v>
      </c>
      <c r="K433" s="33">
        <v>2.0</v>
      </c>
      <c r="L433" s="124" t="s">
        <v>7571</v>
      </c>
      <c r="M433" s="34"/>
    </row>
    <row r="434" hidden="1">
      <c r="A434" s="125" t="s">
        <v>7572</v>
      </c>
      <c r="B434" s="126">
        <v>45740.0</v>
      </c>
      <c r="C434" s="125">
        <v>8.07000030227E11</v>
      </c>
      <c r="D434" s="125" t="s">
        <v>7573</v>
      </c>
      <c r="E434" s="125" t="s">
        <v>7574</v>
      </c>
      <c r="F434" s="127" t="s">
        <v>7575</v>
      </c>
      <c r="G434" s="123" t="s">
        <v>247</v>
      </c>
      <c r="H434" s="127">
        <v>4400.0</v>
      </c>
      <c r="I434" s="125" t="s">
        <v>340</v>
      </c>
      <c r="J434" s="125" t="s">
        <v>281</v>
      </c>
      <c r="K434" s="125">
        <v>1.0</v>
      </c>
      <c r="L434" s="129" t="s">
        <v>7576</v>
      </c>
      <c r="M434" s="130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  <c r="AC434" s="179"/>
    </row>
    <row r="435" hidden="1">
      <c r="A435" s="131" t="s">
        <v>7577</v>
      </c>
      <c r="B435" s="132">
        <v>45743.0</v>
      </c>
      <c r="C435" s="131">
        <v>8.07000030316E11</v>
      </c>
      <c r="D435" s="131" t="s">
        <v>7578</v>
      </c>
      <c r="E435" s="131" t="s">
        <v>7579</v>
      </c>
      <c r="F435" s="133" t="s">
        <v>7580</v>
      </c>
      <c r="G435" s="123" t="s">
        <v>247</v>
      </c>
      <c r="H435" s="133">
        <v>4400.0</v>
      </c>
      <c r="I435" s="131" t="s">
        <v>5028</v>
      </c>
      <c r="J435" s="131" t="s">
        <v>5029</v>
      </c>
      <c r="K435" s="131">
        <v>1.0</v>
      </c>
      <c r="L435" s="134" t="s">
        <v>7581</v>
      </c>
      <c r="M435" s="138"/>
    </row>
    <row r="436" hidden="1">
      <c r="A436" s="131" t="s">
        <v>7582</v>
      </c>
      <c r="B436" s="122">
        <v>45743.0</v>
      </c>
      <c r="C436" s="33">
        <v>8.07000030317E11</v>
      </c>
      <c r="D436" s="33" t="s">
        <v>7578</v>
      </c>
      <c r="E436" s="33" t="s">
        <v>7579</v>
      </c>
      <c r="F436" s="133" t="s">
        <v>7580</v>
      </c>
      <c r="G436" s="123" t="s">
        <v>247</v>
      </c>
      <c r="H436" s="123">
        <v>4400.0</v>
      </c>
      <c r="I436" s="33" t="s">
        <v>785</v>
      </c>
      <c r="J436" s="33" t="s">
        <v>7583</v>
      </c>
      <c r="K436" s="33">
        <v>1.0</v>
      </c>
      <c r="L436" s="134" t="s">
        <v>7581</v>
      </c>
      <c r="M436" s="34"/>
    </row>
    <row r="437" hidden="1">
      <c r="A437" s="131" t="s">
        <v>7584</v>
      </c>
      <c r="B437" s="122">
        <v>45743.0</v>
      </c>
      <c r="C437" s="33">
        <v>8.07000030313E11</v>
      </c>
      <c r="D437" s="33" t="s">
        <v>7585</v>
      </c>
      <c r="E437" s="33" t="s">
        <v>7586</v>
      </c>
      <c r="F437" s="123" t="s">
        <v>7587</v>
      </c>
      <c r="G437" s="123" t="s">
        <v>624</v>
      </c>
      <c r="H437" s="123">
        <v>4403.0</v>
      </c>
      <c r="I437" s="33" t="s">
        <v>3641</v>
      </c>
      <c r="J437" s="33" t="s">
        <v>3642</v>
      </c>
      <c r="K437" s="33">
        <v>2.0</v>
      </c>
      <c r="L437" s="124" t="s">
        <v>7588</v>
      </c>
      <c r="M437" s="34"/>
    </row>
    <row r="438" hidden="1">
      <c r="A438" s="131" t="s">
        <v>7584</v>
      </c>
      <c r="B438" s="122">
        <v>45743.0</v>
      </c>
      <c r="C438" s="33">
        <v>8.07000030313E11</v>
      </c>
      <c r="D438" s="33" t="s">
        <v>7585</v>
      </c>
      <c r="E438" s="33" t="s">
        <v>7586</v>
      </c>
      <c r="F438" s="123" t="s">
        <v>7587</v>
      </c>
      <c r="G438" s="123" t="s">
        <v>624</v>
      </c>
      <c r="H438" s="123">
        <v>4403.0</v>
      </c>
      <c r="I438" s="33" t="s">
        <v>512</v>
      </c>
      <c r="J438" s="33" t="s">
        <v>513</v>
      </c>
      <c r="K438" s="33">
        <v>12.0</v>
      </c>
      <c r="L438" s="124" t="s">
        <v>7588</v>
      </c>
      <c r="M438" s="34"/>
    </row>
    <row r="439" hidden="1">
      <c r="A439" s="131" t="s">
        <v>7584</v>
      </c>
      <c r="B439" s="122">
        <v>45743.0</v>
      </c>
      <c r="C439" s="33">
        <v>8.07000030313E11</v>
      </c>
      <c r="D439" s="33" t="s">
        <v>7585</v>
      </c>
      <c r="E439" s="33" t="s">
        <v>7586</v>
      </c>
      <c r="F439" s="123" t="s">
        <v>7587</v>
      </c>
      <c r="G439" s="123" t="s">
        <v>624</v>
      </c>
      <c r="H439" s="123">
        <v>4403.0</v>
      </c>
      <c r="I439" s="33" t="s">
        <v>1345</v>
      </c>
      <c r="J439" s="33" t="s">
        <v>3639</v>
      </c>
      <c r="K439" s="33">
        <v>2.0</v>
      </c>
      <c r="L439" s="124" t="s">
        <v>7588</v>
      </c>
      <c r="M439" s="34"/>
    </row>
    <row r="440" hidden="1">
      <c r="A440" s="131" t="s">
        <v>7589</v>
      </c>
      <c r="B440" s="122">
        <v>45743.0</v>
      </c>
      <c r="C440" s="33">
        <v>8.07000030274E11</v>
      </c>
      <c r="D440" s="33" t="s">
        <v>3123</v>
      </c>
      <c r="E440" s="33" t="s">
        <v>3124</v>
      </c>
      <c r="F440" s="123" t="s">
        <v>7590</v>
      </c>
      <c r="G440" s="123" t="s">
        <v>624</v>
      </c>
      <c r="H440" s="123">
        <v>4403.0</v>
      </c>
      <c r="I440" s="33" t="s">
        <v>575</v>
      </c>
      <c r="J440" s="33" t="s">
        <v>576</v>
      </c>
      <c r="K440" s="33">
        <v>6.0</v>
      </c>
      <c r="L440" s="124" t="s">
        <v>7591</v>
      </c>
      <c r="M440" s="34"/>
    </row>
    <row r="441" hidden="1">
      <c r="A441" s="33" t="s">
        <v>7592</v>
      </c>
      <c r="B441" s="122">
        <v>45743.0</v>
      </c>
      <c r="C441" s="33">
        <v>8.07000030335E11</v>
      </c>
      <c r="D441" s="33" t="s">
        <v>7593</v>
      </c>
      <c r="E441" s="33" t="s">
        <v>7594</v>
      </c>
      <c r="F441" s="123" t="s">
        <v>7595</v>
      </c>
      <c r="G441" s="123" t="s">
        <v>624</v>
      </c>
      <c r="H441" s="123">
        <v>4403.0</v>
      </c>
      <c r="I441" s="33" t="s">
        <v>4938</v>
      </c>
      <c r="J441" s="33" t="s">
        <v>4939</v>
      </c>
      <c r="K441" s="33">
        <v>1.0</v>
      </c>
      <c r="L441" s="124" t="s">
        <v>7596</v>
      </c>
      <c r="M441" s="34"/>
    </row>
    <row r="442" hidden="1">
      <c r="A442" s="33" t="s">
        <v>7592</v>
      </c>
      <c r="B442" s="122">
        <v>45743.0</v>
      </c>
      <c r="C442" s="33">
        <v>8.07000030335E11</v>
      </c>
      <c r="D442" s="33" t="s">
        <v>7593</v>
      </c>
      <c r="E442" s="33" t="s">
        <v>7594</v>
      </c>
      <c r="F442" s="123" t="s">
        <v>7595</v>
      </c>
      <c r="G442" s="123" t="s">
        <v>624</v>
      </c>
      <c r="H442" s="123">
        <v>4403.0</v>
      </c>
      <c r="I442" s="33" t="s">
        <v>3512</v>
      </c>
      <c r="J442" s="33" t="s">
        <v>3513</v>
      </c>
      <c r="K442" s="33">
        <v>12.0</v>
      </c>
      <c r="L442" s="124" t="s">
        <v>7596</v>
      </c>
      <c r="M442" s="34"/>
    </row>
    <row r="443" hidden="1">
      <c r="A443" s="33" t="s">
        <v>7592</v>
      </c>
      <c r="B443" s="122">
        <v>45743.0</v>
      </c>
      <c r="C443" s="33">
        <v>8.07000030335E11</v>
      </c>
      <c r="D443" s="33" t="s">
        <v>7593</v>
      </c>
      <c r="E443" s="33" t="s">
        <v>7594</v>
      </c>
      <c r="F443" s="123" t="s">
        <v>7595</v>
      </c>
      <c r="G443" s="123" t="s">
        <v>624</v>
      </c>
      <c r="H443" s="123">
        <v>4403.0</v>
      </c>
      <c r="I443" s="33" t="s">
        <v>4250</v>
      </c>
      <c r="J443" s="33" t="s">
        <v>4251</v>
      </c>
      <c r="K443" s="33">
        <v>2.0</v>
      </c>
      <c r="L443" s="124" t="s">
        <v>7596</v>
      </c>
      <c r="M443" s="34"/>
    </row>
    <row r="444" hidden="1">
      <c r="A444" s="33" t="s">
        <v>7597</v>
      </c>
      <c r="B444" s="122">
        <v>45743.0</v>
      </c>
      <c r="C444" s="33">
        <v>8.07000030339E11</v>
      </c>
      <c r="D444" s="33" t="s">
        <v>7417</v>
      </c>
      <c r="E444" s="33" t="s">
        <v>7418</v>
      </c>
      <c r="F444" s="123" t="s">
        <v>7598</v>
      </c>
      <c r="G444" s="123" t="s">
        <v>247</v>
      </c>
      <c r="H444" s="123">
        <v>4400.0</v>
      </c>
      <c r="I444" s="33" t="s">
        <v>1100</v>
      </c>
      <c r="J444" s="33" t="s">
        <v>7599</v>
      </c>
      <c r="K444" s="33">
        <v>1.0</v>
      </c>
      <c r="L444" s="124" t="s">
        <v>7420</v>
      </c>
      <c r="M444" s="31" t="s">
        <v>7600</v>
      </c>
    </row>
    <row r="445" hidden="1">
      <c r="A445" s="33" t="s">
        <v>7601</v>
      </c>
      <c r="B445" s="122">
        <v>45743.0</v>
      </c>
      <c r="C445" s="33">
        <v>8.0700003031E11</v>
      </c>
      <c r="D445" s="33" t="s">
        <v>7602</v>
      </c>
      <c r="E445" s="33" t="s">
        <v>7603</v>
      </c>
      <c r="F445" s="123" t="s">
        <v>7604</v>
      </c>
      <c r="G445" s="123" t="s">
        <v>247</v>
      </c>
      <c r="H445" s="123">
        <v>4400.0</v>
      </c>
      <c r="I445" s="33" t="s">
        <v>785</v>
      </c>
      <c r="J445" s="33" t="s">
        <v>7583</v>
      </c>
      <c r="K445" s="33">
        <v>1.0</v>
      </c>
      <c r="L445" s="124" t="s">
        <v>7605</v>
      </c>
      <c r="M445" s="34"/>
    </row>
    <row r="446" hidden="1">
      <c r="A446" s="33" t="s">
        <v>7601</v>
      </c>
      <c r="B446" s="122">
        <v>45743.0</v>
      </c>
      <c r="C446" s="33">
        <v>8.0700003031E11</v>
      </c>
      <c r="D446" s="33" t="s">
        <v>7602</v>
      </c>
      <c r="E446" s="33" t="s">
        <v>7603</v>
      </c>
      <c r="F446" s="123" t="s">
        <v>7604</v>
      </c>
      <c r="G446" s="123" t="s">
        <v>247</v>
      </c>
      <c r="H446" s="123">
        <v>4400.0</v>
      </c>
      <c r="I446" s="152" t="s">
        <v>1275</v>
      </c>
      <c r="J446" s="152" t="s">
        <v>7606</v>
      </c>
      <c r="K446" s="152">
        <v>1.0</v>
      </c>
      <c r="L446" s="124" t="s">
        <v>7605</v>
      </c>
      <c r="M446" s="159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  <c r="AA446" s="160"/>
      <c r="AB446" s="160"/>
      <c r="AC446" s="160"/>
    </row>
    <row r="447" hidden="1">
      <c r="A447" s="152" t="s">
        <v>7607</v>
      </c>
      <c r="B447" s="182">
        <v>45744.0</v>
      </c>
      <c r="C447" s="152">
        <v>8.07000030353E11</v>
      </c>
      <c r="D447" s="152" t="s">
        <v>7608</v>
      </c>
      <c r="E447" s="152" t="s">
        <v>7609</v>
      </c>
      <c r="F447" s="155" t="s">
        <v>7610</v>
      </c>
      <c r="G447" s="123" t="s">
        <v>247</v>
      </c>
      <c r="H447" s="123">
        <v>4400.0</v>
      </c>
      <c r="I447" s="152" t="s">
        <v>7611</v>
      </c>
      <c r="J447" s="152" t="s">
        <v>3642</v>
      </c>
      <c r="K447" s="152">
        <v>1.0</v>
      </c>
      <c r="L447" s="158" t="s">
        <v>7612</v>
      </c>
      <c r="M447" s="159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  <c r="AA447" s="160"/>
      <c r="AB447" s="160"/>
      <c r="AC447" s="160"/>
    </row>
    <row r="448" hidden="1">
      <c r="A448" s="152" t="s">
        <v>7613</v>
      </c>
      <c r="B448" s="182">
        <v>45744.0</v>
      </c>
      <c r="C448" s="183">
        <v>8.07000030324E11</v>
      </c>
      <c r="D448" s="183" t="s">
        <v>7614</v>
      </c>
      <c r="E448" s="183" t="s">
        <v>7615</v>
      </c>
      <c r="F448" s="184" t="s">
        <v>7616</v>
      </c>
      <c r="G448" s="184" t="s">
        <v>247</v>
      </c>
      <c r="H448" s="184">
        <v>4400.0</v>
      </c>
      <c r="I448" s="183" t="s">
        <v>3451</v>
      </c>
      <c r="J448" s="183" t="s">
        <v>3452</v>
      </c>
      <c r="K448" s="183">
        <v>1.0</v>
      </c>
      <c r="L448" s="185" t="s">
        <v>7617</v>
      </c>
      <c r="M448" s="159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  <c r="AA448" s="160"/>
      <c r="AB448" s="160"/>
      <c r="AC448" s="160"/>
    </row>
    <row r="449" hidden="1">
      <c r="A449" s="33" t="s">
        <v>7618</v>
      </c>
      <c r="B449" s="122">
        <v>45745.0</v>
      </c>
      <c r="C449" s="33">
        <v>8.07000030357E11</v>
      </c>
      <c r="D449" s="33" t="s">
        <v>7619</v>
      </c>
      <c r="E449" s="33" t="s">
        <v>7620</v>
      </c>
      <c r="F449" s="123" t="s">
        <v>7621</v>
      </c>
      <c r="G449" s="184" t="s">
        <v>247</v>
      </c>
      <c r="H449" s="184">
        <v>4400.0</v>
      </c>
      <c r="I449" s="33" t="s">
        <v>512</v>
      </c>
      <c r="J449" s="33" t="s">
        <v>513</v>
      </c>
      <c r="K449" s="33">
        <v>6.0</v>
      </c>
      <c r="L449" s="124" t="s">
        <v>7622</v>
      </c>
      <c r="M449" s="34"/>
    </row>
    <row r="450" hidden="1">
      <c r="A450" s="33" t="s">
        <v>7618</v>
      </c>
      <c r="B450" s="122">
        <v>45745.0</v>
      </c>
      <c r="C450" s="33">
        <v>8.07000030357E11</v>
      </c>
      <c r="D450" s="33" t="s">
        <v>7619</v>
      </c>
      <c r="E450" s="33" t="s">
        <v>7620</v>
      </c>
      <c r="F450" s="123" t="s">
        <v>7621</v>
      </c>
      <c r="G450" s="184" t="s">
        <v>247</v>
      </c>
      <c r="H450" s="184">
        <v>4400.0</v>
      </c>
      <c r="I450" s="33" t="s">
        <v>25</v>
      </c>
      <c r="J450" s="33" t="s">
        <v>3401</v>
      </c>
      <c r="K450" s="33">
        <v>1.0</v>
      </c>
      <c r="L450" s="124" t="s">
        <v>7622</v>
      </c>
      <c r="M450" s="34"/>
    </row>
    <row r="451" hidden="1">
      <c r="A451" s="33" t="s">
        <v>7623</v>
      </c>
      <c r="B451" s="122">
        <v>45745.0</v>
      </c>
      <c r="C451" s="33">
        <v>8.07000030356E11</v>
      </c>
      <c r="D451" s="33" t="s">
        <v>7619</v>
      </c>
      <c r="E451" s="33" t="s">
        <v>7620</v>
      </c>
      <c r="F451" s="123" t="s">
        <v>7621</v>
      </c>
      <c r="G451" s="184" t="s">
        <v>247</v>
      </c>
      <c r="H451" s="184">
        <v>4400.0</v>
      </c>
      <c r="I451" s="33" t="s">
        <v>360</v>
      </c>
      <c r="J451" s="33" t="s">
        <v>3425</v>
      </c>
      <c r="K451" s="33">
        <v>1.0</v>
      </c>
      <c r="L451" s="124" t="s">
        <v>7622</v>
      </c>
      <c r="M451" s="34"/>
    </row>
    <row r="452" hidden="1">
      <c r="A452" s="33" t="s">
        <v>7624</v>
      </c>
      <c r="B452" s="122">
        <v>45745.0</v>
      </c>
      <c r="C452" s="33">
        <v>8.07000030367E11</v>
      </c>
      <c r="D452" s="33" t="s">
        <v>7625</v>
      </c>
      <c r="E452" s="33" t="s">
        <v>7626</v>
      </c>
      <c r="F452" s="123" t="s">
        <v>7627</v>
      </c>
      <c r="G452" s="123" t="s">
        <v>1038</v>
      </c>
      <c r="H452" s="123">
        <v>4401.0</v>
      </c>
      <c r="I452" s="33" t="s">
        <v>2537</v>
      </c>
      <c r="J452" s="33" t="s">
        <v>3955</v>
      </c>
      <c r="K452" s="33">
        <v>1.0</v>
      </c>
      <c r="L452" s="124" t="s">
        <v>7628</v>
      </c>
      <c r="M452" s="34"/>
    </row>
    <row r="453" hidden="1">
      <c r="A453" s="33" t="s">
        <v>7624</v>
      </c>
      <c r="B453" s="122">
        <v>45745.0</v>
      </c>
      <c r="C453" s="33">
        <v>8.07000030367E11</v>
      </c>
      <c r="D453" s="33" t="s">
        <v>7625</v>
      </c>
      <c r="E453" s="33" t="s">
        <v>7626</v>
      </c>
      <c r="F453" s="123" t="s">
        <v>7627</v>
      </c>
      <c r="G453" s="123" t="s">
        <v>1038</v>
      </c>
      <c r="H453" s="123">
        <v>4401.0</v>
      </c>
      <c r="I453" s="33" t="s">
        <v>512</v>
      </c>
      <c r="J453" s="33" t="s">
        <v>513</v>
      </c>
      <c r="K453" s="33">
        <v>12.0</v>
      </c>
      <c r="L453" s="124" t="s">
        <v>7628</v>
      </c>
      <c r="M453" s="34"/>
    </row>
    <row r="454" hidden="1">
      <c r="A454" s="33" t="s">
        <v>7624</v>
      </c>
      <c r="B454" s="122">
        <v>45745.0</v>
      </c>
      <c r="C454" s="33">
        <v>8.07000030367E11</v>
      </c>
      <c r="D454" s="33" t="s">
        <v>7625</v>
      </c>
      <c r="E454" s="33" t="s">
        <v>7626</v>
      </c>
      <c r="F454" s="123" t="s">
        <v>7627</v>
      </c>
      <c r="G454" s="123" t="s">
        <v>1038</v>
      </c>
      <c r="H454" s="123">
        <v>4401.0</v>
      </c>
      <c r="I454" s="33" t="s">
        <v>340</v>
      </c>
      <c r="J454" s="33" t="s">
        <v>3486</v>
      </c>
      <c r="K454" s="33">
        <v>2.0</v>
      </c>
      <c r="L454" s="124" t="s">
        <v>7628</v>
      </c>
      <c r="M454" s="34"/>
    </row>
    <row r="455" hidden="1">
      <c r="A455" s="33" t="s">
        <v>7629</v>
      </c>
      <c r="B455" s="122">
        <v>45745.0</v>
      </c>
      <c r="C455" s="33">
        <v>8.07000030371E11</v>
      </c>
      <c r="D455" s="33" t="s">
        <v>3264</v>
      </c>
      <c r="E455" s="33" t="s">
        <v>3265</v>
      </c>
      <c r="F455" s="123" t="s">
        <v>7630</v>
      </c>
      <c r="G455" s="123" t="s">
        <v>247</v>
      </c>
      <c r="H455" s="123">
        <v>4400.0</v>
      </c>
      <c r="I455" s="33" t="s">
        <v>2616</v>
      </c>
      <c r="J455" s="33" t="s">
        <v>3268</v>
      </c>
      <c r="K455" s="33">
        <v>1.0</v>
      </c>
      <c r="L455" s="124" t="s">
        <v>7631</v>
      </c>
      <c r="M455" s="34"/>
    </row>
    <row r="456" hidden="1">
      <c r="A456" s="33" t="s">
        <v>7632</v>
      </c>
      <c r="B456" s="122">
        <v>45745.0</v>
      </c>
      <c r="C456" s="33">
        <v>8.07000030373E11</v>
      </c>
      <c r="D456" s="33" t="s">
        <v>7633</v>
      </c>
      <c r="E456" s="33" t="s">
        <v>7634</v>
      </c>
      <c r="F456" s="123" t="s">
        <v>7635</v>
      </c>
      <c r="G456" s="123" t="s">
        <v>247</v>
      </c>
      <c r="H456" s="123">
        <v>4400.0</v>
      </c>
      <c r="I456" s="33" t="s">
        <v>971</v>
      </c>
      <c r="J456" s="33" t="s">
        <v>4477</v>
      </c>
      <c r="K456" s="33">
        <v>1.0</v>
      </c>
      <c r="L456" s="124" t="s">
        <v>7636</v>
      </c>
      <c r="M456" s="34"/>
    </row>
    <row r="457" hidden="1">
      <c r="A457" s="33" t="s">
        <v>7632</v>
      </c>
      <c r="B457" s="122">
        <v>45745.0</v>
      </c>
      <c r="C457" s="33">
        <v>8.07000030373E11</v>
      </c>
      <c r="D457" s="33" t="s">
        <v>7633</v>
      </c>
      <c r="E457" s="33" t="s">
        <v>7634</v>
      </c>
      <c r="F457" s="123" t="s">
        <v>7635</v>
      </c>
      <c r="G457" s="123" t="s">
        <v>247</v>
      </c>
      <c r="H457" s="123">
        <v>4400.0</v>
      </c>
      <c r="I457" s="33" t="s">
        <v>512</v>
      </c>
      <c r="J457" s="33" t="s">
        <v>513</v>
      </c>
      <c r="K457" s="33">
        <v>6.0</v>
      </c>
      <c r="L457" s="124" t="s">
        <v>7636</v>
      </c>
      <c r="M457" s="34"/>
    </row>
    <row r="458" hidden="1">
      <c r="A458" s="33" t="s">
        <v>7632</v>
      </c>
      <c r="B458" s="122">
        <v>45745.0</v>
      </c>
      <c r="C458" s="33">
        <v>8.07000030373E11</v>
      </c>
      <c r="D458" s="33" t="s">
        <v>7633</v>
      </c>
      <c r="E458" s="33" t="s">
        <v>7634</v>
      </c>
      <c r="F458" s="123" t="s">
        <v>7635</v>
      </c>
      <c r="G458" s="123" t="s">
        <v>247</v>
      </c>
      <c r="H458" s="123">
        <v>4400.0</v>
      </c>
      <c r="I458" s="33" t="s">
        <v>969</v>
      </c>
      <c r="J458" s="33" t="s">
        <v>3296</v>
      </c>
      <c r="K458" s="33">
        <v>1.0</v>
      </c>
      <c r="L458" s="124" t="s">
        <v>7636</v>
      </c>
      <c r="M458" s="34"/>
    </row>
    <row r="459" hidden="1">
      <c r="A459" s="33" t="s">
        <v>7637</v>
      </c>
      <c r="B459" s="122">
        <v>45745.0</v>
      </c>
      <c r="C459" s="33">
        <v>8.07000030295E11</v>
      </c>
      <c r="D459" s="33" t="s">
        <v>7638</v>
      </c>
      <c r="E459" s="33" t="s">
        <v>7639</v>
      </c>
      <c r="F459" s="123" t="s">
        <v>7640</v>
      </c>
      <c r="G459" s="123" t="s">
        <v>247</v>
      </c>
      <c r="H459" s="123">
        <v>4400.0</v>
      </c>
      <c r="I459" s="33">
        <v>63406.0</v>
      </c>
      <c r="J459" s="33" t="s">
        <v>7641</v>
      </c>
      <c r="K459" s="33">
        <v>1.0</v>
      </c>
      <c r="L459" s="124" t="s">
        <v>7642</v>
      </c>
      <c r="M459" s="34"/>
    </row>
    <row r="460" hidden="1">
      <c r="A460" s="33" t="s">
        <v>7637</v>
      </c>
      <c r="B460" s="122">
        <v>45745.0</v>
      </c>
      <c r="C460" s="33">
        <v>8.07000030295E11</v>
      </c>
      <c r="D460" s="33" t="s">
        <v>7638</v>
      </c>
      <c r="E460" s="33" t="s">
        <v>7639</v>
      </c>
      <c r="F460" s="123" t="s">
        <v>7640</v>
      </c>
      <c r="G460" s="123" t="s">
        <v>247</v>
      </c>
      <c r="H460" s="123">
        <v>4400.0</v>
      </c>
      <c r="I460" s="33">
        <v>87609.0</v>
      </c>
      <c r="J460" s="33" t="s">
        <v>7643</v>
      </c>
      <c r="K460" s="33">
        <v>2.0</v>
      </c>
      <c r="L460" s="124" t="s">
        <v>7642</v>
      </c>
      <c r="M460" s="34"/>
    </row>
    <row r="461" hidden="1">
      <c r="A461" s="33" t="s">
        <v>7644</v>
      </c>
      <c r="B461" s="122">
        <v>45747.0</v>
      </c>
      <c r="C461" s="33">
        <v>8.07000030384E11</v>
      </c>
      <c r="D461" s="33" t="s">
        <v>7645</v>
      </c>
      <c r="E461" s="33" t="s">
        <v>7646</v>
      </c>
      <c r="F461" s="123" t="s">
        <v>7647</v>
      </c>
      <c r="G461" s="123" t="s">
        <v>247</v>
      </c>
      <c r="H461" s="123">
        <v>4400.0</v>
      </c>
      <c r="I461" s="33" t="s">
        <v>1452</v>
      </c>
      <c r="J461" s="33" t="s">
        <v>1453</v>
      </c>
      <c r="K461" s="33">
        <v>2.0</v>
      </c>
      <c r="L461" s="124" t="s">
        <v>7648</v>
      </c>
      <c r="M461" s="34"/>
    </row>
    <row r="462" hidden="1">
      <c r="A462" s="33" t="s">
        <v>7644</v>
      </c>
      <c r="B462" s="122">
        <v>45747.0</v>
      </c>
      <c r="C462" s="33">
        <v>8.07000030384E11</v>
      </c>
      <c r="D462" s="33" t="s">
        <v>7645</v>
      </c>
      <c r="E462" s="33" t="s">
        <v>7646</v>
      </c>
      <c r="F462" s="123" t="s">
        <v>7647</v>
      </c>
      <c r="G462" s="123" t="s">
        <v>247</v>
      </c>
      <c r="H462" s="123">
        <v>4400.0</v>
      </c>
      <c r="I462" s="33" t="s">
        <v>947</v>
      </c>
      <c r="J462" s="33" t="s">
        <v>3750</v>
      </c>
      <c r="K462" s="33">
        <v>1.0</v>
      </c>
      <c r="L462" s="124" t="s">
        <v>7648</v>
      </c>
      <c r="M462" s="34"/>
    </row>
    <row r="463" hidden="1">
      <c r="A463" s="33" t="s">
        <v>7649</v>
      </c>
      <c r="B463" s="122">
        <v>45747.0</v>
      </c>
      <c r="C463" s="33">
        <v>8.07000030386E11</v>
      </c>
      <c r="D463" s="33" t="s">
        <v>7650</v>
      </c>
      <c r="E463" s="33" t="s">
        <v>7651</v>
      </c>
      <c r="F463" s="123" t="s">
        <v>7652</v>
      </c>
      <c r="G463" s="123" t="s">
        <v>247</v>
      </c>
      <c r="H463" s="123">
        <v>4400.0</v>
      </c>
      <c r="I463" s="33" t="s">
        <v>1379</v>
      </c>
      <c r="J463" s="33" t="s">
        <v>7653</v>
      </c>
      <c r="K463" s="33">
        <v>1.0</v>
      </c>
      <c r="L463" s="124" t="s">
        <v>7654</v>
      </c>
      <c r="M463" s="34"/>
    </row>
    <row r="464" hidden="1">
      <c r="A464" s="33" t="s">
        <v>7649</v>
      </c>
      <c r="B464" s="122">
        <v>45747.0</v>
      </c>
      <c r="C464" s="33">
        <v>8.07000030386E11</v>
      </c>
      <c r="D464" s="33" t="s">
        <v>7650</v>
      </c>
      <c r="E464" s="33" t="s">
        <v>7651</v>
      </c>
      <c r="F464" s="123" t="s">
        <v>7652</v>
      </c>
      <c r="G464" s="123" t="s">
        <v>247</v>
      </c>
      <c r="H464" s="123">
        <v>4400.0</v>
      </c>
      <c r="I464" s="33" t="s">
        <v>512</v>
      </c>
      <c r="J464" s="33" t="s">
        <v>513</v>
      </c>
      <c r="K464" s="33">
        <v>6.0</v>
      </c>
      <c r="L464" s="124" t="s">
        <v>7654</v>
      </c>
      <c r="M464" s="34"/>
    </row>
    <row r="465" hidden="1">
      <c r="A465" s="33" t="s">
        <v>7649</v>
      </c>
      <c r="B465" s="122">
        <v>45747.0</v>
      </c>
      <c r="C465" s="33">
        <v>8.07000030386E11</v>
      </c>
      <c r="D465" s="33" t="s">
        <v>7650</v>
      </c>
      <c r="E465" s="33" t="s">
        <v>7651</v>
      </c>
      <c r="F465" s="123" t="s">
        <v>7652</v>
      </c>
      <c r="G465" s="123" t="s">
        <v>247</v>
      </c>
      <c r="H465" s="123">
        <v>4400.0</v>
      </c>
      <c r="I465" s="33" t="s">
        <v>35</v>
      </c>
      <c r="J465" s="33" t="s">
        <v>3188</v>
      </c>
      <c r="K465" s="33">
        <v>1.0</v>
      </c>
      <c r="L465" s="124" t="s">
        <v>7654</v>
      </c>
      <c r="M465" s="34"/>
    </row>
    <row r="466" hidden="1">
      <c r="A466" s="33" t="s">
        <v>7655</v>
      </c>
      <c r="B466" s="122">
        <v>45747.0</v>
      </c>
      <c r="C466" s="33">
        <v>8.07000030388E11</v>
      </c>
      <c r="D466" s="33" t="s">
        <v>7656</v>
      </c>
      <c r="E466" s="33" t="s">
        <v>7657</v>
      </c>
      <c r="F466" s="123" t="s">
        <v>7658</v>
      </c>
      <c r="G466" s="123" t="s">
        <v>247</v>
      </c>
      <c r="H466" s="123">
        <v>4400.0</v>
      </c>
      <c r="I466" s="33" t="s">
        <v>289</v>
      </c>
      <c r="J466" s="33" t="s">
        <v>290</v>
      </c>
      <c r="K466" s="33">
        <v>1.0</v>
      </c>
      <c r="L466" s="124" t="s">
        <v>7659</v>
      </c>
      <c r="M466" s="34"/>
    </row>
    <row r="467" hidden="1">
      <c r="A467" s="33" t="s">
        <v>7655</v>
      </c>
      <c r="B467" s="122">
        <v>45747.0</v>
      </c>
      <c r="C467" s="33">
        <v>8.07000030388E11</v>
      </c>
      <c r="D467" s="33" t="s">
        <v>7656</v>
      </c>
      <c r="E467" s="33" t="s">
        <v>7657</v>
      </c>
      <c r="F467" s="123" t="s">
        <v>7658</v>
      </c>
      <c r="G467" s="123" t="s">
        <v>247</v>
      </c>
      <c r="H467" s="123">
        <v>4400.0</v>
      </c>
      <c r="I467" s="33" t="s">
        <v>512</v>
      </c>
      <c r="J467" s="33" t="s">
        <v>513</v>
      </c>
      <c r="K467" s="33">
        <v>6.0</v>
      </c>
      <c r="L467" s="124" t="s">
        <v>7659</v>
      </c>
      <c r="M467" s="34"/>
    </row>
    <row r="468" hidden="1">
      <c r="A468" s="33" t="s">
        <v>7655</v>
      </c>
      <c r="B468" s="122">
        <v>45747.0</v>
      </c>
      <c r="C468" s="33">
        <v>8.07000030389E11</v>
      </c>
      <c r="D468" s="33" t="s">
        <v>7656</v>
      </c>
      <c r="E468" s="33" t="s">
        <v>7657</v>
      </c>
      <c r="F468" s="123" t="s">
        <v>7658</v>
      </c>
      <c r="G468" s="123" t="s">
        <v>247</v>
      </c>
      <c r="H468" s="123">
        <v>4400.0</v>
      </c>
      <c r="I468" s="33" t="s">
        <v>627</v>
      </c>
      <c r="J468" s="33" t="s">
        <v>7660</v>
      </c>
      <c r="K468" s="33">
        <v>1.0</v>
      </c>
      <c r="L468" s="124" t="s">
        <v>7659</v>
      </c>
      <c r="M468" s="34"/>
    </row>
    <row r="469" hidden="1">
      <c r="A469" s="33" t="s">
        <v>7661</v>
      </c>
      <c r="B469" s="122">
        <v>45747.0</v>
      </c>
      <c r="C469" s="33">
        <v>8.07000030405E11</v>
      </c>
      <c r="D469" s="33" t="s">
        <v>7662</v>
      </c>
      <c r="E469" s="33" t="s">
        <v>7663</v>
      </c>
      <c r="F469" s="123" t="s">
        <v>7664</v>
      </c>
      <c r="G469" s="123" t="s">
        <v>247</v>
      </c>
      <c r="H469" s="123">
        <v>4400.0</v>
      </c>
      <c r="I469" s="33" t="s">
        <v>1100</v>
      </c>
      <c r="J469" s="33" t="s">
        <v>7599</v>
      </c>
      <c r="K469" s="33">
        <v>1.0</v>
      </c>
      <c r="L469" s="124" t="s">
        <v>7665</v>
      </c>
      <c r="M469" s="34"/>
    </row>
    <row r="470" hidden="1">
      <c r="A470" s="33" t="s">
        <v>7661</v>
      </c>
      <c r="B470" s="122">
        <v>45747.0</v>
      </c>
      <c r="C470" s="33">
        <v>8.07000030405E11</v>
      </c>
      <c r="D470" s="33" t="s">
        <v>7662</v>
      </c>
      <c r="E470" s="33" t="s">
        <v>7663</v>
      </c>
      <c r="F470" s="123" t="s">
        <v>7664</v>
      </c>
      <c r="G470" s="123" t="s">
        <v>247</v>
      </c>
      <c r="H470" s="123">
        <v>4400.0</v>
      </c>
      <c r="I470" s="33" t="s">
        <v>512</v>
      </c>
      <c r="J470" s="33" t="s">
        <v>513</v>
      </c>
      <c r="K470" s="33">
        <v>12.0</v>
      </c>
      <c r="L470" s="124" t="s">
        <v>7665</v>
      </c>
      <c r="M470" s="34"/>
    </row>
    <row r="471" hidden="1">
      <c r="A471" s="33" t="s">
        <v>7661</v>
      </c>
      <c r="B471" s="122">
        <v>45747.0</v>
      </c>
      <c r="C471" s="33">
        <v>8.07000030407E11</v>
      </c>
      <c r="D471" s="33" t="s">
        <v>7662</v>
      </c>
      <c r="E471" s="33" t="s">
        <v>7663</v>
      </c>
      <c r="F471" s="123" t="s">
        <v>7664</v>
      </c>
      <c r="G471" s="123" t="s">
        <v>247</v>
      </c>
      <c r="H471" s="123">
        <v>4400.0</v>
      </c>
      <c r="I471" s="33" t="s">
        <v>758</v>
      </c>
      <c r="J471" s="33" t="s">
        <v>3574</v>
      </c>
      <c r="K471" s="33">
        <v>2.0</v>
      </c>
      <c r="L471" s="124" t="s">
        <v>7665</v>
      </c>
      <c r="M471" s="34"/>
    </row>
    <row r="472" hidden="1">
      <c r="A472" s="33" t="s">
        <v>7666</v>
      </c>
      <c r="B472" s="122">
        <v>45747.0</v>
      </c>
      <c r="C472" s="33">
        <v>8.07000030419E11</v>
      </c>
      <c r="D472" s="33" t="s">
        <v>7667</v>
      </c>
      <c r="E472" s="33" t="s">
        <v>7668</v>
      </c>
      <c r="F472" s="123" t="s">
        <v>7669</v>
      </c>
      <c r="G472" s="123" t="s">
        <v>1190</v>
      </c>
      <c r="H472" s="123">
        <v>4423.0</v>
      </c>
      <c r="I472" s="33" t="s">
        <v>2686</v>
      </c>
      <c r="J472" s="33" t="s">
        <v>7670</v>
      </c>
      <c r="K472" s="33">
        <v>1.0</v>
      </c>
      <c r="L472" s="124" t="s">
        <v>7671</v>
      </c>
      <c r="M472" s="34"/>
    </row>
    <row r="473" hidden="1">
      <c r="A473" s="33" t="s">
        <v>7672</v>
      </c>
      <c r="B473" s="122">
        <v>45747.0</v>
      </c>
      <c r="C473" s="33">
        <v>8.07000030415E11</v>
      </c>
      <c r="D473" s="33" t="s">
        <v>7667</v>
      </c>
      <c r="E473" s="33" t="s">
        <v>7668</v>
      </c>
      <c r="F473" s="123" t="s">
        <v>7669</v>
      </c>
      <c r="G473" s="123" t="s">
        <v>1190</v>
      </c>
      <c r="H473" s="123">
        <v>4423.0</v>
      </c>
      <c r="I473" s="33" t="s">
        <v>7673</v>
      </c>
      <c r="J473" s="33" t="s">
        <v>7674</v>
      </c>
      <c r="K473" s="33">
        <v>1.0</v>
      </c>
      <c r="L473" s="124" t="s">
        <v>7671</v>
      </c>
      <c r="M473" s="34"/>
    </row>
    <row r="474" hidden="1">
      <c r="A474" s="33" t="s">
        <v>7672</v>
      </c>
      <c r="B474" s="122">
        <v>45747.0</v>
      </c>
      <c r="C474" s="33">
        <v>8.07000030415E11</v>
      </c>
      <c r="D474" s="33" t="s">
        <v>7667</v>
      </c>
      <c r="E474" s="33" t="s">
        <v>7668</v>
      </c>
      <c r="F474" s="123" t="s">
        <v>7669</v>
      </c>
      <c r="G474" s="123" t="s">
        <v>1190</v>
      </c>
      <c r="H474" s="123">
        <v>4423.0</v>
      </c>
      <c r="I474" s="33" t="s">
        <v>7456</v>
      </c>
      <c r="J474" s="33" t="s">
        <v>7675</v>
      </c>
      <c r="K474" s="33">
        <v>1.0</v>
      </c>
      <c r="L474" s="124" t="s">
        <v>7671</v>
      </c>
      <c r="M474" s="34"/>
    </row>
    <row r="475" hidden="1">
      <c r="A475" s="33" t="s">
        <v>7676</v>
      </c>
      <c r="B475" s="122">
        <v>45747.0</v>
      </c>
      <c r="C475" s="33">
        <v>8.07000030418E11</v>
      </c>
      <c r="D475" s="33" t="s">
        <v>7677</v>
      </c>
      <c r="E475" s="33" t="s">
        <v>7678</v>
      </c>
      <c r="F475" s="123" t="s">
        <v>7679</v>
      </c>
      <c r="G475" s="123" t="s">
        <v>1190</v>
      </c>
      <c r="H475" s="123">
        <v>4423.0</v>
      </c>
      <c r="I475" s="33" t="s">
        <v>1408</v>
      </c>
      <c r="J475" s="33" t="s">
        <v>7680</v>
      </c>
      <c r="K475" s="33">
        <v>1.0</v>
      </c>
      <c r="L475" s="124" t="s">
        <v>7671</v>
      </c>
      <c r="M475" s="34"/>
    </row>
    <row r="476" hidden="1">
      <c r="A476" s="33" t="s">
        <v>7676</v>
      </c>
      <c r="B476" s="122">
        <v>45747.0</v>
      </c>
      <c r="C476" s="33">
        <v>8.07000030418E11</v>
      </c>
      <c r="D476" s="33" t="s">
        <v>7677</v>
      </c>
      <c r="E476" s="33" t="s">
        <v>7678</v>
      </c>
      <c r="F476" s="123" t="s">
        <v>7679</v>
      </c>
      <c r="G476" s="123" t="s">
        <v>1190</v>
      </c>
      <c r="H476" s="123">
        <v>4423.0</v>
      </c>
      <c r="I476" s="33" t="s">
        <v>512</v>
      </c>
      <c r="J476" s="33" t="s">
        <v>513</v>
      </c>
      <c r="K476" s="33">
        <v>12.0</v>
      </c>
      <c r="L476" s="124" t="s">
        <v>7671</v>
      </c>
      <c r="M476" s="34"/>
    </row>
    <row r="477" hidden="1">
      <c r="A477" s="33" t="s">
        <v>7676</v>
      </c>
      <c r="B477" s="122">
        <v>45747.0</v>
      </c>
      <c r="C477" s="33">
        <v>8.07000030418E11</v>
      </c>
      <c r="D477" s="33" t="s">
        <v>7677</v>
      </c>
      <c r="E477" s="33" t="s">
        <v>7678</v>
      </c>
      <c r="F477" s="123" t="s">
        <v>7679</v>
      </c>
      <c r="G477" s="123" t="s">
        <v>1190</v>
      </c>
      <c r="H477" s="123">
        <v>4423.0</v>
      </c>
      <c r="I477" s="33" t="s">
        <v>121</v>
      </c>
      <c r="J477" s="33" t="s">
        <v>3199</v>
      </c>
      <c r="K477" s="33">
        <v>2.0</v>
      </c>
      <c r="L477" s="124" t="s">
        <v>7671</v>
      </c>
      <c r="M477" s="34"/>
    </row>
    <row r="478" hidden="1">
      <c r="A478" s="33" t="s">
        <v>7681</v>
      </c>
      <c r="B478" s="122">
        <v>45748.0</v>
      </c>
      <c r="C478" s="33">
        <v>8.07000030428E11</v>
      </c>
      <c r="D478" s="33" t="s">
        <v>7682</v>
      </c>
      <c r="E478" s="33" t="s">
        <v>7683</v>
      </c>
      <c r="F478" s="123" t="s">
        <v>7684</v>
      </c>
      <c r="G478" s="123" t="s">
        <v>247</v>
      </c>
      <c r="H478" s="123">
        <v>4400.0</v>
      </c>
      <c r="I478" s="33">
        <v>841702.0</v>
      </c>
      <c r="J478" s="33" t="s">
        <v>7685</v>
      </c>
      <c r="K478" s="33">
        <v>1.0</v>
      </c>
      <c r="L478" s="124" t="s">
        <v>7686</v>
      </c>
      <c r="M478" s="34"/>
    </row>
    <row r="479" hidden="1">
      <c r="A479" s="33" t="s">
        <v>7687</v>
      </c>
      <c r="B479" s="122">
        <v>45748.0</v>
      </c>
      <c r="C479" s="33">
        <v>8.07000030429E11</v>
      </c>
      <c r="D479" s="33" t="s">
        <v>7682</v>
      </c>
      <c r="E479" s="33" t="s">
        <v>7683</v>
      </c>
      <c r="F479" s="123" t="s">
        <v>7688</v>
      </c>
      <c r="G479" s="123" t="s">
        <v>247</v>
      </c>
      <c r="H479" s="123">
        <v>4400.0</v>
      </c>
      <c r="I479" s="33">
        <v>87604.0</v>
      </c>
      <c r="J479" s="33" t="s">
        <v>480</v>
      </c>
      <c r="K479" s="33">
        <v>1.0</v>
      </c>
      <c r="L479" s="124" t="s">
        <v>7686</v>
      </c>
      <c r="M479" s="34"/>
    </row>
    <row r="480" hidden="1">
      <c r="A480" s="33" t="s">
        <v>7689</v>
      </c>
      <c r="B480" s="122">
        <v>45748.0</v>
      </c>
      <c r="C480" s="33">
        <v>8.07000030422E11</v>
      </c>
      <c r="D480" s="33" t="s">
        <v>193</v>
      </c>
      <c r="E480" s="33" t="s">
        <v>194</v>
      </c>
      <c r="F480" s="123" t="s">
        <v>7690</v>
      </c>
      <c r="G480" s="123" t="s">
        <v>247</v>
      </c>
      <c r="H480" s="123">
        <v>4400.0</v>
      </c>
      <c r="I480" s="33" t="s">
        <v>50</v>
      </c>
      <c r="J480" s="33" t="s">
        <v>51</v>
      </c>
      <c r="K480" s="33">
        <v>1.0</v>
      </c>
      <c r="L480" s="124" t="s">
        <v>7691</v>
      </c>
      <c r="M480" s="34"/>
    </row>
    <row r="481" hidden="1">
      <c r="A481" s="33" t="s">
        <v>7689</v>
      </c>
      <c r="B481" s="122">
        <v>45748.0</v>
      </c>
      <c r="C481" s="33">
        <v>8.07000030422E11</v>
      </c>
      <c r="D481" s="33" t="s">
        <v>193</v>
      </c>
      <c r="E481" s="33" t="s">
        <v>194</v>
      </c>
      <c r="F481" s="123" t="s">
        <v>7690</v>
      </c>
      <c r="G481" s="123" t="s">
        <v>247</v>
      </c>
      <c r="H481" s="123">
        <v>4400.0</v>
      </c>
      <c r="I481" s="33" t="s">
        <v>512</v>
      </c>
      <c r="J481" s="33" t="s">
        <v>513</v>
      </c>
      <c r="K481" s="33">
        <v>6.0</v>
      </c>
      <c r="L481" s="124" t="s">
        <v>7691</v>
      </c>
      <c r="M481" s="34"/>
    </row>
    <row r="482" hidden="1">
      <c r="A482" s="33" t="s">
        <v>7689</v>
      </c>
      <c r="B482" s="122">
        <v>45748.0</v>
      </c>
      <c r="C482" s="33">
        <v>8.07000030422E11</v>
      </c>
      <c r="D482" s="33" t="s">
        <v>193</v>
      </c>
      <c r="E482" s="33" t="s">
        <v>194</v>
      </c>
      <c r="F482" s="123" t="s">
        <v>7690</v>
      </c>
      <c r="G482" s="123" t="s">
        <v>247</v>
      </c>
      <c r="H482" s="123">
        <v>4400.0</v>
      </c>
      <c r="I482" s="33" t="s">
        <v>25</v>
      </c>
      <c r="J482" s="33" t="s">
        <v>3401</v>
      </c>
      <c r="K482" s="33">
        <v>1.0</v>
      </c>
      <c r="L482" s="124" t="s">
        <v>7691</v>
      </c>
      <c r="M482" s="34"/>
    </row>
    <row r="483" hidden="1">
      <c r="A483" s="33" t="s">
        <v>7692</v>
      </c>
      <c r="B483" s="122">
        <v>45748.0</v>
      </c>
      <c r="C483" s="33">
        <v>8.07000030427E11</v>
      </c>
      <c r="D483" s="33" t="s">
        <v>7693</v>
      </c>
      <c r="E483" s="33" t="s">
        <v>7694</v>
      </c>
      <c r="F483" s="123" t="s">
        <v>7695</v>
      </c>
      <c r="G483" s="123" t="s">
        <v>247</v>
      </c>
      <c r="H483" s="123">
        <v>4400.0</v>
      </c>
      <c r="I483" s="33" t="s">
        <v>3054</v>
      </c>
      <c r="J483" s="33" t="s">
        <v>3346</v>
      </c>
      <c r="K483" s="33">
        <v>1.0</v>
      </c>
      <c r="L483" s="124" t="s">
        <v>7696</v>
      </c>
      <c r="M483" s="34"/>
    </row>
    <row r="484" hidden="1">
      <c r="A484" s="33" t="s">
        <v>7692</v>
      </c>
      <c r="B484" s="122">
        <v>45748.0</v>
      </c>
      <c r="C484" s="33">
        <v>8.07000030427E11</v>
      </c>
      <c r="D484" s="33" t="s">
        <v>7693</v>
      </c>
      <c r="E484" s="33" t="s">
        <v>7694</v>
      </c>
      <c r="F484" s="123" t="s">
        <v>7695</v>
      </c>
      <c r="G484" s="123" t="s">
        <v>247</v>
      </c>
      <c r="H484" s="123">
        <v>4400.0</v>
      </c>
      <c r="I484" s="33" t="s">
        <v>512</v>
      </c>
      <c r="J484" s="33" t="s">
        <v>513</v>
      </c>
      <c r="K484" s="33">
        <v>6.0</v>
      </c>
      <c r="L484" s="124" t="s">
        <v>7696</v>
      </c>
      <c r="M484" s="34"/>
    </row>
    <row r="485" hidden="1">
      <c r="A485" s="125" t="s">
        <v>7692</v>
      </c>
      <c r="B485" s="126">
        <v>45748.0</v>
      </c>
      <c r="C485" s="125">
        <v>8.07000030427E11</v>
      </c>
      <c r="D485" s="125" t="s">
        <v>7693</v>
      </c>
      <c r="E485" s="125" t="s">
        <v>7694</v>
      </c>
      <c r="F485" s="186" t="s">
        <v>7695</v>
      </c>
      <c r="G485" s="123" t="s">
        <v>247</v>
      </c>
      <c r="H485" s="187">
        <v>4400.0</v>
      </c>
      <c r="I485" s="125" t="s">
        <v>2031</v>
      </c>
      <c r="J485" s="125" t="s">
        <v>3348</v>
      </c>
      <c r="K485" s="125">
        <v>1.0</v>
      </c>
      <c r="L485" s="129" t="s">
        <v>7696</v>
      </c>
      <c r="M485" s="130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  <c r="AC485" s="179"/>
    </row>
    <row r="486" hidden="1">
      <c r="A486" s="131" t="s">
        <v>7697</v>
      </c>
      <c r="B486" s="132">
        <v>45751.0</v>
      </c>
      <c r="C486" s="131">
        <v>8.07000030437E11</v>
      </c>
      <c r="D486" s="131" t="s">
        <v>7698</v>
      </c>
      <c r="E486" s="131" t="s">
        <v>7699</v>
      </c>
      <c r="F486" s="133" t="s">
        <v>7700</v>
      </c>
      <c r="G486" s="123" t="s">
        <v>3850</v>
      </c>
      <c r="H486" s="133">
        <v>4421.0</v>
      </c>
      <c r="I486" s="131" t="s">
        <v>7129</v>
      </c>
      <c r="J486" s="131" t="s">
        <v>7701</v>
      </c>
      <c r="K486" s="131">
        <v>1.0</v>
      </c>
      <c r="L486" s="134" t="s">
        <v>7702</v>
      </c>
      <c r="M486" s="138"/>
    </row>
    <row r="487" hidden="1">
      <c r="A487" s="131" t="s">
        <v>7697</v>
      </c>
      <c r="B487" s="132">
        <v>45751.0</v>
      </c>
      <c r="C487" s="33">
        <v>8.07000030437E11</v>
      </c>
      <c r="D487" s="33" t="s">
        <v>7698</v>
      </c>
      <c r="E487" s="33" t="s">
        <v>7699</v>
      </c>
      <c r="F487" s="133" t="s">
        <v>7700</v>
      </c>
      <c r="G487" s="123" t="s">
        <v>3850</v>
      </c>
      <c r="H487" s="123">
        <v>4421.0</v>
      </c>
      <c r="I487" s="33">
        <v>87604.0</v>
      </c>
      <c r="J487" s="33" t="s">
        <v>480</v>
      </c>
      <c r="K487" s="33">
        <v>1.0</v>
      </c>
      <c r="L487" s="134" t="s">
        <v>7702</v>
      </c>
      <c r="M487" s="34"/>
    </row>
    <row r="488" hidden="1">
      <c r="A488" s="131" t="s">
        <v>7703</v>
      </c>
      <c r="B488" s="132">
        <v>45751.0</v>
      </c>
      <c r="C488" s="33">
        <v>8.07000030456E11</v>
      </c>
      <c r="D488" s="33" t="s">
        <v>7704</v>
      </c>
      <c r="E488" s="33" t="s">
        <v>7705</v>
      </c>
      <c r="F488" s="123" t="s">
        <v>7706</v>
      </c>
      <c r="G488" s="123" t="s">
        <v>247</v>
      </c>
      <c r="H488" s="123">
        <v>4400.0</v>
      </c>
      <c r="I488" s="33" t="s">
        <v>761</v>
      </c>
      <c r="J488" s="33" t="s">
        <v>3761</v>
      </c>
      <c r="K488" s="33">
        <v>1.0</v>
      </c>
      <c r="L488" s="124" t="s">
        <v>7707</v>
      </c>
      <c r="M488" s="34"/>
    </row>
    <row r="489" hidden="1">
      <c r="A489" s="131" t="s">
        <v>7703</v>
      </c>
      <c r="B489" s="132">
        <v>45751.0</v>
      </c>
      <c r="C489" s="33">
        <v>8.07000030456E11</v>
      </c>
      <c r="D489" s="33" t="s">
        <v>7704</v>
      </c>
      <c r="E489" s="33" t="s">
        <v>7705</v>
      </c>
      <c r="F489" s="123" t="s">
        <v>7706</v>
      </c>
      <c r="G489" s="123" t="s">
        <v>247</v>
      </c>
      <c r="H489" s="123">
        <v>4400.0</v>
      </c>
      <c r="I489" s="33" t="s">
        <v>512</v>
      </c>
      <c r="J489" s="33" t="s">
        <v>513</v>
      </c>
      <c r="K489" s="33">
        <v>12.0</v>
      </c>
      <c r="L489" s="124" t="s">
        <v>7707</v>
      </c>
      <c r="M489" s="34"/>
    </row>
    <row r="490" hidden="1">
      <c r="A490" s="131" t="s">
        <v>7703</v>
      </c>
      <c r="B490" s="132">
        <v>45751.0</v>
      </c>
      <c r="C490" s="33">
        <v>8.07000030456E11</v>
      </c>
      <c r="D490" s="33" t="s">
        <v>7704</v>
      </c>
      <c r="E490" s="33" t="s">
        <v>7705</v>
      </c>
      <c r="F490" s="123" t="s">
        <v>7706</v>
      </c>
      <c r="G490" s="123" t="s">
        <v>247</v>
      </c>
      <c r="H490" s="123">
        <v>4400.0</v>
      </c>
      <c r="I490" s="33" t="s">
        <v>758</v>
      </c>
      <c r="J490" s="33" t="s">
        <v>3574</v>
      </c>
      <c r="K490" s="33">
        <v>2.0</v>
      </c>
      <c r="L490" s="124" t="s">
        <v>7707</v>
      </c>
      <c r="M490" s="34"/>
    </row>
    <row r="491" hidden="1">
      <c r="A491" s="131" t="s">
        <v>7708</v>
      </c>
      <c r="B491" s="132">
        <v>45751.0</v>
      </c>
      <c r="C491" s="33">
        <v>8.07000030457E11</v>
      </c>
      <c r="D491" s="33" t="s">
        <v>7709</v>
      </c>
      <c r="E491" s="33" t="s">
        <v>7710</v>
      </c>
      <c r="F491" s="123" t="s">
        <v>7711</v>
      </c>
      <c r="G491" s="123" t="s">
        <v>247</v>
      </c>
      <c r="H491" s="123">
        <v>4400.0</v>
      </c>
      <c r="I491" s="33" t="s">
        <v>7712</v>
      </c>
      <c r="J491" s="33" t="s">
        <v>7713</v>
      </c>
      <c r="K491" s="33">
        <v>2.0</v>
      </c>
      <c r="L491" s="124" t="s">
        <v>7714</v>
      </c>
      <c r="M491" s="34"/>
    </row>
    <row r="492" hidden="1">
      <c r="A492" s="131" t="s">
        <v>7708</v>
      </c>
      <c r="B492" s="132">
        <v>45751.0</v>
      </c>
      <c r="C492" s="33">
        <v>8.07000030457E11</v>
      </c>
      <c r="D492" s="33" t="s">
        <v>7709</v>
      </c>
      <c r="E492" s="33" t="s">
        <v>7710</v>
      </c>
      <c r="F492" s="123" t="s">
        <v>7711</v>
      </c>
      <c r="G492" s="123" t="s">
        <v>247</v>
      </c>
      <c r="H492" s="123">
        <v>4400.0</v>
      </c>
      <c r="I492" s="33" t="s">
        <v>280</v>
      </c>
      <c r="J492" s="33" t="s">
        <v>5669</v>
      </c>
      <c r="K492" s="33">
        <v>1.0</v>
      </c>
      <c r="L492" s="124" t="s">
        <v>7714</v>
      </c>
      <c r="M492" s="34"/>
    </row>
    <row r="493" hidden="1">
      <c r="A493" s="131" t="s">
        <v>7715</v>
      </c>
      <c r="B493" s="132">
        <v>45751.0</v>
      </c>
      <c r="C493" s="33">
        <v>8.07000030443E11</v>
      </c>
      <c r="D493" s="33" t="s">
        <v>7716</v>
      </c>
      <c r="E493" s="33" t="s">
        <v>7717</v>
      </c>
      <c r="F493" s="123" t="s">
        <v>7718</v>
      </c>
      <c r="G493" s="123" t="s">
        <v>6045</v>
      </c>
      <c r="H493" s="123">
        <v>4440.0</v>
      </c>
      <c r="I493" s="33" t="s">
        <v>1129</v>
      </c>
      <c r="J493" s="33" t="s">
        <v>7719</v>
      </c>
      <c r="K493" s="33">
        <v>1.0</v>
      </c>
      <c r="L493" s="124" t="s">
        <v>7720</v>
      </c>
      <c r="M493" s="34"/>
    </row>
    <row r="494" hidden="1">
      <c r="A494" s="131" t="s">
        <v>7721</v>
      </c>
      <c r="B494" s="132">
        <v>45751.0</v>
      </c>
      <c r="C494" s="33">
        <v>8.05011523022E11</v>
      </c>
      <c r="D494" s="33" t="s">
        <v>7722</v>
      </c>
      <c r="E494" s="33" t="s">
        <v>7723</v>
      </c>
      <c r="F494" s="123" t="s">
        <v>6100</v>
      </c>
      <c r="G494" s="123" t="s">
        <v>247</v>
      </c>
      <c r="H494" s="123">
        <v>4400.0</v>
      </c>
      <c r="I494" s="33">
        <v>203700.0</v>
      </c>
      <c r="J494" s="33" t="s">
        <v>7724</v>
      </c>
      <c r="K494" s="33">
        <v>1.0</v>
      </c>
      <c r="L494" s="124" t="s">
        <v>7725</v>
      </c>
      <c r="M494" s="34"/>
    </row>
    <row r="495" hidden="1">
      <c r="A495" s="131" t="s">
        <v>7726</v>
      </c>
      <c r="B495" s="132">
        <v>45751.0</v>
      </c>
      <c r="C495" s="33">
        <v>8.0501152269E11</v>
      </c>
      <c r="D495" s="33" t="s">
        <v>7727</v>
      </c>
      <c r="E495" s="33" t="s">
        <v>7728</v>
      </c>
      <c r="F495" s="123" t="s">
        <v>7729</v>
      </c>
      <c r="G495" s="123" t="s">
        <v>486</v>
      </c>
      <c r="H495" s="123">
        <v>4440.0</v>
      </c>
      <c r="I495" s="33" t="s">
        <v>298</v>
      </c>
      <c r="J495" s="33" t="s">
        <v>6035</v>
      </c>
      <c r="K495" s="33">
        <v>1.0</v>
      </c>
      <c r="L495" s="124" t="s">
        <v>7730</v>
      </c>
      <c r="M495" s="34"/>
    </row>
    <row r="496" hidden="1">
      <c r="A496" s="131" t="s">
        <v>7726</v>
      </c>
      <c r="B496" s="132">
        <v>45751.0</v>
      </c>
      <c r="C496" s="33">
        <v>8.0501152269E11</v>
      </c>
      <c r="D496" s="33" t="s">
        <v>7727</v>
      </c>
      <c r="E496" s="33" t="s">
        <v>7728</v>
      </c>
      <c r="F496" s="123" t="s">
        <v>7729</v>
      </c>
      <c r="G496" s="123" t="s">
        <v>486</v>
      </c>
      <c r="H496" s="123">
        <v>4400.0</v>
      </c>
      <c r="I496" s="33" t="s">
        <v>512</v>
      </c>
      <c r="J496" s="33" t="s">
        <v>513</v>
      </c>
      <c r="K496" s="33">
        <v>12.0</v>
      </c>
      <c r="L496" s="124" t="s">
        <v>7714</v>
      </c>
      <c r="M496" s="34"/>
    </row>
    <row r="497" hidden="1">
      <c r="A497" s="131" t="s">
        <v>7726</v>
      </c>
      <c r="B497" s="132">
        <v>45751.0</v>
      </c>
      <c r="C497" s="33">
        <v>8.0501152269E11</v>
      </c>
      <c r="D497" s="33" t="s">
        <v>7727</v>
      </c>
      <c r="E497" s="33" t="s">
        <v>7728</v>
      </c>
      <c r="F497" s="123" t="s">
        <v>7729</v>
      </c>
      <c r="G497" s="123" t="s">
        <v>486</v>
      </c>
      <c r="H497" s="123">
        <v>4400.0</v>
      </c>
      <c r="I497" s="33" t="s">
        <v>340</v>
      </c>
      <c r="J497" s="33" t="s">
        <v>3486</v>
      </c>
      <c r="K497" s="33">
        <v>2.0</v>
      </c>
      <c r="L497" s="124" t="s">
        <v>7714</v>
      </c>
      <c r="M497" s="34"/>
    </row>
    <row r="498" hidden="1">
      <c r="A498" s="131" t="s">
        <v>7731</v>
      </c>
      <c r="B498" s="132">
        <v>45752.0</v>
      </c>
      <c r="C498" s="33">
        <v>8.07000030446E11</v>
      </c>
      <c r="D498" s="33" t="s">
        <v>7732</v>
      </c>
      <c r="E498" s="33" t="s">
        <v>7733</v>
      </c>
      <c r="F498" s="123" t="s">
        <v>7734</v>
      </c>
      <c r="G498" s="123" t="s">
        <v>247</v>
      </c>
      <c r="H498" s="123">
        <v>4400.0</v>
      </c>
      <c r="I498" s="33" t="s">
        <v>785</v>
      </c>
      <c r="J498" s="33" t="s">
        <v>7583</v>
      </c>
      <c r="K498" s="33">
        <v>1.0</v>
      </c>
      <c r="L498" s="124" t="s">
        <v>7735</v>
      </c>
      <c r="M498" s="34"/>
    </row>
    <row r="499" hidden="1">
      <c r="A499" s="131" t="s">
        <v>7736</v>
      </c>
      <c r="B499" s="132">
        <v>45752.0</v>
      </c>
      <c r="C499" s="33">
        <v>8.07000030447E11</v>
      </c>
      <c r="D499" s="33" t="s">
        <v>7732</v>
      </c>
      <c r="E499" s="33" t="s">
        <v>7733</v>
      </c>
      <c r="F499" s="123" t="s">
        <v>7734</v>
      </c>
      <c r="G499" s="123" t="s">
        <v>247</v>
      </c>
      <c r="H499" s="123">
        <v>4400.0</v>
      </c>
      <c r="I499" s="33" t="s">
        <v>5028</v>
      </c>
      <c r="J499" s="33" t="s">
        <v>5029</v>
      </c>
      <c r="K499" s="33">
        <v>1.0</v>
      </c>
      <c r="L499" s="124" t="s">
        <v>7735</v>
      </c>
      <c r="M499" s="34"/>
    </row>
    <row r="500" hidden="1">
      <c r="A500" s="131" t="s">
        <v>7737</v>
      </c>
      <c r="B500" s="132">
        <v>45752.0</v>
      </c>
      <c r="C500" s="33">
        <v>8.07000030461E11</v>
      </c>
      <c r="D500" s="33" t="s">
        <v>7738</v>
      </c>
      <c r="E500" s="33" t="s">
        <v>7739</v>
      </c>
      <c r="F500" s="123" t="s">
        <v>7740</v>
      </c>
      <c r="G500" s="123" t="s">
        <v>247</v>
      </c>
      <c r="H500" s="123">
        <v>4400.0</v>
      </c>
      <c r="I500" s="33" t="s">
        <v>7741</v>
      </c>
      <c r="J500" s="33" t="s">
        <v>7742</v>
      </c>
      <c r="K500" s="33">
        <v>1.0</v>
      </c>
      <c r="L500" s="124" t="s">
        <v>7743</v>
      </c>
      <c r="M500" s="34"/>
    </row>
    <row r="501" hidden="1">
      <c r="A501" s="131" t="s">
        <v>7737</v>
      </c>
      <c r="B501" s="132">
        <v>45752.0</v>
      </c>
      <c r="C501" s="33">
        <v>8.07000030461E11</v>
      </c>
      <c r="D501" s="33" t="s">
        <v>7738</v>
      </c>
      <c r="E501" s="33" t="s">
        <v>7739</v>
      </c>
      <c r="F501" s="123" t="s">
        <v>7740</v>
      </c>
      <c r="G501" s="123" t="s">
        <v>247</v>
      </c>
      <c r="H501" s="123">
        <v>4400.0</v>
      </c>
      <c r="I501" s="33" t="s">
        <v>512</v>
      </c>
      <c r="J501" s="33" t="s">
        <v>513</v>
      </c>
      <c r="K501" s="33">
        <v>12.0</v>
      </c>
      <c r="L501" s="124" t="s">
        <v>7743</v>
      </c>
      <c r="M501" s="34"/>
    </row>
    <row r="502" hidden="1">
      <c r="A502" s="131" t="s">
        <v>7737</v>
      </c>
      <c r="B502" s="132">
        <v>45752.0</v>
      </c>
      <c r="C502" s="33">
        <v>8.07000030461E11</v>
      </c>
      <c r="D502" s="33" t="s">
        <v>7738</v>
      </c>
      <c r="E502" s="33" t="s">
        <v>7739</v>
      </c>
      <c r="F502" s="123" t="s">
        <v>7740</v>
      </c>
      <c r="G502" s="123" t="s">
        <v>247</v>
      </c>
      <c r="H502" s="123">
        <v>4400.0</v>
      </c>
      <c r="I502" s="33" t="s">
        <v>772</v>
      </c>
      <c r="J502" s="33" t="s">
        <v>3363</v>
      </c>
      <c r="K502" s="33">
        <v>2.0</v>
      </c>
      <c r="L502" s="124" t="s">
        <v>7743</v>
      </c>
      <c r="M502" s="34"/>
    </row>
    <row r="503" hidden="1">
      <c r="A503" s="131" t="s">
        <v>7744</v>
      </c>
      <c r="B503" s="132">
        <v>45752.0</v>
      </c>
      <c r="C503" s="33">
        <v>8.07000030442E11</v>
      </c>
      <c r="D503" s="33" t="s">
        <v>7745</v>
      </c>
      <c r="E503" s="33" t="s">
        <v>7746</v>
      </c>
      <c r="F503" s="123" t="s">
        <v>7747</v>
      </c>
      <c r="G503" s="123" t="s">
        <v>247</v>
      </c>
      <c r="H503" s="123">
        <v>4400.0</v>
      </c>
      <c r="I503" s="33" t="s">
        <v>947</v>
      </c>
      <c r="J503" s="33" t="s">
        <v>3750</v>
      </c>
      <c r="K503" s="33">
        <v>1.0</v>
      </c>
      <c r="L503" s="124" t="s">
        <v>7748</v>
      </c>
      <c r="M503" s="34"/>
    </row>
    <row r="504" hidden="1">
      <c r="A504" s="131" t="s">
        <v>7749</v>
      </c>
      <c r="B504" s="132">
        <v>45752.0</v>
      </c>
      <c r="C504" s="33">
        <v>8.07000030455E11</v>
      </c>
      <c r="D504" s="33" t="s">
        <v>7750</v>
      </c>
      <c r="E504" s="33" t="s">
        <v>7751</v>
      </c>
      <c r="F504" s="123" t="s">
        <v>7752</v>
      </c>
      <c r="G504" s="123" t="s">
        <v>247</v>
      </c>
      <c r="H504" s="123">
        <v>4400.0</v>
      </c>
      <c r="I504" s="33" t="s">
        <v>812</v>
      </c>
      <c r="J504" s="33" t="s">
        <v>3564</v>
      </c>
      <c r="K504" s="33">
        <v>1.0</v>
      </c>
      <c r="L504" s="124" t="s">
        <v>7753</v>
      </c>
      <c r="M504" s="34"/>
    </row>
    <row r="505" hidden="1">
      <c r="A505" s="131" t="s">
        <v>7749</v>
      </c>
      <c r="B505" s="132">
        <v>45752.0</v>
      </c>
      <c r="C505" s="33">
        <v>8.07000030455E11</v>
      </c>
      <c r="D505" s="33" t="s">
        <v>7750</v>
      </c>
      <c r="E505" s="33" t="s">
        <v>7751</v>
      </c>
      <c r="F505" s="123" t="s">
        <v>7752</v>
      </c>
      <c r="G505" s="123" t="s">
        <v>247</v>
      </c>
      <c r="H505" s="123">
        <v>4400.0</v>
      </c>
      <c r="I505" s="33" t="s">
        <v>5638</v>
      </c>
      <c r="J505" s="33" t="s">
        <v>5639</v>
      </c>
      <c r="K505" s="33">
        <v>1.0</v>
      </c>
      <c r="L505" s="124" t="s">
        <v>7753</v>
      </c>
      <c r="M505" s="34"/>
    </row>
    <row r="506" hidden="1">
      <c r="A506" s="131" t="s">
        <v>7754</v>
      </c>
      <c r="B506" s="132">
        <v>45754.0</v>
      </c>
      <c r="C506" s="33">
        <v>8.07000030485E11</v>
      </c>
      <c r="D506" s="33" t="s">
        <v>7755</v>
      </c>
      <c r="E506" s="33" t="s">
        <v>7756</v>
      </c>
      <c r="F506" s="123" t="s">
        <v>7757</v>
      </c>
      <c r="G506" s="123" t="s">
        <v>7170</v>
      </c>
      <c r="H506" s="123">
        <v>4401.0</v>
      </c>
      <c r="I506" s="33" t="s">
        <v>2412</v>
      </c>
      <c r="J506" s="33" t="s">
        <v>2413</v>
      </c>
      <c r="K506" s="33">
        <v>1.0</v>
      </c>
      <c r="L506" s="124" t="s">
        <v>7758</v>
      </c>
      <c r="M506" s="34"/>
    </row>
    <row r="507" hidden="1">
      <c r="A507" s="131" t="s">
        <v>7759</v>
      </c>
      <c r="B507" s="132">
        <v>45754.0</v>
      </c>
      <c r="C507" s="33">
        <v>8.07000030492E11</v>
      </c>
      <c r="D507" s="33" t="s">
        <v>7760</v>
      </c>
      <c r="E507" s="33" t="s">
        <v>7761</v>
      </c>
      <c r="F507" s="123" t="s">
        <v>7762</v>
      </c>
      <c r="G507" s="123" t="s">
        <v>247</v>
      </c>
      <c r="H507" s="123">
        <v>4400.0</v>
      </c>
      <c r="I507" s="33" t="s">
        <v>410</v>
      </c>
      <c r="J507" s="33" t="s">
        <v>7763</v>
      </c>
      <c r="K507" s="33">
        <v>1.0</v>
      </c>
      <c r="L507" s="124" t="s">
        <v>7764</v>
      </c>
      <c r="M507" s="34"/>
    </row>
    <row r="508" hidden="1">
      <c r="A508" s="131" t="s">
        <v>7765</v>
      </c>
      <c r="B508" s="132">
        <v>45754.0</v>
      </c>
      <c r="C508" s="33">
        <v>8.07000030465E11</v>
      </c>
      <c r="D508" s="33" t="s">
        <v>7766</v>
      </c>
      <c r="E508" s="33" t="s">
        <v>7767</v>
      </c>
      <c r="F508" s="123" t="s">
        <v>7768</v>
      </c>
      <c r="G508" s="123" t="s">
        <v>247</v>
      </c>
      <c r="H508" s="123">
        <v>4400.0</v>
      </c>
      <c r="I508" s="33" t="s">
        <v>7741</v>
      </c>
      <c r="J508" s="33" t="s">
        <v>7742</v>
      </c>
      <c r="K508" s="33">
        <v>1.0</v>
      </c>
      <c r="L508" s="124" t="s">
        <v>7769</v>
      </c>
      <c r="M508" s="34"/>
    </row>
    <row r="509" hidden="1">
      <c r="A509" s="131" t="s">
        <v>7765</v>
      </c>
      <c r="B509" s="132">
        <v>45754.0</v>
      </c>
      <c r="C509" s="33">
        <v>8.07000030465E11</v>
      </c>
      <c r="D509" s="33" t="s">
        <v>7766</v>
      </c>
      <c r="E509" s="33" t="s">
        <v>7767</v>
      </c>
      <c r="F509" s="123" t="s">
        <v>7768</v>
      </c>
      <c r="G509" s="123" t="s">
        <v>247</v>
      </c>
      <c r="H509" s="123">
        <v>4400.0</v>
      </c>
      <c r="I509" s="33" t="s">
        <v>512</v>
      </c>
      <c r="J509" s="33" t="s">
        <v>513</v>
      </c>
      <c r="K509" s="33">
        <v>12.0</v>
      </c>
      <c r="L509" s="124" t="s">
        <v>7769</v>
      </c>
      <c r="M509" s="34"/>
    </row>
    <row r="510" hidden="1">
      <c r="A510" s="131" t="s">
        <v>7765</v>
      </c>
      <c r="B510" s="132">
        <v>45754.0</v>
      </c>
      <c r="C510" s="33">
        <v>8.07000030465E11</v>
      </c>
      <c r="D510" s="33" t="s">
        <v>7766</v>
      </c>
      <c r="E510" s="33" t="s">
        <v>7767</v>
      </c>
      <c r="F510" s="123" t="s">
        <v>7768</v>
      </c>
      <c r="G510" s="123" t="s">
        <v>247</v>
      </c>
      <c r="H510" s="123">
        <v>4400.0</v>
      </c>
      <c r="I510" s="33" t="s">
        <v>772</v>
      </c>
      <c r="J510" s="33" t="s">
        <v>3363</v>
      </c>
      <c r="K510" s="33">
        <v>2.0</v>
      </c>
      <c r="L510" s="124" t="s">
        <v>7769</v>
      </c>
      <c r="M510" s="34"/>
    </row>
    <row r="511" hidden="1">
      <c r="A511" s="131" t="s">
        <v>7770</v>
      </c>
      <c r="B511" s="132">
        <v>45754.0</v>
      </c>
      <c r="C511" s="33">
        <v>8.07000030483E11</v>
      </c>
      <c r="D511" s="33" t="s">
        <v>7771</v>
      </c>
      <c r="E511" s="33" t="s">
        <v>7772</v>
      </c>
      <c r="F511" s="123" t="s">
        <v>7773</v>
      </c>
      <c r="G511" s="123" t="s">
        <v>247</v>
      </c>
      <c r="H511" s="123">
        <v>4400.0</v>
      </c>
      <c r="I511" s="33" t="s">
        <v>3679</v>
      </c>
      <c r="J511" s="33" t="s">
        <v>3680</v>
      </c>
      <c r="K511" s="33">
        <v>1.0</v>
      </c>
      <c r="L511" s="124" t="s">
        <v>7774</v>
      </c>
      <c r="M511" s="34"/>
    </row>
    <row r="512" hidden="1">
      <c r="A512" s="131" t="s">
        <v>7770</v>
      </c>
      <c r="B512" s="132">
        <v>45754.0</v>
      </c>
      <c r="C512" s="33">
        <v>8.07000030483E11</v>
      </c>
      <c r="D512" s="33" t="s">
        <v>7771</v>
      </c>
      <c r="E512" s="33" t="s">
        <v>7772</v>
      </c>
      <c r="F512" s="123" t="s">
        <v>7773</v>
      </c>
      <c r="G512" s="123" t="s">
        <v>247</v>
      </c>
      <c r="H512" s="123">
        <v>4400.0</v>
      </c>
      <c r="I512" s="33" t="s">
        <v>512</v>
      </c>
      <c r="J512" s="33" t="s">
        <v>513</v>
      </c>
      <c r="K512" s="33">
        <v>12.0</v>
      </c>
      <c r="L512" s="124" t="s">
        <v>7774</v>
      </c>
      <c r="M512" s="34"/>
    </row>
    <row r="513" hidden="1">
      <c r="A513" s="131" t="s">
        <v>7770</v>
      </c>
      <c r="B513" s="132">
        <v>45754.0</v>
      </c>
      <c r="C513" s="33">
        <v>8.07000030483E11</v>
      </c>
      <c r="D513" s="33" t="s">
        <v>7771</v>
      </c>
      <c r="E513" s="33" t="s">
        <v>7772</v>
      </c>
      <c r="F513" s="123" t="s">
        <v>7773</v>
      </c>
      <c r="G513" s="123" t="s">
        <v>247</v>
      </c>
      <c r="H513" s="123">
        <v>4400.0</v>
      </c>
      <c r="I513" s="33" t="s">
        <v>645</v>
      </c>
      <c r="J513" s="33" t="s">
        <v>3253</v>
      </c>
      <c r="K513" s="33">
        <v>2.0</v>
      </c>
      <c r="L513" s="124" t="s">
        <v>7774</v>
      </c>
      <c r="M513" s="34"/>
    </row>
    <row r="514" hidden="1">
      <c r="A514" s="131" t="s">
        <v>7775</v>
      </c>
      <c r="B514" s="132">
        <v>45754.0</v>
      </c>
      <c r="C514" s="33">
        <v>8.07000030477E11</v>
      </c>
      <c r="D514" s="33" t="s">
        <v>7776</v>
      </c>
      <c r="E514" s="33" t="s">
        <v>7777</v>
      </c>
      <c r="F514" s="123" t="s">
        <v>7778</v>
      </c>
      <c r="G514" s="123" t="s">
        <v>247</v>
      </c>
      <c r="H514" s="123">
        <v>4400.0</v>
      </c>
      <c r="I514" s="33" t="s">
        <v>1937</v>
      </c>
      <c r="J514" s="33" t="s">
        <v>4036</v>
      </c>
      <c r="K514" s="33">
        <v>1.0</v>
      </c>
      <c r="L514" s="124" t="s">
        <v>7779</v>
      </c>
      <c r="M514" s="34"/>
    </row>
    <row r="515" hidden="1">
      <c r="A515" s="131" t="s">
        <v>7775</v>
      </c>
      <c r="B515" s="132">
        <v>45754.0</v>
      </c>
      <c r="C515" s="33">
        <v>8.07000030477E11</v>
      </c>
      <c r="D515" s="33" t="s">
        <v>7776</v>
      </c>
      <c r="E515" s="33" t="s">
        <v>7777</v>
      </c>
      <c r="F515" s="123" t="s">
        <v>7778</v>
      </c>
      <c r="G515" s="123" t="s">
        <v>247</v>
      </c>
      <c r="H515" s="123">
        <v>4400.0</v>
      </c>
      <c r="I515" s="33" t="s">
        <v>512</v>
      </c>
      <c r="J515" s="33" t="s">
        <v>513</v>
      </c>
      <c r="K515" s="33">
        <v>12.0</v>
      </c>
      <c r="L515" s="124" t="s">
        <v>7779</v>
      </c>
      <c r="M515" s="34"/>
    </row>
    <row r="516" hidden="1">
      <c r="A516" s="131" t="s">
        <v>7775</v>
      </c>
      <c r="B516" s="132">
        <v>45754.0</v>
      </c>
      <c r="C516" s="33">
        <v>8.07000030477E11</v>
      </c>
      <c r="D516" s="33" t="s">
        <v>7776</v>
      </c>
      <c r="E516" s="33" t="s">
        <v>7777</v>
      </c>
      <c r="F516" s="123" t="s">
        <v>7778</v>
      </c>
      <c r="G516" s="123" t="s">
        <v>247</v>
      </c>
      <c r="H516" s="123">
        <v>4400.0</v>
      </c>
      <c r="I516" s="33" t="s">
        <v>233</v>
      </c>
      <c r="J516" s="33" t="s">
        <v>3459</v>
      </c>
      <c r="K516" s="33">
        <v>2.0</v>
      </c>
      <c r="L516" s="124" t="s">
        <v>7779</v>
      </c>
      <c r="M516" s="34"/>
    </row>
    <row r="517" hidden="1">
      <c r="A517" s="131" t="s">
        <v>7780</v>
      </c>
      <c r="B517" s="132">
        <v>45754.0</v>
      </c>
      <c r="C517" s="33">
        <v>8.07000030493E11</v>
      </c>
      <c r="D517" s="33" t="s">
        <v>7781</v>
      </c>
      <c r="E517" s="33" t="s">
        <v>7782</v>
      </c>
      <c r="F517" s="123" t="s">
        <v>7783</v>
      </c>
      <c r="G517" s="123" t="s">
        <v>7784</v>
      </c>
      <c r="H517" s="123">
        <v>4430.0</v>
      </c>
      <c r="I517" s="33" t="s">
        <v>2956</v>
      </c>
      <c r="J517" s="33" t="s">
        <v>3327</v>
      </c>
      <c r="K517" s="33">
        <v>1.0</v>
      </c>
      <c r="L517" s="124" t="s">
        <v>7785</v>
      </c>
      <c r="M517" s="34"/>
    </row>
    <row r="518" hidden="1">
      <c r="A518" s="131" t="s">
        <v>7786</v>
      </c>
      <c r="B518" s="132">
        <v>45754.0</v>
      </c>
      <c r="C518" s="33">
        <v>8.07000030494E11</v>
      </c>
      <c r="D518" s="33" t="s">
        <v>7787</v>
      </c>
      <c r="E518" s="33" t="s">
        <v>7788</v>
      </c>
      <c r="F518" s="123" t="s">
        <v>7789</v>
      </c>
      <c r="G518" s="123" t="s">
        <v>247</v>
      </c>
      <c r="H518" s="123">
        <v>4400.0</v>
      </c>
      <c r="I518" s="33" t="s">
        <v>106</v>
      </c>
      <c r="J518" s="33" t="s">
        <v>3670</v>
      </c>
      <c r="K518" s="33">
        <v>1.0</v>
      </c>
      <c r="L518" s="124" t="s">
        <v>7790</v>
      </c>
      <c r="M518" s="34"/>
    </row>
    <row r="519" hidden="1">
      <c r="A519" s="131" t="s">
        <v>7786</v>
      </c>
      <c r="B519" s="132">
        <v>45754.0</v>
      </c>
      <c r="C519" s="33">
        <v>8.07000030494E11</v>
      </c>
      <c r="D519" s="33" t="s">
        <v>7787</v>
      </c>
      <c r="E519" s="33" t="s">
        <v>7788</v>
      </c>
      <c r="F519" s="123" t="s">
        <v>7789</v>
      </c>
      <c r="G519" s="123" t="s">
        <v>247</v>
      </c>
      <c r="H519" s="123">
        <v>4400.0</v>
      </c>
      <c r="I519" s="33" t="s">
        <v>512</v>
      </c>
      <c r="J519" s="33" t="s">
        <v>513</v>
      </c>
      <c r="K519" s="33">
        <v>6.0</v>
      </c>
      <c r="L519" s="124" t="s">
        <v>7790</v>
      </c>
      <c r="M519" s="34"/>
    </row>
    <row r="520" hidden="1">
      <c r="A520" s="131" t="s">
        <v>7786</v>
      </c>
      <c r="B520" s="132">
        <v>45754.0</v>
      </c>
      <c r="C520" s="33">
        <v>8.07000030494E11</v>
      </c>
      <c r="D520" s="33" t="s">
        <v>7787</v>
      </c>
      <c r="E520" s="33" t="s">
        <v>7788</v>
      </c>
      <c r="F520" s="123" t="s">
        <v>7789</v>
      </c>
      <c r="G520" s="123" t="s">
        <v>247</v>
      </c>
      <c r="H520" s="123">
        <v>4400.0</v>
      </c>
      <c r="I520" s="33" t="s">
        <v>110</v>
      </c>
      <c r="J520" s="33" t="s">
        <v>3673</v>
      </c>
      <c r="K520" s="33">
        <v>1.0</v>
      </c>
      <c r="L520" s="124" t="s">
        <v>7790</v>
      </c>
      <c r="M520" s="34"/>
    </row>
    <row r="521" hidden="1">
      <c r="A521" s="131" t="s">
        <v>7791</v>
      </c>
      <c r="B521" s="132">
        <v>45754.0</v>
      </c>
      <c r="C521" s="33">
        <v>8.07000030498E11</v>
      </c>
      <c r="D521" s="33" t="s">
        <v>7776</v>
      </c>
      <c r="E521" s="33" t="s">
        <v>7777</v>
      </c>
      <c r="F521" s="123" t="s">
        <v>7778</v>
      </c>
      <c r="G521" s="123" t="s">
        <v>247</v>
      </c>
      <c r="H521" s="123">
        <v>4400.0</v>
      </c>
      <c r="I521" s="33">
        <v>125809.0</v>
      </c>
      <c r="J521" s="33" t="s">
        <v>2632</v>
      </c>
      <c r="K521" s="33">
        <v>1.0</v>
      </c>
      <c r="L521" s="124" t="s">
        <v>7779</v>
      </c>
      <c r="M521" s="34"/>
    </row>
    <row r="522" hidden="1">
      <c r="A522" s="131" t="s">
        <v>7792</v>
      </c>
      <c r="B522" s="132">
        <v>45754.0</v>
      </c>
      <c r="C522" s="33">
        <v>8.07000030496E11</v>
      </c>
      <c r="D522" s="33" t="s">
        <v>3547</v>
      </c>
      <c r="E522" s="33" t="s">
        <v>3548</v>
      </c>
      <c r="F522" s="123" t="s">
        <v>7793</v>
      </c>
      <c r="G522" s="123" t="s">
        <v>247</v>
      </c>
      <c r="H522" s="123">
        <v>4400.0</v>
      </c>
      <c r="I522" s="33" t="s">
        <v>5087</v>
      </c>
      <c r="J522" s="33" t="s">
        <v>5088</v>
      </c>
      <c r="K522" s="33">
        <v>1.0</v>
      </c>
      <c r="L522" s="124" t="s">
        <v>7794</v>
      </c>
      <c r="M522" s="31" t="s">
        <v>7795</v>
      </c>
    </row>
    <row r="523" hidden="1">
      <c r="A523" s="131" t="s">
        <v>7792</v>
      </c>
      <c r="B523" s="132">
        <v>45754.0</v>
      </c>
      <c r="C523" s="33">
        <v>8.07000030496E11</v>
      </c>
      <c r="D523" s="33" t="s">
        <v>3547</v>
      </c>
      <c r="E523" s="33" t="s">
        <v>3548</v>
      </c>
      <c r="F523" s="123" t="s">
        <v>7793</v>
      </c>
      <c r="G523" s="123" t="s">
        <v>247</v>
      </c>
      <c r="H523" s="123">
        <v>4400.0</v>
      </c>
      <c r="I523" s="33" t="s">
        <v>3431</v>
      </c>
      <c r="J523" s="33" t="s">
        <v>3432</v>
      </c>
      <c r="K523" s="33">
        <v>1.0</v>
      </c>
      <c r="L523" s="124" t="s">
        <v>7794</v>
      </c>
      <c r="M523" s="31" t="s">
        <v>7795</v>
      </c>
    </row>
    <row r="524" hidden="1">
      <c r="A524" s="131" t="s">
        <v>7796</v>
      </c>
      <c r="B524" s="132">
        <v>45754.0</v>
      </c>
      <c r="C524" s="33">
        <v>8.070000305E11</v>
      </c>
      <c r="D524" s="33" t="s">
        <v>7797</v>
      </c>
      <c r="E524" s="33" t="s">
        <v>7798</v>
      </c>
      <c r="F524" s="123" t="s">
        <v>7799</v>
      </c>
      <c r="G524" s="123" t="s">
        <v>247</v>
      </c>
      <c r="H524" s="123">
        <v>4400.0</v>
      </c>
      <c r="I524" s="33" t="s">
        <v>3166</v>
      </c>
      <c r="J524" s="33" t="s">
        <v>3167</v>
      </c>
      <c r="K524" s="33">
        <v>2.0</v>
      </c>
      <c r="L524" s="124" t="s">
        <v>7800</v>
      </c>
      <c r="M524" s="34"/>
    </row>
    <row r="525" hidden="1">
      <c r="A525" s="131" t="s">
        <v>7796</v>
      </c>
      <c r="B525" s="132">
        <v>45754.0</v>
      </c>
      <c r="C525" s="33">
        <v>8.070000305E11</v>
      </c>
      <c r="D525" s="33" t="s">
        <v>7797</v>
      </c>
      <c r="E525" s="33" t="s">
        <v>7798</v>
      </c>
      <c r="F525" s="123" t="s">
        <v>7799</v>
      </c>
      <c r="G525" s="123" t="s">
        <v>247</v>
      </c>
      <c r="H525" s="123">
        <v>4400.0</v>
      </c>
      <c r="I525" s="33" t="s">
        <v>1241</v>
      </c>
      <c r="J525" s="33" t="s">
        <v>3500</v>
      </c>
      <c r="K525" s="33">
        <v>1.0</v>
      </c>
      <c r="L525" s="124" t="s">
        <v>7800</v>
      </c>
      <c r="M525" s="34"/>
    </row>
    <row r="526" hidden="1">
      <c r="A526" s="131" t="s">
        <v>7801</v>
      </c>
      <c r="B526" s="132">
        <v>45754.0</v>
      </c>
      <c r="C526" s="33">
        <v>8.07000030501E11</v>
      </c>
      <c r="D526" s="33" t="s">
        <v>7797</v>
      </c>
      <c r="E526" s="33" t="s">
        <v>7798</v>
      </c>
      <c r="F526" s="123" t="s">
        <v>7799</v>
      </c>
      <c r="G526" s="123" t="s">
        <v>247</v>
      </c>
      <c r="H526" s="123">
        <v>4400.0</v>
      </c>
      <c r="I526" s="33" t="s">
        <v>1241</v>
      </c>
      <c r="J526" s="33" t="s">
        <v>3500</v>
      </c>
      <c r="K526" s="33">
        <v>1.0</v>
      </c>
      <c r="L526" s="124" t="s">
        <v>7800</v>
      </c>
      <c r="M526" s="34"/>
    </row>
    <row r="527" hidden="1">
      <c r="A527" s="131" t="s">
        <v>7802</v>
      </c>
      <c r="B527" s="132">
        <v>45754.0</v>
      </c>
      <c r="C527" s="33">
        <v>8.07000030502E11</v>
      </c>
      <c r="D527" s="33" t="s">
        <v>7803</v>
      </c>
      <c r="E527" s="33" t="s">
        <v>7804</v>
      </c>
      <c r="F527" s="123" t="s">
        <v>7805</v>
      </c>
      <c r="G527" s="123" t="s">
        <v>247</v>
      </c>
      <c r="H527" s="123">
        <v>4400.0</v>
      </c>
      <c r="I527" s="33" t="s">
        <v>3334</v>
      </c>
      <c r="J527" s="33" t="s">
        <v>3575</v>
      </c>
      <c r="K527" s="33">
        <v>1.0</v>
      </c>
      <c r="L527" s="124" t="s">
        <v>7806</v>
      </c>
      <c r="M527" s="34"/>
    </row>
    <row r="528" hidden="1">
      <c r="A528" s="131" t="s">
        <v>7802</v>
      </c>
      <c r="B528" s="132">
        <v>45754.0</v>
      </c>
      <c r="C528" s="33">
        <v>8.07000030502E11</v>
      </c>
      <c r="D528" s="33" t="s">
        <v>7803</v>
      </c>
      <c r="E528" s="33" t="s">
        <v>7804</v>
      </c>
      <c r="F528" s="123" t="s">
        <v>7805</v>
      </c>
      <c r="G528" s="123" t="s">
        <v>247</v>
      </c>
      <c r="H528" s="123">
        <v>4400.0</v>
      </c>
      <c r="I528" s="33" t="s">
        <v>1004</v>
      </c>
      <c r="J528" s="33" t="s">
        <v>7807</v>
      </c>
      <c r="K528" s="33">
        <v>1.0</v>
      </c>
      <c r="L528" s="124" t="s">
        <v>7806</v>
      </c>
      <c r="M528" s="34"/>
    </row>
    <row r="529" hidden="1">
      <c r="A529" s="131" t="s">
        <v>7802</v>
      </c>
      <c r="B529" s="132">
        <v>45754.0</v>
      </c>
      <c r="C529" s="33">
        <v>8.07000030502E11</v>
      </c>
      <c r="D529" s="33" t="s">
        <v>7803</v>
      </c>
      <c r="E529" s="33" t="s">
        <v>7804</v>
      </c>
      <c r="F529" s="123" t="s">
        <v>7805</v>
      </c>
      <c r="G529" s="123" t="s">
        <v>247</v>
      </c>
      <c r="H529" s="123">
        <v>4400.0</v>
      </c>
      <c r="I529" s="33" t="s">
        <v>512</v>
      </c>
      <c r="J529" s="33" t="s">
        <v>513</v>
      </c>
      <c r="K529" s="33">
        <v>18.0</v>
      </c>
      <c r="L529" s="124" t="s">
        <v>7806</v>
      </c>
      <c r="M529" s="34"/>
    </row>
    <row r="530" hidden="1">
      <c r="A530" s="131" t="s">
        <v>7802</v>
      </c>
      <c r="B530" s="132">
        <v>45754.0</v>
      </c>
      <c r="C530" s="33">
        <v>8.07000030502E11</v>
      </c>
      <c r="D530" s="33" t="s">
        <v>7803</v>
      </c>
      <c r="E530" s="33" t="s">
        <v>7804</v>
      </c>
      <c r="F530" s="123" t="s">
        <v>7805</v>
      </c>
      <c r="G530" s="123" t="s">
        <v>247</v>
      </c>
      <c r="H530" s="123">
        <v>4400.0</v>
      </c>
      <c r="I530" s="33" t="s">
        <v>2307</v>
      </c>
      <c r="J530" s="33" t="s">
        <v>7808</v>
      </c>
      <c r="K530" s="33">
        <v>1.0</v>
      </c>
      <c r="L530" s="124" t="s">
        <v>7806</v>
      </c>
      <c r="M530" s="34"/>
    </row>
    <row r="531" hidden="1">
      <c r="A531" s="131" t="s">
        <v>7802</v>
      </c>
      <c r="B531" s="132">
        <v>45754.0</v>
      </c>
      <c r="C531" s="33">
        <v>8.07000030502E11</v>
      </c>
      <c r="D531" s="33" t="s">
        <v>7803</v>
      </c>
      <c r="E531" s="33" t="s">
        <v>7804</v>
      </c>
      <c r="F531" s="123" t="s">
        <v>7805</v>
      </c>
      <c r="G531" s="123" t="s">
        <v>247</v>
      </c>
      <c r="H531" s="123">
        <v>4400.0</v>
      </c>
      <c r="I531" s="33" t="s">
        <v>758</v>
      </c>
      <c r="J531" s="33" t="s">
        <v>3574</v>
      </c>
      <c r="K531" s="33">
        <v>2.0</v>
      </c>
      <c r="L531" s="124" t="s">
        <v>7806</v>
      </c>
      <c r="M531" s="34"/>
    </row>
    <row r="532" hidden="1">
      <c r="A532" s="33" t="s">
        <v>7809</v>
      </c>
      <c r="B532" s="122">
        <v>45755.0</v>
      </c>
      <c r="C532" s="33">
        <v>8.07000030473E11</v>
      </c>
      <c r="D532" s="33" t="s">
        <v>7810</v>
      </c>
      <c r="E532" s="33" t="s">
        <v>7811</v>
      </c>
      <c r="F532" s="123" t="s">
        <v>7812</v>
      </c>
      <c r="G532" s="123" t="s">
        <v>247</v>
      </c>
      <c r="H532" s="123">
        <v>4400.0</v>
      </c>
      <c r="I532" s="33" t="s">
        <v>50</v>
      </c>
      <c r="J532" s="33" t="s">
        <v>51</v>
      </c>
      <c r="K532" s="33">
        <v>1.0</v>
      </c>
      <c r="L532" s="124" t="s">
        <v>7813</v>
      </c>
      <c r="M532" s="34"/>
    </row>
    <row r="533" hidden="1">
      <c r="A533" s="33" t="s">
        <v>7809</v>
      </c>
      <c r="B533" s="122">
        <v>45755.0</v>
      </c>
      <c r="C533" s="33">
        <v>8.07000030473E11</v>
      </c>
      <c r="D533" s="33" t="s">
        <v>7810</v>
      </c>
      <c r="E533" s="33" t="s">
        <v>7811</v>
      </c>
      <c r="F533" s="123" t="s">
        <v>7812</v>
      </c>
      <c r="G533" s="123" t="s">
        <v>247</v>
      </c>
      <c r="H533" s="123">
        <v>4400.0</v>
      </c>
      <c r="I533" s="33" t="s">
        <v>512</v>
      </c>
      <c r="J533" s="33" t="s">
        <v>513</v>
      </c>
      <c r="K533" s="33">
        <v>6.0</v>
      </c>
      <c r="L533" s="124" t="s">
        <v>7813</v>
      </c>
      <c r="M533" s="34"/>
    </row>
    <row r="534" hidden="1">
      <c r="A534" s="33" t="s">
        <v>7809</v>
      </c>
      <c r="B534" s="122">
        <v>45755.0</v>
      </c>
      <c r="C534" s="33">
        <v>8.07000030473E11</v>
      </c>
      <c r="D534" s="33" t="s">
        <v>7810</v>
      </c>
      <c r="E534" s="33" t="s">
        <v>7811</v>
      </c>
      <c r="F534" s="123" t="s">
        <v>7812</v>
      </c>
      <c r="G534" s="123" t="s">
        <v>247</v>
      </c>
      <c r="H534" s="123">
        <v>4400.0</v>
      </c>
      <c r="I534" s="33" t="s">
        <v>25</v>
      </c>
      <c r="J534" s="33" t="s">
        <v>3401</v>
      </c>
      <c r="K534" s="33">
        <v>1.0</v>
      </c>
      <c r="L534" s="124" t="s">
        <v>7813</v>
      </c>
      <c r="M534" s="34"/>
    </row>
    <row r="535" hidden="1">
      <c r="A535" s="33" t="s">
        <v>7814</v>
      </c>
      <c r="B535" s="122">
        <v>45755.0</v>
      </c>
      <c r="C535" s="33">
        <v>8.07000030508E11</v>
      </c>
      <c r="D535" s="33" t="s">
        <v>7815</v>
      </c>
      <c r="E535" s="33" t="s">
        <v>7816</v>
      </c>
      <c r="F535" s="123" t="s">
        <v>7817</v>
      </c>
      <c r="G535" s="123" t="s">
        <v>247</v>
      </c>
      <c r="H535" s="123">
        <v>4400.0</v>
      </c>
      <c r="I535" s="33" t="s">
        <v>785</v>
      </c>
      <c r="J535" s="33" t="s">
        <v>7818</v>
      </c>
      <c r="K535" s="33">
        <v>1.0</v>
      </c>
      <c r="L535" s="124" t="s">
        <v>7819</v>
      </c>
      <c r="M535" s="34"/>
    </row>
    <row r="536" hidden="1">
      <c r="A536" s="33" t="s">
        <v>7820</v>
      </c>
      <c r="B536" s="122">
        <v>45756.0</v>
      </c>
      <c r="C536" s="33">
        <v>8.07000030519E11</v>
      </c>
      <c r="D536" s="33" t="s">
        <v>7821</v>
      </c>
      <c r="E536" s="33" t="s">
        <v>7822</v>
      </c>
      <c r="F536" s="123" t="s">
        <v>7823</v>
      </c>
      <c r="G536" s="123" t="s">
        <v>247</v>
      </c>
      <c r="H536" s="123">
        <v>4400.0</v>
      </c>
      <c r="I536" s="33" t="s">
        <v>659</v>
      </c>
      <c r="J536" s="33" t="s">
        <v>3468</v>
      </c>
      <c r="K536" s="33">
        <v>1.0</v>
      </c>
      <c r="L536" s="124" t="s">
        <v>7824</v>
      </c>
      <c r="M536" s="34"/>
    </row>
    <row r="537" hidden="1">
      <c r="A537" s="33" t="s">
        <v>7820</v>
      </c>
      <c r="B537" s="122">
        <v>45756.0</v>
      </c>
      <c r="C537" s="33">
        <v>8.07000030519E11</v>
      </c>
      <c r="D537" s="33" t="s">
        <v>7821</v>
      </c>
      <c r="E537" s="33" t="s">
        <v>7822</v>
      </c>
      <c r="F537" s="123" t="s">
        <v>7823</v>
      </c>
      <c r="G537" s="123" t="s">
        <v>247</v>
      </c>
      <c r="H537" s="123">
        <v>4400.0</v>
      </c>
      <c r="I537" s="33" t="s">
        <v>1083</v>
      </c>
      <c r="J537" s="33" t="s">
        <v>4426</v>
      </c>
      <c r="K537" s="33">
        <v>1.0</v>
      </c>
      <c r="L537" s="124" t="s">
        <v>7824</v>
      </c>
      <c r="M537" s="34"/>
    </row>
    <row r="538" hidden="1">
      <c r="A538" s="33" t="s">
        <v>7820</v>
      </c>
      <c r="B538" s="122">
        <v>45756.0</v>
      </c>
      <c r="C538" s="33">
        <v>8.07000030519E11</v>
      </c>
      <c r="D538" s="33" t="s">
        <v>7821</v>
      </c>
      <c r="E538" s="33" t="s">
        <v>7822</v>
      </c>
      <c r="F538" s="123" t="s">
        <v>7823</v>
      </c>
      <c r="G538" s="123" t="s">
        <v>247</v>
      </c>
      <c r="H538" s="123">
        <v>4400.0</v>
      </c>
      <c r="I538" s="33" t="s">
        <v>512</v>
      </c>
      <c r="J538" s="33" t="s">
        <v>513</v>
      </c>
      <c r="K538" s="33">
        <v>18.0</v>
      </c>
      <c r="L538" s="124" t="s">
        <v>7824</v>
      </c>
      <c r="M538" s="34"/>
    </row>
    <row r="539" hidden="1">
      <c r="A539" s="33" t="s">
        <v>7820</v>
      </c>
      <c r="B539" s="122">
        <v>45756.0</v>
      </c>
      <c r="C539" s="33">
        <v>8.07000030519E11</v>
      </c>
      <c r="D539" s="33" t="s">
        <v>7821</v>
      </c>
      <c r="E539" s="33" t="s">
        <v>7822</v>
      </c>
      <c r="F539" s="123" t="s">
        <v>7823</v>
      </c>
      <c r="G539" s="123" t="s">
        <v>247</v>
      </c>
      <c r="H539" s="123">
        <v>4400.0</v>
      </c>
      <c r="I539" s="33" t="s">
        <v>121</v>
      </c>
      <c r="J539" s="33" t="s">
        <v>3199</v>
      </c>
      <c r="K539" s="33">
        <v>2.0</v>
      </c>
      <c r="L539" s="124" t="s">
        <v>7824</v>
      </c>
      <c r="M539" s="34"/>
    </row>
    <row r="540" hidden="1">
      <c r="A540" s="33" t="s">
        <v>7820</v>
      </c>
      <c r="B540" s="122">
        <v>45756.0</v>
      </c>
      <c r="C540" s="33">
        <v>8.07000030519E11</v>
      </c>
      <c r="D540" s="33" t="s">
        <v>7821</v>
      </c>
      <c r="E540" s="33" t="s">
        <v>7822</v>
      </c>
      <c r="F540" s="123" t="s">
        <v>7823</v>
      </c>
      <c r="G540" s="123" t="s">
        <v>247</v>
      </c>
      <c r="H540" s="123">
        <v>4400.0</v>
      </c>
      <c r="I540" s="33" t="s">
        <v>35</v>
      </c>
      <c r="J540" s="33" t="s">
        <v>3188</v>
      </c>
      <c r="K540" s="33">
        <v>1.0</v>
      </c>
      <c r="L540" s="124" t="s">
        <v>7824</v>
      </c>
      <c r="M540" s="34"/>
    </row>
    <row r="541" hidden="1">
      <c r="A541" s="33" t="s">
        <v>7820</v>
      </c>
      <c r="B541" s="122">
        <v>45756.0</v>
      </c>
      <c r="C541" s="33">
        <v>8.0700003052E11</v>
      </c>
      <c r="D541" s="33" t="s">
        <v>7821</v>
      </c>
      <c r="E541" s="33" t="s">
        <v>7822</v>
      </c>
      <c r="F541" s="123" t="s">
        <v>7823</v>
      </c>
      <c r="G541" s="123" t="s">
        <v>247</v>
      </c>
      <c r="H541" s="123">
        <v>4400.0</v>
      </c>
      <c r="I541" s="33">
        <v>208501.0</v>
      </c>
      <c r="J541" s="33" t="s">
        <v>481</v>
      </c>
      <c r="K541" s="33">
        <v>2.0</v>
      </c>
      <c r="L541" s="124" t="s">
        <v>7824</v>
      </c>
      <c r="M541" s="34"/>
    </row>
    <row r="542" hidden="1">
      <c r="A542" s="33" t="s">
        <v>7820</v>
      </c>
      <c r="B542" s="122">
        <v>45756.0</v>
      </c>
      <c r="C542" s="33">
        <v>8.0700003052E11</v>
      </c>
      <c r="D542" s="33" t="s">
        <v>7821</v>
      </c>
      <c r="E542" s="33" t="s">
        <v>7822</v>
      </c>
      <c r="F542" s="123" t="s">
        <v>7823</v>
      </c>
      <c r="G542" s="123" t="s">
        <v>247</v>
      </c>
      <c r="H542" s="123">
        <v>4400.0</v>
      </c>
      <c r="I542" s="33">
        <v>208502.0</v>
      </c>
      <c r="J542" s="33" t="s">
        <v>4551</v>
      </c>
      <c r="K542" s="33">
        <v>2.0</v>
      </c>
      <c r="L542" s="124" t="s">
        <v>7824</v>
      </c>
      <c r="M542" s="34"/>
    </row>
    <row r="543" hidden="1">
      <c r="A543" s="33" t="s">
        <v>7825</v>
      </c>
      <c r="B543" s="122">
        <v>45756.0</v>
      </c>
      <c r="C543" s="33">
        <v>8.07000030516E11</v>
      </c>
      <c r="D543" s="33" t="s">
        <v>3560</v>
      </c>
      <c r="E543" s="33" t="s">
        <v>3561</v>
      </c>
      <c r="F543" s="123" t="s">
        <v>7826</v>
      </c>
      <c r="G543" s="123" t="s">
        <v>247</v>
      </c>
      <c r="H543" s="123">
        <v>4400.0</v>
      </c>
      <c r="I543" s="33" t="s">
        <v>1457</v>
      </c>
      <c r="J543" s="33" t="s">
        <v>1458</v>
      </c>
      <c r="K543" s="33">
        <v>1.0</v>
      </c>
      <c r="L543" s="124" t="s">
        <v>7827</v>
      </c>
      <c r="M543" s="34"/>
    </row>
    <row r="544" hidden="1">
      <c r="A544" s="33" t="s">
        <v>7828</v>
      </c>
      <c r="B544" s="122">
        <v>45756.0</v>
      </c>
      <c r="C544" s="33">
        <v>8.07000030504E11</v>
      </c>
      <c r="D544" s="33" t="s">
        <v>7829</v>
      </c>
      <c r="E544" s="33" t="s">
        <v>7830</v>
      </c>
      <c r="F544" s="123" t="s">
        <v>7831</v>
      </c>
      <c r="G544" s="123" t="s">
        <v>7832</v>
      </c>
      <c r="H544" s="123">
        <v>4421.0</v>
      </c>
      <c r="I544" s="33" t="s">
        <v>1457</v>
      </c>
      <c r="J544" s="33" t="s">
        <v>1458</v>
      </c>
      <c r="K544" s="33">
        <v>1.0</v>
      </c>
      <c r="L544" s="124" t="s">
        <v>7833</v>
      </c>
      <c r="M544" s="31" t="s">
        <v>7834</v>
      </c>
    </row>
    <row r="545" hidden="1">
      <c r="A545" s="33" t="s">
        <v>7828</v>
      </c>
      <c r="B545" s="122">
        <v>45756.0</v>
      </c>
      <c r="C545" s="33">
        <v>8.07000030504E11</v>
      </c>
      <c r="D545" s="33" t="s">
        <v>7829</v>
      </c>
      <c r="E545" s="33" t="s">
        <v>7830</v>
      </c>
      <c r="F545" s="123" t="s">
        <v>7831</v>
      </c>
      <c r="G545" s="123" t="s">
        <v>7832</v>
      </c>
      <c r="H545" s="123">
        <v>4421.0</v>
      </c>
      <c r="I545" s="33" t="s">
        <v>2956</v>
      </c>
      <c r="J545" s="33" t="s">
        <v>3327</v>
      </c>
      <c r="K545" s="33">
        <v>1.0</v>
      </c>
      <c r="L545" s="124" t="s">
        <v>7833</v>
      </c>
      <c r="M545" s="31" t="s">
        <v>7834</v>
      </c>
    </row>
    <row r="546" hidden="1">
      <c r="A546" s="33" t="s">
        <v>7835</v>
      </c>
      <c r="B546" s="122">
        <v>45756.0</v>
      </c>
      <c r="C546" s="33">
        <v>8.0700003051E11</v>
      </c>
      <c r="D546" s="33" t="s">
        <v>7836</v>
      </c>
      <c r="E546" s="33" t="s">
        <v>7837</v>
      </c>
      <c r="F546" s="123" t="s">
        <v>7838</v>
      </c>
      <c r="G546" s="123" t="s">
        <v>247</v>
      </c>
      <c r="H546" s="123">
        <v>4400.0</v>
      </c>
      <c r="I546" s="33" t="s">
        <v>7839</v>
      </c>
      <c r="J546" s="33" t="s">
        <v>7840</v>
      </c>
      <c r="K546" s="33">
        <v>1.0</v>
      </c>
      <c r="L546" s="124" t="s">
        <v>7841</v>
      </c>
      <c r="M546" s="31" t="s">
        <v>7842</v>
      </c>
    </row>
    <row r="547" hidden="1">
      <c r="A547" s="33" t="s">
        <v>7843</v>
      </c>
      <c r="B547" s="122">
        <v>45756.0</v>
      </c>
      <c r="C547" s="33">
        <v>8.07000030514E11</v>
      </c>
      <c r="D547" s="33" t="s">
        <v>7844</v>
      </c>
      <c r="E547" s="33" t="s">
        <v>7845</v>
      </c>
      <c r="F547" s="123" t="s">
        <v>7846</v>
      </c>
      <c r="G547" s="123" t="s">
        <v>1038</v>
      </c>
      <c r="H547" s="123">
        <v>4401.0</v>
      </c>
      <c r="I547" s="33" t="s">
        <v>3679</v>
      </c>
      <c r="J547" s="33" t="s">
        <v>3680</v>
      </c>
      <c r="K547" s="33">
        <v>1.0</v>
      </c>
      <c r="L547" s="124" t="s">
        <v>7847</v>
      </c>
      <c r="M547" s="31" t="s">
        <v>7848</v>
      </c>
    </row>
    <row r="548" hidden="1">
      <c r="A548" s="33" t="s">
        <v>7843</v>
      </c>
      <c r="B548" s="122">
        <v>45756.0</v>
      </c>
      <c r="C548" s="33">
        <v>8.07000030514E11</v>
      </c>
      <c r="D548" s="33" t="s">
        <v>7844</v>
      </c>
      <c r="E548" s="33" t="s">
        <v>7845</v>
      </c>
      <c r="F548" s="123" t="s">
        <v>7846</v>
      </c>
      <c r="G548" s="123" t="s">
        <v>1038</v>
      </c>
      <c r="H548" s="123">
        <v>4401.0</v>
      </c>
      <c r="I548" s="33" t="s">
        <v>512</v>
      </c>
      <c r="J548" s="33" t="s">
        <v>513</v>
      </c>
      <c r="K548" s="33">
        <v>12.0</v>
      </c>
      <c r="L548" s="124" t="s">
        <v>7847</v>
      </c>
      <c r="M548" s="31" t="s">
        <v>7848</v>
      </c>
    </row>
    <row r="549" hidden="1">
      <c r="A549" s="125" t="s">
        <v>7843</v>
      </c>
      <c r="B549" s="126">
        <v>45756.0</v>
      </c>
      <c r="C549" s="125">
        <v>8.07000030514E11</v>
      </c>
      <c r="D549" s="125" t="s">
        <v>7844</v>
      </c>
      <c r="E549" s="125" t="s">
        <v>7845</v>
      </c>
      <c r="F549" s="127" t="s">
        <v>7846</v>
      </c>
      <c r="G549" s="127" t="s">
        <v>1038</v>
      </c>
      <c r="H549" s="127">
        <v>4401.0</v>
      </c>
      <c r="I549" s="125" t="s">
        <v>645</v>
      </c>
      <c r="J549" s="125" t="s">
        <v>3253</v>
      </c>
      <c r="K549" s="125">
        <v>2.0</v>
      </c>
      <c r="L549" s="129" t="s">
        <v>7847</v>
      </c>
      <c r="M549" s="136" t="s">
        <v>7848</v>
      </c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  <c r="AC549" s="179"/>
    </row>
    <row r="550" hidden="1">
      <c r="A550" s="131" t="s">
        <v>7849</v>
      </c>
      <c r="B550" s="132">
        <v>45757.0</v>
      </c>
      <c r="C550" s="131">
        <v>8.07000030529E11</v>
      </c>
      <c r="D550" s="131" t="s">
        <v>7850</v>
      </c>
      <c r="E550" s="131" t="s">
        <v>7851</v>
      </c>
      <c r="F550" s="133" t="s">
        <v>7852</v>
      </c>
      <c r="G550" s="133" t="s">
        <v>247</v>
      </c>
      <c r="H550" s="133">
        <v>4400.0</v>
      </c>
      <c r="I550" s="188">
        <v>914751.0</v>
      </c>
      <c r="J550" s="131" t="s">
        <v>7853</v>
      </c>
      <c r="K550" s="131">
        <v>1.0</v>
      </c>
      <c r="L550" s="124" t="s">
        <v>7854</v>
      </c>
      <c r="M550" s="138"/>
    </row>
    <row r="551" hidden="1">
      <c r="A551" s="131" t="s">
        <v>7849</v>
      </c>
      <c r="B551" s="122">
        <v>45757.0</v>
      </c>
      <c r="C551" s="33">
        <v>8.07000030529E11</v>
      </c>
      <c r="D551" s="33" t="s">
        <v>7850</v>
      </c>
      <c r="E551" s="33" t="s">
        <v>7851</v>
      </c>
      <c r="F551" s="133" t="s">
        <v>7852</v>
      </c>
      <c r="G551" s="123" t="s">
        <v>247</v>
      </c>
      <c r="H551" s="123">
        <v>4400.0</v>
      </c>
      <c r="I551" s="33">
        <v>87604.0</v>
      </c>
      <c r="J551" s="33" t="s">
        <v>480</v>
      </c>
      <c r="K551" s="33">
        <v>1.0</v>
      </c>
      <c r="L551" s="124" t="s">
        <v>7854</v>
      </c>
      <c r="M551" s="34"/>
    </row>
    <row r="552" hidden="1">
      <c r="A552" s="131" t="s">
        <v>7855</v>
      </c>
      <c r="B552" s="122">
        <v>45757.0</v>
      </c>
      <c r="C552" s="33">
        <v>8.07000030458E11</v>
      </c>
      <c r="D552" s="33" t="s">
        <v>7856</v>
      </c>
      <c r="E552" s="33" t="s">
        <v>7857</v>
      </c>
      <c r="F552" s="123" t="s">
        <v>7858</v>
      </c>
      <c r="G552" s="123" t="s">
        <v>247</v>
      </c>
      <c r="H552" s="123">
        <v>4400.0</v>
      </c>
      <c r="I552" s="33">
        <v>125815.0</v>
      </c>
      <c r="J552" s="33" t="s">
        <v>569</v>
      </c>
      <c r="K552" s="33">
        <v>2.0</v>
      </c>
      <c r="L552" s="124" t="s">
        <v>7859</v>
      </c>
      <c r="M552" s="34"/>
    </row>
    <row r="553" hidden="1">
      <c r="A553" s="131" t="s">
        <v>7855</v>
      </c>
      <c r="B553" s="122">
        <v>45757.0</v>
      </c>
      <c r="C553" s="33">
        <v>8.07000030458E11</v>
      </c>
      <c r="D553" s="33" t="s">
        <v>7856</v>
      </c>
      <c r="E553" s="33" t="s">
        <v>7857</v>
      </c>
      <c r="F553" s="123" t="s">
        <v>7858</v>
      </c>
      <c r="G553" s="123" t="s">
        <v>247</v>
      </c>
      <c r="H553" s="123">
        <v>4400.0</v>
      </c>
      <c r="I553" s="33" t="s">
        <v>2412</v>
      </c>
      <c r="J553" s="33" t="s">
        <v>2413</v>
      </c>
      <c r="K553" s="33">
        <v>1.0</v>
      </c>
      <c r="L553" s="124" t="s">
        <v>7859</v>
      </c>
      <c r="M553" s="34"/>
    </row>
    <row r="554" hidden="1">
      <c r="A554" s="131" t="s">
        <v>7855</v>
      </c>
      <c r="B554" s="122">
        <v>45757.0</v>
      </c>
      <c r="C554" s="33">
        <v>8.07000030458E11</v>
      </c>
      <c r="D554" s="33" t="s">
        <v>7856</v>
      </c>
      <c r="E554" s="33" t="s">
        <v>7857</v>
      </c>
      <c r="F554" s="123" t="s">
        <v>7858</v>
      </c>
      <c r="G554" s="123" t="s">
        <v>247</v>
      </c>
      <c r="H554" s="123">
        <v>4400.0</v>
      </c>
      <c r="I554" s="33" t="s">
        <v>3285</v>
      </c>
      <c r="J554" s="33" t="s">
        <v>3286</v>
      </c>
      <c r="K554" s="33">
        <v>1.0</v>
      </c>
      <c r="L554" s="124" t="s">
        <v>7859</v>
      </c>
      <c r="M554" s="34"/>
    </row>
    <row r="555" hidden="1">
      <c r="A555" s="33" t="s">
        <v>7860</v>
      </c>
      <c r="B555" s="122">
        <v>45759.0</v>
      </c>
      <c r="C555" s="33">
        <v>8.07000030535E11</v>
      </c>
      <c r="D555" s="33" t="s">
        <v>7861</v>
      </c>
      <c r="E555" s="33" t="s">
        <v>7862</v>
      </c>
      <c r="F555" s="123" t="s">
        <v>7863</v>
      </c>
      <c r="G555" s="123" t="s">
        <v>1038</v>
      </c>
      <c r="H555" s="123">
        <v>4400.0</v>
      </c>
      <c r="I555" s="33" t="s">
        <v>196</v>
      </c>
      <c r="J555" s="33" t="s">
        <v>7864</v>
      </c>
      <c r="K555" s="33">
        <v>1.0</v>
      </c>
      <c r="L555" s="124" t="s">
        <v>7865</v>
      </c>
      <c r="M555" s="34"/>
    </row>
    <row r="556" hidden="1">
      <c r="A556" s="33" t="s">
        <v>7860</v>
      </c>
      <c r="B556" s="122">
        <v>45759.0</v>
      </c>
      <c r="C556" s="33">
        <v>8.07000030535E11</v>
      </c>
      <c r="D556" s="33" t="s">
        <v>7861</v>
      </c>
      <c r="E556" s="33" t="s">
        <v>7862</v>
      </c>
      <c r="F556" s="123" t="s">
        <v>7863</v>
      </c>
      <c r="G556" s="123" t="s">
        <v>1038</v>
      </c>
      <c r="H556" s="123">
        <v>4400.0</v>
      </c>
      <c r="I556" s="33" t="s">
        <v>512</v>
      </c>
      <c r="J556" s="33" t="s">
        <v>513</v>
      </c>
      <c r="K556" s="33">
        <v>12.0</v>
      </c>
      <c r="L556" s="124" t="s">
        <v>7865</v>
      </c>
      <c r="M556" s="34"/>
    </row>
    <row r="557" hidden="1">
      <c r="A557" s="33" t="s">
        <v>7860</v>
      </c>
      <c r="B557" s="122">
        <v>45759.0</v>
      </c>
      <c r="C557" s="33">
        <v>8.07000030535E11</v>
      </c>
      <c r="D557" s="33" t="s">
        <v>7861</v>
      </c>
      <c r="E557" s="33" t="s">
        <v>7862</v>
      </c>
      <c r="F557" s="123" t="s">
        <v>7863</v>
      </c>
      <c r="G557" s="123" t="s">
        <v>1038</v>
      </c>
      <c r="H557" s="123">
        <v>4400.0</v>
      </c>
      <c r="I557" s="33" t="s">
        <v>381</v>
      </c>
      <c r="J557" s="33" t="s">
        <v>7866</v>
      </c>
      <c r="K557" s="33">
        <v>2.0</v>
      </c>
      <c r="L557" s="124" t="s">
        <v>7865</v>
      </c>
      <c r="M557" s="34"/>
    </row>
    <row r="558" hidden="1">
      <c r="A558" s="33" t="s">
        <v>7867</v>
      </c>
      <c r="B558" s="122">
        <v>45759.0</v>
      </c>
      <c r="C558" s="33">
        <v>8.07000030278E11</v>
      </c>
      <c r="D558" s="33" t="s">
        <v>7868</v>
      </c>
      <c r="E558" s="33" t="s">
        <v>7869</v>
      </c>
      <c r="F558" s="123" t="s">
        <v>7870</v>
      </c>
      <c r="G558" s="123" t="s">
        <v>247</v>
      </c>
      <c r="H558" s="123">
        <v>4400.0</v>
      </c>
      <c r="I558" s="33">
        <v>186007.0</v>
      </c>
      <c r="J558" s="33" t="s">
        <v>7871</v>
      </c>
      <c r="K558" s="33">
        <v>1.0</v>
      </c>
      <c r="L558" s="124" t="s">
        <v>7872</v>
      </c>
      <c r="M558" s="34"/>
    </row>
    <row r="559" hidden="1">
      <c r="A559" s="33" t="s">
        <v>7867</v>
      </c>
      <c r="B559" s="122">
        <v>45759.0</v>
      </c>
      <c r="C559" s="33">
        <v>8.07000030278E11</v>
      </c>
      <c r="D559" s="33" t="s">
        <v>7868</v>
      </c>
      <c r="E559" s="33" t="s">
        <v>7869</v>
      </c>
      <c r="F559" s="123" t="s">
        <v>7870</v>
      </c>
      <c r="G559" s="123" t="s">
        <v>247</v>
      </c>
      <c r="H559" s="123">
        <v>4400.0</v>
      </c>
      <c r="I559" s="33">
        <v>84210.1</v>
      </c>
      <c r="J559" s="33" t="s">
        <v>7873</v>
      </c>
      <c r="K559" s="33">
        <v>2.0</v>
      </c>
      <c r="L559" s="124" t="s">
        <v>7872</v>
      </c>
      <c r="M559" s="34"/>
    </row>
    <row r="560" hidden="1">
      <c r="A560" s="33" t="s">
        <v>7874</v>
      </c>
      <c r="B560" s="122">
        <v>45761.0</v>
      </c>
      <c r="C560" s="33">
        <v>8.07000030551E11</v>
      </c>
      <c r="D560" s="33" t="s">
        <v>7875</v>
      </c>
      <c r="E560" s="33" t="s">
        <v>7876</v>
      </c>
      <c r="F560" s="123" t="s">
        <v>7877</v>
      </c>
      <c r="G560" s="123" t="s">
        <v>247</v>
      </c>
      <c r="H560" s="123">
        <v>4400.0</v>
      </c>
      <c r="I560" s="33" t="s">
        <v>2031</v>
      </c>
      <c r="J560" s="33" t="s">
        <v>3348</v>
      </c>
      <c r="K560" s="33">
        <v>1.0</v>
      </c>
      <c r="L560" s="124" t="s">
        <v>7878</v>
      </c>
      <c r="M560" s="34"/>
    </row>
    <row r="561" hidden="1">
      <c r="A561" s="33" t="s">
        <v>7879</v>
      </c>
      <c r="B561" s="122">
        <v>45761.0</v>
      </c>
      <c r="C561" s="33">
        <v>8.07000030552E11</v>
      </c>
      <c r="D561" s="33" t="s">
        <v>7875</v>
      </c>
      <c r="E561" s="33" t="s">
        <v>7876</v>
      </c>
      <c r="F561" s="123" t="s">
        <v>7877</v>
      </c>
      <c r="G561" s="123" t="s">
        <v>247</v>
      </c>
      <c r="H561" s="123">
        <v>4400.0</v>
      </c>
      <c r="I561" s="189">
        <v>914020.0</v>
      </c>
      <c r="J561" s="33" t="s">
        <v>7880</v>
      </c>
      <c r="K561" s="33">
        <v>1.0</v>
      </c>
      <c r="L561" s="124" t="s">
        <v>7878</v>
      </c>
      <c r="M561" s="34"/>
    </row>
    <row r="562" hidden="1">
      <c r="A562" s="33" t="s">
        <v>7881</v>
      </c>
      <c r="B562" s="122">
        <v>45761.0</v>
      </c>
      <c r="C562" s="33">
        <v>8.07000030561E11</v>
      </c>
      <c r="D562" s="33" t="s">
        <v>7882</v>
      </c>
      <c r="E562" s="33" t="s">
        <v>7883</v>
      </c>
      <c r="F562" s="123" t="s">
        <v>7884</v>
      </c>
      <c r="G562" s="123" t="s">
        <v>247</v>
      </c>
      <c r="H562" s="123">
        <v>4400.0</v>
      </c>
      <c r="I562" s="33" t="s">
        <v>7265</v>
      </c>
      <c r="J562" s="33" t="s">
        <v>7266</v>
      </c>
      <c r="K562" s="33">
        <v>1.0</v>
      </c>
      <c r="L562" s="124" t="s">
        <v>7885</v>
      </c>
      <c r="M562" s="34"/>
    </row>
    <row r="563" hidden="1">
      <c r="A563" s="33" t="s">
        <v>7881</v>
      </c>
      <c r="B563" s="122">
        <v>45761.0</v>
      </c>
      <c r="C563" s="33">
        <v>8.07000030561E11</v>
      </c>
      <c r="D563" s="33" t="s">
        <v>7882</v>
      </c>
      <c r="E563" s="33" t="s">
        <v>7883</v>
      </c>
      <c r="F563" s="123" t="s">
        <v>7884</v>
      </c>
      <c r="G563" s="123" t="s">
        <v>247</v>
      </c>
      <c r="H563" s="123">
        <v>4400.0</v>
      </c>
      <c r="I563" s="33" t="s">
        <v>512</v>
      </c>
      <c r="J563" s="33" t="s">
        <v>513</v>
      </c>
      <c r="K563" s="33">
        <v>6.0</v>
      </c>
      <c r="L563" s="124" t="s">
        <v>7885</v>
      </c>
      <c r="M563" s="34"/>
    </row>
    <row r="564" hidden="1">
      <c r="A564" s="33" t="s">
        <v>7881</v>
      </c>
      <c r="B564" s="122">
        <v>45761.0</v>
      </c>
      <c r="C564" s="33">
        <v>8.07000030561E11</v>
      </c>
      <c r="D564" s="33" t="s">
        <v>7882</v>
      </c>
      <c r="E564" s="33" t="s">
        <v>7883</v>
      </c>
      <c r="F564" s="123" t="s">
        <v>7884</v>
      </c>
      <c r="G564" s="123" t="s">
        <v>247</v>
      </c>
      <c r="H564" s="123">
        <v>4400.0</v>
      </c>
      <c r="I564" s="33" t="s">
        <v>2307</v>
      </c>
      <c r="J564" s="33" t="s">
        <v>7808</v>
      </c>
      <c r="K564" s="33">
        <v>1.0</v>
      </c>
      <c r="L564" s="124" t="s">
        <v>7885</v>
      </c>
      <c r="M564" s="34"/>
    </row>
    <row r="565" hidden="1">
      <c r="A565" s="33" t="s">
        <v>7886</v>
      </c>
      <c r="B565" s="122">
        <v>45761.0</v>
      </c>
      <c r="C565" s="33">
        <v>8.07000030577E11</v>
      </c>
      <c r="D565" s="33" t="s">
        <v>7887</v>
      </c>
      <c r="E565" s="33" t="s">
        <v>7888</v>
      </c>
      <c r="F565" s="123" t="s">
        <v>7889</v>
      </c>
      <c r="G565" s="123" t="s">
        <v>247</v>
      </c>
      <c r="H565" s="123">
        <v>4400.0</v>
      </c>
      <c r="I565" s="33" t="s">
        <v>2956</v>
      </c>
      <c r="J565" s="33" t="s">
        <v>3327</v>
      </c>
      <c r="K565" s="33">
        <v>1.0</v>
      </c>
      <c r="L565" s="124" t="s">
        <v>7890</v>
      </c>
      <c r="M565" s="34"/>
    </row>
    <row r="566" hidden="1">
      <c r="A566" s="33" t="s">
        <v>7891</v>
      </c>
      <c r="B566" s="122">
        <v>45761.0</v>
      </c>
      <c r="C566" s="33">
        <v>8.07000030582E11</v>
      </c>
      <c r="D566" s="33" t="s">
        <v>7892</v>
      </c>
      <c r="E566" s="33" t="s">
        <v>7893</v>
      </c>
      <c r="F566" s="123" t="s">
        <v>7894</v>
      </c>
      <c r="G566" s="123" t="s">
        <v>247</v>
      </c>
      <c r="H566" s="123">
        <v>4400.0</v>
      </c>
      <c r="I566" s="33" t="s">
        <v>2410</v>
      </c>
      <c r="J566" s="33" t="s">
        <v>3860</v>
      </c>
      <c r="K566" s="33">
        <v>1.0</v>
      </c>
      <c r="L566" s="124" t="s">
        <v>7895</v>
      </c>
      <c r="M566" s="34"/>
    </row>
    <row r="567" hidden="1">
      <c r="A567" s="33" t="s">
        <v>7891</v>
      </c>
      <c r="B567" s="122">
        <v>45761.0</v>
      </c>
      <c r="C567" s="33">
        <v>8.07000030582E11</v>
      </c>
      <c r="D567" s="33" t="s">
        <v>7892</v>
      </c>
      <c r="E567" s="33" t="s">
        <v>7893</v>
      </c>
      <c r="F567" s="123" t="s">
        <v>7894</v>
      </c>
      <c r="G567" s="123" t="s">
        <v>247</v>
      </c>
      <c r="H567" s="123">
        <v>4400.0</v>
      </c>
      <c r="I567" s="33" t="s">
        <v>3168</v>
      </c>
      <c r="J567" s="33" t="s">
        <v>7896</v>
      </c>
      <c r="K567" s="33">
        <v>1.0</v>
      </c>
      <c r="L567" s="124" t="s">
        <v>7895</v>
      </c>
      <c r="M567" s="34"/>
    </row>
    <row r="568" hidden="1">
      <c r="A568" s="33" t="s">
        <v>7891</v>
      </c>
      <c r="B568" s="122">
        <v>45761.0</v>
      </c>
      <c r="C568" s="33">
        <v>8.07000030583E11</v>
      </c>
      <c r="D568" s="33" t="s">
        <v>7892</v>
      </c>
      <c r="E568" s="33" t="s">
        <v>7893</v>
      </c>
      <c r="F568" s="123" t="s">
        <v>7894</v>
      </c>
      <c r="G568" s="123" t="s">
        <v>247</v>
      </c>
      <c r="H568" s="123">
        <v>4400.0</v>
      </c>
      <c r="I568" s="33">
        <v>208501.0</v>
      </c>
      <c r="J568" s="33" t="s">
        <v>481</v>
      </c>
      <c r="K568" s="33">
        <v>6.0</v>
      </c>
      <c r="L568" s="124" t="s">
        <v>7895</v>
      </c>
      <c r="M568" s="34"/>
    </row>
    <row r="569" hidden="1">
      <c r="A569" s="33" t="s">
        <v>7897</v>
      </c>
      <c r="B569" s="122">
        <v>45761.0</v>
      </c>
      <c r="C569" s="33">
        <v>8.07000030555E11</v>
      </c>
      <c r="D569" s="33" t="s">
        <v>7898</v>
      </c>
      <c r="E569" s="33" t="s">
        <v>7899</v>
      </c>
      <c r="F569" s="123" t="s">
        <v>7900</v>
      </c>
      <c r="G569" s="123" t="s">
        <v>247</v>
      </c>
      <c r="H569" s="123">
        <v>4400.0</v>
      </c>
      <c r="I569" s="33" t="s">
        <v>35</v>
      </c>
      <c r="J569" s="33" t="s">
        <v>3188</v>
      </c>
      <c r="K569" s="33">
        <v>1.0</v>
      </c>
      <c r="L569" s="124" t="s">
        <v>7901</v>
      </c>
      <c r="M569" s="34"/>
    </row>
    <row r="570" hidden="1">
      <c r="A570" s="33" t="s">
        <v>7902</v>
      </c>
      <c r="B570" s="122">
        <v>45761.0</v>
      </c>
      <c r="C570" s="33">
        <v>8.07000030562E11</v>
      </c>
      <c r="D570" s="33" t="s">
        <v>7903</v>
      </c>
      <c r="E570" s="33" t="s">
        <v>7904</v>
      </c>
      <c r="F570" s="123" t="s">
        <v>7905</v>
      </c>
      <c r="G570" s="123" t="s">
        <v>247</v>
      </c>
      <c r="H570" s="123">
        <v>4400.0</v>
      </c>
      <c r="I570" s="33" t="s">
        <v>701</v>
      </c>
      <c r="J570" s="33" t="s">
        <v>702</v>
      </c>
      <c r="K570" s="33">
        <v>1.0</v>
      </c>
      <c r="L570" s="124" t="s">
        <v>7906</v>
      </c>
      <c r="M570" s="34"/>
    </row>
    <row r="571" hidden="1">
      <c r="A571" s="33" t="s">
        <v>7907</v>
      </c>
      <c r="B571" s="122">
        <v>45761.0</v>
      </c>
      <c r="C571" s="33">
        <v>8.07000030563E11</v>
      </c>
      <c r="D571" s="33" t="s">
        <v>7903</v>
      </c>
      <c r="E571" s="33" t="s">
        <v>7904</v>
      </c>
      <c r="F571" s="123" t="s">
        <v>7905</v>
      </c>
      <c r="G571" s="123" t="s">
        <v>247</v>
      </c>
      <c r="H571" s="123">
        <v>4400.0</v>
      </c>
      <c r="I571" s="33">
        <v>203701.0</v>
      </c>
      <c r="J571" s="33" t="s">
        <v>7908</v>
      </c>
      <c r="K571" s="33">
        <v>1.0</v>
      </c>
      <c r="L571" s="124" t="s">
        <v>7906</v>
      </c>
      <c r="M571" s="34"/>
    </row>
    <row r="572" hidden="1">
      <c r="A572" s="33" t="s">
        <v>7909</v>
      </c>
      <c r="B572" s="122">
        <v>45761.0</v>
      </c>
      <c r="C572" s="33">
        <v>8.0700003056E11</v>
      </c>
      <c r="D572" s="33" t="s">
        <v>7910</v>
      </c>
      <c r="E572" s="33" t="s">
        <v>7911</v>
      </c>
      <c r="F572" s="123" t="s">
        <v>7912</v>
      </c>
      <c r="G572" s="123" t="s">
        <v>247</v>
      </c>
      <c r="H572" s="123">
        <v>4400.0</v>
      </c>
      <c r="I572" s="33" t="s">
        <v>7129</v>
      </c>
      <c r="J572" s="33" t="s">
        <v>7701</v>
      </c>
      <c r="K572" s="33">
        <v>1.0</v>
      </c>
      <c r="L572" s="124" t="s">
        <v>7913</v>
      </c>
      <c r="M572" s="34"/>
    </row>
    <row r="573" hidden="1">
      <c r="A573" s="33" t="s">
        <v>7909</v>
      </c>
      <c r="B573" s="122">
        <v>45761.0</v>
      </c>
      <c r="C573" s="33">
        <v>8.0700003056E11</v>
      </c>
      <c r="D573" s="33" t="s">
        <v>7910</v>
      </c>
      <c r="E573" s="33" t="s">
        <v>7911</v>
      </c>
      <c r="F573" s="123" t="s">
        <v>7912</v>
      </c>
      <c r="G573" s="123" t="s">
        <v>247</v>
      </c>
      <c r="H573" s="123">
        <v>4400.0</v>
      </c>
      <c r="I573" s="33">
        <v>87604.0</v>
      </c>
      <c r="J573" s="33" t="s">
        <v>480</v>
      </c>
      <c r="K573" s="33">
        <v>1.0</v>
      </c>
      <c r="L573" s="124" t="s">
        <v>7913</v>
      </c>
      <c r="M573" s="34"/>
    </row>
    <row r="574" hidden="1">
      <c r="A574" s="33" t="s">
        <v>7909</v>
      </c>
      <c r="B574" s="122">
        <v>45761.0</v>
      </c>
      <c r="C574" s="33">
        <v>8.0700003056E11</v>
      </c>
      <c r="D574" s="33" t="s">
        <v>7910</v>
      </c>
      <c r="E574" s="33" t="s">
        <v>7911</v>
      </c>
      <c r="F574" s="123" t="s">
        <v>7912</v>
      </c>
      <c r="G574" s="123" t="s">
        <v>247</v>
      </c>
      <c r="H574" s="123">
        <v>4400.0</v>
      </c>
      <c r="I574" s="33" t="s">
        <v>4479</v>
      </c>
      <c r="J574" s="33" t="s">
        <v>4480</v>
      </c>
      <c r="K574" s="33">
        <v>1.0</v>
      </c>
      <c r="L574" s="124" t="s">
        <v>7913</v>
      </c>
      <c r="M574" s="34"/>
    </row>
    <row r="575" hidden="1">
      <c r="A575" s="33" t="s">
        <v>7914</v>
      </c>
      <c r="B575" s="122">
        <v>45761.0</v>
      </c>
      <c r="C575" s="33">
        <v>8.06015090848E11</v>
      </c>
      <c r="D575" s="33" t="s">
        <v>3463</v>
      </c>
      <c r="E575" s="33" t="s">
        <v>3464</v>
      </c>
      <c r="F575" s="123" t="s">
        <v>3465</v>
      </c>
      <c r="G575" s="123" t="s">
        <v>5046</v>
      </c>
      <c r="H575" s="123">
        <v>4530.0</v>
      </c>
      <c r="I575" s="33" t="s">
        <v>2686</v>
      </c>
      <c r="J575" s="33" t="s">
        <v>7670</v>
      </c>
      <c r="K575" s="33">
        <v>1.0</v>
      </c>
      <c r="L575" s="124" t="s">
        <v>7915</v>
      </c>
      <c r="M575" s="34"/>
    </row>
    <row r="576" hidden="1">
      <c r="A576" s="33" t="s">
        <v>7916</v>
      </c>
      <c r="B576" s="122">
        <v>45761.0</v>
      </c>
      <c r="C576" s="33">
        <v>8.07000030588E11</v>
      </c>
      <c r="D576" s="33" t="s">
        <v>7917</v>
      </c>
      <c r="E576" s="33" t="s">
        <v>7918</v>
      </c>
      <c r="F576" s="123" t="s">
        <v>7919</v>
      </c>
      <c r="G576" s="123" t="s">
        <v>247</v>
      </c>
      <c r="H576" s="123">
        <v>4400.0</v>
      </c>
      <c r="I576" s="33" t="s">
        <v>3334</v>
      </c>
      <c r="J576" s="33" t="s">
        <v>3575</v>
      </c>
      <c r="K576" s="33">
        <v>1.0</v>
      </c>
      <c r="L576" s="124" t="s">
        <v>7920</v>
      </c>
      <c r="M576" s="34"/>
    </row>
    <row r="577" hidden="1">
      <c r="A577" s="33" t="s">
        <v>7916</v>
      </c>
      <c r="B577" s="122">
        <v>45761.0</v>
      </c>
      <c r="C577" s="33">
        <v>8.07000030588E11</v>
      </c>
      <c r="D577" s="33" t="s">
        <v>7917</v>
      </c>
      <c r="E577" s="33" t="s">
        <v>7918</v>
      </c>
      <c r="F577" s="123" t="s">
        <v>7919</v>
      </c>
      <c r="G577" s="123" t="s">
        <v>247</v>
      </c>
      <c r="H577" s="123">
        <v>4400.0</v>
      </c>
      <c r="I577" s="33" t="s">
        <v>512</v>
      </c>
      <c r="J577" s="33" t="s">
        <v>513</v>
      </c>
      <c r="K577" s="33">
        <v>12.0</v>
      </c>
      <c r="L577" s="124" t="s">
        <v>7920</v>
      </c>
      <c r="M577" s="34"/>
    </row>
    <row r="578" hidden="1">
      <c r="A578" s="33" t="s">
        <v>7916</v>
      </c>
      <c r="B578" s="122">
        <v>45761.0</v>
      </c>
      <c r="C578" s="33">
        <v>8.07000030588E11</v>
      </c>
      <c r="D578" s="33" t="s">
        <v>7917</v>
      </c>
      <c r="E578" s="33" t="s">
        <v>7918</v>
      </c>
      <c r="F578" s="123" t="s">
        <v>7919</v>
      </c>
      <c r="G578" s="123" t="s">
        <v>247</v>
      </c>
      <c r="H578" s="123">
        <v>4400.0</v>
      </c>
      <c r="I578" s="33" t="s">
        <v>758</v>
      </c>
      <c r="J578" s="33" t="s">
        <v>3574</v>
      </c>
      <c r="K578" s="33">
        <v>2.0</v>
      </c>
      <c r="L578" s="124" t="s">
        <v>7920</v>
      </c>
      <c r="M578" s="34"/>
    </row>
    <row r="579" hidden="1">
      <c r="A579" s="33" t="s">
        <v>7921</v>
      </c>
      <c r="B579" s="122">
        <v>45763.0</v>
      </c>
      <c r="C579" s="33">
        <v>8.07000030593E11</v>
      </c>
      <c r="D579" s="33" t="s">
        <v>7922</v>
      </c>
      <c r="E579" s="33" t="s">
        <v>7923</v>
      </c>
      <c r="F579" s="123" t="s">
        <v>7924</v>
      </c>
      <c r="G579" s="123" t="s">
        <v>247</v>
      </c>
      <c r="H579" s="123">
        <v>4400.0</v>
      </c>
      <c r="I579" s="33" t="s">
        <v>238</v>
      </c>
      <c r="J579" s="33" t="s">
        <v>7925</v>
      </c>
      <c r="K579" s="33">
        <v>1.0</v>
      </c>
      <c r="L579" s="124" t="s">
        <v>7926</v>
      </c>
      <c r="M579" s="34"/>
    </row>
    <row r="580" hidden="1">
      <c r="A580" s="33" t="s">
        <v>7921</v>
      </c>
      <c r="B580" s="122">
        <v>45763.0</v>
      </c>
      <c r="C580" s="33">
        <v>8.07000030593E11</v>
      </c>
      <c r="D580" s="33" t="s">
        <v>7922</v>
      </c>
      <c r="E580" s="33" t="s">
        <v>7923</v>
      </c>
      <c r="F580" s="123" t="s">
        <v>7924</v>
      </c>
      <c r="G580" s="123" t="s">
        <v>247</v>
      </c>
      <c r="H580" s="123">
        <v>4400.0</v>
      </c>
      <c r="I580" s="33" t="s">
        <v>512</v>
      </c>
      <c r="J580" s="33" t="s">
        <v>513</v>
      </c>
      <c r="K580" s="33">
        <v>2.0</v>
      </c>
      <c r="L580" s="124" t="s">
        <v>7926</v>
      </c>
      <c r="M580" s="34"/>
    </row>
    <row r="581" hidden="1">
      <c r="A581" s="125" t="s">
        <v>7921</v>
      </c>
      <c r="B581" s="126">
        <v>45763.0</v>
      </c>
      <c r="C581" s="125">
        <v>8.07000030593E11</v>
      </c>
      <c r="D581" s="125" t="s">
        <v>7922</v>
      </c>
      <c r="E581" s="125" t="s">
        <v>7923</v>
      </c>
      <c r="F581" s="127" t="s">
        <v>7924</v>
      </c>
      <c r="G581" s="127" t="s">
        <v>247</v>
      </c>
      <c r="H581" s="127">
        <v>4400.0</v>
      </c>
      <c r="I581" s="125" t="s">
        <v>233</v>
      </c>
      <c r="J581" s="125" t="s">
        <v>3459</v>
      </c>
      <c r="K581" s="125">
        <v>2.0</v>
      </c>
      <c r="L581" s="129" t="s">
        <v>7926</v>
      </c>
      <c r="M581" s="130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  <c r="AC581" s="179"/>
    </row>
    <row r="582" hidden="1">
      <c r="A582" s="131" t="s">
        <v>7927</v>
      </c>
      <c r="B582" s="132">
        <v>45763.0</v>
      </c>
      <c r="C582" s="131">
        <v>8.07000030604E11</v>
      </c>
      <c r="D582" s="131" t="s">
        <v>7928</v>
      </c>
      <c r="E582" s="131" t="s">
        <v>7929</v>
      </c>
      <c r="F582" s="133" t="s">
        <v>7930</v>
      </c>
      <c r="G582" s="123" t="s">
        <v>247</v>
      </c>
      <c r="H582" s="123">
        <v>4400.0</v>
      </c>
      <c r="I582" s="131" t="s">
        <v>812</v>
      </c>
      <c r="J582" s="131" t="s">
        <v>3564</v>
      </c>
      <c r="K582" s="131">
        <v>1.0</v>
      </c>
      <c r="L582" s="134" t="s">
        <v>7931</v>
      </c>
      <c r="M582" s="138"/>
    </row>
    <row r="583" hidden="1">
      <c r="A583" s="131" t="s">
        <v>7932</v>
      </c>
      <c r="B583" s="132">
        <v>45763.0</v>
      </c>
      <c r="C583" s="33">
        <v>8.07000030602E11</v>
      </c>
      <c r="D583" s="33" t="s">
        <v>7933</v>
      </c>
      <c r="E583" s="33" t="s">
        <v>7934</v>
      </c>
      <c r="F583" s="123" t="s">
        <v>7935</v>
      </c>
      <c r="G583" s="123" t="s">
        <v>247</v>
      </c>
      <c r="H583" s="123">
        <v>4400.0</v>
      </c>
      <c r="I583" s="33" t="s">
        <v>2397</v>
      </c>
      <c r="J583" s="33" t="s">
        <v>5040</v>
      </c>
      <c r="K583" s="33">
        <v>1.0</v>
      </c>
      <c r="L583" s="124" t="s">
        <v>7936</v>
      </c>
      <c r="M583" s="34"/>
    </row>
    <row r="584" hidden="1">
      <c r="A584" s="131" t="s">
        <v>7937</v>
      </c>
      <c r="B584" s="132">
        <v>45763.0</v>
      </c>
      <c r="C584" s="33">
        <v>8.07000030607E11</v>
      </c>
      <c r="D584" s="33" t="s">
        <v>7938</v>
      </c>
      <c r="E584" s="33" t="s">
        <v>7939</v>
      </c>
      <c r="F584" s="123" t="s">
        <v>7940</v>
      </c>
      <c r="G584" s="123" t="s">
        <v>247</v>
      </c>
      <c r="H584" s="123">
        <v>4400.0</v>
      </c>
      <c r="I584" s="33" t="s">
        <v>269</v>
      </c>
      <c r="J584" s="33" t="s">
        <v>7941</v>
      </c>
      <c r="K584" s="33">
        <v>2.0</v>
      </c>
      <c r="L584" s="124" t="s">
        <v>7942</v>
      </c>
      <c r="M584" s="34"/>
    </row>
    <row r="585" hidden="1">
      <c r="A585" s="131" t="s">
        <v>7937</v>
      </c>
      <c r="B585" s="132">
        <v>45763.0</v>
      </c>
      <c r="C585" s="33">
        <v>8.07000030607E11</v>
      </c>
      <c r="D585" s="33" t="s">
        <v>7938</v>
      </c>
      <c r="E585" s="33" t="s">
        <v>7939</v>
      </c>
      <c r="F585" s="123" t="s">
        <v>7940</v>
      </c>
      <c r="G585" s="123" t="s">
        <v>247</v>
      </c>
      <c r="H585" s="123">
        <v>4400.0</v>
      </c>
      <c r="I585" s="33" t="s">
        <v>512</v>
      </c>
      <c r="J585" s="33" t="s">
        <v>513</v>
      </c>
      <c r="K585" s="33">
        <v>12.0</v>
      </c>
      <c r="L585" s="124" t="s">
        <v>7942</v>
      </c>
      <c r="M585" s="34"/>
    </row>
    <row r="586" hidden="1">
      <c r="A586" s="131" t="s">
        <v>7937</v>
      </c>
      <c r="B586" s="132">
        <v>45763.0</v>
      </c>
      <c r="C586" s="33">
        <v>8.0700003061E11</v>
      </c>
      <c r="D586" s="33" t="s">
        <v>7938</v>
      </c>
      <c r="E586" s="33" t="s">
        <v>7939</v>
      </c>
      <c r="F586" s="123" t="s">
        <v>7940</v>
      </c>
      <c r="G586" s="123" t="s">
        <v>247</v>
      </c>
      <c r="H586" s="123">
        <v>4400.0</v>
      </c>
      <c r="I586" s="33" t="s">
        <v>2031</v>
      </c>
      <c r="J586" s="33" t="s">
        <v>3348</v>
      </c>
      <c r="K586" s="33">
        <v>2.0</v>
      </c>
      <c r="L586" s="124" t="s">
        <v>7942</v>
      </c>
      <c r="M586" s="34"/>
    </row>
    <row r="587" hidden="1">
      <c r="A587" s="131" t="s">
        <v>7937</v>
      </c>
      <c r="B587" s="132">
        <v>45763.0</v>
      </c>
      <c r="C587" s="33">
        <v>8.07000030608E11</v>
      </c>
      <c r="D587" s="33" t="s">
        <v>7938</v>
      </c>
      <c r="E587" s="33" t="s">
        <v>7939</v>
      </c>
      <c r="F587" s="123" t="s">
        <v>7940</v>
      </c>
      <c r="G587" s="123" t="s">
        <v>247</v>
      </c>
      <c r="H587" s="123">
        <v>4400.0</v>
      </c>
      <c r="I587" s="33">
        <v>125802.0</v>
      </c>
      <c r="J587" s="33" t="s">
        <v>7943</v>
      </c>
      <c r="K587" s="33">
        <v>2.0</v>
      </c>
      <c r="L587" s="124" t="s">
        <v>7942</v>
      </c>
      <c r="M587" s="34"/>
    </row>
    <row r="588" hidden="1">
      <c r="A588" s="33" t="s">
        <v>7944</v>
      </c>
      <c r="B588" s="122">
        <v>45765.0</v>
      </c>
      <c r="C588" s="33">
        <v>8.07000030614E11</v>
      </c>
      <c r="D588" s="33" t="s">
        <v>7945</v>
      </c>
      <c r="E588" s="33" t="s">
        <v>7946</v>
      </c>
      <c r="F588" s="123" t="s">
        <v>7947</v>
      </c>
      <c r="G588" s="123" t="s">
        <v>247</v>
      </c>
      <c r="H588" s="123">
        <v>4400.0</v>
      </c>
      <c r="I588" s="33" t="s">
        <v>145</v>
      </c>
      <c r="J588" s="33" t="s">
        <v>7948</v>
      </c>
      <c r="K588" s="33">
        <v>1.0</v>
      </c>
      <c r="L588" s="124" t="s">
        <v>7949</v>
      </c>
      <c r="M588" s="34"/>
    </row>
    <row r="589" hidden="1">
      <c r="A589" s="33" t="s">
        <v>7944</v>
      </c>
      <c r="B589" s="122">
        <v>45765.0</v>
      </c>
      <c r="C589" s="33">
        <v>8.07000030614E11</v>
      </c>
      <c r="D589" s="33" t="s">
        <v>7945</v>
      </c>
      <c r="E589" s="33" t="s">
        <v>7946</v>
      </c>
      <c r="F589" s="123" t="s">
        <v>7947</v>
      </c>
      <c r="G589" s="123" t="s">
        <v>247</v>
      </c>
      <c r="H589" s="123">
        <v>4400.0</v>
      </c>
      <c r="I589" s="33" t="s">
        <v>512</v>
      </c>
      <c r="J589" s="33" t="s">
        <v>513</v>
      </c>
      <c r="K589" s="33">
        <v>12.0</v>
      </c>
      <c r="L589" s="124" t="s">
        <v>7949</v>
      </c>
      <c r="M589" s="34"/>
    </row>
    <row r="590" hidden="1">
      <c r="A590" s="33" t="s">
        <v>7944</v>
      </c>
      <c r="B590" s="122">
        <v>45765.0</v>
      </c>
      <c r="C590" s="33">
        <v>8.07000030614E11</v>
      </c>
      <c r="D590" s="33" t="s">
        <v>7945</v>
      </c>
      <c r="E590" s="33" t="s">
        <v>7946</v>
      </c>
      <c r="F590" s="123" t="s">
        <v>7947</v>
      </c>
      <c r="G590" s="123" t="s">
        <v>247</v>
      </c>
      <c r="H590" s="123">
        <v>4400.0</v>
      </c>
      <c r="I590" s="33" t="s">
        <v>149</v>
      </c>
      <c r="J590" s="33" t="s">
        <v>7950</v>
      </c>
      <c r="K590" s="33">
        <v>2.0</v>
      </c>
      <c r="L590" s="124" t="s">
        <v>7949</v>
      </c>
      <c r="M590" s="34"/>
    </row>
    <row r="591" hidden="1">
      <c r="A591" s="33" t="s">
        <v>7951</v>
      </c>
      <c r="B591" s="122">
        <v>45765.0</v>
      </c>
      <c r="C591" s="33">
        <v>8.07000030616E11</v>
      </c>
      <c r="D591" s="33" t="s">
        <v>7952</v>
      </c>
      <c r="E591" s="33" t="s">
        <v>7953</v>
      </c>
      <c r="F591" s="123" t="s">
        <v>7954</v>
      </c>
      <c r="G591" s="123" t="s">
        <v>247</v>
      </c>
      <c r="H591" s="123">
        <v>4400.0</v>
      </c>
      <c r="I591" s="33" t="s">
        <v>7955</v>
      </c>
      <c r="J591" s="33" t="s">
        <v>7956</v>
      </c>
      <c r="K591" s="33">
        <v>1.0</v>
      </c>
      <c r="L591" s="124" t="s">
        <v>7957</v>
      </c>
      <c r="M591" s="34"/>
    </row>
    <row r="592" hidden="1">
      <c r="A592" s="33" t="s">
        <v>7951</v>
      </c>
      <c r="B592" s="122">
        <v>45765.0</v>
      </c>
      <c r="C592" s="33">
        <v>8.07000030616E11</v>
      </c>
      <c r="D592" s="33" t="s">
        <v>7952</v>
      </c>
      <c r="E592" s="33" t="s">
        <v>7953</v>
      </c>
      <c r="F592" s="123" t="s">
        <v>7954</v>
      </c>
      <c r="G592" s="123" t="s">
        <v>247</v>
      </c>
      <c r="H592" s="123">
        <v>4400.0</v>
      </c>
      <c r="I592" s="33" t="s">
        <v>512</v>
      </c>
      <c r="J592" s="33" t="s">
        <v>513</v>
      </c>
      <c r="K592" s="33">
        <v>12.0</v>
      </c>
      <c r="L592" s="124" t="s">
        <v>7957</v>
      </c>
      <c r="M592" s="34"/>
    </row>
    <row r="593" hidden="1">
      <c r="A593" s="33" t="s">
        <v>7951</v>
      </c>
      <c r="B593" s="122">
        <v>45765.0</v>
      </c>
      <c r="C593" s="33">
        <v>8.07000030616E11</v>
      </c>
      <c r="D593" s="33" t="s">
        <v>7952</v>
      </c>
      <c r="E593" s="33" t="s">
        <v>7953</v>
      </c>
      <c r="F593" s="123" t="s">
        <v>7954</v>
      </c>
      <c r="G593" s="123" t="s">
        <v>247</v>
      </c>
      <c r="H593" s="123">
        <v>4400.0</v>
      </c>
      <c r="I593" s="33" t="s">
        <v>758</v>
      </c>
      <c r="J593" s="33" t="s">
        <v>3574</v>
      </c>
      <c r="K593" s="33">
        <v>2.0</v>
      </c>
      <c r="L593" s="124" t="s">
        <v>7957</v>
      </c>
      <c r="M593" s="34"/>
    </row>
    <row r="594" hidden="1">
      <c r="A594" s="33" t="s">
        <v>7958</v>
      </c>
      <c r="B594" s="122">
        <v>45765.0</v>
      </c>
      <c r="C594" s="33">
        <v>8.0700003062E11</v>
      </c>
      <c r="D594" s="33" t="s">
        <v>7959</v>
      </c>
      <c r="E594" s="33" t="s">
        <v>7960</v>
      </c>
      <c r="F594" s="123" t="s">
        <v>7961</v>
      </c>
      <c r="G594" s="123" t="s">
        <v>3850</v>
      </c>
      <c r="H594" s="123">
        <v>4421.0</v>
      </c>
      <c r="I594" s="33" t="s">
        <v>2031</v>
      </c>
      <c r="J594" s="33" t="s">
        <v>3348</v>
      </c>
      <c r="K594" s="33">
        <v>1.0</v>
      </c>
      <c r="L594" s="124" t="s">
        <v>7962</v>
      </c>
      <c r="M594" s="34"/>
    </row>
    <row r="595" hidden="1">
      <c r="A595" s="33" t="s">
        <v>7958</v>
      </c>
      <c r="B595" s="122">
        <v>45765.0</v>
      </c>
      <c r="C595" s="33">
        <v>8.07000030621E11</v>
      </c>
      <c r="D595" s="33" t="s">
        <v>7959</v>
      </c>
      <c r="E595" s="33" t="s">
        <v>7960</v>
      </c>
      <c r="F595" s="123" t="s">
        <v>7961</v>
      </c>
      <c r="G595" s="123" t="s">
        <v>3850</v>
      </c>
      <c r="H595" s="123">
        <v>4421.0</v>
      </c>
      <c r="I595" s="33" t="s">
        <v>2546</v>
      </c>
      <c r="J595" s="33" t="s">
        <v>7963</v>
      </c>
      <c r="K595" s="33">
        <v>1.0</v>
      </c>
      <c r="L595" s="124" t="s">
        <v>7962</v>
      </c>
      <c r="M595" s="34"/>
    </row>
    <row r="596" hidden="1">
      <c r="A596" s="33" t="s">
        <v>7958</v>
      </c>
      <c r="B596" s="122">
        <v>45765.0</v>
      </c>
      <c r="C596" s="33">
        <v>8.07000030621E11</v>
      </c>
      <c r="D596" s="33" t="s">
        <v>7959</v>
      </c>
      <c r="E596" s="33" t="s">
        <v>7960</v>
      </c>
      <c r="F596" s="123" t="s">
        <v>7961</v>
      </c>
      <c r="G596" s="123" t="s">
        <v>3850</v>
      </c>
      <c r="H596" s="123">
        <v>4421.0</v>
      </c>
      <c r="I596" s="33" t="s">
        <v>512</v>
      </c>
      <c r="J596" s="33" t="s">
        <v>513</v>
      </c>
      <c r="K596" s="33">
        <v>6.0</v>
      </c>
      <c r="L596" s="124" t="s">
        <v>7962</v>
      </c>
      <c r="M596" s="34"/>
    </row>
    <row r="597" hidden="1">
      <c r="A597" s="33" t="s">
        <v>7964</v>
      </c>
      <c r="B597" s="122">
        <v>45768.0</v>
      </c>
      <c r="C597" s="33">
        <v>8.07000030656E11</v>
      </c>
      <c r="D597" s="33" t="s">
        <v>7965</v>
      </c>
      <c r="E597" s="33" t="s">
        <v>7966</v>
      </c>
      <c r="F597" s="190">
        <v>44612.0</v>
      </c>
      <c r="G597" s="123" t="s">
        <v>247</v>
      </c>
      <c r="H597" s="123">
        <v>4400.0</v>
      </c>
      <c r="I597" s="33" t="s">
        <v>3649</v>
      </c>
      <c r="J597" s="33" t="s">
        <v>3650</v>
      </c>
      <c r="K597" s="33">
        <v>1.0</v>
      </c>
      <c r="L597" s="124" t="s">
        <v>7967</v>
      </c>
      <c r="M597" s="34"/>
    </row>
    <row r="598" hidden="1">
      <c r="A598" s="33" t="s">
        <v>7968</v>
      </c>
      <c r="B598" s="122">
        <v>45768.0</v>
      </c>
      <c r="C598" s="33">
        <v>8.07000030659E11</v>
      </c>
      <c r="D598" s="33" t="s">
        <v>7969</v>
      </c>
      <c r="E598" s="33" t="s">
        <v>7970</v>
      </c>
      <c r="F598" s="123" t="s">
        <v>7971</v>
      </c>
      <c r="G598" s="123" t="s">
        <v>247</v>
      </c>
      <c r="H598" s="123">
        <v>4400.0</v>
      </c>
      <c r="I598" s="33" t="s">
        <v>3679</v>
      </c>
      <c r="J598" s="33" t="s">
        <v>3680</v>
      </c>
      <c r="K598" s="33">
        <v>1.0</v>
      </c>
      <c r="L598" s="124" t="s">
        <v>7972</v>
      </c>
      <c r="M598" s="34"/>
    </row>
    <row r="599" hidden="1">
      <c r="A599" s="33" t="s">
        <v>7973</v>
      </c>
      <c r="B599" s="122">
        <v>45768.0</v>
      </c>
      <c r="C599" s="33">
        <v>8.07000030661E11</v>
      </c>
      <c r="D599" s="33" t="s">
        <v>7974</v>
      </c>
      <c r="E599" s="33" t="s">
        <v>7975</v>
      </c>
      <c r="F599" s="123" t="s">
        <v>7976</v>
      </c>
      <c r="G599" s="123" t="s">
        <v>247</v>
      </c>
      <c r="H599" s="123">
        <v>4400.0</v>
      </c>
      <c r="I599" s="33" t="s">
        <v>3431</v>
      </c>
      <c r="J599" s="33" t="s">
        <v>3432</v>
      </c>
      <c r="K599" s="33">
        <v>1.0</v>
      </c>
      <c r="L599" s="124" t="s">
        <v>7977</v>
      </c>
      <c r="M599" s="31" t="s">
        <v>7978</v>
      </c>
    </row>
    <row r="600" hidden="1">
      <c r="A600" s="33" t="s">
        <v>7979</v>
      </c>
      <c r="B600" s="122">
        <v>45768.0</v>
      </c>
      <c r="C600" s="33">
        <v>8.07000030653E11</v>
      </c>
      <c r="D600" s="33" t="s">
        <v>7980</v>
      </c>
      <c r="E600" s="33" t="s">
        <v>7981</v>
      </c>
      <c r="F600" s="123" t="s">
        <v>7982</v>
      </c>
      <c r="G600" s="123" t="s">
        <v>247</v>
      </c>
      <c r="H600" s="123">
        <v>4400.0</v>
      </c>
      <c r="I600" s="33" t="s">
        <v>2410</v>
      </c>
      <c r="J600" s="33" t="s">
        <v>3860</v>
      </c>
      <c r="K600" s="33">
        <v>1.0</v>
      </c>
      <c r="L600" s="124" t="s">
        <v>7983</v>
      </c>
      <c r="M600" s="34"/>
    </row>
    <row r="601" hidden="1">
      <c r="A601" s="33" t="s">
        <v>7984</v>
      </c>
      <c r="B601" s="122">
        <v>45768.0</v>
      </c>
      <c r="C601" s="33">
        <v>8.07000030647E11</v>
      </c>
      <c r="D601" s="33" t="s">
        <v>7985</v>
      </c>
      <c r="E601" s="33" t="s">
        <v>7986</v>
      </c>
      <c r="F601" s="123" t="s">
        <v>7987</v>
      </c>
      <c r="G601" s="123" t="s">
        <v>247</v>
      </c>
      <c r="H601" s="123">
        <v>4400.0</v>
      </c>
      <c r="I601" s="33" t="s">
        <v>340</v>
      </c>
      <c r="J601" s="33" t="s">
        <v>3486</v>
      </c>
      <c r="K601" s="33">
        <v>2.0</v>
      </c>
      <c r="L601" s="124" t="s">
        <v>7988</v>
      </c>
      <c r="M601" s="34"/>
    </row>
    <row r="602" hidden="1">
      <c r="A602" s="33" t="s">
        <v>7989</v>
      </c>
      <c r="B602" s="122">
        <v>45768.0</v>
      </c>
      <c r="C602" s="33">
        <v>8.07000030648E11</v>
      </c>
      <c r="D602" s="33" t="s">
        <v>7985</v>
      </c>
      <c r="E602" s="33" t="s">
        <v>7986</v>
      </c>
      <c r="F602" s="123" t="s">
        <v>7987</v>
      </c>
      <c r="G602" s="123" t="s">
        <v>247</v>
      </c>
      <c r="H602" s="123">
        <v>4400.0</v>
      </c>
      <c r="I602" s="33" t="s">
        <v>280</v>
      </c>
      <c r="J602" s="33" t="s">
        <v>5669</v>
      </c>
      <c r="K602" s="33">
        <v>1.0</v>
      </c>
      <c r="L602" s="124" t="s">
        <v>7988</v>
      </c>
      <c r="M602" s="34"/>
    </row>
    <row r="603" hidden="1">
      <c r="A603" s="33" t="s">
        <v>7990</v>
      </c>
      <c r="B603" s="122">
        <v>45768.0</v>
      </c>
      <c r="C603" s="33">
        <v>8.07000030645E11</v>
      </c>
      <c r="D603" s="33" t="s">
        <v>7991</v>
      </c>
      <c r="E603" s="33" t="s">
        <v>7992</v>
      </c>
      <c r="F603" s="123" t="s">
        <v>7993</v>
      </c>
      <c r="G603" s="123" t="s">
        <v>247</v>
      </c>
      <c r="H603" s="123">
        <v>4400.0</v>
      </c>
      <c r="I603" s="33">
        <v>125802.0</v>
      </c>
      <c r="J603" s="33" t="s">
        <v>7943</v>
      </c>
      <c r="K603" s="33">
        <v>2.0</v>
      </c>
      <c r="L603" s="124" t="s">
        <v>7994</v>
      </c>
      <c r="M603" s="34"/>
    </row>
    <row r="604" hidden="1">
      <c r="A604" s="33" t="s">
        <v>7990</v>
      </c>
      <c r="B604" s="122">
        <v>45768.0</v>
      </c>
      <c r="C604" s="33">
        <v>8.07000030645E11</v>
      </c>
      <c r="D604" s="33" t="s">
        <v>7991</v>
      </c>
      <c r="E604" s="33" t="s">
        <v>7992</v>
      </c>
      <c r="F604" s="123" t="s">
        <v>7993</v>
      </c>
      <c r="G604" s="123" t="s">
        <v>247</v>
      </c>
      <c r="H604" s="123">
        <v>4400.0</v>
      </c>
      <c r="I604" s="33" t="s">
        <v>4775</v>
      </c>
      <c r="J604" s="33" t="s">
        <v>4776</v>
      </c>
      <c r="K604" s="33">
        <v>1.0</v>
      </c>
      <c r="L604" s="124" t="s">
        <v>7994</v>
      </c>
      <c r="M604" s="34"/>
    </row>
    <row r="605" hidden="1">
      <c r="A605" s="33" t="s">
        <v>7990</v>
      </c>
      <c r="B605" s="122">
        <v>45768.0</v>
      </c>
      <c r="C605" s="33">
        <v>8.07000030645E11</v>
      </c>
      <c r="D605" s="33" t="s">
        <v>7991</v>
      </c>
      <c r="E605" s="33" t="s">
        <v>7992</v>
      </c>
      <c r="F605" s="123" t="s">
        <v>7993</v>
      </c>
      <c r="G605" s="123" t="s">
        <v>247</v>
      </c>
      <c r="H605" s="123">
        <v>4400.0</v>
      </c>
      <c r="I605" s="33" t="s">
        <v>3512</v>
      </c>
      <c r="J605" s="33" t="s">
        <v>3513</v>
      </c>
      <c r="K605" s="33">
        <v>6.0</v>
      </c>
      <c r="L605" s="124" t="s">
        <v>7994</v>
      </c>
      <c r="M605" s="34"/>
    </row>
    <row r="606" hidden="1">
      <c r="A606" s="33" t="s">
        <v>7990</v>
      </c>
      <c r="B606" s="122">
        <v>45768.0</v>
      </c>
      <c r="C606" s="33">
        <v>8.07000030645E11</v>
      </c>
      <c r="D606" s="33" t="s">
        <v>7991</v>
      </c>
      <c r="E606" s="33" t="s">
        <v>7992</v>
      </c>
      <c r="F606" s="123" t="s">
        <v>7993</v>
      </c>
      <c r="G606" s="123" t="s">
        <v>247</v>
      </c>
      <c r="H606" s="123">
        <v>4400.0</v>
      </c>
      <c r="I606" s="33" t="s">
        <v>3510</v>
      </c>
      <c r="J606" s="33" t="s">
        <v>3511</v>
      </c>
      <c r="K606" s="33">
        <v>1.0</v>
      </c>
      <c r="L606" s="124" t="s">
        <v>7994</v>
      </c>
      <c r="M606" s="34"/>
    </row>
    <row r="607" hidden="1">
      <c r="A607" s="33" t="s">
        <v>7990</v>
      </c>
      <c r="B607" s="122">
        <v>45768.0</v>
      </c>
      <c r="C607" s="33">
        <v>8.07000030646E11</v>
      </c>
      <c r="D607" s="33" t="s">
        <v>7991</v>
      </c>
      <c r="E607" s="33" t="s">
        <v>7992</v>
      </c>
      <c r="F607" s="123" t="s">
        <v>7993</v>
      </c>
      <c r="G607" s="123" t="s">
        <v>247</v>
      </c>
      <c r="H607" s="123">
        <v>4400.0</v>
      </c>
      <c r="I607" s="33">
        <v>125806.0</v>
      </c>
      <c r="J607" s="33" t="s">
        <v>7389</v>
      </c>
      <c r="K607" s="33">
        <v>2.0</v>
      </c>
      <c r="L607" s="124" t="s">
        <v>7994</v>
      </c>
      <c r="M607" s="34"/>
    </row>
    <row r="608" hidden="1">
      <c r="A608" s="33" t="s">
        <v>7995</v>
      </c>
      <c r="B608" s="122">
        <v>45768.0</v>
      </c>
      <c r="C608" s="33">
        <v>8.07000030638E11</v>
      </c>
      <c r="D608" s="33" t="s">
        <v>7996</v>
      </c>
      <c r="E608" s="33" t="s">
        <v>7997</v>
      </c>
      <c r="F608" s="123" t="s">
        <v>7998</v>
      </c>
      <c r="G608" s="123" t="s">
        <v>624</v>
      </c>
      <c r="H608" s="123">
        <v>4403.0</v>
      </c>
      <c r="I608" s="33" t="s">
        <v>7534</v>
      </c>
      <c r="J608" s="33" t="s">
        <v>7999</v>
      </c>
      <c r="K608" s="33">
        <v>1.0</v>
      </c>
      <c r="L608" s="124" t="s">
        <v>8000</v>
      </c>
      <c r="M608" s="31" t="s">
        <v>8001</v>
      </c>
    </row>
    <row r="609" hidden="1">
      <c r="A609" s="33" t="s">
        <v>8002</v>
      </c>
      <c r="B609" s="122">
        <v>45768.0</v>
      </c>
      <c r="C609" s="33">
        <v>8.07000030638E11</v>
      </c>
      <c r="D609" s="33" t="s">
        <v>7996</v>
      </c>
      <c r="E609" s="33" t="s">
        <v>7997</v>
      </c>
      <c r="F609" s="123" t="s">
        <v>7998</v>
      </c>
      <c r="G609" s="123" t="s">
        <v>624</v>
      </c>
      <c r="H609" s="123">
        <v>4403.0</v>
      </c>
      <c r="I609" s="33" t="s">
        <v>512</v>
      </c>
      <c r="J609" s="33" t="s">
        <v>513</v>
      </c>
      <c r="K609" s="33">
        <v>6.0</v>
      </c>
      <c r="L609" s="124" t="s">
        <v>8000</v>
      </c>
      <c r="M609" s="31" t="s">
        <v>8001</v>
      </c>
    </row>
    <row r="610" hidden="1">
      <c r="A610" s="33" t="s">
        <v>7995</v>
      </c>
      <c r="B610" s="122">
        <v>45768.0</v>
      </c>
      <c r="C610" s="33">
        <v>8.07000030638E11</v>
      </c>
      <c r="D610" s="33" t="s">
        <v>7996</v>
      </c>
      <c r="E610" s="33" t="s">
        <v>7997</v>
      </c>
      <c r="F610" s="123" t="s">
        <v>7998</v>
      </c>
      <c r="G610" s="123" t="s">
        <v>624</v>
      </c>
      <c r="H610" s="123">
        <v>4403.0</v>
      </c>
      <c r="I610" s="33" t="s">
        <v>1544</v>
      </c>
      <c r="J610" s="33" t="s">
        <v>8003</v>
      </c>
      <c r="K610" s="33">
        <v>1.0</v>
      </c>
      <c r="L610" s="124" t="s">
        <v>8000</v>
      </c>
      <c r="M610" s="31" t="s">
        <v>8001</v>
      </c>
    </row>
    <row r="611" hidden="1">
      <c r="A611" s="33" t="s">
        <v>8004</v>
      </c>
      <c r="B611" s="122">
        <v>45768.0</v>
      </c>
      <c r="C611" s="33">
        <v>8.07000030625E11</v>
      </c>
      <c r="D611" s="33" t="s">
        <v>8005</v>
      </c>
      <c r="E611" s="33" t="s">
        <v>8006</v>
      </c>
      <c r="F611" s="123" t="s">
        <v>8007</v>
      </c>
      <c r="G611" s="123" t="s">
        <v>624</v>
      </c>
      <c r="H611" s="123">
        <v>4403.0</v>
      </c>
      <c r="I611" s="33" t="s">
        <v>1766</v>
      </c>
      <c r="J611" s="33" t="s">
        <v>8008</v>
      </c>
      <c r="K611" s="33">
        <v>1.0</v>
      </c>
      <c r="L611" s="124" t="s">
        <v>8009</v>
      </c>
      <c r="M611" s="34"/>
    </row>
    <row r="612" hidden="1">
      <c r="A612" s="33" t="s">
        <v>8010</v>
      </c>
      <c r="B612" s="122">
        <v>45768.0</v>
      </c>
      <c r="C612" s="33">
        <v>8.07000030631E11</v>
      </c>
      <c r="D612" s="33" t="s">
        <v>8011</v>
      </c>
      <c r="E612" s="33" t="s">
        <v>8012</v>
      </c>
      <c r="F612" s="123" t="s">
        <v>8013</v>
      </c>
      <c r="G612" s="123" t="s">
        <v>247</v>
      </c>
      <c r="H612" s="123">
        <v>4400.0</v>
      </c>
      <c r="I612" s="33" t="s">
        <v>50</v>
      </c>
      <c r="J612" s="33" t="s">
        <v>51</v>
      </c>
      <c r="K612" s="33">
        <v>1.0</v>
      </c>
      <c r="L612" s="124" t="s">
        <v>8014</v>
      </c>
      <c r="M612" s="34"/>
    </row>
    <row r="613" hidden="1">
      <c r="A613" s="33" t="s">
        <v>8010</v>
      </c>
      <c r="B613" s="122">
        <v>45768.0</v>
      </c>
      <c r="C613" s="33">
        <v>8.07000030631E11</v>
      </c>
      <c r="D613" s="33" t="s">
        <v>8011</v>
      </c>
      <c r="E613" s="33" t="s">
        <v>8012</v>
      </c>
      <c r="F613" s="123" t="s">
        <v>8013</v>
      </c>
      <c r="G613" s="123" t="s">
        <v>247</v>
      </c>
      <c r="H613" s="123">
        <v>4400.0</v>
      </c>
      <c r="I613" s="33" t="s">
        <v>512</v>
      </c>
      <c r="J613" s="33" t="s">
        <v>513</v>
      </c>
      <c r="K613" s="33">
        <v>6.0</v>
      </c>
      <c r="L613" s="124" t="s">
        <v>8014</v>
      </c>
      <c r="M613" s="34"/>
    </row>
    <row r="614" hidden="1">
      <c r="A614" s="33" t="s">
        <v>8010</v>
      </c>
      <c r="B614" s="122">
        <v>45768.0</v>
      </c>
      <c r="C614" s="33">
        <v>8.07000030631E11</v>
      </c>
      <c r="D614" s="33" t="s">
        <v>8011</v>
      </c>
      <c r="E614" s="33" t="s">
        <v>8012</v>
      </c>
      <c r="F614" s="123" t="s">
        <v>8013</v>
      </c>
      <c r="G614" s="123" t="s">
        <v>247</v>
      </c>
      <c r="H614" s="123">
        <v>4400.0</v>
      </c>
      <c r="I614" s="33" t="s">
        <v>25</v>
      </c>
      <c r="J614" s="33" t="s">
        <v>3401</v>
      </c>
      <c r="K614" s="33">
        <v>1.0</v>
      </c>
      <c r="L614" s="124" t="s">
        <v>8014</v>
      </c>
      <c r="M614" s="34"/>
    </row>
    <row r="615" hidden="1">
      <c r="A615" s="33" t="s">
        <v>8015</v>
      </c>
      <c r="B615" s="122">
        <v>45768.0</v>
      </c>
      <c r="C615" s="33">
        <v>8.07000030662E11</v>
      </c>
      <c r="D615" s="33" t="s">
        <v>7508</v>
      </c>
      <c r="E615" s="33" t="s">
        <v>7509</v>
      </c>
      <c r="F615" s="123" t="s">
        <v>7510</v>
      </c>
      <c r="G615" s="123" t="s">
        <v>376</v>
      </c>
      <c r="H615" s="123">
        <v>4421.0</v>
      </c>
      <c r="I615" s="33" t="s">
        <v>3451</v>
      </c>
      <c r="J615" s="33" t="s">
        <v>3452</v>
      </c>
      <c r="K615" s="33">
        <v>1.0</v>
      </c>
      <c r="L615" s="124" t="s">
        <v>7512</v>
      </c>
      <c r="M615" s="31" t="s">
        <v>8016</v>
      </c>
    </row>
    <row r="616" hidden="1">
      <c r="A616" s="33" t="s">
        <v>8017</v>
      </c>
      <c r="B616" s="122">
        <v>45768.0</v>
      </c>
      <c r="C616" s="33">
        <v>8.07000030633E11</v>
      </c>
      <c r="D616" s="33" t="s">
        <v>8018</v>
      </c>
      <c r="E616" s="33" t="s">
        <v>8019</v>
      </c>
      <c r="F616" s="123" t="s">
        <v>8020</v>
      </c>
      <c r="G616" s="123" t="s">
        <v>532</v>
      </c>
      <c r="H616" s="123"/>
      <c r="I616" s="33" t="s">
        <v>3131</v>
      </c>
      <c r="J616" s="33" t="s">
        <v>3416</v>
      </c>
      <c r="K616" s="33">
        <v>1.0</v>
      </c>
      <c r="L616" s="124" t="s">
        <v>8021</v>
      </c>
      <c r="M616" s="34"/>
    </row>
    <row r="617" hidden="1">
      <c r="A617" s="33" t="s">
        <v>8017</v>
      </c>
      <c r="B617" s="122">
        <v>45768.0</v>
      </c>
      <c r="C617" s="33">
        <v>8.07000030633E11</v>
      </c>
      <c r="D617" s="33" t="s">
        <v>8018</v>
      </c>
      <c r="E617" s="33" t="s">
        <v>8019</v>
      </c>
      <c r="F617" s="123" t="s">
        <v>8020</v>
      </c>
      <c r="G617" s="123" t="s">
        <v>532</v>
      </c>
      <c r="H617" s="123"/>
      <c r="I617" s="33" t="s">
        <v>512</v>
      </c>
      <c r="J617" s="33" t="s">
        <v>513</v>
      </c>
      <c r="K617" s="33">
        <v>6.0</v>
      </c>
      <c r="L617" s="124" t="s">
        <v>8021</v>
      </c>
      <c r="M617" s="34"/>
    </row>
    <row r="618" hidden="1">
      <c r="A618" s="125" t="s">
        <v>8017</v>
      </c>
      <c r="B618" s="126">
        <v>45768.0</v>
      </c>
      <c r="C618" s="125">
        <v>8.07000030633E11</v>
      </c>
      <c r="D618" s="125" t="s">
        <v>8018</v>
      </c>
      <c r="E618" s="125" t="s">
        <v>8019</v>
      </c>
      <c r="F618" s="127" t="s">
        <v>8020</v>
      </c>
      <c r="G618" s="127" t="s">
        <v>532</v>
      </c>
      <c r="H618" s="127"/>
      <c r="I618" s="125" t="s">
        <v>35</v>
      </c>
      <c r="J618" s="125" t="s">
        <v>3188</v>
      </c>
      <c r="K618" s="125">
        <v>1.0</v>
      </c>
      <c r="L618" s="129" t="s">
        <v>8021</v>
      </c>
      <c r="M618" s="130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  <c r="AC618" s="179"/>
    </row>
    <row r="619" hidden="1">
      <c r="A619" s="131" t="s">
        <v>8022</v>
      </c>
      <c r="B619" s="122">
        <v>45771.0</v>
      </c>
      <c r="C619" s="131">
        <v>8.07000030675E11</v>
      </c>
      <c r="D619" s="131" t="s">
        <v>8023</v>
      </c>
      <c r="E619" s="131" t="s">
        <v>8024</v>
      </c>
      <c r="F619" s="133" t="s">
        <v>8025</v>
      </c>
      <c r="G619" s="123" t="s">
        <v>247</v>
      </c>
      <c r="H619" s="123">
        <v>4400.0</v>
      </c>
      <c r="I619" s="131" t="s">
        <v>1959</v>
      </c>
      <c r="J619" s="131" t="s">
        <v>1960</v>
      </c>
      <c r="K619" s="131">
        <v>1.0</v>
      </c>
      <c r="L619" s="134" t="s">
        <v>8026</v>
      </c>
      <c r="M619" s="138"/>
    </row>
    <row r="620" hidden="1">
      <c r="A620" s="33" t="s">
        <v>8027</v>
      </c>
      <c r="B620" s="122">
        <v>45771.0</v>
      </c>
      <c r="C620" s="33">
        <v>8.07000030676E11</v>
      </c>
      <c r="D620" s="33" t="s">
        <v>8023</v>
      </c>
      <c r="E620" s="33" t="s">
        <v>8024</v>
      </c>
      <c r="F620" s="133" t="s">
        <v>8025</v>
      </c>
      <c r="G620" s="123" t="s">
        <v>247</v>
      </c>
      <c r="H620" s="123">
        <v>4400.0</v>
      </c>
      <c r="I620" s="33" t="s">
        <v>7955</v>
      </c>
      <c r="J620" s="33" t="s">
        <v>7956</v>
      </c>
      <c r="K620" s="33">
        <v>1.0</v>
      </c>
      <c r="L620" s="134" t="s">
        <v>8026</v>
      </c>
      <c r="M620" s="34"/>
    </row>
    <row r="621" hidden="1">
      <c r="A621" s="33" t="s">
        <v>8022</v>
      </c>
      <c r="B621" s="122">
        <v>45771.0</v>
      </c>
      <c r="C621" s="33">
        <v>8.07000030678E11</v>
      </c>
      <c r="D621" s="33" t="s">
        <v>8023</v>
      </c>
      <c r="E621" s="33" t="s">
        <v>8024</v>
      </c>
      <c r="F621" s="133" t="s">
        <v>8025</v>
      </c>
      <c r="G621" s="123" t="s">
        <v>247</v>
      </c>
      <c r="H621" s="123">
        <v>4400.0</v>
      </c>
      <c r="I621" s="33">
        <v>121.0</v>
      </c>
      <c r="J621" s="33" t="s">
        <v>8028</v>
      </c>
      <c r="K621" s="33">
        <v>1.0</v>
      </c>
      <c r="L621" s="134" t="s">
        <v>8026</v>
      </c>
      <c r="M621" s="34"/>
    </row>
    <row r="622" hidden="1">
      <c r="A622" s="33" t="s">
        <v>8029</v>
      </c>
      <c r="B622" s="122">
        <v>45771.0</v>
      </c>
      <c r="C622" s="33">
        <v>8.07000030665E11</v>
      </c>
      <c r="D622" s="33" t="s">
        <v>8030</v>
      </c>
      <c r="E622" s="33" t="s">
        <v>8031</v>
      </c>
      <c r="F622" s="123" t="s">
        <v>8032</v>
      </c>
      <c r="G622" s="123" t="s">
        <v>247</v>
      </c>
      <c r="H622" s="123">
        <v>4400.0</v>
      </c>
      <c r="I622" s="33" t="s">
        <v>2233</v>
      </c>
      <c r="J622" s="33" t="s">
        <v>4158</v>
      </c>
      <c r="K622" s="33">
        <v>1.0</v>
      </c>
      <c r="L622" s="124" t="s">
        <v>8033</v>
      </c>
      <c r="M622" s="31"/>
    </row>
    <row r="623" hidden="1">
      <c r="A623" s="33" t="s">
        <v>8029</v>
      </c>
      <c r="B623" s="122">
        <v>45771.0</v>
      </c>
      <c r="C623" s="33">
        <v>8.07000030665E11</v>
      </c>
      <c r="D623" s="33" t="s">
        <v>8030</v>
      </c>
      <c r="E623" s="33" t="s">
        <v>8031</v>
      </c>
      <c r="F623" s="123" t="s">
        <v>8032</v>
      </c>
      <c r="G623" s="123" t="s">
        <v>247</v>
      </c>
      <c r="H623" s="123">
        <v>4400.0</v>
      </c>
      <c r="I623" s="33" t="s">
        <v>512</v>
      </c>
      <c r="J623" s="33" t="s">
        <v>513</v>
      </c>
      <c r="K623" s="33">
        <v>6.0</v>
      </c>
      <c r="L623" s="124" t="s">
        <v>8033</v>
      </c>
      <c r="M623" s="34"/>
    </row>
    <row r="624" hidden="1">
      <c r="A624" s="33" t="s">
        <v>8029</v>
      </c>
      <c r="B624" s="122">
        <v>45771.0</v>
      </c>
      <c r="C624" s="33">
        <v>8.07000030665E11</v>
      </c>
      <c r="D624" s="33" t="s">
        <v>8030</v>
      </c>
      <c r="E624" s="33" t="s">
        <v>8031</v>
      </c>
      <c r="F624" s="123" t="s">
        <v>8032</v>
      </c>
      <c r="G624" s="123" t="s">
        <v>247</v>
      </c>
      <c r="H624" s="123">
        <v>4400.0</v>
      </c>
      <c r="I624" s="33" t="s">
        <v>969</v>
      </c>
      <c r="J624" s="33" t="s">
        <v>3296</v>
      </c>
      <c r="K624" s="33">
        <v>1.0</v>
      </c>
      <c r="L624" s="124" t="s">
        <v>8033</v>
      </c>
      <c r="M624" s="34"/>
    </row>
    <row r="625" hidden="1">
      <c r="A625" s="33" t="s">
        <v>8034</v>
      </c>
      <c r="B625" s="122">
        <v>45771.0</v>
      </c>
      <c r="C625" s="33">
        <v>8.07000030683E11</v>
      </c>
      <c r="D625" s="33" t="s">
        <v>8035</v>
      </c>
      <c r="E625" s="33" t="s">
        <v>8036</v>
      </c>
      <c r="F625" s="123" t="s">
        <v>8037</v>
      </c>
      <c r="G625" s="123" t="s">
        <v>247</v>
      </c>
      <c r="H625" s="123">
        <v>4400.0</v>
      </c>
      <c r="I625" s="33" t="s">
        <v>35</v>
      </c>
      <c r="J625" s="33" t="s">
        <v>3188</v>
      </c>
      <c r="K625" s="33">
        <v>1.0</v>
      </c>
      <c r="L625" s="124" t="s">
        <v>8038</v>
      </c>
      <c r="M625" s="34"/>
    </row>
    <row r="626" hidden="1">
      <c r="A626" s="33" t="s">
        <v>8034</v>
      </c>
      <c r="B626" s="122">
        <v>45771.0</v>
      </c>
      <c r="C626" s="33">
        <v>8.07000030684E11</v>
      </c>
      <c r="D626" s="33" t="s">
        <v>8035</v>
      </c>
      <c r="E626" s="33" t="s">
        <v>8036</v>
      </c>
      <c r="F626" s="123" t="s">
        <v>8037</v>
      </c>
      <c r="G626" s="123" t="s">
        <v>247</v>
      </c>
      <c r="H626" s="123">
        <v>4400.0</v>
      </c>
      <c r="I626" s="189">
        <v>914751.0</v>
      </c>
      <c r="J626" s="33" t="s">
        <v>7853</v>
      </c>
      <c r="K626" s="33">
        <v>1.0</v>
      </c>
      <c r="L626" s="124" t="s">
        <v>8038</v>
      </c>
      <c r="M626" s="34"/>
    </row>
    <row r="627" hidden="1">
      <c r="A627" s="33" t="s">
        <v>8039</v>
      </c>
      <c r="B627" s="122">
        <v>45771.0</v>
      </c>
      <c r="C627" s="33">
        <v>8.07000030686E11</v>
      </c>
      <c r="D627" s="33" t="s">
        <v>8040</v>
      </c>
      <c r="E627" s="33" t="s">
        <v>8041</v>
      </c>
      <c r="F627" s="123" t="s">
        <v>8042</v>
      </c>
      <c r="G627" s="123" t="s">
        <v>247</v>
      </c>
      <c r="H627" s="123">
        <v>4400.0</v>
      </c>
      <c r="I627" s="33" t="s">
        <v>3054</v>
      </c>
      <c r="J627" s="33" t="s">
        <v>3346</v>
      </c>
      <c r="K627" s="33">
        <v>1.0</v>
      </c>
      <c r="L627" s="124" t="s">
        <v>8043</v>
      </c>
      <c r="M627" s="34"/>
    </row>
    <row r="628" hidden="1">
      <c r="A628" s="33" t="s">
        <v>8039</v>
      </c>
      <c r="B628" s="122">
        <v>45771.0</v>
      </c>
      <c r="C628" s="33">
        <v>8.07000030686E11</v>
      </c>
      <c r="D628" s="33" t="s">
        <v>8040</v>
      </c>
      <c r="E628" s="33" t="s">
        <v>8041</v>
      </c>
      <c r="F628" s="123" t="s">
        <v>8042</v>
      </c>
      <c r="G628" s="123" t="s">
        <v>247</v>
      </c>
      <c r="H628" s="123">
        <v>4400.0</v>
      </c>
      <c r="I628" s="33" t="s">
        <v>512</v>
      </c>
      <c r="J628" s="33" t="s">
        <v>513</v>
      </c>
      <c r="K628" s="33">
        <v>6.0</v>
      </c>
      <c r="L628" s="124" t="s">
        <v>8043</v>
      </c>
      <c r="M628" s="34"/>
    </row>
    <row r="629" hidden="1">
      <c r="A629" s="33" t="s">
        <v>8039</v>
      </c>
      <c r="B629" s="122">
        <v>45771.0</v>
      </c>
      <c r="C629" s="33">
        <v>8.07000030686E11</v>
      </c>
      <c r="D629" s="33" t="s">
        <v>8040</v>
      </c>
      <c r="E629" s="33" t="s">
        <v>8041</v>
      </c>
      <c r="F629" s="123" t="s">
        <v>8042</v>
      </c>
      <c r="G629" s="123" t="s">
        <v>247</v>
      </c>
      <c r="H629" s="123">
        <v>4400.0</v>
      </c>
      <c r="I629" s="33" t="s">
        <v>2031</v>
      </c>
      <c r="J629" s="33" t="s">
        <v>3348</v>
      </c>
      <c r="K629" s="33">
        <v>1.0</v>
      </c>
      <c r="L629" s="124" t="s">
        <v>8043</v>
      </c>
      <c r="M629" s="34"/>
    </row>
    <row r="630" hidden="1">
      <c r="A630" s="33" t="s">
        <v>8044</v>
      </c>
      <c r="B630" s="122">
        <v>45771.0</v>
      </c>
      <c r="C630" s="33">
        <v>8.07000030682E11</v>
      </c>
      <c r="D630" s="33" t="s">
        <v>8045</v>
      </c>
      <c r="E630" s="33" t="s">
        <v>8046</v>
      </c>
      <c r="F630" s="123" t="s">
        <v>8047</v>
      </c>
      <c r="G630" s="123" t="s">
        <v>247</v>
      </c>
      <c r="H630" s="123">
        <v>4400.0</v>
      </c>
      <c r="I630" s="33" t="s">
        <v>768</v>
      </c>
      <c r="J630" s="33" t="s">
        <v>3386</v>
      </c>
      <c r="K630" s="33">
        <v>1.0</v>
      </c>
      <c r="L630" s="124" t="s">
        <v>8048</v>
      </c>
      <c r="M630" s="34"/>
    </row>
    <row r="631" hidden="1">
      <c r="A631" s="33" t="s">
        <v>8044</v>
      </c>
      <c r="B631" s="122">
        <v>45771.0</v>
      </c>
      <c r="C631" s="33">
        <v>8.07000030682E11</v>
      </c>
      <c r="D631" s="33" t="s">
        <v>8045</v>
      </c>
      <c r="E631" s="33" t="s">
        <v>8046</v>
      </c>
      <c r="F631" s="123" t="s">
        <v>8047</v>
      </c>
      <c r="G631" s="123" t="s">
        <v>247</v>
      </c>
      <c r="H631" s="123">
        <v>4400.0</v>
      </c>
      <c r="I631" s="33" t="s">
        <v>512</v>
      </c>
      <c r="J631" s="33" t="s">
        <v>513</v>
      </c>
      <c r="K631" s="33">
        <v>12.0</v>
      </c>
      <c r="L631" s="124" t="s">
        <v>8048</v>
      </c>
      <c r="M631" s="34"/>
    </row>
    <row r="632" hidden="1">
      <c r="A632" s="33" t="s">
        <v>8044</v>
      </c>
      <c r="B632" s="122">
        <v>45771.0</v>
      </c>
      <c r="C632" s="33">
        <v>8.07000030682E11</v>
      </c>
      <c r="D632" s="33" t="s">
        <v>8045</v>
      </c>
      <c r="E632" s="33" t="s">
        <v>8046</v>
      </c>
      <c r="F632" s="123" t="s">
        <v>8047</v>
      </c>
      <c r="G632" s="123" t="s">
        <v>247</v>
      </c>
      <c r="H632" s="123">
        <v>4400.0</v>
      </c>
      <c r="I632" s="33" t="s">
        <v>121</v>
      </c>
      <c r="J632" s="33" t="s">
        <v>3199</v>
      </c>
      <c r="K632" s="33">
        <v>2.0</v>
      </c>
      <c r="L632" s="124" t="s">
        <v>8048</v>
      </c>
      <c r="M632" s="34"/>
    </row>
    <row r="633" hidden="1">
      <c r="A633" s="33" t="s">
        <v>8049</v>
      </c>
      <c r="B633" s="122">
        <v>45773.0</v>
      </c>
      <c r="C633" s="33">
        <v>8.07000030704E11</v>
      </c>
      <c r="D633" s="33" t="s">
        <v>8050</v>
      </c>
      <c r="E633" s="33" t="s">
        <v>8051</v>
      </c>
      <c r="F633" s="123" t="s">
        <v>8052</v>
      </c>
      <c r="G633" s="123" t="s">
        <v>1038</v>
      </c>
      <c r="H633" s="123">
        <v>4401.0</v>
      </c>
      <c r="I633" s="33" t="s">
        <v>3376</v>
      </c>
      <c r="J633" s="33" t="s">
        <v>3377</v>
      </c>
      <c r="K633" s="33">
        <v>1.0</v>
      </c>
      <c r="L633" s="124" t="s">
        <v>8053</v>
      </c>
      <c r="M633" s="34"/>
    </row>
    <row r="634" hidden="1">
      <c r="A634" s="33" t="s">
        <v>8049</v>
      </c>
      <c r="B634" s="122">
        <v>45773.0</v>
      </c>
      <c r="C634" s="33">
        <v>8.07000030704E11</v>
      </c>
      <c r="D634" s="33" t="s">
        <v>8050</v>
      </c>
      <c r="E634" s="33" t="s">
        <v>8051</v>
      </c>
      <c r="F634" s="123" t="s">
        <v>8052</v>
      </c>
      <c r="G634" s="123" t="s">
        <v>1038</v>
      </c>
      <c r="H634" s="123">
        <v>4401.0</v>
      </c>
      <c r="I634" s="33" t="s">
        <v>512</v>
      </c>
      <c r="J634" s="33" t="s">
        <v>513</v>
      </c>
      <c r="K634" s="33">
        <v>6.0</v>
      </c>
      <c r="L634" s="124" t="s">
        <v>8053</v>
      </c>
      <c r="M634" s="34"/>
    </row>
    <row r="635" hidden="1">
      <c r="A635" s="33" t="s">
        <v>8049</v>
      </c>
      <c r="B635" s="122">
        <v>45773.0</v>
      </c>
      <c r="C635" s="33">
        <v>8.07000030704E11</v>
      </c>
      <c r="D635" s="33" t="s">
        <v>8050</v>
      </c>
      <c r="E635" s="33" t="s">
        <v>8051</v>
      </c>
      <c r="F635" s="123" t="s">
        <v>8052</v>
      </c>
      <c r="G635" s="123" t="s">
        <v>1038</v>
      </c>
      <c r="H635" s="123">
        <v>4401.0</v>
      </c>
      <c r="I635" s="33" t="s">
        <v>2031</v>
      </c>
      <c r="J635" s="33" t="s">
        <v>3348</v>
      </c>
      <c r="K635" s="33">
        <v>1.0</v>
      </c>
      <c r="L635" s="124" t="s">
        <v>8053</v>
      </c>
      <c r="M635" s="34"/>
    </row>
    <row r="636" hidden="1">
      <c r="A636" s="33" t="s">
        <v>8054</v>
      </c>
      <c r="B636" s="122">
        <v>45775.0</v>
      </c>
      <c r="C636" s="33">
        <v>8.07000030707E11</v>
      </c>
      <c r="D636" s="33" t="s">
        <v>8055</v>
      </c>
      <c r="E636" s="33" t="s">
        <v>8056</v>
      </c>
      <c r="F636" s="123" t="s">
        <v>8057</v>
      </c>
      <c r="G636" s="123" t="s">
        <v>376</v>
      </c>
      <c r="H636" s="123">
        <v>4421.0</v>
      </c>
      <c r="I636" s="33" t="s">
        <v>2546</v>
      </c>
      <c r="J636" s="33" t="s">
        <v>7963</v>
      </c>
      <c r="K636" s="33">
        <v>1.0</v>
      </c>
      <c r="L636" s="124" t="s">
        <v>8058</v>
      </c>
      <c r="M636" s="34"/>
    </row>
    <row r="637" hidden="1">
      <c r="A637" s="33" t="s">
        <v>8054</v>
      </c>
      <c r="B637" s="122">
        <v>45775.0</v>
      </c>
      <c r="C637" s="33">
        <v>8.07000030707E11</v>
      </c>
      <c r="D637" s="33" t="s">
        <v>8055</v>
      </c>
      <c r="E637" s="33" t="s">
        <v>8056</v>
      </c>
      <c r="F637" s="123" t="s">
        <v>8057</v>
      </c>
      <c r="G637" s="123" t="s">
        <v>376</v>
      </c>
      <c r="H637" s="123">
        <v>4421.0</v>
      </c>
      <c r="I637" s="33" t="s">
        <v>512</v>
      </c>
      <c r="J637" s="33" t="s">
        <v>513</v>
      </c>
      <c r="K637" s="33">
        <v>6.0</v>
      </c>
      <c r="L637" s="124" t="s">
        <v>8058</v>
      </c>
      <c r="M637" s="34"/>
    </row>
    <row r="638" hidden="1">
      <c r="A638" s="33" t="s">
        <v>8054</v>
      </c>
      <c r="B638" s="122">
        <v>45775.0</v>
      </c>
      <c r="C638" s="33">
        <v>8.07000030707E11</v>
      </c>
      <c r="D638" s="33" t="s">
        <v>8055</v>
      </c>
      <c r="E638" s="33" t="s">
        <v>8056</v>
      </c>
      <c r="F638" s="123" t="s">
        <v>8057</v>
      </c>
      <c r="G638" s="123" t="s">
        <v>376</v>
      </c>
      <c r="H638" s="123">
        <v>4421.0</v>
      </c>
      <c r="I638" s="33" t="s">
        <v>1544</v>
      </c>
      <c r="J638" s="33" t="s">
        <v>8003</v>
      </c>
      <c r="K638" s="33">
        <v>1.0</v>
      </c>
      <c r="L638" s="124" t="s">
        <v>8058</v>
      </c>
      <c r="M638" s="34"/>
    </row>
    <row r="639" hidden="1">
      <c r="A639" s="33" t="s">
        <v>8059</v>
      </c>
      <c r="B639" s="122">
        <v>45775.0</v>
      </c>
      <c r="C639" s="33">
        <v>8.07000030717E11</v>
      </c>
      <c r="D639" s="33" t="s">
        <v>8060</v>
      </c>
      <c r="E639" s="33" t="s">
        <v>8061</v>
      </c>
      <c r="F639" s="123" t="s">
        <v>8062</v>
      </c>
      <c r="G639" s="123" t="s">
        <v>247</v>
      </c>
      <c r="H639" s="123">
        <v>4400.0</v>
      </c>
      <c r="I639" s="33" t="s">
        <v>659</v>
      </c>
      <c r="J639" s="33" t="s">
        <v>3468</v>
      </c>
      <c r="K639" s="33">
        <v>1.0</v>
      </c>
      <c r="L639" s="124" t="s">
        <v>8063</v>
      </c>
      <c r="M639" s="34"/>
    </row>
    <row r="640" hidden="1">
      <c r="A640" s="33" t="s">
        <v>8064</v>
      </c>
      <c r="B640" s="122">
        <v>45775.0</v>
      </c>
      <c r="C640" s="33">
        <v>8.07000030725E11</v>
      </c>
      <c r="D640" s="33" t="s">
        <v>8065</v>
      </c>
      <c r="E640" s="33" t="s">
        <v>8066</v>
      </c>
      <c r="F640" s="123" t="s">
        <v>8067</v>
      </c>
      <c r="G640" s="123" t="s">
        <v>3850</v>
      </c>
      <c r="H640" s="123">
        <v>4421.0</v>
      </c>
      <c r="I640" s="33" t="s">
        <v>8068</v>
      </c>
      <c r="J640" s="33" t="s">
        <v>3860</v>
      </c>
      <c r="K640" s="33">
        <v>1.0</v>
      </c>
      <c r="L640" s="124" t="s">
        <v>8069</v>
      </c>
      <c r="M640" s="34"/>
    </row>
    <row r="641" hidden="1">
      <c r="A641" s="33" t="s">
        <v>8064</v>
      </c>
      <c r="B641" s="122">
        <v>45775.0</v>
      </c>
      <c r="C641" s="33">
        <v>8.07000030725E11</v>
      </c>
      <c r="D641" s="33" t="s">
        <v>8065</v>
      </c>
      <c r="E641" s="33" t="s">
        <v>8066</v>
      </c>
      <c r="F641" s="123" t="s">
        <v>8067</v>
      </c>
      <c r="G641" s="123" t="s">
        <v>3850</v>
      </c>
      <c r="H641" s="123">
        <v>4421.0</v>
      </c>
      <c r="I641" s="33" t="s">
        <v>3168</v>
      </c>
      <c r="J641" s="33" t="s">
        <v>7896</v>
      </c>
      <c r="K641" s="33">
        <v>1.0</v>
      </c>
      <c r="L641" s="124" t="s">
        <v>8069</v>
      </c>
      <c r="M641" s="34"/>
    </row>
    <row r="642" hidden="1">
      <c r="A642" s="33" t="s">
        <v>8070</v>
      </c>
      <c r="B642" s="122">
        <v>45775.0</v>
      </c>
      <c r="C642" s="33">
        <v>8.07000030709E11</v>
      </c>
      <c r="D642" s="33" t="s">
        <v>8071</v>
      </c>
      <c r="E642" s="33" t="s">
        <v>8072</v>
      </c>
      <c r="F642" s="123" t="s">
        <v>8073</v>
      </c>
      <c r="G642" s="123" t="s">
        <v>247</v>
      </c>
      <c r="H642" s="123">
        <v>4400.0</v>
      </c>
      <c r="I642" s="33" t="s">
        <v>3649</v>
      </c>
      <c r="J642" s="33" t="s">
        <v>3650</v>
      </c>
      <c r="K642" s="33">
        <v>1.0</v>
      </c>
      <c r="L642" s="124" t="s">
        <v>8074</v>
      </c>
      <c r="M642" s="34"/>
    </row>
    <row r="643" hidden="1">
      <c r="A643" s="33" t="s">
        <v>8070</v>
      </c>
      <c r="B643" s="122">
        <v>45775.0</v>
      </c>
      <c r="C643" s="33">
        <v>8.07000030709E11</v>
      </c>
      <c r="D643" s="33" t="s">
        <v>8071</v>
      </c>
      <c r="E643" s="33" t="s">
        <v>8072</v>
      </c>
      <c r="F643" s="123" t="s">
        <v>8073</v>
      </c>
      <c r="G643" s="123" t="s">
        <v>247</v>
      </c>
      <c r="H643" s="123">
        <v>4400.0</v>
      </c>
      <c r="I643" s="33" t="s">
        <v>512</v>
      </c>
      <c r="J643" s="33" t="s">
        <v>513</v>
      </c>
      <c r="K643" s="33">
        <v>6.0</v>
      </c>
      <c r="L643" s="124" t="s">
        <v>8074</v>
      </c>
      <c r="M643" s="34"/>
    </row>
    <row r="644" hidden="1">
      <c r="A644" s="125" t="s">
        <v>8070</v>
      </c>
      <c r="B644" s="126">
        <v>45775.0</v>
      </c>
      <c r="C644" s="125">
        <v>8.07000030709E11</v>
      </c>
      <c r="D644" s="125" t="s">
        <v>8071</v>
      </c>
      <c r="E644" s="125" t="s">
        <v>8072</v>
      </c>
      <c r="F644" s="127" t="s">
        <v>8073</v>
      </c>
      <c r="G644" s="127" t="s">
        <v>247</v>
      </c>
      <c r="H644" s="127">
        <v>4400.0</v>
      </c>
      <c r="I644" s="125" t="s">
        <v>670</v>
      </c>
      <c r="J644" s="125" t="s">
        <v>3410</v>
      </c>
      <c r="K644" s="125">
        <v>1.0</v>
      </c>
      <c r="L644" s="129" t="s">
        <v>8074</v>
      </c>
      <c r="M644" s="130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  <c r="AC644" s="179"/>
    </row>
    <row r="645" hidden="1">
      <c r="A645" s="131" t="s">
        <v>8075</v>
      </c>
      <c r="B645" s="132">
        <v>45777.0</v>
      </c>
      <c r="C645" s="131">
        <v>8.07000030733E11</v>
      </c>
      <c r="D645" s="131" t="s">
        <v>8076</v>
      </c>
      <c r="E645" s="131" t="s">
        <v>8077</v>
      </c>
      <c r="F645" s="133" t="s">
        <v>8078</v>
      </c>
      <c r="G645" s="133" t="s">
        <v>247</v>
      </c>
      <c r="H645" s="133">
        <v>4400.0</v>
      </c>
      <c r="I645" s="131" t="s">
        <v>106</v>
      </c>
      <c r="J645" s="131" t="s">
        <v>3670</v>
      </c>
      <c r="K645" s="131">
        <v>1.0</v>
      </c>
      <c r="L645" s="134" t="s">
        <v>8079</v>
      </c>
      <c r="M645" s="138"/>
    </row>
    <row r="646" hidden="1">
      <c r="A646" s="131" t="s">
        <v>8075</v>
      </c>
      <c r="B646" s="122">
        <v>45777.0</v>
      </c>
      <c r="C646" s="33">
        <v>8.07000030733E11</v>
      </c>
      <c r="D646" s="33" t="s">
        <v>8076</v>
      </c>
      <c r="E646" s="33" t="s">
        <v>8077</v>
      </c>
      <c r="F646" s="133" t="s">
        <v>8078</v>
      </c>
      <c r="G646" s="123" t="s">
        <v>247</v>
      </c>
      <c r="H646" s="123">
        <v>4400.0</v>
      </c>
      <c r="I646" s="33" t="s">
        <v>512</v>
      </c>
      <c r="J646" s="33" t="s">
        <v>513</v>
      </c>
      <c r="K646" s="33">
        <v>6.0</v>
      </c>
      <c r="L646" s="134" t="s">
        <v>8079</v>
      </c>
      <c r="M646" s="34"/>
    </row>
    <row r="647" hidden="1">
      <c r="A647" s="131" t="s">
        <v>8075</v>
      </c>
      <c r="B647" s="122">
        <v>45777.0</v>
      </c>
      <c r="C647" s="33">
        <v>8.07000030733E11</v>
      </c>
      <c r="D647" s="33" t="s">
        <v>8076</v>
      </c>
      <c r="E647" s="33" t="s">
        <v>8077</v>
      </c>
      <c r="F647" s="133" t="s">
        <v>8078</v>
      </c>
      <c r="G647" s="123" t="s">
        <v>247</v>
      </c>
      <c r="H647" s="123">
        <v>4400.0</v>
      </c>
      <c r="I647" s="33" t="s">
        <v>110</v>
      </c>
      <c r="J647" s="33" t="s">
        <v>3673</v>
      </c>
      <c r="K647" s="33">
        <v>1.0</v>
      </c>
      <c r="L647" s="134" t="s">
        <v>8079</v>
      </c>
      <c r="M647" s="34"/>
    </row>
    <row r="648" hidden="1">
      <c r="A648" s="131" t="s">
        <v>8080</v>
      </c>
      <c r="B648" s="122">
        <v>45777.0</v>
      </c>
      <c r="C648" s="33">
        <v>8.07000030667E11</v>
      </c>
      <c r="D648" s="33" t="s">
        <v>8081</v>
      </c>
      <c r="E648" s="33" t="s">
        <v>8082</v>
      </c>
      <c r="F648" s="123" t="s">
        <v>8083</v>
      </c>
      <c r="G648" s="123" t="s">
        <v>247</v>
      </c>
      <c r="H648" s="123">
        <v>4400.0</v>
      </c>
      <c r="I648" s="33" t="s">
        <v>2956</v>
      </c>
      <c r="J648" s="33" t="s">
        <v>3327</v>
      </c>
      <c r="K648" s="33">
        <v>1.0</v>
      </c>
      <c r="L648" s="124" t="s">
        <v>8084</v>
      </c>
      <c r="M648" s="34"/>
    </row>
    <row r="649" hidden="1">
      <c r="A649" s="131" t="s">
        <v>8080</v>
      </c>
      <c r="B649" s="122">
        <v>45777.0</v>
      </c>
      <c r="C649" s="33">
        <v>8.07000030667E11</v>
      </c>
      <c r="D649" s="33" t="s">
        <v>8081</v>
      </c>
      <c r="E649" s="33" t="s">
        <v>8082</v>
      </c>
      <c r="F649" s="123" t="s">
        <v>8083</v>
      </c>
      <c r="G649" s="123" t="s">
        <v>247</v>
      </c>
      <c r="H649" s="123">
        <v>4400.0</v>
      </c>
      <c r="I649" s="33" t="s">
        <v>512</v>
      </c>
      <c r="J649" s="33" t="s">
        <v>513</v>
      </c>
      <c r="K649" s="33">
        <v>6.0</v>
      </c>
      <c r="L649" s="124" t="s">
        <v>8084</v>
      </c>
      <c r="M649" s="34"/>
    </row>
    <row r="650" hidden="1">
      <c r="A650" s="131" t="s">
        <v>8080</v>
      </c>
      <c r="B650" s="122">
        <v>45777.0</v>
      </c>
      <c r="C650" s="33">
        <v>8.07000030667E11</v>
      </c>
      <c r="D650" s="33" t="s">
        <v>8081</v>
      </c>
      <c r="E650" s="33" t="s">
        <v>8082</v>
      </c>
      <c r="F650" s="123" t="s">
        <v>8083</v>
      </c>
      <c r="G650" s="123" t="s">
        <v>247</v>
      </c>
      <c r="H650" s="123">
        <v>4400.0</v>
      </c>
      <c r="I650" s="33" t="s">
        <v>670</v>
      </c>
      <c r="J650" s="33" t="s">
        <v>3410</v>
      </c>
      <c r="K650" s="33">
        <v>1.0</v>
      </c>
      <c r="L650" s="124" t="s">
        <v>8084</v>
      </c>
      <c r="M650" s="34"/>
    </row>
    <row r="651" hidden="1">
      <c r="A651" s="131" t="s">
        <v>8085</v>
      </c>
      <c r="B651" s="122">
        <v>45779.0</v>
      </c>
      <c r="C651" s="33">
        <v>8.07000030723E11</v>
      </c>
      <c r="D651" s="33" t="s">
        <v>8086</v>
      </c>
      <c r="E651" s="33" t="s">
        <v>8087</v>
      </c>
      <c r="F651" s="123" t="s">
        <v>8088</v>
      </c>
      <c r="G651" s="123" t="s">
        <v>247</v>
      </c>
      <c r="H651" s="123">
        <v>4400.0</v>
      </c>
      <c r="I651" s="33" t="s">
        <v>3339</v>
      </c>
      <c r="J651" s="33" t="s">
        <v>3340</v>
      </c>
      <c r="K651" s="33">
        <v>1.0</v>
      </c>
      <c r="L651" s="124" t="s">
        <v>8089</v>
      </c>
      <c r="M651" s="34"/>
    </row>
    <row r="652" hidden="1">
      <c r="A652" s="131" t="s">
        <v>8090</v>
      </c>
      <c r="B652" s="122">
        <v>45779.0</v>
      </c>
      <c r="C652" s="33">
        <v>8.07000030754E11</v>
      </c>
      <c r="D652" s="33" t="s">
        <v>8091</v>
      </c>
      <c r="E652" s="33" t="s">
        <v>8092</v>
      </c>
      <c r="F652" s="123" t="s">
        <v>8093</v>
      </c>
      <c r="G652" s="123" t="s">
        <v>624</v>
      </c>
      <c r="H652" s="123">
        <v>4403.0</v>
      </c>
      <c r="I652" s="33" t="s">
        <v>118</v>
      </c>
      <c r="J652" s="33" t="s">
        <v>4650</v>
      </c>
      <c r="K652" s="33">
        <v>1.0</v>
      </c>
      <c r="L652" s="124" t="s">
        <v>8094</v>
      </c>
      <c r="M652" s="34"/>
    </row>
    <row r="653" hidden="1">
      <c r="A653" s="131" t="s">
        <v>8090</v>
      </c>
      <c r="B653" s="122">
        <v>45779.0</v>
      </c>
      <c r="C653" s="33">
        <v>8.07000030754E11</v>
      </c>
      <c r="D653" s="33" t="s">
        <v>8091</v>
      </c>
      <c r="E653" s="33" t="s">
        <v>8092</v>
      </c>
      <c r="F653" s="123" t="s">
        <v>8093</v>
      </c>
      <c r="G653" s="123" t="s">
        <v>624</v>
      </c>
      <c r="H653" s="123">
        <v>4403.0</v>
      </c>
      <c r="I653" s="33" t="s">
        <v>512</v>
      </c>
      <c r="J653" s="33" t="s">
        <v>513</v>
      </c>
      <c r="K653" s="33">
        <v>12.0</v>
      </c>
      <c r="L653" s="124" t="s">
        <v>8094</v>
      </c>
      <c r="M653" s="34"/>
    </row>
    <row r="654" hidden="1">
      <c r="A654" s="131" t="s">
        <v>8090</v>
      </c>
      <c r="B654" s="122">
        <v>45779.0</v>
      </c>
      <c r="C654" s="33">
        <v>8.07000030754E11</v>
      </c>
      <c r="D654" s="33" t="s">
        <v>8091</v>
      </c>
      <c r="E654" s="33" t="s">
        <v>8092</v>
      </c>
      <c r="F654" s="123" t="s">
        <v>8093</v>
      </c>
      <c r="G654" s="123" t="s">
        <v>624</v>
      </c>
      <c r="H654" s="123">
        <v>4403.0</v>
      </c>
      <c r="I654" s="33" t="s">
        <v>121</v>
      </c>
      <c r="J654" s="33" t="s">
        <v>3199</v>
      </c>
      <c r="K654" s="33">
        <v>2.0</v>
      </c>
      <c r="L654" s="124" t="s">
        <v>8094</v>
      </c>
      <c r="M654" s="34"/>
    </row>
    <row r="655" hidden="1">
      <c r="A655" s="33" t="s">
        <v>8095</v>
      </c>
      <c r="B655" s="122">
        <v>45782.0</v>
      </c>
      <c r="C655" s="33">
        <v>8.07000030759E11</v>
      </c>
      <c r="D655" s="33" t="s">
        <v>8096</v>
      </c>
      <c r="E655" s="33" t="s">
        <v>8097</v>
      </c>
      <c r="F655" s="123" t="s">
        <v>8098</v>
      </c>
      <c r="G655" s="123" t="s">
        <v>582</v>
      </c>
      <c r="H655" s="123">
        <v>4407.0</v>
      </c>
      <c r="I655" s="33" t="s">
        <v>8099</v>
      </c>
      <c r="J655" s="33" t="s">
        <v>8100</v>
      </c>
      <c r="K655" s="33">
        <v>1.0</v>
      </c>
      <c r="L655" s="124" t="s">
        <v>8101</v>
      </c>
      <c r="M655" s="34"/>
    </row>
    <row r="656" hidden="1">
      <c r="A656" s="33" t="s">
        <v>8095</v>
      </c>
      <c r="B656" s="122">
        <v>45782.0</v>
      </c>
      <c r="C656" s="33">
        <v>8.07000030759E11</v>
      </c>
      <c r="D656" s="33" t="s">
        <v>8096</v>
      </c>
      <c r="E656" s="33" t="s">
        <v>8097</v>
      </c>
      <c r="F656" s="123" t="s">
        <v>8098</v>
      </c>
      <c r="G656" s="123" t="s">
        <v>582</v>
      </c>
      <c r="H656" s="123">
        <v>4407.0</v>
      </c>
      <c r="I656" s="33" t="s">
        <v>512</v>
      </c>
      <c r="J656" s="33" t="s">
        <v>513</v>
      </c>
      <c r="K656" s="33">
        <v>12.0</v>
      </c>
      <c r="L656" s="124" t="s">
        <v>8101</v>
      </c>
      <c r="M656" s="34"/>
    </row>
    <row r="657" hidden="1">
      <c r="A657" s="33" t="s">
        <v>8095</v>
      </c>
      <c r="B657" s="122">
        <v>45782.0</v>
      </c>
      <c r="C657" s="33">
        <v>8.07000030759E11</v>
      </c>
      <c r="D657" s="33" t="s">
        <v>8096</v>
      </c>
      <c r="E657" s="33" t="s">
        <v>8097</v>
      </c>
      <c r="F657" s="123" t="s">
        <v>8098</v>
      </c>
      <c r="G657" s="123" t="s">
        <v>582</v>
      </c>
      <c r="H657" s="123">
        <v>4407.0</v>
      </c>
      <c r="I657" s="33" t="s">
        <v>121</v>
      </c>
      <c r="J657" s="33" t="s">
        <v>3199</v>
      </c>
      <c r="K657" s="33">
        <v>2.0</v>
      </c>
      <c r="L657" s="124" t="s">
        <v>8101</v>
      </c>
      <c r="M657" s="34"/>
    </row>
    <row r="658" hidden="1">
      <c r="A658" s="33" t="s">
        <v>8102</v>
      </c>
      <c r="B658" s="122">
        <v>45782.0</v>
      </c>
      <c r="C658" s="33">
        <v>8.07000030761E11</v>
      </c>
      <c r="D658" s="33" t="s">
        <v>8103</v>
      </c>
      <c r="E658" s="33" t="s">
        <v>8104</v>
      </c>
      <c r="F658" s="123" t="s">
        <v>8105</v>
      </c>
      <c r="G658" s="123" t="s">
        <v>247</v>
      </c>
      <c r="H658" s="123">
        <v>4400.0</v>
      </c>
      <c r="I658" s="33" t="s">
        <v>3334</v>
      </c>
      <c r="J658" s="33" t="s">
        <v>3575</v>
      </c>
      <c r="K658" s="33">
        <v>1.0</v>
      </c>
      <c r="L658" s="124" t="s">
        <v>8106</v>
      </c>
      <c r="M658" s="34"/>
    </row>
    <row r="659" hidden="1">
      <c r="A659" s="33" t="s">
        <v>8107</v>
      </c>
      <c r="B659" s="122">
        <v>45782.0</v>
      </c>
      <c r="C659" s="33">
        <v>8.07000030769E11</v>
      </c>
      <c r="D659" s="33" t="s">
        <v>8108</v>
      </c>
      <c r="E659" s="33" t="s">
        <v>8109</v>
      </c>
      <c r="F659" s="123" t="s">
        <v>8110</v>
      </c>
      <c r="G659" s="123" t="s">
        <v>247</v>
      </c>
      <c r="H659" s="123">
        <v>4400.0</v>
      </c>
      <c r="I659" s="33" t="s">
        <v>3649</v>
      </c>
      <c r="J659" s="33" t="s">
        <v>3650</v>
      </c>
      <c r="K659" s="33">
        <v>1.0</v>
      </c>
      <c r="L659" s="124" t="s">
        <v>8111</v>
      </c>
      <c r="M659" s="34"/>
    </row>
    <row r="660" hidden="1">
      <c r="A660" s="33" t="s">
        <v>8107</v>
      </c>
      <c r="B660" s="122">
        <v>45782.0</v>
      </c>
      <c r="C660" s="33">
        <v>8.07000030769E11</v>
      </c>
      <c r="D660" s="33" t="s">
        <v>8108</v>
      </c>
      <c r="E660" s="33" t="s">
        <v>8109</v>
      </c>
      <c r="F660" s="123" t="s">
        <v>8110</v>
      </c>
      <c r="G660" s="123" t="s">
        <v>247</v>
      </c>
      <c r="H660" s="123">
        <v>4400.0</v>
      </c>
      <c r="I660" s="33" t="s">
        <v>512</v>
      </c>
      <c r="J660" s="33" t="s">
        <v>513</v>
      </c>
      <c r="K660" s="33">
        <v>6.0</v>
      </c>
      <c r="L660" s="124" t="s">
        <v>8111</v>
      </c>
      <c r="M660" s="34"/>
    </row>
    <row r="661" hidden="1">
      <c r="A661" s="33" t="s">
        <v>8107</v>
      </c>
      <c r="B661" s="122">
        <v>45782.0</v>
      </c>
      <c r="C661" s="33">
        <v>8.07000030769E11</v>
      </c>
      <c r="D661" s="33" t="s">
        <v>8108</v>
      </c>
      <c r="E661" s="33" t="s">
        <v>8109</v>
      </c>
      <c r="F661" s="123" t="s">
        <v>8110</v>
      </c>
      <c r="G661" s="123" t="s">
        <v>247</v>
      </c>
      <c r="H661" s="123">
        <v>4400.0</v>
      </c>
      <c r="I661" s="33" t="s">
        <v>670</v>
      </c>
      <c r="J661" s="33" t="s">
        <v>3410</v>
      </c>
      <c r="K661" s="33">
        <v>1.0</v>
      </c>
      <c r="L661" s="124" t="s">
        <v>8111</v>
      </c>
      <c r="M661" s="34"/>
    </row>
    <row r="662" hidden="1">
      <c r="A662" s="33" t="s">
        <v>8112</v>
      </c>
      <c r="B662" s="122">
        <v>45782.0</v>
      </c>
      <c r="C662" s="33">
        <v>8.0700003078E11</v>
      </c>
      <c r="D662" s="33" t="s">
        <v>8113</v>
      </c>
      <c r="E662" s="33" t="s">
        <v>8114</v>
      </c>
      <c r="F662" s="123" t="s">
        <v>8115</v>
      </c>
      <c r="G662" s="123" t="s">
        <v>247</v>
      </c>
      <c r="H662" s="123">
        <v>4400.0</v>
      </c>
      <c r="I662" s="33" t="s">
        <v>698</v>
      </c>
      <c r="J662" s="33" t="s">
        <v>699</v>
      </c>
      <c r="K662" s="33">
        <v>1.0</v>
      </c>
      <c r="L662" s="124" t="s">
        <v>8116</v>
      </c>
      <c r="M662" s="34"/>
    </row>
    <row r="663" hidden="1">
      <c r="A663" s="33" t="s">
        <v>8112</v>
      </c>
      <c r="B663" s="122">
        <v>45782.0</v>
      </c>
      <c r="C663" s="33">
        <v>8.0700003078E11</v>
      </c>
      <c r="D663" s="33" t="s">
        <v>8113</v>
      </c>
      <c r="E663" s="33" t="s">
        <v>8114</v>
      </c>
      <c r="F663" s="123" t="s">
        <v>8115</v>
      </c>
      <c r="G663" s="123" t="s">
        <v>247</v>
      </c>
      <c r="H663" s="123">
        <v>4400.0</v>
      </c>
      <c r="I663" s="33" t="s">
        <v>512</v>
      </c>
      <c r="J663" s="33" t="s">
        <v>513</v>
      </c>
      <c r="K663" s="33">
        <v>6.0</v>
      </c>
      <c r="L663" s="124" t="s">
        <v>8116</v>
      </c>
      <c r="M663" s="34"/>
    </row>
    <row r="664" hidden="1">
      <c r="A664" s="33" t="s">
        <v>8112</v>
      </c>
      <c r="B664" s="122">
        <v>45782.0</v>
      </c>
      <c r="C664" s="33">
        <v>8.0700003078E11</v>
      </c>
      <c r="D664" s="33" t="s">
        <v>8113</v>
      </c>
      <c r="E664" s="33" t="s">
        <v>8114</v>
      </c>
      <c r="F664" s="123" t="s">
        <v>8115</v>
      </c>
      <c r="G664" s="123" t="s">
        <v>247</v>
      </c>
      <c r="H664" s="123">
        <v>4400.0</v>
      </c>
      <c r="I664" s="33" t="s">
        <v>64</v>
      </c>
      <c r="J664" s="33" t="s">
        <v>3708</v>
      </c>
      <c r="K664" s="33">
        <v>1.0</v>
      </c>
      <c r="L664" s="124" t="s">
        <v>8116</v>
      </c>
      <c r="M664" s="34"/>
    </row>
    <row r="665" hidden="1">
      <c r="A665" s="33" t="s">
        <v>8117</v>
      </c>
      <c r="B665" s="122">
        <v>45783.0</v>
      </c>
      <c r="C665" s="33">
        <v>8.07000030791E11</v>
      </c>
      <c r="D665" s="33" t="s">
        <v>8118</v>
      </c>
      <c r="E665" s="33" t="s">
        <v>8119</v>
      </c>
      <c r="F665" s="123" t="s">
        <v>8120</v>
      </c>
      <c r="G665" s="123" t="s">
        <v>247</v>
      </c>
      <c r="H665" s="123">
        <v>4400.0</v>
      </c>
      <c r="I665" s="33">
        <v>2.2346259141E10</v>
      </c>
      <c r="J665" s="33" t="s">
        <v>8121</v>
      </c>
      <c r="K665" s="33">
        <v>1.0</v>
      </c>
      <c r="L665" s="124" t="s">
        <v>8122</v>
      </c>
      <c r="M665" s="34"/>
    </row>
    <row r="666" hidden="1">
      <c r="A666" s="33" t="s">
        <v>8117</v>
      </c>
      <c r="B666" s="122">
        <v>45783.0</v>
      </c>
      <c r="C666" s="33">
        <v>8.07000030791E11</v>
      </c>
      <c r="D666" s="33" t="s">
        <v>8118</v>
      </c>
      <c r="E666" s="33" t="s">
        <v>8119</v>
      </c>
      <c r="F666" s="123" t="s">
        <v>8120</v>
      </c>
      <c r="G666" s="123" t="s">
        <v>247</v>
      </c>
      <c r="H666" s="123">
        <v>4400.0</v>
      </c>
      <c r="I666" s="33" t="s">
        <v>3979</v>
      </c>
      <c r="J666" s="33" t="s">
        <v>3980</v>
      </c>
      <c r="K666" s="33">
        <v>1.0</v>
      </c>
      <c r="L666" s="124" t="s">
        <v>8122</v>
      </c>
      <c r="M666" s="34"/>
    </row>
    <row r="667" hidden="1">
      <c r="A667" s="33" t="s">
        <v>8117</v>
      </c>
      <c r="B667" s="122">
        <v>45783.0</v>
      </c>
      <c r="C667" s="33">
        <v>8.07000030791E11</v>
      </c>
      <c r="D667" s="33" t="s">
        <v>8118</v>
      </c>
      <c r="E667" s="33" t="s">
        <v>8119</v>
      </c>
      <c r="F667" s="123" t="s">
        <v>8120</v>
      </c>
      <c r="G667" s="123" t="s">
        <v>247</v>
      </c>
      <c r="H667" s="123">
        <v>4400.0</v>
      </c>
      <c r="I667" s="33" t="s">
        <v>512</v>
      </c>
      <c r="J667" s="33" t="s">
        <v>513</v>
      </c>
      <c r="K667" s="33">
        <v>12.0</v>
      </c>
      <c r="L667" s="124" t="s">
        <v>8122</v>
      </c>
      <c r="M667" s="34"/>
    </row>
    <row r="668" hidden="1">
      <c r="A668" s="33" t="s">
        <v>8117</v>
      </c>
      <c r="B668" s="122">
        <v>45783.0</v>
      </c>
      <c r="C668" s="33">
        <v>8.07000030793E11</v>
      </c>
      <c r="D668" s="33" t="s">
        <v>8118</v>
      </c>
      <c r="E668" s="33" t="s">
        <v>8119</v>
      </c>
      <c r="F668" s="123" t="s">
        <v>8120</v>
      </c>
      <c r="G668" s="123" t="s">
        <v>247</v>
      </c>
      <c r="H668" s="123">
        <v>4400.0</v>
      </c>
      <c r="I668" s="33" t="s">
        <v>340</v>
      </c>
      <c r="J668" s="33" t="s">
        <v>3486</v>
      </c>
      <c r="K668" s="33">
        <v>2.0</v>
      </c>
      <c r="L668" s="124" t="s">
        <v>8122</v>
      </c>
      <c r="M668" s="34"/>
    </row>
    <row r="669" hidden="1">
      <c r="A669" s="33" t="s">
        <v>8123</v>
      </c>
      <c r="B669" s="122">
        <v>45783.0</v>
      </c>
      <c r="C669" s="33">
        <v>8.07000030762E11</v>
      </c>
      <c r="D669" s="33" t="s">
        <v>8124</v>
      </c>
      <c r="E669" s="33" t="s">
        <v>8125</v>
      </c>
      <c r="F669" s="123" t="s">
        <v>8126</v>
      </c>
      <c r="G669" s="123" t="s">
        <v>247</v>
      </c>
      <c r="H669" s="123">
        <v>4400.0</v>
      </c>
      <c r="I669" s="33" t="s">
        <v>106</v>
      </c>
      <c r="J669" s="33" t="s">
        <v>3670</v>
      </c>
      <c r="K669" s="33">
        <v>1.0</v>
      </c>
      <c r="L669" s="124" t="s">
        <v>8127</v>
      </c>
      <c r="M669" s="34"/>
    </row>
    <row r="670" hidden="1">
      <c r="A670" s="33" t="s">
        <v>8123</v>
      </c>
      <c r="B670" s="122">
        <v>45783.0</v>
      </c>
      <c r="C670" s="33">
        <v>8.07000030762E11</v>
      </c>
      <c r="D670" s="33" t="s">
        <v>8124</v>
      </c>
      <c r="E670" s="33" t="s">
        <v>8125</v>
      </c>
      <c r="F670" s="123" t="s">
        <v>8126</v>
      </c>
      <c r="G670" s="123" t="s">
        <v>247</v>
      </c>
      <c r="H670" s="123">
        <v>4400.0</v>
      </c>
      <c r="I670" s="33" t="s">
        <v>512</v>
      </c>
      <c r="J670" s="33" t="s">
        <v>513</v>
      </c>
      <c r="K670" s="33">
        <v>6.0</v>
      </c>
      <c r="L670" s="124" t="s">
        <v>8122</v>
      </c>
      <c r="M670" s="34"/>
    </row>
    <row r="671" hidden="1">
      <c r="A671" s="33" t="s">
        <v>8123</v>
      </c>
      <c r="B671" s="122">
        <v>45783.0</v>
      </c>
      <c r="C671" s="33">
        <v>8.07000030762E11</v>
      </c>
      <c r="D671" s="33" t="s">
        <v>8124</v>
      </c>
      <c r="E671" s="33" t="s">
        <v>8125</v>
      </c>
      <c r="F671" s="123" t="s">
        <v>8126</v>
      </c>
      <c r="G671" s="123" t="s">
        <v>247</v>
      </c>
      <c r="H671" s="123">
        <v>4400.0</v>
      </c>
      <c r="I671" s="33" t="s">
        <v>110</v>
      </c>
      <c r="J671" s="33" t="s">
        <v>3673</v>
      </c>
      <c r="K671" s="33">
        <v>1.0</v>
      </c>
      <c r="L671" s="124" t="s">
        <v>8122</v>
      </c>
      <c r="M671" s="34"/>
    </row>
    <row r="672" hidden="1">
      <c r="A672" s="33" t="s">
        <v>8128</v>
      </c>
      <c r="B672" s="122">
        <v>45783.0</v>
      </c>
      <c r="C672" s="33">
        <v>8.0700003077E11</v>
      </c>
      <c r="D672" s="33" t="s">
        <v>8129</v>
      </c>
      <c r="E672" s="33" t="s">
        <v>8130</v>
      </c>
      <c r="F672" s="123" t="s">
        <v>8131</v>
      </c>
      <c r="G672" s="123" t="s">
        <v>539</v>
      </c>
      <c r="H672" s="123">
        <v>4407.0</v>
      </c>
      <c r="I672" s="33" t="s">
        <v>3074</v>
      </c>
      <c r="J672" s="33" t="s">
        <v>3232</v>
      </c>
      <c r="K672" s="33">
        <v>1.0</v>
      </c>
      <c r="L672" s="124" t="s">
        <v>8132</v>
      </c>
      <c r="M672" s="34"/>
    </row>
    <row r="673" hidden="1">
      <c r="A673" s="33" t="s">
        <v>8128</v>
      </c>
      <c r="B673" s="122">
        <v>45783.0</v>
      </c>
      <c r="C673" s="33">
        <v>8.0700003077E11</v>
      </c>
      <c r="D673" s="33" t="s">
        <v>8129</v>
      </c>
      <c r="E673" s="33" t="s">
        <v>8130</v>
      </c>
      <c r="F673" s="123" t="s">
        <v>8131</v>
      </c>
      <c r="G673" s="123" t="s">
        <v>539</v>
      </c>
      <c r="H673" s="123">
        <v>4407.0</v>
      </c>
      <c r="I673" s="33" t="s">
        <v>512</v>
      </c>
      <c r="J673" s="33" t="s">
        <v>513</v>
      </c>
      <c r="K673" s="33">
        <v>6.0</v>
      </c>
      <c r="L673" s="124" t="s">
        <v>8132</v>
      </c>
      <c r="M673" s="34"/>
    </row>
    <row r="674" hidden="1">
      <c r="A674" s="33" t="s">
        <v>8128</v>
      </c>
      <c r="B674" s="122">
        <v>45783.0</v>
      </c>
      <c r="C674" s="33">
        <v>8.0700003077E11</v>
      </c>
      <c r="D674" s="33" t="s">
        <v>8129</v>
      </c>
      <c r="E674" s="33" t="s">
        <v>8130</v>
      </c>
      <c r="F674" s="123" t="s">
        <v>8131</v>
      </c>
      <c r="G674" s="123" t="s">
        <v>539</v>
      </c>
      <c r="H674" s="123">
        <v>4407.0</v>
      </c>
      <c r="I674" s="33" t="s">
        <v>670</v>
      </c>
      <c r="J674" s="33" t="s">
        <v>3410</v>
      </c>
      <c r="K674" s="33">
        <v>1.0</v>
      </c>
      <c r="L674" s="124" t="s">
        <v>8132</v>
      </c>
      <c r="M674" s="34"/>
    </row>
    <row r="675" hidden="1">
      <c r="A675" s="33" t="s">
        <v>8128</v>
      </c>
      <c r="B675" s="122">
        <v>45783.0</v>
      </c>
      <c r="C675" s="33">
        <v>8.07000030771E11</v>
      </c>
      <c r="D675" s="33" t="s">
        <v>8129</v>
      </c>
      <c r="E675" s="33" t="s">
        <v>8130</v>
      </c>
      <c r="F675" s="123" t="s">
        <v>8131</v>
      </c>
      <c r="G675" s="123" t="s">
        <v>539</v>
      </c>
      <c r="H675" s="123">
        <v>4407.0</v>
      </c>
      <c r="I675" s="33" t="s">
        <v>3074</v>
      </c>
      <c r="J675" s="33" t="s">
        <v>3232</v>
      </c>
      <c r="K675" s="33">
        <v>1.0</v>
      </c>
      <c r="L675" s="124" t="s">
        <v>8132</v>
      </c>
      <c r="M675" s="34"/>
    </row>
    <row r="676" hidden="1">
      <c r="A676" s="33" t="s">
        <v>8128</v>
      </c>
      <c r="B676" s="122">
        <v>45783.0</v>
      </c>
      <c r="C676" s="33">
        <v>8.07000030771E11</v>
      </c>
      <c r="D676" s="33" t="s">
        <v>8129</v>
      </c>
      <c r="E676" s="33" t="s">
        <v>8130</v>
      </c>
      <c r="F676" s="123" t="s">
        <v>8131</v>
      </c>
      <c r="G676" s="123" t="s">
        <v>539</v>
      </c>
      <c r="H676" s="123">
        <v>4407.0</v>
      </c>
      <c r="I676" s="33" t="s">
        <v>512</v>
      </c>
      <c r="J676" s="33" t="s">
        <v>513</v>
      </c>
      <c r="K676" s="33">
        <v>6.0</v>
      </c>
      <c r="L676" s="124" t="s">
        <v>8132</v>
      </c>
      <c r="M676" s="34"/>
    </row>
    <row r="677" hidden="1">
      <c r="A677" s="33" t="s">
        <v>8128</v>
      </c>
      <c r="B677" s="122">
        <v>45783.0</v>
      </c>
      <c r="C677" s="33">
        <v>8.07000030771E11</v>
      </c>
      <c r="D677" s="33" t="s">
        <v>8129</v>
      </c>
      <c r="E677" s="33" t="s">
        <v>8130</v>
      </c>
      <c r="F677" s="123" t="s">
        <v>8131</v>
      </c>
      <c r="G677" s="123" t="s">
        <v>539</v>
      </c>
      <c r="H677" s="123">
        <v>4407.0</v>
      </c>
      <c r="I677" s="33" t="s">
        <v>670</v>
      </c>
      <c r="J677" s="33" t="s">
        <v>3410</v>
      </c>
      <c r="K677" s="33">
        <v>1.0</v>
      </c>
      <c r="L677" s="124" t="s">
        <v>8132</v>
      </c>
      <c r="M677" s="34"/>
    </row>
    <row r="678" hidden="1">
      <c r="A678" s="33" t="s">
        <v>8133</v>
      </c>
      <c r="B678" s="122">
        <v>45783.0</v>
      </c>
      <c r="C678" s="33">
        <v>8.07000030788E11</v>
      </c>
      <c r="D678" s="33" t="s">
        <v>8134</v>
      </c>
      <c r="E678" s="33" t="s">
        <v>8135</v>
      </c>
      <c r="F678" s="123" t="s">
        <v>8136</v>
      </c>
      <c r="G678" s="123" t="s">
        <v>247</v>
      </c>
      <c r="H678" s="123">
        <v>4400.0</v>
      </c>
      <c r="I678" s="33" t="s">
        <v>8137</v>
      </c>
      <c r="J678" s="33" t="s">
        <v>8138</v>
      </c>
      <c r="K678" s="33">
        <v>1.0</v>
      </c>
      <c r="L678" s="124" t="s">
        <v>8139</v>
      </c>
      <c r="M678" s="34"/>
    </row>
    <row r="679" hidden="1">
      <c r="A679" s="33" t="s">
        <v>8133</v>
      </c>
      <c r="B679" s="122">
        <v>45783.0</v>
      </c>
      <c r="C679" s="33">
        <v>8.07000030788E11</v>
      </c>
      <c r="D679" s="33" t="s">
        <v>8134</v>
      </c>
      <c r="E679" s="33" t="s">
        <v>8135</v>
      </c>
      <c r="F679" s="123" t="s">
        <v>8136</v>
      </c>
      <c r="G679" s="123" t="s">
        <v>247</v>
      </c>
      <c r="H679" s="123">
        <v>4400.0</v>
      </c>
      <c r="I679" s="33" t="s">
        <v>2372</v>
      </c>
      <c r="J679" s="33" t="s">
        <v>8140</v>
      </c>
      <c r="K679" s="33">
        <v>1.0</v>
      </c>
      <c r="L679" s="124" t="s">
        <v>8139</v>
      </c>
      <c r="M679" s="34" t="s">
        <v>8141</v>
      </c>
    </row>
    <row r="680" hidden="1">
      <c r="A680" s="33" t="s">
        <v>8133</v>
      </c>
      <c r="B680" s="122">
        <v>45783.0</v>
      </c>
      <c r="C680" s="33">
        <v>8.07000030788E11</v>
      </c>
      <c r="D680" s="33" t="s">
        <v>8134</v>
      </c>
      <c r="E680" s="33" t="s">
        <v>8135</v>
      </c>
      <c r="F680" s="123" t="s">
        <v>8136</v>
      </c>
      <c r="G680" s="123" t="s">
        <v>247</v>
      </c>
      <c r="H680" s="123">
        <v>4400.0</v>
      </c>
      <c r="I680" s="33" t="s">
        <v>512</v>
      </c>
      <c r="J680" s="33" t="s">
        <v>513</v>
      </c>
      <c r="K680" s="33">
        <v>6.0</v>
      </c>
      <c r="L680" s="124" t="s">
        <v>8139</v>
      </c>
      <c r="M680" s="34"/>
    </row>
    <row r="681" hidden="1">
      <c r="A681" s="33" t="s">
        <v>8133</v>
      </c>
      <c r="B681" s="122">
        <v>45783.0</v>
      </c>
      <c r="C681" s="33">
        <v>8.07000030788E11</v>
      </c>
      <c r="D681" s="33" t="s">
        <v>8134</v>
      </c>
      <c r="E681" s="33" t="s">
        <v>8135</v>
      </c>
      <c r="F681" s="123" t="s">
        <v>8136</v>
      </c>
      <c r="G681" s="123" t="s">
        <v>247</v>
      </c>
      <c r="H681" s="123">
        <v>4400.0</v>
      </c>
      <c r="I681" s="33" t="s">
        <v>35</v>
      </c>
      <c r="J681" s="33" t="s">
        <v>3188</v>
      </c>
      <c r="K681" s="33">
        <v>1.0</v>
      </c>
      <c r="L681" s="124" t="s">
        <v>8139</v>
      </c>
      <c r="M681" s="34"/>
    </row>
    <row r="682" hidden="1">
      <c r="A682" s="33" t="s">
        <v>8142</v>
      </c>
      <c r="B682" s="122">
        <v>45783.0</v>
      </c>
      <c r="C682" s="33">
        <v>8.07000030785E11</v>
      </c>
      <c r="D682" s="33" t="s">
        <v>8143</v>
      </c>
      <c r="E682" s="33" t="s">
        <v>8144</v>
      </c>
      <c r="F682" s="123" t="s">
        <v>8145</v>
      </c>
      <c r="G682" s="123" t="s">
        <v>247</v>
      </c>
      <c r="H682" s="123">
        <v>4400.0</v>
      </c>
      <c r="I682" s="33" t="s">
        <v>8146</v>
      </c>
      <c r="J682" s="33" t="s">
        <v>8147</v>
      </c>
      <c r="K682" s="33">
        <v>1.0</v>
      </c>
      <c r="L682" s="124" t="s">
        <v>8148</v>
      </c>
      <c r="M682" s="34" t="s">
        <v>8149</v>
      </c>
    </row>
    <row r="683" hidden="1">
      <c r="A683" s="33" t="s">
        <v>8142</v>
      </c>
      <c r="B683" s="122">
        <v>45783.0</v>
      </c>
      <c r="C683" s="33">
        <v>8.07000030785E11</v>
      </c>
      <c r="D683" s="33" t="s">
        <v>8143</v>
      </c>
      <c r="E683" s="33" t="s">
        <v>8144</v>
      </c>
      <c r="F683" s="123" t="s">
        <v>8145</v>
      </c>
      <c r="G683" s="123" t="s">
        <v>247</v>
      </c>
      <c r="H683" s="123">
        <v>4400.0</v>
      </c>
      <c r="I683" s="33" t="s">
        <v>3512</v>
      </c>
      <c r="J683" s="33" t="s">
        <v>3513</v>
      </c>
      <c r="K683" s="33">
        <v>12.0</v>
      </c>
      <c r="L683" s="124" t="s">
        <v>8148</v>
      </c>
      <c r="M683" s="34"/>
    </row>
    <row r="684" hidden="1">
      <c r="A684" s="33" t="s">
        <v>8142</v>
      </c>
      <c r="B684" s="122">
        <v>45783.0</v>
      </c>
      <c r="C684" s="33">
        <v>8.07000030785E11</v>
      </c>
      <c r="D684" s="33" t="s">
        <v>8143</v>
      </c>
      <c r="E684" s="33" t="s">
        <v>8144</v>
      </c>
      <c r="F684" s="123" t="s">
        <v>8145</v>
      </c>
      <c r="G684" s="123" t="s">
        <v>247</v>
      </c>
      <c r="H684" s="123">
        <v>4400.0</v>
      </c>
      <c r="I684" s="33" t="s">
        <v>6835</v>
      </c>
      <c r="J684" s="33" t="s">
        <v>8150</v>
      </c>
      <c r="K684" s="33">
        <v>2.0</v>
      </c>
      <c r="L684" s="124" t="s">
        <v>8148</v>
      </c>
      <c r="M684" s="34"/>
    </row>
    <row r="685" hidden="1">
      <c r="A685" s="33" t="s">
        <v>8142</v>
      </c>
      <c r="B685" s="122">
        <v>45783.0</v>
      </c>
      <c r="C685" s="33">
        <v>8.07000030787E11</v>
      </c>
      <c r="D685" s="33" t="s">
        <v>8143</v>
      </c>
      <c r="E685" s="33" t="s">
        <v>8144</v>
      </c>
      <c r="F685" s="123" t="s">
        <v>8145</v>
      </c>
      <c r="G685" s="123" t="s">
        <v>247</v>
      </c>
      <c r="H685" s="123">
        <v>4400.0</v>
      </c>
      <c r="I685" s="33" t="s">
        <v>1533</v>
      </c>
      <c r="J685" s="33" t="s">
        <v>8151</v>
      </c>
      <c r="K685" s="33">
        <v>1.0</v>
      </c>
      <c r="L685" s="124" t="s">
        <v>8148</v>
      </c>
      <c r="M685" s="34"/>
    </row>
    <row r="686" hidden="1">
      <c r="A686" s="33" t="s">
        <v>8142</v>
      </c>
      <c r="B686" s="122">
        <v>45783.0</v>
      </c>
      <c r="C686" s="33">
        <v>8.07000030787E11</v>
      </c>
      <c r="D686" s="33" t="s">
        <v>8143</v>
      </c>
      <c r="E686" s="33" t="s">
        <v>8144</v>
      </c>
      <c r="F686" s="123" t="s">
        <v>8145</v>
      </c>
      <c r="G686" s="123" t="s">
        <v>247</v>
      </c>
      <c r="H686" s="123">
        <v>4400.0</v>
      </c>
      <c r="I686" s="33" t="s">
        <v>512</v>
      </c>
      <c r="J686" s="33" t="s">
        <v>513</v>
      </c>
      <c r="K686" s="33">
        <v>12.0</v>
      </c>
      <c r="L686" s="124" t="s">
        <v>8148</v>
      </c>
      <c r="M686" s="34" t="s">
        <v>8149</v>
      </c>
    </row>
    <row r="687" hidden="1">
      <c r="A687" s="33" t="s">
        <v>8142</v>
      </c>
      <c r="B687" s="122">
        <v>45783.0</v>
      </c>
      <c r="C687" s="33">
        <v>8.07000030787E11</v>
      </c>
      <c r="D687" s="33" t="s">
        <v>8143</v>
      </c>
      <c r="E687" s="33" t="s">
        <v>8144</v>
      </c>
      <c r="F687" s="123" t="s">
        <v>8145</v>
      </c>
      <c r="G687" s="123" t="s">
        <v>247</v>
      </c>
      <c r="H687" s="123">
        <v>4400.0</v>
      </c>
      <c r="I687" s="33" t="s">
        <v>121</v>
      </c>
      <c r="J687" s="33" t="s">
        <v>3199</v>
      </c>
      <c r="K687" s="33">
        <v>2.0</v>
      </c>
      <c r="L687" s="124" t="s">
        <v>8148</v>
      </c>
      <c r="M687" s="34" t="s">
        <v>8141</v>
      </c>
    </row>
    <row r="688" hidden="1">
      <c r="A688" s="33" t="s">
        <v>8152</v>
      </c>
      <c r="B688" s="122">
        <v>45787.0</v>
      </c>
      <c r="C688" s="33">
        <v>8.07000030835E11</v>
      </c>
      <c r="D688" s="33" t="s">
        <v>8153</v>
      </c>
      <c r="E688" s="33" t="s">
        <v>8154</v>
      </c>
      <c r="F688" s="123" t="s">
        <v>8155</v>
      </c>
      <c r="G688" s="123" t="s">
        <v>247</v>
      </c>
      <c r="H688" s="123">
        <v>4400.0</v>
      </c>
      <c r="I688" s="33" t="s">
        <v>184</v>
      </c>
      <c r="J688" s="33" t="s">
        <v>4485</v>
      </c>
      <c r="K688" s="33">
        <v>1.0</v>
      </c>
      <c r="L688" s="124" t="s">
        <v>8156</v>
      </c>
      <c r="M688" s="34"/>
    </row>
    <row r="689" hidden="1">
      <c r="A689" s="125" t="s">
        <v>8157</v>
      </c>
      <c r="B689" s="126">
        <v>45787.0</v>
      </c>
      <c r="C689" s="125">
        <v>8.07000030836E11</v>
      </c>
      <c r="D689" s="125" t="s">
        <v>8153</v>
      </c>
      <c r="E689" s="125" t="s">
        <v>8154</v>
      </c>
      <c r="F689" s="127" t="s">
        <v>8155</v>
      </c>
      <c r="G689" s="127" t="s">
        <v>247</v>
      </c>
      <c r="H689" s="127">
        <v>4400.0</v>
      </c>
      <c r="I689" s="125" t="s">
        <v>3649</v>
      </c>
      <c r="J689" s="125" t="s">
        <v>3650</v>
      </c>
      <c r="K689" s="125">
        <v>1.0</v>
      </c>
      <c r="L689" s="129" t="s">
        <v>8156</v>
      </c>
      <c r="M689" s="130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  <c r="AC689" s="179"/>
    </row>
    <row r="690" hidden="1">
      <c r="A690" s="131" t="s">
        <v>8158</v>
      </c>
      <c r="B690" s="132">
        <v>45789.0</v>
      </c>
      <c r="C690" s="131">
        <v>8.07000030804E11</v>
      </c>
      <c r="D690" s="131" t="s">
        <v>8159</v>
      </c>
      <c r="E690" s="131" t="s">
        <v>8160</v>
      </c>
      <c r="F690" s="133" t="s">
        <v>8161</v>
      </c>
      <c r="G690" s="123" t="s">
        <v>247</v>
      </c>
      <c r="H690" s="123">
        <v>4400.0</v>
      </c>
      <c r="I690" s="131" t="s">
        <v>280</v>
      </c>
      <c r="J690" s="131" t="s">
        <v>5669</v>
      </c>
      <c r="K690" s="131">
        <v>1.0</v>
      </c>
      <c r="L690" s="134" t="s">
        <v>8162</v>
      </c>
      <c r="M690" s="138"/>
    </row>
    <row r="691" hidden="1">
      <c r="A691" s="33" t="s">
        <v>8163</v>
      </c>
      <c r="B691" s="132">
        <v>45789.0</v>
      </c>
      <c r="C691" s="33">
        <v>8.07000030813E11</v>
      </c>
      <c r="D691" s="33" t="s">
        <v>8164</v>
      </c>
      <c r="E691" s="33" t="s">
        <v>8165</v>
      </c>
      <c r="F691" s="123" t="s">
        <v>8166</v>
      </c>
      <c r="G691" s="123" t="s">
        <v>247</v>
      </c>
      <c r="H691" s="123">
        <v>4400.0</v>
      </c>
      <c r="I691" s="33" t="s">
        <v>3154</v>
      </c>
      <c r="J691" s="33" t="s">
        <v>4564</v>
      </c>
      <c r="K691" s="33">
        <v>1.0</v>
      </c>
      <c r="L691" s="124" t="s">
        <v>8167</v>
      </c>
      <c r="M691" s="34"/>
    </row>
    <row r="692" hidden="1">
      <c r="A692" s="33" t="s">
        <v>8163</v>
      </c>
      <c r="B692" s="132">
        <v>45789.0</v>
      </c>
      <c r="C692" s="33">
        <v>8.07000030814E11</v>
      </c>
      <c r="D692" s="33" t="s">
        <v>8164</v>
      </c>
      <c r="E692" s="33" t="s">
        <v>8165</v>
      </c>
      <c r="F692" s="123" t="s">
        <v>8166</v>
      </c>
      <c r="G692" s="123" t="s">
        <v>247</v>
      </c>
      <c r="H692" s="123">
        <v>4400.0</v>
      </c>
      <c r="I692" s="33">
        <v>125818.0</v>
      </c>
      <c r="J692" s="33" t="s">
        <v>4334</v>
      </c>
      <c r="K692" s="33">
        <v>2.0</v>
      </c>
      <c r="L692" s="124" t="s">
        <v>8167</v>
      </c>
      <c r="M692" s="34"/>
    </row>
    <row r="693" hidden="1">
      <c r="A693" s="33" t="s">
        <v>8168</v>
      </c>
      <c r="B693" s="122">
        <v>45789.0</v>
      </c>
      <c r="C693" s="33">
        <v>8.0700003082E11</v>
      </c>
      <c r="D693" s="33" t="s">
        <v>8169</v>
      </c>
      <c r="E693" s="33" t="s">
        <v>8170</v>
      </c>
      <c r="F693" s="123" t="s">
        <v>8171</v>
      </c>
      <c r="G693" s="123" t="s">
        <v>247</v>
      </c>
      <c r="H693" s="123">
        <v>4400.0</v>
      </c>
      <c r="I693" s="33" t="s">
        <v>985</v>
      </c>
      <c r="J693" s="33" t="s">
        <v>3600</v>
      </c>
      <c r="K693" s="33">
        <v>1.0</v>
      </c>
      <c r="L693" s="124" t="s">
        <v>8172</v>
      </c>
      <c r="M693" s="34"/>
    </row>
    <row r="694" hidden="1">
      <c r="A694" s="33" t="s">
        <v>8168</v>
      </c>
      <c r="B694" s="122">
        <v>45789.0</v>
      </c>
      <c r="C694" s="33">
        <v>8.0700003082E11</v>
      </c>
      <c r="D694" s="33" t="s">
        <v>8169</v>
      </c>
      <c r="E694" s="33" t="s">
        <v>8170</v>
      </c>
      <c r="F694" s="123" t="s">
        <v>8171</v>
      </c>
      <c r="G694" s="123" t="s">
        <v>247</v>
      </c>
      <c r="H694" s="123">
        <v>4400.0</v>
      </c>
      <c r="I694" s="33" t="s">
        <v>512</v>
      </c>
      <c r="J694" s="33" t="s">
        <v>513</v>
      </c>
      <c r="K694" s="33">
        <v>6.0</v>
      </c>
      <c r="L694" s="124" t="s">
        <v>8172</v>
      </c>
      <c r="M694" s="34"/>
    </row>
    <row r="695" hidden="1">
      <c r="A695" s="80" t="s">
        <v>8168</v>
      </c>
      <c r="B695" s="122">
        <v>45789.0</v>
      </c>
      <c r="C695" s="33">
        <v>8.0700003082E11</v>
      </c>
      <c r="D695" s="33" t="s">
        <v>8169</v>
      </c>
      <c r="E695" s="33" t="s">
        <v>8170</v>
      </c>
      <c r="F695" s="123" t="s">
        <v>8171</v>
      </c>
      <c r="G695" s="143" t="s">
        <v>247</v>
      </c>
      <c r="H695" s="143">
        <v>4400.0</v>
      </c>
      <c r="I695" s="80" t="s">
        <v>35</v>
      </c>
      <c r="J695" s="80" t="s">
        <v>3188</v>
      </c>
      <c r="K695" s="80">
        <v>1.0</v>
      </c>
      <c r="L695" s="175" t="s">
        <v>8172</v>
      </c>
      <c r="M695" s="34"/>
    </row>
    <row r="696" hidden="1">
      <c r="A696" s="33" t="s">
        <v>8173</v>
      </c>
      <c r="B696" s="122">
        <v>45789.0</v>
      </c>
      <c r="C696" s="33">
        <v>8.0700003085E11</v>
      </c>
      <c r="D696" s="33" t="s">
        <v>8174</v>
      </c>
      <c r="E696" s="33" t="s">
        <v>8175</v>
      </c>
      <c r="F696" s="123" t="s">
        <v>8176</v>
      </c>
      <c r="G696" s="143" t="s">
        <v>247</v>
      </c>
      <c r="H696" s="143">
        <v>4400.0</v>
      </c>
      <c r="I696" s="33" t="s">
        <v>3979</v>
      </c>
      <c r="J696" s="33" t="s">
        <v>3980</v>
      </c>
      <c r="K696" s="33">
        <v>1.0</v>
      </c>
      <c r="L696" s="124" t="s">
        <v>8177</v>
      </c>
      <c r="M696" s="34"/>
    </row>
    <row r="697" hidden="1">
      <c r="A697" s="33" t="s">
        <v>8173</v>
      </c>
      <c r="B697" s="122">
        <v>45789.0</v>
      </c>
      <c r="C697" s="33">
        <v>8.0700003085E11</v>
      </c>
      <c r="D697" s="33" t="s">
        <v>8174</v>
      </c>
      <c r="E697" s="33" t="s">
        <v>8175</v>
      </c>
      <c r="F697" s="123" t="s">
        <v>8176</v>
      </c>
      <c r="G697" s="143" t="s">
        <v>247</v>
      </c>
      <c r="H697" s="143">
        <v>4400.0</v>
      </c>
      <c r="I697" s="33" t="s">
        <v>512</v>
      </c>
      <c r="J697" s="33" t="s">
        <v>513</v>
      </c>
      <c r="K697" s="33">
        <v>12.0</v>
      </c>
      <c r="L697" s="124" t="s">
        <v>8177</v>
      </c>
      <c r="M697" s="34"/>
    </row>
    <row r="698" hidden="1">
      <c r="A698" s="33" t="s">
        <v>8173</v>
      </c>
      <c r="B698" s="122">
        <v>45789.0</v>
      </c>
      <c r="C698" s="33">
        <v>8.0700003085E11</v>
      </c>
      <c r="D698" s="33" t="s">
        <v>8174</v>
      </c>
      <c r="E698" s="33" t="s">
        <v>8175</v>
      </c>
      <c r="F698" s="123" t="s">
        <v>8176</v>
      </c>
      <c r="G698" s="143" t="s">
        <v>247</v>
      </c>
      <c r="H698" s="143">
        <v>4400.0</v>
      </c>
      <c r="I698" s="33" t="s">
        <v>758</v>
      </c>
      <c r="J698" s="33" t="s">
        <v>3574</v>
      </c>
      <c r="K698" s="33">
        <v>2.0</v>
      </c>
      <c r="L698" s="124" t="s">
        <v>8177</v>
      </c>
      <c r="M698" s="34"/>
    </row>
    <row r="699" hidden="1">
      <c r="A699" s="33" t="s">
        <v>8178</v>
      </c>
      <c r="B699" s="122">
        <v>45789.0</v>
      </c>
      <c r="C699" s="33">
        <v>8.07000030851E11</v>
      </c>
      <c r="D699" s="33" t="s">
        <v>8179</v>
      </c>
      <c r="E699" s="33" t="s">
        <v>8180</v>
      </c>
      <c r="F699" s="123" t="s">
        <v>8181</v>
      </c>
      <c r="G699" s="143" t="s">
        <v>247</v>
      </c>
      <c r="H699" s="143">
        <v>4400.0</v>
      </c>
      <c r="I699" s="33">
        <v>125821.0</v>
      </c>
      <c r="J699" s="33" t="s">
        <v>8182</v>
      </c>
      <c r="K699" s="33">
        <v>2.0</v>
      </c>
      <c r="L699" s="124" t="s">
        <v>8183</v>
      </c>
      <c r="M699" s="34"/>
    </row>
    <row r="700" hidden="1">
      <c r="A700" s="33" t="s">
        <v>8178</v>
      </c>
      <c r="B700" s="122">
        <v>45789.0</v>
      </c>
      <c r="C700" s="33">
        <v>8.07000030851E11</v>
      </c>
      <c r="D700" s="33" t="s">
        <v>8179</v>
      </c>
      <c r="E700" s="33" t="s">
        <v>8180</v>
      </c>
      <c r="F700" s="123" t="s">
        <v>8181</v>
      </c>
      <c r="G700" s="143" t="s">
        <v>247</v>
      </c>
      <c r="H700" s="143">
        <v>4400.0</v>
      </c>
      <c r="I700" s="33" t="s">
        <v>3334</v>
      </c>
      <c r="J700" s="33" t="s">
        <v>3575</v>
      </c>
      <c r="K700" s="33">
        <v>1.0</v>
      </c>
      <c r="L700" s="124" t="s">
        <v>8183</v>
      </c>
      <c r="M700" s="34"/>
    </row>
    <row r="701" hidden="1">
      <c r="A701" s="33" t="s">
        <v>8184</v>
      </c>
      <c r="B701" s="122">
        <v>45789.0</v>
      </c>
      <c r="C701" s="33">
        <v>8.07000030834E11</v>
      </c>
      <c r="D701" s="33" t="s">
        <v>8185</v>
      </c>
      <c r="E701" s="33" t="s">
        <v>8186</v>
      </c>
      <c r="F701" s="123" t="s">
        <v>8187</v>
      </c>
      <c r="G701" s="143" t="s">
        <v>247</v>
      </c>
      <c r="H701" s="143">
        <v>4400.0</v>
      </c>
      <c r="I701" s="33">
        <v>186004.0</v>
      </c>
      <c r="J701" s="33" t="s">
        <v>8188</v>
      </c>
      <c r="K701" s="33">
        <v>1.0</v>
      </c>
      <c r="L701" s="124" t="s">
        <v>8189</v>
      </c>
      <c r="M701" s="34"/>
    </row>
    <row r="702" hidden="1">
      <c r="A702" s="33" t="s">
        <v>8190</v>
      </c>
      <c r="B702" s="122">
        <v>45789.0</v>
      </c>
      <c r="C702" s="33">
        <v>8.07000030846E11</v>
      </c>
      <c r="D702" s="33" t="s">
        <v>8191</v>
      </c>
      <c r="E702" s="33" t="s">
        <v>8192</v>
      </c>
      <c r="F702" s="123" t="s">
        <v>8193</v>
      </c>
      <c r="G702" s="123" t="s">
        <v>247</v>
      </c>
      <c r="H702" s="123">
        <v>4400.0</v>
      </c>
      <c r="I702" s="33">
        <v>125813.0</v>
      </c>
      <c r="J702" s="33" t="s">
        <v>5703</v>
      </c>
      <c r="K702" s="33">
        <v>1.0</v>
      </c>
      <c r="L702" s="124" t="s">
        <v>8194</v>
      </c>
      <c r="M702" s="34"/>
    </row>
    <row r="703" hidden="1">
      <c r="A703" s="33" t="s">
        <v>8190</v>
      </c>
      <c r="B703" s="122">
        <v>45789.0</v>
      </c>
      <c r="C703" s="33">
        <v>8.07000030846E11</v>
      </c>
      <c r="D703" s="33" t="s">
        <v>8191</v>
      </c>
      <c r="E703" s="33" t="s">
        <v>8192</v>
      </c>
      <c r="F703" s="123" t="s">
        <v>8193</v>
      </c>
      <c r="G703" s="123" t="s">
        <v>247</v>
      </c>
      <c r="H703" s="123">
        <v>4400.0</v>
      </c>
      <c r="I703" s="33">
        <v>208501.0</v>
      </c>
      <c r="J703" s="33" t="s">
        <v>481</v>
      </c>
      <c r="K703" s="33">
        <v>1.0</v>
      </c>
      <c r="L703" s="124" t="s">
        <v>8194</v>
      </c>
      <c r="M703" s="34"/>
    </row>
    <row r="704" hidden="1">
      <c r="A704" s="33" t="s">
        <v>8190</v>
      </c>
      <c r="B704" s="122">
        <v>45789.0</v>
      </c>
      <c r="C704" s="33">
        <v>8.07000030847E11</v>
      </c>
      <c r="D704" s="33" t="s">
        <v>8191</v>
      </c>
      <c r="E704" s="33" t="s">
        <v>8192</v>
      </c>
      <c r="F704" s="123" t="s">
        <v>8193</v>
      </c>
      <c r="G704" s="123" t="s">
        <v>247</v>
      </c>
      <c r="H704" s="123">
        <v>4400.0</v>
      </c>
      <c r="I704" s="33" t="s">
        <v>1959</v>
      </c>
      <c r="J704" s="33" t="s">
        <v>1960</v>
      </c>
      <c r="K704" s="33">
        <v>1.0</v>
      </c>
      <c r="L704" s="124" t="s">
        <v>8194</v>
      </c>
      <c r="M704" s="34"/>
    </row>
    <row r="705" hidden="1">
      <c r="A705" s="33" t="s">
        <v>8190</v>
      </c>
      <c r="B705" s="122">
        <v>45789.0</v>
      </c>
      <c r="C705" s="33">
        <v>8.07000030848E11</v>
      </c>
      <c r="D705" s="33" t="s">
        <v>8191</v>
      </c>
      <c r="E705" s="33" t="s">
        <v>8192</v>
      </c>
      <c r="F705" s="123" t="s">
        <v>8193</v>
      </c>
      <c r="G705" s="123" t="s">
        <v>247</v>
      </c>
      <c r="H705" s="123">
        <v>4400.0</v>
      </c>
      <c r="I705" s="33" t="s">
        <v>7955</v>
      </c>
      <c r="J705" s="33" t="s">
        <v>7956</v>
      </c>
      <c r="K705" s="33">
        <v>1.0</v>
      </c>
      <c r="L705" s="124" t="s">
        <v>8194</v>
      </c>
      <c r="M705" s="34"/>
    </row>
    <row r="706" hidden="1">
      <c r="A706" s="33" t="s">
        <v>8190</v>
      </c>
      <c r="B706" s="122">
        <v>45789.0</v>
      </c>
      <c r="C706" s="33">
        <v>8.07000030848E11</v>
      </c>
      <c r="D706" s="33" t="s">
        <v>8191</v>
      </c>
      <c r="E706" s="33" t="s">
        <v>8192</v>
      </c>
      <c r="F706" s="123" t="s">
        <v>8193</v>
      </c>
      <c r="G706" s="123" t="s">
        <v>247</v>
      </c>
      <c r="H706" s="123">
        <v>4400.0</v>
      </c>
      <c r="I706" s="33" t="s">
        <v>512</v>
      </c>
      <c r="J706" s="33" t="s">
        <v>513</v>
      </c>
      <c r="K706" s="33">
        <v>12.0</v>
      </c>
      <c r="L706" s="124" t="s">
        <v>8194</v>
      </c>
      <c r="M706" s="34"/>
    </row>
    <row r="707" hidden="1">
      <c r="A707" s="33" t="s">
        <v>8195</v>
      </c>
      <c r="B707" s="122">
        <v>45789.0</v>
      </c>
      <c r="C707" s="33">
        <v>8.0700003086E11</v>
      </c>
      <c r="D707" s="33" t="s">
        <v>8196</v>
      </c>
      <c r="E707" s="33" t="s">
        <v>8197</v>
      </c>
      <c r="F707" s="123" t="s">
        <v>8198</v>
      </c>
      <c r="G707" s="123" t="s">
        <v>247</v>
      </c>
      <c r="H707" s="123">
        <v>4400.0</v>
      </c>
      <c r="I707" s="33" t="s">
        <v>3451</v>
      </c>
      <c r="J707" s="33" t="s">
        <v>3452</v>
      </c>
      <c r="K707" s="33">
        <v>1.0</v>
      </c>
      <c r="L707" s="124" t="s">
        <v>8199</v>
      </c>
      <c r="M707" s="34"/>
    </row>
    <row r="708" hidden="1">
      <c r="A708" s="33" t="s">
        <v>8195</v>
      </c>
      <c r="B708" s="122">
        <v>45789.0</v>
      </c>
      <c r="C708" s="33">
        <v>8.0700003086E11</v>
      </c>
      <c r="D708" s="33" t="s">
        <v>8196</v>
      </c>
      <c r="E708" s="33" t="s">
        <v>8197</v>
      </c>
      <c r="F708" s="123" t="s">
        <v>8198</v>
      </c>
      <c r="G708" s="123" t="s">
        <v>247</v>
      </c>
      <c r="H708" s="123">
        <v>4400.0</v>
      </c>
      <c r="I708" s="33" t="s">
        <v>512</v>
      </c>
      <c r="J708" s="33" t="s">
        <v>513</v>
      </c>
      <c r="K708" s="33">
        <v>6.0</v>
      </c>
      <c r="L708" s="124" t="s">
        <v>8199</v>
      </c>
      <c r="M708" s="34"/>
    </row>
    <row r="709" hidden="1">
      <c r="A709" s="33" t="s">
        <v>8195</v>
      </c>
      <c r="B709" s="122">
        <v>45789.0</v>
      </c>
      <c r="C709" s="33">
        <v>8.0700003086E11</v>
      </c>
      <c r="D709" s="33" t="s">
        <v>8196</v>
      </c>
      <c r="E709" s="33" t="s">
        <v>8197</v>
      </c>
      <c r="F709" s="123" t="s">
        <v>8198</v>
      </c>
      <c r="G709" s="123" t="s">
        <v>247</v>
      </c>
      <c r="H709" s="123">
        <v>4400.0</v>
      </c>
      <c r="I709" s="33" t="s">
        <v>670</v>
      </c>
      <c r="J709" s="33" t="s">
        <v>3410</v>
      </c>
      <c r="K709" s="33">
        <v>1.0</v>
      </c>
      <c r="L709" s="124" t="s">
        <v>8199</v>
      </c>
      <c r="M709" s="34"/>
    </row>
    <row r="710" hidden="1">
      <c r="A710" s="33" t="s">
        <v>8200</v>
      </c>
      <c r="B710" s="122">
        <v>45789.0</v>
      </c>
      <c r="C710" s="33">
        <v>8.07000030849E11</v>
      </c>
      <c r="D710" s="33" t="s">
        <v>8201</v>
      </c>
      <c r="E710" s="33" t="s">
        <v>8202</v>
      </c>
      <c r="F710" s="123" t="s">
        <v>8203</v>
      </c>
      <c r="G710" s="123" t="s">
        <v>247</v>
      </c>
      <c r="H710" s="123">
        <v>4400.0</v>
      </c>
      <c r="I710" s="33" t="s">
        <v>280</v>
      </c>
      <c r="J710" s="33" t="s">
        <v>5669</v>
      </c>
      <c r="K710" s="33">
        <v>1.0</v>
      </c>
      <c r="L710" s="124" t="s">
        <v>8204</v>
      </c>
      <c r="M710" s="34"/>
    </row>
    <row r="711" hidden="1">
      <c r="A711" s="33" t="s">
        <v>8205</v>
      </c>
      <c r="B711" s="122">
        <v>45789.0</v>
      </c>
      <c r="C711" s="33">
        <v>8.07000030853E11</v>
      </c>
      <c r="D711" s="33" t="s">
        <v>8206</v>
      </c>
      <c r="E711" s="33" t="s">
        <v>8207</v>
      </c>
      <c r="F711" s="123" t="s">
        <v>8208</v>
      </c>
      <c r="G711" s="123" t="s">
        <v>539</v>
      </c>
      <c r="H711" s="123"/>
      <c r="I711" s="33" t="s">
        <v>561</v>
      </c>
      <c r="J711" s="33" t="s">
        <v>8209</v>
      </c>
      <c r="K711" s="33">
        <v>1.0</v>
      </c>
      <c r="L711" s="124" t="s">
        <v>8210</v>
      </c>
      <c r="M711" s="34"/>
    </row>
    <row r="712" hidden="1">
      <c r="A712" s="33" t="s">
        <v>8205</v>
      </c>
      <c r="B712" s="122">
        <v>45789.0</v>
      </c>
      <c r="C712" s="33">
        <v>8.07000030853E11</v>
      </c>
      <c r="D712" s="33" t="s">
        <v>8206</v>
      </c>
      <c r="E712" s="33" t="s">
        <v>8207</v>
      </c>
      <c r="F712" s="123" t="s">
        <v>8208</v>
      </c>
      <c r="G712" s="123" t="s">
        <v>539</v>
      </c>
      <c r="H712" s="123"/>
      <c r="I712" s="33" t="s">
        <v>512</v>
      </c>
      <c r="J712" s="33" t="s">
        <v>513</v>
      </c>
      <c r="K712" s="33">
        <v>6.0</v>
      </c>
      <c r="L712" s="124" t="s">
        <v>8210</v>
      </c>
      <c r="M712" s="34"/>
    </row>
    <row r="713" hidden="1">
      <c r="A713" s="33" t="s">
        <v>8205</v>
      </c>
      <c r="B713" s="122">
        <v>45789.0</v>
      </c>
      <c r="C713" s="33">
        <v>8.07000030853E11</v>
      </c>
      <c r="D713" s="33" t="s">
        <v>8206</v>
      </c>
      <c r="E713" s="33" t="s">
        <v>8207</v>
      </c>
      <c r="F713" s="123" t="s">
        <v>8208</v>
      </c>
      <c r="G713" s="123" t="s">
        <v>539</v>
      </c>
      <c r="H713" s="123"/>
      <c r="I713" s="33" t="s">
        <v>35</v>
      </c>
      <c r="J713" s="33" t="s">
        <v>3188</v>
      </c>
      <c r="K713" s="33">
        <v>1.0</v>
      </c>
      <c r="L713" s="124" t="s">
        <v>8210</v>
      </c>
      <c r="M713" s="34"/>
    </row>
    <row r="714" hidden="1">
      <c r="A714" s="33" t="s">
        <v>8211</v>
      </c>
      <c r="B714" s="122">
        <v>45789.0</v>
      </c>
      <c r="C714" s="33">
        <v>8.07000030855E11</v>
      </c>
      <c r="D714" s="33" t="s">
        <v>8212</v>
      </c>
      <c r="E714" s="33" t="s">
        <v>8213</v>
      </c>
      <c r="F714" s="123" t="s">
        <v>8214</v>
      </c>
      <c r="G714" s="123" t="s">
        <v>624</v>
      </c>
      <c r="H714" s="123"/>
      <c r="I714" s="33" t="s">
        <v>1115</v>
      </c>
      <c r="J714" s="33" t="s">
        <v>8215</v>
      </c>
      <c r="K714" s="33">
        <v>1.0</v>
      </c>
      <c r="L714" s="124" t="s">
        <v>8216</v>
      </c>
      <c r="M714" s="34"/>
    </row>
    <row r="715" hidden="1">
      <c r="A715" s="33" t="s">
        <v>8211</v>
      </c>
      <c r="B715" s="122">
        <v>45789.0</v>
      </c>
      <c r="C715" s="33">
        <v>8.07000030855E11</v>
      </c>
      <c r="D715" s="33" t="s">
        <v>8212</v>
      </c>
      <c r="E715" s="33" t="s">
        <v>8213</v>
      </c>
      <c r="F715" s="123" t="s">
        <v>8214</v>
      </c>
      <c r="G715" s="123" t="s">
        <v>624</v>
      </c>
      <c r="H715" s="123"/>
      <c r="I715" s="33" t="s">
        <v>512</v>
      </c>
      <c r="J715" s="33" t="s">
        <v>513</v>
      </c>
      <c r="K715" s="33">
        <v>12.0</v>
      </c>
      <c r="L715" s="124" t="s">
        <v>8216</v>
      </c>
      <c r="M715" s="34"/>
    </row>
    <row r="716" hidden="1">
      <c r="A716" s="33" t="s">
        <v>8211</v>
      </c>
      <c r="B716" s="122">
        <v>45789.0</v>
      </c>
      <c r="C716" s="33">
        <v>8.07000030855E11</v>
      </c>
      <c r="D716" s="33" t="s">
        <v>8212</v>
      </c>
      <c r="E716" s="33" t="s">
        <v>8213</v>
      </c>
      <c r="F716" s="123" t="s">
        <v>8214</v>
      </c>
      <c r="G716" s="123" t="s">
        <v>624</v>
      </c>
      <c r="H716" s="123"/>
      <c r="I716" s="33" t="s">
        <v>340</v>
      </c>
      <c r="J716" s="33" t="s">
        <v>3486</v>
      </c>
      <c r="K716" s="33">
        <v>2.0</v>
      </c>
      <c r="L716" s="124" t="s">
        <v>8216</v>
      </c>
      <c r="M716" s="34"/>
    </row>
    <row r="717" hidden="1">
      <c r="A717" s="33" t="s">
        <v>8217</v>
      </c>
      <c r="B717" s="122">
        <v>45789.0</v>
      </c>
      <c r="C717" s="33">
        <v>8.07000030862E11</v>
      </c>
      <c r="D717" s="33" t="s">
        <v>8218</v>
      </c>
      <c r="E717" s="33" t="s">
        <v>8219</v>
      </c>
      <c r="F717" s="123" t="s">
        <v>8220</v>
      </c>
      <c r="G717" s="123" t="s">
        <v>247</v>
      </c>
      <c r="H717" s="123">
        <v>4400.0</v>
      </c>
      <c r="I717" s="33" t="s">
        <v>6343</v>
      </c>
      <c r="J717" s="33" t="s">
        <v>6435</v>
      </c>
      <c r="K717" s="33">
        <v>1.0</v>
      </c>
      <c r="L717" s="124" t="s">
        <v>8221</v>
      </c>
      <c r="M717" s="34"/>
    </row>
    <row r="718" hidden="1">
      <c r="A718" s="33" t="s">
        <v>8217</v>
      </c>
      <c r="B718" s="122">
        <v>45789.0</v>
      </c>
      <c r="C718" s="33">
        <v>8.07000030862E11</v>
      </c>
      <c r="D718" s="33" t="s">
        <v>8218</v>
      </c>
      <c r="E718" s="33" t="s">
        <v>8219</v>
      </c>
      <c r="F718" s="123" t="s">
        <v>8220</v>
      </c>
      <c r="G718" s="123" t="s">
        <v>247</v>
      </c>
      <c r="H718" s="123">
        <v>4400.0</v>
      </c>
      <c r="I718" s="33" t="s">
        <v>512</v>
      </c>
      <c r="J718" s="33" t="s">
        <v>513</v>
      </c>
      <c r="K718" s="33">
        <v>12.0</v>
      </c>
      <c r="L718" s="124" t="s">
        <v>8221</v>
      </c>
      <c r="M718" s="34"/>
    </row>
    <row r="719" hidden="1">
      <c r="A719" s="33" t="s">
        <v>8217</v>
      </c>
      <c r="B719" s="122">
        <v>45789.0</v>
      </c>
      <c r="C719" s="33">
        <v>8.07000030862E11</v>
      </c>
      <c r="D719" s="33" t="s">
        <v>8218</v>
      </c>
      <c r="E719" s="33" t="s">
        <v>8219</v>
      </c>
      <c r="F719" s="123" t="s">
        <v>8220</v>
      </c>
      <c r="G719" s="123" t="s">
        <v>247</v>
      </c>
      <c r="H719" s="123">
        <v>4400.0</v>
      </c>
      <c r="I719" s="33" t="s">
        <v>233</v>
      </c>
      <c r="J719" s="33" t="s">
        <v>3459</v>
      </c>
      <c r="K719" s="33">
        <v>2.0</v>
      </c>
      <c r="L719" s="124" t="s">
        <v>8221</v>
      </c>
      <c r="M719" s="34"/>
    </row>
    <row r="720" hidden="1">
      <c r="A720" s="33" t="s">
        <v>8222</v>
      </c>
      <c r="B720" s="122">
        <v>45789.0</v>
      </c>
      <c r="C720" s="33">
        <v>8.07000030819E11</v>
      </c>
      <c r="D720" s="33" t="s">
        <v>8103</v>
      </c>
      <c r="E720" s="33" t="s">
        <v>8104</v>
      </c>
      <c r="F720" s="123" t="s">
        <v>8105</v>
      </c>
      <c r="G720" s="123" t="s">
        <v>247</v>
      </c>
      <c r="H720" s="123">
        <v>4400.0</v>
      </c>
      <c r="I720" s="33" t="s">
        <v>2956</v>
      </c>
      <c r="J720" s="33" t="s">
        <v>3327</v>
      </c>
      <c r="K720" s="33">
        <v>1.0</v>
      </c>
      <c r="L720" s="124" t="s">
        <v>8106</v>
      </c>
      <c r="M720" s="31" t="s">
        <v>8223</v>
      </c>
    </row>
    <row r="721" hidden="1">
      <c r="A721" s="33" t="s">
        <v>8224</v>
      </c>
      <c r="B721" s="122">
        <v>45789.0</v>
      </c>
      <c r="C721" s="33">
        <v>8.07000030868E11</v>
      </c>
      <c r="D721" s="33" t="s">
        <v>8225</v>
      </c>
      <c r="E721" s="33" t="s">
        <v>8226</v>
      </c>
      <c r="F721" s="123" t="s">
        <v>8227</v>
      </c>
      <c r="G721" s="123" t="s">
        <v>247</v>
      </c>
      <c r="H721" s="123">
        <v>4400.0</v>
      </c>
      <c r="I721" s="33" t="s">
        <v>4445</v>
      </c>
      <c r="J721" s="33" t="s">
        <v>4446</v>
      </c>
      <c r="K721" s="33">
        <v>1.0</v>
      </c>
      <c r="L721" s="124" t="s">
        <v>8228</v>
      </c>
      <c r="M721" s="34"/>
    </row>
    <row r="722" hidden="1">
      <c r="A722" s="33" t="s">
        <v>8224</v>
      </c>
      <c r="B722" s="122">
        <v>45789.0</v>
      </c>
      <c r="C722" s="33">
        <v>8.07000030868E11</v>
      </c>
      <c r="D722" s="33" t="s">
        <v>8225</v>
      </c>
      <c r="E722" s="33" t="s">
        <v>8226</v>
      </c>
      <c r="F722" s="123" t="s">
        <v>8227</v>
      </c>
      <c r="G722" s="123" t="s">
        <v>247</v>
      </c>
      <c r="H722" s="123">
        <v>4400.0</v>
      </c>
      <c r="I722" s="33" t="s">
        <v>512</v>
      </c>
      <c r="J722" s="33" t="s">
        <v>513</v>
      </c>
      <c r="K722" s="33">
        <v>12.0</v>
      </c>
      <c r="L722" s="124" t="s">
        <v>8228</v>
      </c>
      <c r="M722" s="34"/>
    </row>
    <row r="723" hidden="1">
      <c r="A723" s="33" t="s">
        <v>8224</v>
      </c>
      <c r="B723" s="122">
        <v>45789.0</v>
      </c>
      <c r="C723" s="33">
        <v>8.07000030868E11</v>
      </c>
      <c r="D723" s="33" t="s">
        <v>8225</v>
      </c>
      <c r="E723" s="33" t="s">
        <v>8226</v>
      </c>
      <c r="F723" s="123" t="s">
        <v>8227</v>
      </c>
      <c r="G723" s="123" t="s">
        <v>247</v>
      </c>
      <c r="H723" s="123">
        <v>4400.0</v>
      </c>
      <c r="I723" s="33" t="s">
        <v>758</v>
      </c>
      <c r="J723" s="33" t="s">
        <v>3574</v>
      </c>
      <c r="K723" s="33">
        <v>2.0</v>
      </c>
      <c r="L723" s="124" t="s">
        <v>8228</v>
      </c>
      <c r="M723" s="34"/>
    </row>
    <row r="724" hidden="1">
      <c r="A724" s="33" t="s">
        <v>8224</v>
      </c>
      <c r="B724" s="122">
        <v>45789.0</v>
      </c>
      <c r="C724" s="33">
        <v>8.07000030869E11</v>
      </c>
      <c r="D724" s="33" t="s">
        <v>8225</v>
      </c>
      <c r="E724" s="33" t="s">
        <v>8226</v>
      </c>
      <c r="F724" s="123" t="s">
        <v>8227</v>
      </c>
      <c r="G724" s="123" t="s">
        <v>247</v>
      </c>
      <c r="H724" s="123">
        <v>4400.0</v>
      </c>
      <c r="I724" s="33">
        <v>125818.0</v>
      </c>
      <c r="J724" s="33" t="s">
        <v>4334</v>
      </c>
      <c r="K724" s="33">
        <v>2.0</v>
      </c>
      <c r="L724" s="124" t="s">
        <v>8228</v>
      </c>
      <c r="M724" s="34"/>
    </row>
    <row r="725" hidden="1">
      <c r="A725" s="33" t="s">
        <v>8229</v>
      </c>
      <c r="B725" s="122">
        <v>45789.0</v>
      </c>
      <c r="C725" s="33">
        <v>8.07000030873E11</v>
      </c>
      <c r="D725" s="33" t="s">
        <v>8230</v>
      </c>
      <c r="E725" s="33" t="s">
        <v>8231</v>
      </c>
      <c r="F725" s="123" t="s">
        <v>8232</v>
      </c>
      <c r="G725" s="123" t="s">
        <v>247</v>
      </c>
      <c r="H725" s="123">
        <v>4400.0</v>
      </c>
      <c r="I725" s="33" t="s">
        <v>4368</v>
      </c>
      <c r="J725" s="33" t="s">
        <v>4369</v>
      </c>
      <c r="K725" s="33">
        <v>1.0</v>
      </c>
      <c r="L725" s="124" t="s">
        <v>8233</v>
      </c>
      <c r="M725" s="34"/>
    </row>
    <row r="726" hidden="1">
      <c r="A726" s="33" t="s">
        <v>8234</v>
      </c>
      <c r="B726" s="122">
        <v>45789.0</v>
      </c>
      <c r="C726" s="33">
        <v>8.07000030874E11</v>
      </c>
      <c r="D726" s="33" t="s">
        <v>8230</v>
      </c>
      <c r="E726" s="33" t="s">
        <v>8231</v>
      </c>
      <c r="F726" s="123" t="s">
        <v>8232</v>
      </c>
      <c r="G726" s="123" t="s">
        <v>247</v>
      </c>
      <c r="H726" s="123">
        <v>4400.0</v>
      </c>
      <c r="I726" s="33" t="s">
        <v>701</v>
      </c>
      <c r="J726" s="33" t="s">
        <v>4409</v>
      </c>
      <c r="K726" s="33">
        <v>1.0</v>
      </c>
      <c r="L726" s="124" t="s">
        <v>8233</v>
      </c>
      <c r="M726" s="34"/>
    </row>
    <row r="727" hidden="1">
      <c r="A727" s="33" t="s">
        <v>8235</v>
      </c>
      <c r="B727" s="122">
        <v>45789.0</v>
      </c>
      <c r="C727" s="33">
        <v>8.0700003087E11</v>
      </c>
      <c r="D727" s="33" t="s">
        <v>8236</v>
      </c>
      <c r="E727" s="33" t="s">
        <v>8237</v>
      </c>
      <c r="F727" s="123" t="s">
        <v>8238</v>
      </c>
      <c r="G727" s="123" t="s">
        <v>247</v>
      </c>
      <c r="H727" s="123">
        <v>4400.0</v>
      </c>
      <c r="I727" s="189">
        <v>914751.0</v>
      </c>
      <c r="J727" s="33" t="s">
        <v>7853</v>
      </c>
      <c r="K727" s="33">
        <v>1.0</v>
      </c>
      <c r="L727" s="124" t="s">
        <v>8239</v>
      </c>
      <c r="M727" s="34"/>
    </row>
    <row r="728" hidden="1">
      <c r="A728" s="33" t="s">
        <v>8235</v>
      </c>
      <c r="B728" s="122">
        <v>45789.0</v>
      </c>
      <c r="C728" s="33">
        <v>8.0700003087E11</v>
      </c>
      <c r="D728" s="33" t="s">
        <v>8236</v>
      </c>
      <c r="E728" s="33" t="s">
        <v>8237</v>
      </c>
      <c r="F728" s="123" t="s">
        <v>8238</v>
      </c>
      <c r="G728" s="123" t="s">
        <v>247</v>
      </c>
      <c r="H728" s="123">
        <v>4400.0</v>
      </c>
      <c r="I728" s="33">
        <v>87604.0</v>
      </c>
      <c r="J728" s="33" t="s">
        <v>480</v>
      </c>
      <c r="K728" s="33">
        <v>1.0</v>
      </c>
      <c r="L728" s="124" t="s">
        <v>8239</v>
      </c>
      <c r="M728" s="34"/>
    </row>
    <row r="729" hidden="1">
      <c r="A729" s="33" t="s">
        <v>8240</v>
      </c>
      <c r="B729" s="122">
        <v>45789.0</v>
      </c>
      <c r="C729" s="33">
        <v>8.07000030871E11</v>
      </c>
      <c r="D729" s="33" t="s">
        <v>8236</v>
      </c>
      <c r="E729" s="33" t="s">
        <v>8237</v>
      </c>
      <c r="F729" s="123" t="s">
        <v>8238</v>
      </c>
      <c r="G729" s="123" t="s">
        <v>247</v>
      </c>
      <c r="H729" s="123">
        <v>4400.0</v>
      </c>
      <c r="I729" s="189">
        <v>915481.0</v>
      </c>
      <c r="J729" s="33" t="s">
        <v>8241</v>
      </c>
      <c r="K729" s="33">
        <v>1.0</v>
      </c>
      <c r="L729" s="124" t="s">
        <v>8239</v>
      </c>
      <c r="M729" s="34"/>
    </row>
    <row r="730" hidden="1">
      <c r="A730" s="33" t="s">
        <v>8240</v>
      </c>
      <c r="B730" s="122">
        <v>45789.0</v>
      </c>
      <c r="C730" s="33">
        <v>8.07000030871E11</v>
      </c>
      <c r="D730" s="33" t="s">
        <v>8236</v>
      </c>
      <c r="E730" s="33" t="s">
        <v>8237</v>
      </c>
      <c r="F730" s="123" t="s">
        <v>8238</v>
      </c>
      <c r="G730" s="123" t="s">
        <v>247</v>
      </c>
      <c r="H730" s="123">
        <v>4400.0</v>
      </c>
      <c r="I730" s="33">
        <v>87609.0</v>
      </c>
      <c r="J730" s="33" t="s">
        <v>7643</v>
      </c>
      <c r="K730" s="33">
        <v>2.0</v>
      </c>
      <c r="L730" s="124" t="s">
        <v>8239</v>
      </c>
      <c r="M730" s="34"/>
    </row>
    <row r="731" hidden="1">
      <c r="A731" s="33" t="s">
        <v>8242</v>
      </c>
      <c r="B731" s="122">
        <v>45789.0</v>
      </c>
      <c r="C731" s="33">
        <v>8.07000030872E11</v>
      </c>
      <c r="D731" s="33" t="s">
        <v>8243</v>
      </c>
      <c r="E731" s="33" t="s">
        <v>8244</v>
      </c>
      <c r="F731" s="123" t="s">
        <v>8245</v>
      </c>
      <c r="G731" s="123" t="s">
        <v>247</v>
      </c>
      <c r="H731" s="123">
        <v>4400.0</v>
      </c>
      <c r="I731" s="33" t="s">
        <v>3154</v>
      </c>
      <c r="J731" s="33" t="s">
        <v>4564</v>
      </c>
      <c r="K731" s="33">
        <v>1.0</v>
      </c>
      <c r="L731" s="124" t="s">
        <v>8246</v>
      </c>
      <c r="M731" s="34"/>
    </row>
    <row r="732" hidden="1">
      <c r="A732" s="33" t="s">
        <v>8242</v>
      </c>
      <c r="B732" s="122">
        <v>45789.0</v>
      </c>
      <c r="C732" s="33">
        <v>8.07000030872E11</v>
      </c>
      <c r="D732" s="33" t="s">
        <v>8243</v>
      </c>
      <c r="E732" s="33" t="s">
        <v>8244</v>
      </c>
      <c r="F732" s="123" t="s">
        <v>8245</v>
      </c>
      <c r="G732" s="123" t="s">
        <v>247</v>
      </c>
      <c r="H732" s="123">
        <v>4400.0</v>
      </c>
      <c r="I732" s="33" t="s">
        <v>512</v>
      </c>
      <c r="J732" s="33" t="s">
        <v>513</v>
      </c>
      <c r="K732" s="33">
        <v>6.0</v>
      </c>
      <c r="L732" s="124" t="s">
        <v>8246</v>
      </c>
      <c r="M732" s="34"/>
    </row>
    <row r="733" hidden="1">
      <c r="A733" s="33" t="s">
        <v>8242</v>
      </c>
      <c r="B733" s="122">
        <v>45789.0</v>
      </c>
      <c r="C733" s="33">
        <v>8.07000030872E11</v>
      </c>
      <c r="D733" s="33" t="s">
        <v>8243</v>
      </c>
      <c r="E733" s="33" t="s">
        <v>8244</v>
      </c>
      <c r="F733" s="123" t="s">
        <v>8245</v>
      </c>
      <c r="G733" s="123" t="s">
        <v>247</v>
      </c>
      <c r="H733" s="123">
        <v>4400.0</v>
      </c>
      <c r="I733" s="33" t="s">
        <v>2031</v>
      </c>
      <c r="J733" s="33" t="s">
        <v>3348</v>
      </c>
      <c r="K733" s="33">
        <v>1.0</v>
      </c>
      <c r="L733" s="124" t="s">
        <v>8246</v>
      </c>
      <c r="M733" s="34"/>
    </row>
    <row r="734" hidden="1">
      <c r="A734" s="33" t="s">
        <v>8247</v>
      </c>
      <c r="B734" s="122">
        <v>45789.0</v>
      </c>
      <c r="C734" s="33">
        <v>8.07000030875E11</v>
      </c>
      <c r="D734" s="33" t="s">
        <v>8248</v>
      </c>
      <c r="E734" s="33" t="s">
        <v>8249</v>
      </c>
      <c r="F734" s="123" t="s">
        <v>8250</v>
      </c>
      <c r="G734" s="123" t="s">
        <v>247</v>
      </c>
      <c r="H734" s="123">
        <v>4400.0</v>
      </c>
      <c r="I734" s="189">
        <v>914751.0</v>
      </c>
      <c r="J734" s="33" t="s">
        <v>7853</v>
      </c>
      <c r="K734" s="33">
        <v>1.0</v>
      </c>
      <c r="L734" s="124" t="s">
        <v>8251</v>
      </c>
      <c r="M734" s="34"/>
    </row>
    <row r="735" hidden="1">
      <c r="A735" s="33" t="s">
        <v>8247</v>
      </c>
      <c r="B735" s="122">
        <v>45789.0</v>
      </c>
      <c r="C735" s="33">
        <v>8.07000030875E11</v>
      </c>
      <c r="D735" s="33" t="s">
        <v>8248</v>
      </c>
      <c r="E735" s="33" t="s">
        <v>8249</v>
      </c>
      <c r="F735" s="123" t="s">
        <v>8250</v>
      </c>
      <c r="G735" s="123" t="s">
        <v>247</v>
      </c>
      <c r="H735" s="123">
        <v>4400.0</v>
      </c>
      <c r="I735" s="33">
        <v>87604.0</v>
      </c>
      <c r="J735" s="33" t="s">
        <v>480</v>
      </c>
      <c r="K735" s="33">
        <v>1.0</v>
      </c>
      <c r="L735" s="124" t="s">
        <v>8251</v>
      </c>
      <c r="M735" s="34"/>
    </row>
    <row r="736" hidden="1">
      <c r="A736" s="33" t="s">
        <v>8252</v>
      </c>
      <c r="B736" s="122">
        <v>45789.0</v>
      </c>
      <c r="C736" s="33">
        <v>8.07000030877E11</v>
      </c>
      <c r="D736" s="33" t="s">
        <v>8253</v>
      </c>
      <c r="E736" s="33" t="s">
        <v>8254</v>
      </c>
      <c r="F736" s="123" t="s">
        <v>8255</v>
      </c>
      <c r="G736" s="123" t="s">
        <v>624</v>
      </c>
      <c r="H736" s="123"/>
      <c r="I736" s="33" t="s">
        <v>947</v>
      </c>
      <c r="J736" s="33" t="s">
        <v>3750</v>
      </c>
      <c r="K736" s="33">
        <v>1.0</v>
      </c>
      <c r="L736" s="124" t="s">
        <v>8256</v>
      </c>
      <c r="M736" s="34"/>
    </row>
    <row r="737" hidden="1">
      <c r="A737" s="33" t="s">
        <v>8257</v>
      </c>
      <c r="B737" s="122">
        <v>45789.0</v>
      </c>
      <c r="C737" s="33">
        <v>8.07000030879E11</v>
      </c>
      <c r="D737" s="33" t="s">
        <v>8258</v>
      </c>
      <c r="E737" s="33" t="s">
        <v>8259</v>
      </c>
      <c r="F737" s="123" t="s">
        <v>8260</v>
      </c>
      <c r="G737" s="123" t="s">
        <v>247</v>
      </c>
      <c r="H737" s="123">
        <v>4400.0</v>
      </c>
      <c r="I737" s="33" t="s">
        <v>1115</v>
      </c>
      <c r="J737" s="33" t="s">
        <v>8215</v>
      </c>
      <c r="K737" s="33">
        <v>1.0</v>
      </c>
      <c r="L737" s="124" t="s">
        <v>8261</v>
      </c>
      <c r="M737" s="31" t="s">
        <v>8262</v>
      </c>
    </row>
    <row r="738" hidden="1">
      <c r="A738" s="33" t="s">
        <v>8257</v>
      </c>
      <c r="B738" s="122">
        <v>45789.0</v>
      </c>
      <c r="C738" s="33">
        <v>8.07000030879E11</v>
      </c>
      <c r="D738" s="33" t="s">
        <v>8258</v>
      </c>
      <c r="E738" s="33" t="s">
        <v>8259</v>
      </c>
      <c r="F738" s="123" t="s">
        <v>8260</v>
      </c>
      <c r="G738" s="123" t="s">
        <v>247</v>
      </c>
      <c r="H738" s="123">
        <v>4400.0</v>
      </c>
      <c r="I738" s="33" t="s">
        <v>512</v>
      </c>
      <c r="J738" s="33" t="s">
        <v>513</v>
      </c>
      <c r="K738" s="33">
        <v>12.0</v>
      </c>
      <c r="L738" s="124" t="s">
        <v>8261</v>
      </c>
      <c r="M738" s="31" t="s">
        <v>8262</v>
      </c>
    </row>
    <row r="739" hidden="1">
      <c r="A739" s="33" t="s">
        <v>8257</v>
      </c>
      <c r="B739" s="122">
        <v>45789.0</v>
      </c>
      <c r="C739" s="33">
        <v>8.07000030879E11</v>
      </c>
      <c r="D739" s="33" t="s">
        <v>8258</v>
      </c>
      <c r="E739" s="33" t="s">
        <v>8259</v>
      </c>
      <c r="F739" s="123" t="s">
        <v>8260</v>
      </c>
      <c r="G739" s="123" t="s">
        <v>247</v>
      </c>
      <c r="H739" s="123">
        <v>4400.0</v>
      </c>
      <c r="I739" s="33" t="s">
        <v>340</v>
      </c>
      <c r="J739" s="33" t="s">
        <v>3486</v>
      </c>
      <c r="K739" s="33">
        <v>2.0</v>
      </c>
      <c r="L739" s="124" t="s">
        <v>8261</v>
      </c>
      <c r="M739" s="31" t="s">
        <v>8262</v>
      </c>
    </row>
    <row r="740" hidden="1">
      <c r="A740" s="33" t="s">
        <v>8257</v>
      </c>
      <c r="B740" s="122">
        <v>45789.0</v>
      </c>
      <c r="C740" s="33">
        <v>8.0700003088E11</v>
      </c>
      <c r="D740" s="33" t="s">
        <v>8258</v>
      </c>
      <c r="E740" s="33" t="s">
        <v>8259</v>
      </c>
      <c r="F740" s="123" t="s">
        <v>8260</v>
      </c>
      <c r="G740" s="123" t="s">
        <v>247</v>
      </c>
      <c r="H740" s="123">
        <v>4400.0</v>
      </c>
      <c r="I740" s="33" t="s">
        <v>3641</v>
      </c>
      <c r="J740" s="33" t="s">
        <v>3642</v>
      </c>
      <c r="K740" s="33">
        <v>2.0</v>
      </c>
      <c r="L740" s="124" t="s">
        <v>8261</v>
      </c>
      <c r="M740" s="31" t="s">
        <v>8262</v>
      </c>
    </row>
    <row r="741" hidden="1">
      <c r="A741" s="33" t="s">
        <v>8257</v>
      </c>
      <c r="B741" s="122">
        <v>45789.0</v>
      </c>
      <c r="C741" s="33">
        <v>8.0700003088E11</v>
      </c>
      <c r="D741" s="33" t="s">
        <v>8258</v>
      </c>
      <c r="E741" s="33" t="s">
        <v>8259</v>
      </c>
      <c r="F741" s="123" t="s">
        <v>8260</v>
      </c>
      <c r="G741" s="123" t="s">
        <v>247</v>
      </c>
      <c r="H741" s="123">
        <v>4400.0</v>
      </c>
      <c r="I741" s="33" t="s">
        <v>512</v>
      </c>
      <c r="J741" s="33" t="s">
        <v>513</v>
      </c>
      <c r="K741" s="33">
        <v>12.0</v>
      </c>
      <c r="L741" s="124" t="s">
        <v>8261</v>
      </c>
      <c r="M741" s="31" t="s">
        <v>8262</v>
      </c>
    </row>
    <row r="742" hidden="1">
      <c r="A742" s="33" t="s">
        <v>8263</v>
      </c>
      <c r="B742" s="122">
        <v>45789.0</v>
      </c>
      <c r="C742" s="33">
        <v>8.0700003088E11</v>
      </c>
      <c r="D742" s="33" t="s">
        <v>8258</v>
      </c>
      <c r="E742" s="33" t="s">
        <v>8259</v>
      </c>
      <c r="F742" s="123" t="s">
        <v>8260</v>
      </c>
      <c r="G742" s="123" t="s">
        <v>247</v>
      </c>
      <c r="H742" s="123">
        <v>4400.0</v>
      </c>
      <c r="I742" s="33" t="s">
        <v>1345</v>
      </c>
      <c r="J742" s="33" t="s">
        <v>3639</v>
      </c>
      <c r="K742" s="33">
        <v>2.0</v>
      </c>
      <c r="L742" s="124" t="s">
        <v>8261</v>
      </c>
      <c r="M742" s="31" t="s">
        <v>8262</v>
      </c>
    </row>
    <row r="743" hidden="1">
      <c r="A743" s="33" t="s">
        <v>8264</v>
      </c>
      <c r="B743" s="122">
        <v>45791.0</v>
      </c>
      <c r="C743" s="33">
        <v>8.07000030891E11</v>
      </c>
      <c r="D743" s="33" t="s">
        <v>8265</v>
      </c>
      <c r="E743" s="33" t="s">
        <v>8266</v>
      </c>
      <c r="F743" s="123" t="s">
        <v>8267</v>
      </c>
      <c r="G743" s="123" t="s">
        <v>1038</v>
      </c>
      <c r="H743" s="123">
        <v>4401.0</v>
      </c>
      <c r="I743" s="33" t="s">
        <v>561</v>
      </c>
      <c r="J743" s="33" t="s">
        <v>8209</v>
      </c>
      <c r="K743" s="33">
        <v>1.0</v>
      </c>
      <c r="L743" s="124" t="s">
        <v>8268</v>
      </c>
      <c r="M743" s="34"/>
    </row>
    <row r="744" hidden="1">
      <c r="A744" s="33" t="s">
        <v>8264</v>
      </c>
      <c r="B744" s="122">
        <v>45791.0</v>
      </c>
      <c r="C744" s="33">
        <v>8.07000030891E11</v>
      </c>
      <c r="D744" s="33" t="s">
        <v>8265</v>
      </c>
      <c r="E744" s="33" t="s">
        <v>8266</v>
      </c>
      <c r="F744" s="123" t="s">
        <v>8267</v>
      </c>
      <c r="G744" s="123" t="s">
        <v>1038</v>
      </c>
      <c r="H744" s="123">
        <v>4401.0</v>
      </c>
      <c r="I744" s="33" t="s">
        <v>512</v>
      </c>
      <c r="J744" s="33" t="s">
        <v>513</v>
      </c>
      <c r="K744" s="33">
        <v>6.0</v>
      </c>
      <c r="L744" s="124" t="s">
        <v>8268</v>
      </c>
      <c r="M744" s="34"/>
    </row>
    <row r="745" hidden="1">
      <c r="A745" s="33" t="s">
        <v>8264</v>
      </c>
      <c r="B745" s="122">
        <v>45791.0</v>
      </c>
      <c r="C745" s="33">
        <v>8.07000030891E11</v>
      </c>
      <c r="D745" s="33" t="s">
        <v>8265</v>
      </c>
      <c r="E745" s="33" t="s">
        <v>8266</v>
      </c>
      <c r="F745" s="123" t="s">
        <v>8267</v>
      </c>
      <c r="G745" s="123" t="s">
        <v>1038</v>
      </c>
      <c r="H745" s="123">
        <v>4401.0</v>
      </c>
      <c r="I745" s="33" t="s">
        <v>35</v>
      </c>
      <c r="J745" s="33" t="s">
        <v>3188</v>
      </c>
      <c r="K745" s="33">
        <v>1.0</v>
      </c>
      <c r="L745" s="124" t="s">
        <v>8268</v>
      </c>
      <c r="M745" s="34"/>
    </row>
    <row r="746" hidden="1">
      <c r="A746" s="33" t="s">
        <v>8269</v>
      </c>
      <c r="B746" s="122">
        <v>45791.0</v>
      </c>
      <c r="C746" s="33">
        <v>8.07000030898E11</v>
      </c>
      <c r="D746" s="33" t="s">
        <v>8270</v>
      </c>
      <c r="E746" s="33" t="s">
        <v>8271</v>
      </c>
      <c r="F746" s="123" t="s">
        <v>8272</v>
      </c>
      <c r="G746" s="123" t="s">
        <v>247</v>
      </c>
      <c r="H746" s="123">
        <v>4400.0</v>
      </c>
      <c r="I746" s="33" t="s">
        <v>2233</v>
      </c>
      <c r="J746" s="33" t="s">
        <v>4158</v>
      </c>
      <c r="K746" s="33">
        <v>1.0</v>
      </c>
      <c r="L746" s="124" t="s">
        <v>8273</v>
      </c>
      <c r="M746" s="34"/>
    </row>
    <row r="747" hidden="1">
      <c r="A747" s="33" t="s">
        <v>8274</v>
      </c>
      <c r="B747" s="122">
        <v>45791.0</v>
      </c>
      <c r="C747" s="33">
        <v>8.07000030901E11</v>
      </c>
      <c r="D747" s="33" t="s">
        <v>8275</v>
      </c>
      <c r="E747" s="33" t="s">
        <v>8276</v>
      </c>
      <c r="F747" s="123" t="s">
        <v>8277</v>
      </c>
      <c r="G747" s="123" t="s">
        <v>247</v>
      </c>
      <c r="H747" s="123">
        <v>4400.0</v>
      </c>
      <c r="I747" s="33" t="s">
        <v>7088</v>
      </c>
      <c r="J747" s="33" t="s">
        <v>8278</v>
      </c>
      <c r="K747" s="33">
        <v>1.0</v>
      </c>
      <c r="L747" s="124" t="s">
        <v>8279</v>
      </c>
      <c r="M747" s="34"/>
    </row>
    <row r="748" hidden="1">
      <c r="A748" s="33" t="s">
        <v>8274</v>
      </c>
      <c r="B748" s="122">
        <v>45791.0</v>
      </c>
      <c r="C748" s="33">
        <v>8.07000030901E11</v>
      </c>
      <c r="D748" s="33" t="s">
        <v>8275</v>
      </c>
      <c r="E748" s="33" t="s">
        <v>8276</v>
      </c>
      <c r="F748" s="123" t="s">
        <v>8277</v>
      </c>
      <c r="G748" s="123" t="s">
        <v>247</v>
      </c>
      <c r="H748" s="123">
        <v>4400.0</v>
      </c>
      <c r="I748" s="33" t="s">
        <v>7091</v>
      </c>
      <c r="J748" s="33" t="s">
        <v>8280</v>
      </c>
      <c r="K748" s="33">
        <v>2.0</v>
      </c>
      <c r="L748" s="124" t="s">
        <v>8279</v>
      </c>
      <c r="M748" s="34"/>
    </row>
    <row r="749" hidden="1">
      <c r="A749" s="33" t="s">
        <v>8281</v>
      </c>
      <c r="B749" s="122">
        <v>45791.0</v>
      </c>
      <c r="C749" s="33">
        <v>8.07000030904E11</v>
      </c>
      <c r="D749" s="33" t="s">
        <v>8282</v>
      </c>
      <c r="E749" s="33" t="s">
        <v>8283</v>
      </c>
      <c r="F749" s="123" t="s">
        <v>8284</v>
      </c>
      <c r="G749" s="123" t="s">
        <v>247</v>
      </c>
      <c r="H749" s="123">
        <v>4400.0</v>
      </c>
      <c r="I749" s="33" t="s">
        <v>1533</v>
      </c>
      <c r="J749" s="33" t="s">
        <v>8151</v>
      </c>
      <c r="K749" s="33">
        <v>1.0</v>
      </c>
      <c r="L749" s="124" t="s">
        <v>8285</v>
      </c>
      <c r="M749" s="34"/>
    </row>
    <row r="750" hidden="1">
      <c r="A750" s="33" t="s">
        <v>8281</v>
      </c>
      <c r="B750" s="122">
        <v>45791.0</v>
      </c>
      <c r="C750" s="33">
        <v>8.07000030904E11</v>
      </c>
      <c r="D750" s="33" t="s">
        <v>8282</v>
      </c>
      <c r="E750" s="33" t="s">
        <v>8283</v>
      </c>
      <c r="F750" s="123" t="s">
        <v>8284</v>
      </c>
      <c r="G750" s="123" t="s">
        <v>247</v>
      </c>
      <c r="H750" s="123">
        <v>4400.0</v>
      </c>
      <c r="I750" s="33" t="s">
        <v>512</v>
      </c>
      <c r="J750" s="33" t="s">
        <v>513</v>
      </c>
      <c r="K750" s="33">
        <v>12.0</v>
      </c>
      <c r="L750" s="124" t="s">
        <v>8285</v>
      </c>
      <c r="M750" s="34"/>
    </row>
    <row r="751" hidden="1">
      <c r="A751" s="33" t="s">
        <v>8281</v>
      </c>
      <c r="B751" s="122">
        <v>45791.0</v>
      </c>
      <c r="C751" s="33">
        <v>8.07000030904E11</v>
      </c>
      <c r="D751" s="33" t="s">
        <v>8282</v>
      </c>
      <c r="E751" s="33" t="s">
        <v>8283</v>
      </c>
      <c r="F751" s="123" t="s">
        <v>8284</v>
      </c>
      <c r="G751" s="123" t="s">
        <v>247</v>
      </c>
      <c r="H751" s="123">
        <v>4400.0</v>
      </c>
      <c r="I751" s="33" t="s">
        <v>121</v>
      </c>
      <c r="J751" s="33" t="s">
        <v>3199</v>
      </c>
      <c r="K751" s="33">
        <v>2.0</v>
      </c>
      <c r="L751" s="124" t="s">
        <v>8285</v>
      </c>
      <c r="M751" s="34"/>
    </row>
    <row r="752" hidden="1">
      <c r="A752" s="33" t="s">
        <v>8286</v>
      </c>
      <c r="B752" s="122">
        <v>45791.0</v>
      </c>
      <c r="C752" s="33">
        <v>8.07000030909E11</v>
      </c>
      <c r="D752" s="33" t="s">
        <v>8287</v>
      </c>
      <c r="E752" s="33" t="s">
        <v>8288</v>
      </c>
      <c r="F752" s="123" t="s">
        <v>8289</v>
      </c>
      <c r="G752" s="123" t="s">
        <v>582</v>
      </c>
      <c r="H752" s="123">
        <v>4407.0</v>
      </c>
      <c r="I752" s="189">
        <v>840241.0</v>
      </c>
      <c r="J752" s="33" t="s">
        <v>8290</v>
      </c>
      <c r="K752" s="33">
        <v>2.0</v>
      </c>
      <c r="L752" s="124" t="s">
        <v>8291</v>
      </c>
      <c r="M752" s="34"/>
    </row>
    <row r="753" hidden="1">
      <c r="A753" s="33" t="s">
        <v>8286</v>
      </c>
      <c r="B753" s="122">
        <v>45791.0</v>
      </c>
      <c r="C753" s="33">
        <v>8.07000030909E11</v>
      </c>
      <c r="D753" s="33" t="s">
        <v>8287</v>
      </c>
      <c r="E753" s="33" t="s">
        <v>8288</v>
      </c>
      <c r="F753" s="123" t="s">
        <v>8289</v>
      </c>
      <c r="G753" s="123" t="s">
        <v>582</v>
      </c>
      <c r="H753" s="123">
        <v>4407.0</v>
      </c>
      <c r="I753" s="33">
        <v>87600.0</v>
      </c>
      <c r="J753" s="33" t="s">
        <v>479</v>
      </c>
      <c r="K753" s="33">
        <v>2.0</v>
      </c>
      <c r="L753" s="124" t="s">
        <v>8291</v>
      </c>
      <c r="M753" s="34"/>
    </row>
    <row r="754" hidden="1">
      <c r="A754" s="33" t="s">
        <v>8292</v>
      </c>
      <c r="B754" s="122">
        <v>45791.0</v>
      </c>
      <c r="C754" s="33">
        <v>8.07000030903E11</v>
      </c>
      <c r="D754" s="33" t="s">
        <v>8196</v>
      </c>
      <c r="E754" s="33" t="s">
        <v>8197</v>
      </c>
      <c r="F754" s="123" t="s">
        <v>8198</v>
      </c>
      <c r="G754" s="123" t="s">
        <v>247</v>
      </c>
      <c r="H754" s="123">
        <v>4400.0</v>
      </c>
      <c r="I754" s="33" t="s">
        <v>3451</v>
      </c>
      <c r="J754" s="33" t="s">
        <v>3452</v>
      </c>
      <c r="K754" s="33">
        <v>1.0</v>
      </c>
      <c r="L754" s="124" t="s">
        <v>8199</v>
      </c>
      <c r="M754" s="34"/>
    </row>
    <row r="755" hidden="1">
      <c r="A755" s="33" t="s">
        <v>8292</v>
      </c>
      <c r="B755" s="122">
        <v>45791.0</v>
      </c>
      <c r="C755" s="33">
        <v>8.07000030903E11</v>
      </c>
      <c r="D755" s="33" t="s">
        <v>8196</v>
      </c>
      <c r="E755" s="33" t="s">
        <v>8197</v>
      </c>
      <c r="F755" s="123" t="s">
        <v>8198</v>
      </c>
      <c r="G755" s="123" t="s">
        <v>247</v>
      </c>
      <c r="H755" s="123">
        <v>4400.0</v>
      </c>
      <c r="I755" s="33" t="s">
        <v>512</v>
      </c>
      <c r="J755" s="33" t="s">
        <v>513</v>
      </c>
      <c r="K755" s="33">
        <v>6.0</v>
      </c>
      <c r="L755" s="124" t="s">
        <v>8199</v>
      </c>
      <c r="M755" s="34"/>
    </row>
    <row r="756" hidden="1">
      <c r="A756" s="33" t="s">
        <v>8292</v>
      </c>
      <c r="B756" s="122">
        <v>45791.0</v>
      </c>
      <c r="C756" s="33">
        <v>8.07000030903E11</v>
      </c>
      <c r="D756" s="33" t="s">
        <v>8196</v>
      </c>
      <c r="E756" s="33" t="s">
        <v>8197</v>
      </c>
      <c r="F756" s="123" t="s">
        <v>8198</v>
      </c>
      <c r="G756" s="123" t="s">
        <v>247</v>
      </c>
      <c r="H756" s="123">
        <v>4400.0</v>
      </c>
      <c r="I756" s="33" t="s">
        <v>670</v>
      </c>
      <c r="J756" s="33" t="s">
        <v>3410</v>
      </c>
      <c r="K756" s="33">
        <v>1.0</v>
      </c>
      <c r="L756" s="124" t="s">
        <v>8199</v>
      </c>
      <c r="M756" s="34"/>
    </row>
    <row r="757" hidden="1">
      <c r="A757" s="33" t="s">
        <v>8293</v>
      </c>
      <c r="B757" s="122">
        <v>45791.0</v>
      </c>
      <c r="C757" s="33">
        <v>8.07000030885E11</v>
      </c>
      <c r="D757" s="33" t="s">
        <v>3812</v>
      </c>
      <c r="E757" s="33" t="s">
        <v>3813</v>
      </c>
      <c r="F757" s="123" t="s">
        <v>8294</v>
      </c>
      <c r="G757" s="123" t="s">
        <v>582</v>
      </c>
      <c r="H757" s="123">
        <v>4400.0</v>
      </c>
      <c r="I757" s="33" t="s">
        <v>8295</v>
      </c>
      <c r="J757" s="33" t="s">
        <v>8296</v>
      </c>
      <c r="K757" s="33">
        <v>3.0</v>
      </c>
      <c r="L757" s="124" t="s">
        <v>8297</v>
      </c>
      <c r="M757" s="34"/>
    </row>
    <row r="758" hidden="1">
      <c r="A758" s="33" t="s">
        <v>8298</v>
      </c>
      <c r="B758" s="122">
        <v>45791.0</v>
      </c>
      <c r="C758" s="33">
        <v>8.07000030899E11</v>
      </c>
      <c r="D758" s="33" t="s">
        <v>8299</v>
      </c>
      <c r="E758" s="33" t="s">
        <v>8300</v>
      </c>
      <c r="F758" s="123" t="s">
        <v>8301</v>
      </c>
      <c r="G758" s="123" t="s">
        <v>247</v>
      </c>
      <c r="H758" s="123">
        <v>4400.0</v>
      </c>
      <c r="I758" s="33" t="s">
        <v>7088</v>
      </c>
      <c r="J758" s="33" t="s">
        <v>8278</v>
      </c>
      <c r="K758" s="33">
        <v>1.0</v>
      </c>
      <c r="L758" s="124" t="s">
        <v>8302</v>
      </c>
      <c r="M758" s="34"/>
    </row>
    <row r="759" hidden="1">
      <c r="A759" s="33" t="s">
        <v>8298</v>
      </c>
      <c r="B759" s="122">
        <v>45791.0</v>
      </c>
      <c r="C759" s="33">
        <v>8.07000030899E11</v>
      </c>
      <c r="D759" s="33" t="s">
        <v>8299</v>
      </c>
      <c r="E759" s="33" t="s">
        <v>8300</v>
      </c>
      <c r="F759" s="123" t="s">
        <v>8301</v>
      </c>
      <c r="G759" s="123" t="s">
        <v>247</v>
      </c>
      <c r="H759" s="123">
        <v>4400.0</v>
      </c>
      <c r="I759" s="33" t="s">
        <v>7091</v>
      </c>
      <c r="J759" s="33" t="s">
        <v>8280</v>
      </c>
      <c r="K759" s="33">
        <v>2.0</v>
      </c>
      <c r="L759" s="124" t="s">
        <v>8302</v>
      </c>
      <c r="M759" s="34"/>
    </row>
    <row r="760" hidden="1">
      <c r="A760" s="33" t="s">
        <v>8303</v>
      </c>
      <c r="B760" s="122">
        <v>45791.0</v>
      </c>
      <c r="C760" s="33">
        <v>8.07000030911E11</v>
      </c>
      <c r="D760" s="33" t="s">
        <v>8304</v>
      </c>
      <c r="E760" s="33" t="s">
        <v>8305</v>
      </c>
      <c r="F760" s="123" t="s">
        <v>8306</v>
      </c>
      <c r="G760" s="123" t="s">
        <v>247</v>
      </c>
      <c r="H760" s="123">
        <v>4400.0</v>
      </c>
      <c r="I760" s="33" t="s">
        <v>1379</v>
      </c>
      <c r="J760" s="33" t="s">
        <v>7653</v>
      </c>
      <c r="K760" s="33">
        <v>1.0</v>
      </c>
      <c r="L760" s="124" t="s">
        <v>8307</v>
      </c>
      <c r="M760" s="34"/>
    </row>
    <row r="761" hidden="1">
      <c r="A761" s="33" t="s">
        <v>8308</v>
      </c>
      <c r="B761" s="122">
        <v>45791.0</v>
      </c>
      <c r="C761" s="33">
        <v>8.07000030906E11</v>
      </c>
      <c r="D761" s="33" t="s">
        <v>8309</v>
      </c>
      <c r="E761" s="33" t="s">
        <v>8310</v>
      </c>
      <c r="F761" s="123" t="s">
        <v>8311</v>
      </c>
      <c r="G761" s="123" t="s">
        <v>247</v>
      </c>
      <c r="H761" s="123">
        <v>4400.0</v>
      </c>
      <c r="I761" s="33" t="s">
        <v>659</v>
      </c>
      <c r="J761" s="33" t="s">
        <v>3468</v>
      </c>
      <c r="K761" s="33">
        <v>1.0</v>
      </c>
      <c r="L761" s="124" t="s">
        <v>8312</v>
      </c>
      <c r="M761" s="34"/>
    </row>
    <row r="762" hidden="1">
      <c r="A762" s="33" t="s">
        <v>8308</v>
      </c>
      <c r="B762" s="122">
        <v>45791.0</v>
      </c>
      <c r="C762" s="33">
        <v>8.07000030906E11</v>
      </c>
      <c r="D762" s="33" t="s">
        <v>8309</v>
      </c>
      <c r="E762" s="33" t="s">
        <v>8310</v>
      </c>
      <c r="F762" s="123" t="s">
        <v>8311</v>
      </c>
      <c r="G762" s="123" t="s">
        <v>247</v>
      </c>
      <c r="H762" s="123">
        <v>4400.0</v>
      </c>
      <c r="I762" s="33" t="s">
        <v>512</v>
      </c>
      <c r="J762" s="33" t="s">
        <v>513</v>
      </c>
      <c r="K762" s="33">
        <v>6.0</v>
      </c>
      <c r="L762" s="124" t="s">
        <v>8312</v>
      </c>
      <c r="M762" s="34"/>
    </row>
    <row r="763" hidden="1">
      <c r="A763" s="33" t="s">
        <v>8308</v>
      </c>
      <c r="B763" s="122">
        <v>45791.0</v>
      </c>
      <c r="C763" s="33">
        <v>8.07000030906E11</v>
      </c>
      <c r="D763" s="33" t="s">
        <v>8309</v>
      </c>
      <c r="E763" s="33" t="s">
        <v>8310</v>
      </c>
      <c r="F763" s="123" t="s">
        <v>8311</v>
      </c>
      <c r="G763" s="123" t="s">
        <v>247</v>
      </c>
      <c r="H763" s="123">
        <v>4400.0</v>
      </c>
      <c r="I763" s="33" t="s">
        <v>35</v>
      </c>
      <c r="J763" s="33" t="s">
        <v>3188</v>
      </c>
      <c r="K763" s="33">
        <v>1.0</v>
      </c>
      <c r="L763" s="124" t="s">
        <v>8312</v>
      </c>
      <c r="M763" s="34"/>
    </row>
    <row r="764" hidden="1">
      <c r="A764" s="33" t="s">
        <v>8313</v>
      </c>
      <c r="B764" s="122">
        <v>45791.0</v>
      </c>
      <c r="C764" s="33">
        <v>8.07000030907E11</v>
      </c>
      <c r="D764" s="33" t="s">
        <v>8314</v>
      </c>
      <c r="E764" s="33" t="s">
        <v>8315</v>
      </c>
      <c r="F764" s="123" t="s">
        <v>8316</v>
      </c>
      <c r="G764" s="123" t="s">
        <v>247</v>
      </c>
      <c r="H764" s="123">
        <v>4400.0</v>
      </c>
      <c r="I764" s="33" t="s">
        <v>3025</v>
      </c>
      <c r="J764" s="33" t="s">
        <v>3493</v>
      </c>
      <c r="K764" s="33">
        <v>1.0</v>
      </c>
      <c r="L764" s="124" t="s">
        <v>8317</v>
      </c>
      <c r="M764" s="34"/>
    </row>
    <row r="765" hidden="1">
      <c r="A765" s="33" t="s">
        <v>8313</v>
      </c>
      <c r="B765" s="122">
        <v>45791.0</v>
      </c>
      <c r="C765" s="33">
        <v>8.07000030907E11</v>
      </c>
      <c r="D765" s="33" t="s">
        <v>8314</v>
      </c>
      <c r="E765" s="33" t="s">
        <v>8315</v>
      </c>
      <c r="F765" s="123" t="s">
        <v>8316</v>
      </c>
      <c r="G765" s="123" t="s">
        <v>247</v>
      </c>
      <c r="H765" s="123">
        <v>4400.0</v>
      </c>
      <c r="I765" s="33" t="s">
        <v>512</v>
      </c>
      <c r="J765" s="33" t="s">
        <v>513</v>
      </c>
      <c r="K765" s="33">
        <v>6.0</v>
      </c>
      <c r="L765" s="124" t="s">
        <v>8317</v>
      </c>
      <c r="M765" s="34"/>
    </row>
    <row r="766" hidden="1">
      <c r="A766" s="33" t="s">
        <v>8313</v>
      </c>
      <c r="B766" s="122">
        <v>45791.0</v>
      </c>
      <c r="C766" s="33">
        <v>8.07000030907E11</v>
      </c>
      <c r="D766" s="33" t="s">
        <v>8314</v>
      </c>
      <c r="E766" s="33" t="s">
        <v>8315</v>
      </c>
      <c r="F766" s="123" t="s">
        <v>8316</v>
      </c>
      <c r="G766" s="123" t="s">
        <v>247</v>
      </c>
      <c r="H766" s="123">
        <v>4400.0</v>
      </c>
      <c r="I766" s="33" t="s">
        <v>2031</v>
      </c>
      <c r="J766" s="33" t="s">
        <v>3348</v>
      </c>
      <c r="K766" s="33">
        <v>1.0</v>
      </c>
      <c r="L766" s="124" t="s">
        <v>8317</v>
      </c>
      <c r="M766" s="34"/>
    </row>
    <row r="767" hidden="1">
      <c r="A767" s="33" t="s">
        <v>8318</v>
      </c>
      <c r="B767" s="122">
        <v>45791.0</v>
      </c>
      <c r="C767" s="33">
        <v>8.07000030942E11</v>
      </c>
      <c r="D767" s="33" t="s">
        <v>8319</v>
      </c>
      <c r="E767" s="33" t="s">
        <v>8320</v>
      </c>
      <c r="F767" s="123" t="s">
        <v>8321</v>
      </c>
      <c r="G767" s="123" t="s">
        <v>247</v>
      </c>
      <c r="H767" s="123">
        <v>4400.0</v>
      </c>
      <c r="I767" s="33" t="s">
        <v>985</v>
      </c>
      <c r="J767" s="33" t="s">
        <v>3600</v>
      </c>
      <c r="K767" s="33">
        <v>1.0</v>
      </c>
      <c r="L767" s="124" t="s">
        <v>8322</v>
      </c>
      <c r="M767" s="34"/>
    </row>
    <row r="768" hidden="1">
      <c r="A768" s="108" t="s">
        <v>8323</v>
      </c>
      <c r="B768" s="173">
        <v>45792.0</v>
      </c>
      <c r="C768" s="33">
        <v>8.07000030957E11</v>
      </c>
      <c r="D768" s="33" t="s">
        <v>8324</v>
      </c>
      <c r="E768" s="33" t="s">
        <v>8325</v>
      </c>
      <c r="F768" s="123" t="s">
        <v>8326</v>
      </c>
      <c r="G768" s="123" t="s">
        <v>247</v>
      </c>
      <c r="H768" s="123">
        <v>4400.0</v>
      </c>
      <c r="I768" s="33" t="s">
        <v>1083</v>
      </c>
      <c r="J768" s="33" t="s">
        <v>4426</v>
      </c>
      <c r="K768" s="33">
        <v>1.0</v>
      </c>
      <c r="L768" s="124" t="s">
        <v>8327</v>
      </c>
      <c r="M768" s="34"/>
    </row>
    <row r="769" hidden="1">
      <c r="A769" s="108" t="s">
        <v>8323</v>
      </c>
      <c r="B769" s="173">
        <v>45792.0</v>
      </c>
      <c r="C769" s="33">
        <v>8.07000030957E11</v>
      </c>
      <c r="D769" s="33" t="s">
        <v>8324</v>
      </c>
      <c r="E769" s="33" t="s">
        <v>8325</v>
      </c>
      <c r="F769" s="123" t="s">
        <v>8326</v>
      </c>
      <c r="G769" s="123" t="s">
        <v>247</v>
      </c>
      <c r="H769" s="123">
        <v>4400.0</v>
      </c>
      <c r="I769" s="33" t="s">
        <v>512</v>
      </c>
      <c r="J769" s="33" t="s">
        <v>513</v>
      </c>
      <c r="K769" s="33">
        <v>12.0</v>
      </c>
      <c r="L769" s="124" t="s">
        <v>8327</v>
      </c>
      <c r="M769" s="34"/>
    </row>
    <row r="770" hidden="1">
      <c r="A770" s="108" t="s">
        <v>8323</v>
      </c>
      <c r="B770" s="173">
        <v>45792.0</v>
      </c>
      <c r="C770" s="33">
        <v>8.07000030957E11</v>
      </c>
      <c r="D770" s="33" t="s">
        <v>8324</v>
      </c>
      <c r="E770" s="33" t="s">
        <v>8325</v>
      </c>
      <c r="F770" s="123" t="s">
        <v>8326</v>
      </c>
      <c r="G770" s="123" t="s">
        <v>247</v>
      </c>
      <c r="H770" s="123">
        <v>4400.0</v>
      </c>
      <c r="I770" s="33" t="s">
        <v>121</v>
      </c>
      <c r="J770" s="33" t="s">
        <v>3199</v>
      </c>
      <c r="K770" s="33">
        <v>2.0</v>
      </c>
      <c r="L770" s="124" t="s">
        <v>8327</v>
      </c>
      <c r="M770" s="34"/>
    </row>
    <row r="771" hidden="1">
      <c r="A771" s="33" t="s">
        <v>8328</v>
      </c>
      <c r="B771" s="122">
        <v>45792.0</v>
      </c>
      <c r="C771" s="33">
        <v>8.07000030959E11</v>
      </c>
      <c r="D771" s="33" t="s">
        <v>8329</v>
      </c>
      <c r="E771" s="33" t="s">
        <v>8330</v>
      </c>
      <c r="F771" s="123" t="s">
        <v>8331</v>
      </c>
      <c r="G771" s="123" t="s">
        <v>624</v>
      </c>
      <c r="H771" s="123">
        <v>4403.0</v>
      </c>
      <c r="I771" s="33" t="s">
        <v>3074</v>
      </c>
      <c r="J771" s="33" t="s">
        <v>3232</v>
      </c>
      <c r="K771" s="33">
        <v>1.0</v>
      </c>
      <c r="L771" s="124" t="s">
        <v>8332</v>
      </c>
      <c r="M771" s="34"/>
    </row>
    <row r="772" hidden="1">
      <c r="A772" s="33" t="s">
        <v>8328</v>
      </c>
      <c r="B772" s="122">
        <v>45792.0</v>
      </c>
      <c r="C772" s="33">
        <v>8.07000030959E11</v>
      </c>
      <c r="D772" s="33" t="s">
        <v>8329</v>
      </c>
      <c r="E772" s="33" t="s">
        <v>8330</v>
      </c>
      <c r="F772" s="123" t="s">
        <v>8331</v>
      </c>
      <c r="G772" s="123" t="s">
        <v>624</v>
      </c>
      <c r="H772" s="123">
        <v>4403.0</v>
      </c>
      <c r="I772" s="33" t="s">
        <v>512</v>
      </c>
      <c r="J772" s="33" t="s">
        <v>513</v>
      </c>
      <c r="K772" s="33">
        <v>6.0</v>
      </c>
      <c r="L772" s="124" t="s">
        <v>8332</v>
      </c>
      <c r="M772" s="34"/>
    </row>
    <row r="773" hidden="1">
      <c r="A773" s="33" t="s">
        <v>8328</v>
      </c>
      <c r="B773" s="122">
        <v>45792.0</v>
      </c>
      <c r="C773" s="33">
        <v>8.07000030959E11</v>
      </c>
      <c r="D773" s="33" t="s">
        <v>8329</v>
      </c>
      <c r="E773" s="33" t="s">
        <v>8330</v>
      </c>
      <c r="F773" s="123" t="s">
        <v>8331</v>
      </c>
      <c r="G773" s="123" t="s">
        <v>624</v>
      </c>
      <c r="H773" s="123">
        <v>4403.0</v>
      </c>
      <c r="I773" s="55" t="s">
        <v>670</v>
      </c>
      <c r="J773" s="33" t="s">
        <v>3410</v>
      </c>
      <c r="K773" s="33">
        <v>1.0</v>
      </c>
      <c r="L773" s="124" t="s">
        <v>8332</v>
      </c>
      <c r="M773" s="34"/>
    </row>
    <row r="774" hidden="1">
      <c r="A774" s="33" t="s">
        <v>8333</v>
      </c>
      <c r="B774" s="122">
        <v>45792.0</v>
      </c>
      <c r="C774" s="33">
        <v>8.07000030963E11</v>
      </c>
      <c r="D774" s="33" t="s">
        <v>8334</v>
      </c>
      <c r="E774" s="33" t="s">
        <v>8335</v>
      </c>
      <c r="F774" s="123" t="s">
        <v>8336</v>
      </c>
      <c r="G774" s="123" t="s">
        <v>247</v>
      </c>
      <c r="H774" s="123">
        <v>4400.0</v>
      </c>
      <c r="I774" s="33">
        <v>185906.0</v>
      </c>
      <c r="J774" s="33" t="s">
        <v>8337</v>
      </c>
      <c r="K774" s="33">
        <v>1.0</v>
      </c>
      <c r="L774" s="124" t="s">
        <v>8338</v>
      </c>
      <c r="M774" s="34"/>
    </row>
    <row r="775" hidden="1">
      <c r="A775" s="33" t="s">
        <v>8333</v>
      </c>
      <c r="B775" s="122">
        <v>45792.0</v>
      </c>
      <c r="C775" s="33">
        <v>8.07000030963E11</v>
      </c>
      <c r="D775" s="33" t="s">
        <v>8334</v>
      </c>
      <c r="E775" s="33" t="s">
        <v>8335</v>
      </c>
      <c r="F775" s="123" t="s">
        <v>8336</v>
      </c>
      <c r="G775" s="123" t="s">
        <v>247</v>
      </c>
      <c r="H775" s="123">
        <v>4400.0</v>
      </c>
      <c r="I775" s="33" t="s">
        <v>7371</v>
      </c>
      <c r="J775" s="33" t="s">
        <v>8339</v>
      </c>
      <c r="K775" s="33">
        <v>2.0</v>
      </c>
      <c r="L775" s="124" t="s">
        <v>8338</v>
      </c>
      <c r="M775" s="34"/>
    </row>
    <row r="776" hidden="1">
      <c r="A776" s="33" t="s">
        <v>8340</v>
      </c>
      <c r="B776" s="122">
        <v>45792.0</v>
      </c>
      <c r="C776" s="33">
        <v>8.0700003097E11</v>
      </c>
      <c r="D776" s="33" t="s">
        <v>8341</v>
      </c>
      <c r="E776" s="33" t="s">
        <v>8342</v>
      </c>
      <c r="F776" s="123" t="s">
        <v>8343</v>
      </c>
      <c r="G776" s="123" t="s">
        <v>247</v>
      </c>
      <c r="H776" s="123">
        <v>4400.0</v>
      </c>
      <c r="I776" s="33" t="s">
        <v>812</v>
      </c>
      <c r="J776" s="33" t="s">
        <v>3564</v>
      </c>
      <c r="K776" s="33">
        <v>1.0</v>
      </c>
      <c r="L776" s="124" t="s">
        <v>8344</v>
      </c>
      <c r="M776" s="34"/>
    </row>
    <row r="777" hidden="1">
      <c r="A777" s="33" t="s">
        <v>8340</v>
      </c>
      <c r="B777" s="122">
        <v>45792.0</v>
      </c>
      <c r="C777" s="33">
        <v>8.0700003097E11</v>
      </c>
      <c r="D777" s="33" t="s">
        <v>8341</v>
      </c>
      <c r="E777" s="33" t="s">
        <v>8342</v>
      </c>
      <c r="F777" s="123" t="s">
        <v>8343</v>
      </c>
      <c r="G777" s="123" t="s">
        <v>247</v>
      </c>
      <c r="H777" s="123">
        <v>4400.0</v>
      </c>
      <c r="I777" s="33" t="s">
        <v>512</v>
      </c>
      <c r="J777" s="33" t="s">
        <v>513</v>
      </c>
      <c r="K777" s="33">
        <v>6.0</v>
      </c>
      <c r="L777" s="124" t="s">
        <v>8344</v>
      </c>
      <c r="M777" s="34"/>
    </row>
    <row r="778" hidden="1">
      <c r="A778" s="33" t="s">
        <v>8340</v>
      </c>
      <c r="B778" s="122">
        <v>45792.0</v>
      </c>
      <c r="C778" s="33">
        <v>8.0700003097E11</v>
      </c>
      <c r="D778" s="33" t="s">
        <v>8341</v>
      </c>
      <c r="E778" s="33" t="s">
        <v>8342</v>
      </c>
      <c r="F778" s="123" t="s">
        <v>8343</v>
      </c>
      <c r="G778" s="123" t="s">
        <v>247</v>
      </c>
      <c r="H778" s="123">
        <v>4400.0</v>
      </c>
      <c r="I778" s="33" t="s">
        <v>35</v>
      </c>
      <c r="J778" s="33" t="s">
        <v>3188</v>
      </c>
      <c r="K778" s="33">
        <v>1.0</v>
      </c>
      <c r="L778" s="124" t="s">
        <v>8344</v>
      </c>
      <c r="M778" s="34"/>
    </row>
    <row r="779" hidden="1">
      <c r="A779" s="33" t="s">
        <v>8340</v>
      </c>
      <c r="B779" s="122">
        <v>45792.0</v>
      </c>
      <c r="C779" s="33">
        <v>8.07000030971E11</v>
      </c>
      <c r="D779" s="33" t="s">
        <v>8341</v>
      </c>
      <c r="E779" s="33" t="s">
        <v>8342</v>
      </c>
      <c r="F779" s="123" t="s">
        <v>8343</v>
      </c>
      <c r="G779" s="123" t="s">
        <v>247</v>
      </c>
      <c r="H779" s="123">
        <v>4400.0</v>
      </c>
      <c r="I779" s="33">
        <v>125809.0</v>
      </c>
      <c r="J779" s="33" t="s">
        <v>2632</v>
      </c>
      <c r="K779" s="33">
        <v>2.0</v>
      </c>
      <c r="L779" s="124" t="s">
        <v>8344</v>
      </c>
      <c r="M779" s="34"/>
    </row>
    <row r="780" hidden="1">
      <c r="A780" s="33" t="s">
        <v>8345</v>
      </c>
      <c r="B780" s="122">
        <v>45792.0</v>
      </c>
      <c r="C780" s="33">
        <v>8.07000030978E11</v>
      </c>
      <c r="D780" s="33" t="s">
        <v>8346</v>
      </c>
      <c r="E780" s="33" t="s">
        <v>8347</v>
      </c>
      <c r="F780" s="145" t="s">
        <v>8348</v>
      </c>
      <c r="G780" s="123" t="s">
        <v>247</v>
      </c>
      <c r="H780" s="123">
        <v>4400.0</v>
      </c>
      <c r="I780" s="33" t="s">
        <v>3131</v>
      </c>
      <c r="J780" s="33" t="s">
        <v>3416</v>
      </c>
      <c r="K780" s="33">
        <v>1.0</v>
      </c>
      <c r="L780" s="124" t="s">
        <v>8349</v>
      </c>
      <c r="M780" s="34"/>
    </row>
    <row r="781" hidden="1">
      <c r="A781" s="33" t="s">
        <v>8345</v>
      </c>
      <c r="B781" s="122">
        <v>45792.0</v>
      </c>
      <c r="C781" s="33">
        <v>8.07000030978E11</v>
      </c>
      <c r="D781" s="33" t="s">
        <v>8346</v>
      </c>
      <c r="E781" s="33" t="s">
        <v>8347</v>
      </c>
      <c r="F781" s="145" t="s">
        <v>8348</v>
      </c>
      <c r="G781" s="123" t="s">
        <v>247</v>
      </c>
      <c r="H781" s="123">
        <v>4400.0</v>
      </c>
      <c r="I781" s="33" t="s">
        <v>512</v>
      </c>
      <c r="J781" s="33" t="s">
        <v>513</v>
      </c>
      <c r="K781" s="33">
        <v>6.0</v>
      </c>
      <c r="L781" s="124" t="s">
        <v>8349</v>
      </c>
      <c r="M781" s="34"/>
    </row>
    <row r="782" hidden="1">
      <c r="A782" s="33" t="s">
        <v>8345</v>
      </c>
      <c r="B782" s="122">
        <v>45792.0</v>
      </c>
      <c r="C782" s="33">
        <v>8.07000030978E11</v>
      </c>
      <c r="D782" s="33" t="s">
        <v>8346</v>
      </c>
      <c r="E782" s="33" t="s">
        <v>8347</v>
      </c>
      <c r="F782" s="145" t="s">
        <v>8348</v>
      </c>
      <c r="G782" s="123" t="s">
        <v>247</v>
      </c>
      <c r="H782" s="123">
        <v>4400.0</v>
      </c>
      <c r="I782" s="33" t="s">
        <v>35</v>
      </c>
      <c r="J782" s="33" t="s">
        <v>3188</v>
      </c>
      <c r="K782" s="33">
        <v>1.0</v>
      </c>
      <c r="L782" s="124" t="s">
        <v>8349</v>
      </c>
      <c r="M782" s="34"/>
    </row>
    <row r="783" hidden="1">
      <c r="A783" s="33" t="s">
        <v>8350</v>
      </c>
      <c r="B783" s="122">
        <v>45792.0</v>
      </c>
      <c r="C783" s="33">
        <v>8.07000030984E11</v>
      </c>
      <c r="D783" s="33" t="s">
        <v>8351</v>
      </c>
      <c r="E783" s="33" t="s">
        <v>8352</v>
      </c>
      <c r="F783" s="123" t="s">
        <v>8353</v>
      </c>
      <c r="G783" s="123" t="s">
        <v>247</v>
      </c>
      <c r="H783" s="123">
        <v>4400.0</v>
      </c>
      <c r="I783" s="33" t="s">
        <v>2956</v>
      </c>
      <c r="J783" s="33" t="s">
        <v>3327</v>
      </c>
      <c r="K783" s="33">
        <v>1.0</v>
      </c>
      <c r="L783" s="124" t="s">
        <v>8354</v>
      </c>
      <c r="M783" s="34"/>
    </row>
    <row r="784" hidden="1">
      <c r="A784" s="33" t="s">
        <v>8350</v>
      </c>
      <c r="B784" s="122">
        <v>45792.0</v>
      </c>
      <c r="C784" s="33">
        <v>8.07000030984E11</v>
      </c>
      <c r="D784" s="33" t="s">
        <v>8351</v>
      </c>
      <c r="E784" s="33" t="s">
        <v>8352</v>
      </c>
      <c r="F784" s="123" t="s">
        <v>8353</v>
      </c>
      <c r="G784" s="123" t="s">
        <v>247</v>
      </c>
      <c r="H784" s="123">
        <v>4400.0</v>
      </c>
      <c r="I784" s="33" t="s">
        <v>670</v>
      </c>
      <c r="J784" s="33" t="s">
        <v>3410</v>
      </c>
      <c r="K784" s="33">
        <v>1.0</v>
      </c>
      <c r="L784" s="124" t="s">
        <v>8354</v>
      </c>
      <c r="M784" s="34"/>
    </row>
    <row r="785" hidden="1">
      <c r="A785" s="33" t="s">
        <v>8355</v>
      </c>
      <c r="B785" s="122">
        <v>45792.0</v>
      </c>
      <c r="C785" s="33">
        <v>8.07000030985E11</v>
      </c>
      <c r="D785" s="33" t="s">
        <v>8356</v>
      </c>
      <c r="E785" s="33" t="s">
        <v>8357</v>
      </c>
      <c r="F785" s="123" t="s">
        <v>8358</v>
      </c>
      <c r="G785" s="123" t="s">
        <v>247</v>
      </c>
      <c r="H785" s="123">
        <v>4400.0</v>
      </c>
      <c r="I785" s="33" t="s">
        <v>2686</v>
      </c>
      <c r="J785" s="33" t="s">
        <v>7670</v>
      </c>
      <c r="K785" s="33">
        <v>1.0</v>
      </c>
      <c r="L785" s="124" t="s">
        <v>8359</v>
      </c>
      <c r="M785" s="34"/>
    </row>
    <row r="786" hidden="1">
      <c r="A786" s="33" t="s">
        <v>8360</v>
      </c>
      <c r="B786" s="122">
        <v>45792.0</v>
      </c>
      <c r="C786" s="33">
        <v>8.07000030988E11</v>
      </c>
      <c r="D786" s="33" t="s">
        <v>8361</v>
      </c>
      <c r="E786" s="33" t="s">
        <v>8362</v>
      </c>
      <c r="F786" s="123" t="s">
        <v>8363</v>
      </c>
      <c r="G786" s="123" t="s">
        <v>582</v>
      </c>
      <c r="H786" s="123">
        <v>4407.0</v>
      </c>
      <c r="I786" s="33" t="s">
        <v>659</v>
      </c>
      <c r="J786" s="33" t="s">
        <v>3468</v>
      </c>
      <c r="K786" s="33">
        <v>1.0</v>
      </c>
      <c r="L786" s="124" t="s">
        <v>8364</v>
      </c>
      <c r="M786" s="34"/>
    </row>
    <row r="787" hidden="1">
      <c r="A787" s="108" t="s">
        <v>8365</v>
      </c>
      <c r="B787" s="173">
        <v>45792.0</v>
      </c>
      <c r="C787" s="33">
        <v>8.07000030991E11</v>
      </c>
      <c r="D787" s="33" t="s">
        <v>8366</v>
      </c>
      <c r="E787" s="33" t="s">
        <v>8367</v>
      </c>
      <c r="F787" s="123" t="s">
        <v>8368</v>
      </c>
      <c r="G787" s="123" t="s">
        <v>247</v>
      </c>
      <c r="H787" s="123">
        <v>4400.0</v>
      </c>
      <c r="I787" s="33">
        <v>208004.0</v>
      </c>
      <c r="J787" s="33" t="s">
        <v>8369</v>
      </c>
      <c r="K787" s="33">
        <v>1.0</v>
      </c>
      <c r="L787" s="124" t="s">
        <v>8370</v>
      </c>
      <c r="M787" s="34"/>
    </row>
    <row r="788" hidden="1">
      <c r="A788" s="108" t="s">
        <v>8365</v>
      </c>
      <c r="B788" s="173">
        <v>45792.0</v>
      </c>
      <c r="C788" s="33">
        <v>8.07000030991E11</v>
      </c>
      <c r="D788" s="33" t="s">
        <v>8366</v>
      </c>
      <c r="E788" s="33" t="s">
        <v>8367</v>
      </c>
      <c r="F788" s="123" t="s">
        <v>8368</v>
      </c>
      <c r="G788" s="123" t="s">
        <v>247</v>
      </c>
      <c r="H788" s="123">
        <v>4400.0</v>
      </c>
      <c r="I788" s="33" t="s">
        <v>8371</v>
      </c>
      <c r="J788" s="33" t="s">
        <v>8372</v>
      </c>
      <c r="K788" s="33">
        <v>1.0</v>
      </c>
      <c r="L788" s="124" t="s">
        <v>8370</v>
      </c>
      <c r="M788" s="34"/>
    </row>
    <row r="789" hidden="1">
      <c r="A789" s="108" t="s">
        <v>8365</v>
      </c>
      <c r="B789" s="173">
        <v>45792.0</v>
      </c>
      <c r="C789" s="33">
        <v>8.07000030991E11</v>
      </c>
      <c r="D789" s="33" t="s">
        <v>8366</v>
      </c>
      <c r="E789" s="33" t="s">
        <v>8367</v>
      </c>
      <c r="F789" s="123" t="s">
        <v>8368</v>
      </c>
      <c r="G789" s="123" t="s">
        <v>247</v>
      </c>
      <c r="H789" s="123">
        <v>4400.0</v>
      </c>
      <c r="I789" s="33">
        <v>87600.0</v>
      </c>
      <c r="J789" s="33" t="s">
        <v>479</v>
      </c>
      <c r="K789" s="33">
        <v>1.0</v>
      </c>
      <c r="L789" s="124" t="s">
        <v>8370</v>
      </c>
      <c r="M789" s="34"/>
    </row>
    <row r="790" hidden="1">
      <c r="A790" s="108" t="s">
        <v>8373</v>
      </c>
      <c r="B790" s="173">
        <v>45792.0</v>
      </c>
      <c r="C790" s="33">
        <v>8.07000030991E11</v>
      </c>
      <c r="D790" s="33" t="s">
        <v>8366</v>
      </c>
      <c r="E790" s="33" t="s">
        <v>8367</v>
      </c>
      <c r="F790" s="123" t="s">
        <v>8368</v>
      </c>
      <c r="G790" s="123" t="s">
        <v>247</v>
      </c>
      <c r="H790" s="123">
        <v>4400.0</v>
      </c>
      <c r="I790" s="33">
        <v>203704.0</v>
      </c>
      <c r="J790" s="33" t="s">
        <v>8374</v>
      </c>
      <c r="K790" s="33">
        <v>1.0</v>
      </c>
      <c r="L790" s="124" t="s">
        <v>8370</v>
      </c>
      <c r="M790" s="34"/>
    </row>
    <row r="791" hidden="1">
      <c r="A791" s="33" t="s">
        <v>8375</v>
      </c>
      <c r="B791" s="122">
        <v>45792.0</v>
      </c>
      <c r="C791" s="33">
        <v>8.07000030999E11</v>
      </c>
      <c r="D791" s="33" t="s">
        <v>8376</v>
      </c>
      <c r="E791" s="33" t="s">
        <v>8377</v>
      </c>
      <c r="F791" s="123" t="s">
        <v>8378</v>
      </c>
      <c r="G791" s="123" t="s">
        <v>624</v>
      </c>
      <c r="H791" s="123">
        <v>4403.0</v>
      </c>
      <c r="I791" s="33" t="s">
        <v>561</v>
      </c>
      <c r="J791" s="33" t="s">
        <v>8209</v>
      </c>
      <c r="K791" s="33">
        <v>1.0</v>
      </c>
      <c r="L791" s="124" t="s">
        <v>8379</v>
      </c>
      <c r="M791" s="34"/>
    </row>
    <row r="792" hidden="1">
      <c r="A792" s="33" t="s">
        <v>8375</v>
      </c>
      <c r="B792" s="122">
        <v>45792.0</v>
      </c>
      <c r="C792" s="33">
        <v>8.07000030999E11</v>
      </c>
      <c r="D792" s="33" t="s">
        <v>8376</v>
      </c>
      <c r="E792" s="33" t="s">
        <v>8377</v>
      </c>
      <c r="F792" s="123" t="s">
        <v>8378</v>
      </c>
      <c r="G792" s="123" t="s">
        <v>624</v>
      </c>
      <c r="H792" s="123">
        <v>4403.0</v>
      </c>
      <c r="I792" s="33" t="s">
        <v>512</v>
      </c>
      <c r="J792" s="33" t="s">
        <v>513</v>
      </c>
      <c r="K792" s="33">
        <v>6.0</v>
      </c>
      <c r="L792" s="124" t="s">
        <v>8379</v>
      </c>
      <c r="M792" s="34"/>
    </row>
    <row r="793" hidden="1">
      <c r="A793" s="33" t="s">
        <v>8375</v>
      </c>
      <c r="B793" s="122">
        <v>45792.0</v>
      </c>
      <c r="C793" s="33">
        <v>8.07000030999E11</v>
      </c>
      <c r="D793" s="33" t="s">
        <v>8376</v>
      </c>
      <c r="E793" s="33" t="s">
        <v>8377</v>
      </c>
      <c r="F793" s="123" t="s">
        <v>8378</v>
      </c>
      <c r="G793" s="123" t="s">
        <v>624</v>
      </c>
      <c r="H793" s="123">
        <v>4403.0</v>
      </c>
      <c r="I793" s="33" t="s">
        <v>35</v>
      </c>
      <c r="J793" s="33" t="s">
        <v>3188</v>
      </c>
      <c r="K793" s="33">
        <v>1.0</v>
      </c>
      <c r="L793" s="124" t="s">
        <v>8379</v>
      </c>
      <c r="M793" s="34"/>
    </row>
    <row r="794" hidden="1">
      <c r="A794" s="33" t="s">
        <v>8380</v>
      </c>
      <c r="B794" s="122">
        <v>45792.0</v>
      </c>
      <c r="C794" s="33">
        <v>8.07000030948E11</v>
      </c>
      <c r="D794" s="33" t="s">
        <v>8381</v>
      </c>
      <c r="E794" s="33" t="s">
        <v>8382</v>
      </c>
      <c r="F794" s="123" t="s">
        <v>8383</v>
      </c>
      <c r="G794" s="123" t="s">
        <v>247</v>
      </c>
      <c r="H794" s="123">
        <v>4400.0</v>
      </c>
      <c r="I794" s="33" t="s">
        <v>561</v>
      </c>
      <c r="J794" s="33" t="s">
        <v>8209</v>
      </c>
      <c r="K794" s="33">
        <v>1.0</v>
      </c>
      <c r="L794" s="124" t="s">
        <v>8384</v>
      </c>
      <c r="M794" s="34"/>
    </row>
    <row r="795" hidden="1">
      <c r="A795" s="33" t="s">
        <v>8380</v>
      </c>
      <c r="B795" s="122">
        <v>45792.0</v>
      </c>
      <c r="C795" s="33">
        <v>8.07000030948E11</v>
      </c>
      <c r="D795" s="33" t="s">
        <v>8381</v>
      </c>
      <c r="E795" s="33" t="s">
        <v>8382</v>
      </c>
      <c r="F795" s="123" t="s">
        <v>8383</v>
      </c>
      <c r="G795" s="123" t="s">
        <v>247</v>
      </c>
      <c r="H795" s="123">
        <v>4400.0</v>
      </c>
      <c r="I795" s="33" t="s">
        <v>512</v>
      </c>
      <c r="J795" s="33" t="s">
        <v>513</v>
      </c>
      <c r="K795" s="33">
        <v>6.0</v>
      </c>
      <c r="L795" s="124" t="s">
        <v>8384</v>
      </c>
      <c r="M795" s="34"/>
    </row>
    <row r="796" hidden="1">
      <c r="A796" s="33" t="s">
        <v>8380</v>
      </c>
      <c r="B796" s="122">
        <v>45792.0</v>
      </c>
      <c r="C796" s="33">
        <v>8.07000030948E11</v>
      </c>
      <c r="D796" s="33" t="s">
        <v>8381</v>
      </c>
      <c r="E796" s="33" t="s">
        <v>8382</v>
      </c>
      <c r="F796" s="123" t="s">
        <v>8383</v>
      </c>
      <c r="G796" s="123" t="s">
        <v>247</v>
      </c>
      <c r="H796" s="123">
        <v>4400.0</v>
      </c>
      <c r="I796" s="33" t="s">
        <v>35</v>
      </c>
      <c r="J796" s="33" t="s">
        <v>3188</v>
      </c>
      <c r="K796" s="33">
        <v>1.0</v>
      </c>
      <c r="L796" s="124" t="s">
        <v>8384</v>
      </c>
      <c r="M796" s="34"/>
    </row>
    <row r="797" hidden="1">
      <c r="A797" s="33" t="s">
        <v>8385</v>
      </c>
      <c r="B797" s="122">
        <v>45792.0</v>
      </c>
      <c r="C797" s="33">
        <v>8.07000030945E11</v>
      </c>
      <c r="D797" s="33" t="s">
        <v>8386</v>
      </c>
      <c r="E797" s="33" t="s">
        <v>8387</v>
      </c>
      <c r="F797" s="123" t="s">
        <v>8388</v>
      </c>
      <c r="G797" s="123" t="s">
        <v>247</v>
      </c>
      <c r="H797" s="123">
        <v>4400.0</v>
      </c>
      <c r="I797" s="33" t="s">
        <v>1241</v>
      </c>
      <c r="J797" s="33" t="s">
        <v>3500</v>
      </c>
      <c r="K797" s="33">
        <v>1.0</v>
      </c>
      <c r="L797" s="124" t="s">
        <v>8389</v>
      </c>
      <c r="M797" s="34"/>
    </row>
    <row r="798" hidden="1">
      <c r="A798" s="33" t="s">
        <v>8385</v>
      </c>
      <c r="B798" s="122">
        <v>45792.0</v>
      </c>
      <c r="C798" s="33">
        <v>8.07000030945E11</v>
      </c>
      <c r="D798" s="33" t="s">
        <v>8386</v>
      </c>
      <c r="E798" s="33" t="s">
        <v>8387</v>
      </c>
      <c r="F798" s="123" t="s">
        <v>8388</v>
      </c>
      <c r="G798" s="123" t="s">
        <v>247</v>
      </c>
      <c r="H798" s="123">
        <v>4400.0</v>
      </c>
      <c r="I798" s="33" t="s">
        <v>4070</v>
      </c>
      <c r="J798" s="33" t="s">
        <v>8390</v>
      </c>
      <c r="K798" s="33">
        <v>1.0</v>
      </c>
      <c r="L798" s="124" t="s">
        <v>8389</v>
      </c>
      <c r="M798" s="34"/>
    </row>
    <row r="799" hidden="1">
      <c r="A799" s="33" t="s">
        <v>8391</v>
      </c>
      <c r="B799" s="122">
        <v>45792.0</v>
      </c>
      <c r="C799" s="33">
        <v>8.07000030955E11</v>
      </c>
      <c r="D799" s="33" t="s">
        <v>8392</v>
      </c>
      <c r="E799" s="33" t="s">
        <v>8393</v>
      </c>
      <c r="F799" s="123" t="s">
        <v>8394</v>
      </c>
      <c r="G799" s="123" t="s">
        <v>247</v>
      </c>
      <c r="H799" s="123">
        <v>4400.0</v>
      </c>
      <c r="I799" s="189">
        <v>914020.0</v>
      </c>
      <c r="J799" s="33" t="s">
        <v>7880</v>
      </c>
      <c r="K799" s="33">
        <v>1.0</v>
      </c>
      <c r="L799" s="124" t="s">
        <v>8395</v>
      </c>
      <c r="M799" s="34"/>
    </row>
    <row r="800" hidden="1">
      <c r="A800" s="33" t="s">
        <v>8396</v>
      </c>
      <c r="B800" s="122">
        <v>45792.0</v>
      </c>
      <c r="C800" s="33">
        <v>8.07000030965E11</v>
      </c>
      <c r="D800" s="33" t="s">
        <v>8397</v>
      </c>
      <c r="E800" s="33" t="s">
        <v>8398</v>
      </c>
      <c r="F800" s="123" t="s">
        <v>8399</v>
      </c>
      <c r="G800" s="123" t="s">
        <v>247</v>
      </c>
      <c r="H800" s="123">
        <v>4400.0</v>
      </c>
      <c r="I800" s="33" t="s">
        <v>1241</v>
      </c>
      <c r="J800" s="33" t="s">
        <v>3500</v>
      </c>
      <c r="K800" s="33">
        <v>1.0</v>
      </c>
      <c r="L800" s="124" t="s">
        <v>8400</v>
      </c>
      <c r="M800" s="34"/>
    </row>
    <row r="801" hidden="1">
      <c r="A801" s="33" t="s">
        <v>8396</v>
      </c>
      <c r="B801" s="122">
        <v>45792.0</v>
      </c>
      <c r="C801" s="33">
        <v>8.07000030966E11</v>
      </c>
      <c r="D801" s="33" t="s">
        <v>8397</v>
      </c>
      <c r="E801" s="33" t="s">
        <v>8398</v>
      </c>
      <c r="F801" s="123" t="s">
        <v>8399</v>
      </c>
      <c r="G801" s="123" t="s">
        <v>247</v>
      </c>
      <c r="H801" s="123">
        <v>4400.0</v>
      </c>
      <c r="I801" s="33" t="s">
        <v>1241</v>
      </c>
      <c r="J801" s="33" t="s">
        <v>3500</v>
      </c>
      <c r="K801" s="33">
        <v>1.0</v>
      </c>
      <c r="L801" s="124" t="s">
        <v>8400</v>
      </c>
      <c r="M801" s="34"/>
    </row>
    <row r="802" hidden="1">
      <c r="A802" s="33" t="s">
        <v>8401</v>
      </c>
      <c r="B802" s="122">
        <v>45792.0</v>
      </c>
      <c r="C802" s="33">
        <v>8.07000030975E11</v>
      </c>
      <c r="D802" s="33" t="s">
        <v>8402</v>
      </c>
      <c r="E802" s="33" t="s">
        <v>8403</v>
      </c>
      <c r="F802" s="123" t="s">
        <v>8404</v>
      </c>
      <c r="G802" s="123" t="s">
        <v>247</v>
      </c>
      <c r="H802" s="123">
        <v>4400.0</v>
      </c>
      <c r="I802" s="33" t="s">
        <v>3679</v>
      </c>
      <c r="J802" s="33" t="s">
        <v>3680</v>
      </c>
      <c r="K802" s="33">
        <v>1.0</v>
      </c>
      <c r="L802" s="124" t="s">
        <v>8405</v>
      </c>
      <c r="M802" s="34"/>
    </row>
    <row r="803" hidden="1">
      <c r="A803" s="33" t="s">
        <v>8406</v>
      </c>
      <c r="B803" s="122">
        <v>45792.0</v>
      </c>
      <c r="C803" s="33">
        <v>8.07000030989E11</v>
      </c>
      <c r="D803" s="33" t="s">
        <v>8407</v>
      </c>
      <c r="E803" s="33" t="s">
        <v>8408</v>
      </c>
      <c r="F803" s="123" t="s">
        <v>8409</v>
      </c>
      <c r="G803" s="123" t="s">
        <v>247</v>
      </c>
      <c r="H803" s="123">
        <v>4400.0</v>
      </c>
      <c r="I803" s="33" t="s">
        <v>4133</v>
      </c>
      <c r="J803" s="33" t="s">
        <v>4134</v>
      </c>
      <c r="K803" s="33">
        <v>1.0</v>
      </c>
      <c r="L803" s="124" t="s">
        <v>8410</v>
      </c>
      <c r="M803" s="34"/>
    </row>
    <row r="804" hidden="1">
      <c r="A804" s="33" t="s">
        <v>8406</v>
      </c>
      <c r="B804" s="122">
        <v>45792.0</v>
      </c>
      <c r="C804" s="33">
        <v>8.07000030989E11</v>
      </c>
      <c r="D804" s="33" t="s">
        <v>8407</v>
      </c>
      <c r="E804" s="33" t="s">
        <v>8408</v>
      </c>
      <c r="F804" s="123" t="s">
        <v>8409</v>
      </c>
      <c r="G804" s="123" t="s">
        <v>247</v>
      </c>
      <c r="H804" s="123">
        <v>4400.0</v>
      </c>
      <c r="I804" s="33" t="s">
        <v>512</v>
      </c>
      <c r="J804" s="33" t="s">
        <v>513</v>
      </c>
      <c r="K804" s="33">
        <v>12.0</v>
      </c>
      <c r="L804" s="124" t="s">
        <v>8410</v>
      </c>
      <c r="M804" s="34"/>
    </row>
    <row r="805" hidden="1">
      <c r="A805" s="33" t="s">
        <v>8406</v>
      </c>
      <c r="B805" s="122">
        <v>45792.0</v>
      </c>
      <c r="C805" s="33">
        <v>8.07000030989E11</v>
      </c>
      <c r="D805" s="33" t="s">
        <v>8407</v>
      </c>
      <c r="E805" s="33" t="s">
        <v>8408</v>
      </c>
      <c r="F805" s="123" t="s">
        <v>8409</v>
      </c>
      <c r="G805" s="123" t="s">
        <v>247</v>
      </c>
      <c r="H805" s="123">
        <v>4400.0</v>
      </c>
      <c r="I805" s="33" t="s">
        <v>340</v>
      </c>
      <c r="J805" s="33" t="s">
        <v>3486</v>
      </c>
      <c r="K805" s="33">
        <v>2.0</v>
      </c>
      <c r="L805" s="124" t="s">
        <v>8410</v>
      </c>
      <c r="M805" s="34"/>
    </row>
    <row r="806" hidden="1">
      <c r="A806" s="33" t="s">
        <v>8406</v>
      </c>
      <c r="B806" s="122">
        <v>45792.0</v>
      </c>
      <c r="C806" s="33">
        <v>8.0700003099E11</v>
      </c>
      <c r="D806" s="33" t="s">
        <v>8407</v>
      </c>
      <c r="E806" s="33" t="s">
        <v>8408</v>
      </c>
      <c r="F806" s="123" t="s">
        <v>8409</v>
      </c>
      <c r="G806" s="123" t="s">
        <v>247</v>
      </c>
      <c r="H806" s="123">
        <v>4400.0</v>
      </c>
      <c r="I806" s="33">
        <v>125811.0</v>
      </c>
      <c r="J806" s="33" t="s">
        <v>6073</v>
      </c>
      <c r="K806" s="33">
        <v>2.0</v>
      </c>
      <c r="L806" s="124" t="s">
        <v>8410</v>
      </c>
      <c r="M806" s="34"/>
    </row>
    <row r="807" hidden="1">
      <c r="A807" s="33" t="s">
        <v>8411</v>
      </c>
      <c r="B807" s="122">
        <v>45792.0</v>
      </c>
      <c r="C807" s="33">
        <v>8.07000030943E11</v>
      </c>
      <c r="D807" s="33" t="s">
        <v>8412</v>
      </c>
      <c r="E807" s="33" t="s">
        <v>8413</v>
      </c>
      <c r="F807" s="190" t="s">
        <v>8414</v>
      </c>
      <c r="G807" s="123" t="s">
        <v>247</v>
      </c>
      <c r="H807" s="123">
        <v>4400.0</v>
      </c>
      <c r="I807" s="33" t="s">
        <v>3285</v>
      </c>
      <c r="J807" s="33" t="s">
        <v>3286</v>
      </c>
      <c r="K807" s="33">
        <v>1.0</v>
      </c>
      <c r="L807" s="124" t="s">
        <v>8415</v>
      </c>
      <c r="M807" s="34"/>
    </row>
    <row r="808" hidden="1">
      <c r="A808" s="33" t="s">
        <v>8411</v>
      </c>
      <c r="B808" s="122">
        <v>45792.0</v>
      </c>
      <c r="C808" s="33">
        <v>8.07000030943E11</v>
      </c>
      <c r="D808" s="33" t="s">
        <v>8412</v>
      </c>
      <c r="E808" s="33" t="s">
        <v>8413</v>
      </c>
      <c r="F808" s="190" t="s">
        <v>8414</v>
      </c>
      <c r="G808" s="123" t="s">
        <v>247</v>
      </c>
      <c r="H808" s="123">
        <v>4400.0</v>
      </c>
      <c r="I808" s="33" t="s">
        <v>512</v>
      </c>
      <c r="J808" s="33" t="s">
        <v>513</v>
      </c>
      <c r="K808" s="33">
        <v>6.0</v>
      </c>
      <c r="L808" s="124" t="s">
        <v>8415</v>
      </c>
      <c r="M808" s="34"/>
    </row>
    <row r="809" hidden="1">
      <c r="A809" s="33" t="s">
        <v>8411</v>
      </c>
      <c r="B809" s="122">
        <v>45792.0</v>
      </c>
      <c r="C809" s="33">
        <v>8.07000030943E11</v>
      </c>
      <c r="D809" s="33" t="s">
        <v>8412</v>
      </c>
      <c r="E809" s="33" t="s">
        <v>8413</v>
      </c>
      <c r="F809" s="190" t="s">
        <v>8414</v>
      </c>
      <c r="G809" s="123" t="s">
        <v>247</v>
      </c>
      <c r="H809" s="123">
        <v>4400.0</v>
      </c>
      <c r="I809" s="33" t="s">
        <v>670</v>
      </c>
      <c r="J809" s="33" t="s">
        <v>3410</v>
      </c>
      <c r="K809" s="33">
        <v>1.0</v>
      </c>
      <c r="L809" s="124" t="s">
        <v>8415</v>
      </c>
      <c r="M809" s="34"/>
    </row>
    <row r="810" hidden="1">
      <c r="A810" s="33" t="s">
        <v>8416</v>
      </c>
      <c r="B810" s="173">
        <v>45793.0</v>
      </c>
      <c r="C810" s="108">
        <v>8.05011530278E11</v>
      </c>
      <c r="D810" s="108" t="s">
        <v>8417</v>
      </c>
      <c r="E810" s="108" t="s">
        <v>8418</v>
      </c>
      <c r="F810" s="191" t="s">
        <v>8419</v>
      </c>
      <c r="G810" s="145" t="s">
        <v>247</v>
      </c>
      <c r="H810" s="145">
        <v>4400.0</v>
      </c>
      <c r="I810" s="108" t="s">
        <v>118</v>
      </c>
      <c r="J810" s="108" t="s">
        <v>4650</v>
      </c>
      <c r="K810" s="108">
        <v>1.0</v>
      </c>
      <c r="L810" s="174" t="s">
        <v>8420</v>
      </c>
      <c r="M810" s="109"/>
      <c r="N810" s="192"/>
      <c r="O810" s="192"/>
      <c r="P810" s="192"/>
      <c r="Q810" s="192"/>
      <c r="R810" s="192"/>
      <c r="S810" s="192"/>
      <c r="T810" s="192"/>
      <c r="U810" s="192"/>
      <c r="V810" s="192"/>
      <c r="W810" s="192"/>
      <c r="X810" s="192"/>
      <c r="Y810" s="192"/>
      <c r="Z810" s="192"/>
      <c r="AA810" s="192"/>
      <c r="AB810" s="192"/>
      <c r="AC810" s="192"/>
    </row>
    <row r="811" hidden="1">
      <c r="A811" s="108" t="s">
        <v>8421</v>
      </c>
      <c r="B811" s="173">
        <v>45793.0</v>
      </c>
      <c r="C811" s="108">
        <v>8.05011531092E11</v>
      </c>
      <c r="D811" s="108" t="s">
        <v>8422</v>
      </c>
      <c r="E811" s="108" t="s">
        <v>8423</v>
      </c>
      <c r="F811" s="145" t="s">
        <v>8424</v>
      </c>
      <c r="G811" s="145" t="s">
        <v>1477</v>
      </c>
      <c r="H811" s="145">
        <v>4550.0</v>
      </c>
      <c r="I811" s="108" t="s">
        <v>2372</v>
      </c>
      <c r="J811" s="108" t="s">
        <v>8140</v>
      </c>
      <c r="K811" s="108">
        <v>1.0</v>
      </c>
      <c r="L811" s="174" t="s">
        <v>8425</v>
      </c>
      <c r="M811" s="109"/>
      <c r="N811" s="192"/>
      <c r="O811" s="192"/>
      <c r="P811" s="192"/>
      <c r="Q811" s="192"/>
      <c r="R811" s="192"/>
      <c r="S811" s="192"/>
      <c r="T811" s="192"/>
      <c r="U811" s="192"/>
      <c r="V811" s="192"/>
      <c r="W811" s="192"/>
      <c r="X811" s="192"/>
      <c r="Y811" s="192"/>
      <c r="Z811" s="192"/>
      <c r="AA811" s="192"/>
      <c r="AB811" s="192"/>
      <c r="AC811" s="192"/>
    </row>
    <row r="812" hidden="1">
      <c r="A812" s="108" t="s">
        <v>8426</v>
      </c>
      <c r="B812" s="173">
        <v>45793.0</v>
      </c>
      <c r="C812" s="108">
        <v>8.05011531153E11</v>
      </c>
      <c r="D812" s="108" t="s">
        <v>8427</v>
      </c>
      <c r="E812" s="108" t="s">
        <v>8428</v>
      </c>
      <c r="F812" s="145" t="s">
        <v>8429</v>
      </c>
      <c r="G812" s="145" t="s">
        <v>376</v>
      </c>
      <c r="H812" s="145">
        <v>4421.0</v>
      </c>
      <c r="I812" s="108" t="s">
        <v>947</v>
      </c>
      <c r="J812" s="108" t="s">
        <v>3750</v>
      </c>
      <c r="K812" s="108">
        <v>1.0</v>
      </c>
      <c r="L812" s="174" t="s">
        <v>8430</v>
      </c>
      <c r="M812" s="109"/>
      <c r="N812" s="192"/>
      <c r="O812" s="192"/>
      <c r="P812" s="192"/>
      <c r="Q812" s="192"/>
      <c r="R812" s="192"/>
      <c r="S812" s="192"/>
      <c r="T812" s="192"/>
      <c r="U812" s="192"/>
      <c r="V812" s="192"/>
      <c r="W812" s="192"/>
      <c r="X812" s="192"/>
      <c r="Y812" s="192"/>
      <c r="Z812" s="192"/>
      <c r="AA812" s="192"/>
      <c r="AB812" s="192"/>
      <c r="AC812" s="192"/>
    </row>
    <row r="813" hidden="1">
      <c r="A813" s="33" t="s">
        <v>8431</v>
      </c>
      <c r="B813" s="122">
        <v>45794.0</v>
      </c>
      <c r="C813" s="33">
        <v>8.07000031021E11</v>
      </c>
      <c r="D813" s="33" t="s">
        <v>8432</v>
      </c>
      <c r="E813" s="33" t="s">
        <v>8433</v>
      </c>
      <c r="F813" s="123" t="s">
        <v>8434</v>
      </c>
      <c r="G813" s="123" t="s">
        <v>247</v>
      </c>
      <c r="H813" s="123">
        <v>4400.0</v>
      </c>
      <c r="I813" s="33" t="s">
        <v>32</v>
      </c>
      <c r="J813" s="33" t="s">
        <v>3225</v>
      </c>
      <c r="K813" s="33">
        <v>1.0</v>
      </c>
      <c r="L813" s="124" t="s">
        <v>8435</v>
      </c>
      <c r="M813" s="34"/>
    </row>
    <row r="814" hidden="1">
      <c r="A814" s="33" t="s">
        <v>8436</v>
      </c>
      <c r="B814" s="122">
        <v>45794.0</v>
      </c>
      <c r="C814" s="33">
        <v>8.07000031029E11</v>
      </c>
      <c r="D814" s="33" t="s">
        <v>8437</v>
      </c>
      <c r="E814" s="33" t="s">
        <v>8438</v>
      </c>
      <c r="F814" s="123" t="s">
        <v>8439</v>
      </c>
      <c r="G814" s="123" t="s">
        <v>247</v>
      </c>
      <c r="H814" s="123">
        <v>4400.0</v>
      </c>
      <c r="I814" s="33" t="s">
        <v>2956</v>
      </c>
      <c r="J814" s="33" t="s">
        <v>3327</v>
      </c>
      <c r="K814" s="33">
        <v>1.0</v>
      </c>
      <c r="L814" s="124" t="s">
        <v>8440</v>
      </c>
      <c r="M814" s="34"/>
    </row>
    <row r="815" hidden="1">
      <c r="A815" s="33" t="s">
        <v>8436</v>
      </c>
      <c r="B815" s="122">
        <v>45794.0</v>
      </c>
      <c r="C815" s="33">
        <v>8.07000031029E11</v>
      </c>
      <c r="D815" s="33" t="s">
        <v>8437</v>
      </c>
      <c r="E815" s="33" t="s">
        <v>8438</v>
      </c>
      <c r="F815" s="123" t="s">
        <v>8439</v>
      </c>
      <c r="G815" s="123" t="s">
        <v>247</v>
      </c>
      <c r="H815" s="123">
        <v>4400.0</v>
      </c>
      <c r="I815" s="33" t="s">
        <v>670</v>
      </c>
      <c r="J815" s="33" t="s">
        <v>3410</v>
      </c>
      <c r="K815" s="33">
        <v>1.0</v>
      </c>
      <c r="L815" s="124" t="s">
        <v>8440</v>
      </c>
      <c r="M815" s="34"/>
    </row>
    <row r="816" hidden="1">
      <c r="A816" s="33" t="s">
        <v>8441</v>
      </c>
      <c r="B816" s="122">
        <v>45794.0</v>
      </c>
      <c r="C816" s="33">
        <v>8.0700003103E11</v>
      </c>
      <c r="D816" s="33" t="s">
        <v>8437</v>
      </c>
      <c r="E816" s="33" t="s">
        <v>8438</v>
      </c>
      <c r="F816" s="123" t="s">
        <v>8439</v>
      </c>
      <c r="G816" s="123" t="s">
        <v>247</v>
      </c>
      <c r="H816" s="123">
        <v>4400.0</v>
      </c>
      <c r="I816" s="33" t="s">
        <v>512</v>
      </c>
      <c r="J816" s="33" t="s">
        <v>513</v>
      </c>
      <c r="K816" s="33">
        <v>6.0</v>
      </c>
      <c r="L816" s="124" t="s">
        <v>8440</v>
      </c>
      <c r="M816" s="34"/>
    </row>
    <row r="817" hidden="1">
      <c r="A817" s="33" t="s">
        <v>8441</v>
      </c>
      <c r="B817" s="122">
        <v>45794.0</v>
      </c>
      <c r="C817" s="33">
        <v>8.07000031031E11</v>
      </c>
      <c r="D817" s="33" t="s">
        <v>8437</v>
      </c>
      <c r="E817" s="33" t="s">
        <v>8438</v>
      </c>
      <c r="F817" s="123" t="s">
        <v>8439</v>
      </c>
      <c r="G817" s="123" t="s">
        <v>247</v>
      </c>
      <c r="H817" s="123">
        <v>4400.0</v>
      </c>
      <c r="I817" s="33" t="s">
        <v>3407</v>
      </c>
      <c r="J817" s="33" t="s">
        <v>3408</v>
      </c>
      <c r="K817" s="33">
        <v>1.0</v>
      </c>
      <c r="L817" s="124" t="s">
        <v>8440</v>
      </c>
      <c r="M817" s="34"/>
    </row>
    <row r="818" hidden="1">
      <c r="A818" s="33" t="s">
        <v>8441</v>
      </c>
      <c r="B818" s="122">
        <v>45794.0</v>
      </c>
      <c r="C818" s="33">
        <v>8.07000031031E11</v>
      </c>
      <c r="D818" s="33" t="s">
        <v>8437</v>
      </c>
      <c r="E818" s="33" t="s">
        <v>8438</v>
      </c>
      <c r="F818" s="123" t="s">
        <v>8439</v>
      </c>
      <c r="G818" s="123" t="s">
        <v>247</v>
      </c>
      <c r="H818" s="123">
        <v>4400.0</v>
      </c>
      <c r="I818" s="33" t="s">
        <v>1749</v>
      </c>
      <c r="J818" s="33" t="s">
        <v>3240</v>
      </c>
      <c r="K818" s="33">
        <v>1.0</v>
      </c>
      <c r="L818" s="124" t="s">
        <v>8440</v>
      </c>
      <c r="M818" s="34"/>
    </row>
    <row r="819" hidden="1">
      <c r="A819" s="33" t="s">
        <v>8441</v>
      </c>
      <c r="B819" s="122">
        <v>45794.0</v>
      </c>
      <c r="C819" s="33">
        <v>8.07000031033E11</v>
      </c>
      <c r="D819" s="33" t="s">
        <v>8437</v>
      </c>
      <c r="E819" s="33" t="s">
        <v>8438</v>
      </c>
      <c r="F819" s="123" t="s">
        <v>8439</v>
      </c>
      <c r="G819" s="123" t="s">
        <v>247</v>
      </c>
      <c r="H819" s="123">
        <v>4400.0</v>
      </c>
      <c r="I819" s="33" t="s">
        <v>1749</v>
      </c>
      <c r="J819" s="33" t="s">
        <v>3240</v>
      </c>
      <c r="K819" s="33">
        <v>1.0</v>
      </c>
      <c r="L819" s="124" t="s">
        <v>8440</v>
      </c>
      <c r="M819" s="34"/>
    </row>
    <row r="820" hidden="1">
      <c r="A820" s="33" t="s">
        <v>8441</v>
      </c>
      <c r="B820" s="122">
        <v>45794.0</v>
      </c>
      <c r="C820" s="33">
        <v>8.0700003103E11</v>
      </c>
      <c r="D820" s="33" t="s">
        <v>8437</v>
      </c>
      <c r="E820" s="33" t="s">
        <v>8438</v>
      </c>
      <c r="F820" s="123" t="s">
        <v>8439</v>
      </c>
      <c r="G820" s="123" t="s">
        <v>247</v>
      </c>
      <c r="H820" s="123">
        <v>4400.0</v>
      </c>
      <c r="I820" s="33" t="s">
        <v>4070</v>
      </c>
      <c r="J820" s="33" t="s">
        <v>6264</v>
      </c>
      <c r="K820" s="33">
        <v>2.0</v>
      </c>
      <c r="L820" s="124" t="s">
        <v>8440</v>
      </c>
      <c r="M820" s="34"/>
    </row>
    <row r="821" hidden="1">
      <c r="A821" s="33" t="s">
        <v>8442</v>
      </c>
      <c r="B821" s="122">
        <v>45794.0</v>
      </c>
      <c r="C821" s="33">
        <v>8.07000030972E11</v>
      </c>
      <c r="D821" s="33" t="s">
        <v>3908</v>
      </c>
      <c r="E821" s="33" t="s">
        <v>3909</v>
      </c>
      <c r="F821" s="123" t="s">
        <v>8443</v>
      </c>
      <c r="G821" s="123" t="s">
        <v>247</v>
      </c>
      <c r="H821" s="123">
        <v>4400.0</v>
      </c>
      <c r="I821" s="33" t="s">
        <v>8444</v>
      </c>
      <c r="J821" s="33" t="s">
        <v>8445</v>
      </c>
      <c r="K821" s="33">
        <v>1.0</v>
      </c>
      <c r="L821" s="124" t="s">
        <v>8446</v>
      </c>
      <c r="M821" s="34"/>
    </row>
    <row r="822" hidden="1">
      <c r="A822" s="33" t="s">
        <v>8442</v>
      </c>
      <c r="B822" s="122">
        <v>45794.0</v>
      </c>
      <c r="C822" s="33">
        <v>8.07000030972E11</v>
      </c>
      <c r="D822" s="33" t="s">
        <v>3908</v>
      </c>
      <c r="E822" s="33" t="s">
        <v>3909</v>
      </c>
      <c r="F822" s="123" t="s">
        <v>8443</v>
      </c>
      <c r="G822" s="123" t="s">
        <v>247</v>
      </c>
      <c r="H822" s="123">
        <v>4400.0</v>
      </c>
      <c r="I822" s="33" t="s">
        <v>3512</v>
      </c>
      <c r="J822" s="33" t="s">
        <v>3513</v>
      </c>
      <c r="K822" s="33">
        <v>12.0</v>
      </c>
      <c r="L822" s="124" t="s">
        <v>8446</v>
      </c>
      <c r="M822" s="34"/>
    </row>
    <row r="823" hidden="1">
      <c r="A823" s="33" t="s">
        <v>8442</v>
      </c>
      <c r="B823" s="122">
        <v>45794.0</v>
      </c>
      <c r="C823" s="33">
        <v>8.07000030972E11</v>
      </c>
      <c r="D823" s="33" t="s">
        <v>3908</v>
      </c>
      <c r="E823" s="33" t="s">
        <v>3909</v>
      </c>
      <c r="F823" s="123" t="s">
        <v>8443</v>
      </c>
      <c r="G823" s="123" t="s">
        <v>247</v>
      </c>
      <c r="H823" s="123">
        <v>4400.0</v>
      </c>
      <c r="I823" s="33" t="s">
        <v>5764</v>
      </c>
      <c r="J823" s="33" t="s">
        <v>5765</v>
      </c>
      <c r="K823" s="33">
        <v>2.0</v>
      </c>
      <c r="L823" s="124" t="s">
        <v>8446</v>
      </c>
      <c r="M823" s="34"/>
    </row>
    <row r="824" hidden="1">
      <c r="A824" s="33" t="s">
        <v>8447</v>
      </c>
      <c r="B824" s="122">
        <v>45794.0</v>
      </c>
      <c r="C824" s="33">
        <v>8.07000030982E11</v>
      </c>
      <c r="D824" s="33" t="s">
        <v>8448</v>
      </c>
      <c r="E824" s="33" t="s">
        <v>8449</v>
      </c>
      <c r="F824" s="123" t="s">
        <v>8450</v>
      </c>
      <c r="G824" s="123" t="s">
        <v>247</v>
      </c>
      <c r="H824" s="123">
        <v>4400.0</v>
      </c>
      <c r="I824" s="33" t="s">
        <v>7741</v>
      </c>
      <c r="J824" s="33" t="s">
        <v>7742</v>
      </c>
      <c r="K824" s="33">
        <v>1.0</v>
      </c>
      <c r="L824" s="124" t="s">
        <v>8451</v>
      </c>
      <c r="M824" s="34"/>
    </row>
    <row r="825" hidden="1">
      <c r="A825" s="33" t="s">
        <v>8447</v>
      </c>
      <c r="B825" s="122">
        <v>45794.0</v>
      </c>
      <c r="C825" s="33">
        <v>8.07000030982E11</v>
      </c>
      <c r="D825" s="33" t="s">
        <v>8448</v>
      </c>
      <c r="E825" s="33" t="s">
        <v>8449</v>
      </c>
      <c r="F825" s="123" t="s">
        <v>8450</v>
      </c>
      <c r="G825" s="123" t="s">
        <v>247</v>
      </c>
      <c r="H825" s="123">
        <v>4400.0</v>
      </c>
      <c r="I825" s="33" t="s">
        <v>512</v>
      </c>
      <c r="J825" s="33" t="s">
        <v>513</v>
      </c>
      <c r="K825" s="33">
        <v>12.0</v>
      </c>
      <c r="L825" s="124" t="s">
        <v>8451</v>
      </c>
      <c r="M825" s="34"/>
    </row>
    <row r="826" hidden="1">
      <c r="A826" s="33" t="s">
        <v>8447</v>
      </c>
      <c r="B826" s="122">
        <v>45794.0</v>
      </c>
      <c r="C826" s="33">
        <v>8.07000030982E11</v>
      </c>
      <c r="D826" s="33" t="s">
        <v>8448</v>
      </c>
      <c r="E826" s="33" t="s">
        <v>8449</v>
      </c>
      <c r="F826" s="123" t="s">
        <v>8450</v>
      </c>
      <c r="G826" s="123" t="s">
        <v>247</v>
      </c>
      <c r="H826" s="123">
        <v>4400.0</v>
      </c>
      <c r="I826" s="33" t="s">
        <v>772</v>
      </c>
      <c r="J826" s="33" t="s">
        <v>3363</v>
      </c>
      <c r="K826" s="33">
        <v>2.0</v>
      </c>
      <c r="L826" s="124" t="s">
        <v>8451</v>
      </c>
      <c r="M826" s="34"/>
    </row>
    <row r="827" hidden="1">
      <c r="A827" s="33" t="s">
        <v>8452</v>
      </c>
      <c r="B827" s="122">
        <v>45794.0</v>
      </c>
      <c r="C827" s="33">
        <v>8.07000031017E11</v>
      </c>
      <c r="D827" s="33" t="s">
        <v>8453</v>
      </c>
      <c r="E827" s="33" t="s">
        <v>8454</v>
      </c>
      <c r="F827" s="123" t="s">
        <v>8455</v>
      </c>
      <c r="G827" s="123" t="s">
        <v>247</v>
      </c>
      <c r="H827" s="123">
        <v>4400.0</v>
      </c>
      <c r="I827" s="33" t="s">
        <v>1419</v>
      </c>
      <c r="J827" s="33" t="s">
        <v>8456</v>
      </c>
      <c r="K827" s="33">
        <v>1.0</v>
      </c>
      <c r="L827" s="124" t="s">
        <v>8457</v>
      </c>
      <c r="M827" s="34"/>
    </row>
    <row r="828" hidden="1">
      <c r="A828" s="33" t="s">
        <v>8452</v>
      </c>
      <c r="B828" s="122">
        <v>45794.0</v>
      </c>
      <c r="C828" s="33">
        <v>8.07000031017E11</v>
      </c>
      <c r="D828" s="33" t="s">
        <v>8453</v>
      </c>
      <c r="E828" s="33" t="s">
        <v>8454</v>
      </c>
      <c r="F828" s="123" t="s">
        <v>8455</v>
      </c>
      <c r="G828" s="123" t="s">
        <v>247</v>
      </c>
      <c r="H828" s="123">
        <v>4400.0</v>
      </c>
      <c r="I828" s="33" t="s">
        <v>512</v>
      </c>
      <c r="J828" s="33" t="s">
        <v>513</v>
      </c>
      <c r="K828" s="33">
        <v>6.0</v>
      </c>
      <c r="L828" s="124" t="s">
        <v>8457</v>
      </c>
      <c r="M828" s="34"/>
    </row>
    <row r="829" hidden="1">
      <c r="A829" s="33" t="s">
        <v>8452</v>
      </c>
      <c r="B829" s="122">
        <v>45794.0</v>
      </c>
      <c r="C829" s="33">
        <v>8.07000031017E11</v>
      </c>
      <c r="D829" s="33" t="s">
        <v>8453</v>
      </c>
      <c r="E829" s="33" t="s">
        <v>8454</v>
      </c>
      <c r="F829" s="123" t="s">
        <v>8455</v>
      </c>
      <c r="G829" s="123" t="s">
        <v>247</v>
      </c>
      <c r="H829" s="123">
        <v>4400.0</v>
      </c>
      <c r="I829" s="33" t="s">
        <v>169</v>
      </c>
      <c r="J829" s="33" t="s">
        <v>4514</v>
      </c>
      <c r="K829" s="33">
        <v>1.0</v>
      </c>
      <c r="L829" s="124" t="s">
        <v>8457</v>
      </c>
      <c r="M829" s="34"/>
    </row>
    <row r="830" hidden="1">
      <c r="A830" s="33" t="s">
        <v>8452</v>
      </c>
      <c r="B830" s="122">
        <v>45794.0</v>
      </c>
      <c r="C830" s="33">
        <v>8.07000031019E11</v>
      </c>
      <c r="D830" s="33" t="s">
        <v>8453</v>
      </c>
      <c r="E830" s="33" t="s">
        <v>8454</v>
      </c>
      <c r="F830" s="123" t="s">
        <v>8455</v>
      </c>
      <c r="G830" s="123" t="s">
        <v>247</v>
      </c>
      <c r="H830" s="123">
        <v>4400.0</v>
      </c>
      <c r="I830" s="33" t="s">
        <v>1421</v>
      </c>
      <c r="J830" s="33" t="s">
        <v>8458</v>
      </c>
      <c r="K830" s="33">
        <v>1.0</v>
      </c>
      <c r="L830" s="124" t="s">
        <v>8457</v>
      </c>
      <c r="M830" s="34"/>
    </row>
    <row r="831" hidden="1">
      <c r="A831" s="33" t="s">
        <v>8452</v>
      </c>
      <c r="B831" s="122">
        <v>45794.0</v>
      </c>
      <c r="C831" s="33">
        <v>8.07000031019E11</v>
      </c>
      <c r="D831" s="33" t="s">
        <v>8453</v>
      </c>
      <c r="E831" s="33" t="s">
        <v>8454</v>
      </c>
      <c r="F831" s="123" t="s">
        <v>8455</v>
      </c>
      <c r="G831" s="123" t="s">
        <v>247</v>
      </c>
      <c r="H831" s="123">
        <v>4400.0</v>
      </c>
      <c r="I831" s="33" t="s">
        <v>512</v>
      </c>
      <c r="J831" s="33" t="s">
        <v>513</v>
      </c>
      <c r="K831" s="33">
        <v>6.0</v>
      </c>
      <c r="L831" s="124" t="s">
        <v>8457</v>
      </c>
      <c r="M831" s="34"/>
    </row>
    <row r="832" hidden="1">
      <c r="A832" s="33" t="s">
        <v>8452</v>
      </c>
      <c r="B832" s="122">
        <v>45794.0</v>
      </c>
      <c r="C832" s="33">
        <v>8.07000031019E11</v>
      </c>
      <c r="D832" s="33" t="s">
        <v>8453</v>
      </c>
      <c r="E832" s="33" t="s">
        <v>8454</v>
      </c>
      <c r="F832" s="123" t="s">
        <v>8455</v>
      </c>
      <c r="G832" s="123" t="s">
        <v>247</v>
      </c>
      <c r="H832" s="123">
        <v>4400.0</v>
      </c>
      <c r="I832" s="33" t="s">
        <v>969</v>
      </c>
      <c r="J832" s="33" t="s">
        <v>3296</v>
      </c>
      <c r="K832" s="33">
        <v>1.0</v>
      </c>
      <c r="L832" s="124" t="s">
        <v>8457</v>
      </c>
      <c r="M832" s="34"/>
    </row>
    <row r="833" hidden="1">
      <c r="A833" s="33" t="s">
        <v>8452</v>
      </c>
      <c r="B833" s="122">
        <v>45794.0</v>
      </c>
      <c r="C833" s="33">
        <v>8.0700003102E11</v>
      </c>
      <c r="D833" s="33" t="s">
        <v>8453</v>
      </c>
      <c r="E833" s="33" t="s">
        <v>8454</v>
      </c>
      <c r="F833" s="123" t="s">
        <v>8455</v>
      </c>
      <c r="G833" s="123" t="s">
        <v>247</v>
      </c>
      <c r="H833" s="123">
        <v>4400.0</v>
      </c>
      <c r="I833" s="33" t="s">
        <v>4070</v>
      </c>
      <c r="J833" s="33" t="s">
        <v>6264</v>
      </c>
      <c r="K833" s="33">
        <v>1.0</v>
      </c>
      <c r="L833" s="124" t="s">
        <v>8457</v>
      </c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</row>
    <row r="834" hidden="1">
      <c r="A834" s="33" t="s">
        <v>8459</v>
      </c>
      <c r="B834" s="122">
        <v>45794.0</v>
      </c>
      <c r="C834" s="33">
        <v>8.07000031034E11</v>
      </c>
      <c r="D834" s="33" t="s">
        <v>8460</v>
      </c>
      <c r="E834" s="33" t="s">
        <v>8461</v>
      </c>
      <c r="F834" s="123" t="s">
        <v>8462</v>
      </c>
      <c r="G834" s="123" t="s">
        <v>247</v>
      </c>
      <c r="H834" s="123">
        <v>4400.0</v>
      </c>
      <c r="I834" s="33" t="s">
        <v>3692</v>
      </c>
      <c r="J834" s="33" t="s">
        <v>3693</v>
      </c>
      <c r="K834" s="33">
        <v>2.0</v>
      </c>
      <c r="L834" s="124" t="s">
        <v>8463</v>
      </c>
      <c r="M834" s="34"/>
    </row>
    <row r="835" hidden="1">
      <c r="A835" s="33" t="s">
        <v>8459</v>
      </c>
      <c r="B835" s="122">
        <v>45794.0</v>
      </c>
      <c r="C835" s="33">
        <v>8.07000031034E11</v>
      </c>
      <c r="D835" s="33" t="s">
        <v>8460</v>
      </c>
      <c r="E835" s="33" t="s">
        <v>8461</v>
      </c>
      <c r="F835" s="123" t="s">
        <v>8462</v>
      </c>
      <c r="G835" s="123" t="s">
        <v>247</v>
      </c>
      <c r="H835" s="123">
        <v>4400.0</v>
      </c>
      <c r="I835" s="33" t="s">
        <v>1345</v>
      </c>
      <c r="J835" s="33" t="s">
        <v>3639</v>
      </c>
      <c r="K835" s="33">
        <v>2.0</v>
      </c>
      <c r="L835" s="124" t="s">
        <v>8463</v>
      </c>
      <c r="M835" s="34"/>
    </row>
    <row r="836" hidden="1">
      <c r="A836" s="33" t="s">
        <v>8464</v>
      </c>
      <c r="B836" s="122">
        <v>45794.0</v>
      </c>
      <c r="C836" s="33">
        <v>8.07000031036E11</v>
      </c>
      <c r="D836" s="33" t="s">
        <v>8465</v>
      </c>
      <c r="E836" s="33" t="s">
        <v>8466</v>
      </c>
      <c r="F836" s="123" t="s">
        <v>8467</v>
      </c>
      <c r="G836" s="123" t="s">
        <v>247</v>
      </c>
      <c r="H836" s="123">
        <v>4400.0</v>
      </c>
      <c r="I836" s="33" t="s">
        <v>3162</v>
      </c>
      <c r="J836" s="33" t="s">
        <v>3885</v>
      </c>
      <c r="K836" s="33">
        <v>1.0</v>
      </c>
      <c r="L836" s="124" t="s">
        <v>8468</v>
      </c>
      <c r="M836" s="34"/>
    </row>
    <row r="837" hidden="1">
      <c r="A837" s="33" t="s">
        <v>8464</v>
      </c>
      <c r="B837" s="122">
        <v>45794.0</v>
      </c>
      <c r="C837" s="33">
        <v>8.07000031036E11</v>
      </c>
      <c r="D837" s="33" t="s">
        <v>8465</v>
      </c>
      <c r="E837" s="33" t="s">
        <v>8466</v>
      </c>
      <c r="F837" s="123" t="s">
        <v>8467</v>
      </c>
      <c r="G837" s="123" t="s">
        <v>247</v>
      </c>
      <c r="H837" s="123">
        <v>4400.0</v>
      </c>
      <c r="I837" s="33" t="s">
        <v>512</v>
      </c>
      <c r="J837" s="33" t="s">
        <v>513</v>
      </c>
      <c r="K837" s="33">
        <v>6.0</v>
      </c>
      <c r="L837" s="124" t="s">
        <v>8468</v>
      </c>
      <c r="M837" s="34"/>
    </row>
    <row r="838" hidden="1">
      <c r="A838" s="33" t="s">
        <v>8464</v>
      </c>
      <c r="B838" s="122">
        <v>45794.0</v>
      </c>
      <c r="C838" s="33">
        <v>8.07000031036E11</v>
      </c>
      <c r="D838" s="33" t="s">
        <v>8465</v>
      </c>
      <c r="E838" s="33" t="s">
        <v>8466</v>
      </c>
      <c r="F838" s="123" t="s">
        <v>8467</v>
      </c>
      <c r="G838" s="123" t="s">
        <v>247</v>
      </c>
      <c r="H838" s="123">
        <v>4400.0</v>
      </c>
      <c r="I838" s="33" t="s">
        <v>2031</v>
      </c>
      <c r="J838" s="33" t="s">
        <v>3348</v>
      </c>
      <c r="K838" s="33">
        <v>1.0</v>
      </c>
      <c r="L838" s="124" t="s">
        <v>8468</v>
      </c>
      <c r="M838" s="34"/>
    </row>
    <row r="839" hidden="1">
      <c r="A839" s="33" t="s">
        <v>8469</v>
      </c>
      <c r="B839" s="122">
        <v>45794.0</v>
      </c>
      <c r="C839" s="33">
        <v>8.07000030961E11</v>
      </c>
      <c r="D839" s="33" t="s">
        <v>8470</v>
      </c>
      <c r="E839" s="33" t="s">
        <v>8471</v>
      </c>
      <c r="F839" s="123" t="s">
        <v>8472</v>
      </c>
      <c r="G839" s="123" t="s">
        <v>8473</v>
      </c>
      <c r="H839" s="123">
        <v>4400.0</v>
      </c>
      <c r="I839" s="33" t="s">
        <v>561</v>
      </c>
      <c r="J839" s="33" t="s">
        <v>8209</v>
      </c>
      <c r="K839" s="33">
        <v>1.0</v>
      </c>
      <c r="L839" s="124" t="s">
        <v>8474</v>
      </c>
      <c r="M839" s="34"/>
    </row>
    <row r="840" hidden="1">
      <c r="A840" s="33" t="s">
        <v>8475</v>
      </c>
      <c r="B840" s="122">
        <v>45794.0</v>
      </c>
      <c r="C840" s="33">
        <v>8.07000031039E11</v>
      </c>
      <c r="D840" s="33" t="s">
        <v>8476</v>
      </c>
      <c r="E840" s="33" t="s">
        <v>8477</v>
      </c>
      <c r="F840" s="123" t="s">
        <v>8478</v>
      </c>
      <c r="G840" s="123" t="s">
        <v>247</v>
      </c>
      <c r="H840" s="123">
        <v>4400.0</v>
      </c>
      <c r="I840" s="33" t="s">
        <v>2372</v>
      </c>
      <c r="J840" s="33" t="s">
        <v>8140</v>
      </c>
      <c r="K840" s="33">
        <v>1.0</v>
      </c>
      <c r="L840" s="124" t="s">
        <v>8479</v>
      </c>
      <c r="M840" s="34"/>
    </row>
    <row r="841" hidden="1">
      <c r="A841" s="33" t="s">
        <v>8475</v>
      </c>
      <c r="B841" s="122">
        <v>45794.0</v>
      </c>
      <c r="C841" s="33">
        <v>8.07000031039E11</v>
      </c>
      <c r="D841" s="33" t="s">
        <v>8476</v>
      </c>
      <c r="E841" s="33" t="s">
        <v>8477</v>
      </c>
      <c r="F841" s="123" t="s">
        <v>8478</v>
      </c>
      <c r="G841" s="123" t="s">
        <v>247</v>
      </c>
      <c r="H841" s="123">
        <v>4400.0</v>
      </c>
      <c r="I841" s="33" t="s">
        <v>512</v>
      </c>
      <c r="J841" s="33" t="s">
        <v>513</v>
      </c>
      <c r="K841" s="33">
        <v>6.0</v>
      </c>
      <c r="L841" s="124" t="s">
        <v>8479</v>
      </c>
      <c r="M841" s="34"/>
    </row>
    <row r="842" hidden="1">
      <c r="A842" s="33" t="s">
        <v>8475</v>
      </c>
      <c r="B842" s="122">
        <v>45794.0</v>
      </c>
      <c r="C842" s="33">
        <v>8.07000031039E11</v>
      </c>
      <c r="D842" s="33" t="s">
        <v>8476</v>
      </c>
      <c r="E842" s="33" t="s">
        <v>8477</v>
      </c>
      <c r="F842" s="123" t="s">
        <v>8478</v>
      </c>
      <c r="G842" s="123" t="s">
        <v>247</v>
      </c>
      <c r="H842" s="123">
        <v>4400.0</v>
      </c>
      <c r="I842" s="33" t="s">
        <v>35</v>
      </c>
      <c r="J842" s="33" t="s">
        <v>3188</v>
      </c>
      <c r="K842" s="33">
        <v>1.0</v>
      </c>
      <c r="L842" s="124" t="s">
        <v>8479</v>
      </c>
      <c r="M842" s="34"/>
    </row>
    <row r="843" hidden="1">
      <c r="A843" s="33" t="s">
        <v>8475</v>
      </c>
      <c r="B843" s="122">
        <v>45794.0</v>
      </c>
      <c r="C843" s="33">
        <v>8.0700003104E11</v>
      </c>
      <c r="D843" s="33" t="s">
        <v>8476</v>
      </c>
      <c r="E843" s="33" t="s">
        <v>8477</v>
      </c>
      <c r="F843" s="123" t="s">
        <v>8478</v>
      </c>
      <c r="G843" s="123" t="s">
        <v>247</v>
      </c>
      <c r="H843" s="123">
        <v>4400.0</v>
      </c>
      <c r="I843" s="33" t="s">
        <v>4070</v>
      </c>
      <c r="J843" s="33" t="s">
        <v>6264</v>
      </c>
      <c r="K843" s="33">
        <v>1.0</v>
      </c>
      <c r="L843" s="124" t="s">
        <v>8479</v>
      </c>
      <c r="M843" s="34"/>
    </row>
    <row r="844" hidden="1">
      <c r="A844" s="33" t="s">
        <v>8475</v>
      </c>
      <c r="B844" s="122">
        <v>45794.0</v>
      </c>
      <c r="C844" s="33">
        <v>8.07000031045E11</v>
      </c>
      <c r="D844" s="33" t="s">
        <v>8476</v>
      </c>
      <c r="E844" s="33" t="s">
        <v>8477</v>
      </c>
      <c r="F844" s="123" t="s">
        <v>8478</v>
      </c>
      <c r="G844" s="123" t="s">
        <v>247</v>
      </c>
      <c r="H844" s="123">
        <v>4400.0</v>
      </c>
      <c r="I844" s="33" t="s">
        <v>6573</v>
      </c>
      <c r="J844" s="33" t="s">
        <v>6574</v>
      </c>
      <c r="K844" s="33">
        <v>1.0</v>
      </c>
      <c r="L844" s="124" t="s">
        <v>8479</v>
      </c>
      <c r="M844" s="34"/>
    </row>
    <row r="845" hidden="1">
      <c r="A845" s="33" t="s">
        <v>8475</v>
      </c>
      <c r="B845" s="122">
        <v>45794.0</v>
      </c>
      <c r="C845" s="33">
        <v>8.07000031045E11</v>
      </c>
      <c r="D845" s="33" t="s">
        <v>8476</v>
      </c>
      <c r="E845" s="33" t="s">
        <v>8477</v>
      </c>
      <c r="F845" s="123" t="s">
        <v>8478</v>
      </c>
      <c r="G845" s="123" t="s">
        <v>247</v>
      </c>
      <c r="H845" s="123">
        <v>4400.0</v>
      </c>
      <c r="I845" s="33" t="s">
        <v>512</v>
      </c>
      <c r="J845" s="33" t="s">
        <v>513</v>
      </c>
      <c r="K845" s="33">
        <v>6.0</v>
      </c>
      <c r="L845" s="124" t="s">
        <v>8479</v>
      </c>
      <c r="M845" s="34"/>
    </row>
    <row r="846" hidden="1">
      <c r="A846" s="33" t="s">
        <v>8475</v>
      </c>
      <c r="B846" s="122">
        <v>45794.0</v>
      </c>
      <c r="C846" s="33">
        <v>8.07000031045E11</v>
      </c>
      <c r="D846" s="33" t="s">
        <v>8476</v>
      </c>
      <c r="E846" s="33" t="s">
        <v>8477</v>
      </c>
      <c r="F846" s="123" t="s">
        <v>8478</v>
      </c>
      <c r="G846" s="123" t="s">
        <v>247</v>
      </c>
      <c r="H846" s="123">
        <v>4400.0</v>
      </c>
      <c r="I846" s="33" t="s">
        <v>35</v>
      </c>
      <c r="J846" s="33" t="s">
        <v>3188</v>
      </c>
      <c r="K846" s="33">
        <v>1.0</v>
      </c>
      <c r="L846" s="124" t="s">
        <v>8479</v>
      </c>
      <c r="M846" s="34"/>
    </row>
    <row r="847" hidden="1">
      <c r="A847" s="33" t="s">
        <v>8475</v>
      </c>
      <c r="B847" s="122">
        <v>45794.0</v>
      </c>
      <c r="C847" s="33">
        <v>8.07000031047E11</v>
      </c>
      <c r="D847" s="33" t="s">
        <v>8476</v>
      </c>
      <c r="E847" s="33" t="s">
        <v>8477</v>
      </c>
      <c r="F847" s="123" t="s">
        <v>8478</v>
      </c>
      <c r="G847" s="123" t="s">
        <v>247</v>
      </c>
      <c r="H847" s="123">
        <v>4400.0</v>
      </c>
      <c r="I847" s="33">
        <v>125704.0</v>
      </c>
      <c r="J847" s="33" t="s">
        <v>8480</v>
      </c>
      <c r="K847" s="33">
        <v>1.0</v>
      </c>
      <c r="L847" s="124" t="s">
        <v>8479</v>
      </c>
      <c r="M847" s="34"/>
    </row>
    <row r="848" hidden="1">
      <c r="A848" s="33" t="s">
        <v>8481</v>
      </c>
      <c r="B848" s="122">
        <v>45794.0</v>
      </c>
      <c r="C848" s="33">
        <v>8.07000031049E11</v>
      </c>
      <c r="D848" s="33" t="s">
        <v>8476</v>
      </c>
      <c r="E848" s="33" t="s">
        <v>8477</v>
      </c>
      <c r="F848" s="123" t="s">
        <v>8482</v>
      </c>
      <c r="G848" s="123" t="s">
        <v>247</v>
      </c>
      <c r="H848" s="123">
        <v>4400.0</v>
      </c>
      <c r="I848" s="33">
        <v>125811.0</v>
      </c>
      <c r="J848" s="33" t="s">
        <v>6073</v>
      </c>
      <c r="K848" s="33">
        <v>1.0</v>
      </c>
      <c r="L848" s="124" t="s">
        <v>8479</v>
      </c>
      <c r="M848" s="34"/>
    </row>
    <row r="849" hidden="1">
      <c r="A849" s="33" t="s">
        <v>8481</v>
      </c>
      <c r="B849" s="122">
        <v>45794.0</v>
      </c>
      <c r="C849" s="33">
        <v>8.07000031046E11</v>
      </c>
      <c r="D849" s="33" t="s">
        <v>8476</v>
      </c>
      <c r="E849" s="33" t="s">
        <v>8477</v>
      </c>
      <c r="F849" s="123" t="s">
        <v>8482</v>
      </c>
      <c r="G849" s="123" t="s">
        <v>247</v>
      </c>
      <c r="H849" s="123">
        <v>4400.0</v>
      </c>
      <c r="I849" s="33" t="s">
        <v>233</v>
      </c>
      <c r="J849" s="33" t="s">
        <v>3459</v>
      </c>
      <c r="K849" s="33">
        <v>1.0</v>
      </c>
      <c r="L849" s="124" t="s">
        <v>8479</v>
      </c>
      <c r="M849" s="34"/>
    </row>
    <row r="850" hidden="1">
      <c r="A850" s="33" t="s">
        <v>8481</v>
      </c>
      <c r="B850" s="122">
        <v>45794.0</v>
      </c>
      <c r="C850" s="33">
        <v>8.07000031043E11</v>
      </c>
      <c r="D850" s="33" t="s">
        <v>8476</v>
      </c>
      <c r="E850" s="33" t="s">
        <v>8477</v>
      </c>
      <c r="F850" s="123" t="s">
        <v>8482</v>
      </c>
      <c r="G850" s="123" t="s">
        <v>247</v>
      </c>
      <c r="H850" s="123">
        <v>4400.0</v>
      </c>
      <c r="I850" s="33" t="s">
        <v>3313</v>
      </c>
      <c r="J850" s="33" t="s">
        <v>3314</v>
      </c>
      <c r="K850" s="33">
        <v>1.0</v>
      </c>
      <c r="L850" s="124" t="s">
        <v>8479</v>
      </c>
      <c r="M850" s="34"/>
    </row>
    <row r="851" hidden="1">
      <c r="A851" s="33" t="s">
        <v>8483</v>
      </c>
      <c r="B851" s="122">
        <v>45794.0</v>
      </c>
      <c r="C851" s="33">
        <v>8.07000031048E11</v>
      </c>
      <c r="D851" s="33" t="s">
        <v>8484</v>
      </c>
      <c r="E851" s="33" t="s">
        <v>8485</v>
      </c>
      <c r="F851" s="123" t="s">
        <v>8486</v>
      </c>
      <c r="G851" s="123" t="s">
        <v>247</v>
      </c>
      <c r="H851" s="123">
        <v>4400.0</v>
      </c>
      <c r="I851" s="33" t="s">
        <v>3451</v>
      </c>
      <c r="J851" s="33" t="s">
        <v>3452</v>
      </c>
      <c r="K851" s="33">
        <v>3.0</v>
      </c>
      <c r="L851" s="124" t="s">
        <v>8487</v>
      </c>
      <c r="M851" s="34"/>
    </row>
    <row r="852" hidden="1">
      <c r="A852" s="33" t="s">
        <v>8483</v>
      </c>
      <c r="B852" s="122">
        <v>45794.0</v>
      </c>
      <c r="C852" s="33">
        <v>8.07000031048E11</v>
      </c>
      <c r="D852" s="33" t="s">
        <v>8484</v>
      </c>
      <c r="E852" s="33" t="s">
        <v>8485</v>
      </c>
      <c r="F852" s="123" t="s">
        <v>8486</v>
      </c>
      <c r="G852" s="123" t="s">
        <v>247</v>
      </c>
      <c r="H852" s="123">
        <v>4400.0</v>
      </c>
      <c r="I852" s="33" t="s">
        <v>512</v>
      </c>
      <c r="J852" s="33" t="s">
        <v>513</v>
      </c>
      <c r="K852" s="33">
        <v>18.0</v>
      </c>
      <c r="L852" s="124" t="s">
        <v>8487</v>
      </c>
      <c r="M852" s="34"/>
    </row>
    <row r="853" hidden="1">
      <c r="A853" s="33" t="s">
        <v>8483</v>
      </c>
      <c r="B853" s="122">
        <v>45794.0</v>
      </c>
      <c r="C853" s="33">
        <v>8.07000031048E11</v>
      </c>
      <c r="D853" s="33" t="s">
        <v>8484</v>
      </c>
      <c r="E853" s="33" t="s">
        <v>8485</v>
      </c>
      <c r="F853" s="123" t="s">
        <v>8486</v>
      </c>
      <c r="G853" s="123" t="s">
        <v>247</v>
      </c>
      <c r="H853" s="123">
        <v>4400.0</v>
      </c>
      <c r="I853" s="33" t="s">
        <v>110</v>
      </c>
      <c r="J853" s="33" t="s">
        <v>3673</v>
      </c>
      <c r="K853" s="33">
        <v>3.0</v>
      </c>
      <c r="L853" s="124" t="s">
        <v>8487</v>
      </c>
      <c r="M853" s="34"/>
    </row>
    <row r="854" hidden="1">
      <c r="A854" s="33" t="s">
        <v>8488</v>
      </c>
      <c r="B854" s="122">
        <v>45794.0</v>
      </c>
      <c r="C854" s="33">
        <v>8.07000031061E11</v>
      </c>
      <c r="D854" s="33" t="s">
        <v>8489</v>
      </c>
      <c r="E854" s="33" t="s">
        <v>8490</v>
      </c>
      <c r="F854" s="123" t="s">
        <v>8491</v>
      </c>
      <c r="G854" s="123" t="s">
        <v>247</v>
      </c>
      <c r="H854" s="123">
        <v>4400.0</v>
      </c>
      <c r="I854" s="33" t="s">
        <v>3074</v>
      </c>
      <c r="J854" s="33" t="s">
        <v>3232</v>
      </c>
      <c r="K854" s="33">
        <v>1.0</v>
      </c>
      <c r="L854" s="124" t="s">
        <v>8492</v>
      </c>
      <c r="M854" s="34"/>
    </row>
    <row r="855" hidden="1">
      <c r="A855" s="33" t="s">
        <v>8488</v>
      </c>
      <c r="B855" s="122">
        <v>45794.0</v>
      </c>
      <c r="C855" s="33">
        <v>8.07000031061E11</v>
      </c>
      <c r="D855" s="33" t="s">
        <v>8489</v>
      </c>
      <c r="E855" s="33" t="s">
        <v>8490</v>
      </c>
      <c r="F855" s="123" t="s">
        <v>8491</v>
      </c>
      <c r="G855" s="123" t="s">
        <v>247</v>
      </c>
      <c r="H855" s="123">
        <v>4400.0</v>
      </c>
      <c r="I855" s="33" t="s">
        <v>512</v>
      </c>
      <c r="J855" s="33" t="s">
        <v>513</v>
      </c>
      <c r="K855" s="33">
        <v>6.0</v>
      </c>
      <c r="L855" s="124" t="s">
        <v>8492</v>
      </c>
      <c r="M855" s="34"/>
    </row>
    <row r="856" hidden="1">
      <c r="A856" s="33" t="s">
        <v>8488</v>
      </c>
      <c r="B856" s="122">
        <v>45794.0</v>
      </c>
      <c r="C856" s="33">
        <v>8.07000031061E11</v>
      </c>
      <c r="D856" s="33" t="s">
        <v>8489</v>
      </c>
      <c r="E856" s="33" t="s">
        <v>8490</v>
      </c>
      <c r="F856" s="123" t="s">
        <v>8491</v>
      </c>
      <c r="G856" s="123" t="s">
        <v>247</v>
      </c>
      <c r="H856" s="123">
        <v>4400.0</v>
      </c>
      <c r="I856" s="33" t="s">
        <v>1044</v>
      </c>
      <c r="J856" s="33" t="s">
        <v>8493</v>
      </c>
      <c r="K856" s="33">
        <v>1.0</v>
      </c>
      <c r="L856" s="124" t="s">
        <v>8492</v>
      </c>
      <c r="M856" s="34"/>
    </row>
    <row r="857" hidden="1">
      <c r="A857" s="33" t="s">
        <v>8488</v>
      </c>
      <c r="B857" s="122">
        <v>45794.0</v>
      </c>
      <c r="C857" s="33">
        <v>8.07000031061E11</v>
      </c>
      <c r="D857" s="33" t="s">
        <v>8489</v>
      </c>
      <c r="E857" s="33" t="s">
        <v>8490</v>
      </c>
      <c r="F857" s="123" t="s">
        <v>8491</v>
      </c>
      <c r="G857" s="123" t="s">
        <v>247</v>
      </c>
      <c r="H857" s="123">
        <v>4400.0</v>
      </c>
      <c r="I857" s="33" t="s">
        <v>670</v>
      </c>
      <c r="J857" s="33" t="s">
        <v>3410</v>
      </c>
      <c r="K857" s="33">
        <v>1.0</v>
      </c>
      <c r="L857" s="124" t="s">
        <v>8492</v>
      </c>
      <c r="M857" s="34"/>
    </row>
    <row r="858" hidden="1">
      <c r="A858" s="33" t="s">
        <v>8494</v>
      </c>
      <c r="B858" s="122">
        <v>45796.0</v>
      </c>
      <c r="C858" s="33">
        <v>8.07000031092E11</v>
      </c>
      <c r="D858" s="33" t="s">
        <v>8495</v>
      </c>
      <c r="E858" s="33" t="s">
        <v>8496</v>
      </c>
      <c r="F858" s="123" t="s">
        <v>8497</v>
      </c>
      <c r="G858" s="123" t="s">
        <v>247</v>
      </c>
      <c r="H858" s="123">
        <v>4400.0</v>
      </c>
      <c r="I858" s="189">
        <v>840241.0</v>
      </c>
      <c r="J858" s="33" t="s">
        <v>8290</v>
      </c>
      <c r="K858" s="33">
        <v>1.0</v>
      </c>
      <c r="L858" s="124" t="s">
        <v>8498</v>
      </c>
      <c r="M858" s="34"/>
    </row>
    <row r="859" hidden="1">
      <c r="A859" s="33" t="s">
        <v>8494</v>
      </c>
      <c r="B859" s="122">
        <v>45796.0</v>
      </c>
      <c r="C859" s="33">
        <v>8.07000031092E11</v>
      </c>
      <c r="D859" s="33" t="s">
        <v>8495</v>
      </c>
      <c r="E859" s="33" t="s">
        <v>8496</v>
      </c>
      <c r="F859" s="123" t="s">
        <v>8497</v>
      </c>
      <c r="G859" s="123" t="s">
        <v>247</v>
      </c>
      <c r="H859" s="123">
        <v>4400.0</v>
      </c>
      <c r="I859" s="189">
        <v>914020.0</v>
      </c>
      <c r="J859" s="33" t="s">
        <v>7880</v>
      </c>
      <c r="K859" s="33">
        <v>1.0</v>
      </c>
      <c r="L859" s="124" t="s">
        <v>8498</v>
      </c>
      <c r="M859" s="34"/>
    </row>
    <row r="860" hidden="1">
      <c r="A860" s="33" t="s">
        <v>8499</v>
      </c>
      <c r="B860" s="122">
        <v>45796.0</v>
      </c>
      <c r="C860" s="33">
        <v>8.07000031101E11</v>
      </c>
      <c r="D860" s="33" t="s">
        <v>8500</v>
      </c>
      <c r="E860" s="33" t="s">
        <v>8501</v>
      </c>
      <c r="F860" s="123" t="s">
        <v>8502</v>
      </c>
      <c r="G860" s="123" t="s">
        <v>247</v>
      </c>
      <c r="H860" s="123">
        <v>4400.0</v>
      </c>
      <c r="I860" s="33" t="s">
        <v>1559</v>
      </c>
      <c r="J860" s="33" t="s">
        <v>8503</v>
      </c>
      <c r="K860" s="33">
        <v>1.0</v>
      </c>
      <c r="L860" s="124" t="s">
        <v>8504</v>
      </c>
      <c r="M860" s="34"/>
    </row>
    <row r="861" hidden="1">
      <c r="A861" s="33" t="s">
        <v>8499</v>
      </c>
      <c r="B861" s="122">
        <v>45796.0</v>
      </c>
      <c r="C861" s="33">
        <v>8.07000031101E11</v>
      </c>
      <c r="D861" s="33" t="s">
        <v>8500</v>
      </c>
      <c r="E861" s="33" t="s">
        <v>8501</v>
      </c>
      <c r="F861" s="123" t="s">
        <v>8502</v>
      </c>
      <c r="G861" s="123" t="s">
        <v>247</v>
      </c>
      <c r="H861" s="123">
        <v>4400.0</v>
      </c>
      <c r="I861" s="33" t="s">
        <v>1827</v>
      </c>
      <c r="J861" s="33" t="s">
        <v>4367</v>
      </c>
      <c r="K861" s="33">
        <v>1.0</v>
      </c>
      <c r="L861" s="124" t="s">
        <v>8504</v>
      </c>
      <c r="M861" s="34"/>
    </row>
    <row r="862" hidden="1">
      <c r="A862" s="33" t="s">
        <v>8505</v>
      </c>
      <c r="B862" s="122">
        <v>45796.0</v>
      </c>
      <c r="C862" s="33">
        <v>8.0700003107E11</v>
      </c>
      <c r="D862" s="33" t="s">
        <v>8506</v>
      </c>
      <c r="E862" s="33" t="s">
        <v>8507</v>
      </c>
      <c r="F862" s="123" t="s">
        <v>8508</v>
      </c>
      <c r="G862" s="123" t="s">
        <v>1197</v>
      </c>
      <c r="H862" s="123">
        <v>4449.0</v>
      </c>
      <c r="I862" s="33" t="s">
        <v>1533</v>
      </c>
      <c r="J862" s="33" t="s">
        <v>8151</v>
      </c>
      <c r="K862" s="33">
        <v>1.0</v>
      </c>
      <c r="L862" s="124"/>
      <c r="M862" s="34"/>
    </row>
    <row r="863" hidden="1">
      <c r="A863" s="125" t="s">
        <v>8505</v>
      </c>
      <c r="B863" s="126">
        <v>45796.0</v>
      </c>
      <c r="C863" s="125">
        <v>8.0700003107E11</v>
      </c>
      <c r="D863" s="125" t="s">
        <v>8506</v>
      </c>
      <c r="E863" s="125" t="s">
        <v>8507</v>
      </c>
      <c r="F863" s="127" t="s">
        <v>8508</v>
      </c>
      <c r="G863" s="127" t="s">
        <v>1197</v>
      </c>
      <c r="H863" s="127">
        <v>4449.0</v>
      </c>
      <c r="I863" s="125" t="s">
        <v>772</v>
      </c>
      <c r="J863" s="125" t="s">
        <v>3363</v>
      </c>
      <c r="K863" s="125">
        <v>2.0</v>
      </c>
      <c r="L863" s="129"/>
      <c r="M863" s="130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  <c r="AC863" s="179"/>
    </row>
    <row r="864" hidden="1">
      <c r="A864" s="33" t="s">
        <v>8509</v>
      </c>
      <c r="B864" s="122">
        <v>45798.0</v>
      </c>
      <c r="C864" s="33">
        <v>8.05011531191E11</v>
      </c>
      <c r="D864" s="33" t="s">
        <v>8510</v>
      </c>
      <c r="E864" s="33" t="s">
        <v>8511</v>
      </c>
      <c r="F864" s="123" t="s">
        <v>8512</v>
      </c>
      <c r="G864" s="123" t="s">
        <v>8513</v>
      </c>
      <c r="H864" s="123">
        <v>4530.0</v>
      </c>
      <c r="I864" s="189" t="s">
        <v>8514</v>
      </c>
      <c r="J864" s="33" t="s">
        <v>8515</v>
      </c>
      <c r="K864" s="33">
        <v>2.0</v>
      </c>
      <c r="L864" s="124" t="s">
        <v>8516</v>
      </c>
      <c r="M864" s="34" t="s">
        <v>8517</v>
      </c>
    </row>
    <row r="865" hidden="1">
      <c r="A865" s="33" t="s">
        <v>8518</v>
      </c>
      <c r="B865" s="122">
        <v>45798.0</v>
      </c>
      <c r="C865" s="33">
        <v>8.07000031084E11</v>
      </c>
      <c r="D865" s="33" t="s">
        <v>8519</v>
      </c>
      <c r="E865" s="33" t="s">
        <v>8520</v>
      </c>
      <c r="F865" s="123" t="s">
        <v>8521</v>
      </c>
      <c r="G865" s="123" t="s">
        <v>247</v>
      </c>
      <c r="H865" s="123">
        <v>4400.0</v>
      </c>
      <c r="I865" s="189" t="s">
        <v>5087</v>
      </c>
      <c r="J865" s="33" t="s">
        <v>5088</v>
      </c>
      <c r="K865" s="33">
        <v>3.0</v>
      </c>
      <c r="L865" s="124" t="s">
        <v>8522</v>
      </c>
      <c r="M865" s="34"/>
    </row>
    <row r="866" hidden="1">
      <c r="A866" s="33" t="s">
        <v>8523</v>
      </c>
      <c r="B866" s="122">
        <v>45798.0</v>
      </c>
      <c r="C866" s="33">
        <v>8.07000031108E11</v>
      </c>
      <c r="D866" s="33" t="s">
        <v>8524</v>
      </c>
      <c r="E866" s="33" t="s">
        <v>8525</v>
      </c>
      <c r="F866" s="123" t="s">
        <v>8526</v>
      </c>
      <c r="G866" s="123" t="s">
        <v>247</v>
      </c>
      <c r="H866" s="123">
        <v>4400.0</v>
      </c>
      <c r="I866" s="189">
        <v>185904.0</v>
      </c>
      <c r="J866" s="33" t="s">
        <v>8527</v>
      </c>
      <c r="K866" s="33">
        <v>1.0</v>
      </c>
      <c r="L866" s="124" t="s">
        <v>8528</v>
      </c>
      <c r="M866" s="34"/>
    </row>
    <row r="867" hidden="1">
      <c r="A867" s="33" t="s">
        <v>8529</v>
      </c>
      <c r="B867" s="122">
        <v>45798.0</v>
      </c>
      <c r="C867" s="33">
        <v>8.07000031103E11</v>
      </c>
      <c r="D867" s="33" t="s">
        <v>4078</v>
      </c>
      <c r="E867" s="33" t="s">
        <v>4079</v>
      </c>
      <c r="F867" s="123" t="s">
        <v>8530</v>
      </c>
      <c r="G867" s="123" t="s">
        <v>247</v>
      </c>
      <c r="H867" s="123">
        <v>4400.0</v>
      </c>
      <c r="I867" s="189" t="s">
        <v>3074</v>
      </c>
      <c r="J867" s="33" t="s">
        <v>3232</v>
      </c>
      <c r="K867" s="33">
        <v>1.0</v>
      </c>
      <c r="L867" s="124" t="s">
        <v>8531</v>
      </c>
      <c r="M867" s="34"/>
    </row>
    <row r="868" hidden="1">
      <c r="A868" s="33" t="s">
        <v>8529</v>
      </c>
      <c r="B868" s="122">
        <v>45798.0</v>
      </c>
      <c r="C868" s="33">
        <v>8.07000031103E11</v>
      </c>
      <c r="D868" s="33" t="s">
        <v>4078</v>
      </c>
      <c r="E868" s="33" t="s">
        <v>4079</v>
      </c>
      <c r="F868" s="123" t="s">
        <v>8530</v>
      </c>
      <c r="G868" s="123" t="s">
        <v>247</v>
      </c>
      <c r="H868" s="123">
        <v>4400.0</v>
      </c>
      <c r="I868" s="189" t="s">
        <v>8532</v>
      </c>
      <c r="J868" s="33" t="s">
        <v>8533</v>
      </c>
      <c r="K868" s="33">
        <v>1.0</v>
      </c>
      <c r="L868" s="124" t="s">
        <v>8531</v>
      </c>
      <c r="M868" s="34"/>
    </row>
    <row r="869" hidden="1">
      <c r="A869" s="33" t="s">
        <v>8534</v>
      </c>
      <c r="B869" s="122">
        <v>45798.0</v>
      </c>
      <c r="C869" s="33">
        <v>8.07000031115E11</v>
      </c>
      <c r="D869" s="33" t="s">
        <v>8535</v>
      </c>
      <c r="E869" s="33" t="s">
        <v>8536</v>
      </c>
      <c r="F869" s="123" t="s">
        <v>8537</v>
      </c>
      <c r="G869" s="123" t="s">
        <v>247</v>
      </c>
      <c r="H869" s="123">
        <v>4400.0</v>
      </c>
      <c r="I869" s="189" t="s">
        <v>985</v>
      </c>
      <c r="J869" s="33" t="s">
        <v>3600</v>
      </c>
      <c r="K869" s="33">
        <v>1.0</v>
      </c>
      <c r="L869" s="124" t="s">
        <v>8538</v>
      </c>
      <c r="M869" s="34"/>
    </row>
    <row r="870" hidden="1">
      <c r="A870" s="33" t="s">
        <v>8534</v>
      </c>
      <c r="B870" s="122">
        <v>45798.0</v>
      </c>
      <c r="C870" s="33">
        <v>8.07000031115E11</v>
      </c>
      <c r="D870" s="33" t="s">
        <v>8535</v>
      </c>
      <c r="E870" s="33" t="s">
        <v>8536</v>
      </c>
      <c r="F870" s="123" t="s">
        <v>8537</v>
      </c>
      <c r="G870" s="123" t="s">
        <v>247</v>
      </c>
      <c r="H870" s="123">
        <v>4400.0</v>
      </c>
      <c r="I870" s="189" t="s">
        <v>512</v>
      </c>
      <c r="J870" s="33" t="s">
        <v>513</v>
      </c>
      <c r="K870" s="33">
        <v>6.0</v>
      </c>
      <c r="L870" s="124" t="s">
        <v>8538</v>
      </c>
      <c r="M870" s="34"/>
    </row>
    <row r="871" hidden="1">
      <c r="A871" s="33" t="s">
        <v>8534</v>
      </c>
      <c r="B871" s="122">
        <v>45798.0</v>
      </c>
      <c r="C871" s="33">
        <v>8.07000031115E11</v>
      </c>
      <c r="D871" s="33" t="s">
        <v>8535</v>
      </c>
      <c r="E871" s="33" t="s">
        <v>8536</v>
      </c>
      <c r="F871" s="123" t="s">
        <v>8537</v>
      </c>
      <c r="G871" s="123" t="s">
        <v>247</v>
      </c>
      <c r="H871" s="123">
        <v>4400.0</v>
      </c>
      <c r="I871" s="189" t="s">
        <v>35</v>
      </c>
      <c r="J871" s="33" t="s">
        <v>3188</v>
      </c>
      <c r="K871" s="33">
        <v>1.0</v>
      </c>
      <c r="L871" s="124" t="s">
        <v>8538</v>
      </c>
      <c r="M871" s="34"/>
    </row>
    <row r="872" hidden="1">
      <c r="A872" s="33" t="s">
        <v>8539</v>
      </c>
      <c r="B872" s="122">
        <v>45798.0</v>
      </c>
      <c r="C872" s="33">
        <v>8.07000031112E11</v>
      </c>
      <c r="D872" s="33" t="s">
        <v>8540</v>
      </c>
      <c r="E872" s="33" t="s">
        <v>8541</v>
      </c>
      <c r="F872" s="123" t="s">
        <v>8542</v>
      </c>
      <c r="G872" s="123" t="s">
        <v>624</v>
      </c>
      <c r="H872" s="123">
        <v>4403.0</v>
      </c>
      <c r="I872" s="189" t="s">
        <v>1937</v>
      </c>
      <c r="J872" s="33" t="s">
        <v>4036</v>
      </c>
      <c r="K872" s="33">
        <v>1.0</v>
      </c>
      <c r="L872" s="124" t="s">
        <v>8543</v>
      </c>
      <c r="M872" s="34"/>
    </row>
    <row r="873" hidden="1">
      <c r="A873" s="33" t="s">
        <v>8539</v>
      </c>
      <c r="B873" s="122">
        <v>45798.0</v>
      </c>
      <c r="C873" s="33">
        <v>8.07000031112E11</v>
      </c>
      <c r="D873" s="33" t="s">
        <v>8540</v>
      </c>
      <c r="E873" s="33" t="s">
        <v>8541</v>
      </c>
      <c r="F873" s="123" t="s">
        <v>8542</v>
      </c>
      <c r="G873" s="123" t="s">
        <v>624</v>
      </c>
      <c r="H873" s="123">
        <v>4403.0</v>
      </c>
      <c r="I873" s="189" t="s">
        <v>512</v>
      </c>
      <c r="J873" s="33" t="s">
        <v>513</v>
      </c>
      <c r="K873" s="33">
        <v>12.0</v>
      </c>
      <c r="L873" s="124" t="s">
        <v>8543</v>
      </c>
      <c r="M873" s="34"/>
    </row>
    <row r="874" hidden="1">
      <c r="A874" s="33" t="s">
        <v>8539</v>
      </c>
      <c r="B874" s="122">
        <v>45798.0</v>
      </c>
      <c r="C874" s="33">
        <v>8.07000031112E11</v>
      </c>
      <c r="D874" s="33" t="s">
        <v>8540</v>
      </c>
      <c r="E874" s="33" t="s">
        <v>8541</v>
      </c>
      <c r="F874" s="123" t="s">
        <v>8542</v>
      </c>
      <c r="G874" s="123" t="s">
        <v>624</v>
      </c>
      <c r="H874" s="123">
        <v>4403.0</v>
      </c>
      <c r="I874" s="189" t="s">
        <v>233</v>
      </c>
      <c r="J874" s="33" t="s">
        <v>3459</v>
      </c>
      <c r="K874" s="33">
        <v>2.0</v>
      </c>
      <c r="L874" s="124" t="s">
        <v>8543</v>
      </c>
      <c r="M874" s="34"/>
    </row>
    <row r="875" hidden="1">
      <c r="A875" s="33" t="s">
        <v>8544</v>
      </c>
      <c r="B875" s="122">
        <v>45798.0</v>
      </c>
      <c r="C875" s="33">
        <v>8.07000031125E11</v>
      </c>
      <c r="D875" s="33" t="s">
        <v>8545</v>
      </c>
      <c r="E875" s="33" t="s">
        <v>8546</v>
      </c>
      <c r="F875" s="123" t="s">
        <v>8547</v>
      </c>
      <c r="G875" s="123" t="s">
        <v>247</v>
      </c>
      <c r="H875" s="123">
        <v>4400.0</v>
      </c>
      <c r="I875" s="189" t="s">
        <v>8548</v>
      </c>
      <c r="J875" s="33" t="s">
        <v>3296</v>
      </c>
      <c r="K875" s="33">
        <v>1.0</v>
      </c>
      <c r="L875" s="124" t="s">
        <v>8549</v>
      </c>
      <c r="M875" s="34"/>
    </row>
    <row r="876" hidden="1">
      <c r="A876" s="33" t="s">
        <v>8550</v>
      </c>
      <c r="B876" s="122">
        <v>45798.0</v>
      </c>
      <c r="C876" s="33">
        <v>8.07000031124E11</v>
      </c>
      <c r="D876" s="33" t="s">
        <v>8551</v>
      </c>
      <c r="E876" s="33" t="s">
        <v>8552</v>
      </c>
      <c r="F876" s="123" t="s">
        <v>8553</v>
      </c>
      <c r="G876" s="123" t="s">
        <v>247</v>
      </c>
      <c r="H876" s="123">
        <v>4400.0</v>
      </c>
      <c r="I876" s="189" t="s">
        <v>7088</v>
      </c>
      <c r="J876" s="33" t="s">
        <v>8278</v>
      </c>
      <c r="K876" s="33">
        <v>1.0</v>
      </c>
      <c r="L876" s="124" t="s">
        <v>8554</v>
      </c>
      <c r="M876" s="34"/>
    </row>
    <row r="877" hidden="1">
      <c r="A877" s="33" t="s">
        <v>8550</v>
      </c>
      <c r="B877" s="122">
        <v>45798.0</v>
      </c>
      <c r="C877" s="33">
        <v>8.07000031124E11</v>
      </c>
      <c r="D877" s="33" t="s">
        <v>8551</v>
      </c>
      <c r="E877" s="33" t="s">
        <v>8552</v>
      </c>
      <c r="F877" s="123" t="s">
        <v>8553</v>
      </c>
      <c r="G877" s="123" t="s">
        <v>247</v>
      </c>
      <c r="H877" s="123">
        <v>4400.0</v>
      </c>
      <c r="I877" s="189" t="s">
        <v>7091</v>
      </c>
      <c r="J877" s="33" t="s">
        <v>8280</v>
      </c>
      <c r="K877" s="33">
        <v>2.0</v>
      </c>
      <c r="L877" s="124" t="s">
        <v>8554</v>
      </c>
      <c r="M877" s="34"/>
    </row>
    <row r="878" hidden="1">
      <c r="A878" s="33" t="s">
        <v>8555</v>
      </c>
      <c r="B878" s="122">
        <v>45799.0</v>
      </c>
      <c r="C878" s="33">
        <v>8.07000031123E11</v>
      </c>
      <c r="D878" s="33" t="s">
        <v>8556</v>
      </c>
      <c r="E878" s="33" t="s">
        <v>8557</v>
      </c>
      <c r="F878" s="123" t="s">
        <v>8558</v>
      </c>
      <c r="G878" s="123" t="s">
        <v>350</v>
      </c>
      <c r="H878" s="123">
        <v>4401.0</v>
      </c>
      <c r="I878" s="189" t="s">
        <v>3074</v>
      </c>
      <c r="J878" s="33" t="s">
        <v>3232</v>
      </c>
      <c r="K878" s="33">
        <v>1.0</v>
      </c>
      <c r="L878" s="124" t="s">
        <v>8559</v>
      </c>
      <c r="M878" s="34"/>
    </row>
    <row r="879" hidden="1">
      <c r="A879" s="33" t="s">
        <v>8555</v>
      </c>
      <c r="B879" s="122">
        <v>45799.0</v>
      </c>
      <c r="C879" s="33">
        <v>8.07000031126E11</v>
      </c>
      <c r="D879" s="33" t="s">
        <v>8556</v>
      </c>
      <c r="E879" s="33" t="s">
        <v>8557</v>
      </c>
      <c r="F879" s="123" t="s">
        <v>8560</v>
      </c>
      <c r="G879" s="123" t="s">
        <v>350</v>
      </c>
      <c r="H879" s="123">
        <v>4401.0</v>
      </c>
      <c r="I879" s="189" t="s">
        <v>3168</v>
      </c>
      <c r="J879" s="33" t="s">
        <v>7896</v>
      </c>
      <c r="K879" s="33">
        <v>1.0</v>
      </c>
      <c r="L879" s="124" t="s">
        <v>8559</v>
      </c>
      <c r="M879" s="34"/>
    </row>
    <row r="880" hidden="1">
      <c r="A880" s="33" t="s">
        <v>8561</v>
      </c>
      <c r="B880" s="122">
        <v>45799.0</v>
      </c>
      <c r="C880" s="33">
        <v>8.07000031142E11</v>
      </c>
      <c r="D880" s="33" t="s">
        <v>8562</v>
      </c>
      <c r="E880" s="33" t="s">
        <v>8563</v>
      </c>
      <c r="F880" s="123" t="s">
        <v>8564</v>
      </c>
      <c r="G880" s="123" t="s">
        <v>247</v>
      </c>
      <c r="H880" s="123">
        <v>4400.0</v>
      </c>
      <c r="I880" s="189" t="s">
        <v>145</v>
      </c>
      <c r="J880" s="33" t="s">
        <v>7948</v>
      </c>
      <c r="K880" s="33">
        <v>1.0</v>
      </c>
      <c r="L880" s="124" t="s">
        <v>8565</v>
      </c>
      <c r="M880" s="34"/>
    </row>
    <row r="881" hidden="1">
      <c r="A881" s="33" t="s">
        <v>8561</v>
      </c>
      <c r="B881" s="122">
        <v>45799.0</v>
      </c>
      <c r="C881" s="33">
        <v>8.07000031142E11</v>
      </c>
      <c r="D881" s="33" t="s">
        <v>8562</v>
      </c>
      <c r="E881" s="33" t="s">
        <v>8563</v>
      </c>
      <c r="F881" s="123" t="s">
        <v>8564</v>
      </c>
      <c r="G881" s="123" t="s">
        <v>247</v>
      </c>
      <c r="H881" s="123">
        <v>4400.0</v>
      </c>
      <c r="I881" s="189" t="s">
        <v>512</v>
      </c>
      <c r="J881" s="33" t="s">
        <v>513</v>
      </c>
      <c r="K881" s="33">
        <v>12.0</v>
      </c>
      <c r="L881" s="124" t="s">
        <v>8565</v>
      </c>
      <c r="M881" s="34"/>
    </row>
    <row r="882" hidden="1">
      <c r="A882" s="33" t="s">
        <v>8561</v>
      </c>
      <c r="B882" s="122">
        <v>45799.0</v>
      </c>
      <c r="C882" s="33">
        <v>8.07000031147E11</v>
      </c>
      <c r="D882" s="33" t="s">
        <v>8562</v>
      </c>
      <c r="E882" s="33" t="s">
        <v>8563</v>
      </c>
      <c r="F882" s="123" t="s">
        <v>8564</v>
      </c>
      <c r="G882" s="123" t="s">
        <v>247</v>
      </c>
      <c r="H882" s="123">
        <v>4400.0</v>
      </c>
      <c r="I882" s="189" t="s">
        <v>645</v>
      </c>
      <c r="J882" s="33" t="s">
        <v>3253</v>
      </c>
      <c r="K882" s="33">
        <v>2.0</v>
      </c>
      <c r="L882" s="124" t="s">
        <v>8565</v>
      </c>
      <c r="M882" s="34"/>
    </row>
    <row r="883" hidden="1">
      <c r="A883" s="33" t="s">
        <v>8566</v>
      </c>
      <c r="B883" s="122">
        <v>45799.0</v>
      </c>
      <c r="C883" s="33">
        <v>8.07000031144E11</v>
      </c>
      <c r="D883" s="33" t="s">
        <v>8567</v>
      </c>
      <c r="E883" s="33" t="s">
        <v>8568</v>
      </c>
      <c r="F883" s="123" t="s">
        <v>8569</v>
      </c>
      <c r="G883" s="123" t="s">
        <v>247</v>
      </c>
      <c r="H883" s="123">
        <v>4400.0</v>
      </c>
      <c r="I883" s="189" t="s">
        <v>7088</v>
      </c>
      <c r="J883" s="33" t="s">
        <v>8278</v>
      </c>
      <c r="K883" s="33">
        <v>1.0</v>
      </c>
      <c r="L883" s="124" t="s">
        <v>8570</v>
      </c>
      <c r="M883" s="34"/>
    </row>
    <row r="884" hidden="1">
      <c r="A884" s="33" t="s">
        <v>8566</v>
      </c>
      <c r="B884" s="122">
        <v>45799.0</v>
      </c>
      <c r="C884" s="33">
        <v>8.07000031144E11</v>
      </c>
      <c r="D884" s="33" t="s">
        <v>8567</v>
      </c>
      <c r="E884" s="33" t="s">
        <v>8568</v>
      </c>
      <c r="F884" s="123" t="s">
        <v>8569</v>
      </c>
      <c r="G884" s="123" t="s">
        <v>247</v>
      </c>
      <c r="H884" s="123">
        <v>4400.0</v>
      </c>
      <c r="I884" s="189" t="s">
        <v>7091</v>
      </c>
      <c r="J884" s="33" t="s">
        <v>8280</v>
      </c>
      <c r="K884" s="33">
        <v>2.0</v>
      </c>
      <c r="L884" s="124" t="s">
        <v>8570</v>
      </c>
      <c r="M884" s="34"/>
    </row>
    <row r="885" hidden="1">
      <c r="A885" s="33" t="s">
        <v>8571</v>
      </c>
      <c r="B885" s="122">
        <v>45800.0</v>
      </c>
      <c r="C885" s="33">
        <v>8.07000030947E11</v>
      </c>
      <c r="D885" s="33" t="s">
        <v>6428</v>
      </c>
      <c r="E885" s="33" t="s">
        <v>6429</v>
      </c>
      <c r="F885" s="123" t="s">
        <v>8572</v>
      </c>
      <c r="G885" s="123" t="s">
        <v>247</v>
      </c>
      <c r="H885" s="123">
        <v>4400.0</v>
      </c>
      <c r="I885" s="189" t="s">
        <v>298</v>
      </c>
      <c r="J885" s="33" t="s">
        <v>6035</v>
      </c>
      <c r="K885" s="33">
        <v>1.0</v>
      </c>
      <c r="L885" s="124" t="s">
        <v>8573</v>
      </c>
      <c r="M885" s="34"/>
    </row>
    <row r="886" hidden="1">
      <c r="A886" s="33" t="s">
        <v>8571</v>
      </c>
      <c r="B886" s="122">
        <v>45800.0</v>
      </c>
      <c r="C886" s="33">
        <v>8.07000030947E11</v>
      </c>
      <c r="D886" s="33" t="s">
        <v>6428</v>
      </c>
      <c r="E886" s="33" t="s">
        <v>6429</v>
      </c>
      <c r="F886" s="123" t="s">
        <v>8572</v>
      </c>
      <c r="G886" s="123" t="s">
        <v>247</v>
      </c>
      <c r="H886" s="123">
        <v>4400.0</v>
      </c>
      <c r="I886" s="189" t="s">
        <v>512</v>
      </c>
      <c r="J886" s="33" t="s">
        <v>513</v>
      </c>
      <c r="K886" s="33">
        <v>12.0</v>
      </c>
      <c r="L886" s="124" t="s">
        <v>8573</v>
      </c>
      <c r="M886" s="34"/>
    </row>
    <row r="887" hidden="1">
      <c r="A887" s="33" t="s">
        <v>8571</v>
      </c>
      <c r="B887" s="122">
        <v>45800.0</v>
      </c>
      <c r="C887" s="33">
        <v>8.07000030947E11</v>
      </c>
      <c r="D887" s="33" t="s">
        <v>6428</v>
      </c>
      <c r="E887" s="33" t="s">
        <v>6429</v>
      </c>
      <c r="F887" s="123" t="s">
        <v>8572</v>
      </c>
      <c r="G887" s="123" t="s">
        <v>247</v>
      </c>
      <c r="H887" s="123">
        <v>4400.0</v>
      </c>
      <c r="I887" s="189" t="s">
        <v>340</v>
      </c>
      <c r="J887" s="33" t="s">
        <v>3486</v>
      </c>
      <c r="K887" s="33">
        <v>2.0</v>
      </c>
      <c r="L887" s="124" t="s">
        <v>8573</v>
      </c>
      <c r="M887" s="34"/>
    </row>
    <row r="888" hidden="1">
      <c r="A888" s="33" t="s">
        <v>8574</v>
      </c>
      <c r="B888" s="122">
        <v>45800.0</v>
      </c>
      <c r="C888" s="33">
        <v>8.07000031224E11</v>
      </c>
      <c r="D888" s="33" t="s">
        <v>8575</v>
      </c>
      <c r="E888" s="33" t="s">
        <v>8576</v>
      </c>
      <c r="F888" s="123" t="s">
        <v>8577</v>
      </c>
      <c r="G888" s="123" t="s">
        <v>247</v>
      </c>
      <c r="H888" s="123">
        <v>4400.0</v>
      </c>
      <c r="I888" s="33" t="s">
        <v>3285</v>
      </c>
      <c r="J888" s="33" t="s">
        <v>3286</v>
      </c>
      <c r="K888" s="33">
        <v>1.0</v>
      </c>
      <c r="L888" s="124" t="s">
        <v>8578</v>
      </c>
      <c r="M888" s="34"/>
    </row>
    <row r="889" hidden="1">
      <c r="A889" s="33" t="s">
        <v>8579</v>
      </c>
      <c r="B889" s="122">
        <v>45800.0</v>
      </c>
      <c r="C889" s="33">
        <v>8.07000031225E11</v>
      </c>
      <c r="D889" s="33" t="s">
        <v>8575</v>
      </c>
      <c r="E889" s="33" t="s">
        <v>8576</v>
      </c>
      <c r="F889" s="123" t="s">
        <v>8577</v>
      </c>
      <c r="G889" s="123" t="s">
        <v>247</v>
      </c>
      <c r="H889" s="123">
        <v>4400.0</v>
      </c>
      <c r="I889" s="33" t="s">
        <v>670</v>
      </c>
      <c r="J889" s="33" t="s">
        <v>3410</v>
      </c>
      <c r="K889" s="33">
        <v>1.0</v>
      </c>
      <c r="L889" s="124" t="s">
        <v>8578</v>
      </c>
      <c r="M889" s="34"/>
    </row>
    <row r="890" hidden="1">
      <c r="A890" s="33" t="s">
        <v>8580</v>
      </c>
      <c r="B890" s="122">
        <v>45800.0</v>
      </c>
      <c r="C890" s="33">
        <v>8.07000031229E11</v>
      </c>
      <c r="D890" s="33" t="s">
        <v>8581</v>
      </c>
      <c r="E890" s="33" t="s">
        <v>8582</v>
      </c>
      <c r="F890" s="123" t="s">
        <v>8583</v>
      </c>
      <c r="G890" s="123" t="s">
        <v>247</v>
      </c>
      <c r="H890" s="123">
        <v>4400.0</v>
      </c>
      <c r="I890" s="33" t="s">
        <v>659</v>
      </c>
      <c r="J890" s="33" t="s">
        <v>3468</v>
      </c>
      <c r="K890" s="33">
        <v>1.0</v>
      </c>
      <c r="L890" s="124" t="s">
        <v>8584</v>
      </c>
      <c r="M890" s="34"/>
    </row>
    <row r="891" hidden="1">
      <c r="A891" s="33" t="s">
        <v>8585</v>
      </c>
      <c r="B891" s="122">
        <v>45803.0</v>
      </c>
      <c r="C891" s="33">
        <v>8.07000031244E11</v>
      </c>
      <c r="D891" s="33" t="s">
        <v>8586</v>
      </c>
      <c r="E891" s="33" t="s">
        <v>8587</v>
      </c>
      <c r="F891" s="123" t="s">
        <v>8588</v>
      </c>
      <c r="G891" s="123" t="s">
        <v>247</v>
      </c>
      <c r="H891" s="123">
        <v>4400.0</v>
      </c>
      <c r="I891" s="33" t="s">
        <v>4512</v>
      </c>
      <c r="J891" s="33" t="s">
        <v>4513</v>
      </c>
      <c r="K891" s="33">
        <v>1.0</v>
      </c>
      <c r="L891" s="124" t="s">
        <v>8589</v>
      </c>
      <c r="M891" s="34"/>
    </row>
    <row r="892" hidden="1">
      <c r="A892" s="33" t="s">
        <v>8590</v>
      </c>
      <c r="B892" s="122">
        <v>45803.0</v>
      </c>
      <c r="C892" s="33">
        <v>8.07000031246E11</v>
      </c>
      <c r="D892" s="33" t="s">
        <v>8591</v>
      </c>
      <c r="E892" s="33" t="s">
        <v>8592</v>
      </c>
      <c r="F892" s="123" t="s">
        <v>8593</v>
      </c>
      <c r="G892" s="123" t="s">
        <v>247</v>
      </c>
      <c r="H892" s="123">
        <v>4400.0</v>
      </c>
      <c r="I892" s="33" t="s">
        <v>8444</v>
      </c>
      <c r="J892" s="33" t="s">
        <v>8445</v>
      </c>
      <c r="K892" s="33">
        <v>1.0</v>
      </c>
      <c r="L892" s="124" t="s">
        <v>8594</v>
      </c>
      <c r="M892" s="34"/>
    </row>
    <row r="893" hidden="1">
      <c r="A893" s="33" t="s">
        <v>8595</v>
      </c>
      <c r="B893" s="122">
        <v>45803.0</v>
      </c>
      <c r="C893" s="33">
        <v>8.0700003125E11</v>
      </c>
      <c r="D893" s="33" t="s">
        <v>8596</v>
      </c>
      <c r="E893" s="33" t="s">
        <v>8597</v>
      </c>
      <c r="F893" s="123" t="s">
        <v>8598</v>
      </c>
      <c r="G893" s="123" t="s">
        <v>1197</v>
      </c>
      <c r="H893" s="123">
        <v>4450.0</v>
      </c>
      <c r="I893" s="33" t="s">
        <v>3074</v>
      </c>
      <c r="J893" s="33" t="s">
        <v>3232</v>
      </c>
      <c r="K893" s="33">
        <v>1.0</v>
      </c>
      <c r="L893" s="124" t="s">
        <v>8599</v>
      </c>
      <c r="M893" s="34"/>
    </row>
    <row r="894" hidden="1">
      <c r="A894" s="33" t="s">
        <v>8595</v>
      </c>
      <c r="B894" s="122">
        <v>45803.0</v>
      </c>
      <c r="C894" s="33">
        <v>8.0700003125E11</v>
      </c>
      <c r="D894" s="33" t="s">
        <v>8596</v>
      </c>
      <c r="E894" s="33" t="s">
        <v>8597</v>
      </c>
      <c r="F894" s="123" t="s">
        <v>8598</v>
      </c>
      <c r="G894" s="123" t="s">
        <v>1197</v>
      </c>
      <c r="H894" s="123">
        <v>4450.0</v>
      </c>
      <c r="I894" s="33" t="s">
        <v>512</v>
      </c>
      <c r="J894" s="33" t="s">
        <v>513</v>
      </c>
      <c r="K894" s="33">
        <v>6.0</v>
      </c>
      <c r="L894" s="124" t="s">
        <v>8599</v>
      </c>
      <c r="M894" s="34"/>
    </row>
    <row r="895" hidden="1">
      <c r="A895" s="33" t="s">
        <v>8595</v>
      </c>
      <c r="B895" s="122">
        <v>45803.0</v>
      </c>
      <c r="C895" s="33">
        <v>8.07000031251E11</v>
      </c>
      <c r="D895" s="33" t="s">
        <v>8596</v>
      </c>
      <c r="E895" s="33" t="s">
        <v>8597</v>
      </c>
      <c r="F895" s="123" t="s">
        <v>8598</v>
      </c>
      <c r="G895" s="123" t="s">
        <v>1197</v>
      </c>
      <c r="H895" s="123">
        <v>4450.0</v>
      </c>
      <c r="I895" s="33" t="s">
        <v>3168</v>
      </c>
      <c r="J895" s="33" t="s">
        <v>7896</v>
      </c>
      <c r="K895" s="33">
        <v>1.0</v>
      </c>
      <c r="L895" s="124" t="s">
        <v>8599</v>
      </c>
      <c r="M895" s="34"/>
    </row>
    <row r="896" hidden="1">
      <c r="A896" s="33" t="s">
        <v>8595</v>
      </c>
      <c r="B896" s="122">
        <v>45803.0</v>
      </c>
      <c r="C896" s="33">
        <v>8.07000031252E11</v>
      </c>
      <c r="D896" s="33" t="s">
        <v>8596</v>
      </c>
      <c r="E896" s="33" t="s">
        <v>8597</v>
      </c>
      <c r="F896" s="123" t="s">
        <v>8598</v>
      </c>
      <c r="G896" s="123" t="s">
        <v>1197</v>
      </c>
      <c r="H896" s="123">
        <v>4450.0</v>
      </c>
      <c r="I896" s="33" t="s">
        <v>3074</v>
      </c>
      <c r="J896" s="33" t="s">
        <v>3232</v>
      </c>
      <c r="K896" s="33">
        <v>1.0</v>
      </c>
      <c r="L896" s="124" t="s">
        <v>8599</v>
      </c>
      <c r="M896" s="34"/>
    </row>
    <row r="897" hidden="1">
      <c r="A897" s="33" t="s">
        <v>8595</v>
      </c>
      <c r="B897" s="122">
        <v>45803.0</v>
      </c>
      <c r="C897" s="33">
        <v>8.07000031253E11</v>
      </c>
      <c r="D897" s="33" t="s">
        <v>8596</v>
      </c>
      <c r="E897" s="33" t="s">
        <v>8597</v>
      </c>
      <c r="F897" s="123" t="s">
        <v>8598</v>
      </c>
      <c r="G897" s="123" t="s">
        <v>1197</v>
      </c>
      <c r="H897" s="123">
        <v>4450.0</v>
      </c>
      <c r="I897" s="33" t="s">
        <v>3407</v>
      </c>
      <c r="J897" s="33" t="s">
        <v>3408</v>
      </c>
      <c r="K897" s="33">
        <v>1.0</v>
      </c>
      <c r="L897" s="124" t="s">
        <v>8599</v>
      </c>
      <c r="M897" s="34"/>
    </row>
    <row r="898" hidden="1">
      <c r="A898" s="33" t="s">
        <v>8595</v>
      </c>
      <c r="B898" s="122">
        <v>45803.0</v>
      </c>
      <c r="C898" s="33">
        <v>8.07000031257E11</v>
      </c>
      <c r="D898" s="33" t="s">
        <v>8596</v>
      </c>
      <c r="E898" s="33" t="s">
        <v>8597</v>
      </c>
      <c r="F898" s="123" t="s">
        <v>8598</v>
      </c>
      <c r="G898" s="123" t="s">
        <v>1197</v>
      </c>
      <c r="H898" s="123">
        <v>4450.0</v>
      </c>
      <c r="I898" s="33">
        <v>125818.0</v>
      </c>
      <c r="J898" s="33" t="s">
        <v>4334</v>
      </c>
      <c r="K898" s="33">
        <v>2.0</v>
      </c>
      <c r="L898" s="124" t="s">
        <v>8599</v>
      </c>
      <c r="M898" s="34"/>
    </row>
    <row r="899" hidden="1">
      <c r="A899" s="33" t="s">
        <v>8600</v>
      </c>
      <c r="B899" s="122">
        <v>45803.0</v>
      </c>
      <c r="C899" s="33">
        <v>8.07000031303E11</v>
      </c>
      <c r="D899" s="33" t="s">
        <v>8601</v>
      </c>
      <c r="E899" s="33" t="s">
        <v>8602</v>
      </c>
      <c r="F899" s="123" t="s">
        <v>8603</v>
      </c>
      <c r="G899" s="123" t="s">
        <v>247</v>
      </c>
      <c r="H899" s="123">
        <v>4400.0</v>
      </c>
      <c r="I899" s="33" t="s">
        <v>8604</v>
      </c>
      <c r="J899" s="33" t="s">
        <v>8605</v>
      </c>
      <c r="K899" s="33">
        <v>1.0</v>
      </c>
      <c r="L899" s="124" t="s">
        <v>8606</v>
      </c>
      <c r="M899" s="34"/>
    </row>
    <row r="900" hidden="1">
      <c r="A900" s="33" t="s">
        <v>8607</v>
      </c>
      <c r="B900" s="122">
        <v>45803.0</v>
      </c>
      <c r="C900" s="33">
        <v>8.07000031304E11</v>
      </c>
      <c r="D900" s="33" t="s">
        <v>8608</v>
      </c>
      <c r="E900" s="33" t="s">
        <v>8609</v>
      </c>
      <c r="F900" s="123" t="s">
        <v>8610</v>
      </c>
      <c r="G900" s="123" t="s">
        <v>247</v>
      </c>
      <c r="H900" s="123">
        <v>4400.0</v>
      </c>
      <c r="I900" s="33" t="s">
        <v>2372</v>
      </c>
      <c r="J900" s="33" t="s">
        <v>8140</v>
      </c>
      <c r="K900" s="33">
        <v>1.0</v>
      </c>
      <c r="L900" s="124" t="s">
        <v>8611</v>
      </c>
      <c r="M900" s="34"/>
    </row>
    <row r="901" hidden="1">
      <c r="A901" s="33" t="s">
        <v>8607</v>
      </c>
      <c r="B901" s="122">
        <v>45803.0</v>
      </c>
      <c r="C901" s="33">
        <v>8.07000031304E11</v>
      </c>
      <c r="D901" s="33" t="s">
        <v>8608</v>
      </c>
      <c r="E901" s="33" t="s">
        <v>8609</v>
      </c>
      <c r="F901" s="123" t="s">
        <v>8610</v>
      </c>
      <c r="G901" s="123" t="s">
        <v>247</v>
      </c>
      <c r="H901" s="123">
        <v>4400.0</v>
      </c>
      <c r="I901" s="33" t="s">
        <v>512</v>
      </c>
      <c r="J901" s="33" t="s">
        <v>513</v>
      </c>
      <c r="K901" s="33">
        <v>6.0</v>
      </c>
      <c r="L901" s="124" t="s">
        <v>8611</v>
      </c>
      <c r="M901" s="34"/>
    </row>
    <row r="902" hidden="1">
      <c r="A902" s="33" t="s">
        <v>8607</v>
      </c>
      <c r="B902" s="122">
        <v>45803.0</v>
      </c>
      <c r="C902" s="33">
        <v>8.07000031304E11</v>
      </c>
      <c r="D902" s="33" t="s">
        <v>8608</v>
      </c>
      <c r="E902" s="33" t="s">
        <v>8609</v>
      </c>
      <c r="F902" s="123" t="s">
        <v>8610</v>
      </c>
      <c r="G902" s="123" t="s">
        <v>247</v>
      </c>
      <c r="H902" s="123">
        <v>4400.0</v>
      </c>
      <c r="I902" s="33" t="s">
        <v>35</v>
      </c>
      <c r="J902" s="33" t="s">
        <v>3188</v>
      </c>
      <c r="K902" s="33">
        <v>1.0</v>
      </c>
      <c r="L902" s="124" t="s">
        <v>8611</v>
      </c>
      <c r="M902" s="34"/>
    </row>
    <row r="903" hidden="1">
      <c r="A903" s="125" t="s">
        <v>8612</v>
      </c>
      <c r="B903" s="126">
        <v>45803.0</v>
      </c>
      <c r="C903" s="125">
        <v>8.07000031306E11</v>
      </c>
      <c r="D903" s="125" t="s">
        <v>8613</v>
      </c>
      <c r="E903" s="125" t="s">
        <v>8614</v>
      </c>
      <c r="F903" s="127" t="s">
        <v>8615</v>
      </c>
      <c r="G903" s="127" t="s">
        <v>247</v>
      </c>
      <c r="H903" s="127">
        <v>4400.0</v>
      </c>
      <c r="I903" s="125" t="s">
        <v>758</v>
      </c>
      <c r="J903" s="125" t="s">
        <v>3574</v>
      </c>
      <c r="K903" s="125">
        <v>2.0</v>
      </c>
      <c r="L903" s="129" t="s">
        <v>8616</v>
      </c>
      <c r="M903" s="130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  <c r="AC903" s="179"/>
    </row>
    <row r="904" hidden="1">
      <c r="A904" s="131" t="s">
        <v>8617</v>
      </c>
      <c r="B904" s="132">
        <v>45805.0</v>
      </c>
      <c r="C904" s="131">
        <v>8.07000031325E11</v>
      </c>
      <c r="D904" s="131" t="s">
        <v>8618</v>
      </c>
      <c r="E904" s="131" t="s">
        <v>8619</v>
      </c>
      <c r="F904" s="133" t="s">
        <v>8620</v>
      </c>
      <c r="G904" s="133" t="s">
        <v>247</v>
      </c>
      <c r="H904" s="133">
        <v>4400.0</v>
      </c>
      <c r="I904" s="131">
        <v>2.2346259141E10</v>
      </c>
      <c r="J904" s="131" t="s">
        <v>8121</v>
      </c>
      <c r="K904" s="131">
        <v>1.0</v>
      </c>
      <c r="L904" s="134" t="s">
        <v>8621</v>
      </c>
      <c r="M904" s="138"/>
    </row>
    <row r="905" hidden="1">
      <c r="A905" s="33" t="s">
        <v>8617</v>
      </c>
      <c r="B905" s="122">
        <v>45805.0</v>
      </c>
      <c r="C905" s="33">
        <v>8.07000031326E11</v>
      </c>
      <c r="D905" s="33" t="s">
        <v>8618</v>
      </c>
      <c r="E905" s="33" t="s">
        <v>8619</v>
      </c>
      <c r="F905" s="123" t="s">
        <v>8620</v>
      </c>
      <c r="G905" s="123" t="s">
        <v>247</v>
      </c>
      <c r="H905" s="123">
        <v>4400.0</v>
      </c>
      <c r="I905" s="33" t="s">
        <v>4070</v>
      </c>
      <c r="J905" s="33" t="s">
        <v>6264</v>
      </c>
      <c r="K905" s="33">
        <v>1.0</v>
      </c>
      <c r="L905" s="124" t="s">
        <v>8621</v>
      </c>
      <c r="M905" s="34"/>
    </row>
    <row r="906" hidden="1">
      <c r="A906" s="33" t="s">
        <v>8617</v>
      </c>
      <c r="B906" s="122">
        <v>45805.0</v>
      </c>
      <c r="C906" s="33">
        <v>8.07000031326E11</v>
      </c>
      <c r="D906" s="33" t="s">
        <v>8618</v>
      </c>
      <c r="E906" s="33" t="s">
        <v>8619</v>
      </c>
      <c r="F906" s="123" t="s">
        <v>8620</v>
      </c>
      <c r="G906" s="123" t="s">
        <v>247</v>
      </c>
      <c r="H906" s="123">
        <v>4400.0</v>
      </c>
      <c r="I906" s="33" t="s">
        <v>7088</v>
      </c>
      <c r="J906" s="33" t="s">
        <v>8278</v>
      </c>
      <c r="K906" s="33">
        <v>1.0</v>
      </c>
      <c r="L906" s="124" t="s">
        <v>8621</v>
      </c>
      <c r="M906" s="34"/>
    </row>
    <row r="907" hidden="1">
      <c r="A907" s="33" t="s">
        <v>8617</v>
      </c>
      <c r="B907" s="122">
        <v>45805.0</v>
      </c>
      <c r="C907" s="33">
        <v>8.07000031326E11</v>
      </c>
      <c r="D907" s="33" t="s">
        <v>8618</v>
      </c>
      <c r="E907" s="33" t="s">
        <v>8619</v>
      </c>
      <c r="F907" s="123" t="s">
        <v>8620</v>
      </c>
      <c r="G907" s="123" t="s">
        <v>247</v>
      </c>
      <c r="H907" s="123">
        <v>4400.0</v>
      </c>
      <c r="I907" s="33" t="s">
        <v>1345</v>
      </c>
      <c r="J907" s="33" t="s">
        <v>3639</v>
      </c>
      <c r="K907" s="33">
        <v>1.0</v>
      </c>
      <c r="L907" s="124" t="s">
        <v>8621</v>
      </c>
      <c r="M907" s="34"/>
    </row>
    <row r="908" hidden="1">
      <c r="A908" s="33" t="s">
        <v>8617</v>
      </c>
      <c r="B908" s="122">
        <v>45805.0</v>
      </c>
      <c r="C908" s="33">
        <v>8.07000031327E11</v>
      </c>
      <c r="D908" s="33" t="s">
        <v>8618</v>
      </c>
      <c r="E908" s="33" t="s">
        <v>8619</v>
      </c>
      <c r="F908" s="123" t="s">
        <v>8620</v>
      </c>
      <c r="G908" s="123" t="s">
        <v>247</v>
      </c>
      <c r="H908" s="123">
        <v>4400.0</v>
      </c>
      <c r="I908" s="33" t="s">
        <v>758</v>
      </c>
      <c r="J908" s="33" t="s">
        <v>3574</v>
      </c>
      <c r="K908" s="33">
        <v>2.0</v>
      </c>
      <c r="L908" s="124" t="s">
        <v>8621</v>
      </c>
      <c r="M908" s="34"/>
    </row>
    <row r="909" hidden="1">
      <c r="A909" s="33" t="s">
        <v>8622</v>
      </c>
      <c r="B909" s="122">
        <v>45805.0</v>
      </c>
      <c r="C909" s="33">
        <v>8.07000031107E11</v>
      </c>
      <c r="D909" s="33" t="s">
        <v>4062</v>
      </c>
      <c r="E909" s="33" t="s">
        <v>4063</v>
      </c>
      <c r="F909" s="123" t="s">
        <v>8623</v>
      </c>
      <c r="G909" s="123" t="s">
        <v>247</v>
      </c>
      <c r="H909" s="123">
        <v>4400.0</v>
      </c>
      <c r="I909" s="33" t="s">
        <v>3334</v>
      </c>
      <c r="J909" s="33" t="s">
        <v>3575</v>
      </c>
      <c r="K909" s="33">
        <v>1.0</v>
      </c>
      <c r="L909" s="124" t="s">
        <v>8624</v>
      </c>
      <c r="M909" s="34"/>
    </row>
    <row r="910" hidden="1">
      <c r="A910" s="33" t="s">
        <v>8622</v>
      </c>
      <c r="B910" s="122">
        <v>45805.0</v>
      </c>
      <c r="C910" s="33">
        <v>8.07000031107E11</v>
      </c>
      <c r="D910" s="33" t="s">
        <v>4062</v>
      </c>
      <c r="E910" s="33" t="s">
        <v>4063</v>
      </c>
      <c r="F910" s="123" t="s">
        <v>8623</v>
      </c>
      <c r="G910" s="123" t="s">
        <v>247</v>
      </c>
      <c r="H910" s="123">
        <v>4400.0</v>
      </c>
      <c r="I910" s="33" t="s">
        <v>758</v>
      </c>
      <c r="J910" s="33" t="s">
        <v>3574</v>
      </c>
      <c r="K910" s="33">
        <v>2.0</v>
      </c>
      <c r="L910" s="124" t="s">
        <v>8624</v>
      </c>
      <c r="M910" s="34"/>
    </row>
    <row r="911" hidden="1">
      <c r="A911" s="33" t="s">
        <v>8625</v>
      </c>
      <c r="B911" s="122">
        <v>45807.0</v>
      </c>
      <c r="C911" s="33">
        <v>8.07000030895E11</v>
      </c>
      <c r="D911" s="33" t="s">
        <v>8265</v>
      </c>
      <c r="E911" s="33" t="s">
        <v>8266</v>
      </c>
      <c r="F911" s="123" t="s">
        <v>8626</v>
      </c>
      <c r="G911" s="123" t="s">
        <v>1038</v>
      </c>
      <c r="H911" s="123">
        <v>4400.0</v>
      </c>
      <c r="I911" s="33" t="s">
        <v>280</v>
      </c>
      <c r="J911" s="33" t="s">
        <v>5669</v>
      </c>
      <c r="K911" s="33">
        <v>1.0</v>
      </c>
      <c r="L911" s="124" t="s">
        <v>8268</v>
      </c>
      <c r="M911" s="34"/>
    </row>
    <row r="912" hidden="1">
      <c r="A912" s="33" t="s">
        <v>8627</v>
      </c>
      <c r="B912" s="122">
        <v>45807.0</v>
      </c>
      <c r="C912" s="33">
        <v>8.0700003112E11</v>
      </c>
      <c r="D912" s="33" t="s">
        <v>4074</v>
      </c>
      <c r="E912" s="33" t="s">
        <v>4075</v>
      </c>
      <c r="F912" s="123" t="s">
        <v>8628</v>
      </c>
      <c r="G912" s="123" t="s">
        <v>8629</v>
      </c>
      <c r="H912" s="123">
        <v>4407.0</v>
      </c>
      <c r="I912" s="33" t="s">
        <v>8630</v>
      </c>
      <c r="J912" s="33" t="s">
        <v>8631</v>
      </c>
      <c r="K912" s="33">
        <v>1.0</v>
      </c>
      <c r="L912" s="124" t="s">
        <v>8632</v>
      </c>
      <c r="M912" s="34"/>
    </row>
    <row r="913" hidden="1">
      <c r="A913" s="33" t="s">
        <v>8633</v>
      </c>
      <c r="B913" s="122">
        <v>45807.0</v>
      </c>
      <c r="C913" s="33">
        <v>8.07000031355E11</v>
      </c>
      <c r="D913" s="33" t="s">
        <v>8634</v>
      </c>
      <c r="E913" s="33" t="s">
        <v>8635</v>
      </c>
      <c r="F913" s="123" t="s">
        <v>8636</v>
      </c>
      <c r="G913" s="123" t="s">
        <v>5618</v>
      </c>
      <c r="H913" s="123">
        <v>4400.0</v>
      </c>
      <c r="I913" s="33" t="s">
        <v>3154</v>
      </c>
      <c r="J913" s="33" t="s">
        <v>4564</v>
      </c>
      <c r="K913" s="33">
        <v>1.0</v>
      </c>
      <c r="L913" s="124" t="s">
        <v>8637</v>
      </c>
      <c r="M913" s="34"/>
    </row>
    <row r="914" hidden="1">
      <c r="A914" s="33" t="s">
        <v>8638</v>
      </c>
      <c r="B914" s="122">
        <v>45807.0</v>
      </c>
      <c r="C914" s="33">
        <v>8.07000031356E11</v>
      </c>
      <c r="D914" s="33" t="s">
        <v>8634</v>
      </c>
      <c r="E914" s="33" t="s">
        <v>8635</v>
      </c>
      <c r="F914" s="123" t="s">
        <v>8636</v>
      </c>
      <c r="G914" s="123" t="s">
        <v>5618</v>
      </c>
      <c r="H914" s="123">
        <v>4400.0</v>
      </c>
      <c r="I914" s="33">
        <v>125811.0</v>
      </c>
      <c r="J914" s="33" t="s">
        <v>6073</v>
      </c>
      <c r="K914" s="33">
        <v>1.0</v>
      </c>
      <c r="L914" s="124" t="s">
        <v>8637</v>
      </c>
      <c r="M914" s="34"/>
    </row>
    <row r="915" hidden="1">
      <c r="A915" s="33" t="s">
        <v>8639</v>
      </c>
      <c r="B915" s="122">
        <v>45807.0</v>
      </c>
      <c r="C915" s="33">
        <v>8.07000031329E11</v>
      </c>
      <c r="D915" s="33" t="s">
        <v>8640</v>
      </c>
      <c r="E915" s="33" t="s">
        <v>8641</v>
      </c>
      <c r="F915" s="123" t="s">
        <v>8642</v>
      </c>
      <c r="G915" s="123" t="s">
        <v>247</v>
      </c>
      <c r="H915" s="123">
        <v>4400.0</v>
      </c>
      <c r="I915" s="33" t="s">
        <v>3451</v>
      </c>
      <c r="J915" s="33" t="s">
        <v>3452</v>
      </c>
      <c r="K915" s="33">
        <v>2.0</v>
      </c>
      <c r="L915" s="124" t="s">
        <v>8643</v>
      </c>
      <c r="M915" s="34"/>
    </row>
    <row r="916" hidden="1">
      <c r="A916" s="33" t="s">
        <v>8639</v>
      </c>
      <c r="B916" s="122">
        <v>45807.0</v>
      </c>
      <c r="C916" s="33">
        <v>8.07000031329E11</v>
      </c>
      <c r="D916" s="33" t="s">
        <v>8640</v>
      </c>
      <c r="E916" s="33" t="s">
        <v>8641</v>
      </c>
      <c r="F916" s="123" t="s">
        <v>8642</v>
      </c>
      <c r="G916" s="123" t="s">
        <v>247</v>
      </c>
      <c r="H916" s="123">
        <v>4400.0</v>
      </c>
      <c r="I916" s="33" t="s">
        <v>512</v>
      </c>
      <c r="J916" s="33" t="s">
        <v>513</v>
      </c>
      <c r="K916" s="33">
        <v>12.0</v>
      </c>
      <c r="L916" s="124" t="s">
        <v>8643</v>
      </c>
      <c r="M916" s="34"/>
    </row>
    <row r="917" hidden="1">
      <c r="A917" s="33" t="s">
        <v>8639</v>
      </c>
      <c r="B917" s="122">
        <v>45807.0</v>
      </c>
      <c r="C917" s="33">
        <v>8.0700003133E11</v>
      </c>
      <c r="D917" s="33" t="s">
        <v>8640</v>
      </c>
      <c r="E917" s="33" t="s">
        <v>8641</v>
      </c>
      <c r="F917" s="123" t="s">
        <v>8642</v>
      </c>
      <c r="G917" s="123" t="s">
        <v>247</v>
      </c>
      <c r="H917" s="123">
        <v>4400.0</v>
      </c>
      <c r="I917" s="33" t="s">
        <v>110</v>
      </c>
      <c r="J917" s="33" t="s">
        <v>3673</v>
      </c>
      <c r="K917" s="33">
        <v>2.0</v>
      </c>
      <c r="L917" s="124" t="s">
        <v>8643</v>
      </c>
      <c r="M917" s="34"/>
    </row>
    <row r="918" hidden="1">
      <c r="A918" s="33" t="s">
        <v>8644</v>
      </c>
      <c r="B918" s="122">
        <v>45807.0</v>
      </c>
      <c r="C918" s="33">
        <v>8.07000031332E11</v>
      </c>
      <c r="D918" s="33" t="s">
        <v>8645</v>
      </c>
      <c r="E918" s="33" t="s">
        <v>8646</v>
      </c>
      <c r="F918" s="123" t="s">
        <v>8647</v>
      </c>
      <c r="G918" s="123" t="s">
        <v>247</v>
      </c>
      <c r="H918" s="123">
        <v>4400.0</v>
      </c>
      <c r="I918" s="33" t="s">
        <v>3074</v>
      </c>
      <c r="J918" s="33" t="s">
        <v>3232</v>
      </c>
      <c r="K918" s="33">
        <v>1.0</v>
      </c>
      <c r="L918" s="124" t="s">
        <v>8648</v>
      </c>
      <c r="M918" s="34"/>
    </row>
    <row r="919" hidden="1">
      <c r="A919" s="33" t="s">
        <v>8644</v>
      </c>
      <c r="B919" s="122">
        <v>45807.0</v>
      </c>
      <c r="C919" s="33">
        <v>8.07000031333E11</v>
      </c>
      <c r="D919" s="33" t="s">
        <v>8645</v>
      </c>
      <c r="E919" s="33" t="s">
        <v>8646</v>
      </c>
      <c r="F919" s="123" t="s">
        <v>8647</v>
      </c>
      <c r="G919" s="123" t="s">
        <v>247</v>
      </c>
      <c r="H919" s="123">
        <v>4400.0</v>
      </c>
      <c r="I919" s="33">
        <v>125818.0</v>
      </c>
      <c r="J919" s="33" t="s">
        <v>4334</v>
      </c>
      <c r="K919" s="33">
        <v>2.0</v>
      </c>
      <c r="L919" s="124" t="s">
        <v>8648</v>
      </c>
      <c r="M919" s="34"/>
    </row>
    <row r="920" hidden="1">
      <c r="A920" s="33" t="s">
        <v>8649</v>
      </c>
      <c r="B920" s="122">
        <v>45807.0</v>
      </c>
      <c r="C920" s="33">
        <v>8.07000031334E11</v>
      </c>
      <c r="D920" s="33" t="s">
        <v>8650</v>
      </c>
      <c r="E920" s="33" t="s">
        <v>8651</v>
      </c>
      <c r="F920" s="123" t="s">
        <v>8652</v>
      </c>
      <c r="G920" s="123" t="s">
        <v>247</v>
      </c>
      <c r="H920" s="123">
        <v>4400.0</v>
      </c>
      <c r="I920" s="33" t="s">
        <v>812</v>
      </c>
      <c r="J920" s="33" t="s">
        <v>3564</v>
      </c>
      <c r="K920" s="33">
        <v>1.0</v>
      </c>
      <c r="L920" s="124" t="s">
        <v>8653</v>
      </c>
      <c r="M920" s="34"/>
    </row>
    <row r="921" hidden="1">
      <c r="A921" s="33" t="s">
        <v>8654</v>
      </c>
      <c r="B921" s="122">
        <v>45808.0</v>
      </c>
      <c r="C921" s="33">
        <v>8.07000031314E11</v>
      </c>
      <c r="D921" s="33" t="s">
        <v>8655</v>
      </c>
      <c r="E921" s="33" t="s">
        <v>8656</v>
      </c>
      <c r="F921" s="123" t="s">
        <v>8657</v>
      </c>
      <c r="G921" s="123" t="s">
        <v>1038</v>
      </c>
      <c r="H921" s="123">
        <v>4400.0</v>
      </c>
      <c r="I921" s="33" t="s">
        <v>714</v>
      </c>
      <c r="J921" s="33" t="s">
        <v>8658</v>
      </c>
      <c r="K921" s="33">
        <v>1.0</v>
      </c>
      <c r="L921" s="124" t="s">
        <v>8659</v>
      </c>
      <c r="M921" s="34"/>
    </row>
    <row r="922" hidden="1">
      <c r="A922" s="33" t="s">
        <v>8660</v>
      </c>
      <c r="B922" s="122">
        <v>45808.0</v>
      </c>
      <c r="C922" s="33">
        <v>8.07000031383E11</v>
      </c>
      <c r="D922" s="33" t="s">
        <v>8661</v>
      </c>
      <c r="E922" s="33" t="s">
        <v>8662</v>
      </c>
      <c r="F922" s="123" t="s">
        <v>8663</v>
      </c>
      <c r="G922" s="123" t="s">
        <v>6769</v>
      </c>
      <c r="H922" s="123">
        <v>4400.0</v>
      </c>
      <c r="I922" s="33" t="s">
        <v>218</v>
      </c>
      <c r="J922" s="33" t="s">
        <v>8664</v>
      </c>
      <c r="K922" s="33">
        <v>1.0</v>
      </c>
      <c r="L922" s="124" t="s">
        <v>8665</v>
      </c>
      <c r="M922" s="34"/>
    </row>
    <row r="923" hidden="1">
      <c r="A923" s="33" t="s">
        <v>8660</v>
      </c>
      <c r="B923" s="122">
        <v>45808.0</v>
      </c>
      <c r="C923" s="33">
        <v>8.07000031383E11</v>
      </c>
      <c r="D923" s="33" t="s">
        <v>8661</v>
      </c>
      <c r="E923" s="33" t="s">
        <v>8662</v>
      </c>
      <c r="F923" s="123" t="s">
        <v>8663</v>
      </c>
      <c r="G923" s="123" t="s">
        <v>6769</v>
      </c>
      <c r="H923" s="123">
        <v>4400.0</v>
      </c>
      <c r="I923" s="33" t="s">
        <v>121</v>
      </c>
      <c r="J923" s="33" t="s">
        <v>3199</v>
      </c>
      <c r="K923" s="33">
        <v>2.0</v>
      </c>
      <c r="L923" s="124" t="s">
        <v>8665</v>
      </c>
      <c r="M923" s="34"/>
    </row>
    <row r="924" hidden="1">
      <c r="A924" s="33" t="s">
        <v>8666</v>
      </c>
      <c r="B924" s="122">
        <v>45808.0</v>
      </c>
      <c r="C924" s="33">
        <v>8.07000031345E11</v>
      </c>
      <c r="D924" s="33" t="s">
        <v>8667</v>
      </c>
      <c r="E924" s="33" t="s">
        <v>8668</v>
      </c>
      <c r="F924" s="123" t="s">
        <v>8669</v>
      </c>
      <c r="G924" s="123" t="s">
        <v>8670</v>
      </c>
      <c r="H924" s="123">
        <v>4430.0</v>
      </c>
      <c r="I924" s="33" t="s">
        <v>3074</v>
      </c>
      <c r="J924" s="33" t="s">
        <v>3232</v>
      </c>
      <c r="K924" s="33">
        <v>1.0</v>
      </c>
      <c r="L924" s="124" t="s">
        <v>8671</v>
      </c>
      <c r="M924" s="34"/>
    </row>
    <row r="925" hidden="1">
      <c r="A925" s="33" t="s">
        <v>8666</v>
      </c>
      <c r="B925" s="122">
        <v>45808.0</v>
      </c>
      <c r="C925" s="33">
        <v>8.07000031345E11</v>
      </c>
      <c r="D925" s="33" t="s">
        <v>8667</v>
      </c>
      <c r="E925" s="33" t="s">
        <v>8668</v>
      </c>
      <c r="F925" s="123" t="s">
        <v>8669</v>
      </c>
      <c r="G925" s="123" t="s">
        <v>8670</v>
      </c>
      <c r="H925" s="123">
        <v>4430.0</v>
      </c>
      <c r="I925" s="33" t="s">
        <v>3168</v>
      </c>
      <c r="J925" s="33" t="s">
        <v>7896</v>
      </c>
      <c r="K925" s="33">
        <v>1.0</v>
      </c>
      <c r="L925" s="124" t="s">
        <v>8671</v>
      </c>
      <c r="M925" s="34"/>
    </row>
    <row r="926" hidden="1">
      <c r="A926" s="33" t="s">
        <v>8672</v>
      </c>
      <c r="B926" s="122">
        <v>45808.0</v>
      </c>
      <c r="C926" s="33">
        <v>8.07000031378E11</v>
      </c>
      <c r="D926" s="33" t="s">
        <v>8673</v>
      </c>
      <c r="E926" s="33" t="s">
        <v>8674</v>
      </c>
      <c r="F926" s="123" t="s">
        <v>8675</v>
      </c>
      <c r="G926" s="123" t="s">
        <v>247</v>
      </c>
      <c r="H926" s="123">
        <v>4400.0</v>
      </c>
      <c r="I926" s="33" t="s">
        <v>561</v>
      </c>
      <c r="J926" s="33" t="s">
        <v>8209</v>
      </c>
      <c r="K926" s="33">
        <v>1.0</v>
      </c>
      <c r="L926" s="124" t="s">
        <v>8676</v>
      </c>
      <c r="M926" s="34"/>
    </row>
    <row r="927" hidden="1">
      <c r="A927" s="33" t="s">
        <v>8677</v>
      </c>
      <c r="B927" s="122">
        <v>45810.0</v>
      </c>
      <c r="C927" s="33">
        <v>8.0700003142E11</v>
      </c>
      <c r="D927" s="33" t="s">
        <v>8678</v>
      </c>
      <c r="E927" s="33" t="s">
        <v>8679</v>
      </c>
      <c r="F927" s="123" t="s">
        <v>8680</v>
      </c>
      <c r="G927" s="123" t="s">
        <v>247</v>
      </c>
      <c r="H927" s="123">
        <v>4400.0</v>
      </c>
      <c r="I927" s="33" t="s">
        <v>238</v>
      </c>
      <c r="J927" s="33" t="s">
        <v>7925</v>
      </c>
      <c r="K927" s="33">
        <v>1.0</v>
      </c>
      <c r="L927" s="124" t="s">
        <v>8681</v>
      </c>
      <c r="M927" s="34"/>
    </row>
    <row r="928" hidden="1">
      <c r="A928" s="33" t="s">
        <v>8677</v>
      </c>
      <c r="B928" s="122">
        <v>45810.0</v>
      </c>
      <c r="C928" s="33">
        <v>8.0700003142E11</v>
      </c>
      <c r="D928" s="33" t="s">
        <v>8678</v>
      </c>
      <c r="E928" s="33" t="s">
        <v>8679</v>
      </c>
      <c r="F928" s="123" t="s">
        <v>8680</v>
      </c>
      <c r="G928" s="123" t="s">
        <v>247</v>
      </c>
      <c r="H928" s="123">
        <v>4400.0</v>
      </c>
      <c r="I928" s="33" t="s">
        <v>512</v>
      </c>
      <c r="J928" s="33" t="s">
        <v>513</v>
      </c>
      <c r="K928" s="33">
        <v>12.0</v>
      </c>
      <c r="L928" s="124" t="s">
        <v>8681</v>
      </c>
      <c r="M928" s="34"/>
    </row>
    <row r="929" hidden="1">
      <c r="A929" s="33" t="s">
        <v>8677</v>
      </c>
      <c r="B929" s="122">
        <v>45810.0</v>
      </c>
      <c r="C929" s="33">
        <v>8.0700003142E11</v>
      </c>
      <c r="D929" s="33" t="s">
        <v>8678</v>
      </c>
      <c r="E929" s="33" t="s">
        <v>8679</v>
      </c>
      <c r="F929" s="123" t="s">
        <v>8680</v>
      </c>
      <c r="G929" s="123" t="s">
        <v>247</v>
      </c>
      <c r="H929" s="123">
        <v>4400.0</v>
      </c>
      <c r="I929" s="33" t="s">
        <v>233</v>
      </c>
      <c r="J929" s="33" t="s">
        <v>3459</v>
      </c>
      <c r="K929" s="33">
        <v>2.0</v>
      </c>
      <c r="L929" s="124" t="s">
        <v>8681</v>
      </c>
      <c r="M929" s="34"/>
    </row>
    <row r="930" hidden="1">
      <c r="A930" s="33" t="s">
        <v>8682</v>
      </c>
      <c r="B930" s="122">
        <v>45810.0</v>
      </c>
      <c r="C930" s="33">
        <v>8.07000031407E11</v>
      </c>
      <c r="D930" s="33" t="s">
        <v>8683</v>
      </c>
      <c r="E930" s="33" t="s">
        <v>8684</v>
      </c>
      <c r="F930" s="123" t="s">
        <v>8685</v>
      </c>
      <c r="G930" s="123" t="s">
        <v>4025</v>
      </c>
      <c r="H930" s="123">
        <v>4401.0</v>
      </c>
      <c r="I930" s="33" t="s">
        <v>812</v>
      </c>
      <c r="J930" s="33" t="s">
        <v>3564</v>
      </c>
      <c r="K930" s="33">
        <v>1.0</v>
      </c>
      <c r="L930" s="124" t="s">
        <v>8686</v>
      </c>
      <c r="M930" s="34"/>
    </row>
    <row r="931" hidden="1">
      <c r="A931" s="33" t="s">
        <v>8687</v>
      </c>
      <c r="B931" s="122">
        <v>45810.0</v>
      </c>
      <c r="C931" s="33">
        <v>8.07000031391E11</v>
      </c>
      <c r="D931" s="33" t="s">
        <v>8688</v>
      </c>
      <c r="E931" s="33" t="s">
        <v>8689</v>
      </c>
      <c r="F931" s="123" t="s">
        <v>8690</v>
      </c>
      <c r="G931" s="123" t="s">
        <v>247</v>
      </c>
      <c r="H931" s="123">
        <v>4400.0</v>
      </c>
      <c r="I931" s="33" t="s">
        <v>659</v>
      </c>
      <c r="J931" s="33" t="s">
        <v>3468</v>
      </c>
      <c r="K931" s="33">
        <v>1.0</v>
      </c>
      <c r="L931" s="124" t="s">
        <v>8691</v>
      </c>
      <c r="M931" s="34"/>
    </row>
    <row r="932" hidden="1">
      <c r="A932" s="33" t="s">
        <v>8687</v>
      </c>
      <c r="B932" s="122">
        <v>45810.0</v>
      </c>
      <c r="C932" s="33">
        <v>8.07000031391E11</v>
      </c>
      <c r="D932" s="33" t="s">
        <v>8688</v>
      </c>
      <c r="E932" s="33" t="s">
        <v>8689</v>
      </c>
      <c r="F932" s="123" t="s">
        <v>8690</v>
      </c>
      <c r="G932" s="123" t="s">
        <v>247</v>
      </c>
      <c r="H932" s="123">
        <v>4400.0</v>
      </c>
      <c r="I932" s="33" t="s">
        <v>35</v>
      </c>
      <c r="J932" s="33" t="s">
        <v>3188</v>
      </c>
      <c r="K932" s="33">
        <v>1.0</v>
      </c>
      <c r="L932" s="124" t="s">
        <v>8691</v>
      </c>
      <c r="M932" s="34"/>
    </row>
    <row r="933" hidden="1">
      <c r="A933" s="33" t="s">
        <v>8692</v>
      </c>
      <c r="B933" s="122">
        <v>45810.0</v>
      </c>
      <c r="C933" s="33">
        <v>8.07000031423E11</v>
      </c>
      <c r="D933" s="33" t="s">
        <v>8693</v>
      </c>
      <c r="E933" s="33" t="s">
        <v>8694</v>
      </c>
      <c r="F933" s="123" t="s">
        <v>8695</v>
      </c>
      <c r="G933" s="123" t="s">
        <v>247</v>
      </c>
      <c r="H933" s="123">
        <v>4400.0</v>
      </c>
      <c r="I933" s="33" t="s">
        <v>2397</v>
      </c>
      <c r="J933" s="33" t="s">
        <v>5040</v>
      </c>
      <c r="K933" s="33">
        <v>1.0</v>
      </c>
      <c r="L933" s="124" t="s">
        <v>8696</v>
      </c>
      <c r="M933" s="34"/>
    </row>
    <row r="934" hidden="1">
      <c r="A934" s="33" t="s">
        <v>8692</v>
      </c>
      <c r="B934" s="122">
        <v>45810.0</v>
      </c>
      <c r="C934" s="33">
        <v>8.07000031423E11</v>
      </c>
      <c r="D934" s="33" t="s">
        <v>8693</v>
      </c>
      <c r="E934" s="33" t="s">
        <v>8694</v>
      </c>
      <c r="F934" s="123" t="s">
        <v>8695</v>
      </c>
      <c r="G934" s="123" t="s">
        <v>247</v>
      </c>
      <c r="H934" s="123">
        <v>4400.0</v>
      </c>
      <c r="I934" s="33" t="s">
        <v>512</v>
      </c>
      <c r="J934" s="33" t="s">
        <v>513</v>
      </c>
      <c r="K934" s="33">
        <v>6.0</v>
      </c>
      <c r="L934" s="124" t="s">
        <v>8696</v>
      </c>
      <c r="M934" s="34"/>
    </row>
    <row r="935" hidden="1">
      <c r="A935" s="33" t="s">
        <v>8692</v>
      </c>
      <c r="B935" s="122">
        <v>45810.0</v>
      </c>
      <c r="C935" s="33">
        <v>8.07000031423E11</v>
      </c>
      <c r="D935" s="33" t="s">
        <v>8693</v>
      </c>
      <c r="E935" s="33" t="s">
        <v>8694</v>
      </c>
      <c r="F935" s="123" t="s">
        <v>8695</v>
      </c>
      <c r="G935" s="123" t="s">
        <v>247</v>
      </c>
      <c r="H935" s="123">
        <v>4400.0</v>
      </c>
      <c r="I935" s="33" t="s">
        <v>969</v>
      </c>
      <c r="J935" s="33" t="s">
        <v>3296</v>
      </c>
      <c r="K935" s="33">
        <v>1.0</v>
      </c>
      <c r="L935" s="124" t="s">
        <v>8696</v>
      </c>
      <c r="M935" s="34"/>
    </row>
    <row r="936" hidden="1">
      <c r="A936" s="33" t="s">
        <v>8697</v>
      </c>
      <c r="B936" s="122">
        <v>45810.0</v>
      </c>
      <c r="C936" s="33">
        <v>8.07000031431E11</v>
      </c>
      <c r="D936" s="33" t="s">
        <v>8698</v>
      </c>
      <c r="E936" s="33" t="s">
        <v>8699</v>
      </c>
      <c r="F936" s="123" t="s">
        <v>8700</v>
      </c>
      <c r="G936" s="123" t="s">
        <v>247</v>
      </c>
      <c r="H936" s="123">
        <v>4400.0</v>
      </c>
      <c r="I936" s="33" t="s">
        <v>2956</v>
      </c>
      <c r="J936" s="33" t="s">
        <v>3327</v>
      </c>
      <c r="K936" s="33">
        <v>1.0</v>
      </c>
      <c r="L936" s="124" t="s">
        <v>8701</v>
      </c>
      <c r="M936" s="34"/>
    </row>
    <row r="937" hidden="1">
      <c r="A937" s="33" t="s">
        <v>8702</v>
      </c>
      <c r="B937" s="122">
        <v>45811.0</v>
      </c>
      <c r="C937" s="33">
        <v>8.07000031436E11</v>
      </c>
      <c r="D937" s="33" t="s">
        <v>8703</v>
      </c>
      <c r="E937" s="33" t="s">
        <v>8704</v>
      </c>
      <c r="F937" s="123" t="s">
        <v>8705</v>
      </c>
      <c r="G937" s="123" t="s">
        <v>247</v>
      </c>
      <c r="H937" s="123">
        <v>4400.0</v>
      </c>
      <c r="I937" s="33" t="s">
        <v>3484</v>
      </c>
      <c r="J937" s="33" t="s">
        <v>3485</v>
      </c>
      <c r="K937" s="33">
        <v>1.0</v>
      </c>
      <c r="L937" s="124" t="s">
        <v>8706</v>
      </c>
      <c r="M937" s="34"/>
    </row>
    <row r="938" hidden="1">
      <c r="A938" s="33" t="s">
        <v>8702</v>
      </c>
      <c r="B938" s="122">
        <v>45811.0</v>
      </c>
      <c r="C938" s="33">
        <v>8.07000031436E11</v>
      </c>
      <c r="D938" s="33" t="s">
        <v>8703</v>
      </c>
      <c r="E938" s="33" t="s">
        <v>8704</v>
      </c>
      <c r="F938" s="123" t="s">
        <v>8705</v>
      </c>
      <c r="G938" s="123" t="s">
        <v>247</v>
      </c>
      <c r="H938" s="123">
        <v>4400.0</v>
      </c>
      <c r="I938" s="33" t="s">
        <v>340</v>
      </c>
      <c r="J938" s="33" t="s">
        <v>3486</v>
      </c>
      <c r="K938" s="33">
        <v>2.0</v>
      </c>
      <c r="L938" s="124" t="s">
        <v>8706</v>
      </c>
      <c r="M938" s="34"/>
    </row>
    <row r="939" hidden="1">
      <c r="A939" s="33" t="s">
        <v>8707</v>
      </c>
      <c r="B939" s="122">
        <v>45811.0</v>
      </c>
      <c r="C939" s="33">
        <v>8.07000031443E11</v>
      </c>
      <c r="D939" s="33" t="s">
        <v>8708</v>
      </c>
      <c r="E939" s="33" t="s">
        <v>8709</v>
      </c>
      <c r="F939" s="123" t="s">
        <v>8710</v>
      </c>
      <c r="G939" s="123" t="s">
        <v>247</v>
      </c>
      <c r="H939" s="123">
        <v>4400.0</v>
      </c>
      <c r="I939" s="33" t="s">
        <v>2171</v>
      </c>
      <c r="J939" s="33" t="s">
        <v>3446</v>
      </c>
      <c r="K939" s="33">
        <v>1.0</v>
      </c>
      <c r="L939" s="124" t="s">
        <v>8711</v>
      </c>
      <c r="M939" s="34"/>
    </row>
    <row r="940" hidden="1">
      <c r="A940" s="33" t="s">
        <v>8707</v>
      </c>
      <c r="B940" s="122">
        <v>45811.0</v>
      </c>
      <c r="C940" s="33">
        <v>8.07000031443E11</v>
      </c>
      <c r="D940" s="33" t="s">
        <v>8708</v>
      </c>
      <c r="E940" s="33" t="s">
        <v>8709</v>
      </c>
      <c r="F940" s="123" t="s">
        <v>8712</v>
      </c>
      <c r="G940" s="123" t="s">
        <v>247</v>
      </c>
      <c r="H940" s="123">
        <v>4400.0</v>
      </c>
      <c r="I940" s="33" t="s">
        <v>3447</v>
      </c>
      <c r="J940" s="33" t="s">
        <v>3448</v>
      </c>
      <c r="K940" s="33">
        <v>1.0</v>
      </c>
      <c r="L940" s="124" t="s">
        <v>8711</v>
      </c>
      <c r="M940" s="34"/>
    </row>
    <row r="941" hidden="1">
      <c r="A941" s="33" t="s">
        <v>8707</v>
      </c>
      <c r="B941" s="122">
        <v>45811.0</v>
      </c>
      <c r="C941" s="33">
        <v>8.07000031444E11</v>
      </c>
      <c r="D941" s="33" t="s">
        <v>8708</v>
      </c>
      <c r="E941" s="33" t="s">
        <v>8709</v>
      </c>
      <c r="F941" s="123" t="s">
        <v>8712</v>
      </c>
      <c r="G941" s="123" t="s">
        <v>247</v>
      </c>
      <c r="H941" s="123">
        <v>4400.0</v>
      </c>
      <c r="I941" s="33">
        <v>125818.0</v>
      </c>
      <c r="J941" s="33" t="s">
        <v>4334</v>
      </c>
      <c r="K941" s="33">
        <v>1.0</v>
      </c>
      <c r="L941" s="124" t="s">
        <v>8711</v>
      </c>
      <c r="M941" s="34"/>
    </row>
    <row r="942" hidden="1">
      <c r="A942" s="33" t="s">
        <v>8713</v>
      </c>
      <c r="B942" s="122">
        <v>45811.0</v>
      </c>
      <c r="C942" s="33">
        <v>8.07000031449E11</v>
      </c>
      <c r="D942" s="33" t="s">
        <v>8714</v>
      </c>
      <c r="E942" s="33" t="s">
        <v>8715</v>
      </c>
      <c r="F942" s="123" t="s">
        <v>8716</v>
      </c>
      <c r="G942" s="123" t="s">
        <v>1190</v>
      </c>
      <c r="H942" s="123">
        <v>4400.0</v>
      </c>
      <c r="I942" s="33" t="s">
        <v>947</v>
      </c>
      <c r="J942" s="33" t="s">
        <v>3750</v>
      </c>
      <c r="K942" s="33">
        <v>1.0</v>
      </c>
      <c r="L942" s="124" t="s">
        <v>8717</v>
      </c>
      <c r="M942" s="34"/>
    </row>
    <row r="943" hidden="1">
      <c r="A943" s="33" t="s">
        <v>8718</v>
      </c>
      <c r="B943" s="122">
        <v>45811.0</v>
      </c>
      <c r="C943" s="33">
        <v>8.07000031438E11</v>
      </c>
      <c r="D943" s="33" t="s">
        <v>6428</v>
      </c>
      <c r="E943" s="33" t="s">
        <v>6429</v>
      </c>
      <c r="F943" s="123" t="s">
        <v>8719</v>
      </c>
      <c r="G943" s="123" t="s">
        <v>247</v>
      </c>
      <c r="H943" s="123">
        <v>4400.0</v>
      </c>
      <c r="I943" s="33" t="s">
        <v>3131</v>
      </c>
      <c r="J943" s="33" t="s">
        <v>3416</v>
      </c>
      <c r="K943" s="33">
        <v>1.0</v>
      </c>
      <c r="L943" s="124" t="s">
        <v>8573</v>
      </c>
      <c r="M943" s="34"/>
    </row>
    <row r="944" hidden="1">
      <c r="A944" s="33" t="s">
        <v>8718</v>
      </c>
      <c r="B944" s="122">
        <v>45811.0</v>
      </c>
      <c r="C944" s="33">
        <v>8.07000031438E11</v>
      </c>
      <c r="D944" s="33" t="s">
        <v>6428</v>
      </c>
      <c r="E944" s="33" t="s">
        <v>6429</v>
      </c>
      <c r="F944" s="123" t="s">
        <v>8719</v>
      </c>
      <c r="G944" s="123" t="s">
        <v>247</v>
      </c>
      <c r="H944" s="123">
        <v>4400.0</v>
      </c>
      <c r="I944" s="33" t="s">
        <v>512</v>
      </c>
      <c r="J944" s="33" t="s">
        <v>513</v>
      </c>
      <c r="K944" s="33">
        <v>6.0</v>
      </c>
      <c r="L944" s="124" t="s">
        <v>8573</v>
      </c>
      <c r="M944" s="34"/>
    </row>
    <row r="945" hidden="1">
      <c r="A945" s="33" t="s">
        <v>8718</v>
      </c>
      <c r="B945" s="122">
        <v>45811.0</v>
      </c>
      <c r="C945" s="33">
        <v>8.07000031438E11</v>
      </c>
      <c r="D945" s="33" t="s">
        <v>6428</v>
      </c>
      <c r="E945" s="33" t="s">
        <v>6429</v>
      </c>
      <c r="F945" s="123" t="s">
        <v>8719</v>
      </c>
      <c r="G945" s="123" t="s">
        <v>247</v>
      </c>
      <c r="H945" s="123">
        <v>4400.0</v>
      </c>
      <c r="I945" s="33" t="s">
        <v>35</v>
      </c>
      <c r="J945" s="33" t="s">
        <v>3188</v>
      </c>
      <c r="K945" s="33">
        <v>1.0</v>
      </c>
      <c r="L945" s="124" t="s">
        <v>8573</v>
      </c>
      <c r="M945" s="34"/>
    </row>
    <row r="946" hidden="1">
      <c r="A946" s="33" t="s">
        <v>8718</v>
      </c>
      <c r="B946" s="122">
        <v>45811.0</v>
      </c>
      <c r="C946" s="33">
        <v>8.07000031441E11</v>
      </c>
      <c r="D946" s="33" t="s">
        <v>6428</v>
      </c>
      <c r="E946" s="33" t="s">
        <v>6429</v>
      </c>
      <c r="F946" s="123" t="s">
        <v>8719</v>
      </c>
      <c r="G946" s="123" t="s">
        <v>247</v>
      </c>
      <c r="H946" s="123">
        <v>4400.0</v>
      </c>
      <c r="I946" s="33">
        <v>2.2346229143E10</v>
      </c>
      <c r="J946" s="33" t="s">
        <v>8720</v>
      </c>
      <c r="K946" s="33">
        <v>1.0</v>
      </c>
      <c r="L946" s="124" t="s">
        <v>8573</v>
      </c>
      <c r="M946" s="34"/>
    </row>
    <row r="947" hidden="1">
      <c r="A947" s="33" t="s">
        <v>8721</v>
      </c>
      <c r="B947" s="122">
        <v>45812.0</v>
      </c>
      <c r="C947" s="33">
        <v>8.07000031386E11</v>
      </c>
      <c r="D947" s="33" t="s">
        <v>8722</v>
      </c>
      <c r="E947" s="33" t="s">
        <v>8723</v>
      </c>
      <c r="F947" s="123" t="s">
        <v>8724</v>
      </c>
      <c r="G947" s="123" t="s">
        <v>1038</v>
      </c>
      <c r="H947" s="123">
        <v>4400.0</v>
      </c>
      <c r="I947" s="33" t="s">
        <v>3131</v>
      </c>
      <c r="J947" s="33" t="s">
        <v>3416</v>
      </c>
      <c r="K947" s="33">
        <v>1.0</v>
      </c>
      <c r="L947" s="124" t="s">
        <v>8725</v>
      </c>
      <c r="M947" s="34"/>
    </row>
    <row r="948" hidden="1">
      <c r="A948" s="33" t="s">
        <v>8721</v>
      </c>
      <c r="B948" s="122">
        <v>45812.0</v>
      </c>
      <c r="C948" s="33">
        <v>8.07000031386E11</v>
      </c>
      <c r="D948" s="33" t="s">
        <v>8722</v>
      </c>
      <c r="E948" s="33" t="s">
        <v>8723</v>
      </c>
      <c r="F948" s="123" t="s">
        <v>8724</v>
      </c>
      <c r="G948" s="123" t="s">
        <v>1038</v>
      </c>
      <c r="H948" s="123">
        <v>4400.0</v>
      </c>
      <c r="I948" s="33" t="s">
        <v>512</v>
      </c>
      <c r="J948" s="33" t="s">
        <v>513</v>
      </c>
      <c r="K948" s="33">
        <v>6.0</v>
      </c>
      <c r="L948" s="124" t="s">
        <v>8725</v>
      </c>
      <c r="M948" s="34"/>
    </row>
    <row r="949" hidden="1">
      <c r="A949" s="33" t="s">
        <v>8721</v>
      </c>
      <c r="B949" s="122">
        <v>45812.0</v>
      </c>
      <c r="C949" s="33">
        <v>8.07000031386E11</v>
      </c>
      <c r="D949" s="33" t="s">
        <v>8722</v>
      </c>
      <c r="E949" s="33" t="s">
        <v>8723</v>
      </c>
      <c r="F949" s="123" t="s">
        <v>8724</v>
      </c>
      <c r="G949" s="123" t="s">
        <v>1038</v>
      </c>
      <c r="H949" s="123">
        <v>4400.0</v>
      </c>
      <c r="I949" s="33" t="s">
        <v>35</v>
      </c>
      <c r="J949" s="33" t="s">
        <v>3188</v>
      </c>
      <c r="K949" s="33">
        <v>1.0</v>
      </c>
      <c r="L949" s="124" t="s">
        <v>8725</v>
      </c>
      <c r="M949" s="34"/>
    </row>
    <row r="950" hidden="1">
      <c r="A950" s="33" t="s">
        <v>8726</v>
      </c>
      <c r="B950" s="122">
        <v>45812.0</v>
      </c>
      <c r="C950" s="33">
        <v>8.07000031453E11</v>
      </c>
      <c r="D950" s="33" t="s">
        <v>8727</v>
      </c>
      <c r="E950" s="33" t="s">
        <v>8728</v>
      </c>
      <c r="F950" s="123" t="s">
        <v>8729</v>
      </c>
      <c r="G950" s="123" t="s">
        <v>6769</v>
      </c>
      <c r="H950" s="123">
        <v>4400.0</v>
      </c>
      <c r="I950" s="33" t="s">
        <v>8604</v>
      </c>
      <c r="J950" s="33" t="s">
        <v>8605</v>
      </c>
      <c r="K950" s="33">
        <v>2.0</v>
      </c>
      <c r="L950" s="124" t="s">
        <v>8730</v>
      </c>
      <c r="M950" s="34"/>
    </row>
    <row r="951" hidden="1">
      <c r="A951" s="33" t="s">
        <v>8726</v>
      </c>
      <c r="B951" s="122">
        <v>45812.0</v>
      </c>
      <c r="C951" s="33">
        <v>8.07000031453E11</v>
      </c>
      <c r="D951" s="33" t="s">
        <v>8727</v>
      </c>
      <c r="E951" s="33" t="s">
        <v>8728</v>
      </c>
      <c r="F951" s="123" t="s">
        <v>8729</v>
      </c>
      <c r="G951" s="123" t="s">
        <v>6769</v>
      </c>
      <c r="H951" s="123">
        <v>4400.0</v>
      </c>
      <c r="I951" s="33" t="s">
        <v>1345</v>
      </c>
      <c r="J951" s="33" t="s">
        <v>3639</v>
      </c>
      <c r="K951" s="33">
        <v>2.0</v>
      </c>
      <c r="L951" s="124" t="s">
        <v>8730</v>
      </c>
      <c r="M951" s="34"/>
    </row>
    <row r="952" hidden="1">
      <c r="A952" s="125" t="s">
        <v>8726</v>
      </c>
      <c r="B952" s="126">
        <v>45812.0</v>
      </c>
      <c r="C952" s="125">
        <v>8.07000031454E11</v>
      </c>
      <c r="D952" s="125" t="s">
        <v>8727</v>
      </c>
      <c r="E952" s="125" t="s">
        <v>8728</v>
      </c>
      <c r="F952" s="127" t="s">
        <v>8729</v>
      </c>
      <c r="G952" s="127" t="s">
        <v>6769</v>
      </c>
      <c r="H952" s="127">
        <v>4400.0</v>
      </c>
      <c r="I952" s="125">
        <v>208501.0</v>
      </c>
      <c r="J952" s="125" t="s">
        <v>481</v>
      </c>
      <c r="K952" s="125">
        <v>2.0</v>
      </c>
      <c r="L952" s="129" t="s">
        <v>8730</v>
      </c>
      <c r="M952" s="130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  <c r="AA952" s="179"/>
      <c r="AB952" s="179"/>
      <c r="AC952" s="179"/>
    </row>
    <row r="953" hidden="1">
      <c r="A953" s="131" t="s">
        <v>8731</v>
      </c>
      <c r="B953" s="132">
        <v>45812.0</v>
      </c>
      <c r="C953" s="131">
        <v>8.07000031175E11</v>
      </c>
      <c r="D953" s="131" t="s">
        <v>4129</v>
      </c>
      <c r="E953" s="131" t="s">
        <v>4130</v>
      </c>
      <c r="F953" s="133" t="s">
        <v>4131</v>
      </c>
      <c r="G953" s="133" t="s">
        <v>5618</v>
      </c>
      <c r="H953" s="133">
        <v>4400.0</v>
      </c>
      <c r="I953" s="131">
        <v>208501.0</v>
      </c>
      <c r="J953" s="131" t="s">
        <v>481</v>
      </c>
      <c r="K953" s="131">
        <v>6.0</v>
      </c>
      <c r="L953" s="134" t="s">
        <v>8732</v>
      </c>
      <c r="M953" s="138"/>
    </row>
    <row r="954" hidden="1">
      <c r="A954" s="33" t="s">
        <v>8731</v>
      </c>
      <c r="B954" s="122">
        <v>45812.0</v>
      </c>
      <c r="C954" s="33">
        <v>8.07000031175E11</v>
      </c>
      <c r="D954" s="33" t="s">
        <v>4129</v>
      </c>
      <c r="E954" s="33" t="s">
        <v>4130</v>
      </c>
      <c r="F954" s="123" t="s">
        <v>4131</v>
      </c>
      <c r="G954" s="133" t="s">
        <v>5618</v>
      </c>
      <c r="H954" s="123">
        <v>4400.0</v>
      </c>
      <c r="I954" s="33" t="s">
        <v>4133</v>
      </c>
      <c r="J954" s="33" t="s">
        <v>4134</v>
      </c>
      <c r="K954" s="33">
        <v>1.0</v>
      </c>
      <c r="L954" s="124" t="s">
        <v>8732</v>
      </c>
      <c r="M954" s="34"/>
    </row>
    <row r="955" hidden="1">
      <c r="A955" s="33" t="s">
        <v>8733</v>
      </c>
      <c r="B955" s="122">
        <v>45812.0</v>
      </c>
      <c r="C955" s="33">
        <v>8.07000031457E11</v>
      </c>
      <c r="D955" s="33" t="s">
        <v>8734</v>
      </c>
      <c r="E955" s="33" t="s">
        <v>8735</v>
      </c>
      <c r="F955" s="123" t="s">
        <v>8736</v>
      </c>
      <c r="G955" s="123" t="s">
        <v>247</v>
      </c>
      <c r="H955" s="123">
        <v>4400.0</v>
      </c>
      <c r="I955" s="33" t="s">
        <v>4512</v>
      </c>
      <c r="J955" s="33" t="s">
        <v>4513</v>
      </c>
      <c r="K955" s="33">
        <v>1.0</v>
      </c>
      <c r="L955" s="124" t="s">
        <v>8737</v>
      </c>
      <c r="M955" s="34"/>
    </row>
    <row r="956" hidden="1">
      <c r="A956" s="33" t="s">
        <v>8733</v>
      </c>
      <c r="B956" s="122">
        <v>45812.0</v>
      </c>
      <c r="C956" s="33">
        <v>8.07000031458E11</v>
      </c>
      <c r="D956" s="33" t="s">
        <v>8734</v>
      </c>
      <c r="E956" s="33" t="s">
        <v>8735</v>
      </c>
      <c r="F956" s="123" t="s">
        <v>8736</v>
      </c>
      <c r="G956" s="123" t="s">
        <v>247</v>
      </c>
      <c r="H956" s="123">
        <v>4400.0</v>
      </c>
      <c r="I956" s="33">
        <v>208501.0</v>
      </c>
      <c r="J956" s="33" t="s">
        <v>481</v>
      </c>
      <c r="K956" s="33">
        <v>1.0</v>
      </c>
      <c r="L956" s="124" t="s">
        <v>8737</v>
      </c>
      <c r="M956" s="34"/>
    </row>
    <row r="957" hidden="1">
      <c r="A957" s="33" t="s">
        <v>8733</v>
      </c>
      <c r="B957" s="122">
        <v>45812.0</v>
      </c>
      <c r="C957" s="33">
        <v>8.07000031459E11</v>
      </c>
      <c r="D957" s="33" t="s">
        <v>8734</v>
      </c>
      <c r="E957" s="33" t="s">
        <v>8735</v>
      </c>
      <c r="F957" s="123" t="s">
        <v>8736</v>
      </c>
      <c r="G957" s="123" t="s">
        <v>247</v>
      </c>
      <c r="H957" s="123">
        <v>4400.0</v>
      </c>
      <c r="I957" s="33" t="s">
        <v>8738</v>
      </c>
      <c r="J957" s="33" t="s">
        <v>8739</v>
      </c>
      <c r="K957" s="33">
        <v>1.0</v>
      </c>
      <c r="L957" s="124" t="s">
        <v>8737</v>
      </c>
      <c r="M957" s="34"/>
    </row>
    <row r="958" hidden="1">
      <c r="A958" s="33" t="s">
        <v>8733</v>
      </c>
      <c r="B958" s="122">
        <v>45812.0</v>
      </c>
      <c r="C958" s="33">
        <v>8.0700003146E11</v>
      </c>
      <c r="D958" s="33" t="s">
        <v>8740</v>
      </c>
      <c r="E958" s="33" t="s">
        <v>8741</v>
      </c>
      <c r="F958" s="123" t="s">
        <v>8742</v>
      </c>
      <c r="G958" s="123" t="s">
        <v>247</v>
      </c>
      <c r="H958" s="123">
        <v>4400.0</v>
      </c>
      <c r="I958" s="33" t="s">
        <v>3054</v>
      </c>
      <c r="J958" s="33" t="s">
        <v>3346</v>
      </c>
      <c r="K958" s="33">
        <v>1.0</v>
      </c>
      <c r="L958" s="124" t="s">
        <v>8743</v>
      </c>
      <c r="M958" s="34"/>
    </row>
    <row r="959" hidden="1">
      <c r="A959" s="33" t="s">
        <v>8744</v>
      </c>
      <c r="B959" s="122">
        <v>45813.0</v>
      </c>
      <c r="C959" s="33">
        <v>8.07000031463E11</v>
      </c>
      <c r="D959" s="33" t="s">
        <v>8745</v>
      </c>
      <c r="E959" s="33" t="s">
        <v>8746</v>
      </c>
      <c r="F959" s="123" t="s">
        <v>8747</v>
      </c>
      <c r="G959" s="123" t="s">
        <v>624</v>
      </c>
      <c r="H959" s="123">
        <v>4403.0</v>
      </c>
      <c r="I959" s="33" t="s">
        <v>659</v>
      </c>
      <c r="J959" s="33" t="s">
        <v>3468</v>
      </c>
      <c r="K959" s="33">
        <v>1.0</v>
      </c>
      <c r="L959" s="124" t="s">
        <v>8748</v>
      </c>
      <c r="M959" s="34"/>
    </row>
    <row r="960" hidden="1">
      <c r="A960" s="33" t="s">
        <v>8749</v>
      </c>
      <c r="B960" s="122">
        <v>45813.0</v>
      </c>
      <c r="C960" s="33">
        <v>8.07000031469E11</v>
      </c>
      <c r="D960" s="33" t="s">
        <v>8750</v>
      </c>
      <c r="E960" s="33" t="s">
        <v>8751</v>
      </c>
      <c r="F960" s="123" t="s">
        <v>8752</v>
      </c>
      <c r="G960" s="123" t="s">
        <v>247</v>
      </c>
      <c r="H960" s="123">
        <v>4400.0</v>
      </c>
      <c r="I960" s="33" t="s">
        <v>659</v>
      </c>
      <c r="J960" s="33" t="s">
        <v>3468</v>
      </c>
      <c r="K960" s="33">
        <v>1.0</v>
      </c>
      <c r="L960" s="124" t="s">
        <v>8753</v>
      </c>
      <c r="M960" s="34"/>
    </row>
    <row r="961" hidden="1">
      <c r="A961" s="33" t="s">
        <v>8754</v>
      </c>
      <c r="B961" s="122">
        <v>45815.0</v>
      </c>
      <c r="C961" s="33">
        <v>8.07000031528E11</v>
      </c>
      <c r="D961" s="33" t="s">
        <v>8755</v>
      </c>
      <c r="E961" s="33" t="s">
        <v>8756</v>
      </c>
      <c r="F961" s="123" t="s">
        <v>8757</v>
      </c>
      <c r="G961" s="123" t="s">
        <v>247</v>
      </c>
      <c r="H961" s="123">
        <v>4400.0</v>
      </c>
      <c r="I961" s="33" t="s">
        <v>3451</v>
      </c>
      <c r="J961" s="33" t="s">
        <v>3452</v>
      </c>
      <c r="K961" s="33">
        <v>1.0</v>
      </c>
      <c r="L961" s="124" t="s">
        <v>8758</v>
      </c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</row>
    <row r="962" hidden="1">
      <c r="A962" s="33" t="s">
        <v>8754</v>
      </c>
      <c r="B962" s="122">
        <v>45815.0</v>
      </c>
      <c r="C962" s="33">
        <v>8.07000031528E11</v>
      </c>
      <c r="D962" s="33" t="s">
        <v>8755</v>
      </c>
      <c r="E962" s="33" t="s">
        <v>8756</v>
      </c>
      <c r="F962" s="123" t="s">
        <v>8757</v>
      </c>
      <c r="G962" s="123" t="s">
        <v>247</v>
      </c>
      <c r="H962" s="123">
        <v>4400.0</v>
      </c>
      <c r="I962" s="33" t="s">
        <v>512</v>
      </c>
      <c r="J962" s="33" t="s">
        <v>513</v>
      </c>
      <c r="K962" s="33">
        <v>6.0</v>
      </c>
      <c r="L962" s="124" t="s">
        <v>8758</v>
      </c>
      <c r="M962" s="34"/>
    </row>
    <row r="963" hidden="1">
      <c r="A963" s="33" t="s">
        <v>8754</v>
      </c>
      <c r="B963" s="122">
        <v>45815.0</v>
      </c>
      <c r="C963" s="33">
        <v>8.07000031528E11</v>
      </c>
      <c r="D963" s="33" t="s">
        <v>8755</v>
      </c>
      <c r="E963" s="33" t="s">
        <v>8756</v>
      </c>
      <c r="F963" s="123" t="s">
        <v>8757</v>
      </c>
      <c r="G963" s="123" t="s">
        <v>247</v>
      </c>
      <c r="H963" s="123">
        <v>4400.0</v>
      </c>
      <c r="I963" s="33" t="s">
        <v>670</v>
      </c>
      <c r="J963" s="33" t="s">
        <v>3410</v>
      </c>
      <c r="K963" s="33">
        <v>1.0</v>
      </c>
      <c r="L963" s="124" t="s">
        <v>8758</v>
      </c>
      <c r="M963" s="34"/>
    </row>
    <row r="964" hidden="1">
      <c r="A964" s="33" t="s">
        <v>8759</v>
      </c>
      <c r="B964" s="122">
        <v>45815.0</v>
      </c>
      <c r="C964" s="33">
        <v>8.07000031534E11</v>
      </c>
      <c r="D964" s="33" t="s">
        <v>8760</v>
      </c>
      <c r="E964" s="33" t="s">
        <v>8761</v>
      </c>
      <c r="F964" s="123" t="s">
        <v>8762</v>
      </c>
      <c r="G964" s="123" t="s">
        <v>247</v>
      </c>
      <c r="H964" s="123">
        <v>4400.0</v>
      </c>
      <c r="I964" s="33" t="s">
        <v>8763</v>
      </c>
      <c r="J964" s="33" t="s">
        <v>8764</v>
      </c>
      <c r="K964" s="33">
        <v>1.0</v>
      </c>
      <c r="L964" s="124" t="s">
        <v>8765</v>
      </c>
      <c r="M964" s="34"/>
    </row>
    <row r="965" hidden="1">
      <c r="A965" s="33" t="s">
        <v>8759</v>
      </c>
      <c r="B965" s="122">
        <v>45815.0</v>
      </c>
      <c r="C965" s="33">
        <v>8.07000031534E11</v>
      </c>
      <c r="D965" s="33" t="s">
        <v>8760</v>
      </c>
      <c r="E965" s="33" t="s">
        <v>8761</v>
      </c>
      <c r="F965" s="123" t="s">
        <v>8762</v>
      </c>
      <c r="G965" s="123" t="s">
        <v>247</v>
      </c>
      <c r="H965" s="123">
        <v>4400.0</v>
      </c>
      <c r="I965" s="33" t="s">
        <v>233</v>
      </c>
      <c r="J965" s="33" t="s">
        <v>3459</v>
      </c>
      <c r="K965" s="33">
        <v>2.0</v>
      </c>
      <c r="L965" s="124" t="s">
        <v>8765</v>
      </c>
      <c r="M965" s="34"/>
    </row>
    <row r="966" hidden="1">
      <c r="A966" s="33" t="s">
        <v>8766</v>
      </c>
      <c r="B966" s="122">
        <v>45815.0</v>
      </c>
      <c r="C966" s="33">
        <v>8.07000031535E11</v>
      </c>
      <c r="D966" s="33" t="s">
        <v>8760</v>
      </c>
      <c r="E966" s="33" t="s">
        <v>8761</v>
      </c>
      <c r="F966" s="123" t="s">
        <v>8762</v>
      </c>
      <c r="G966" s="123" t="s">
        <v>247</v>
      </c>
      <c r="H966" s="123">
        <v>4400.0</v>
      </c>
      <c r="I966" s="33">
        <v>208502.0</v>
      </c>
      <c r="J966" s="33" t="s">
        <v>4551</v>
      </c>
      <c r="K966" s="33">
        <v>2.0</v>
      </c>
      <c r="L966" s="124" t="s">
        <v>8765</v>
      </c>
      <c r="M966" s="34"/>
    </row>
    <row r="967" hidden="1">
      <c r="A967" s="33" t="s">
        <v>8767</v>
      </c>
      <c r="B967" s="122">
        <v>45815.0</v>
      </c>
      <c r="C967" s="33">
        <v>7.000000026E9</v>
      </c>
      <c r="D967" s="33" t="s">
        <v>8768</v>
      </c>
      <c r="E967" s="33" t="s">
        <v>8769</v>
      </c>
      <c r="F967" s="123" t="s">
        <v>8770</v>
      </c>
      <c r="G967" s="123" t="s">
        <v>247</v>
      </c>
      <c r="H967" s="123">
        <v>4400.0</v>
      </c>
      <c r="I967" s="33">
        <v>840606.0</v>
      </c>
      <c r="J967" s="33" t="s">
        <v>8771</v>
      </c>
      <c r="K967" s="33">
        <v>1.0</v>
      </c>
      <c r="L967" s="124" t="s">
        <v>8772</v>
      </c>
      <c r="M967" s="34"/>
    </row>
    <row r="968" hidden="1">
      <c r="A968" s="33" t="s">
        <v>8767</v>
      </c>
      <c r="B968" s="122">
        <v>45815.0</v>
      </c>
      <c r="C968" s="33">
        <v>7.000000026E9</v>
      </c>
      <c r="D968" s="33" t="s">
        <v>8768</v>
      </c>
      <c r="E968" s="33" t="s">
        <v>8769</v>
      </c>
      <c r="F968" s="123" t="s">
        <v>8770</v>
      </c>
      <c r="G968" s="123" t="s">
        <v>247</v>
      </c>
      <c r="H968" s="123">
        <v>4400.0</v>
      </c>
      <c r="I968" s="33" t="s">
        <v>701</v>
      </c>
      <c r="J968" s="33" t="s">
        <v>4409</v>
      </c>
      <c r="K968" s="33">
        <v>1.0</v>
      </c>
      <c r="L968" s="124" t="s">
        <v>8772</v>
      </c>
      <c r="M968" s="34"/>
    </row>
    <row r="969" hidden="1">
      <c r="A969" s="33" t="s">
        <v>8773</v>
      </c>
      <c r="B969" s="122">
        <v>45815.0</v>
      </c>
      <c r="C969" s="33">
        <v>8.07000031538E11</v>
      </c>
      <c r="D969" s="33" t="s">
        <v>8774</v>
      </c>
      <c r="E969" s="33" t="s">
        <v>8775</v>
      </c>
      <c r="F969" s="123" t="s">
        <v>8776</v>
      </c>
      <c r="G969" s="123" t="s">
        <v>247</v>
      </c>
      <c r="H969" s="123">
        <v>4400.0</v>
      </c>
      <c r="I969" s="33" t="s">
        <v>2537</v>
      </c>
      <c r="J969" s="33" t="s">
        <v>3955</v>
      </c>
      <c r="K969" s="33">
        <v>2.0</v>
      </c>
      <c r="L969" s="124" t="s">
        <v>8777</v>
      </c>
      <c r="M969" s="34"/>
    </row>
    <row r="970" hidden="1">
      <c r="A970" s="33" t="s">
        <v>8773</v>
      </c>
      <c r="B970" s="122">
        <v>45815.0</v>
      </c>
      <c r="C970" s="33">
        <v>8.07000031538E11</v>
      </c>
      <c r="D970" s="33" t="s">
        <v>8774</v>
      </c>
      <c r="E970" s="33" t="s">
        <v>8775</v>
      </c>
      <c r="F970" s="123" t="s">
        <v>8776</v>
      </c>
      <c r="G970" s="123" t="s">
        <v>247</v>
      </c>
      <c r="H970" s="123">
        <v>4400.0</v>
      </c>
      <c r="I970" s="33" t="s">
        <v>512</v>
      </c>
      <c r="J970" s="33" t="s">
        <v>513</v>
      </c>
      <c r="K970" s="33">
        <v>12.0</v>
      </c>
      <c r="L970" s="124" t="s">
        <v>8777</v>
      </c>
      <c r="M970" s="34"/>
    </row>
    <row r="971" hidden="1">
      <c r="A971" s="33" t="s">
        <v>8773</v>
      </c>
      <c r="B971" s="122">
        <v>45815.0</v>
      </c>
      <c r="C971" s="33">
        <v>8.07000031538E11</v>
      </c>
      <c r="D971" s="33" t="s">
        <v>8774</v>
      </c>
      <c r="E971" s="33" t="s">
        <v>8775</v>
      </c>
      <c r="F971" s="123" t="s">
        <v>8776</v>
      </c>
      <c r="G971" s="123" t="s">
        <v>247</v>
      </c>
      <c r="H971" s="123">
        <v>4400.0</v>
      </c>
      <c r="I971" s="33" t="s">
        <v>340</v>
      </c>
      <c r="J971" s="33" t="s">
        <v>3486</v>
      </c>
      <c r="K971" s="33">
        <v>2.0</v>
      </c>
      <c r="L971" s="124" t="s">
        <v>8777</v>
      </c>
      <c r="M971" s="34"/>
    </row>
    <row r="972" hidden="1">
      <c r="A972" s="33" t="s">
        <v>8778</v>
      </c>
      <c r="B972" s="122">
        <v>45817.0</v>
      </c>
      <c r="C972" s="33">
        <v>8.07000031542E11</v>
      </c>
      <c r="D972" s="33" t="s">
        <v>8779</v>
      </c>
      <c r="E972" s="33" t="s">
        <v>8780</v>
      </c>
      <c r="F972" s="123" t="s">
        <v>8781</v>
      </c>
      <c r="G972" s="123" t="s">
        <v>247</v>
      </c>
      <c r="H972" s="123">
        <v>4400.0</v>
      </c>
      <c r="I972" s="33" t="s">
        <v>3979</v>
      </c>
      <c r="J972" s="33" t="s">
        <v>3980</v>
      </c>
      <c r="K972" s="33">
        <v>1.0</v>
      </c>
      <c r="L972" s="124" t="s">
        <v>8782</v>
      </c>
      <c r="M972" s="34"/>
    </row>
    <row r="973" hidden="1">
      <c r="A973" s="33" t="s">
        <v>8778</v>
      </c>
      <c r="B973" s="122">
        <v>45817.0</v>
      </c>
      <c r="C973" s="33">
        <v>8.07000031542E11</v>
      </c>
      <c r="D973" s="33" t="s">
        <v>8779</v>
      </c>
      <c r="E973" s="33" t="s">
        <v>8780</v>
      </c>
      <c r="F973" s="123" t="s">
        <v>8781</v>
      </c>
      <c r="G973" s="123" t="s">
        <v>247</v>
      </c>
      <c r="H973" s="123">
        <v>4400.0</v>
      </c>
      <c r="I973" s="33" t="s">
        <v>512</v>
      </c>
      <c r="J973" s="33" t="s">
        <v>513</v>
      </c>
      <c r="K973" s="33">
        <v>12.0</v>
      </c>
      <c r="L973" s="124" t="s">
        <v>8782</v>
      </c>
      <c r="M973" s="34"/>
    </row>
    <row r="974" hidden="1">
      <c r="A974" s="33" t="s">
        <v>8778</v>
      </c>
      <c r="B974" s="122">
        <v>45817.0</v>
      </c>
      <c r="C974" s="33">
        <v>8.07000031542E11</v>
      </c>
      <c r="D974" s="33" t="s">
        <v>8779</v>
      </c>
      <c r="E974" s="33" t="s">
        <v>8780</v>
      </c>
      <c r="F974" s="123" t="s">
        <v>8781</v>
      </c>
      <c r="G974" s="123" t="s">
        <v>247</v>
      </c>
      <c r="H974" s="123">
        <v>4400.0</v>
      </c>
      <c r="I974" s="33" t="s">
        <v>758</v>
      </c>
      <c r="J974" s="33" t="s">
        <v>3574</v>
      </c>
      <c r="K974" s="33">
        <v>2.0</v>
      </c>
      <c r="L974" s="124" t="s">
        <v>8782</v>
      </c>
      <c r="M974" s="34"/>
    </row>
    <row r="975" hidden="1">
      <c r="A975" s="33" t="s">
        <v>8783</v>
      </c>
      <c r="B975" s="122">
        <v>45817.0</v>
      </c>
      <c r="C975" s="33">
        <v>8.07000031543E11</v>
      </c>
      <c r="D975" s="33" t="s">
        <v>8784</v>
      </c>
      <c r="E975" s="33" t="s">
        <v>8785</v>
      </c>
      <c r="F975" s="123" t="s">
        <v>8786</v>
      </c>
      <c r="G975" s="123" t="s">
        <v>247</v>
      </c>
      <c r="H975" s="123">
        <v>4400.0</v>
      </c>
      <c r="I975" s="33" t="s">
        <v>2537</v>
      </c>
      <c r="J975" s="33" t="s">
        <v>3955</v>
      </c>
      <c r="K975" s="33">
        <v>1.0</v>
      </c>
      <c r="L975" s="124" t="s">
        <v>8787</v>
      </c>
      <c r="M975" s="34"/>
    </row>
    <row r="976" hidden="1">
      <c r="A976" s="33" t="s">
        <v>8783</v>
      </c>
      <c r="B976" s="122">
        <v>45817.0</v>
      </c>
      <c r="C976" s="33">
        <v>8.07000031543E11</v>
      </c>
      <c r="D976" s="33" t="s">
        <v>8784</v>
      </c>
      <c r="E976" s="33" t="s">
        <v>8785</v>
      </c>
      <c r="F976" s="123" t="s">
        <v>8786</v>
      </c>
      <c r="G976" s="123" t="s">
        <v>247</v>
      </c>
      <c r="H976" s="123">
        <v>4400.0</v>
      </c>
      <c r="I976" s="33" t="s">
        <v>512</v>
      </c>
      <c r="J976" s="33" t="s">
        <v>513</v>
      </c>
      <c r="K976" s="33">
        <v>12.0</v>
      </c>
      <c r="L976" s="124" t="s">
        <v>8787</v>
      </c>
      <c r="M976" s="34"/>
    </row>
    <row r="977" hidden="1">
      <c r="A977" s="125" t="s">
        <v>8783</v>
      </c>
      <c r="B977" s="126">
        <v>45817.0</v>
      </c>
      <c r="C977" s="125">
        <v>8.07000031543E11</v>
      </c>
      <c r="D977" s="125" t="s">
        <v>8784</v>
      </c>
      <c r="E977" s="125" t="s">
        <v>8785</v>
      </c>
      <c r="F977" s="127" t="s">
        <v>8786</v>
      </c>
      <c r="G977" s="127" t="s">
        <v>247</v>
      </c>
      <c r="H977" s="127">
        <v>4400.0</v>
      </c>
      <c r="I977" s="125" t="s">
        <v>340</v>
      </c>
      <c r="J977" s="125" t="s">
        <v>3486</v>
      </c>
      <c r="K977" s="125">
        <v>2.0</v>
      </c>
      <c r="L977" s="129" t="s">
        <v>8787</v>
      </c>
      <c r="M977" s="130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  <c r="AA977" s="179"/>
      <c r="AB977" s="179"/>
      <c r="AC977" s="179"/>
    </row>
    <row r="978" hidden="1">
      <c r="A978" s="33" t="s">
        <v>8788</v>
      </c>
      <c r="B978" s="122">
        <v>45819.0</v>
      </c>
      <c r="C978" s="33">
        <v>8.07000031555E11</v>
      </c>
      <c r="D978" s="33" t="s">
        <v>6899</v>
      </c>
      <c r="E978" s="33" t="s">
        <v>8789</v>
      </c>
      <c r="F978" s="123" t="s">
        <v>8790</v>
      </c>
      <c r="G978" s="123" t="s">
        <v>247</v>
      </c>
      <c r="H978" s="123">
        <v>4400.0</v>
      </c>
      <c r="I978" s="33" t="s">
        <v>340</v>
      </c>
      <c r="J978" s="33" t="s">
        <v>3486</v>
      </c>
      <c r="K978" s="33">
        <v>2.0</v>
      </c>
      <c r="L978" s="124" t="s">
        <v>8791</v>
      </c>
      <c r="M978" s="34"/>
    </row>
    <row r="979" hidden="1">
      <c r="A979" s="33" t="s">
        <v>8792</v>
      </c>
      <c r="B979" s="122">
        <v>45819.0</v>
      </c>
      <c r="C979" s="33">
        <v>8.0700003155E11</v>
      </c>
      <c r="D979" s="33" t="s">
        <v>8793</v>
      </c>
      <c r="E979" s="33" t="s">
        <v>8794</v>
      </c>
      <c r="F979" s="123" t="s">
        <v>8795</v>
      </c>
      <c r="G979" s="123" t="s">
        <v>247</v>
      </c>
      <c r="H979" s="123">
        <v>4400.0</v>
      </c>
      <c r="I979" s="33" t="s">
        <v>2956</v>
      </c>
      <c r="J979" s="33" t="s">
        <v>3327</v>
      </c>
      <c r="K979" s="33">
        <v>1.0</v>
      </c>
      <c r="L979" s="124" t="s">
        <v>8796</v>
      </c>
      <c r="M979" s="34"/>
    </row>
    <row r="980" hidden="1">
      <c r="A980" s="33" t="s">
        <v>8792</v>
      </c>
      <c r="B980" s="122">
        <v>45819.0</v>
      </c>
      <c r="C980" s="33">
        <v>8.07000031552E11</v>
      </c>
      <c r="D980" s="33" t="s">
        <v>8793</v>
      </c>
      <c r="E980" s="33" t="s">
        <v>8794</v>
      </c>
      <c r="F980" s="123" t="s">
        <v>8795</v>
      </c>
      <c r="G980" s="123" t="s">
        <v>247</v>
      </c>
      <c r="H980" s="123">
        <v>4400.0</v>
      </c>
      <c r="I980" s="33">
        <v>125818.0</v>
      </c>
      <c r="J980" s="33" t="s">
        <v>4334</v>
      </c>
      <c r="K980" s="33">
        <v>2.0</v>
      </c>
      <c r="L980" s="124" t="s">
        <v>8796</v>
      </c>
      <c r="M980" s="34"/>
    </row>
    <row r="981" hidden="1">
      <c r="A981" s="33" t="s">
        <v>8797</v>
      </c>
      <c r="B981" s="122">
        <v>45819.0</v>
      </c>
      <c r="C981" s="33">
        <v>8.07000031546E11</v>
      </c>
      <c r="D981" s="33" t="s">
        <v>8798</v>
      </c>
      <c r="E981" s="33" t="s">
        <v>8799</v>
      </c>
      <c r="F981" s="123" t="s">
        <v>8800</v>
      </c>
      <c r="G981" s="123" t="s">
        <v>247</v>
      </c>
      <c r="H981" s="123">
        <v>4400.0</v>
      </c>
      <c r="I981" s="33" t="s">
        <v>3649</v>
      </c>
      <c r="J981" s="33" t="s">
        <v>3650</v>
      </c>
      <c r="K981" s="33">
        <v>1.0</v>
      </c>
      <c r="L981" s="124" t="s">
        <v>8801</v>
      </c>
      <c r="M981" s="34"/>
    </row>
    <row r="982" hidden="1">
      <c r="A982" s="33" t="s">
        <v>8797</v>
      </c>
      <c r="B982" s="122">
        <v>45819.0</v>
      </c>
      <c r="C982" s="33">
        <v>8.07000031546E11</v>
      </c>
      <c r="D982" s="33" t="s">
        <v>8798</v>
      </c>
      <c r="E982" s="33" t="s">
        <v>8799</v>
      </c>
      <c r="F982" s="123" t="s">
        <v>8800</v>
      </c>
      <c r="G982" s="123" t="s">
        <v>247</v>
      </c>
      <c r="H982" s="123">
        <v>4400.0</v>
      </c>
      <c r="I982" s="33" t="s">
        <v>512</v>
      </c>
      <c r="J982" s="33" t="s">
        <v>513</v>
      </c>
      <c r="K982" s="33">
        <v>6.0</v>
      </c>
      <c r="L982" s="124" t="s">
        <v>8801</v>
      </c>
      <c r="M982" s="34"/>
    </row>
    <row r="983" hidden="1">
      <c r="A983" s="33" t="s">
        <v>8797</v>
      </c>
      <c r="B983" s="122">
        <v>45819.0</v>
      </c>
      <c r="C983" s="33">
        <v>8.07000031546E11</v>
      </c>
      <c r="D983" s="33" t="s">
        <v>8798</v>
      </c>
      <c r="E983" s="33" t="s">
        <v>8799</v>
      </c>
      <c r="F983" s="123" t="s">
        <v>8800</v>
      </c>
      <c r="G983" s="123" t="s">
        <v>247</v>
      </c>
      <c r="H983" s="123">
        <v>4400.0</v>
      </c>
      <c r="I983" s="33" t="s">
        <v>670</v>
      </c>
      <c r="J983" s="33" t="s">
        <v>3410</v>
      </c>
      <c r="K983" s="33">
        <v>1.0</v>
      </c>
      <c r="L983" s="124" t="s">
        <v>8801</v>
      </c>
      <c r="M983" s="34"/>
    </row>
    <row r="984" hidden="1">
      <c r="A984" s="33" t="s">
        <v>8797</v>
      </c>
      <c r="B984" s="122">
        <v>45819.0</v>
      </c>
      <c r="C984" s="33">
        <v>8.07000031547E11</v>
      </c>
      <c r="D984" s="33" t="s">
        <v>8798</v>
      </c>
      <c r="E984" s="33" t="s">
        <v>8799</v>
      </c>
      <c r="F984" s="123" t="s">
        <v>8800</v>
      </c>
      <c r="G984" s="123" t="s">
        <v>247</v>
      </c>
      <c r="H984" s="123">
        <v>4400.0</v>
      </c>
      <c r="I984" s="33">
        <v>125818.0</v>
      </c>
      <c r="J984" s="33" t="s">
        <v>4334</v>
      </c>
      <c r="K984" s="33">
        <v>2.0</v>
      </c>
      <c r="L984" s="124" t="s">
        <v>8802</v>
      </c>
      <c r="M984" s="34"/>
    </row>
    <row r="985" hidden="1">
      <c r="A985" s="33" t="s">
        <v>8803</v>
      </c>
      <c r="B985" s="122">
        <v>45819.0</v>
      </c>
      <c r="C985" s="33">
        <v>8.07000031568E11</v>
      </c>
      <c r="D985" s="33" t="s">
        <v>8804</v>
      </c>
      <c r="E985" s="33" t="s">
        <v>8805</v>
      </c>
      <c r="F985" s="123" t="s">
        <v>8806</v>
      </c>
      <c r="G985" s="123" t="s">
        <v>247</v>
      </c>
      <c r="H985" s="123">
        <v>4400.0</v>
      </c>
      <c r="I985" s="33" t="s">
        <v>659</v>
      </c>
      <c r="J985" s="33" t="s">
        <v>3468</v>
      </c>
      <c r="K985" s="33">
        <v>1.0</v>
      </c>
      <c r="L985" s="124" t="s">
        <v>8807</v>
      </c>
      <c r="M985" s="34"/>
    </row>
    <row r="986" hidden="1">
      <c r="A986" s="33" t="s">
        <v>8803</v>
      </c>
      <c r="B986" s="122">
        <v>45819.0</v>
      </c>
      <c r="C986" s="33">
        <v>8.07000031569E11</v>
      </c>
      <c r="D986" s="33" t="s">
        <v>8804</v>
      </c>
      <c r="E986" s="33" t="s">
        <v>8805</v>
      </c>
      <c r="F986" s="123" t="s">
        <v>8806</v>
      </c>
      <c r="G986" s="123" t="s">
        <v>247</v>
      </c>
      <c r="H986" s="123">
        <v>4400.0</v>
      </c>
      <c r="I986" s="33">
        <v>125818.0</v>
      </c>
      <c r="J986" s="33" t="s">
        <v>4334</v>
      </c>
      <c r="K986" s="33">
        <v>2.0</v>
      </c>
      <c r="L986" s="124" t="s">
        <v>8807</v>
      </c>
      <c r="M986" s="34"/>
    </row>
    <row r="987" hidden="1">
      <c r="A987" s="33" t="s">
        <v>8808</v>
      </c>
      <c r="B987" s="122">
        <v>45819.0</v>
      </c>
      <c r="C987" s="33">
        <v>8.07000031563E11</v>
      </c>
      <c r="D987" s="33" t="s">
        <v>8809</v>
      </c>
      <c r="E987" s="33" t="s">
        <v>8810</v>
      </c>
      <c r="F987" s="123" t="s">
        <v>8811</v>
      </c>
      <c r="G987" s="123" t="s">
        <v>247</v>
      </c>
      <c r="H987" s="123">
        <v>4400.0</v>
      </c>
      <c r="I987" s="33" t="s">
        <v>4976</v>
      </c>
      <c r="J987" s="33" t="s">
        <v>4977</v>
      </c>
      <c r="K987" s="33">
        <v>1.0</v>
      </c>
      <c r="L987" s="124" t="s">
        <v>8812</v>
      </c>
      <c r="M987" s="34" t="s">
        <v>8813</v>
      </c>
    </row>
    <row r="988" hidden="1">
      <c r="A988" s="33" t="s">
        <v>8808</v>
      </c>
      <c r="B988" s="122">
        <v>45819.0</v>
      </c>
      <c r="C988" s="33">
        <v>8.07000031563E11</v>
      </c>
      <c r="D988" s="33" t="s">
        <v>8809</v>
      </c>
      <c r="E988" s="33" t="s">
        <v>8810</v>
      </c>
      <c r="F988" s="123" t="s">
        <v>8811</v>
      </c>
      <c r="G988" s="123" t="s">
        <v>247</v>
      </c>
      <c r="H988" s="123">
        <v>4400.0</v>
      </c>
      <c r="I988" s="33" t="s">
        <v>512</v>
      </c>
      <c r="J988" s="33" t="s">
        <v>513</v>
      </c>
      <c r="K988" s="33">
        <v>6.0</v>
      </c>
      <c r="L988" s="124" t="s">
        <v>8812</v>
      </c>
      <c r="M988" s="34" t="s">
        <v>8813</v>
      </c>
    </row>
    <row r="989" hidden="1">
      <c r="A989" s="33" t="s">
        <v>8808</v>
      </c>
      <c r="B989" s="122">
        <v>45819.0</v>
      </c>
      <c r="C989" s="33">
        <v>8.07000031563E11</v>
      </c>
      <c r="D989" s="33" t="s">
        <v>8809</v>
      </c>
      <c r="E989" s="33" t="s">
        <v>8810</v>
      </c>
      <c r="F989" s="123" t="s">
        <v>8811</v>
      </c>
      <c r="G989" s="123" t="s">
        <v>247</v>
      </c>
      <c r="H989" s="123">
        <v>4400.0</v>
      </c>
      <c r="I989" s="33" t="s">
        <v>35</v>
      </c>
      <c r="J989" s="33" t="s">
        <v>3188</v>
      </c>
      <c r="K989" s="33">
        <v>1.0</v>
      </c>
      <c r="L989" s="124" t="s">
        <v>8812</v>
      </c>
      <c r="M989" s="34" t="s">
        <v>8813</v>
      </c>
    </row>
    <row r="990" hidden="1">
      <c r="A990" s="33" t="s">
        <v>8814</v>
      </c>
      <c r="B990" s="122">
        <v>45819.0</v>
      </c>
      <c r="C990" s="33">
        <v>8.07000031581E11</v>
      </c>
      <c r="D990" s="33" t="s">
        <v>8591</v>
      </c>
      <c r="E990" s="33" t="s">
        <v>8592</v>
      </c>
      <c r="F990" s="123" t="s">
        <v>8815</v>
      </c>
      <c r="G990" s="123" t="s">
        <v>247</v>
      </c>
      <c r="H990" s="123">
        <v>4400.0</v>
      </c>
      <c r="I990" s="33" t="s">
        <v>5764</v>
      </c>
      <c r="J990" s="33" t="s">
        <v>5765</v>
      </c>
      <c r="K990" s="33">
        <v>2.0</v>
      </c>
      <c r="L990" s="124" t="s">
        <v>8594</v>
      </c>
      <c r="M990" s="34"/>
    </row>
    <row r="991" hidden="1">
      <c r="A991" s="33" t="s">
        <v>8814</v>
      </c>
      <c r="B991" s="122">
        <v>45819.0</v>
      </c>
      <c r="C991" s="33">
        <v>8.07000031582E11</v>
      </c>
      <c r="D991" s="33" t="s">
        <v>8591</v>
      </c>
      <c r="E991" s="33" t="s">
        <v>8592</v>
      </c>
      <c r="F991" s="123" t="s">
        <v>8815</v>
      </c>
      <c r="G991" s="123" t="s">
        <v>247</v>
      </c>
      <c r="H991" s="123">
        <v>4400.0</v>
      </c>
      <c r="I991" s="33">
        <v>37.0</v>
      </c>
      <c r="J991" s="33" t="s">
        <v>8816</v>
      </c>
      <c r="K991" s="33">
        <v>1.0</v>
      </c>
      <c r="L991" s="124" t="s">
        <v>8594</v>
      </c>
      <c r="M991" s="34"/>
    </row>
    <row r="992" hidden="1">
      <c r="A992" s="33" t="s">
        <v>8814</v>
      </c>
      <c r="B992" s="122">
        <v>45819.0</v>
      </c>
      <c r="C992" s="33">
        <v>8.07000031582E11</v>
      </c>
      <c r="D992" s="33" t="s">
        <v>8591</v>
      </c>
      <c r="E992" s="33" t="s">
        <v>8592</v>
      </c>
      <c r="F992" s="123" t="s">
        <v>8815</v>
      </c>
      <c r="G992" s="123" t="s">
        <v>247</v>
      </c>
      <c r="H992" s="123">
        <v>4400.0</v>
      </c>
      <c r="I992" s="33" t="s">
        <v>8817</v>
      </c>
      <c r="J992" s="33" t="s">
        <v>8818</v>
      </c>
      <c r="K992" s="33">
        <v>1.0</v>
      </c>
      <c r="L992" s="124" t="s">
        <v>8594</v>
      </c>
      <c r="M992" s="34"/>
    </row>
    <row r="993" hidden="1">
      <c r="A993" s="33" t="s">
        <v>8814</v>
      </c>
      <c r="B993" s="122">
        <v>45819.0</v>
      </c>
      <c r="C993" s="33">
        <v>8.07000031582E11</v>
      </c>
      <c r="D993" s="33" t="s">
        <v>8591</v>
      </c>
      <c r="E993" s="33" t="s">
        <v>8592</v>
      </c>
      <c r="F993" s="123" t="s">
        <v>8815</v>
      </c>
      <c r="G993" s="123" t="s">
        <v>247</v>
      </c>
      <c r="H993" s="123">
        <v>4400.0</v>
      </c>
      <c r="I993" s="33" t="s">
        <v>3512</v>
      </c>
      <c r="J993" s="33" t="s">
        <v>3513</v>
      </c>
      <c r="K993" s="33">
        <v>12.0</v>
      </c>
      <c r="L993" s="124" t="s">
        <v>8594</v>
      </c>
      <c r="M993" s="34"/>
    </row>
    <row r="994" hidden="1">
      <c r="A994" s="33" t="s">
        <v>8819</v>
      </c>
      <c r="B994" s="122">
        <v>45820.0</v>
      </c>
      <c r="C994" s="33">
        <v>8.07000031573E11</v>
      </c>
      <c r="D994" s="33" t="s">
        <v>8820</v>
      </c>
      <c r="E994" s="33" t="s">
        <v>8821</v>
      </c>
      <c r="F994" s="123" t="s">
        <v>8822</v>
      </c>
      <c r="G994" s="123" t="s">
        <v>247</v>
      </c>
      <c r="H994" s="123">
        <v>4400.0</v>
      </c>
      <c r="I994" s="33">
        <v>125821.0</v>
      </c>
      <c r="J994" s="33" t="s">
        <v>8182</v>
      </c>
      <c r="K994" s="33">
        <v>2.0</v>
      </c>
      <c r="L994" s="124" t="s">
        <v>8823</v>
      </c>
      <c r="M994" s="34"/>
    </row>
    <row r="995" hidden="1">
      <c r="A995" s="33" t="s">
        <v>8819</v>
      </c>
      <c r="B995" s="122">
        <v>45820.0</v>
      </c>
      <c r="C995" s="33">
        <v>8.07000031574E11</v>
      </c>
      <c r="D995" s="33" t="s">
        <v>8820</v>
      </c>
      <c r="E995" s="33" t="s">
        <v>8821</v>
      </c>
      <c r="F995" s="123" t="s">
        <v>8822</v>
      </c>
      <c r="G995" s="123" t="s">
        <v>247</v>
      </c>
      <c r="H995" s="123">
        <v>4400.0</v>
      </c>
      <c r="I995" s="33" t="s">
        <v>659</v>
      </c>
      <c r="J995" s="33" t="s">
        <v>3468</v>
      </c>
      <c r="K995" s="33">
        <v>1.0</v>
      </c>
      <c r="L995" s="124" t="s">
        <v>8823</v>
      </c>
      <c r="M995" s="34"/>
    </row>
    <row r="996" hidden="1">
      <c r="A996" s="33" t="s">
        <v>8824</v>
      </c>
      <c r="B996" s="122">
        <v>45820.0</v>
      </c>
      <c r="C996" s="33">
        <v>8.07000031601E11</v>
      </c>
      <c r="D996" s="33" t="s">
        <v>8825</v>
      </c>
      <c r="E996" s="33" t="s">
        <v>8826</v>
      </c>
      <c r="F996" s="123" t="s">
        <v>8827</v>
      </c>
      <c r="G996" s="123" t="s">
        <v>247</v>
      </c>
      <c r="H996" s="123">
        <v>4400.0</v>
      </c>
      <c r="I996" s="33" t="s">
        <v>659</v>
      </c>
      <c r="J996" s="33" t="s">
        <v>3468</v>
      </c>
      <c r="K996" s="33">
        <v>1.0</v>
      </c>
      <c r="L996" s="124" t="s">
        <v>8828</v>
      </c>
      <c r="M996" s="34"/>
    </row>
    <row r="997" hidden="1">
      <c r="A997" s="33" t="s">
        <v>8829</v>
      </c>
      <c r="B997" s="122">
        <v>45820.0</v>
      </c>
      <c r="C997" s="33">
        <v>8.07000031602E11</v>
      </c>
      <c r="D997" s="33" t="s">
        <v>8830</v>
      </c>
      <c r="E997" s="33" t="s">
        <v>8831</v>
      </c>
      <c r="F997" s="123" t="s">
        <v>8832</v>
      </c>
      <c r="G997" s="123" t="s">
        <v>247</v>
      </c>
      <c r="H997" s="123">
        <v>4400.0</v>
      </c>
      <c r="I997" s="33" t="s">
        <v>512</v>
      </c>
      <c r="J997" s="33" t="s">
        <v>513</v>
      </c>
      <c r="K997" s="33">
        <v>6.0</v>
      </c>
      <c r="L997" s="124" t="s">
        <v>8833</v>
      </c>
      <c r="M997" s="34"/>
    </row>
    <row r="998" hidden="1">
      <c r="A998" s="33" t="s">
        <v>8829</v>
      </c>
      <c r="B998" s="122">
        <v>45820.0</v>
      </c>
      <c r="C998" s="33">
        <v>8.07000031603E11</v>
      </c>
      <c r="D998" s="33" t="s">
        <v>8830</v>
      </c>
      <c r="E998" s="33" t="s">
        <v>8831</v>
      </c>
      <c r="F998" s="123" t="s">
        <v>8832</v>
      </c>
      <c r="G998" s="123" t="s">
        <v>247</v>
      </c>
      <c r="H998" s="123">
        <v>4400.0</v>
      </c>
      <c r="I998" s="33" t="s">
        <v>659</v>
      </c>
      <c r="J998" s="33" t="s">
        <v>3468</v>
      </c>
      <c r="K998" s="33">
        <v>1.0</v>
      </c>
      <c r="L998" s="124" t="s">
        <v>8833</v>
      </c>
      <c r="M998" s="34"/>
    </row>
    <row r="999" hidden="1">
      <c r="A999" s="33" t="s">
        <v>8829</v>
      </c>
      <c r="B999" s="122">
        <v>45820.0</v>
      </c>
      <c r="C999" s="33">
        <v>8.07000031603E11</v>
      </c>
      <c r="D999" s="33" t="s">
        <v>8830</v>
      </c>
      <c r="E999" s="33" t="s">
        <v>8831</v>
      </c>
      <c r="F999" s="123" t="s">
        <v>8832</v>
      </c>
      <c r="G999" s="123" t="s">
        <v>247</v>
      </c>
      <c r="H999" s="123">
        <v>4400.0</v>
      </c>
      <c r="I999" s="33" t="s">
        <v>35</v>
      </c>
      <c r="J999" s="33" t="s">
        <v>3188</v>
      </c>
      <c r="K999" s="33">
        <v>1.0</v>
      </c>
      <c r="L999" s="124" t="s">
        <v>8833</v>
      </c>
      <c r="M999" s="34"/>
    </row>
    <row r="1000" hidden="1">
      <c r="A1000" s="33" t="s">
        <v>8834</v>
      </c>
      <c r="B1000" s="122">
        <v>45821.0</v>
      </c>
      <c r="C1000" s="33">
        <v>8.07000031609E11</v>
      </c>
      <c r="D1000" s="33" t="s">
        <v>8835</v>
      </c>
      <c r="E1000" s="33" t="s">
        <v>8836</v>
      </c>
      <c r="F1000" s="123" t="s">
        <v>8837</v>
      </c>
      <c r="G1000" s="123" t="s">
        <v>247</v>
      </c>
      <c r="H1000" s="123">
        <v>4400.0</v>
      </c>
      <c r="I1000" s="33" t="s">
        <v>512</v>
      </c>
      <c r="J1000" s="33" t="s">
        <v>513</v>
      </c>
      <c r="K1000" s="33">
        <v>12.0</v>
      </c>
      <c r="L1000" s="124" t="s">
        <v>8838</v>
      </c>
      <c r="M1000" s="34"/>
    </row>
    <row r="1001" hidden="1">
      <c r="A1001" s="33" t="s">
        <v>8834</v>
      </c>
      <c r="B1001" s="122">
        <v>45821.0</v>
      </c>
      <c r="C1001" s="33">
        <v>8.0700003161E11</v>
      </c>
      <c r="D1001" s="33" t="s">
        <v>8835</v>
      </c>
      <c r="E1001" s="33" t="s">
        <v>8836</v>
      </c>
      <c r="F1001" s="123" t="s">
        <v>8837</v>
      </c>
      <c r="G1001" s="123" t="s">
        <v>247</v>
      </c>
      <c r="H1001" s="123">
        <v>4400.0</v>
      </c>
      <c r="I1001" s="33" t="s">
        <v>6343</v>
      </c>
      <c r="J1001" s="33" t="s">
        <v>6435</v>
      </c>
      <c r="K1001" s="33">
        <v>1.0</v>
      </c>
      <c r="L1001" s="124" t="s">
        <v>8838</v>
      </c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</row>
    <row r="1002" hidden="1">
      <c r="A1002" s="33" t="s">
        <v>8834</v>
      </c>
      <c r="B1002" s="122">
        <v>45821.0</v>
      </c>
      <c r="C1002" s="33">
        <v>8.0700003161E11</v>
      </c>
      <c r="D1002" s="33" t="s">
        <v>8835</v>
      </c>
      <c r="E1002" s="33" t="s">
        <v>8836</v>
      </c>
      <c r="F1002" s="123" t="s">
        <v>8837</v>
      </c>
      <c r="G1002" s="123" t="s">
        <v>247</v>
      </c>
      <c r="H1002" s="123">
        <v>4400.0</v>
      </c>
      <c r="I1002" s="33" t="s">
        <v>233</v>
      </c>
      <c r="J1002" s="33" t="s">
        <v>3459</v>
      </c>
      <c r="K1002" s="33">
        <v>2.0</v>
      </c>
      <c r="L1002" s="124" t="s">
        <v>8838</v>
      </c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</row>
    <row r="1003" hidden="1">
      <c r="A1003" s="33" t="s">
        <v>8839</v>
      </c>
      <c r="B1003" s="122">
        <v>45821.0</v>
      </c>
      <c r="C1003" s="33">
        <v>8.07000031604E11</v>
      </c>
      <c r="D1003" s="33" t="s">
        <v>8840</v>
      </c>
      <c r="E1003" s="33" t="s">
        <v>8841</v>
      </c>
      <c r="F1003" s="123" t="s">
        <v>8842</v>
      </c>
      <c r="G1003" s="123" t="s">
        <v>1038</v>
      </c>
      <c r="H1003" s="123">
        <v>4400.0</v>
      </c>
      <c r="I1003" s="33">
        <v>125811.0</v>
      </c>
      <c r="J1003" s="33" t="s">
        <v>6073</v>
      </c>
      <c r="K1003" s="33">
        <v>2.0</v>
      </c>
      <c r="L1003" s="124" t="s">
        <v>8843</v>
      </c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</row>
    <row r="1004" hidden="1">
      <c r="A1004" s="33" t="s">
        <v>8844</v>
      </c>
      <c r="B1004" s="122">
        <v>45821.0</v>
      </c>
      <c r="C1004" s="33">
        <v>8.07000031605E11</v>
      </c>
      <c r="D1004" s="33" t="s">
        <v>8840</v>
      </c>
      <c r="E1004" s="33" t="s">
        <v>8841</v>
      </c>
      <c r="F1004" s="123" t="s">
        <v>8842</v>
      </c>
      <c r="G1004" s="123" t="s">
        <v>1038</v>
      </c>
      <c r="H1004" s="123">
        <v>4400.0</v>
      </c>
      <c r="I1004" s="33" t="s">
        <v>2956</v>
      </c>
      <c r="J1004" s="33" t="s">
        <v>3327</v>
      </c>
      <c r="K1004" s="33">
        <v>1.0</v>
      </c>
      <c r="L1004" s="124" t="s">
        <v>8843</v>
      </c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</row>
    <row r="1005" hidden="1">
      <c r="A1005" s="33" t="s">
        <v>8844</v>
      </c>
      <c r="B1005" s="122">
        <v>45821.0</v>
      </c>
      <c r="C1005" s="33">
        <v>8.07000031606E11</v>
      </c>
      <c r="D1005" s="33" t="s">
        <v>8840</v>
      </c>
      <c r="E1005" s="33" t="s">
        <v>8841</v>
      </c>
      <c r="F1005" s="123" t="s">
        <v>8842</v>
      </c>
      <c r="G1005" s="123" t="s">
        <v>1038</v>
      </c>
      <c r="H1005" s="123">
        <v>4400.0</v>
      </c>
      <c r="I1005" s="33" t="s">
        <v>35</v>
      </c>
      <c r="J1005" s="33" t="s">
        <v>3188</v>
      </c>
      <c r="K1005" s="33">
        <v>1.0</v>
      </c>
      <c r="L1005" s="124" t="s">
        <v>8843</v>
      </c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</row>
    <row r="1006" hidden="1">
      <c r="A1006" s="33" t="s">
        <v>8845</v>
      </c>
      <c r="B1006" s="122">
        <v>45821.0</v>
      </c>
      <c r="C1006" s="33">
        <v>8.07000031628E11</v>
      </c>
      <c r="D1006" s="33" t="s">
        <v>8846</v>
      </c>
      <c r="E1006" s="33" t="s">
        <v>8847</v>
      </c>
      <c r="F1006" s="123" t="s">
        <v>8848</v>
      </c>
      <c r="G1006" s="123" t="s">
        <v>8670</v>
      </c>
      <c r="H1006" s="123">
        <v>4430.0</v>
      </c>
      <c r="I1006" s="33" t="s">
        <v>8763</v>
      </c>
      <c r="J1006" s="33" t="s">
        <v>8764</v>
      </c>
      <c r="K1006" s="33">
        <v>1.0</v>
      </c>
      <c r="L1006" s="124" t="s">
        <v>8849</v>
      </c>
      <c r="M1006" s="34"/>
    </row>
    <row r="1007" hidden="1">
      <c r="A1007" s="33" t="s">
        <v>8845</v>
      </c>
      <c r="B1007" s="122">
        <v>45821.0</v>
      </c>
      <c r="C1007" s="33">
        <v>8.07000031628E11</v>
      </c>
      <c r="D1007" s="33" t="s">
        <v>8846</v>
      </c>
      <c r="E1007" s="33" t="s">
        <v>8847</v>
      </c>
      <c r="F1007" s="123" t="s">
        <v>8848</v>
      </c>
      <c r="G1007" s="123" t="s">
        <v>8670</v>
      </c>
      <c r="H1007" s="123">
        <v>4430.0</v>
      </c>
      <c r="I1007" s="33" t="s">
        <v>512</v>
      </c>
      <c r="J1007" s="33" t="s">
        <v>513</v>
      </c>
      <c r="K1007" s="33">
        <v>12.0</v>
      </c>
      <c r="L1007" s="124" t="s">
        <v>8849</v>
      </c>
      <c r="M1007" s="34"/>
    </row>
    <row r="1008" hidden="1">
      <c r="A1008" s="33" t="s">
        <v>8845</v>
      </c>
      <c r="B1008" s="122">
        <v>45821.0</v>
      </c>
      <c r="C1008" s="33">
        <v>8.07000031629E11</v>
      </c>
      <c r="D1008" s="33" t="s">
        <v>8846</v>
      </c>
      <c r="E1008" s="33" t="s">
        <v>8847</v>
      </c>
      <c r="F1008" s="123" t="s">
        <v>8848</v>
      </c>
      <c r="G1008" s="123" t="s">
        <v>8670</v>
      </c>
      <c r="H1008" s="123">
        <v>4430.0</v>
      </c>
      <c r="I1008" s="33" t="s">
        <v>233</v>
      </c>
      <c r="J1008" s="33" t="s">
        <v>3459</v>
      </c>
      <c r="K1008" s="33">
        <v>2.0</v>
      </c>
      <c r="L1008" s="124" t="s">
        <v>8849</v>
      </c>
      <c r="M1008" s="34"/>
    </row>
    <row r="1009" hidden="1">
      <c r="A1009" s="33" t="s">
        <v>8850</v>
      </c>
      <c r="B1009" s="122">
        <v>45824.0</v>
      </c>
      <c r="C1009" s="33">
        <v>8.07000031646E11</v>
      </c>
      <c r="D1009" s="33" t="s">
        <v>8851</v>
      </c>
      <c r="E1009" s="33" t="s">
        <v>8852</v>
      </c>
      <c r="F1009" s="123" t="s">
        <v>8853</v>
      </c>
      <c r="G1009" s="123" t="s">
        <v>247</v>
      </c>
      <c r="H1009" s="123">
        <v>4400.0</v>
      </c>
      <c r="I1009" s="33" t="s">
        <v>3131</v>
      </c>
      <c r="J1009" s="33" t="s">
        <v>3416</v>
      </c>
      <c r="K1009" s="33">
        <v>1.0</v>
      </c>
      <c r="L1009" s="124" t="s">
        <v>8854</v>
      </c>
      <c r="M1009" s="34"/>
    </row>
    <row r="1010" hidden="1">
      <c r="A1010" s="33" t="s">
        <v>8850</v>
      </c>
      <c r="B1010" s="122">
        <v>45824.0</v>
      </c>
      <c r="C1010" s="33">
        <v>8.07000031646E11</v>
      </c>
      <c r="D1010" s="33" t="s">
        <v>8851</v>
      </c>
      <c r="E1010" s="33" t="s">
        <v>8852</v>
      </c>
      <c r="F1010" s="123" t="s">
        <v>8853</v>
      </c>
      <c r="G1010" s="123" t="s">
        <v>247</v>
      </c>
      <c r="H1010" s="123">
        <v>4400.0</v>
      </c>
      <c r="I1010" s="33" t="s">
        <v>512</v>
      </c>
      <c r="J1010" s="33" t="s">
        <v>513</v>
      </c>
      <c r="K1010" s="33">
        <v>6.0</v>
      </c>
      <c r="L1010" s="124" t="s">
        <v>8854</v>
      </c>
      <c r="M1010" s="34"/>
    </row>
    <row r="1011" hidden="1">
      <c r="A1011" s="33" t="s">
        <v>8850</v>
      </c>
      <c r="B1011" s="122">
        <v>45824.0</v>
      </c>
      <c r="C1011" s="33">
        <v>8.07000031646E11</v>
      </c>
      <c r="D1011" s="33" t="s">
        <v>8851</v>
      </c>
      <c r="E1011" s="33" t="s">
        <v>8852</v>
      </c>
      <c r="F1011" s="123" t="s">
        <v>8853</v>
      </c>
      <c r="G1011" s="123" t="s">
        <v>247</v>
      </c>
      <c r="H1011" s="123">
        <v>4400.0</v>
      </c>
      <c r="I1011" s="33" t="s">
        <v>35</v>
      </c>
      <c r="J1011" s="33" t="s">
        <v>3188</v>
      </c>
      <c r="K1011" s="33">
        <v>1.0</v>
      </c>
      <c r="L1011" s="124" t="s">
        <v>8854</v>
      </c>
      <c r="M1011" s="34"/>
    </row>
    <row r="1012" hidden="1">
      <c r="A1012" s="33" t="s">
        <v>8855</v>
      </c>
      <c r="B1012" s="122">
        <v>45824.0</v>
      </c>
      <c r="C1012" s="33">
        <v>8.07000031658E11</v>
      </c>
      <c r="D1012" s="33" t="s">
        <v>8856</v>
      </c>
      <c r="E1012" s="33" t="s">
        <v>8857</v>
      </c>
      <c r="F1012" s="123" t="s">
        <v>8858</v>
      </c>
      <c r="G1012" s="123" t="s">
        <v>247</v>
      </c>
      <c r="H1012" s="123">
        <v>4400.0</v>
      </c>
      <c r="I1012" s="33" t="s">
        <v>3360</v>
      </c>
      <c r="J1012" s="33" t="s">
        <v>3361</v>
      </c>
      <c r="K1012" s="33">
        <v>1.0</v>
      </c>
      <c r="L1012" s="124" t="s">
        <v>8859</v>
      </c>
      <c r="M1012" s="34"/>
    </row>
    <row r="1013" hidden="1">
      <c r="A1013" s="33" t="s">
        <v>8855</v>
      </c>
      <c r="B1013" s="122">
        <v>45824.0</v>
      </c>
      <c r="C1013" s="33">
        <v>8.07000031658E11</v>
      </c>
      <c r="D1013" s="33" t="s">
        <v>8856</v>
      </c>
      <c r="E1013" s="33" t="s">
        <v>8857</v>
      </c>
      <c r="F1013" s="123" t="s">
        <v>8858</v>
      </c>
      <c r="G1013" s="123" t="s">
        <v>247</v>
      </c>
      <c r="H1013" s="123">
        <v>4400.0</v>
      </c>
      <c r="I1013" s="33" t="s">
        <v>512</v>
      </c>
      <c r="J1013" s="33" t="s">
        <v>513</v>
      </c>
      <c r="K1013" s="33">
        <v>12.0</v>
      </c>
      <c r="L1013" s="124" t="s">
        <v>8859</v>
      </c>
      <c r="M1013" s="34"/>
    </row>
    <row r="1014" hidden="1">
      <c r="A1014" s="33" t="s">
        <v>8855</v>
      </c>
      <c r="B1014" s="122">
        <v>45824.0</v>
      </c>
      <c r="C1014" s="33">
        <v>8.07000031658E11</v>
      </c>
      <c r="D1014" s="33" t="s">
        <v>8856</v>
      </c>
      <c r="E1014" s="33" t="s">
        <v>8857</v>
      </c>
      <c r="F1014" s="123" t="s">
        <v>8858</v>
      </c>
      <c r="G1014" s="123" t="s">
        <v>247</v>
      </c>
      <c r="H1014" s="123">
        <v>4400.0</v>
      </c>
      <c r="I1014" s="33" t="s">
        <v>772</v>
      </c>
      <c r="J1014" s="33" t="s">
        <v>3363</v>
      </c>
      <c r="K1014" s="33">
        <v>2.0</v>
      </c>
      <c r="L1014" s="124" t="s">
        <v>8859</v>
      </c>
      <c r="M1014" s="34"/>
    </row>
    <row r="1015" hidden="1">
      <c r="A1015" s="33" t="s">
        <v>8860</v>
      </c>
      <c r="B1015" s="122">
        <v>45824.0</v>
      </c>
      <c r="C1015" s="33">
        <v>8.07000031632E11</v>
      </c>
      <c r="D1015" s="33" t="s">
        <v>8861</v>
      </c>
      <c r="E1015" s="33" t="s">
        <v>8862</v>
      </c>
      <c r="F1015" s="123" t="s">
        <v>8863</v>
      </c>
      <c r="G1015" s="123" t="s">
        <v>247</v>
      </c>
      <c r="H1015" s="123">
        <v>4400.0</v>
      </c>
      <c r="I1015" s="33" t="s">
        <v>512</v>
      </c>
      <c r="J1015" s="33" t="s">
        <v>513</v>
      </c>
      <c r="K1015" s="33">
        <v>6.0</v>
      </c>
      <c r="L1015" s="124" t="s">
        <v>8864</v>
      </c>
      <c r="M1015" s="34"/>
    </row>
    <row r="1016" hidden="1">
      <c r="A1016" s="33" t="s">
        <v>8860</v>
      </c>
      <c r="B1016" s="122">
        <v>45824.0</v>
      </c>
      <c r="C1016" s="33">
        <v>8.07000031633E11</v>
      </c>
      <c r="D1016" s="33" t="s">
        <v>8861</v>
      </c>
      <c r="E1016" s="33" t="s">
        <v>8862</v>
      </c>
      <c r="F1016" s="123" t="s">
        <v>8865</v>
      </c>
      <c r="G1016" s="123" t="s">
        <v>247</v>
      </c>
      <c r="H1016" s="123">
        <v>4400.0</v>
      </c>
      <c r="I1016" s="33">
        <v>125818.0</v>
      </c>
      <c r="J1016" s="33" t="s">
        <v>4334</v>
      </c>
      <c r="K1016" s="33">
        <v>2.0</v>
      </c>
      <c r="L1016" s="124" t="s">
        <v>8864</v>
      </c>
      <c r="M1016" s="34"/>
    </row>
    <row r="1017" hidden="1">
      <c r="A1017" s="33" t="s">
        <v>8866</v>
      </c>
      <c r="B1017" s="122">
        <v>45824.0</v>
      </c>
      <c r="C1017" s="33">
        <v>8.07000031635E11</v>
      </c>
      <c r="D1017" s="33" t="s">
        <v>8861</v>
      </c>
      <c r="E1017" s="33" t="s">
        <v>8862</v>
      </c>
      <c r="F1017" s="123" t="s">
        <v>8863</v>
      </c>
      <c r="G1017" s="123" t="s">
        <v>247</v>
      </c>
      <c r="H1017" s="123">
        <v>4400.0</v>
      </c>
      <c r="I1017" s="33" t="s">
        <v>3131</v>
      </c>
      <c r="J1017" s="33" t="s">
        <v>3416</v>
      </c>
      <c r="K1017" s="33">
        <v>1.0</v>
      </c>
      <c r="L1017" s="124" t="s">
        <v>8864</v>
      </c>
      <c r="M1017" s="34"/>
    </row>
    <row r="1018" hidden="1">
      <c r="A1018" s="33" t="s">
        <v>8866</v>
      </c>
      <c r="B1018" s="122">
        <v>45824.0</v>
      </c>
      <c r="C1018" s="33">
        <v>8.07000031636E11</v>
      </c>
      <c r="D1018" s="33" t="s">
        <v>8861</v>
      </c>
      <c r="E1018" s="33" t="s">
        <v>8862</v>
      </c>
      <c r="F1018" s="123" t="s">
        <v>8863</v>
      </c>
      <c r="G1018" s="123" t="s">
        <v>247</v>
      </c>
      <c r="H1018" s="123">
        <v>4400.0</v>
      </c>
      <c r="I1018" s="33" t="s">
        <v>35</v>
      </c>
      <c r="J1018" s="33" t="s">
        <v>3188</v>
      </c>
      <c r="K1018" s="33">
        <v>1.0</v>
      </c>
      <c r="L1018" s="124" t="s">
        <v>8864</v>
      </c>
      <c r="M1018" s="34"/>
    </row>
    <row r="1019" hidden="1">
      <c r="A1019" s="33" t="s">
        <v>8867</v>
      </c>
      <c r="B1019" s="122">
        <v>45824.0</v>
      </c>
      <c r="C1019" s="33">
        <v>8.07000031647E11</v>
      </c>
      <c r="D1019" s="33" t="s">
        <v>8868</v>
      </c>
      <c r="E1019" s="33" t="s">
        <v>8869</v>
      </c>
      <c r="F1019" s="123" t="s">
        <v>8870</v>
      </c>
      <c r="G1019" s="123" t="s">
        <v>247</v>
      </c>
      <c r="H1019" s="123">
        <v>4400.0</v>
      </c>
      <c r="I1019" s="33" t="s">
        <v>659</v>
      </c>
      <c r="J1019" s="33" t="s">
        <v>3468</v>
      </c>
      <c r="K1019" s="33">
        <v>1.0</v>
      </c>
      <c r="L1019" s="124" t="s">
        <v>8871</v>
      </c>
      <c r="M1019" s="34"/>
    </row>
    <row r="1020" hidden="1">
      <c r="A1020" s="33" t="s">
        <v>8867</v>
      </c>
      <c r="B1020" s="122">
        <v>45824.0</v>
      </c>
      <c r="C1020" s="33">
        <v>8.07000031647E11</v>
      </c>
      <c r="D1020" s="33" t="s">
        <v>8868</v>
      </c>
      <c r="E1020" s="33" t="s">
        <v>8869</v>
      </c>
      <c r="F1020" s="123" t="s">
        <v>8870</v>
      </c>
      <c r="G1020" s="123" t="s">
        <v>247</v>
      </c>
      <c r="H1020" s="123">
        <v>4400.0</v>
      </c>
      <c r="I1020" s="33" t="s">
        <v>512</v>
      </c>
      <c r="J1020" s="33" t="s">
        <v>513</v>
      </c>
      <c r="K1020" s="33">
        <v>6.0</v>
      </c>
      <c r="L1020" s="124" t="s">
        <v>8871</v>
      </c>
      <c r="M1020" s="34"/>
    </row>
    <row r="1021" hidden="1">
      <c r="A1021" s="33" t="s">
        <v>8867</v>
      </c>
      <c r="B1021" s="122">
        <v>45824.0</v>
      </c>
      <c r="C1021" s="33">
        <v>8.07000031647E11</v>
      </c>
      <c r="D1021" s="33" t="s">
        <v>8868</v>
      </c>
      <c r="E1021" s="33" t="s">
        <v>8869</v>
      </c>
      <c r="F1021" s="123" t="s">
        <v>8870</v>
      </c>
      <c r="G1021" s="123" t="s">
        <v>247</v>
      </c>
      <c r="H1021" s="123">
        <v>4400.0</v>
      </c>
      <c r="I1021" s="33" t="s">
        <v>35</v>
      </c>
      <c r="J1021" s="33" t="s">
        <v>3188</v>
      </c>
      <c r="K1021" s="33">
        <v>1.0</v>
      </c>
      <c r="L1021" s="124" t="s">
        <v>8871</v>
      </c>
      <c r="M1021" s="34"/>
    </row>
    <row r="1022" hidden="1">
      <c r="A1022" s="33" t="s">
        <v>8872</v>
      </c>
      <c r="B1022" s="122">
        <v>45824.0</v>
      </c>
      <c r="C1022" s="33">
        <v>8.07000031648E11</v>
      </c>
      <c r="D1022" s="33" t="s">
        <v>8873</v>
      </c>
      <c r="E1022" s="33" t="s">
        <v>8874</v>
      </c>
      <c r="F1022" s="123" t="s">
        <v>8875</v>
      </c>
      <c r="G1022" s="123" t="s">
        <v>247</v>
      </c>
      <c r="H1022" s="123">
        <v>4400.0</v>
      </c>
      <c r="I1022" s="33" t="s">
        <v>4512</v>
      </c>
      <c r="J1022" s="33" t="s">
        <v>4513</v>
      </c>
      <c r="K1022" s="33">
        <v>1.0</v>
      </c>
      <c r="L1022" s="124" t="s">
        <v>8876</v>
      </c>
      <c r="M1022" s="34"/>
    </row>
    <row r="1023" hidden="1">
      <c r="A1023" s="33" t="s">
        <v>8877</v>
      </c>
      <c r="B1023" s="122">
        <v>45824.0</v>
      </c>
      <c r="C1023" s="33">
        <v>8.07000031653E11</v>
      </c>
      <c r="D1023" s="33" t="s">
        <v>4245</v>
      </c>
      <c r="E1023" s="33" t="s">
        <v>4246</v>
      </c>
      <c r="F1023" s="123" t="s">
        <v>8878</v>
      </c>
      <c r="G1023" s="123" t="s">
        <v>247</v>
      </c>
      <c r="H1023" s="123">
        <v>4400.0</v>
      </c>
      <c r="I1023" s="33" t="s">
        <v>22</v>
      </c>
      <c r="J1023" s="33" t="s">
        <v>4013</v>
      </c>
      <c r="K1023" s="33">
        <v>1.0</v>
      </c>
      <c r="L1023" s="124" t="s">
        <v>8879</v>
      </c>
      <c r="M1023" s="34"/>
    </row>
    <row r="1024" hidden="1">
      <c r="A1024" s="33" t="s">
        <v>8877</v>
      </c>
      <c r="B1024" s="122">
        <v>45824.0</v>
      </c>
      <c r="C1024" s="33">
        <v>8.07000031653E11</v>
      </c>
      <c r="D1024" s="33" t="s">
        <v>4245</v>
      </c>
      <c r="E1024" s="33" t="s">
        <v>4246</v>
      </c>
      <c r="F1024" s="123" t="s">
        <v>8878</v>
      </c>
      <c r="G1024" s="123" t="s">
        <v>247</v>
      </c>
      <c r="H1024" s="123">
        <v>4400.0</v>
      </c>
      <c r="I1024" s="33" t="s">
        <v>512</v>
      </c>
      <c r="J1024" s="33" t="s">
        <v>513</v>
      </c>
      <c r="K1024" s="33">
        <v>6.0</v>
      </c>
      <c r="L1024" s="124" t="s">
        <v>8879</v>
      </c>
      <c r="M1024" s="34"/>
    </row>
    <row r="1025" hidden="1">
      <c r="A1025" s="33" t="s">
        <v>8877</v>
      </c>
      <c r="B1025" s="122">
        <v>45824.0</v>
      </c>
      <c r="C1025" s="33">
        <v>8.07000031653E11</v>
      </c>
      <c r="D1025" s="33" t="s">
        <v>4245</v>
      </c>
      <c r="E1025" s="33" t="s">
        <v>4246</v>
      </c>
      <c r="F1025" s="123" t="s">
        <v>8878</v>
      </c>
      <c r="G1025" s="123" t="s">
        <v>247</v>
      </c>
      <c r="H1025" s="123">
        <v>4400.0</v>
      </c>
      <c r="I1025" s="33" t="s">
        <v>25</v>
      </c>
      <c r="J1025" s="33" t="s">
        <v>3401</v>
      </c>
      <c r="K1025" s="33">
        <v>1.0</v>
      </c>
      <c r="L1025" s="124" t="s">
        <v>8879</v>
      </c>
      <c r="M1025" s="34"/>
    </row>
    <row r="1026" hidden="1">
      <c r="A1026" s="33" t="s">
        <v>8880</v>
      </c>
      <c r="B1026" s="122">
        <v>45824.0</v>
      </c>
      <c r="C1026" s="33">
        <v>8.07000031673E11</v>
      </c>
      <c r="D1026" s="33" t="s">
        <v>8881</v>
      </c>
      <c r="E1026" s="33" t="s">
        <v>8882</v>
      </c>
      <c r="F1026" s="123" t="s">
        <v>8883</v>
      </c>
      <c r="G1026" s="123" t="s">
        <v>1038</v>
      </c>
      <c r="H1026" s="123">
        <v>4400.0</v>
      </c>
      <c r="I1026" s="33" t="s">
        <v>344</v>
      </c>
      <c r="J1026" s="33" t="s">
        <v>8884</v>
      </c>
      <c r="K1026" s="33">
        <v>1.0</v>
      </c>
      <c r="L1026" s="124" t="s">
        <v>8885</v>
      </c>
      <c r="M1026" s="34"/>
    </row>
    <row r="1027" hidden="1">
      <c r="A1027" s="33" t="s">
        <v>8886</v>
      </c>
      <c r="B1027" s="122">
        <v>45825.0</v>
      </c>
      <c r="C1027" s="33">
        <v>8.07000031681E11</v>
      </c>
      <c r="D1027" s="33" t="s">
        <v>8887</v>
      </c>
      <c r="E1027" s="33" t="s">
        <v>8888</v>
      </c>
      <c r="F1027" s="123" t="s">
        <v>8889</v>
      </c>
      <c r="G1027" s="123" t="s">
        <v>247</v>
      </c>
      <c r="H1027" s="123">
        <v>4400.0</v>
      </c>
      <c r="I1027" s="33">
        <v>87601.0</v>
      </c>
      <c r="J1027" s="33" t="s">
        <v>8890</v>
      </c>
      <c r="K1027" s="33">
        <v>1.0</v>
      </c>
      <c r="L1027" s="124" t="s">
        <v>8891</v>
      </c>
      <c r="M1027" s="34"/>
    </row>
    <row r="1028" hidden="1">
      <c r="A1028" s="33" t="s">
        <v>8886</v>
      </c>
      <c r="B1028" s="122">
        <v>45825.0</v>
      </c>
      <c r="C1028" s="33">
        <v>8.07000031682E11</v>
      </c>
      <c r="D1028" s="33" t="s">
        <v>8887</v>
      </c>
      <c r="E1028" s="33" t="s">
        <v>8888</v>
      </c>
      <c r="F1028" s="123" t="s">
        <v>8889</v>
      </c>
      <c r="G1028" s="123" t="s">
        <v>247</v>
      </c>
      <c r="H1028" s="123">
        <v>4400.0</v>
      </c>
      <c r="I1028" s="33">
        <v>139001.0</v>
      </c>
      <c r="J1028" s="33" t="s">
        <v>8892</v>
      </c>
      <c r="K1028" s="33">
        <v>1.0</v>
      </c>
      <c r="L1028" s="124" t="s">
        <v>8891</v>
      </c>
      <c r="M1028" s="34"/>
    </row>
    <row r="1029" hidden="1">
      <c r="A1029" s="33" t="s">
        <v>8893</v>
      </c>
      <c r="B1029" s="122">
        <v>45825.0</v>
      </c>
      <c r="C1029" s="33">
        <v>8.07000031683E11</v>
      </c>
      <c r="D1029" s="33" t="s">
        <v>8894</v>
      </c>
      <c r="E1029" s="33" t="s">
        <v>8895</v>
      </c>
      <c r="F1029" s="123" t="s">
        <v>8896</v>
      </c>
      <c r="G1029" s="123" t="s">
        <v>247</v>
      </c>
      <c r="H1029" s="123">
        <v>4400.0</v>
      </c>
      <c r="I1029" s="33">
        <v>125818.0</v>
      </c>
      <c r="J1029" s="33" t="s">
        <v>4334</v>
      </c>
      <c r="K1029" s="33">
        <v>1.0</v>
      </c>
      <c r="L1029" s="124" t="s">
        <v>8897</v>
      </c>
      <c r="M1029" s="34"/>
    </row>
    <row r="1030" hidden="1">
      <c r="A1030" s="33" t="s">
        <v>8893</v>
      </c>
      <c r="B1030" s="122">
        <v>45825.0</v>
      </c>
      <c r="C1030" s="33">
        <v>8.07000031683E11</v>
      </c>
      <c r="D1030" s="33" t="s">
        <v>8894</v>
      </c>
      <c r="E1030" s="33" t="s">
        <v>8895</v>
      </c>
      <c r="F1030" s="123" t="s">
        <v>8896</v>
      </c>
      <c r="G1030" s="123" t="s">
        <v>247</v>
      </c>
      <c r="H1030" s="123">
        <v>4400.0</v>
      </c>
      <c r="I1030" s="33" t="s">
        <v>512</v>
      </c>
      <c r="J1030" s="33" t="s">
        <v>513</v>
      </c>
      <c r="K1030" s="33">
        <v>6.0</v>
      </c>
      <c r="L1030" s="124" t="s">
        <v>8897</v>
      </c>
      <c r="M1030" s="34"/>
    </row>
    <row r="1031" hidden="1">
      <c r="A1031" s="33" t="s">
        <v>8893</v>
      </c>
      <c r="B1031" s="122">
        <v>45825.0</v>
      </c>
      <c r="C1031" s="33">
        <v>8.07000031684E11</v>
      </c>
      <c r="D1031" s="33" t="s">
        <v>8894</v>
      </c>
      <c r="E1031" s="33" t="s">
        <v>8895</v>
      </c>
      <c r="F1031" s="123" t="s">
        <v>8896</v>
      </c>
      <c r="G1031" s="123" t="s">
        <v>247</v>
      </c>
      <c r="H1031" s="123">
        <v>4400.0</v>
      </c>
      <c r="I1031" s="33" t="s">
        <v>3162</v>
      </c>
      <c r="J1031" s="33" t="s">
        <v>3885</v>
      </c>
      <c r="K1031" s="33">
        <v>1.0</v>
      </c>
      <c r="L1031" s="124" t="s">
        <v>8897</v>
      </c>
      <c r="M1031" s="34"/>
    </row>
    <row r="1032" hidden="1">
      <c r="A1032" s="33" t="s">
        <v>8893</v>
      </c>
      <c r="B1032" s="122">
        <v>45825.0</v>
      </c>
      <c r="C1032" s="33">
        <v>8.07000031684E11</v>
      </c>
      <c r="D1032" s="33" t="s">
        <v>8894</v>
      </c>
      <c r="E1032" s="33" t="s">
        <v>8895</v>
      </c>
      <c r="F1032" s="123" t="s">
        <v>8896</v>
      </c>
      <c r="G1032" s="123" t="s">
        <v>247</v>
      </c>
      <c r="H1032" s="123">
        <v>4400.0</v>
      </c>
      <c r="I1032" s="33" t="s">
        <v>2031</v>
      </c>
      <c r="J1032" s="33" t="s">
        <v>3348</v>
      </c>
      <c r="K1032" s="33">
        <v>1.0</v>
      </c>
      <c r="L1032" s="124" t="s">
        <v>8897</v>
      </c>
      <c r="M1032" s="34"/>
    </row>
    <row r="1033" hidden="1">
      <c r="A1033" s="33" t="s">
        <v>8898</v>
      </c>
      <c r="B1033" s="122">
        <v>45825.0</v>
      </c>
      <c r="C1033" s="33">
        <v>8.0700003168E11</v>
      </c>
      <c r="D1033" s="33" t="s">
        <v>8899</v>
      </c>
      <c r="E1033" s="33" t="s">
        <v>8900</v>
      </c>
      <c r="F1033" s="123" t="s">
        <v>8901</v>
      </c>
      <c r="G1033" s="123" t="s">
        <v>8902</v>
      </c>
      <c r="H1033" s="123">
        <v>4421.0</v>
      </c>
      <c r="I1033" s="33" t="s">
        <v>1457</v>
      </c>
      <c r="J1033" s="33" t="s">
        <v>1458</v>
      </c>
      <c r="K1033" s="33">
        <v>1.0</v>
      </c>
      <c r="L1033" s="124" t="s">
        <v>8903</v>
      </c>
      <c r="M1033" s="34"/>
    </row>
    <row r="1034" hidden="1">
      <c r="A1034" s="33" t="s">
        <v>8898</v>
      </c>
      <c r="B1034" s="122">
        <v>45825.0</v>
      </c>
      <c r="C1034" s="33">
        <v>8.07000031679E11</v>
      </c>
      <c r="D1034" s="33" t="s">
        <v>8899</v>
      </c>
      <c r="E1034" s="33" t="s">
        <v>8900</v>
      </c>
      <c r="F1034" s="123" t="s">
        <v>8901</v>
      </c>
      <c r="G1034" s="123" t="s">
        <v>8902</v>
      </c>
      <c r="H1034" s="123">
        <v>4421.0</v>
      </c>
      <c r="I1034" s="33" t="s">
        <v>8532</v>
      </c>
      <c r="J1034" s="33" t="s">
        <v>8533</v>
      </c>
      <c r="K1034" s="33">
        <v>1.0</v>
      </c>
      <c r="L1034" s="124" t="s">
        <v>8903</v>
      </c>
      <c r="M1034" s="34"/>
    </row>
    <row r="1035" hidden="1">
      <c r="A1035" s="33" t="s">
        <v>8898</v>
      </c>
      <c r="B1035" s="122">
        <v>45825.0</v>
      </c>
      <c r="C1035" s="33">
        <v>8.07000031679E11</v>
      </c>
      <c r="D1035" s="33" t="s">
        <v>8899</v>
      </c>
      <c r="E1035" s="33" t="s">
        <v>8900</v>
      </c>
      <c r="F1035" s="123" t="s">
        <v>8901</v>
      </c>
      <c r="G1035" s="123" t="s">
        <v>8902</v>
      </c>
      <c r="H1035" s="123">
        <v>4421.0</v>
      </c>
      <c r="I1035" s="33" t="s">
        <v>2956</v>
      </c>
      <c r="J1035" s="33" t="s">
        <v>3327</v>
      </c>
      <c r="K1035" s="33">
        <v>2.0</v>
      </c>
      <c r="L1035" s="124" t="s">
        <v>8903</v>
      </c>
      <c r="M1035" s="34"/>
    </row>
    <row r="1036" hidden="1">
      <c r="A1036" s="33" t="s">
        <v>8904</v>
      </c>
      <c r="B1036" s="122">
        <v>45827.0</v>
      </c>
      <c r="C1036" s="33">
        <v>8.07000031693E11</v>
      </c>
      <c r="D1036" s="33" t="s">
        <v>8905</v>
      </c>
      <c r="E1036" s="33" t="s">
        <v>8906</v>
      </c>
      <c r="F1036" s="123" t="s">
        <v>8907</v>
      </c>
      <c r="G1036" s="123" t="s">
        <v>247</v>
      </c>
      <c r="H1036" s="123">
        <v>4400.0</v>
      </c>
      <c r="I1036" s="33" t="s">
        <v>512</v>
      </c>
      <c r="J1036" s="33" t="s">
        <v>513</v>
      </c>
      <c r="K1036" s="33">
        <v>6.0</v>
      </c>
      <c r="L1036" s="124" t="s">
        <v>8908</v>
      </c>
      <c r="M1036" s="34"/>
    </row>
    <row r="1037" hidden="1">
      <c r="A1037" s="33" t="s">
        <v>8904</v>
      </c>
      <c r="B1037" s="122">
        <v>45827.0</v>
      </c>
      <c r="C1037" s="33">
        <v>8.07000031694E11</v>
      </c>
      <c r="D1037" s="33" t="s">
        <v>8905</v>
      </c>
      <c r="E1037" s="33" t="s">
        <v>8906</v>
      </c>
      <c r="F1037" s="123" t="s">
        <v>8907</v>
      </c>
      <c r="G1037" s="123" t="s">
        <v>247</v>
      </c>
      <c r="H1037" s="123">
        <v>4400.0</v>
      </c>
      <c r="I1037" s="33" t="s">
        <v>2171</v>
      </c>
      <c r="J1037" s="33" t="s">
        <v>3446</v>
      </c>
      <c r="K1037" s="33">
        <v>1.0</v>
      </c>
      <c r="L1037" s="124" t="s">
        <v>8908</v>
      </c>
      <c r="M1037" s="34"/>
    </row>
    <row r="1038" hidden="1">
      <c r="A1038" s="33" t="s">
        <v>8904</v>
      </c>
      <c r="B1038" s="122">
        <v>45827.0</v>
      </c>
      <c r="C1038" s="33">
        <v>8.07000031694E11</v>
      </c>
      <c r="D1038" s="33" t="s">
        <v>8905</v>
      </c>
      <c r="E1038" s="33" t="s">
        <v>8906</v>
      </c>
      <c r="F1038" s="123" t="s">
        <v>8907</v>
      </c>
      <c r="G1038" s="123" t="s">
        <v>247</v>
      </c>
      <c r="H1038" s="123">
        <v>4400.0</v>
      </c>
      <c r="I1038" s="33" t="s">
        <v>3447</v>
      </c>
      <c r="J1038" s="33" t="s">
        <v>3448</v>
      </c>
      <c r="K1038" s="33">
        <v>1.0</v>
      </c>
      <c r="L1038" s="124" t="s">
        <v>8908</v>
      </c>
      <c r="M1038" s="34"/>
    </row>
    <row r="1039" hidden="1">
      <c r="A1039" s="33" t="s">
        <v>8909</v>
      </c>
      <c r="B1039" s="122">
        <v>45827.0</v>
      </c>
      <c r="C1039" s="33">
        <v>8.07000031724E11</v>
      </c>
      <c r="D1039" s="33" t="s">
        <v>8910</v>
      </c>
      <c r="E1039" s="33" t="s">
        <v>8911</v>
      </c>
      <c r="F1039" s="123" t="s">
        <v>8912</v>
      </c>
      <c r="G1039" s="123" t="s">
        <v>247</v>
      </c>
      <c r="H1039" s="123">
        <v>4400.0</v>
      </c>
      <c r="I1039" s="33" t="s">
        <v>795</v>
      </c>
      <c r="J1039" s="33" t="s">
        <v>8913</v>
      </c>
      <c r="K1039" s="33">
        <v>1.0</v>
      </c>
      <c r="L1039" s="124" t="s">
        <v>8914</v>
      </c>
      <c r="M1039" s="34"/>
    </row>
    <row r="1040" hidden="1">
      <c r="A1040" s="33" t="s">
        <v>8909</v>
      </c>
      <c r="B1040" s="122">
        <v>45827.0</v>
      </c>
      <c r="C1040" s="33">
        <v>8.07000031724E11</v>
      </c>
      <c r="D1040" s="33" t="s">
        <v>8910</v>
      </c>
      <c r="E1040" s="33" t="s">
        <v>8911</v>
      </c>
      <c r="F1040" s="123" t="s">
        <v>8912</v>
      </c>
      <c r="G1040" s="123" t="s">
        <v>247</v>
      </c>
      <c r="H1040" s="123">
        <v>4400.0</v>
      </c>
      <c r="I1040" s="33" t="s">
        <v>3510</v>
      </c>
      <c r="J1040" s="33" t="s">
        <v>3511</v>
      </c>
      <c r="K1040" s="33">
        <v>1.0</v>
      </c>
      <c r="L1040" s="124" t="s">
        <v>8914</v>
      </c>
      <c r="M1040" s="34"/>
    </row>
    <row r="1041" hidden="1">
      <c r="A1041" s="33" t="s">
        <v>8915</v>
      </c>
      <c r="B1041" s="122">
        <v>45827.0</v>
      </c>
      <c r="C1041" s="33">
        <v>8.07000031717E11</v>
      </c>
      <c r="D1041" s="33" t="s">
        <v>8916</v>
      </c>
      <c r="E1041" s="33" t="s">
        <v>8917</v>
      </c>
      <c r="F1041" s="123" t="s">
        <v>8918</v>
      </c>
      <c r="G1041" s="123" t="s">
        <v>247</v>
      </c>
      <c r="H1041" s="123">
        <v>4400.0</v>
      </c>
      <c r="I1041" s="33">
        <v>125818.0</v>
      </c>
      <c r="J1041" s="33" t="s">
        <v>4334</v>
      </c>
      <c r="K1041" s="33">
        <v>1.0</v>
      </c>
      <c r="L1041" s="124" t="s">
        <v>8919</v>
      </c>
      <c r="M1041" s="34"/>
    </row>
    <row r="1042" hidden="1">
      <c r="A1042" s="33" t="s">
        <v>8915</v>
      </c>
      <c r="B1042" s="122">
        <v>45827.0</v>
      </c>
      <c r="C1042" s="33">
        <v>8.07000031718E11</v>
      </c>
      <c r="D1042" s="33" t="s">
        <v>8916</v>
      </c>
      <c r="E1042" s="33" t="s">
        <v>8917</v>
      </c>
      <c r="F1042" s="123" t="s">
        <v>8918</v>
      </c>
      <c r="G1042" s="123" t="s">
        <v>247</v>
      </c>
      <c r="H1042" s="123">
        <v>4400.0</v>
      </c>
      <c r="I1042" s="33" t="s">
        <v>971</v>
      </c>
      <c r="J1042" s="33" t="s">
        <v>4477</v>
      </c>
      <c r="K1042" s="33">
        <v>1.0</v>
      </c>
      <c r="L1042" s="124" t="s">
        <v>8919</v>
      </c>
      <c r="M1042" s="34"/>
    </row>
    <row r="1043" hidden="1">
      <c r="A1043" s="33" t="s">
        <v>8920</v>
      </c>
      <c r="B1043" s="122">
        <v>45827.0</v>
      </c>
      <c r="C1043" s="33">
        <v>8.07000031696E11</v>
      </c>
      <c r="D1043" s="33" t="s">
        <v>8921</v>
      </c>
      <c r="E1043" s="33" t="s">
        <v>8922</v>
      </c>
      <c r="F1043" s="123" t="s">
        <v>8923</v>
      </c>
      <c r="G1043" s="123" t="s">
        <v>1038</v>
      </c>
      <c r="H1043" s="123">
        <v>4400.0</v>
      </c>
      <c r="I1043" s="33" t="s">
        <v>6343</v>
      </c>
      <c r="J1043" s="33" t="s">
        <v>6435</v>
      </c>
      <c r="K1043" s="33">
        <v>1.0</v>
      </c>
      <c r="L1043" s="124" t="s">
        <v>8924</v>
      </c>
      <c r="M1043" s="34"/>
    </row>
    <row r="1044" hidden="1">
      <c r="A1044" s="33" t="s">
        <v>8920</v>
      </c>
      <c r="B1044" s="122">
        <v>45827.0</v>
      </c>
      <c r="C1044" s="33">
        <v>8.07000031696E11</v>
      </c>
      <c r="D1044" s="33" t="s">
        <v>8921</v>
      </c>
      <c r="E1044" s="33" t="s">
        <v>8922</v>
      </c>
      <c r="F1044" s="123" t="s">
        <v>8923</v>
      </c>
      <c r="G1044" s="123" t="s">
        <v>1038</v>
      </c>
      <c r="H1044" s="123">
        <v>4400.0</v>
      </c>
      <c r="I1044" s="33" t="s">
        <v>512</v>
      </c>
      <c r="J1044" s="33" t="s">
        <v>513</v>
      </c>
      <c r="K1044" s="33">
        <v>12.0</v>
      </c>
      <c r="L1044" s="124" t="s">
        <v>8924</v>
      </c>
      <c r="M1044" s="34"/>
    </row>
    <row r="1045" hidden="1">
      <c r="A1045" s="33" t="s">
        <v>8920</v>
      </c>
      <c r="B1045" s="122">
        <v>45827.0</v>
      </c>
      <c r="C1045" s="33">
        <v>8.07000031696E11</v>
      </c>
      <c r="D1045" s="33" t="s">
        <v>8921</v>
      </c>
      <c r="E1045" s="33" t="s">
        <v>8922</v>
      </c>
      <c r="F1045" s="123" t="s">
        <v>8923</v>
      </c>
      <c r="G1045" s="123" t="s">
        <v>1038</v>
      </c>
      <c r="H1045" s="123">
        <v>4400.0</v>
      </c>
      <c r="I1045" s="33" t="s">
        <v>233</v>
      </c>
      <c r="J1045" s="33" t="s">
        <v>3459</v>
      </c>
      <c r="K1045" s="33">
        <v>1.0</v>
      </c>
      <c r="L1045" s="124" t="s">
        <v>8924</v>
      </c>
      <c r="M1045" s="34"/>
    </row>
    <row r="1046" hidden="1">
      <c r="A1046" s="33" t="s">
        <v>8925</v>
      </c>
      <c r="B1046" s="122">
        <v>45827.0</v>
      </c>
      <c r="C1046" s="33">
        <v>8.07000031696E11</v>
      </c>
      <c r="D1046" s="33" t="s">
        <v>8921</v>
      </c>
      <c r="E1046" s="33" t="s">
        <v>8922</v>
      </c>
      <c r="F1046" s="123" t="s">
        <v>8923</v>
      </c>
      <c r="G1046" s="123" t="s">
        <v>1038</v>
      </c>
      <c r="H1046" s="123">
        <v>4400.0</v>
      </c>
      <c r="I1046" s="33" t="s">
        <v>233</v>
      </c>
      <c r="J1046" s="33" t="s">
        <v>3459</v>
      </c>
      <c r="K1046" s="33">
        <v>1.0</v>
      </c>
      <c r="L1046" s="124" t="s">
        <v>8924</v>
      </c>
      <c r="M1046" s="34"/>
    </row>
    <row r="1047" hidden="1">
      <c r="A1047" s="33" t="s">
        <v>8926</v>
      </c>
      <c r="B1047" s="122">
        <v>45827.0</v>
      </c>
      <c r="C1047" s="33">
        <v>8.07000031565E11</v>
      </c>
      <c r="D1047" s="33" t="s">
        <v>8927</v>
      </c>
      <c r="E1047" s="33" t="s">
        <v>4291</v>
      </c>
      <c r="F1047" s="123" t="s">
        <v>8928</v>
      </c>
      <c r="G1047" s="123" t="s">
        <v>1038</v>
      </c>
      <c r="H1047" s="123">
        <v>4400.0</v>
      </c>
      <c r="I1047" s="33" t="s">
        <v>698</v>
      </c>
      <c r="J1047" s="33" t="s">
        <v>699</v>
      </c>
      <c r="K1047" s="33">
        <v>1.0</v>
      </c>
      <c r="L1047" s="124" t="s">
        <v>8929</v>
      </c>
      <c r="M1047" s="34"/>
    </row>
    <row r="1048" hidden="1">
      <c r="A1048" s="33" t="s">
        <v>8926</v>
      </c>
      <c r="B1048" s="122">
        <v>45827.0</v>
      </c>
      <c r="C1048" s="33">
        <v>8.07000031565E11</v>
      </c>
      <c r="D1048" s="33" t="s">
        <v>8927</v>
      </c>
      <c r="E1048" s="33" t="s">
        <v>4291</v>
      </c>
      <c r="F1048" s="123" t="s">
        <v>8928</v>
      </c>
      <c r="G1048" s="123" t="s">
        <v>1038</v>
      </c>
      <c r="H1048" s="123">
        <v>4400.0</v>
      </c>
      <c r="I1048" s="33" t="s">
        <v>701</v>
      </c>
      <c r="J1048" s="33" t="s">
        <v>4409</v>
      </c>
      <c r="K1048" s="33">
        <v>1.0</v>
      </c>
      <c r="L1048" s="124" t="s">
        <v>8929</v>
      </c>
      <c r="M1048" s="34"/>
    </row>
    <row r="1049" hidden="1">
      <c r="A1049" s="33" t="s">
        <v>8930</v>
      </c>
      <c r="B1049" s="122">
        <v>45827.0</v>
      </c>
      <c r="C1049" s="33">
        <v>8.07000031727E11</v>
      </c>
      <c r="D1049" s="33" t="s">
        <v>8931</v>
      </c>
      <c r="E1049" s="33" t="s">
        <v>8932</v>
      </c>
      <c r="F1049" s="123" t="s">
        <v>8933</v>
      </c>
      <c r="G1049" s="123" t="s">
        <v>624</v>
      </c>
      <c r="H1049" s="123">
        <v>4403.0</v>
      </c>
      <c r="I1049" s="33" t="s">
        <v>32</v>
      </c>
      <c r="J1049" s="33" t="s">
        <v>3225</v>
      </c>
      <c r="K1049" s="33">
        <v>1.0</v>
      </c>
      <c r="L1049" s="124" t="s">
        <v>8934</v>
      </c>
      <c r="M1049" s="34"/>
    </row>
    <row r="1050" hidden="1">
      <c r="A1050" s="33" t="s">
        <v>8935</v>
      </c>
      <c r="B1050" s="122">
        <v>45827.0</v>
      </c>
      <c r="C1050" s="33">
        <v>8.0700003166E11</v>
      </c>
      <c r="D1050" s="33" t="s">
        <v>8936</v>
      </c>
      <c r="E1050" s="33" t="s">
        <v>8937</v>
      </c>
      <c r="F1050" s="123" t="s">
        <v>8938</v>
      </c>
      <c r="G1050" s="123" t="s">
        <v>247</v>
      </c>
      <c r="H1050" s="123">
        <v>4400.0</v>
      </c>
      <c r="I1050" s="33" t="s">
        <v>512</v>
      </c>
      <c r="J1050" s="33" t="s">
        <v>513</v>
      </c>
      <c r="K1050" s="33">
        <v>6.0</v>
      </c>
      <c r="L1050" s="124" t="s">
        <v>8939</v>
      </c>
      <c r="M1050" s="34"/>
    </row>
    <row r="1051" hidden="1">
      <c r="A1051" s="33" t="s">
        <v>8935</v>
      </c>
      <c r="B1051" s="122">
        <v>45827.0</v>
      </c>
      <c r="C1051" s="33">
        <v>8.07000031661E11</v>
      </c>
      <c r="D1051" s="33" t="s">
        <v>8936</v>
      </c>
      <c r="E1051" s="33" t="s">
        <v>8937</v>
      </c>
      <c r="F1051" s="123" t="s">
        <v>8938</v>
      </c>
      <c r="G1051" s="123" t="s">
        <v>247</v>
      </c>
      <c r="H1051" s="123">
        <v>4400.0</v>
      </c>
      <c r="I1051" s="33" t="s">
        <v>2956</v>
      </c>
      <c r="J1051" s="33" t="s">
        <v>3327</v>
      </c>
      <c r="K1051" s="33">
        <v>1.0</v>
      </c>
      <c r="L1051" s="124" t="s">
        <v>8939</v>
      </c>
      <c r="M1051" s="34"/>
    </row>
    <row r="1052" hidden="1">
      <c r="A1052" s="33" t="s">
        <v>8940</v>
      </c>
      <c r="B1052" s="122">
        <v>45827.0</v>
      </c>
      <c r="C1052" s="33">
        <v>8.07000031661E11</v>
      </c>
      <c r="D1052" s="33" t="s">
        <v>8936</v>
      </c>
      <c r="E1052" s="33" t="s">
        <v>8937</v>
      </c>
      <c r="F1052" s="123" t="s">
        <v>8938</v>
      </c>
      <c r="G1052" s="123" t="s">
        <v>247</v>
      </c>
      <c r="H1052" s="123">
        <v>4400.0</v>
      </c>
      <c r="I1052" s="33" t="s">
        <v>670</v>
      </c>
      <c r="J1052" s="33" t="s">
        <v>3410</v>
      </c>
      <c r="K1052" s="33">
        <v>1.0</v>
      </c>
      <c r="L1052" s="124" t="s">
        <v>8939</v>
      </c>
      <c r="M1052" s="34"/>
    </row>
    <row r="1053" hidden="1">
      <c r="A1053" s="33" t="s">
        <v>8935</v>
      </c>
      <c r="B1053" s="122">
        <v>45827.0</v>
      </c>
      <c r="C1053" s="33">
        <v>8.07000031659E11</v>
      </c>
      <c r="D1053" s="33" t="s">
        <v>8936</v>
      </c>
      <c r="E1053" s="33" t="s">
        <v>8937</v>
      </c>
      <c r="F1053" s="123" t="s">
        <v>8938</v>
      </c>
      <c r="G1053" s="123" t="s">
        <v>247</v>
      </c>
      <c r="H1053" s="123">
        <v>4400.0</v>
      </c>
      <c r="I1053" s="33">
        <v>125818.0</v>
      </c>
      <c r="J1053" s="33" t="s">
        <v>4334</v>
      </c>
      <c r="K1053" s="33">
        <v>1.0</v>
      </c>
      <c r="L1053" s="124" t="s">
        <v>8939</v>
      </c>
      <c r="M1053" s="34"/>
    </row>
    <row r="1054" hidden="1">
      <c r="A1054" s="33" t="s">
        <v>8941</v>
      </c>
      <c r="B1054" s="122">
        <v>45827.0</v>
      </c>
      <c r="C1054" s="33">
        <v>8.07000031659E11</v>
      </c>
      <c r="D1054" s="33" t="s">
        <v>8936</v>
      </c>
      <c r="E1054" s="33" t="s">
        <v>8937</v>
      </c>
      <c r="F1054" s="123" t="s">
        <v>8938</v>
      </c>
      <c r="G1054" s="123" t="s">
        <v>247</v>
      </c>
      <c r="H1054" s="123">
        <v>4400.0</v>
      </c>
      <c r="I1054" s="33">
        <v>125818.0</v>
      </c>
      <c r="J1054" s="33" t="s">
        <v>4334</v>
      </c>
      <c r="K1054" s="33">
        <v>1.0</v>
      </c>
      <c r="L1054" s="124" t="s">
        <v>8939</v>
      </c>
      <c r="M1054" s="34"/>
    </row>
    <row r="1055" hidden="1">
      <c r="A1055" s="33" t="s">
        <v>8941</v>
      </c>
      <c r="B1055" s="122">
        <v>45827.0</v>
      </c>
      <c r="C1055" s="33">
        <v>8.07000031659E11</v>
      </c>
      <c r="D1055" s="33" t="s">
        <v>8936</v>
      </c>
      <c r="E1055" s="33" t="s">
        <v>8937</v>
      </c>
      <c r="F1055" s="123" t="s">
        <v>8938</v>
      </c>
      <c r="G1055" s="123" t="s">
        <v>247</v>
      </c>
      <c r="H1055" s="123">
        <v>4400.0</v>
      </c>
      <c r="I1055" s="33">
        <v>125821.0</v>
      </c>
      <c r="J1055" s="33" t="s">
        <v>8182</v>
      </c>
      <c r="K1055" s="33">
        <v>1.0</v>
      </c>
      <c r="L1055" s="124" t="s">
        <v>8939</v>
      </c>
      <c r="M1055" s="34"/>
    </row>
    <row r="1056" hidden="1">
      <c r="A1056" s="33" t="s">
        <v>8942</v>
      </c>
      <c r="B1056" s="122">
        <v>45828.0</v>
      </c>
      <c r="C1056" s="33">
        <v>8.07000031747E11</v>
      </c>
      <c r="D1056" s="33" t="s">
        <v>8943</v>
      </c>
      <c r="E1056" s="33" t="s">
        <v>8944</v>
      </c>
      <c r="F1056" s="123"/>
      <c r="G1056" s="123" t="s">
        <v>247</v>
      </c>
      <c r="H1056" s="123">
        <v>4400.0</v>
      </c>
      <c r="I1056" s="33" t="s">
        <v>3276</v>
      </c>
      <c r="J1056" s="33" t="s">
        <v>3277</v>
      </c>
      <c r="K1056" s="33">
        <v>1.0</v>
      </c>
      <c r="L1056" s="124" t="s">
        <v>8945</v>
      </c>
      <c r="M1056" s="31">
        <v>3.83255648622E11</v>
      </c>
    </row>
    <row r="1057" hidden="1">
      <c r="A1057" s="33" t="s">
        <v>8942</v>
      </c>
      <c r="B1057" s="122">
        <v>45828.0</v>
      </c>
      <c r="C1057" s="33">
        <v>8.07000031747E11</v>
      </c>
      <c r="D1057" s="33" t="s">
        <v>8943</v>
      </c>
      <c r="E1057" s="33" t="s">
        <v>8944</v>
      </c>
      <c r="F1057" s="123"/>
      <c r="G1057" s="123" t="s">
        <v>247</v>
      </c>
      <c r="H1057" s="123">
        <v>4400.0</v>
      </c>
      <c r="I1057" s="33" t="s">
        <v>512</v>
      </c>
      <c r="J1057" s="33" t="s">
        <v>513</v>
      </c>
      <c r="K1057" s="33">
        <v>12.0</v>
      </c>
      <c r="L1057" s="124" t="s">
        <v>8945</v>
      </c>
      <c r="M1057" s="31">
        <v>3.83255648622E11</v>
      </c>
    </row>
    <row r="1058" hidden="1">
      <c r="A1058" s="33" t="s">
        <v>8942</v>
      </c>
      <c r="B1058" s="122">
        <v>45828.0</v>
      </c>
      <c r="C1058" s="33">
        <v>8.07000031747E11</v>
      </c>
      <c r="D1058" s="33" t="s">
        <v>8943</v>
      </c>
      <c r="E1058" s="33" t="s">
        <v>8944</v>
      </c>
      <c r="F1058" s="123"/>
      <c r="G1058" s="123" t="s">
        <v>247</v>
      </c>
      <c r="H1058" s="123">
        <v>4400.0</v>
      </c>
      <c r="I1058" s="33" t="s">
        <v>169</v>
      </c>
      <c r="J1058" s="33" t="s">
        <v>4514</v>
      </c>
      <c r="K1058" s="33">
        <v>1.0</v>
      </c>
      <c r="L1058" s="124" t="s">
        <v>8945</v>
      </c>
      <c r="M1058" s="31">
        <v>3.83255648622E11</v>
      </c>
    </row>
    <row r="1059" hidden="1">
      <c r="A1059" s="33" t="s">
        <v>8946</v>
      </c>
      <c r="B1059" s="122">
        <v>45828.0</v>
      </c>
      <c r="C1059" s="33">
        <v>8.07000031747E11</v>
      </c>
      <c r="D1059" s="33" t="s">
        <v>8943</v>
      </c>
      <c r="E1059" s="33" t="s">
        <v>8944</v>
      </c>
      <c r="F1059" s="123"/>
      <c r="G1059" s="123" t="s">
        <v>247</v>
      </c>
      <c r="H1059" s="123">
        <v>4400.0</v>
      </c>
      <c r="I1059" s="33" t="s">
        <v>3276</v>
      </c>
      <c r="J1059" s="33" t="s">
        <v>3277</v>
      </c>
      <c r="K1059" s="33">
        <v>1.0</v>
      </c>
      <c r="L1059" s="124" t="s">
        <v>8945</v>
      </c>
      <c r="M1059" s="31"/>
    </row>
    <row r="1060" hidden="1">
      <c r="A1060" s="33" t="s">
        <v>8946</v>
      </c>
      <c r="B1060" s="122">
        <v>45828.0</v>
      </c>
      <c r="C1060" s="33">
        <v>8.07000031747E11</v>
      </c>
      <c r="D1060" s="33" t="s">
        <v>8943</v>
      </c>
      <c r="E1060" s="33" t="s">
        <v>8944</v>
      </c>
      <c r="F1060" s="123"/>
      <c r="G1060" s="123" t="s">
        <v>247</v>
      </c>
      <c r="H1060" s="123">
        <v>4400.0</v>
      </c>
      <c r="I1060" s="33" t="s">
        <v>169</v>
      </c>
      <c r="J1060" s="33" t="s">
        <v>4514</v>
      </c>
      <c r="K1060" s="33">
        <v>1.0</v>
      </c>
      <c r="L1060" s="124" t="s">
        <v>8945</v>
      </c>
      <c r="M1060" s="31"/>
    </row>
    <row r="1061" hidden="1">
      <c r="A1061" s="33" t="s">
        <v>8947</v>
      </c>
      <c r="B1061" s="122">
        <v>45828.0</v>
      </c>
      <c r="C1061" s="33">
        <v>8.0700003176E11</v>
      </c>
      <c r="D1061" s="33" t="s">
        <v>8948</v>
      </c>
      <c r="E1061" s="33" t="s">
        <v>8949</v>
      </c>
      <c r="F1061" s="123" t="s">
        <v>8950</v>
      </c>
      <c r="G1061" s="123" t="s">
        <v>247</v>
      </c>
      <c r="H1061" s="123">
        <v>4400.0</v>
      </c>
      <c r="I1061" s="33" t="s">
        <v>1766</v>
      </c>
      <c r="J1061" s="33" t="s">
        <v>8008</v>
      </c>
      <c r="K1061" s="33">
        <v>1.0</v>
      </c>
      <c r="L1061" s="124" t="s">
        <v>8951</v>
      </c>
      <c r="M1061" s="34"/>
    </row>
    <row r="1062" hidden="1">
      <c r="A1062" s="33" t="s">
        <v>8947</v>
      </c>
      <c r="B1062" s="122">
        <v>45828.0</v>
      </c>
      <c r="C1062" s="33">
        <v>8.07000031751E11</v>
      </c>
      <c r="D1062" s="33" t="s">
        <v>8948</v>
      </c>
      <c r="E1062" s="33" t="s">
        <v>8949</v>
      </c>
      <c r="F1062" s="123" t="s">
        <v>8950</v>
      </c>
      <c r="G1062" s="123" t="s">
        <v>247</v>
      </c>
      <c r="H1062" s="123">
        <v>4400.0</v>
      </c>
      <c r="I1062" s="33" t="s">
        <v>645</v>
      </c>
      <c r="J1062" s="33" t="s">
        <v>3253</v>
      </c>
      <c r="K1062" s="33">
        <v>2.0</v>
      </c>
      <c r="L1062" s="124" t="s">
        <v>8951</v>
      </c>
      <c r="M1062" s="34"/>
    </row>
    <row r="1063" hidden="1">
      <c r="A1063" s="33" t="s">
        <v>8930</v>
      </c>
      <c r="B1063" s="122">
        <v>45828.0</v>
      </c>
      <c r="C1063" s="33">
        <v>8.07000031757E11</v>
      </c>
      <c r="D1063" s="33" t="s">
        <v>8952</v>
      </c>
      <c r="E1063" s="33" t="s">
        <v>8953</v>
      </c>
      <c r="F1063" s="123" t="s">
        <v>8954</v>
      </c>
      <c r="G1063" s="123" t="s">
        <v>247</v>
      </c>
      <c r="H1063" s="123">
        <v>4400.0</v>
      </c>
      <c r="I1063" s="33" t="s">
        <v>512</v>
      </c>
      <c r="J1063" s="33" t="s">
        <v>513</v>
      </c>
      <c r="K1063" s="33">
        <v>6.0</v>
      </c>
      <c r="L1063" s="124" t="s">
        <v>8955</v>
      </c>
      <c r="M1063" s="31">
        <v>1.164301567E9</v>
      </c>
    </row>
    <row r="1064" hidden="1">
      <c r="A1064" s="33" t="s">
        <v>8930</v>
      </c>
      <c r="B1064" s="122">
        <v>45828.0</v>
      </c>
      <c r="C1064" s="33">
        <v>8.07000031758E11</v>
      </c>
      <c r="D1064" s="33" t="s">
        <v>8952</v>
      </c>
      <c r="E1064" s="33" t="s">
        <v>8953</v>
      </c>
      <c r="F1064" s="123" t="s">
        <v>8954</v>
      </c>
      <c r="G1064" s="123" t="s">
        <v>247</v>
      </c>
      <c r="H1064" s="123">
        <v>4400.0</v>
      </c>
      <c r="I1064" s="33" t="s">
        <v>985</v>
      </c>
      <c r="J1064" s="33" t="s">
        <v>3600</v>
      </c>
      <c r="K1064" s="33">
        <v>1.0</v>
      </c>
      <c r="L1064" s="124" t="s">
        <v>8955</v>
      </c>
      <c r="M1064" s="31">
        <v>1.164301567E9</v>
      </c>
    </row>
    <row r="1065" hidden="1">
      <c r="A1065" s="33" t="s">
        <v>8930</v>
      </c>
      <c r="B1065" s="122">
        <v>45828.0</v>
      </c>
      <c r="C1065" s="33">
        <v>8.07000031758E11</v>
      </c>
      <c r="D1065" s="33" t="s">
        <v>8952</v>
      </c>
      <c r="E1065" s="33" t="s">
        <v>8953</v>
      </c>
      <c r="F1065" s="123" t="s">
        <v>8954</v>
      </c>
      <c r="G1065" s="123" t="s">
        <v>247</v>
      </c>
      <c r="H1065" s="123">
        <v>4400.0</v>
      </c>
      <c r="I1065" s="33" t="s">
        <v>35</v>
      </c>
      <c r="J1065" s="33" t="s">
        <v>3188</v>
      </c>
      <c r="K1065" s="33">
        <v>1.0</v>
      </c>
      <c r="L1065" s="124" t="s">
        <v>8955</v>
      </c>
      <c r="M1065" s="31">
        <v>1.164301567E9</v>
      </c>
    </row>
    <row r="1066" hidden="1">
      <c r="A1066" s="33" t="s">
        <v>8956</v>
      </c>
      <c r="B1066" s="122">
        <v>45831.0</v>
      </c>
      <c r="C1066" s="33">
        <v>8.07000031795E11</v>
      </c>
      <c r="D1066" s="33" t="s">
        <v>8957</v>
      </c>
      <c r="E1066" s="33" t="s">
        <v>8958</v>
      </c>
      <c r="F1066" s="123" t="s">
        <v>8959</v>
      </c>
      <c r="G1066" s="123" t="s">
        <v>247</v>
      </c>
      <c r="H1066" s="123">
        <v>4400.0</v>
      </c>
      <c r="I1066" s="33" t="s">
        <v>50</v>
      </c>
      <c r="J1066" s="33" t="s">
        <v>51</v>
      </c>
      <c r="K1066" s="33">
        <v>1.0</v>
      </c>
      <c r="L1066" s="124" t="s">
        <v>8960</v>
      </c>
      <c r="M1066" s="34"/>
    </row>
    <row r="1067" hidden="1">
      <c r="A1067" s="33" t="s">
        <v>8961</v>
      </c>
      <c r="B1067" s="122">
        <v>45831.0</v>
      </c>
      <c r="C1067" s="33">
        <v>8.07000031788E11</v>
      </c>
      <c r="D1067" s="33" t="s">
        <v>8962</v>
      </c>
      <c r="E1067" s="33" t="s">
        <v>8963</v>
      </c>
      <c r="F1067" s="123" t="s">
        <v>8964</v>
      </c>
      <c r="G1067" s="123" t="s">
        <v>247</v>
      </c>
      <c r="H1067" s="123">
        <v>4400.0</v>
      </c>
      <c r="I1067" s="33" t="s">
        <v>3276</v>
      </c>
      <c r="J1067" s="33" t="s">
        <v>3277</v>
      </c>
      <c r="K1067" s="33">
        <v>1.0</v>
      </c>
      <c r="L1067" s="124" t="s">
        <v>8965</v>
      </c>
      <c r="M1067" s="34"/>
    </row>
    <row r="1068" hidden="1">
      <c r="A1068" s="33" t="s">
        <v>8966</v>
      </c>
      <c r="B1068" s="122">
        <v>45831.0</v>
      </c>
      <c r="C1068" s="33">
        <v>8.05011538154E11</v>
      </c>
      <c r="D1068" s="33" t="s">
        <v>8967</v>
      </c>
      <c r="E1068" s="33" t="s">
        <v>8968</v>
      </c>
      <c r="F1068" s="123" t="s">
        <v>8969</v>
      </c>
      <c r="G1068" s="123" t="s">
        <v>247</v>
      </c>
      <c r="H1068" s="123">
        <v>4400.0</v>
      </c>
      <c r="I1068" s="33" t="s">
        <v>280</v>
      </c>
      <c r="J1068" s="33" t="s">
        <v>5669</v>
      </c>
      <c r="K1068" s="33">
        <v>1.0</v>
      </c>
      <c r="L1068" s="124" t="s">
        <v>8970</v>
      </c>
      <c r="M1068" s="34"/>
    </row>
    <row r="1069" hidden="1">
      <c r="A1069" s="33" t="s">
        <v>8966</v>
      </c>
      <c r="B1069" s="122">
        <v>45831.0</v>
      </c>
      <c r="C1069" s="33">
        <v>8.05011538154E11</v>
      </c>
      <c r="D1069" s="33" t="s">
        <v>8967</v>
      </c>
      <c r="E1069" s="33" t="s">
        <v>8968</v>
      </c>
      <c r="F1069" s="123" t="s">
        <v>8969</v>
      </c>
      <c r="G1069" s="123" t="s">
        <v>247</v>
      </c>
      <c r="H1069" s="123">
        <v>4400.0</v>
      </c>
      <c r="I1069" s="33" t="s">
        <v>512</v>
      </c>
      <c r="J1069" s="33" t="s">
        <v>513</v>
      </c>
      <c r="K1069" s="33">
        <v>12.0</v>
      </c>
      <c r="L1069" s="124" t="s">
        <v>8970</v>
      </c>
      <c r="M1069" s="34"/>
    </row>
    <row r="1070" hidden="1">
      <c r="A1070" s="33" t="s">
        <v>8966</v>
      </c>
      <c r="B1070" s="122">
        <v>45831.0</v>
      </c>
      <c r="C1070" s="33">
        <v>8.05011538154E11</v>
      </c>
      <c r="D1070" s="33" t="s">
        <v>8967</v>
      </c>
      <c r="E1070" s="33" t="s">
        <v>8968</v>
      </c>
      <c r="F1070" s="123" t="s">
        <v>8969</v>
      </c>
      <c r="G1070" s="123" t="s">
        <v>247</v>
      </c>
      <c r="H1070" s="123">
        <v>4400.0</v>
      </c>
      <c r="I1070" s="33" t="s">
        <v>340</v>
      </c>
      <c r="J1070" s="33" t="s">
        <v>3486</v>
      </c>
      <c r="K1070" s="33">
        <v>2.0</v>
      </c>
      <c r="L1070" s="124" t="s">
        <v>8970</v>
      </c>
      <c r="M1070" s="34"/>
    </row>
    <row r="1071" hidden="1">
      <c r="A1071" s="33" t="s">
        <v>8971</v>
      </c>
      <c r="B1071" s="122">
        <v>45831.0</v>
      </c>
      <c r="C1071" s="33">
        <v>8.07000031776E11</v>
      </c>
      <c r="D1071" s="33" t="s">
        <v>8972</v>
      </c>
      <c r="E1071" s="33" t="s">
        <v>8973</v>
      </c>
      <c r="F1071" s="123" t="s">
        <v>8974</v>
      </c>
      <c r="G1071" s="123" t="s">
        <v>247</v>
      </c>
      <c r="H1071" s="123">
        <v>4400.0</v>
      </c>
      <c r="I1071" s="33" t="s">
        <v>3431</v>
      </c>
      <c r="J1071" s="33" t="s">
        <v>3432</v>
      </c>
      <c r="K1071" s="33">
        <v>1.0</v>
      </c>
      <c r="L1071" s="124" t="s">
        <v>8975</v>
      </c>
      <c r="M1071" s="34"/>
    </row>
    <row r="1072" hidden="1">
      <c r="A1072" s="33" t="s">
        <v>8976</v>
      </c>
      <c r="B1072" s="122">
        <v>45831.0</v>
      </c>
      <c r="C1072" s="33">
        <v>8.07000031805E11</v>
      </c>
      <c r="D1072" s="33" t="s">
        <v>8977</v>
      </c>
      <c r="E1072" s="33" t="s">
        <v>8978</v>
      </c>
      <c r="F1072" s="123" t="s">
        <v>8979</v>
      </c>
      <c r="G1072" s="123" t="s">
        <v>8980</v>
      </c>
      <c r="H1072" s="123">
        <v>4400.0</v>
      </c>
      <c r="I1072" s="33">
        <v>125806.0</v>
      </c>
      <c r="J1072" s="33" t="s">
        <v>7389</v>
      </c>
      <c r="K1072" s="33">
        <v>2.0</v>
      </c>
      <c r="L1072" s="124" t="s">
        <v>8981</v>
      </c>
      <c r="M1072" s="31" t="s">
        <v>8982</v>
      </c>
    </row>
    <row r="1073" hidden="1">
      <c r="A1073" s="33" t="s">
        <v>8976</v>
      </c>
      <c r="B1073" s="122">
        <v>45831.0</v>
      </c>
      <c r="C1073" s="33">
        <v>8.07000031805E11</v>
      </c>
      <c r="D1073" s="33" t="s">
        <v>8977</v>
      </c>
      <c r="E1073" s="33" t="s">
        <v>8978</v>
      </c>
      <c r="F1073" s="123" t="s">
        <v>8979</v>
      </c>
      <c r="G1073" s="123" t="s">
        <v>8980</v>
      </c>
      <c r="H1073" s="123">
        <v>4400.0</v>
      </c>
      <c r="I1073" s="33" t="s">
        <v>512</v>
      </c>
      <c r="J1073" s="33" t="s">
        <v>513</v>
      </c>
      <c r="K1073" s="33">
        <v>6.0</v>
      </c>
      <c r="L1073" s="124" t="s">
        <v>8981</v>
      </c>
      <c r="M1073" s="31" t="s">
        <v>8982</v>
      </c>
    </row>
    <row r="1074" hidden="1">
      <c r="A1074" s="33" t="s">
        <v>8976</v>
      </c>
      <c r="B1074" s="122">
        <v>45831.0</v>
      </c>
      <c r="C1074" s="33">
        <v>8.07000031805E11</v>
      </c>
      <c r="D1074" s="33" t="s">
        <v>8977</v>
      </c>
      <c r="E1074" s="33" t="s">
        <v>8978</v>
      </c>
      <c r="F1074" s="123" t="s">
        <v>8979</v>
      </c>
      <c r="G1074" s="123" t="s">
        <v>8980</v>
      </c>
      <c r="H1074" s="123">
        <v>4400.0</v>
      </c>
      <c r="I1074" s="33" t="s">
        <v>8983</v>
      </c>
      <c r="J1074" s="33" t="s">
        <v>8984</v>
      </c>
      <c r="K1074" s="33">
        <v>1.0</v>
      </c>
      <c r="L1074" s="124" t="s">
        <v>8981</v>
      </c>
      <c r="M1074" s="31" t="s">
        <v>8982</v>
      </c>
    </row>
    <row r="1075" hidden="1">
      <c r="A1075" s="33" t="s">
        <v>8976</v>
      </c>
      <c r="B1075" s="122">
        <v>45831.0</v>
      </c>
      <c r="C1075" s="33">
        <v>8.07000031806E11</v>
      </c>
      <c r="D1075" s="33" t="s">
        <v>8977</v>
      </c>
      <c r="E1075" s="33" t="s">
        <v>8978</v>
      </c>
      <c r="F1075" s="123" t="s">
        <v>8979</v>
      </c>
      <c r="G1075" s="123" t="s">
        <v>8980</v>
      </c>
      <c r="H1075" s="123">
        <v>4400.0</v>
      </c>
      <c r="I1075" s="33" t="s">
        <v>561</v>
      </c>
      <c r="J1075" s="33" t="s">
        <v>8209</v>
      </c>
      <c r="K1075" s="33">
        <v>1.0</v>
      </c>
      <c r="L1075" s="124" t="s">
        <v>8981</v>
      </c>
      <c r="M1075" s="31" t="s">
        <v>8982</v>
      </c>
    </row>
    <row r="1076" hidden="1">
      <c r="A1076" s="33" t="s">
        <v>8976</v>
      </c>
      <c r="B1076" s="122">
        <v>45831.0</v>
      </c>
      <c r="C1076" s="33">
        <v>8.07000031806E11</v>
      </c>
      <c r="D1076" s="33" t="s">
        <v>8977</v>
      </c>
      <c r="E1076" s="33" t="s">
        <v>8978</v>
      </c>
      <c r="F1076" s="123" t="s">
        <v>8979</v>
      </c>
      <c r="G1076" s="123" t="s">
        <v>8980</v>
      </c>
      <c r="H1076" s="123">
        <v>4400.0</v>
      </c>
      <c r="I1076" s="33" t="s">
        <v>35</v>
      </c>
      <c r="J1076" s="33" t="s">
        <v>3188</v>
      </c>
      <c r="K1076" s="33">
        <v>1.0</v>
      </c>
      <c r="L1076" s="124" t="s">
        <v>8981</v>
      </c>
      <c r="M1076" s="31" t="s">
        <v>8982</v>
      </c>
    </row>
    <row r="1077" hidden="1">
      <c r="A1077" s="33" t="s">
        <v>8985</v>
      </c>
      <c r="B1077" s="122">
        <v>45831.0</v>
      </c>
      <c r="C1077" s="33">
        <v>8.07000031807E11</v>
      </c>
      <c r="D1077" s="33" t="s">
        <v>8986</v>
      </c>
      <c r="E1077" s="33" t="s">
        <v>8987</v>
      </c>
      <c r="F1077" s="123" t="s">
        <v>8988</v>
      </c>
      <c r="G1077" s="123" t="s">
        <v>247</v>
      </c>
      <c r="H1077" s="123">
        <v>4400.0</v>
      </c>
      <c r="I1077" s="33" t="s">
        <v>512</v>
      </c>
      <c r="J1077" s="33" t="s">
        <v>513</v>
      </c>
      <c r="K1077" s="33">
        <v>6.0</v>
      </c>
      <c r="L1077" s="124" t="s">
        <v>8989</v>
      </c>
      <c r="M1077" s="31"/>
    </row>
    <row r="1078" hidden="1">
      <c r="A1078" s="33" t="s">
        <v>8985</v>
      </c>
      <c r="B1078" s="122">
        <v>45831.0</v>
      </c>
      <c r="C1078" s="33">
        <v>8.07000031808E11</v>
      </c>
      <c r="D1078" s="33" t="s">
        <v>8986</v>
      </c>
      <c r="E1078" s="33" t="s">
        <v>8987</v>
      </c>
      <c r="F1078" s="123" t="s">
        <v>8988</v>
      </c>
      <c r="G1078" s="123" t="s">
        <v>247</v>
      </c>
      <c r="H1078" s="123">
        <v>4400.0</v>
      </c>
      <c r="I1078" s="33" t="s">
        <v>8604</v>
      </c>
      <c r="J1078" s="33" t="s">
        <v>8605</v>
      </c>
      <c r="K1078" s="33">
        <v>1.0</v>
      </c>
      <c r="L1078" s="124" t="s">
        <v>8989</v>
      </c>
      <c r="M1078" s="31"/>
    </row>
    <row r="1079" hidden="1">
      <c r="A1079" s="33" t="s">
        <v>8985</v>
      </c>
      <c r="B1079" s="122">
        <v>45831.0</v>
      </c>
      <c r="C1079" s="33">
        <v>8.07000031808E11</v>
      </c>
      <c r="D1079" s="33" t="s">
        <v>8986</v>
      </c>
      <c r="E1079" s="33" t="s">
        <v>8987</v>
      </c>
      <c r="F1079" s="123" t="s">
        <v>8988</v>
      </c>
      <c r="G1079" s="123" t="s">
        <v>247</v>
      </c>
      <c r="H1079" s="123">
        <v>4400.0</v>
      </c>
      <c r="I1079" s="33" t="s">
        <v>1345</v>
      </c>
      <c r="J1079" s="33" t="s">
        <v>3639</v>
      </c>
      <c r="K1079" s="33">
        <v>1.0</v>
      </c>
      <c r="L1079" s="124" t="s">
        <v>8989</v>
      </c>
      <c r="M1079" s="31"/>
    </row>
    <row r="1080" hidden="1">
      <c r="A1080" s="33" t="s">
        <v>8990</v>
      </c>
      <c r="B1080" s="122">
        <v>45831.0</v>
      </c>
      <c r="C1080" s="33">
        <v>8.07000031811E11</v>
      </c>
      <c r="D1080" s="33" t="s">
        <v>8991</v>
      </c>
      <c r="E1080" s="33" t="s">
        <v>8992</v>
      </c>
      <c r="F1080" s="123" t="s">
        <v>8993</v>
      </c>
      <c r="G1080" s="123" t="s">
        <v>247</v>
      </c>
      <c r="H1080" s="123">
        <v>4400.0</v>
      </c>
      <c r="I1080" s="33" t="s">
        <v>2410</v>
      </c>
      <c r="J1080" s="33" t="s">
        <v>3860</v>
      </c>
      <c r="K1080" s="33">
        <v>1.0</v>
      </c>
      <c r="L1080" s="124" t="s">
        <v>8994</v>
      </c>
      <c r="M1080" s="31"/>
    </row>
    <row r="1081" hidden="1">
      <c r="A1081" s="33" t="s">
        <v>8990</v>
      </c>
      <c r="B1081" s="122">
        <v>45831.0</v>
      </c>
      <c r="C1081" s="33">
        <v>8.07000031812E11</v>
      </c>
      <c r="D1081" s="33" t="s">
        <v>8991</v>
      </c>
      <c r="E1081" s="33" t="s">
        <v>8992</v>
      </c>
      <c r="F1081" s="123" t="s">
        <v>8993</v>
      </c>
      <c r="G1081" s="123" t="s">
        <v>247</v>
      </c>
      <c r="H1081" s="123">
        <v>4400.0</v>
      </c>
      <c r="I1081" s="33" t="s">
        <v>2412</v>
      </c>
      <c r="J1081" s="33" t="s">
        <v>2413</v>
      </c>
      <c r="K1081" s="33">
        <v>1.0</v>
      </c>
      <c r="L1081" s="124" t="s">
        <v>8994</v>
      </c>
      <c r="M1081" s="31"/>
    </row>
    <row r="1082" hidden="1">
      <c r="A1082" s="33" t="s">
        <v>8995</v>
      </c>
      <c r="B1082" s="122">
        <v>45831.0</v>
      </c>
      <c r="C1082" s="33">
        <v>8.07000031826E11</v>
      </c>
      <c r="D1082" s="33" t="s">
        <v>8996</v>
      </c>
      <c r="E1082" s="33" t="s">
        <v>8997</v>
      </c>
      <c r="F1082" s="123" t="s">
        <v>8998</v>
      </c>
      <c r="G1082" s="123" t="s">
        <v>3850</v>
      </c>
      <c r="H1082" s="123">
        <v>4421.0</v>
      </c>
      <c r="I1082" s="33" t="s">
        <v>2410</v>
      </c>
      <c r="J1082" s="33" t="s">
        <v>3860</v>
      </c>
      <c r="K1082" s="33">
        <v>1.0</v>
      </c>
      <c r="L1082" s="124" t="s">
        <v>8999</v>
      </c>
      <c r="M1082" s="31"/>
    </row>
    <row r="1083" hidden="1">
      <c r="A1083" s="33" t="s">
        <v>8995</v>
      </c>
      <c r="B1083" s="122">
        <v>45831.0</v>
      </c>
      <c r="C1083" s="33">
        <v>8.07000031826E11</v>
      </c>
      <c r="D1083" s="33" t="s">
        <v>8996</v>
      </c>
      <c r="E1083" s="33" t="s">
        <v>8997</v>
      </c>
      <c r="F1083" s="123" t="s">
        <v>8998</v>
      </c>
      <c r="G1083" s="123" t="s">
        <v>3850</v>
      </c>
      <c r="H1083" s="123">
        <v>4421.0</v>
      </c>
      <c r="I1083" s="33" t="s">
        <v>2412</v>
      </c>
      <c r="J1083" s="33" t="s">
        <v>2413</v>
      </c>
      <c r="K1083" s="33">
        <v>1.0</v>
      </c>
      <c r="L1083" s="124" t="s">
        <v>8999</v>
      </c>
      <c r="M1083" s="31"/>
    </row>
    <row r="1084" hidden="1">
      <c r="A1084" s="33" t="s">
        <v>9000</v>
      </c>
      <c r="B1084" s="122">
        <v>45831.0</v>
      </c>
      <c r="C1084" s="33">
        <v>8.07000021827E11</v>
      </c>
      <c r="D1084" s="33" t="s">
        <v>9001</v>
      </c>
      <c r="E1084" s="33" t="s">
        <v>9002</v>
      </c>
      <c r="F1084" s="123" t="s">
        <v>9003</v>
      </c>
      <c r="G1084" s="123" t="s">
        <v>247</v>
      </c>
      <c r="H1084" s="123">
        <v>4400.0</v>
      </c>
      <c r="I1084" s="33" t="s">
        <v>9004</v>
      </c>
      <c r="J1084" s="33" t="s">
        <v>3296</v>
      </c>
      <c r="K1084" s="33">
        <v>1.0</v>
      </c>
      <c r="L1084" s="124" t="s">
        <v>9005</v>
      </c>
      <c r="M1084" s="31"/>
    </row>
    <row r="1085" hidden="1">
      <c r="A1085" s="33" t="s">
        <v>9000</v>
      </c>
      <c r="B1085" s="122">
        <v>45831.0</v>
      </c>
      <c r="C1085" s="33">
        <v>8.07000021827E11</v>
      </c>
      <c r="D1085" s="33" t="s">
        <v>9001</v>
      </c>
      <c r="E1085" s="33" t="s">
        <v>9002</v>
      </c>
      <c r="F1085" s="123" t="s">
        <v>9003</v>
      </c>
      <c r="G1085" s="123" t="s">
        <v>247</v>
      </c>
      <c r="H1085" s="123">
        <v>4400.0</v>
      </c>
      <c r="I1085" s="33" t="s">
        <v>2233</v>
      </c>
      <c r="J1085" s="33" t="s">
        <v>4158</v>
      </c>
      <c r="K1085" s="33">
        <v>1.0</v>
      </c>
      <c r="L1085" s="124" t="s">
        <v>9005</v>
      </c>
      <c r="M1085" s="31"/>
    </row>
    <row r="1086" hidden="1">
      <c r="A1086" s="33" t="s">
        <v>9000</v>
      </c>
      <c r="B1086" s="122">
        <v>45831.0</v>
      </c>
      <c r="C1086" s="33">
        <v>8.07000021827E11</v>
      </c>
      <c r="D1086" s="33" t="s">
        <v>9001</v>
      </c>
      <c r="E1086" s="33" t="s">
        <v>9002</v>
      </c>
      <c r="F1086" s="123" t="s">
        <v>9003</v>
      </c>
      <c r="G1086" s="123" t="s">
        <v>247</v>
      </c>
      <c r="H1086" s="123">
        <v>4400.0</v>
      </c>
      <c r="I1086" s="33" t="s">
        <v>512</v>
      </c>
      <c r="J1086" s="33" t="s">
        <v>513</v>
      </c>
      <c r="K1086" s="33">
        <v>6.0</v>
      </c>
      <c r="L1086" s="124" t="s">
        <v>9005</v>
      </c>
      <c r="M1086" s="31"/>
    </row>
    <row r="1087" hidden="1">
      <c r="A1087" s="33" t="s">
        <v>9006</v>
      </c>
      <c r="B1087" s="122">
        <v>45831.0</v>
      </c>
      <c r="C1087" s="152">
        <v>8.07000031791E11</v>
      </c>
      <c r="D1087" s="152" t="s">
        <v>9007</v>
      </c>
      <c r="E1087" s="152" t="s">
        <v>9008</v>
      </c>
      <c r="F1087" s="155" t="s">
        <v>9009</v>
      </c>
      <c r="G1087" s="123" t="s">
        <v>247</v>
      </c>
      <c r="H1087" s="123">
        <v>4400.0</v>
      </c>
      <c r="I1087" s="152" t="s">
        <v>512</v>
      </c>
      <c r="J1087" s="152" t="s">
        <v>513</v>
      </c>
      <c r="K1087" s="152">
        <v>12.0</v>
      </c>
      <c r="L1087" s="158" t="s">
        <v>9010</v>
      </c>
      <c r="M1087" s="31"/>
      <c r="N1087" s="193">
        <v>45831.0</v>
      </c>
      <c r="O1087" s="194" t="s">
        <v>9011</v>
      </c>
      <c r="P1087" s="160"/>
      <c r="Q1087" s="194" t="s">
        <v>9012</v>
      </c>
      <c r="R1087" s="195" t="s">
        <v>9013</v>
      </c>
      <c r="S1087" s="160"/>
      <c r="T1087" s="160"/>
      <c r="U1087" s="160"/>
      <c r="V1087" s="160"/>
      <c r="W1087" s="160"/>
      <c r="X1087" s="160"/>
      <c r="Y1087" s="160"/>
      <c r="Z1087" s="160"/>
      <c r="AA1087" s="160"/>
      <c r="AB1087" s="160"/>
      <c r="AC1087" s="160"/>
    </row>
    <row r="1088" hidden="1">
      <c r="A1088" s="33" t="s">
        <v>9006</v>
      </c>
      <c r="B1088" s="122">
        <v>45831.0</v>
      </c>
      <c r="C1088" s="152">
        <v>8.07000031792E11</v>
      </c>
      <c r="D1088" s="152" t="s">
        <v>9007</v>
      </c>
      <c r="E1088" s="152" t="s">
        <v>9008</v>
      </c>
      <c r="F1088" s="155" t="s">
        <v>9009</v>
      </c>
      <c r="G1088" s="123" t="s">
        <v>247</v>
      </c>
      <c r="H1088" s="123">
        <v>4400.0</v>
      </c>
      <c r="I1088" s="152" t="s">
        <v>298</v>
      </c>
      <c r="J1088" s="152" t="s">
        <v>6035</v>
      </c>
      <c r="K1088" s="152">
        <v>1.0</v>
      </c>
      <c r="L1088" s="158" t="s">
        <v>9010</v>
      </c>
      <c r="M1088" s="31"/>
      <c r="P1088" s="160"/>
      <c r="S1088" s="160"/>
      <c r="T1088" s="160"/>
      <c r="U1088" s="160"/>
      <c r="V1088" s="160"/>
      <c r="W1088" s="160"/>
      <c r="X1088" s="160"/>
      <c r="Y1088" s="160"/>
      <c r="Z1088" s="160"/>
      <c r="AA1088" s="160"/>
      <c r="AB1088" s="160"/>
      <c r="AC1088" s="160"/>
    </row>
    <row r="1089" hidden="1">
      <c r="A1089" s="125" t="s">
        <v>9006</v>
      </c>
      <c r="B1089" s="126">
        <v>45831.0</v>
      </c>
      <c r="C1089" s="196">
        <v>8.07000031792E11</v>
      </c>
      <c r="D1089" s="196" t="s">
        <v>9007</v>
      </c>
      <c r="E1089" s="196" t="s">
        <v>9008</v>
      </c>
      <c r="F1089" s="197" t="s">
        <v>9009</v>
      </c>
      <c r="G1089" s="127" t="s">
        <v>247</v>
      </c>
      <c r="H1089" s="127">
        <v>4400.0</v>
      </c>
      <c r="I1089" s="196" t="s">
        <v>340</v>
      </c>
      <c r="J1089" s="196" t="s">
        <v>3486</v>
      </c>
      <c r="K1089" s="196">
        <v>2.0</v>
      </c>
      <c r="L1089" s="198" t="s">
        <v>9010</v>
      </c>
      <c r="M1089" s="136"/>
      <c r="N1089" s="199"/>
      <c r="O1089" s="199"/>
      <c r="P1089" s="200"/>
      <c r="Q1089" s="199"/>
      <c r="R1089" s="199"/>
      <c r="S1089" s="200"/>
      <c r="T1089" s="200"/>
      <c r="U1089" s="200"/>
      <c r="V1089" s="200"/>
      <c r="W1089" s="200"/>
      <c r="X1089" s="200"/>
      <c r="Y1089" s="200"/>
      <c r="Z1089" s="200"/>
      <c r="AA1089" s="200"/>
      <c r="AB1089" s="200"/>
      <c r="AC1089" s="200"/>
    </row>
    <row r="1090" hidden="1">
      <c r="A1090" s="131" t="s">
        <v>9014</v>
      </c>
      <c r="B1090" s="132">
        <v>45834.0</v>
      </c>
      <c r="C1090" s="201">
        <v>8.07000031721E11</v>
      </c>
      <c r="D1090" s="201" t="s">
        <v>4274</v>
      </c>
      <c r="E1090" s="201" t="s">
        <v>4275</v>
      </c>
      <c r="F1090" s="156" t="s">
        <v>4276</v>
      </c>
      <c r="G1090" s="133" t="s">
        <v>247</v>
      </c>
      <c r="H1090" s="133">
        <v>4400.0</v>
      </c>
      <c r="I1090" s="201">
        <v>208501.0</v>
      </c>
      <c r="J1090" s="201" t="s">
        <v>481</v>
      </c>
      <c r="K1090" s="201">
        <v>2.0</v>
      </c>
      <c r="L1090" s="202" t="s">
        <v>9015</v>
      </c>
      <c r="M1090" s="135"/>
      <c r="P1090" s="160"/>
      <c r="S1090" s="160"/>
      <c r="T1090" s="160"/>
      <c r="U1090" s="160"/>
      <c r="V1090" s="160"/>
      <c r="W1090" s="160"/>
      <c r="X1090" s="160"/>
      <c r="Y1090" s="160"/>
      <c r="Z1090" s="160"/>
      <c r="AA1090" s="160"/>
      <c r="AB1090" s="160"/>
      <c r="AC1090" s="160"/>
    </row>
    <row r="1091" hidden="1">
      <c r="A1091" s="33" t="s">
        <v>9016</v>
      </c>
      <c r="B1091" s="122">
        <v>45834.0</v>
      </c>
      <c r="C1091" s="152">
        <v>8.07000031837E11</v>
      </c>
      <c r="D1091" s="152" t="s">
        <v>9017</v>
      </c>
      <c r="E1091" s="152" t="s">
        <v>9018</v>
      </c>
      <c r="F1091" s="155" t="s">
        <v>9019</v>
      </c>
      <c r="G1091" s="123" t="s">
        <v>9020</v>
      </c>
      <c r="H1091" s="123">
        <v>4400.0</v>
      </c>
      <c r="I1091" s="152" t="s">
        <v>512</v>
      </c>
      <c r="J1091" s="152" t="s">
        <v>513</v>
      </c>
      <c r="K1091" s="152">
        <v>6.0</v>
      </c>
      <c r="L1091" s="158" t="s">
        <v>9015</v>
      </c>
      <c r="M1091" s="31"/>
      <c r="P1091" s="160"/>
      <c r="S1091" s="160"/>
      <c r="T1091" s="160"/>
      <c r="U1091" s="160"/>
      <c r="V1091" s="160"/>
      <c r="W1091" s="160"/>
      <c r="X1091" s="160"/>
      <c r="Y1091" s="160"/>
      <c r="Z1091" s="160"/>
      <c r="AA1091" s="160"/>
      <c r="AB1091" s="160"/>
      <c r="AC1091" s="160"/>
    </row>
    <row r="1092" hidden="1">
      <c r="A1092" s="33" t="s">
        <v>9016</v>
      </c>
      <c r="B1092" s="122">
        <v>45834.0</v>
      </c>
      <c r="C1092" s="152">
        <v>8.07000031838E11</v>
      </c>
      <c r="D1092" s="152" t="s">
        <v>9017</v>
      </c>
      <c r="E1092" s="152" t="s">
        <v>9018</v>
      </c>
      <c r="F1092" s="155" t="s">
        <v>9019</v>
      </c>
      <c r="G1092" s="123" t="s">
        <v>9020</v>
      </c>
      <c r="H1092" s="123">
        <v>4400.0</v>
      </c>
      <c r="I1092" s="152" t="s">
        <v>2956</v>
      </c>
      <c r="J1092" s="152" t="s">
        <v>3327</v>
      </c>
      <c r="K1092" s="152">
        <v>1.0</v>
      </c>
      <c r="L1092" s="158" t="s">
        <v>9015</v>
      </c>
      <c r="M1092" s="31"/>
      <c r="P1092" s="160"/>
      <c r="S1092" s="160"/>
      <c r="T1092" s="160"/>
      <c r="U1092" s="160"/>
      <c r="V1092" s="160"/>
      <c r="W1092" s="160"/>
      <c r="X1092" s="160"/>
      <c r="Y1092" s="160"/>
      <c r="Z1092" s="160"/>
      <c r="AA1092" s="160"/>
      <c r="AB1092" s="160"/>
      <c r="AC1092" s="160"/>
    </row>
    <row r="1093" hidden="1">
      <c r="A1093" s="33" t="s">
        <v>9021</v>
      </c>
      <c r="B1093" s="122">
        <v>45834.0</v>
      </c>
      <c r="C1093" s="152">
        <v>8.07000031839E11</v>
      </c>
      <c r="D1093" s="152" t="s">
        <v>9017</v>
      </c>
      <c r="E1093" s="152" t="s">
        <v>9018</v>
      </c>
      <c r="F1093" s="155" t="s">
        <v>9019</v>
      </c>
      <c r="G1093" s="123" t="s">
        <v>9020</v>
      </c>
      <c r="H1093" s="123">
        <v>4400.0</v>
      </c>
      <c r="I1093" s="152" t="s">
        <v>670</v>
      </c>
      <c r="J1093" s="152" t="s">
        <v>3410</v>
      </c>
      <c r="K1093" s="152">
        <v>1.0</v>
      </c>
      <c r="L1093" s="158" t="s">
        <v>9015</v>
      </c>
      <c r="M1093" s="31"/>
      <c r="P1093" s="160"/>
      <c r="S1093" s="160"/>
      <c r="T1093" s="160"/>
      <c r="U1093" s="160"/>
      <c r="V1093" s="160"/>
      <c r="W1093" s="160"/>
      <c r="X1093" s="160"/>
      <c r="Y1093" s="160"/>
      <c r="Z1093" s="160"/>
      <c r="AA1093" s="160"/>
      <c r="AB1093" s="160"/>
      <c r="AC1093" s="160"/>
    </row>
    <row r="1094" hidden="1">
      <c r="A1094" s="33" t="s">
        <v>9022</v>
      </c>
      <c r="B1094" s="122">
        <v>45834.0</v>
      </c>
      <c r="C1094" s="152">
        <v>8.07000031831E11</v>
      </c>
      <c r="D1094" s="152" t="s">
        <v>9023</v>
      </c>
      <c r="E1094" s="152" t="s">
        <v>9024</v>
      </c>
      <c r="F1094" s="155" t="s">
        <v>9025</v>
      </c>
      <c r="G1094" s="123" t="s">
        <v>9026</v>
      </c>
      <c r="H1094" s="123">
        <v>4407.0</v>
      </c>
      <c r="I1094" s="152">
        <v>125807.0</v>
      </c>
      <c r="J1094" s="152" t="s">
        <v>237</v>
      </c>
      <c r="K1094" s="152">
        <v>2.0</v>
      </c>
      <c r="L1094" s="158" t="s">
        <v>9027</v>
      </c>
      <c r="M1094" s="31"/>
      <c r="P1094" s="160"/>
      <c r="S1094" s="160"/>
      <c r="T1094" s="160"/>
      <c r="U1094" s="160"/>
      <c r="V1094" s="160"/>
      <c r="W1094" s="160"/>
      <c r="X1094" s="160"/>
      <c r="Y1094" s="160"/>
      <c r="Z1094" s="160"/>
      <c r="AA1094" s="160"/>
      <c r="AB1094" s="160"/>
      <c r="AC1094" s="160"/>
    </row>
    <row r="1095" hidden="1">
      <c r="A1095" s="33" t="s">
        <v>9022</v>
      </c>
      <c r="B1095" s="122">
        <v>45834.0</v>
      </c>
      <c r="C1095" s="152">
        <v>8.07000031831E11</v>
      </c>
      <c r="D1095" s="152" t="s">
        <v>9023</v>
      </c>
      <c r="E1095" s="152" t="s">
        <v>9024</v>
      </c>
      <c r="F1095" s="155" t="s">
        <v>9025</v>
      </c>
      <c r="G1095" s="123" t="s">
        <v>9026</v>
      </c>
      <c r="H1095" s="123">
        <v>4407.0</v>
      </c>
      <c r="I1095" s="152">
        <v>125813.0</v>
      </c>
      <c r="J1095" s="152" t="s">
        <v>5703</v>
      </c>
      <c r="K1095" s="152">
        <v>2.0</v>
      </c>
      <c r="L1095" s="158" t="s">
        <v>9027</v>
      </c>
      <c r="M1095" s="31"/>
      <c r="P1095" s="160"/>
      <c r="S1095" s="160"/>
      <c r="T1095" s="160"/>
      <c r="U1095" s="160"/>
      <c r="V1095" s="160"/>
      <c r="W1095" s="160"/>
      <c r="X1095" s="160"/>
      <c r="Y1095" s="160"/>
      <c r="Z1095" s="160"/>
      <c r="AA1095" s="160"/>
      <c r="AB1095" s="160"/>
      <c r="AC1095" s="160"/>
    </row>
    <row r="1096" hidden="1">
      <c r="A1096" s="33" t="s">
        <v>9028</v>
      </c>
      <c r="B1096" s="122">
        <v>45834.0</v>
      </c>
      <c r="C1096" s="152">
        <v>8.07000031832E11</v>
      </c>
      <c r="D1096" s="152" t="s">
        <v>9023</v>
      </c>
      <c r="E1096" s="152" t="s">
        <v>9024</v>
      </c>
      <c r="F1096" s="155" t="s">
        <v>9025</v>
      </c>
      <c r="G1096" s="123" t="s">
        <v>9026</v>
      </c>
      <c r="H1096" s="123">
        <v>4407.0</v>
      </c>
      <c r="I1096" s="152" t="s">
        <v>512</v>
      </c>
      <c r="J1096" s="152" t="s">
        <v>513</v>
      </c>
      <c r="K1096" s="152">
        <v>6.0</v>
      </c>
      <c r="L1096" s="158" t="s">
        <v>9027</v>
      </c>
      <c r="M1096" s="31"/>
      <c r="P1096" s="160"/>
      <c r="S1096" s="160"/>
      <c r="T1096" s="160"/>
      <c r="U1096" s="160"/>
      <c r="V1096" s="160"/>
      <c r="W1096" s="160"/>
      <c r="X1096" s="160"/>
      <c r="Y1096" s="160"/>
      <c r="Z1096" s="160"/>
      <c r="AA1096" s="160"/>
      <c r="AB1096" s="160"/>
      <c r="AC1096" s="160"/>
    </row>
    <row r="1097" hidden="1">
      <c r="A1097" s="33" t="s">
        <v>9028</v>
      </c>
      <c r="B1097" s="122">
        <v>45834.0</v>
      </c>
      <c r="C1097" s="152">
        <v>8.07000031833E11</v>
      </c>
      <c r="D1097" s="152" t="s">
        <v>9023</v>
      </c>
      <c r="E1097" s="152" t="s">
        <v>9024</v>
      </c>
      <c r="F1097" s="155" t="s">
        <v>9025</v>
      </c>
      <c r="G1097" s="123" t="s">
        <v>9026</v>
      </c>
      <c r="H1097" s="123">
        <v>4407.0</v>
      </c>
      <c r="I1097" s="152" t="s">
        <v>812</v>
      </c>
      <c r="J1097" s="152" t="s">
        <v>3564</v>
      </c>
      <c r="K1097" s="152">
        <v>1.0</v>
      </c>
      <c r="L1097" s="158" t="s">
        <v>9027</v>
      </c>
      <c r="M1097" s="31"/>
      <c r="P1097" s="160"/>
      <c r="S1097" s="160"/>
      <c r="T1097" s="160"/>
      <c r="U1097" s="160"/>
      <c r="V1097" s="160"/>
      <c r="W1097" s="160"/>
      <c r="X1097" s="160"/>
      <c r="Y1097" s="160"/>
      <c r="Z1097" s="160"/>
      <c r="AA1097" s="160"/>
      <c r="AB1097" s="160"/>
      <c r="AC1097" s="160"/>
    </row>
    <row r="1098" hidden="1">
      <c r="A1098" s="33" t="s">
        <v>9028</v>
      </c>
      <c r="B1098" s="122">
        <v>45834.0</v>
      </c>
      <c r="C1098" s="152">
        <v>8.07000031833E11</v>
      </c>
      <c r="D1098" s="152" t="s">
        <v>9023</v>
      </c>
      <c r="E1098" s="152" t="s">
        <v>9024</v>
      </c>
      <c r="F1098" s="155" t="s">
        <v>9025</v>
      </c>
      <c r="G1098" s="123" t="s">
        <v>9026</v>
      </c>
      <c r="H1098" s="123">
        <v>4407.0</v>
      </c>
      <c r="I1098" s="152" t="s">
        <v>35</v>
      </c>
      <c r="J1098" s="152" t="s">
        <v>3188</v>
      </c>
      <c r="K1098" s="152">
        <v>1.0</v>
      </c>
      <c r="L1098" s="158" t="s">
        <v>9027</v>
      </c>
      <c r="M1098" s="31"/>
      <c r="P1098" s="160"/>
      <c r="S1098" s="160"/>
      <c r="T1098" s="160"/>
      <c r="U1098" s="160"/>
      <c r="V1098" s="160"/>
      <c r="W1098" s="160"/>
      <c r="X1098" s="160"/>
      <c r="Y1098" s="160"/>
      <c r="Z1098" s="160"/>
      <c r="AA1098" s="160"/>
      <c r="AB1098" s="160"/>
      <c r="AC1098" s="160"/>
    </row>
    <row r="1099" hidden="1">
      <c r="A1099" s="33" t="s">
        <v>9029</v>
      </c>
      <c r="B1099" s="122">
        <v>45834.0</v>
      </c>
      <c r="C1099" s="152">
        <v>8.07000031834E11</v>
      </c>
      <c r="D1099" s="152" t="s">
        <v>9023</v>
      </c>
      <c r="E1099" s="152" t="s">
        <v>9024</v>
      </c>
      <c r="F1099" s="155" t="s">
        <v>9025</v>
      </c>
      <c r="G1099" s="123" t="s">
        <v>9026</v>
      </c>
      <c r="H1099" s="123">
        <v>4407.0</v>
      </c>
      <c r="I1099" s="152" t="s">
        <v>512</v>
      </c>
      <c r="J1099" s="152" t="s">
        <v>513</v>
      </c>
      <c r="K1099" s="152">
        <v>12.0</v>
      </c>
      <c r="L1099" s="158" t="s">
        <v>9027</v>
      </c>
      <c r="M1099" s="31"/>
      <c r="P1099" s="160"/>
      <c r="S1099" s="160"/>
      <c r="T1099" s="160"/>
      <c r="U1099" s="160"/>
      <c r="V1099" s="160"/>
      <c r="W1099" s="160"/>
      <c r="X1099" s="160"/>
      <c r="Y1099" s="160"/>
      <c r="Z1099" s="160"/>
      <c r="AA1099" s="160"/>
      <c r="AB1099" s="160"/>
      <c r="AC1099" s="160"/>
    </row>
    <row r="1100" hidden="1">
      <c r="A1100" s="33" t="s">
        <v>9029</v>
      </c>
      <c r="B1100" s="122">
        <v>45834.0</v>
      </c>
      <c r="C1100" s="152">
        <v>8.07000031835E11</v>
      </c>
      <c r="D1100" s="152" t="s">
        <v>9023</v>
      </c>
      <c r="E1100" s="152" t="s">
        <v>9024</v>
      </c>
      <c r="F1100" s="155" t="s">
        <v>9025</v>
      </c>
      <c r="G1100" s="123" t="s">
        <v>9026</v>
      </c>
      <c r="H1100" s="123">
        <v>4407.0</v>
      </c>
      <c r="I1100" s="152" t="s">
        <v>1937</v>
      </c>
      <c r="J1100" s="152" t="s">
        <v>4036</v>
      </c>
      <c r="K1100" s="152">
        <v>1.0</v>
      </c>
      <c r="L1100" s="158" t="s">
        <v>9027</v>
      </c>
      <c r="M1100" s="31"/>
      <c r="P1100" s="160"/>
      <c r="S1100" s="160"/>
      <c r="T1100" s="160"/>
      <c r="U1100" s="160"/>
      <c r="V1100" s="160"/>
      <c r="W1100" s="160"/>
      <c r="X1100" s="160"/>
      <c r="Y1100" s="160"/>
      <c r="Z1100" s="160"/>
      <c r="AA1100" s="160"/>
      <c r="AB1100" s="160"/>
      <c r="AC1100" s="160"/>
    </row>
    <row r="1101" hidden="1">
      <c r="A1101" s="33" t="s">
        <v>9029</v>
      </c>
      <c r="B1101" s="122">
        <v>45834.0</v>
      </c>
      <c r="C1101" s="152">
        <v>8.07000031835E11</v>
      </c>
      <c r="D1101" s="152" t="s">
        <v>9023</v>
      </c>
      <c r="E1101" s="152" t="s">
        <v>9024</v>
      </c>
      <c r="F1101" s="155" t="s">
        <v>9025</v>
      </c>
      <c r="G1101" s="123" t="s">
        <v>9026</v>
      </c>
      <c r="H1101" s="123">
        <v>4407.0</v>
      </c>
      <c r="I1101" s="152" t="s">
        <v>233</v>
      </c>
      <c r="J1101" s="152" t="s">
        <v>3459</v>
      </c>
      <c r="K1101" s="152">
        <v>2.0</v>
      </c>
      <c r="L1101" s="158" t="s">
        <v>9027</v>
      </c>
      <c r="M1101" s="31"/>
      <c r="P1101" s="160"/>
      <c r="S1101" s="160"/>
      <c r="T1101" s="160"/>
      <c r="U1101" s="160"/>
      <c r="V1101" s="160"/>
      <c r="W1101" s="160"/>
      <c r="X1101" s="160"/>
      <c r="Y1101" s="160"/>
      <c r="Z1101" s="160"/>
      <c r="AA1101" s="160"/>
      <c r="AB1101" s="160"/>
      <c r="AC1101" s="160"/>
    </row>
    <row r="1102" hidden="1">
      <c r="A1102" s="33" t="s">
        <v>9030</v>
      </c>
      <c r="B1102" s="122">
        <v>45834.0</v>
      </c>
      <c r="C1102" s="33">
        <v>8.07000031866E11</v>
      </c>
      <c r="D1102" s="33" t="s">
        <v>9031</v>
      </c>
      <c r="E1102" s="33" t="s">
        <v>9032</v>
      </c>
      <c r="F1102" s="123" t="s">
        <v>9033</v>
      </c>
      <c r="G1102" s="123" t="s">
        <v>3850</v>
      </c>
      <c r="H1102" s="123">
        <v>4421.0</v>
      </c>
      <c r="I1102" s="33" t="s">
        <v>512</v>
      </c>
      <c r="J1102" s="33" t="s">
        <v>513</v>
      </c>
      <c r="K1102" s="33">
        <v>6.0</v>
      </c>
      <c r="L1102" s="124" t="s">
        <v>9034</v>
      </c>
      <c r="M1102" s="31"/>
    </row>
    <row r="1103" hidden="1">
      <c r="A1103" s="33" t="s">
        <v>9030</v>
      </c>
      <c r="B1103" s="122">
        <v>45834.0</v>
      </c>
      <c r="C1103" s="33">
        <v>8.07000031867E11</v>
      </c>
      <c r="D1103" s="33" t="s">
        <v>9031</v>
      </c>
      <c r="E1103" s="33" t="s">
        <v>9032</v>
      </c>
      <c r="F1103" s="123" t="s">
        <v>9033</v>
      </c>
      <c r="G1103" s="123" t="s">
        <v>3850</v>
      </c>
      <c r="H1103" s="123">
        <v>4421.0</v>
      </c>
      <c r="I1103" s="33" t="s">
        <v>360</v>
      </c>
      <c r="J1103" s="33" t="s">
        <v>3425</v>
      </c>
      <c r="K1103" s="33">
        <v>1.0</v>
      </c>
      <c r="L1103" s="124" t="s">
        <v>9034</v>
      </c>
      <c r="M1103" s="31"/>
    </row>
    <row r="1104" hidden="1">
      <c r="A1104" s="33" t="s">
        <v>9030</v>
      </c>
      <c r="B1104" s="122">
        <v>45834.0</v>
      </c>
      <c r="C1104" s="33">
        <v>8.07000031867E11</v>
      </c>
      <c r="D1104" s="33" t="s">
        <v>9031</v>
      </c>
      <c r="E1104" s="33" t="s">
        <v>9032</v>
      </c>
      <c r="F1104" s="123" t="s">
        <v>9033</v>
      </c>
      <c r="G1104" s="123" t="s">
        <v>3850</v>
      </c>
      <c r="H1104" s="123">
        <v>4421.0</v>
      </c>
      <c r="I1104" s="33" t="s">
        <v>25</v>
      </c>
      <c r="J1104" s="33" t="s">
        <v>3401</v>
      </c>
      <c r="K1104" s="33">
        <v>1.0</v>
      </c>
      <c r="L1104" s="124" t="s">
        <v>9034</v>
      </c>
      <c r="M1104" s="31"/>
    </row>
    <row r="1105" hidden="1">
      <c r="A1105" s="33" t="s">
        <v>9035</v>
      </c>
      <c r="B1105" s="122">
        <v>45834.0</v>
      </c>
      <c r="C1105" s="33">
        <v>8.07000031876E11</v>
      </c>
      <c r="D1105" s="33" t="s">
        <v>9036</v>
      </c>
      <c r="E1105" s="33" t="s">
        <v>9037</v>
      </c>
      <c r="F1105" s="123" t="s">
        <v>9038</v>
      </c>
      <c r="G1105" s="123" t="s">
        <v>247</v>
      </c>
      <c r="H1105" s="123">
        <v>4400.0</v>
      </c>
      <c r="I1105" s="33">
        <v>208501.0</v>
      </c>
      <c r="J1105" s="33" t="s">
        <v>481</v>
      </c>
      <c r="K1105" s="33">
        <v>2.0</v>
      </c>
      <c r="L1105" s="124" t="s">
        <v>9039</v>
      </c>
      <c r="M1105" s="31"/>
    </row>
    <row r="1106" hidden="1">
      <c r="A1106" s="33" t="s">
        <v>9035</v>
      </c>
      <c r="B1106" s="122">
        <v>45834.0</v>
      </c>
      <c r="C1106" s="33">
        <v>8.07000031876E11</v>
      </c>
      <c r="D1106" s="33" t="s">
        <v>9036</v>
      </c>
      <c r="E1106" s="33" t="s">
        <v>9037</v>
      </c>
      <c r="F1106" s="123" t="s">
        <v>9038</v>
      </c>
      <c r="G1106" s="123" t="s">
        <v>247</v>
      </c>
      <c r="H1106" s="123">
        <v>4400.0</v>
      </c>
      <c r="I1106" s="33">
        <v>2.2346259141E10</v>
      </c>
      <c r="J1106" s="33" t="s">
        <v>8121</v>
      </c>
      <c r="K1106" s="33">
        <v>1.0</v>
      </c>
      <c r="L1106" s="124" t="s">
        <v>9039</v>
      </c>
      <c r="M1106" s="31"/>
    </row>
    <row r="1107" hidden="1">
      <c r="A1107" s="33" t="s">
        <v>9035</v>
      </c>
      <c r="B1107" s="122">
        <v>45834.0</v>
      </c>
      <c r="C1107" s="33">
        <v>8.07000031877E11</v>
      </c>
      <c r="D1107" s="33" t="s">
        <v>9036</v>
      </c>
      <c r="E1107" s="33" t="s">
        <v>9037</v>
      </c>
      <c r="F1107" s="123" t="s">
        <v>9038</v>
      </c>
      <c r="G1107" s="123" t="s">
        <v>247</v>
      </c>
      <c r="H1107" s="123">
        <v>4400.0</v>
      </c>
      <c r="I1107" s="33" t="s">
        <v>3817</v>
      </c>
      <c r="J1107" s="33" t="s">
        <v>3818</v>
      </c>
      <c r="K1107" s="33">
        <v>1.0</v>
      </c>
      <c r="L1107" s="124" t="s">
        <v>9039</v>
      </c>
      <c r="M1107" s="31"/>
    </row>
    <row r="1108" hidden="1">
      <c r="A1108" s="33" t="s">
        <v>9040</v>
      </c>
      <c r="B1108" s="122">
        <v>45834.0</v>
      </c>
      <c r="C1108" s="33">
        <v>8.07000031878E11</v>
      </c>
      <c r="D1108" s="33" t="s">
        <v>9036</v>
      </c>
      <c r="E1108" s="33" t="s">
        <v>9037</v>
      </c>
      <c r="F1108" s="123" t="s">
        <v>9038</v>
      </c>
      <c r="G1108" s="123" t="s">
        <v>247</v>
      </c>
      <c r="H1108" s="123">
        <v>4400.0</v>
      </c>
      <c r="I1108" s="33" t="s">
        <v>302</v>
      </c>
      <c r="J1108" s="33" t="s">
        <v>303</v>
      </c>
      <c r="K1108" s="33">
        <v>1.0</v>
      </c>
      <c r="L1108" s="124" t="s">
        <v>9039</v>
      </c>
      <c r="M1108" s="31"/>
    </row>
    <row r="1109" hidden="1">
      <c r="A1109" s="33" t="s">
        <v>9041</v>
      </c>
      <c r="B1109" s="122">
        <v>45834.0</v>
      </c>
      <c r="C1109" s="33">
        <v>8.07000031702E11</v>
      </c>
      <c r="D1109" s="33" t="s">
        <v>9042</v>
      </c>
      <c r="E1109" s="33" t="s">
        <v>9043</v>
      </c>
      <c r="F1109" s="123" t="s">
        <v>9044</v>
      </c>
      <c r="G1109" s="123" t="s">
        <v>9045</v>
      </c>
      <c r="H1109" s="123">
        <v>4432.0</v>
      </c>
      <c r="I1109" s="33">
        <v>2.2346259146E10</v>
      </c>
      <c r="J1109" s="33" t="s">
        <v>9046</v>
      </c>
      <c r="K1109" s="33">
        <v>1.0</v>
      </c>
      <c r="L1109" s="124" t="s">
        <v>9047</v>
      </c>
      <c r="M1109" s="31"/>
    </row>
    <row r="1110" hidden="1">
      <c r="A1110" s="33" t="s">
        <v>9041</v>
      </c>
      <c r="B1110" s="122">
        <v>45834.0</v>
      </c>
      <c r="C1110" s="33">
        <v>8.07000031703E11</v>
      </c>
      <c r="D1110" s="33" t="s">
        <v>9042</v>
      </c>
      <c r="E1110" s="33" t="s">
        <v>9043</v>
      </c>
      <c r="F1110" s="123" t="s">
        <v>9044</v>
      </c>
      <c r="G1110" s="123" t="s">
        <v>9045</v>
      </c>
      <c r="H1110" s="123">
        <v>4432.0</v>
      </c>
      <c r="I1110" s="33">
        <v>2.234625915E10</v>
      </c>
      <c r="J1110" s="33" t="s">
        <v>9048</v>
      </c>
      <c r="K1110" s="33">
        <v>1.0</v>
      </c>
      <c r="L1110" s="124" t="s">
        <v>9047</v>
      </c>
      <c r="M1110" s="31"/>
    </row>
    <row r="1111" hidden="1">
      <c r="A1111" s="33" t="s">
        <v>9041</v>
      </c>
      <c r="B1111" s="122">
        <v>45834.0</v>
      </c>
      <c r="C1111" s="33">
        <v>8.07000031705E11</v>
      </c>
      <c r="D1111" s="33" t="s">
        <v>9042</v>
      </c>
      <c r="E1111" s="33" t="s">
        <v>9043</v>
      </c>
      <c r="F1111" s="123" t="s">
        <v>9044</v>
      </c>
      <c r="G1111" s="123" t="s">
        <v>9045</v>
      </c>
      <c r="H1111" s="123">
        <v>4432.0</v>
      </c>
      <c r="I1111" s="33" t="s">
        <v>1337</v>
      </c>
      <c r="J1111" s="33" t="s">
        <v>9049</v>
      </c>
      <c r="K1111" s="33">
        <v>1.0</v>
      </c>
      <c r="L1111" s="124" t="s">
        <v>9047</v>
      </c>
      <c r="M1111" s="31"/>
    </row>
    <row r="1112" hidden="1">
      <c r="A1112" s="33" t="s">
        <v>9041</v>
      </c>
      <c r="B1112" s="122">
        <v>45834.0</v>
      </c>
      <c r="C1112" s="33">
        <v>8.07000031705E11</v>
      </c>
      <c r="D1112" s="33" t="s">
        <v>9042</v>
      </c>
      <c r="E1112" s="33" t="s">
        <v>9043</v>
      </c>
      <c r="F1112" s="123" t="s">
        <v>9044</v>
      </c>
      <c r="G1112" s="123" t="s">
        <v>9045</v>
      </c>
      <c r="H1112" s="123">
        <v>4432.0</v>
      </c>
      <c r="I1112" s="33" t="s">
        <v>233</v>
      </c>
      <c r="J1112" s="33" t="s">
        <v>3459</v>
      </c>
      <c r="K1112" s="33">
        <v>2.0</v>
      </c>
      <c r="L1112" s="124" t="s">
        <v>9047</v>
      </c>
      <c r="M1112" s="31"/>
    </row>
    <row r="1113" hidden="1">
      <c r="A1113" s="33" t="s">
        <v>9050</v>
      </c>
      <c r="B1113" s="122">
        <v>45834.0</v>
      </c>
      <c r="C1113" s="33">
        <v>8.07000031522E11</v>
      </c>
      <c r="D1113" s="33" t="s">
        <v>9051</v>
      </c>
      <c r="E1113" s="33" t="s">
        <v>9052</v>
      </c>
      <c r="F1113" s="123" t="s">
        <v>9053</v>
      </c>
      <c r="G1113" s="123" t="s">
        <v>582</v>
      </c>
      <c r="H1113" s="123">
        <v>4407.0</v>
      </c>
      <c r="I1113" s="33" t="s">
        <v>3971</v>
      </c>
      <c r="J1113" s="33" t="s">
        <v>3972</v>
      </c>
      <c r="K1113" s="33">
        <v>1.0</v>
      </c>
      <c r="L1113" s="124" t="s">
        <v>9054</v>
      </c>
      <c r="M1113" s="31"/>
    </row>
    <row r="1114" hidden="1">
      <c r="A1114" s="33" t="s">
        <v>9055</v>
      </c>
      <c r="B1114" s="122">
        <v>45834.0</v>
      </c>
      <c r="C1114" s="33">
        <v>8.07000031868E11</v>
      </c>
      <c r="D1114" s="33" t="s">
        <v>9056</v>
      </c>
      <c r="E1114" s="33" t="s">
        <v>9057</v>
      </c>
      <c r="F1114" s="123" t="s">
        <v>9058</v>
      </c>
      <c r="G1114" s="123" t="s">
        <v>247</v>
      </c>
      <c r="H1114" s="123">
        <v>4400.0</v>
      </c>
      <c r="I1114" s="33" t="s">
        <v>812</v>
      </c>
      <c r="J1114" s="33" t="s">
        <v>3564</v>
      </c>
      <c r="K1114" s="33">
        <v>1.0</v>
      </c>
      <c r="L1114" s="124" t="s">
        <v>9059</v>
      </c>
      <c r="M1114" s="31"/>
    </row>
    <row r="1115" hidden="1">
      <c r="A1115" s="33" t="s">
        <v>9060</v>
      </c>
      <c r="B1115" s="122">
        <v>45834.0</v>
      </c>
      <c r="C1115" s="33">
        <v>8.07000031873E11</v>
      </c>
      <c r="D1115" s="33" t="s">
        <v>9061</v>
      </c>
      <c r="E1115" s="33" t="s">
        <v>9062</v>
      </c>
      <c r="F1115" s="123" t="s">
        <v>9063</v>
      </c>
      <c r="G1115" s="123" t="s">
        <v>247</v>
      </c>
      <c r="H1115" s="123">
        <v>4400.0</v>
      </c>
      <c r="I1115" s="33" t="s">
        <v>512</v>
      </c>
      <c r="J1115" s="33" t="s">
        <v>513</v>
      </c>
      <c r="K1115" s="33">
        <v>12.0</v>
      </c>
      <c r="L1115" s="124" t="s">
        <v>9064</v>
      </c>
      <c r="M1115" s="31"/>
    </row>
    <row r="1116" hidden="1">
      <c r="A1116" s="33" t="s">
        <v>9060</v>
      </c>
      <c r="B1116" s="122">
        <v>45834.0</v>
      </c>
      <c r="C1116" s="33">
        <v>8.07000031874E11</v>
      </c>
      <c r="D1116" s="33" t="s">
        <v>9061</v>
      </c>
      <c r="E1116" s="33" t="s">
        <v>9062</v>
      </c>
      <c r="F1116" s="123" t="s">
        <v>9063</v>
      </c>
      <c r="G1116" s="123" t="s">
        <v>247</v>
      </c>
      <c r="H1116" s="123">
        <v>4400.0</v>
      </c>
      <c r="I1116" s="33" t="s">
        <v>3484</v>
      </c>
      <c r="J1116" s="33" t="s">
        <v>3485</v>
      </c>
      <c r="K1116" s="33">
        <v>1.0</v>
      </c>
      <c r="L1116" s="124" t="s">
        <v>9064</v>
      </c>
      <c r="M1116" s="31"/>
    </row>
    <row r="1117" hidden="1">
      <c r="A1117" s="33" t="s">
        <v>9060</v>
      </c>
      <c r="B1117" s="122">
        <v>45834.0</v>
      </c>
      <c r="C1117" s="33">
        <v>8.07000031874E11</v>
      </c>
      <c r="D1117" s="33" t="s">
        <v>9061</v>
      </c>
      <c r="E1117" s="33" t="s">
        <v>9062</v>
      </c>
      <c r="F1117" s="123" t="s">
        <v>9063</v>
      </c>
      <c r="G1117" s="123" t="s">
        <v>247</v>
      </c>
      <c r="H1117" s="123">
        <v>4400.0</v>
      </c>
      <c r="I1117" s="33" t="s">
        <v>340</v>
      </c>
      <c r="J1117" s="33" t="s">
        <v>3486</v>
      </c>
      <c r="K1117" s="33">
        <v>2.0</v>
      </c>
      <c r="L1117" s="124" t="s">
        <v>9064</v>
      </c>
      <c r="M1117" s="31"/>
    </row>
    <row r="1118" hidden="1">
      <c r="A1118" s="33" t="s">
        <v>9065</v>
      </c>
      <c r="B1118" s="122">
        <v>45835.0</v>
      </c>
      <c r="C1118" s="33">
        <v>8.0700003189E11</v>
      </c>
      <c r="D1118" s="33" t="s">
        <v>9066</v>
      </c>
      <c r="E1118" s="33" t="s">
        <v>9067</v>
      </c>
      <c r="F1118" s="123" t="s">
        <v>9068</v>
      </c>
      <c r="G1118" s="123" t="s">
        <v>247</v>
      </c>
      <c r="H1118" s="123">
        <v>4400.0</v>
      </c>
      <c r="I1118" s="33" t="s">
        <v>4368</v>
      </c>
      <c r="J1118" s="33" t="s">
        <v>4369</v>
      </c>
      <c r="K1118" s="33">
        <v>1.0</v>
      </c>
      <c r="L1118" s="124" t="s">
        <v>9069</v>
      </c>
      <c r="M1118" s="31"/>
      <c r="N1118" s="203">
        <v>45835.0</v>
      </c>
      <c r="O1118" s="204" t="s">
        <v>9011</v>
      </c>
      <c r="P1118" s="34"/>
      <c r="Q1118" s="204" t="s">
        <v>9012</v>
      </c>
      <c r="R1118" s="205" t="s">
        <v>9070</v>
      </c>
      <c r="S1118" s="34"/>
      <c r="T1118" s="34"/>
    </row>
    <row r="1119" hidden="1">
      <c r="A1119" s="33" t="s">
        <v>9071</v>
      </c>
      <c r="B1119" s="122">
        <v>45835.0</v>
      </c>
      <c r="C1119" s="33">
        <v>8.07000031891E11</v>
      </c>
      <c r="D1119" s="33" t="s">
        <v>9066</v>
      </c>
      <c r="E1119" s="33" t="s">
        <v>9067</v>
      </c>
      <c r="F1119" s="123" t="s">
        <v>9072</v>
      </c>
      <c r="G1119" s="123" t="s">
        <v>247</v>
      </c>
      <c r="H1119" s="123">
        <v>4400.0</v>
      </c>
      <c r="I1119" s="33" t="s">
        <v>2303</v>
      </c>
      <c r="J1119" s="33" t="s">
        <v>9073</v>
      </c>
      <c r="K1119" s="33">
        <v>1.0</v>
      </c>
      <c r="L1119" s="124" t="s">
        <v>9069</v>
      </c>
      <c r="M1119" s="31"/>
      <c r="N1119" s="206"/>
      <c r="O1119" s="206"/>
      <c r="P1119" s="34"/>
      <c r="Q1119" s="206"/>
      <c r="R1119" s="206"/>
      <c r="S1119" s="34"/>
      <c r="T1119" s="34"/>
    </row>
    <row r="1120" hidden="1">
      <c r="A1120" s="33" t="s">
        <v>9074</v>
      </c>
      <c r="B1120" s="122">
        <v>45835.0</v>
      </c>
      <c r="C1120" s="33">
        <v>8.07000031886E11</v>
      </c>
      <c r="D1120" s="33" t="s">
        <v>9075</v>
      </c>
      <c r="E1120" s="33" t="s">
        <v>9076</v>
      </c>
      <c r="F1120" s="123" t="s">
        <v>9077</v>
      </c>
      <c r="G1120" s="123" t="s">
        <v>9078</v>
      </c>
      <c r="H1120" s="123">
        <v>4407.0</v>
      </c>
      <c r="I1120" s="33" t="s">
        <v>3166</v>
      </c>
      <c r="J1120" s="33" t="s">
        <v>3167</v>
      </c>
      <c r="K1120" s="33">
        <v>1.0</v>
      </c>
      <c r="L1120" s="124" t="s">
        <v>9079</v>
      </c>
      <c r="M1120" s="31"/>
      <c r="N1120" s="203">
        <v>45835.0</v>
      </c>
      <c r="O1120" s="204" t="s">
        <v>9011</v>
      </c>
      <c r="P1120" s="34"/>
      <c r="Q1120" s="204" t="s">
        <v>9080</v>
      </c>
      <c r="R1120" s="205" t="s">
        <v>9081</v>
      </c>
      <c r="S1120" s="34"/>
      <c r="T1120" s="34"/>
    </row>
    <row r="1121" hidden="1">
      <c r="A1121" s="33" t="s">
        <v>9082</v>
      </c>
      <c r="B1121" s="122">
        <v>45835.0</v>
      </c>
      <c r="C1121" s="33">
        <v>8.07000031887E11</v>
      </c>
      <c r="D1121" s="33" t="s">
        <v>9075</v>
      </c>
      <c r="E1121" s="33" t="s">
        <v>9076</v>
      </c>
      <c r="F1121" s="123" t="s">
        <v>9077</v>
      </c>
      <c r="G1121" s="123" t="s">
        <v>9078</v>
      </c>
      <c r="H1121" s="123">
        <v>4407.0</v>
      </c>
      <c r="I1121" s="33" t="s">
        <v>2410</v>
      </c>
      <c r="J1121" s="33" t="s">
        <v>3860</v>
      </c>
      <c r="K1121" s="33">
        <v>1.0</v>
      </c>
      <c r="L1121" s="124" t="s">
        <v>9079</v>
      </c>
      <c r="M1121" s="31"/>
      <c r="N1121" s="206"/>
      <c r="O1121" s="206"/>
      <c r="P1121" s="34"/>
      <c r="Q1121" s="206"/>
      <c r="R1121" s="206"/>
      <c r="S1121" s="34"/>
      <c r="T1121" s="34"/>
    </row>
    <row r="1122" hidden="1">
      <c r="A1122" s="33" t="s">
        <v>9083</v>
      </c>
      <c r="B1122" s="122">
        <v>45835.0</v>
      </c>
      <c r="C1122" s="33">
        <v>8.07000031895E11</v>
      </c>
      <c r="D1122" s="33" t="s">
        <v>9084</v>
      </c>
      <c r="E1122" s="33" t="s">
        <v>9085</v>
      </c>
      <c r="F1122" s="123" t="s">
        <v>9086</v>
      </c>
      <c r="G1122" s="123" t="s">
        <v>247</v>
      </c>
      <c r="H1122" s="123">
        <v>4400.0</v>
      </c>
      <c r="I1122" s="33" t="s">
        <v>812</v>
      </c>
      <c r="J1122" s="33" t="s">
        <v>3564</v>
      </c>
      <c r="K1122" s="33">
        <v>1.0</v>
      </c>
      <c r="L1122" s="124" t="s">
        <v>9087</v>
      </c>
      <c r="M1122" s="31"/>
      <c r="N1122" s="207">
        <v>45835.0</v>
      </c>
      <c r="O1122" s="123" t="s">
        <v>9011</v>
      </c>
      <c r="P1122" s="34"/>
      <c r="Q1122" s="123" t="s">
        <v>9012</v>
      </c>
      <c r="R1122" s="208" t="s">
        <v>9088</v>
      </c>
      <c r="S1122" s="34"/>
      <c r="T1122" s="34"/>
    </row>
    <row r="1123" hidden="1">
      <c r="A1123" s="33" t="s">
        <v>9089</v>
      </c>
      <c r="B1123" s="122">
        <v>45835.0</v>
      </c>
      <c r="C1123" s="33">
        <v>8.07000031896E11</v>
      </c>
      <c r="D1123" s="33" t="s">
        <v>9090</v>
      </c>
      <c r="E1123" s="33" t="s">
        <v>9091</v>
      </c>
      <c r="F1123" s="123" t="s">
        <v>9092</v>
      </c>
      <c r="G1123" s="123" t="s">
        <v>247</v>
      </c>
      <c r="H1123" s="123">
        <v>4400.0</v>
      </c>
      <c r="I1123" s="33">
        <v>125818.0</v>
      </c>
      <c r="J1123" s="33" t="s">
        <v>4334</v>
      </c>
      <c r="K1123" s="33">
        <v>1.0</v>
      </c>
      <c r="L1123" s="124" t="s">
        <v>9093</v>
      </c>
      <c r="M1123" s="31"/>
      <c r="N1123" s="203">
        <v>45835.0</v>
      </c>
      <c r="O1123" s="204" t="s">
        <v>9011</v>
      </c>
      <c r="P1123" s="34"/>
      <c r="Q1123" s="204" t="s">
        <v>9012</v>
      </c>
      <c r="R1123" s="205" t="s">
        <v>9094</v>
      </c>
      <c r="S1123" s="34"/>
      <c r="T1123" s="34"/>
    </row>
    <row r="1124" hidden="1">
      <c r="A1124" s="33" t="s">
        <v>9089</v>
      </c>
      <c r="B1124" s="122">
        <v>45835.0</v>
      </c>
      <c r="C1124" s="33">
        <v>8.07000031897E11</v>
      </c>
      <c r="D1124" s="33" t="s">
        <v>9090</v>
      </c>
      <c r="E1124" s="33" t="s">
        <v>9091</v>
      </c>
      <c r="F1124" s="123" t="s">
        <v>9092</v>
      </c>
      <c r="G1124" s="123" t="s">
        <v>247</v>
      </c>
      <c r="H1124" s="123">
        <v>4400.0</v>
      </c>
      <c r="I1124" s="33" t="s">
        <v>2956</v>
      </c>
      <c r="J1124" s="33" t="s">
        <v>3327</v>
      </c>
      <c r="K1124" s="33">
        <v>1.0</v>
      </c>
      <c r="L1124" s="124" t="s">
        <v>9093</v>
      </c>
      <c r="M1124" s="31"/>
      <c r="N1124" s="209"/>
      <c r="O1124" s="209"/>
      <c r="P1124" s="34"/>
      <c r="Q1124" s="209"/>
      <c r="R1124" s="209"/>
      <c r="S1124" s="34"/>
      <c r="T1124" s="34"/>
    </row>
    <row r="1125" hidden="1">
      <c r="A1125" s="33" t="s">
        <v>9095</v>
      </c>
      <c r="B1125" s="122">
        <v>45835.0</v>
      </c>
      <c r="C1125" s="33">
        <v>8.07000031898E11</v>
      </c>
      <c r="D1125" s="33" t="s">
        <v>9090</v>
      </c>
      <c r="E1125" s="33" t="s">
        <v>9091</v>
      </c>
      <c r="F1125" s="123" t="s">
        <v>9096</v>
      </c>
      <c r="G1125" s="123" t="s">
        <v>247</v>
      </c>
      <c r="H1125" s="123">
        <v>4400.0</v>
      </c>
      <c r="I1125" s="33">
        <v>125818.0</v>
      </c>
      <c r="J1125" s="33" t="s">
        <v>4334</v>
      </c>
      <c r="K1125" s="33">
        <v>1.0</v>
      </c>
      <c r="L1125" s="124" t="s">
        <v>9093</v>
      </c>
      <c r="M1125" s="31"/>
      <c r="N1125" s="206"/>
      <c r="O1125" s="206"/>
      <c r="P1125" s="34"/>
      <c r="Q1125" s="206"/>
      <c r="R1125" s="206"/>
      <c r="S1125" s="34"/>
      <c r="T1125" s="34"/>
    </row>
    <row r="1126" hidden="1">
      <c r="A1126" s="33" t="s">
        <v>9097</v>
      </c>
      <c r="B1126" s="122">
        <v>45835.0</v>
      </c>
      <c r="C1126" s="33">
        <v>8.07000031905E11</v>
      </c>
      <c r="D1126" s="33" t="s">
        <v>9098</v>
      </c>
      <c r="E1126" s="33" t="s">
        <v>9099</v>
      </c>
      <c r="F1126" s="123" t="s">
        <v>9100</v>
      </c>
      <c r="G1126" s="123" t="s">
        <v>247</v>
      </c>
      <c r="H1126" s="123">
        <v>4400.0</v>
      </c>
      <c r="I1126" s="33">
        <v>125810.0</v>
      </c>
      <c r="J1126" s="33" t="s">
        <v>4672</v>
      </c>
      <c r="K1126" s="33">
        <v>2.0</v>
      </c>
      <c r="L1126" s="124" t="s">
        <v>9101</v>
      </c>
      <c r="M1126" s="31"/>
      <c r="N1126" s="203">
        <v>45838.0</v>
      </c>
      <c r="O1126" s="204" t="s">
        <v>9011</v>
      </c>
      <c r="P1126" s="34"/>
      <c r="Q1126" s="204" t="s">
        <v>9102</v>
      </c>
      <c r="R1126" s="205" t="s">
        <v>9103</v>
      </c>
      <c r="S1126" s="34"/>
      <c r="T1126" s="34"/>
    </row>
    <row r="1127" hidden="1">
      <c r="A1127" s="33" t="s">
        <v>9097</v>
      </c>
      <c r="B1127" s="122">
        <v>45835.0</v>
      </c>
      <c r="C1127" s="33">
        <v>8.07000031906E11</v>
      </c>
      <c r="D1127" s="33" t="s">
        <v>9098</v>
      </c>
      <c r="E1127" s="33" t="s">
        <v>9099</v>
      </c>
      <c r="F1127" s="123" t="s">
        <v>9100</v>
      </c>
      <c r="G1127" s="123" t="s">
        <v>247</v>
      </c>
      <c r="H1127" s="123">
        <v>4400.0</v>
      </c>
      <c r="I1127" s="33" t="s">
        <v>4976</v>
      </c>
      <c r="J1127" s="33" t="s">
        <v>4977</v>
      </c>
      <c r="K1127" s="33">
        <v>1.0</v>
      </c>
      <c r="L1127" s="124" t="s">
        <v>9101</v>
      </c>
      <c r="M1127" s="31"/>
      <c r="N1127" s="209"/>
      <c r="O1127" s="209"/>
      <c r="P1127" s="34"/>
      <c r="Q1127" s="209"/>
      <c r="R1127" s="209"/>
      <c r="S1127" s="34"/>
      <c r="T1127" s="34"/>
    </row>
    <row r="1128" hidden="1">
      <c r="A1128" s="33" t="s">
        <v>9097</v>
      </c>
      <c r="B1128" s="122">
        <v>45835.0</v>
      </c>
      <c r="C1128" s="33">
        <v>8.07000031906E11</v>
      </c>
      <c r="D1128" s="33" t="s">
        <v>9098</v>
      </c>
      <c r="E1128" s="33" t="s">
        <v>9099</v>
      </c>
      <c r="F1128" s="123" t="s">
        <v>9100</v>
      </c>
      <c r="G1128" s="123" t="s">
        <v>247</v>
      </c>
      <c r="H1128" s="123">
        <v>4400.0</v>
      </c>
      <c r="I1128" s="33" t="s">
        <v>512</v>
      </c>
      <c r="J1128" s="33" t="s">
        <v>513</v>
      </c>
      <c r="K1128" s="33">
        <v>6.0</v>
      </c>
      <c r="L1128" s="124" t="s">
        <v>9101</v>
      </c>
      <c r="M1128" s="31"/>
      <c r="N1128" s="209"/>
      <c r="O1128" s="209"/>
      <c r="P1128" s="34"/>
      <c r="Q1128" s="209"/>
      <c r="R1128" s="209"/>
      <c r="S1128" s="34"/>
      <c r="T1128" s="34"/>
    </row>
    <row r="1129" hidden="1">
      <c r="A1129" s="33" t="s">
        <v>9097</v>
      </c>
      <c r="B1129" s="122">
        <v>45835.0</v>
      </c>
      <c r="C1129" s="33">
        <v>8.07000031906E11</v>
      </c>
      <c r="D1129" s="33" t="s">
        <v>9098</v>
      </c>
      <c r="E1129" s="33" t="s">
        <v>9099</v>
      </c>
      <c r="F1129" s="123" t="s">
        <v>9100</v>
      </c>
      <c r="G1129" s="123" t="s">
        <v>247</v>
      </c>
      <c r="H1129" s="123">
        <v>4400.0</v>
      </c>
      <c r="I1129" s="33" t="s">
        <v>35</v>
      </c>
      <c r="J1129" s="33" t="s">
        <v>3188</v>
      </c>
      <c r="K1129" s="33">
        <v>1.0</v>
      </c>
      <c r="L1129" s="124" t="s">
        <v>9101</v>
      </c>
      <c r="M1129" s="31"/>
      <c r="N1129" s="209"/>
      <c r="O1129" s="209"/>
      <c r="P1129" s="34"/>
      <c r="Q1129" s="209"/>
      <c r="R1129" s="209"/>
      <c r="S1129" s="34"/>
      <c r="T1129" s="34"/>
    </row>
    <row r="1130" hidden="1">
      <c r="A1130" s="33" t="s">
        <v>9097</v>
      </c>
      <c r="B1130" s="122">
        <v>45835.0</v>
      </c>
      <c r="C1130" s="33">
        <v>8.07000031907E11</v>
      </c>
      <c r="D1130" s="33" t="s">
        <v>9098</v>
      </c>
      <c r="E1130" s="33" t="s">
        <v>9099</v>
      </c>
      <c r="F1130" s="123" t="s">
        <v>9100</v>
      </c>
      <c r="G1130" s="123" t="s">
        <v>247</v>
      </c>
      <c r="H1130" s="123">
        <v>4400.0</v>
      </c>
      <c r="I1130" s="33">
        <v>125813.0</v>
      </c>
      <c r="J1130" s="33" t="s">
        <v>5703</v>
      </c>
      <c r="K1130" s="33">
        <v>2.0</v>
      </c>
      <c r="L1130" s="124" t="s">
        <v>9101</v>
      </c>
      <c r="M1130" s="31"/>
      <c r="N1130" s="206"/>
      <c r="O1130" s="206"/>
      <c r="P1130" s="34"/>
      <c r="Q1130" s="206"/>
      <c r="R1130" s="206"/>
      <c r="S1130" s="34"/>
      <c r="T1130" s="34"/>
    </row>
    <row r="1131" hidden="1">
      <c r="A1131" s="33" t="s">
        <v>9104</v>
      </c>
      <c r="B1131" s="122">
        <v>45838.0</v>
      </c>
      <c r="C1131" s="33">
        <v>8.07000031934E11</v>
      </c>
      <c r="D1131" s="33" t="s">
        <v>9105</v>
      </c>
      <c r="E1131" s="33" t="s">
        <v>9106</v>
      </c>
      <c r="F1131" s="123" t="s">
        <v>9107</v>
      </c>
      <c r="G1131" s="123" t="s">
        <v>247</v>
      </c>
      <c r="H1131" s="123">
        <v>4400.0</v>
      </c>
      <c r="I1131" s="33" t="s">
        <v>659</v>
      </c>
      <c r="J1131" s="33" t="s">
        <v>3468</v>
      </c>
      <c r="K1131" s="33">
        <v>1.0</v>
      </c>
      <c r="L1131" s="124" t="s">
        <v>9108</v>
      </c>
      <c r="M1131" s="31"/>
      <c r="N1131" s="34"/>
      <c r="O1131" s="34"/>
      <c r="P1131" s="34"/>
      <c r="Q1131" s="34"/>
      <c r="R1131" s="34"/>
      <c r="S1131" s="34"/>
      <c r="T1131" s="34"/>
    </row>
    <row r="1132" hidden="1">
      <c r="A1132" s="33" t="s">
        <v>9104</v>
      </c>
      <c r="B1132" s="122">
        <v>45838.0</v>
      </c>
      <c r="C1132" s="33">
        <v>8.07000031934E11</v>
      </c>
      <c r="D1132" s="33" t="s">
        <v>9105</v>
      </c>
      <c r="E1132" s="33" t="s">
        <v>9106</v>
      </c>
      <c r="F1132" s="123" t="s">
        <v>9107</v>
      </c>
      <c r="G1132" s="123" t="s">
        <v>247</v>
      </c>
      <c r="H1132" s="123">
        <v>4400.0</v>
      </c>
      <c r="I1132" s="33" t="s">
        <v>512</v>
      </c>
      <c r="J1132" s="33" t="s">
        <v>513</v>
      </c>
      <c r="K1132" s="33">
        <v>6.0</v>
      </c>
      <c r="L1132" s="124" t="s">
        <v>9108</v>
      </c>
      <c r="M1132" s="31"/>
      <c r="N1132" s="34"/>
      <c r="O1132" s="34"/>
      <c r="P1132" s="34"/>
      <c r="Q1132" s="34"/>
      <c r="R1132" s="34"/>
      <c r="S1132" s="34"/>
      <c r="T1132" s="34"/>
    </row>
    <row r="1133" hidden="1">
      <c r="A1133" s="33" t="s">
        <v>9104</v>
      </c>
      <c r="B1133" s="122">
        <v>45838.0</v>
      </c>
      <c r="C1133" s="33">
        <v>8.07000031934E11</v>
      </c>
      <c r="D1133" s="33" t="s">
        <v>9105</v>
      </c>
      <c r="E1133" s="33" t="s">
        <v>9106</v>
      </c>
      <c r="F1133" s="123" t="s">
        <v>9107</v>
      </c>
      <c r="G1133" s="123" t="s">
        <v>247</v>
      </c>
      <c r="H1133" s="123">
        <v>4400.0</v>
      </c>
      <c r="I1133" s="33" t="s">
        <v>35</v>
      </c>
      <c r="J1133" s="33" t="s">
        <v>3188</v>
      </c>
      <c r="K1133" s="33">
        <v>1.0</v>
      </c>
      <c r="L1133" s="124" t="s">
        <v>9108</v>
      </c>
      <c r="M1133" s="31"/>
      <c r="N1133" s="34"/>
      <c r="O1133" s="34"/>
      <c r="P1133" s="34"/>
      <c r="Q1133" s="34"/>
      <c r="R1133" s="34"/>
      <c r="S1133" s="34"/>
      <c r="T1133" s="34"/>
    </row>
    <row r="1134" hidden="1">
      <c r="A1134" s="33" t="s">
        <v>9109</v>
      </c>
      <c r="B1134" s="122">
        <v>45838.0</v>
      </c>
      <c r="C1134" s="33">
        <v>8.07000031963E11</v>
      </c>
      <c r="D1134" s="33" t="s">
        <v>9110</v>
      </c>
      <c r="E1134" s="33" t="s">
        <v>9111</v>
      </c>
      <c r="F1134" s="123" t="s">
        <v>9112</v>
      </c>
      <c r="G1134" s="123" t="s">
        <v>9045</v>
      </c>
      <c r="H1134" s="123">
        <v>4432.0</v>
      </c>
      <c r="I1134" s="33" t="s">
        <v>947</v>
      </c>
      <c r="J1134" s="33" t="s">
        <v>3750</v>
      </c>
      <c r="K1134" s="33">
        <v>1.0</v>
      </c>
      <c r="L1134" s="124" t="s">
        <v>9113</v>
      </c>
      <c r="M1134" s="31"/>
      <c r="N1134" s="34"/>
      <c r="O1134" s="34"/>
      <c r="P1134" s="34"/>
      <c r="Q1134" s="34"/>
      <c r="R1134" s="34"/>
      <c r="S1134" s="34"/>
      <c r="T1134" s="34"/>
    </row>
    <row r="1135" hidden="1">
      <c r="A1135" s="33" t="s">
        <v>9114</v>
      </c>
      <c r="B1135" s="122">
        <v>45838.0</v>
      </c>
      <c r="C1135" s="33">
        <v>8.07000031963E11</v>
      </c>
      <c r="D1135" s="33" t="s">
        <v>9110</v>
      </c>
      <c r="E1135" s="33" t="s">
        <v>9111</v>
      </c>
      <c r="F1135" s="123" t="s">
        <v>9115</v>
      </c>
      <c r="G1135" s="123" t="s">
        <v>247</v>
      </c>
      <c r="H1135" s="123">
        <v>4400.0</v>
      </c>
      <c r="I1135" s="33" t="s">
        <v>273</v>
      </c>
      <c r="J1135" s="33" t="s">
        <v>3594</v>
      </c>
      <c r="K1135" s="33">
        <v>1.0</v>
      </c>
      <c r="L1135" s="124" t="s">
        <v>9116</v>
      </c>
      <c r="M1135" s="31"/>
      <c r="N1135" s="34"/>
      <c r="O1135" s="34"/>
      <c r="P1135" s="34"/>
      <c r="Q1135" s="34"/>
      <c r="R1135" s="34"/>
      <c r="S1135" s="34"/>
      <c r="T1135" s="34"/>
    </row>
    <row r="1136" hidden="1">
      <c r="A1136" s="33" t="s">
        <v>9117</v>
      </c>
      <c r="B1136" s="122">
        <v>45838.0</v>
      </c>
      <c r="C1136" s="33">
        <v>8.0700003197E11</v>
      </c>
      <c r="D1136" s="33" t="s">
        <v>9118</v>
      </c>
      <c r="E1136" s="33" t="s">
        <v>9119</v>
      </c>
      <c r="F1136" s="123" t="s">
        <v>9120</v>
      </c>
      <c r="G1136" s="123" t="s">
        <v>247</v>
      </c>
      <c r="H1136" s="123">
        <v>4400.0</v>
      </c>
      <c r="I1136" s="33" t="s">
        <v>1937</v>
      </c>
      <c r="J1136" s="33" t="s">
        <v>4036</v>
      </c>
      <c r="K1136" s="33">
        <v>1.0</v>
      </c>
      <c r="L1136" s="124" t="s">
        <v>9121</v>
      </c>
      <c r="M1136" s="31"/>
      <c r="N1136" s="34"/>
      <c r="O1136" s="34"/>
      <c r="P1136" s="34"/>
      <c r="Q1136" s="34"/>
      <c r="R1136" s="34"/>
      <c r="S1136" s="34"/>
      <c r="T1136" s="34"/>
    </row>
    <row r="1137" hidden="1">
      <c r="A1137" s="33" t="s">
        <v>9122</v>
      </c>
      <c r="B1137" s="122">
        <v>45838.0</v>
      </c>
      <c r="C1137" s="33">
        <v>8.07000031976E11</v>
      </c>
      <c r="D1137" s="33" t="s">
        <v>9123</v>
      </c>
      <c r="E1137" s="33" t="s">
        <v>9124</v>
      </c>
      <c r="F1137" s="123" t="s">
        <v>9125</v>
      </c>
      <c r="G1137" s="123" t="s">
        <v>247</v>
      </c>
      <c r="H1137" s="123">
        <v>4400.0</v>
      </c>
      <c r="I1137" s="33" t="s">
        <v>512</v>
      </c>
      <c r="J1137" s="33" t="s">
        <v>513</v>
      </c>
      <c r="K1137" s="33">
        <v>6.0</v>
      </c>
      <c r="L1137" s="124" t="s">
        <v>9126</v>
      </c>
      <c r="M1137" s="31"/>
      <c r="N1137" s="34"/>
      <c r="O1137" s="34"/>
      <c r="P1137" s="34"/>
      <c r="Q1137" s="34"/>
      <c r="R1137" s="34"/>
      <c r="S1137" s="34"/>
      <c r="T1137" s="34"/>
    </row>
    <row r="1138" hidden="1">
      <c r="A1138" s="33" t="s">
        <v>9122</v>
      </c>
      <c r="B1138" s="122">
        <v>45838.0</v>
      </c>
      <c r="C1138" s="33">
        <v>8.07000031977E11</v>
      </c>
      <c r="D1138" s="33" t="s">
        <v>9123</v>
      </c>
      <c r="E1138" s="33" t="s">
        <v>9124</v>
      </c>
      <c r="F1138" s="123" t="s">
        <v>9125</v>
      </c>
      <c r="G1138" s="123" t="s">
        <v>247</v>
      </c>
      <c r="H1138" s="123">
        <v>4400.0</v>
      </c>
      <c r="I1138" s="33" t="s">
        <v>1379</v>
      </c>
      <c r="J1138" s="33" t="s">
        <v>7653</v>
      </c>
      <c r="K1138" s="33">
        <v>1.0</v>
      </c>
      <c r="L1138" s="124" t="s">
        <v>9126</v>
      </c>
      <c r="M1138" s="31"/>
      <c r="N1138" s="34"/>
      <c r="O1138" s="34"/>
      <c r="P1138" s="34"/>
      <c r="Q1138" s="34"/>
      <c r="R1138" s="34"/>
      <c r="S1138" s="34"/>
      <c r="T1138" s="34"/>
    </row>
    <row r="1139" hidden="1">
      <c r="A1139" s="33" t="s">
        <v>9122</v>
      </c>
      <c r="B1139" s="122">
        <v>45838.0</v>
      </c>
      <c r="C1139" s="33">
        <v>8.07000031977E11</v>
      </c>
      <c r="D1139" s="33" t="s">
        <v>9123</v>
      </c>
      <c r="E1139" s="33" t="s">
        <v>9124</v>
      </c>
      <c r="F1139" s="123" t="s">
        <v>9125</v>
      </c>
      <c r="G1139" s="123" t="s">
        <v>247</v>
      </c>
      <c r="H1139" s="123">
        <v>4400.0</v>
      </c>
      <c r="I1139" s="33" t="s">
        <v>35</v>
      </c>
      <c r="J1139" s="33" t="s">
        <v>3188</v>
      </c>
      <c r="K1139" s="33">
        <v>1.0</v>
      </c>
      <c r="L1139" s="124" t="s">
        <v>9126</v>
      </c>
      <c r="M1139" s="31"/>
      <c r="N1139" s="34"/>
      <c r="O1139" s="34"/>
      <c r="P1139" s="34"/>
      <c r="Q1139" s="34"/>
      <c r="R1139" s="34"/>
      <c r="S1139" s="34"/>
      <c r="T1139" s="34"/>
    </row>
    <row r="1140" hidden="1">
      <c r="A1140" s="33" t="s">
        <v>9127</v>
      </c>
      <c r="B1140" s="122">
        <v>45838.0</v>
      </c>
      <c r="C1140" s="33">
        <v>8.07000031978E11</v>
      </c>
      <c r="D1140" s="33" t="s">
        <v>9128</v>
      </c>
      <c r="E1140" s="33" t="s">
        <v>9129</v>
      </c>
      <c r="F1140" s="123" t="s">
        <v>9130</v>
      </c>
      <c r="G1140" s="123" t="s">
        <v>247</v>
      </c>
      <c r="H1140" s="123">
        <v>4400.0</v>
      </c>
      <c r="I1140" s="33">
        <v>125810.0</v>
      </c>
      <c r="J1140" s="33" t="s">
        <v>4672</v>
      </c>
      <c r="K1140" s="33">
        <v>2.0</v>
      </c>
      <c r="L1140" s="124" t="s">
        <v>9131</v>
      </c>
      <c r="M1140" s="31"/>
      <c r="N1140" s="34"/>
      <c r="O1140" s="34"/>
      <c r="P1140" s="34"/>
      <c r="Q1140" s="34"/>
      <c r="R1140" s="34"/>
      <c r="S1140" s="34"/>
      <c r="T1140" s="34"/>
    </row>
    <row r="1141" hidden="1">
      <c r="A1141" s="33" t="s">
        <v>9127</v>
      </c>
      <c r="B1141" s="122">
        <v>45838.0</v>
      </c>
      <c r="C1141" s="33">
        <v>8.07000031978E11</v>
      </c>
      <c r="D1141" s="33" t="s">
        <v>9128</v>
      </c>
      <c r="E1141" s="33" t="s">
        <v>9129</v>
      </c>
      <c r="F1141" s="123" t="s">
        <v>9130</v>
      </c>
      <c r="G1141" s="123" t="s">
        <v>247</v>
      </c>
      <c r="H1141" s="123">
        <v>4400.0</v>
      </c>
      <c r="I1141" s="33">
        <v>125822.0</v>
      </c>
      <c r="J1141" s="33" t="s">
        <v>6030</v>
      </c>
      <c r="K1141" s="33">
        <v>2.0</v>
      </c>
      <c r="L1141" s="124" t="s">
        <v>9131</v>
      </c>
      <c r="M1141" s="31"/>
      <c r="N1141" s="34"/>
      <c r="O1141" s="34"/>
      <c r="P1141" s="34"/>
      <c r="Q1141" s="34"/>
      <c r="R1141" s="34"/>
      <c r="S1141" s="34"/>
      <c r="T1141" s="34"/>
    </row>
    <row r="1142" hidden="1">
      <c r="A1142" s="33" t="s">
        <v>9127</v>
      </c>
      <c r="B1142" s="122">
        <v>45838.0</v>
      </c>
      <c r="C1142" s="33">
        <v>8.07000031979E11</v>
      </c>
      <c r="D1142" s="33" t="s">
        <v>9128</v>
      </c>
      <c r="E1142" s="33" t="s">
        <v>9129</v>
      </c>
      <c r="F1142" s="123" t="s">
        <v>9130</v>
      </c>
      <c r="G1142" s="123" t="s">
        <v>247</v>
      </c>
      <c r="H1142" s="123">
        <v>4400.0</v>
      </c>
      <c r="I1142" s="33" t="s">
        <v>2956</v>
      </c>
      <c r="J1142" s="33" t="s">
        <v>3327</v>
      </c>
      <c r="K1142" s="33">
        <v>1.0</v>
      </c>
      <c r="L1142" s="124" t="s">
        <v>9131</v>
      </c>
      <c r="M1142" s="31"/>
      <c r="N1142" s="34"/>
      <c r="O1142" s="34"/>
      <c r="P1142" s="34"/>
      <c r="Q1142" s="34"/>
      <c r="R1142" s="34"/>
      <c r="S1142" s="34"/>
      <c r="T1142" s="34"/>
    </row>
    <row r="1143" hidden="1">
      <c r="A1143" s="33" t="s">
        <v>9132</v>
      </c>
      <c r="B1143" s="122">
        <v>45838.0</v>
      </c>
      <c r="C1143" s="33">
        <v>8.07000031909E11</v>
      </c>
      <c r="D1143" s="33" t="s">
        <v>9133</v>
      </c>
      <c r="E1143" s="33" t="s">
        <v>9134</v>
      </c>
      <c r="F1143" s="123" t="s">
        <v>9135</v>
      </c>
      <c r="G1143" s="123" t="s">
        <v>247</v>
      </c>
      <c r="H1143" s="123">
        <v>4400.0</v>
      </c>
      <c r="I1143" s="33" t="s">
        <v>947</v>
      </c>
      <c r="J1143" s="33" t="s">
        <v>3750</v>
      </c>
      <c r="K1143" s="33">
        <v>1.0</v>
      </c>
      <c r="L1143" s="124" t="s">
        <v>9136</v>
      </c>
      <c r="M1143" s="31"/>
      <c r="N1143" s="34"/>
      <c r="O1143" s="34"/>
      <c r="P1143" s="34"/>
      <c r="Q1143" s="34"/>
      <c r="R1143" s="34"/>
      <c r="S1143" s="34"/>
      <c r="T1143" s="34"/>
    </row>
    <row r="1144" hidden="1">
      <c r="A1144" s="33" t="s">
        <v>9137</v>
      </c>
      <c r="B1144" s="122">
        <v>45838.0</v>
      </c>
      <c r="C1144" s="33">
        <v>8.07000031919E11</v>
      </c>
      <c r="D1144" s="33" t="s">
        <v>9138</v>
      </c>
      <c r="E1144" s="33" t="s">
        <v>9139</v>
      </c>
      <c r="F1144" s="123" t="s">
        <v>9140</v>
      </c>
      <c r="G1144" s="123" t="s">
        <v>247</v>
      </c>
      <c r="H1144" s="123">
        <v>4400.0</v>
      </c>
      <c r="I1144" s="33" t="s">
        <v>6854</v>
      </c>
      <c r="J1144" s="33" t="s">
        <v>9141</v>
      </c>
      <c r="K1144" s="33">
        <v>1.0</v>
      </c>
      <c r="L1144" s="124" t="s">
        <v>9142</v>
      </c>
      <c r="M1144" s="31"/>
      <c r="N1144" s="34"/>
      <c r="O1144" s="34"/>
      <c r="P1144" s="34"/>
      <c r="Q1144" s="34"/>
      <c r="R1144" s="34"/>
      <c r="S1144" s="34"/>
      <c r="T1144" s="34"/>
    </row>
    <row r="1145" hidden="1">
      <c r="A1145" s="33" t="s">
        <v>9137</v>
      </c>
      <c r="B1145" s="122">
        <v>45838.0</v>
      </c>
      <c r="C1145" s="33">
        <v>8.0700003192E11</v>
      </c>
      <c r="D1145" s="33" t="s">
        <v>9138</v>
      </c>
      <c r="E1145" s="33" t="s">
        <v>9139</v>
      </c>
      <c r="F1145" s="123" t="s">
        <v>9140</v>
      </c>
      <c r="G1145" s="123" t="s">
        <v>247</v>
      </c>
      <c r="H1145" s="123">
        <v>4400.0</v>
      </c>
      <c r="I1145" s="33" t="s">
        <v>269</v>
      </c>
      <c r="J1145" s="33" t="s">
        <v>7941</v>
      </c>
      <c r="K1145" s="33">
        <v>1.0</v>
      </c>
      <c r="L1145" s="124" t="s">
        <v>9142</v>
      </c>
      <c r="M1145" s="31"/>
      <c r="N1145" s="34"/>
      <c r="O1145" s="34"/>
      <c r="P1145" s="34"/>
      <c r="Q1145" s="34"/>
      <c r="R1145" s="34"/>
      <c r="S1145" s="34"/>
      <c r="T1145" s="34"/>
    </row>
    <row r="1146" hidden="1">
      <c r="A1146" s="33" t="s">
        <v>9137</v>
      </c>
      <c r="B1146" s="122">
        <v>45838.0</v>
      </c>
      <c r="C1146" s="33">
        <v>8.0700003192E11</v>
      </c>
      <c r="D1146" s="33" t="s">
        <v>9138</v>
      </c>
      <c r="E1146" s="33" t="s">
        <v>9139</v>
      </c>
      <c r="F1146" s="123" t="s">
        <v>9140</v>
      </c>
      <c r="G1146" s="123" t="s">
        <v>247</v>
      </c>
      <c r="H1146" s="123">
        <v>4400.0</v>
      </c>
      <c r="I1146" s="33" t="s">
        <v>512</v>
      </c>
      <c r="J1146" s="33" t="s">
        <v>513</v>
      </c>
      <c r="K1146" s="33">
        <v>6.0</v>
      </c>
      <c r="L1146" s="124" t="s">
        <v>9142</v>
      </c>
      <c r="M1146" s="31"/>
      <c r="N1146" s="34"/>
      <c r="O1146" s="34"/>
      <c r="P1146" s="34"/>
      <c r="Q1146" s="34"/>
      <c r="R1146" s="34"/>
      <c r="S1146" s="34"/>
      <c r="T1146" s="34"/>
    </row>
    <row r="1147" hidden="1">
      <c r="A1147" s="33" t="s">
        <v>9137</v>
      </c>
      <c r="B1147" s="122">
        <v>45838.0</v>
      </c>
      <c r="C1147" s="33">
        <v>8.0700003192E11</v>
      </c>
      <c r="D1147" s="33" t="s">
        <v>9138</v>
      </c>
      <c r="E1147" s="33" t="s">
        <v>9139</v>
      </c>
      <c r="F1147" s="123" t="s">
        <v>9140</v>
      </c>
      <c r="G1147" s="123" t="s">
        <v>247</v>
      </c>
      <c r="H1147" s="123">
        <v>4400.0</v>
      </c>
      <c r="I1147" s="33" t="s">
        <v>273</v>
      </c>
      <c r="J1147" s="33" t="s">
        <v>3594</v>
      </c>
      <c r="K1147" s="33">
        <v>1.0</v>
      </c>
      <c r="L1147" s="124" t="s">
        <v>9142</v>
      </c>
      <c r="M1147" s="31"/>
      <c r="N1147" s="34"/>
      <c r="O1147" s="34"/>
      <c r="P1147" s="34"/>
      <c r="Q1147" s="34"/>
      <c r="R1147" s="34"/>
      <c r="S1147" s="34"/>
      <c r="T1147" s="34"/>
    </row>
    <row r="1148" hidden="1">
      <c r="A1148" s="33" t="s">
        <v>9143</v>
      </c>
      <c r="B1148" s="122">
        <v>45838.0</v>
      </c>
      <c r="C1148" s="33">
        <v>8.07000031921E11</v>
      </c>
      <c r="D1148" s="33" t="s">
        <v>9144</v>
      </c>
      <c r="E1148" s="33" t="s">
        <v>9145</v>
      </c>
      <c r="F1148" s="123" t="s">
        <v>9146</v>
      </c>
      <c r="G1148" s="123" t="s">
        <v>247</v>
      </c>
      <c r="H1148" s="123">
        <v>4400.0</v>
      </c>
      <c r="I1148" s="189">
        <v>913290.0</v>
      </c>
      <c r="J1148" s="33" t="s">
        <v>9147</v>
      </c>
      <c r="K1148" s="33">
        <v>1.0</v>
      </c>
      <c r="L1148" s="124" t="s">
        <v>9148</v>
      </c>
      <c r="M1148" s="31"/>
      <c r="N1148" s="34"/>
      <c r="O1148" s="34"/>
      <c r="P1148" s="34"/>
      <c r="Q1148" s="34"/>
      <c r="R1148" s="34"/>
      <c r="S1148" s="34"/>
      <c r="T1148" s="34"/>
    </row>
    <row r="1149" hidden="1">
      <c r="A1149" s="33" t="s">
        <v>9149</v>
      </c>
      <c r="B1149" s="122">
        <v>45838.0</v>
      </c>
      <c r="C1149" s="33">
        <v>8.07000031922E11</v>
      </c>
      <c r="D1149" s="33" t="s">
        <v>9144</v>
      </c>
      <c r="E1149" s="33" t="s">
        <v>9145</v>
      </c>
      <c r="F1149" s="123" t="s">
        <v>9146</v>
      </c>
      <c r="G1149" s="123" t="s">
        <v>247</v>
      </c>
      <c r="H1149" s="123">
        <v>4400.0</v>
      </c>
      <c r="I1149" s="189">
        <v>913290.0</v>
      </c>
      <c r="J1149" s="33" t="s">
        <v>9147</v>
      </c>
      <c r="K1149" s="33">
        <v>1.0</v>
      </c>
      <c r="L1149" s="124" t="s">
        <v>9148</v>
      </c>
      <c r="M1149" s="31"/>
      <c r="N1149" s="34"/>
      <c r="O1149" s="34"/>
      <c r="P1149" s="34"/>
      <c r="Q1149" s="34"/>
      <c r="R1149" s="34"/>
      <c r="S1149" s="34"/>
      <c r="T1149" s="34"/>
    </row>
    <row r="1150" hidden="1">
      <c r="A1150" s="33" t="s">
        <v>9150</v>
      </c>
      <c r="B1150" s="122">
        <v>45838.0</v>
      </c>
      <c r="C1150" s="33">
        <v>8.07000031936E11</v>
      </c>
      <c r="D1150" s="33" t="s">
        <v>9151</v>
      </c>
      <c r="E1150" s="33" t="s">
        <v>9152</v>
      </c>
      <c r="F1150" s="123" t="s">
        <v>9153</v>
      </c>
      <c r="G1150" s="123" t="s">
        <v>247</v>
      </c>
      <c r="H1150" s="123">
        <v>4400.0</v>
      </c>
      <c r="I1150" s="33" t="s">
        <v>3074</v>
      </c>
      <c r="J1150" s="33" t="s">
        <v>3232</v>
      </c>
      <c r="K1150" s="33">
        <v>1.0</v>
      </c>
      <c r="L1150" s="124" t="s">
        <v>9154</v>
      </c>
      <c r="M1150" s="31"/>
      <c r="N1150" s="34"/>
      <c r="O1150" s="34"/>
      <c r="P1150" s="34"/>
      <c r="Q1150" s="34"/>
      <c r="R1150" s="34"/>
      <c r="S1150" s="34"/>
      <c r="T1150" s="34"/>
    </row>
    <row r="1151" hidden="1">
      <c r="A1151" s="33" t="s">
        <v>9150</v>
      </c>
      <c r="B1151" s="122">
        <v>45838.0</v>
      </c>
      <c r="C1151" s="33">
        <v>8.07000031936E11</v>
      </c>
      <c r="D1151" s="33" t="s">
        <v>9151</v>
      </c>
      <c r="E1151" s="33" t="s">
        <v>9152</v>
      </c>
      <c r="F1151" s="123" t="s">
        <v>9153</v>
      </c>
      <c r="G1151" s="123" t="s">
        <v>247</v>
      </c>
      <c r="H1151" s="123">
        <v>4400.0</v>
      </c>
      <c r="I1151" s="33" t="s">
        <v>512</v>
      </c>
      <c r="J1151" s="33" t="s">
        <v>513</v>
      </c>
      <c r="K1151" s="33">
        <v>6.0</v>
      </c>
      <c r="L1151" s="124" t="s">
        <v>9154</v>
      </c>
      <c r="M1151" s="31"/>
      <c r="N1151" s="34"/>
      <c r="O1151" s="34"/>
      <c r="P1151" s="34"/>
      <c r="Q1151" s="34"/>
      <c r="R1151" s="34"/>
      <c r="S1151" s="34"/>
      <c r="T1151" s="34"/>
    </row>
    <row r="1152" hidden="1">
      <c r="A1152" s="33" t="s">
        <v>9150</v>
      </c>
      <c r="B1152" s="122">
        <v>45838.0</v>
      </c>
      <c r="C1152" s="33">
        <v>8.07000031936E11</v>
      </c>
      <c r="D1152" s="33" t="s">
        <v>9151</v>
      </c>
      <c r="E1152" s="33" t="s">
        <v>9152</v>
      </c>
      <c r="F1152" s="123" t="s">
        <v>9153</v>
      </c>
      <c r="G1152" s="123" t="s">
        <v>247</v>
      </c>
      <c r="H1152" s="123">
        <v>4400.0</v>
      </c>
      <c r="I1152" s="33" t="s">
        <v>670</v>
      </c>
      <c r="J1152" s="33" t="s">
        <v>3410</v>
      </c>
      <c r="K1152" s="33">
        <v>1.0</v>
      </c>
      <c r="L1152" s="124" t="s">
        <v>9154</v>
      </c>
      <c r="M1152" s="31"/>
      <c r="N1152" s="34"/>
      <c r="O1152" s="34"/>
      <c r="P1152" s="34"/>
      <c r="Q1152" s="34"/>
      <c r="R1152" s="34"/>
      <c r="S1152" s="34"/>
      <c r="T1152" s="34"/>
    </row>
    <row r="1153" hidden="1">
      <c r="A1153" s="33" t="s">
        <v>9155</v>
      </c>
      <c r="B1153" s="122">
        <v>45838.0</v>
      </c>
      <c r="C1153" s="33">
        <v>8.07000031981E11</v>
      </c>
      <c r="D1153" s="33" t="s">
        <v>9156</v>
      </c>
      <c r="E1153" s="33" t="s">
        <v>9157</v>
      </c>
      <c r="F1153" s="123" t="s">
        <v>9158</v>
      </c>
      <c r="G1153" s="123" t="s">
        <v>247</v>
      </c>
      <c r="H1153" s="123">
        <v>4400.0</v>
      </c>
      <c r="I1153" s="33" t="s">
        <v>659</v>
      </c>
      <c r="J1153" s="33" t="s">
        <v>3468</v>
      </c>
      <c r="K1153" s="33">
        <v>1.0</v>
      </c>
      <c r="L1153" s="124" t="s">
        <v>9159</v>
      </c>
      <c r="M1153" s="31"/>
    </row>
    <row r="1154" hidden="1">
      <c r="A1154" s="33" t="s">
        <v>9160</v>
      </c>
      <c r="B1154" s="122">
        <v>45838.0</v>
      </c>
      <c r="C1154" s="33">
        <v>8.07000031927E11</v>
      </c>
      <c r="D1154" s="33" t="s">
        <v>9161</v>
      </c>
      <c r="E1154" s="33" t="s">
        <v>9162</v>
      </c>
      <c r="F1154" s="123" t="s">
        <v>9163</v>
      </c>
      <c r="G1154" s="123" t="s">
        <v>247</v>
      </c>
      <c r="H1154" s="123">
        <v>4400.0</v>
      </c>
      <c r="I1154" s="33" t="s">
        <v>3285</v>
      </c>
      <c r="J1154" s="33" t="s">
        <v>3286</v>
      </c>
      <c r="K1154" s="33">
        <v>1.0</v>
      </c>
      <c r="L1154" s="124" t="s">
        <v>9164</v>
      </c>
      <c r="M1154" s="31"/>
    </row>
    <row r="1155" hidden="1">
      <c r="A1155" s="125" t="s">
        <v>9160</v>
      </c>
      <c r="B1155" s="126">
        <v>45838.0</v>
      </c>
      <c r="C1155" s="125">
        <v>8.07000031928E11</v>
      </c>
      <c r="D1155" s="125" t="s">
        <v>9161</v>
      </c>
      <c r="E1155" s="125" t="s">
        <v>9162</v>
      </c>
      <c r="F1155" s="127" t="s">
        <v>9163</v>
      </c>
      <c r="G1155" s="127" t="s">
        <v>247</v>
      </c>
      <c r="H1155" s="127">
        <v>4400.0</v>
      </c>
      <c r="I1155" s="125">
        <v>125822.0</v>
      </c>
      <c r="J1155" s="125" t="s">
        <v>6030</v>
      </c>
      <c r="K1155" s="125">
        <v>2.0</v>
      </c>
      <c r="L1155" s="129" t="s">
        <v>9164</v>
      </c>
      <c r="M1155" s="136"/>
      <c r="N1155" s="179"/>
      <c r="O1155" s="179"/>
      <c r="P1155" s="179"/>
      <c r="Q1155" s="179"/>
      <c r="R1155" s="179"/>
      <c r="S1155" s="179"/>
      <c r="T1155" s="179"/>
      <c r="U1155" s="179"/>
      <c r="V1155" s="179"/>
      <c r="W1155" s="179"/>
      <c r="X1155" s="179"/>
      <c r="Y1155" s="179"/>
      <c r="Z1155" s="179"/>
      <c r="AA1155" s="179"/>
      <c r="AB1155" s="179"/>
      <c r="AC1155" s="179"/>
    </row>
    <row r="1156" hidden="1">
      <c r="A1156" s="33" t="s">
        <v>9165</v>
      </c>
      <c r="B1156" s="122">
        <v>45840.0</v>
      </c>
      <c r="C1156" s="33">
        <v>8.07000031916E11</v>
      </c>
      <c r="D1156" s="33" t="s">
        <v>4382</v>
      </c>
      <c r="E1156" s="33" t="s">
        <v>4383</v>
      </c>
      <c r="F1156" s="123" t="s">
        <v>4384</v>
      </c>
      <c r="G1156" s="123" t="s">
        <v>8629</v>
      </c>
      <c r="H1156" s="123">
        <v>4407.0</v>
      </c>
      <c r="I1156" s="189">
        <v>125810.0</v>
      </c>
      <c r="J1156" s="33" t="s">
        <v>4672</v>
      </c>
      <c r="K1156" s="33">
        <v>2.0</v>
      </c>
      <c r="L1156" s="124" t="s">
        <v>9166</v>
      </c>
      <c r="M1156" s="31"/>
      <c r="N1156" s="34"/>
      <c r="O1156" s="34"/>
      <c r="P1156" s="34"/>
      <c r="Q1156" s="34"/>
      <c r="R1156" s="34"/>
      <c r="S1156" s="34"/>
      <c r="T1156" s="34"/>
    </row>
    <row r="1157" hidden="1">
      <c r="A1157" s="33" t="s">
        <v>9165</v>
      </c>
      <c r="B1157" s="122">
        <v>45840.0</v>
      </c>
      <c r="C1157" s="33">
        <v>8.07000031916E11</v>
      </c>
      <c r="D1157" s="33" t="s">
        <v>4382</v>
      </c>
      <c r="E1157" s="33" t="s">
        <v>4383</v>
      </c>
      <c r="F1157" s="123" t="s">
        <v>4384</v>
      </c>
      <c r="G1157" s="123" t="s">
        <v>8629</v>
      </c>
      <c r="H1157" s="123">
        <v>4407.0</v>
      </c>
      <c r="I1157" s="189">
        <v>125822.0</v>
      </c>
      <c r="J1157" s="33" t="s">
        <v>6030</v>
      </c>
      <c r="K1157" s="33">
        <v>2.0</v>
      </c>
      <c r="L1157" s="124" t="s">
        <v>9166</v>
      </c>
      <c r="M1157" s="31"/>
      <c r="N1157" s="34"/>
      <c r="O1157" s="34"/>
      <c r="P1157" s="34"/>
      <c r="Q1157" s="34"/>
      <c r="R1157" s="34"/>
      <c r="S1157" s="34"/>
      <c r="T1157" s="34"/>
    </row>
    <row r="1158" hidden="1">
      <c r="A1158" s="33" t="s">
        <v>9165</v>
      </c>
      <c r="B1158" s="122">
        <v>45840.0</v>
      </c>
      <c r="C1158" s="33">
        <v>8.07000031917E11</v>
      </c>
      <c r="D1158" s="33" t="s">
        <v>4382</v>
      </c>
      <c r="E1158" s="33" t="s">
        <v>4383</v>
      </c>
      <c r="F1158" s="123" t="s">
        <v>4384</v>
      </c>
      <c r="G1158" s="123" t="s">
        <v>8629</v>
      </c>
      <c r="H1158" s="123">
        <v>4407.0</v>
      </c>
      <c r="I1158" s="189" t="s">
        <v>812</v>
      </c>
      <c r="J1158" s="33" t="s">
        <v>3564</v>
      </c>
      <c r="K1158" s="33">
        <v>1.0</v>
      </c>
      <c r="L1158" s="124" t="s">
        <v>9166</v>
      </c>
      <c r="M1158" s="31"/>
      <c r="N1158" s="34"/>
      <c r="O1158" s="34"/>
      <c r="P1158" s="34"/>
      <c r="Q1158" s="34"/>
      <c r="R1158" s="34"/>
      <c r="S1158" s="34"/>
      <c r="T1158" s="34"/>
    </row>
    <row r="1159" hidden="1">
      <c r="A1159" s="33" t="s">
        <v>9167</v>
      </c>
      <c r="B1159" s="122">
        <v>45840.0</v>
      </c>
      <c r="C1159" s="33">
        <v>8.07000031923E11</v>
      </c>
      <c r="D1159" s="33" t="s">
        <v>4376</v>
      </c>
      <c r="E1159" s="33" t="s">
        <v>4377</v>
      </c>
      <c r="F1159" s="123" t="s">
        <v>4378</v>
      </c>
      <c r="G1159" s="123" t="s">
        <v>8629</v>
      </c>
      <c r="H1159" s="123">
        <v>4407.0</v>
      </c>
      <c r="I1159" s="189">
        <v>125810.0</v>
      </c>
      <c r="J1159" s="33" t="s">
        <v>4672</v>
      </c>
      <c r="K1159" s="33">
        <v>2.0</v>
      </c>
      <c r="L1159" s="124" t="s">
        <v>9168</v>
      </c>
      <c r="M1159" s="31"/>
      <c r="N1159" s="34"/>
      <c r="O1159" s="34"/>
      <c r="P1159" s="34"/>
      <c r="Q1159" s="34"/>
      <c r="R1159" s="34"/>
      <c r="S1159" s="34"/>
      <c r="T1159" s="34"/>
    </row>
    <row r="1160" hidden="1">
      <c r="A1160" s="33" t="s">
        <v>9167</v>
      </c>
      <c r="B1160" s="122">
        <v>45840.0</v>
      </c>
      <c r="C1160" s="33">
        <v>8.07000031923E11</v>
      </c>
      <c r="D1160" s="33" t="s">
        <v>4376</v>
      </c>
      <c r="E1160" s="33" t="s">
        <v>4377</v>
      </c>
      <c r="F1160" s="123" t="s">
        <v>4378</v>
      </c>
      <c r="G1160" s="123" t="s">
        <v>8629</v>
      </c>
      <c r="H1160" s="123">
        <v>4407.0</v>
      </c>
      <c r="I1160" s="189">
        <v>125822.0</v>
      </c>
      <c r="J1160" s="33" t="s">
        <v>6030</v>
      </c>
      <c r="K1160" s="33">
        <v>2.0</v>
      </c>
      <c r="L1160" s="124" t="s">
        <v>9168</v>
      </c>
      <c r="M1160" s="31"/>
      <c r="N1160" s="34"/>
      <c r="O1160" s="34"/>
      <c r="P1160" s="34"/>
      <c r="Q1160" s="34"/>
      <c r="R1160" s="34"/>
      <c r="S1160" s="34"/>
      <c r="T1160" s="34"/>
    </row>
    <row r="1161" hidden="1">
      <c r="A1161" s="33" t="s">
        <v>9169</v>
      </c>
      <c r="B1161" s="122">
        <v>45840.0</v>
      </c>
      <c r="C1161" s="33">
        <v>8.07000031925E11</v>
      </c>
      <c r="D1161" s="33" t="s">
        <v>4376</v>
      </c>
      <c r="E1161" s="33" t="s">
        <v>4377</v>
      </c>
      <c r="F1161" s="123" t="s">
        <v>4378</v>
      </c>
      <c r="G1161" s="123" t="s">
        <v>8629</v>
      </c>
      <c r="H1161" s="123">
        <v>4407.0</v>
      </c>
      <c r="I1161" s="189" t="s">
        <v>1829</v>
      </c>
      <c r="J1161" s="33" t="s">
        <v>9170</v>
      </c>
      <c r="K1161" s="33">
        <v>1.0</v>
      </c>
      <c r="L1161" s="124" t="s">
        <v>9168</v>
      </c>
      <c r="M1161" s="31"/>
      <c r="N1161" s="34"/>
      <c r="O1161" s="34"/>
      <c r="P1161" s="34"/>
      <c r="Q1161" s="34"/>
      <c r="R1161" s="34"/>
      <c r="S1161" s="34"/>
      <c r="T1161" s="34"/>
    </row>
    <row r="1162" hidden="1">
      <c r="A1162" s="33" t="s">
        <v>9171</v>
      </c>
      <c r="B1162" s="122">
        <v>45840.0</v>
      </c>
      <c r="C1162" s="33">
        <v>8.07000032006E11</v>
      </c>
      <c r="D1162" s="33" t="s">
        <v>9172</v>
      </c>
      <c r="E1162" s="33" t="s">
        <v>9173</v>
      </c>
      <c r="F1162" s="123" t="s">
        <v>9174</v>
      </c>
      <c r="G1162" s="123" t="s">
        <v>247</v>
      </c>
      <c r="H1162" s="123">
        <v>4400.0</v>
      </c>
      <c r="I1162" s="33" t="s">
        <v>3074</v>
      </c>
      <c r="J1162" s="33" t="s">
        <v>3232</v>
      </c>
      <c r="K1162" s="33">
        <v>1.0</v>
      </c>
      <c r="L1162" s="124" t="s">
        <v>9175</v>
      </c>
      <c r="M1162" s="31"/>
      <c r="N1162" s="34"/>
      <c r="O1162" s="34"/>
      <c r="P1162" s="34"/>
      <c r="Q1162" s="34"/>
      <c r="R1162" s="34"/>
      <c r="S1162" s="34"/>
      <c r="T1162" s="34"/>
    </row>
    <row r="1163" hidden="1">
      <c r="A1163" s="33" t="s">
        <v>9176</v>
      </c>
      <c r="B1163" s="122">
        <v>45840.0</v>
      </c>
      <c r="C1163" s="33">
        <v>8.07000032003E11</v>
      </c>
      <c r="D1163" s="33" t="s">
        <v>9177</v>
      </c>
      <c r="E1163" s="33" t="s">
        <v>9178</v>
      </c>
      <c r="F1163" s="123" t="s">
        <v>9179</v>
      </c>
      <c r="G1163" s="123" t="s">
        <v>247</v>
      </c>
      <c r="H1163" s="123">
        <v>4400.0</v>
      </c>
      <c r="I1163" s="33" t="s">
        <v>3074</v>
      </c>
      <c r="J1163" s="33" t="s">
        <v>3232</v>
      </c>
      <c r="K1163" s="33">
        <v>1.0</v>
      </c>
      <c r="L1163" s="124" t="s">
        <v>9180</v>
      </c>
      <c r="M1163" s="31"/>
    </row>
    <row r="1164" hidden="1">
      <c r="A1164" s="33" t="s">
        <v>9176</v>
      </c>
      <c r="B1164" s="122">
        <v>45840.0</v>
      </c>
      <c r="C1164" s="33">
        <v>8.07000032003E11</v>
      </c>
      <c r="D1164" s="33" t="s">
        <v>9177</v>
      </c>
      <c r="E1164" s="33" t="s">
        <v>9178</v>
      </c>
      <c r="F1164" s="123" t="s">
        <v>9179</v>
      </c>
      <c r="G1164" s="123" t="s">
        <v>247</v>
      </c>
      <c r="H1164" s="123">
        <v>4400.0</v>
      </c>
      <c r="I1164" s="33" t="s">
        <v>512</v>
      </c>
      <c r="J1164" s="33" t="s">
        <v>513</v>
      </c>
      <c r="K1164" s="33">
        <v>6.0</v>
      </c>
      <c r="L1164" s="124" t="s">
        <v>9180</v>
      </c>
      <c r="M1164" s="31"/>
    </row>
    <row r="1165" hidden="1">
      <c r="A1165" s="33" t="s">
        <v>9176</v>
      </c>
      <c r="B1165" s="122">
        <v>45840.0</v>
      </c>
      <c r="C1165" s="33">
        <v>8.07000032003E11</v>
      </c>
      <c r="D1165" s="33" t="s">
        <v>9177</v>
      </c>
      <c r="E1165" s="33" t="s">
        <v>9178</v>
      </c>
      <c r="F1165" s="123" t="s">
        <v>9179</v>
      </c>
      <c r="G1165" s="123" t="s">
        <v>247</v>
      </c>
      <c r="H1165" s="123">
        <v>4400.0</v>
      </c>
      <c r="I1165" s="33" t="s">
        <v>670</v>
      </c>
      <c r="J1165" s="33" t="s">
        <v>3410</v>
      </c>
      <c r="K1165" s="33">
        <v>1.0</v>
      </c>
      <c r="L1165" s="124" t="s">
        <v>9180</v>
      </c>
      <c r="M1165" s="31"/>
    </row>
    <row r="1166" hidden="1">
      <c r="A1166" s="33" t="s">
        <v>9181</v>
      </c>
      <c r="B1166" s="122">
        <v>45840.0</v>
      </c>
      <c r="C1166" s="33">
        <v>8.07000032002E11</v>
      </c>
      <c r="D1166" s="33" t="s">
        <v>9182</v>
      </c>
      <c r="E1166" s="33" t="s">
        <v>9183</v>
      </c>
      <c r="F1166" s="123" t="s">
        <v>9184</v>
      </c>
      <c r="G1166" s="123" t="s">
        <v>247</v>
      </c>
      <c r="H1166" s="123">
        <v>4400.0</v>
      </c>
      <c r="I1166" s="33" t="s">
        <v>947</v>
      </c>
      <c r="J1166" s="33" t="s">
        <v>3750</v>
      </c>
      <c r="K1166" s="33">
        <v>1.0</v>
      </c>
      <c r="L1166" s="124" t="s">
        <v>9185</v>
      </c>
      <c r="M1166" s="31"/>
    </row>
    <row r="1167" hidden="1">
      <c r="A1167" s="33" t="s">
        <v>9186</v>
      </c>
      <c r="B1167" s="122">
        <v>45840.0</v>
      </c>
      <c r="C1167" s="33">
        <v>8.07000032009E11</v>
      </c>
      <c r="D1167" s="33" t="s">
        <v>9187</v>
      </c>
      <c r="E1167" s="33" t="s">
        <v>9188</v>
      </c>
      <c r="F1167" s="123" t="s">
        <v>9189</v>
      </c>
      <c r="G1167" s="123" t="s">
        <v>9020</v>
      </c>
      <c r="H1167" s="123">
        <v>4405.0</v>
      </c>
      <c r="I1167" s="33" t="s">
        <v>35</v>
      </c>
      <c r="J1167" s="33" t="s">
        <v>3188</v>
      </c>
      <c r="K1167" s="33">
        <v>1.0</v>
      </c>
      <c r="L1167" s="124" t="s">
        <v>9190</v>
      </c>
      <c r="M1167" s="31"/>
    </row>
    <row r="1168" hidden="1">
      <c r="A1168" s="33" t="s">
        <v>9186</v>
      </c>
      <c r="B1168" s="122">
        <v>45840.0</v>
      </c>
      <c r="C1168" s="33">
        <v>8.0700003201E11</v>
      </c>
      <c r="D1168" s="33" t="s">
        <v>9187</v>
      </c>
      <c r="E1168" s="33" t="s">
        <v>9188</v>
      </c>
      <c r="F1168" s="123" t="s">
        <v>9189</v>
      </c>
      <c r="G1168" s="123" t="s">
        <v>9020</v>
      </c>
      <c r="H1168" s="123">
        <v>4405.0</v>
      </c>
      <c r="I1168" s="33" t="s">
        <v>2956</v>
      </c>
      <c r="J1168" s="33" t="s">
        <v>3327</v>
      </c>
      <c r="K1168" s="33">
        <v>1.0</v>
      </c>
      <c r="L1168" s="124" t="s">
        <v>9190</v>
      </c>
      <c r="M1168" s="31"/>
    </row>
    <row r="1169" hidden="1">
      <c r="A1169" s="33" t="s">
        <v>9191</v>
      </c>
      <c r="B1169" s="122">
        <v>45840.0</v>
      </c>
      <c r="C1169" s="33">
        <v>8.07000032024E11</v>
      </c>
      <c r="D1169" s="33" t="s">
        <v>9192</v>
      </c>
      <c r="E1169" s="33" t="s">
        <v>9193</v>
      </c>
      <c r="F1169" s="123" t="s">
        <v>9194</v>
      </c>
      <c r="G1169" s="123" t="s">
        <v>247</v>
      </c>
      <c r="H1169" s="123">
        <v>4400.0</v>
      </c>
      <c r="I1169" s="33" t="s">
        <v>659</v>
      </c>
      <c r="J1169" s="33" t="s">
        <v>3468</v>
      </c>
      <c r="K1169" s="33">
        <v>1.0</v>
      </c>
      <c r="L1169" s="124" t="s">
        <v>9195</v>
      </c>
      <c r="M1169" s="31"/>
    </row>
    <row r="1170" hidden="1">
      <c r="A1170" s="33" t="s">
        <v>9196</v>
      </c>
      <c r="B1170" s="122">
        <v>45840.0</v>
      </c>
      <c r="C1170" s="33">
        <v>8.0700003203E11</v>
      </c>
      <c r="D1170" s="33" t="s">
        <v>9197</v>
      </c>
      <c r="E1170" s="33" t="s">
        <v>9198</v>
      </c>
      <c r="F1170" s="123" t="s">
        <v>9199</v>
      </c>
      <c r="G1170" s="123" t="s">
        <v>8670</v>
      </c>
      <c r="H1170" s="123">
        <v>4430.0</v>
      </c>
      <c r="I1170" s="33" t="s">
        <v>659</v>
      </c>
      <c r="J1170" s="33" t="s">
        <v>3468</v>
      </c>
      <c r="K1170" s="33">
        <v>1.0</v>
      </c>
      <c r="L1170" s="124" t="s">
        <v>9200</v>
      </c>
      <c r="M1170" s="31"/>
    </row>
    <row r="1171" hidden="1">
      <c r="A1171" s="33" t="s">
        <v>9201</v>
      </c>
      <c r="B1171" s="122">
        <v>45840.0</v>
      </c>
      <c r="C1171" s="33">
        <v>8.07000032E11</v>
      </c>
      <c r="D1171" s="33" t="s">
        <v>9202</v>
      </c>
      <c r="E1171" s="33" t="s">
        <v>9203</v>
      </c>
      <c r="F1171" s="123" t="s">
        <v>9204</v>
      </c>
      <c r="G1171" s="123" t="s">
        <v>247</v>
      </c>
      <c r="H1171" s="123">
        <v>4400.0</v>
      </c>
      <c r="I1171" s="33" t="s">
        <v>812</v>
      </c>
      <c r="J1171" s="33" t="s">
        <v>3564</v>
      </c>
      <c r="K1171" s="33">
        <v>1.0</v>
      </c>
      <c r="L1171" s="124" t="s">
        <v>9205</v>
      </c>
      <c r="M1171" s="31"/>
    </row>
    <row r="1172" hidden="1">
      <c r="A1172" s="33" t="s">
        <v>9206</v>
      </c>
      <c r="B1172" s="122">
        <v>45840.0</v>
      </c>
      <c r="C1172" s="33">
        <v>8.07000032015E11</v>
      </c>
      <c r="D1172" s="33" t="s">
        <v>9207</v>
      </c>
      <c r="E1172" s="33" t="s">
        <v>9208</v>
      </c>
      <c r="F1172" s="123" t="s">
        <v>9209</v>
      </c>
      <c r="G1172" s="123" t="s">
        <v>247</v>
      </c>
      <c r="H1172" s="123">
        <v>4400.0</v>
      </c>
      <c r="I1172" s="33" t="s">
        <v>118</v>
      </c>
      <c r="J1172" s="33" t="s">
        <v>4650</v>
      </c>
      <c r="K1172" s="33">
        <v>1.0</v>
      </c>
      <c r="L1172" s="124" t="s">
        <v>9210</v>
      </c>
      <c r="M1172" s="31"/>
    </row>
    <row r="1173" hidden="1">
      <c r="A1173" s="33" t="s">
        <v>9206</v>
      </c>
      <c r="B1173" s="122">
        <v>45840.0</v>
      </c>
      <c r="C1173" s="33">
        <v>8.07000032015E11</v>
      </c>
      <c r="D1173" s="33" t="s">
        <v>9207</v>
      </c>
      <c r="E1173" s="33" t="s">
        <v>9208</v>
      </c>
      <c r="F1173" s="123" t="s">
        <v>9209</v>
      </c>
      <c r="G1173" s="123" t="s">
        <v>247</v>
      </c>
      <c r="H1173" s="123">
        <v>4400.0</v>
      </c>
      <c r="I1173" s="33" t="s">
        <v>512</v>
      </c>
      <c r="J1173" s="33" t="s">
        <v>513</v>
      </c>
      <c r="K1173" s="33">
        <v>12.0</v>
      </c>
      <c r="L1173" s="124" t="s">
        <v>9210</v>
      </c>
      <c r="M1173" s="31"/>
    </row>
    <row r="1174" hidden="1">
      <c r="A1174" s="33" t="s">
        <v>9206</v>
      </c>
      <c r="B1174" s="122">
        <v>45840.0</v>
      </c>
      <c r="C1174" s="33">
        <v>8.07000032015E11</v>
      </c>
      <c r="D1174" s="33" t="s">
        <v>9207</v>
      </c>
      <c r="E1174" s="33" t="s">
        <v>9208</v>
      </c>
      <c r="F1174" s="123" t="s">
        <v>9209</v>
      </c>
      <c r="G1174" s="123" t="s">
        <v>247</v>
      </c>
      <c r="H1174" s="123">
        <v>4400.0</v>
      </c>
      <c r="I1174" s="33" t="s">
        <v>121</v>
      </c>
      <c r="J1174" s="33" t="s">
        <v>3199</v>
      </c>
      <c r="K1174" s="33">
        <v>2.0</v>
      </c>
      <c r="L1174" s="124" t="s">
        <v>9210</v>
      </c>
      <c r="M1174" s="31"/>
    </row>
    <row r="1175" hidden="1">
      <c r="A1175" s="33" t="s">
        <v>9211</v>
      </c>
      <c r="B1175" s="122">
        <v>45840.0</v>
      </c>
      <c r="C1175" s="33">
        <v>8.07000031858E11</v>
      </c>
      <c r="D1175" s="33" t="s">
        <v>4365</v>
      </c>
      <c r="E1175" s="33" t="s">
        <v>4366</v>
      </c>
      <c r="F1175" s="123" t="s">
        <v>9212</v>
      </c>
      <c r="G1175" s="123" t="s">
        <v>532</v>
      </c>
      <c r="H1175" s="123">
        <v>4427.0</v>
      </c>
      <c r="I1175" s="33">
        <v>125807.0</v>
      </c>
      <c r="J1175" s="33" t="s">
        <v>237</v>
      </c>
      <c r="K1175" s="33">
        <v>12.0</v>
      </c>
      <c r="L1175" s="124" t="s">
        <v>9213</v>
      </c>
      <c r="M1175" s="31"/>
    </row>
    <row r="1176" hidden="1">
      <c r="A1176" s="33" t="s">
        <v>9214</v>
      </c>
      <c r="B1176" s="122">
        <v>45842.0</v>
      </c>
      <c r="C1176" s="33">
        <v>8.07000032054E11</v>
      </c>
      <c r="D1176" s="33" t="s">
        <v>9215</v>
      </c>
      <c r="E1176" s="33" t="s">
        <v>9216</v>
      </c>
      <c r="F1176" s="123" t="s">
        <v>9217</v>
      </c>
      <c r="G1176" s="123" t="s">
        <v>247</v>
      </c>
      <c r="H1176" s="123">
        <v>4400.0</v>
      </c>
      <c r="I1176" s="33" t="s">
        <v>2956</v>
      </c>
      <c r="J1176" s="33" t="s">
        <v>3327</v>
      </c>
      <c r="K1176" s="33">
        <v>1.0</v>
      </c>
      <c r="L1176" s="124" t="s">
        <v>9218</v>
      </c>
      <c r="M1176" s="31"/>
    </row>
    <row r="1177" hidden="1">
      <c r="A1177" s="33" t="s">
        <v>9219</v>
      </c>
      <c r="B1177" s="122">
        <v>45842.0</v>
      </c>
      <c r="C1177" s="33">
        <v>8.07000032046E11</v>
      </c>
      <c r="D1177" s="33" t="s">
        <v>9220</v>
      </c>
      <c r="E1177" s="33" t="s">
        <v>9221</v>
      </c>
      <c r="F1177" s="123" t="s">
        <v>9222</v>
      </c>
      <c r="G1177" s="123" t="s">
        <v>247</v>
      </c>
      <c r="H1177" s="123">
        <v>4400.0</v>
      </c>
      <c r="I1177" s="33" t="s">
        <v>9223</v>
      </c>
      <c r="J1177" s="33" t="s">
        <v>9224</v>
      </c>
      <c r="K1177" s="33">
        <v>1.0</v>
      </c>
      <c r="L1177" s="124" t="s">
        <v>9225</v>
      </c>
      <c r="M1177" s="31"/>
    </row>
    <row r="1178" hidden="1">
      <c r="A1178" s="33" t="s">
        <v>9219</v>
      </c>
      <c r="B1178" s="122">
        <v>45842.0</v>
      </c>
      <c r="C1178" s="33">
        <v>8.07000032048E11</v>
      </c>
      <c r="D1178" s="33" t="s">
        <v>9220</v>
      </c>
      <c r="E1178" s="33" t="s">
        <v>9221</v>
      </c>
      <c r="F1178" s="123" t="s">
        <v>9222</v>
      </c>
      <c r="G1178" s="123" t="s">
        <v>247</v>
      </c>
      <c r="H1178" s="123">
        <v>4400.0</v>
      </c>
      <c r="I1178" s="33">
        <v>63404.0</v>
      </c>
      <c r="J1178" s="33" t="s">
        <v>4185</v>
      </c>
      <c r="K1178" s="33">
        <v>1.0</v>
      </c>
      <c r="L1178" s="124" t="s">
        <v>9225</v>
      </c>
      <c r="M1178" s="31"/>
    </row>
    <row r="1179" hidden="1">
      <c r="A1179" s="33" t="s">
        <v>9226</v>
      </c>
      <c r="B1179" s="122">
        <v>45842.0</v>
      </c>
      <c r="C1179" s="33">
        <v>8.07000032038E11</v>
      </c>
      <c r="D1179" s="33" t="s">
        <v>9227</v>
      </c>
      <c r="E1179" s="33" t="s">
        <v>9228</v>
      </c>
      <c r="F1179" s="123" t="s">
        <v>9229</v>
      </c>
      <c r="G1179" s="123" t="s">
        <v>247</v>
      </c>
      <c r="H1179" s="123">
        <v>4400.0</v>
      </c>
      <c r="I1179" s="33" t="s">
        <v>7129</v>
      </c>
      <c r="J1179" s="33" t="s">
        <v>7701</v>
      </c>
      <c r="K1179" s="33">
        <v>1.0</v>
      </c>
      <c r="L1179" s="124" t="s">
        <v>9230</v>
      </c>
      <c r="M1179" s="31"/>
    </row>
    <row r="1180" hidden="1">
      <c r="A1180" s="33" t="s">
        <v>9226</v>
      </c>
      <c r="B1180" s="122">
        <v>45842.0</v>
      </c>
      <c r="C1180" s="33">
        <v>8.07000032039E11</v>
      </c>
      <c r="D1180" s="33" t="s">
        <v>9227</v>
      </c>
      <c r="E1180" s="33" t="s">
        <v>9228</v>
      </c>
      <c r="F1180" s="123" t="s">
        <v>9229</v>
      </c>
      <c r="G1180" s="123" t="s">
        <v>247</v>
      </c>
      <c r="H1180" s="123">
        <v>4400.0</v>
      </c>
      <c r="I1180" s="33" t="s">
        <v>25</v>
      </c>
      <c r="J1180" s="33" t="s">
        <v>3401</v>
      </c>
      <c r="K1180" s="33">
        <v>1.0</v>
      </c>
      <c r="L1180" s="124" t="s">
        <v>9230</v>
      </c>
      <c r="M1180" s="31"/>
    </row>
    <row r="1181" hidden="1">
      <c r="A1181" s="33" t="s">
        <v>9231</v>
      </c>
      <c r="B1181" s="122">
        <v>45842.0</v>
      </c>
      <c r="C1181" s="33">
        <v>8.07000032052E11</v>
      </c>
      <c r="D1181" s="33" t="s">
        <v>9232</v>
      </c>
      <c r="E1181" s="33" t="s">
        <v>9233</v>
      </c>
      <c r="F1181" s="123" t="s">
        <v>9234</v>
      </c>
      <c r="G1181" s="123" t="s">
        <v>247</v>
      </c>
      <c r="H1181" s="123">
        <v>4400.0</v>
      </c>
      <c r="I1181" s="189">
        <v>840241.0</v>
      </c>
      <c r="J1181" s="33" t="s">
        <v>8290</v>
      </c>
      <c r="K1181" s="33">
        <v>1.0</v>
      </c>
      <c r="L1181" s="124" t="s">
        <v>9235</v>
      </c>
      <c r="M1181" s="31"/>
    </row>
    <row r="1182" hidden="1">
      <c r="A1182" s="33" t="s">
        <v>9236</v>
      </c>
      <c r="B1182" s="122">
        <v>45842.0</v>
      </c>
      <c r="C1182" s="33">
        <v>8.07000032053E11</v>
      </c>
      <c r="D1182" s="33" t="s">
        <v>9232</v>
      </c>
      <c r="E1182" s="33" t="s">
        <v>9233</v>
      </c>
      <c r="F1182" s="123" t="s">
        <v>9234</v>
      </c>
      <c r="G1182" s="123" t="s">
        <v>247</v>
      </c>
      <c r="H1182" s="123">
        <v>4400.0</v>
      </c>
      <c r="I1182" s="189">
        <v>840241.0</v>
      </c>
      <c r="J1182" s="33" t="s">
        <v>8290</v>
      </c>
      <c r="K1182" s="33">
        <v>1.0</v>
      </c>
      <c r="L1182" s="124" t="s">
        <v>9235</v>
      </c>
      <c r="M1182" s="31"/>
    </row>
    <row r="1183" hidden="1">
      <c r="A1183" s="33" t="s">
        <v>9237</v>
      </c>
      <c r="B1183" s="122">
        <v>45842.0</v>
      </c>
      <c r="C1183" s="33">
        <v>8.07000032041E11</v>
      </c>
      <c r="D1183" s="33" t="s">
        <v>9238</v>
      </c>
      <c r="E1183" s="33" t="s">
        <v>9239</v>
      </c>
      <c r="F1183" s="123" t="s">
        <v>9240</v>
      </c>
      <c r="G1183" s="123" t="s">
        <v>247</v>
      </c>
      <c r="H1183" s="123">
        <v>4400.0</v>
      </c>
      <c r="I1183" s="33" t="s">
        <v>269</v>
      </c>
      <c r="J1183" s="33" t="s">
        <v>7941</v>
      </c>
      <c r="K1183" s="33">
        <v>1.0</v>
      </c>
      <c r="L1183" s="124" t="s">
        <v>9241</v>
      </c>
      <c r="M1183" s="31"/>
    </row>
    <row r="1184" hidden="1">
      <c r="A1184" s="33" t="s">
        <v>9242</v>
      </c>
      <c r="B1184" s="122">
        <v>45842.0</v>
      </c>
      <c r="C1184" s="33">
        <v>8.07000032059E11</v>
      </c>
      <c r="D1184" s="33" t="s">
        <v>9243</v>
      </c>
      <c r="E1184" s="33" t="s">
        <v>9244</v>
      </c>
      <c r="F1184" s="123" t="s">
        <v>9245</v>
      </c>
      <c r="G1184" s="123" t="s">
        <v>247</v>
      </c>
      <c r="H1184" s="123">
        <v>4400.0</v>
      </c>
      <c r="I1184" s="33" t="s">
        <v>8630</v>
      </c>
      <c r="J1184" s="33" t="s">
        <v>8631</v>
      </c>
      <c r="K1184" s="33">
        <v>1.0</v>
      </c>
      <c r="L1184" s="124" t="s">
        <v>9246</v>
      </c>
      <c r="M1184" s="31"/>
    </row>
    <row r="1185" hidden="1">
      <c r="A1185" s="33" t="s">
        <v>9242</v>
      </c>
      <c r="B1185" s="122">
        <v>45842.0</v>
      </c>
      <c r="C1185" s="33">
        <v>8.0700003206E11</v>
      </c>
      <c r="D1185" s="33" t="s">
        <v>9243</v>
      </c>
      <c r="E1185" s="33" t="s">
        <v>9244</v>
      </c>
      <c r="F1185" s="123" t="s">
        <v>9245</v>
      </c>
      <c r="G1185" s="123" t="s">
        <v>247</v>
      </c>
      <c r="H1185" s="123">
        <v>4400.0</v>
      </c>
      <c r="I1185" s="33" t="s">
        <v>3313</v>
      </c>
      <c r="J1185" s="33" t="s">
        <v>3314</v>
      </c>
      <c r="K1185" s="33">
        <v>1.0</v>
      </c>
      <c r="L1185" s="124" t="s">
        <v>9246</v>
      </c>
      <c r="M1185" s="31"/>
    </row>
    <row r="1186" hidden="1">
      <c r="A1186" s="33" t="s">
        <v>9242</v>
      </c>
      <c r="B1186" s="122">
        <v>45842.0</v>
      </c>
      <c r="C1186" s="33">
        <v>8.0700003206E11</v>
      </c>
      <c r="D1186" s="33" t="s">
        <v>9243</v>
      </c>
      <c r="E1186" s="33" t="s">
        <v>9244</v>
      </c>
      <c r="F1186" s="123" t="s">
        <v>9245</v>
      </c>
      <c r="G1186" s="123" t="s">
        <v>247</v>
      </c>
      <c r="H1186" s="123">
        <v>4400.0</v>
      </c>
      <c r="I1186" s="33" t="s">
        <v>3797</v>
      </c>
      <c r="J1186" s="33" t="s">
        <v>3798</v>
      </c>
      <c r="K1186" s="33">
        <v>1.0</v>
      </c>
      <c r="L1186" s="124" t="s">
        <v>9246</v>
      </c>
      <c r="M1186" s="31"/>
    </row>
    <row r="1187" hidden="1">
      <c r="A1187" s="33" t="s">
        <v>9247</v>
      </c>
      <c r="B1187" s="122">
        <v>45842.0</v>
      </c>
      <c r="C1187" s="33">
        <v>8.07000032049E11</v>
      </c>
      <c r="D1187" s="33" t="s">
        <v>9248</v>
      </c>
      <c r="E1187" s="33" t="s">
        <v>9249</v>
      </c>
      <c r="F1187" s="123" t="s">
        <v>9250</v>
      </c>
      <c r="G1187" s="123" t="s">
        <v>247</v>
      </c>
      <c r="H1187" s="123">
        <v>4400.0</v>
      </c>
      <c r="I1187" s="33">
        <v>125809.0</v>
      </c>
      <c r="J1187" s="33" t="s">
        <v>2632</v>
      </c>
      <c r="K1187" s="33">
        <v>2.0</v>
      </c>
      <c r="L1187" s="124" t="s">
        <v>9251</v>
      </c>
      <c r="M1187" s="31"/>
      <c r="N1187" s="34"/>
      <c r="O1187" s="34"/>
      <c r="P1187" s="34"/>
      <c r="Q1187" s="34"/>
      <c r="R1187" s="34"/>
      <c r="S1187" s="34"/>
      <c r="T1187" s="34"/>
    </row>
    <row r="1188" hidden="1">
      <c r="A1188" s="33" t="s">
        <v>9247</v>
      </c>
      <c r="B1188" s="122">
        <v>45842.0</v>
      </c>
      <c r="C1188" s="33">
        <v>8.07000032049E11</v>
      </c>
      <c r="D1188" s="33" t="s">
        <v>9248</v>
      </c>
      <c r="E1188" s="33" t="s">
        <v>9249</v>
      </c>
      <c r="F1188" s="123" t="s">
        <v>9250</v>
      </c>
      <c r="G1188" s="123" t="s">
        <v>247</v>
      </c>
      <c r="H1188" s="123">
        <v>4400.0</v>
      </c>
      <c r="I1188" s="33" t="s">
        <v>512</v>
      </c>
      <c r="J1188" s="33" t="s">
        <v>513</v>
      </c>
      <c r="K1188" s="33">
        <v>6.0</v>
      </c>
      <c r="L1188" s="124" t="s">
        <v>9251</v>
      </c>
      <c r="M1188" s="31"/>
      <c r="N1188" s="34"/>
      <c r="O1188" s="34"/>
      <c r="P1188" s="34"/>
      <c r="Q1188" s="34"/>
      <c r="R1188" s="34"/>
      <c r="S1188" s="34"/>
      <c r="T1188" s="34"/>
    </row>
    <row r="1189" hidden="1">
      <c r="A1189" s="33" t="s">
        <v>9247</v>
      </c>
      <c r="B1189" s="122">
        <v>45842.0</v>
      </c>
      <c r="C1189" s="33">
        <v>8.0700003205E11</v>
      </c>
      <c r="D1189" s="33" t="s">
        <v>9248</v>
      </c>
      <c r="E1189" s="33" t="s">
        <v>9249</v>
      </c>
      <c r="F1189" s="123" t="s">
        <v>9250</v>
      </c>
      <c r="G1189" s="123" t="s">
        <v>247</v>
      </c>
      <c r="H1189" s="123">
        <v>4400.0</v>
      </c>
      <c r="I1189" s="33" t="s">
        <v>2956</v>
      </c>
      <c r="J1189" s="33" t="s">
        <v>3327</v>
      </c>
      <c r="K1189" s="33">
        <v>1.0</v>
      </c>
      <c r="L1189" s="124" t="s">
        <v>9251</v>
      </c>
      <c r="M1189" s="31"/>
      <c r="N1189" s="34"/>
      <c r="O1189" s="34"/>
      <c r="P1189" s="34"/>
      <c r="Q1189" s="34"/>
      <c r="R1189" s="34"/>
      <c r="S1189" s="34"/>
      <c r="T1189" s="34"/>
    </row>
    <row r="1190" hidden="1">
      <c r="A1190" s="33" t="s">
        <v>9247</v>
      </c>
      <c r="B1190" s="122">
        <v>45842.0</v>
      </c>
      <c r="C1190" s="33">
        <v>8.0700003205E11</v>
      </c>
      <c r="D1190" s="33" t="s">
        <v>9248</v>
      </c>
      <c r="E1190" s="33" t="s">
        <v>9249</v>
      </c>
      <c r="F1190" s="123" t="s">
        <v>9250</v>
      </c>
      <c r="G1190" s="123" t="s">
        <v>247</v>
      </c>
      <c r="H1190" s="123">
        <v>4400.0</v>
      </c>
      <c r="I1190" s="33" t="s">
        <v>670</v>
      </c>
      <c r="J1190" s="33" t="s">
        <v>3410</v>
      </c>
      <c r="K1190" s="33">
        <v>1.0</v>
      </c>
      <c r="L1190" s="124" t="s">
        <v>9251</v>
      </c>
      <c r="M1190" s="31"/>
      <c r="N1190" s="34"/>
      <c r="O1190" s="34"/>
      <c r="P1190" s="34"/>
      <c r="Q1190" s="34"/>
      <c r="R1190" s="34"/>
      <c r="S1190" s="34"/>
      <c r="T1190" s="34"/>
    </row>
    <row r="1191" hidden="1">
      <c r="A1191" s="33" t="s">
        <v>9252</v>
      </c>
      <c r="B1191" s="122">
        <v>45842.0</v>
      </c>
      <c r="C1191" s="33">
        <v>8.07000032074E11</v>
      </c>
      <c r="D1191" s="33" t="s">
        <v>9253</v>
      </c>
      <c r="E1191" s="33" t="s">
        <v>9254</v>
      </c>
      <c r="F1191" s="123" t="s">
        <v>9255</v>
      </c>
      <c r="G1191" s="123" t="s">
        <v>247</v>
      </c>
      <c r="H1191" s="123">
        <v>4400.0</v>
      </c>
      <c r="I1191" s="33" t="s">
        <v>512</v>
      </c>
      <c r="J1191" s="33" t="s">
        <v>513</v>
      </c>
      <c r="K1191" s="33">
        <v>6.0</v>
      </c>
      <c r="L1191" s="124" t="s">
        <v>9256</v>
      </c>
      <c r="M1191" s="31"/>
    </row>
    <row r="1192" hidden="1">
      <c r="A1192" s="33" t="s">
        <v>9252</v>
      </c>
      <c r="B1192" s="122">
        <v>45842.0</v>
      </c>
      <c r="C1192" s="33">
        <v>8.07000032075E11</v>
      </c>
      <c r="D1192" s="33" t="s">
        <v>9253</v>
      </c>
      <c r="E1192" s="33" t="s">
        <v>9254</v>
      </c>
      <c r="F1192" s="123" t="s">
        <v>9255</v>
      </c>
      <c r="G1192" s="123" t="s">
        <v>247</v>
      </c>
      <c r="H1192" s="123">
        <v>4400.0</v>
      </c>
      <c r="I1192" s="33" t="s">
        <v>971</v>
      </c>
      <c r="J1192" s="33" t="s">
        <v>4477</v>
      </c>
      <c r="K1192" s="33">
        <v>1.0</v>
      </c>
      <c r="L1192" s="124" t="s">
        <v>9256</v>
      </c>
      <c r="M1192" s="31"/>
    </row>
    <row r="1193" hidden="1">
      <c r="A1193" s="33" t="s">
        <v>9252</v>
      </c>
      <c r="B1193" s="122">
        <v>45842.0</v>
      </c>
      <c r="C1193" s="33">
        <v>8.07000032075E11</v>
      </c>
      <c r="D1193" s="33" t="s">
        <v>9253</v>
      </c>
      <c r="E1193" s="33" t="s">
        <v>9254</v>
      </c>
      <c r="F1193" s="123" t="s">
        <v>9255</v>
      </c>
      <c r="G1193" s="123" t="s">
        <v>247</v>
      </c>
      <c r="H1193" s="123">
        <v>4400.0</v>
      </c>
      <c r="I1193" s="33" t="s">
        <v>969</v>
      </c>
      <c r="J1193" s="33" t="s">
        <v>3296</v>
      </c>
      <c r="K1193" s="33">
        <v>1.0</v>
      </c>
      <c r="L1193" s="124" t="s">
        <v>9256</v>
      </c>
      <c r="M1193" s="31"/>
    </row>
    <row r="1194" hidden="1">
      <c r="A1194" s="33" t="s">
        <v>9257</v>
      </c>
      <c r="B1194" s="122">
        <v>45842.0</v>
      </c>
      <c r="C1194" s="33">
        <v>8.07000032087E11</v>
      </c>
      <c r="D1194" s="33" t="s">
        <v>9258</v>
      </c>
      <c r="E1194" s="33" t="s">
        <v>9259</v>
      </c>
      <c r="F1194" s="123" t="s">
        <v>9260</v>
      </c>
      <c r="G1194" s="123" t="s">
        <v>247</v>
      </c>
      <c r="H1194" s="123">
        <v>4400.0</v>
      </c>
      <c r="I1194" s="33" t="s">
        <v>25</v>
      </c>
      <c r="J1194" s="33" t="s">
        <v>3401</v>
      </c>
      <c r="K1194" s="33">
        <v>1.0</v>
      </c>
      <c r="L1194" s="124"/>
      <c r="M1194" s="31"/>
    </row>
    <row r="1195" hidden="1">
      <c r="A1195" s="33" t="s">
        <v>9261</v>
      </c>
      <c r="B1195" s="122">
        <v>45842.0</v>
      </c>
      <c r="C1195" s="33">
        <v>8.07000032088E11</v>
      </c>
      <c r="D1195" s="33" t="s">
        <v>9258</v>
      </c>
      <c r="E1195" s="33" t="s">
        <v>9259</v>
      </c>
      <c r="F1195" s="123" t="s">
        <v>9260</v>
      </c>
      <c r="G1195" s="123" t="s">
        <v>247</v>
      </c>
      <c r="H1195" s="123">
        <v>4400.0</v>
      </c>
      <c r="I1195" s="33">
        <v>841702.0</v>
      </c>
      <c r="J1195" s="33" t="s">
        <v>7685</v>
      </c>
      <c r="K1195" s="33">
        <v>1.0</v>
      </c>
      <c r="L1195" s="124"/>
      <c r="M1195" s="31"/>
    </row>
    <row r="1196" hidden="1">
      <c r="A1196" s="33" t="s">
        <v>9262</v>
      </c>
      <c r="B1196" s="122">
        <v>45845.0</v>
      </c>
      <c r="C1196" s="33">
        <v>8.07000032153E11</v>
      </c>
      <c r="D1196" s="33" t="s">
        <v>9263</v>
      </c>
      <c r="E1196" s="33" t="s">
        <v>9264</v>
      </c>
      <c r="F1196" s="123" t="s">
        <v>9265</v>
      </c>
      <c r="G1196" s="123" t="s">
        <v>247</v>
      </c>
      <c r="H1196" s="123">
        <v>4400.0</v>
      </c>
      <c r="I1196" s="33" t="s">
        <v>9266</v>
      </c>
      <c r="J1196" s="33" t="s">
        <v>3416</v>
      </c>
      <c r="K1196" s="33">
        <v>1.0</v>
      </c>
      <c r="L1196" s="124" t="s">
        <v>9267</v>
      </c>
      <c r="M1196" s="31"/>
    </row>
    <row r="1197" hidden="1">
      <c r="A1197" s="33" t="s">
        <v>9262</v>
      </c>
      <c r="B1197" s="122">
        <v>45845.0</v>
      </c>
      <c r="C1197" s="33">
        <v>8.07000032153E11</v>
      </c>
      <c r="D1197" s="33" t="s">
        <v>9263</v>
      </c>
      <c r="E1197" s="33" t="s">
        <v>9264</v>
      </c>
      <c r="F1197" s="123" t="s">
        <v>9265</v>
      </c>
      <c r="G1197" s="123" t="s">
        <v>247</v>
      </c>
      <c r="H1197" s="123">
        <v>4400.0</v>
      </c>
      <c r="I1197" s="33" t="s">
        <v>9268</v>
      </c>
      <c r="J1197" s="33" t="s">
        <v>9269</v>
      </c>
      <c r="K1197" s="33">
        <v>1.0</v>
      </c>
      <c r="L1197" s="124" t="s">
        <v>9267</v>
      </c>
      <c r="M1197" s="31"/>
    </row>
    <row r="1198" hidden="1">
      <c r="A1198" s="33" t="s">
        <v>9270</v>
      </c>
      <c r="B1198" s="122">
        <v>45845.0</v>
      </c>
      <c r="C1198" s="33">
        <v>8.07000032095E11</v>
      </c>
      <c r="D1198" s="33" t="s">
        <v>9271</v>
      </c>
      <c r="E1198" s="33" t="s">
        <v>9272</v>
      </c>
      <c r="F1198" s="123" t="s">
        <v>9273</v>
      </c>
      <c r="G1198" s="123" t="s">
        <v>247</v>
      </c>
      <c r="H1198" s="123">
        <v>4400.0</v>
      </c>
      <c r="I1198" s="33" t="s">
        <v>985</v>
      </c>
      <c r="J1198" s="33" t="s">
        <v>3600</v>
      </c>
      <c r="K1198" s="33">
        <v>1.0</v>
      </c>
      <c r="L1198" s="124" t="s">
        <v>9274</v>
      </c>
      <c r="M1198" s="31"/>
    </row>
    <row r="1199" hidden="1">
      <c r="A1199" s="33" t="s">
        <v>9270</v>
      </c>
      <c r="B1199" s="122">
        <v>45845.0</v>
      </c>
      <c r="C1199" s="33">
        <v>8.07000032095E11</v>
      </c>
      <c r="D1199" s="33" t="s">
        <v>9271</v>
      </c>
      <c r="E1199" s="33" t="s">
        <v>9272</v>
      </c>
      <c r="F1199" s="123" t="s">
        <v>9273</v>
      </c>
      <c r="G1199" s="123" t="s">
        <v>247</v>
      </c>
      <c r="H1199" s="123">
        <v>4400.0</v>
      </c>
      <c r="I1199" s="33" t="s">
        <v>512</v>
      </c>
      <c r="J1199" s="33" t="s">
        <v>513</v>
      </c>
      <c r="K1199" s="33">
        <v>6.0</v>
      </c>
      <c r="L1199" s="124" t="s">
        <v>9274</v>
      </c>
      <c r="M1199" s="31"/>
    </row>
    <row r="1200" hidden="1">
      <c r="A1200" s="33" t="s">
        <v>9270</v>
      </c>
      <c r="B1200" s="122">
        <v>45845.0</v>
      </c>
      <c r="C1200" s="33">
        <v>8.07000032095E11</v>
      </c>
      <c r="D1200" s="33" t="s">
        <v>9271</v>
      </c>
      <c r="E1200" s="33" t="s">
        <v>9272</v>
      </c>
      <c r="F1200" s="123" t="s">
        <v>9273</v>
      </c>
      <c r="G1200" s="123" t="s">
        <v>247</v>
      </c>
      <c r="H1200" s="123">
        <v>4400.0</v>
      </c>
      <c r="I1200" s="33" t="s">
        <v>35</v>
      </c>
      <c r="J1200" s="33" t="s">
        <v>3188</v>
      </c>
      <c r="K1200" s="33">
        <v>1.0</v>
      </c>
      <c r="L1200" s="124" t="s">
        <v>9274</v>
      </c>
      <c r="M1200" s="31"/>
    </row>
    <row r="1201" hidden="1">
      <c r="A1201" s="33" t="s">
        <v>9275</v>
      </c>
      <c r="B1201" s="122">
        <v>45845.0</v>
      </c>
      <c r="C1201" s="33">
        <v>8.07000032101E11</v>
      </c>
      <c r="D1201" s="33" t="s">
        <v>9276</v>
      </c>
      <c r="E1201" s="33" t="s">
        <v>9277</v>
      </c>
      <c r="F1201" s="123" t="s">
        <v>9278</v>
      </c>
      <c r="G1201" s="123" t="s">
        <v>247</v>
      </c>
      <c r="H1201" s="123">
        <v>4400.0</v>
      </c>
      <c r="I1201" s="33" t="s">
        <v>512</v>
      </c>
      <c r="J1201" s="33" t="s">
        <v>513</v>
      </c>
      <c r="K1201" s="33">
        <v>12.0</v>
      </c>
      <c r="L1201" s="124" t="s">
        <v>9279</v>
      </c>
      <c r="M1201" s="31"/>
    </row>
    <row r="1202" hidden="1">
      <c r="A1202" s="33" t="s">
        <v>9275</v>
      </c>
      <c r="B1202" s="122">
        <v>45845.0</v>
      </c>
      <c r="C1202" s="33">
        <v>8.07000032102E11</v>
      </c>
      <c r="D1202" s="33" t="s">
        <v>9276</v>
      </c>
      <c r="E1202" s="33" t="s">
        <v>9277</v>
      </c>
      <c r="F1202" s="123" t="s">
        <v>9278</v>
      </c>
      <c r="G1202" s="123" t="s">
        <v>247</v>
      </c>
      <c r="H1202" s="123">
        <v>4400.0</v>
      </c>
      <c r="I1202" s="33" t="s">
        <v>4368</v>
      </c>
      <c r="J1202" s="33" t="s">
        <v>4369</v>
      </c>
      <c r="K1202" s="33">
        <v>2.0</v>
      </c>
      <c r="L1202" s="124" t="s">
        <v>9279</v>
      </c>
      <c r="M1202" s="31"/>
    </row>
    <row r="1203" hidden="1">
      <c r="A1203" s="33" t="s">
        <v>9275</v>
      </c>
      <c r="B1203" s="122">
        <v>45845.0</v>
      </c>
      <c r="C1203" s="33">
        <v>8.07000032102E11</v>
      </c>
      <c r="D1203" s="33" t="s">
        <v>9276</v>
      </c>
      <c r="E1203" s="33" t="s">
        <v>9277</v>
      </c>
      <c r="F1203" s="123" t="s">
        <v>9278</v>
      </c>
      <c r="G1203" s="123" t="s">
        <v>247</v>
      </c>
      <c r="H1203" s="123">
        <v>4400.0</v>
      </c>
      <c r="I1203" s="33" t="s">
        <v>1827</v>
      </c>
      <c r="J1203" s="33" t="s">
        <v>4367</v>
      </c>
      <c r="K1203" s="33">
        <v>2.0</v>
      </c>
      <c r="L1203" s="124" t="s">
        <v>9279</v>
      </c>
      <c r="M1203" s="31"/>
    </row>
    <row r="1204" hidden="1">
      <c r="A1204" s="33" t="s">
        <v>9280</v>
      </c>
      <c r="B1204" s="122">
        <v>45845.0</v>
      </c>
      <c r="C1204" s="33">
        <v>8.07000032105E11</v>
      </c>
      <c r="D1204" s="33" t="s">
        <v>9281</v>
      </c>
      <c r="E1204" s="33" t="s">
        <v>9282</v>
      </c>
      <c r="F1204" s="123" t="s">
        <v>9283</v>
      </c>
      <c r="G1204" s="123" t="s">
        <v>247</v>
      </c>
      <c r="H1204" s="123">
        <v>4400.0</v>
      </c>
      <c r="I1204" s="33" t="s">
        <v>35</v>
      </c>
      <c r="J1204" s="33" t="s">
        <v>3188</v>
      </c>
      <c r="K1204" s="33">
        <v>1.0</v>
      </c>
      <c r="L1204" s="124" t="s">
        <v>9284</v>
      </c>
      <c r="M1204" s="31"/>
    </row>
    <row r="1205" hidden="1">
      <c r="A1205" s="33" t="s">
        <v>9285</v>
      </c>
      <c r="B1205" s="122">
        <v>45845.0</v>
      </c>
      <c r="C1205" s="33">
        <v>8.07000032106E11</v>
      </c>
      <c r="D1205" s="33" t="s">
        <v>9281</v>
      </c>
      <c r="E1205" s="33" t="s">
        <v>9282</v>
      </c>
      <c r="F1205" s="123" t="s">
        <v>9283</v>
      </c>
      <c r="G1205" s="123" t="s">
        <v>247</v>
      </c>
      <c r="H1205" s="123">
        <v>4400.0</v>
      </c>
      <c r="I1205" s="33" t="s">
        <v>7129</v>
      </c>
      <c r="J1205" s="33" t="s">
        <v>7701</v>
      </c>
      <c r="K1205" s="33">
        <v>1.0</v>
      </c>
      <c r="L1205" s="124" t="s">
        <v>9284</v>
      </c>
      <c r="M1205" s="31"/>
    </row>
    <row r="1206" hidden="1">
      <c r="A1206" s="33" t="s">
        <v>9286</v>
      </c>
      <c r="B1206" s="122">
        <v>45845.0</v>
      </c>
      <c r="C1206" s="33">
        <v>8.07000032127E11</v>
      </c>
      <c r="D1206" s="33" t="s">
        <v>9287</v>
      </c>
      <c r="E1206" s="33" t="s">
        <v>9288</v>
      </c>
      <c r="F1206" s="123" t="s">
        <v>9289</v>
      </c>
      <c r="G1206" s="123" t="s">
        <v>247</v>
      </c>
      <c r="H1206" s="123">
        <v>4400.0</v>
      </c>
      <c r="I1206" s="33" t="s">
        <v>512</v>
      </c>
      <c r="J1206" s="33" t="s">
        <v>513</v>
      </c>
      <c r="K1206" s="33">
        <v>6.0</v>
      </c>
      <c r="L1206" s="124" t="s">
        <v>9290</v>
      </c>
      <c r="M1206" s="31"/>
    </row>
    <row r="1207" hidden="1">
      <c r="A1207" s="33" t="s">
        <v>9286</v>
      </c>
      <c r="B1207" s="122">
        <v>45845.0</v>
      </c>
      <c r="C1207" s="33">
        <v>8.07000032128E11</v>
      </c>
      <c r="D1207" s="33" t="s">
        <v>9287</v>
      </c>
      <c r="E1207" s="33" t="s">
        <v>9288</v>
      </c>
      <c r="F1207" s="123" t="s">
        <v>9289</v>
      </c>
      <c r="G1207" s="123" t="s">
        <v>247</v>
      </c>
      <c r="H1207" s="123">
        <v>4400.0</v>
      </c>
      <c r="I1207" s="33" t="s">
        <v>3154</v>
      </c>
      <c r="J1207" s="33" t="s">
        <v>4564</v>
      </c>
      <c r="K1207" s="33">
        <v>1.0</v>
      </c>
      <c r="L1207" s="124" t="s">
        <v>9290</v>
      </c>
      <c r="M1207" s="31"/>
    </row>
    <row r="1208" hidden="1">
      <c r="A1208" s="33" t="s">
        <v>9286</v>
      </c>
      <c r="B1208" s="122">
        <v>45845.0</v>
      </c>
      <c r="C1208" s="33">
        <v>8.07000032128E11</v>
      </c>
      <c r="D1208" s="33" t="s">
        <v>9287</v>
      </c>
      <c r="E1208" s="33" t="s">
        <v>9288</v>
      </c>
      <c r="F1208" s="123" t="s">
        <v>9289</v>
      </c>
      <c r="G1208" s="123" t="s">
        <v>247</v>
      </c>
      <c r="H1208" s="123">
        <v>4400.0</v>
      </c>
      <c r="I1208" s="33" t="s">
        <v>2031</v>
      </c>
      <c r="J1208" s="33" t="s">
        <v>3348</v>
      </c>
      <c r="K1208" s="33">
        <v>1.0</v>
      </c>
      <c r="L1208" s="124" t="s">
        <v>9290</v>
      </c>
      <c r="M1208" s="31"/>
    </row>
    <row r="1209" hidden="1">
      <c r="A1209" s="33" t="s">
        <v>9291</v>
      </c>
      <c r="B1209" s="122">
        <v>45845.0</v>
      </c>
      <c r="C1209" s="33">
        <v>8.07000032132E11</v>
      </c>
      <c r="D1209" s="33" t="s">
        <v>9292</v>
      </c>
      <c r="E1209" s="33" t="s">
        <v>9293</v>
      </c>
      <c r="F1209" s="123" t="s">
        <v>9294</v>
      </c>
      <c r="G1209" s="123" t="s">
        <v>247</v>
      </c>
      <c r="H1209" s="123">
        <v>4400.0</v>
      </c>
      <c r="I1209" s="33" t="s">
        <v>9295</v>
      </c>
      <c r="J1209" s="33" t="s">
        <v>9296</v>
      </c>
      <c r="K1209" s="33">
        <v>1.0</v>
      </c>
      <c r="L1209" s="124" t="s">
        <v>9297</v>
      </c>
      <c r="M1209" s="31"/>
    </row>
    <row r="1210" hidden="1">
      <c r="A1210" s="33" t="s">
        <v>9298</v>
      </c>
      <c r="B1210" s="122">
        <v>45845.0</v>
      </c>
      <c r="C1210" s="33">
        <v>8.07000032077E11</v>
      </c>
      <c r="D1210" s="33" t="s">
        <v>9299</v>
      </c>
      <c r="E1210" s="33" t="s">
        <v>9300</v>
      </c>
      <c r="F1210" s="123" t="s">
        <v>9301</v>
      </c>
      <c r="G1210" s="123" t="s">
        <v>247</v>
      </c>
      <c r="H1210" s="123">
        <v>4400.0</v>
      </c>
      <c r="I1210" s="33" t="s">
        <v>512</v>
      </c>
      <c r="J1210" s="33" t="s">
        <v>513</v>
      </c>
      <c r="K1210" s="33">
        <v>6.0</v>
      </c>
      <c r="L1210" s="124" t="s">
        <v>9302</v>
      </c>
      <c r="M1210" s="31"/>
    </row>
    <row r="1211" hidden="1">
      <c r="A1211" s="33" t="s">
        <v>9298</v>
      </c>
      <c r="B1211" s="122">
        <v>45845.0</v>
      </c>
      <c r="C1211" s="33">
        <v>8.07000032078E11</v>
      </c>
      <c r="D1211" s="33" t="s">
        <v>9299</v>
      </c>
      <c r="E1211" s="33" t="s">
        <v>9300</v>
      </c>
      <c r="F1211" s="123" t="s">
        <v>9301</v>
      </c>
      <c r="G1211" s="123" t="s">
        <v>247</v>
      </c>
      <c r="H1211" s="123">
        <v>4400.0</v>
      </c>
      <c r="I1211" s="33" t="s">
        <v>985</v>
      </c>
      <c r="J1211" s="33" t="s">
        <v>3600</v>
      </c>
      <c r="K1211" s="33">
        <v>1.0</v>
      </c>
      <c r="L1211" s="124" t="s">
        <v>9302</v>
      </c>
      <c r="M1211" s="31"/>
    </row>
    <row r="1212" hidden="1">
      <c r="A1212" s="33" t="s">
        <v>9298</v>
      </c>
      <c r="B1212" s="122">
        <v>45845.0</v>
      </c>
      <c r="C1212" s="33">
        <v>8.07000032078E11</v>
      </c>
      <c r="D1212" s="33" t="s">
        <v>9299</v>
      </c>
      <c r="E1212" s="33" t="s">
        <v>9300</v>
      </c>
      <c r="F1212" s="123" t="s">
        <v>9301</v>
      </c>
      <c r="G1212" s="123" t="s">
        <v>247</v>
      </c>
      <c r="H1212" s="123">
        <v>4400.0</v>
      </c>
      <c r="I1212" s="33" t="s">
        <v>35</v>
      </c>
      <c r="J1212" s="33" t="s">
        <v>3188</v>
      </c>
      <c r="K1212" s="33">
        <v>1.0</v>
      </c>
      <c r="L1212" s="124" t="s">
        <v>9302</v>
      </c>
      <c r="M1212" s="31"/>
    </row>
    <row r="1213" hidden="1">
      <c r="A1213" s="33" t="s">
        <v>9303</v>
      </c>
      <c r="B1213" s="122">
        <v>45845.0</v>
      </c>
      <c r="C1213" s="33">
        <v>8.07000032098E11</v>
      </c>
      <c r="D1213" s="33" t="s">
        <v>9304</v>
      </c>
      <c r="E1213" s="33" t="s">
        <v>9305</v>
      </c>
      <c r="F1213" s="123" t="s">
        <v>9306</v>
      </c>
      <c r="G1213" s="123" t="s">
        <v>247</v>
      </c>
      <c r="H1213" s="123">
        <v>4400.0</v>
      </c>
      <c r="I1213" s="33" t="s">
        <v>512</v>
      </c>
      <c r="J1213" s="33" t="s">
        <v>513</v>
      </c>
      <c r="K1213" s="33">
        <v>12.0</v>
      </c>
      <c r="L1213" s="124" t="s">
        <v>9307</v>
      </c>
      <c r="M1213" s="31"/>
    </row>
    <row r="1214" hidden="1">
      <c r="A1214" s="33" t="s">
        <v>9303</v>
      </c>
      <c r="B1214" s="122">
        <v>45845.0</v>
      </c>
      <c r="C1214" s="33">
        <v>8.07000032099E11</v>
      </c>
      <c r="D1214" s="33" t="s">
        <v>9304</v>
      </c>
      <c r="E1214" s="33" t="s">
        <v>9305</v>
      </c>
      <c r="F1214" s="123" t="s">
        <v>9306</v>
      </c>
      <c r="G1214" s="123" t="s">
        <v>247</v>
      </c>
      <c r="H1214" s="123">
        <v>4400.0</v>
      </c>
      <c r="I1214" s="33" t="s">
        <v>645</v>
      </c>
      <c r="J1214" s="33" t="s">
        <v>3253</v>
      </c>
      <c r="K1214" s="33">
        <v>2.0</v>
      </c>
      <c r="L1214" s="124" t="s">
        <v>9307</v>
      </c>
      <c r="M1214" s="31"/>
    </row>
    <row r="1215" hidden="1">
      <c r="A1215" s="33" t="s">
        <v>9303</v>
      </c>
      <c r="B1215" s="122">
        <v>45845.0</v>
      </c>
      <c r="C1215" s="33">
        <v>8.070000321E11</v>
      </c>
      <c r="D1215" s="33" t="s">
        <v>9304</v>
      </c>
      <c r="E1215" s="33" t="s">
        <v>9305</v>
      </c>
      <c r="F1215" s="123" t="s">
        <v>9306</v>
      </c>
      <c r="G1215" s="123" t="s">
        <v>247</v>
      </c>
      <c r="H1215" s="123">
        <v>4400.0</v>
      </c>
      <c r="I1215" s="33" t="s">
        <v>1766</v>
      </c>
      <c r="J1215" s="33" t="s">
        <v>8008</v>
      </c>
      <c r="K1215" s="33">
        <v>1.0</v>
      </c>
      <c r="L1215" s="124" t="s">
        <v>9307</v>
      </c>
      <c r="M1215" s="31"/>
    </row>
    <row r="1216" hidden="1">
      <c r="A1216" s="33" t="s">
        <v>9303</v>
      </c>
      <c r="B1216" s="122">
        <v>45845.0</v>
      </c>
      <c r="C1216" s="33">
        <v>8.070000321E11</v>
      </c>
      <c r="D1216" s="33" t="s">
        <v>9304</v>
      </c>
      <c r="E1216" s="33" t="s">
        <v>9305</v>
      </c>
      <c r="F1216" s="123" t="s">
        <v>9306</v>
      </c>
      <c r="G1216" s="123" t="s">
        <v>247</v>
      </c>
      <c r="H1216" s="123">
        <v>4400.0</v>
      </c>
      <c r="I1216" s="33" t="s">
        <v>233</v>
      </c>
      <c r="J1216" s="33" t="s">
        <v>3459</v>
      </c>
      <c r="K1216" s="33">
        <v>2.0</v>
      </c>
      <c r="L1216" s="124" t="s">
        <v>9307</v>
      </c>
      <c r="M1216" s="31"/>
    </row>
    <row r="1217" hidden="1">
      <c r="A1217" s="33" t="s">
        <v>9308</v>
      </c>
      <c r="B1217" s="122">
        <v>45845.0</v>
      </c>
      <c r="C1217" s="33">
        <v>8.07000032107E11</v>
      </c>
      <c r="D1217" s="33" t="s">
        <v>9309</v>
      </c>
      <c r="E1217" s="33" t="s">
        <v>9310</v>
      </c>
      <c r="F1217" s="123" t="s">
        <v>9311</v>
      </c>
      <c r="G1217" s="123" t="s">
        <v>247</v>
      </c>
      <c r="H1217" s="123">
        <v>4400.0</v>
      </c>
      <c r="I1217" s="33" t="s">
        <v>3313</v>
      </c>
      <c r="J1217" s="33" t="s">
        <v>3314</v>
      </c>
      <c r="K1217" s="33">
        <v>1.0</v>
      </c>
      <c r="L1217" s="124" t="s">
        <v>9312</v>
      </c>
      <c r="M1217" s="31"/>
    </row>
    <row r="1218" hidden="1">
      <c r="A1218" s="33" t="s">
        <v>9308</v>
      </c>
      <c r="B1218" s="122">
        <v>45845.0</v>
      </c>
      <c r="C1218" s="33">
        <v>8.07000032107E11</v>
      </c>
      <c r="D1218" s="33" t="s">
        <v>9309</v>
      </c>
      <c r="E1218" s="33" t="s">
        <v>9310</v>
      </c>
      <c r="F1218" s="123" t="s">
        <v>9311</v>
      </c>
      <c r="G1218" s="123" t="s">
        <v>247</v>
      </c>
      <c r="H1218" s="123">
        <v>4400.0</v>
      </c>
      <c r="I1218" s="33" t="s">
        <v>3797</v>
      </c>
      <c r="J1218" s="33" t="s">
        <v>3798</v>
      </c>
      <c r="K1218" s="33">
        <v>1.0</v>
      </c>
      <c r="L1218" s="124" t="s">
        <v>9312</v>
      </c>
      <c r="M1218" s="31"/>
    </row>
    <row r="1219" hidden="1">
      <c r="A1219" s="33" t="s">
        <v>9313</v>
      </c>
      <c r="B1219" s="122">
        <v>45845.0</v>
      </c>
      <c r="C1219" s="33">
        <v>8.07000032111E11</v>
      </c>
      <c r="D1219" s="33" t="s">
        <v>9314</v>
      </c>
      <c r="E1219" s="33" t="s">
        <v>9315</v>
      </c>
      <c r="F1219" s="123" t="s">
        <v>9316</v>
      </c>
      <c r="G1219" s="123" t="s">
        <v>247</v>
      </c>
      <c r="H1219" s="123">
        <v>4400.0</v>
      </c>
      <c r="I1219" s="33">
        <v>125812.0</v>
      </c>
      <c r="J1219" s="33" t="s">
        <v>9317</v>
      </c>
      <c r="K1219" s="33">
        <v>2.0</v>
      </c>
      <c r="L1219" s="124" t="s">
        <v>9318</v>
      </c>
      <c r="M1219" s="31"/>
    </row>
    <row r="1220" hidden="1">
      <c r="A1220" s="33" t="s">
        <v>9313</v>
      </c>
      <c r="B1220" s="122">
        <v>45845.0</v>
      </c>
      <c r="C1220" s="33">
        <v>8.07000032112E11</v>
      </c>
      <c r="D1220" s="33" t="s">
        <v>9314</v>
      </c>
      <c r="E1220" s="33" t="s">
        <v>9315</v>
      </c>
      <c r="F1220" s="123" t="s">
        <v>9316</v>
      </c>
      <c r="G1220" s="123" t="s">
        <v>247</v>
      </c>
      <c r="H1220" s="123">
        <v>4400.0</v>
      </c>
      <c r="I1220" s="33" t="s">
        <v>2956</v>
      </c>
      <c r="J1220" s="33" t="s">
        <v>3327</v>
      </c>
      <c r="K1220" s="33">
        <v>1.0</v>
      </c>
      <c r="L1220" s="124" t="s">
        <v>9318</v>
      </c>
      <c r="M1220" s="31"/>
    </row>
    <row r="1221" hidden="1">
      <c r="A1221" s="33" t="s">
        <v>9319</v>
      </c>
      <c r="B1221" s="122">
        <v>45845.0</v>
      </c>
      <c r="C1221" s="33">
        <v>8.0700003213E11</v>
      </c>
      <c r="D1221" s="33" t="s">
        <v>9320</v>
      </c>
      <c r="E1221" s="33" t="s">
        <v>9321</v>
      </c>
      <c r="F1221" s="123" t="s">
        <v>9322</v>
      </c>
      <c r="G1221" s="123" t="s">
        <v>350</v>
      </c>
      <c r="H1221" s="123">
        <v>4401.0</v>
      </c>
      <c r="I1221" s="33" t="s">
        <v>512</v>
      </c>
      <c r="J1221" s="33" t="s">
        <v>513</v>
      </c>
      <c r="K1221" s="33">
        <v>12.0</v>
      </c>
      <c r="L1221" s="124" t="s">
        <v>9323</v>
      </c>
      <c r="M1221" s="31"/>
    </row>
    <row r="1222" hidden="1">
      <c r="A1222" s="33" t="s">
        <v>9319</v>
      </c>
      <c r="B1222" s="122">
        <v>45845.0</v>
      </c>
      <c r="C1222" s="33">
        <v>8.07000032131E11</v>
      </c>
      <c r="D1222" s="33" t="s">
        <v>9320</v>
      </c>
      <c r="E1222" s="33" t="s">
        <v>9321</v>
      </c>
      <c r="F1222" s="123" t="s">
        <v>9322</v>
      </c>
      <c r="G1222" s="123" t="s">
        <v>350</v>
      </c>
      <c r="H1222" s="123">
        <v>4401.0</v>
      </c>
      <c r="I1222" s="33" t="s">
        <v>249</v>
      </c>
      <c r="J1222" s="33" t="s">
        <v>9324</v>
      </c>
      <c r="K1222" s="33">
        <v>1.0</v>
      </c>
      <c r="L1222" s="124" t="s">
        <v>9323</v>
      </c>
      <c r="M1222" s="31"/>
    </row>
    <row r="1223" hidden="1">
      <c r="A1223" s="33" t="s">
        <v>9319</v>
      </c>
      <c r="B1223" s="122">
        <v>45845.0</v>
      </c>
      <c r="C1223" s="33">
        <v>8.07000032131E11</v>
      </c>
      <c r="D1223" s="33" t="s">
        <v>9320</v>
      </c>
      <c r="E1223" s="33" t="s">
        <v>9321</v>
      </c>
      <c r="F1223" s="123" t="s">
        <v>9322</v>
      </c>
      <c r="G1223" s="123" t="s">
        <v>350</v>
      </c>
      <c r="H1223" s="123">
        <v>4401.0</v>
      </c>
      <c r="I1223" s="33" t="s">
        <v>233</v>
      </c>
      <c r="J1223" s="33" t="s">
        <v>3459</v>
      </c>
      <c r="K1223" s="33">
        <v>2.0</v>
      </c>
      <c r="L1223" s="124" t="s">
        <v>9323</v>
      </c>
      <c r="M1223" s="31"/>
    </row>
    <row r="1224" hidden="1">
      <c r="A1224" s="33" t="s">
        <v>9325</v>
      </c>
      <c r="B1224" s="122">
        <v>45845.0</v>
      </c>
      <c r="C1224" s="33">
        <v>8.0700003215E11</v>
      </c>
      <c r="D1224" s="33" t="s">
        <v>9326</v>
      </c>
      <c r="E1224" s="33" t="s">
        <v>9327</v>
      </c>
      <c r="F1224" s="123" t="s">
        <v>9328</v>
      </c>
      <c r="G1224" s="123" t="s">
        <v>247</v>
      </c>
      <c r="H1224" s="123">
        <v>4400.0</v>
      </c>
      <c r="I1224" s="33">
        <v>208502.0</v>
      </c>
      <c r="J1224" s="33" t="s">
        <v>4551</v>
      </c>
      <c r="K1224" s="33">
        <v>2.0</v>
      </c>
      <c r="L1224" s="124" t="s">
        <v>9329</v>
      </c>
      <c r="M1224" s="31"/>
    </row>
    <row r="1225" hidden="1">
      <c r="A1225" s="33" t="s">
        <v>9325</v>
      </c>
      <c r="B1225" s="122">
        <v>45845.0</v>
      </c>
      <c r="C1225" s="33">
        <v>8.07000032151E11</v>
      </c>
      <c r="D1225" s="33" t="s">
        <v>9326</v>
      </c>
      <c r="E1225" s="33" t="s">
        <v>9327</v>
      </c>
      <c r="F1225" s="123" t="s">
        <v>9328</v>
      </c>
      <c r="G1225" s="123" t="s">
        <v>247</v>
      </c>
      <c r="H1225" s="123">
        <v>4400.0</v>
      </c>
      <c r="I1225" s="33" t="s">
        <v>8763</v>
      </c>
      <c r="J1225" s="33" t="s">
        <v>8764</v>
      </c>
      <c r="K1225" s="33">
        <v>1.0</v>
      </c>
      <c r="L1225" s="124" t="s">
        <v>9329</v>
      </c>
      <c r="M1225" s="31"/>
    </row>
    <row r="1226" hidden="1">
      <c r="A1226" s="33" t="s">
        <v>9325</v>
      </c>
      <c r="B1226" s="122">
        <v>45845.0</v>
      </c>
      <c r="C1226" s="33">
        <v>8.07000032151E11</v>
      </c>
      <c r="D1226" s="33" t="s">
        <v>9326</v>
      </c>
      <c r="E1226" s="33" t="s">
        <v>9327</v>
      </c>
      <c r="F1226" s="123" t="s">
        <v>9328</v>
      </c>
      <c r="G1226" s="123" t="s">
        <v>247</v>
      </c>
      <c r="H1226" s="123">
        <v>4400.0</v>
      </c>
      <c r="I1226" s="33" t="s">
        <v>233</v>
      </c>
      <c r="J1226" s="33" t="s">
        <v>3459</v>
      </c>
      <c r="K1226" s="33">
        <v>2.0</v>
      </c>
      <c r="L1226" s="124" t="s">
        <v>9329</v>
      </c>
      <c r="M1226" s="31"/>
    </row>
    <row r="1227" hidden="1">
      <c r="A1227" s="33" t="s">
        <v>9330</v>
      </c>
      <c r="B1227" s="122">
        <v>45845.0</v>
      </c>
      <c r="C1227" s="33">
        <v>8.07000032165E11</v>
      </c>
      <c r="D1227" s="33" t="s">
        <v>9331</v>
      </c>
      <c r="E1227" s="33" t="s">
        <v>9332</v>
      </c>
      <c r="F1227" s="123" t="s">
        <v>9333</v>
      </c>
      <c r="G1227" s="123" t="s">
        <v>247</v>
      </c>
      <c r="H1227" s="123">
        <v>4400.0</v>
      </c>
      <c r="I1227" s="33">
        <v>2.2345249143E10</v>
      </c>
      <c r="J1227" s="33" t="s">
        <v>9334</v>
      </c>
      <c r="K1227" s="33">
        <v>1.0</v>
      </c>
      <c r="L1227" s="124" t="s">
        <v>9335</v>
      </c>
      <c r="M1227" s="31"/>
    </row>
    <row r="1228" hidden="1">
      <c r="A1228" s="33" t="s">
        <v>9330</v>
      </c>
      <c r="B1228" s="122">
        <v>45845.0</v>
      </c>
      <c r="C1228" s="33">
        <v>8.07000032165E11</v>
      </c>
      <c r="D1228" s="33" t="s">
        <v>9331</v>
      </c>
      <c r="E1228" s="33" t="s">
        <v>9332</v>
      </c>
      <c r="F1228" s="123" t="s">
        <v>9333</v>
      </c>
      <c r="G1228" s="123" t="s">
        <v>247</v>
      </c>
      <c r="H1228" s="123">
        <v>4400.0</v>
      </c>
      <c r="I1228" s="33" t="s">
        <v>2294</v>
      </c>
      <c r="J1228" s="33" t="s">
        <v>5415</v>
      </c>
      <c r="K1228" s="33">
        <v>1.0</v>
      </c>
      <c r="L1228" s="124" t="s">
        <v>9335</v>
      </c>
      <c r="M1228" s="31"/>
    </row>
    <row r="1229" hidden="1">
      <c r="A1229" s="33" t="s">
        <v>9330</v>
      </c>
      <c r="B1229" s="122">
        <v>45845.0</v>
      </c>
      <c r="C1229" s="33">
        <v>8.07000032165E11</v>
      </c>
      <c r="D1229" s="33" t="s">
        <v>9331</v>
      </c>
      <c r="E1229" s="33" t="s">
        <v>9332</v>
      </c>
      <c r="F1229" s="123" t="s">
        <v>9333</v>
      </c>
      <c r="G1229" s="123" t="s">
        <v>247</v>
      </c>
      <c r="H1229" s="123">
        <v>4400.0</v>
      </c>
      <c r="I1229" s="33" t="s">
        <v>233</v>
      </c>
      <c r="J1229" s="33" t="s">
        <v>3459</v>
      </c>
      <c r="K1229" s="33">
        <v>1.0</v>
      </c>
      <c r="L1229" s="124" t="s">
        <v>9335</v>
      </c>
      <c r="M1229" s="31"/>
    </row>
    <row r="1230" hidden="1">
      <c r="A1230" s="33" t="s">
        <v>9336</v>
      </c>
      <c r="B1230" s="122">
        <v>45845.0</v>
      </c>
      <c r="C1230" s="33">
        <v>8.07000032172E11</v>
      </c>
      <c r="D1230" s="33" t="s">
        <v>9337</v>
      </c>
      <c r="E1230" s="33" t="s">
        <v>9338</v>
      </c>
      <c r="F1230" s="123" t="s">
        <v>9339</v>
      </c>
      <c r="G1230" s="123" t="s">
        <v>1038</v>
      </c>
      <c r="H1230" s="123">
        <v>4400.0</v>
      </c>
      <c r="I1230" s="33" t="s">
        <v>3641</v>
      </c>
      <c r="J1230" s="33" t="s">
        <v>3642</v>
      </c>
      <c r="K1230" s="33">
        <v>1.0</v>
      </c>
      <c r="L1230" s="124" t="s">
        <v>9340</v>
      </c>
      <c r="M1230" s="31"/>
    </row>
    <row r="1231" hidden="1">
      <c r="A1231" s="33" t="s">
        <v>9336</v>
      </c>
      <c r="B1231" s="122">
        <v>45845.0</v>
      </c>
      <c r="C1231" s="33">
        <v>8.07000032172E11</v>
      </c>
      <c r="D1231" s="33" t="s">
        <v>9337</v>
      </c>
      <c r="E1231" s="33" t="s">
        <v>9338</v>
      </c>
      <c r="F1231" s="123" t="s">
        <v>9339</v>
      </c>
      <c r="G1231" s="123" t="s">
        <v>1038</v>
      </c>
      <c r="H1231" s="123">
        <v>4400.0</v>
      </c>
      <c r="I1231" s="33" t="s">
        <v>701</v>
      </c>
      <c r="J1231" s="33" t="s">
        <v>4409</v>
      </c>
      <c r="K1231" s="33">
        <v>1.0</v>
      </c>
      <c r="L1231" s="124" t="s">
        <v>9340</v>
      </c>
      <c r="M1231" s="31"/>
    </row>
    <row r="1232" hidden="1">
      <c r="A1232" s="33" t="s">
        <v>9336</v>
      </c>
      <c r="B1232" s="122">
        <v>45845.0</v>
      </c>
      <c r="C1232" s="33">
        <v>8.07000032173E11</v>
      </c>
      <c r="D1232" s="33" t="s">
        <v>9341</v>
      </c>
      <c r="E1232" s="33" t="s">
        <v>9342</v>
      </c>
      <c r="F1232" s="123" t="s">
        <v>9343</v>
      </c>
      <c r="G1232" s="123" t="s">
        <v>247</v>
      </c>
      <c r="H1232" s="123">
        <v>4400.0</v>
      </c>
      <c r="I1232" s="33" t="s">
        <v>512</v>
      </c>
      <c r="J1232" s="33" t="s">
        <v>513</v>
      </c>
      <c r="K1232" s="33">
        <v>12.0</v>
      </c>
      <c r="L1232" s="124" t="s">
        <v>9344</v>
      </c>
      <c r="M1232" s="31"/>
    </row>
    <row r="1233" hidden="1">
      <c r="A1233" s="33" t="s">
        <v>9345</v>
      </c>
      <c r="B1233" s="122">
        <v>45845.0</v>
      </c>
      <c r="C1233" s="33">
        <v>8.07000032174E11</v>
      </c>
      <c r="D1233" s="33" t="s">
        <v>9341</v>
      </c>
      <c r="E1233" s="33" t="s">
        <v>9342</v>
      </c>
      <c r="F1233" s="123" t="s">
        <v>9343</v>
      </c>
      <c r="G1233" s="123" t="s">
        <v>247</v>
      </c>
      <c r="H1233" s="123">
        <v>4400.0</v>
      </c>
      <c r="I1233" s="33" t="s">
        <v>3334</v>
      </c>
      <c r="J1233" s="33" t="s">
        <v>3575</v>
      </c>
      <c r="K1233" s="33">
        <v>1.0</v>
      </c>
      <c r="L1233" s="124" t="s">
        <v>9344</v>
      </c>
      <c r="M1233" s="31"/>
    </row>
    <row r="1234" hidden="1">
      <c r="A1234" s="33" t="s">
        <v>9345</v>
      </c>
      <c r="B1234" s="122">
        <v>45845.0</v>
      </c>
      <c r="C1234" s="33">
        <v>8.07000032174E11</v>
      </c>
      <c r="D1234" s="33" t="s">
        <v>9341</v>
      </c>
      <c r="E1234" s="33" t="s">
        <v>9342</v>
      </c>
      <c r="F1234" s="123" t="s">
        <v>9343</v>
      </c>
      <c r="G1234" s="123" t="s">
        <v>247</v>
      </c>
      <c r="H1234" s="123">
        <v>4400.0</v>
      </c>
      <c r="I1234" s="33" t="s">
        <v>758</v>
      </c>
      <c r="J1234" s="33" t="s">
        <v>3574</v>
      </c>
      <c r="K1234" s="33">
        <v>2.0</v>
      </c>
      <c r="L1234" s="124" t="s">
        <v>9344</v>
      </c>
      <c r="M1234" s="31"/>
    </row>
    <row r="1235" hidden="1">
      <c r="A1235" s="33" t="s">
        <v>9346</v>
      </c>
      <c r="B1235" s="122">
        <v>45846.0</v>
      </c>
      <c r="C1235" s="33">
        <v>8.0700003212E11</v>
      </c>
      <c r="D1235" s="33" t="s">
        <v>9347</v>
      </c>
      <c r="E1235" s="33" t="s">
        <v>9348</v>
      </c>
      <c r="F1235" s="123" t="s">
        <v>9349</v>
      </c>
      <c r="G1235" s="123" t="s">
        <v>247</v>
      </c>
      <c r="H1235" s="123">
        <v>4400.0</v>
      </c>
      <c r="I1235" s="33">
        <v>125813.0</v>
      </c>
      <c r="J1235" s="33" t="s">
        <v>5703</v>
      </c>
      <c r="K1235" s="33">
        <v>2.0</v>
      </c>
      <c r="L1235" s="124" t="s">
        <v>9350</v>
      </c>
      <c r="M1235" s="31"/>
    </row>
    <row r="1236" hidden="1">
      <c r="A1236" s="33" t="s">
        <v>9346</v>
      </c>
      <c r="B1236" s="122">
        <v>45846.0</v>
      </c>
      <c r="C1236" s="33">
        <v>8.07000032194E11</v>
      </c>
      <c r="D1236" s="33" t="s">
        <v>9347</v>
      </c>
      <c r="E1236" s="33" t="s">
        <v>9348</v>
      </c>
      <c r="F1236" s="123" t="s">
        <v>9349</v>
      </c>
      <c r="G1236" s="123" t="s">
        <v>247</v>
      </c>
      <c r="H1236" s="123">
        <v>4400.0</v>
      </c>
      <c r="I1236" s="33" t="s">
        <v>1115</v>
      </c>
      <c r="J1236" s="33" t="s">
        <v>8215</v>
      </c>
      <c r="K1236" s="33">
        <v>1.0</v>
      </c>
      <c r="L1236" s="124" t="s">
        <v>9350</v>
      </c>
      <c r="M1236" s="31"/>
    </row>
    <row r="1237" hidden="1">
      <c r="A1237" s="33" t="s">
        <v>9351</v>
      </c>
      <c r="B1237" s="122">
        <v>45846.0</v>
      </c>
      <c r="C1237" s="33">
        <v>8.0700003217E11</v>
      </c>
      <c r="D1237" s="33" t="s">
        <v>9352</v>
      </c>
      <c r="E1237" s="33" t="s">
        <v>9353</v>
      </c>
      <c r="F1237" s="123" t="s">
        <v>9354</v>
      </c>
      <c r="G1237" s="123" t="s">
        <v>247</v>
      </c>
      <c r="H1237" s="123">
        <v>4400.0</v>
      </c>
      <c r="I1237" s="33" t="s">
        <v>512</v>
      </c>
      <c r="J1237" s="33" t="s">
        <v>513</v>
      </c>
      <c r="K1237" s="33">
        <v>12.0</v>
      </c>
      <c r="L1237" s="124" t="s">
        <v>9355</v>
      </c>
      <c r="M1237" s="31"/>
    </row>
    <row r="1238" hidden="1">
      <c r="A1238" s="33" t="s">
        <v>9351</v>
      </c>
      <c r="B1238" s="122">
        <v>45846.0</v>
      </c>
      <c r="C1238" s="33">
        <v>8.07000032171E11</v>
      </c>
      <c r="D1238" s="33" t="s">
        <v>9352</v>
      </c>
      <c r="E1238" s="33" t="s">
        <v>9353</v>
      </c>
      <c r="F1238" s="123" t="s">
        <v>9354</v>
      </c>
      <c r="G1238" s="123" t="s">
        <v>247</v>
      </c>
      <c r="H1238" s="123">
        <v>4400.0</v>
      </c>
      <c r="I1238" s="33" t="s">
        <v>3334</v>
      </c>
      <c r="J1238" s="33" t="s">
        <v>3575</v>
      </c>
      <c r="K1238" s="33">
        <v>1.0</v>
      </c>
      <c r="L1238" s="124" t="s">
        <v>9355</v>
      </c>
      <c r="M1238" s="31"/>
    </row>
    <row r="1239" hidden="1">
      <c r="A1239" s="33" t="s">
        <v>9356</v>
      </c>
      <c r="B1239" s="122">
        <v>45846.0</v>
      </c>
      <c r="C1239" s="33">
        <v>8.07000032171E11</v>
      </c>
      <c r="D1239" s="33" t="s">
        <v>9352</v>
      </c>
      <c r="E1239" s="33" t="s">
        <v>9353</v>
      </c>
      <c r="F1239" s="123" t="s">
        <v>9354</v>
      </c>
      <c r="G1239" s="123" t="s">
        <v>247</v>
      </c>
      <c r="H1239" s="123">
        <v>4400.0</v>
      </c>
      <c r="I1239" s="33" t="s">
        <v>758</v>
      </c>
      <c r="J1239" s="33" t="s">
        <v>3574</v>
      </c>
      <c r="K1239" s="33">
        <v>2.0</v>
      </c>
      <c r="L1239" s="124" t="s">
        <v>9355</v>
      </c>
      <c r="M1239" s="31"/>
    </row>
    <row r="1240" hidden="1">
      <c r="A1240" s="33" t="s">
        <v>9356</v>
      </c>
      <c r="B1240" s="122">
        <v>45846.0</v>
      </c>
      <c r="C1240" s="33">
        <v>8.07000032182E11</v>
      </c>
      <c r="D1240" s="33" t="s">
        <v>4473</v>
      </c>
      <c r="E1240" s="33" t="s">
        <v>4474</v>
      </c>
      <c r="F1240" s="123" t="s">
        <v>9357</v>
      </c>
      <c r="G1240" s="123" t="s">
        <v>9358</v>
      </c>
      <c r="H1240" s="123">
        <v>4400.0</v>
      </c>
      <c r="I1240" s="33" t="s">
        <v>9359</v>
      </c>
      <c r="J1240" s="33" t="s">
        <v>9360</v>
      </c>
      <c r="K1240" s="33">
        <v>1.0</v>
      </c>
      <c r="L1240" s="124" t="s">
        <v>9361</v>
      </c>
      <c r="M1240" s="31"/>
    </row>
    <row r="1241" hidden="1">
      <c r="A1241" s="33" t="s">
        <v>9362</v>
      </c>
      <c r="B1241" s="122">
        <v>45846.0</v>
      </c>
      <c r="C1241" s="33">
        <v>8.07000032197E11</v>
      </c>
      <c r="D1241" s="33" t="s">
        <v>9363</v>
      </c>
      <c r="E1241" s="33" t="s">
        <v>9364</v>
      </c>
      <c r="F1241" s="123" t="s">
        <v>9365</v>
      </c>
      <c r="G1241" s="123" t="s">
        <v>247</v>
      </c>
      <c r="H1241" s="123">
        <v>4400.0</v>
      </c>
      <c r="I1241" s="33" t="s">
        <v>3313</v>
      </c>
      <c r="J1241" s="33" t="s">
        <v>3314</v>
      </c>
      <c r="K1241" s="33">
        <v>1.0</v>
      </c>
      <c r="L1241" s="124" t="s">
        <v>9366</v>
      </c>
      <c r="M1241" s="31" t="s">
        <v>4529</v>
      </c>
    </row>
    <row r="1242" hidden="1">
      <c r="A1242" s="125" t="s">
        <v>9362</v>
      </c>
      <c r="B1242" s="126">
        <v>45846.0</v>
      </c>
      <c r="C1242" s="125">
        <v>8.07000032197E11</v>
      </c>
      <c r="D1242" s="125" t="s">
        <v>9363</v>
      </c>
      <c r="E1242" s="125" t="s">
        <v>9364</v>
      </c>
      <c r="F1242" s="127" t="s">
        <v>9365</v>
      </c>
      <c r="G1242" s="127" t="s">
        <v>247</v>
      </c>
      <c r="H1242" s="127">
        <v>4400.0</v>
      </c>
      <c r="I1242" s="125" t="s">
        <v>3797</v>
      </c>
      <c r="J1242" s="125" t="s">
        <v>3798</v>
      </c>
      <c r="K1242" s="125">
        <v>1.0</v>
      </c>
      <c r="L1242" s="129" t="s">
        <v>9366</v>
      </c>
      <c r="M1242" s="136" t="s">
        <v>4529</v>
      </c>
      <c r="N1242" s="179"/>
      <c r="O1242" s="179"/>
      <c r="P1242" s="179"/>
      <c r="Q1242" s="179"/>
      <c r="R1242" s="179"/>
      <c r="S1242" s="179"/>
      <c r="T1242" s="179"/>
      <c r="U1242" s="179"/>
      <c r="V1242" s="179"/>
      <c r="W1242" s="179"/>
      <c r="X1242" s="179"/>
      <c r="Y1242" s="179"/>
      <c r="Z1242" s="179"/>
      <c r="AA1242" s="179"/>
      <c r="AB1242" s="179"/>
      <c r="AC1242" s="179"/>
    </row>
    <row r="1243" hidden="1">
      <c r="A1243" s="131" t="s">
        <v>9367</v>
      </c>
      <c r="B1243" s="132">
        <v>45848.0</v>
      </c>
      <c r="C1243" s="131">
        <v>8.07000032021E11</v>
      </c>
      <c r="D1243" s="131" t="s">
        <v>4394</v>
      </c>
      <c r="E1243" s="131" t="s">
        <v>4395</v>
      </c>
      <c r="F1243" s="133" t="s">
        <v>9368</v>
      </c>
      <c r="G1243" s="133" t="s">
        <v>5618</v>
      </c>
      <c r="H1243" s="133">
        <v>4400.0</v>
      </c>
      <c r="I1243" s="131">
        <v>125810.0</v>
      </c>
      <c r="J1243" s="131" t="s">
        <v>4672</v>
      </c>
      <c r="K1243" s="131">
        <v>4.0</v>
      </c>
      <c r="L1243" s="134" t="s">
        <v>9369</v>
      </c>
      <c r="M1243" s="135"/>
    </row>
    <row r="1244" hidden="1">
      <c r="A1244" s="131" t="s">
        <v>9367</v>
      </c>
      <c r="B1244" s="132">
        <v>45848.0</v>
      </c>
      <c r="C1244" s="33">
        <v>8.07000032021E11</v>
      </c>
      <c r="D1244" s="33" t="s">
        <v>4394</v>
      </c>
      <c r="E1244" s="33" t="s">
        <v>4395</v>
      </c>
      <c r="F1244" s="123" t="s">
        <v>9368</v>
      </c>
      <c r="G1244" s="133" t="s">
        <v>5618</v>
      </c>
      <c r="H1244" s="123">
        <v>4400.0</v>
      </c>
      <c r="I1244" s="33">
        <v>125811.0</v>
      </c>
      <c r="J1244" s="33" t="s">
        <v>6073</v>
      </c>
      <c r="K1244" s="33">
        <v>2.0</v>
      </c>
      <c r="L1244" s="134" t="s">
        <v>9369</v>
      </c>
      <c r="M1244" s="31"/>
    </row>
    <row r="1245" hidden="1">
      <c r="A1245" s="131" t="s">
        <v>9367</v>
      </c>
      <c r="B1245" s="132">
        <v>45848.0</v>
      </c>
      <c r="C1245" s="33">
        <v>8.07000032021E11</v>
      </c>
      <c r="D1245" s="33" t="s">
        <v>4394</v>
      </c>
      <c r="E1245" s="33" t="s">
        <v>4395</v>
      </c>
      <c r="F1245" s="123" t="s">
        <v>9368</v>
      </c>
      <c r="G1245" s="133" t="s">
        <v>5618</v>
      </c>
      <c r="H1245" s="123">
        <v>4400.0</v>
      </c>
      <c r="I1245" s="33">
        <v>2.2346259146E10</v>
      </c>
      <c r="J1245" s="33" t="s">
        <v>9046</v>
      </c>
      <c r="K1245" s="33">
        <v>1.0</v>
      </c>
      <c r="L1245" s="134" t="s">
        <v>9369</v>
      </c>
      <c r="M1245" s="31"/>
    </row>
    <row r="1246" hidden="1">
      <c r="A1246" s="131" t="s">
        <v>9370</v>
      </c>
      <c r="B1246" s="132">
        <v>45848.0</v>
      </c>
      <c r="C1246" s="33">
        <v>8.0700003219E11</v>
      </c>
      <c r="D1246" s="33" t="s">
        <v>9371</v>
      </c>
      <c r="E1246" s="33" t="s">
        <v>9372</v>
      </c>
      <c r="F1246" s="123" t="s">
        <v>9373</v>
      </c>
      <c r="G1246" s="123" t="s">
        <v>247</v>
      </c>
      <c r="H1246" s="123">
        <v>4400.0</v>
      </c>
      <c r="I1246" s="33">
        <v>208501.0</v>
      </c>
      <c r="J1246" s="33" t="s">
        <v>481</v>
      </c>
      <c r="K1246" s="33">
        <v>15.0</v>
      </c>
      <c r="L1246" s="124" t="s">
        <v>9374</v>
      </c>
      <c r="M1246" s="31"/>
    </row>
    <row r="1247" hidden="1">
      <c r="A1247" s="131" t="s">
        <v>9375</v>
      </c>
      <c r="B1247" s="132">
        <v>45848.0</v>
      </c>
      <c r="C1247" s="33">
        <v>8.07000032206E11</v>
      </c>
      <c r="D1247" s="33" t="s">
        <v>9376</v>
      </c>
      <c r="E1247" s="33" t="s">
        <v>9377</v>
      </c>
      <c r="F1247" s="123" t="s">
        <v>9378</v>
      </c>
      <c r="G1247" s="123" t="s">
        <v>247</v>
      </c>
      <c r="H1247" s="123">
        <v>4400.0</v>
      </c>
      <c r="I1247" s="33" t="s">
        <v>512</v>
      </c>
      <c r="J1247" s="33" t="s">
        <v>513</v>
      </c>
      <c r="K1247" s="33">
        <v>12.0</v>
      </c>
      <c r="L1247" s="124" t="s">
        <v>9379</v>
      </c>
      <c r="M1247" s="31"/>
    </row>
    <row r="1248" hidden="1">
      <c r="A1248" s="131" t="s">
        <v>9375</v>
      </c>
      <c r="B1248" s="132">
        <v>45848.0</v>
      </c>
      <c r="C1248" s="33">
        <v>8.07000032207E11</v>
      </c>
      <c r="D1248" s="33" t="s">
        <v>9376</v>
      </c>
      <c r="E1248" s="33" t="s">
        <v>9377</v>
      </c>
      <c r="F1248" s="123" t="s">
        <v>9378</v>
      </c>
      <c r="G1248" s="123" t="s">
        <v>247</v>
      </c>
      <c r="H1248" s="123">
        <v>4400.0</v>
      </c>
      <c r="I1248" s="33" t="s">
        <v>1937</v>
      </c>
      <c r="J1248" s="33" t="s">
        <v>4036</v>
      </c>
      <c r="K1248" s="33">
        <v>1.0</v>
      </c>
      <c r="L1248" s="124" t="s">
        <v>9379</v>
      </c>
      <c r="M1248" s="31"/>
    </row>
    <row r="1249" hidden="1">
      <c r="A1249" s="131" t="s">
        <v>9375</v>
      </c>
      <c r="B1249" s="132">
        <v>45848.0</v>
      </c>
      <c r="C1249" s="33">
        <v>8.07000032207E11</v>
      </c>
      <c r="D1249" s="33" t="s">
        <v>9376</v>
      </c>
      <c r="E1249" s="33" t="s">
        <v>9377</v>
      </c>
      <c r="F1249" s="123" t="s">
        <v>9378</v>
      </c>
      <c r="G1249" s="123" t="s">
        <v>247</v>
      </c>
      <c r="H1249" s="123">
        <v>4400.0</v>
      </c>
      <c r="I1249" s="33" t="s">
        <v>233</v>
      </c>
      <c r="J1249" s="33" t="s">
        <v>3459</v>
      </c>
      <c r="K1249" s="33">
        <v>2.0</v>
      </c>
      <c r="L1249" s="124" t="s">
        <v>9379</v>
      </c>
      <c r="M1249" s="31"/>
    </row>
    <row r="1250" hidden="1">
      <c r="A1250" s="131" t="s">
        <v>9375</v>
      </c>
      <c r="B1250" s="132">
        <v>45848.0</v>
      </c>
      <c r="C1250" s="33">
        <v>8.07000032208E11</v>
      </c>
      <c r="D1250" s="33" t="s">
        <v>9376</v>
      </c>
      <c r="E1250" s="33" t="s">
        <v>9377</v>
      </c>
      <c r="F1250" s="123" t="s">
        <v>9378</v>
      </c>
      <c r="G1250" s="123" t="s">
        <v>247</v>
      </c>
      <c r="H1250" s="123">
        <v>4400.0</v>
      </c>
      <c r="I1250" s="33">
        <v>125811.0</v>
      </c>
      <c r="J1250" s="33" t="s">
        <v>6073</v>
      </c>
      <c r="K1250" s="33">
        <v>2.0</v>
      </c>
      <c r="L1250" s="124" t="s">
        <v>9379</v>
      </c>
      <c r="M1250" s="31"/>
    </row>
    <row r="1251" hidden="1">
      <c r="A1251" s="131" t="s">
        <v>9380</v>
      </c>
      <c r="B1251" s="132">
        <v>45848.0</v>
      </c>
      <c r="C1251" s="33">
        <v>8.07000032201E11</v>
      </c>
      <c r="D1251" s="33" t="s">
        <v>9381</v>
      </c>
      <c r="E1251" s="33" t="s">
        <v>9382</v>
      </c>
      <c r="F1251" s="123" t="s">
        <v>9383</v>
      </c>
      <c r="G1251" s="123" t="s">
        <v>247</v>
      </c>
      <c r="H1251" s="123">
        <v>4400.0</v>
      </c>
      <c r="I1251" s="33" t="s">
        <v>289</v>
      </c>
      <c r="J1251" s="33" t="s">
        <v>290</v>
      </c>
      <c r="K1251" s="33">
        <v>1.0</v>
      </c>
      <c r="L1251" s="124" t="s">
        <v>9384</v>
      </c>
      <c r="M1251" s="31"/>
    </row>
    <row r="1252" hidden="1">
      <c r="A1252" s="131" t="s">
        <v>9380</v>
      </c>
      <c r="B1252" s="132">
        <v>45848.0</v>
      </c>
      <c r="C1252" s="33">
        <v>8.07000032201E11</v>
      </c>
      <c r="D1252" s="33" t="s">
        <v>9381</v>
      </c>
      <c r="E1252" s="33" t="s">
        <v>9382</v>
      </c>
      <c r="F1252" s="123" t="s">
        <v>9383</v>
      </c>
      <c r="G1252" s="123" t="s">
        <v>247</v>
      </c>
      <c r="H1252" s="123">
        <v>4400.0</v>
      </c>
      <c r="I1252" s="33" t="s">
        <v>512</v>
      </c>
      <c r="J1252" s="33" t="s">
        <v>513</v>
      </c>
      <c r="K1252" s="33">
        <v>6.0</v>
      </c>
      <c r="L1252" s="124" t="s">
        <v>9384</v>
      </c>
      <c r="M1252" s="31"/>
    </row>
    <row r="1253" hidden="1">
      <c r="A1253" s="131" t="s">
        <v>9380</v>
      </c>
      <c r="B1253" s="132">
        <v>45848.0</v>
      </c>
      <c r="C1253" s="33">
        <v>8.07000032201E11</v>
      </c>
      <c r="D1253" s="33" t="s">
        <v>9381</v>
      </c>
      <c r="E1253" s="33" t="s">
        <v>9382</v>
      </c>
      <c r="F1253" s="123" t="s">
        <v>9383</v>
      </c>
      <c r="G1253" s="123" t="s">
        <v>247</v>
      </c>
      <c r="H1253" s="123">
        <v>4400.0</v>
      </c>
      <c r="I1253" s="33" t="s">
        <v>273</v>
      </c>
      <c r="J1253" s="33" t="s">
        <v>3594</v>
      </c>
      <c r="K1253" s="33">
        <v>1.0</v>
      </c>
      <c r="L1253" s="124" t="s">
        <v>9384</v>
      </c>
      <c r="M1253" s="31"/>
    </row>
    <row r="1254" hidden="1">
      <c r="A1254" s="131" t="s">
        <v>9385</v>
      </c>
      <c r="B1254" s="132">
        <v>45848.0</v>
      </c>
      <c r="C1254" s="33">
        <v>8.07000032222E11</v>
      </c>
      <c r="D1254" s="33" t="s">
        <v>9386</v>
      </c>
      <c r="E1254" s="33" t="s">
        <v>9387</v>
      </c>
      <c r="F1254" s="123" t="s">
        <v>9388</v>
      </c>
      <c r="G1254" s="123" t="s">
        <v>247</v>
      </c>
      <c r="H1254" s="123">
        <v>4400.0</v>
      </c>
      <c r="I1254" s="33" t="s">
        <v>9389</v>
      </c>
      <c r="J1254" s="33" t="s">
        <v>9390</v>
      </c>
      <c r="K1254" s="33">
        <v>1.0</v>
      </c>
      <c r="L1254" s="124" t="s">
        <v>9391</v>
      </c>
      <c r="M1254" s="31"/>
    </row>
    <row r="1255" hidden="1">
      <c r="A1255" s="131" t="s">
        <v>9392</v>
      </c>
      <c r="B1255" s="132">
        <v>45848.0</v>
      </c>
      <c r="C1255" s="33">
        <v>8.07000032176E11</v>
      </c>
      <c r="D1255" s="33" t="s">
        <v>9393</v>
      </c>
      <c r="E1255" s="33" t="s">
        <v>9394</v>
      </c>
      <c r="F1255" s="123" t="s">
        <v>9395</v>
      </c>
      <c r="G1255" s="123" t="s">
        <v>9396</v>
      </c>
      <c r="H1255" s="123">
        <v>4407.0</v>
      </c>
      <c r="I1255" s="33" t="s">
        <v>659</v>
      </c>
      <c r="J1255" s="33" t="s">
        <v>3468</v>
      </c>
      <c r="K1255" s="33">
        <v>1.0</v>
      </c>
      <c r="L1255" s="124" t="s">
        <v>9397</v>
      </c>
      <c r="M1255" s="31"/>
    </row>
    <row r="1256" hidden="1">
      <c r="A1256" s="131" t="s">
        <v>9398</v>
      </c>
      <c r="B1256" s="132">
        <v>45848.0</v>
      </c>
      <c r="C1256" s="33">
        <v>8.07000032199E11</v>
      </c>
      <c r="D1256" s="33" t="s">
        <v>9399</v>
      </c>
      <c r="E1256" s="33" t="s">
        <v>9400</v>
      </c>
      <c r="F1256" s="123" t="s">
        <v>9401</v>
      </c>
      <c r="G1256" s="123" t="s">
        <v>624</v>
      </c>
      <c r="H1256" s="123">
        <v>4403.0</v>
      </c>
      <c r="I1256" s="33" t="s">
        <v>3339</v>
      </c>
      <c r="J1256" s="33" t="s">
        <v>3340</v>
      </c>
      <c r="K1256" s="33">
        <v>2.0</v>
      </c>
      <c r="L1256" s="124" t="s">
        <v>9402</v>
      </c>
      <c r="M1256" s="31"/>
    </row>
    <row r="1257" hidden="1">
      <c r="A1257" s="131" t="s">
        <v>9403</v>
      </c>
      <c r="B1257" s="132">
        <v>45848.0</v>
      </c>
      <c r="C1257" s="33">
        <v>8.070000322E11</v>
      </c>
      <c r="D1257" s="33" t="s">
        <v>9399</v>
      </c>
      <c r="E1257" s="33" t="s">
        <v>9400</v>
      </c>
      <c r="F1257" s="123" t="s">
        <v>9401</v>
      </c>
      <c r="G1257" s="123" t="s">
        <v>624</v>
      </c>
      <c r="H1257" s="123">
        <v>4403.0</v>
      </c>
      <c r="I1257" s="33" t="s">
        <v>1044</v>
      </c>
      <c r="J1257" s="33" t="s">
        <v>8493</v>
      </c>
      <c r="K1257" s="33">
        <v>1.0</v>
      </c>
      <c r="L1257" s="124" t="s">
        <v>9402</v>
      </c>
      <c r="M1257" s="31"/>
    </row>
    <row r="1258" hidden="1">
      <c r="A1258" s="131" t="s">
        <v>9404</v>
      </c>
      <c r="B1258" s="132">
        <v>45848.0</v>
      </c>
      <c r="C1258" s="33">
        <v>8.07000032221E11</v>
      </c>
      <c r="D1258" s="33" t="s">
        <v>9405</v>
      </c>
      <c r="E1258" s="33" t="s">
        <v>9406</v>
      </c>
      <c r="F1258" s="123" t="s">
        <v>9407</v>
      </c>
      <c r="G1258" s="123" t="s">
        <v>9396</v>
      </c>
      <c r="H1258" s="123">
        <v>4407.0</v>
      </c>
      <c r="I1258" s="33" t="s">
        <v>561</v>
      </c>
      <c r="J1258" s="33" t="s">
        <v>8209</v>
      </c>
      <c r="K1258" s="33">
        <v>1.0</v>
      </c>
      <c r="L1258" s="124" t="s">
        <v>9408</v>
      </c>
      <c r="M1258" s="31"/>
    </row>
    <row r="1259" hidden="1">
      <c r="A1259" s="131" t="s">
        <v>9409</v>
      </c>
      <c r="B1259" s="132">
        <v>45848.0</v>
      </c>
      <c r="C1259" s="33">
        <v>8.07000032224E11</v>
      </c>
      <c r="D1259" s="33" t="s">
        <v>9410</v>
      </c>
      <c r="E1259" s="33" t="s">
        <v>9411</v>
      </c>
      <c r="F1259" s="123" t="s">
        <v>9412</v>
      </c>
      <c r="G1259" s="123" t="s">
        <v>247</v>
      </c>
      <c r="H1259" s="123">
        <v>4400.0</v>
      </c>
      <c r="I1259" s="33" t="s">
        <v>512</v>
      </c>
      <c r="J1259" s="33" t="s">
        <v>513</v>
      </c>
      <c r="K1259" s="33">
        <v>12.0</v>
      </c>
      <c r="L1259" s="124" t="s">
        <v>9413</v>
      </c>
      <c r="M1259" s="31"/>
    </row>
    <row r="1260" hidden="1">
      <c r="A1260" s="131" t="s">
        <v>9409</v>
      </c>
      <c r="B1260" s="132">
        <v>45848.0</v>
      </c>
      <c r="C1260" s="33">
        <v>8.07000032225E11</v>
      </c>
      <c r="D1260" s="33" t="s">
        <v>9410</v>
      </c>
      <c r="E1260" s="33" t="s">
        <v>9411</v>
      </c>
      <c r="F1260" s="123" t="s">
        <v>9412</v>
      </c>
      <c r="G1260" s="123" t="s">
        <v>247</v>
      </c>
      <c r="H1260" s="123">
        <v>4400.0</v>
      </c>
      <c r="I1260" s="33" t="s">
        <v>3484</v>
      </c>
      <c r="J1260" s="33" t="s">
        <v>3485</v>
      </c>
      <c r="K1260" s="33">
        <v>1.0</v>
      </c>
      <c r="L1260" s="124" t="s">
        <v>9413</v>
      </c>
      <c r="M1260" s="31"/>
    </row>
    <row r="1261" hidden="1">
      <c r="A1261" s="131" t="s">
        <v>9409</v>
      </c>
      <c r="B1261" s="132">
        <v>45848.0</v>
      </c>
      <c r="C1261" s="33">
        <v>8.07000032225E11</v>
      </c>
      <c r="D1261" s="33" t="s">
        <v>9410</v>
      </c>
      <c r="E1261" s="33" t="s">
        <v>9411</v>
      </c>
      <c r="F1261" s="123" t="s">
        <v>9412</v>
      </c>
      <c r="G1261" s="123" t="s">
        <v>247</v>
      </c>
      <c r="H1261" s="123">
        <v>4400.0</v>
      </c>
      <c r="I1261" s="33" t="s">
        <v>340</v>
      </c>
      <c r="J1261" s="33" t="s">
        <v>3486</v>
      </c>
      <c r="K1261" s="33">
        <v>2.0</v>
      </c>
      <c r="L1261" s="124" t="s">
        <v>9413</v>
      </c>
      <c r="M1261" s="31"/>
    </row>
    <row r="1262" hidden="1">
      <c r="A1262" s="108" t="s">
        <v>9414</v>
      </c>
      <c r="B1262" s="122">
        <v>45849.0</v>
      </c>
      <c r="C1262" s="33">
        <v>8.07000032228E11</v>
      </c>
      <c r="D1262" s="33" t="s">
        <v>9415</v>
      </c>
      <c r="E1262" s="33" t="s">
        <v>9416</v>
      </c>
      <c r="F1262" s="123" t="s">
        <v>9417</v>
      </c>
      <c r="G1262" s="123" t="s">
        <v>247</v>
      </c>
      <c r="H1262" s="123">
        <v>4400.0</v>
      </c>
      <c r="I1262" s="33">
        <v>208501.0</v>
      </c>
      <c r="J1262" s="33" t="s">
        <v>481</v>
      </c>
      <c r="K1262" s="33">
        <v>2.0</v>
      </c>
      <c r="L1262" s="124" t="s">
        <v>9418</v>
      </c>
      <c r="M1262" s="31"/>
    </row>
    <row r="1263" hidden="1">
      <c r="A1263" s="108" t="s">
        <v>9419</v>
      </c>
      <c r="B1263" s="122">
        <v>45849.0</v>
      </c>
      <c r="C1263" s="33">
        <v>8.07000032229E11</v>
      </c>
      <c r="D1263" s="33" t="s">
        <v>9415</v>
      </c>
      <c r="E1263" s="33" t="s">
        <v>9416</v>
      </c>
      <c r="F1263" s="123" t="s">
        <v>9417</v>
      </c>
      <c r="G1263" s="123" t="s">
        <v>247</v>
      </c>
      <c r="H1263" s="123">
        <v>4400.0</v>
      </c>
      <c r="I1263" s="189">
        <v>913290.0</v>
      </c>
      <c r="J1263" s="33" t="s">
        <v>9147</v>
      </c>
      <c r="K1263" s="33">
        <v>1.0</v>
      </c>
      <c r="L1263" s="124" t="s">
        <v>9418</v>
      </c>
      <c r="M1263" s="31"/>
    </row>
    <row r="1264" hidden="1">
      <c r="A1264" s="108" t="s">
        <v>9420</v>
      </c>
      <c r="B1264" s="122">
        <v>45849.0</v>
      </c>
      <c r="C1264" s="33">
        <v>8.07000032227E11</v>
      </c>
      <c r="D1264" s="33" t="s">
        <v>9421</v>
      </c>
      <c r="E1264" s="33" t="s">
        <v>9422</v>
      </c>
      <c r="F1264" s="123" t="s">
        <v>9423</v>
      </c>
      <c r="G1264" s="123" t="s">
        <v>247</v>
      </c>
      <c r="H1264" s="123">
        <v>4400.0</v>
      </c>
      <c r="I1264" s="33" t="s">
        <v>4220</v>
      </c>
      <c r="J1264" s="33" t="s">
        <v>4221</v>
      </c>
      <c r="K1264" s="33">
        <v>2.0</v>
      </c>
      <c r="L1264" s="124" t="s">
        <v>9424</v>
      </c>
      <c r="M1264" s="31"/>
    </row>
    <row r="1265" hidden="1">
      <c r="A1265" s="108" t="s">
        <v>9420</v>
      </c>
      <c r="B1265" s="122">
        <v>45849.0</v>
      </c>
      <c r="C1265" s="33">
        <v>8.07000032227E11</v>
      </c>
      <c r="D1265" s="33" t="s">
        <v>9421</v>
      </c>
      <c r="E1265" s="33" t="s">
        <v>9422</v>
      </c>
      <c r="F1265" s="123" t="s">
        <v>9423</v>
      </c>
      <c r="G1265" s="123" t="s">
        <v>247</v>
      </c>
      <c r="H1265" s="123">
        <v>4400.0</v>
      </c>
      <c r="I1265" s="33" t="s">
        <v>2031</v>
      </c>
      <c r="J1265" s="33" t="s">
        <v>3348</v>
      </c>
      <c r="K1265" s="33">
        <v>2.0</v>
      </c>
      <c r="L1265" s="124" t="s">
        <v>9424</v>
      </c>
      <c r="M1265" s="31"/>
    </row>
    <row r="1266" hidden="1">
      <c r="A1266" s="108" t="s">
        <v>9425</v>
      </c>
      <c r="B1266" s="122">
        <v>45849.0</v>
      </c>
      <c r="C1266" s="33">
        <v>8.07000032231E11</v>
      </c>
      <c r="D1266" s="33" t="s">
        <v>9426</v>
      </c>
      <c r="E1266" s="33" t="s">
        <v>9427</v>
      </c>
      <c r="F1266" s="123" t="s">
        <v>9428</v>
      </c>
      <c r="G1266" s="123" t="s">
        <v>247</v>
      </c>
      <c r="H1266" s="123">
        <v>4400.0</v>
      </c>
      <c r="I1266" s="33" t="s">
        <v>812</v>
      </c>
      <c r="J1266" s="33" t="s">
        <v>3564</v>
      </c>
      <c r="K1266" s="33">
        <v>1.0</v>
      </c>
      <c r="L1266" s="124" t="s">
        <v>9429</v>
      </c>
      <c r="M1266" s="31"/>
    </row>
    <row r="1267" hidden="1">
      <c r="A1267" s="108" t="s">
        <v>9430</v>
      </c>
      <c r="B1267" s="122">
        <v>45850.0</v>
      </c>
      <c r="C1267" s="33">
        <v>8.07000032232E11</v>
      </c>
      <c r="D1267" s="33" t="s">
        <v>9431</v>
      </c>
      <c r="E1267" s="33" t="s">
        <v>9432</v>
      </c>
      <c r="F1267" s="123" t="s">
        <v>9433</v>
      </c>
      <c r="G1267" s="123" t="s">
        <v>247</v>
      </c>
      <c r="H1267" s="123">
        <v>4400.0</v>
      </c>
      <c r="I1267" s="33" t="s">
        <v>344</v>
      </c>
      <c r="J1267" s="33" t="s">
        <v>8884</v>
      </c>
      <c r="K1267" s="33">
        <v>1.0</v>
      </c>
      <c r="L1267" s="210" t="s">
        <v>9434</v>
      </c>
      <c r="M1267" s="31"/>
    </row>
    <row r="1268" hidden="1">
      <c r="A1268" s="33" t="s">
        <v>9435</v>
      </c>
      <c r="B1268" s="122">
        <v>45852.0</v>
      </c>
      <c r="C1268" s="33">
        <v>8.07000032263E11</v>
      </c>
      <c r="D1268" s="33" t="s">
        <v>9436</v>
      </c>
      <c r="E1268" s="33" t="s">
        <v>9437</v>
      </c>
      <c r="F1268" s="123" t="s">
        <v>9438</v>
      </c>
      <c r="G1268" s="123" t="s">
        <v>247</v>
      </c>
      <c r="H1268" s="123">
        <v>4400.0</v>
      </c>
      <c r="I1268" s="33" t="s">
        <v>3641</v>
      </c>
      <c r="J1268" s="33" t="s">
        <v>3642</v>
      </c>
      <c r="K1268" s="33">
        <v>2.0</v>
      </c>
      <c r="L1268" s="124" t="s">
        <v>9439</v>
      </c>
      <c r="M1268" s="31"/>
    </row>
    <row r="1269" hidden="1">
      <c r="A1269" s="33" t="s">
        <v>9435</v>
      </c>
      <c r="B1269" s="122">
        <v>45852.0</v>
      </c>
      <c r="C1269" s="33">
        <v>8.07000032263E11</v>
      </c>
      <c r="D1269" s="33" t="s">
        <v>9436</v>
      </c>
      <c r="E1269" s="33" t="s">
        <v>9437</v>
      </c>
      <c r="F1269" s="123" t="s">
        <v>9438</v>
      </c>
      <c r="G1269" s="123" t="s">
        <v>247</v>
      </c>
      <c r="H1269" s="123">
        <v>4400.0</v>
      </c>
      <c r="I1269" s="33" t="s">
        <v>512</v>
      </c>
      <c r="J1269" s="33" t="s">
        <v>513</v>
      </c>
      <c r="K1269" s="33">
        <v>12.0</v>
      </c>
      <c r="L1269" s="124" t="s">
        <v>9439</v>
      </c>
      <c r="M1269" s="31"/>
    </row>
    <row r="1270" hidden="1">
      <c r="A1270" s="33" t="s">
        <v>9435</v>
      </c>
      <c r="B1270" s="122">
        <v>45852.0</v>
      </c>
      <c r="C1270" s="33">
        <v>8.07000032263E11</v>
      </c>
      <c r="D1270" s="33" t="s">
        <v>9436</v>
      </c>
      <c r="E1270" s="33" t="s">
        <v>9437</v>
      </c>
      <c r="F1270" s="123" t="s">
        <v>9438</v>
      </c>
      <c r="G1270" s="123" t="s">
        <v>247</v>
      </c>
      <c r="H1270" s="123">
        <v>4400.0</v>
      </c>
      <c r="I1270" s="33" t="s">
        <v>1345</v>
      </c>
      <c r="J1270" s="33" t="s">
        <v>3639</v>
      </c>
      <c r="K1270" s="33">
        <v>2.0</v>
      </c>
      <c r="L1270" s="124" t="s">
        <v>9439</v>
      </c>
      <c r="M1270" s="31"/>
    </row>
    <row r="1271" hidden="1">
      <c r="A1271" s="33" t="s">
        <v>9440</v>
      </c>
      <c r="B1271" s="122">
        <v>45852.0</v>
      </c>
      <c r="C1271" s="33">
        <v>8.07000032325E11</v>
      </c>
      <c r="D1271" s="33" t="s">
        <v>9441</v>
      </c>
      <c r="E1271" s="33" t="s">
        <v>9442</v>
      </c>
      <c r="F1271" s="123" t="s">
        <v>9443</v>
      </c>
      <c r="G1271" s="123" t="s">
        <v>247</v>
      </c>
      <c r="H1271" s="123">
        <v>4400.0</v>
      </c>
      <c r="I1271" s="33" t="s">
        <v>118</v>
      </c>
      <c r="J1271" s="33" t="s">
        <v>4650</v>
      </c>
      <c r="K1271" s="33">
        <v>1.0</v>
      </c>
      <c r="L1271" s="124" t="s">
        <v>9444</v>
      </c>
      <c r="M1271" s="31"/>
    </row>
    <row r="1272" hidden="1">
      <c r="A1272" s="33" t="s">
        <v>9445</v>
      </c>
      <c r="B1272" s="122">
        <v>45852.0</v>
      </c>
      <c r="C1272" s="33">
        <v>8.07000032252E11</v>
      </c>
      <c r="D1272" s="33" t="s">
        <v>9446</v>
      </c>
      <c r="E1272" s="33" t="s">
        <v>9447</v>
      </c>
      <c r="F1272" s="123" t="s">
        <v>9448</v>
      </c>
      <c r="G1272" s="123" t="s">
        <v>247</v>
      </c>
      <c r="H1272" s="123">
        <v>4400.0</v>
      </c>
      <c r="I1272" s="33" t="s">
        <v>2397</v>
      </c>
      <c r="J1272" s="33" t="s">
        <v>5040</v>
      </c>
      <c r="K1272" s="33">
        <v>1.0</v>
      </c>
      <c r="L1272" s="124" t="s">
        <v>9449</v>
      </c>
      <c r="M1272" s="31"/>
    </row>
    <row r="1273" hidden="1">
      <c r="A1273" s="33" t="s">
        <v>9450</v>
      </c>
      <c r="B1273" s="122">
        <v>45852.0</v>
      </c>
      <c r="C1273" s="33">
        <v>8.0700003226E11</v>
      </c>
      <c r="D1273" s="33" t="s">
        <v>9451</v>
      </c>
      <c r="E1273" s="33" t="s">
        <v>9452</v>
      </c>
      <c r="F1273" s="123" t="s">
        <v>9453</v>
      </c>
      <c r="G1273" s="123" t="s">
        <v>247</v>
      </c>
      <c r="H1273" s="123">
        <v>4400.0</v>
      </c>
      <c r="I1273" s="33">
        <v>185904.0</v>
      </c>
      <c r="J1273" s="33" t="s">
        <v>8527</v>
      </c>
      <c r="K1273" s="33">
        <v>1.0</v>
      </c>
      <c r="L1273" s="124" t="s">
        <v>9454</v>
      </c>
      <c r="M1273" s="31"/>
    </row>
    <row r="1274" hidden="1">
      <c r="A1274" s="33" t="s">
        <v>9450</v>
      </c>
      <c r="B1274" s="122">
        <v>45852.0</v>
      </c>
      <c r="C1274" s="33">
        <v>8.0700003226E11</v>
      </c>
      <c r="D1274" s="33" t="s">
        <v>9451</v>
      </c>
      <c r="E1274" s="33" t="s">
        <v>9452</v>
      </c>
      <c r="F1274" s="123" t="s">
        <v>9453</v>
      </c>
      <c r="G1274" s="123" t="s">
        <v>247</v>
      </c>
      <c r="H1274" s="123">
        <v>4400.0</v>
      </c>
      <c r="I1274" s="33" t="s">
        <v>9223</v>
      </c>
      <c r="J1274" s="33" t="s">
        <v>9224</v>
      </c>
      <c r="K1274" s="33">
        <v>1.0</v>
      </c>
      <c r="L1274" s="124" t="s">
        <v>9454</v>
      </c>
      <c r="M1274" s="31"/>
    </row>
    <row r="1275" hidden="1">
      <c r="A1275" s="33" t="s">
        <v>9455</v>
      </c>
      <c r="B1275" s="122">
        <v>45852.0</v>
      </c>
      <c r="C1275" s="33">
        <v>8.07000032264E11</v>
      </c>
      <c r="D1275" s="33" t="s">
        <v>9456</v>
      </c>
      <c r="E1275" s="33" t="s">
        <v>9457</v>
      </c>
      <c r="F1275" s="123" t="s">
        <v>9458</v>
      </c>
      <c r="G1275" s="123" t="s">
        <v>247</v>
      </c>
      <c r="H1275" s="123">
        <v>4400.0</v>
      </c>
      <c r="I1275" s="33" t="s">
        <v>3484</v>
      </c>
      <c r="J1275" s="33" t="s">
        <v>3485</v>
      </c>
      <c r="K1275" s="33">
        <v>1.0</v>
      </c>
      <c r="L1275" s="124" t="s">
        <v>9459</v>
      </c>
      <c r="M1275" s="31"/>
    </row>
    <row r="1276" hidden="1">
      <c r="A1276" s="33" t="s">
        <v>9455</v>
      </c>
      <c r="B1276" s="122">
        <v>45852.0</v>
      </c>
      <c r="C1276" s="33">
        <v>8.07000032264E11</v>
      </c>
      <c r="D1276" s="33" t="s">
        <v>9456</v>
      </c>
      <c r="E1276" s="33" t="s">
        <v>9457</v>
      </c>
      <c r="F1276" s="123" t="s">
        <v>9458</v>
      </c>
      <c r="G1276" s="123" t="s">
        <v>247</v>
      </c>
      <c r="H1276" s="123">
        <v>4400.0</v>
      </c>
      <c r="I1276" s="33" t="s">
        <v>512</v>
      </c>
      <c r="J1276" s="33" t="s">
        <v>513</v>
      </c>
      <c r="K1276" s="33">
        <v>12.0</v>
      </c>
      <c r="L1276" s="124" t="s">
        <v>9459</v>
      </c>
      <c r="M1276" s="31"/>
    </row>
    <row r="1277" hidden="1">
      <c r="A1277" s="33" t="s">
        <v>9455</v>
      </c>
      <c r="B1277" s="122">
        <v>45852.0</v>
      </c>
      <c r="C1277" s="33">
        <v>8.07000032264E11</v>
      </c>
      <c r="D1277" s="33" t="s">
        <v>9456</v>
      </c>
      <c r="E1277" s="33" t="s">
        <v>9457</v>
      </c>
      <c r="F1277" s="123" t="s">
        <v>9458</v>
      </c>
      <c r="G1277" s="123" t="s">
        <v>247</v>
      </c>
      <c r="H1277" s="123">
        <v>4400.0</v>
      </c>
      <c r="I1277" s="33" t="s">
        <v>340</v>
      </c>
      <c r="J1277" s="33" t="s">
        <v>3486</v>
      </c>
      <c r="K1277" s="33">
        <v>2.0</v>
      </c>
      <c r="L1277" s="124" t="s">
        <v>9459</v>
      </c>
      <c r="M1277" s="31"/>
    </row>
    <row r="1278" hidden="1">
      <c r="A1278" s="33" t="s">
        <v>9460</v>
      </c>
      <c r="B1278" s="122">
        <v>45852.0</v>
      </c>
      <c r="C1278" s="33">
        <v>8.07000032309E11</v>
      </c>
      <c r="D1278" s="33" t="s">
        <v>9461</v>
      </c>
      <c r="E1278" s="33" t="s">
        <v>9462</v>
      </c>
      <c r="F1278" s="123" t="s">
        <v>9463</v>
      </c>
      <c r="G1278" s="123" t="s">
        <v>247</v>
      </c>
      <c r="H1278" s="123">
        <v>4400.0</v>
      </c>
      <c r="I1278" s="33" t="s">
        <v>512</v>
      </c>
      <c r="J1278" s="33" t="s">
        <v>513</v>
      </c>
      <c r="K1278" s="33">
        <v>6.0</v>
      </c>
      <c r="L1278" s="124" t="s">
        <v>9464</v>
      </c>
      <c r="M1278" s="31"/>
    </row>
    <row r="1279" hidden="1">
      <c r="A1279" s="33" t="s">
        <v>9460</v>
      </c>
      <c r="B1279" s="122">
        <v>45852.0</v>
      </c>
      <c r="C1279" s="33">
        <v>8.0700003231E11</v>
      </c>
      <c r="D1279" s="33" t="s">
        <v>9461</v>
      </c>
      <c r="E1279" s="33" t="s">
        <v>9462</v>
      </c>
      <c r="F1279" s="123" t="s">
        <v>9463</v>
      </c>
      <c r="G1279" s="123" t="s">
        <v>247</v>
      </c>
      <c r="H1279" s="123">
        <v>4400.0</v>
      </c>
      <c r="I1279" s="33" t="s">
        <v>2233</v>
      </c>
      <c r="J1279" s="33" t="s">
        <v>4158</v>
      </c>
      <c r="K1279" s="33">
        <v>1.0</v>
      </c>
      <c r="L1279" s="124" t="s">
        <v>9464</v>
      </c>
      <c r="M1279" s="31"/>
    </row>
    <row r="1280" hidden="1">
      <c r="A1280" s="33" t="s">
        <v>9460</v>
      </c>
      <c r="B1280" s="122">
        <v>45852.0</v>
      </c>
      <c r="C1280" s="33">
        <v>8.0700003231E11</v>
      </c>
      <c r="D1280" s="33" t="s">
        <v>9461</v>
      </c>
      <c r="E1280" s="33" t="s">
        <v>9462</v>
      </c>
      <c r="F1280" s="123" t="s">
        <v>9463</v>
      </c>
      <c r="G1280" s="123" t="s">
        <v>247</v>
      </c>
      <c r="H1280" s="123">
        <v>4400.0</v>
      </c>
      <c r="I1280" s="33" t="s">
        <v>969</v>
      </c>
      <c r="J1280" s="33" t="s">
        <v>3296</v>
      </c>
      <c r="K1280" s="33">
        <v>1.0</v>
      </c>
      <c r="L1280" s="124" t="s">
        <v>9464</v>
      </c>
      <c r="M1280" s="31"/>
    </row>
    <row r="1281" hidden="1">
      <c r="A1281" s="33" t="s">
        <v>9465</v>
      </c>
      <c r="B1281" s="122">
        <v>45852.0</v>
      </c>
      <c r="C1281" s="33">
        <v>8.07000032241E11</v>
      </c>
      <c r="D1281" s="33" t="s">
        <v>9466</v>
      </c>
      <c r="E1281" s="33" t="s">
        <v>9467</v>
      </c>
      <c r="F1281" s="190" t="s">
        <v>9468</v>
      </c>
      <c r="G1281" s="123" t="s">
        <v>486</v>
      </c>
      <c r="H1281" s="123">
        <v>4440.0</v>
      </c>
      <c r="I1281" s="33" t="s">
        <v>3649</v>
      </c>
      <c r="J1281" s="33" t="s">
        <v>3650</v>
      </c>
      <c r="K1281" s="33">
        <v>1.0</v>
      </c>
      <c r="L1281" s="124" t="s">
        <v>9469</v>
      </c>
      <c r="M1281" s="31"/>
    </row>
    <row r="1282" hidden="1">
      <c r="A1282" s="33" t="s">
        <v>9470</v>
      </c>
      <c r="B1282" s="122">
        <v>45852.0</v>
      </c>
      <c r="C1282" s="33">
        <v>8.07000032283E11</v>
      </c>
      <c r="D1282" s="33" t="s">
        <v>9471</v>
      </c>
      <c r="E1282" s="33" t="s">
        <v>9472</v>
      </c>
      <c r="F1282" s="123" t="s">
        <v>9473</v>
      </c>
      <c r="G1282" s="123" t="s">
        <v>247</v>
      </c>
      <c r="H1282" s="123">
        <v>4400.0</v>
      </c>
      <c r="I1282" s="33" t="s">
        <v>22</v>
      </c>
      <c r="J1282" s="33" t="s">
        <v>4013</v>
      </c>
      <c r="K1282" s="33">
        <v>1.0</v>
      </c>
      <c r="L1282" s="124" t="s">
        <v>9474</v>
      </c>
      <c r="M1282" s="31"/>
    </row>
    <row r="1283" hidden="1">
      <c r="A1283" s="33" t="s">
        <v>9470</v>
      </c>
      <c r="B1283" s="122">
        <v>45852.0</v>
      </c>
      <c r="C1283" s="33">
        <v>8.07000032283E11</v>
      </c>
      <c r="D1283" s="33" t="s">
        <v>9471</v>
      </c>
      <c r="E1283" s="33" t="s">
        <v>9472</v>
      </c>
      <c r="F1283" s="123" t="s">
        <v>9473</v>
      </c>
      <c r="G1283" s="123" t="s">
        <v>247</v>
      </c>
      <c r="H1283" s="123">
        <v>4400.0</v>
      </c>
      <c r="I1283" s="33" t="s">
        <v>512</v>
      </c>
      <c r="J1283" s="33" t="s">
        <v>513</v>
      </c>
      <c r="K1283" s="33">
        <v>6.0</v>
      </c>
      <c r="L1283" s="124" t="s">
        <v>9474</v>
      </c>
      <c r="M1283" s="31"/>
    </row>
    <row r="1284" hidden="1">
      <c r="A1284" s="33" t="s">
        <v>9470</v>
      </c>
      <c r="B1284" s="122">
        <v>45852.0</v>
      </c>
      <c r="C1284" s="33">
        <v>8.07000032283E11</v>
      </c>
      <c r="D1284" s="33" t="s">
        <v>9471</v>
      </c>
      <c r="E1284" s="33" t="s">
        <v>9472</v>
      </c>
      <c r="F1284" s="123" t="s">
        <v>9473</v>
      </c>
      <c r="G1284" s="123" t="s">
        <v>247</v>
      </c>
      <c r="H1284" s="123">
        <v>4400.0</v>
      </c>
      <c r="I1284" s="33" t="s">
        <v>25</v>
      </c>
      <c r="J1284" s="33" t="s">
        <v>3401</v>
      </c>
      <c r="K1284" s="33">
        <v>1.0</v>
      </c>
      <c r="L1284" s="124" t="s">
        <v>9474</v>
      </c>
      <c r="M1284" s="31"/>
    </row>
    <row r="1285" hidden="1">
      <c r="A1285" s="33" t="s">
        <v>9475</v>
      </c>
      <c r="B1285" s="122">
        <v>45852.0</v>
      </c>
      <c r="C1285" s="33">
        <v>8.07000032302E11</v>
      </c>
      <c r="D1285" s="33" t="s">
        <v>9476</v>
      </c>
      <c r="E1285" s="33" t="s">
        <v>9477</v>
      </c>
      <c r="F1285" s="123" t="s">
        <v>9478</v>
      </c>
      <c r="G1285" s="123" t="s">
        <v>247</v>
      </c>
      <c r="H1285" s="123">
        <v>4400.0</v>
      </c>
      <c r="I1285" s="33" t="s">
        <v>4775</v>
      </c>
      <c r="J1285" s="33" t="s">
        <v>4776</v>
      </c>
      <c r="K1285" s="33">
        <v>1.0</v>
      </c>
      <c r="L1285" s="124" t="s">
        <v>9479</v>
      </c>
      <c r="M1285" s="31"/>
    </row>
    <row r="1286" hidden="1">
      <c r="A1286" s="33" t="s">
        <v>9480</v>
      </c>
      <c r="B1286" s="122">
        <v>45852.0</v>
      </c>
      <c r="C1286" s="33">
        <v>8.07000032317E11</v>
      </c>
      <c r="D1286" s="33" t="s">
        <v>4493</v>
      </c>
      <c r="E1286" s="33" t="s">
        <v>4494</v>
      </c>
      <c r="F1286" s="123" t="s">
        <v>5969</v>
      </c>
      <c r="G1286" s="123" t="s">
        <v>1038</v>
      </c>
      <c r="H1286" s="123">
        <v>4400.0</v>
      </c>
      <c r="I1286" s="33" t="s">
        <v>8532</v>
      </c>
      <c r="J1286" s="33" t="s">
        <v>8533</v>
      </c>
      <c r="K1286" s="33">
        <v>1.0</v>
      </c>
      <c r="L1286" s="124" t="s">
        <v>9481</v>
      </c>
      <c r="M1286" s="31"/>
    </row>
    <row r="1287" hidden="1">
      <c r="A1287" s="33" t="s">
        <v>9482</v>
      </c>
      <c r="B1287" s="122">
        <v>45852.0</v>
      </c>
      <c r="C1287" s="33">
        <v>8.07000032323E11</v>
      </c>
      <c r="D1287" s="33" t="s">
        <v>9483</v>
      </c>
      <c r="E1287" s="33" t="s">
        <v>9484</v>
      </c>
      <c r="F1287" s="123" t="s">
        <v>9485</v>
      </c>
      <c r="G1287" s="123" t="s">
        <v>247</v>
      </c>
      <c r="H1287" s="123">
        <v>4400.0</v>
      </c>
      <c r="I1287" s="189">
        <v>915481.0</v>
      </c>
      <c r="J1287" s="33" t="s">
        <v>8241</v>
      </c>
      <c r="K1287" s="33">
        <v>1.0</v>
      </c>
      <c r="L1287" s="124" t="s">
        <v>9486</v>
      </c>
      <c r="M1287" s="31"/>
    </row>
    <row r="1288" hidden="1">
      <c r="A1288" s="33" t="s">
        <v>9482</v>
      </c>
      <c r="B1288" s="122">
        <v>45852.0</v>
      </c>
      <c r="C1288" s="33">
        <v>8.07000032323E11</v>
      </c>
      <c r="D1288" s="33" t="s">
        <v>9483</v>
      </c>
      <c r="E1288" s="33" t="s">
        <v>9484</v>
      </c>
      <c r="F1288" s="123" t="s">
        <v>9485</v>
      </c>
      <c r="G1288" s="123" t="s">
        <v>247</v>
      </c>
      <c r="H1288" s="123">
        <v>4400.0</v>
      </c>
      <c r="I1288" s="33">
        <v>87609.0</v>
      </c>
      <c r="J1288" s="33" t="s">
        <v>7643</v>
      </c>
      <c r="K1288" s="33">
        <v>2.0</v>
      </c>
      <c r="L1288" s="124" t="s">
        <v>9486</v>
      </c>
      <c r="M1288" s="31"/>
    </row>
    <row r="1289" hidden="1">
      <c r="A1289" s="33" t="s">
        <v>9487</v>
      </c>
      <c r="B1289" s="122">
        <v>45852.0</v>
      </c>
      <c r="C1289" s="33">
        <v>8.07000032327E11</v>
      </c>
      <c r="D1289" s="33" t="s">
        <v>9488</v>
      </c>
      <c r="E1289" s="33" t="s">
        <v>9489</v>
      </c>
      <c r="F1289" s="123" t="s">
        <v>9490</v>
      </c>
      <c r="G1289" s="123" t="s">
        <v>247</v>
      </c>
      <c r="H1289" s="123">
        <v>4400.0</v>
      </c>
      <c r="I1289" s="33" t="s">
        <v>9491</v>
      </c>
      <c r="J1289" s="33" t="s">
        <v>513</v>
      </c>
      <c r="K1289" s="33">
        <v>6.0</v>
      </c>
      <c r="L1289" s="124" t="s">
        <v>9492</v>
      </c>
      <c r="M1289" s="31"/>
    </row>
    <row r="1290" hidden="1">
      <c r="A1290" s="33" t="s">
        <v>9487</v>
      </c>
      <c r="B1290" s="122">
        <v>45852.0</v>
      </c>
      <c r="C1290" s="33">
        <v>8.07000032328E11</v>
      </c>
      <c r="D1290" s="33" t="s">
        <v>9488</v>
      </c>
      <c r="E1290" s="33" t="s">
        <v>9489</v>
      </c>
      <c r="F1290" s="123" t="s">
        <v>9490</v>
      </c>
      <c r="G1290" s="123" t="s">
        <v>247</v>
      </c>
      <c r="H1290" s="123">
        <v>4400.0</v>
      </c>
      <c r="I1290" s="33" t="s">
        <v>985</v>
      </c>
      <c r="J1290" s="33" t="s">
        <v>3600</v>
      </c>
      <c r="K1290" s="33">
        <v>1.0</v>
      </c>
      <c r="L1290" s="124" t="s">
        <v>9492</v>
      </c>
      <c r="M1290" s="31"/>
    </row>
    <row r="1291" hidden="1">
      <c r="A1291" s="33" t="s">
        <v>9487</v>
      </c>
      <c r="B1291" s="122">
        <v>45852.0</v>
      </c>
      <c r="C1291" s="33">
        <v>8.07000032328E11</v>
      </c>
      <c r="D1291" s="33" t="s">
        <v>9488</v>
      </c>
      <c r="E1291" s="33" t="s">
        <v>9489</v>
      </c>
      <c r="F1291" s="123" t="s">
        <v>9490</v>
      </c>
      <c r="G1291" s="123" t="s">
        <v>247</v>
      </c>
      <c r="H1291" s="123">
        <v>4400.0</v>
      </c>
      <c r="I1291" s="33" t="s">
        <v>35</v>
      </c>
      <c r="J1291" s="33" t="s">
        <v>9493</v>
      </c>
      <c r="K1291" s="33">
        <v>1.0</v>
      </c>
      <c r="L1291" s="124" t="s">
        <v>9492</v>
      </c>
      <c r="M1291" s="31"/>
    </row>
    <row r="1292" hidden="1">
      <c r="A1292" s="33" t="s">
        <v>9494</v>
      </c>
      <c r="B1292" s="122">
        <v>45852.0</v>
      </c>
      <c r="C1292" s="33">
        <v>8.07000032332E11</v>
      </c>
      <c r="D1292" s="33" t="s">
        <v>9495</v>
      </c>
      <c r="E1292" s="33" t="s">
        <v>9496</v>
      </c>
      <c r="F1292" s="123" t="s">
        <v>9497</v>
      </c>
      <c r="G1292" s="123" t="s">
        <v>350</v>
      </c>
      <c r="H1292" s="123">
        <v>4401.0</v>
      </c>
      <c r="I1292" s="189" t="s">
        <v>512</v>
      </c>
      <c r="J1292" s="33" t="s">
        <v>513</v>
      </c>
      <c r="K1292" s="33">
        <v>12.0</v>
      </c>
      <c r="L1292" s="124" t="s">
        <v>9498</v>
      </c>
      <c r="M1292" s="31"/>
    </row>
    <row r="1293" hidden="1">
      <c r="A1293" s="33" t="s">
        <v>9494</v>
      </c>
      <c r="B1293" s="122">
        <v>45852.0</v>
      </c>
      <c r="C1293" s="33">
        <v>8.07000032333E11</v>
      </c>
      <c r="D1293" s="33" t="s">
        <v>9495</v>
      </c>
      <c r="E1293" s="33" t="s">
        <v>9496</v>
      </c>
      <c r="F1293" s="123" t="s">
        <v>9497</v>
      </c>
      <c r="G1293" s="123" t="s">
        <v>350</v>
      </c>
      <c r="H1293" s="123">
        <v>4401.0</v>
      </c>
      <c r="I1293" s="189" t="s">
        <v>7955</v>
      </c>
      <c r="J1293" s="33" t="s">
        <v>7956</v>
      </c>
      <c r="K1293" s="33">
        <v>1.0</v>
      </c>
      <c r="L1293" s="124" t="s">
        <v>9498</v>
      </c>
      <c r="M1293" s="31"/>
    </row>
    <row r="1294" hidden="1">
      <c r="A1294" s="33" t="s">
        <v>9494</v>
      </c>
      <c r="B1294" s="122">
        <v>45852.0</v>
      </c>
      <c r="C1294" s="33">
        <v>8.07000032333E11</v>
      </c>
      <c r="D1294" s="33" t="s">
        <v>9495</v>
      </c>
      <c r="E1294" s="33" t="s">
        <v>9496</v>
      </c>
      <c r="F1294" s="123" t="s">
        <v>9497</v>
      </c>
      <c r="G1294" s="123" t="s">
        <v>350</v>
      </c>
      <c r="H1294" s="123">
        <v>4401.0</v>
      </c>
      <c r="I1294" s="189" t="s">
        <v>758</v>
      </c>
      <c r="J1294" s="33" t="s">
        <v>3574</v>
      </c>
      <c r="K1294" s="33">
        <v>2.0</v>
      </c>
      <c r="L1294" s="124" t="s">
        <v>9498</v>
      </c>
      <c r="M1294" s="31"/>
    </row>
    <row r="1295" hidden="1">
      <c r="A1295" s="33" t="s">
        <v>9499</v>
      </c>
      <c r="B1295" s="122">
        <v>45852.0</v>
      </c>
      <c r="C1295" s="33">
        <v>8.07000032335E11</v>
      </c>
      <c r="D1295" s="33" t="s">
        <v>9500</v>
      </c>
      <c r="E1295" s="33" t="s">
        <v>9501</v>
      </c>
      <c r="F1295" s="123" t="s">
        <v>9502</v>
      </c>
      <c r="G1295" s="123" t="s">
        <v>247</v>
      </c>
      <c r="H1295" s="123">
        <v>4400.0</v>
      </c>
      <c r="I1295" s="189" t="s">
        <v>298</v>
      </c>
      <c r="J1295" s="33" t="s">
        <v>6035</v>
      </c>
      <c r="K1295" s="33">
        <v>1.0</v>
      </c>
      <c r="L1295" s="124" t="s">
        <v>9503</v>
      </c>
      <c r="M1295" s="31"/>
    </row>
    <row r="1296" hidden="1">
      <c r="A1296" s="33" t="s">
        <v>9504</v>
      </c>
      <c r="B1296" s="122">
        <v>45852.0</v>
      </c>
      <c r="C1296" s="33">
        <v>8.07000032341E11</v>
      </c>
      <c r="D1296" s="33" t="s">
        <v>9505</v>
      </c>
      <c r="E1296" s="33" t="s">
        <v>9506</v>
      </c>
      <c r="F1296" s="123" t="s">
        <v>9507</v>
      </c>
      <c r="G1296" s="123" t="s">
        <v>9508</v>
      </c>
      <c r="H1296" s="123">
        <v>4407.0</v>
      </c>
      <c r="I1296" s="33" t="s">
        <v>9509</v>
      </c>
      <c r="J1296" s="33" t="s">
        <v>9510</v>
      </c>
      <c r="K1296" s="33">
        <v>1.0</v>
      </c>
      <c r="L1296" s="124" t="s">
        <v>9511</v>
      </c>
      <c r="M1296" s="31"/>
    </row>
    <row r="1297" hidden="1">
      <c r="A1297" s="33" t="s">
        <v>9512</v>
      </c>
      <c r="B1297" s="122">
        <v>45852.0</v>
      </c>
      <c r="C1297" s="33">
        <v>8.07000032342E11</v>
      </c>
      <c r="D1297" s="33" t="s">
        <v>9505</v>
      </c>
      <c r="E1297" s="33" t="s">
        <v>9506</v>
      </c>
      <c r="F1297" s="123" t="s">
        <v>9507</v>
      </c>
      <c r="G1297" s="123" t="s">
        <v>9508</v>
      </c>
      <c r="H1297" s="123">
        <v>4407.0</v>
      </c>
      <c r="I1297" s="33" t="s">
        <v>118</v>
      </c>
      <c r="J1297" s="33" t="s">
        <v>4650</v>
      </c>
      <c r="K1297" s="33">
        <v>1.0</v>
      </c>
      <c r="L1297" s="124" t="s">
        <v>9511</v>
      </c>
      <c r="M1297" s="31"/>
    </row>
    <row r="1298" hidden="1">
      <c r="A1298" s="33" t="s">
        <v>9513</v>
      </c>
      <c r="B1298" s="122">
        <v>45854.0</v>
      </c>
      <c r="C1298" s="33">
        <v>8.07000032377E11</v>
      </c>
      <c r="D1298" s="33" t="s">
        <v>9514</v>
      </c>
      <c r="E1298" s="33" t="s">
        <v>9515</v>
      </c>
      <c r="F1298" s="123" t="s">
        <v>9516</v>
      </c>
      <c r="G1298" s="123" t="s">
        <v>247</v>
      </c>
      <c r="H1298" s="123">
        <v>4400.0</v>
      </c>
      <c r="I1298" s="33" t="s">
        <v>512</v>
      </c>
      <c r="J1298" s="33" t="s">
        <v>513</v>
      </c>
      <c r="K1298" s="33">
        <v>6.0</v>
      </c>
      <c r="L1298" s="124">
        <v>3.517864831E9</v>
      </c>
      <c r="M1298" s="31"/>
    </row>
    <row r="1299" hidden="1">
      <c r="A1299" s="33" t="s">
        <v>9513</v>
      </c>
      <c r="B1299" s="122">
        <v>45854.0</v>
      </c>
      <c r="C1299" s="33">
        <v>8.07000032378E11</v>
      </c>
      <c r="D1299" s="33" t="s">
        <v>9514</v>
      </c>
      <c r="E1299" s="33" t="s">
        <v>9515</v>
      </c>
      <c r="F1299" s="123" t="s">
        <v>9516</v>
      </c>
      <c r="G1299" s="123" t="s">
        <v>247</v>
      </c>
      <c r="H1299" s="123">
        <v>4400.0</v>
      </c>
      <c r="I1299" s="33" t="s">
        <v>3431</v>
      </c>
      <c r="J1299" s="33" t="s">
        <v>3432</v>
      </c>
      <c r="K1299" s="33">
        <v>1.0</v>
      </c>
      <c r="L1299" s="124">
        <v>3.517864831E9</v>
      </c>
      <c r="M1299" s="31"/>
    </row>
    <row r="1300" hidden="1">
      <c r="A1300" s="33" t="s">
        <v>9513</v>
      </c>
      <c r="B1300" s="122">
        <v>45854.0</v>
      </c>
      <c r="C1300" s="33">
        <v>8.07000032378E11</v>
      </c>
      <c r="D1300" s="33" t="s">
        <v>9514</v>
      </c>
      <c r="E1300" s="33" t="s">
        <v>9515</v>
      </c>
      <c r="F1300" s="123" t="s">
        <v>9516</v>
      </c>
      <c r="G1300" s="123" t="s">
        <v>247</v>
      </c>
      <c r="H1300" s="123">
        <v>4400.0</v>
      </c>
      <c r="I1300" s="33" t="s">
        <v>670</v>
      </c>
      <c r="J1300" s="33" t="s">
        <v>3410</v>
      </c>
      <c r="K1300" s="33">
        <v>1.0</v>
      </c>
      <c r="L1300" s="124">
        <v>3.517864831E9</v>
      </c>
      <c r="M1300" s="31"/>
    </row>
    <row r="1301" hidden="1">
      <c r="A1301" s="33" t="s">
        <v>9517</v>
      </c>
      <c r="B1301" s="122">
        <v>45854.0</v>
      </c>
      <c r="C1301" s="33">
        <v>8.07000032375E11</v>
      </c>
      <c r="D1301" s="33" t="s">
        <v>9518</v>
      </c>
      <c r="E1301" s="33" t="s">
        <v>9519</v>
      </c>
      <c r="F1301" s="123" t="s">
        <v>9520</v>
      </c>
      <c r="G1301" s="123" t="s">
        <v>247</v>
      </c>
      <c r="H1301" s="123">
        <v>4400.0</v>
      </c>
      <c r="I1301" s="33" t="s">
        <v>512</v>
      </c>
      <c r="J1301" s="33" t="s">
        <v>513</v>
      </c>
      <c r="K1301" s="33">
        <v>6.0</v>
      </c>
      <c r="L1301" s="124">
        <v>3.874434597E9</v>
      </c>
      <c r="M1301" s="31"/>
    </row>
    <row r="1302" hidden="1">
      <c r="A1302" s="33" t="s">
        <v>9517</v>
      </c>
      <c r="B1302" s="122">
        <v>45854.0</v>
      </c>
      <c r="C1302" s="33">
        <v>8.07000032376E11</v>
      </c>
      <c r="D1302" s="33" t="s">
        <v>9518</v>
      </c>
      <c r="E1302" s="33" t="s">
        <v>9519</v>
      </c>
      <c r="F1302" s="123" t="s">
        <v>9520</v>
      </c>
      <c r="G1302" s="123" t="s">
        <v>247</v>
      </c>
      <c r="H1302" s="123">
        <v>4400.0</v>
      </c>
      <c r="I1302" s="33" t="s">
        <v>3431</v>
      </c>
      <c r="J1302" s="33" t="s">
        <v>3432</v>
      </c>
      <c r="K1302" s="33">
        <v>1.0</v>
      </c>
      <c r="L1302" s="124">
        <v>3.874434597E9</v>
      </c>
      <c r="M1302" s="31"/>
    </row>
    <row r="1303" hidden="1">
      <c r="A1303" s="33" t="s">
        <v>9517</v>
      </c>
      <c r="B1303" s="122">
        <v>45854.0</v>
      </c>
      <c r="C1303" s="33">
        <v>8.07000032376E11</v>
      </c>
      <c r="D1303" s="33" t="s">
        <v>9518</v>
      </c>
      <c r="E1303" s="33" t="s">
        <v>9519</v>
      </c>
      <c r="F1303" s="123" t="s">
        <v>9520</v>
      </c>
      <c r="G1303" s="123" t="s">
        <v>247</v>
      </c>
      <c r="H1303" s="123">
        <v>4400.0</v>
      </c>
      <c r="I1303" s="33" t="s">
        <v>670</v>
      </c>
      <c r="J1303" s="33" t="s">
        <v>3410</v>
      </c>
      <c r="K1303" s="33">
        <v>1.0</v>
      </c>
      <c r="L1303" s="124">
        <v>3.874434597E9</v>
      </c>
      <c r="M1303" s="31"/>
    </row>
    <row r="1304" hidden="1">
      <c r="A1304" s="33" t="s">
        <v>9521</v>
      </c>
      <c r="B1304" s="122">
        <v>45854.0</v>
      </c>
      <c r="C1304" s="33">
        <v>8.07000032381E11</v>
      </c>
      <c r="D1304" s="33" t="s">
        <v>9522</v>
      </c>
      <c r="E1304" s="33" t="s">
        <v>9523</v>
      </c>
      <c r="F1304" s="123" t="s">
        <v>9524</v>
      </c>
      <c r="G1304" s="123" t="s">
        <v>376</v>
      </c>
      <c r="H1304" s="123">
        <v>4421.0</v>
      </c>
      <c r="I1304" s="33" t="s">
        <v>3979</v>
      </c>
      <c r="J1304" s="33" t="s">
        <v>3980</v>
      </c>
      <c r="K1304" s="33">
        <v>1.0</v>
      </c>
      <c r="L1304" s="124">
        <v>3.875529581E9</v>
      </c>
      <c r="M1304" s="31"/>
    </row>
    <row r="1305" hidden="1">
      <c r="A1305" s="33" t="s">
        <v>9521</v>
      </c>
      <c r="B1305" s="122">
        <v>45854.0</v>
      </c>
      <c r="C1305" s="33">
        <v>8.07000032381E11</v>
      </c>
      <c r="D1305" s="33" t="s">
        <v>9522</v>
      </c>
      <c r="E1305" s="33" t="s">
        <v>9523</v>
      </c>
      <c r="F1305" s="123" t="s">
        <v>9524</v>
      </c>
      <c r="G1305" s="123" t="s">
        <v>376</v>
      </c>
      <c r="H1305" s="123">
        <v>4421.0</v>
      </c>
      <c r="I1305" s="33" t="s">
        <v>512</v>
      </c>
      <c r="J1305" s="33" t="s">
        <v>513</v>
      </c>
      <c r="K1305" s="33">
        <v>12.0</v>
      </c>
      <c r="L1305" s="124">
        <v>3.875529581E9</v>
      </c>
      <c r="M1305" s="31"/>
    </row>
    <row r="1306" hidden="1">
      <c r="A1306" s="33" t="s">
        <v>9521</v>
      </c>
      <c r="B1306" s="122">
        <v>45854.0</v>
      </c>
      <c r="C1306" s="33">
        <v>8.07000032381E11</v>
      </c>
      <c r="D1306" s="33" t="s">
        <v>9522</v>
      </c>
      <c r="E1306" s="33" t="s">
        <v>9523</v>
      </c>
      <c r="F1306" s="123" t="s">
        <v>9524</v>
      </c>
      <c r="G1306" s="123" t="s">
        <v>376</v>
      </c>
      <c r="H1306" s="123">
        <v>4421.0</v>
      </c>
      <c r="I1306" s="33" t="s">
        <v>758</v>
      </c>
      <c r="J1306" s="33" t="s">
        <v>3574</v>
      </c>
      <c r="K1306" s="33">
        <v>2.0</v>
      </c>
      <c r="L1306" s="124">
        <v>3.875529581E9</v>
      </c>
      <c r="M1306" s="31"/>
    </row>
    <row r="1307" hidden="1">
      <c r="A1307" s="33" t="s">
        <v>9521</v>
      </c>
      <c r="B1307" s="122">
        <v>45854.0</v>
      </c>
      <c r="C1307" s="33">
        <v>8.07000032382E11</v>
      </c>
      <c r="D1307" s="33" t="s">
        <v>9522</v>
      </c>
      <c r="E1307" s="33" t="s">
        <v>9523</v>
      </c>
      <c r="F1307" s="123" t="s">
        <v>9524</v>
      </c>
      <c r="G1307" s="123" t="s">
        <v>376</v>
      </c>
      <c r="H1307" s="123">
        <v>4421.0</v>
      </c>
      <c r="I1307" s="33" t="s">
        <v>3025</v>
      </c>
      <c r="J1307" s="33" t="s">
        <v>3493</v>
      </c>
      <c r="K1307" s="33">
        <v>1.0</v>
      </c>
      <c r="L1307" s="124">
        <v>3.875529581E9</v>
      </c>
      <c r="M1307" s="31"/>
    </row>
    <row r="1308" hidden="1">
      <c r="A1308" s="33" t="s">
        <v>9521</v>
      </c>
      <c r="B1308" s="122">
        <v>45854.0</v>
      </c>
      <c r="C1308" s="33">
        <v>8.07000032382E11</v>
      </c>
      <c r="D1308" s="33" t="s">
        <v>9522</v>
      </c>
      <c r="E1308" s="33" t="s">
        <v>9523</v>
      </c>
      <c r="F1308" s="123" t="s">
        <v>9524</v>
      </c>
      <c r="G1308" s="123" t="s">
        <v>376</v>
      </c>
      <c r="H1308" s="123">
        <v>4421.0</v>
      </c>
      <c r="I1308" s="33" t="s">
        <v>512</v>
      </c>
      <c r="J1308" s="33" t="s">
        <v>513</v>
      </c>
      <c r="K1308" s="33">
        <v>6.0</v>
      </c>
      <c r="L1308" s="124">
        <v>3.875529581E9</v>
      </c>
      <c r="M1308" s="31"/>
    </row>
    <row r="1309" hidden="1">
      <c r="A1309" s="33" t="s">
        <v>9521</v>
      </c>
      <c r="B1309" s="122">
        <v>45854.0</v>
      </c>
      <c r="C1309" s="33">
        <v>8.07000032382E11</v>
      </c>
      <c r="D1309" s="33" t="s">
        <v>9522</v>
      </c>
      <c r="E1309" s="33" t="s">
        <v>9523</v>
      </c>
      <c r="F1309" s="123" t="s">
        <v>9524</v>
      </c>
      <c r="G1309" s="123" t="s">
        <v>376</v>
      </c>
      <c r="H1309" s="123">
        <v>4421.0</v>
      </c>
      <c r="I1309" s="33" t="s">
        <v>2031</v>
      </c>
      <c r="J1309" s="33" t="s">
        <v>3348</v>
      </c>
      <c r="K1309" s="33">
        <v>1.0</v>
      </c>
      <c r="L1309" s="124">
        <v>3.875529581E9</v>
      </c>
      <c r="M1309" s="31"/>
    </row>
    <row r="1310" hidden="1">
      <c r="A1310" s="33" t="s">
        <v>9525</v>
      </c>
      <c r="B1310" s="122">
        <v>45854.0</v>
      </c>
      <c r="C1310" s="33">
        <v>8.07000032364E11</v>
      </c>
      <c r="D1310" s="33" t="s">
        <v>9526</v>
      </c>
      <c r="E1310" s="33" t="s">
        <v>9527</v>
      </c>
      <c r="F1310" s="123" t="s">
        <v>9528</v>
      </c>
      <c r="G1310" s="123" t="s">
        <v>247</v>
      </c>
      <c r="H1310" s="123">
        <v>4400.0</v>
      </c>
      <c r="I1310" s="33">
        <v>915481.0</v>
      </c>
      <c r="J1310" s="33" t="s">
        <v>8241</v>
      </c>
      <c r="K1310" s="33">
        <v>1.0</v>
      </c>
      <c r="L1310" s="124">
        <v>3.874432678E9</v>
      </c>
      <c r="M1310" s="31"/>
    </row>
    <row r="1311" hidden="1">
      <c r="A1311" s="33" t="s">
        <v>9525</v>
      </c>
      <c r="B1311" s="122">
        <v>45854.0</v>
      </c>
      <c r="C1311" s="33">
        <v>8.07000032364E11</v>
      </c>
      <c r="D1311" s="33" t="s">
        <v>9526</v>
      </c>
      <c r="E1311" s="33" t="s">
        <v>9527</v>
      </c>
      <c r="F1311" s="123" t="s">
        <v>9528</v>
      </c>
      <c r="G1311" s="123" t="s">
        <v>247</v>
      </c>
      <c r="H1311" s="123">
        <v>4400.0</v>
      </c>
      <c r="I1311" s="33">
        <v>87609.0</v>
      </c>
      <c r="J1311" s="33" t="s">
        <v>7643</v>
      </c>
      <c r="K1311" s="33">
        <v>2.0</v>
      </c>
      <c r="L1311" s="124">
        <v>3.874432678E9</v>
      </c>
      <c r="M1311" s="31"/>
    </row>
    <row r="1312" hidden="1">
      <c r="A1312" s="33" t="s">
        <v>9529</v>
      </c>
      <c r="B1312" s="122">
        <v>45854.0</v>
      </c>
      <c r="C1312" s="33">
        <v>8.07000032358E11</v>
      </c>
      <c r="D1312" s="33" t="s">
        <v>9530</v>
      </c>
      <c r="E1312" s="33" t="s">
        <v>9531</v>
      </c>
      <c r="F1312" s="123" t="s">
        <v>9532</v>
      </c>
      <c r="G1312" s="123" t="s">
        <v>247</v>
      </c>
      <c r="H1312" s="123">
        <v>4400.0</v>
      </c>
      <c r="I1312" s="33" t="s">
        <v>3074</v>
      </c>
      <c r="J1312" s="33" t="s">
        <v>3232</v>
      </c>
      <c r="K1312" s="33">
        <v>1.0</v>
      </c>
      <c r="L1312" s="124">
        <v>3.874040869E9</v>
      </c>
      <c r="M1312" s="31"/>
    </row>
    <row r="1313" hidden="1">
      <c r="A1313" s="33" t="s">
        <v>9529</v>
      </c>
      <c r="B1313" s="122">
        <v>45854.0</v>
      </c>
      <c r="C1313" s="33">
        <v>8.07000032359E11</v>
      </c>
      <c r="D1313" s="33" t="s">
        <v>9530</v>
      </c>
      <c r="E1313" s="33" t="s">
        <v>9531</v>
      </c>
      <c r="F1313" s="123" t="s">
        <v>9532</v>
      </c>
      <c r="G1313" s="123" t="s">
        <v>247</v>
      </c>
      <c r="H1313" s="123">
        <v>4400.0</v>
      </c>
      <c r="I1313" s="33" t="s">
        <v>3025</v>
      </c>
      <c r="J1313" s="33" t="s">
        <v>3493</v>
      </c>
      <c r="K1313" s="33">
        <v>1.0</v>
      </c>
      <c r="L1313" s="124">
        <v>3.874040869E9</v>
      </c>
      <c r="M1313" s="31"/>
    </row>
    <row r="1314" hidden="1">
      <c r="A1314" s="33" t="s">
        <v>9533</v>
      </c>
      <c r="B1314" s="122">
        <v>45854.0</v>
      </c>
      <c r="C1314" s="33">
        <v>8.07000032345E11</v>
      </c>
      <c r="D1314" s="33" t="s">
        <v>9534</v>
      </c>
      <c r="E1314" s="33" t="s">
        <v>9535</v>
      </c>
      <c r="F1314" s="123" t="s">
        <v>9536</v>
      </c>
      <c r="G1314" s="123" t="s">
        <v>9396</v>
      </c>
      <c r="H1314" s="123">
        <v>4407.0</v>
      </c>
      <c r="I1314" s="33" t="s">
        <v>7129</v>
      </c>
      <c r="J1314" s="33" t="s">
        <v>7701</v>
      </c>
      <c r="K1314" s="33">
        <v>1.0</v>
      </c>
      <c r="L1314" s="124">
        <v>1.124535116E9</v>
      </c>
      <c r="M1314" s="31"/>
    </row>
    <row r="1315" hidden="1">
      <c r="A1315" s="33" t="s">
        <v>9537</v>
      </c>
      <c r="B1315" s="122">
        <v>45854.0</v>
      </c>
      <c r="C1315" s="211">
        <v>8.07000032389E11</v>
      </c>
      <c r="D1315" s="211" t="s">
        <v>9538</v>
      </c>
      <c r="E1315" s="211" t="s">
        <v>9539</v>
      </c>
      <c r="F1315" s="123" t="s">
        <v>9540</v>
      </c>
      <c r="G1315" s="123" t="s">
        <v>247</v>
      </c>
      <c r="H1315" s="123">
        <v>4400.0</v>
      </c>
      <c r="I1315" s="211" t="s">
        <v>3407</v>
      </c>
      <c r="J1315" s="211" t="s">
        <v>3408</v>
      </c>
      <c r="K1315" s="211">
        <v>1.0</v>
      </c>
      <c r="L1315" s="124">
        <v>3.873228897E9</v>
      </c>
      <c r="M1315" s="31"/>
    </row>
    <row r="1316" hidden="1">
      <c r="A1316" s="33" t="s">
        <v>9541</v>
      </c>
      <c r="B1316" s="122">
        <v>45855.0</v>
      </c>
      <c r="C1316" s="33">
        <v>8.07000032407E11</v>
      </c>
      <c r="D1316" s="33" t="s">
        <v>9542</v>
      </c>
      <c r="E1316" s="33" t="s">
        <v>9543</v>
      </c>
      <c r="F1316" s="123" t="s">
        <v>9544</v>
      </c>
      <c r="G1316" s="123" t="s">
        <v>247</v>
      </c>
      <c r="H1316" s="123">
        <v>4400.0</v>
      </c>
      <c r="I1316" s="33" t="s">
        <v>238</v>
      </c>
      <c r="J1316" s="33" t="s">
        <v>7925</v>
      </c>
      <c r="K1316" s="33">
        <v>1.0</v>
      </c>
      <c r="L1316" s="124" t="s">
        <v>9545</v>
      </c>
      <c r="M1316" s="31"/>
    </row>
    <row r="1317" hidden="1">
      <c r="A1317" s="33" t="s">
        <v>9541</v>
      </c>
      <c r="B1317" s="122">
        <v>45855.0</v>
      </c>
      <c r="C1317" s="33">
        <v>8.07000032407E11</v>
      </c>
      <c r="D1317" s="33" t="s">
        <v>9542</v>
      </c>
      <c r="E1317" s="33" t="s">
        <v>9543</v>
      </c>
      <c r="F1317" s="123" t="s">
        <v>9544</v>
      </c>
      <c r="G1317" s="123" t="s">
        <v>247</v>
      </c>
      <c r="H1317" s="123">
        <v>4400.0</v>
      </c>
      <c r="I1317" s="33" t="s">
        <v>233</v>
      </c>
      <c r="J1317" s="33" t="s">
        <v>3459</v>
      </c>
      <c r="K1317" s="33">
        <v>2.0</v>
      </c>
      <c r="L1317" s="124" t="s">
        <v>9545</v>
      </c>
      <c r="M1317" s="31"/>
    </row>
    <row r="1318" hidden="1">
      <c r="A1318" s="33" t="s">
        <v>9546</v>
      </c>
      <c r="B1318" s="122">
        <v>45855.0</v>
      </c>
      <c r="C1318" s="33">
        <v>8.07000032396E11</v>
      </c>
      <c r="D1318" s="33" t="s">
        <v>9547</v>
      </c>
      <c r="E1318" s="33" t="s">
        <v>9548</v>
      </c>
      <c r="F1318" s="123" t="s">
        <v>9549</v>
      </c>
      <c r="G1318" s="123" t="s">
        <v>247</v>
      </c>
      <c r="H1318" s="123">
        <v>4400.0</v>
      </c>
      <c r="I1318" s="33" t="s">
        <v>8532</v>
      </c>
      <c r="J1318" s="33" t="s">
        <v>8533</v>
      </c>
      <c r="K1318" s="33">
        <v>2.0</v>
      </c>
      <c r="L1318" s="124" t="s">
        <v>9550</v>
      </c>
      <c r="M1318" s="31"/>
    </row>
    <row r="1319" hidden="1">
      <c r="A1319" s="33" t="s">
        <v>9551</v>
      </c>
      <c r="B1319" s="122">
        <v>45855.0</v>
      </c>
      <c r="C1319" s="33">
        <v>8.07000032402E11</v>
      </c>
      <c r="D1319" s="33" t="s">
        <v>9552</v>
      </c>
      <c r="E1319" s="33" t="s">
        <v>9553</v>
      </c>
      <c r="F1319" s="123" t="s">
        <v>9554</v>
      </c>
      <c r="G1319" s="123" t="s">
        <v>247</v>
      </c>
      <c r="H1319" s="123">
        <v>4400.0</v>
      </c>
      <c r="I1319" s="33" t="s">
        <v>22</v>
      </c>
      <c r="J1319" s="33" t="s">
        <v>4013</v>
      </c>
      <c r="K1319" s="33">
        <v>1.0</v>
      </c>
      <c r="L1319" s="124" t="s">
        <v>9555</v>
      </c>
      <c r="M1319" s="31"/>
    </row>
    <row r="1320" hidden="1">
      <c r="A1320" s="33" t="s">
        <v>9551</v>
      </c>
      <c r="B1320" s="122">
        <v>45855.0</v>
      </c>
      <c r="C1320" s="33">
        <v>8.07000032402E11</v>
      </c>
      <c r="D1320" s="33" t="s">
        <v>9552</v>
      </c>
      <c r="E1320" s="33" t="s">
        <v>9553</v>
      </c>
      <c r="F1320" s="123" t="s">
        <v>9554</v>
      </c>
      <c r="G1320" s="123" t="s">
        <v>247</v>
      </c>
      <c r="H1320" s="123">
        <v>4400.0</v>
      </c>
      <c r="I1320" s="33" t="s">
        <v>512</v>
      </c>
      <c r="J1320" s="33" t="s">
        <v>513</v>
      </c>
      <c r="K1320" s="33">
        <v>6.0</v>
      </c>
      <c r="L1320" s="124" t="s">
        <v>9555</v>
      </c>
      <c r="M1320" s="31"/>
    </row>
    <row r="1321" hidden="1">
      <c r="A1321" s="33" t="s">
        <v>9551</v>
      </c>
      <c r="B1321" s="122">
        <v>45855.0</v>
      </c>
      <c r="C1321" s="33">
        <v>8.07000032402E11</v>
      </c>
      <c r="D1321" s="33" t="s">
        <v>9552</v>
      </c>
      <c r="E1321" s="33" t="s">
        <v>9553</v>
      </c>
      <c r="F1321" s="123" t="s">
        <v>9554</v>
      </c>
      <c r="G1321" s="123" t="s">
        <v>247</v>
      </c>
      <c r="H1321" s="123">
        <v>4400.0</v>
      </c>
      <c r="I1321" s="33" t="s">
        <v>25</v>
      </c>
      <c r="J1321" s="33" t="s">
        <v>3401</v>
      </c>
      <c r="K1321" s="33">
        <v>1.0</v>
      </c>
      <c r="L1321" s="124" t="s">
        <v>9555</v>
      </c>
      <c r="M1321" s="31"/>
    </row>
    <row r="1322" hidden="1">
      <c r="A1322" s="33" t="s">
        <v>9556</v>
      </c>
      <c r="B1322" s="122">
        <v>45855.0</v>
      </c>
      <c r="C1322" s="33">
        <v>8.07000032399E11</v>
      </c>
      <c r="D1322" s="33" t="s">
        <v>9557</v>
      </c>
      <c r="E1322" s="33" t="s">
        <v>9558</v>
      </c>
      <c r="F1322" s="123" t="s">
        <v>9559</v>
      </c>
      <c r="G1322" s="123" t="s">
        <v>247</v>
      </c>
      <c r="H1322" s="123">
        <v>4400.0</v>
      </c>
      <c r="I1322" s="33" t="s">
        <v>512</v>
      </c>
      <c r="J1322" s="33" t="s">
        <v>513</v>
      </c>
      <c r="K1322" s="33">
        <v>12.0</v>
      </c>
      <c r="L1322" s="124" t="s">
        <v>9560</v>
      </c>
      <c r="M1322" s="31"/>
    </row>
    <row r="1323" hidden="1">
      <c r="A1323" s="33" t="s">
        <v>9556</v>
      </c>
      <c r="B1323" s="122">
        <v>45855.0</v>
      </c>
      <c r="C1323" s="33">
        <v>8.070000324E11</v>
      </c>
      <c r="D1323" s="33" t="s">
        <v>9557</v>
      </c>
      <c r="E1323" s="33" t="s">
        <v>9558</v>
      </c>
      <c r="F1323" s="123" t="s">
        <v>9559</v>
      </c>
      <c r="G1323" s="123" t="s">
        <v>247</v>
      </c>
      <c r="H1323" s="123">
        <v>4400.0</v>
      </c>
      <c r="I1323" s="33" t="s">
        <v>2537</v>
      </c>
      <c r="J1323" s="33" t="s">
        <v>3955</v>
      </c>
      <c r="K1323" s="33">
        <v>1.0</v>
      </c>
      <c r="L1323" s="124" t="s">
        <v>9560</v>
      </c>
      <c r="M1323" s="31"/>
    </row>
    <row r="1324" hidden="1">
      <c r="A1324" s="33" t="s">
        <v>9556</v>
      </c>
      <c r="B1324" s="122">
        <v>45855.0</v>
      </c>
      <c r="C1324" s="33">
        <v>8.070000324E11</v>
      </c>
      <c r="D1324" s="33" t="s">
        <v>9557</v>
      </c>
      <c r="E1324" s="33" t="s">
        <v>9558</v>
      </c>
      <c r="F1324" s="123" t="s">
        <v>9559</v>
      </c>
      <c r="G1324" s="123" t="s">
        <v>247</v>
      </c>
      <c r="H1324" s="123">
        <v>4400.0</v>
      </c>
      <c r="I1324" s="33" t="s">
        <v>340</v>
      </c>
      <c r="J1324" s="33" t="s">
        <v>3486</v>
      </c>
      <c r="K1324" s="33">
        <v>2.0</v>
      </c>
      <c r="L1324" s="124" t="s">
        <v>9560</v>
      </c>
      <c r="M1324" s="31"/>
    </row>
    <row r="1325" hidden="1">
      <c r="A1325" s="33" t="s">
        <v>9556</v>
      </c>
      <c r="B1325" s="122">
        <v>45855.0</v>
      </c>
      <c r="C1325" s="33">
        <v>8.07000032401E11</v>
      </c>
      <c r="D1325" s="33" t="s">
        <v>9557</v>
      </c>
      <c r="E1325" s="33" t="s">
        <v>9558</v>
      </c>
      <c r="F1325" s="123" t="s">
        <v>9559</v>
      </c>
      <c r="G1325" s="123" t="s">
        <v>247</v>
      </c>
      <c r="H1325" s="123">
        <v>4400.0</v>
      </c>
      <c r="I1325" s="33">
        <v>208501.0</v>
      </c>
      <c r="J1325" s="33" t="s">
        <v>481</v>
      </c>
      <c r="K1325" s="33">
        <v>2.0</v>
      </c>
      <c r="L1325" s="124" t="s">
        <v>9560</v>
      </c>
      <c r="M1325" s="31"/>
    </row>
    <row r="1326" hidden="1">
      <c r="A1326" s="33" t="s">
        <v>9561</v>
      </c>
      <c r="B1326" s="122">
        <v>45855.0</v>
      </c>
      <c r="C1326" s="33">
        <v>8.07000032398E11</v>
      </c>
      <c r="D1326" s="33" t="s">
        <v>9562</v>
      </c>
      <c r="E1326" s="33" t="s">
        <v>9563</v>
      </c>
      <c r="F1326" s="123" t="s">
        <v>9564</v>
      </c>
      <c r="G1326" s="123" t="s">
        <v>247</v>
      </c>
      <c r="H1326" s="123">
        <v>4400.0</v>
      </c>
      <c r="I1326" s="33" t="s">
        <v>3025</v>
      </c>
      <c r="J1326" s="33" t="s">
        <v>3493</v>
      </c>
      <c r="K1326" s="33">
        <v>1.0</v>
      </c>
      <c r="L1326" s="124" t="s">
        <v>9565</v>
      </c>
      <c r="M1326" s="31"/>
    </row>
    <row r="1327" hidden="1">
      <c r="A1327" s="33" t="s">
        <v>9566</v>
      </c>
      <c r="B1327" s="122">
        <v>45855.0</v>
      </c>
      <c r="C1327" s="33">
        <v>8.07000032391E11</v>
      </c>
      <c r="D1327" s="33" t="s">
        <v>9567</v>
      </c>
      <c r="E1327" s="33" t="s">
        <v>9568</v>
      </c>
      <c r="F1327" s="123" t="s">
        <v>9569</v>
      </c>
      <c r="G1327" s="123" t="s">
        <v>247</v>
      </c>
      <c r="H1327" s="123">
        <v>4400.0</v>
      </c>
      <c r="I1327" s="33" t="s">
        <v>3074</v>
      </c>
      <c r="J1327" s="33" t="s">
        <v>3232</v>
      </c>
      <c r="K1327" s="33">
        <v>1.0</v>
      </c>
      <c r="L1327" s="124" t="s">
        <v>9570</v>
      </c>
      <c r="M1327" s="31"/>
    </row>
    <row r="1328" hidden="1">
      <c r="A1328" s="33" t="s">
        <v>9566</v>
      </c>
      <c r="B1328" s="122">
        <v>45855.0</v>
      </c>
      <c r="C1328" s="33">
        <v>8.07000032391E11</v>
      </c>
      <c r="D1328" s="33" t="s">
        <v>9567</v>
      </c>
      <c r="E1328" s="33" t="s">
        <v>9568</v>
      </c>
      <c r="F1328" s="123" t="s">
        <v>9569</v>
      </c>
      <c r="G1328" s="123" t="s">
        <v>247</v>
      </c>
      <c r="H1328" s="123">
        <v>4400.0</v>
      </c>
      <c r="I1328" s="33" t="s">
        <v>512</v>
      </c>
      <c r="J1328" s="33" t="s">
        <v>513</v>
      </c>
      <c r="K1328" s="33">
        <v>6.0</v>
      </c>
      <c r="L1328" s="124" t="s">
        <v>9570</v>
      </c>
      <c r="M1328" s="31"/>
    </row>
    <row r="1329" hidden="1">
      <c r="A1329" s="33" t="s">
        <v>9566</v>
      </c>
      <c r="B1329" s="122">
        <v>45855.0</v>
      </c>
      <c r="C1329" s="33">
        <v>8.07000032391E11</v>
      </c>
      <c r="D1329" s="33" t="s">
        <v>9567</v>
      </c>
      <c r="E1329" s="33" t="s">
        <v>9568</v>
      </c>
      <c r="F1329" s="123" t="s">
        <v>9569</v>
      </c>
      <c r="G1329" s="204" t="s">
        <v>247</v>
      </c>
      <c r="H1329" s="123">
        <v>4400.0</v>
      </c>
      <c r="I1329" s="33" t="s">
        <v>670</v>
      </c>
      <c r="J1329" s="33" t="s">
        <v>3410</v>
      </c>
      <c r="K1329" s="33">
        <v>1.0</v>
      </c>
      <c r="L1329" s="124" t="s">
        <v>9570</v>
      </c>
      <c r="M1329" s="31"/>
    </row>
    <row r="1330" hidden="1">
      <c r="A1330" s="125" t="s">
        <v>9571</v>
      </c>
      <c r="B1330" s="126">
        <v>45856.0</v>
      </c>
      <c r="C1330" s="125">
        <v>8.0700003232E11</v>
      </c>
      <c r="D1330" s="125" t="s">
        <v>9572</v>
      </c>
      <c r="E1330" s="125" t="s">
        <v>9573</v>
      </c>
      <c r="F1330" s="186" t="s">
        <v>9574</v>
      </c>
      <c r="G1330" s="127" t="s">
        <v>247</v>
      </c>
      <c r="H1330" s="187">
        <v>4400.0</v>
      </c>
      <c r="I1330" s="125" t="s">
        <v>659</v>
      </c>
      <c r="J1330" s="125" t="s">
        <v>3468</v>
      </c>
      <c r="K1330" s="125">
        <v>1.0</v>
      </c>
      <c r="L1330" s="129" t="s">
        <v>9575</v>
      </c>
      <c r="M1330" s="136"/>
      <c r="N1330" s="179"/>
      <c r="O1330" s="179"/>
      <c r="P1330" s="179"/>
      <c r="Q1330" s="179"/>
      <c r="R1330" s="179"/>
      <c r="S1330" s="179"/>
      <c r="T1330" s="179"/>
      <c r="U1330" s="179"/>
      <c r="V1330" s="179"/>
      <c r="W1330" s="179"/>
      <c r="X1330" s="179"/>
      <c r="Y1330" s="179"/>
      <c r="Z1330" s="179"/>
      <c r="AA1330" s="179"/>
      <c r="AB1330" s="179"/>
      <c r="AC1330" s="179"/>
    </row>
    <row r="1331" hidden="1">
      <c r="A1331" s="131" t="s">
        <v>9576</v>
      </c>
      <c r="B1331" s="132">
        <v>45859.0</v>
      </c>
      <c r="C1331" s="131">
        <v>8.07000032226E11</v>
      </c>
      <c r="D1331" s="131" t="s">
        <v>9577</v>
      </c>
      <c r="E1331" s="131" t="s">
        <v>9578</v>
      </c>
      <c r="F1331" s="212" t="s">
        <v>9579</v>
      </c>
      <c r="G1331" s="133" t="s">
        <v>247</v>
      </c>
      <c r="H1331" s="133">
        <v>4400.0</v>
      </c>
      <c r="I1331" s="131" t="s">
        <v>7558</v>
      </c>
      <c r="J1331" s="131" t="s">
        <v>9580</v>
      </c>
      <c r="K1331" s="131">
        <v>1.0</v>
      </c>
      <c r="L1331" s="134" t="s">
        <v>9581</v>
      </c>
      <c r="M1331" s="135"/>
    </row>
    <row r="1332" hidden="1">
      <c r="A1332" s="131" t="s">
        <v>9576</v>
      </c>
      <c r="B1332" s="132">
        <v>45859.0</v>
      </c>
      <c r="C1332" s="33">
        <v>8.07000032226E11</v>
      </c>
      <c r="D1332" s="33" t="s">
        <v>9577</v>
      </c>
      <c r="E1332" s="33" t="s">
        <v>9578</v>
      </c>
      <c r="F1332" s="212" t="s">
        <v>9579</v>
      </c>
      <c r="G1332" s="123" t="s">
        <v>247</v>
      </c>
      <c r="H1332" s="123">
        <v>4400.0</v>
      </c>
      <c r="I1332" s="33" t="s">
        <v>512</v>
      </c>
      <c r="J1332" s="33" t="s">
        <v>513</v>
      </c>
      <c r="K1332" s="33">
        <v>12.0</v>
      </c>
      <c r="L1332" s="134" t="s">
        <v>9581</v>
      </c>
      <c r="M1332" s="31"/>
    </row>
    <row r="1333" hidden="1">
      <c r="A1333" s="131" t="s">
        <v>9576</v>
      </c>
      <c r="B1333" s="132">
        <v>45859.0</v>
      </c>
      <c r="C1333" s="33">
        <v>8.07000032226E11</v>
      </c>
      <c r="D1333" s="33" t="s">
        <v>9577</v>
      </c>
      <c r="E1333" s="33" t="s">
        <v>9578</v>
      </c>
      <c r="F1333" s="212" t="s">
        <v>9579</v>
      </c>
      <c r="G1333" s="123" t="s">
        <v>247</v>
      </c>
      <c r="H1333" s="123">
        <v>4400.0</v>
      </c>
      <c r="I1333" s="33" t="s">
        <v>772</v>
      </c>
      <c r="J1333" s="33" t="s">
        <v>3363</v>
      </c>
      <c r="K1333" s="33">
        <v>2.0</v>
      </c>
      <c r="L1333" s="134" t="s">
        <v>9581</v>
      </c>
      <c r="M1333" s="31"/>
    </row>
    <row r="1334" hidden="1">
      <c r="A1334" s="131" t="s">
        <v>9582</v>
      </c>
      <c r="B1334" s="132">
        <v>45859.0</v>
      </c>
      <c r="C1334" s="33">
        <v>8.07000032414E11</v>
      </c>
      <c r="D1334" s="33" t="s">
        <v>9583</v>
      </c>
      <c r="E1334" s="33" t="s">
        <v>9584</v>
      </c>
      <c r="F1334" s="123" t="s">
        <v>9585</v>
      </c>
      <c r="G1334" s="123" t="s">
        <v>247</v>
      </c>
      <c r="H1334" s="123">
        <v>4400.0</v>
      </c>
      <c r="I1334" s="33" t="s">
        <v>50</v>
      </c>
      <c r="J1334" s="33" t="s">
        <v>51</v>
      </c>
      <c r="K1334" s="33">
        <v>1.0</v>
      </c>
      <c r="L1334" s="124" t="s">
        <v>9586</v>
      </c>
      <c r="M1334" s="31"/>
    </row>
    <row r="1335" hidden="1">
      <c r="A1335" s="131" t="s">
        <v>9582</v>
      </c>
      <c r="B1335" s="132">
        <v>45859.0</v>
      </c>
      <c r="C1335" s="33">
        <v>8.07000032414E11</v>
      </c>
      <c r="D1335" s="33" t="s">
        <v>9583</v>
      </c>
      <c r="E1335" s="33" t="s">
        <v>9584</v>
      </c>
      <c r="F1335" s="123" t="s">
        <v>9585</v>
      </c>
      <c r="G1335" s="123" t="s">
        <v>247</v>
      </c>
      <c r="H1335" s="123">
        <v>4400.0</v>
      </c>
      <c r="I1335" s="33" t="s">
        <v>25</v>
      </c>
      <c r="J1335" s="33" t="s">
        <v>3401</v>
      </c>
      <c r="K1335" s="33">
        <v>1.0</v>
      </c>
      <c r="L1335" s="124" t="s">
        <v>9586</v>
      </c>
      <c r="M1335" s="31"/>
    </row>
    <row r="1336" hidden="1">
      <c r="A1336" s="33" t="s">
        <v>9587</v>
      </c>
      <c r="B1336" s="132">
        <v>45859.0</v>
      </c>
      <c r="C1336" s="33">
        <v>8.07000032423E11</v>
      </c>
      <c r="D1336" s="33" t="s">
        <v>9588</v>
      </c>
      <c r="E1336" s="33" t="s">
        <v>9589</v>
      </c>
      <c r="F1336" s="123" t="s">
        <v>9590</v>
      </c>
      <c r="G1336" s="123" t="s">
        <v>247</v>
      </c>
      <c r="H1336" s="123">
        <v>4400.0</v>
      </c>
      <c r="I1336" s="33" t="s">
        <v>561</v>
      </c>
      <c r="J1336" s="33" t="s">
        <v>8209</v>
      </c>
      <c r="K1336" s="33">
        <v>1.0</v>
      </c>
      <c r="L1336" s="124" t="s">
        <v>9591</v>
      </c>
      <c r="M1336" s="31"/>
    </row>
    <row r="1337" hidden="1">
      <c r="A1337" s="33" t="s">
        <v>9592</v>
      </c>
      <c r="B1337" s="132">
        <v>45859.0</v>
      </c>
      <c r="C1337" s="33">
        <v>8.07000032427E11</v>
      </c>
      <c r="D1337" s="33" t="s">
        <v>9588</v>
      </c>
      <c r="E1337" s="33" t="s">
        <v>9589</v>
      </c>
      <c r="F1337" s="123" t="s">
        <v>9590</v>
      </c>
      <c r="G1337" s="123" t="s">
        <v>247</v>
      </c>
      <c r="H1337" s="123">
        <v>4400.0</v>
      </c>
      <c r="I1337" s="33" t="s">
        <v>35</v>
      </c>
      <c r="J1337" s="33" t="s">
        <v>3188</v>
      </c>
      <c r="K1337" s="33">
        <v>1.0</v>
      </c>
      <c r="L1337" s="124" t="s">
        <v>9591</v>
      </c>
      <c r="M1337" s="31"/>
    </row>
    <row r="1338" hidden="1">
      <c r="A1338" s="33" t="s">
        <v>9593</v>
      </c>
      <c r="B1338" s="132">
        <v>45859.0</v>
      </c>
      <c r="C1338" s="33">
        <v>8.07000032432E11</v>
      </c>
      <c r="D1338" s="33" t="s">
        <v>9594</v>
      </c>
      <c r="E1338" s="33" t="s">
        <v>9595</v>
      </c>
      <c r="F1338" s="123" t="s">
        <v>9596</v>
      </c>
      <c r="G1338" s="123" t="s">
        <v>247</v>
      </c>
      <c r="H1338" s="123">
        <v>4400.0</v>
      </c>
      <c r="I1338" s="33" t="s">
        <v>512</v>
      </c>
      <c r="J1338" s="33" t="s">
        <v>513</v>
      </c>
      <c r="K1338" s="33">
        <v>12.0</v>
      </c>
      <c r="L1338" s="124" t="s">
        <v>9597</v>
      </c>
      <c r="M1338" s="31"/>
    </row>
    <row r="1339" hidden="1">
      <c r="A1339" s="33" t="s">
        <v>9593</v>
      </c>
      <c r="B1339" s="132">
        <v>45859.0</v>
      </c>
      <c r="C1339" s="33">
        <v>8.07000032433E11</v>
      </c>
      <c r="D1339" s="33" t="s">
        <v>9594</v>
      </c>
      <c r="E1339" s="33" t="s">
        <v>9595</v>
      </c>
      <c r="F1339" s="123" t="s">
        <v>9596</v>
      </c>
      <c r="G1339" s="123" t="s">
        <v>247</v>
      </c>
      <c r="H1339" s="123">
        <v>4400.0</v>
      </c>
      <c r="I1339" s="33" t="s">
        <v>344</v>
      </c>
      <c r="J1339" s="33" t="s">
        <v>8884</v>
      </c>
      <c r="K1339" s="33">
        <v>1.0</v>
      </c>
      <c r="L1339" s="124" t="s">
        <v>9597</v>
      </c>
      <c r="M1339" s="31"/>
    </row>
    <row r="1340" hidden="1">
      <c r="A1340" s="33" t="s">
        <v>9593</v>
      </c>
      <c r="B1340" s="132">
        <v>45859.0</v>
      </c>
      <c r="C1340" s="33">
        <v>8.07000032433E11</v>
      </c>
      <c r="D1340" s="33" t="s">
        <v>9594</v>
      </c>
      <c r="E1340" s="33" t="s">
        <v>9595</v>
      </c>
      <c r="F1340" s="123" t="s">
        <v>9596</v>
      </c>
      <c r="G1340" s="123" t="s">
        <v>247</v>
      </c>
      <c r="H1340" s="123">
        <v>4400.0</v>
      </c>
      <c r="I1340" s="33" t="s">
        <v>340</v>
      </c>
      <c r="J1340" s="33" t="s">
        <v>3486</v>
      </c>
      <c r="K1340" s="33">
        <v>2.0</v>
      </c>
      <c r="L1340" s="124" t="s">
        <v>9597</v>
      </c>
      <c r="M1340" s="31"/>
    </row>
    <row r="1341" hidden="1">
      <c r="A1341" s="33" t="s">
        <v>9598</v>
      </c>
      <c r="B1341" s="132">
        <v>45859.0</v>
      </c>
      <c r="C1341" s="33">
        <v>8.07000032438E11</v>
      </c>
      <c r="D1341" s="33" t="s">
        <v>9599</v>
      </c>
      <c r="E1341" s="33" t="s">
        <v>9600</v>
      </c>
      <c r="F1341" s="123" t="s">
        <v>9601</v>
      </c>
      <c r="G1341" s="123" t="s">
        <v>247</v>
      </c>
      <c r="H1341" s="123">
        <v>4400.0</v>
      </c>
      <c r="I1341" s="33" t="s">
        <v>512</v>
      </c>
      <c r="J1341" s="33" t="s">
        <v>513</v>
      </c>
      <c r="K1341" s="33">
        <v>12.0</v>
      </c>
      <c r="L1341" s="124" t="s">
        <v>9602</v>
      </c>
      <c r="M1341" s="31"/>
    </row>
    <row r="1342" hidden="1">
      <c r="A1342" s="33" t="s">
        <v>9598</v>
      </c>
      <c r="B1342" s="132">
        <v>45859.0</v>
      </c>
      <c r="C1342" s="33">
        <v>8.0700003244E11</v>
      </c>
      <c r="D1342" s="33" t="s">
        <v>9599</v>
      </c>
      <c r="E1342" s="33" t="s">
        <v>9600</v>
      </c>
      <c r="F1342" s="123" t="s">
        <v>9601</v>
      </c>
      <c r="G1342" s="123" t="s">
        <v>247</v>
      </c>
      <c r="H1342" s="123">
        <v>4400.0</v>
      </c>
      <c r="I1342" s="33" t="s">
        <v>3334</v>
      </c>
      <c r="J1342" s="33" t="s">
        <v>3575</v>
      </c>
      <c r="K1342" s="33">
        <v>1.0</v>
      </c>
      <c r="L1342" s="124" t="s">
        <v>9602</v>
      </c>
      <c r="M1342" s="31"/>
    </row>
    <row r="1343" hidden="1">
      <c r="A1343" s="33" t="s">
        <v>9598</v>
      </c>
      <c r="B1343" s="132">
        <v>45859.0</v>
      </c>
      <c r="C1343" s="33">
        <v>8.0700003244E11</v>
      </c>
      <c r="D1343" s="33" t="s">
        <v>9599</v>
      </c>
      <c r="E1343" s="33" t="s">
        <v>9600</v>
      </c>
      <c r="F1343" s="123" t="s">
        <v>9601</v>
      </c>
      <c r="G1343" s="123" t="s">
        <v>247</v>
      </c>
      <c r="H1343" s="123">
        <v>4400.0</v>
      </c>
      <c r="I1343" s="33" t="s">
        <v>758</v>
      </c>
      <c r="J1343" s="33" t="s">
        <v>3574</v>
      </c>
      <c r="K1343" s="33">
        <v>2.0</v>
      </c>
      <c r="L1343" s="124" t="s">
        <v>9602</v>
      </c>
      <c r="M1343" s="31"/>
    </row>
    <row r="1344" hidden="1">
      <c r="A1344" s="33" t="s">
        <v>9603</v>
      </c>
      <c r="B1344" s="132">
        <v>45859.0</v>
      </c>
      <c r="C1344" s="33">
        <v>8.07000032444E11</v>
      </c>
      <c r="D1344" s="33" t="s">
        <v>9604</v>
      </c>
      <c r="E1344" s="33" t="s">
        <v>9605</v>
      </c>
      <c r="F1344" s="123" t="s">
        <v>9606</v>
      </c>
      <c r="G1344" s="123" t="s">
        <v>376</v>
      </c>
      <c r="H1344" s="123">
        <v>4421.0</v>
      </c>
      <c r="I1344" s="33" t="s">
        <v>512</v>
      </c>
      <c r="J1344" s="33" t="s">
        <v>513</v>
      </c>
      <c r="K1344" s="33">
        <v>6.0</v>
      </c>
      <c r="L1344" s="124" t="s">
        <v>9607</v>
      </c>
      <c r="M1344" s="31"/>
    </row>
    <row r="1345" hidden="1">
      <c r="A1345" s="33" t="s">
        <v>9603</v>
      </c>
      <c r="B1345" s="132">
        <v>45859.0</v>
      </c>
      <c r="C1345" s="33">
        <v>8.07000032445E11</v>
      </c>
      <c r="D1345" s="33" t="s">
        <v>9604</v>
      </c>
      <c r="E1345" s="33" t="s">
        <v>9605</v>
      </c>
      <c r="F1345" s="123" t="s">
        <v>9606</v>
      </c>
      <c r="G1345" s="123" t="s">
        <v>376</v>
      </c>
      <c r="H1345" s="123">
        <v>4421.0</v>
      </c>
      <c r="I1345" s="33" t="s">
        <v>4976</v>
      </c>
      <c r="J1345" s="33" t="s">
        <v>4977</v>
      </c>
      <c r="K1345" s="33">
        <v>1.0</v>
      </c>
      <c r="L1345" s="124" t="s">
        <v>9607</v>
      </c>
      <c r="M1345" s="31"/>
    </row>
    <row r="1346" hidden="1">
      <c r="A1346" s="33" t="s">
        <v>9603</v>
      </c>
      <c r="B1346" s="132">
        <v>45859.0</v>
      </c>
      <c r="C1346" s="33">
        <v>8.07000032445E11</v>
      </c>
      <c r="D1346" s="33" t="s">
        <v>9604</v>
      </c>
      <c r="E1346" s="33" t="s">
        <v>9605</v>
      </c>
      <c r="F1346" s="123" t="s">
        <v>9606</v>
      </c>
      <c r="G1346" s="123" t="s">
        <v>376</v>
      </c>
      <c r="H1346" s="123">
        <v>4421.0</v>
      </c>
      <c r="I1346" s="33" t="s">
        <v>35</v>
      </c>
      <c r="J1346" s="33" t="s">
        <v>3188</v>
      </c>
      <c r="K1346" s="33">
        <v>1.0</v>
      </c>
      <c r="L1346" s="124" t="s">
        <v>9607</v>
      </c>
      <c r="M1346" s="31"/>
    </row>
    <row r="1347" hidden="1">
      <c r="A1347" s="33" t="s">
        <v>9608</v>
      </c>
      <c r="B1347" s="132">
        <v>45859.0</v>
      </c>
      <c r="C1347" s="33">
        <v>8.07000032448E11</v>
      </c>
      <c r="D1347" s="33" t="s">
        <v>9609</v>
      </c>
      <c r="E1347" s="33" t="s">
        <v>9610</v>
      </c>
      <c r="F1347" s="123" t="s">
        <v>9611</v>
      </c>
      <c r="G1347" s="123" t="s">
        <v>9396</v>
      </c>
      <c r="H1347" s="123">
        <v>4407.0</v>
      </c>
      <c r="I1347" s="33" t="s">
        <v>32</v>
      </c>
      <c r="J1347" s="33" t="s">
        <v>3225</v>
      </c>
      <c r="K1347" s="33">
        <v>1.0</v>
      </c>
      <c r="L1347" s="124" t="s">
        <v>9612</v>
      </c>
      <c r="M1347" s="31"/>
    </row>
    <row r="1348" hidden="1">
      <c r="A1348" s="33" t="s">
        <v>9613</v>
      </c>
      <c r="B1348" s="132">
        <v>45859.0</v>
      </c>
      <c r="C1348" s="33">
        <v>8.07000032452E11</v>
      </c>
      <c r="D1348" s="33" t="s">
        <v>9614</v>
      </c>
      <c r="E1348" s="33" t="s">
        <v>9615</v>
      </c>
      <c r="F1348" s="123" t="s">
        <v>9616</v>
      </c>
      <c r="G1348" s="123" t="s">
        <v>247</v>
      </c>
      <c r="H1348" s="123">
        <v>4400.0</v>
      </c>
      <c r="I1348" s="33" t="s">
        <v>7091</v>
      </c>
      <c r="J1348" s="33" t="s">
        <v>8280</v>
      </c>
      <c r="K1348" s="33">
        <v>2.0</v>
      </c>
      <c r="L1348" s="124" t="s">
        <v>9617</v>
      </c>
      <c r="M1348" s="31"/>
    </row>
    <row r="1349" hidden="1">
      <c r="A1349" s="33" t="s">
        <v>9618</v>
      </c>
      <c r="B1349" s="132">
        <v>45859.0</v>
      </c>
      <c r="C1349" s="33">
        <v>8.07000032453E11</v>
      </c>
      <c r="D1349" s="33" t="s">
        <v>9614</v>
      </c>
      <c r="E1349" s="33" t="s">
        <v>9615</v>
      </c>
      <c r="F1349" s="123" t="s">
        <v>9616</v>
      </c>
      <c r="G1349" s="123" t="s">
        <v>247</v>
      </c>
      <c r="H1349" s="123">
        <v>4400.0</v>
      </c>
      <c r="I1349" s="33" t="s">
        <v>7088</v>
      </c>
      <c r="J1349" s="33" t="s">
        <v>8278</v>
      </c>
      <c r="K1349" s="33">
        <v>1.0</v>
      </c>
      <c r="L1349" s="124" t="s">
        <v>9617</v>
      </c>
      <c r="M1349" s="31"/>
    </row>
    <row r="1350" hidden="1">
      <c r="A1350" s="33" t="s">
        <v>9619</v>
      </c>
      <c r="B1350" s="132">
        <v>45859.0</v>
      </c>
      <c r="C1350" s="33">
        <v>8.07000032454E11</v>
      </c>
      <c r="D1350" s="33" t="s">
        <v>9620</v>
      </c>
      <c r="E1350" s="33" t="s">
        <v>9621</v>
      </c>
      <c r="F1350" s="123" t="s">
        <v>9622</v>
      </c>
      <c r="G1350" s="123" t="s">
        <v>247</v>
      </c>
      <c r="H1350" s="123">
        <v>4400.0</v>
      </c>
      <c r="I1350" s="33" t="s">
        <v>812</v>
      </c>
      <c r="J1350" s="33" t="s">
        <v>3564</v>
      </c>
      <c r="K1350" s="33">
        <v>1.0</v>
      </c>
      <c r="L1350" s="124" t="s">
        <v>9623</v>
      </c>
      <c r="M1350" s="31"/>
    </row>
    <row r="1351" hidden="1">
      <c r="A1351" s="33" t="s">
        <v>9624</v>
      </c>
      <c r="B1351" s="132">
        <v>45859.0</v>
      </c>
      <c r="C1351" s="33">
        <v>8.07000032455E11</v>
      </c>
      <c r="D1351" s="33" t="s">
        <v>9620</v>
      </c>
      <c r="E1351" s="33" t="s">
        <v>9621</v>
      </c>
      <c r="F1351" s="123" t="s">
        <v>9622</v>
      </c>
      <c r="G1351" s="123" t="s">
        <v>247</v>
      </c>
      <c r="H1351" s="123">
        <v>4400.0</v>
      </c>
      <c r="I1351" s="33" t="s">
        <v>812</v>
      </c>
      <c r="J1351" s="33" t="s">
        <v>3564</v>
      </c>
      <c r="K1351" s="33">
        <v>1.0</v>
      </c>
      <c r="L1351" s="124" t="s">
        <v>9623</v>
      </c>
      <c r="M1351" s="31"/>
    </row>
    <row r="1352" hidden="1">
      <c r="A1352" s="33" t="s">
        <v>9625</v>
      </c>
      <c r="B1352" s="132">
        <v>45859.0</v>
      </c>
      <c r="C1352" s="33">
        <v>8.07000032467E11</v>
      </c>
      <c r="D1352" s="33" t="s">
        <v>9626</v>
      </c>
      <c r="E1352" s="33" t="s">
        <v>9627</v>
      </c>
      <c r="F1352" s="123" t="s">
        <v>9628</v>
      </c>
      <c r="G1352" s="123" t="s">
        <v>247</v>
      </c>
      <c r="H1352" s="123">
        <v>4400.0</v>
      </c>
      <c r="I1352" s="33" t="s">
        <v>2233</v>
      </c>
      <c r="J1352" s="33" t="s">
        <v>4158</v>
      </c>
      <c r="K1352" s="33">
        <v>1.0</v>
      </c>
      <c r="L1352" s="124" t="s">
        <v>9629</v>
      </c>
      <c r="M1352" s="31"/>
    </row>
    <row r="1353" hidden="1">
      <c r="A1353" s="33" t="s">
        <v>9625</v>
      </c>
      <c r="B1353" s="132">
        <v>45859.0</v>
      </c>
      <c r="C1353" s="33">
        <v>8.07000032467E11</v>
      </c>
      <c r="D1353" s="33" t="s">
        <v>9626</v>
      </c>
      <c r="E1353" s="33" t="s">
        <v>9627</v>
      </c>
      <c r="F1353" s="123" t="s">
        <v>9628</v>
      </c>
      <c r="G1353" s="123" t="s">
        <v>247</v>
      </c>
      <c r="H1353" s="123">
        <v>4400.0</v>
      </c>
      <c r="I1353" s="33" t="s">
        <v>969</v>
      </c>
      <c r="J1353" s="33" t="s">
        <v>3296</v>
      </c>
      <c r="K1353" s="33">
        <v>1.0</v>
      </c>
      <c r="L1353" s="124" t="s">
        <v>9629</v>
      </c>
      <c r="M1353" s="31"/>
    </row>
    <row r="1354" hidden="1">
      <c r="A1354" s="33" t="s">
        <v>9625</v>
      </c>
      <c r="B1354" s="132">
        <v>45859.0</v>
      </c>
      <c r="C1354" s="33">
        <v>8.07000032468E11</v>
      </c>
      <c r="D1354" s="33" t="s">
        <v>9626</v>
      </c>
      <c r="E1354" s="33" t="s">
        <v>9627</v>
      </c>
      <c r="F1354" s="123" t="s">
        <v>9628</v>
      </c>
      <c r="G1354" s="123" t="s">
        <v>247</v>
      </c>
      <c r="H1354" s="123">
        <v>4400.0</v>
      </c>
      <c r="I1354" s="33">
        <v>125818.0</v>
      </c>
      <c r="J1354" s="33" t="s">
        <v>4334</v>
      </c>
      <c r="K1354" s="33">
        <v>2.0</v>
      </c>
      <c r="L1354" s="124" t="s">
        <v>9629</v>
      </c>
      <c r="M1354" s="31"/>
    </row>
    <row r="1355" hidden="1">
      <c r="A1355" s="33" t="s">
        <v>9630</v>
      </c>
      <c r="B1355" s="132">
        <v>45859.0</v>
      </c>
      <c r="C1355" s="33">
        <v>8.07000032471E11</v>
      </c>
      <c r="D1355" s="33" t="s">
        <v>9626</v>
      </c>
      <c r="E1355" s="33" t="s">
        <v>9627</v>
      </c>
      <c r="F1355" s="123" t="s">
        <v>9628</v>
      </c>
      <c r="G1355" s="123" t="s">
        <v>247</v>
      </c>
      <c r="H1355" s="123">
        <v>4400.0</v>
      </c>
      <c r="I1355" s="33" t="s">
        <v>2233</v>
      </c>
      <c r="J1355" s="33" t="s">
        <v>4158</v>
      </c>
      <c r="K1355" s="33">
        <v>1.0</v>
      </c>
      <c r="L1355" s="124" t="s">
        <v>9629</v>
      </c>
      <c r="M1355" s="31"/>
    </row>
    <row r="1356" hidden="1">
      <c r="A1356" s="33" t="s">
        <v>9630</v>
      </c>
      <c r="B1356" s="132">
        <v>45859.0</v>
      </c>
      <c r="C1356" s="33">
        <v>8.07000032471E11</v>
      </c>
      <c r="D1356" s="33" t="s">
        <v>9626</v>
      </c>
      <c r="E1356" s="33" t="s">
        <v>9627</v>
      </c>
      <c r="F1356" s="123" t="s">
        <v>9628</v>
      </c>
      <c r="G1356" s="123" t="s">
        <v>247</v>
      </c>
      <c r="H1356" s="123">
        <v>4400.0</v>
      </c>
      <c r="I1356" s="33" t="s">
        <v>969</v>
      </c>
      <c r="J1356" s="33" t="s">
        <v>3296</v>
      </c>
      <c r="K1356" s="33">
        <v>1.0</v>
      </c>
      <c r="L1356" s="124" t="s">
        <v>9629</v>
      </c>
      <c r="M1356" s="31"/>
    </row>
    <row r="1357" hidden="1">
      <c r="A1357" s="33" t="s">
        <v>9631</v>
      </c>
      <c r="B1357" s="132">
        <v>45859.0</v>
      </c>
      <c r="C1357" s="33">
        <v>8.07000032478E11</v>
      </c>
      <c r="D1357" s="33" t="s">
        <v>9632</v>
      </c>
      <c r="E1357" s="33" t="s">
        <v>9633</v>
      </c>
      <c r="F1357" s="123" t="s">
        <v>9634</v>
      </c>
      <c r="G1357" s="123" t="s">
        <v>247</v>
      </c>
      <c r="H1357" s="123">
        <v>4400.0</v>
      </c>
      <c r="I1357" s="33" t="s">
        <v>2412</v>
      </c>
      <c r="J1357" s="33" t="s">
        <v>2413</v>
      </c>
      <c r="K1357" s="33">
        <v>1.0</v>
      </c>
      <c r="L1357" s="124" t="s">
        <v>9635</v>
      </c>
      <c r="M1357" s="31"/>
    </row>
    <row r="1358" hidden="1">
      <c r="A1358" s="33" t="s">
        <v>9636</v>
      </c>
      <c r="B1358" s="132">
        <v>45859.0</v>
      </c>
      <c r="C1358" s="33">
        <v>8.07000032301E11</v>
      </c>
      <c r="D1358" s="33" t="s">
        <v>9637</v>
      </c>
      <c r="E1358" s="33" t="s">
        <v>9638</v>
      </c>
      <c r="F1358" s="213" t="s">
        <v>9579</v>
      </c>
      <c r="G1358" s="123" t="s">
        <v>5618</v>
      </c>
      <c r="H1358" s="123">
        <v>4400.0</v>
      </c>
      <c r="I1358" s="33" t="s">
        <v>2410</v>
      </c>
      <c r="J1358" s="33" t="s">
        <v>3860</v>
      </c>
      <c r="K1358" s="33">
        <v>1.0</v>
      </c>
      <c r="L1358" s="124" t="s">
        <v>9639</v>
      </c>
      <c r="M1358" s="31"/>
    </row>
    <row r="1359" hidden="1">
      <c r="A1359" s="33" t="s">
        <v>9636</v>
      </c>
      <c r="B1359" s="132">
        <v>45859.0</v>
      </c>
      <c r="C1359" s="33">
        <v>8.07000032301E11</v>
      </c>
      <c r="D1359" s="33" t="s">
        <v>9637</v>
      </c>
      <c r="E1359" s="33" t="s">
        <v>9638</v>
      </c>
      <c r="F1359" s="213" t="s">
        <v>9579</v>
      </c>
      <c r="G1359" s="123" t="s">
        <v>5618</v>
      </c>
      <c r="H1359" s="123">
        <v>4400.0</v>
      </c>
      <c r="I1359" s="33" t="s">
        <v>2412</v>
      </c>
      <c r="J1359" s="33" t="s">
        <v>2413</v>
      </c>
      <c r="K1359" s="33">
        <v>1.0</v>
      </c>
      <c r="L1359" s="124" t="s">
        <v>9639</v>
      </c>
      <c r="M1359" s="31"/>
    </row>
    <row r="1360" hidden="1">
      <c r="A1360" s="33" t="s">
        <v>9640</v>
      </c>
      <c r="B1360" s="132">
        <v>45859.0</v>
      </c>
      <c r="C1360" s="33">
        <v>8.07000032365E11</v>
      </c>
      <c r="D1360" s="33" t="s">
        <v>9641</v>
      </c>
      <c r="E1360" s="33" t="s">
        <v>9642</v>
      </c>
      <c r="F1360" s="123" t="s">
        <v>9643</v>
      </c>
      <c r="G1360" s="123" t="s">
        <v>247</v>
      </c>
      <c r="H1360" s="123">
        <v>4400.0</v>
      </c>
      <c r="I1360" s="33" t="s">
        <v>512</v>
      </c>
      <c r="J1360" s="33" t="s">
        <v>513</v>
      </c>
      <c r="K1360" s="33">
        <v>12.0</v>
      </c>
      <c r="L1360" s="124" t="s">
        <v>9644</v>
      </c>
      <c r="M1360" s="31"/>
    </row>
    <row r="1361" hidden="1">
      <c r="A1361" s="33" t="s">
        <v>9640</v>
      </c>
      <c r="B1361" s="132">
        <v>45859.0</v>
      </c>
      <c r="C1361" s="33">
        <v>8.07000032366E11</v>
      </c>
      <c r="D1361" s="33" t="s">
        <v>9641</v>
      </c>
      <c r="E1361" s="33" t="s">
        <v>9642</v>
      </c>
      <c r="F1361" s="123" t="s">
        <v>9643</v>
      </c>
      <c r="G1361" s="123" t="s">
        <v>247</v>
      </c>
      <c r="H1361" s="123">
        <v>4400.0</v>
      </c>
      <c r="I1361" s="33" t="s">
        <v>218</v>
      </c>
      <c r="J1361" s="33" t="s">
        <v>8664</v>
      </c>
      <c r="K1361" s="33">
        <v>1.0</v>
      </c>
      <c r="L1361" s="124" t="s">
        <v>9644</v>
      </c>
      <c r="M1361" s="31"/>
    </row>
    <row r="1362" hidden="1">
      <c r="A1362" s="33" t="s">
        <v>9640</v>
      </c>
      <c r="B1362" s="132">
        <v>45859.0</v>
      </c>
      <c r="C1362" s="33">
        <v>8.07000032366E11</v>
      </c>
      <c r="D1362" s="33" t="s">
        <v>9641</v>
      </c>
      <c r="E1362" s="33" t="s">
        <v>9642</v>
      </c>
      <c r="F1362" s="123" t="s">
        <v>9643</v>
      </c>
      <c r="G1362" s="123" t="s">
        <v>247</v>
      </c>
      <c r="H1362" s="123">
        <v>4400.0</v>
      </c>
      <c r="I1362" s="33" t="s">
        <v>121</v>
      </c>
      <c r="J1362" s="33" t="s">
        <v>3199</v>
      </c>
      <c r="K1362" s="33">
        <v>2.0</v>
      </c>
      <c r="L1362" s="124" t="s">
        <v>9644</v>
      </c>
      <c r="M1362" s="31"/>
    </row>
    <row r="1363" hidden="1">
      <c r="A1363" s="33" t="s">
        <v>9645</v>
      </c>
      <c r="B1363" s="132">
        <v>45859.0</v>
      </c>
      <c r="C1363" s="33">
        <v>8.07000032504E11</v>
      </c>
      <c r="D1363" s="33" t="s">
        <v>9646</v>
      </c>
      <c r="E1363" s="33" t="s">
        <v>9647</v>
      </c>
      <c r="F1363" s="123" t="s">
        <v>9648</v>
      </c>
      <c r="G1363" s="123" t="s">
        <v>247</v>
      </c>
      <c r="H1363" s="123">
        <v>4400.0</v>
      </c>
      <c r="I1363" s="33" t="s">
        <v>512</v>
      </c>
      <c r="J1363" s="33" t="s">
        <v>513</v>
      </c>
      <c r="K1363" s="33">
        <v>6.0</v>
      </c>
      <c r="L1363" s="124" t="s">
        <v>9649</v>
      </c>
      <c r="M1363" s="31"/>
    </row>
    <row r="1364" hidden="1">
      <c r="A1364" s="33" t="s">
        <v>9645</v>
      </c>
      <c r="B1364" s="132">
        <v>45859.0</v>
      </c>
      <c r="C1364" s="33">
        <v>8.07000032505E11</v>
      </c>
      <c r="D1364" s="33" t="s">
        <v>9646</v>
      </c>
      <c r="E1364" s="33" t="s">
        <v>9647</v>
      </c>
      <c r="F1364" s="123" t="s">
        <v>9648</v>
      </c>
      <c r="G1364" s="123" t="s">
        <v>247</v>
      </c>
      <c r="H1364" s="123">
        <v>4400.0</v>
      </c>
      <c r="I1364" s="33">
        <v>125813.0</v>
      </c>
      <c r="J1364" s="33" t="s">
        <v>5703</v>
      </c>
      <c r="K1364" s="33">
        <v>2.0</v>
      </c>
      <c r="L1364" s="124" t="s">
        <v>9649</v>
      </c>
      <c r="M1364" s="31"/>
    </row>
    <row r="1365" hidden="1">
      <c r="A1365" s="33" t="s">
        <v>9650</v>
      </c>
      <c r="B1365" s="132">
        <v>45859.0</v>
      </c>
      <c r="C1365" s="33">
        <v>8.07000032505E11</v>
      </c>
      <c r="D1365" s="33" t="s">
        <v>9646</v>
      </c>
      <c r="E1365" s="33" t="s">
        <v>9647</v>
      </c>
      <c r="F1365" s="123" t="s">
        <v>9648</v>
      </c>
      <c r="G1365" s="123" t="s">
        <v>247</v>
      </c>
      <c r="H1365" s="123">
        <v>4400.0</v>
      </c>
      <c r="I1365" s="33" t="s">
        <v>32</v>
      </c>
      <c r="J1365" s="33" t="s">
        <v>3225</v>
      </c>
      <c r="K1365" s="33">
        <v>1.0</v>
      </c>
      <c r="L1365" s="124" t="s">
        <v>9649</v>
      </c>
      <c r="M1365" s="31"/>
    </row>
    <row r="1366" hidden="1">
      <c r="A1366" s="33" t="s">
        <v>9650</v>
      </c>
      <c r="B1366" s="132">
        <v>45859.0</v>
      </c>
      <c r="C1366" s="33">
        <v>8.07000032505E11</v>
      </c>
      <c r="D1366" s="33" t="s">
        <v>9646</v>
      </c>
      <c r="E1366" s="33" t="s">
        <v>9647</v>
      </c>
      <c r="F1366" s="123" t="s">
        <v>9648</v>
      </c>
      <c r="G1366" s="123" t="s">
        <v>247</v>
      </c>
      <c r="H1366" s="123">
        <v>4400.0</v>
      </c>
      <c r="I1366" s="33" t="s">
        <v>670</v>
      </c>
      <c r="J1366" s="33" t="s">
        <v>3410</v>
      </c>
      <c r="K1366" s="33">
        <v>1.0</v>
      </c>
      <c r="L1366" s="124" t="s">
        <v>9649</v>
      </c>
      <c r="M1366" s="31"/>
    </row>
    <row r="1367" hidden="1">
      <c r="A1367" s="33" t="s">
        <v>9651</v>
      </c>
      <c r="B1367" s="132">
        <v>45859.0</v>
      </c>
      <c r="C1367" s="33">
        <v>8.07000032339E11</v>
      </c>
      <c r="D1367" s="33" t="s">
        <v>4614</v>
      </c>
      <c r="E1367" s="33" t="s">
        <v>4615</v>
      </c>
      <c r="F1367" s="123" t="s">
        <v>9652</v>
      </c>
      <c r="G1367" s="123" t="s">
        <v>9653</v>
      </c>
      <c r="H1367" s="123">
        <v>4401.0</v>
      </c>
      <c r="I1367" s="33" t="s">
        <v>9654</v>
      </c>
      <c r="J1367" s="33" t="s">
        <v>9655</v>
      </c>
      <c r="K1367" s="33">
        <v>1.0</v>
      </c>
      <c r="L1367" s="124" t="s">
        <v>7176</v>
      </c>
      <c r="M1367" s="31"/>
    </row>
    <row r="1368" hidden="1">
      <c r="A1368" s="33" t="s">
        <v>9656</v>
      </c>
      <c r="B1368" s="132">
        <v>45859.0</v>
      </c>
      <c r="C1368" s="33">
        <v>8.07000032461E11</v>
      </c>
      <c r="D1368" s="33" t="s">
        <v>9657</v>
      </c>
      <c r="E1368" s="33" t="s">
        <v>9658</v>
      </c>
      <c r="F1368" s="123" t="s">
        <v>9659</v>
      </c>
      <c r="G1368" s="123" t="s">
        <v>247</v>
      </c>
      <c r="H1368" s="123">
        <v>4400.0</v>
      </c>
      <c r="I1368" s="33" t="s">
        <v>3979</v>
      </c>
      <c r="J1368" s="33" t="s">
        <v>3980</v>
      </c>
      <c r="K1368" s="33">
        <v>1.0</v>
      </c>
      <c r="L1368" s="124" t="s">
        <v>9660</v>
      </c>
      <c r="M1368" s="31"/>
    </row>
    <row r="1369" hidden="1">
      <c r="A1369" s="33" t="s">
        <v>9656</v>
      </c>
      <c r="B1369" s="132">
        <v>45859.0</v>
      </c>
      <c r="C1369" s="33">
        <v>8.07000032461E11</v>
      </c>
      <c r="D1369" s="33" t="s">
        <v>9657</v>
      </c>
      <c r="E1369" s="33" t="s">
        <v>9658</v>
      </c>
      <c r="F1369" s="123" t="s">
        <v>9659</v>
      </c>
      <c r="G1369" s="123" t="s">
        <v>247</v>
      </c>
      <c r="H1369" s="123">
        <v>4400.0</v>
      </c>
      <c r="I1369" s="33" t="s">
        <v>758</v>
      </c>
      <c r="J1369" s="33" t="s">
        <v>3574</v>
      </c>
      <c r="K1369" s="33">
        <v>2.0</v>
      </c>
      <c r="L1369" s="124" t="s">
        <v>9660</v>
      </c>
      <c r="M1369" s="31"/>
    </row>
    <row r="1370" hidden="1">
      <c r="A1370" s="33" t="s">
        <v>9661</v>
      </c>
      <c r="B1370" s="132">
        <v>45859.0</v>
      </c>
      <c r="C1370" s="33">
        <v>8.07000032462E11</v>
      </c>
      <c r="D1370" s="33" t="s">
        <v>9657</v>
      </c>
      <c r="E1370" s="33" t="s">
        <v>9658</v>
      </c>
      <c r="F1370" s="123" t="s">
        <v>9659</v>
      </c>
      <c r="G1370" s="123" t="s">
        <v>247</v>
      </c>
      <c r="H1370" s="123">
        <v>4400.0</v>
      </c>
      <c r="I1370" s="33" t="s">
        <v>3074</v>
      </c>
      <c r="J1370" s="33" t="s">
        <v>3232</v>
      </c>
      <c r="K1370" s="33">
        <v>1.0</v>
      </c>
      <c r="L1370" s="124" t="s">
        <v>9660</v>
      </c>
      <c r="M1370" s="31"/>
    </row>
    <row r="1371" hidden="1">
      <c r="A1371" s="33" t="s">
        <v>9662</v>
      </c>
      <c r="B1371" s="132">
        <v>45859.0</v>
      </c>
      <c r="C1371" s="33">
        <v>8.07000032483E11</v>
      </c>
      <c r="D1371" s="33" t="s">
        <v>9663</v>
      </c>
      <c r="E1371" s="33" t="s">
        <v>9664</v>
      </c>
      <c r="F1371" s="123" t="s">
        <v>9665</v>
      </c>
      <c r="G1371" s="123" t="s">
        <v>247</v>
      </c>
      <c r="H1371" s="123">
        <v>4400.0</v>
      </c>
      <c r="I1371" s="33" t="s">
        <v>3313</v>
      </c>
      <c r="J1371" s="33" t="s">
        <v>3314</v>
      </c>
      <c r="K1371" s="33">
        <v>2.0</v>
      </c>
      <c r="L1371" s="124" t="s">
        <v>9666</v>
      </c>
      <c r="M1371" s="31"/>
    </row>
    <row r="1372" hidden="1">
      <c r="A1372" s="33" t="s">
        <v>9662</v>
      </c>
      <c r="B1372" s="132">
        <v>45859.0</v>
      </c>
      <c r="C1372" s="33">
        <v>8.07000032484E11</v>
      </c>
      <c r="D1372" s="33" t="s">
        <v>9663</v>
      </c>
      <c r="E1372" s="33" t="s">
        <v>9664</v>
      </c>
      <c r="F1372" s="123" t="s">
        <v>9665</v>
      </c>
      <c r="G1372" s="123" t="s">
        <v>247</v>
      </c>
      <c r="H1372" s="123">
        <v>4400.0</v>
      </c>
      <c r="I1372" s="33" t="s">
        <v>3797</v>
      </c>
      <c r="J1372" s="33" t="s">
        <v>3798</v>
      </c>
      <c r="K1372" s="33">
        <v>2.0</v>
      </c>
      <c r="L1372" s="124" t="s">
        <v>9666</v>
      </c>
      <c r="M1372" s="31"/>
    </row>
    <row r="1373" hidden="1">
      <c r="A1373" s="33" t="s">
        <v>9667</v>
      </c>
      <c r="B1373" s="132">
        <v>45859.0</v>
      </c>
      <c r="C1373" s="33">
        <v>8.0700003096E11</v>
      </c>
      <c r="D1373" s="33" t="s">
        <v>3560</v>
      </c>
      <c r="E1373" s="33" t="s">
        <v>3561</v>
      </c>
      <c r="F1373" s="123" t="s">
        <v>9668</v>
      </c>
      <c r="G1373" s="123" t="s">
        <v>247</v>
      </c>
      <c r="H1373" s="123">
        <v>4400.0</v>
      </c>
      <c r="I1373" s="33" t="s">
        <v>867</v>
      </c>
      <c r="J1373" s="33" t="s">
        <v>9669</v>
      </c>
      <c r="K1373" s="33">
        <v>1.0</v>
      </c>
      <c r="L1373" s="124" t="s">
        <v>9670</v>
      </c>
      <c r="M1373" s="31"/>
    </row>
    <row r="1374" hidden="1">
      <c r="A1374" s="33" t="s">
        <v>9667</v>
      </c>
      <c r="B1374" s="132">
        <v>45859.0</v>
      </c>
      <c r="C1374" s="33">
        <v>8.0700003096E11</v>
      </c>
      <c r="D1374" s="33" t="s">
        <v>3560</v>
      </c>
      <c r="E1374" s="33" t="s">
        <v>3561</v>
      </c>
      <c r="F1374" s="123" t="s">
        <v>9668</v>
      </c>
      <c r="G1374" s="123" t="s">
        <v>247</v>
      </c>
      <c r="H1374" s="123">
        <v>4400.0</v>
      </c>
      <c r="I1374" s="33" t="s">
        <v>512</v>
      </c>
      <c r="J1374" s="33" t="s">
        <v>513</v>
      </c>
      <c r="K1374" s="33">
        <v>12.0</v>
      </c>
      <c r="L1374" s="124" t="s">
        <v>9670</v>
      </c>
      <c r="M1374" s="31"/>
    </row>
    <row r="1375" hidden="1">
      <c r="A1375" s="33" t="s">
        <v>9667</v>
      </c>
      <c r="B1375" s="132">
        <v>45859.0</v>
      </c>
      <c r="C1375" s="33">
        <v>8.0700003096E11</v>
      </c>
      <c r="D1375" s="33" t="s">
        <v>3560</v>
      </c>
      <c r="E1375" s="33" t="s">
        <v>3561</v>
      </c>
      <c r="F1375" s="123" t="s">
        <v>9668</v>
      </c>
      <c r="G1375" s="123" t="s">
        <v>247</v>
      </c>
      <c r="H1375" s="123">
        <v>4400.0</v>
      </c>
      <c r="I1375" s="33" t="s">
        <v>340</v>
      </c>
      <c r="J1375" s="33" t="s">
        <v>3486</v>
      </c>
      <c r="K1375" s="33">
        <v>2.0</v>
      </c>
      <c r="L1375" s="124" t="s">
        <v>9670</v>
      </c>
      <c r="M1375" s="31"/>
    </row>
    <row r="1376" hidden="1">
      <c r="A1376" s="33" t="s">
        <v>9671</v>
      </c>
      <c r="B1376" s="132">
        <v>45859.0</v>
      </c>
      <c r="C1376" s="33">
        <v>8.07000032508E11</v>
      </c>
      <c r="D1376" s="33" t="s">
        <v>9672</v>
      </c>
      <c r="E1376" s="33" t="s">
        <v>9673</v>
      </c>
      <c r="F1376" s="123" t="s">
        <v>9674</v>
      </c>
      <c r="G1376" s="123" t="s">
        <v>247</v>
      </c>
      <c r="H1376" s="123">
        <v>4400.0</v>
      </c>
      <c r="I1376" s="33" t="s">
        <v>969</v>
      </c>
      <c r="J1376" s="33" t="s">
        <v>3296</v>
      </c>
      <c r="K1376" s="33">
        <v>1.0</v>
      </c>
      <c r="L1376" s="124" t="s">
        <v>9675</v>
      </c>
      <c r="M1376" s="31"/>
    </row>
    <row r="1377" hidden="1">
      <c r="A1377" s="33" t="s">
        <v>9676</v>
      </c>
      <c r="B1377" s="132">
        <v>45860.0</v>
      </c>
      <c r="C1377" s="33">
        <v>8.07000032516E11</v>
      </c>
      <c r="D1377" s="33" t="s">
        <v>9677</v>
      </c>
      <c r="E1377" s="33" t="s">
        <v>9678</v>
      </c>
      <c r="F1377" s="123" t="s">
        <v>9679</v>
      </c>
      <c r="G1377" s="123" t="s">
        <v>247</v>
      </c>
      <c r="H1377" s="123">
        <v>4400.0</v>
      </c>
      <c r="I1377" s="33" t="s">
        <v>1115</v>
      </c>
      <c r="J1377" s="33" t="s">
        <v>8215</v>
      </c>
      <c r="K1377" s="33">
        <v>1.0</v>
      </c>
      <c r="L1377" s="124" t="s">
        <v>9680</v>
      </c>
      <c r="M1377" s="31"/>
    </row>
    <row r="1378" hidden="1">
      <c r="A1378" s="33" t="s">
        <v>9676</v>
      </c>
      <c r="B1378" s="132">
        <v>45860.0</v>
      </c>
      <c r="C1378" s="33">
        <v>8.07000032516E11</v>
      </c>
      <c r="D1378" s="33" t="s">
        <v>9677</v>
      </c>
      <c r="E1378" s="33" t="s">
        <v>9678</v>
      </c>
      <c r="F1378" s="123" t="s">
        <v>9679</v>
      </c>
      <c r="G1378" s="123" t="s">
        <v>247</v>
      </c>
      <c r="H1378" s="123">
        <v>4400.0</v>
      </c>
      <c r="I1378" s="33" t="s">
        <v>340</v>
      </c>
      <c r="J1378" s="33" t="s">
        <v>3486</v>
      </c>
      <c r="K1378" s="33">
        <v>2.0</v>
      </c>
      <c r="L1378" s="124" t="s">
        <v>9680</v>
      </c>
      <c r="M1378" s="31"/>
    </row>
    <row r="1379" hidden="1">
      <c r="A1379" s="33" t="s">
        <v>9681</v>
      </c>
      <c r="B1379" s="132">
        <v>45860.0</v>
      </c>
      <c r="C1379" s="33">
        <v>8.07000032515E11</v>
      </c>
      <c r="D1379" s="33" t="s">
        <v>9677</v>
      </c>
      <c r="E1379" s="33" t="s">
        <v>9678</v>
      </c>
      <c r="F1379" s="123" t="s">
        <v>9679</v>
      </c>
      <c r="G1379" s="123" t="s">
        <v>247</v>
      </c>
      <c r="H1379" s="123">
        <v>4400.0</v>
      </c>
      <c r="I1379" s="33" t="s">
        <v>512</v>
      </c>
      <c r="J1379" s="33" t="s">
        <v>513</v>
      </c>
      <c r="K1379" s="33">
        <v>12.0</v>
      </c>
      <c r="L1379" s="124" t="s">
        <v>9680</v>
      </c>
      <c r="M1379" s="31"/>
    </row>
    <row r="1380" hidden="1">
      <c r="A1380" s="108" t="s">
        <v>9682</v>
      </c>
      <c r="B1380" s="173">
        <v>45863.0</v>
      </c>
      <c r="C1380" s="108">
        <v>8.07000032561E11</v>
      </c>
      <c r="D1380" s="108" t="s">
        <v>9683</v>
      </c>
      <c r="E1380" s="108" t="s">
        <v>9684</v>
      </c>
      <c r="F1380" s="214" t="s">
        <v>9685</v>
      </c>
      <c r="G1380" s="145" t="s">
        <v>247</v>
      </c>
      <c r="H1380" s="145">
        <v>4400.0</v>
      </c>
      <c r="I1380" s="108" t="s">
        <v>659</v>
      </c>
      <c r="J1380" s="108" t="s">
        <v>3468</v>
      </c>
      <c r="K1380" s="108">
        <v>1.0</v>
      </c>
      <c r="L1380" s="174" t="s">
        <v>9686</v>
      </c>
      <c r="M1380" s="107"/>
      <c r="N1380" s="192"/>
      <c r="O1380" s="192"/>
      <c r="P1380" s="192"/>
      <c r="Q1380" s="192"/>
      <c r="R1380" s="192"/>
      <c r="S1380" s="192"/>
      <c r="T1380" s="192"/>
      <c r="U1380" s="192"/>
      <c r="V1380" s="192"/>
      <c r="W1380" s="192"/>
      <c r="X1380" s="192"/>
      <c r="Y1380" s="192"/>
      <c r="Z1380" s="192"/>
      <c r="AA1380" s="192"/>
      <c r="AB1380" s="192"/>
      <c r="AC1380" s="192"/>
    </row>
    <row r="1381" hidden="1">
      <c r="A1381" s="108" t="s">
        <v>9687</v>
      </c>
      <c r="B1381" s="173">
        <v>45863.0</v>
      </c>
      <c r="C1381" s="108">
        <v>8.07000032523E11</v>
      </c>
      <c r="D1381" s="108" t="s">
        <v>4652</v>
      </c>
      <c r="E1381" s="108" t="s">
        <v>4653</v>
      </c>
      <c r="F1381" s="145" t="s">
        <v>9688</v>
      </c>
      <c r="G1381" s="145" t="s">
        <v>247</v>
      </c>
      <c r="H1381" s="145">
        <v>4400.0</v>
      </c>
      <c r="I1381" s="108" t="s">
        <v>3451</v>
      </c>
      <c r="J1381" s="108" t="s">
        <v>3452</v>
      </c>
      <c r="K1381" s="108">
        <v>1.0</v>
      </c>
      <c r="L1381" s="174" t="s">
        <v>9689</v>
      </c>
      <c r="M1381" s="107"/>
      <c r="N1381" s="192"/>
      <c r="O1381" s="192"/>
      <c r="P1381" s="192"/>
      <c r="Q1381" s="192"/>
      <c r="R1381" s="192"/>
      <c r="S1381" s="192"/>
      <c r="T1381" s="192"/>
      <c r="U1381" s="192"/>
      <c r="V1381" s="192"/>
      <c r="W1381" s="192"/>
      <c r="X1381" s="192"/>
      <c r="Y1381" s="192"/>
      <c r="Z1381" s="192"/>
      <c r="AA1381" s="192"/>
      <c r="AB1381" s="192"/>
      <c r="AC1381" s="192"/>
    </row>
    <row r="1382" hidden="1">
      <c r="A1382" s="108" t="s">
        <v>9690</v>
      </c>
      <c r="B1382" s="173">
        <v>45863.0</v>
      </c>
      <c r="C1382" s="108">
        <v>8.07000032565E11</v>
      </c>
      <c r="D1382" s="108" t="s">
        <v>9691</v>
      </c>
      <c r="E1382" s="108" t="s">
        <v>9692</v>
      </c>
      <c r="F1382" s="145" t="s">
        <v>9693</v>
      </c>
      <c r="G1382" s="145" t="s">
        <v>247</v>
      </c>
      <c r="H1382" s="145">
        <v>4400.0</v>
      </c>
      <c r="I1382" s="108" t="s">
        <v>512</v>
      </c>
      <c r="J1382" s="108" t="s">
        <v>513</v>
      </c>
      <c r="K1382" s="108">
        <v>6.0</v>
      </c>
      <c r="L1382" s="174" t="s">
        <v>9694</v>
      </c>
      <c r="M1382" s="107"/>
      <c r="N1382" s="192"/>
      <c r="O1382" s="192"/>
      <c r="P1382" s="192"/>
      <c r="Q1382" s="192"/>
      <c r="R1382" s="192"/>
      <c r="S1382" s="192"/>
      <c r="T1382" s="192"/>
      <c r="U1382" s="192"/>
      <c r="V1382" s="192"/>
      <c r="W1382" s="192"/>
      <c r="X1382" s="192"/>
      <c r="Y1382" s="192"/>
      <c r="Z1382" s="192"/>
      <c r="AA1382" s="192"/>
      <c r="AB1382" s="192"/>
      <c r="AC1382" s="192"/>
    </row>
    <row r="1383" hidden="1">
      <c r="A1383" s="108" t="s">
        <v>9690</v>
      </c>
      <c r="B1383" s="173">
        <v>45863.0</v>
      </c>
      <c r="C1383" s="108">
        <v>8.07000032566E11</v>
      </c>
      <c r="D1383" s="108" t="s">
        <v>9691</v>
      </c>
      <c r="E1383" s="108" t="s">
        <v>9692</v>
      </c>
      <c r="F1383" s="145" t="s">
        <v>9693</v>
      </c>
      <c r="G1383" s="145" t="s">
        <v>247</v>
      </c>
      <c r="H1383" s="145">
        <v>4400.0</v>
      </c>
      <c r="I1383" s="108" t="s">
        <v>947</v>
      </c>
      <c r="J1383" s="108" t="s">
        <v>3750</v>
      </c>
      <c r="K1383" s="108">
        <v>1.0</v>
      </c>
      <c r="L1383" s="174" t="s">
        <v>9694</v>
      </c>
      <c r="M1383" s="107"/>
      <c r="N1383" s="192"/>
      <c r="O1383" s="192"/>
      <c r="P1383" s="192"/>
      <c r="Q1383" s="192"/>
      <c r="R1383" s="192"/>
      <c r="S1383" s="192"/>
      <c r="T1383" s="192"/>
      <c r="U1383" s="192"/>
      <c r="V1383" s="192"/>
      <c r="W1383" s="192"/>
      <c r="X1383" s="192"/>
      <c r="Y1383" s="192"/>
      <c r="Z1383" s="192"/>
      <c r="AA1383" s="192"/>
      <c r="AB1383" s="192"/>
      <c r="AC1383" s="192"/>
    </row>
    <row r="1384" hidden="1">
      <c r="A1384" s="108" t="s">
        <v>9690</v>
      </c>
      <c r="B1384" s="173">
        <v>45863.0</v>
      </c>
      <c r="C1384" s="108">
        <v>8.07000032566E11</v>
      </c>
      <c r="D1384" s="108" t="s">
        <v>9691</v>
      </c>
      <c r="E1384" s="108" t="s">
        <v>9692</v>
      </c>
      <c r="F1384" s="145" t="s">
        <v>9693</v>
      </c>
      <c r="G1384" s="145" t="s">
        <v>247</v>
      </c>
      <c r="H1384" s="145">
        <v>4400.0</v>
      </c>
      <c r="I1384" s="108" t="s">
        <v>35</v>
      </c>
      <c r="J1384" s="108" t="s">
        <v>3188</v>
      </c>
      <c r="K1384" s="108">
        <v>1.0</v>
      </c>
      <c r="L1384" s="174" t="s">
        <v>9694</v>
      </c>
      <c r="M1384" s="107"/>
      <c r="N1384" s="192"/>
      <c r="O1384" s="192"/>
      <c r="P1384" s="192"/>
      <c r="Q1384" s="192"/>
      <c r="R1384" s="192"/>
      <c r="S1384" s="192"/>
      <c r="T1384" s="192"/>
      <c r="U1384" s="192"/>
      <c r="V1384" s="192"/>
      <c r="W1384" s="192"/>
      <c r="X1384" s="192"/>
      <c r="Y1384" s="192"/>
      <c r="Z1384" s="192"/>
      <c r="AA1384" s="192"/>
      <c r="AB1384" s="192"/>
      <c r="AC1384" s="192"/>
    </row>
    <row r="1385" hidden="1">
      <c r="A1385" s="108" t="s">
        <v>9695</v>
      </c>
      <c r="B1385" s="173">
        <v>45863.0</v>
      </c>
      <c r="C1385" s="108">
        <v>8.07000032573E11</v>
      </c>
      <c r="D1385" s="108" t="s">
        <v>9696</v>
      </c>
      <c r="E1385" s="108" t="s">
        <v>9697</v>
      </c>
      <c r="F1385" s="145" t="s">
        <v>9698</v>
      </c>
      <c r="G1385" s="145" t="s">
        <v>247</v>
      </c>
      <c r="H1385" s="145">
        <v>4400.0</v>
      </c>
      <c r="I1385" s="108" t="s">
        <v>947</v>
      </c>
      <c r="J1385" s="108" t="s">
        <v>3750</v>
      </c>
      <c r="K1385" s="108">
        <v>1.0</v>
      </c>
      <c r="L1385" s="174" t="s">
        <v>9699</v>
      </c>
      <c r="M1385" s="107"/>
      <c r="N1385" s="192"/>
      <c r="O1385" s="192"/>
      <c r="P1385" s="192"/>
      <c r="Q1385" s="192"/>
      <c r="R1385" s="192"/>
      <c r="S1385" s="192"/>
      <c r="T1385" s="192"/>
      <c r="U1385" s="192"/>
      <c r="V1385" s="192"/>
      <c r="W1385" s="192"/>
      <c r="X1385" s="192"/>
      <c r="Y1385" s="192"/>
      <c r="Z1385" s="192"/>
      <c r="AA1385" s="192"/>
      <c r="AB1385" s="192"/>
      <c r="AC1385" s="192"/>
    </row>
    <row r="1386" hidden="1">
      <c r="A1386" s="108" t="s">
        <v>9700</v>
      </c>
      <c r="B1386" s="173">
        <v>45863.0</v>
      </c>
      <c r="C1386" s="108">
        <v>8.0700003254E11</v>
      </c>
      <c r="D1386" s="108" t="s">
        <v>9701</v>
      </c>
      <c r="E1386" s="108" t="s">
        <v>9702</v>
      </c>
      <c r="F1386" s="145" t="s">
        <v>9703</v>
      </c>
      <c r="G1386" s="145" t="s">
        <v>624</v>
      </c>
      <c r="H1386" s="145">
        <v>4401.0</v>
      </c>
      <c r="I1386" s="108" t="s">
        <v>512</v>
      </c>
      <c r="J1386" s="108" t="s">
        <v>513</v>
      </c>
      <c r="K1386" s="108">
        <v>6.0</v>
      </c>
      <c r="L1386" s="174" t="s">
        <v>9704</v>
      </c>
      <c r="M1386" s="107"/>
      <c r="N1386" s="192"/>
      <c r="O1386" s="192"/>
      <c r="P1386" s="192"/>
      <c r="Q1386" s="192"/>
      <c r="R1386" s="192"/>
      <c r="S1386" s="192"/>
      <c r="T1386" s="192"/>
      <c r="U1386" s="192"/>
      <c r="V1386" s="192"/>
      <c r="W1386" s="192"/>
      <c r="X1386" s="192"/>
      <c r="Y1386" s="192"/>
      <c r="Z1386" s="192"/>
      <c r="AA1386" s="192"/>
      <c r="AB1386" s="192"/>
      <c r="AC1386" s="192"/>
    </row>
    <row r="1387" hidden="1">
      <c r="A1387" s="108" t="s">
        <v>9700</v>
      </c>
      <c r="B1387" s="173">
        <v>45863.0</v>
      </c>
      <c r="C1387" s="108">
        <v>8.07000032541E11</v>
      </c>
      <c r="D1387" s="108" t="s">
        <v>9701</v>
      </c>
      <c r="E1387" s="108" t="s">
        <v>9702</v>
      </c>
      <c r="F1387" s="145" t="s">
        <v>9703</v>
      </c>
      <c r="G1387" s="145" t="s">
        <v>624</v>
      </c>
      <c r="H1387" s="145">
        <v>4401.0</v>
      </c>
      <c r="I1387" s="108" t="s">
        <v>3451</v>
      </c>
      <c r="J1387" s="108" t="s">
        <v>3452</v>
      </c>
      <c r="K1387" s="108">
        <v>1.0</v>
      </c>
      <c r="L1387" s="174" t="s">
        <v>9704</v>
      </c>
      <c r="M1387" s="107"/>
      <c r="N1387" s="192"/>
      <c r="O1387" s="192"/>
      <c r="P1387" s="192"/>
      <c r="Q1387" s="192"/>
      <c r="R1387" s="192"/>
      <c r="S1387" s="192"/>
      <c r="T1387" s="192"/>
      <c r="U1387" s="192"/>
      <c r="V1387" s="192"/>
      <c r="W1387" s="192"/>
      <c r="X1387" s="192"/>
      <c r="Y1387" s="192"/>
      <c r="Z1387" s="192"/>
      <c r="AA1387" s="192"/>
      <c r="AB1387" s="192"/>
      <c r="AC1387" s="192"/>
    </row>
    <row r="1388" hidden="1">
      <c r="A1388" s="108" t="s">
        <v>9700</v>
      </c>
      <c r="B1388" s="173">
        <v>45863.0</v>
      </c>
      <c r="C1388" s="108">
        <v>8.07000032541E11</v>
      </c>
      <c r="D1388" s="108" t="s">
        <v>9701</v>
      </c>
      <c r="E1388" s="108" t="s">
        <v>9702</v>
      </c>
      <c r="F1388" s="145" t="s">
        <v>9703</v>
      </c>
      <c r="G1388" s="145" t="s">
        <v>624</v>
      </c>
      <c r="H1388" s="145">
        <v>4401.0</v>
      </c>
      <c r="I1388" s="108" t="s">
        <v>670</v>
      </c>
      <c r="J1388" s="108" t="s">
        <v>3410</v>
      </c>
      <c r="K1388" s="108">
        <v>1.0</v>
      </c>
      <c r="L1388" s="174" t="s">
        <v>9704</v>
      </c>
      <c r="M1388" s="107"/>
      <c r="N1388" s="192"/>
      <c r="O1388" s="192"/>
      <c r="P1388" s="192"/>
      <c r="Q1388" s="192"/>
      <c r="R1388" s="192"/>
      <c r="S1388" s="192"/>
      <c r="T1388" s="192"/>
      <c r="U1388" s="192"/>
      <c r="V1388" s="192"/>
      <c r="W1388" s="192"/>
      <c r="X1388" s="192"/>
      <c r="Y1388" s="192"/>
      <c r="Z1388" s="192"/>
      <c r="AA1388" s="192"/>
      <c r="AB1388" s="192"/>
      <c r="AC1388" s="192"/>
    </row>
    <row r="1389" hidden="1">
      <c r="A1389" s="108" t="s">
        <v>9705</v>
      </c>
      <c r="B1389" s="173">
        <v>45863.0</v>
      </c>
      <c r="C1389" s="108">
        <v>8.07000032542E11</v>
      </c>
      <c r="D1389" s="108" t="s">
        <v>9706</v>
      </c>
      <c r="E1389" s="108" t="s">
        <v>9707</v>
      </c>
      <c r="F1389" s="145" t="s">
        <v>9708</v>
      </c>
      <c r="G1389" s="145" t="s">
        <v>247</v>
      </c>
      <c r="H1389" s="145">
        <v>4400.0</v>
      </c>
      <c r="I1389" s="108" t="s">
        <v>512</v>
      </c>
      <c r="J1389" s="108" t="s">
        <v>513</v>
      </c>
      <c r="K1389" s="108">
        <v>6.0</v>
      </c>
      <c r="L1389" s="174" t="s">
        <v>9709</v>
      </c>
      <c r="M1389" s="107"/>
      <c r="N1389" s="192"/>
      <c r="O1389" s="192"/>
      <c r="P1389" s="192"/>
      <c r="Q1389" s="192"/>
      <c r="R1389" s="192"/>
      <c r="S1389" s="192"/>
      <c r="T1389" s="192"/>
      <c r="U1389" s="192"/>
      <c r="V1389" s="192"/>
      <c r="W1389" s="192"/>
      <c r="X1389" s="192"/>
      <c r="Y1389" s="192"/>
      <c r="Z1389" s="192"/>
      <c r="AA1389" s="192"/>
      <c r="AB1389" s="192"/>
      <c r="AC1389" s="192"/>
    </row>
    <row r="1390" hidden="1">
      <c r="A1390" s="108" t="s">
        <v>9705</v>
      </c>
      <c r="B1390" s="173">
        <v>45863.0</v>
      </c>
      <c r="C1390" s="108">
        <v>8.07000032543E11</v>
      </c>
      <c r="D1390" s="108" t="s">
        <v>9706</v>
      </c>
      <c r="E1390" s="108" t="s">
        <v>9707</v>
      </c>
      <c r="F1390" s="145" t="s">
        <v>9708</v>
      </c>
      <c r="G1390" s="145" t="s">
        <v>247</v>
      </c>
      <c r="H1390" s="145">
        <v>4400.0</v>
      </c>
      <c r="I1390" s="108" t="s">
        <v>4368</v>
      </c>
      <c r="J1390" s="108" t="s">
        <v>4369</v>
      </c>
      <c r="K1390" s="108">
        <v>1.0</v>
      </c>
      <c r="L1390" s="174" t="s">
        <v>9709</v>
      </c>
      <c r="M1390" s="107"/>
      <c r="N1390" s="192"/>
      <c r="O1390" s="192"/>
      <c r="P1390" s="192"/>
      <c r="Q1390" s="192"/>
      <c r="R1390" s="192"/>
      <c r="S1390" s="192"/>
      <c r="T1390" s="192"/>
      <c r="U1390" s="192"/>
      <c r="V1390" s="192"/>
      <c r="W1390" s="192"/>
      <c r="X1390" s="192"/>
      <c r="Y1390" s="192"/>
      <c r="Z1390" s="192"/>
      <c r="AA1390" s="192"/>
      <c r="AB1390" s="192"/>
      <c r="AC1390" s="192"/>
    </row>
    <row r="1391" hidden="1">
      <c r="A1391" s="108" t="s">
        <v>9705</v>
      </c>
      <c r="B1391" s="173">
        <v>45863.0</v>
      </c>
      <c r="C1391" s="108">
        <v>8.07000032543E11</v>
      </c>
      <c r="D1391" s="108" t="s">
        <v>9706</v>
      </c>
      <c r="E1391" s="108" t="s">
        <v>9707</v>
      </c>
      <c r="F1391" s="145" t="s">
        <v>9708</v>
      </c>
      <c r="G1391" s="145" t="s">
        <v>247</v>
      </c>
      <c r="H1391" s="145">
        <v>4400.0</v>
      </c>
      <c r="I1391" s="108" t="s">
        <v>1827</v>
      </c>
      <c r="J1391" s="108" t="s">
        <v>4367</v>
      </c>
      <c r="K1391" s="108">
        <v>1.0</v>
      </c>
      <c r="L1391" s="174" t="s">
        <v>9709</v>
      </c>
      <c r="M1391" s="107"/>
      <c r="N1391" s="192"/>
      <c r="O1391" s="192"/>
      <c r="P1391" s="192"/>
      <c r="Q1391" s="192"/>
      <c r="R1391" s="192"/>
      <c r="S1391" s="192"/>
      <c r="T1391" s="192"/>
      <c r="U1391" s="192"/>
      <c r="V1391" s="192"/>
      <c r="W1391" s="192"/>
      <c r="X1391" s="192"/>
      <c r="Y1391" s="192"/>
      <c r="Z1391" s="192"/>
      <c r="AA1391" s="192"/>
      <c r="AB1391" s="192"/>
      <c r="AC1391" s="192"/>
    </row>
    <row r="1392" hidden="1">
      <c r="A1392" s="33" t="s">
        <v>9710</v>
      </c>
      <c r="B1392" s="122">
        <v>45866.0</v>
      </c>
      <c r="C1392" s="33">
        <v>8.07000032603E11</v>
      </c>
      <c r="D1392" s="33" t="s">
        <v>9711</v>
      </c>
      <c r="E1392" s="33" t="s">
        <v>9712</v>
      </c>
      <c r="F1392" s="123" t="s">
        <v>9713</v>
      </c>
      <c r="G1392" s="123" t="s">
        <v>247</v>
      </c>
      <c r="H1392" s="123">
        <v>4400.0</v>
      </c>
      <c r="I1392" s="33" t="s">
        <v>512</v>
      </c>
      <c r="J1392" s="33" t="s">
        <v>513</v>
      </c>
      <c r="K1392" s="33">
        <v>6.0</v>
      </c>
      <c r="L1392" s="124" t="s">
        <v>9714</v>
      </c>
      <c r="M1392" s="31"/>
    </row>
    <row r="1393" hidden="1">
      <c r="A1393" s="33" t="s">
        <v>9710</v>
      </c>
      <c r="B1393" s="122">
        <v>45866.0</v>
      </c>
      <c r="C1393" s="33">
        <v>8.07000032603E11</v>
      </c>
      <c r="D1393" s="33" t="s">
        <v>9711</v>
      </c>
      <c r="E1393" s="33" t="s">
        <v>9712</v>
      </c>
      <c r="F1393" s="123" t="s">
        <v>9713</v>
      </c>
      <c r="G1393" s="123" t="s">
        <v>247</v>
      </c>
      <c r="H1393" s="123">
        <v>4400.0</v>
      </c>
      <c r="I1393" s="33" t="s">
        <v>35</v>
      </c>
      <c r="J1393" s="33" t="s">
        <v>3188</v>
      </c>
      <c r="K1393" s="33">
        <v>1.0</v>
      </c>
      <c r="L1393" s="124" t="s">
        <v>9714</v>
      </c>
      <c r="M1393" s="31"/>
    </row>
    <row r="1394" hidden="1">
      <c r="A1394" s="33" t="s">
        <v>9715</v>
      </c>
      <c r="B1394" s="122">
        <v>45866.0</v>
      </c>
      <c r="C1394" s="33">
        <v>8.07000032605E11</v>
      </c>
      <c r="D1394" s="33" t="s">
        <v>9711</v>
      </c>
      <c r="E1394" s="33" t="s">
        <v>9712</v>
      </c>
      <c r="F1394" s="123" t="s">
        <v>9713</v>
      </c>
      <c r="G1394" s="123" t="s">
        <v>247</v>
      </c>
      <c r="H1394" s="123">
        <v>4400.0</v>
      </c>
      <c r="I1394" s="33" t="s">
        <v>32</v>
      </c>
      <c r="J1394" s="33" t="s">
        <v>3225</v>
      </c>
      <c r="K1394" s="33">
        <v>1.0</v>
      </c>
      <c r="L1394" s="124" t="s">
        <v>9714</v>
      </c>
      <c r="M1394" s="31"/>
    </row>
    <row r="1395" hidden="1">
      <c r="A1395" s="33" t="s">
        <v>9716</v>
      </c>
      <c r="B1395" s="122">
        <v>45866.0</v>
      </c>
      <c r="C1395" s="33">
        <v>8.07000032612E11</v>
      </c>
      <c r="D1395" s="33" t="s">
        <v>9717</v>
      </c>
      <c r="E1395" s="33" t="s">
        <v>9718</v>
      </c>
      <c r="F1395" s="123" t="s">
        <v>9719</v>
      </c>
      <c r="G1395" s="123" t="s">
        <v>247</v>
      </c>
      <c r="H1395" s="123">
        <v>4400.0</v>
      </c>
      <c r="I1395" s="33">
        <v>125701.0</v>
      </c>
      <c r="J1395" s="33" t="s">
        <v>9720</v>
      </c>
      <c r="K1395" s="33">
        <v>1.0</v>
      </c>
      <c r="L1395" s="124" t="s">
        <v>9721</v>
      </c>
      <c r="M1395" s="31"/>
    </row>
    <row r="1396" hidden="1">
      <c r="A1396" s="33" t="s">
        <v>9716</v>
      </c>
      <c r="B1396" s="122">
        <v>45866.0</v>
      </c>
      <c r="C1396" s="33">
        <v>8.07000032613E11</v>
      </c>
      <c r="D1396" s="33" t="s">
        <v>9717</v>
      </c>
      <c r="E1396" s="33" t="s">
        <v>9718</v>
      </c>
      <c r="F1396" s="123" t="s">
        <v>9719</v>
      </c>
      <c r="G1396" s="123" t="s">
        <v>247</v>
      </c>
      <c r="H1396" s="123">
        <v>4400.0</v>
      </c>
      <c r="I1396" s="33" t="s">
        <v>4512</v>
      </c>
      <c r="J1396" s="33" t="s">
        <v>4513</v>
      </c>
      <c r="K1396" s="33">
        <v>1.0</v>
      </c>
      <c r="L1396" s="124" t="s">
        <v>9721</v>
      </c>
      <c r="M1396" s="31"/>
    </row>
    <row r="1397" hidden="1">
      <c r="A1397" s="33" t="s">
        <v>9722</v>
      </c>
      <c r="B1397" s="122">
        <v>45866.0</v>
      </c>
      <c r="C1397" s="33">
        <v>8.07000032585E11</v>
      </c>
      <c r="D1397" s="33" t="s">
        <v>4706</v>
      </c>
      <c r="E1397" s="33" t="s">
        <v>4707</v>
      </c>
      <c r="F1397" s="123" t="s">
        <v>9723</v>
      </c>
      <c r="G1397" s="123" t="s">
        <v>247</v>
      </c>
      <c r="H1397" s="123">
        <v>4400.0</v>
      </c>
      <c r="I1397" s="33" t="s">
        <v>3512</v>
      </c>
      <c r="J1397" s="33" t="s">
        <v>3513</v>
      </c>
      <c r="K1397" s="33">
        <v>12.0</v>
      </c>
      <c r="L1397" s="124" t="s">
        <v>9724</v>
      </c>
      <c r="M1397" s="31"/>
    </row>
    <row r="1398" hidden="1">
      <c r="A1398" s="33" t="s">
        <v>9722</v>
      </c>
      <c r="B1398" s="122">
        <v>45866.0</v>
      </c>
      <c r="C1398" s="33">
        <v>8.07000032586E11</v>
      </c>
      <c r="D1398" s="33" t="s">
        <v>4706</v>
      </c>
      <c r="E1398" s="33" t="s">
        <v>4707</v>
      </c>
      <c r="F1398" s="123" t="s">
        <v>9723</v>
      </c>
      <c r="G1398" s="123" t="s">
        <v>247</v>
      </c>
      <c r="H1398" s="123">
        <v>4400.0</v>
      </c>
      <c r="I1398" s="33" t="s">
        <v>9725</v>
      </c>
      <c r="J1398" s="33" t="s">
        <v>9726</v>
      </c>
      <c r="K1398" s="33">
        <v>1.0</v>
      </c>
      <c r="L1398" s="124" t="s">
        <v>9724</v>
      </c>
      <c r="M1398" s="31"/>
    </row>
    <row r="1399" hidden="1">
      <c r="A1399" s="33" t="s">
        <v>9722</v>
      </c>
      <c r="B1399" s="122">
        <v>45866.0</v>
      </c>
      <c r="C1399" s="33">
        <v>8.07000032586E11</v>
      </c>
      <c r="D1399" s="33" t="s">
        <v>4706</v>
      </c>
      <c r="E1399" s="33" t="s">
        <v>4707</v>
      </c>
      <c r="F1399" s="123" t="s">
        <v>9723</v>
      </c>
      <c r="G1399" s="123" t="s">
        <v>247</v>
      </c>
      <c r="H1399" s="123">
        <v>4400.0</v>
      </c>
      <c r="I1399" s="33" t="s">
        <v>6835</v>
      </c>
      <c r="J1399" s="33" t="s">
        <v>8150</v>
      </c>
      <c r="K1399" s="33">
        <v>2.0</v>
      </c>
      <c r="L1399" s="124" t="s">
        <v>9724</v>
      </c>
      <c r="M1399" s="31"/>
    </row>
    <row r="1400" hidden="1">
      <c r="A1400" s="33" t="s">
        <v>9727</v>
      </c>
      <c r="B1400" s="122">
        <v>45866.0</v>
      </c>
      <c r="C1400" s="33">
        <v>8.07000032614E11</v>
      </c>
      <c r="D1400" s="33" t="s">
        <v>9728</v>
      </c>
      <c r="E1400" s="33" t="s">
        <v>9729</v>
      </c>
      <c r="F1400" s="123" t="s">
        <v>9730</v>
      </c>
      <c r="G1400" s="123" t="s">
        <v>247</v>
      </c>
      <c r="H1400" s="123">
        <v>4400.0</v>
      </c>
      <c r="I1400" s="33" t="s">
        <v>512</v>
      </c>
      <c r="J1400" s="33" t="s">
        <v>513</v>
      </c>
      <c r="K1400" s="33">
        <v>12.0</v>
      </c>
      <c r="L1400" s="124" t="s">
        <v>9731</v>
      </c>
      <c r="M1400" s="31"/>
    </row>
    <row r="1401" hidden="1">
      <c r="A1401" s="33" t="s">
        <v>9727</v>
      </c>
      <c r="B1401" s="122">
        <v>45866.0</v>
      </c>
      <c r="C1401" s="33">
        <v>8.07000032615E11</v>
      </c>
      <c r="D1401" s="33" t="s">
        <v>9728</v>
      </c>
      <c r="E1401" s="33" t="s">
        <v>9729</v>
      </c>
      <c r="F1401" s="123" t="s">
        <v>9730</v>
      </c>
      <c r="G1401" s="123" t="s">
        <v>247</v>
      </c>
      <c r="H1401" s="123">
        <v>4400.0</v>
      </c>
      <c r="I1401" s="33" t="s">
        <v>7558</v>
      </c>
      <c r="J1401" s="33" t="s">
        <v>9580</v>
      </c>
      <c r="K1401" s="33">
        <v>1.0</v>
      </c>
      <c r="L1401" s="124" t="s">
        <v>9731</v>
      </c>
      <c r="M1401" s="31"/>
    </row>
    <row r="1402" hidden="1">
      <c r="A1402" s="33" t="s">
        <v>9727</v>
      </c>
      <c r="B1402" s="122">
        <v>45866.0</v>
      </c>
      <c r="C1402" s="33">
        <v>8.07000032615E11</v>
      </c>
      <c r="D1402" s="33" t="s">
        <v>9728</v>
      </c>
      <c r="E1402" s="33" t="s">
        <v>9729</v>
      </c>
      <c r="F1402" s="123" t="s">
        <v>9730</v>
      </c>
      <c r="G1402" s="123" t="s">
        <v>247</v>
      </c>
      <c r="H1402" s="123">
        <v>4400.0</v>
      </c>
      <c r="I1402" s="33" t="s">
        <v>772</v>
      </c>
      <c r="J1402" s="33" t="s">
        <v>3363</v>
      </c>
      <c r="K1402" s="33">
        <v>2.0</v>
      </c>
      <c r="L1402" s="124" t="s">
        <v>9731</v>
      </c>
      <c r="M1402" s="31"/>
    </row>
    <row r="1403" hidden="1">
      <c r="A1403" s="33" t="s">
        <v>9732</v>
      </c>
      <c r="B1403" s="122">
        <v>45866.0</v>
      </c>
      <c r="C1403" s="33">
        <v>8.07000032631E11</v>
      </c>
      <c r="D1403" s="33" t="s">
        <v>4735</v>
      </c>
      <c r="E1403" s="33" t="s">
        <v>4736</v>
      </c>
      <c r="F1403" s="123" t="s">
        <v>9733</v>
      </c>
      <c r="G1403" s="123" t="s">
        <v>9508</v>
      </c>
      <c r="H1403" s="123">
        <v>4407.0</v>
      </c>
      <c r="I1403" s="33" t="s">
        <v>512</v>
      </c>
      <c r="J1403" s="33" t="s">
        <v>513</v>
      </c>
      <c r="K1403" s="33">
        <v>6.0</v>
      </c>
      <c r="L1403" s="124" t="s">
        <v>9734</v>
      </c>
      <c r="M1403" s="31"/>
    </row>
    <row r="1404" hidden="1">
      <c r="A1404" s="33" t="s">
        <v>9732</v>
      </c>
      <c r="B1404" s="122">
        <v>45866.0</v>
      </c>
      <c r="C1404" s="33">
        <v>8.07000032632E11</v>
      </c>
      <c r="D1404" s="33" t="s">
        <v>4735</v>
      </c>
      <c r="E1404" s="33" t="s">
        <v>4736</v>
      </c>
      <c r="F1404" s="123" t="s">
        <v>9733</v>
      </c>
      <c r="G1404" s="123" t="s">
        <v>9508</v>
      </c>
      <c r="H1404" s="123">
        <v>4407.0</v>
      </c>
      <c r="I1404" s="33" t="s">
        <v>8604</v>
      </c>
      <c r="J1404" s="33" t="s">
        <v>8605</v>
      </c>
      <c r="K1404" s="33">
        <v>1.0</v>
      </c>
      <c r="L1404" s="124" t="s">
        <v>9734</v>
      </c>
      <c r="M1404" s="31"/>
    </row>
    <row r="1405" hidden="1">
      <c r="A1405" s="33" t="s">
        <v>9732</v>
      </c>
      <c r="B1405" s="122">
        <v>45866.0</v>
      </c>
      <c r="C1405" s="33">
        <v>8.07000032632E11</v>
      </c>
      <c r="D1405" s="33" t="s">
        <v>4735</v>
      </c>
      <c r="E1405" s="33" t="s">
        <v>4736</v>
      </c>
      <c r="F1405" s="123" t="s">
        <v>9733</v>
      </c>
      <c r="G1405" s="123" t="s">
        <v>9508</v>
      </c>
      <c r="H1405" s="123">
        <v>4407.0</v>
      </c>
      <c r="I1405" s="33" t="s">
        <v>1345</v>
      </c>
      <c r="J1405" s="33" t="s">
        <v>3639</v>
      </c>
      <c r="K1405" s="33">
        <v>1.0</v>
      </c>
      <c r="L1405" s="124" t="s">
        <v>9734</v>
      </c>
      <c r="M1405" s="31"/>
    </row>
    <row r="1406" hidden="1">
      <c r="A1406" s="33" t="s">
        <v>9735</v>
      </c>
      <c r="B1406" s="122">
        <v>45866.0</v>
      </c>
      <c r="C1406" s="33">
        <v>8.07000032641E11</v>
      </c>
      <c r="D1406" s="33" t="s">
        <v>9736</v>
      </c>
      <c r="E1406" s="33" t="s">
        <v>9737</v>
      </c>
      <c r="F1406" s="123" t="s">
        <v>9738</v>
      </c>
      <c r="G1406" s="123" t="s">
        <v>9508</v>
      </c>
      <c r="H1406" s="123">
        <v>4407.0</v>
      </c>
      <c r="I1406" s="33" t="s">
        <v>1379</v>
      </c>
      <c r="J1406" s="33" t="s">
        <v>7653</v>
      </c>
      <c r="K1406" s="33">
        <v>1.0</v>
      </c>
      <c r="L1406" s="124" t="s">
        <v>9739</v>
      </c>
      <c r="M1406" s="31"/>
    </row>
    <row r="1407" hidden="1">
      <c r="A1407" s="33" t="s">
        <v>9740</v>
      </c>
      <c r="B1407" s="122">
        <v>45866.0</v>
      </c>
      <c r="C1407" s="33">
        <v>8.07000032639E11</v>
      </c>
      <c r="D1407" s="33" t="s">
        <v>9741</v>
      </c>
      <c r="E1407" s="33" t="s">
        <v>9742</v>
      </c>
      <c r="F1407" s="123" t="s">
        <v>9743</v>
      </c>
      <c r="G1407" s="123" t="s">
        <v>247</v>
      </c>
      <c r="H1407" s="123">
        <v>4400.0</v>
      </c>
      <c r="I1407" s="33">
        <v>125813.0</v>
      </c>
      <c r="J1407" s="33" t="s">
        <v>5703</v>
      </c>
      <c r="K1407" s="33">
        <v>2.0</v>
      </c>
      <c r="L1407" s="124" t="s">
        <v>9744</v>
      </c>
      <c r="M1407" s="31"/>
    </row>
    <row r="1408" hidden="1">
      <c r="A1408" s="33" t="s">
        <v>9740</v>
      </c>
      <c r="B1408" s="122">
        <v>45866.0</v>
      </c>
      <c r="C1408" s="33">
        <v>8.07000032639E11</v>
      </c>
      <c r="D1408" s="33" t="s">
        <v>9741</v>
      </c>
      <c r="E1408" s="33" t="s">
        <v>9742</v>
      </c>
      <c r="F1408" s="123" t="s">
        <v>9743</v>
      </c>
      <c r="G1408" s="123" t="s">
        <v>247</v>
      </c>
      <c r="H1408" s="123">
        <v>4400.0</v>
      </c>
      <c r="I1408" s="33" t="s">
        <v>512</v>
      </c>
      <c r="J1408" s="33" t="s">
        <v>513</v>
      </c>
      <c r="K1408" s="33">
        <v>6.0</v>
      </c>
      <c r="L1408" s="124" t="s">
        <v>9744</v>
      </c>
      <c r="M1408" s="31"/>
    </row>
    <row r="1409" hidden="1">
      <c r="A1409" s="33" t="s">
        <v>9740</v>
      </c>
      <c r="B1409" s="122">
        <v>45866.0</v>
      </c>
      <c r="C1409" s="33">
        <v>8.0700003264E11</v>
      </c>
      <c r="D1409" s="33" t="s">
        <v>9741</v>
      </c>
      <c r="E1409" s="33" t="s">
        <v>9742</v>
      </c>
      <c r="F1409" s="123" t="s">
        <v>9743</v>
      </c>
      <c r="G1409" s="123" t="s">
        <v>247</v>
      </c>
      <c r="H1409" s="123">
        <v>4400.0</v>
      </c>
      <c r="I1409" s="33" t="s">
        <v>1379</v>
      </c>
      <c r="J1409" s="33" t="s">
        <v>7653</v>
      </c>
      <c r="K1409" s="33">
        <v>1.0</v>
      </c>
      <c r="L1409" s="124" t="s">
        <v>9744</v>
      </c>
      <c r="M1409" s="31"/>
    </row>
    <row r="1410" hidden="1">
      <c r="A1410" s="33" t="s">
        <v>9740</v>
      </c>
      <c r="B1410" s="122">
        <v>45866.0</v>
      </c>
      <c r="C1410" s="33">
        <v>8.0700003264E11</v>
      </c>
      <c r="D1410" s="33" t="s">
        <v>9741</v>
      </c>
      <c r="E1410" s="33" t="s">
        <v>9742</v>
      </c>
      <c r="F1410" s="123" t="s">
        <v>9743</v>
      </c>
      <c r="G1410" s="123" t="s">
        <v>247</v>
      </c>
      <c r="H1410" s="123">
        <v>4400.0</v>
      </c>
      <c r="I1410" s="33" t="s">
        <v>35</v>
      </c>
      <c r="J1410" s="33" t="s">
        <v>3188</v>
      </c>
      <c r="K1410" s="33">
        <v>1.0</v>
      </c>
      <c r="L1410" s="124" t="s">
        <v>9744</v>
      </c>
      <c r="M1410" s="31"/>
    </row>
    <row r="1411" hidden="1">
      <c r="A1411" s="33" t="s">
        <v>9745</v>
      </c>
      <c r="B1411" s="122">
        <v>45866.0</v>
      </c>
      <c r="C1411" s="33">
        <v>8.07000032642E11</v>
      </c>
      <c r="D1411" s="33" t="s">
        <v>9746</v>
      </c>
      <c r="E1411" s="33" t="s">
        <v>9747</v>
      </c>
      <c r="F1411" s="123" t="s">
        <v>9748</v>
      </c>
      <c r="G1411" s="123" t="s">
        <v>247</v>
      </c>
      <c r="H1411" s="123">
        <v>4400.0</v>
      </c>
      <c r="I1411" s="33" t="s">
        <v>512</v>
      </c>
      <c r="J1411" s="33" t="s">
        <v>513</v>
      </c>
      <c r="K1411" s="33">
        <v>6.0</v>
      </c>
      <c r="L1411" s="124" t="s">
        <v>9749</v>
      </c>
      <c r="M1411" s="31"/>
    </row>
    <row r="1412" hidden="1">
      <c r="A1412" s="33" t="s">
        <v>9745</v>
      </c>
      <c r="B1412" s="122">
        <v>45866.0</v>
      </c>
      <c r="C1412" s="33">
        <v>8.07000032642E11</v>
      </c>
      <c r="D1412" s="33" t="s">
        <v>9746</v>
      </c>
      <c r="E1412" s="33" t="s">
        <v>9747</v>
      </c>
      <c r="F1412" s="123" t="s">
        <v>9748</v>
      </c>
      <c r="G1412" s="123" t="s">
        <v>247</v>
      </c>
      <c r="H1412" s="123">
        <v>4400.0</v>
      </c>
      <c r="I1412" s="33" t="s">
        <v>8983</v>
      </c>
      <c r="J1412" s="33" t="s">
        <v>8984</v>
      </c>
      <c r="K1412" s="33">
        <v>1.0</v>
      </c>
      <c r="L1412" s="124" t="s">
        <v>9749</v>
      </c>
      <c r="M1412" s="31"/>
    </row>
    <row r="1413" hidden="1">
      <c r="A1413" s="33" t="s">
        <v>9745</v>
      </c>
      <c r="B1413" s="122">
        <v>45866.0</v>
      </c>
      <c r="C1413" s="33">
        <v>8.07000032643E11</v>
      </c>
      <c r="D1413" s="33" t="s">
        <v>9746</v>
      </c>
      <c r="E1413" s="33" t="s">
        <v>9747</v>
      </c>
      <c r="F1413" s="123" t="s">
        <v>9748</v>
      </c>
      <c r="G1413" s="123" t="s">
        <v>247</v>
      </c>
      <c r="H1413" s="123">
        <v>4400.0</v>
      </c>
      <c r="I1413" s="33" t="s">
        <v>4976</v>
      </c>
      <c r="J1413" s="33" t="s">
        <v>4977</v>
      </c>
      <c r="K1413" s="33">
        <v>1.0</v>
      </c>
      <c r="L1413" s="124" t="s">
        <v>9749</v>
      </c>
      <c r="M1413" s="31"/>
    </row>
    <row r="1414" hidden="1">
      <c r="A1414" s="33" t="s">
        <v>9745</v>
      </c>
      <c r="B1414" s="122">
        <v>45866.0</v>
      </c>
      <c r="C1414" s="33">
        <v>8.07000032643E11</v>
      </c>
      <c r="D1414" s="33" t="s">
        <v>9746</v>
      </c>
      <c r="E1414" s="33" t="s">
        <v>9747</v>
      </c>
      <c r="F1414" s="123" t="s">
        <v>9748</v>
      </c>
      <c r="G1414" s="123" t="s">
        <v>247</v>
      </c>
      <c r="H1414" s="123">
        <v>4400.0</v>
      </c>
      <c r="I1414" s="33" t="s">
        <v>35</v>
      </c>
      <c r="J1414" s="33" t="s">
        <v>3188</v>
      </c>
      <c r="K1414" s="33">
        <v>1.0</v>
      </c>
      <c r="L1414" s="124" t="s">
        <v>9749</v>
      </c>
      <c r="M1414" s="31"/>
    </row>
    <row r="1415" hidden="1">
      <c r="A1415" s="33" t="s">
        <v>9750</v>
      </c>
      <c r="B1415" s="122">
        <v>45867.0</v>
      </c>
      <c r="C1415" s="33">
        <v>8.0700003265E11</v>
      </c>
      <c r="D1415" s="33" t="s">
        <v>9751</v>
      </c>
      <c r="E1415" s="33" t="s">
        <v>9752</v>
      </c>
      <c r="F1415" s="123" t="s">
        <v>9753</v>
      </c>
      <c r="G1415" s="123" t="s">
        <v>247</v>
      </c>
      <c r="H1415" s="123">
        <v>4400.0</v>
      </c>
      <c r="I1415" s="33" t="s">
        <v>512</v>
      </c>
      <c r="J1415" s="33" t="s">
        <v>513</v>
      </c>
      <c r="K1415" s="33">
        <v>12.0</v>
      </c>
      <c r="L1415" s="124" t="s">
        <v>9754</v>
      </c>
      <c r="M1415" s="31"/>
    </row>
    <row r="1416" hidden="1">
      <c r="A1416" s="33" t="s">
        <v>9750</v>
      </c>
      <c r="B1416" s="122">
        <v>45867.0</v>
      </c>
      <c r="C1416" s="33">
        <v>8.07000032651E11</v>
      </c>
      <c r="D1416" s="33" t="s">
        <v>9751</v>
      </c>
      <c r="E1416" s="33" t="s">
        <v>9752</v>
      </c>
      <c r="F1416" s="123" t="s">
        <v>9753</v>
      </c>
      <c r="G1416" s="123" t="s">
        <v>247</v>
      </c>
      <c r="H1416" s="123">
        <v>4400.0</v>
      </c>
      <c r="I1416" s="33" t="s">
        <v>2537</v>
      </c>
      <c r="J1416" s="33" t="s">
        <v>3955</v>
      </c>
      <c r="K1416" s="33">
        <v>1.0</v>
      </c>
      <c r="L1416" s="124" t="s">
        <v>9754</v>
      </c>
      <c r="M1416" s="31"/>
    </row>
    <row r="1417" hidden="1">
      <c r="A1417" s="33" t="s">
        <v>9750</v>
      </c>
      <c r="B1417" s="122">
        <v>45867.0</v>
      </c>
      <c r="C1417" s="33">
        <v>8.07000032651E11</v>
      </c>
      <c r="D1417" s="33" t="s">
        <v>9751</v>
      </c>
      <c r="E1417" s="33" t="s">
        <v>9752</v>
      </c>
      <c r="F1417" s="123" t="s">
        <v>9753</v>
      </c>
      <c r="G1417" s="123" t="s">
        <v>247</v>
      </c>
      <c r="H1417" s="123">
        <v>4400.0</v>
      </c>
      <c r="I1417" s="33" t="s">
        <v>340</v>
      </c>
      <c r="J1417" s="33" t="s">
        <v>3486</v>
      </c>
      <c r="K1417" s="33">
        <v>2.0</v>
      </c>
      <c r="L1417" s="124" t="s">
        <v>9754</v>
      </c>
      <c r="M1417" s="31"/>
    </row>
    <row r="1418" hidden="1">
      <c r="A1418" s="33" t="s">
        <v>9755</v>
      </c>
      <c r="B1418" s="122">
        <v>45867.0</v>
      </c>
      <c r="C1418" s="33">
        <v>8.07000032652E11</v>
      </c>
      <c r="D1418" s="33" t="s">
        <v>9756</v>
      </c>
      <c r="E1418" s="33" t="s">
        <v>9757</v>
      </c>
      <c r="F1418" s="123" t="s">
        <v>9758</v>
      </c>
      <c r="G1418" s="123" t="s">
        <v>247</v>
      </c>
      <c r="H1418" s="123">
        <v>4400.0</v>
      </c>
      <c r="I1418" s="33" t="s">
        <v>3484</v>
      </c>
      <c r="J1418" s="33" t="s">
        <v>3485</v>
      </c>
      <c r="K1418" s="33">
        <v>1.0</v>
      </c>
      <c r="L1418" s="124" t="s">
        <v>9759</v>
      </c>
      <c r="M1418" s="31"/>
    </row>
    <row r="1419" hidden="1">
      <c r="A1419" s="33" t="s">
        <v>9755</v>
      </c>
      <c r="B1419" s="122">
        <v>45867.0</v>
      </c>
      <c r="C1419" s="33">
        <v>8.07000032652E11</v>
      </c>
      <c r="D1419" s="33" t="s">
        <v>9756</v>
      </c>
      <c r="E1419" s="33" t="s">
        <v>9757</v>
      </c>
      <c r="F1419" s="123" t="s">
        <v>9758</v>
      </c>
      <c r="G1419" s="123" t="s">
        <v>247</v>
      </c>
      <c r="H1419" s="123">
        <v>4400.0</v>
      </c>
      <c r="I1419" s="33" t="s">
        <v>512</v>
      </c>
      <c r="J1419" s="33" t="s">
        <v>513</v>
      </c>
      <c r="K1419" s="33">
        <v>12.0</v>
      </c>
      <c r="L1419" s="124" t="s">
        <v>9759</v>
      </c>
      <c r="M1419" s="31"/>
    </row>
    <row r="1420" hidden="1">
      <c r="A1420" s="33" t="s">
        <v>9755</v>
      </c>
      <c r="B1420" s="122">
        <v>45867.0</v>
      </c>
      <c r="C1420" s="33">
        <v>8.07000032652E11</v>
      </c>
      <c r="D1420" s="33" t="s">
        <v>9756</v>
      </c>
      <c r="E1420" s="33" t="s">
        <v>9757</v>
      </c>
      <c r="F1420" s="123" t="s">
        <v>9758</v>
      </c>
      <c r="G1420" s="123" t="s">
        <v>247</v>
      </c>
      <c r="H1420" s="123">
        <v>4400.0</v>
      </c>
      <c r="I1420" s="33" t="s">
        <v>340</v>
      </c>
      <c r="J1420" s="33" t="s">
        <v>3486</v>
      </c>
      <c r="K1420" s="33">
        <v>2.0</v>
      </c>
      <c r="L1420" s="124" t="s">
        <v>9759</v>
      </c>
      <c r="M1420" s="31"/>
    </row>
    <row r="1421" hidden="1">
      <c r="A1421" s="33" t="s">
        <v>9760</v>
      </c>
      <c r="B1421" s="122">
        <v>45867.0</v>
      </c>
      <c r="C1421" s="33">
        <v>8.07000032659E11</v>
      </c>
      <c r="D1421" s="33" t="s">
        <v>9761</v>
      </c>
      <c r="E1421" s="33" t="s">
        <v>9762</v>
      </c>
      <c r="F1421" s="123" t="s">
        <v>9763</v>
      </c>
      <c r="G1421" s="123" t="s">
        <v>247</v>
      </c>
      <c r="H1421" s="123">
        <v>4400.0</v>
      </c>
      <c r="I1421" s="33" t="s">
        <v>2537</v>
      </c>
      <c r="J1421" s="33" t="s">
        <v>3955</v>
      </c>
      <c r="K1421" s="33">
        <v>1.0</v>
      </c>
      <c r="L1421" s="124" t="s">
        <v>9764</v>
      </c>
      <c r="M1421" s="31"/>
    </row>
    <row r="1422" hidden="1">
      <c r="A1422" s="33" t="s">
        <v>9760</v>
      </c>
      <c r="B1422" s="122">
        <v>45867.0</v>
      </c>
      <c r="C1422" s="33">
        <v>8.07000032659E11</v>
      </c>
      <c r="D1422" s="33" t="s">
        <v>9761</v>
      </c>
      <c r="E1422" s="33" t="s">
        <v>9762</v>
      </c>
      <c r="F1422" s="123" t="s">
        <v>9763</v>
      </c>
      <c r="G1422" s="123" t="s">
        <v>247</v>
      </c>
      <c r="H1422" s="123">
        <v>4400.0</v>
      </c>
      <c r="I1422" s="33" t="s">
        <v>512</v>
      </c>
      <c r="J1422" s="33" t="s">
        <v>513</v>
      </c>
      <c r="K1422" s="33">
        <v>12.0</v>
      </c>
      <c r="L1422" s="124" t="s">
        <v>9764</v>
      </c>
      <c r="M1422" s="31"/>
    </row>
    <row r="1423" hidden="1">
      <c r="A1423" s="33" t="s">
        <v>9760</v>
      </c>
      <c r="B1423" s="122">
        <v>45867.0</v>
      </c>
      <c r="C1423" s="33">
        <v>8.07000032659E11</v>
      </c>
      <c r="D1423" s="33" t="s">
        <v>9761</v>
      </c>
      <c r="E1423" s="33" t="s">
        <v>9762</v>
      </c>
      <c r="F1423" s="123" t="s">
        <v>9763</v>
      </c>
      <c r="G1423" s="123" t="s">
        <v>247</v>
      </c>
      <c r="H1423" s="123">
        <v>4400.0</v>
      </c>
      <c r="I1423" s="33" t="s">
        <v>340</v>
      </c>
      <c r="J1423" s="33" t="s">
        <v>3486</v>
      </c>
      <c r="K1423" s="33">
        <v>2.0</v>
      </c>
      <c r="L1423" s="124" t="s">
        <v>9764</v>
      </c>
      <c r="M1423" s="31"/>
    </row>
    <row r="1424" hidden="1">
      <c r="A1424" s="33" t="s">
        <v>9765</v>
      </c>
      <c r="B1424" s="122">
        <v>45867.0</v>
      </c>
      <c r="C1424" s="33">
        <v>8.07000032665E11</v>
      </c>
      <c r="D1424" s="33" t="s">
        <v>9766</v>
      </c>
      <c r="E1424" s="33" t="s">
        <v>9767</v>
      </c>
      <c r="F1424" s="123" t="s">
        <v>9768</v>
      </c>
      <c r="G1424" s="123" t="s">
        <v>247</v>
      </c>
      <c r="H1424" s="123">
        <v>4400.0</v>
      </c>
      <c r="I1424" s="33" t="s">
        <v>512</v>
      </c>
      <c r="J1424" s="33" t="s">
        <v>513</v>
      </c>
      <c r="K1424" s="33">
        <v>12.0</v>
      </c>
      <c r="L1424" s="124" t="s">
        <v>9769</v>
      </c>
      <c r="M1424" s="31"/>
    </row>
    <row r="1425" hidden="1">
      <c r="A1425" s="33" t="s">
        <v>9765</v>
      </c>
      <c r="B1425" s="122">
        <v>45867.0</v>
      </c>
      <c r="C1425" s="33">
        <v>8.07000032666E11</v>
      </c>
      <c r="D1425" s="33" t="s">
        <v>9766</v>
      </c>
      <c r="E1425" s="33" t="s">
        <v>9767</v>
      </c>
      <c r="F1425" s="123" t="s">
        <v>9768</v>
      </c>
      <c r="G1425" s="123" t="s">
        <v>247</v>
      </c>
      <c r="H1425" s="123">
        <v>4400.0</v>
      </c>
      <c r="I1425" s="33" t="s">
        <v>4133</v>
      </c>
      <c r="J1425" s="33" t="s">
        <v>4134</v>
      </c>
      <c r="K1425" s="33">
        <v>1.0</v>
      </c>
      <c r="L1425" s="124" t="s">
        <v>9769</v>
      </c>
      <c r="M1425" s="31"/>
    </row>
    <row r="1426" hidden="1">
      <c r="A1426" s="33" t="s">
        <v>9765</v>
      </c>
      <c r="B1426" s="122">
        <v>45867.0</v>
      </c>
      <c r="C1426" s="33">
        <v>8.07000032666E11</v>
      </c>
      <c r="D1426" s="33" t="s">
        <v>9766</v>
      </c>
      <c r="E1426" s="33" t="s">
        <v>9767</v>
      </c>
      <c r="F1426" s="123" t="s">
        <v>9768</v>
      </c>
      <c r="G1426" s="123" t="s">
        <v>247</v>
      </c>
      <c r="H1426" s="123">
        <v>4400.0</v>
      </c>
      <c r="I1426" s="33" t="s">
        <v>340</v>
      </c>
      <c r="J1426" s="33" t="s">
        <v>3486</v>
      </c>
      <c r="K1426" s="33">
        <v>2.0</v>
      </c>
      <c r="L1426" s="124" t="s">
        <v>9769</v>
      </c>
      <c r="M1426" s="31"/>
    </row>
    <row r="1427" hidden="1">
      <c r="A1427" s="33" t="s">
        <v>9770</v>
      </c>
      <c r="B1427" s="122">
        <v>45867.0</v>
      </c>
      <c r="C1427" s="33">
        <v>8.07000032671E11</v>
      </c>
      <c r="D1427" s="33" t="s">
        <v>9771</v>
      </c>
      <c r="E1427" s="33" t="s">
        <v>9772</v>
      </c>
      <c r="F1427" s="123" t="s">
        <v>9773</v>
      </c>
      <c r="G1427" s="123" t="s">
        <v>247</v>
      </c>
      <c r="H1427" s="123">
        <v>4400.0</v>
      </c>
      <c r="I1427" s="33" t="s">
        <v>3512</v>
      </c>
      <c r="J1427" s="33" t="s">
        <v>3513</v>
      </c>
      <c r="K1427" s="33">
        <v>6.0</v>
      </c>
      <c r="L1427" s="124" t="s">
        <v>9774</v>
      </c>
      <c r="M1427" s="31"/>
    </row>
    <row r="1428" hidden="1">
      <c r="A1428" s="33" t="s">
        <v>9770</v>
      </c>
      <c r="B1428" s="122">
        <v>45867.0</v>
      </c>
      <c r="C1428" s="33">
        <v>8.07000032671E11</v>
      </c>
      <c r="D1428" s="33" t="s">
        <v>9771</v>
      </c>
      <c r="E1428" s="33" t="s">
        <v>9772</v>
      </c>
      <c r="F1428" s="123" t="s">
        <v>9773</v>
      </c>
      <c r="G1428" s="123" t="s">
        <v>247</v>
      </c>
      <c r="H1428" s="123">
        <v>4400.0</v>
      </c>
      <c r="I1428" s="33" t="s">
        <v>3510</v>
      </c>
      <c r="J1428" s="33" t="s">
        <v>3511</v>
      </c>
      <c r="K1428" s="33">
        <v>1.0</v>
      </c>
      <c r="L1428" s="124" t="s">
        <v>9774</v>
      </c>
      <c r="M1428" s="31"/>
    </row>
    <row r="1429" hidden="1">
      <c r="A1429" s="33" t="s">
        <v>9770</v>
      </c>
      <c r="B1429" s="122">
        <v>45867.0</v>
      </c>
      <c r="C1429" s="33">
        <v>8.07000032671E11</v>
      </c>
      <c r="D1429" s="33" t="s">
        <v>9771</v>
      </c>
      <c r="E1429" s="33" t="s">
        <v>9772</v>
      </c>
      <c r="F1429" s="123" t="s">
        <v>9773</v>
      </c>
      <c r="G1429" s="123" t="s">
        <v>247</v>
      </c>
      <c r="H1429" s="123">
        <v>4400.0</v>
      </c>
      <c r="I1429" s="33" t="s">
        <v>4775</v>
      </c>
      <c r="J1429" s="33" t="s">
        <v>4776</v>
      </c>
      <c r="K1429" s="33">
        <v>1.0</v>
      </c>
      <c r="L1429" s="124" t="s">
        <v>9774</v>
      </c>
      <c r="M1429" s="31"/>
    </row>
    <row r="1430" hidden="1">
      <c r="A1430" s="33" t="s">
        <v>9775</v>
      </c>
      <c r="B1430" s="122">
        <v>45867.0</v>
      </c>
      <c r="C1430" s="33">
        <v>8.07000032669E11</v>
      </c>
      <c r="D1430" s="33" t="s">
        <v>9776</v>
      </c>
      <c r="E1430" s="33" t="s">
        <v>9777</v>
      </c>
      <c r="F1430" s="123" t="s">
        <v>9778</v>
      </c>
      <c r="G1430" s="123" t="s">
        <v>247</v>
      </c>
      <c r="H1430" s="123">
        <v>4400.0</v>
      </c>
      <c r="I1430" s="33" t="s">
        <v>512</v>
      </c>
      <c r="J1430" s="33" t="s">
        <v>513</v>
      </c>
      <c r="K1430" s="33">
        <v>12.0</v>
      </c>
      <c r="L1430" s="124" t="s">
        <v>9779</v>
      </c>
      <c r="M1430" s="31"/>
    </row>
    <row r="1431" hidden="1">
      <c r="A1431" s="33" t="s">
        <v>9775</v>
      </c>
      <c r="B1431" s="122">
        <v>45867.0</v>
      </c>
      <c r="C1431" s="33">
        <v>8.07000032669E11</v>
      </c>
      <c r="D1431" s="33" t="s">
        <v>9776</v>
      </c>
      <c r="E1431" s="33" t="s">
        <v>9777</v>
      </c>
      <c r="F1431" s="123" t="s">
        <v>9778</v>
      </c>
      <c r="G1431" s="123" t="s">
        <v>247</v>
      </c>
      <c r="H1431" s="123">
        <v>4400.0</v>
      </c>
      <c r="I1431" s="33" t="s">
        <v>3484</v>
      </c>
      <c r="J1431" s="33" t="s">
        <v>3485</v>
      </c>
      <c r="K1431" s="33">
        <v>1.0</v>
      </c>
      <c r="L1431" s="124" t="s">
        <v>9779</v>
      </c>
      <c r="M1431" s="31"/>
    </row>
    <row r="1432" hidden="1">
      <c r="A1432" s="33" t="s">
        <v>9775</v>
      </c>
      <c r="B1432" s="122">
        <v>45867.0</v>
      </c>
      <c r="C1432" s="33">
        <v>8.07000032669E11</v>
      </c>
      <c r="D1432" s="33" t="s">
        <v>9776</v>
      </c>
      <c r="E1432" s="33" t="s">
        <v>9777</v>
      </c>
      <c r="F1432" s="123" t="s">
        <v>9778</v>
      </c>
      <c r="G1432" s="123" t="s">
        <v>247</v>
      </c>
      <c r="H1432" s="123">
        <v>4400.0</v>
      </c>
      <c r="I1432" s="33" t="s">
        <v>340</v>
      </c>
      <c r="J1432" s="33" t="s">
        <v>3486</v>
      </c>
      <c r="K1432" s="33">
        <v>2.0</v>
      </c>
      <c r="L1432" s="124" t="s">
        <v>9779</v>
      </c>
      <c r="M1432" s="31"/>
    </row>
    <row r="1433" hidden="1">
      <c r="A1433" s="33" t="s">
        <v>9780</v>
      </c>
      <c r="B1433" s="122">
        <v>45867.0</v>
      </c>
      <c r="C1433" s="33">
        <v>8.07000032673E11</v>
      </c>
      <c r="D1433" s="33" t="s">
        <v>9781</v>
      </c>
      <c r="E1433" s="33" t="s">
        <v>9782</v>
      </c>
      <c r="F1433" s="123" t="s">
        <v>9783</v>
      </c>
      <c r="G1433" s="123" t="s">
        <v>247</v>
      </c>
      <c r="H1433" s="123">
        <v>4400.0</v>
      </c>
      <c r="I1433" s="33" t="s">
        <v>512</v>
      </c>
      <c r="J1433" s="33" t="s">
        <v>513</v>
      </c>
      <c r="K1433" s="33">
        <v>12.0</v>
      </c>
      <c r="L1433" s="124" t="s">
        <v>9784</v>
      </c>
      <c r="M1433" s="31"/>
    </row>
    <row r="1434" hidden="1">
      <c r="A1434" s="33" t="s">
        <v>9780</v>
      </c>
      <c r="B1434" s="122">
        <v>45867.0</v>
      </c>
      <c r="C1434" s="33">
        <v>8.07000032673E11</v>
      </c>
      <c r="D1434" s="33" t="s">
        <v>9781</v>
      </c>
      <c r="E1434" s="33" t="s">
        <v>9782</v>
      </c>
      <c r="F1434" s="123" t="s">
        <v>9783</v>
      </c>
      <c r="G1434" s="123" t="s">
        <v>247</v>
      </c>
      <c r="H1434" s="123">
        <v>4400.0</v>
      </c>
      <c r="I1434" s="33" t="s">
        <v>121</v>
      </c>
      <c r="J1434" s="33" t="s">
        <v>3199</v>
      </c>
      <c r="K1434" s="33">
        <v>2.0</v>
      </c>
      <c r="L1434" s="124" t="s">
        <v>9784</v>
      </c>
      <c r="M1434" s="31"/>
    </row>
    <row r="1435" hidden="1">
      <c r="A1435" s="33" t="s">
        <v>9780</v>
      </c>
      <c r="B1435" s="122">
        <v>45867.0</v>
      </c>
      <c r="C1435" s="33">
        <v>8.07000032673E11</v>
      </c>
      <c r="D1435" s="33" t="s">
        <v>9781</v>
      </c>
      <c r="E1435" s="33" t="s">
        <v>9782</v>
      </c>
      <c r="F1435" s="123" t="s">
        <v>9783</v>
      </c>
      <c r="G1435" s="123" t="s">
        <v>247</v>
      </c>
      <c r="H1435" s="123">
        <v>4400.0</v>
      </c>
      <c r="I1435" s="33" t="s">
        <v>7329</v>
      </c>
      <c r="J1435" s="33" t="s">
        <v>9785</v>
      </c>
      <c r="K1435" s="33">
        <v>1.0</v>
      </c>
      <c r="L1435" s="124" t="s">
        <v>9784</v>
      </c>
      <c r="M1435" s="31"/>
    </row>
    <row r="1436" hidden="1">
      <c r="A1436" s="33" t="s">
        <v>9786</v>
      </c>
      <c r="B1436" s="122">
        <v>45867.0</v>
      </c>
      <c r="C1436" s="33">
        <v>8.07000032676E11</v>
      </c>
      <c r="D1436" s="33" t="s">
        <v>9787</v>
      </c>
      <c r="E1436" s="33" t="s">
        <v>9788</v>
      </c>
      <c r="F1436" s="123" t="s">
        <v>9789</v>
      </c>
      <c r="G1436" s="123" t="s">
        <v>247</v>
      </c>
      <c r="H1436" s="123">
        <v>4400.0</v>
      </c>
      <c r="I1436" s="33" t="s">
        <v>2412</v>
      </c>
      <c r="J1436" s="33" t="s">
        <v>2413</v>
      </c>
      <c r="K1436" s="33">
        <v>1.0</v>
      </c>
      <c r="L1436" s="124" t="s">
        <v>9790</v>
      </c>
      <c r="M1436" s="31"/>
    </row>
    <row r="1437" hidden="1">
      <c r="A1437" s="125" t="s">
        <v>9786</v>
      </c>
      <c r="B1437" s="126">
        <v>45867.0</v>
      </c>
      <c r="C1437" s="125">
        <v>8.07000032676E11</v>
      </c>
      <c r="D1437" s="125" t="s">
        <v>9787</v>
      </c>
      <c r="E1437" s="125" t="s">
        <v>9788</v>
      </c>
      <c r="F1437" s="127" t="s">
        <v>9789</v>
      </c>
      <c r="G1437" s="127" t="s">
        <v>247</v>
      </c>
      <c r="H1437" s="127">
        <v>4400.0</v>
      </c>
      <c r="I1437" s="125" t="s">
        <v>2410</v>
      </c>
      <c r="J1437" s="125" t="s">
        <v>3860</v>
      </c>
      <c r="K1437" s="125">
        <v>1.0</v>
      </c>
      <c r="L1437" s="129" t="s">
        <v>9790</v>
      </c>
      <c r="M1437" s="136"/>
      <c r="N1437" s="179"/>
      <c r="O1437" s="179"/>
      <c r="P1437" s="179"/>
      <c r="Q1437" s="179"/>
      <c r="R1437" s="179"/>
      <c r="S1437" s="179"/>
      <c r="T1437" s="179"/>
      <c r="U1437" s="179"/>
      <c r="V1437" s="179"/>
      <c r="W1437" s="179"/>
      <c r="X1437" s="179"/>
      <c r="Y1437" s="179"/>
      <c r="Z1437" s="179"/>
      <c r="AA1437" s="179"/>
      <c r="AB1437" s="179"/>
      <c r="AC1437" s="179"/>
    </row>
    <row r="1438" hidden="1">
      <c r="A1438" s="131" t="s">
        <v>9791</v>
      </c>
      <c r="B1438" s="132">
        <v>45868.0</v>
      </c>
      <c r="C1438" s="131">
        <v>8.07000032635E11</v>
      </c>
      <c r="D1438" s="131" t="s">
        <v>9792</v>
      </c>
      <c r="E1438" s="131" t="s">
        <v>9793</v>
      </c>
      <c r="F1438" s="133" t="s">
        <v>9794</v>
      </c>
      <c r="G1438" s="123" t="s">
        <v>247</v>
      </c>
      <c r="H1438" s="123">
        <v>4400.0</v>
      </c>
      <c r="I1438" s="131" t="s">
        <v>2956</v>
      </c>
      <c r="J1438" s="131" t="s">
        <v>3327</v>
      </c>
      <c r="K1438" s="131">
        <v>1.0</v>
      </c>
      <c r="L1438" s="134" t="s">
        <v>9795</v>
      </c>
      <c r="M1438" s="135"/>
    </row>
    <row r="1439" hidden="1">
      <c r="A1439" s="131" t="s">
        <v>9796</v>
      </c>
      <c r="B1439" s="132">
        <v>45868.0</v>
      </c>
      <c r="C1439" s="33">
        <v>8.07000032526E11</v>
      </c>
      <c r="D1439" s="33" t="s">
        <v>4647</v>
      </c>
      <c r="E1439" s="33" t="s">
        <v>4648</v>
      </c>
      <c r="F1439" s="123" t="s">
        <v>9797</v>
      </c>
      <c r="G1439" s="123" t="s">
        <v>8629</v>
      </c>
      <c r="H1439" s="123">
        <v>4407.0</v>
      </c>
      <c r="I1439" s="33">
        <v>125814.0</v>
      </c>
      <c r="J1439" s="33" t="s">
        <v>9798</v>
      </c>
      <c r="K1439" s="33">
        <v>2.0</v>
      </c>
      <c r="L1439" s="124" t="s">
        <v>9799</v>
      </c>
      <c r="M1439" s="31"/>
    </row>
    <row r="1440" hidden="1">
      <c r="A1440" s="131" t="s">
        <v>9800</v>
      </c>
      <c r="B1440" s="132">
        <v>45868.0</v>
      </c>
      <c r="C1440" s="33">
        <v>8.07000032677E11</v>
      </c>
      <c r="D1440" s="33" t="s">
        <v>9801</v>
      </c>
      <c r="E1440" s="33" t="s">
        <v>9802</v>
      </c>
      <c r="F1440" s="123" t="s">
        <v>9803</v>
      </c>
      <c r="G1440" s="123" t="s">
        <v>247</v>
      </c>
      <c r="H1440" s="123">
        <v>4400.0</v>
      </c>
      <c r="I1440" s="33" t="s">
        <v>659</v>
      </c>
      <c r="J1440" s="33" t="s">
        <v>3468</v>
      </c>
      <c r="K1440" s="33">
        <v>1.0</v>
      </c>
      <c r="L1440" s="124" t="s">
        <v>9804</v>
      </c>
      <c r="M1440" s="31"/>
    </row>
    <row r="1441" hidden="1">
      <c r="A1441" s="131" t="s">
        <v>9800</v>
      </c>
      <c r="B1441" s="132">
        <v>45868.0</v>
      </c>
      <c r="C1441" s="33">
        <v>8.07000032677E11</v>
      </c>
      <c r="D1441" s="33" t="s">
        <v>9801</v>
      </c>
      <c r="E1441" s="33" t="s">
        <v>9802</v>
      </c>
      <c r="F1441" s="123" t="s">
        <v>9803</v>
      </c>
      <c r="G1441" s="123" t="s">
        <v>247</v>
      </c>
      <c r="H1441" s="123">
        <v>4400.0</v>
      </c>
      <c r="I1441" s="33" t="s">
        <v>512</v>
      </c>
      <c r="J1441" s="33" t="s">
        <v>513</v>
      </c>
      <c r="K1441" s="33">
        <v>6.0</v>
      </c>
      <c r="L1441" s="124" t="s">
        <v>9804</v>
      </c>
      <c r="M1441" s="31"/>
    </row>
    <row r="1442" hidden="1">
      <c r="A1442" s="131" t="s">
        <v>9800</v>
      </c>
      <c r="B1442" s="132">
        <v>45868.0</v>
      </c>
      <c r="C1442" s="33">
        <v>8.07000032677E11</v>
      </c>
      <c r="D1442" s="33" t="s">
        <v>9801</v>
      </c>
      <c r="E1442" s="33" t="s">
        <v>9802</v>
      </c>
      <c r="F1442" s="123" t="s">
        <v>9803</v>
      </c>
      <c r="G1442" s="123" t="s">
        <v>247</v>
      </c>
      <c r="H1442" s="123">
        <v>4400.0</v>
      </c>
      <c r="I1442" s="33" t="s">
        <v>35</v>
      </c>
      <c r="J1442" s="33" t="s">
        <v>3188</v>
      </c>
      <c r="K1442" s="33">
        <v>1.0</v>
      </c>
      <c r="L1442" s="124" t="s">
        <v>9804</v>
      </c>
      <c r="M1442" s="31"/>
    </row>
    <row r="1443" ht="16.5" hidden="1" customHeight="1">
      <c r="A1443" s="131" t="s">
        <v>9805</v>
      </c>
      <c r="B1443" s="132">
        <v>45868.0</v>
      </c>
      <c r="C1443" s="33">
        <v>8.07000032681E11</v>
      </c>
      <c r="D1443" s="33" t="s">
        <v>9806</v>
      </c>
      <c r="E1443" s="33" t="s">
        <v>9807</v>
      </c>
      <c r="F1443" s="123" t="s">
        <v>9808</v>
      </c>
      <c r="G1443" s="123" t="s">
        <v>247</v>
      </c>
      <c r="H1443" s="123">
        <v>4400.0</v>
      </c>
      <c r="I1443" s="33" t="s">
        <v>4775</v>
      </c>
      <c r="J1443" s="33" t="s">
        <v>4776</v>
      </c>
      <c r="K1443" s="33">
        <v>1.0</v>
      </c>
      <c r="L1443" s="124" t="s">
        <v>9809</v>
      </c>
      <c r="M1443" s="31"/>
    </row>
    <row r="1444" hidden="1">
      <c r="A1444" s="131" t="s">
        <v>9810</v>
      </c>
      <c r="B1444" s="132">
        <v>45868.0</v>
      </c>
      <c r="C1444" s="33">
        <v>8.07000032688E11</v>
      </c>
      <c r="D1444" s="33" t="s">
        <v>9811</v>
      </c>
      <c r="E1444" s="33" t="s">
        <v>9812</v>
      </c>
      <c r="F1444" s="123" t="s">
        <v>9813</v>
      </c>
      <c r="G1444" s="123" t="s">
        <v>247</v>
      </c>
      <c r="H1444" s="123">
        <v>4400.0</v>
      </c>
      <c r="I1444" s="33" t="s">
        <v>3166</v>
      </c>
      <c r="J1444" s="33" t="s">
        <v>6964</v>
      </c>
      <c r="K1444" s="33">
        <v>2.0</v>
      </c>
      <c r="L1444" s="124" t="s">
        <v>9814</v>
      </c>
      <c r="M1444" s="31"/>
    </row>
    <row r="1445" hidden="1">
      <c r="A1445" s="131" t="s">
        <v>9815</v>
      </c>
      <c r="B1445" s="132">
        <v>45868.0</v>
      </c>
      <c r="C1445" s="33">
        <v>8.07000032683E11</v>
      </c>
      <c r="D1445" s="33" t="s">
        <v>9816</v>
      </c>
      <c r="E1445" s="33" t="s">
        <v>9817</v>
      </c>
      <c r="F1445" s="190" t="s">
        <v>9818</v>
      </c>
      <c r="G1445" s="123" t="s">
        <v>486</v>
      </c>
      <c r="H1445" s="123">
        <v>4400.0</v>
      </c>
      <c r="I1445" s="33" t="s">
        <v>3166</v>
      </c>
      <c r="J1445" s="33" t="s">
        <v>6964</v>
      </c>
      <c r="K1445" s="33">
        <v>2.0</v>
      </c>
      <c r="L1445" s="124" t="s">
        <v>9819</v>
      </c>
      <c r="M1445" s="31"/>
    </row>
    <row r="1446" hidden="1">
      <c r="A1446" s="131" t="s">
        <v>9815</v>
      </c>
      <c r="B1446" s="132">
        <v>45868.0</v>
      </c>
      <c r="C1446" s="33">
        <v>8.07000032684E11</v>
      </c>
      <c r="D1446" s="33" t="s">
        <v>9816</v>
      </c>
      <c r="E1446" s="33" t="s">
        <v>9817</v>
      </c>
      <c r="F1446" s="190" t="s">
        <v>9818</v>
      </c>
      <c r="G1446" s="123" t="s">
        <v>486</v>
      </c>
      <c r="H1446" s="123">
        <v>4400.0</v>
      </c>
      <c r="I1446" s="33" t="s">
        <v>659</v>
      </c>
      <c r="J1446" s="33" t="s">
        <v>3468</v>
      </c>
      <c r="K1446" s="33">
        <v>1.0</v>
      </c>
      <c r="L1446" s="124" t="s">
        <v>9819</v>
      </c>
      <c r="M1446" s="31"/>
    </row>
    <row r="1447" hidden="1">
      <c r="A1447" s="131" t="s">
        <v>9820</v>
      </c>
      <c r="B1447" s="132">
        <v>45869.0</v>
      </c>
      <c r="C1447" s="33">
        <v>8.07000032691E11</v>
      </c>
      <c r="D1447" s="33" t="s">
        <v>9821</v>
      </c>
      <c r="E1447" s="33" t="s">
        <v>9822</v>
      </c>
      <c r="F1447" s="123" t="s">
        <v>9823</v>
      </c>
      <c r="G1447" s="123" t="s">
        <v>104</v>
      </c>
      <c r="H1447" s="123">
        <v>4400.0</v>
      </c>
      <c r="I1447" s="33" t="s">
        <v>512</v>
      </c>
      <c r="J1447" s="33" t="s">
        <v>513</v>
      </c>
      <c r="K1447" s="33">
        <v>1.0</v>
      </c>
      <c r="L1447" s="124" t="s">
        <v>9824</v>
      </c>
      <c r="M1447" s="31"/>
    </row>
    <row r="1448" ht="16.5" hidden="1" customHeight="1">
      <c r="A1448" s="131" t="s">
        <v>9820</v>
      </c>
      <c r="B1448" s="132">
        <v>45869.0</v>
      </c>
      <c r="C1448" s="33">
        <v>8.07000032692E11</v>
      </c>
      <c r="D1448" s="33" t="s">
        <v>9821</v>
      </c>
      <c r="E1448" s="33" t="s">
        <v>9822</v>
      </c>
      <c r="F1448" s="123" t="s">
        <v>9823</v>
      </c>
      <c r="G1448" s="123" t="s">
        <v>104</v>
      </c>
      <c r="H1448" s="123">
        <v>4400.0</v>
      </c>
      <c r="I1448" s="33" t="s">
        <v>1360</v>
      </c>
      <c r="J1448" s="33" t="s">
        <v>3710</v>
      </c>
      <c r="K1448" s="33">
        <v>1.0</v>
      </c>
      <c r="L1448" s="124" t="s">
        <v>9824</v>
      </c>
      <c r="M1448" s="31"/>
    </row>
    <row r="1449" hidden="1">
      <c r="A1449" s="131" t="s">
        <v>9820</v>
      </c>
      <c r="B1449" s="132">
        <v>45869.0</v>
      </c>
      <c r="C1449" s="33">
        <v>8.07000032692E11</v>
      </c>
      <c r="D1449" s="33" t="s">
        <v>9821</v>
      </c>
      <c r="E1449" s="33" t="s">
        <v>9822</v>
      </c>
      <c r="F1449" s="123" t="s">
        <v>9823</v>
      </c>
      <c r="G1449" s="123" t="s">
        <v>104</v>
      </c>
      <c r="H1449" s="123">
        <v>4400.0</v>
      </c>
      <c r="I1449" s="33" t="s">
        <v>1914</v>
      </c>
      <c r="J1449" s="33" t="s">
        <v>9825</v>
      </c>
      <c r="K1449" s="33">
        <v>1.0</v>
      </c>
      <c r="L1449" s="124" t="s">
        <v>9824</v>
      </c>
      <c r="M1449" s="31"/>
    </row>
    <row r="1450" ht="16.5" hidden="1" customHeight="1">
      <c r="A1450" s="131" t="s">
        <v>9826</v>
      </c>
      <c r="B1450" s="132">
        <v>45869.0</v>
      </c>
      <c r="C1450" s="33">
        <v>8.07000032695E11</v>
      </c>
      <c r="D1450" s="33" t="s">
        <v>9827</v>
      </c>
      <c r="E1450" s="33" t="s">
        <v>9828</v>
      </c>
      <c r="F1450" s="123" t="s">
        <v>9829</v>
      </c>
      <c r="G1450" s="123" t="s">
        <v>247</v>
      </c>
      <c r="H1450" s="123">
        <v>4400.0</v>
      </c>
      <c r="I1450" s="33" t="s">
        <v>561</v>
      </c>
      <c r="J1450" s="33" t="s">
        <v>8209</v>
      </c>
      <c r="K1450" s="33">
        <v>1.0</v>
      </c>
      <c r="L1450" s="124">
        <v>3.875845675E9</v>
      </c>
      <c r="M1450" s="31"/>
    </row>
    <row r="1451" hidden="1">
      <c r="A1451" s="131" t="s">
        <v>9830</v>
      </c>
      <c r="B1451" s="132">
        <v>45869.0</v>
      </c>
      <c r="C1451" s="33">
        <v>8.0700003271E11</v>
      </c>
      <c r="D1451" s="33" t="s">
        <v>9831</v>
      </c>
      <c r="E1451" s="33" t="s">
        <v>9832</v>
      </c>
      <c r="F1451" s="123" t="s">
        <v>9833</v>
      </c>
      <c r="G1451" s="123" t="s">
        <v>247</v>
      </c>
      <c r="H1451" s="123">
        <v>4400.0</v>
      </c>
      <c r="I1451" s="33" t="s">
        <v>512</v>
      </c>
      <c r="J1451" s="33" t="s">
        <v>513</v>
      </c>
      <c r="K1451" s="33">
        <v>12.0</v>
      </c>
      <c r="L1451" s="124">
        <v>3.87504583E9</v>
      </c>
      <c r="M1451" s="31"/>
    </row>
    <row r="1452" ht="16.5" hidden="1" customHeight="1">
      <c r="A1452" s="131" t="s">
        <v>9830</v>
      </c>
      <c r="B1452" s="132">
        <v>45869.0</v>
      </c>
      <c r="C1452" s="33">
        <v>8.07000032711E11</v>
      </c>
      <c r="D1452" s="33" t="s">
        <v>9831</v>
      </c>
      <c r="E1452" s="33" t="s">
        <v>9832</v>
      </c>
      <c r="F1452" s="123" t="s">
        <v>9833</v>
      </c>
      <c r="G1452" s="123" t="s">
        <v>247</v>
      </c>
      <c r="H1452" s="123">
        <v>4400.0</v>
      </c>
      <c r="I1452" s="33" t="s">
        <v>3334</v>
      </c>
      <c r="J1452" s="33" t="s">
        <v>3575</v>
      </c>
      <c r="K1452" s="33">
        <v>1.0</v>
      </c>
      <c r="L1452" s="124">
        <v>3.87504583E9</v>
      </c>
      <c r="M1452" s="31"/>
    </row>
    <row r="1453" hidden="1">
      <c r="A1453" s="131" t="s">
        <v>9830</v>
      </c>
      <c r="B1453" s="132">
        <v>45869.0</v>
      </c>
      <c r="C1453" s="33">
        <v>8.07000032711E11</v>
      </c>
      <c r="D1453" s="33" t="s">
        <v>9831</v>
      </c>
      <c r="E1453" s="33" t="s">
        <v>9832</v>
      </c>
      <c r="F1453" s="123" t="s">
        <v>9833</v>
      </c>
      <c r="G1453" s="123" t="s">
        <v>247</v>
      </c>
      <c r="H1453" s="123">
        <v>4400.0</v>
      </c>
      <c r="I1453" s="33" t="s">
        <v>758</v>
      </c>
      <c r="J1453" s="33" t="s">
        <v>3574</v>
      </c>
      <c r="K1453" s="33">
        <v>2.0</v>
      </c>
      <c r="L1453" s="124">
        <v>3.87504583E9</v>
      </c>
      <c r="M1453" s="31"/>
    </row>
    <row r="1454" ht="16.5" hidden="1" customHeight="1">
      <c r="A1454" s="131" t="s">
        <v>9834</v>
      </c>
      <c r="B1454" s="132">
        <v>45869.0</v>
      </c>
      <c r="C1454" s="33">
        <v>8.07000032736E11</v>
      </c>
      <c r="D1454" s="33" t="s">
        <v>9835</v>
      </c>
      <c r="E1454" s="33" t="s">
        <v>9836</v>
      </c>
      <c r="F1454" s="123" t="s">
        <v>9837</v>
      </c>
      <c r="G1454" s="123" t="s">
        <v>247</v>
      </c>
      <c r="H1454" s="123">
        <v>4400.0</v>
      </c>
      <c r="I1454" s="33" t="s">
        <v>3512</v>
      </c>
      <c r="J1454" s="33" t="s">
        <v>3513</v>
      </c>
      <c r="K1454" s="33">
        <v>12.0</v>
      </c>
      <c r="L1454" s="124" t="s">
        <v>9838</v>
      </c>
      <c r="M1454" s="31"/>
    </row>
    <row r="1455" hidden="1">
      <c r="A1455" s="131" t="s">
        <v>9834</v>
      </c>
      <c r="B1455" s="132">
        <v>45869.0</v>
      </c>
      <c r="C1455" s="33">
        <v>8.07000032737E11</v>
      </c>
      <c r="D1455" s="33" t="s">
        <v>9835</v>
      </c>
      <c r="E1455" s="33" t="s">
        <v>9836</v>
      </c>
      <c r="F1455" s="123" t="s">
        <v>9837</v>
      </c>
      <c r="G1455" s="123" t="s">
        <v>247</v>
      </c>
      <c r="H1455" s="123">
        <v>4400.0</v>
      </c>
      <c r="I1455" s="33" t="s">
        <v>8146</v>
      </c>
      <c r="J1455" s="33" t="s">
        <v>8147</v>
      </c>
      <c r="K1455" s="33">
        <v>1.0</v>
      </c>
      <c r="L1455" s="124">
        <v>3.874588855E9</v>
      </c>
      <c r="M1455" s="31"/>
    </row>
    <row r="1456" ht="16.5" hidden="1" customHeight="1">
      <c r="A1456" s="131" t="s">
        <v>9834</v>
      </c>
      <c r="B1456" s="132">
        <v>45869.0</v>
      </c>
      <c r="C1456" s="33">
        <v>8.07000032737E11</v>
      </c>
      <c r="D1456" s="33" t="s">
        <v>9835</v>
      </c>
      <c r="E1456" s="33" t="s">
        <v>9836</v>
      </c>
      <c r="F1456" s="123" t="s">
        <v>9837</v>
      </c>
      <c r="G1456" s="123" t="s">
        <v>247</v>
      </c>
      <c r="H1456" s="123">
        <v>4400.0</v>
      </c>
      <c r="I1456" s="33" t="s">
        <v>6835</v>
      </c>
      <c r="J1456" s="33" t="s">
        <v>8150</v>
      </c>
      <c r="K1456" s="33">
        <v>2.0</v>
      </c>
      <c r="L1456" s="124">
        <v>3.874588855E9</v>
      </c>
      <c r="M1456" s="31"/>
    </row>
    <row r="1457" hidden="1">
      <c r="A1457" s="131" t="s">
        <v>9839</v>
      </c>
      <c r="B1457" s="132">
        <v>45869.0</v>
      </c>
      <c r="C1457" s="33">
        <v>8.07000032712E11</v>
      </c>
      <c r="D1457" s="33" t="s">
        <v>9840</v>
      </c>
      <c r="E1457" s="33" t="s">
        <v>9841</v>
      </c>
      <c r="F1457" s="123" t="s">
        <v>9842</v>
      </c>
      <c r="G1457" s="123" t="s">
        <v>247</v>
      </c>
      <c r="H1457" s="123">
        <v>4400.0</v>
      </c>
      <c r="I1457" s="33" t="s">
        <v>8532</v>
      </c>
      <c r="J1457" s="33" t="s">
        <v>8533</v>
      </c>
      <c r="K1457" s="33">
        <v>1.0</v>
      </c>
      <c r="L1457" s="124">
        <v>3.815300025E9</v>
      </c>
      <c r="M1457" s="31"/>
    </row>
    <row r="1458" ht="16.5" hidden="1" customHeight="1">
      <c r="A1458" s="131" t="s">
        <v>9843</v>
      </c>
      <c r="B1458" s="132">
        <v>45869.0</v>
      </c>
      <c r="C1458" s="33">
        <v>8.07000032714E11</v>
      </c>
      <c r="D1458" s="33" t="s">
        <v>9844</v>
      </c>
      <c r="E1458" s="33" t="s">
        <v>9845</v>
      </c>
      <c r="F1458" s="123" t="s">
        <v>9846</v>
      </c>
      <c r="G1458" s="123" t="s">
        <v>247</v>
      </c>
      <c r="H1458" s="123">
        <v>4400.0</v>
      </c>
      <c r="I1458" s="33" t="s">
        <v>947</v>
      </c>
      <c r="J1458" s="33" t="s">
        <v>3750</v>
      </c>
      <c r="K1458" s="33">
        <v>1.0</v>
      </c>
      <c r="L1458" s="124">
        <v>3.875000727E9</v>
      </c>
      <c r="M1458" s="31"/>
    </row>
    <row r="1459" hidden="1">
      <c r="A1459" s="131" t="s">
        <v>9847</v>
      </c>
      <c r="B1459" s="132">
        <v>45869.0</v>
      </c>
      <c r="C1459" s="33">
        <v>8.0700003273E11</v>
      </c>
      <c r="D1459" s="33" t="s">
        <v>9848</v>
      </c>
      <c r="E1459" s="33" t="s">
        <v>8810</v>
      </c>
      <c r="F1459" s="123" t="s">
        <v>9849</v>
      </c>
      <c r="G1459" s="123" t="s">
        <v>624</v>
      </c>
      <c r="H1459" s="123">
        <v>4403.0</v>
      </c>
      <c r="I1459" s="33" t="s">
        <v>2956</v>
      </c>
      <c r="J1459" s="33" t="s">
        <v>3327</v>
      </c>
      <c r="K1459" s="33">
        <v>1.0</v>
      </c>
      <c r="L1459" s="124">
        <v>3.874446613E9</v>
      </c>
      <c r="M1459" s="31"/>
    </row>
    <row r="1460" ht="16.5" hidden="1" customHeight="1">
      <c r="A1460" s="131" t="s">
        <v>9850</v>
      </c>
      <c r="B1460" s="132">
        <v>45869.0</v>
      </c>
      <c r="C1460" s="33">
        <v>8.07000032709E11</v>
      </c>
      <c r="D1460" s="33" t="s">
        <v>9851</v>
      </c>
      <c r="E1460" s="33" t="s">
        <v>9852</v>
      </c>
      <c r="F1460" s="123" t="s">
        <v>9853</v>
      </c>
      <c r="G1460" s="123" t="s">
        <v>247</v>
      </c>
      <c r="H1460" s="123">
        <v>4400.0</v>
      </c>
      <c r="I1460" s="33" t="s">
        <v>3484</v>
      </c>
      <c r="J1460" s="33" t="s">
        <v>3485</v>
      </c>
      <c r="K1460" s="33">
        <v>1.0</v>
      </c>
      <c r="L1460" s="124">
        <v>3.875633792E9</v>
      </c>
      <c r="M1460" s="31"/>
    </row>
    <row r="1461" hidden="1">
      <c r="A1461" s="131" t="s">
        <v>9854</v>
      </c>
      <c r="B1461" s="132">
        <v>45869.0</v>
      </c>
      <c r="C1461" s="33">
        <v>8.07000032733E11</v>
      </c>
      <c r="D1461" s="33" t="s">
        <v>9855</v>
      </c>
      <c r="E1461" s="33" t="s">
        <v>9856</v>
      </c>
      <c r="F1461" s="123" t="s">
        <v>9857</v>
      </c>
      <c r="G1461" s="123" t="s">
        <v>247</v>
      </c>
      <c r="H1461" s="123">
        <v>4400.0</v>
      </c>
      <c r="I1461" s="33">
        <v>125819.0</v>
      </c>
      <c r="J1461" s="33" t="s">
        <v>9858</v>
      </c>
      <c r="K1461" s="33">
        <v>4.0</v>
      </c>
      <c r="L1461" s="124">
        <v>3.874739498E9</v>
      </c>
      <c r="M1461" s="31"/>
    </row>
    <row r="1462" ht="16.5" hidden="1" customHeight="1">
      <c r="A1462" s="131" t="s">
        <v>9854</v>
      </c>
      <c r="B1462" s="132">
        <v>45869.0</v>
      </c>
      <c r="C1462" s="33">
        <v>8.07000032733E11</v>
      </c>
      <c r="D1462" s="33" t="s">
        <v>9855</v>
      </c>
      <c r="E1462" s="33" t="s">
        <v>9856</v>
      </c>
      <c r="F1462" s="123" t="s">
        <v>9857</v>
      </c>
      <c r="G1462" s="123" t="s">
        <v>247</v>
      </c>
      <c r="H1462" s="123">
        <v>4400.0</v>
      </c>
      <c r="I1462" s="33">
        <v>2.2345249143E10</v>
      </c>
      <c r="J1462" s="33" t="s">
        <v>9334</v>
      </c>
      <c r="K1462" s="33">
        <v>1.0</v>
      </c>
      <c r="L1462" s="124">
        <v>3.874739498E9</v>
      </c>
      <c r="M1462" s="31"/>
    </row>
    <row r="1463" hidden="1">
      <c r="A1463" s="131" t="s">
        <v>9854</v>
      </c>
      <c r="B1463" s="132">
        <v>45869.0</v>
      </c>
      <c r="C1463" s="33">
        <v>8.07000032733E11</v>
      </c>
      <c r="D1463" s="33" t="s">
        <v>9855</v>
      </c>
      <c r="E1463" s="33" t="s">
        <v>9856</v>
      </c>
      <c r="F1463" s="123" t="s">
        <v>9857</v>
      </c>
      <c r="G1463" s="123" t="s">
        <v>247</v>
      </c>
      <c r="H1463" s="123">
        <v>4400.0</v>
      </c>
      <c r="I1463" s="33">
        <v>2.2346229143E10</v>
      </c>
      <c r="J1463" s="33" t="s">
        <v>8720</v>
      </c>
      <c r="K1463" s="33">
        <v>1.0</v>
      </c>
      <c r="L1463" s="124">
        <v>3.874739498E9</v>
      </c>
      <c r="M1463" s="31"/>
    </row>
    <row r="1464" ht="16.5" hidden="1" customHeight="1">
      <c r="A1464" s="131" t="s">
        <v>9854</v>
      </c>
      <c r="B1464" s="132">
        <v>45869.0</v>
      </c>
      <c r="C1464" s="33">
        <v>8.07000032733E11</v>
      </c>
      <c r="D1464" s="33" t="s">
        <v>9855</v>
      </c>
      <c r="E1464" s="33" t="s">
        <v>9856</v>
      </c>
      <c r="F1464" s="123" t="s">
        <v>9857</v>
      </c>
      <c r="G1464" s="123" t="s">
        <v>247</v>
      </c>
      <c r="H1464" s="123">
        <v>4400.0</v>
      </c>
      <c r="I1464" s="33">
        <v>2.2346259141E10</v>
      </c>
      <c r="J1464" s="33" t="s">
        <v>8121</v>
      </c>
      <c r="K1464" s="33">
        <v>1.0</v>
      </c>
      <c r="L1464" s="124">
        <v>3.874739498E9</v>
      </c>
      <c r="M1464" s="31"/>
    </row>
    <row r="1465" hidden="1">
      <c r="A1465" s="131" t="s">
        <v>9859</v>
      </c>
      <c r="B1465" s="132">
        <v>45869.0</v>
      </c>
      <c r="C1465" s="33">
        <v>8.07000032734E11</v>
      </c>
      <c r="D1465" s="33" t="s">
        <v>9855</v>
      </c>
      <c r="E1465" s="33" t="s">
        <v>9856</v>
      </c>
      <c r="F1465" s="123" t="s">
        <v>9857</v>
      </c>
      <c r="G1465" s="123" t="s">
        <v>247</v>
      </c>
      <c r="H1465" s="123">
        <v>4400.0</v>
      </c>
      <c r="I1465" s="33" t="s">
        <v>512</v>
      </c>
      <c r="J1465" s="33" t="s">
        <v>513</v>
      </c>
      <c r="K1465" s="33">
        <v>6.0</v>
      </c>
      <c r="L1465" s="124">
        <v>3.874739498E9</v>
      </c>
      <c r="M1465" s="31"/>
    </row>
    <row r="1466" ht="16.5" hidden="1" customHeight="1">
      <c r="A1466" s="131" t="s">
        <v>9859</v>
      </c>
      <c r="B1466" s="132">
        <v>45869.0</v>
      </c>
      <c r="C1466" s="33">
        <v>8.07000032735E11</v>
      </c>
      <c r="D1466" s="33" t="s">
        <v>9855</v>
      </c>
      <c r="E1466" s="33" t="s">
        <v>9856</v>
      </c>
      <c r="F1466" s="123" t="s">
        <v>9857</v>
      </c>
      <c r="G1466" s="123" t="s">
        <v>247</v>
      </c>
      <c r="H1466" s="123">
        <v>4400.0</v>
      </c>
      <c r="I1466" s="33" t="s">
        <v>1379</v>
      </c>
      <c r="J1466" s="33" t="s">
        <v>7653</v>
      </c>
      <c r="K1466" s="33">
        <v>1.0</v>
      </c>
      <c r="L1466" s="124">
        <v>3.874739498E9</v>
      </c>
      <c r="M1466" s="31"/>
    </row>
    <row r="1467" hidden="1">
      <c r="A1467" s="131" t="s">
        <v>9859</v>
      </c>
      <c r="B1467" s="132">
        <v>45869.0</v>
      </c>
      <c r="C1467" s="33">
        <v>8.07000032735E11</v>
      </c>
      <c r="D1467" s="33" t="s">
        <v>9855</v>
      </c>
      <c r="E1467" s="33" t="s">
        <v>9856</v>
      </c>
      <c r="F1467" s="123" t="s">
        <v>9857</v>
      </c>
      <c r="G1467" s="123" t="s">
        <v>247</v>
      </c>
      <c r="H1467" s="123">
        <v>4400.0</v>
      </c>
      <c r="I1467" s="33" t="s">
        <v>35</v>
      </c>
      <c r="J1467" s="33" t="s">
        <v>3188</v>
      </c>
      <c r="K1467" s="33">
        <v>1.0</v>
      </c>
      <c r="L1467" s="124">
        <v>3.874739498E9</v>
      </c>
      <c r="M1467" s="31"/>
    </row>
    <row r="1468" ht="16.5" hidden="1" customHeight="1">
      <c r="A1468" s="131" t="s">
        <v>9860</v>
      </c>
      <c r="B1468" s="132">
        <v>45869.0</v>
      </c>
      <c r="C1468" s="33">
        <v>8.0700003274E11</v>
      </c>
      <c r="D1468" s="33" t="s">
        <v>9861</v>
      </c>
      <c r="E1468" s="33" t="s">
        <v>9862</v>
      </c>
      <c r="F1468" s="123" t="s">
        <v>9863</v>
      </c>
      <c r="G1468" s="123" t="s">
        <v>247</v>
      </c>
      <c r="H1468" s="123">
        <v>4400.0</v>
      </c>
      <c r="I1468" s="33" t="s">
        <v>512</v>
      </c>
      <c r="J1468" s="33" t="s">
        <v>513</v>
      </c>
      <c r="K1468" s="33">
        <v>6.0</v>
      </c>
      <c r="L1468" s="124">
        <v>3.875319467E9</v>
      </c>
      <c r="M1468" s="31"/>
    </row>
    <row r="1469" hidden="1">
      <c r="A1469" s="131" t="s">
        <v>9860</v>
      </c>
      <c r="B1469" s="132">
        <v>45869.0</v>
      </c>
      <c r="C1469" s="33">
        <v>8.07000032741E11</v>
      </c>
      <c r="D1469" s="33" t="s">
        <v>9861</v>
      </c>
      <c r="E1469" s="33" t="s">
        <v>9862</v>
      </c>
      <c r="F1469" s="123" t="s">
        <v>9863</v>
      </c>
      <c r="G1469" s="123" t="s">
        <v>247</v>
      </c>
      <c r="H1469" s="123">
        <v>4400.0</v>
      </c>
      <c r="I1469" s="33" t="s">
        <v>22</v>
      </c>
      <c r="J1469" s="33" t="s">
        <v>4013</v>
      </c>
      <c r="K1469" s="33">
        <v>1.0</v>
      </c>
      <c r="L1469" s="124">
        <v>3.875319467E9</v>
      </c>
      <c r="M1469" s="31"/>
    </row>
    <row r="1470" ht="16.5" hidden="1" customHeight="1">
      <c r="A1470" s="131" t="s">
        <v>9860</v>
      </c>
      <c r="B1470" s="132">
        <v>45869.0</v>
      </c>
      <c r="C1470" s="33">
        <v>8.07000032741E11</v>
      </c>
      <c r="D1470" s="33" t="s">
        <v>9861</v>
      </c>
      <c r="E1470" s="33" t="s">
        <v>9862</v>
      </c>
      <c r="F1470" s="123" t="s">
        <v>9863</v>
      </c>
      <c r="G1470" s="123" t="s">
        <v>247</v>
      </c>
      <c r="H1470" s="123">
        <v>4400.0</v>
      </c>
      <c r="I1470" s="33" t="s">
        <v>25</v>
      </c>
      <c r="J1470" s="33" t="s">
        <v>3401</v>
      </c>
      <c r="K1470" s="33">
        <v>1.0</v>
      </c>
      <c r="L1470" s="124">
        <v>3.875319467E9</v>
      </c>
      <c r="M1470" s="31"/>
    </row>
    <row r="1471" hidden="1">
      <c r="A1471" s="131" t="s">
        <v>9864</v>
      </c>
      <c r="B1471" s="132">
        <v>45869.0</v>
      </c>
      <c r="C1471" s="33">
        <v>8.07000032743E11</v>
      </c>
      <c r="D1471" s="33" t="s">
        <v>9865</v>
      </c>
      <c r="E1471" s="33" t="s">
        <v>9866</v>
      </c>
      <c r="F1471" s="123" t="s">
        <v>9867</v>
      </c>
      <c r="G1471" s="123" t="s">
        <v>1038</v>
      </c>
      <c r="H1471" s="123">
        <v>4400.0</v>
      </c>
      <c r="I1471" s="33">
        <v>916212.0</v>
      </c>
      <c r="J1471" s="33" t="s">
        <v>9868</v>
      </c>
      <c r="K1471" s="33">
        <v>1.0</v>
      </c>
      <c r="L1471" s="124">
        <v>3.875698768E9</v>
      </c>
      <c r="M1471" s="31"/>
    </row>
    <row r="1472" ht="16.5" hidden="1" customHeight="1">
      <c r="A1472" s="131" t="s">
        <v>9864</v>
      </c>
      <c r="B1472" s="132">
        <v>45869.0</v>
      </c>
      <c r="C1472" s="33">
        <v>8.07000032743E11</v>
      </c>
      <c r="D1472" s="33" t="s">
        <v>9865</v>
      </c>
      <c r="E1472" s="33" t="s">
        <v>9866</v>
      </c>
      <c r="F1472" s="123" t="s">
        <v>9867</v>
      </c>
      <c r="G1472" s="123" t="s">
        <v>1038</v>
      </c>
      <c r="H1472" s="123">
        <v>4400.0</v>
      </c>
      <c r="I1472" s="33">
        <v>87611.0</v>
      </c>
      <c r="J1472" s="33" t="s">
        <v>9869</v>
      </c>
      <c r="K1472" s="33">
        <v>2.0</v>
      </c>
      <c r="L1472" s="124">
        <v>3.875698768E9</v>
      </c>
      <c r="M1472" s="31"/>
    </row>
    <row r="1473" hidden="1">
      <c r="A1473" s="131" t="s">
        <v>9870</v>
      </c>
      <c r="B1473" s="132">
        <v>45871.0</v>
      </c>
      <c r="C1473" s="33">
        <v>8.07000032747E11</v>
      </c>
      <c r="D1473" s="33" t="s">
        <v>9871</v>
      </c>
      <c r="E1473" s="33" t="s">
        <v>9872</v>
      </c>
      <c r="F1473" s="123" t="s">
        <v>9873</v>
      </c>
      <c r="G1473" s="123" t="s">
        <v>624</v>
      </c>
      <c r="H1473" s="123">
        <v>4403.0</v>
      </c>
      <c r="I1473" s="33">
        <v>125818.0</v>
      </c>
      <c r="J1473" s="33" t="s">
        <v>4334</v>
      </c>
      <c r="K1473" s="33">
        <v>2.0</v>
      </c>
      <c r="L1473" s="124" t="s">
        <v>9874</v>
      </c>
      <c r="M1473" s="31"/>
    </row>
    <row r="1474" ht="16.5" hidden="1" customHeight="1">
      <c r="A1474" s="131" t="s">
        <v>9870</v>
      </c>
      <c r="B1474" s="132">
        <v>45871.0</v>
      </c>
      <c r="C1474" s="33">
        <v>8.07000032748E11</v>
      </c>
      <c r="D1474" s="33" t="s">
        <v>9871</v>
      </c>
      <c r="E1474" s="33" t="s">
        <v>9872</v>
      </c>
      <c r="F1474" s="123" t="s">
        <v>9873</v>
      </c>
      <c r="G1474" s="123" t="s">
        <v>624</v>
      </c>
      <c r="H1474" s="123">
        <v>4403.0</v>
      </c>
      <c r="I1474" s="33" t="s">
        <v>971</v>
      </c>
      <c r="J1474" s="33" t="s">
        <v>4477</v>
      </c>
      <c r="K1474" s="33">
        <v>1.0</v>
      </c>
      <c r="L1474" s="124" t="s">
        <v>9874</v>
      </c>
      <c r="M1474" s="31"/>
    </row>
    <row r="1475" hidden="1">
      <c r="A1475" s="131" t="s">
        <v>9875</v>
      </c>
      <c r="B1475" s="132">
        <v>45871.0</v>
      </c>
      <c r="C1475" s="33">
        <v>8.0700003275E11</v>
      </c>
      <c r="D1475" s="33" t="s">
        <v>9876</v>
      </c>
      <c r="E1475" s="33" t="s">
        <v>9877</v>
      </c>
      <c r="F1475" s="123" t="s">
        <v>9878</v>
      </c>
      <c r="G1475" s="123" t="s">
        <v>247</v>
      </c>
      <c r="H1475" s="123">
        <v>4400.0</v>
      </c>
      <c r="I1475" s="33" t="s">
        <v>512</v>
      </c>
      <c r="J1475" s="33" t="s">
        <v>513</v>
      </c>
      <c r="K1475" s="33">
        <v>12.0</v>
      </c>
      <c r="L1475" s="124" t="s">
        <v>9879</v>
      </c>
      <c r="M1475" s="31"/>
    </row>
    <row r="1476" ht="16.5" hidden="1" customHeight="1">
      <c r="A1476" s="131" t="s">
        <v>9875</v>
      </c>
      <c r="B1476" s="132">
        <v>45871.0</v>
      </c>
      <c r="C1476" s="33">
        <v>8.07000032751E11</v>
      </c>
      <c r="D1476" s="33" t="s">
        <v>9876</v>
      </c>
      <c r="E1476" s="33" t="s">
        <v>9877</v>
      </c>
      <c r="F1476" s="123" t="s">
        <v>9878</v>
      </c>
      <c r="G1476" s="123" t="s">
        <v>247</v>
      </c>
      <c r="H1476" s="123">
        <v>4400.0</v>
      </c>
      <c r="I1476" s="33" t="s">
        <v>3484</v>
      </c>
      <c r="J1476" s="33" t="s">
        <v>3485</v>
      </c>
      <c r="K1476" s="33">
        <v>1.0</v>
      </c>
      <c r="L1476" s="124" t="s">
        <v>9879</v>
      </c>
      <c r="M1476" s="31"/>
    </row>
    <row r="1477" hidden="1">
      <c r="A1477" s="131" t="s">
        <v>9875</v>
      </c>
      <c r="B1477" s="132">
        <v>45871.0</v>
      </c>
      <c r="C1477" s="33">
        <v>8.07000032751E11</v>
      </c>
      <c r="D1477" s="33" t="s">
        <v>9876</v>
      </c>
      <c r="E1477" s="33" t="s">
        <v>9877</v>
      </c>
      <c r="F1477" s="123" t="s">
        <v>9878</v>
      </c>
      <c r="G1477" s="123" t="s">
        <v>247</v>
      </c>
      <c r="H1477" s="123">
        <v>4400.0</v>
      </c>
      <c r="I1477" s="33" t="s">
        <v>340</v>
      </c>
      <c r="J1477" s="33" t="s">
        <v>3486</v>
      </c>
      <c r="K1477" s="33">
        <v>2.0</v>
      </c>
      <c r="L1477" s="124" t="s">
        <v>9879</v>
      </c>
      <c r="M1477" s="31"/>
    </row>
    <row r="1478" ht="16.5" hidden="1" customHeight="1">
      <c r="A1478" s="131" t="s">
        <v>9880</v>
      </c>
      <c r="B1478" s="132">
        <v>45871.0</v>
      </c>
      <c r="C1478" s="33">
        <v>8.07000032757E11</v>
      </c>
      <c r="D1478" s="33" t="s">
        <v>9881</v>
      </c>
      <c r="E1478" s="33" t="s">
        <v>9882</v>
      </c>
      <c r="F1478" s="123" t="s">
        <v>9883</v>
      </c>
      <c r="G1478" s="123" t="s">
        <v>247</v>
      </c>
      <c r="H1478" s="123">
        <v>4400.0</v>
      </c>
      <c r="I1478" s="33" t="s">
        <v>298</v>
      </c>
      <c r="J1478" s="33" t="s">
        <v>6035</v>
      </c>
      <c r="K1478" s="33">
        <v>1.0</v>
      </c>
      <c r="L1478" s="124" t="s">
        <v>9884</v>
      </c>
      <c r="M1478" s="31" t="s">
        <v>9885</v>
      </c>
    </row>
    <row r="1479" hidden="1">
      <c r="A1479" s="131" t="s">
        <v>9886</v>
      </c>
      <c r="B1479" s="132">
        <v>45871.0</v>
      </c>
      <c r="C1479" s="33">
        <v>8.07000032758E11</v>
      </c>
      <c r="D1479" s="33" t="s">
        <v>9887</v>
      </c>
      <c r="E1479" s="33" t="s">
        <v>9888</v>
      </c>
      <c r="F1479" s="123" t="s">
        <v>9889</v>
      </c>
      <c r="G1479" s="123" t="s">
        <v>247</v>
      </c>
      <c r="H1479" s="123">
        <v>4400.0</v>
      </c>
      <c r="I1479" s="33" t="s">
        <v>512</v>
      </c>
      <c r="J1479" s="33" t="s">
        <v>513</v>
      </c>
      <c r="K1479" s="33">
        <v>6.0</v>
      </c>
      <c r="L1479" s="124" t="s">
        <v>9890</v>
      </c>
      <c r="M1479" s="31"/>
    </row>
    <row r="1480" hidden="1">
      <c r="A1480" s="131" t="s">
        <v>9886</v>
      </c>
      <c r="B1480" s="132">
        <v>45871.0</v>
      </c>
      <c r="C1480" s="33">
        <v>8.07000032759E11</v>
      </c>
      <c r="D1480" s="33" t="s">
        <v>9887</v>
      </c>
      <c r="E1480" s="33" t="s">
        <v>9888</v>
      </c>
      <c r="F1480" s="123" t="s">
        <v>9889</v>
      </c>
      <c r="G1480" s="123" t="s">
        <v>247</v>
      </c>
      <c r="H1480" s="123">
        <v>4400.0</v>
      </c>
      <c r="I1480" s="33" t="s">
        <v>3407</v>
      </c>
      <c r="J1480" s="33" t="s">
        <v>3408</v>
      </c>
      <c r="K1480" s="33">
        <v>1.0</v>
      </c>
      <c r="L1480" s="124" t="s">
        <v>9890</v>
      </c>
      <c r="M1480" s="31"/>
    </row>
    <row r="1481" hidden="1">
      <c r="A1481" s="131" t="s">
        <v>9886</v>
      </c>
      <c r="B1481" s="132">
        <v>45871.0</v>
      </c>
      <c r="C1481" s="33">
        <v>8.07000032759E11</v>
      </c>
      <c r="D1481" s="33" t="s">
        <v>9887</v>
      </c>
      <c r="E1481" s="33" t="s">
        <v>9888</v>
      </c>
      <c r="F1481" s="123" t="s">
        <v>9889</v>
      </c>
      <c r="G1481" s="123" t="s">
        <v>247</v>
      </c>
      <c r="H1481" s="123">
        <v>4400.0</v>
      </c>
      <c r="I1481" s="33" t="s">
        <v>1749</v>
      </c>
      <c r="J1481" s="33" t="s">
        <v>3240</v>
      </c>
      <c r="K1481" s="33">
        <v>1.0</v>
      </c>
      <c r="L1481" s="124" t="s">
        <v>9890</v>
      </c>
      <c r="M1481" s="31"/>
    </row>
    <row r="1482" hidden="1">
      <c r="A1482" s="131" t="s">
        <v>9891</v>
      </c>
      <c r="B1482" s="132">
        <v>45871.0</v>
      </c>
      <c r="C1482" s="33">
        <v>8.0700003276E11</v>
      </c>
      <c r="D1482" s="33" t="s">
        <v>9892</v>
      </c>
      <c r="E1482" s="33" t="s">
        <v>9893</v>
      </c>
      <c r="F1482" s="123" t="s">
        <v>9894</v>
      </c>
      <c r="G1482" s="123" t="s">
        <v>247</v>
      </c>
      <c r="H1482" s="123">
        <v>4400.0</v>
      </c>
      <c r="I1482" s="33" t="s">
        <v>7955</v>
      </c>
      <c r="J1482" s="33" t="s">
        <v>7956</v>
      </c>
      <c r="K1482" s="33">
        <v>1.0</v>
      </c>
      <c r="L1482" s="124" t="s">
        <v>9895</v>
      </c>
      <c r="M1482" s="31"/>
    </row>
    <row r="1483" hidden="1">
      <c r="A1483" s="131" t="s">
        <v>9896</v>
      </c>
      <c r="B1483" s="132">
        <v>45871.0</v>
      </c>
      <c r="C1483" s="33">
        <v>8.07000032769E11</v>
      </c>
      <c r="D1483" s="33" t="s">
        <v>9897</v>
      </c>
      <c r="E1483" s="33" t="s">
        <v>9898</v>
      </c>
      <c r="F1483" s="123" t="s">
        <v>9899</v>
      </c>
      <c r="G1483" s="123" t="s">
        <v>247</v>
      </c>
      <c r="H1483" s="123">
        <v>4400.0</v>
      </c>
      <c r="I1483" s="189">
        <v>915846.0</v>
      </c>
      <c r="J1483" s="33" t="s">
        <v>9900</v>
      </c>
      <c r="K1483" s="33">
        <v>1.0</v>
      </c>
      <c r="L1483" s="124" t="s">
        <v>9901</v>
      </c>
      <c r="M1483" s="31"/>
    </row>
    <row r="1484" hidden="1">
      <c r="A1484" s="131" t="s">
        <v>9896</v>
      </c>
      <c r="B1484" s="132">
        <v>45871.0</v>
      </c>
      <c r="C1484" s="33">
        <v>8.0700003277E11</v>
      </c>
      <c r="D1484" s="33" t="s">
        <v>9897</v>
      </c>
      <c r="E1484" s="33" t="s">
        <v>9898</v>
      </c>
      <c r="F1484" s="123" t="s">
        <v>9899</v>
      </c>
      <c r="G1484" s="123" t="s">
        <v>247</v>
      </c>
      <c r="H1484" s="123">
        <v>4400.0</v>
      </c>
      <c r="I1484" s="33" t="s">
        <v>121</v>
      </c>
      <c r="J1484" s="33" t="s">
        <v>3199</v>
      </c>
      <c r="K1484" s="33">
        <v>2.0</v>
      </c>
      <c r="L1484" s="124" t="s">
        <v>9901</v>
      </c>
      <c r="M1484" s="31"/>
    </row>
    <row r="1485" hidden="1">
      <c r="A1485" s="131" t="s">
        <v>9902</v>
      </c>
      <c r="B1485" s="132">
        <v>45871.0</v>
      </c>
      <c r="C1485" s="33">
        <v>8.0700003278E11</v>
      </c>
      <c r="D1485" s="33" t="s">
        <v>9903</v>
      </c>
      <c r="E1485" s="33" t="s">
        <v>9904</v>
      </c>
      <c r="F1485" s="123" t="s">
        <v>9905</v>
      </c>
      <c r="G1485" s="123" t="s">
        <v>247</v>
      </c>
      <c r="H1485" s="123">
        <v>4400.0</v>
      </c>
      <c r="I1485" s="33" t="s">
        <v>9906</v>
      </c>
      <c r="J1485" s="33" t="s">
        <v>9907</v>
      </c>
      <c r="K1485" s="33">
        <v>1.0</v>
      </c>
      <c r="L1485" s="124" t="s">
        <v>9908</v>
      </c>
      <c r="M1485" s="31"/>
    </row>
    <row r="1486" hidden="1">
      <c r="A1486" s="131" t="s">
        <v>9909</v>
      </c>
      <c r="B1486" s="132">
        <v>45871.0</v>
      </c>
      <c r="C1486" s="33">
        <v>8.07000032781E11</v>
      </c>
      <c r="D1486" s="33" t="s">
        <v>9903</v>
      </c>
      <c r="E1486" s="33" t="s">
        <v>9904</v>
      </c>
      <c r="F1486" s="123" t="s">
        <v>9905</v>
      </c>
      <c r="G1486" s="123" t="s">
        <v>247</v>
      </c>
      <c r="H1486" s="123">
        <v>4400.0</v>
      </c>
      <c r="I1486" s="33" t="s">
        <v>758</v>
      </c>
      <c r="J1486" s="33" t="s">
        <v>3574</v>
      </c>
      <c r="K1486" s="33">
        <v>2.0</v>
      </c>
      <c r="L1486" s="124" t="s">
        <v>9908</v>
      </c>
      <c r="M1486" s="31"/>
    </row>
    <row r="1487" hidden="1">
      <c r="A1487" s="131" t="s">
        <v>9910</v>
      </c>
      <c r="B1487" s="122">
        <v>45873.0</v>
      </c>
      <c r="C1487" s="33">
        <v>8.07000032791E11</v>
      </c>
      <c r="D1487" s="33" t="s">
        <v>9911</v>
      </c>
      <c r="E1487" s="33" t="s">
        <v>9912</v>
      </c>
      <c r="F1487" s="123" t="s">
        <v>9913</v>
      </c>
      <c r="G1487" s="123" t="s">
        <v>247</v>
      </c>
      <c r="H1487" s="123">
        <v>4400.0</v>
      </c>
      <c r="I1487" s="33" t="s">
        <v>249</v>
      </c>
      <c r="J1487" s="33" t="s">
        <v>9324</v>
      </c>
      <c r="K1487" s="33">
        <v>1.0</v>
      </c>
      <c r="L1487" s="124" t="s">
        <v>9914</v>
      </c>
      <c r="M1487" s="31"/>
    </row>
    <row r="1488" hidden="1">
      <c r="A1488" s="140" t="s">
        <v>9915</v>
      </c>
      <c r="B1488" s="126">
        <v>45873.0</v>
      </c>
      <c r="C1488" s="125">
        <v>8.07000032796E11</v>
      </c>
      <c r="D1488" s="125" t="s">
        <v>9916</v>
      </c>
      <c r="E1488" s="125" t="s">
        <v>9917</v>
      </c>
      <c r="F1488" s="127" t="s">
        <v>9918</v>
      </c>
      <c r="G1488" s="127" t="s">
        <v>247</v>
      </c>
      <c r="H1488" s="127">
        <v>4400.0</v>
      </c>
      <c r="I1488" s="125" t="s">
        <v>8532</v>
      </c>
      <c r="J1488" s="125" t="s">
        <v>8533</v>
      </c>
      <c r="K1488" s="125">
        <v>2.0</v>
      </c>
      <c r="L1488" s="129" t="s">
        <v>9919</v>
      </c>
      <c r="M1488" s="136"/>
      <c r="N1488" s="179"/>
      <c r="O1488" s="179"/>
      <c r="P1488" s="179"/>
      <c r="Q1488" s="179"/>
      <c r="R1488" s="179"/>
      <c r="S1488" s="179"/>
      <c r="T1488" s="179"/>
      <c r="U1488" s="179"/>
      <c r="V1488" s="179"/>
      <c r="W1488" s="179"/>
      <c r="X1488" s="179"/>
      <c r="Y1488" s="179"/>
      <c r="Z1488" s="179"/>
      <c r="AA1488" s="179"/>
      <c r="AB1488" s="179"/>
      <c r="AC1488" s="179"/>
    </row>
    <row r="1489">
      <c r="A1489" s="131" t="s">
        <v>9915</v>
      </c>
      <c r="B1489" s="132">
        <v>45874.0</v>
      </c>
      <c r="C1489" s="33">
        <v>8.07000032777E11</v>
      </c>
      <c r="D1489" s="33" t="s">
        <v>9920</v>
      </c>
      <c r="E1489" s="33" t="s">
        <v>9921</v>
      </c>
      <c r="F1489" s="123" t="s">
        <v>9922</v>
      </c>
      <c r="G1489" s="123" t="s">
        <v>247</v>
      </c>
      <c r="H1489" s="123">
        <v>4400.0</v>
      </c>
      <c r="I1489" s="33" t="s">
        <v>512</v>
      </c>
      <c r="J1489" s="33" t="s">
        <v>513</v>
      </c>
      <c r="K1489" s="33">
        <v>12.0</v>
      </c>
      <c r="L1489" s="124" t="s">
        <v>9923</v>
      </c>
      <c r="M1489" s="31"/>
    </row>
    <row r="1490">
      <c r="A1490" s="131" t="s">
        <v>9915</v>
      </c>
      <c r="B1490" s="132">
        <v>45874.0</v>
      </c>
      <c r="C1490" s="33">
        <v>8.07000032778E11</v>
      </c>
      <c r="D1490" s="33" t="s">
        <v>9920</v>
      </c>
      <c r="E1490" s="33" t="s">
        <v>9921</v>
      </c>
      <c r="F1490" s="123" t="s">
        <v>9922</v>
      </c>
      <c r="G1490" s="123" t="s">
        <v>247</v>
      </c>
      <c r="H1490" s="123">
        <v>4400.0</v>
      </c>
      <c r="I1490" s="33" t="s">
        <v>761</v>
      </c>
      <c r="J1490" s="33" t="s">
        <v>3761</v>
      </c>
      <c r="K1490" s="33">
        <v>1.0</v>
      </c>
      <c r="L1490" s="124" t="s">
        <v>9923</v>
      </c>
      <c r="M1490" s="31"/>
    </row>
    <row r="1491">
      <c r="A1491" s="131" t="s">
        <v>9915</v>
      </c>
      <c r="B1491" s="132">
        <v>45874.0</v>
      </c>
      <c r="C1491" s="33">
        <v>8.07000032778E11</v>
      </c>
      <c r="D1491" s="33" t="s">
        <v>9920</v>
      </c>
      <c r="E1491" s="33" t="s">
        <v>9921</v>
      </c>
      <c r="F1491" s="123" t="s">
        <v>9922</v>
      </c>
      <c r="G1491" s="123" t="s">
        <v>247</v>
      </c>
      <c r="H1491" s="123">
        <v>4400.0</v>
      </c>
      <c r="I1491" s="33" t="s">
        <v>758</v>
      </c>
      <c r="J1491" s="33" t="s">
        <v>3574</v>
      </c>
      <c r="K1491" s="33">
        <v>2.0</v>
      </c>
      <c r="L1491" s="124" t="s">
        <v>9923</v>
      </c>
      <c r="M1491" s="31"/>
    </row>
    <row r="1492">
      <c r="A1492" s="131" t="s">
        <v>9924</v>
      </c>
      <c r="B1492" s="215"/>
      <c r="C1492" s="216"/>
      <c r="D1492" s="216"/>
      <c r="E1492" s="216"/>
      <c r="F1492" s="216"/>
      <c r="G1492" s="216"/>
      <c r="H1492" s="216"/>
      <c r="I1492" s="216"/>
      <c r="J1492" s="216"/>
      <c r="K1492" s="216"/>
      <c r="L1492" s="216"/>
      <c r="M1492" s="216"/>
      <c r="N1492" s="217"/>
    </row>
    <row r="1493">
      <c r="A1493" s="131" t="s">
        <v>9925</v>
      </c>
      <c r="B1493" s="132">
        <v>45874.0</v>
      </c>
      <c r="C1493" s="33">
        <v>8.07000032805E11</v>
      </c>
      <c r="D1493" s="33" t="s">
        <v>9926</v>
      </c>
      <c r="E1493" s="33" t="s">
        <v>9927</v>
      </c>
      <c r="F1493" s="123" t="s">
        <v>9928</v>
      </c>
      <c r="G1493" s="123" t="s">
        <v>247</v>
      </c>
      <c r="H1493" s="123">
        <v>4400.0</v>
      </c>
      <c r="I1493" s="33" t="s">
        <v>3074</v>
      </c>
      <c r="J1493" s="33" t="s">
        <v>3232</v>
      </c>
      <c r="K1493" s="33">
        <v>1.0</v>
      </c>
      <c r="L1493" s="124" t="s">
        <v>9929</v>
      </c>
      <c r="M1493" s="31"/>
    </row>
    <row r="1494">
      <c r="A1494" s="131" t="s">
        <v>9925</v>
      </c>
      <c r="B1494" s="132">
        <v>45874.0</v>
      </c>
      <c r="C1494" s="33">
        <v>8.07000032805E11</v>
      </c>
      <c r="D1494" s="33" t="s">
        <v>9926</v>
      </c>
      <c r="E1494" s="33" t="s">
        <v>9927</v>
      </c>
      <c r="F1494" s="123" t="s">
        <v>9928</v>
      </c>
      <c r="G1494" s="123" t="s">
        <v>247</v>
      </c>
      <c r="H1494" s="123">
        <v>4400.0</v>
      </c>
      <c r="I1494" s="33" t="s">
        <v>512</v>
      </c>
      <c r="J1494" s="33" t="s">
        <v>513</v>
      </c>
      <c r="K1494" s="33">
        <v>6.0</v>
      </c>
      <c r="L1494" s="124" t="s">
        <v>9929</v>
      </c>
      <c r="M1494" s="31"/>
    </row>
    <row r="1495">
      <c r="A1495" s="131" t="s">
        <v>9925</v>
      </c>
      <c r="B1495" s="132">
        <v>45874.0</v>
      </c>
      <c r="C1495" s="33">
        <v>8.07000032805E11</v>
      </c>
      <c r="D1495" s="33" t="s">
        <v>9926</v>
      </c>
      <c r="E1495" s="33" t="s">
        <v>9927</v>
      </c>
      <c r="F1495" s="123" t="s">
        <v>9928</v>
      </c>
      <c r="G1495" s="123" t="s">
        <v>247</v>
      </c>
      <c r="H1495" s="123">
        <v>4400.0</v>
      </c>
      <c r="I1495" s="33" t="s">
        <v>670</v>
      </c>
      <c r="J1495" s="33" t="s">
        <v>3410</v>
      </c>
      <c r="K1495" s="33">
        <v>1.0</v>
      </c>
      <c r="L1495" s="124" t="s">
        <v>9929</v>
      </c>
      <c r="M1495" s="31"/>
    </row>
    <row r="1496">
      <c r="A1496" s="131" t="s">
        <v>9930</v>
      </c>
      <c r="B1496" s="132">
        <v>45874.0</v>
      </c>
      <c r="C1496" s="33">
        <v>8.07000032818E11</v>
      </c>
      <c r="D1496" s="33" t="s">
        <v>9931</v>
      </c>
      <c r="E1496" s="33" t="s">
        <v>9932</v>
      </c>
      <c r="F1496" s="123" t="s">
        <v>9933</v>
      </c>
      <c r="G1496" s="123" t="s">
        <v>247</v>
      </c>
      <c r="H1496" s="123">
        <v>4400.0</v>
      </c>
      <c r="I1496" s="33" t="s">
        <v>50</v>
      </c>
      <c r="J1496" s="33" t="s">
        <v>51</v>
      </c>
      <c r="K1496" s="33">
        <v>1.0</v>
      </c>
      <c r="L1496" s="124" t="s">
        <v>9934</v>
      </c>
      <c r="M1496" s="31"/>
    </row>
    <row r="1497">
      <c r="A1497" s="131" t="s">
        <v>9930</v>
      </c>
      <c r="B1497" s="132">
        <v>45874.0</v>
      </c>
      <c r="C1497" s="33">
        <v>8.07000032819E11</v>
      </c>
      <c r="D1497" s="33" t="s">
        <v>9931</v>
      </c>
      <c r="E1497" s="33" t="s">
        <v>9932</v>
      </c>
      <c r="F1497" s="123" t="s">
        <v>9933</v>
      </c>
      <c r="G1497" s="123" t="s">
        <v>247</v>
      </c>
      <c r="H1497" s="123">
        <v>4400.0</v>
      </c>
      <c r="I1497" s="33" t="s">
        <v>9223</v>
      </c>
      <c r="J1497" s="33" t="s">
        <v>9224</v>
      </c>
      <c r="K1497" s="33">
        <v>1.0</v>
      </c>
      <c r="L1497" s="124" t="s">
        <v>9934</v>
      </c>
      <c r="M1497" s="31"/>
    </row>
    <row r="1498">
      <c r="A1498" s="131" t="s">
        <v>9935</v>
      </c>
      <c r="B1498" s="132">
        <v>45874.0</v>
      </c>
      <c r="C1498" s="33">
        <v>8.07000031959E11</v>
      </c>
      <c r="D1498" s="33" t="s">
        <v>9936</v>
      </c>
      <c r="E1498" s="33" t="s">
        <v>9937</v>
      </c>
      <c r="F1498" s="123" t="s">
        <v>9938</v>
      </c>
      <c r="G1498" s="123" t="s">
        <v>247</v>
      </c>
      <c r="H1498" s="123">
        <v>4400.0</v>
      </c>
      <c r="I1498" s="33" t="s">
        <v>3484</v>
      </c>
      <c r="J1498" s="33" t="s">
        <v>3485</v>
      </c>
      <c r="K1498" s="33">
        <v>1.0</v>
      </c>
      <c r="L1498" s="124" t="s">
        <v>9939</v>
      </c>
      <c r="M1498" s="31"/>
    </row>
    <row r="1499">
      <c r="A1499" s="131" t="s">
        <v>9935</v>
      </c>
      <c r="B1499" s="132">
        <v>45874.0</v>
      </c>
      <c r="C1499" s="33">
        <v>8.07000031959E11</v>
      </c>
      <c r="D1499" s="33" t="s">
        <v>9936</v>
      </c>
      <c r="E1499" s="33" t="s">
        <v>9937</v>
      </c>
      <c r="F1499" s="123" t="s">
        <v>9938</v>
      </c>
      <c r="G1499" s="123" t="s">
        <v>247</v>
      </c>
      <c r="H1499" s="123">
        <v>4400.0</v>
      </c>
      <c r="I1499" s="33" t="s">
        <v>512</v>
      </c>
      <c r="J1499" s="33" t="s">
        <v>513</v>
      </c>
      <c r="K1499" s="33">
        <v>12.0</v>
      </c>
      <c r="L1499" s="124" t="s">
        <v>9939</v>
      </c>
      <c r="M1499" s="31"/>
    </row>
    <row r="1500">
      <c r="A1500" s="131" t="s">
        <v>9935</v>
      </c>
      <c r="B1500" s="132">
        <v>45874.0</v>
      </c>
      <c r="C1500" s="33">
        <v>8.07000031959E11</v>
      </c>
      <c r="D1500" s="33" t="s">
        <v>9936</v>
      </c>
      <c r="E1500" s="33" t="s">
        <v>9937</v>
      </c>
      <c r="F1500" s="123" t="s">
        <v>9938</v>
      </c>
      <c r="G1500" s="123" t="s">
        <v>247</v>
      </c>
      <c r="H1500" s="123">
        <v>4400.0</v>
      </c>
      <c r="I1500" s="33" t="s">
        <v>340</v>
      </c>
      <c r="J1500" s="33" t="s">
        <v>3486</v>
      </c>
      <c r="K1500" s="33">
        <v>2.0</v>
      </c>
      <c r="L1500" s="124" t="s">
        <v>9939</v>
      </c>
      <c r="M1500" s="31"/>
    </row>
    <row r="1501">
      <c r="A1501" s="131" t="s">
        <v>9940</v>
      </c>
      <c r="B1501" s="132">
        <v>45875.0</v>
      </c>
      <c r="C1501" s="33">
        <v>8.07000032774E11</v>
      </c>
      <c r="D1501" s="33" t="s">
        <v>9941</v>
      </c>
      <c r="E1501" s="33" t="s">
        <v>9942</v>
      </c>
      <c r="F1501" s="123" t="s">
        <v>9943</v>
      </c>
      <c r="G1501" s="123" t="s">
        <v>247</v>
      </c>
      <c r="H1501" s="123">
        <v>4400.0</v>
      </c>
      <c r="I1501" s="33" t="s">
        <v>35</v>
      </c>
      <c r="J1501" s="33" t="s">
        <v>3188</v>
      </c>
      <c r="K1501" s="33">
        <v>1.0</v>
      </c>
      <c r="L1501" s="124" t="s">
        <v>9944</v>
      </c>
      <c r="M1501" s="31"/>
    </row>
    <row r="1502">
      <c r="A1502" s="131" t="s">
        <v>9940</v>
      </c>
      <c r="B1502" s="132">
        <v>45875.0</v>
      </c>
      <c r="C1502" s="33">
        <v>8.07000032775E11</v>
      </c>
      <c r="D1502" s="33" t="s">
        <v>9941</v>
      </c>
      <c r="E1502" s="33" t="s">
        <v>9942</v>
      </c>
      <c r="F1502" s="123" t="s">
        <v>9943</v>
      </c>
      <c r="G1502" s="123" t="s">
        <v>247</v>
      </c>
      <c r="H1502" s="123">
        <v>4400.0</v>
      </c>
      <c r="I1502" s="33" t="s">
        <v>4775</v>
      </c>
      <c r="J1502" s="33" t="s">
        <v>4776</v>
      </c>
      <c r="K1502" s="33">
        <v>1.0</v>
      </c>
      <c r="L1502" s="124" t="s">
        <v>9944</v>
      </c>
      <c r="M1502" s="31"/>
    </row>
    <row r="1503">
      <c r="A1503" s="131" t="s">
        <v>9945</v>
      </c>
      <c r="B1503" s="132">
        <v>45875.0</v>
      </c>
      <c r="C1503" s="33">
        <v>8.07000032794E11</v>
      </c>
      <c r="D1503" s="33" t="s">
        <v>9946</v>
      </c>
      <c r="E1503" s="33" t="s">
        <v>9947</v>
      </c>
      <c r="F1503" s="123" t="s">
        <v>9948</v>
      </c>
      <c r="G1503" s="123" t="s">
        <v>247</v>
      </c>
      <c r="H1503" s="123">
        <v>4400.0</v>
      </c>
      <c r="I1503" s="33" t="s">
        <v>2956</v>
      </c>
      <c r="J1503" s="33" t="s">
        <v>3327</v>
      </c>
      <c r="K1503" s="33">
        <v>1.0</v>
      </c>
      <c r="L1503" s="124" t="s">
        <v>9949</v>
      </c>
      <c r="M1503" s="31"/>
    </row>
    <row r="1504">
      <c r="A1504" s="131" t="s">
        <v>9945</v>
      </c>
      <c r="B1504" s="132">
        <v>45875.0</v>
      </c>
      <c r="C1504" s="33">
        <v>8.07000032794E11</v>
      </c>
      <c r="D1504" s="33" t="s">
        <v>9946</v>
      </c>
      <c r="E1504" s="33" t="s">
        <v>9947</v>
      </c>
      <c r="F1504" s="123" t="s">
        <v>9948</v>
      </c>
      <c r="G1504" s="123" t="s">
        <v>247</v>
      </c>
      <c r="H1504" s="123">
        <v>4400.0</v>
      </c>
      <c r="I1504" s="33" t="s">
        <v>512</v>
      </c>
      <c r="J1504" s="33" t="s">
        <v>513</v>
      </c>
      <c r="K1504" s="33">
        <v>6.0</v>
      </c>
      <c r="L1504" s="124" t="s">
        <v>9949</v>
      </c>
      <c r="M1504" s="31"/>
    </row>
    <row r="1505">
      <c r="A1505" s="131" t="s">
        <v>9945</v>
      </c>
      <c r="B1505" s="132">
        <v>45875.0</v>
      </c>
      <c r="C1505" s="33">
        <v>8.07000032794E11</v>
      </c>
      <c r="D1505" s="33" t="s">
        <v>9946</v>
      </c>
      <c r="E1505" s="33" t="s">
        <v>9947</v>
      </c>
      <c r="F1505" s="123" t="s">
        <v>9948</v>
      </c>
      <c r="G1505" s="123" t="s">
        <v>247</v>
      </c>
      <c r="H1505" s="123">
        <v>4400.0</v>
      </c>
      <c r="I1505" s="33" t="s">
        <v>670</v>
      </c>
      <c r="J1505" s="33" t="s">
        <v>3410</v>
      </c>
      <c r="K1505" s="33">
        <v>1.0</v>
      </c>
      <c r="L1505" s="124" t="s">
        <v>9949</v>
      </c>
      <c r="M1505" s="31"/>
    </row>
    <row r="1506">
      <c r="A1506" s="131" t="s">
        <v>9950</v>
      </c>
      <c r="B1506" s="132">
        <v>45875.0</v>
      </c>
      <c r="C1506" s="33">
        <v>8.07000032795E11</v>
      </c>
      <c r="D1506" s="33" t="s">
        <v>9951</v>
      </c>
      <c r="E1506" s="33" t="s">
        <v>2841</v>
      </c>
      <c r="F1506" s="123" t="s">
        <v>9952</v>
      </c>
      <c r="G1506" s="123" t="s">
        <v>247</v>
      </c>
      <c r="H1506" s="123">
        <v>4400.0</v>
      </c>
      <c r="I1506" s="33" t="s">
        <v>2956</v>
      </c>
      <c r="J1506" s="33" t="s">
        <v>3327</v>
      </c>
      <c r="K1506" s="33">
        <v>1.0</v>
      </c>
      <c r="L1506" s="124" t="s">
        <v>9953</v>
      </c>
      <c r="M1506" s="31"/>
    </row>
    <row r="1507">
      <c r="A1507" s="131" t="s">
        <v>9950</v>
      </c>
      <c r="B1507" s="132">
        <v>45875.0</v>
      </c>
      <c r="C1507" s="33">
        <v>8.07000032795E11</v>
      </c>
      <c r="D1507" s="33" t="s">
        <v>9951</v>
      </c>
      <c r="E1507" s="33" t="s">
        <v>2841</v>
      </c>
      <c r="F1507" s="123" t="s">
        <v>9952</v>
      </c>
      <c r="G1507" s="123" t="s">
        <v>247</v>
      </c>
      <c r="H1507" s="123">
        <v>4400.0</v>
      </c>
      <c r="I1507" s="33" t="s">
        <v>512</v>
      </c>
      <c r="J1507" s="33" t="s">
        <v>513</v>
      </c>
      <c r="K1507" s="33">
        <v>6.0</v>
      </c>
      <c r="L1507" s="124" t="s">
        <v>9953</v>
      </c>
      <c r="M1507" s="31"/>
    </row>
    <row r="1508">
      <c r="A1508" s="131" t="s">
        <v>9950</v>
      </c>
      <c r="B1508" s="132">
        <v>45875.0</v>
      </c>
      <c r="C1508" s="33">
        <v>8.07000032795E11</v>
      </c>
      <c r="D1508" s="33" t="s">
        <v>9951</v>
      </c>
      <c r="E1508" s="33" t="s">
        <v>2841</v>
      </c>
      <c r="F1508" s="123" t="s">
        <v>9952</v>
      </c>
      <c r="G1508" s="123" t="s">
        <v>247</v>
      </c>
      <c r="H1508" s="123">
        <v>4400.0</v>
      </c>
      <c r="I1508" s="33" t="s">
        <v>670</v>
      </c>
      <c r="J1508" s="33" t="s">
        <v>3410</v>
      </c>
      <c r="K1508" s="33">
        <v>1.0</v>
      </c>
      <c r="L1508" s="124" t="s">
        <v>9953</v>
      </c>
      <c r="M1508" s="31"/>
    </row>
    <row r="1509">
      <c r="A1509" s="131" t="s">
        <v>9954</v>
      </c>
      <c r="B1509" s="132">
        <v>45875.0</v>
      </c>
      <c r="C1509" s="33">
        <v>8.07000032828E11</v>
      </c>
      <c r="D1509" s="33" t="s">
        <v>9955</v>
      </c>
      <c r="E1509" s="33" t="s">
        <v>9956</v>
      </c>
      <c r="F1509" s="123" t="s">
        <v>9957</v>
      </c>
      <c r="G1509" s="123" t="s">
        <v>247</v>
      </c>
      <c r="H1509" s="123">
        <v>4400.0</v>
      </c>
      <c r="I1509" s="33" t="s">
        <v>4512</v>
      </c>
      <c r="J1509" s="33" t="s">
        <v>4513</v>
      </c>
      <c r="K1509" s="33">
        <v>1.0</v>
      </c>
      <c r="L1509" s="124" t="s">
        <v>9958</v>
      </c>
      <c r="M1509" s="31"/>
    </row>
    <row r="1510">
      <c r="A1510" s="131" t="s">
        <v>9954</v>
      </c>
      <c r="B1510" s="132">
        <v>45875.0</v>
      </c>
      <c r="C1510" s="33">
        <v>8.07000032829E11</v>
      </c>
      <c r="D1510" s="33" t="s">
        <v>9955</v>
      </c>
      <c r="E1510" s="33" t="s">
        <v>9956</v>
      </c>
      <c r="F1510" s="123" t="s">
        <v>9957</v>
      </c>
      <c r="G1510" s="123" t="s">
        <v>247</v>
      </c>
      <c r="H1510" s="123">
        <v>4400.0</v>
      </c>
      <c r="I1510" s="33" t="s">
        <v>2956</v>
      </c>
      <c r="J1510" s="33" t="s">
        <v>3327</v>
      </c>
      <c r="K1510" s="33">
        <v>1.0</v>
      </c>
      <c r="L1510" s="124" t="s">
        <v>9958</v>
      </c>
      <c r="M1510" s="31"/>
    </row>
    <row r="1511">
      <c r="A1511" s="131" t="s">
        <v>9954</v>
      </c>
      <c r="B1511" s="132">
        <v>45875.0</v>
      </c>
      <c r="C1511" s="33">
        <v>8.07000032829E11</v>
      </c>
      <c r="D1511" s="33" t="s">
        <v>9955</v>
      </c>
      <c r="E1511" s="33" t="s">
        <v>9956</v>
      </c>
      <c r="F1511" s="123" t="s">
        <v>9957</v>
      </c>
      <c r="G1511" s="123" t="s">
        <v>247</v>
      </c>
      <c r="H1511" s="123">
        <v>4400.0</v>
      </c>
      <c r="I1511" s="33" t="s">
        <v>512</v>
      </c>
      <c r="J1511" s="33" t="s">
        <v>513</v>
      </c>
      <c r="K1511" s="33">
        <v>6.0</v>
      </c>
      <c r="L1511" s="124" t="s">
        <v>9958</v>
      </c>
      <c r="M1511" s="31"/>
    </row>
    <row r="1512">
      <c r="A1512" s="131" t="s">
        <v>9954</v>
      </c>
      <c r="B1512" s="132">
        <v>45875.0</v>
      </c>
      <c r="C1512" s="33">
        <v>8.07000032829E11</v>
      </c>
      <c r="D1512" s="33" t="s">
        <v>9955</v>
      </c>
      <c r="E1512" s="33" t="s">
        <v>9956</v>
      </c>
      <c r="F1512" s="123" t="s">
        <v>9957</v>
      </c>
      <c r="G1512" s="123" t="s">
        <v>247</v>
      </c>
      <c r="H1512" s="123">
        <v>4400.0</v>
      </c>
      <c r="I1512" s="33" t="s">
        <v>670</v>
      </c>
      <c r="J1512" s="33" t="s">
        <v>3410</v>
      </c>
      <c r="K1512" s="33">
        <v>1.0</v>
      </c>
      <c r="L1512" s="124" t="s">
        <v>9958</v>
      </c>
      <c r="M1512" s="31"/>
    </row>
    <row r="1513">
      <c r="A1513" s="131" t="s">
        <v>9959</v>
      </c>
      <c r="B1513" s="132">
        <v>45875.0</v>
      </c>
      <c r="C1513" s="33">
        <v>8.07000032797E11</v>
      </c>
      <c r="D1513" s="33" t="s">
        <v>9960</v>
      </c>
      <c r="E1513" s="33" t="s">
        <v>9961</v>
      </c>
      <c r="F1513" s="123" t="s">
        <v>9962</v>
      </c>
      <c r="G1513" s="123" t="s">
        <v>247</v>
      </c>
      <c r="H1513" s="123">
        <v>4400.0</v>
      </c>
      <c r="I1513" s="33" t="s">
        <v>2410</v>
      </c>
      <c r="J1513" s="33" t="s">
        <v>3860</v>
      </c>
      <c r="K1513" s="33">
        <v>1.0</v>
      </c>
      <c r="L1513" s="124" t="s">
        <v>9963</v>
      </c>
      <c r="M1513" s="31"/>
    </row>
    <row r="1514">
      <c r="A1514" s="131" t="s">
        <v>9959</v>
      </c>
      <c r="B1514" s="132">
        <v>45875.0</v>
      </c>
      <c r="C1514" s="33">
        <v>8.07000032797E11</v>
      </c>
      <c r="D1514" s="33" t="s">
        <v>9960</v>
      </c>
      <c r="E1514" s="33" t="s">
        <v>9961</v>
      </c>
      <c r="F1514" s="123" t="s">
        <v>9962</v>
      </c>
      <c r="G1514" s="123" t="s">
        <v>247</v>
      </c>
      <c r="H1514" s="123">
        <v>4400.0</v>
      </c>
      <c r="I1514" s="33" t="s">
        <v>2412</v>
      </c>
      <c r="J1514" s="33" t="s">
        <v>2413</v>
      </c>
      <c r="K1514" s="33">
        <v>1.0</v>
      </c>
      <c r="L1514" s="124" t="s">
        <v>9963</v>
      </c>
      <c r="M1514" s="31"/>
    </row>
    <row r="1515">
      <c r="A1515" s="131" t="s">
        <v>9964</v>
      </c>
      <c r="B1515" s="132">
        <v>45875.0</v>
      </c>
      <c r="C1515" s="33">
        <v>8.07000032821E11</v>
      </c>
      <c r="D1515" s="33" t="s">
        <v>9965</v>
      </c>
      <c r="E1515" s="33" t="s">
        <v>9966</v>
      </c>
      <c r="F1515" s="123" t="s">
        <v>9967</v>
      </c>
      <c r="G1515" s="123" t="s">
        <v>6769</v>
      </c>
      <c r="H1515" s="123">
        <v>4400.0</v>
      </c>
      <c r="I1515" s="33" t="s">
        <v>3313</v>
      </c>
      <c r="J1515" s="33" t="s">
        <v>3314</v>
      </c>
      <c r="K1515" s="33">
        <v>1.0</v>
      </c>
      <c r="L1515" s="124" t="s">
        <v>9968</v>
      </c>
      <c r="M1515" s="31"/>
    </row>
    <row r="1516">
      <c r="A1516" s="131" t="s">
        <v>9964</v>
      </c>
      <c r="B1516" s="132">
        <v>45875.0</v>
      </c>
      <c r="C1516" s="33">
        <v>8.07000032821E11</v>
      </c>
      <c r="D1516" s="33" t="s">
        <v>9965</v>
      </c>
      <c r="E1516" s="33" t="s">
        <v>9966</v>
      </c>
      <c r="F1516" s="123" t="s">
        <v>9967</v>
      </c>
      <c r="G1516" s="123" t="s">
        <v>6769</v>
      </c>
      <c r="H1516" s="123">
        <v>4400.0</v>
      </c>
      <c r="I1516" s="33" t="s">
        <v>3797</v>
      </c>
      <c r="J1516" s="33" t="s">
        <v>3798</v>
      </c>
      <c r="K1516" s="33">
        <v>1.0</v>
      </c>
      <c r="L1516" s="124" t="s">
        <v>9968</v>
      </c>
      <c r="M1516" s="31"/>
    </row>
    <row r="1517">
      <c r="A1517" s="131" t="s">
        <v>9969</v>
      </c>
      <c r="B1517" s="132">
        <v>45875.0</v>
      </c>
      <c r="C1517" s="33">
        <v>8.07000032832E11</v>
      </c>
      <c r="D1517" s="33" t="s">
        <v>9970</v>
      </c>
      <c r="E1517" s="33" t="s">
        <v>9971</v>
      </c>
      <c r="F1517" s="123" t="s">
        <v>9972</v>
      </c>
      <c r="G1517" s="123" t="s">
        <v>247</v>
      </c>
      <c r="H1517" s="123">
        <v>4400.0</v>
      </c>
      <c r="I1517" s="33" t="s">
        <v>3451</v>
      </c>
      <c r="J1517" s="33" t="s">
        <v>3452</v>
      </c>
      <c r="K1517" s="33">
        <v>1.0</v>
      </c>
      <c r="L1517" s="124" t="s">
        <v>9973</v>
      </c>
      <c r="M1517" s="31"/>
    </row>
    <row r="1518">
      <c r="A1518" s="131" t="s">
        <v>9969</v>
      </c>
      <c r="B1518" s="132">
        <v>45875.0</v>
      </c>
      <c r="C1518" s="33">
        <v>8.07000032832E11</v>
      </c>
      <c r="D1518" s="33" t="s">
        <v>9970</v>
      </c>
      <c r="E1518" s="33" t="s">
        <v>9971</v>
      </c>
      <c r="F1518" s="123" t="s">
        <v>9972</v>
      </c>
      <c r="G1518" s="123" t="s">
        <v>247</v>
      </c>
      <c r="H1518" s="123">
        <v>4400.0</v>
      </c>
      <c r="I1518" s="33" t="s">
        <v>512</v>
      </c>
      <c r="J1518" s="33" t="s">
        <v>513</v>
      </c>
      <c r="K1518" s="33">
        <v>6.0</v>
      </c>
      <c r="L1518" s="124" t="s">
        <v>9973</v>
      </c>
      <c r="M1518" s="31"/>
    </row>
    <row r="1519">
      <c r="A1519" s="131" t="s">
        <v>9969</v>
      </c>
      <c r="B1519" s="132">
        <v>45875.0</v>
      </c>
      <c r="C1519" s="33">
        <v>8.07000032832E11</v>
      </c>
      <c r="D1519" s="33" t="s">
        <v>9970</v>
      </c>
      <c r="E1519" s="33" t="s">
        <v>9971</v>
      </c>
      <c r="F1519" s="123" t="s">
        <v>9972</v>
      </c>
      <c r="G1519" s="123" t="s">
        <v>247</v>
      </c>
      <c r="H1519" s="123">
        <v>4400.0</v>
      </c>
      <c r="I1519" s="33" t="s">
        <v>670</v>
      </c>
      <c r="J1519" s="33" t="s">
        <v>3410</v>
      </c>
      <c r="K1519" s="33">
        <v>1.0</v>
      </c>
      <c r="L1519" s="124" t="s">
        <v>9973</v>
      </c>
      <c r="M1519" s="31"/>
    </row>
    <row r="1520">
      <c r="A1520" s="131" t="s">
        <v>9974</v>
      </c>
      <c r="B1520" s="132">
        <v>45876.0</v>
      </c>
      <c r="C1520" s="33">
        <v>8.07000032838E11</v>
      </c>
      <c r="D1520" s="33" t="s">
        <v>9975</v>
      </c>
      <c r="E1520" s="33" t="s">
        <v>9976</v>
      </c>
      <c r="F1520" s="123" t="s">
        <v>9977</v>
      </c>
      <c r="G1520" s="123" t="s">
        <v>247</v>
      </c>
      <c r="H1520" s="123">
        <v>4400.0</v>
      </c>
      <c r="I1520" s="33" t="s">
        <v>947</v>
      </c>
      <c r="J1520" s="33" t="s">
        <v>3750</v>
      </c>
      <c r="K1520" s="33">
        <v>1.0</v>
      </c>
      <c r="L1520" s="124" t="s">
        <v>9978</v>
      </c>
      <c r="M1520" s="31"/>
    </row>
    <row r="1521">
      <c r="A1521" s="131" t="s">
        <v>9979</v>
      </c>
      <c r="B1521" s="132">
        <v>45876.0</v>
      </c>
      <c r="C1521" s="33">
        <v>8.07000032839E11</v>
      </c>
      <c r="D1521" s="33" t="s">
        <v>9975</v>
      </c>
      <c r="E1521" s="33" t="s">
        <v>9976</v>
      </c>
      <c r="F1521" s="123" t="s">
        <v>9977</v>
      </c>
      <c r="G1521" s="123" t="s">
        <v>247</v>
      </c>
      <c r="H1521" s="123">
        <v>4400.0</v>
      </c>
      <c r="I1521" s="33" t="s">
        <v>3510</v>
      </c>
      <c r="J1521" s="33" t="s">
        <v>3511</v>
      </c>
      <c r="K1521" s="33">
        <v>1.0</v>
      </c>
      <c r="L1521" s="124" t="s">
        <v>9978</v>
      </c>
      <c r="M1521" s="31"/>
    </row>
    <row r="1522">
      <c r="A1522" s="131" t="s">
        <v>9980</v>
      </c>
      <c r="B1522" s="132">
        <v>45876.0</v>
      </c>
      <c r="C1522" s="33">
        <v>8.07000032846E11</v>
      </c>
      <c r="D1522" s="33" t="s">
        <v>9981</v>
      </c>
      <c r="E1522" s="33" t="s">
        <v>9982</v>
      </c>
      <c r="F1522" s="123" t="s">
        <v>9983</v>
      </c>
      <c r="G1522" s="123" t="s">
        <v>247</v>
      </c>
      <c r="H1522" s="123">
        <v>4400.0</v>
      </c>
      <c r="I1522" s="33" t="s">
        <v>4368</v>
      </c>
      <c r="J1522" s="33" t="s">
        <v>4369</v>
      </c>
      <c r="K1522" s="33">
        <v>1.0</v>
      </c>
      <c r="L1522" s="124" t="s">
        <v>9984</v>
      </c>
      <c r="M1522" s="31"/>
    </row>
    <row r="1523">
      <c r="A1523" s="131" t="s">
        <v>9980</v>
      </c>
      <c r="B1523" s="132">
        <v>45876.0</v>
      </c>
      <c r="C1523" s="33">
        <v>8.07000032847E11</v>
      </c>
      <c r="D1523" s="33" t="s">
        <v>9981</v>
      </c>
      <c r="E1523" s="33" t="s">
        <v>9982</v>
      </c>
      <c r="F1523" s="123" t="s">
        <v>9983</v>
      </c>
      <c r="G1523" s="123" t="s">
        <v>247</v>
      </c>
      <c r="H1523" s="123">
        <v>4400.0</v>
      </c>
      <c r="I1523" s="33" t="s">
        <v>1766</v>
      </c>
      <c r="J1523" s="33" t="s">
        <v>8008</v>
      </c>
      <c r="K1523" s="33">
        <v>1.0</v>
      </c>
      <c r="L1523" s="124" t="s">
        <v>9984</v>
      </c>
      <c r="M1523" s="31"/>
    </row>
    <row r="1524">
      <c r="A1524" s="131" t="s">
        <v>9980</v>
      </c>
      <c r="B1524" s="132">
        <v>45876.0</v>
      </c>
      <c r="C1524" s="33">
        <v>8.07000032848E11</v>
      </c>
      <c r="D1524" s="33" t="s">
        <v>9981</v>
      </c>
      <c r="E1524" s="33" t="s">
        <v>9982</v>
      </c>
      <c r="F1524" s="123" t="s">
        <v>9983</v>
      </c>
      <c r="G1524" s="123" t="s">
        <v>247</v>
      </c>
      <c r="H1524" s="123">
        <v>4400.0</v>
      </c>
      <c r="I1524" s="33">
        <v>125814.0</v>
      </c>
      <c r="J1524" s="33" t="s">
        <v>9798</v>
      </c>
      <c r="K1524" s="33">
        <v>2.0</v>
      </c>
      <c r="L1524" s="124" t="s">
        <v>9984</v>
      </c>
      <c r="M1524" s="31"/>
    </row>
    <row r="1525">
      <c r="A1525" s="131" t="s">
        <v>9985</v>
      </c>
      <c r="B1525" s="132">
        <v>45876.0</v>
      </c>
      <c r="C1525" s="33">
        <v>8.07000032835E11</v>
      </c>
      <c r="D1525" s="33" t="s">
        <v>9986</v>
      </c>
      <c r="E1525" s="33" t="s">
        <v>9987</v>
      </c>
      <c r="F1525" s="123" t="s">
        <v>9988</v>
      </c>
      <c r="G1525" s="123" t="s">
        <v>247</v>
      </c>
      <c r="H1525" s="123">
        <v>4400.0</v>
      </c>
      <c r="I1525" s="33" t="s">
        <v>7236</v>
      </c>
      <c r="J1525" s="33" t="s">
        <v>9989</v>
      </c>
      <c r="K1525" s="33">
        <v>1.0</v>
      </c>
      <c r="L1525" s="124" t="s">
        <v>9990</v>
      </c>
      <c r="M1525" s="31"/>
    </row>
    <row r="1526">
      <c r="A1526" s="131" t="s">
        <v>9991</v>
      </c>
      <c r="B1526" s="132">
        <v>45876.0</v>
      </c>
      <c r="C1526" s="33">
        <v>8.07000032836E11</v>
      </c>
      <c r="D1526" s="33" t="s">
        <v>9986</v>
      </c>
      <c r="E1526" s="33" t="s">
        <v>9987</v>
      </c>
      <c r="F1526" s="123" t="s">
        <v>9988</v>
      </c>
      <c r="G1526" s="123" t="s">
        <v>247</v>
      </c>
      <c r="H1526" s="123">
        <v>4400.0</v>
      </c>
      <c r="I1526" s="33" t="s">
        <v>149</v>
      </c>
      <c r="J1526" s="33" t="s">
        <v>7950</v>
      </c>
      <c r="K1526" s="33">
        <v>2.0</v>
      </c>
      <c r="L1526" s="124" t="s">
        <v>9990</v>
      </c>
      <c r="M1526" s="31"/>
    </row>
    <row r="1527">
      <c r="A1527" s="131" t="s">
        <v>9992</v>
      </c>
      <c r="B1527" s="132">
        <v>45880.0</v>
      </c>
      <c r="C1527" s="33">
        <v>8.07000032868E11</v>
      </c>
      <c r="D1527" s="33" t="s">
        <v>9993</v>
      </c>
      <c r="E1527" s="33" t="s">
        <v>9994</v>
      </c>
      <c r="F1527" s="123" t="s">
        <v>9995</v>
      </c>
      <c r="G1527" s="123" t="s">
        <v>9996</v>
      </c>
      <c r="H1527" s="123"/>
      <c r="I1527" s="33" t="s">
        <v>1766</v>
      </c>
      <c r="J1527" s="33" t="s">
        <v>8008</v>
      </c>
      <c r="K1527" s="33">
        <v>1.0</v>
      </c>
      <c r="L1527" s="124" t="s">
        <v>9997</v>
      </c>
      <c r="M1527" s="31"/>
    </row>
    <row r="1528">
      <c r="A1528" s="131" t="s">
        <v>9998</v>
      </c>
      <c r="B1528" s="132">
        <v>45880.0</v>
      </c>
      <c r="C1528" s="33">
        <v>8.07000032873E11</v>
      </c>
      <c r="D1528" s="33" t="s">
        <v>9999</v>
      </c>
      <c r="E1528" s="33" t="s">
        <v>10000</v>
      </c>
      <c r="F1528" s="123" t="s">
        <v>10001</v>
      </c>
      <c r="G1528" s="123" t="s">
        <v>247</v>
      </c>
      <c r="H1528" s="123">
        <v>4400.0</v>
      </c>
      <c r="I1528" s="33" t="s">
        <v>512</v>
      </c>
      <c r="J1528" s="33" t="s">
        <v>513</v>
      </c>
      <c r="K1528" s="33">
        <v>6.0</v>
      </c>
      <c r="L1528" s="124" t="s">
        <v>10002</v>
      </c>
      <c r="M1528" s="31"/>
    </row>
    <row r="1529">
      <c r="A1529" s="131" t="s">
        <v>9998</v>
      </c>
      <c r="B1529" s="132">
        <v>45880.0</v>
      </c>
      <c r="C1529" s="33">
        <v>8.07000032876E11</v>
      </c>
      <c r="D1529" s="33" t="s">
        <v>9999</v>
      </c>
      <c r="E1529" s="33" t="s">
        <v>10000</v>
      </c>
      <c r="F1529" s="123" t="s">
        <v>10001</v>
      </c>
      <c r="G1529" s="123" t="s">
        <v>247</v>
      </c>
      <c r="H1529" s="123">
        <v>4400.0</v>
      </c>
      <c r="I1529" s="33" t="s">
        <v>50</v>
      </c>
      <c r="J1529" s="33" t="s">
        <v>51</v>
      </c>
      <c r="K1529" s="33">
        <v>1.0</v>
      </c>
      <c r="L1529" s="124" t="s">
        <v>10003</v>
      </c>
      <c r="M1529" s="31"/>
    </row>
    <row r="1530">
      <c r="A1530" s="131" t="s">
        <v>9998</v>
      </c>
      <c r="B1530" s="132">
        <v>45880.0</v>
      </c>
      <c r="C1530" s="33">
        <v>8.07000032876E11</v>
      </c>
      <c r="D1530" s="33" t="s">
        <v>9999</v>
      </c>
      <c r="E1530" s="33" t="s">
        <v>10000</v>
      </c>
      <c r="F1530" s="123" t="s">
        <v>10001</v>
      </c>
      <c r="G1530" s="123" t="s">
        <v>247</v>
      </c>
      <c r="H1530" s="123">
        <v>4400.0</v>
      </c>
      <c r="I1530" s="33" t="s">
        <v>25</v>
      </c>
      <c r="J1530" s="33" t="s">
        <v>3401</v>
      </c>
      <c r="K1530" s="33">
        <v>1.0</v>
      </c>
      <c r="L1530" s="124" t="s">
        <v>10003</v>
      </c>
      <c r="M1530" s="31"/>
    </row>
    <row r="1531">
      <c r="A1531" s="131" t="s">
        <v>10004</v>
      </c>
      <c r="B1531" s="132">
        <v>45880.0</v>
      </c>
      <c r="C1531" s="33">
        <v>8.07000032877E11</v>
      </c>
      <c r="D1531" s="33" t="s">
        <v>10005</v>
      </c>
      <c r="E1531" s="33" t="s">
        <v>10006</v>
      </c>
      <c r="F1531" s="123" t="s">
        <v>10007</v>
      </c>
      <c r="G1531" s="123" t="s">
        <v>247</v>
      </c>
      <c r="H1531" s="123">
        <v>4400.0</v>
      </c>
      <c r="I1531" s="33">
        <v>915481.0</v>
      </c>
      <c r="J1531" s="33" t="s">
        <v>8241</v>
      </c>
      <c r="K1531" s="33">
        <v>1.0</v>
      </c>
      <c r="L1531" s="124" t="s">
        <v>10008</v>
      </c>
      <c r="M1531" s="31"/>
    </row>
    <row r="1532">
      <c r="A1532" s="131" t="s">
        <v>10004</v>
      </c>
      <c r="B1532" s="132">
        <v>45880.0</v>
      </c>
      <c r="C1532" s="33">
        <v>8.07000032878E11</v>
      </c>
      <c r="D1532" s="33" t="s">
        <v>10005</v>
      </c>
      <c r="E1532" s="33" t="s">
        <v>10006</v>
      </c>
      <c r="F1532" s="123" t="s">
        <v>10007</v>
      </c>
      <c r="G1532" s="123" t="s">
        <v>247</v>
      </c>
      <c r="H1532" s="123">
        <v>4400.0</v>
      </c>
      <c r="I1532" s="33" t="s">
        <v>7371</v>
      </c>
      <c r="J1532" s="33" t="s">
        <v>8339</v>
      </c>
      <c r="K1532" s="33">
        <v>2.0</v>
      </c>
      <c r="L1532" s="124" t="s">
        <v>10008</v>
      </c>
      <c r="M1532" s="31"/>
    </row>
    <row r="1533">
      <c r="A1533" s="131" t="s">
        <v>10009</v>
      </c>
      <c r="B1533" s="132">
        <v>45880.0</v>
      </c>
      <c r="C1533" s="33">
        <v>8.07000032888E11</v>
      </c>
      <c r="D1533" s="33" t="s">
        <v>10010</v>
      </c>
      <c r="E1533" s="33" t="s">
        <v>10011</v>
      </c>
      <c r="F1533" s="123" t="s">
        <v>10012</v>
      </c>
      <c r="G1533" s="123" t="s">
        <v>247</v>
      </c>
      <c r="H1533" s="123">
        <v>4400.0</v>
      </c>
      <c r="I1533" s="33" t="s">
        <v>512</v>
      </c>
      <c r="J1533" s="33" t="s">
        <v>513</v>
      </c>
      <c r="K1533" s="33">
        <v>12.0</v>
      </c>
      <c r="L1533" s="124" t="s">
        <v>10013</v>
      </c>
      <c r="M1533" s="31"/>
    </row>
    <row r="1534">
      <c r="A1534" s="131" t="s">
        <v>10009</v>
      </c>
      <c r="B1534" s="132">
        <v>45880.0</v>
      </c>
      <c r="C1534" s="33">
        <v>8.07000032889E11</v>
      </c>
      <c r="D1534" s="33" t="s">
        <v>10010</v>
      </c>
      <c r="E1534" s="33" t="s">
        <v>10011</v>
      </c>
      <c r="F1534" s="123" t="s">
        <v>10012</v>
      </c>
      <c r="G1534" s="123" t="s">
        <v>247</v>
      </c>
      <c r="H1534" s="123">
        <v>4400.0</v>
      </c>
      <c r="I1534" s="33" t="s">
        <v>2537</v>
      </c>
      <c r="J1534" s="33" t="s">
        <v>3955</v>
      </c>
      <c r="K1534" s="33">
        <v>1.0</v>
      </c>
      <c r="L1534" s="124" t="s">
        <v>10013</v>
      </c>
      <c r="M1534" s="31"/>
    </row>
    <row r="1535">
      <c r="A1535" s="131" t="s">
        <v>10014</v>
      </c>
      <c r="B1535" s="132">
        <v>45880.0</v>
      </c>
      <c r="C1535" s="33">
        <v>8.0700003289E11</v>
      </c>
      <c r="D1535" s="33" t="s">
        <v>10010</v>
      </c>
      <c r="E1535" s="33" t="s">
        <v>10011</v>
      </c>
      <c r="F1535" s="123" t="s">
        <v>10015</v>
      </c>
      <c r="G1535" s="123" t="s">
        <v>247</v>
      </c>
      <c r="H1535" s="123">
        <v>4400.0</v>
      </c>
      <c r="I1535" s="33" t="s">
        <v>340</v>
      </c>
      <c r="J1535" s="33" t="s">
        <v>3486</v>
      </c>
      <c r="K1535" s="33">
        <v>2.0</v>
      </c>
      <c r="L1535" s="124" t="s">
        <v>10013</v>
      </c>
      <c r="M1535" s="31"/>
    </row>
    <row r="1536">
      <c r="A1536" s="131" t="s">
        <v>10016</v>
      </c>
      <c r="B1536" s="132">
        <v>45880.0</v>
      </c>
      <c r="C1536" s="33">
        <v>8.07000032891E11</v>
      </c>
      <c r="D1536" s="33" t="s">
        <v>10017</v>
      </c>
      <c r="E1536" s="33" t="s">
        <v>10018</v>
      </c>
      <c r="F1536" s="123" t="s">
        <v>10019</v>
      </c>
      <c r="G1536" s="123" t="s">
        <v>247</v>
      </c>
      <c r="H1536" s="123">
        <v>4400.0</v>
      </c>
      <c r="I1536" s="33" t="s">
        <v>512</v>
      </c>
      <c r="J1536" s="33" t="s">
        <v>513</v>
      </c>
      <c r="K1536" s="33">
        <v>6.0</v>
      </c>
      <c r="L1536" s="124" t="s">
        <v>10020</v>
      </c>
      <c r="M1536" s="31"/>
    </row>
    <row r="1537">
      <c r="A1537" s="131" t="s">
        <v>10016</v>
      </c>
      <c r="B1537" s="132">
        <v>45880.0</v>
      </c>
      <c r="C1537" s="33">
        <v>8.07000032892E11</v>
      </c>
      <c r="D1537" s="33" t="s">
        <v>10017</v>
      </c>
      <c r="E1537" s="33" t="s">
        <v>10018</v>
      </c>
      <c r="F1537" s="123" t="s">
        <v>10019</v>
      </c>
      <c r="G1537" s="123" t="s">
        <v>247</v>
      </c>
      <c r="H1537" s="123">
        <v>4400.0</v>
      </c>
      <c r="I1537" s="33" t="s">
        <v>3407</v>
      </c>
      <c r="J1537" s="33" t="s">
        <v>3408</v>
      </c>
      <c r="K1537" s="33">
        <v>1.0</v>
      </c>
      <c r="L1537" s="124" t="s">
        <v>10020</v>
      </c>
      <c r="M1537" s="31"/>
    </row>
    <row r="1538">
      <c r="A1538" s="131" t="s">
        <v>10016</v>
      </c>
      <c r="B1538" s="132">
        <v>45880.0</v>
      </c>
      <c r="C1538" s="33">
        <v>8.07000032892E11</v>
      </c>
      <c r="D1538" s="33" t="s">
        <v>10017</v>
      </c>
      <c r="E1538" s="33" t="s">
        <v>10018</v>
      </c>
      <c r="F1538" s="123" t="s">
        <v>10019</v>
      </c>
      <c r="G1538" s="123" t="s">
        <v>247</v>
      </c>
      <c r="H1538" s="123">
        <v>4400.0</v>
      </c>
      <c r="I1538" s="33" t="s">
        <v>1749</v>
      </c>
      <c r="J1538" s="33" t="s">
        <v>3240</v>
      </c>
      <c r="K1538" s="33">
        <v>1.0</v>
      </c>
      <c r="L1538" s="124" t="s">
        <v>10020</v>
      </c>
      <c r="M1538" s="31"/>
    </row>
    <row r="1539">
      <c r="A1539" s="131" t="s">
        <v>10021</v>
      </c>
      <c r="B1539" s="132">
        <v>45880.0</v>
      </c>
      <c r="C1539" s="33">
        <v>8.0700003284E11</v>
      </c>
      <c r="D1539" s="33" t="s">
        <v>9903</v>
      </c>
      <c r="E1539" s="33" t="s">
        <v>9904</v>
      </c>
      <c r="F1539" s="123" t="s">
        <v>10022</v>
      </c>
      <c r="G1539" s="123" t="s">
        <v>247</v>
      </c>
      <c r="H1539" s="123">
        <v>4400.0</v>
      </c>
      <c r="I1539" s="33">
        <v>208009.0</v>
      </c>
      <c r="J1539" s="33" t="s">
        <v>10023</v>
      </c>
      <c r="K1539" s="33">
        <v>2.0</v>
      </c>
      <c r="L1539" s="124">
        <v>3.875905497E9</v>
      </c>
      <c r="M1539" s="31"/>
    </row>
    <row r="1540">
      <c r="A1540" s="131" t="s">
        <v>10024</v>
      </c>
      <c r="B1540" s="132">
        <v>45880.0</v>
      </c>
      <c r="C1540" s="33">
        <v>8.07000032867E11</v>
      </c>
      <c r="D1540" s="33" t="s">
        <v>10025</v>
      </c>
      <c r="E1540" s="33" t="s">
        <v>10026</v>
      </c>
      <c r="F1540" s="123" t="s">
        <v>10027</v>
      </c>
      <c r="G1540" s="123" t="s">
        <v>247</v>
      </c>
      <c r="H1540" s="123">
        <v>4400.0</v>
      </c>
      <c r="I1540" s="33" t="s">
        <v>1827</v>
      </c>
      <c r="J1540" s="33" t="s">
        <v>4367</v>
      </c>
      <c r="K1540" s="33">
        <v>1.0</v>
      </c>
      <c r="L1540" s="124">
        <v>3.874079508E9</v>
      </c>
      <c r="M1540" s="31"/>
    </row>
    <row r="1541">
      <c r="A1541" s="131" t="s">
        <v>10028</v>
      </c>
      <c r="B1541" s="132">
        <v>45880.0</v>
      </c>
      <c r="C1541" s="33">
        <v>8.07000032887E11</v>
      </c>
      <c r="D1541" s="33" t="s">
        <v>10029</v>
      </c>
      <c r="E1541" s="33" t="s">
        <v>10030</v>
      </c>
      <c r="F1541" s="123" t="s">
        <v>10031</v>
      </c>
      <c r="G1541" s="123" t="s">
        <v>247</v>
      </c>
      <c r="H1541" s="123">
        <v>4400.0</v>
      </c>
      <c r="I1541" s="33" t="s">
        <v>971</v>
      </c>
      <c r="J1541" s="33" t="s">
        <v>4477</v>
      </c>
      <c r="K1541" s="33">
        <v>1.0</v>
      </c>
      <c r="L1541" s="124">
        <v>3.876034436E9</v>
      </c>
      <c r="M1541" s="31"/>
    </row>
    <row r="1542">
      <c r="A1542" s="131" t="s">
        <v>10032</v>
      </c>
      <c r="B1542" s="132">
        <v>45880.0</v>
      </c>
      <c r="C1542" s="33">
        <v>8.07000032893E11</v>
      </c>
      <c r="D1542" s="33" t="s">
        <v>10033</v>
      </c>
      <c r="E1542" s="33" t="s">
        <v>10034</v>
      </c>
      <c r="F1542" s="123" t="s">
        <v>10035</v>
      </c>
      <c r="G1542" s="123" t="s">
        <v>247</v>
      </c>
      <c r="H1542" s="123">
        <v>4400.0</v>
      </c>
      <c r="I1542" s="33" t="s">
        <v>512</v>
      </c>
      <c r="J1542" s="33" t="s">
        <v>513</v>
      </c>
      <c r="K1542" s="33">
        <v>12.0</v>
      </c>
      <c r="L1542" s="124">
        <v>3.872145214E9</v>
      </c>
      <c r="M1542" s="31"/>
    </row>
    <row r="1543">
      <c r="A1543" s="131" t="s">
        <v>10032</v>
      </c>
      <c r="B1543" s="132">
        <v>45880.0</v>
      </c>
      <c r="C1543" s="33">
        <v>8.07000032894E11</v>
      </c>
      <c r="D1543" s="33" t="s">
        <v>10033</v>
      </c>
      <c r="E1543" s="33" t="s">
        <v>10034</v>
      </c>
      <c r="F1543" s="123" t="s">
        <v>10035</v>
      </c>
      <c r="G1543" s="123" t="s">
        <v>247</v>
      </c>
      <c r="H1543" s="123">
        <v>4400.0</v>
      </c>
      <c r="I1543" s="33" t="s">
        <v>768</v>
      </c>
      <c r="J1543" s="33" t="s">
        <v>3386</v>
      </c>
      <c r="K1543" s="33">
        <v>1.0</v>
      </c>
      <c r="L1543" s="124">
        <v>3.872145214E9</v>
      </c>
      <c r="M1543" s="31"/>
    </row>
    <row r="1544">
      <c r="A1544" s="131" t="s">
        <v>10036</v>
      </c>
      <c r="B1544" s="132">
        <v>45880.0</v>
      </c>
      <c r="C1544" s="33">
        <v>8.07000032898E11</v>
      </c>
      <c r="D1544" s="33" t="s">
        <v>10037</v>
      </c>
      <c r="E1544" s="33" t="s">
        <v>10038</v>
      </c>
      <c r="F1544" s="123" t="s">
        <v>10039</v>
      </c>
      <c r="G1544" s="123" t="s">
        <v>247</v>
      </c>
      <c r="H1544" s="123">
        <v>4400.0</v>
      </c>
      <c r="I1544" s="33">
        <v>125814.0</v>
      </c>
      <c r="J1544" s="33" t="s">
        <v>9798</v>
      </c>
      <c r="K1544" s="33">
        <v>2.0</v>
      </c>
      <c r="L1544" s="124">
        <v>3.874532089E9</v>
      </c>
      <c r="M1544" s="31"/>
    </row>
    <row r="1545">
      <c r="A1545" s="131" t="s">
        <v>10036</v>
      </c>
      <c r="B1545" s="132">
        <v>45880.0</v>
      </c>
      <c r="C1545" s="33">
        <v>8.07000032898E11</v>
      </c>
      <c r="D1545" s="33" t="s">
        <v>10037</v>
      </c>
      <c r="E1545" s="33" t="s">
        <v>10038</v>
      </c>
      <c r="F1545" s="123" t="s">
        <v>10039</v>
      </c>
      <c r="G1545" s="123" t="s">
        <v>247</v>
      </c>
      <c r="H1545" s="123">
        <v>4400.0</v>
      </c>
      <c r="I1545" s="33" t="s">
        <v>512</v>
      </c>
      <c r="J1545" s="33" t="s">
        <v>513</v>
      </c>
      <c r="K1545" s="33">
        <v>12.0</v>
      </c>
      <c r="L1545" s="124">
        <v>3.874532089E9</v>
      </c>
      <c r="M1545" s="31"/>
    </row>
    <row r="1546">
      <c r="A1546" s="131" t="s">
        <v>10036</v>
      </c>
      <c r="B1546" s="132">
        <v>45880.0</v>
      </c>
      <c r="C1546" s="33">
        <v>8.07000032899E11</v>
      </c>
      <c r="D1546" s="33" t="s">
        <v>10037</v>
      </c>
      <c r="E1546" s="33" t="s">
        <v>10038</v>
      </c>
      <c r="F1546" s="123" t="s">
        <v>10039</v>
      </c>
      <c r="G1546" s="123" t="s">
        <v>247</v>
      </c>
      <c r="H1546" s="123">
        <v>4400.0</v>
      </c>
      <c r="I1546" s="33" t="s">
        <v>1937</v>
      </c>
      <c r="J1546" s="33" t="s">
        <v>4036</v>
      </c>
      <c r="K1546" s="33">
        <v>1.0</v>
      </c>
      <c r="L1546" s="124">
        <v>3.874532089E9</v>
      </c>
      <c r="M1546" s="31"/>
    </row>
    <row r="1547">
      <c r="A1547" s="131" t="s">
        <v>10036</v>
      </c>
      <c r="B1547" s="132">
        <v>45880.0</v>
      </c>
      <c r="C1547" s="33">
        <v>8.07000032899E11</v>
      </c>
      <c r="D1547" s="33" t="s">
        <v>10037</v>
      </c>
      <c r="E1547" s="33" t="s">
        <v>10038</v>
      </c>
      <c r="F1547" s="123" t="s">
        <v>10039</v>
      </c>
      <c r="G1547" s="123" t="s">
        <v>247</v>
      </c>
      <c r="H1547" s="123">
        <v>4400.0</v>
      </c>
      <c r="I1547" s="33" t="s">
        <v>233</v>
      </c>
      <c r="J1547" s="33" t="s">
        <v>3459</v>
      </c>
      <c r="K1547" s="33">
        <v>2.0</v>
      </c>
      <c r="L1547" s="124">
        <v>3.874532089E9</v>
      </c>
      <c r="M1547" s="31"/>
    </row>
    <row r="1548">
      <c r="A1548" s="131" t="s">
        <v>10040</v>
      </c>
      <c r="B1548" s="132">
        <v>45880.0</v>
      </c>
      <c r="C1548" s="33">
        <v>8.070000329E11</v>
      </c>
      <c r="D1548" s="33" t="s">
        <v>10041</v>
      </c>
      <c r="E1548" s="33" t="s">
        <v>10042</v>
      </c>
      <c r="F1548" s="123" t="s">
        <v>10043</v>
      </c>
      <c r="G1548" s="123" t="s">
        <v>247</v>
      </c>
      <c r="H1548" s="123">
        <v>4400.0</v>
      </c>
      <c r="I1548" s="33" t="s">
        <v>2140</v>
      </c>
      <c r="J1548" s="33" t="s">
        <v>10044</v>
      </c>
      <c r="K1548" s="33">
        <v>1.0</v>
      </c>
      <c r="L1548" s="124">
        <v>3.874146501E9</v>
      </c>
      <c r="M1548" s="31"/>
    </row>
    <row r="1549">
      <c r="A1549" s="131" t="s">
        <v>10045</v>
      </c>
      <c r="B1549" s="132">
        <v>45880.0</v>
      </c>
      <c r="C1549" s="33">
        <v>8.07000032901E11</v>
      </c>
      <c r="D1549" s="33" t="s">
        <v>10046</v>
      </c>
      <c r="E1549" s="33" t="s">
        <v>10047</v>
      </c>
      <c r="F1549" s="123" t="s">
        <v>10048</v>
      </c>
      <c r="G1549" s="123" t="s">
        <v>247</v>
      </c>
      <c r="H1549" s="123">
        <v>4400.0</v>
      </c>
      <c r="I1549" s="33">
        <v>915481.0</v>
      </c>
      <c r="J1549" s="33" t="s">
        <v>8241</v>
      </c>
      <c r="K1549" s="33">
        <v>1.0</v>
      </c>
      <c r="L1549" s="124">
        <v>3.875192915E9</v>
      </c>
      <c r="M1549" s="31"/>
    </row>
    <row r="1550">
      <c r="A1550" s="131" t="s">
        <v>10045</v>
      </c>
      <c r="B1550" s="132">
        <v>45880.0</v>
      </c>
      <c r="C1550" s="33">
        <v>8.07000032902E11</v>
      </c>
      <c r="D1550" s="33" t="s">
        <v>10046</v>
      </c>
      <c r="E1550" s="33" t="s">
        <v>10047</v>
      </c>
      <c r="F1550" s="123" t="s">
        <v>10048</v>
      </c>
      <c r="G1550" s="123" t="s">
        <v>247</v>
      </c>
      <c r="H1550" s="123">
        <v>4400.0</v>
      </c>
      <c r="I1550" s="33" t="s">
        <v>7371</v>
      </c>
      <c r="J1550" s="33" t="s">
        <v>8339</v>
      </c>
      <c r="K1550" s="33">
        <v>2.0</v>
      </c>
      <c r="L1550" s="124">
        <v>3.875192915E9</v>
      </c>
      <c r="M1550" s="31"/>
    </row>
    <row r="1551">
      <c r="A1551" s="131" t="s">
        <v>10045</v>
      </c>
      <c r="B1551" s="132">
        <v>45880.0</v>
      </c>
      <c r="C1551" s="33">
        <v>8.07000032903E11</v>
      </c>
      <c r="D1551" s="33" t="s">
        <v>10046</v>
      </c>
      <c r="E1551" s="33" t="s">
        <v>10047</v>
      </c>
      <c r="F1551" s="123" t="s">
        <v>10048</v>
      </c>
      <c r="G1551" s="123" t="s">
        <v>247</v>
      </c>
      <c r="H1551" s="123">
        <v>4400.0</v>
      </c>
      <c r="I1551" s="33" t="s">
        <v>4070</v>
      </c>
      <c r="J1551" s="33" t="s">
        <v>6264</v>
      </c>
      <c r="K1551" s="33">
        <v>1.0</v>
      </c>
      <c r="L1551" s="124">
        <v>3.875192915E9</v>
      </c>
      <c r="M1551" s="31"/>
    </row>
    <row r="1552">
      <c r="A1552" s="131" t="s">
        <v>10049</v>
      </c>
      <c r="B1552" s="132">
        <v>45880.0</v>
      </c>
      <c r="C1552" s="33">
        <v>8.07000032904E11</v>
      </c>
      <c r="D1552" s="33" t="s">
        <v>10050</v>
      </c>
      <c r="E1552" s="33" t="s">
        <v>10051</v>
      </c>
      <c r="F1552" s="123" t="s">
        <v>10052</v>
      </c>
      <c r="G1552" s="123" t="s">
        <v>247</v>
      </c>
      <c r="H1552" s="123">
        <v>4400.0</v>
      </c>
      <c r="I1552" s="33" t="s">
        <v>4070</v>
      </c>
      <c r="J1552" s="33" t="s">
        <v>6264</v>
      </c>
      <c r="K1552" s="33">
        <v>1.0</v>
      </c>
      <c r="L1552" s="124">
        <v>3.875955525E9</v>
      </c>
      <c r="M1552" s="31"/>
    </row>
    <row r="1553">
      <c r="A1553" s="131" t="s">
        <v>10049</v>
      </c>
      <c r="B1553" s="132">
        <v>45880.0</v>
      </c>
      <c r="C1553" s="33">
        <v>8.07000032905E11</v>
      </c>
      <c r="D1553" s="33" t="s">
        <v>10050</v>
      </c>
      <c r="E1553" s="33" t="s">
        <v>10051</v>
      </c>
      <c r="F1553" s="123" t="s">
        <v>10052</v>
      </c>
      <c r="G1553" s="123" t="s">
        <v>247</v>
      </c>
      <c r="H1553" s="123">
        <v>4400.0</v>
      </c>
      <c r="I1553" s="33" t="s">
        <v>5658</v>
      </c>
      <c r="J1553" s="33" t="s">
        <v>5659</v>
      </c>
      <c r="K1553" s="33">
        <v>1.0</v>
      </c>
      <c r="L1553" s="124">
        <v>3.875955525E9</v>
      </c>
      <c r="M1553" s="31"/>
    </row>
    <row r="1554">
      <c r="A1554" s="131" t="s">
        <v>10053</v>
      </c>
      <c r="B1554" s="132">
        <v>45882.0</v>
      </c>
      <c r="C1554" s="33">
        <v>8.07000032908E11</v>
      </c>
      <c r="D1554" s="33" t="s">
        <v>10054</v>
      </c>
      <c r="E1554" s="33" t="s">
        <v>10055</v>
      </c>
      <c r="F1554" s="123" t="s">
        <v>10056</v>
      </c>
      <c r="G1554" s="123" t="s">
        <v>8670</v>
      </c>
      <c r="H1554" s="123">
        <v>4430.0</v>
      </c>
      <c r="I1554" s="33">
        <v>915481.0</v>
      </c>
      <c r="J1554" s="33" t="s">
        <v>8241</v>
      </c>
      <c r="K1554" s="33">
        <v>1.0</v>
      </c>
      <c r="L1554" s="124" t="s">
        <v>10057</v>
      </c>
      <c r="M1554" s="31"/>
    </row>
    <row r="1555">
      <c r="A1555" s="131" t="s">
        <v>10058</v>
      </c>
      <c r="B1555" s="132">
        <v>45882.0</v>
      </c>
      <c r="C1555" s="33">
        <v>8.07000032922E11</v>
      </c>
      <c r="D1555" s="33" t="s">
        <v>10059</v>
      </c>
      <c r="E1555" s="33" t="s">
        <v>10060</v>
      </c>
      <c r="F1555" s="123" t="s">
        <v>10061</v>
      </c>
      <c r="G1555" s="123" t="s">
        <v>247</v>
      </c>
      <c r="H1555" s="123">
        <v>4400.0</v>
      </c>
      <c r="I1555" s="33" t="s">
        <v>1115</v>
      </c>
      <c r="J1555" s="33" t="s">
        <v>8215</v>
      </c>
      <c r="K1555" s="33">
        <v>1.0</v>
      </c>
      <c r="L1555" s="124" t="s">
        <v>10062</v>
      </c>
      <c r="M1555" s="31"/>
    </row>
    <row r="1556">
      <c r="A1556" s="131" t="s">
        <v>10063</v>
      </c>
      <c r="B1556" s="132">
        <v>45882.0</v>
      </c>
      <c r="C1556" s="33">
        <v>8.07000032923E11</v>
      </c>
      <c r="D1556" s="33" t="s">
        <v>10064</v>
      </c>
      <c r="E1556" s="33" t="s">
        <v>10065</v>
      </c>
      <c r="F1556" s="123" t="s">
        <v>10066</v>
      </c>
      <c r="G1556" s="123" t="s">
        <v>247</v>
      </c>
      <c r="H1556" s="123">
        <v>4400.0</v>
      </c>
      <c r="I1556" s="33" t="s">
        <v>1721</v>
      </c>
      <c r="J1556" s="33" t="s">
        <v>4770</v>
      </c>
      <c r="K1556" s="33">
        <v>1.0</v>
      </c>
      <c r="L1556" s="124" t="s">
        <v>10067</v>
      </c>
      <c r="M1556" s="31"/>
    </row>
    <row r="1557">
      <c r="A1557" s="131" t="s">
        <v>10063</v>
      </c>
      <c r="B1557" s="132">
        <v>45882.0</v>
      </c>
      <c r="C1557" s="33">
        <v>8.07000032924E11</v>
      </c>
      <c r="D1557" s="33" t="s">
        <v>10064</v>
      </c>
      <c r="E1557" s="33" t="s">
        <v>10065</v>
      </c>
      <c r="F1557" s="123" t="s">
        <v>10066</v>
      </c>
      <c r="G1557" s="123" t="s">
        <v>247</v>
      </c>
      <c r="H1557" s="123">
        <v>4400.0</v>
      </c>
      <c r="I1557" s="33">
        <v>204210.0</v>
      </c>
      <c r="J1557" s="33" t="s">
        <v>10068</v>
      </c>
      <c r="K1557" s="33">
        <v>2.0</v>
      </c>
      <c r="L1557" s="124" t="s">
        <v>10067</v>
      </c>
      <c r="M1557" s="31"/>
    </row>
    <row r="1558">
      <c r="A1558" s="131" t="s">
        <v>10069</v>
      </c>
      <c r="B1558" s="132">
        <v>45882.0</v>
      </c>
      <c r="C1558" s="33">
        <v>8.07000032919E11</v>
      </c>
      <c r="D1558" s="33" t="s">
        <v>10070</v>
      </c>
      <c r="E1558" s="33" t="s">
        <v>10071</v>
      </c>
      <c r="F1558" s="123" t="s">
        <v>10072</v>
      </c>
      <c r="G1558" s="123" t="s">
        <v>247</v>
      </c>
      <c r="H1558" s="123">
        <v>4400.0</v>
      </c>
      <c r="I1558" s="33" t="s">
        <v>2140</v>
      </c>
      <c r="J1558" s="33" t="s">
        <v>10044</v>
      </c>
      <c r="K1558" s="33">
        <v>1.0</v>
      </c>
      <c r="L1558" s="124" t="s">
        <v>10073</v>
      </c>
      <c r="M1558" s="31"/>
    </row>
    <row r="1559">
      <c r="A1559" s="131" t="s">
        <v>10074</v>
      </c>
      <c r="B1559" s="132">
        <v>45882.0</v>
      </c>
      <c r="C1559" s="33">
        <v>8.0700003292E11</v>
      </c>
      <c r="D1559" s="33" t="s">
        <v>10075</v>
      </c>
      <c r="E1559" s="33" t="s">
        <v>10076</v>
      </c>
      <c r="F1559" s="123" t="s">
        <v>10077</v>
      </c>
      <c r="G1559" s="123" t="s">
        <v>247</v>
      </c>
      <c r="H1559" s="123">
        <v>4400.0</v>
      </c>
      <c r="I1559" s="33" t="s">
        <v>512</v>
      </c>
      <c r="J1559" s="33" t="s">
        <v>513</v>
      </c>
      <c r="K1559" s="33">
        <v>6.0</v>
      </c>
      <c r="L1559" s="124" t="s">
        <v>10078</v>
      </c>
      <c r="M1559" s="31"/>
    </row>
    <row r="1560">
      <c r="A1560" s="131" t="s">
        <v>10074</v>
      </c>
      <c r="B1560" s="132">
        <v>45882.0</v>
      </c>
      <c r="C1560" s="33">
        <v>8.07000032921E11</v>
      </c>
      <c r="D1560" s="33" t="s">
        <v>10075</v>
      </c>
      <c r="E1560" s="33" t="s">
        <v>10076</v>
      </c>
      <c r="F1560" s="123" t="s">
        <v>10077</v>
      </c>
      <c r="G1560" s="123" t="s">
        <v>247</v>
      </c>
      <c r="H1560" s="123">
        <v>4400.0</v>
      </c>
      <c r="I1560" s="33" t="s">
        <v>1040</v>
      </c>
      <c r="J1560" s="33" t="s">
        <v>3294</v>
      </c>
      <c r="K1560" s="33">
        <v>1.0</v>
      </c>
      <c r="L1560" s="124" t="s">
        <v>10078</v>
      </c>
      <c r="M1560" s="31"/>
    </row>
    <row r="1561">
      <c r="A1561" s="131" t="s">
        <v>10074</v>
      </c>
      <c r="B1561" s="132">
        <v>45882.0</v>
      </c>
      <c r="C1561" s="33">
        <v>8.07000032921E11</v>
      </c>
      <c r="D1561" s="33" t="s">
        <v>10075</v>
      </c>
      <c r="E1561" s="33" t="s">
        <v>10076</v>
      </c>
      <c r="F1561" s="123" t="s">
        <v>10077</v>
      </c>
      <c r="G1561" s="123" t="s">
        <v>247</v>
      </c>
      <c r="H1561" s="123">
        <v>4400.0</v>
      </c>
      <c r="I1561" s="33" t="s">
        <v>2031</v>
      </c>
      <c r="J1561" s="33" t="s">
        <v>3348</v>
      </c>
      <c r="K1561" s="33">
        <v>1.0</v>
      </c>
      <c r="L1561" s="124" t="s">
        <v>10078</v>
      </c>
      <c r="M1561" s="31"/>
    </row>
    <row r="1562">
      <c r="A1562" s="131" t="s">
        <v>10079</v>
      </c>
      <c r="B1562" s="132">
        <v>45882.0</v>
      </c>
      <c r="C1562" s="33">
        <v>8.07000032927E11</v>
      </c>
      <c r="D1562" s="33" t="s">
        <v>10080</v>
      </c>
      <c r="E1562" s="33" t="s">
        <v>10081</v>
      </c>
      <c r="F1562" s="123" t="s">
        <v>10082</v>
      </c>
      <c r="G1562" s="123" t="s">
        <v>247</v>
      </c>
      <c r="H1562" s="123">
        <v>4400.0</v>
      </c>
      <c r="I1562" s="33" t="s">
        <v>8532</v>
      </c>
      <c r="J1562" s="33" t="s">
        <v>8533</v>
      </c>
      <c r="K1562" s="33">
        <v>1.0</v>
      </c>
      <c r="L1562" s="124" t="s">
        <v>10083</v>
      </c>
      <c r="M1562" s="31"/>
    </row>
    <row r="1563">
      <c r="A1563" s="131" t="s">
        <v>10079</v>
      </c>
      <c r="B1563" s="132">
        <v>45882.0</v>
      </c>
      <c r="C1563" s="33">
        <v>8.07000032927E11</v>
      </c>
      <c r="D1563" s="33" t="s">
        <v>10080</v>
      </c>
      <c r="E1563" s="33" t="s">
        <v>10081</v>
      </c>
      <c r="F1563" s="123" t="s">
        <v>10082</v>
      </c>
      <c r="G1563" s="123" t="s">
        <v>247</v>
      </c>
      <c r="H1563" s="123">
        <v>4400.0</v>
      </c>
      <c r="I1563" s="33" t="s">
        <v>512</v>
      </c>
      <c r="J1563" s="33" t="s">
        <v>513</v>
      </c>
      <c r="K1563" s="33">
        <v>6.0</v>
      </c>
      <c r="L1563" s="124" t="s">
        <v>10083</v>
      </c>
      <c r="M1563" s="31"/>
    </row>
    <row r="1564">
      <c r="A1564" s="131" t="s">
        <v>10079</v>
      </c>
      <c r="B1564" s="132">
        <v>45882.0</v>
      </c>
      <c r="C1564" s="33">
        <v>8.07000032927E11</v>
      </c>
      <c r="D1564" s="33" t="s">
        <v>10080</v>
      </c>
      <c r="E1564" s="33" t="s">
        <v>10081</v>
      </c>
      <c r="F1564" s="123" t="s">
        <v>10082</v>
      </c>
      <c r="G1564" s="123" t="s">
        <v>247</v>
      </c>
      <c r="H1564" s="123">
        <v>4400.0</v>
      </c>
      <c r="I1564" s="33" t="s">
        <v>1749</v>
      </c>
      <c r="J1564" s="33" t="s">
        <v>3240</v>
      </c>
      <c r="K1564" s="33">
        <v>1.0</v>
      </c>
      <c r="L1564" s="124" t="s">
        <v>10083</v>
      </c>
      <c r="M1564" s="31"/>
    </row>
    <row r="1565">
      <c r="A1565" s="131" t="s">
        <v>10084</v>
      </c>
      <c r="B1565" s="132">
        <v>45883.0</v>
      </c>
      <c r="C1565" s="33">
        <v>8.07000032859E11</v>
      </c>
      <c r="D1565" s="33" t="s">
        <v>10085</v>
      </c>
      <c r="E1565" s="33" t="s">
        <v>10086</v>
      </c>
      <c r="F1565" s="123" t="s">
        <v>10087</v>
      </c>
      <c r="G1565" s="123" t="s">
        <v>8670</v>
      </c>
      <c r="H1565" s="123">
        <v>4430.0</v>
      </c>
      <c r="I1565" s="33" t="s">
        <v>2956</v>
      </c>
      <c r="J1565" s="33" t="s">
        <v>3327</v>
      </c>
      <c r="K1565" s="33">
        <v>1.0</v>
      </c>
      <c r="L1565" s="124" t="s">
        <v>10088</v>
      </c>
      <c r="M1565" s="31"/>
    </row>
    <row r="1566">
      <c r="A1566" s="131" t="s">
        <v>10084</v>
      </c>
      <c r="B1566" s="132">
        <v>45883.0</v>
      </c>
      <c r="C1566" s="33">
        <v>8.07000032859E11</v>
      </c>
      <c r="D1566" s="33" t="s">
        <v>10085</v>
      </c>
      <c r="E1566" s="33" t="s">
        <v>10086</v>
      </c>
      <c r="F1566" s="123" t="s">
        <v>10087</v>
      </c>
      <c r="G1566" s="123" t="s">
        <v>8670</v>
      </c>
      <c r="H1566" s="123">
        <v>4430.0</v>
      </c>
      <c r="I1566" s="33" t="s">
        <v>512</v>
      </c>
      <c r="J1566" s="33" t="s">
        <v>513</v>
      </c>
      <c r="K1566" s="33">
        <v>6.0</v>
      </c>
      <c r="L1566" s="124" t="s">
        <v>10088</v>
      </c>
      <c r="M1566" s="31"/>
    </row>
    <row r="1567">
      <c r="A1567" s="131" t="s">
        <v>10084</v>
      </c>
      <c r="B1567" s="132">
        <v>45883.0</v>
      </c>
      <c r="C1567" s="33">
        <v>8.07000032859E11</v>
      </c>
      <c r="D1567" s="33" t="s">
        <v>10085</v>
      </c>
      <c r="E1567" s="33" t="s">
        <v>10086</v>
      </c>
      <c r="F1567" s="123" t="s">
        <v>10087</v>
      </c>
      <c r="G1567" s="123" t="s">
        <v>8670</v>
      </c>
      <c r="H1567" s="123">
        <v>4430.0</v>
      </c>
      <c r="I1567" s="33" t="s">
        <v>670</v>
      </c>
      <c r="J1567" s="33" t="s">
        <v>3410</v>
      </c>
      <c r="K1567" s="33">
        <v>1.0</v>
      </c>
      <c r="L1567" s="124" t="s">
        <v>10088</v>
      </c>
      <c r="M1567" s="31"/>
    </row>
    <row r="1568">
      <c r="A1568" s="131" t="s">
        <v>10089</v>
      </c>
      <c r="B1568" s="132">
        <v>45884.0</v>
      </c>
      <c r="C1568" s="33">
        <v>8.07000032933E11</v>
      </c>
      <c r="D1568" s="33" t="s">
        <v>10090</v>
      </c>
      <c r="E1568" s="33" t="s">
        <v>10091</v>
      </c>
      <c r="F1568" s="123" t="s">
        <v>10092</v>
      </c>
      <c r="G1568" s="123" t="s">
        <v>247</v>
      </c>
      <c r="H1568" s="123">
        <v>4400.0</v>
      </c>
      <c r="I1568" s="33" t="s">
        <v>3797</v>
      </c>
      <c r="J1568" s="33" t="s">
        <v>3798</v>
      </c>
      <c r="K1568" s="33">
        <v>1.0</v>
      </c>
      <c r="L1568" s="124" t="s">
        <v>10093</v>
      </c>
      <c r="M1568" s="31"/>
    </row>
    <row r="1569">
      <c r="A1569" s="131" t="s">
        <v>10094</v>
      </c>
      <c r="B1569" s="132">
        <v>45884.0</v>
      </c>
      <c r="C1569" s="33">
        <v>8.07000032915E11</v>
      </c>
      <c r="D1569" s="33" t="s">
        <v>10095</v>
      </c>
      <c r="E1569" s="33" t="s">
        <v>10096</v>
      </c>
      <c r="F1569" s="123" t="s">
        <v>10097</v>
      </c>
      <c r="G1569" s="123" t="s">
        <v>247</v>
      </c>
      <c r="H1569" s="123">
        <v>4400.0</v>
      </c>
      <c r="I1569" s="33" t="s">
        <v>2233</v>
      </c>
      <c r="J1569" s="33" t="s">
        <v>4158</v>
      </c>
      <c r="K1569" s="33">
        <v>2.0</v>
      </c>
      <c r="L1569" s="124" t="s">
        <v>10098</v>
      </c>
      <c r="M1569" s="31"/>
    </row>
    <row r="1570">
      <c r="A1570" s="131" t="s">
        <v>10094</v>
      </c>
      <c r="B1570" s="132">
        <v>45884.0</v>
      </c>
      <c r="C1570" s="33">
        <v>8.07000032915E11</v>
      </c>
      <c r="D1570" s="33" t="s">
        <v>10095</v>
      </c>
      <c r="E1570" s="33" t="s">
        <v>10096</v>
      </c>
      <c r="F1570" s="123" t="s">
        <v>10097</v>
      </c>
      <c r="G1570" s="123" t="s">
        <v>247</v>
      </c>
      <c r="H1570" s="123">
        <v>4400.0</v>
      </c>
      <c r="I1570" s="33" t="s">
        <v>512</v>
      </c>
      <c r="J1570" s="33" t="s">
        <v>513</v>
      </c>
      <c r="K1570" s="33">
        <v>12.0</v>
      </c>
      <c r="L1570" s="124" t="s">
        <v>10098</v>
      </c>
      <c r="M1570" s="31"/>
    </row>
    <row r="1571">
      <c r="A1571" s="131" t="s">
        <v>10094</v>
      </c>
      <c r="B1571" s="132">
        <v>45884.0</v>
      </c>
      <c r="C1571" s="33">
        <v>8.07000032915E11</v>
      </c>
      <c r="D1571" s="33" t="s">
        <v>10095</v>
      </c>
      <c r="E1571" s="33" t="s">
        <v>10096</v>
      </c>
      <c r="F1571" s="123" t="s">
        <v>10097</v>
      </c>
      <c r="G1571" s="123" t="s">
        <v>247</v>
      </c>
      <c r="H1571" s="123">
        <v>4400.0</v>
      </c>
      <c r="I1571" s="33" t="s">
        <v>969</v>
      </c>
      <c r="J1571" s="33" t="s">
        <v>3296</v>
      </c>
      <c r="K1571" s="33">
        <v>2.0</v>
      </c>
      <c r="L1571" s="124" t="s">
        <v>10098</v>
      </c>
      <c r="M1571" s="31"/>
    </row>
    <row r="1572">
      <c r="A1572" s="131" t="s">
        <v>10094</v>
      </c>
      <c r="B1572" s="132">
        <v>45884.0</v>
      </c>
      <c r="C1572" s="33">
        <v>8.07000032916E11</v>
      </c>
      <c r="D1572" s="33" t="s">
        <v>10095</v>
      </c>
      <c r="E1572" s="33" t="s">
        <v>10096</v>
      </c>
      <c r="F1572" s="123" t="s">
        <v>10097</v>
      </c>
      <c r="G1572" s="123" t="s">
        <v>247</v>
      </c>
      <c r="H1572" s="123">
        <v>4400.0</v>
      </c>
      <c r="I1572" s="33" t="s">
        <v>7329</v>
      </c>
      <c r="J1572" s="33" t="s">
        <v>9785</v>
      </c>
      <c r="K1572" s="33">
        <v>1.0</v>
      </c>
      <c r="L1572" s="124" t="s">
        <v>10098</v>
      </c>
      <c r="M1572" s="31"/>
    </row>
    <row r="1573">
      <c r="A1573" s="131" t="s">
        <v>10094</v>
      </c>
      <c r="B1573" s="132">
        <v>45884.0</v>
      </c>
      <c r="C1573" s="33">
        <v>8.07000032916E11</v>
      </c>
      <c r="D1573" s="33" t="s">
        <v>10095</v>
      </c>
      <c r="E1573" s="33" t="s">
        <v>10096</v>
      </c>
      <c r="F1573" s="123" t="s">
        <v>10097</v>
      </c>
      <c r="G1573" s="123" t="s">
        <v>247</v>
      </c>
      <c r="H1573" s="123">
        <v>4400.0</v>
      </c>
      <c r="I1573" s="33" t="s">
        <v>512</v>
      </c>
      <c r="J1573" s="33" t="s">
        <v>513</v>
      </c>
      <c r="K1573" s="33">
        <v>12.0</v>
      </c>
      <c r="L1573" s="124" t="s">
        <v>10098</v>
      </c>
      <c r="M1573" s="31"/>
    </row>
    <row r="1574">
      <c r="A1574" s="131" t="s">
        <v>10094</v>
      </c>
      <c r="B1574" s="132">
        <v>45884.0</v>
      </c>
      <c r="C1574" s="33">
        <v>8.07000032916E11</v>
      </c>
      <c r="D1574" s="33" t="s">
        <v>10095</v>
      </c>
      <c r="E1574" s="33" t="s">
        <v>10096</v>
      </c>
      <c r="F1574" s="123" t="s">
        <v>10097</v>
      </c>
      <c r="G1574" s="123" t="s">
        <v>247</v>
      </c>
      <c r="H1574" s="123">
        <v>4400.0</v>
      </c>
      <c r="I1574" s="33" t="s">
        <v>121</v>
      </c>
      <c r="J1574" s="33" t="s">
        <v>3199</v>
      </c>
      <c r="K1574" s="33">
        <v>2.0</v>
      </c>
      <c r="L1574" s="124" t="s">
        <v>10098</v>
      </c>
      <c r="M1574" s="31"/>
    </row>
    <row r="1575">
      <c r="A1575" s="131" t="s">
        <v>10099</v>
      </c>
      <c r="B1575" s="132">
        <v>45884.0</v>
      </c>
      <c r="C1575" s="33">
        <v>8.07000032936E11</v>
      </c>
      <c r="D1575" s="33" t="s">
        <v>10100</v>
      </c>
      <c r="E1575" s="33" t="s">
        <v>10101</v>
      </c>
      <c r="F1575" s="123" t="s">
        <v>10102</v>
      </c>
      <c r="G1575" s="123" t="s">
        <v>247</v>
      </c>
      <c r="H1575" s="123">
        <v>4400.0</v>
      </c>
      <c r="I1575" s="33" t="s">
        <v>2372</v>
      </c>
      <c r="J1575" s="33" t="s">
        <v>8140</v>
      </c>
      <c r="K1575" s="33">
        <v>1.0</v>
      </c>
      <c r="L1575" s="124" t="s">
        <v>10103</v>
      </c>
      <c r="M1575" s="31"/>
    </row>
    <row r="1576">
      <c r="A1576" s="131" t="s">
        <v>10104</v>
      </c>
      <c r="B1576" s="132">
        <v>45884.0</v>
      </c>
      <c r="C1576" s="33">
        <v>8.07000032939E11</v>
      </c>
      <c r="D1576" s="33" t="s">
        <v>10105</v>
      </c>
      <c r="E1576" s="33" t="s">
        <v>10106</v>
      </c>
      <c r="F1576" s="123" t="s">
        <v>10107</v>
      </c>
      <c r="G1576" s="123" t="s">
        <v>247</v>
      </c>
      <c r="H1576" s="123">
        <v>4400.0</v>
      </c>
      <c r="I1576" s="33" t="s">
        <v>3484</v>
      </c>
      <c r="J1576" s="33" t="s">
        <v>3485</v>
      </c>
      <c r="K1576" s="33">
        <v>1.0</v>
      </c>
      <c r="L1576" s="124" t="s">
        <v>10108</v>
      </c>
      <c r="M1576" s="31"/>
    </row>
    <row r="1577">
      <c r="A1577" s="131" t="s">
        <v>10104</v>
      </c>
      <c r="B1577" s="132">
        <v>45884.0</v>
      </c>
      <c r="C1577" s="33">
        <v>8.07000032939E11</v>
      </c>
      <c r="D1577" s="33" t="s">
        <v>10105</v>
      </c>
      <c r="E1577" s="33" t="s">
        <v>10106</v>
      </c>
      <c r="F1577" s="123" t="s">
        <v>10107</v>
      </c>
      <c r="G1577" s="123" t="s">
        <v>247</v>
      </c>
      <c r="H1577" s="123">
        <v>4400.0</v>
      </c>
      <c r="I1577" s="33" t="s">
        <v>7091</v>
      </c>
      <c r="J1577" s="33" t="s">
        <v>8280</v>
      </c>
      <c r="K1577" s="33">
        <v>2.0</v>
      </c>
      <c r="L1577" s="124" t="s">
        <v>10108</v>
      </c>
      <c r="M1577" s="31"/>
    </row>
    <row r="1578">
      <c r="A1578" s="131" t="s">
        <v>10109</v>
      </c>
      <c r="B1578" s="132">
        <v>45885.0</v>
      </c>
      <c r="C1578" s="33">
        <v>8.0700003294E11</v>
      </c>
      <c r="D1578" s="33" t="s">
        <v>10110</v>
      </c>
      <c r="E1578" s="33" t="s">
        <v>10111</v>
      </c>
      <c r="F1578" s="123" t="s">
        <v>10112</v>
      </c>
      <c r="G1578" s="123" t="s">
        <v>247</v>
      </c>
      <c r="H1578" s="123">
        <v>4400.0</v>
      </c>
      <c r="I1578" s="33" t="s">
        <v>512</v>
      </c>
      <c r="J1578" s="33" t="s">
        <v>513</v>
      </c>
      <c r="K1578" s="33">
        <v>12.0</v>
      </c>
      <c r="L1578" s="124" t="s">
        <v>10113</v>
      </c>
      <c r="M1578" s="31"/>
    </row>
    <row r="1579">
      <c r="A1579" s="131" t="s">
        <v>10109</v>
      </c>
      <c r="B1579" s="132">
        <v>45885.0</v>
      </c>
      <c r="C1579" s="33">
        <v>8.07000032941E11</v>
      </c>
      <c r="D1579" s="33" t="s">
        <v>10110</v>
      </c>
      <c r="E1579" s="33" t="s">
        <v>10111</v>
      </c>
      <c r="F1579" s="123" t="s">
        <v>10112</v>
      </c>
      <c r="G1579" s="123" t="s">
        <v>247</v>
      </c>
      <c r="H1579" s="123">
        <v>4400.0</v>
      </c>
      <c r="I1579" s="33" t="s">
        <v>280</v>
      </c>
      <c r="J1579" s="33" t="s">
        <v>5669</v>
      </c>
      <c r="K1579" s="33">
        <v>1.0</v>
      </c>
      <c r="L1579" s="124" t="s">
        <v>10113</v>
      </c>
      <c r="M1579" s="31"/>
    </row>
    <row r="1580">
      <c r="A1580" s="131" t="s">
        <v>10109</v>
      </c>
      <c r="B1580" s="132">
        <v>45885.0</v>
      </c>
      <c r="C1580" s="33">
        <v>8.07000032941E11</v>
      </c>
      <c r="D1580" s="33" t="s">
        <v>10110</v>
      </c>
      <c r="E1580" s="33" t="s">
        <v>10111</v>
      </c>
      <c r="F1580" s="123" t="s">
        <v>10112</v>
      </c>
      <c r="G1580" s="123" t="s">
        <v>247</v>
      </c>
      <c r="H1580" s="123">
        <v>4400.0</v>
      </c>
      <c r="I1580" s="33" t="s">
        <v>340</v>
      </c>
      <c r="J1580" s="33" t="s">
        <v>3486</v>
      </c>
      <c r="K1580" s="33">
        <v>2.0</v>
      </c>
      <c r="L1580" s="124" t="s">
        <v>10113</v>
      </c>
      <c r="M1580" s="31"/>
    </row>
    <row r="1581">
      <c r="A1581" s="131" t="s">
        <v>10114</v>
      </c>
      <c r="B1581" s="132">
        <v>45885.0</v>
      </c>
      <c r="C1581" s="33">
        <v>8.07000032918E11</v>
      </c>
      <c r="D1581" s="33" t="s">
        <v>10115</v>
      </c>
      <c r="E1581" s="33" t="s">
        <v>10116</v>
      </c>
      <c r="F1581" s="123" t="s">
        <v>10117</v>
      </c>
      <c r="G1581" s="123" t="s">
        <v>8629</v>
      </c>
      <c r="H1581" s="123">
        <v>4407.0</v>
      </c>
      <c r="I1581" s="33" t="s">
        <v>2956</v>
      </c>
      <c r="J1581" s="33" t="s">
        <v>3327</v>
      </c>
      <c r="K1581" s="33">
        <v>1.0</v>
      </c>
      <c r="L1581" s="124" t="s">
        <v>10118</v>
      </c>
      <c r="M1581" s="31"/>
    </row>
    <row r="1582">
      <c r="A1582" s="131" t="s">
        <v>10119</v>
      </c>
      <c r="B1582" s="132">
        <v>45885.0</v>
      </c>
      <c r="C1582" s="33">
        <v>8.05011547916E11</v>
      </c>
      <c r="D1582" s="33" t="s">
        <v>10120</v>
      </c>
      <c r="E1582" s="33" t="s">
        <v>10121</v>
      </c>
      <c r="F1582" s="123" t="s">
        <v>10122</v>
      </c>
      <c r="G1582" s="123" t="s">
        <v>247</v>
      </c>
      <c r="H1582" s="123">
        <v>4400.0</v>
      </c>
      <c r="I1582" s="33" t="s">
        <v>4220</v>
      </c>
      <c r="J1582" s="33" t="s">
        <v>4221</v>
      </c>
      <c r="K1582" s="33">
        <v>1.0</v>
      </c>
      <c r="L1582" s="124" t="s">
        <v>10123</v>
      </c>
      <c r="M1582" s="31"/>
    </row>
    <row r="1583">
      <c r="A1583" s="131" t="s">
        <v>10119</v>
      </c>
      <c r="B1583" s="132">
        <v>45885.0</v>
      </c>
      <c r="C1583" s="33">
        <v>8.05011547916E11</v>
      </c>
      <c r="D1583" s="33" t="s">
        <v>10120</v>
      </c>
      <c r="E1583" s="33" t="s">
        <v>10121</v>
      </c>
      <c r="F1583" s="123" t="s">
        <v>10122</v>
      </c>
      <c r="G1583" s="123" t="s">
        <v>247</v>
      </c>
      <c r="H1583" s="123">
        <v>4400.0</v>
      </c>
      <c r="I1583" s="33" t="s">
        <v>512</v>
      </c>
      <c r="J1583" s="33" t="s">
        <v>513</v>
      </c>
      <c r="K1583" s="33">
        <v>6.0</v>
      </c>
      <c r="L1583" s="124" t="s">
        <v>10123</v>
      </c>
      <c r="M1583" s="31"/>
    </row>
    <row r="1584" ht="15.75" customHeight="1">
      <c r="A1584" s="131" t="s">
        <v>10119</v>
      </c>
      <c r="B1584" s="132">
        <v>45885.0</v>
      </c>
      <c r="C1584" s="33">
        <v>8.05011547916E11</v>
      </c>
      <c r="D1584" s="33" t="s">
        <v>10120</v>
      </c>
      <c r="E1584" s="33" t="s">
        <v>10121</v>
      </c>
      <c r="F1584" s="123" t="s">
        <v>10122</v>
      </c>
      <c r="G1584" s="123" t="s">
        <v>247</v>
      </c>
      <c r="H1584" s="123">
        <v>4400.0</v>
      </c>
      <c r="I1584" s="33" t="s">
        <v>969</v>
      </c>
      <c r="J1584" s="33" t="s">
        <v>3296</v>
      </c>
      <c r="K1584" s="33">
        <v>1.0</v>
      </c>
      <c r="L1584" s="124" t="s">
        <v>10123</v>
      </c>
      <c r="M1584" s="31"/>
    </row>
    <row r="1585">
      <c r="A1585" s="131" t="s">
        <v>10124</v>
      </c>
      <c r="B1585" s="132">
        <v>45887.0</v>
      </c>
      <c r="C1585" s="33">
        <v>8.07000032954E11</v>
      </c>
      <c r="D1585" s="33" t="s">
        <v>10125</v>
      </c>
      <c r="E1585" s="33" t="s">
        <v>10126</v>
      </c>
      <c r="F1585" s="123" t="s">
        <v>10127</v>
      </c>
      <c r="G1585" s="123" t="s">
        <v>1197</v>
      </c>
      <c r="H1585" s="123">
        <v>4449.0</v>
      </c>
      <c r="I1585" s="33" t="s">
        <v>4938</v>
      </c>
      <c r="J1585" s="33" t="s">
        <v>4939</v>
      </c>
      <c r="K1585" s="33">
        <v>1.0</v>
      </c>
      <c r="L1585" s="124" t="s">
        <v>10128</v>
      </c>
      <c r="M1585" s="31"/>
    </row>
    <row r="1586">
      <c r="A1586" s="131" t="s">
        <v>10124</v>
      </c>
      <c r="B1586" s="132">
        <v>45887.0</v>
      </c>
      <c r="C1586" s="33">
        <v>8.07000032954E11</v>
      </c>
      <c r="D1586" s="33" t="s">
        <v>10125</v>
      </c>
      <c r="E1586" s="33" t="s">
        <v>10126</v>
      </c>
      <c r="F1586" s="123" t="s">
        <v>10127</v>
      </c>
      <c r="G1586" s="123" t="s">
        <v>1197</v>
      </c>
      <c r="H1586" s="123">
        <v>4449.0</v>
      </c>
      <c r="I1586" s="33" t="s">
        <v>3512</v>
      </c>
      <c r="J1586" s="33" t="s">
        <v>3513</v>
      </c>
      <c r="K1586" s="33">
        <v>12.0</v>
      </c>
      <c r="L1586" s="124" t="s">
        <v>10128</v>
      </c>
      <c r="M1586" s="31"/>
    </row>
    <row r="1587">
      <c r="A1587" s="131" t="s">
        <v>10124</v>
      </c>
      <c r="B1587" s="132">
        <v>45887.0</v>
      </c>
      <c r="C1587" s="33">
        <v>8.07000032954E11</v>
      </c>
      <c r="D1587" s="33" t="s">
        <v>10125</v>
      </c>
      <c r="E1587" s="33" t="s">
        <v>10126</v>
      </c>
      <c r="F1587" s="123" t="s">
        <v>10127</v>
      </c>
      <c r="G1587" s="123" t="s">
        <v>1197</v>
      </c>
      <c r="H1587" s="123">
        <v>4449.0</v>
      </c>
      <c r="I1587" s="33" t="s">
        <v>4250</v>
      </c>
      <c r="J1587" s="33" t="s">
        <v>4251</v>
      </c>
      <c r="K1587" s="33">
        <v>2.0</v>
      </c>
      <c r="L1587" s="124" t="s">
        <v>10128</v>
      </c>
      <c r="M1587" s="31"/>
    </row>
    <row r="1588">
      <c r="A1588" s="131" t="s">
        <v>10129</v>
      </c>
      <c r="B1588" s="132">
        <v>45887.0</v>
      </c>
      <c r="C1588" s="33">
        <v>8.07000032699E11</v>
      </c>
      <c r="D1588" s="33" t="s">
        <v>4365</v>
      </c>
      <c r="E1588" s="33" t="s">
        <v>4366</v>
      </c>
      <c r="F1588" s="123" t="s">
        <v>9212</v>
      </c>
      <c r="G1588" s="123" t="s">
        <v>532</v>
      </c>
      <c r="H1588" s="123">
        <v>4427.0</v>
      </c>
      <c r="I1588" s="33" t="s">
        <v>8738</v>
      </c>
      <c r="J1588" s="33" t="s">
        <v>8739</v>
      </c>
      <c r="K1588" s="33">
        <v>12.0</v>
      </c>
      <c r="L1588" s="124" t="s">
        <v>9213</v>
      </c>
      <c r="M1588" s="31"/>
    </row>
    <row r="1589">
      <c r="A1589" s="131" t="s">
        <v>10129</v>
      </c>
      <c r="B1589" s="132">
        <v>45887.0</v>
      </c>
      <c r="C1589" s="33">
        <v>8.070000327E11</v>
      </c>
      <c r="D1589" s="33" t="s">
        <v>4365</v>
      </c>
      <c r="E1589" s="33" t="s">
        <v>4366</v>
      </c>
      <c r="F1589" s="123" t="s">
        <v>9212</v>
      </c>
      <c r="G1589" s="123" t="s">
        <v>532</v>
      </c>
      <c r="H1589" s="123">
        <v>4427.0</v>
      </c>
      <c r="I1589" s="33" t="s">
        <v>10130</v>
      </c>
      <c r="J1589" s="33" t="s">
        <v>10131</v>
      </c>
      <c r="K1589" s="33">
        <v>6.0</v>
      </c>
      <c r="L1589" s="124" t="s">
        <v>9213</v>
      </c>
      <c r="M1589" s="31"/>
    </row>
    <row r="1590">
      <c r="A1590" s="131" t="s">
        <v>10132</v>
      </c>
      <c r="B1590" s="132">
        <v>45887.0</v>
      </c>
      <c r="C1590" s="33">
        <v>8.07000032959E11</v>
      </c>
      <c r="D1590" s="33" t="s">
        <v>10133</v>
      </c>
      <c r="E1590" s="33" t="s">
        <v>10134</v>
      </c>
      <c r="F1590" s="213" t="s">
        <v>10135</v>
      </c>
      <c r="G1590" s="123" t="s">
        <v>247</v>
      </c>
      <c r="H1590" s="123">
        <v>4400.0</v>
      </c>
      <c r="I1590" s="33">
        <v>125818.0</v>
      </c>
      <c r="J1590" s="33" t="s">
        <v>4334</v>
      </c>
      <c r="K1590" s="33">
        <v>6.0</v>
      </c>
      <c r="L1590" s="124" t="s">
        <v>9210</v>
      </c>
      <c r="M1590" s="31"/>
    </row>
    <row r="1591">
      <c r="A1591" s="131" t="s">
        <v>10132</v>
      </c>
      <c r="B1591" s="132">
        <v>45887.0</v>
      </c>
      <c r="C1591" s="33">
        <v>8.07000032959E11</v>
      </c>
      <c r="D1591" s="33" t="s">
        <v>10133</v>
      </c>
      <c r="E1591" s="33" t="s">
        <v>10134</v>
      </c>
      <c r="F1591" s="213" t="s">
        <v>10135</v>
      </c>
      <c r="G1591" s="123" t="s">
        <v>247</v>
      </c>
      <c r="H1591" s="123">
        <v>4400.0</v>
      </c>
      <c r="I1591" s="33" t="s">
        <v>3641</v>
      </c>
      <c r="J1591" s="33" t="s">
        <v>3642</v>
      </c>
      <c r="K1591" s="33">
        <v>1.0</v>
      </c>
      <c r="L1591" s="124" t="s">
        <v>9210</v>
      </c>
      <c r="M1591" s="31"/>
    </row>
    <row r="1592">
      <c r="A1592" s="131" t="s">
        <v>10136</v>
      </c>
      <c r="B1592" s="132">
        <v>45887.0</v>
      </c>
      <c r="C1592" s="33">
        <v>8.0700003296E11</v>
      </c>
      <c r="D1592" s="33" t="s">
        <v>10133</v>
      </c>
      <c r="E1592" s="33" t="s">
        <v>10134</v>
      </c>
      <c r="F1592" s="213" t="s">
        <v>10135</v>
      </c>
      <c r="G1592" s="123" t="s">
        <v>247</v>
      </c>
      <c r="H1592" s="123">
        <v>4400.0</v>
      </c>
      <c r="I1592" s="33" t="s">
        <v>4793</v>
      </c>
      <c r="J1592" s="33" t="s">
        <v>4794</v>
      </c>
      <c r="K1592" s="33">
        <v>1.0</v>
      </c>
      <c r="L1592" s="124" t="s">
        <v>9210</v>
      </c>
      <c r="M1592" s="31"/>
    </row>
    <row r="1593">
      <c r="A1593" s="131" t="s">
        <v>10137</v>
      </c>
      <c r="B1593" s="132">
        <v>45887.0</v>
      </c>
      <c r="C1593" s="33">
        <v>8.07000032961E11</v>
      </c>
      <c r="D1593" s="33" t="s">
        <v>10138</v>
      </c>
      <c r="E1593" s="33" t="s">
        <v>10139</v>
      </c>
      <c r="F1593" s="123" t="s">
        <v>10140</v>
      </c>
      <c r="G1593" s="123" t="s">
        <v>247</v>
      </c>
      <c r="H1593" s="123">
        <v>4400.0</v>
      </c>
      <c r="I1593" s="33" t="s">
        <v>512</v>
      </c>
      <c r="J1593" s="33" t="s">
        <v>513</v>
      </c>
      <c r="K1593" s="33">
        <v>6.0</v>
      </c>
      <c r="L1593" s="124" t="s">
        <v>10141</v>
      </c>
      <c r="M1593" s="31"/>
    </row>
    <row r="1594">
      <c r="A1594" s="131" t="s">
        <v>10137</v>
      </c>
      <c r="B1594" s="132">
        <v>45887.0</v>
      </c>
      <c r="C1594" s="33">
        <v>8.07000032962E11</v>
      </c>
      <c r="D1594" s="33" t="s">
        <v>10138</v>
      </c>
      <c r="E1594" s="33" t="s">
        <v>10139</v>
      </c>
      <c r="F1594" s="123" t="s">
        <v>10140</v>
      </c>
      <c r="G1594" s="123" t="s">
        <v>247</v>
      </c>
      <c r="H1594" s="123">
        <v>4400.0</v>
      </c>
      <c r="I1594" s="33" t="s">
        <v>3451</v>
      </c>
      <c r="J1594" s="33" t="s">
        <v>3327</v>
      </c>
      <c r="K1594" s="33">
        <v>1.0</v>
      </c>
      <c r="L1594" s="124" t="s">
        <v>10141</v>
      </c>
      <c r="M1594" s="31"/>
    </row>
    <row r="1595">
      <c r="A1595" s="131" t="s">
        <v>10137</v>
      </c>
      <c r="B1595" s="132">
        <v>45887.0</v>
      </c>
      <c r="C1595" s="33">
        <v>8.07000032962E11</v>
      </c>
      <c r="D1595" s="33" t="s">
        <v>10138</v>
      </c>
      <c r="E1595" s="33" t="s">
        <v>10139</v>
      </c>
      <c r="F1595" s="123" t="s">
        <v>10140</v>
      </c>
      <c r="G1595" s="123" t="s">
        <v>247</v>
      </c>
      <c r="H1595" s="123">
        <v>4400.0</v>
      </c>
      <c r="I1595" s="33" t="s">
        <v>670</v>
      </c>
      <c r="J1595" s="33" t="s">
        <v>3410</v>
      </c>
      <c r="K1595" s="33">
        <v>1.0</v>
      </c>
      <c r="L1595" s="124" t="s">
        <v>10141</v>
      </c>
      <c r="M1595" s="31"/>
    </row>
    <row r="1596">
      <c r="A1596" s="131" t="s">
        <v>10142</v>
      </c>
      <c r="B1596" s="132">
        <v>45890.0</v>
      </c>
      <c r="C1596" s="33">
        <v>8.07000032981E11</v>
      </c>
      <c r="D1596" s="33" t="s">
        <v>10143</v>
      </c>
      <c r="E1596" s="33" t="s">
        <v>10144</v>
      </c>
      <c r="F1596" s="123" t="s">
        <v>10145</v>
      </c>
      <c r="G1596" s="123" t="s">
        <v>247</v>
      </c>
      <c r="H1596" s="123">
        <v>4400.0</v>
      </c>
      <c r="I1596" s="33" t="s">
        <v>3641</v>
      </c>
      <c r="J1596" s="33" t="s">
        <v>3642</v>
      </c>
      <c r="K1596" s="33">
        <v>1.0</v>
      </c>
      <c r="L1596" s="124" t="s">
        <v>10146</v>
      </c>
      <c r="M1596" s="31"/>
    </row>
    <row r="1597">
      <c r="A1597" s="131" t="s">
        <v>10142</v>
      </c>
      <c r="B1597" s="132">
        <v>45890.0</v>
      </c>
      <c r="C1597" s="33">
        <v>8.07000032981E11</v>
      </c>
      <c r="D1597" s="33" t="s">
        <v>10143</v>
      </c>
      <c r="E1597" s="33" t="s">
        <v>10144</v>
      </c>
      <c r="F1597" s="123" t="s">
        <v>10145</v>
      </c>
      <c r="G1597" s="123" t="s">
        <v>247</v>
      </c>
      <c r="H1597" s="123">
        <v>4400.0</v>
      </c>
      <c r="I1597" s="33" t="s">
        <v>512</v>
      </c>
      <c r="J1597" s="33" t="s">
        <v>513</v>
      </c>
      <c r="K1597" s="33">
        <v>6.0</v>
      </c>
      <c r="L1597" s="124" t="s">
        <v>10146</v>
      </c>
      <c r="M1597" s="31"/>
    </row>
    <row r="1598">
      <c r="A1598" s="131" t="s">
        <v>10142</v>
      </c>
      <c r="B1598" s="132">
        <v>45890.0</v>
      </c>
      <c r="C1598" s="33">
        <v>8.07000032981E11</v>
      </c>
      <c r="D1598" s="33" t="s">
        <v>10143</v>
      </c>
      <c r="E1598" s="33" t="s">
        <v>10144</v>
      </c>
      <c r="F1598" s="123" t="s">
        <v>10145</v>
      </c>
      <c r="G1598" s="123" t="s">
        <v>247</v>
      </c>
      <c r="H1598" s="123">
        <v>4400.0</v>
      </c>
      <c r="I1598" s="33" t="s">
        <v>1345</v>
      </c>
      <c r="J1598" s="33" t="s">
        <v>3639</v>
      </c>
      <c r="K1598" s="33">
        <v>1.0</v>
      </c>
      <c r="L1598" s="124" t="s">
        <v>10146</v>
      </c>
      <c r="M1598" s="31"/>
    </row>
    <row r="1599">
      <c r="A1599" s="131" t="s">
        <v>10147</v>
      </c>
      <c r="B1599" s="132">
        <v>45890.0</v>
      </c>
      <c r="C1599" s="33">
        <v>8.0700003297E11</v>
      </c>
      <c r="D1599" s="33" t="s">
        <v>10148</v>
      </c>
      <c r="E1599" s="33" t="s">
        <v>10149</v>
      </c>
      <c r="F1599" s="123" t="s">
        <v>10150</v>
      </c>
      <c r="G1599" s="123" t="s">
        <v>10151</v>
      </c>
      <c r="H1599" s="123">
        <v>4400.0</v>
      </c>
      <c r="I1599" s="33" t="s">
        <v>2410</v>
      </c>
      <c r="J1599" s="33" t="s">
        <v>3860</v>
      </c>
      <c r="K1599" s="33">
        <v>1.0</v>
      </c>
      <c r="L1599" s="124" t="s">
        <v>10152</v>
      </c>
      <c r="M1599" s="31"/>
    </row>
    <row r="1600">
      <c r="A1600" s="131" t="s">
        <v>10147</v>
      </c>
      <c r="B1600" s="132">
        <v>45890.0</v>
      </c>
      <c r="C1600" s="33">
        <v>8.0700003297E11</v>
      </c>
      <c r="D1600" s="33" t="s">
        <v>10148</v>
      </c>
      <c r="E1600" s="33" t="s">
        <v>10149</v>
      </c>
      <c r="F1600" s="123" t="s">
        <v>10150</v>
      </c>
      <c r="G1600" s="123" t="s">
        <v>10151</v>
      </c>
      <c r="H1600" s="123">
        <v>4400.0</v>
      </c>
      <c r="I1600" s="33" t="s">
        <v>2412</v>
      </c>
      <c r="J1600" s="33" t="s">
        <v>2413</v>
      </c>
      <c r="K1600" s="33">
        <v>1.0</v>
      </c>
      <c r="L1600" s="124" t="s">
        <v>10152</v>
      </c>
      <c r="M1600" s="31"/>
    </row>
    <row r="1601">
      <c r="A1601" s="131" t="s">
        <v>9945</v>
      </c>
      <c r="B1601" s="132">
        <v>45890.0</v>
      </c>
      <c r="C1601" s="33">
        <v>8.07000032794E11</v>
      </c>
      <c r="D1601" s="33" t="s">
        <v>9946</v>
      </c>
      <c r="E1601" s="33" t="s">
        <v>9947</v>
      </c>
      <c r="F1601" s="123" t="s">
        <v>9948</v>
      </c>
      <c r="G1601" s="123" t="s">
        <v>247</v>
      </c>
      <c r="H1601" s="123">
        <v>4400.0</v>
      </c>
      <c r="I1601" s="33" t="s">
        <v>670</v>
      </c>
      <c r="J1601" s="33" t="s">
        <v>3410</v>
      </c>
      <c r="K1601" s="33">
        <v>1.0</v>
      </c>
      <c r="L1601" s="124" t="s">
        <v>9949</v>
      </c>
      <c r="M1601" s="31" t="s">
        <v>10153</v>
      </c>
    </row>
    <row r="1602">
      <c r="A1602" s="131" t="s">
        <v>10154</v>
      </c>
      <c r="B1602" s="132">
        <v>45890.0</v>
      </c>
      <c r="C1602" s="33" t="s">
        <v>10155</v>
      </c>
      <c r="D1602" s="33" t="s">
        <v>4706</v>
      </c>
      <c r="E1602" s="33" t="s">
        <v>4707</v>
      </c>
      <c r="F1602" s="123" t="s">
        <v>9723</v>
      </c>
      <c r="G1602" s="123" t="s">
        <v>247</v>
      </c>
      <c r="H1602" s="123">
        <v>4400.0</v>
      </c>
      <c r="I1602" s="33">
        <v>125822.0</v>
      </c>
      <c r="J1602" s="33" t="s">
        <v>10156</v>
      </c>
      <c r="K1602" s="33">
        <v>2.0</v>
      </c>
      <c r="L1602" s="124" t="s">
        <v>10157</v>
      </c>
      <c r="M1602" s="31"/>
    </row>
    <row r="1603">
      <c r="A1603" s="131" t="s">
        <v>10158</v>
      </c>
      <c r="B1603" s="132">
        <v>45894.0</v>
      </c>
      <c r="C1603" s="33">
        <v>8.07000033E11</v>
      </c>
      <c r="D1603" s="33" t="s">
        <v>10159</v>
      </c>
      <c r="E1603" s="33" t="s">
        <v>10160</v>
      </c>
      <c r="F1603" s="123" t="s">
        <v>10161</v>
      </c>
      <c r="G1603" s="123" t="s">
        <v>247</v>
      </c>
      <c r="H1603" s="123">
        <v>4400.0</v>
      </c>
      <c r="I1603" s="33" t="s">
        <v>3313</v>
      </c>
      <c r="J1603" s="33" t="s">
        <v>3314</v>
      </c>
      <c r="K1603" s="33">
        <v>2.0</v>
      </c>
      <c r="L1603" s="124" t="s">
        <v>10162</v>
      </c>
      <c r="M1603" s="31"/>
    </row>
    <row r="1604">
      <c r="A1604" s="131" t="s">
        <v>10158</v>
      </c>
      <c r="B1604" s="132">
        <v>45894.0</v>
      </c>
      <c r="C1604" s="33">
        <v>8.07000033E11</v>
      </c>
      <c r="D1604" s="33" t="s">
        <v>10159</v>
      </c>
      <c r="E1604" s="33" t="s">
        <v>10160</v>
      </c>
      <c r="F1604" s="123" t="s">
        <v>10161</v>
      </c>
      <c r="G1604" s="123" t="s">
        <v>247</v>
      </c>
      <c r="H1604" s="123">
        <v>4400.0</v>
      </c>
      <c r="I1604" s="33" t="s">
        <v>3797</v>
      </c>
      <c r="J1604" s="33" t="s">
        <v>3798</v>
      </c>
      <c r="K1604" s="33">
        <v>2.0</v>
      </c>
      <c r="L1604" s="124" t="s">
        <v>10162</v>
      </c>
      <c r="M1604" s="31"/>
    </row>
    <row r="1605">
      <c r="A1605" s="131" t="s">
        <v>10163</v>
      </c>
      <c r="B1605" s="132">
        <v>45894.0</v>
      </c>
      <c r="C1605" s="33">
        <v>8.07000032995E11</v>
      </c>
      <c r="D1605" s="33" t="s">
        <v>10164</v>
      </c>
      <c r="E1605" s="33" t="s">
        <v>10165</v>
      </c>
      <c r="F1605" s="123" t="s">
        <v>10166</v>
      </c>
      <c r="G1605" s="123" t="s">
        <v>247</v>
      </c>
      <c r="H1605" s="123">
        <v>4400.0</v>
      </c>
      <c r="I1605" s="33" t="s">
        <v>1533</v>
      </c>
      <c r="J1605" s="33" t="s">
        <v>8151</v>
      </c>
      <c r="K1605" s="33">
        <v>1.0</v>
      </c>
      <c r="L1605" s="124" t="s">
        <v>10167</v>
      </c>
      <c r="M1605" s="31"/>
    </row>
    <row r="1606">
      <c r="A1606" s="131" t="s">
        <v>10163</v>
      </c>
      <c r="B1606" s="132">
        <v>45894.0</v>
      </c>
      <c r="C1606" s="33">
        <v>8.07000032995E11</v>
      </c>
      <c r="D1606" s="33" t="s">
        <v>10164</v>
      </c>
      <c r="E1606" s="33" t="s">
        <v>10165</v>
      </c>
      <c r="F1606" s="123" t="s">
        <v>10166</v>
      </c>
      <c r="G1606" s="123" t="s">
        <v>247</v>
      </c>
      <c r="H1606" s="123">
        <v>4400.0</v>
      </c>
      <c r="I1606" s="33" t="s">
        <v>512</v>
      </c>
      <c r="J1606" s="33" t="s">
        <v>513</v>
      </c>
      <c r="K1606" s="33">
        <v>12.0</v>
      </c>
      <c r="L1606" s="124" t="s">
        <v>10167</v>
      </c>
      <c r="M1606" s="31"/>
    </row>
    <row r="1607">
      <c r="A1607" s="131" t="s">
        <v>10168</v>
      </c>
      <c r="B1607" s="132">
        <v>45894.0</v>
      </c>
      <c r="C1607" s="33">
        <v>8.07000032996E11</v>
      </c>
      <c r="D1607" s="33" t="s">
        <v>10164</v>
      </c>
      <c r="E1607" s="33" t="s">
        <v>10165</v>
      </c>
      <c r="F1607" s="123" t="s">
        <v>10166</v>
      </c>
      <c r="G1607" s="123" t="s">
        <v>247</v>
      </c>
      <c r="H1607" s="123">
        <v>4400.0</v>
      </c>
      <c r="I1607" s="33" t="s">
        <v>121</v>
      </c>
      <c r="J1607" s="33" t="s">
        <v>3199</v>
      </c>
      <c r="K1607" s="33">
        <v>2.0</v>
      </c>
      <c r="L1607" s="124" t="s">
        <v>10167</v>
      </c>
      <c r="M1607" s="31"/>
    </row>
    <row r="1608">
      <c r="A1608" s="131" t="s">
        <v>10169</v>
      </c>
      <c r="B1608" s="132">
        <v>45894.0</v>
      </c>
      <c r="C1608" s="33">
        <v>8.07000032986E11</v>
      </c>
      <c r="D1608" s="33" t="s">
        <v>10170</v>
      </c>
      <c r="E1608" s="33" t="s">
        <v>8780</v>
      </c>
      <c r="F1608" s="123" t="s">
        <v>10171</v>
      </c>
      <c r="G1608" s="123" t="s">
        <v>624</v>
      </c>
      <c r="H1608" s="123">
        <v>4403.0</v>
      </c>
      <c r="I1608" s="33" t="s">
        <v>2410</v>
      </c>
      <c r="J1608" s="33" t="s">
        <v>3860</v>
      </c>
      <c r="K1608" s="33">
        <v>1.0</v>
      </c>
      <c r="L1608" s="124" t="s">
        <v>10172</v>
      </c>
      <c r="M1608" s="31"/>
    </row>
    <row r="1609">
      <c r="A1609" s="131" t="s">
        <v>10173</v>
      </c>
      <c r="B1609" s="132">
        <v>45894.0</v>
      </c>
      <c r="C1609" s="33">
        <v>8.07000032987E11</v>
      </c>
      <c r="D1609" s="33" t="s">
        <v>10170</v>
      </c>
      <c r="E1609" s="33" t="s">
        <v>8780</v>
      </c>
      <c r="F1609" s="123" t="s">
        <v>10171</v>
      </c>
      <c r="G1609" s="123" t="s">
        <v>624</v>
      </c>
      <c r="H1609" s="123">
        <v>4403.0</v>
      </c>
      <c r="I1609" s="33" t="s">
        <v>3168</v>
      </c>
      <c r="J1609" s="33" t="s">
        <v>7896</v>
      </c>
      <c r="K1609" s="33">
        <v>1.0</v>
      </c>
      <c r="L1609" s="124" t="s">
        <v>10172</v>
      </c>
      <c r="M1609" s="31"/>
    </row>
    <row r="1610">
      <c r="A1610" s="131" t="s">
        <v>10174</v>
      </c>
      <c r="B1610" s="132">
        <v>45894.0</v>
      </c>
      <c r="C1610" s="33">
        <v>8.07000033008E11</v>
      </c>
      <c r="D1610" s="33" t="s">
        <v>10143</v>
      </c>
      <c r="E1610" s="33" t="s">
        <v>10144</v>
      </c>
      <c r="F1610" s="123" t="s">
        <v>10145</v>
      </c>
      <c r="G1610" s="123" t="s">
        <v>247</v>
      </c>
      <c r="H1610" s="123">
        <v>4400.0</v>
      </c>
      <c r="I1610" s="33" t="s">
        <v>4070</v>
      </c>
      <c r="J1610" s="33" t="s">
        <v>6264</v>
      </c>
      <c r="K1610" s="33">
        <v>1.0</v>
      </c>
      <c r="L1610" s="124" t="s">
        <v>10146</v>
      </c>
      <c r="M1610" s="31"/>
    </row>
    <row r="1611">
      <c r="A1611" s="131" t="s">
        <v>10175</v>
      </c>
      <c r="B1611" s="132">
        <v>45894.0</v>
      </c>
      <c r="C1611" s="33">
        <v>8.07000033009E11</v>
      </c>
      <c r="D1611" s="33" t="s">
        <v>10176</v>
      </c>
      <c r="E1611" s="33" t="s">
        <v>10177</v>
      </c>
      <c r="F1611" s="123" t="s">
        <v>10178</v>
      </c>
      <c r="G1611" s="123" t="s">
        <v>247</v>
      </c>
      <c r="H1611" s="123">
        <v>4400.0</v>
      </c>
      <c r="I1611" s="33" t="s">
        <v>2372</v>
      </c>
      <c r="J1611" s="33" t="s">
        <v>8140</v>
      </c>
      <c r="K1611" s="33">
        <v>1.0</v>
      </c>
      <c r="L1611" s="124" t="s">
        <v>10179</v>
      </c>
      <c r="M1611" s="31"/>
    </row>
    <row r="1612">
      <c r="A1612" s="131" t="s">
        <v>10175</v>
      </c>
      <c r="B1612" s="132">
        <v>45894.0</v>
      </c>
      <c r="C1612" s="33">
        <v>8.07000033009E11</v>
      </c>
      <c r="D1612" s="33" t="s">
        <v>10176</v>
      </c>
      <c r="E1612" s="33" t="s">
        <v>10177</v>
      </c>
      <c r="F1612" s="123" t="s">
        <v>10178</v>
      </c>
      <c r="G1612" s="123" t="s">
        <v>247</v>
      </c>
      <c r="H1612" s="123">
        <v>4400.0</v>
      </c>
      <c r="I1612" s="33" t="s">
        <v>512</v>
      </c>
      <c r="J1612" s="33" t="s">
        <v>513</v>
      </c>
      <c r="K1612" s="33">
        <v>6.0</v>
      </c>
      <c r="L1612" s="124" t="s">
        <v>10179</v>
      </c>
      <c r="M1612" s="31"/>
    </row>
    <row r="1613">
      <c r="A1613" s="131" t="s">
        <v>10175</v>
      </c>
      <c r="B1613" s="132">
        <v>45894.0</v>
      </c>
      <c r="C1613" s="33">
        <v>8.07000033009E11</v>
      </c>
      <c r="D1613" s="33" t="s">
        <v>10176</v>
      </c>
      <c r="E1613" s="33" t="s">
        <v>10177</v>
      </c>
      <c r="F1613" s="123" t="s">
        <v>10178</v>
      </c>
      <c r="G1613" s="123" t="s">
        <v>247</v>
      </c>
      <c r="H1613" s="123">
        <v>4400.0</v>
      </c>
      <c r="I1613" s="33" t="s">
        <v>35</v>
      </c>
      <c r="J1613" s="33" t="s">
        <v>3188</v>
      </c>
      <c r="K1613" s="33">
        <v>1.0</v>
      </c>
      <c r="L1613" s="124" t="s">
        <v>10179</v>
      </c>
      <c r="M1613" s="31"/>
    </row>
    <row r="1614">
      <c r="A1614" s="131" t="s">
        <v>10180</v>
      </c>
      <c r="B1614" s="132">
        <v>45894.0</v>
      </c>
      <c r="C1614" s="33">
        <v>8.07000033014E11</v>
      </c>
      <c r="D1614" s="33" t="s">
        <v>10181</v>
      </c>
      <c r="E1614" s="33" t="s">
        <v>10182</v>
      </c>
      <c r="F1614" s="123" t="s">
        <v>10183</v>
      </c>
      <c r="G1614" s="123" t="s">
        <v>247</v>
      </c>
      <c r="H1614" s="123">
        <v>4400.0</v>
      </c>
      <c r="I1614" s="33">
        <v>915481.0</v>
      </c>
      <c r="J1614" s="33" t="s">
        <v>8241</v>
      </c>
      <c r="K1614" s="33">
        <v>1.0</v>
      </c>
      <c r="L1614" s="124" t="s">
        <v>10184</v>
      </c>
      <c r="M1614" s="31"/>
    </row>
    <row r="1615">
      <c r="A1615" s="131" t="s">
        <v>10180</v>
      </c>
      <c r="B1615" s="132">
        <v>45894.0</v>
      </c>
      <c r="C1615" s="33">
        <v>8.07000033015E11</v>
      </c>
      <c r="D1615" s="33" t="s">
        <v>10181</v>
      </c>
      <c r="E1615" s="33" t="s">
        <v>10182</v>
      </c>
      <c r="F1615" s="123" t="s">
        <v>10183</v>
      </c>
      <c r="G1615" s="123" t="s">
        <v>247</v>
      </c>
      <c r="H1615" s="123">
        <v>4400.0</v>
      </c>
      <c r="I1615" s="33" t="s">
        <v>7371</v>
      </c>
      <c r="J1615" s="33" t="s">
        <v>8339</v>
      </c>
      <c r="K1615" s="33">
        <v>2.0</v>
      </c>
      <c r="L1615" s="124" t="s">
        <v>10184</v>
      </c>
      <c r="M1615" s="31"/>
    </row>
    <row r="1616">
      <c r="A1616" s="131" t="s">
        <v>10185</v>
      </c>
      <c r="B1616" s="132">
        <v>45894.0</v>
      </c>
      <c r="C1616" s="33">
        <v>8.07000033011E11</v>
      </c>
      <c r="D1616" s="33" t="s">
        <v>10186</v>
      </c>
      <c r="E1616" s="33" t="s">
        <v>10187</v>
      </c>
      <c r="F1616" s="123" t="s">
        <v>10188</v>
      </c>
      <c r="G1616" s="123" t="s">
        <v>247</v>
      </c>
      <c r="H1616" s="123">
        <v>4400.0</v>
      </c>
      <c r="I1616" s="33">
        <v>125811.0</v>
      </c>
      <c r="J1616" s="33" t="s">
        <v>6073</v>
      </c>
      <c r="K1616" s="33">
        <v>2.0</v>
      </c>
      <c r="L1616" s="124" t="s">
        <v>10189</v>
      </c>
      <c r="M1616" s="31"/>
    </row>
    <row r="1617">
      <c r="A1617" s="131" t="s">
        <v>10190</v>
      </c>
      <c r="B1617" s="132">
        <v>45894.0</v>
      </c>
      <c r="C1617" s="33">
        <v>8.07000033012E11</v>
      </c>
      <c r="D1617" s="33" t="s">
        <v>10186</v>
      </c>
      <c r="E1617" s="33" t="s">
        <v>10187</v>
      </c>
      <c r="F1617" s="123" t="s">
        <v>10188</v>
      </c>
      <c r="G1617" s="123" t="s">
        <v>247</v>
      </c>
      <c r="H1617" s="123">
        <v>4400.0</v>
      </c>
      <c r="I1617" s="33" t="s">
        <v>512</v>
      </c>
      <c r="J1617" s="33" t="s">
        <v>513</v>
      </c>
      <c r="K1617" s="33">
        <v>12.0</v>
      </c>
      <c r="L1617" s="124" t="s">
        <v>10189</v>
      </c>
      <c r="M1617" s="31"/>
    </row>
    <row r="1618">
      <c r="A1618" s="131" t="s">
        <v>10190</v>
      </c>
      <c r="B1618" s="132">
        <v>45894.0</v>
      </c>
      <c r="C1618" s="33">
        <v>8.07000033013E11</v>
      </c>
      <c r="D1618" s="33" t="s">
        <v>10186</v>
      </c>
      <c r="E1618" s="33" t="s">
        <v>10187</v>
      </c>
      <c r="F1618" s="123" t="s">
        <v>10188</v>
      </c>
      <c r="G1618" s="123" t="s">
        <v>247</v>
      </c>
      <c r="H1618" s="123">
        <v>4400.0</v>
      </c>
      <c r="I1618" s="33" t="s">
        <v>7558</v>
      </c>
      <c r="J1618" s="33" t="s">
        <v>9580</v>
      </c>
      <c r="K1618" s="33">
        <v>1.0</v>
      </c>
      <c r="L1618" s="124" t="s">
        <v>10189</v>
      </c>
      <c r="M1618" s="31"/>
    </row>
    <row r="1619">
      <c r="A1619" s="131" t="s">
        <v>10190</v>
      </c>
      <c r="B1619" s="132">
        <v>45894.0</v>
      </c>
      <c r="C1619" s="33">
        <v>8.07000033013E11</v>
      </c>
      <c r="D1619" s="33" t="s">
        <v>10186</v>
      </c>
      <c r="E1619" s="33" t="s">
        <v>10187</v>
      </c>
      <c r="F1619" s="123" t="s">
        <v>10188</v>
      </c>
      <c r="G1619" s="123" t="s">
        <v>247</v>
      </c>
      <c r="H1619" s="123">
        <v>4400.0</v>
      </c>
      <c r="I1619" s="33" t="s">
        <v>772</v>
      </c>
      <c r="J1619" s="33" t="s">
        <v>3363</v>
      </c>
      <c r="K1619" s="33">
        <v>2.0</v>
      </c>
      <c r="L1619" s="124" t="s">
        <v>10189</v>
      </c>
      <c r="M1619" s="31"/>
    </row>
    <row r="1620">
      <c r="A1620" s="131" t="s">
        <v>10191</v>
      </c>
      <c r="B1620" s="132">
        <v>45895.0</v>
      </c>
      <c r="C1620" s="33">
        <v>8.07000033019E11</v>
      </c>
      <c r="D1620" s="33" t="s">
        <v>10192</v>
      </c>
      <c r="E1620" s="33" t="s">
        <v>10193</v>
      </c>
      <c r="F1620" s="123" t="s">
        <v>10194</v>
      </c>
      <c r="G1620" s="123" t="s">
        <v>247</v>
      </c>
      <c r="H1620" s="123">
        <v>4400.0</v>
      </c>
      <c r="I1620" s="33" t="s">
        <v>4938</v>
      </c>
      <c r="J1620" s="33" t="s">
        <v>4939</v>
      </c>
      <c r="K1620" s="33">
        <v>1.0</v>
      </c>
      <c r="L1620" s="124" t="s">
        <v>10195</v>
      </c>
      <c r="M1620" s="31"/>
    </row>
    <row r="1621">
      <c r="A1621" s="131" t="s">
        <v>10191</v>
      </c>
      <c r="B1621" s="132">
        <v>45895.0</v>
      </c>
      <c r="C1621" s="33">
        <v>8.0700003302E11</v>
      </c>
      <c r="D1621" s="33" t="s">
        <v>10192</v>
      </c>
      <c r="E1621" s="33" t="s">
        <v>10193</v>
      </c>
      <c r="F1621" s="123" t="s">
        <v>10194</v>
      </c>
      <c r="G1621" s="123" t="s">
        <v>247</v>
      </c>
      <c r="H1621" s="123">
        <v>4400.0</v>
      </c>
      <c r="I1621" s="33">
        <v>208009.0</v>
      </c>
      <c r="J1621" s="33" t="s">
        <v>10023</v>
      </c>
      <c r="K1621" s="33">
        <v>2.0</v>
      </c>
      <c r="L1621" s="124" t="s">
        <v>10195</v>
      </c>
      <c r="M1621" s="31"/>
    </row>
    <row r="1622">
      <c r="A1622" s="131" t="s">
        <v>10196</v>
      </c>
      <c r="B1622" s="132">
        <v>45895.0</v>
      </c>
      <c r="C1622" s="33">
        <v>8.07000033021E11</v>
      </c>
      <c r="D1622" s="33" t="s">
        <v>10192</v>
      </c>
      <c r="E1622" s="33" t="s">
        <v>10193</v>
      </c>
      <c r="F1622" s="123" t="s">
        <v>10194</v>
      </c>
      <c r="G1622" s="123" t="s">
        <v>247</v>
      </c>
      <c r="H1622" s="123">
        <v>4400.0</v>
      </c>
      <c r="I1622" s="33" t="s">
        <v>7088</v>
      </c>
      <c r="J1622" s="33" t="s">
        <v>8278</v>
      </c>
      <c r="K1622" s="33">
        <v>1.0</v>
      </c>
      <c r="L1622" s="124" t="s">
        <v>10195</v>
      </c>
      <c r="M1622" s="31"/>
    </row>
    <row r="1623">
      <c r="A1623" s="140" t="s">
        <v>10197</v>
      </c>
      <c r="B1623" s="141">
        <v>45895.0</v>
      </c>
      <c r="C1623" s="125">
        <v>8.07000033023E11</v>
      </c>
      <c r="D1623" s="125" t="s">
        <v>10198</v>
      </c>
      <c r="E1623" s="125" t="s">
        <v>10199</v>
      </c>
      <c r="F1623" s="127" t="s">
        <v>10200</v>
      </c>
      <c r="G1623" s="127" t="s">
        <v>247</v>
      </c>
      <c r="H1623" s="127">
        <v>4400.0</v>
      </c>
      <c r="I1623" s="125" t="s">
        <v>659</v>
      </c>
      <c r="J1623" s="125" t="s">
        <v>3468</v>
      </c>
      <c r="K1623" s="125">
        <v>1.0</v>
      </c>
      <c r="L1623" s="129" t="s">
        <v>10201</v>
      </c>
      <c r="M1623" s="136"/>
      <c r="N1623" s="179"/>
      <c r="O1623" s="179"/>
      <c r="P1623" s="179"/>
      <c r="Q1623" s="179"/>
      <c r="R1623" s="179"/>
      <c r="S1623" s="179"/>
      <c r="T1623" s="179"/>
      <c r="U1623" s="179"/>
      <c r="V1623" s="179"/>
      <c r="W1623" s="179"/>
      <c r="X1623" s="179"/>
      <c r="Y1623" s="179"/>
      <c r="Z1623" s="179"/>
      <c r="AA1623" s="179"/>
      <c r="AB1623" s="179"/>
      <c r="AC1623" s="179"/>
    </row>
    <row r="1624">
      <c r="A1624" s="131" t="s">
        <v>10202</v>
      </c>
      <c r="B1624" s="132">
        <v>45896.0</v>
      </c>
      <c r="C1624" s="131">
        <v>8.07000032947E11</v>
      </c>
      <c r="D1624" s="131" t="s">
        <v>4824</v>
      </c>
      <c r="E1624" s="131" t="s">
        <v>4825</v>
      </c>
      <c r="F1624" s="133" t="s">
        <v>4826</v>
      </c>
      <c r="G1624" s="133" t="s">
        <v>247</v>
      </c>
      <c r="H1624" s="133">
        <v>4400.0</v>
      </c>
      <c r="I1624" s="131">
        <v>204211.0</v>
      </c>
      <c r="J1624" s="131" t="s">
        <v>10203</v>
      </c>
      <c r="K1624" s="131">
        <v>1.0</v>
      </c>
      <c r="L1624" s="134" t="s">
        <v>10204</v>
      </c>
      <c r="M1624" s="135"/>
    </row>
    <row r="1625">
      <c r="A1625" s="131" t="s">
        <v>10205</v>
      </c>
      <c r="B1625" s="132">
        <v>45896.0</v>
      </c>
      <c r="C1625" s="33">
        <v>8.07000033026E11</v>
      </c>
      <c r="D1625" s="33" t="s">
        <v>10206</v>
      </c>
      <c r="E1625" s="33" t="s">
        <v>10207</v>
      </c>
      <c r="F1625" s="123" t="s">
        <v>10208</v>
      </c>
      <c r="G1625" s="133" t="s">
        <v>247</v>
      </c>
      <c r="H1625" s="133">
        <v>4400.0</v>
      </c>
      <c r="I1625" s="33">
        <v>87611.0</v>
      </c>
      <c r="J1625" s="33" t="s">
        <v>9869</v>
      </c>
      <c r="K1625" s="33">
        <v>1.0</v>
      </c>
      <c r="L1625" s="124" t="s">
        <v>10209</v>
      </c>
      <c r="M1625" s="31"/>
    </row>
    <row r="1626">
      <c r="A1626" s="131" t="s">
        <v>10210</v>
      </c>
      <c r="B1626" s="132">
        <v>45896.0</v>
      </c>
      <c r="C1626" s="33">
        <v>8.07000033027E11</v>
      </c>
      <c r="D1626" s="33" t="s">
        <v>10206</v>
      </c>
      <c r="E1626" s="33" t="s">
        <v>10207</v>
      </c>
      <c r="F1626" s="123" t="s">
        <v>10208</v>
      </c>
      <c r="G1626" s="133" t="s">
        <v>247</v>
      </c>
      <c r="H1626" s="133">
        <v>4400.0</v>
      </c>
      <c r="I1626" s="33" t="s">
        <v>3313</v>
      </c>
      <c r="J1626" s="33" t="s">
        <v>3314</v>
      </c>
      <c r="K1626" s="33">
        <v>1.0</v>
      </c>
      <c r="L1626" s="124" t="s">
        <v>10209</v>
      </c>
      <c r="M1626" s="31"/>
    </row>
    <row r="1627">
      <c r="A1627" s="131" t="s">
        <v>10211</v>
      </c>
      <c r="B1627" s="132">
        <v>45898.0</v>
      </c>
      <c r="C1627" s="33">
        <v>8.07000033039E11</v>
      </c>
      <c r="D1627" s="33" t="s">
        <v>10212</v>
      </c>
      <c r="E1627" s="33" t="s">
        <v>10213</v>
      </c>
      <c r="F1627" s="123" t="s">
        <v>10214</v>
      </c>
      <c r="G1627" s="123" t="s">
        <v>350</v>
      </c>
      <c r="H1627" s="123">
        <v>4401.0</v>
      </c>
      <c r="I1627" s="33" t="s">
        <v>6343</v>
      </c>
      <c r="J1627" s="33" t="s">
        <v>6435</v>
      </c>
      <c r="K1627" s="33">
        <v>1.0</v>
      </c>
      <c r="L1627" s="124" t="s">
        <v>10215</v>
      </c>
      <c r="M1627" s="31"/>
    </row>
    <row r="1628">
      <c r="A1628" s="131" t="s">
        <v>10211</v>
      </c>
      <c r="B1628" s="132">
        <v>45898.0</v>
      </c>
      <c r="C1628" s="33">
        <v>8.07000033039E11</v>
      </c>
      <c r="D1628" s="33" t="s">
        <v>10212</v>
      </c>
      <c r="E1628" s="33" t="s">
        <v>10213</v>
      </c>
      <c r="F1628" s="123" t="s">
        <v>10214</v>
      </c>
      <c r="G1628" s="123" t="s">
        <v>350</v>
      </c>
      <c r="H1628" s="123">
        <v>4401.0</v>
      </c>
      <c r="I1628" s="33" t="s">
        <v>512</v>
      </c>
      <c r="J1628" s="33" t="s">
        <v>513</v>
      </c>
      <c r="K1628" s="33">
        <v>12.0</v>
      </c>
      <c r="L1628" s="124" t="s">
        <v>10215</v>
      </c>
      <c r="M1628" s="31"/>
    </row>
    <row r="1629">
      <c r="A1629" s="131" t="s">
        <v>10211</v>
      </c>
      <c r="B1629" s="132">
        <v>45898.0</v>
      </c>
      <c r="C1629" s="33">
        <v>8.07000033039E11</v>
      </c>
      <c r="D1629" s="33" t="s">
        <v>10212</v>
      </c>
      <c r="E1629" s="33" t="s">
        <v>10213</v>
      </c>
      <c r="F1629" s="123" t="s">
        <v>10214</v>
      </c>
      <c r="G1629" s="123" t="s">
        <v>350</v>
      </c>
      <c r="H1629" s="123">
        <v>4401.0</v>
      </c>
      <c r="I1629" s="33" t="s">
        <v>233</v>
      </c>
      <c r="J1629" s="33" t="s">
        <v>3459</v>
      </c>
      <c r="K1629" s="33">
        <v>2.0</v>
      </c>
      <c r="L1629" s="124" t="s">
        <v>10215</v>
      </c>
      <c r="M1629" s="31"/>
    </row>
    <row r="1630">
      <c r="A1630" s="131" t="s">
        <v>10216</v>
      </c>
      <c r="B1630" s="132">
        <v>45898.0</v>
      </c>
      <c r="C1630" s="33">
        <v>8.07000033044E11</v>
      </c>
      <c r="D1630" s="33" t="s">
        <v>10217</v>
      </c>
      <c r="E1630" s="33" t="s">
        <v>10218</v>
      </c>
      <c r="F1630" s="123" t="s">
        <v>10219</v>
      </c>
      <c r="G1630" s="133" t="s">
        <v>247</v>
      </c>
      <c r="H1630" s="133">
        <v>4400.0</v>
      </c>
      <c r="I1630" s="33" t="s">
        <v>32</v>
      </c>
      <c r="J1630" s="33" t="s">
        <v>3225</v>
      </c>
      <c r="K1630" s="33">
        <v>1.0</v>
      </c>
      <c r="L1630" s="124" t="s">
        <v>10220</v>
      </c>
      <c r="M1630" s="31"/>
    </row>
    <row r="1631">
      <c r="A1631" s="131" t="s">
        <v>10216</v>
      </c>
      <c r="B1631" s="132">
        <v>45898.0</v>
      </c>
      <c r="C1631" s="33">
        <v>8.07000033044E11</v>
      </c>
      <c r="D1631" s="33" t="s">
        <v>10217</v>
      </c>
      <c r="E1631" s="33" t="s">
        <v>10218</v>
      </c>
      <c r="F1631" s="123" t="s">
        <v>10219</v>
      </c>
      <c r="G1631" s="133" t="s">
        <v>247</v>
      </c>
      <c r="H1631" s="133">
        <v>4400.0</v>
      </c>
      <c r="I1631" s="33" t="s">
        <v>512</v>
      </c>
      <c r="J1631" s="33" t="s">
        <v>513</v>
      </c>
      <c r="K1631" s="33">
        <v>6.0</v>
      </c>
      <c r="L1631" s="124" t="s">
        <v>10220</v>
      </c>
      <c r="M1631" s="31"/>
    </row>
    <row r="1632">
      <c r="A1632" s="131" t="s">
        <v>10216</v>
      </c>
      <c r="B1632" s="132">
        <v>45898.0</v>
      </c>
      <c r="C1632" s="33">
        <v>8.07000033044E11</v>
      </c>
      <c r="D1632" s="33" t="s">
        <v>10217</v>
      </c>
      <c r="E1632" s="33" t="s">
        <v>10218</v>
      </c>
      <c r="F1632" s="123" t="s">
        <v>10219</v>
      </c>
      <c r="G1632" s="133" t="s">
        <v>247</v>
      </c>
      <c r="H1632" s="133">
        <v>4400.0</v>
      </c>
      <c r="I1632" s="33" t="s">
        <v>35</v>
      </c>
      <c r="J1632" s="33" t="s">
        <v>3188</v>
      </c>
      <c r="K1632" s="33">
        <v>1.0</v>
      </c>
      <c r="L1632" s="124" t="s">
        <v>10220</v>
      </c>
      <c r="M1632" s="31"/>
    </row>
    <row r="1633">
      <c r="A1633" s="131" t="s">
        <v>10221</v>
      </c>
      <c r="B1633" s="132">
        <v>45898.0</v>
      </c>
      <c r="C1633" s="33">
        <v>8.07000033051E11</v>
      </c>
      <c r="D1633" s="33" t="s">
        <v>10222</v>
      </c>
      <c r="E1633" s="33" t="s">
        <v>10223</v>
      </c>
      <c r="F1633" s="123" t="s">
        <v>10224</v>
      </c>
      <c r="G1633" s="133" t="s">
        <v>376</v>
      </c>
      <c r="H1633" s="133">
        <v>4421.0</v>
      </c>
      <c r="I1633" s="33" t="s">
        <v>947</v>
      </c>
      <c r="J1633" s="33" t="s">
        <v>3750</v>
      </c>
      <c r="K1633" s="33">
        <v>1.0</v>
      </c>
      <c r="L1633" s="124" t="s">
        <v>10225</v>
      </c>
      <c r="M1633" s="31"/>
    </row>
    <row r="1634">
      <c r="A1634" s="131" t="s">
        <v>10221</v>
      </c>
      <c r="B1634" s="132">
        <v>45898.0</v>
      </c>
      <c r="C1634" s="33">
        <v>8.07000033051E11</v>
      </c>
      <c r="D1634" s="33" t="s">
        <v>10222</v>
      </c>
      <c r="E1634" s="33" t="s">
        <v>10223</v>
      </c>
      <c r="F1634" s="123" t="s">
        <v>10224</v>
      </c>
      <c r="G1634" s="133" t="s">
        <v>376</v>
      </c>
      <c r="H1634" s="133">
        <v>4421.0</v>
      </c>
      <c r="I1634" s="33" t="s">
        <v>512</v>
      </c>
      <c r="J1634" s="33" t="s">
        <v>513</v>
      </c>
      <c r="K1634" s="33">
        <v>6.0</v>
      </c>
      <c r="L1634" s="124" t="s">
        <v>10225</v>
      </c>
      <c r="M1634" s="31"/>
    </row>
    <row r="1635">
      <c r="A1635" s="131" t="s">
        <v>10226</v>
      </c>
      <c r="B1635" s="132">
        <v>45898.0</v>
      </c>
      <c r="C1635" s="33">
        <v>8.07000033052E11</v>
      </c>
      <c r="D1635" s="33" t="s">
        <v>10222</v>
      </c>
      <c r="E1635" s="33" t="s">
        <v>10223</v>
      </c>
      <c r="F1635" s="123" t="s">
        <v>10224</v>
      </c>
      <c r="G1635" s="133" t="s">
        <v>376</v>
      </c>
      <c r="H1635" s="133">
        <v>4421.0</v>
      </c>
      <c r="I1635" s="33" t="s">
        <v>35</v>
      </c>
      <c r="J1635" s="33" t="s">
        <v>3188</v>
      </c>
      <c r="K1635" s="33">
        <v>1.0</v>
      </c>
      <c r="L1635" s="124" t="s">
        <v>10225</v>
      </c>
      <c r="M1635" s="31"/>
    </row>
    <row r="1636">
      <c r="A1636" s="131" t="s">
        <v>10227</v>
      </c>
      <c r="B1636" s="132">
        <v>45898.0</v>
      </c>
      <c r="C1636" s="33">
        <v>8.07000033056E11</v>
      </c>
      <c r="D1636" s="33" t="s">
        <v>10192</v>
      </c>
      <c r="E1636" s="33" t="s">
        <v>10193</v>
      </c>
      <c r="F1636" s="123" t="s">
        <v>10228</v>
      </c>
      <c r="G1636" s="133" t="s">
        <v>247</v>
      </c>
      <c r="H1636" s="133">
        <v>4400.0</v>
      </c>
      <c r="I1636" s="33" t="s">
        <v>340</v>
      </c>
      <c r="J1636" s="33" t="s">
        <v>3486</v>
      </c>
      <c r="K1636" s="33">
        <v>2.0</v>
      </c>
      <c r="L1636" s="124" t="s">
        <v>10195</v>
      </c>
      <c r="M1636" s="31" t="s">
        <v>7600</v>
      </c>
    </row>
    <row r="1637">
      <c r="A1637" s="131" t="s">
        <v>10229</v>
      </c>
      <c r="B1637" s="132">
        <v>45898.0</v>
      </c>
      <c r="C1637" s="33">
        <v>8.07000033045E11</v>
      </c>
      <c r="D1637" s="33" t="s">
        <v>10192</v>
      </c>
      <c r="E1637" s="33" t="s">
        <v>10193</v>
      </c>
      <c r="F1637" s="123" t="s">
        <v>10228</v>
      </c>
      <c r="G1637" s="133" t="s">
        <v>247</v>
      </c>
      <c r="H1637" s="133">
        <v>4400.0</v>
      </c>
      <c r="I1637" s="33">
        <v>125818.0</v>
      </c>
      <c r="J1637" s="33" t="s">
        <v>4334</v>
      </c>
      <c r="K1637" s="33">
        <v>2.0</v>
      </c>
      <c r="L1637" s="124" t="s">
        <v>10195</v>
      </c>
      <c r="M1637" s="31"/>
    </row>
    <row r="1638">
      <c r="A1638" s="131" t="s">
        <v>10230</v>
      </c>
      <c r="B1638" s="132">
        <v>45898.0</v>
      </c>
      <c r="C1638" s="33">
        <v>8.0700003303E11</v>
      </c>
      <c r="D1638" s="33" t="s">
        <v>10231</v>
      </c>
      <c r="E1638" s="33" t="s">
        <v>10232</v>
      </c>
      <c r="F1638" s="123" t="s">
        <v>10233</v>
      </c>
      <c r="G1638" s="133" t="s">
        <v>247</v>
      </c>
      <c r="H1638" s="133">
        <v>4400.0</v>
      </c>
      <c r="I1638" s="33">
        <v>125822.0</v>
      </c>
      <c r="J1638" s="33" t="s">
        <v>6030</v>
      </c>
      <c r="K1638" s="33">
        <v>2.0</v>
      </c>
      <c r="L1638" s="124" t="s">
        <v>10234</v>
      </c>
      <c r="M1638" s="31"/>
    </row>
    <row r="1639">
      <c r="A1639" s="131" t="s">
        <v>10230</v>
      </c>
      <c r="B1639" s="132">
        <v>45898.0</v>
      </c>
      <c r="C1639" s="33">
        <v>8.07000033031E11</v>
      </c>
      <c r="D1639" s="33" t="s">
        <v>10231</v>
      </c>
      <c r="E1639" s="33" t="s">
        <v>10232</v>
      </c>
      <c r="F1639" s="123" t="s">
        <v>10233</v>
      </c>
      <c r="G1639" s="133" t="s">
        <v>247</v>
      </c>
      <c r="H1639" s="133">
        <v>4400.0</v>
      </c>
      <c r="I1639" s="33" t="s">
        <v>3285</v>
      </c>
      <c r="J1639" s="33" t="s">
        <v>3286</v>
      </c>
      <c r="K1639" s="33">
        <v>1.0</v>
      </c>
      <c r="L1639" s="124" t="s">
        <v>10234</v>
      </c>
      <c r="M1639" s="31"/>
    </row>
    <row r="1640">
      <c r="A1640" s="131" t="s">
        <v>10235</v>
      </c>
      <c r="B1640" s="132">
        <v>45898.0</v>
      </c>
      <c r="C1640" s="33">
        <v>8.07000033046E11</v>
      </c>
      <c r="D1640" s="33" t="s">
        <v>3323</v>
      </c>
      <c r="E1640" s="33" t="s">
        <v>10236</v>
      </c>
      <c r="F1640" s="123" t="s">
        <v>10237</v>
      </c>
      <c r="G1640" s="133" t="s">
        <v>247</v>
      </c>
      <c r="H1640" s="133">
        <v>4400.0</v>
      </c>
      <c r="I1640" s="33" t="s">
        <v>10238</v>
      </c>
      <c r="J1640" s="33" t="s">
        <v>10239</v>
      </c>
      <c r="K1640" s="33">
        <v>1.0</v>
      </c>
      <c r="L1640" s="124" t="s">
        <v>10240</v>
      </c>
      <c r="M1640" s="31"/>
    </row>
    <row r="1641">
      <c r="A1641" s="131" t="s">
        <v>10241</v>
      </c>
      <c r="B1641" s="132">
        <v>45898.0</v>
      </c>
      <c r="C1641" s="33">
        <v>8.07000033058E11</v>
      </c>
      <c r="D1641" s="33" t="s">
        <v>4647</v>
      </c>
      <c r="E1641" s="33" t="s">
        <v>4648</v>
      </c>
      <c r="F1641" s="123" t="s">
        <v>10242</v>
      </c>
      <c r="G1641" s="133" t="s">
        <v>8629</v>
      </c>
      <c r="H1641" s="133">
        <v>4407.0</v>
      </c>
      <c r="I1641" s="33" t="s">
        <v>3205</v>
      </c>
      <c r="J1641" s="33" t="s">
        <v>3206</v>
      </c>
      <c r="K1641" s="33">
        <v>1.0</v>
      </c>
      <c r="L1641" s="124" t="s">
        <v>9799</v>
      </c>
      <c r="M1641" s="31"/>
    </row>
    <row r="1642">
      <c r="A1642" s="131" t="s">
        <v>10241</v>
      </c>
      <c r="B1642" s="132">
        <v>45898.0</v>
      </c>
      <c r="C1642" s="33">
        <v>8.07000033058E11</v>
      </c>
      <c r="D1642" s="33" t="s">
        <v>4647</v>
      </c>
      <c r="E1642" s="33" t="s">
        <v>4648</v>
      </c>
      <c r="F1642" s="123" t="s">
        <v>10242</v>
      </c>
      <c r="G1642" s="133" t="s">
        <v>8629</v>
      </c>
      <c r="H1642" s="133">
        <v>4407.0</v>
      </c>
      <c r="I1642" s="33" t="s">
        <v>2171</v>
      </c>
      <c r="J1642" s="33" t="s">
        <v>3446</v>
      </c>
      <c r="K1642" s="33">
        <v>1.0</v>
      </c>
      <c r="L1642" s="124" t="s">
        <v>9799</v>
      </c>
      <c r="M1642" s="31"/>
    </row>
    <row r="1643">
      <c r="A1643" s="131" t="s">
        <v>10243</v>
      </c>
      <c r="B1643" s="132">
        <v>45901.0</v>
      </c>
      <c r="C1643" s="33">
        <v>8.07000033059E11</v>
      </c>
      <c r="D1643" s="33" t="s">
        <v>10244</v>
      </c>
      <c r="E1643" s="33" t="s">
        <v>10245</v>
      </c>
      <c r="F1643" s="123" t="s">
        <v>10246</v>
      </c>
      <c r="G1643" s="133" t="s">
        <v>247</v>
      </c>
      <c r="H1643" s="133">
        <v>4400.0</v>
      </c>
      <c r="I1643" s="33" t="s">
        <v>2410</v>
      </c>
      <c r="J1643" s="33" t="s">
        <v>3860</v>
      </c>
      <c r="K1643" s="33">
        <v>1.0</v>
      </c>
      <c r="L1643" s="124" t="s">
        <v>10247</v>
      </c>
      <c r="M1643" s="31"/>
    </row>
    <row r="1644">
      <c r="A1644" s="131" t="s">
        <v>10243</v>
      </c>
      <c r="B1644" s="132">
        <v>45901.0</v>
      </c>
      <c r="C1644" s="33">
        <v>8.0700003306E11</v>
      </c>
      <c r="D1644" s="33" t="s">
        <v>10244</v>
      </c>
      <c r="E1644" s="33" t="s">
        <v>10245</v>
      </c>
      <c r="F1644" s="123" t="s">
        <v>10246</v>
      </c>
      <c r="G1644" s="133" t="s">
        <v>247</v>
      </c>
      <c r="H1644" s="133">
        <v>4400.0</v>
      </c>
      <c r="I1644" s="33" t="s">
        <v>670</v>
      </c>
      <c r="J1644" s="33" t="s">
        <v>3410</v>
      </c>
      <c r="K1644" s="33">
        <v>1.0</v>
      </c>
      <c r="L1644" s="124" t="s">
        <v>10247</v>
      </c>
      <c r="M1644" s="31"/>
    </row>
    <row r="1645">
      <c r="A1645" s="131" t="s">
        <v>10248</v>
      </c>
      <c r="B1645" s="132">
        <v>45901.0</v>
      </c>
      <c r="C1645" s="33">
        <v>8.07000033076E11</v>
      </c>
      <c r="D1645" s="33" t="s">
        <v>10249</v>
      </c>
      <c r="E1645" s="33" t="s">
        <v>10250</v>
      </c>
      <c r="F1645" s="123" t="s">
        <v>10251</v>
      </c>
      <c r="G1645" s="133" t="s">
        <v>10151</v>
      </c>
      <c r="H1645" s="133">
        <v>4400.0</v>
      </c>
      <c r="I1645" s="33">
        <v>125820.0</v>
      </c>
      <c r="J1645" s="33" t="s">
        <v>10252</v>
      </c>
      <c r="K1645" s="33">
        <v>2.0</v>
      </c>
      <c r="L1645" s="124" t="s">
        <v>10253</v>
      </c>
      <c r="M1645" s="31"/>
    </row>
    <row r="1646">
      <c r="A1646" s="131" t="s">
        <v>10248</v>
      </c>
      <c r="B1646" s="132">
        <v>45901.0</v>
      </c>
      <c r="C1646" s="33">
        <v>8.07000033076E11</v>
      </c>
      <c r="D1646" s="33" t="s">
        <v>10249</v>
      </c>
      <c r="E1646" s="33" t="s">
        <v>10250</v>
      </c>
      <c r="F1646" s="123" t="s">
        <v>10251</v>
      </c>
      <c r="G1646" s="133" t="s">
        <v>10151</v>
      </c>
      <c r="H1646" s="133">
        <v>4400.0</v>
      </c>
      <c r="I1646" s="33">
        <v>208502.0</v>
      </c>
      <c r="J1646" s="33" t="s">
        <v>4551</v>
      </c>
      <c r="K1646" s="33">
        <v>2.0</v>
      </c>
      <c r="L1646" s="124" t="s">
        <v>10253</v>
      </c>
      <c r="M1646" s="31"/>
    </row>
    <row r="1647">
      <c r="A1647" s="131" t="s">
        <v>10248</v>
      </c>
      <c r="B1647" s="132">
        <v>45901.0</v>
      </c>
      <c r="C1647" s="33">
        <v>8.07000033076E11</v>
      </c>
      <c r="D1647" s="33" t="s">
        <v>10249</v>
      </c>
      <c r="E1647" s="33" t="s">
        <v>10250</v>
      </c>
      <c r="F1647" s="123" t="s">
        <v>10251</v>
      </c>
      <c r="G1647" s="133" t="s">
        <v>10151</v>
      </c>
      <c r="H1647" s="133">
        <v>4400.0</v>
      </c>
      <c r="I1647" s="33" t="s">
        <v>5658</v>
      </c>
      <c r="J1647" s="33" t="s">
        <v>5659</v>
      </c>
      <c r="K1647" s="33">
        <v>1.0</v>
      </c>
      <c r="L1647" s="124" t="s">
        <v>10253</v>
      </c>
      <c r="M1647" s="31"/>
    </row>
    <row r="1648">
      <c r="A1648" s="131" t="s">
        <v>10254</v>
      </c>
      <c r="B1648" s="132">
        <v>45901.0</v>
      </c>
      <c r="C1648" s="33">
        <v>8.0700003308E11</v>
      </c>
      <c r="D1648" s="33" t="s">
        <v>10255</v>
      </c>
      <c r="E1648" s="33" t="s">
        <v>10256</v>
      </c>
      <c r="F1648" s="123" t="s">
        <v>10257</v>
      </c>
      <c r="G1648" s="133" t="s">
        <v>247</v>
      </c>
      <c r="H1648" s="133">
        <v>4400.0</v>
      </c>
      <c r="I1648" s="33">
        <v>125822.0</v>
      </c>
      <c r="J1648" s="33" t="s">
        <v>6030</v>
      </c>
      <c r="K1648" s="33">
        <v>2.0</v>
      </c>
      <c r="L1648" s="124" t="s">
        <v>10258</v>
      </c>
      <c r="M1648" s="31"/>
    </row>
    <row r="1649">
      <c r="A1649" s="131" t="s">
        <v>10259</v>
      </c>
      <c r="B1649" s="132">
        <v>45901.0</v>
      </c>
      <c r="C1649" s="33">
        <v>8.07000033081E11</v>
      </c>
      <c r="D1649" s="33" t="s">
        <v>10255</v>
      </c>
      <c r="E1649" s="33" t="s">
        <v>10256</v>
      </c>
      <c r="F1649" s="123" t="s">
        <v>10257</v>
      </c>
      <c r="G1649" s="133" t="s">
        <v>247</v>
      </c>
      <c r="H1649" s="133">
        <v>4400.0</v>
      </c>
      <c r="I1649" s="189">
        <v>840606.0</v>
      </c>
      <c r="J1649" s="33" t="s">
        <v>8771</v>
      </c>
      <c r="K1649" s="33">
        <v>1.0</v>
      </c>
      <c r="L1649" s="124" t="s">
        <v>10258</v>
      </c>
      <c r="M1649" s="31"/>
    </row>
    <row r="1650">
      <c r="A1650" s="131" t="s">
        <v>10260</v>
      </c>
      <c r="B1650" s="132">
        <v>45901.0</v>
      </c>
      <c r="C1650" s="33">
        <v>8.07000033085E11</v>
      </c>
      <c r="D1650" s="33" t="s">
        <v>10261</v>
      </c>
      <c r="E1650" s="33" t="s">
        <v>10262</v>
      </c>
      <c r="F1650" s="123" t="s">
        <v>10263</v>
      </c>
      <c r="G1650" s="133" t="s">
        <v>247</v>
      </c>
      <c r="H1650" s="133">
        <v>4400.0</v>
      </c>
      <c r="I1650" s="33" t="s">
        <v>6548</v>
      </c>
      <c r="J1650" s="33" t="s">
        <v>6549</v>
      </c>
      <c r="K1650" s="33">
        <v>1.0</v>
      </c>
      <c r="L1650" s="124" t="s">
        <v>10264</v>
      </c>
      <c r="M1650" s="31"/>
    </row>
    <row r="1651">
      <c r="A1651" s="131" t="s">
        <v>10260</v>
      </c>
      <c r="B1651" s="132">
        <v>45901.0</v>
      </c>
      <c r="C1651" s="33">
        <v>8.07000033085E11</v>
      </c>
      <c r="D1651" s="33" t="s">
        <v>10261</v>
      </c>
      <c r="E1651" s="33" t="s">
        <v>10262</v>
      </c>
      <c r="F1651" s="123" t="s">
        <v>10263</v>
      </c>
      <c r="G1651" s="133" t="s">
        <v>247</v>
      </c>
      <c r="H1651" s="133">
        <v>4400.0</v>
      </c>
      <c r="I1651" s="33" t="s">
        <v>512</v>
      </c>
      <c r="J1651" s="33" t="s">
        <v>513</v>
      </c>
      <c r="K1651" s="33">
        <v>6.0</v>
      </c>
      <c r="L1651" s="124" t="s">
        <v>10264</v>
      </c>
      <c r="M1651" s="31"/>
    </row>
    <row r="1652">
      <c r="A1652" s="131" t="s">
        <v>10260</v>
      </c>
      <c r="B1652" s="132">
        <v>45901.0</v>
      </c>
      <c r="C1652" s="33">
        <v>8.07000033085E11</v>
      </c>
      <c r="D1652" s="33" t="s">
        <v>10261</v>
      </c>
      <c r="E1652" s="33" t="s">
        <v>10262</v>
      </c>
      <c r="F1652" s="123" t="s">
        <v>10263</v>
      </c>
      <c r="G1652" s="133" t="s">
        <v>247</v>
      </c>
      <c r="H1652" s="133">
        <v>4400.0</v>
      </c>
      <c r="I1652" s="33" t="s">
        <v>233</v>
      </c>
      <c r="J1652" s="33" t="s">
        <v>3459</v>
      </c>
      <c r="K1652" s="33">
        <v>1.0</v>
      </c>
      <c r="L1652" s="124" t="s">
        <v>10264</v>
      </c>
      <c r="M1652" s="31"/>
    </row>
    <row r="1653">
      <c r="A1653" s="131" t="s">
        <v>10265</v>
      </c>
      <c r="B1653" s="132">
        <v>45901.0</v>
      </c>
      <c r="C1653" s="33">
        <v>8.07000033062E11</v>
      </c>
      <c r="D1653" s="33" t="s">
        <v>10266</v>
      </c>
      <c r="E1653" s="33" t="s">
        <v>10267</v>
      </c>
      <c r="F1653" s="123" t="s">
        <v>10268</v>
      </c>
      <c r="G1653" s="133" t="s">
        <v>247</v>
      </c>
      <c r="H1653" s="133">
        <v>4400.0</v>
      </c>
      <c r="I1653" s="33" t="s">
        <v>512</v>
      </c>
      <c r="J1653" s="33" t="s">
        <v>513</v>
      </c>
      <c r="K1653" s="33">
        <v>12.0</v>
      </c>
      <c r="L1653" s="124" t="s">
        <v>10269</v>
      </c>
      <c r="M1653" s="31"/>
    </row>
    <row r="1654">
      <c r="A1654" s="131" t="s">
        <v>10265</v>
      </c>
      <c r="B1654" s="132">
        <v>45901.0</v>
      </c>
      <c r="C1654" s="33">
        <v>8.07000033063E11</v>
      </c>
      <c r="D1654" s="33" t="s">
        <v>10266</v>
      </c>
      <c r="E1654" s="33" t="s">
        <v>10267</v>
      </c>
      <c r="F1654" s="123" t="s">
        <v>10268</v>
      </c>
      <c r="G1654" s="133" t="s">
        <v>247</v>
      </c>
      <c r="H1654" s="133">
        <v>4400.0</v>
      </c>
      <c r="I1654" s="33" t="s">
        <v>3334</v>
      </c>
      <c r="J1654" s="33" t="s">
        <v>3575</v>
      </c>
      <c r="K1654" s="33">
        <v>1.0</v>
      </c>
      <c r="L1654" s="124" t="s">
        <v>10269</v>
      </c>
      <c r="M1654" s="31"/>
    </row>
    <row r="1655">
      <c r="A1655" s="131" t="s">
        <v>10265</v>
      </c>
      <c r="B1655" s="132">
        <v>45901.0</v>
      </c>
      <c r="C1655" s="33">
        <v>8.07000033063E11</v>
      </c>
      <c r="D1655" s="33" t="s">
        <v>10266</v>
      </c>
      <c r="E1655" s="33" t="s">
        <v>10267</v>
      </c>
      <c r="F1655" s="123" t="s">
        <v>10268</v>
      </c>
      <c r="G1655" s="133" t="s">
        <v>247</v>
      </c>
      <c r="H1655" s="133">
        <v>4400.0</v>
      </c>
      <c r="I1655" s="33" t="s">
        <v>758</v>
      </c>
      <c r="J1655" s="33" t="s">
        <v>3574</v>
      </c>
      <c r="K1655" s="33">
        <v>2.0</v>
      </c>
      <c r="L1655" s="124" t="s">
        <v>10269</v>
      </c>
      <c r="M1655" s="31"/>
    </row>
    <row r="1656">
      <c r="A1656" s="131" t="s">
        <v>10265</v>
      </c>
      <c r="B1656" s="132">
        <v>45901.0</v>
      </c>
      <c r="C1656" s="33">
        <v>8.07000033064E11</v>
      </c>
      <c r="D1656" s="33" t="s">
        <v>10266</v>
      </c>
      <c r="E1656" s="33" t="s">
        <v>10267</v>
      </c>
      <c r="F1656" s="123" t="s">
        <v>10268</v>
      </c>
      <c r="G1656" s="133" t="s">
        <v>247</v>
      </c>
      <c r="H1656" s="133">
        <v>4400.0</v>
      </c>
      <c r="I1656" s="33">
        <v>125822.0</v>
      </c>
      <c r="J1656" s="33" t="s">
        <v>6030</v>
      </c>
      <c r="K1656" s="33">
        <v>2.0</v>
      </c>
      <c r="L1656" s="124" t="s">
        <v>10269</v>
      </c>
      <c r="M1656" s="31"/>
    </row>
    <row r="1657">
      <c r="A1657" s="131" t="s">
        <v>10270</v>
      </c>
      <c r="B1657" s="132">
        <v>45901.0</v>
      </c>
      <c r="C1657" s="33">
        <v>8.07000033078E11</v>
      </c>
      <c r="D1657" s="33" t="s">
        <v>10271</v>
      </c>
      <c r="E1657" s="33" t="s">
        <v>10272</v>
      </c>
      <c r="F1657" s="123" t="s">
        <v>10273</v>
      </c>
      <c r="G1657" s="133" t="s">
        <v>247</v>
      </c>
      <c r="H1657" s="133">
        <v>4400.0</v>
      </c>
      <c r="I1657" s="33" t="s">
        <v>512</v>
      </c>
      <c r="J1657" s="33" t="s">
        <v>513</v>
      </c>
      <c r="K1657" s="33">
        <v>6.0</v>
      </c>
      <c r="L1657" s="124" t="s">
        <v>10274</v>
      </c>
      <c r="M1657" s="31"/>
    </row>
    <row r="1658">
      <c r="A1658" s="131" t="s">
        <v>10270</v>
      </c>
      <c r="B1658" s="132">
        <v>45901.0</v>
      </c>
      <c r="C1658" s="33">
        <v>8.07000033079E11</v>
      </c>
      <c r="D1658" s="33" t="s">
        <v>10271</v>
      </c>
      <c r="E1658" s="33" t="s">
        <v>10272</v>
      </c>
      <c r="F1658" s="123" t="s">
        <v>10273</v>
      </c>
      <c r="G1658" s="133" t="s">
        <v>247</v>
      </c>
      <c r="H1658" s="133">
        <v>4400.0</v>
      </c>
      <c r="I1658" s="33" t="s">
        <v>32</v>
      </c>
      <c r="J1658" s="33" t="s">
        <v>3225</v>
      </c>
      <c r="K1658" s="33">
        <v>1.0</v>
      </c>
      <c r="L1658" s="124" t="s">
        <v>10274</v>
      </c>
      <c r="M1658" s="31"/>
    </row>
    <row r="1659">
      <c r="A1659" s="131" t="s">
        <v>10270</v>
      </c>
      <c r="B1659" s="132">
        <v>45901.0</v>
      </c>
      <c r="C1659" s="33">
        <v>8.07000033079E11</v>
      </c>
      <c r="D1659" s="33" t="s">
        <v>10271</v>
      </c>
      <c r="E1659" s="33" t="s">
        <v>10272</v>
      </c>
      <c r="F1659" s="123" t="s">
        <v>10273</v>
      </c>
      <c r="G1659" s="133" t="s">
        <v>247</v>
      </c>
      <c r="H1659" s="133">
        <v>4400.0</v>
      </c>
      <c r="I1659" s="33" t="s">
        <v>670</v>
      </c>
      <c r="J1659" s="33" t="s">
        <v>3410</v>
      </c>
      <c r="K1659" s="33">
        <v>1.0</v>
      </c>
      <c r="L1659" s="124" t="s">
        <v>10274</v>
      </c>
      <c r="M1659" s="31"/>
    </row>
    <row r="1660">
      <c r="A1660" s="131" t="s">
        <v>10275</v>
      </c>
      <c r="B1660" s="132">
        <v>45901.0</v>
      </c>
      <c r="C1660" s="33">
        <v>8.07000033093E11</v>
      </c>
      <c r="D1660" s="33" t="s">
        <v>10276</v>
      </c>
      <c r="E1660" s="33" t="s">
        <v>10277</v>
      </c>
      <c r="F1660" s="123" t="s">
        <v>10278</v>
      </c>
      <c r="G1660" s="133" t="s">
        <v>8629</v>
      </c>
      <c r="H1660" s="133">
        <v>4407.0</v>
      </c>
      <c r="I1660" s="33" t="s">
        <v>512</v>
      </c>
      <c r="J1660" s="33" t="s">
        <v>513</v>
      </c>
      <c r="K1660" s="33">
        <v>12.0</v>
      </c>
      <c r="L1660" s="124" t="s">
        <v>10279</v>
      </c>
      <c r="M1660" s="31"/>
    </row>
    <row r="1661">
      <c r="A1661" s="131" t="s">
        <v>10275</v>
      </c>
      <c r="B1661" s="132">
        <v>45901.0</v>
      </c>
      <c r="C1661" s="33">
        <v>8.07000033094E11</v>
      </c>
      <c r="D1661" s="33" t="s">
        <v>10276</v>
      </c>
      <c r="E1661" s="33" t="s">
        <v>10277</v>
      </c>
      <c r="F1661" s="123" t="s">
        <v>10278</v>
      </c>
      <c r="G1661" s="133" t="s">
        <v>8629</v>
      </c>
      <c r="H1661" s="133">
        <v>4407.0</v>
      </c>
      <c r="I1661" s="33" t="s">
        <v>280</v>
      </c>
      <c r="J1661" s="33" t="s">
        <v>5669</v>
      </c>
      <c r="K1661" s="33">
        <v>1.0</v>
      </c>
      <c r="L1661" s="124" t="s">
        <v>10279</v>
      </c>
      <c r="M1661" s="31"/>
    </row>
    <row r="1662">
      <c r="A1662" s="131" t="s">
        <v>10275</v>
      </c>
      <c r="B1662" s="132">
        <v>45901.0</v>
      </c>
      <c r="C1662" s="33">
        <v>8.07000033094E11</v>
      </c>
      <c r="D1662" s="33" t="s">
        <v>10276</v>
      </c>
      <c r="E1662" s="33" t="s">
        <v>10280</v>
      </c>
      <c r="F1662" s="123" t="s">
        <v>10278</v>
      </c>
      <c r="G1662" s="133" t="s">
        <v>8629</v>
      </c>
      <c r="H1662" s="133">
        <v>4407.0</v>
      </c>
      <c r="I1662" s="33" t="s">
        <v>340</v>
      </c>
      <c r="J1662" s="33" t="s">
        <v>3486</v>
      </c>
      <c r="K1662" s="33">
        <v>2.0</v>
      </c>
      <c r="L1662" s="124" t="s">
        <v>10279</v>
      </c>
      <c r="M1662" s="31"/>
    </row>
    <row r="1663">
      <c r="A1663" s="131" t="s">
        <v>10281</v>
      </c>
      <c r="B1663" s="132">
        <v>45901.0</v>
      </c>
      <c r="C1663" s="33">
        <v>8.07000033095E11</v>
      </c>
      <c r="D1663" s="33" t="s">
        <v>10282</v>
      </c>
      <c r="E1663" s="33" t="s">
        <v>10283</v>
      </c>
      <c r="F1663" s="123" t="s">
        <v>10284</v>
      </c>
      <c r="G1663" s="133" t="s">
        <v>247</v>
      </c>
      <c r="H1663" s="133">
        <v>4407.0</v>
      </c>
      <c r="I1663" s="33" t="s">
        <v>2956</v>
      </c>
      <c r="J1663" s="33" t="s">
        <v>3327</v>
      </c>
      <c r="K1663" s="33">
        <v>1.0</v>
      </c>
      <c r="L1663" s="124" t="s">
        <v>10285</v>
      </c>
      <c r="M1663" s="31"/>
    </row>
    <row r="1664">
      <c r="A1664" s="131" t="s">
        <v>10286</v>
      </c>
      <c r="B1664" s="132">
        <v>45901.0</v>
      </c>
      <c r="C1664" s="33">
        <v>8.07000033097E11</v>
      </c>
      <c r="D1664" s="33" t="s">
        <v>10287</v>
      </c>
      <c r="E1664" s="33" t="s">
        <v>10288</v>
      </c>
      <c r="F1664" s="123" t="s">
        <v>10289</v>
      </c>
      <c r="G1664" s="133" t="s">
        <v>1038</v>
      </c>
      <c r="H1664" s="133">
        <v>4400.0</v>
      </c>
      <c r="I1664" s="33" t="s">
        <v>3166</v>
      </c>
      <c r="J1664" s="33" t="s">
        <v>6964</v>
      </c>
      <c r="K1664" s="33">
        <v>1.0</v>
      </c>
      <c r="L1664" s="124" t="s">
        <v>10290</v>
      </c>
      <c r="M1664" s="31"/>
    </row>
    <row r="1665">
      <c r="A1665" s="131" t="s">
        <v>10291</v>
      </c>
      <c r="B1665" s="132">
        <v>45901.0</v>
      </c>
      <c r="C1665" s="33">
        <v>8.07000033098E11</v>
      </c>
      <c r="D1665" s="33" t="s">
        <v>10287</v>
      </c>
      <c r="E1665" s="33" t="s">
        <v>10288</v>
      </c>
      <c r="F1665" s="123" t="s">
        <v>10289</v>
      </c>
      <c r="G1665" s="133" t="s">
        <v>1038</v>
      </c>
      <c r="H1665" s="133">
        <v>4400.0</v>
      </c>
      <c r="I1665" s="33" t="s">
        <v>2537</v>
      </c>
      <c r="J1665" s="33" t="s">
        <v>3955</v>
      </c>
      <c r="K1665" s="33">
        <v>1.0</v>
      </c>
      <c r="L1665" s="124" t="s">
        <v>10290</v>
      </c>
      <c r="M1665" s="31"/>
    </row>
    <row r="1666">
      <c r="A1666" s="131" t="s">
        <v>10292</v>
      </c>
      <c r="B1666" s="132">
        <v>45901.0</v>
      </c>
      <c r="C1666" s="33">
        <v>8.07000033101E11</v>
      </c>
      <c r="D1666" s="33" t="s">
        <v>10293</v>
      </c>
      <c r="E1666" s="33" t="s">
        <v>10294</v>
      </c>
      <c r="F1666" s="123" t="s">
        <v>10295</v>
      </c>
      <c r="G1666" s="133" t="s">
        <v>247</v>
      </c>
      <c r="H1666" s="133">
        <v>4400.0</v>
      </c>
      <c r="I1666" s="33" t="s">
        <v>3451</v>
      </c>
      <c r="J1666" s="33" t="s">
        <v>3452</v>
      </c>
      <c r="K1666" s="33">
        <v>1.0</v>
      </c>
      <c r="L1666" s="124" t="s">
        <v>10296</v>
      </c>
      <c r="M1666" s="31"/>
    </row>
    <row r="1667">
      <c r="A1667" s="131" t="s">
        <v>10297</v>
      </c>
      <c r="B1667" s="132">
        <v>45901.0</v>
      </c>
      <c r="C1667" s="33">
        <v>8.07000033113E11</v>
      </c>
      <c r="D1667" s="33" t="s">
        <v>10298</v>
      </c>
      <c r="E1667" s="33" t="s">
        <v>10299</v>
      </c>
      <c r="F1667" s="123" t="s">
        <v>10300</v>
      </c>
      <c r="G1667" s="133" t="s">
        <v>247</v>
      </c>
      <c r="H1667" s="133">
        <v>4400.0</v>
      </c>
      <c r="I1667" s="33">
        <v>125813.0</v>
      </c>
      <c r="J1667" s="33" t="s">
        <v>5703</v>
      </c>
      <c r="K1667" s="33">
        <v>2.0</v>
      </c>
      <c r="L1667" s="124" t="s">
        <v>10301</v>
      </c>
      <c r="M1667" s="31"/>
    </row>
    <row r="1668">
      <c r="A1668" s="131" t="s">
        <v>10297</v>
      </c>
      <c r="B1668" s="132">
        <v>45901.0</v>
      </c>
      <c r="C1668" s="33">
        <v>8.07000033113E11</v>
      </c>
      <c r="D1668" s="33" t="s">
        <v>10298</v>
      </c>
      <c r="E1668" s="33" t="s">
        <v>10299</v>
      </c>
      <c r="F1668" s="123" t="s">
        <v>10300</v>
      </c>
      <c r="G1668" s="133" t="s">
        <v>247</v>
      </c>
      <c r="H1668" s="133">
        <v>4400.0</v>
      </c>
      <c r="I1668" s="33" t="s">
        <v>3512</v>
      </c>
      <c r="J1668" s="33" t="s">
        <v>3513</v>
      </c>
      <c r="K1668" s="33">
        <v>6.0</v>
      </c>
      <c r="L1668" s="124" t="s">
        <v>10301</v>
      </c>
      <c r="M1668" s="31"/>
    </row>
    <row r="1669">
      <c r="A1669" s="131" t="s">
        <v>10297</v>
      </c>
      <c r="B1669" s="132">
        <v>45901.0</v>
      </c>
      <c r="C1669" s="33">
        <v>8.07000033114E11</v>
      </c>
      <c r="D1669" s="33" t="s">
        <v>10298</v>
      </c>
      <c r="E1669" s="33" t="s">
        <v>10299</v>
      </c>
      <c r="F1669" s="123" t="s">
        <v>10300</v>
      </c>
      <c r="G1669" s="133" t="s">
        <v>247</v>
      </c>
      <c r="H1669" s="133">
        <v>4400.0</v>
      </c>
      <c r="I1669" s="33" t="s">
        <v>10302</v>
      </c>
      <c r="J1669" s="33" t="s">
        <v>10303</v>
      </c>
      <c r="K1669" s="33">
        <v>1.0</v>
      </c>
      <c r="L1669" s="124" t="s">
        <v>10301</v>
      </c>
      <c r="M1669" s="31"/>
    </row>
    <row r="1670">
      <c r="A1670" s="140" t="s">
        <v>10297</v>
      </c>
      <c r="B1670" s="141">
        <v>45901.0</v>
      </c>
      <c r="C1670" s="125">
        <v>8.07000033114E11</v>
      </c>
      <c r="D1670" s="125" t="s">
        <v>10298</v>
      </c>
      <c r="E1670" s="125" t="s">
        <v>10299</v>
      </c>
      <c r="F1670" s="127" t="s">
        <v>10300</v>
      </c>
      <c r="G1670" s="128" t="s">
        <v>247</v>
      </c>
      <c r="H1670" s="128">
        <v>4400.0</v>
      </c>
      <c r="I1670" s="125" t="s">
        <v>3510</v>
      </c>
      <c r="J1670" s="125" t="s">
        <v>3511</v>
      </c>
      <c r="K1670" s="125">
        <v>1.0</v>
      </c>
      <c r="L1670" s="129" t="s">
        <v>10301</v>
      </c>
      <c r="M1670" s="136"/>
      <c r="N1670" s="179"/>
      <c r="O1670" s="179"/>
      <c r="P1670" s="179"/>
      <c r="Q1670" s="179"/>
      <c r="R1670" s="179"/>
      <c r="S1670" s="179"/>
      <c r="T1670" s="179"/>
      <c r="U1670" s="179"/>
      <c r="V1670" s="179"/>
      <c r="W1670" s="179"/>
      <c r="X1670" s="179"/>
      <c r="Y1670" s="179"/>
      <c r="Z1670" s="179"/>
      <c r="AA1670" s="179"/>
      <c r="AB1670" s="179"/>
      <c r="AC1670" s="179"/>
    </row>
    <row r="1671">
      <c r="A1671" s="131" t="s">
        <v>10304</v>
      </c>
      <c r="B1671" s="132">
        <v>45903.0</v>
      </c>
      <c r="C1671" s="131">
        <v>8.07000033005E11</v>
      </c>
      <c r="D1671" s="131" t="s">
        <v>4853</v>
      </c>
      <c r="E1671" s="131" t="s">
        <v>4854</v>
      </c>
      <c r="F1671" s="133" t="s">
        <v>10305</v>
      </c>
      <c r="G1671" s="133" t="s">
        <v>247</v>
      </c>
      <c r="H1671" s="133">
        <v>4400.0</v>
      </c>
      <c r="I1671" s="131">
        <v>208501.0</v>
      </c>
      <c r="J1671" s="131" t="s">
        <v>481</v>
      </c>
      <c r="K1671" s="131">
        <v>2.0</v>
      </c>
      <c r="L1671" s="134" t="s">
        <v>10306</v>
      </c>
      <c r="M1671" s="135"/>
    </row>
    <row r="1672">
      <c r="A1672" s="131" t="s">
        <v>10307</v>
      </c>
      <c r="B1672" s="132">
        <v>45903.0</v>
      </c>
      <c r="C1672" s="33">
        <v>8.07000033121E11</v>
      </c>
      <c r="D1672" s="33" t="s">
        <v>10287</v>
      </c>
      <c r="E1672" s="33" t="s">
        <v>10288</v>
      </c>
      <c r="F1672" s="123" t="s">
        <v>10308</v>
      </c>
      <c r="G1672" s="133" t="s">
        <v>247</v>
      </c>
      <c r="H1672" s="133">
        <v>4400.0</v>
      </c>
      <c r="I1672" s="33" t="s">
        <v>8099</v>
      </c>
      <c r="J1672" s="33" t="s">
        <v>8100</v>
      </c>
      <c r="K1672" s="33">
        <v>1.0</v>
      </c>
      <c r="L1672" s="124" t="s">
        <v>10290</v>
      </c>
      <c r="M1672" s="31"/>
    </row>
    <row r="1673">
      <c r="A1673" s="131" t="s">
        <v>10309</v>
      </c>
      <c r="B1673" s="132">
        <v>45903.0</v>
      </c>
      <c r="C1673" s="33">
        <v>8.07000033157E11</v>
      </c>
      <c r="D1673" s="33" t="s">
        <v>10310</v>
      </c>
      <c r="E1673" s="33" t="s">
        <v>10311</v>
      </c>
      <c r="F1673" s="123" t="s">
        <v>10312</v>
      </c>
      <c r="G1673" s="133" t="s">
        <v>247</v>
      </c>
      <c r="H1673" s="133">
        <v>4400.0</v>
      </c>
      <c r="I1673" s="33" t="s">
        <v>512</v>
      </c>
      <c r="J1673" s="33" t="s">
        <v>513</v>
      </c>
      <c r="K1673" s="33">
        <v>12.0</v>
      </c>
      <c r="L1673" s="124" t="s">
        <v>10313</v>
      </c>
      <c r="M1673" s="31"/>
    </row>
    <row r="1674">
      <c r="A1674" s="131" t="s">
        <v>10309</v>
      </c>
      <c r="B1674" s="132">
        <v>45903.0</v>
      </c>
      <c r="C1674" s="33">
        <v>8.07000033158E11</v>
      </c>
      <c r="D1674" s="33" t="s">
        <v>10310</v>
      </c>
      <c r="E1674" s="33" t="s">
        <v>10311</v>
      </c>
      <c r="F1674" s="123" t="s">
        <v>10312</v>
      </c>
      <c r="G1674" s="133" t="s">
        <v>247</v>
      </c>
      <c r="H1674" s="133">
        <v>4400.0</v>
      </c>
      <c r="I1674" s="33" t="s">
        <v>3334</v>
      </c>
      <c r="J1674" s="33" t="s">
        <v>3575</v>
      </c>
      <c r="K1674" s="33">
        <v>1.0</v>
      </c>
      <c r="L1674" s="124" t="s">
        <v>10313</v>
      </c>
      <c r="M1674" s="31"/>
    </row>
    <row r="1675">
      <c r="A1675" s="131" t="s">
        <v>10314</v>
      </c>
      <c r="B1675" s="132">
        <v>45903.0</v>
      </c>
      <c r="C1675" s="33">
        <v>8.07000033159E11</v>
      </c>
      <c r="D1675" s="33" t="s">
        <v>10310</v>
      </c>
      <c r="E1675" s="33" t="s">
        <v>10311</v>
      </c>
      <c r="F1675" s="123" t="s">
        <v>10312</v>
      </c>
      <c r="G1675" s="133" t="s">
        <v>247</v>
      </c>
      <c r="H1675" s="133">
        <v>4400.0</v>
      </c>
      <c r="I1675" s="33" t="s">
        <v>4070</v>
      </c>
      <c r="J1675" s="33" t="s">
        <v>6264</v>
      </c>
      <c r="K1675" s="33">
        <v>1.0</v>
      </c>
      <c r="L1675" s="124" t="s">
        <v>10313</v>
      </c>
      <c r="M1675" s="31"/>
    </row>
    <row r="1676">
      <c r="A1676" s="131" t="s">
        <v>10309</v>
      </c>
      <c r="B1676" s="132">
        <v>45903.0</v>
      </c>
      <c r="C1676" s="33">
        <v>8.07000033158E11</v>
      </c>
      <c r="D1676" s="33" t="s">
        <v>10310</v>
      </c>
      <c r="E1676" s="33" t="s">
        <v>10311</v>
      </c>
      <c r="F1676" s="123" t="s">
        <v>10312</v>
      </c>
      <c r="G1676" s="133" t="s">
        <v>247</v>
      </c>
      <c r="H1676" s="133">
        <v>4400.0</v>
      </c>
      <c r="I1676" s="33" t="s">
        <v>758</v>
      </c>
      <c r="J1676" s="33" t="s">
        <v>3574</v>
      </c>
      <c r="K1676" s="33">
        <v>2.0</v>
      </c>
      <c r="L1676" s="124" t="s">
        <v>10313</v>
      </c>
      <c r="M1676" s="31"/>
    </row>
    <row r="1677">
      <c r="A1677" s="131" t="s">
        <v>10315</v>
      </c>
      <c r="B1677" s="132">
        <v>45903.0</v>
      </c>
      <c r="C1677" s="33">
        <v>8.07000033134E11</v>
      </c>
      <c r="D1677" s="33" t="s">
        <v>10316</v>
      </c>
      <c r="E1677" s="33" t="s">
        <v>10317</v>
      </c>
      <c r="F1677" s="123" t="s">
        <v>10318</v>
      </c>
      <c r="G1677" s="133" t="s">
        <v>247</v>
      </c>
      <c r="H1677" s="133">
        <v>4400.0</v>
      </c>
      <c r="I1677" s="33">
        <v>125818.0</v>
      </c>
      <c r="J1677" s="33" t="s">
        <v>4334</v>
      </c>
      <c r="K1677" s="33">
        <v>2.0</v>
      </c>
      <c r="L1677" s="124" t="s">
        <v>10319</v>
      </c>
      <c r="M1677" s="31"/>
    </row>
    <row r="1678">
      <c r="A1678" s="131" t="s">
        <v>10315</v>
      </c>
      <c r="B1678" s="132">
        <v>45903.0</v>
      </c>
      <c r="C1678" s="33">
        <v>8.07000033134E11</v>
      </c>
      <c r="D1678" s="33" t="s">
        <v>10316</v>
      </c>
      <c r="E1678" s="33" t="s">
        <v>10317</v>
      </c>
      <c r="F1678" s="123" t="s">
        <v>10318</v>
      </c>
      <c r="G1678" s="133" t="s">
        <v>247</v>
      </c>
      <c r="H1678" s="133">
        <v>4400.0</v>
      </c>
      <c r="I1678" s="33" t="s">
        <v>512</v>
      </c>
      <c r="J1678" s="33" t="s">
        <v>513</v>
      </c>
      <c r="K1678" s="33">
        <v>12.0</v>
      </c>
      <c r="L1678" s="124" t="s">
        <v>10319</v>
      </c>
      <c r="M1678" s="31"/>
    </row>
    <row r="1679">
      <c r="A1679" s="131" t="s">
        <v>10315</v>
      </c>
      <c r="B1679" s="132">
        <v>45903.0</v>
      </c>
      <c r="C1679" s="33">
        <v>8.07000033135E11</v>
      </c>
      <c r="D1679" s="33" t="s">
        <v>10316</v>
      </c>
      <c r="E1679" s="33" t="s">
        <v>10317</v>
      </c>
      <c r="F1679" s="123" t="s">
        <v>10318</v>
      </c>
      <c r="G1679" s="133" t="s">
        <v>247</v>
      </c>
      <c r="H1679" s="133">
        <v>4400.0</v>
      </c>
      <c r="I1679" s="33" t="s">
        <v>3334</v>
      </c>
      <c r="J1679" s="33" t="s">
        <v>3575</v>
      </c>
      <c r="K1679" s="33">
        <v>1.0</v>
      </c>
      <c r="L1679" s="124" t="s">
        <v>10319</v>
      </c>
      <c r="M1679" s="31"/>
    </row>
    <row r="1680">
      <c r="A1680" s="131" t="s">
        <v>10315</v>
      </c>
      <c r="B1680" s="132">
        <v>45903.0</v>
      </c>
      <c r="C1680" s="33">
        <v>8.07000033135E11</v>
      </c>
      <c r="D1680" s="33" t="s">
        <v>10316</v>
      </c>
      <c r="E1680" s="33" t="s">
        <v>10317</v>
      </c>
      <c r="F1680" s="123" t="s">
        <v>10318</v>
      </c>
      <c r="G1680" s="133" t="s">
        <v>247</v>
      </c>
      <c r="H1680" s="133">
        <v>4400.0</v>
      </c>
      <c r="I1680" s="33" t="s">
        <v>758</v>
      </c>
      <c r="J1680" s="33" t="s">
        <v>3574</v>
      </c>
      <c r="K1680" s="33">
        <v>2.0</v>
      </c>
      <c r="L1680" s="124" t="s">
        <v>10319</v>
      </c>
      <c r="M1680" s="31"/>
    </row>
    <row r="1681">
      <c r="A1681" s="131" t="s">
        <v>10320</v>
      </c>
      <c r="B1681" s="132">
        <v>45903.0</v>
      </c>
      <c r="C1681" s="33">
        <v>8.07000033139E11</v>
      </c>
      <c r="D1681" s="33" t="s">
        <v>10321</v>
      </c>
      <c r="E1681" s="33" t="s">
        <v>10322</v>
      </c>
      <c r="F1681" s="123" t="s">
        <v>10323</v>
      </c>
      <c r="G1681" s="133" t="s">
        <v>247</v>
      </c>
      <c r="H1681" s="133">
        <v>4400.0</v>
      </c>
      <c r="I1681" s="33" t="s">
        <v>561</v>
      </c>
      <c r="J1681" s="33" t="s">
        <v>8209</v>
      </c>
      <c r="K1681" s="33">
        <v>1.0</v>
      </c>
      <c r="L1681" s="124" t="s">
        <v>10324</v>
      </c>
      <c r="M1681" s="31"/>
    </row>
    <row r="1682">
      <c r="A1682" s="131" t="s">
        <v>10325</v>
      </c>
      <c r="B1682" s="132">
        <v>45903.0</v>
      </c>
      <c r="C1682" s="33">
        <v>8.07000033136E11</v>
      </c>
      <c r="D1682" s="33" t="s">
        <v>10326</v>
      </c>
      <c r="E1682" s="33" t="s">
        <v>10327</v>
      </c>
      <c r="F1682" s="123" t="s">
        <v>10328</v>
      </c>
      <c r="G1682" s="133" t="s">
        <v>247</v>
      </c>
      <c r="H1682" s="133">
        <v>4400.0</v>
      </c>
      <c r="I1682" s="33" t="s">
        <v>3154</v>
      </c>
      <c r="J1682" s="33" t="s">
        <v>4564</v>
      </c>
      <c r="K1682" s="33">
        <v>1.0</v>
      </c>
      <c r="L1682" s="124" t="s">
        <v>10329</v>
      </c>
      <c r="M1682" s="31"/>
    </row>
    <row r="1683">
      <c r="A1683" s="131" t="s">
        <v>10325</v>
      </c>
      <c r="B1683" s="132">
        <v>45903.0</v>
      </c>
      <c r="C1683" s="33">
        <v>8.07000033137E11</v>
      </c>
      <c r="D1683" s="33" t="s">
        <v>10326</v>
      </c>
      <c r="E1683" s="33" t="s">
        <v>10327</v>
      </c>
      <c r="F1683" s="123" t="s">
        <v>10328</v>
      </c>
      <c r="G1683" s="133" t="s">
        <v>247</v>
      </c>
      <c r="H1683" s="133">
        <v>4400.0</v>
      </c>
      <c r="I1683" s="33">
        <v>125808.0</v>
      </c>
      <c r="J1683" s="33" t="s">
        <v>7199</v>
      </c>
      <c r="K1683" s="33">
        <v>2.0</v>
      </c>
      <c r="L1683" s="124" t="s">
        <v>10329</v>
      </c>
      <c r="M1683" s="31"/>
    </row>
    <row r="1684">
      <c r="A1684" s="131" t="s">
        <v>10330</v>
      </c>
      <c r="B1684" s="132">
        <v>45903.0</v>
      </c>
      <c r="C1684" s="33">
        <v>8.07000033155E11</v>
      </c>
      <c r="D1684" s="33" t="s">
        <v>10331</v>
      </c>
      <c r="E1684" s="33" t="s">
        <v>10332</v>
      </c>
      <c r="F1684" s="123" t="s">
        <v>10333</v>
      </c>
      <c r="G1684" s="133" t="s">
        <v>247</v>
      </c>
      <c r="H1684" s="133">
        <v>4400.0</v>
      </c>
      <c r="I1684" s="33" t="s">
        <v>7371</v>
      </c>
      <c r="J1684" s="33" t="s">
        <v>8339</v>
      </c>
      <c r="K1684" s="33">
        <v>2.0</v>
      </c>
      <c r="L1684" s="124" t="s">
        <v>10334</v>
      </c>
      <c r="M1684" s="31"/>
    </row>
    <row r="1685">
      <c r="A1685" s="131" t="s">
        <v>10335</v>
      </c>
      <c r="B1685" s="132">
        <v>45903.0</v>
      </c>
      <c r="C1685" s="33">
        <v>8.07000033156E11</v>
      </c>
      <c r="D1685" s="33" t="s">
        <v>10331</v>
      </c>
      <c r="E1685" s="33" t="s">
        <v>10332</v>
      </c>
      <c r="F1685" s="123" t="s">
        <v>10333</v>
      </c>
      <c r="G1685" s="133" t="s">
        <v>247</v>
      </c>
      <c r="H1685" s="133">
        <v>4400.0</v>
      </c>
      <c r="I1685" s="33">
        <v>915481.0</v>
      </c>
      <c r="J1685" s="33" t="s">
        <v>8241</v>
      </c>
      <c r="K1685" s="33">
        <v>1.0</v>
      </c>
      <c r="L1685" s="124" t="s">
        <v>10334</v>
      </c>
      <c r="M1685" s="31"/>
    </row>
    <row r="1686">
      <c r="A1686" s="131" t="s">
        <v>10336</v>
      </c>
      <c r="B1686" s="132">
        <v>45903.0</v>
      </c>
      <c r="C1686" s="33">
        <v>8.07000033119E11</v>
      </c>
      <c r="D1686" s="33" t="s">
        <v>10337</v>
      </c>
      <c r="E1686" s="33" t="s">
        <v>10338</v>
      </c>
      <c r="F1686" s="123" t="s">
        <v>10339</v>
      </c>
      <c r="G1686" s="133" t="s">
        <v>247</v>
      </c>
      <c r="H1686" s="133">
        <v>4400.0</v>
      </c>
      <c r="I1686" s="33" t="s">
        <v>4775</v>
      </c>
      <c r="J1686" s="33" t="s">
        <v>4776</v>
      </c>
      <c r="K1686" s="33">
        <v>1.0</v>
      </c>
      <c r="L1686" s="124" t="s">
        <v>10340</v>
      </c>
      <c r="M1686" s="31"/>
    </row>
    <row r="1687">
      <c r="A1687" s="131" t="s">
        <v>10336</v>
      </c>
      <c r="B1687" s="132">
        <v>45903.0</v>
      </c>
      <c r="C1687" s="33">
        <v>8.07000033119E11</v>
      </c>
      <c r="D1687" s="33" t="s">
        <v>10337</v>
      </c>
      <c r="E1687" s="33" t="s">
        <v>10338</v>
      </c>
      <c r="F1687" s="123" t="s">
        <v>10339</v>
      </c>
      <c r="G1687" s="133" t="s">
        <v>247</v>
      </c>
      <c r="H1687" s="133">
        <v>4400.0</v>
      </c>
      <c r="I1687" s="33" t="s">
        <v>3512</v>
      </c>
      <c r="J1687" s="33" t="s">
        <v>3513</v>
      </c>
      <c r="K1687" s="33">
        <v>6.0</v>
      </c>
      <c r="L1687" s="124" t="s">
        <v>10340</v>
      </c>
      <c r="M1687" s="31"/>
    </row>
    <row r="1688">
      <c r="A1688" s="131" t="s">
        <v>10341</v>
      </c>
      <c r="B1688" s="132">
        <v>45903.0</v>
      </c>
      <c r="C1688" s="33">
        <v>8.0700003312E11</v>
      </c>
      <c r="D1688" s="33" t="s">
        <v>10337</v>
      </c>
      <c r="E1688" s="33" t="s">
        <v>10338</v>
      </c>
      <c r="F1688" s="123" t="s">
        <v>10339</v>
      </c>
      <c r="G1688" s="133" t="s">
        <v>247</v>
      </c>
      <c r="H1688" s="133">
        <v>4400.0</v>
      </c>
      <c r="I1688" s="33" t="s">
        <v>3510</v>
      </c>
      <c r="J1688" s="33" t="s">
        <v>3511</v>
      </c>
      <c r="K1688" s="33">
        <v>1.0</v>
      </c>
      <c r="L1688" s="124" t="s">
        <v>10340</v>
      </c>
      <c r="M1688" s="31"/>
    </row>
    <row r="1689">
      <c r="A1689" s="131" t="s">
        <v>10342</v>
      </c>
      <c r="B1689" s="132">
        <v>45903.0</v>
      </c>
      <c r="C1689" s="33">
        <v>8.07000033149E11</v>
      </c>
      <c r="D1689" s="33" t="s">
        <v>3603</v>
      </c>
      <c r="E1689" s="33" t="s">
        <v>3604</v>
      </c>
      <c r="F1689" s="123" t="s">
        <v>10343</v>
      </c>
      <c r="G1689" s="133" t="s">
        <v>624</v>
      </c>
      <c r="H1689" s="133">
        <v>4403.0</v>
      </c>
      <c r="I1689" s="33" t="s">
        <v>2233</v>
      </c>
      <c r="J1689" s="33" t="s">
        <v>4158</v>
      </c>
      <c r="K1689" s="33">
        <v>1.0</v>
      </c>
      <c r="L1689" s="124" t="s">
        <v>10344</v>
      </c>
      <c r="M1689" s="31"/>
    </row>
    <row r="1690">
      <c r="A1690" s="131" t="s">
        <v>10342</v>
      </c>
      <c r="B1690" s="132">
        <v>45903.0</v>
      </c>
      <c r="C1690" s="33">
        <v>8.07000033149E11</v>
      </c>
      <c r="D1690" s="33" t="s">
        <v>3603</v>
      </c>
      <c r="E1690" s="33" t="s">
        <v>3604</v>
      </c>
      <c r="F1690" s="123" t="s">
        <v>10343</v>
      </c>
      <c r="G1690" s="133" t="s">
        <v>624</v>
      </c>
      <c r="H1690" s="133">
        <v>4403.0</v>
      </c>
      <c r="I1690" s="33" t="s">
        <v>512</v>
      </c>
      <c r="J1690" s="33" t="s">
        <v>513</v>
      </c>
      <c r="K1690" s="33">
        <v>6.0</v>
      </c>
      <c r="L1690" s="124" t="s">
        <v>10344</v>
      </c>
      <c r="M1690" s="31"/>
    </row>
    <row r="1691">
      <c r="A1691" s="131" t="s">
        <v>10342</v>
      </c>
      <c r="B1691" s="132">
        <v>45903.0</v>
      </c>
      <c r="C1691" s="33">
        <v>8.07000033149E11</v>
      </c>
      <c r="D1691" s="33" t="s">
        <v>3603</v>
      </c>
      <c r="E1691" s="33" t="s">
        <v>3604</v>
      </c>
      <c r="F1691" s="123" t="s">
        <v>10343</v>
      </c>
      <c r="G1691" s="133" t="s">
        <v>624</v>
      </c>
      <c r="H1691" s="133">
        <v>4403.0</v>
      </c>
      <c r="I1691" s="33" t="s">
        <v>969</v>
      </c>
      <c r="J1691" s="33" t="s">
        <v>3296</v>
      </c>
      <c r="K1691" s="33">
        <v>1.0</v>
      </c>
      <c r="L1691" s="124" t="s">
        <v>10344</v>
      </c>
      <c r="M1691" s="31"/>
    </row>
    <row r="1692">
      <c r="A1692" s="131" t="s">
        <v>10345</v>
      </c>
      <c r="B1692" s="132">
        <v>45904.0</v>
      </c>
      <c r="C1692" s="33">
        <v>8.07000033171E11</v>
      </c>
      <c r="D1692" s="33" t="s">
        <v>10346</v>
      </c>
      <c r="E1692" s="33" t="s">
        <v>10347</v>
      </c>
      <c r="F1692" s="123" t="s">
        <v>10348</v>
      </c>
      <c r="G1692" s="133" t="s">
        <v>247</v>
      </c>
      <c r="H1692" s="133">
        <v>4400.0</v>
      </c>
      <c r="I1692" s="33" t="s">
        <v>3692</v>
      </c>
      <c r="J1692" s="33" t="s">
        <v>3693</v>
      </c>
      <c r="K1692" s="33">
        <v>1.0</v>
      </c>
      <c r="L1692" s="124" t="s">
        <v>10349</v>
      </c>
      <c r="M1692" s="31"/>
    </row>
    <row r="1693">
      <c r="A1693" s="131" t="s">
        <v>10345</v>
      </c>
      <c r="B1693" s="132">
        <v>45904.0</v>
      </c>
      <c r="C1693" s="33">
        <v>8.07000033171E11</v>
      </c>
      <c r="D1693" s="33" t="s">
        <v>10346</v>
      </c>
      <c r="E1693" s="33" t="s">
        <v>10347</v>
      </c>
      <c r="F1693" s="123" t="s">
        <v>10348</v>
      </c>
      <c r="G1693" s="133" t="s">
        <v>247</v>
      </c>
      <c r="H1693" s="133">
        <v>4400.0</v>
      </c>
      <c r="I1693" s="33" t="s">
        <v>512</v>
      </c>
      <c r="J1693" s="33" t="s">
        <v>513</v>
      </c>
      <c r="K1693" s="33">
        <v>6.0</v>
      </c>
      <c r="L1693" s="124" t="s">
        <v>10349</v>
      </c>
      <c r="M1693" s="31"/>
    </row>
    <row r="1694">
      <c r="A1694" s="131" t="s">
        <v>10345</v>
      </c>
      <c r="B1694" s="132">
        <v>45904.0</v>
      </c>
      <c r="C1694" s="33">
        <v>8.07000033171E11</v>
      </c>
      <c r="D1694" s="33" t="s">
        <v>10346</v>
      </c>
      <c r="E1694" s="33" t="s">
        <v>10347</v>
      </c>
      <c r="F1694" s="123" t="s">
        <v>10348</v>
      </c>
      <c r="G1694" s="133" t="s">
        <v>247</v>
      </c>
      <c r="H1694" s="133">
        <v>4400.0</v>
      </c>
      <c r="I1694" s="33" t="s">
        <v>1345</v>
      </c>
      <c r="J1694" s="33" t="s">
        <v>3639</v>
      </c>
      <c r="K1694" s="33">
        <v>1.0</v>
      </c>
      <c r="L1694" s="124" t="s">
        <v>10349</v>
      </c>
      <c r="M1694" s="31"/>
    </row>
    <row r="1695">
      <c r="A1695" s="131" t="s">
        <v>10350</v>
      </c>
      <c r="B1695" s="132">
        <v>45904.0</v>
      </c>
      <c r="C1695" s="33">
        <v>8.07000033174E11</v>
      </c>
      <c r="D1695" s="33" t="s">
        <v>10351</v>
      </c>
      <c r="E1695" s="33" t="s">
        <v>10352</v>
      </c>
      <c r="F1695" s="123" t="s">
        <v>10353</v>
      </c>
      <c r="G1695" s="133" t="s">
        <v>247</v>
      </c>
      <c r="H1695" s="133">
        <v>4400.0</v>
      </c>
      <c r="I1695" s="33">
        <v>125811.0</v>
      </c>
      <c r="J1695" s="33" t="s">
        <v>6073</v>
      </c>
      <c r="K1695" s="33">
        <v>2.0</v>
      </c>
      <c r="L1695" s="124" t="s">
        <v>10354</v>
      </c>
      <c r="M1695" s="31"/>
    </row>
    <row r="1696">
      <c r="A1696" s="131" t="s">
        <v>10350</v>
      </c>
      <c r="B1696" s="132">
        <v>45904.0</v>
      </c>
      <c r="C1696" s="33">
        <v>8.07000033175E11</v>
      </c>
      <c r="D1696" s="33" t="s">
        <v>10351</v>
      </c>
      <c r="E1696" s="33" t="s">
        <v>10352</v>
      </c>
      <c r="F1696" s="123" t="s">
        <v>10353</v>
      </c>
      <c r="G1696" s="133" t="s">
        <v>247</v>
      </c>
      <c r="H1696" s="133">
        <v>4400.0</v>
      </c>
      <c r="I1696" s="33" t="s">
        <v>3484</v>
      </c>
      <c r="J1696" s="33" t="s">
        <v>3485</v>
      </c>
      <c r="K1696" s="33">
        <v>1.0</v>
      </c>
      <c r="L1696" s="124" t="s">
        <v>10354</v>
      </c>
      <c r="M1696" s="31"/>
    </row>
    <row r="1697">
      <c r="A1697" s="131" t="s">
        <v>10355</v>
      </c>
      <c r="B1697" s="132">
        <v>45905.0</v>
      </c>
      <c r="C1697" s="33">
        <v>8.07000033161E11</v>
      </c>
      <c r="D1697" s="33" t="s">
        <v>5194</v>
      </c>
      <c r="E1697" s="33" t="s">
        <v>5195</v>
      </c>
      <c r="F1697" s="123" t="s">
        <v>10356</v>
      </c>
      <c r="G1697" s="133" t="s">
        <v>247</v>
      </c>
      <c r="H1697" s="133">
        <v>4400.0</v>
      </c>
      <c r="I1697" s="33" t="s">
        <v>512</v>
      </c>
      <c r="J1697" s="33" t="s">
        <v>513</v>
      </c>
      <c r="K1697" s="33">
        <v>12.0</v>
      </c>
      <c r="L1697" s="124" t="s">
        <v>10357</v>
      </c>
      <c r="M1697" s="31"/>
    </row>
    <row r="1698">
      <c r="A1698" s="131" t="s">
        <v>10355</v>
      </c>
      <c r="B1698" s="132">
        <v>45905.0</v>
      </c>
      <c r="C1698" s="33">
        <v>8.07000033162E11</v>
      </c>
      <c r="D1698" s="33" t="s">
        <v>5194</v>
      </c>
      <c r="E1698" s="33" t="s">
        <v>5195</v>
      </c>
      <c r="F1698" s="123" t="s">
        <v>10356</v>
      </c>
      <c r="G1698" s="133" t="s">
        <v>247</v>
      </c>
      <c r="H1698" s="133">
        <v>4400.0</v>
      </c>
      <c r="I1698" s="33" t="s">
        <v>10358</v>
      </c>
      <c r="J1698" s="33" t="s">
        <v>10359</v>
      </c>
      <c r="K1698" s="33">
        <v>2.0</v>
      </c>
      <c r="L1698" s="124" t="s">
        <v>10357</v>
      </c>
      <c r="M1698" s="31"/>
    </row>
    <row r="1699">
      <c r="A1699" s="131" t="s">
        <v>10355</v>
      </c>
      <c r="B1699" s="132">
        <v>45905.0</v>
      </c>
      <c r="C1699" s="33">
        <v>8.07000033162E11</v>
      </c>
      <c r="D1699" s="33" t="s">
        <v>5194</v>
      </c>
      <c r="E1699" s="33" t="s">
        <v>5195</v>
      </c>
      <c r="F1699" s="123" t="s">
        <v>10356</v>
      </c>
      <c r="G1699" s="133" t="s">
        <v>247</v>
      </c>
      <c r="H1699" s="133">
        <v>4400.0</v>
      </c>
      <c r="I1699" s="33" t="s">
        <v>1345</v>
      </c>
      <c r="J1699" s="33" t="s">
        <v>3639</v>
      </c>
      <c r="K1699" s="33">
        <v>2.0</v>
      </c>
      <c r="L1699" s="124" t="s">
        <v>10357</v>
      </c>
      <c r="M1699" s="31"/>
    </row>
    <row r="1700">
      <c r="A1700" s="131" t="s">
        <v>10360</v>
      </c>
      <c r="B1700" s="132">
        <v>45905.0</v>
      </c>
      <c r="C1700" s="33">
        <v>8.07000033178E11</v>
      </c>
      <c r="D1700" s="33" t="s">
        <v>10361</v>
      </c>
      <c r="E1700" s="33" t="s">
        <v>10362</v>
      </c>
      <c r="F1700" s="123" t="s">
        <v>10363</v>
      </c>
      <c r="G1700" s="133" t="s">
        <v>247</v>
      </c>
      <c r="H1700" s="133">
        <v>4400.0</v>
      </c>
      <c r="I1700" s="33" t="s">
        <v>3649</v>
      </c>
      <c r="J1700" s="33" t="s">
        <v>3650</v>
      </c>
      <c r="K1700" s="33">
        <v>1.0</v>
      </c>
      <c r="L1700" s="124" t="s">
        <v>10364</v>
      </c>
      <c r="M1700" s="31"/>
    </row>
    <row r="1701">
      <c r="A1701" s="131" t="s">
        <v>10365</v>
      </c>
      <c r="B1701" s="132">
        <v>45905.0</v>
      </c>
      <c r="C1701" s="33">
        <v>8.05011549892E11</v>
      </c>
      <c r="D1701" s="33" t="s">
        <v>10366</v>
      </c>
      <c r="E1701" s="33" t="s">
        <v>10367</v>
      </c>
      <c r="F1701" s="123" t="s">
        <v>10368</v>
      </c>
      <c r="G1701" s="133" t="s">
        <v>247</v>
      </c>
      <c r="H1701" s="133">
        <v>4400.0</v>
      </c>
      <c r="I1701" s="33" t="s">
        <v>3054</v>
      </c>
      <c r="J1701" s="33" t="s">
        <v>3346</v>
      </c>
      <c r="K1701" s="33">
        <v>1.0</v>
      </c>
      <c r="L1701" s="124" t="s">
        <v>10369</v>
      </c>
      <c r="M1701" s="31"/>
      <c r="N1701" s="218">
        <v>45905.0</v>
      </c>
      <c r="O1701" s="219" t="s">
        <v>9011</v>
      </c>
      <c r="Q1701" s="219" t="s">
        <v>9012</v>
      </c>
      <c r="R1701" s="220" t="s">
        <v>10370</v>
      </c>
    </row>
    <row r="1702">
      <c r="A1702" s="131" t="s">
        <v>10365</v>
      </c>
      <c r="B1702" s="132">
        <v>45905.0</v>
      </c>
      <c r="C1702" s="33">
        <v>8.05011549892E11</v>
      </c>
      <c r="D1702" s="33" t="s">
        <v>10366</v>
      </c>
      <c r="E1702" s="33" t="s">
        <v>10367</v>
      </c>
      <c r="F1702" s="123" t="s">
        <v>10368</v>
      </c>
      <c r="G1702" s="133" t="s">
        <v>247</v>
      </c>
      <c r="H1702" s="133">
        <v>4400.0</v>
      </c>
      <c r="I1702" s="33" t="s">
        <v>512</v>
      </c>
      <c r="J1702" s="33" t="s">
        <v>513</v>
      </c>
      <c r="K1702" s="33">
        <v>6.0</v>
      </c>
      <c r="L1702" s="124" t="s">
        <v>10369</v>
      </c>
      <c r="M1702" s="31"/>
    </row>
    <row r="1703">
      <c r="A1703" s="131" t="s">
        <v>10365</v>
      </c>
      <c r="B1703" s="132">
        <v>45905.0</v>
      </c>
      <c r="C1703" s="33">
        <v>8.05011549892E11</v>
      </c>
      <c r="D1703" s="33" t="s">
        <v>10366</v>
      </c>
      <c r="E1703" s="33" t="s">
        <v>10367</v>
      </c>
      <c r="F1703" s="123" t="s">
        <v>10368</v>
      </c>
      <c r="G1703" s="133" t="s">
        <v>247</v>
      </c>
      <c r="H1703" s="133">
        <v>4400.0</v>
      </c>
      <c r="I1703" s="33" t="s">
        <v>2031</v>
      </c>
      <c r="J1703" s="33" t="s">
        <v>3348</v>
      </c>
      <c r="K1703" s="33">
        <v>1.0</v>
      </c>
      <c r="L1703" s="124" t="s">
        <v>10369</v>
      </c>
      <c r="M1703" s="31"/>
    </row>
    <row r="1704">
      <c r="A1704" s="131" t="s">
        <v>10371</v>
      </c>
      <c r="B1704" s="132">
        <v>45908.0</v>
      </c>
      <c r="C1704" s="33">
        <v>8.07000033196E11</v>
      </c>
      <c r="D1704" s="33" t="s">
        <v>10372</v>
      </c>
      <c r="E1704" s="33" t="s">
        <v>10373</v>
      </c>
      <c r="F1704" s="123" t="s">
        <v>10374</v>
      </c>
      <c r="G1704" s="133" t="s">
        <v>247</v>
      </c>
      <c r="H1704" s="133">
        <v>4400.0</v>
      </c>
      <c r="I1704" s="33">
        <v>208501.0</v>
      </c>
      <c r="J1704" s="33" t="s">
        <v>481</v>
      </c>
      <c r="K1704" s="33">
        <v>2.0</v>
      </c>
      <c r="L1704" s="124" t="s">
        <v>10375</v>
      </c>
      <c r="M1704" s="31"/>
    </row>
    <row r="1705">
      <c r="A1705" s="131" t="s">
        <v>10371</v>
      </c>
      <c r="B1705" s="132">
        <v>45908.0</v>
      </c>
      <c r="C1705" s="33">
        <v>8.07000033196E11</v>
      </c>
      <c r="D1705" s="33" t="s">
        <v>10372</v>
      </c>
      <c r="E1705" s="33" t="s">
        <v>10373</v>
      </c>
      <c r="F1705" s="123" t="s">
        <v>10374</v>
      </c>
      <c r="G1705" s="133" t="s">
        <v>247</v>
      </c>
      <c r="H1705" s="133">
        <v>4400.0</v>
      </c>
      <c r="I1705" s="33" t="s">
        <v>3313</v>
      </c>
      <c r="J1705" s="33" t="s">
        <v>3314</v>
      </c>
      <c r="K1705" s="33">
        <v>1.0</v>
      </c>
      <c r="L1705" s="124" t="s">
        <v>10375</v>
      </c>
      <c r="M1705" s="31"/>
    </row>
    <row r="1706">
      <c r="A1706" s="131" t="s">
        <v>10371</v>
      </c>
      <c r="B1706" s="132">
        <v>45908.0</v>
      </c>
      <c r="C1706" s="33">
        <v>8.07000033196E11</v>
      </c>
      <c r="D1706" s="33" t="s">
        <v>10372</v>
      </c>
      <c r="E1706" s="33" t="s">
        <v>10373</v>
      </c>
      <c r="F1706" s="123" t="s">
        <v>10374</v>
      </c>
      <c r="G1706" s="133" t="s">
        <v>247</v>
      </c>
      <c r="H1706" s="133">
        <v>4400.0</v>
      </c>
      <c r="I1706" s="33" t="s">
        <v>3797</v>
      </c>
      <c r="J1706" s="33" t="s">
        <v>3798</v>
      </c>
      <c r="K1706" s="33">
        <v>1.0</v>
      </c>
      <c r="L1706" s="124" t="s">
        <v>10375</v>
      </c>
      <c r="M1706" s="31"/>
    </row>
    <row r="1707">
      <c r="A1707" s="131" t="s">
        <v>10376</v>
      </c>
      <c r="B1707" s="132">
        <v>45908.0</v>
      </c>
      <c r="C1707" s="33">
        <v>8.07000033197E11</v>
      </c>
      <c r="D1707" s="33" t="s">
        <v>10372</v>
      </c>
      <c r="E1707" s="33" t="s">
        <v>10373</v>
      </c>
      <c r="F1707" s="123" t="s">
        <v>10374</v>
      </c>
      <c r="G1707" s="133" t="s">
        <v>247</v>
      </c>
      <c r="H1707" s="133">
        <v>4400.0</v>
      </c>
      <c r="I1707" s="33" t="s">
        <v>8817</v>
      </c>
      <c r="J1707" s="33" t="s">
        <v>8818</v>
      </c>
      <c r="K1707" s="33">
        <v>1.0</v>
      </c>
      <c r="L1707" s="124" t="s">
        <v>10375</v>
      </c>
      <c r="M1707" s="31"/>
    </row>
    <row r="1708">
      <c r="A1708" s="131" t="s">
        <v>10377</v>
      </c>
      <c r="B1708" s="132">
        <v>45908.0</v>
      </c>
      <c r="C1708" s="33">
        <v>8.07000033164E11</v>
      </c>
      <c r="D1708" s="33" t="s">
        <v>10378</v>
      </c>
      <c r="E1708" s="33" t="s">
        <v>10379</v>
      </c>
      <c r="F1708" s="123" t="s">
        <v>10380</v>
      </c>
      <c r="G1708" s="123" t="s">
        <v>247</v>
      </c>
      <c r="H1708" s="123">
        <v>4400.0</v>
      </c>
      <c r="I1708" s="33" t="s">
        <v>289</v>
      </c>
      <c r="J1708" s="33" t="s">
        <v>10381</v>
      </c>
      <c r="K1708" s="33">
        <v>1.0</v>
      </c>
      <c r="L1708" s="124" t="s">
        <v>10382</v>
      </c>
      <c r="M1708" s="31"/>
    </row>
    <row r="1709">
      <c r="A1709" s="131" t="s">
        <v>10383</v>
      </c>
      <c r="B1709" s="132">
        <v>45908.0</v>
      </c>
      <c r="C1709" s="33">
        <v>8.07000033217E11</v>
      </c>
      <c r="D1709" s="33" t="s">
        <v>10384</v>
      </c>
      <c r="E1709" s="33" t="s">
        <v>10385</v>
      </c>
      <c r="F1709" s="123" t="s">
        <v>10386</v>
      </c>
      <c r="G1709" s="123" t="s">
        <v>247</v>
      </c>
      <c r="H1709" s="123">
        <v>4400.0</v>
      </c>
      <c r="I1709" s="33" t="s">
        <v>2233</v>
      </c>
      <c r="J1709" s="33" t="s">
        <v>10387</v>
      </c>
      <c r="K1709" s="33">
        <v>1.0</v>
      </c>
      <c r="L1709" s="124" t="s">
        <v>10388</v>
      </c>
      <c r="M1709" s="31"/>
    </row>
    <row r="1710">
      <c r="A1710" s="131" t="s">
        <v>10389</v>
      </c>
      <c r="B1710" s="132">
        <v>45908.0</v>
      </c>
      <c r="C1710" s="33">
        <v>8.0700003322E11</v>
      </c>
      <c r="D1710" s="33" t="s">
        <v>10390</v>
      </c>
      <c r="E1710" s="33" t="s">
        <v>10391</v>
      </c>
      <c r="F1710" s="123" t="s">
        <v>10392</v>
      </c>
      <c r="G1710" s="123" t="s">
        <v>247</v>
      </c>
      <c r="H1710" s="123">
        <v>4400.0</v>
      </c>
      <c r="I1710" s="33" t="s">
        <v>3407</v>
      </c>
      <c r="J1710" s="33" t="s">
        <v>3408</v>
      </c>
      <c r="K1710" s="33">
        <v>1.0</v>
      </c>
      <c r="L1710" s="124" t="s">
        <v>10083</v>
      </c>
      <c r="M1710" s="31"/>
    </row>
    <row r="1711">
      <c r="A1711" s="131" t="s">
        <v>10389</v>
      </c>
      <c r="B1711" s="132">
        <v>45908.0</v>
      </c>
      <c r="C1711" s="33">
        <v>8.07000033221E11</v>
      </c>
      <c r="D1711" s="33" t="s">
        <v>10390</v>
      </c>
      <c r="E1711" s="33" t="s">
        <v>10391</v>
      </c>
      <c r="F1711" s="123" t="s">
        <v>10392</v>
      </c>
      <c r="G1711" s="123" t="s">
        <v>247</v>
      </c>
      <c r="H1711" s="123">
        <v>4400.0</v>
      </c>
      <c r="I1711" s="33" t="s">
        <v>233</v>
      </c>
      <c r="J1711" s="33" t="s">
        <v>3459</v>
      </c>
      <c r="K1711" s="33">
        <v>2.0</v>
      </c>
      <c r="L1711" s="124" t="s">
        <v>10083</v>
      </c>
      <c r="M1711" s="31"/>
    </row>
    <row r="1712">
      <c r="A1712" s="131" t="s">
        <v>10389</v>
      </c>
      <c r="B1712" s="132">
        <v>45908.0</v>
      </c>
      <c r="C1712" s="33">
        <v>8.07000033221E11</v>
      </c>
      <c r="D1712" s="33" t="s">
        <v>10390</v>
      </c>
      <c r="E1712" s="33" t="s">
        <v>10391</v>
      </c>
      <c r="F1712" s="123" t="s">
        <v>10392</v>
      </c>
      <c r="G1712" s="123" t="s">
        <v>247</v>
      </c>
      <c r="H1712" s="123">
        <v>4400.0</v>
      </c>
      <c r="I1712" s="33" t="s">
        <v>512</v>
      </c>
      <c r="J1712" s="33" t="s">
        <v>513</v>
      </c>
      <c r="K1712" s="33">
        <v>12.0</v>
      </c>
      <c r="L1712" s="124" t="s">
        <v>10083</v>
      </c>
      <c r="M1712" s="31"/>
    </row>
    <row r="1713">
      <c r="A1713" s="131" t="s">
        <v>10393</v>
      </c>
      <c r="B1713" s="132">
        <v>45908.0</v>
      </c>
      <c r="C1713" s="33">
        <v>8.07000033192E11</v>
      </c>
      <c r="D1713" s="33" t="s">
        <v>10394</v>
      </c>
      <c r="E1713" s="33" t="s">
        <v>10395</v>
      </c>
      <c r="F1713" s="123" t="s">
        <v>10396</v>
      </c>
      <c r="G1713" s="123" t="s">
        <v>247</v>
      </c>
      <c r="H1713" s="123">
        <v>4400.0</v>
      </c>
      <c r="I1713" s="33" t="s">
        <v>3451</v>
      </c>
      <c r="J1713" s="33" t="s">
        <v>10397</v>
      </c>
      <c r="K1713" s="33">
        <v>1.0</v>
      </c>
      <c r="L1713" s="124" t="s">
        <v>10398</v>
      </c>
      <c r="M1713" s="31"/>
    </row>
    <row r="1714">
      <c r="A1714" s="131" t="s">
        <v>10399</v>
      </c>
      <c r="B1714" s="132">
        <v>45908.0</v>
      </c>
      <c r="C1714" s="33">
        <v>8.07000033195E11</v>
      </c>
      <c r="D1714" s="33" t="s">
        <v>10400</v>
      </c>
      <c r="E1714" s="33" t="s">
        <v>10401</v>
      </c>
      <c r="F1714" s="221">
        <v>30872.0</v>
      </c>
      <c r="G1714" s="123" t="s">
        <v>3850</v>
      </c>
      <c r="H1714" s="123">
        <v>4421.0</v>
      </c>
      <c r="I1714" s="33" t="s">
        <v>3025</v>
      </c>
      <c r="J1714" s="33" t="s">
        <v>3493</v>
      </c>
      <c r="K1714" s="33">
        <v>1.0</v>
      </c>
      <c r="L1714" s="124" t="s">
        <v>10402</v>
      </c>
      <c r="M1714" s="31"/>
    </row>
    <row r="1715">
      <c r="A1715" s="131" t="s">
        <v>10399</v>
      </c>
      <c r="B1715" s="132">
        <v>45908.0</v>
      </c>
      <c r="C1715" s="33">
        <v>8.07000033195E11</v>
      </c>
      <c r="D1715" s="33" t="s">
        <v>10400</v>
      </c>
      <c r="E1715" s="33" t="s">
        <v>10401</v>
      </c>
      <c r="F1715" s="221">
        <v>30872.0</v>
      </c>
      <c r="G1715" s="123" t="s">
        <v>3850</v>
      </c>
      <c r="H1715" s="123">
        <v>4421.0</v>
      </c>
      <c r="I1715" s="33" t="s">
        <v>512</v>
      </c>
      <c r="J1715" s="33" t="s">
        <v>513</v>
      </c>
      <c r="K1715" s="33">
        <v>6.0</v>
      </c>
      <c r="L1715" s="124" t="s">
        <v>10402</v>
      </c>
      <c r="M1715" s="31"/>
    </row>
    <row r="1716">
      <c r="A1716" s="131" t="s">
        <v>10399</v>
      </c>
      <c r="B1716" s="132">
        <v>45908.0</v>
      </c>
      <c r="C1716" s="33">
        <v>8.07000033195E11</v>
      </c>
      <c r="D1716" s="33" t="s">
        <v>10400</v>
      </c>
      <c r="E1716" s="33" t="s">
        <v>10401</v>
      </c>
      <c r="F1716" s="221">
        <v>30872.0</v>
      </c>
      <c r="G1716" s="123" t="s">
        <v>3850</v>
      </c>
      <c r="H1716" s="123">
        <v>4421.0</v>
      </c>
      <c r="I1716" s="33" t="s">
        <v>2031</v>
      </c>
      <c r="J1716" s="33" t="s">
        <v>3348</v>
      </c>
      <c r="K1716" s="33">
        <v>1.0</v>
      </c>
      <c r="L1716" s="124" t="s">
        <v>10402</v>
      </c>
      <c r="M1716" s="31"/>
    </row>
    <row r="1717">
      <c r="A1717" s="131" t="s">
        <v>10403</v>
      </c>
      <c r="B1717" s="132">
        <v>45908.0</v>
      </c>
      <c r="C1717" s="33">
        <v>8.07000033214E11</v>
      </c>
      <c r="D1717" s="33" t="s">
        <v>7502</v>
      </c>
      <c r="E1717" s="33" t="s">
        <v>7503</v>
      </c>
      <c r="F1717" s="123" t="s">
        <v>10404</v>
      </c>
      <c r="G1717" s="123" t="s">
        <v>247</v>
      </c>
      <c r="H1717" s="123">
        <v>4400.0</v>
      </c>
      <c r="I1717" s="33" t="s">
        <v>512</v>
      </c>
      <c r="J1717" s="33" t="s">
        <v>513</v>
      </c>
      <c r="K1717" s="33">
        <v>12.0</v>
      </c>
      <c r="L1717" s="124" t="s">
        <v>7506</v>
      </c>
      <c r="M1717" s="31"/>
    </row>
    <row r="1718">
      <c r="A1718" s="131" t="s">
        <v>10403</v>
      </c>
      <c r="B1718" s="132">
        <v>45908.0</v>
      </c>
      <c r="C1718" s="33">
        <v>8.07000033215E11</v>
      </c>
      <c r="D1718" s="33" t="s">
        <v>7502</v>
      </c>
      <c r="E1718" s="33" t="s">
        <v>7503</v>
      </c>
      <c r="F1718" s="123" t="s">
        <v>10404</v>
      </c>
      <c r="G1718" s="123" t="s">
        <v>247</v>
      </c>
      <c r="H1718" s="123">
        <v>4400.0</v>
      </c>
      <c r="I1718" s="33" t="s">
        <v>118</v>
      </c>
      <c r="J1718" s="33" t="s">
        <v>4650</v>
      </c>
      <c r="K1718" s="33">
        <v>1.0</v>
      </c>
      <c r="L1718" s="124" t="s">
        <v>7506</v>
      </c>
      <c r="M1718" s="31"/>
    </row>
    <row r="1719">
      <c r="A1719" s="131" t="s">
        <v>10403</v>
      </c>
      <c r="B1719" s="132">
        <v>45908.0</v>
      </c>
      <c r="C1719" s="33">
        <v>8.07000033215E11</v>
      </c>
      <c r="D1719" s="33" t="s">
        <v>7502</v>
      </c>
      <c r="E1719" s="33" t="s">
        <v>7503</v>
      </c>
      <c r="F1719" s="123" t="s">
        <v>10404</v>
      </c>
      <c r="G1719" s="123" t="s">
        <v>247</v>
      </c>
      <c r="H1719" s="123">
        <v>4400.0</v>
      </c>
      <c r="I1719" s="33" t="s">
        <v>121</v>
      </c>
      <c r="J1719" s="33" t="s">
        <v>3199</v>
      </c>
      <c r="K1719" s="33">
        <v>2.0</v>
      </c>
      <c r="L1719" s="124" t="s">
        <v>7506</v>
      </c>
      <c r="M1719" s="31"/>
    </row>
    <row r="1720">
      <c r="A1720" s="131" t="s">
        <v>10405</v>
      </c>
      <c r="B1720" s="132">
        <v>45909.0</v>
      </c>
      <c r="C1720" s="33">
        <v>8.07000033234E11</v>
      </c>
      <c r="D1720" s="33" t="s">
        <v>3560</v>
      </c>
      <c r="E1720" s="33" t="s">
        <v>3561</v>
      </c>
      <c r="F1720" s="123" t="s">
        <v>10406</v>
      </c>
      <c r="G1720" s="123" t="s">
        <v>247</v>
      </c>
      <c r="H1720" s="123">
        <v>4400.0</v>
      </c>
      <c r="I1720" s="33">
        <v>125813.0</v>
      </c>
      <c r="J1720" s="33" t="s">
        <v>5703</v>
      </c>
      <c r="K1720" s="33">
        <v>2.0</v>
      </c>
      <c r="L1720" s="124" t="s">
        <v>9670</v>
      </c>
      <c r="M1720" s="31"/>
    </row>
    <row r="1721">
      <c r="A1721" s="131" t="s">
        <v>10405</v>
      </c>
      <c r="B1721" s="132">
        <v>45909.0</v>
      </c>
      <c r="C1721" s="33">
        <v>8.07000033234E11</v>
      </c>
      <c r="D1721" s="33" t="s">
        <v>3560</v>
      </c>
      <c r="E1721" s="33" t="s">
        <v>3561</v>
      </c>
      <c r="F1721" s="123" t="s">
        <v>10406</v>
      </c>
      <c r="G1721" s="123" t="s">
        <v>247</v>
      </c>
      <c r="H1721" s="123">
        <v>4400.0</v>
      </c>
      <c r="I1721" s="33">
        <v>125814.0</v>
      </c>
      <c r="J1721" s="33" t="s">
        <v>9798</v>
      </c>
      <c r="K1721" s="33">
        <v>2.0</v>
      </c>
      <c r="L1721" s="124" t="s">
        <v>9670</v>
      </c>
      <c r="M1721" s="31"/>
    </row>
    <row r="1722">
      <c r="A1722" s="131" t="s">
        <v>10405</v>
      </c>
      <c r="B1722" s="132">
        <v>45909.0</v>
      </c>
      <c r="C1722" s="33">
        <v>8.07000033234E11</v>
      </c>
      <c r="D1722" s="33" t="s">
        <v>3560</v>
      </c>
      <c r="E1722" s="33" t="s">
        <v>3561</v>
      </c>
      <c r="F1722" s="123" t="s">
        <v>10406</v>
      </c>
      <c r="G1722" s="123" t="s">
        <v>247</v>
      </c>
      <c r="H1722" s="123">
        <v>4400.0</v>
      </c>
      <c r="I1722" s="33" t="s">
        <v>512</v>
      </c>
      <c r="J1722" s="33" t="s">
        <v>513</v>
      </c>
      <c r="K1722" s="33">
        <v>18.0</v>
      </c>
      <c r="L1722" s="124" t="s">
        <v>9670</v>
      </c>
      <c r="M1722" s="31"/>
    </row>
    <row r="1723">
      <c r="A1723" s="131" t="s">
        <v>10405</v>
      </c>
      <c r="B1723" s="132">
        <v>45909.0</v>
      </c>
      <c r="C1723" s="33">
        <v>8.07000033235E11</v>
      </c>
      <c r="D1723" s="33" t="s">
        <v>3560</v>
      </c>
      <c r="E1723" s="33" t="s">
        <v>3561</v>
      </c>
      <c r="F1723" s="123" t="s">
        <v>10406</v>
      </c>
      <c r="G1723" s="123" t="s">
        <v>247</v>
      </c>
      <c r="H1723" s="123">
        <v>4400.0</v>
      </c>
      <c r="I1723" s="33" t="s">
        <v>1766</v>
      </c>
      <c r="J1723" s="33" t="s">
        <v>8008</v>
      </c>
      <c r="K1723" s="33">
        <v>1.0</v>
      </c>
      <c r="L1723" s="124" t="s">
        <v>9670</v>
      </c>
      <c r="M1723" s="31"/>
    </row>
    <row r="1724">
      <c r="A1724" s="131" t="s">
        <v>10405</v>
      </c>
      <c r="B1724" s="132">
        <v>45909.0</v>
      </c>
      <c r="C1724" s="33">
        <v>8.07000033235E11</v>
      </c>
      <c r="D1724" s="33" t="s">
        <v>3560</v>
      </c>
      <c r="E1724" s="33" t="s">
        <v>3561</v>
      </c>
      <c r="F1724" s="123" t="s">
        <v>10406</v>
      </c>
      <c r="G1724" s="123" t="s">
        <v>247</v>
      </c>
      <c r="H1724" s="123">
        <v>4400.0</v>
      </c>
      <c r="I1724" s="33" t="s">
        <v>659</v>
      </c>
      <c r="J1724" s="33" t="s">
        <v>3468</v>
      </c>
      <c r="K1724" s="33">
        <v>1.0</v>
      </c>
      <c r="L1724" s="124" t="s">
        <v>9670</v>
      </c>
      <c r="M1724" s="31"/>
    </row>
    <row r="1725">
      <c r="A1725" s="131" t="s">
        <v>10405</v>
      </c>
      <c r="B1725" s="132">
        <v>45909.0</v>
      </c>
      <c r="C1725" s="33">
        <v>8.07000033235E11</v>
      </c>
      <c r="D1725" s="33" t="s">
        <v>3560</v>
      </c>
      <c r="E1725" s="33" t="s">
        <v>3561</v>
      </c>
      <c r="F1725" s="123" t="s">
        <v>10406</v>
      </c>
      <c r="G1725" s="123" t="s">
        <v>247</v>
      </c>
      <c r="H1725" s="123">
        <v>4400.0</v>
      </c>
      <c r="I1725" s="33" t="s">
        <v>233</v>
      </c>
      <c r="J1725" s="33" t="s">
        <v>3459</v>
      </c>
      <c r="K1725" s="33">
        <v>2.0</v>
      </c>
      <c r="L1725" s="124" t="s">
        <v>9670</v>
      </c>
      <c r="M1725" s="31"/>
    </row>
    <row r="1726">
      <c r="A1726" s="131" t="s">
        <v>10405</v>
      </c>
      <c r="B1726" s="132">
        <v>45909.0</v>
      </c>
      <c r="C1726" s="33">
        <v>8.07000033235E11</v>
      </c>
      <c r="D1726" s="33" t="s">
        <v>3560</v>
      </c>
      <c r="E1726" s="33" t="s">
        <v>3561</v>
      </c>
      <c r="F1726" s="123" t="s">
        <v>10406</v>
      </c>
      <c r="G1726" s="123" t="s">
        <v>247</v>
      </c>
      <c r="H1726" s="123">
        <v>4400.0</v>
      </c>
      <c r="I1726" s="33" t="s">
        <v>35</v>
      </c>
      <c r="J1726" s="33" t="s">
        <v>3188</v>
      </c>
      <c r="K1726" s="33">
        <v>1.0</v>
      </c>
      <c r="L1726" s="124" t="s">
        <v>9670</v>
      </c>
      <c r="M1726" s="31"/>
    </row>
    <row r="1727">
      <c r="A1727" s="131" t="s">
        <v>10407</v>
      </c>
      <c r="B1727" s="132">
        <v>45909.0</v>
      </c>
      <c r="C1727" s="33">
        <v>8.07000033198E11</v>
      </c>
      <c r="D1727" s="33" t="s">
        <v>10408</v>
      </c>
      <c r="E1727" s="33" t="s">
        <v>10409</v>
      </c>
      <c r="F1727" s="123" t="s">
        <v>10410</v>
      </c>
      <c r="G1727" s="123" t="s">
        <v>247</v>
      </c>
      <c r="H1727" s="123">
        <v>4400.0</v>
      </c>
      <c r="I1727" s="33" t="s">
        <v>512</v>
      </c>
      <c r="J1727" s="33" t="s">
        <v>513</v>
      </c>
      <c r="K1727" s="33">
        <v>6.0</v>
      </c>
      <c r="L1727" s="124" t="s">
        <v>10411</v>
      </c>
      <c r="M1727" s="31"/>
    </row>
    <row r="1728">
      <c r="A1728" s="131" t="s">
        <v>10407</v>
      </c>
      <c r="B1728" s="132">
        <v>45909.0</v>
      </c>
      <c r="C1728" s="33">
        <v>8.07000033199E11</v>
      </c>
      <c r="D1728" s="33" t="s">
        <v>10408</v>
      </c>
      <c r="E1728" s="33" t="s">
        <v>10409</v>
      </c>
      <c r="F1728" s="123" t="s">
        <v>10410</v>
      </c>
      <c r="G1728" s="123" t="s">
        <v>247</v>
      </c>
      <c r="H1728" s="123">
        <v>4400.0</v>
      </c>
      <c r="I1728" s="33" t="s">
        <v>3447</v>
      </c>
      <c r="J1728" s="33" t="s">
        <v>3448</v>
      </c>
      <c r="K1728" s="33">
        <v>1.0</v>
      </c>
      <c r="L1728" s="124" t="s">
        <v>10411</v>
      </c>
      <c r="M1728" s="31"/>
    </row>
    <row r="1729">
      <c r="A1729" s="131" t="s">
        <v>10407</v>
      </c>
      <c r="B1729" s="132">
        <v>45909.0</v>
      </c>
      <c r="C1729" s="33">
        <v>8.070000332E11</v>
      </c>
      <c r="D1729" s="33" t="s">
        <v>10408</v>
      </c>
      <c r="E1729" s="33" t="s">
        <v>10409</v>
      </c>
      <c r="F1729" s="123" t="s">
        <v>10410</v>
      </c>
      <c r="G1729" s="123" t="s">
        <v>247</v>
      </c>
      <c r="H1729" s="123">
        <v>4400.0</v>
      </c>
      <c r="I1729" s="33" t="s">
        <v>2171</v>
      </c>
      <c r="J1729" s="33" t="s">
        <v>3446</v>
      </c>
      <c r="K1729" s="33">
        <v>1.0</v>
      </c>
      <c r="L1729" s="124" t="s">
        <v>10411</v>
      </c>
      <c r="M1729" s="31"/>
    </row>
    <row r="1730">
      <c r="A1730" s="131" t="s">
        <v>10412</v>
      </c>
      <c r="B1730" s="132">
        <v>45909.0</v>
      </c>
      <c r="C1730" s="33">
        <v>8.07000000027E11</v>
      </c>
      <c r="D1730" s="33" t="s">
        <v>10413</v>
      </c>
      <c r="E1730" s="33" t="s">
        <v>10414</v>
      </c>
      <c r="F1730" s="123" t="s">
        <v>10415</v>
      </c>
      <c r="G1730" s="123" t="s">
        <v>247</v>
      </c>
      <c r="H1730" s="123">
        <v>4400.0</v>
      </c>
      <c r="I1730" s="33" t="s">
        <v>2537</v>
      </c>
      <c r="J1730" s="33" t="s">
        <v>3955</v>
      </c>
      <c r="K1730" s="33">
        <v>1.0</v>
      </c>
      <c r="L1730" s="124" t="s">
        <v>10416</v>
      </c>
      <c r="M1730" s="31" t="s">
        <v>10417</v>
      </c>
    </row>
    <row r="1731">
      <c r="A1731" s="131" t="s">
        <v>10418</v>
      </c>
      <c r="B1731" s="132">
        <v>45909.0</v>
      </c>
      <c r="C1731" s="33">
        <v>8.07000033236E11</v>
      </c>
      <c r="D1731" s="33" t="s">
        <v>10419</v>
      </c>
      <c r="E1731" s="33" t="s">
        <v>10420</v>
      </c>
      <c r="F1731" s="123" t="s">
        <v>10421</v>
      </c>
      <c r="G1731" s="123" t="s">
        <v>247</v>
      </c>
      <c r="H1731" s="123">
        <v>4400.0</v>
      </c>
      <c r="I1731" s="33">
        <v>125814.0</v>
      </c>
      <c r="J1731" s="33" t="s">
        <v>9798</v>
      </c>
      <c r="K1731" s="33">
        <v>2.0</v>
      </c>
      <c r="L1731" s="124" t="s">
        <v>10422</v>
      </c>
      <c r="M1731" s="31"/>
    </row>
    <row r="1732">
      <c r="A1732" s="140" t="s">
        <v>10418</v>
      </c>
      <c r="B1732" s="141">
        <v>45909.0</v>
      </c>
      <c r="C1732" s="125">
        <v>8.07000033237E11</v>
      </c>
      <c r="D1732" s="125" t="s">
        <v>10419</v>
      </c>
      <c r="E1732" s="125" t="s">
        <v>10420</v>
      </c>
      <c r="F1732" s="127" t="s">
        <v>10421</v>
      </c>
      <c r="G1732" s="127" t="s">
        <v>247</v>
      </c>
      <c r="H1732" s="127">
        <v>4400.0</v>
      </c>
      <c r="I1732" s="125" t="s">
        <v>1766</v>
      </c>
      <c r="J1732" s="125" t="s">
        <v>8008</v>
      </c>
      <c r="K1732" s="125">
        <v>1.0</v>
      </c>
      <c r="L1732" s="129" t="s">
        <v>10422</v>
      </c>
      <c r="M1732" s="136"/>
      <c r="N1732" s="179"/>
      <c r="O1732" s="179"/>
      <c r="P1732" s="179"/>
      <c r="Q1732" s="179"/>
      <c r="R1732" s="179"/>
      <c r="S1732" s="179"/>
      <c r="T1732" s="179"/>
      <c r="U1732" s="179"/>
      <c r="V1732" s="179"/>
      <c r="W1732" s="179"/>
      <c r="X1732" s="179"/>
      <c r="Y1732" s="179"/>
      <c r="Z1732" s="179"/>
      <c r="AA1732" s="179"/>
      <c r="AB1732" s="179"/>
      <c r="AC1732" s="179"/>
    </row>
    <row r="1733">
      <c r="A1733" s="131" t="s">
        <v>10423</v>
      </c>
      <c r="B1733" s="132">
        <v>45912.0</v>
      </c>
      <c r="C1733" s="33">
        <v>8.0700003325E11</v>
      </c>
      <c r="D1733" s="33" t="s">
        <v>10424</v>
      </c>
      <c r="E1733" s="33" t="s">
        <v>10425</v>
      </c>
      <c r="F1733" s="123" t="s">
        <v>10426</v>
      </c>
      <c r="G1733" s="123" t="s">
        <v>539</v>
      </c>
      <c r="H1733" s="123">
        <v>4405.0</v>
      </c>
      <c r="I1733" s="33" t="s">
        <v>2372</v>
      </c>
      <c r="J1733" s="33" t="s">
        <v>8140</v>
      </c>
      <c r="K1733" s="33">
        <v>1.0</v>
      </c>
      <c r="L1733" s="124" t="s">
        <v>10427</v>
      </c>
      <c r="M1733" s="31"/>
    </row>
    <row r="1734">
      <c r="A1734" s="131" t="s">
        <v>10428</v>
      </c>
      <c r="B1734" s="132">
        <v>45912.0</v>
      </c>
      <c r="C1734" s="33">
        <v>8.07000033238E11</v>
      </c>
      <c r="D1734" s="33" t="s">
        <v>10429</v>
      </c>
      <c r="E1734" s="33" t="s">
        <v>10430</v>
      </c>
      <c r="F1734" s="123" t="s">
        <v>10431</v>
      </c>
      <c r="G1734" s="123" t="s">
        <v>10151</v>
      </c>
      <c r="H1734" s="123">
        <v>4400.0</v>
      </c>
      <c r="I1734" s="33">
        <v>125810.0</v>
      </c>
      <c r="J1734" s="33" t="s">
        <v>4672</v>
      </c>
      <c r="K1734" s="33">
        <v>2.0</v>
      </c>
      <c r="L1734" s="124" t="s">
        <v>10432</v>
      </c>
      <c r="M1734" s="31"/>
    </row>
    <row r="1735">
      <c r="A1735" s="131" t="s">
        <v>10428</v>
      </c>
      <c r="B1735" s="132">
        <v>45912.0</v>
      </c>
      <c r="C1735" s="33">
        <v>8.07000033238E11</v>
      </c>
      <c r="D1735" s="33" t="s">
        <v>10429</v>
      </c>
      <c r="E1735" s="33" t="s">
        <v>10430</v>
      </c>
      <c r="F1735" s="123" t="s">
        <v>10431</v>
      </c>
      <c r="G1735" s="123" t="s">
        <v>10151</v>
      </c>
      <c r="H1735" s="123">
        <v>4400.0</v>
      </c>
      <c r="I1735" s="33" t="s">
        <v>761</v>
      </c>
      <c r="J1735" s="33" t="s">
        <v>3761</v>
      </c>
      <c r="K1735" s="33">
        <v>1.0</v>
      </c>
      <c r="L1735" s="124" t="s">
        <v>10432</v>
      </c>
      <c r="M1735" s="31"/>
    </row>
    <row r="1736">
      <c r="A1736" s="131" t="s">
        <v>10428</v>
      </c>
      <c r="B1736" s="132">
        <v>45912.0</v>
      </c>
      <c r="C1736" s="33">
        <v>8.07000033238E11</v>
      </c>
      <c r="D1736" s="33" t="s">
        <v>10429</v>
      </c>
      <c r="E1736" s="33" t="s">
        <v>10430</v>
      </c>
      <c r="F1736" s="123" t="s">
        <v>10431</v>
      </c>
      <c r="G1736" s="123" t="s">
        <v>10151</v>
      </c>
      <c r="H1736" s="123">
        <v>4400.0</v>
      </c>
      <c r="I1736" s="33" t="s">
        <v>512</v>
      </c>
      <c r="J1736" s="33" t="s">
        <v>513</v>
      </c>
      <c r="K1736" s="33">
        <v>12.0</v>
      </c>
      <c r="L1736" s="124" t="s">
        <v>10432</v>
      </c>
      <c r="M1736" s="31"/>
    </row>
    <row r="1737">
      <c r="A1737" s="131" t="s">
        <v>10428</v>
      </c>
      <c r="B1737" s="132">
        <v>45912.0</v>
      </c>
      <c r="C1737" s="33">
        <v>8.07000033238E11</v>
      </c>
      <c r="D1737" s="33" t="s">
        <v>10429</v>
      </c>
      <c r="E1737" s="33" t="s">
        <v>10430</v>
      </c>
      <c r="F1737" s="123" t="s">
        <v>10431</v>
      </c>
      <c r="G1737" s="123" t="s">
        <v>10151</v>
      </c>
      <c r="H1737" s="123">
        <v>4400.0</v>
      </c>
      <c r="I1737" s="33" t="s">
        <v>758</v>
      </c>
      <c r="J1737" s="33" t="s">
        <v>3574</v>
      </c>
      <c r="K1737" s="33">
        <v>2.0</v>
      </c>
      <c r="L1737" s="124" t="s">
        <v>10432</v>
      </c>
      <c r="M1737" s="31"/>
    </row>
    <row r="1738">
      <c r="A1738" s="131" t="s">
        <v>10433</v>
      </c>
      <c r="B1738" s="132">
        <v>45912.0</v>
      </c>
      <c r="C1738" s="33">
        <v>8.07000033242E11</v>
      </c>
      <c r="D1738" s="33" t="s">
        <v>10434</v>
      </c>
      <c r="E1738" s="33" t="s">
        <v>10435</v>
      </c>
      <c r="F1738" s="123" t="s">
        <v>10436</v>
      </c>
      <c r="G1738" s="123" t="s">
        <v>247</v>
      </c>
      <c r="H1738" s="123">
        <v>4400.0</v>
      </c>
      <c r="I1738" s="33">
        <v>208502.0</v>
      </c>
      <c r="J1738" s="33" t="s">
        <v>4551</v>
      </c>
      <c r="K1738" s="33">
        <v>1.0</v>
      </c>
      <c r="L1738" s="124" t="s">
        <v>10437</v>
      </c>
      <c r="M1738" s="31"/>
    </row>
    <row r="1739">
      <c r="A1739" s="131" t="s">
        <v>10433</v>
      </c>
      <c r="B1739" s="132">
        <v>45912.0</v>
      </c>
      <c r="C1739" s="33">
        <v>8.07000033243E11</v>
      </c>
      <c r="D1739" s="33" t="s">
        <v>10434</v>
      </c>
      <c r="E1739" s="33" t="s">
        <v>10435</v>
      </c>
      <c r="F1739" s="123" t="s">
        <v>10436</v>
      </c>
      <c r="G1739" s="123" t="s">
        <v>247</v>
      </c>
      <c r="H1739" s="123">
        <v>4400.0</v>
      </c>
      <c r="I1739" s="33" t="s">
        <v>2397</v>
      </c>
      <c r="J1739" s="33" t="s">
        <v>5040</v>
      </c>
      <c r="K1739" s="33">
        <v>1.0</v>
      </c>
      <c r="L1739" s="124" t="s">
        <v>10437</v>
      </c>
      <c r="M1739" s="31"/>
    </row>
    <row r="1740">
      <c r="A1740" s="131" t="s">
        <v>10433</v>
      </c>
      <c r="B1740" s="132">
        <v>45912.0</v>
      </c>
      <c r="C1740" s="33">
        <v>8.07000033243E11</v>
      </c>
      <c r="D1740" s="33" t="s">
        <v>10434</v>
      </c>
      <c r="E1740" s="33" t="s">
        <v>10435</v>
      </c>
      <c r="F1740" s="123" t="s">
        <v>10436</v>
      </c>
      <c r="G1740" s="123" t="s">
        <v>247</v>
      </c>
      <c r="H1740" s="123">
        <v>4400.0</v>
      </c>
      <c r="I1740" s="33" t="s">
        <v>512</v>
      </c>
      <c r="J1740" s="33" t="s">
        <v>513</v>
      </c>
      <c r="K1740" s="33">
        <v>6.0</v>
      </c>
      <c r="L1740" s="124" t="s">
        <v>10437</v>
      </c>
      <c r="M1740" s="31"/>
    </row>
    <row r="1741">
      <c r="A1741" s="131" t="s">
        <v>10433</v>
      </c>
      <c r="B1741" s="132">
        <v>45912.0</v>
      </c>
      <c r="C1741" s="33">
        <v>8.07000033243E11</v>
      </c>
      <c r="D1741" s="33" t="s">
        <v>10434</v>
      </c>
      <c r="E1741" s="33" t="s">
        <v>10435</v>
      </c>
      <c r="F1741" s="123" t="s">
        <v>10436</v>
      </c>
      <c r="G1741" s="123" t="s">
        <v>247</v>
      </c>
      <c r="H1741" s="123">
        <v>4400.0</v>
      </c>
      <c r="I1741" s="33" t="s">
        <v>969</v>
      </c>
      <c r="J1741" s="33" t="s">
        <v>3296</v>
      </c>
      <c r="K1741" s="33">
        <v>1.0</v>
      </c>
      <c r="L1741" s="124" t="s">
        <v>10437</v>
      </c>
      <c r="M1741" s="31"/>
    </row>
    <row r="1742">
      <c r="A1742" s="131" t="s">
        <v>10438</v>
      </c>
      <c r="B1742" s="132">
        <v>45912.0</v>
      </c>
      <c r="C1742" s="33">
        <v>8.0700003326E11</v>
      </c>
      <c r="D1742" s="33" t="s">
        <v>10439</v>
      </c>
      <c r="E1742" s="33" t="s">
        <v>10440</v>
      </c>
      <c r="F1742" s="123" t="s">
        <v>10441</v>
      </c>
      <c r="G1742" s="123" t="s">
        <v>247</v>
      </c>
      <c r="H1742" s="123">
        <v>4400.0</v>
      </c>
      <c r="I1742" s="33" t="s">
        <v>7088</v>
      </c>
      <c r="J1742" s="33" t="s">
        <v>8278</v>
      </c>
      <c r="K1742" s="33">
        <v>1.0</v>
      </c>
      <c r="L1742" s="124" t="s">
        <v>10442</v>
      </c>
      <c r="M1742" s="31"/>
      <c r="N1742" s="218">
        <v>45912.0</v>
      </c>
      <c r="O1742" s="219" t="s">
        <v>9011</v>
      </c>
      <c r="Q1742" s="219" t="s">
        <v>9012</v>
      </c>
      <c r="R1742" s="220" t="s">
        <v>10443</v>
      </c>
    </row>
    <row r="1743">
      <c r="A1743" s="131" t="s">
        <v>10438</v>
      </c>
      <c r="B1743" s="132">
        <v>45912.0</v>
      </c>
      <c r="C1743" s="33">
        <v>8.0700003326E11</v>
      </c>
      <c r="D1743" s="33" t="s">
        <v>10439</v>
      </c>
      <c r="E1743" s="33" t="s">
        <v>10440</v>
      </c>
      <c r="F1743" s="123" t="s">
        <v>10441</v>
      </c>
      <c r="G1743" s="123" t="s">
        <v>247</v>
      </c>
      <c r="H1743" s="123">
        <v>4400.0</v>
      </c>
      <c r="I1743" s="33" t="s">
        <v>3313</v>
      </c>
      <c r="J1743" s="33" t="s">
        <v>3314</v>
      </c>
      <c r="K1743" s="33">
        <v>1.0</v>
      </c>
      <c r="L1743" s="124" t="s">
        <v>10442</v>
      </c>
      <c r="M1743" s="31"/>
    </row>
    <row r="1744">
      <c r="A1744" s="131" t="s">
        <v>10438</v>
      </c>
      <c r="B1744" s="132">
        <v>45912.0</v>
      </c>
      <c r="C1744" s="33">
        <v>8.07000033261E11</v>
      </c>
      <c r="D1744" s="33" t="s">
        <v>10439</v>
      </c>
      <c r="E1744" s="33" t="s">
        <v>10440</v>
      </c>
      <c r="F1744" s="123" t="s">
        <v>10441</v>
      </c>
      <c r="G1744" s="123" t="s">
        <v>247</v>
      </c>
      <c r="H1744" s="123">
        <v>4400.0</v>
      </c>
      <c r="I1744" s="33" t="s">
        <v>758</v>
      </c>
      <c r="J1744" s="33" t="s">
        <v>3574</v>
      </c>
      <c r="K1744" s="33">
        <v>2.0</v>
      </c>
      <c r="L1744" s="124" t="s">
        <v>10442</v>
      </c>
      <c r="M1744" s="31"/>
    </row>
    <row r="1745">
      <c r="A1745" s="131" t="s">
        <v>10438</v>
      </c>
      <c r="B1745" s="132">
        <v>45912.0</v>
      </c>
      <c r="C1745" s="33">
        <v>8.07000033261E11</v>
      </c>
      <c r="D1745" s="33" t="s">
        <v>10439</v>
      </c>
      <c r="E1745" s="33" t="s">
        <v>10440</v>
      </c>
      <c r="F1745" s="123" t="s">
        <v>10441</v>
      </c>
      <c r="G1745" s="123" t="s">
        <v>247</v>
      </c>
      <c r="H1745" s="123">
        <v>4400.0</v>
      </c>
      <c r="I1745" s="33" t="s">
        <v>645</v>
      </c>
      <c r="J1745" s="33" t="s">
        <v>3253</v>
      </c>
      <c r="K1745" s="33">
        <v>1.0</v>
      </c>
      <c r="L1745" s="124" t="s">
        <v>10442</v>
      </c>
      <c r="M1745" s="31"/>
    </row>
    <row r="1746">
      <c r="A1746" s="131" t="s">
        <v>10444</v>
      </c>
      <c r="B1746" s="132">
        <v>45916.0</v>
      </c>
      <c r="C1746" s="33">
        <v>8.07000033273E11</v>
      </c>
      <c r="D1746" s="33" t="s">
        <v>10445</v>
      </c>
      <c r="E1746" s="33" t="s">
        <v>10446</v>
      </c>
      <c r="F1746" s="123" t="s">
        <v>10447</v>
      </c>
      <c r="G1746" s="123" t="s">
        <v>1038</v>
      </c>
      <c r="H1746" s="123">
        <v>4400.0</v>
      </c>
      <c r="I1746" s="33" t="s">
        <v>3313</v>
      </c>
      <c r="J1746" s="33" t="s">
        <v>3314</v>
      </c>
      <c r="K1746" s="33">
        <v>1.0</v>
      </c>
      <c r="L1746" s="124" t="s">
        <v>10448</v>
      </c>
      <c r="M1746" s="31"/>
    </row>
    <row r="1747">
      <c r="A1747" s="131" t="s">
        <v>10444</v>
      </c>
      <c r="B1747" s="132">
        <v>45916.0</v>
      </c>
      <c r="C1747" s="33">
        <v>8.07000033273E11</v>
      </c>
      <c r="D1747" s="33" t="s">
        <v>10445</v>
      </c>
      <c r="E1747" s="33" t="s">
        <v>10446</v>
      </c>
      <c r="F1747" s="123" t="s">
        <v>10447</v>
      </c>
      <c r="G1747" s="123" t="s">
        <v>1038</v>
      </c>
      <c r="H1747" s="123">
        <v>4400.0</v>
      </c>
      <c r="I1747" s="33" t="s">
        <v>3797</v>
      </c>
      <c r="J1747" s="33" t="s">
        <v>3798</v>
      </c>
      <c r="K1747" s="33">
        <v>1.0</v>
      </c>
      <c r="L1747" s="124" t="s">
        <v>10448</v>
      </c>
      <c r="M1747" s="31"/>
    </row>
    <row r="1748">
      <c r="A1748" s="131" t="s">
        <v>10449</v>
      </c>
      <c r="B1748" s="132">
        <v>45916.0</v>
      </c>
      <c r="C1748" s="33">
        <v>8.07000033285E11</v>
      </c>
      <c r="D1748" s="33" t="s">
        <v>10450</v>
      </c>
      <c r="E1748" s="33" t="s">
        <v>10451</v>
      </c>
      <c r="F1748" s="123" t="s">
        <v>10452</v>
      </c>
      <c r="G1748" s="123" t="s">
        <v>10453</v>
      </c>
      <c r="H1748" s="123">
        <v>4400.0</v>
      </c>
      <c r="I1748" s="33">
        <v>125813.0</v>
      </c>
      <c r="J1748" s="33" t="s">
        <v>5703</v>
      </c>
      <c r="K1748" s="33">
        <v>1.0</v>
      </c>
      <c r="L1748" s="124" t="s">
        <v>10454</v>
      </c>
      <c r="M1748" s="31"/>
    </row>
    <row r="1749">
      <c r="A1749" s="131" t="s">
        <v>10449</v>
      </c>
      <c r="B1749" s="132">
        <v>45916.0</v>
      </c>
      <c r="C1749" s="33">
        <v>8.07000033285E11</v>
      </c>
      <c r="D1749" s="33" t="s">
        <v>10450</v>
      </c>
      <c r="E1749" s="33" t="s">
        <v>10451</v>
      </c>
      <c r="F1749" s="123" t="s">
        <v>10452</v>
      </c>
      <c r="G1749" s="123" t="s">
        <v>10453</v>
      </c>
      <c r="H1749" s="123">
        <v>4400.0</v>
      </c>
      <c r="I1749" s="33" t="s">
        <v>1040</v>
      </c>
      <c r="J1749" s="33" t="s">
        <v>3294</v>
      </c>
      <c r="K1749" s="33">
        <v>1.0</v>
      </c>
      <c r="L1749" s="124" t="s">
        <v>10454</v>
      </c>
      <c r="M1749" s="31"/>
    </row>
    <row r="1750">
      <c r="A1750" s="131" t="s">
        <v>10449</v>
      </c>
      <c r="B1750" s="132">
        <v>45916.0</v>
      </c>
      <c r="C1750" s="33">
        <v>8.07000033285E11</v>
      </c>
      <c r="D1750" s="33" t="s">
        <v>10450</v>
      </c>
      <c r="E1750" s="33" t="s">
        <v>10451</v>
      </c>
      <c r="F1750" s="123" t="s">
        <v>10452</v>
      </c>
      <c r="G1750" s="123" t="s">
        <v>10453</v>
      </c>
      <c r="H1750" s="123">
        <v>4400.0</v>
      </c>
      <c r="I1750" s="33" t="s">
        <v>512</v>
      </c>
      <c r="J1750" s="33" t="s">
        <v>513</v>
      </c>
      <c r="K1750" s="33">
        <v>6.0</v>
      </c>
      <c r="L1750" s="124" t="s">
        <v>10454</v>
      </c>
      <c r="M1750" s="31"/>
    </row>
    <row r="1751">
      <c r="A1751" s="131" t="s">
        <v>10449</v>
      </c>
      <c r="B1751" s="132">
        <v>45916.0</v>
      </c>
      <c r="C1751" s="33">
        <v>8.07000033285E11</v>
      </c>
      <c r="D1751" s="33" t="s">
        <v>10450</v>
      </c>
      <c r="E1751" s="33" t="s">
        <v>10451</v>
      </c>
      <c r="F1751" s="123" t="s">
        <v>10452</v>
      </c>
      <c r="G1751" s="123" t="s">
        <v>10453</v>
      </c>
      <c r="H1751" s="123">
        <v>4400.0</v>
      </c>
      <c r="I1751" s="33" t="s">
        <v>969</v>
      </c>
      <c r="J1751" s="33" t="s">
        <v>3296</v>
      </c>
      <c r="K1751" s="33">
        <v>1.0</v>
      </c>
      <c r="L1751" s="124" t="s">
        <v>10454</v>
      </c>
      <c r="M1751" s="31"/>
    </row>
    <row r="1752">
      <c r="A1752" s="131" t="s">
        <v>10455</v>
      </c>
      <c r="B1752" s="132">
        <v>45916.0</v>
      </c>
      <c r="C1752" s="33">
        <v>8.05011550898E11</v>
      </c>
      <c r="D1752" s="33" t="s">
        <v>10456</v>
      </c>
      <c r="E1752" s="33" t="s">
        <v>10457</v>
      </c>
      <c r="F1752" s="123" t="s">
        <v>10458</v>
      </c>
      <c r="G1752" s="123" t="s">
        <v>247</v>
      </c>
      <c r="H1752" s="123">
        <v>4400.0</v>
      </c>
      <c r="I1752" s="33" t="s">
        <v>698</v>
      </c>
      <c r="J1752" s="33" t="s">
        <v>699</v>
      </c>
      <c r="K1752" s="33">
        <v>2.0</v>
      </c>
      <c r="L1752" s="124" t="s">
        <v>10459</v>
      </c>
      <c r="M1752" s="31"/>
    </row>
    <row r="1753">
      <c r="A1753" s="131" t="s">
        <v>10460</v>
      </c>
      <c r="B1753" s="132">
        <v>45916.0</v>
      </c>
      <c r="C1753" s="33">
        <v>8.05011550977E11</v>
      </c>
      <c r="D1753" s="33" t="s">
        <v>10461</v>
      </c>
      <c r="E1753" s="33" t="s">
        <v>10462</v>
      </c>
      <c r="F1753" s="123" t="s">
        <v>10463</v>
      </c>
      <c r="G1753" s="123" t="s">
        <v>247</v>
      </c>
      <c r="H1753" s="123">
        <v>4400.0</v>
      </c>
      <c r="I1753" s="33" t="s">
        <v>32</v>
      </c>
      <c r="J1753" s="33" t="s">
        <v>3225</v>
      </c>
      <c r="K1753" s="33">
        <v>1.0</v>
      </c>
      <c r="L1753" s="124" t="s">
        <v>10464</v>
      </c>
      <c r="M1753" s="31"/>
    </row>
    <row r="1754">
      <c r="A1754" s="131" t="s">
        <v>10465</v>
      </c>
      <c r="B1754" s="132">
        <v>45916.0</v>
      </c>
      <c r="C1754" s="33">
        <v>8.05011550983E11</v>
      </c>
      <c r="D1754" s="33" t="s">
        <v>10466</v>
      </c>
      <c r="E1754" s="33" t="s">
        <v>10467</v>
      </c>
      <c r="F1754" s="123" t="s">
        <v>10468</v>
      </c>
      <c r="G1754" s="123" t="s">
        <v>247</v>
      </c>
      <c r="H1754" s="123">
        <v>4400.0</v>
      </c>
      <c r="I1754" s="33" t="s">
        <v>32</v>
      </c>
      <c r="J1754" s="33" t="s">
        <v>3225</v>
      </c>
      <c r="K1754" s="33">
        <v>1.0</v>
      </c>
      <c r="L1754" s="124" t="s">
        <v>10469</v>
      </c>
      <c r="M1754" s="31"/>
    </row>
    <row r="1755">
      <c r="A1755" s="131" t="s">
        <v>10465</v>
      </c>
      <c r="B1755" s="132">
        <v>45916.0</v>
      </c>
      <c r="C1755" s="33">
        <v>8.05011550983E11</v>
      </c>
      <c r="D1755" s="33" t="s">
        <v>10466</v>
      </c>
      <c r="E1755" s="33" t="s">
        <v>10467</v>
      </c>
      <c r="F1755" s="123" t="s">
        <v>10468</v>
      </c>
      <c r="G1755" s="123" t="s">
        <v>247</v>
      </c>
      <c r="H1755" s="123">
        <v>4400.0</v>
      </c>
      <c r="I1755" s="33" t="s">
        <v>512</v>
      </c>
      <c r="J1755" s="33" t="s">
        <v>513</v>
      </c>
      <c r="K1755" s="33">
        <v>6.0</v>
      </c>
      <c r="L1755" s="124" t="s">
        <v>10469</v>
      </c>
      <c r="M1755" s="31"/>
    </row>
    <row r="1756">
      <c r="A1756" s="131" t="s">
        <v>10465</v>
      </c>
      <c r="B1756" s="132">
        <v>45916.0</v>
      </c>
      <c r="C1756" s="33">
        <v>8.05011550983E11</v>
      </c>
      <c r="D1756" s="33" t="s">
        <v>10466</v>
      </c>
      <c r="E1756" s="33" t="s">
        <v>10467</v>
      </c>
      <c r="F1756" s="123" t="s">
        <v>10468</v>
      </c>
      <c r="G1756" s="123" t="s">
        <v>247</v>
      </c>
      <c r="H1756" s="123">
        <v>4400.0</v>
      </c>
      <c r="I1756" s="33" t="s">
        <v>670</v>
      </c>
      <c r="J1756" s="33" t="s">
        <v>3410</v>
      </c>
      <c r="K1756" s="33">
        <v>1.0</v>
      </c>
      <c r="L1756" s="124" t="s">
        <v>10469</v>
      </c>
      <c r="M1756" s="31"/>
    </row>
    <row r="1757">
      <c r="A1757" s="131" t="s">
        <v>10470</v>
      </c>
      <c r="B1757" s="132">
        <v>45916.0</v>
      </c>
      <c r="C1757" s="33">
        <v>8.07000033287E11</v>
      </c>
      <c r="D1757" s="33" t="s">
        <v>10471</v>
      </c>
      <c r="E1757" s="33" t="s">
        <v>10472</v>
      </c>
      <c r="F1757" s="123" t="s">
        <v>10473</v>
      </c>
      <c r="G1757" s="123" t="s">
        <v>247</v>
      </c>
      <c r="H1757" s="123">
        <v>4400.0</v>
      </c>
      <c r="I1757" s="33" t="s">
        <v>2956</v>
      </c>
      <c r="J1757" s="33" t="s">
        <v>3327</v>
      </c>
      <c r="K1757" s="33">
        <v>1.0</v>
      </c>
      <c r="L1757" s="124" t="s">
        <v>10474</v>
      </c>
      <c r="M1757" s="31"/>
    </row>
    <row r="1758">
      <c r="A1758" s="131" t="s">
        <v>10470</v>
      </c>
      <c r="B1758" s="132">
        <v>45916.0</v>
      </c>
      <c r="C1758" s="33">
        <v>8.07000033288E11</v>
      </c>
      <c r="D1758" s="33" t="s">
        <v>10471</v>
      </c>
      <c r="E1758" s="33" t="s">
        <v>10472</v>
      </c>
      <c r="F1758" s="123" t="s">
        <v>10473</v>
      </c>
      <c r="G1758" s="123" t="s">
        <v>247</v>
      </c>
      <c r="H1758" s="123">
        <v>4400.0</v>
      </c>
      <c r="I1758" s="33" t="s">
        <v>3166</v>
      </c>
      <c r="J1758" s="33" t="s">
        <v>3167</v>
      </c>
      <c r="K1758" s="33">
        <v>2.0</v>
      </c>
      <c r="L1758" s="124" t="s">
        <v>10474</v>
      </c>
      <c r="M1758" s="31"/>
    </row>
    <row r="1759">
      <c r="A1759" s="131" t="s">
        <v>10475</v>
      </c>
      <c r="B1759" s="132">
        <v>45916.0</v>
      </c>
      <c r="C1759" s="33">
        <v>8.07000033244E11</v>
      </c>
      <c r="D1759" s="33" t="s">
        <v>10476</v>
      </c>
      <c r="E1759" s="33" t="s">
        <v>10477</v>
      </c>
      <c r="F1759" s="123" t="s">
        <v>10478</v>
      </c>
      <c r="G1759" s="123" t="s">
        <v>532</v>
      </c>
      <c r="H1759" s="123">
        <v>4427.0</v>
      </c>
      <c r="I1759" s="33">
        <v>125810.0</v>
      </c>
      <c r="J1759" s="33" t="s">
        <v>4672</v>
      </c>
      <c r="K1759" s="33">
        <v>1.0</v>
      </c>
      <c r="L1759" s="124" t="s">
        <v>10479</v>
      </c>
      <c r="M1759" s="31"/>
    </row>
    <row r="1760">
      <c r="A1760" s="131" t="s">
        <v>10475</v>
      </c>
      <c r="B1760" s="132">
        <v>45916.0</v>
      </c>
      <c r="C1760" s="33">
        <v>8.07000033244E11</v>
      </c>
      <c r="D1760" s="33" t="s">
        <v>10476</v>
      </c>
      <c r="E1760" s="33" t="s">
        <v>10477</v>
      </c>
      <c r="F1760" s="123" t="s">
        <v>10478</v>
      </c>
      <c r="G1760" s="123" t="s">
        <v>532</v>
      </c>
      <c r="H1760" s="123">
        <v>4427.0</v>
      </c>
      <c r="I1760" s="33">
        <v>125813.0</v>
      </c>
      <c r="J1760" s="33" t="s">
        <v>5703</v>
      </c>
      <c r="K1760" s="33">
        <v>1.0</v>
      </c>
      <c r="L1760" s="124" t="s">
        <v>10479</v>
      </c>
      <c r="M1760" s="31"/>
    </row>
    <row r="1761">
      <c r="A1761" s="131" t="s">
        <v>10475</v>
      </c>
      <c r="B1761" s="132">
        <v>45916.0</v>
      </c>
      <c r="C1761" s="33">
        <v>8.07000033244E11</v>
      </c>
      <c r="D1761" s="33" t="s">
        <v>10476</v>
      </c>
      <c r="E1761" s="33" t="s">
        <v>10477</v>
      </c>
      <c r="F1761" s="123" t="s">
        <v>10478</v>
      </c>
      <c r="G1761" s="123" t="s">
        <v>532</v>
      </c>
      <c r="H1761" s="123">
        <v>4427.0</v>
      </c>
      <c r="I1761" s="33" t="s">
        <v>2956</v>
      </c>
      <c r="J1761" s="33" t="s">
        <v>3327</v>
      </c>
      <c r="K1761" s="33">
        <v>1.0</v>
      </c>
      <c r="L1761" s="124" t="s">
        <v>10479</v>
      </c>
      <c r="M1761" s="31"/>
    </row>
    <row r="1762">
      <c r="A1762" s="131" t="s">
        <v>10475</v>
      </c>
      <c r="B1762" s="132">
        <v>45916.0</v>
      </c>
      <c r="C1762" s="33">
        <v>8.07000033244E11</v>
      </c>
      <c r="D1762" s="33" t="s">
        <v>10476</v>
      </c>
      <c r="E1762" s="33" t="s">
        <v>10477</v>
      </c>
      <c r="F1762" s="123" t="s">
        <v>10478</v>
      </c>
      <c r="G1762" s="123" t="s">
        <v>532</v>
      </c>
      <c r="H1762" s="123">
        <v>4427.0</v>
      </c>
      <c r="I1762" s="33" t="s">
        <v>512</v>
      </c>
      <c r="J1762" s="33" t="s">
        <v>513</v>
      </c>
      <c r="K1762" s="33">
        <v>6.0</v>
      </c>
      <c r="L1762" s="124" t="s">
        <v>10479</v>
      </c>
      <c r="M1762" s="31"/>
    </row>
    <row r="1763">
      <c r="A1763" s="131" t="s">
        <v>10475</v>
      </c>
      <c r="B1763" s="132">
        <v>45916.0</v>
      </c>
      <c r="C1763" s="33">
        <v>8.07000033244E11</v>
      </c>
      <c r="D1763" s="33" t="s">
        <v>10476</v>
      </c>
      <c r="E1763" s="33" t="s">
        <v>10477</v>
      </c>
      <c r="F1763" s="123" t="s">
        <v>10478</v>
      </c>
      <c r="G1763" s="123" t="s">
        <v>532</v>
      </c>
      <c r="H1763" s="123">
        <v>4427.0</v>
      </c>
      <c r="I1763" s="33" t="s">
        <v>670</v>
      </c>
      <c r="J1763" s="33" t="s">
        <v>3410</v>
      </c>
      <c r="K1763" s="33">
        <v>1.0</v>
      </c>
      <c r="L1763" s="124" t="s">
        <v>10479</v>
      </c>
      <c r="M1763" s="31"/>
    </row>
    <row r="1764">
      <c r="A1764" s="131" t="s">
        <v>10480</v>
      </c>
      <c r="B1764" s="132">
        <v>45917.0</v>
      </c>
      <c r="C1764" s="33">
        <v>8.07000033211E11</v>
      </c>
      <c r="D1764" s="33" t="s">
        <v>10481</v>
      </c>
      <c r="E1764" s="33" t="s">
        <v>10482</v>
      </c>
      <c r="F1764" s="123" t="s">
        <v>10483</v>
      </c>
      <c r="G1764" s="123" t="s">
        <v>532</v>
      </c>
      <c r="H1764" s="123">
        <v>4427.0</v>
      </c>
      <c r="I1764" s="33" t="s">
        <v>10484</v>
      </c>
      <c r="J1764" s="33" t="s">
        <v>10485</v>
      </c>
      <c r="K1764" s="33">
        <v>2.0</v>
      </c>
      <c r="L1764" s="124" t="s">
        <v>10486</v>
      </c>
      <c r="M1764" s="31"/>
    </row>
    <row r="1765">
      <c r="A1765" s="131" t="s">
        <v>10480</v>
      </c>
      <c r="B1765" s="132">
        <v>45917.0</v>
      </c>
      <c r="C1765" s="33">
        <v>8.07000033211E11</v>
      </c>
      <c r="D1765" s="33" t="s">
        <v>10481</v>
      </c>
      <c r="E1765" s="33" t="s">
        <v>10482</v>
      </c>
      <c r="F1765" s="123" t="s">
        <v>10483</v>
      </c>
      <c r="G1765" s="123" t="s">
        <v>532</v>
      </c>
      <c r="H1765" s="123">
        <v>4427.0</v>
      </c>
      <c r="I1765" s="33" t="s">
        <v>512</v>
      </c>
      <c r="J1765" s="33" t="s">
        <v>513</v>
      </c>
      <c r="K1765" s="33">
        <v>24.0</v>
      </c>
      <c r="L1765" s="124" t="s">
        <v>10486</v>
      </c>
      <c r="M1765" s="31"/>
    </row>
    <row r="1766">
      <c r="A1766" s="131" t="s">
        <v>10480</v>
      </c>
      <c r="B1766" s="132">
        <v>45917.0</v>
      </c>
      <c r="C1766" s="33">
        <v>8.07000033211E11</v>
      </c>
      <c r="D1766" s="33" t="s">
        <v>10481</v>
      </c>
      <c r="E1766" s="33" t="s">
        <v>10482</v>
      </c>
      <c r="F1766" s="123" t="s">
        <v>10483</v>
      </c>
      <c r="G1766" s="123" t="s">
        <v>532</v>
      </c>
      <c r="H1766" s="123">
        <v>4427.0</v>
      </c>
      <c r="I1766" s="33" t="s">
        <v>121</v>
      </c>
      <c r="J1766" s="33" t="s">
        <v>3199</v>
      </c>
      <c r="K1766" s="33">
        <v>4.0</v>
      </c>
      <c r="L1766" s="124" t="s">
        <v>10486</v>
      </c>
      <c r="M1766" s="31"/>
    </row>
    <row r="1767">
      <c r="A1767" s="131" t="s">
        <v>10487</v>
      </c>
      <c r="B1767" s="132">
        <v>45917.0</v>
      </c>
      <c r="C1767" s="33">
        <v>8.07000033295E11</v>
      </c>
      <c r="D1767" s="33" t="s">
        <v>10488</v>
      </c>
      <c r="E1767" s="33" t="s">
        <v>10489</v>
      </c>
      <c r="F1767" s="123" t="s">
        <v>10490</v>
      </c>
      <c r="G1767" s="123" t="s">
        <v>532</v>
      </c>
      <c r="H1767" s="123">
        <v>4427.0</v>
      </c>
      <c r="I1767" s="33" t="s">
        <v>6548</v>
      </c>
      <c r="J1767" s="33" t="s">
        <v>6549</v>
      </c>
      <c r="K1767" s="33">
        <v>2.0</v>
      </c>
      <c r="L1767" s="124" t="s">
        <v>10491</v>
      </c>
      <c r="M1767" s="31"/>
    </row>
    <row r="1768">
      <c r="A1768" s="131" t="s">
        <v>10487</v>
      </c>
      <c r="B1768" s="132">
        <v>45917.0</v>
      </c>
      <c r="C1768" s="33">
        <v>8.07000033295E11</v>
      </c>
      <c r="D1768" s="33" t="s">
        <v>10488</v>
      </c>
      <c r="E1768" s="33" t="s">
        <v>10489</v>
      </c>
      <c r="F1768" s="123" t="s">
        <v>10490</v>
      </c>
      <c r="G1768" s="123" t="s">
        <v>532</v>
      </c>
      <c r="H1768" s="123">
        <v>4427.0</v>
      </c>
      <c r="I1768" s="33" t="s">
        <v>8099</v>
      </c>
      <c r="J1768" s="33" t="s">
        <v>8100</v>
      </c>
      <c r="K1768" s="33">
        <v>1.0</v>
      </c>
      <c r="L1768" s="124" t="s">
        <v>10491</v>
      </c>
      <c r="M1768" s="31"/>
    </row>
    <row r="1769">
      <c r="A1769" s="131" t="s">
        <v>10487</v>
      </c>
      <c r="B1769" s="132">
        <v>45917.0</v>
      </c>
      <c r="C1769" s="33">
        <v>8.07000033295E11</v>
      </c>
      <c r="D1769" s="33" t="s">
        <v>10488</v>
      </c>
      <c r="E1769" s="33" t="s">
        <v>10489</v>
      </c>
      <c r="F1769" s="123" t="s">
        <v>10490</v>
      </c>
      <c r="G1769" s="123" t="s">
        <v>532</v>
      </c>
      <c r="H1769" s="123">
        <v>4427.0</v>
      </c>
      <c r="I1769" s="33" t="s">
        <v>512</v>
      </c>
      <c r="J1769" s="33" t="s">
        <v>513</v>
      </c>
      <c r="K1769" s="33">
        <v>24.0</v>
      </c>
      <c r="L1769" s="124" t="s">
        <v>10491</v>
      </c>
      <c r="M1769" s="31"/>
    </row>
    <row r="1770">
      <c r="A1770" s="131" t="s">
        <v>10487</v>
      </c>
      <c r="B1770" s="132">
        <v>45917.0</v>
      </c>
      <c r="C1770" s="33">
        <v>8.07000033295E11</v>
      </c>
      <c r="D1770" s="33" t="s">
        <v>10488</v>
      </c>
      <c r="E1770" s="33" t="s">
        <v>10489</v>
      </c>
      <c r="F1770" s="123" t="s">
        <v>10490</v>
      </c>
      <c r="G1770" s="123" t="s">
        <v>532</v>
      </c>
      <c r="H1770" s="123">
        <v>4427.0</v>
      </c>
      <c r="I1770" s="33" t="s">
        <v>121</v>
      </c>
      <c r="J1770" s="33" t="s">
        <v>3199</v>
      </c>
      <c r="K1770" s="33">
        <v>2.0</v>
      </c>
      <c r="L1770" s="124" t="s">
        <v>10491</v>
      </c>
      <c r="M1770" s="31"/>
    </row>
    <row r="1771">
      <c r="A1771" s="131" t="s">
        <v>10487</v>
      </c>
      <c r="B1771" s="132">
        <v>45917.0</v>
      </c>
      <c r="C1771" s="33">
        <v>8.07000033295E11</v>
      </c>
      <c r="D1771" s="33" t="s">
        <v>10488</v>
      </c>
      <c r="E1771" s="33" t="s">
        <v>10489</v>
      </c>
      <c r="F1771" s="123" t="s">
        <v>10490</v>
      </c>
      <c r="G1771" s="123" t="s">
        <v>532</v>
      </c>
      <c r="H1771" s="123">
        <v>4427.0</v>
      </c>
      <c r="I1771" s="33" t="s">
        <v>233</v>
      </c>
      <c r="J1771" s="33" t="s">
        <v>3459</v>
      </c>
      <c r="K1771" s="33">
        <v>2.0</v>
      </c>
      <c r="L1771" s="124" t="s">
        <v>10491</v>
      </c>
      <c r="M1771" s="31"/>
    </row>
    <row r="1772">
      <c r="A1772" s="131" t="s">
        <v>10487</v>
      </c>
      <c r="B1772" s="132">
        <v>45917.0</v>
      </c>
      <c r="C1772" s="33">
        <v>8.07000033296E11</v>
      </c>
      <c r="D1772" s="33" t="s">
        <v>10488</v>
      </c>
      <c r="E1772" s="33" t="s">
        <v>10489</v>
      </c>
      <c r="F1772" s="123" t="s">
        <v>10490</v>
      </c>
      <c r="G1772" s="123" t="s">
        <v>532</v>
      </c>
      <c r="H1772" s="123">
        <v>4427.0</v>
      </c>
      <c r="I1772" s="33" t="s">
        <v>3166</v>
      </c>
      <c r="J1772" s="33" t="s">
        <v>3167</v>
      </c>
      <c r="K1772" s="33">
        <v>7.0</v>
      </c>
      <c r="L1772" s="124" t="s">
        <v>10491</v>
      </c>
      <c r="M1772" s="31"/>
    </row>
    <row r="1773">
      <c r="A1773" s="131" t="s">
        <v>10487</v>
      </c>
      <c r="B1773" s="132">
        <v>45917.0</v>
      </c>
      <c r="C1773" s="33">
        <v>8.07000033297E11</v>
      </c>
      <c r="D1773" s="33" t="s">
        <v>10488</v>
      </c>
      <c r="E1773" s="33" t="s">
        <v>10489</v>
      </c>
      <c r="F1773" s="123" t="s">
        <v>10490</v>
      </c>
      <c r="G1773" s="123" t="s">
        <v>532</v>
      </c>
      <c r="H1773" s="123">
        <v>4427.0</v>
      </c>
      <c r="I1773" s="33" t="s">
        <v>2294</v>
      </c>
      <c r="J1773" s="33" t="s">
        <v>5415</v>
      </c>
      <c r="K1773" s="33">
        <v>2.0</v>
      </c>
      <c r="L1773" s="124" t="s">
        <v>10491</v>
      </c>
      <c r="M1773" s="31"/>
    </row>
    <row r="1774">
      <c r="A1774" s="131" t="s">
        <v>10487</v>
      </c>
      <c r="B1774" s="132">
        <v>45917.0</v>
      </c>
      <c r="C1774" s="33">
        <v>8.07000033297E11</v>
      </c>
      <c r="D1774" s="33" t="s">
        <v>10488</v>
      </c>
      <c r="E1774" s="33" t="s">
        <v>10489</v>
      </c>
      <c r="F1774" s="123" t="s">
        <v>10490</v>
      </c>
      <c r="G1774" s="123" t="s">
        <v>532</v>
      </c>
      <c r="H1774" s="123">
        <v>4427.0</v>
      </c>
      <c r="I1774" s="33" t="s">
        <v>512</v>
      </c>
      <c r="J1774" s="33" t="s">
        <v>513</v>
      </c>
      <c r="K1774" s="33">
        <v>12.0</v>
      </c>
      <c r="L1774" s="124" t="s">
        <v>10491</v>
      </c>
      <c r="M1774" s="31"/>
    </row>
    <row r="1775">
      <c r="A1775" s="131" t="s">
        <v>10487</v>
      </c>
      <c r="B1775" s="132">
        <v>45917.0</v>
      </c>
      <c r="C1775" s="33">
        <v>8.07000033297E11</v>
      </c>
      <c r="D1775" s="33" t="s">
        <v>10488</v>
      </c>
      <c r="E1775" s="33" t="s">
        <v>10489</v>
      </c>
      <c r="F1775" s="123" t="s">
        <v>10490</v>
      </c>
      <c r="G1775" s="123" t="s">
        <v>532</v>
      </c>
      <c r="H1775" s="123">
        <v>4427.0</v>
      </c>
      <c r="I1775" s="33" t="s">
        <v>233</v>
      </c>
      <c r="J1775" s="33" t="s">
        <v>3459</v>
      </c>
      <c r="K1775" s="33">
        <v>2.0</v>
      </c>
      <c r="L1775" s="124" t="s">
        <v>10491</v>
      </c>
      <c r="M1775" s="31"/>
    </row>
    <row r="1776">
      <c r="A1776" s="131" t="s">
        <v>10492</v>
      </c>
      <c r="B1776" s="132">
        <v>45917.0</v>
      </c>
      <c r="C1776" s="33">
        <v>8.07000033292E11</v>
      </c>
      <c r="D1776" s="33" t="s">
        <v>10493</v>
      </c>
      <c r="E1776" s="33" t="s">
        <v>10494</v>
      </c>
      <c r="F1776" s="123" t="s">
        <v>10495</v>
      </c>
      <c r="G1776" s="123" t="s">
        <v>10496</v>
      </c>
      <c r="H1776" s="123">
        <v>4562.0</v>
      </c>
      <c r="I1776" s="33" t="s">
        <v>2956</v>
      </c>
      <c r="J1776" s="33" t="s">
        <v>3327</v>
      </c>
      <c r="K1776" s="33">
        <v>1.0</v>
      </c>
      <c r="L1776" s="124" t="s">
        <v>10497</v>
      </c>
      <c r="M1776" s="31"/>
    </row>
    <row r="1777">
      <c r="A1777" s="131" t="s">
        <v>10498</v>
      </c>
      <c r="B1777" s="132">
        <v>45919.0</v>
      </c>
      <c r="C1777" s="33">
        <v>8.07000033289E11</v>
      </c>
      <c r="D1777" s="33" t="s">
        <v>10499</v>
      </c>
      <c r="E1777" s="33" t="s">
        <v>10500</v>
      </c>
      <c r="F1777" s="123" t="s">
        <v>10501</v>
      </c>
      <c r="G1777" s="123" t="s">
        <v>624</v>
      </c>
      <c r="H1777" s="123">
        <v>4403.0</v>
      </c>
      <c r="I1777" s="33" t="s">
        <v>1040</v>
      </c>
      <c r="J1777" s="33" t="s">
        <v>3294</v>
      </c>
      <c r="K1777" s="33">
        <v>1.0</v>
      </c>
      <c r="L1777" s="124" t="s">
        <v>10502</v>
      </c>
      <c r="M1777" s="31"/>
    </row>
    <row r="1778">
      <c r="A1778" s="131" t="s">
        <v>10498</v>
      </c>
      <c r="B1778" s="132">
        <v>45919.0</v>
      </c>
      <c r="C1778" s="33">
        <v>8.07000033289E11</v>
      </c>
      <c r="D1778" s="33" t="s">
        <v>10499</v>
      </c>
      <c r="E1778" s="33" t="s">
        <v>10500</v>
      </c>
      <c r="F1778" s="123" t="s">
        <v>10501</v>
      </c>
      <c r="G1778" s="123" t="s">
        <v>624</v>
      </c>
      <c r="H1778" s="123">
        <v>4403.0</v>
      </c>
      <c r="I1778" s="33" t="s">
        <v>512</v>
      </c>
      <c r="J1778" s="33" t="s">
        <v>513</v>
      </c>
      <c r="K1778" s="33">
        <v>6.0</v>
      </c>
      <c r="L1778" s="124" t="s">
        <v>10502</v>
      </c>
      <c r="M1778" s="31"/>
    </row>
    <row r="1779">
      <c r="A1779" s="131" t="s">
        <v>10498</v>
      </c>
      <c r="B1779" s="132">
        <v>45919.0</v>
      </c>
      <c r="C1779" s="33">
        <v>8.07000033289E11</v>
      </c>
      <c r="D1779" s="33" t="s">
        <v>10499</v>
      </c>
      <c r="E1779" s="33" t="s">
        <v>10500</v>
      </c>
      <c r="F1779" s="123" t="s">
        <v>10501</v>
      </c>
      <c r="G1779" s="123" t="s">
        <v>624</v>
      </c>
      <c r="H1779" s="123">
        <v>4403.0</v>
      </c>
      <c r="I1779" s="33" t="s">
        <v>2031</v>
      </c>
      <c r="J1779" s="33" t="s">
        <v>3348</v>
      </c>
      <c r="K1779" s="33">
        <v>1.0</v>
      </c>
      <c r="L1779" s="124" t="s">
        <v>10502</v>
      </c>
      <c r="M1779" s="31"/>
    </row>
    <row r="1780">
      <c r="A1780" s="131" t="s">
        <v>10503</v>
      </c>
      <c r="B1780" s="132">
        <v>45919.0</v>
      </c>
      <c r="C1780" s="33">
        <v>8.07000033309E11</v>
      </c>
      <c r="D1780" s="33" t="s">
        <v>10504</v>
      </c>
      <c r="E1780" s="33" t="s">
        <v>10505</v>
      </c>
      <c r="F1780" s="123" t="s">
        <v>10506</v>
      </c>
      <c r="G1780" s="123" t="s">
        <v>247</v>
      </c>
      <c r="H1780" s="123">
        <v>4400.0</v>
      </c>
      <c r="I1780" s="33" t="s">
        <v>3166</v>
      </c>
      <c r="J1780" s="33" t="s">
        <v>3167</v>
      </c>
      <c r="K1780" s="33">
        <v>3.0</v>
      </c>
      <c r="L1780" s="124" t="s">
        <v>10507</v>
      </c>
      <c r="M1780" s="31"/>
    </row>
    <row r="1781">
      <c r="A1781" s="131" t="s">
        <v>10503</v>
      </c>
      <c r="B1781" s="132">
        <v>45919.0</v>
      </c>
      <c r="C1781" s="33">
        <v>8.0700003331E11</v>
      </c>
      <c r="D1781" s="33" t="s">
        <v>10504</v>
      </c>
      <c r="E1781" s="33" t="s">
        <v>10505</v>
      </c>
      <c r="F1781" s="123" t="s">
        <v>10506</v>
      </c>
      <c r="G1781" s="123" t="s">
        <v>247</v>
      </c>
      <c r="H1781" s="123">
        <v>4400.0</v>
      </c>
      <c r="I1781" s="33" t="s">
        <v>7088</v>
      </c>
      <c r="J1781" s="33" t="s">
        <v>8278</v>
      </c>
      <c r="K1781" s="33">
        <v>1.0</v>
      </c>
      <c r="L1781" s="124" t="s">
        <v>10507</v>
      </c>
      <c r="M1781" s="31"/>
    </row>
    <row r="1782">
      <c r="A1782" s="131" t="s">
        <v>10503</v>
      </c>
      <c r="B1782" s="132">
        <v>45919.0</v>
      </c>
      <c r="C1782" s="33">
        <v>8.07000033311E11</v>
      </c>
      <c r="D1782" s="33" t="s">
        <v>10504</v>
      </c>
      <c r="E1782" s="33" t="s">
        <v>10505</v>
      </c>
      <c r="F1782" s="123" t="s">
        <v>10506</v>
      </c>
      <c r="G1782" s="123" t="s">
        <v>247</v>
      </c>
      <c r="H1782" s="123">
        <v>4400.0</v>
      </c>
      <c r="I1782" s="33" t="s">
        <v>758</v>
      </c>
      <c r="J1782" s="33" t="s">
        <v>3574</v>
      </c>
      <c r="K1782" s="33">
        <v>2.0</v>
      </c>
      <c r="L1782" s="124" t="s">
        <v>10507</v>
      </c>
      <c r="M1782" s="31"/>
    </row>
    <row r="1783">
      <c r="A1783" s="131" t="s">
        <v>10508</v>
      </c>
      <c r="B1783" s="132">
        <v>45920.0</v>
      </c>
      <c r="C1783" s="33">
        <v>8.07000033325E11</v>
      </c>
      <c r="D1783" s="33" t="s">
        <v>10509</v>
      </c>
      <c r="E1783" s="33" t="s">
        <v>10510</v>
      </c>
      <c r="F1783" s="123" t="s">
        <v>10511</v>
      </c>
      <c r="G1783" s="123" t="s">
        <v>247</v>
      </c>
      <c r="H1783" s="123">
        <v>4400.0</v>
      </c>
      <c r="I1783" s="33">
        <v>125816.0</v>
      </c>
      <c r="J1783" s="33" t="s">
        <v>7713</v>
      </c>
      <c r="K1783" s="33">
        <v>2.0</v>
      </c>
      <c r="L1783" s="124" t="s">
        <v>10512</v>
      </c>
      <c r="M1783" s="31"/>
    </row>
    <row r="1784">
      <c r="A1784" s="131" t="s">
        <v>10508</v>
      </c>
      <c r="B1784" s="132">
        <v>45920.0</v>
      </c>
      <c r="C1784" s="33">
        <v>8.07000033325E11</v>
      </c>
      <c r="D1784" s="33" t="s">
        <v>10509</v>
      </c>
      <c r="E1784" s="33" t="s">
        <v>10510</v>
      </c>
      <c r="F1784" s="123" t="s">
        <v>10511</v>
      </c>
      <c r="G1784" s="123" t="s">
        <v>247</v>
      </c>
      <c r="H1784" s="123">
        <v>4400.0</v>
      </c>
      <c r="I1784" s="33" t="s">
        <v>3131</v>
      </c>
      <c r="J1784" s="33" t="s">
        <v>3416</v>
      </c>
      <c r="K1784" s="33">
        <v>1.0</v>
      </c>
      <c r="L1784" s="124" t="s">
        <v>10512</v>
      </c>
      <c r="M1784" s="31"/>
    </row>
    <row r="1785">
      <c r="A1785" s="131" t="s">
        <v>10508</v>
      </c>
      <c r="B1785" s="132">
        <v>45920.0</v>
      </c>
      <c r="C1785" s="33">
        <v>8.07000033325E11</v>
      </c>
      <c r="D1785" s="33" t="s">
        <v>10509</v>
      </c>
      <c r="E1785" s="33" t="s">
        <v>10510</v>
      </c>
      <c r="F1785" s="123" t="s">
        <v>10511</v>
      </c>
      <c r="G1785" s="123" t="s">
        <v>247</v>
      </c>
      <c r="H1785" s="123">
        <v>4400.0</v>
      </c>
      <c r="I1785" s="33" t="s">
        <v>3154</v>
      </c>
      <c r="J1785" s="33" t="s">
        <v>4564</v>
      </c>
      <c r="K1785" s="33">
        <v>1.0</v>
      </c>
      <c r="L1785" s="124" t="s">
        <v>10512</v>
      </c>
      <c r="M1785" s="31"/>
    </row>
    <row r="1786">
      <c r="A1786" s="131" t="s">
        <v>10513</v>
      </c>
      <c r="B1786" s="132">
        <v>45920.0</v>
      </c>
      <c r="C1786" s="33">
        <v>8.0700003327E11</v>
      </c>
      <c r="D1786" s="33" t="s">
        <v>10514</v>
      </c>
      <c r="E1786" s="33" t="s">
        <v>10515</v>
      </c>
      <c r="F1786" s="123" t="s">
        <v>10516</v>
      </c>
      <c r="G1786" s="123" t="s">
        <v>247</v>
      </c>
      <c r="H1786" s="123">
        <v>4400.0</v>
      </c>
      <c r="I1786" s="33" t="s">
        <v>3166</v>
      </c>
      <c r="J1786" s="33" t="s">
        <v>6964</v>
      </c>
      <c r="K1786" s="33">
        <v>2.0</v>
      </c>
      <c r="L1786" s="124" t="s">
        <v>10517</v>
      </c>
      <c r="M1786" s="31" t="s">
        <v>10518</v>
      </c>
    </row>
    <row r="1787">
      <c r="A1787" s="131" t="s">
        <v>10513</v>
      </c>
      <c r="B1787" s="132">
        <v>45920.0</v>
      </c>
      <c r="C1787" s="33">
        <v>8.07000033271E11</v>
      </c>
      <c r="D1787" s="33" t="s">
        <v>10514</v>
      </c>
      <c r="E1787" s="33" t="s">
        <v>10515</v>
      </c>
      <c r="F1787" s="123" t="s">
        <v>10516</v>
      </c>
      <c r="G1787" s="123" t="s">
        <v>247</v>
      </c>
      <c r="H1787" s="123">
        <v>4400.0</v>
      </c>
      <c r="I1787" s="33" t="s">
        <v>3074</v>
      </c>
      <c r="J1787" s="33" t="s">
        <v>3232</v>
      </c>
      <c r="K1787" s="33">
        <v>1.0</v>
      </c>
      <c r="L1787" s="124" t="s">
        <v>10517</v>
      </c>
      <c r="M1787" s="31" t="s">
        <v>10518</v>
      </c>
    </row>
    <row r="1788">
      <c r="A1788" s="131" t="s">
        <v>10513</v>
      </c>
      <c r="B1788" s="132">
        <v>45920.0</v>
      </c>
      <c r="C1788" s="33">
        <v>8.07000033271E11</v>
      </c>
      <c r="D1788" s="33" t="s">
        <v>10514</v>
      </c>
      <c r="E1788" s="33" t="s">
        <v>10515</v>
      </c>
      <c r="F1788" s="123" t="s">
        <v>10516</v>
      </c>
      <c r="G1788" s="123" t="s">
        <v>247</v>
      </c>
      <c r="H1788" s="123">
        <v>4400.0</v>
      </c>
      <c r="I1788" s="33" t="s">
        <v>512</v>
      </c>
      <c r="J1788" s="33" t="s">
        <v>513</v>
      </c>
      <c r="K1788" s="33">
        <v>6.0</v>
      </c>
      <c r="L1788" s="124" t="s">
        <v>10517</v>
      </c>
      <c r="M1788" s="31" t="s">
        <v>10518</v>
      </c>
    </row>
    <row r="1789">
      <c r="A1789" s="131" t="s">
        <v>10513</v>
      </c>
      <c r="B1789" s="132">
        <v>45920.0</v>
      </c>
      <c r="C1789" s="33">
        <v>8.07000033271E11</v>
      </c>
      <c r="D1789" s="33" t="s">
        <v>10514</v>
      </c>
      <c r="E1789" s="33" t="s">
        <v>10515</v>
      </c>
      <c r="F1789" s="123" t="s">
        <v>10516</v>
      </c>
      <c r="G1789" s="123" t="s">
        <v>247</v>
      </c>
      <c r="H1789" s="123">
        <v>4400.0</v>
      </c>
      <c r="I1789" s="33" t="s">
        <v>670</v>
      </c>
      <c r="J1789" s="33" t="s">
        <v>3410</v>
      </c>
      <c r="K1789" s="33">
        <v>1.0</v>
      </c>
      <c r="L1789" s="124" t="s">
        <v>10517</v>
      </c>
      <c r="M1789" s="31" t="s">
        <v>10518</v>
      </c>
    </row>
    <row r="1790">
      <c r="A1790" s="131" t="s">
        <v>10519</v>
      </c>
      <c r="B1790" s="132">
        <v>45920.0</v>
      </c>
      <c r="C1790" s="33">
        <v>8.07000033328E11</v>
      </c>
      <c r="D1790" s="33" t="s">
        <v>10520</v>
      </c>
      <c r="E1790" s="33" t="s">
        <v>10521</v>
      </c>
      <c r="F1790" s="123" t="s">
        <v>10522</v>
      </c>
      <c r="G1790" s="123" t="s">
        <v>376</v>
      </c>
      <c r="H1790" s="123">
        <v>4421.0</v>
      </c>
      <c r="I1790" s="33" t="s">
        <v>512</v>
      </c>
      <c r="J1790" s="33" t="s">
        <v>513</v>
      </c>
      <c r="K1790" s="33">
        <v>6.0</v>
      </c>
      <c r="L1790" s="124" t="s">
        <v>10523</v>
      </c>
      <c r="M1790" s="31"/>
    </row>
    <row r="1791">
      <c r="A1791" s="131" t="s">
        <v>10519</v>
      </c>
      <c r="B1791" s="132">
        <v>45920.0</v>
      </c>
      <c r="C1791" s="33">
        <v>8.07000033328E11</v>
      </c>
      <c r="D1791" s="33" t="s">
        <v>10520</v>
      </c>
      <c r="E1791" s="33" t="s">
        <v>10521</v>
      </c>
      <c r="F1791" s="123" t="s">
        <v>10522</v>
      </c>
      <c r="G1791" s="123" t="s">
        <v>376</v>
      </c>
      <c r="H1791" s="123">
        <v>4421.0</v>
      </c>
      <c r="I1791" s="33" t="s">
        <v>3447</v>
      </c>
      <c r="J1791" s="33" t="s">
        <v>3448</v>
      </c>
      <c r="K1791" s="33">
        <v>1.0</v>
      </c>
      <c r="L1791" s="124" t="s">
        <v>10523</v>
      </c>
      <c r="M1791" s="31"/>
    </row>
    <row r="1792">
      <c r="A1792" s="131" t="s">
        <v>10519</v>
      </c>
      <c r="B1792" s="132">
        <v>45920.0</v>
      </c>
      <c r="C1792" s="33">
        <v>8.07000033329E11</v>
      </c>
      <c r="D1792" s="33" t="s">
        <v>10520</v>
      </c>
      <c r="E1792" s="33" t="s">
        <v>10521</v>
      </c>
      <c r="F1792" s="123" t="s">
        <v>10522</v>
      </c>
      <c r="G1792" s="123" t="s">
        <v>376</v>
      </c>
      <c r="H1792" s="123">
        <v>4421.0</v>
      </c>
      <c r="I1792" s="33" t="s">
        <v>634</v>
      </c>
      <c r="J1792" s="33" t="s">
        <v>635</v>
      </c>
      <c r="K1792" s="33">
        <v>1.0</v>
      </c>
      <c r="L1792" s="124" t="s">
        <v>10523</v>
      </c>
      <c r="M1792" s="31"/>
    </row>
    <row r="1793">
      <c r="A1793" s="131" t="s">
        <v>10519</v>
      </c>
      <c r="B1793" s="132">
        <v>45920.0</v>
      </c>
      <c r="C1793" s="33">
        <v>8.0700003333E11</v>
      </c>
      <c r="D1793" s="33" t="s">
        <v>10520</v>
      </c>
      <c r="E1793" s="33" t="s">
        <v>10521</v>
      </c>
      <c r="F1793" s="123" t="s">
        <v>10522</v>
      </c>
      <c r="G1793" s="123" t="s">
        <v>376</v>
      </c>
      <c r="H1793" s="123">
        <v>4421.0</v>
      </c>
      <c r="I1793" s="33" t="s">
        <v>761</v>
      </c>
      <c r="J1793" s="33" t="s">
        <v>3761</v>
      </c>
      <c r="K1793" s="33">
        <v>1.0</v>
      </c>
      <c r="L1793" s="124" t="s">
        <v>10523</v>
      </c>
      <c r="M1793" s="31"/>
    </row>
    <row r="1794">
      <c r="A1794" s="131" t="s">
        <v>10524</v>
      </c>
      <c r="B1794" s="132">
        <v>45922.0</v>
      </c>
      <c r="C1794" s="33">
        <v>8.07000033336E11</v>
      </c>
      <c r="D1794" s="33" t="s">
        <v>10525</v>
      </c>
      <c r="E1794" s="33" t="s">
        <v>10526</v>
      </c>
      <c r="F1794" s="190" t="s">
        <v>10527</v>
      </c>
      <c r="G1794" s="123" t="s">
        <v>247</v>
      </c>
      <c r="H1794" s="123">
        <v>4400.0</v>
      </c>
      <c r="I1794" s="33">
        <v>125815.0</v>
      </c>
      <c r="J1794" s="33" t="s">
        <v>569</v>
      </c>
      <c r="K1794" s="33">
        <v>2.0</v>
      </c>
      <c r="L1794" s="124" t="s">
        <v>10528</v>
      </c>
      <c r="M1794" s="31"/>
    </row>
    <row r="1795">
      <c r="A1795" s="131" t="s">
        <v>10524</v>
      </c>
      <c r="B1795" s="132">
        <v>45922.0</v>
      </c>
      <c r="C1795" s="33">
        <v>8.07000033336E11</v>
      </c>
      <c r="D1795" s="33" t="s">
        <v>10525</v>
      </c>
      <c r="E1795" s="33" t="s">
        <v>10526</v>
      </c>
      <c r="F1795" s="190" t="s">
        <v>10527</v>
      </c>
      <c r="G1795" s="123" t="s">
        <v>247</v>
      </c>
      <c r="H1795" s="123">
        <v>4400.0</v>
      </c>
      <c r="I1795" s="33" t="s">
        <v>947</v>
      </c>
      <c r="J1795" s="33" t="s">
        <v>3750</v>
      </c>
      <c r="K1795" s="33">
        <v>1.0</v>
      </c>
      <c r="L1795" s="124" t="s">
        <v>10528</v>
      </c>
      <c r="M1795" s="31"/>
    </row>
    <row r="1796">
      <c r="A1796" s="131" t="s">
        <v>10529</v>
      </c>
      <c r="B1796" s="132">
        <v>45922.0</v>
      </c>
      <c r="C1796" s="33">
        <v>8.05011551363E11</v>
      </c>
      <c r="D1796" s="33" t="s">
        <v>10530</v>
      </c>
      <c r="E1796" s="33" t="s">
        <v>10531</v>
      </c>
      <c r="F1796" s="123" t="s">
        <v>10532</v>
      </c>
      <c r="G1796" s="123" t="s">
        <v>247</v>
      </c>
      <c r="H1796" s="123">
        <v>4400.0</v>
      </c>
      <c r="I1796" s="33" t="s">
        <v>3074</v>
      </c>
      <c r="J1796" s="33" t="s">
        <v>3232</v>
      </c>
      <c r="K1796" s="33">
        <v>1.0</v>
      </c>
      <c r="L1796" s="124" t="s">
        <v>10533</v>
      </c>
      <c r="M1796" s="31"/>
    </row>
    <row r="1797">
      <c r="A1797" s="131" t="s">
        <v>10534</v>
      </c>
      <c r="B1797" s="132">
        <v>45922.0</v>
      </c>
      <c r="C1797" s="33">
        <v>8.05011551452E11</v>
      </c>
      <c r="D1797" s="33" t="s">
        <v>10535</v>
      </c>
      <c r="E1797" s="33" t="s">
        <v>10536</v>
      </c>
      <c r="F1797" s="123" t="s">
        <v>10537</v>
      </c>
      <c r="G1797" s="123" t="s">
        <v>247</v>
      </c>
      <c r="H1797" s="123">
        <v>4400.0</v>
      </c>
      <c r="I1797" s="33" t="s">
        <v>50</v>
      </c>
      <c r="J1797" s="33" t="s">
        <v>51</v>
      </c>
      <c r="K1797" s="33">
        <v>1.0</v>
      </c>
      <c r="L1797" s="124" t="s">
        <v>10538</v>
      </c>
      <c r="M1797" s="31"/>
    </row>
    <row r="1798">
      <c r="A1798" s="131" t="s">
        <v>10534</v>
      </c>
      <c r="B1798" s="132">
        <v>45922.0</v>
      </c>
      <c r="C1798" s="33">
        <v>8.05011551452E11</v>
      </c>
      <c r="D1798" s="33" t="s">
        <v>10535</v>
      </c>
      <c r="E1798" s="33" t="s">
        <v>10536</v>
      </c>
      <c r="F1798" s="123" t="s">
        <v>10537</v>
      </c>
      <c r="G1798" s="123" t="s">
        <v>247</v>
      </c>
      <c r="H1798" s="123">
        <v>4400.0</v>
      </c>
      <c r="I1798" s="33" t="s">
        <v>512</v>
      </c>
      <c r="J1798" s="33" t="s">
        <v>513</v>
      </c>
      <c r="K1798" s="33">
        <v>6.0</v>
      </c>
      <c r="L1798" s="124" t="s">
        <v>10538</v>
      </c>
      <c r="M1798" s="31"/>
    </row>
    <row r="1799">
      <c r="A1799" s="131" t="s">
        <v>10534</v>
      </c>
      <c r="B1799" s="132">
        <v>45922.0</v>
      </c>
      <c r="C1799" s="33">
        <v>8.05011551452E11</v>
      </c>
      <c r="D1799" s="33" t="s">
        <v>10535</v>
      </c>
      <c r="E1799" s="33" t="s">
        <v>10536</v>
      </c>
      <c r="F1799" s="123" t="s">
        <v>10537</v>
      </c>
      <c r="G1799" s="123" t="s">
        <v>247</v>
      </c>
      <c r="H1799" s="123">
        <v>4400.0</v>
      </c>
      <c r="I1799" s="33" t="s">
        <v>25</v>
      </c>
      <c r="J1799" s="33" t="s">
        <v>3401</v>
      </c>
      <c r="K1799" s="33">
        <v>1.0</v>
      </c>
      <c r="L1799" s="124" t="s">
        <v>10538</v>
      </c>
      <c r="M1799" s="31"/>
    </row>
    <row r="1800">
      <c r="A1800" s="147" t="s">
        <v>10534</v>
      </c>
      <c r="B1800" s="148">
        <v>45922.0</v>
      </c>
      <c r="C1800" s="222">
        <v>8.05011551453E11</v>
      </c>
      <c r="D1800" s="222" t="s">
        <v>10535</v>
      </c>
      <c r="E1800" s="222" t="s">
        <v>10536</v>
      </c>
      <c r="F1800" s="204" t="s">
        <v>10537</v>
      </c>
      <c r="G1800" s="204" t="s">
        <v>247</v>
      </c>
      <c r="H1800" s="204">
        <v>4400.0</v>
      </c>
      <c r="I1800" s="222">
        <v>125809.0</v>
      </c>
      <c r="J1800" s="222" t="s">
        <v>2632</v>
      </c>
      <c r="K1800" s="222">
        <v>1.0</v>
      </c>
      <c r="L1800" s="223" t="s">
        <v>10538</v>
      </c>
      <c r="M1800" s="136"/>
      <c r="N1800" s="179"/>
      <c r="O1800" s="179"/>
      <c r="P1800" s="179"/>
      <c r="Q1800" s="179"/>
      <c r="R1800" s="179"/>
      <c r="S1800" s="179"/>
      <c r="T1800" s="179"/>
      <c r="U1800" s="179"/>
      <c r="V1800" s="179"/>
      <c r="W1800" s="179"/>
      <c r="X1800" s="179"/>
      <c r="Y1800" s="179"/>
      <c r="Z1800" s="179"/>
      <c r="AA1800" s="179"/>
      <c r="AB1800" s="179"/>
      <c r="AC1800" s="179"/>
    </row>
    <row r="1801">
      <c r="A1801" s="33" t="s">
        <v>10539</v>
      </c>
      <c r="B1801" s="122">
        <v>45924.0</v>
      </c>
      <c r="C1801" s="33">
        <v>8.07000033352E11</v>
      </c>
      <c r="D1801" s="33" t="s">
        <v>10540</v>
      </c>
      <c r="E1801" s="33" t="s">
        <v>10541</v>
      </c>
      <c r="F1801" s="123" t="s">
        <v>10542</v>
      </c>
      <c r="G1801" s="123" t="s">
        <v>247</v>
      </c>
      <c r="H1801" s="123">
        <v>4400.0</v>
      </c>
      <c r="I1801" s="33" t="s">
        <v>10543</v>
      </c>
      <c r="J1801" s="33" t="s">
        <v>10544</v>
      </c>
      <c r="K1801" s="33">
        <v>1.0</v>
      </c>
      <c r="L1801" s="124" t="s">
        <v>10545</v>
      </c>
      <c r="M1801" s="31"/>
    </row>
    <row r="1802">
      <c r="A1802" s="33" t="s">
        <v>10546</v>
      </c>
      <c r="B1802" s="122">
        <v>45926.0</v>
      </c>
      <c r="C1802" s="211">
        <v>8.07000033346E11</v>
      </c>
      <c r="D1802" s="211" t="s">
        <v>10547</v>
      </c>
      <c r="E1802" s="211" t="s">
        <v>10548</v>
      </c>
      <c r="F1802" s="123" t="s">
        <v>10549</v>
      </c>
      <c r="G1802" s="123" t="s">
        <v>127</v>
      </c>
      <c r="H1802" s="123">
        <v>4400.0</v>
      </c>
      <c r="I1802" s="211" t="s">
        <v>3131</v>
      </c>
      <c r="J1802" s="211" t="s">
        <v>3416</v>
      </c>
      <c r="K1802" s="211">
        <v>1.0</v>
      </c>
      <c r="L1802" s="124">
        <v>3.875295632E9</v>
      </c>
      <c r="M1802" s="31"/>
    </row>
    <row r="1803">
      <c r="A1803" s="33" t="s">
        <v>10546</v>
      </c>
      <c r="B1803" s="122">
        <v>45926.0</v>
      </c>
      <c r="C1803" s="224">
        <v>8.07000033346E11</v>
      </c>
      <c r="D1803" s="224" t="s">
        <v>10547</v>
      </c>
      <c r="E1803" s="224" t="s">
        <v>10548</v>
      </c>
      <c r="F1803" s="123" t="s">
        <v>10549</v>
      </c>
      <c r="G1803" s="123" t="s">
        <v>127</v>
      </c>
      <c r="H1803" s="123">
        <v>4400.0</v>
      </c>
      <c r="I1803" s="224" t="s">
        <v>35</v>
      </c>
      <c r="J1803" s="224" t="s">
        <v>3188</v>
      </c>
      <c r="K1803" s="224">
        <v>1.0</v>
      </c>
      <c r="L1803" s="124">
        <v>3.875295632E9</v>
      </c>
      <c r="M1803" s="31"/>
    </row>
    <row r="1804">
      <c r="A1804" s="33" t="s">
        <v>10550</v>
      </c>
      <c r="B1804" s="122">
        <v>45926.0</v>
      </c>
      <c r="C1804" s="211">
        <v>8.07000033372E11</v>
      </c>
      <c r="D1804" s="211" t="s">
        <v>10551</v>
      </c>
      <c r="E1804" s="211" t="s">
        <v>10552</v>
      </c>
      <c r="F1804" s="123" t="s">
        <v>10553</v>
      </c>
      <c r="G1804" s="123" t="s">
        <v>127</v>
      </c>
      <c r="H1804" s="123">
        <v>4400.0</v>
      </c>
      <c r="I1804" s="211" t="s">
        <v>947</v>
      </c>
      <c r="J1804" s="211" t="s">
        <v>3750</v>
      </c>
      <c r="K1804" s="211">
        <v>1.0</v>
      </c>
      <c r="L1804" s="124">
        <v>3.875115208E9</v>
      </c>
      <c r="M1804" s="31"/>
    </row>
    <row r="1805">
      <c r="A1805" s="33" t="s">
        <v>10550</v>
      </c>
      <c r="B1805" s="122">
        <v>45926.0</v>
      </c>
      <c r="C1805" s="224">
        <v>8.07000033372E11</v>
      </c>
      <c r="D1805" s="224" t="s">
        <v>10551</v>
      </c>
      <c r="E1805" s="224" t="s">
        <v>10552</v>
      </c>
      <c r="F1805" s="123" t="s">
        <v>10553</v>
      </c>
      <c r="G1805" s="123" t="s">
        <v>127</v>
      </c>
      <c r="H1805" s="123">
        <v>4400.0</v>
      </c>
      <c r="I1805" s="224" t="s">
        <v>512</v>
      </c>
      <c r="J1805" s="224" t="s">
        <v>513</v>
      </c>
      <c r="K1805" s="224">
        <v>6.0</v>
      </c>
      <c r="L1805" s="124">
        <v>3.875115208E9</v>
      </c>
      <c r="M1805" s="31"/>
    </row>
    <row r="1806">
      <c r="A1806" s="33" t="s">
        <v>10550</v>
      </c>
      <c r="B1806" s="122">
        <v>45926.0</v>
      </c>
      <c r="C1806" s="211">
        <v>8.07000033372E11</v>
      </c>
      <c r="D1806" s="211" t="s">
        <v>10551</v>
      </c>
      <c r="E1806" s="211" t="s">
        <v>10552</v>
      </c>
      <c r="F1806" s="123" t="s">
        <v>10553</v>
      </c>
      <c r="G1806" s="123" t="s">
        <v>127</v>
      </c>
      <c r="H1806" s="123">
        <v>4400.0</v>
      </c>
      <c r="I1806" s="211" t="s">
        <v>35</v>
      </c>
      <c r="J1806" s="211" t="s">
        <v>3188</v>
      </c>
      <c r="K1806" s="211">
        <v>1.0</v>
      </c>
      <c r="L1806" s="124">
        <v>3.875115208E9</v>
      </c>
      <c r="M1806" s="31"/>
    </row>
    <row r="1807">
      <c r="A1807" s="33" t="s">
        <v>10554</v>
      </c>
      <c r="B1807" s="122">
        <v>45926.0</v>
      </c>
      <c r="C1807" s="224">
        <v>8.07000033377E11</v>
      </c>
      <c r="D1807" s="224" t="s">
        <v>10555</v>
      </c>
      <c r="E1807" s="224" t="s">
        <v>10556</v>
      </c>
      <c r="F1807" s="123" t="s">
        <v>10557</v>
      </c>
      <c r="G1807" s="123" t="s">
        <v>127</v>
      </c>
      <c r="H1807" s="123">
        <v>4400.0</v>
      </c>
      <c r="I1807" s="224" t="s">
        <v>3166</v>
      </c>
      <c r="J1807" s="224" t="s">
        <v>3167</v>
      </c>
      <c r="K1807" s="224">
        <v>1.0</v>
      </c>
      <c r="L1807" s="124">
        <v>3.876631806E9</v>
      </c>
      <c r="M1807" s="31"/>
    </row>
    <row r="1808">
      <c r="A1808" s="33" t="s">
        <v>10554</v>
      </c>
      <c r="B1808" s="122">
        <v>45926.0</v>
      </c>
      <c r="C1808" s="211">
        <v>8.07000033377E11</v>
      </c>
      <c r="D1808" s="211" t="s">
        <v>10555</v>
      </c>
      <c r="E1808" s="211" t="s">
        <v>10556</v>
      </c>
      <c r="F1808" s="123" t="s">
        <v>10557</v>
      </c>
      <c r="G1808" s="123" t="s">
        <v>127</v>
      </c>
      <c r="H1808" s="123">
        <v>4400.0</v>
      </c>
      <c r="I1808" s="211" t="s">
        <v>512</v>
      </c>
      <c r="J1808" s="211" t="s">
        <v>513</v>
      </c>
      <c r="K1808" s="211">
        <v>6.0</v>
      </c>
      <c r="L1808" s="124">
        <v>3.876631806E9</v>
      </c>
      <c r="M1808" s="31"/>
    </row>
    <row r="1809">
      <c r="A1809" s="33" t="s">
        <v>10554</v>
      </c>
      <c r="B1809" s="122">
        <v>45926.0</v>
      </c>
      <c r="C1809" s="224">
        <v>8.07000033378E11</v>
      </c>
      <c r="D1809" s="224" t="s">
        <v>10555</v>
      </c>
      <c r="E1809" s="224" t="s">
        <v>10556</v>
      </c>
      <c r="F1809" s="123" t="s">
        <v>10557</v>
      </c>
      <c r="G1809" s="123" t="s">
        <v>127</v>
      </c>
      <c r="H1809" s="123">
        <v>4400.0</v>
      </c>
      <c r="I1809" s="224" t="s">
        <v>3154</v>
      </c>
      <c r="J1809" s="224" t="s">
        <v>4564</v>
      </c>
      <c r="K1809" s="224">
        <v>1.0</v>
      </c>
      <c r="L1809" s="124">
        <v>3.876631806E9</v>
      </c>
      <c r="M1809" s="31"/>
    </row>
    <row r="1810">
      <c r="A1810" s="33" t="s">
        <v>10554</v>
      </c>
      <c r="B1810" s="122">
        <v>45926.0</v>
      </c>
      <c r="C1810" s="211">
        <v>8.07000033378E11</v>
      </c>
      <c r="D1810" s="211" t="s">
        <v>10555</v>
      </c>
      <c r="E1810" s="211" t="s">
        <v>10556</v>
      </c>
      <c r="F1810" s="123" t="s">
        <v>10557</v>
      </c>
      <c r="G1810" s="123" t="s">
        <v>127</v>
      </c>
      <c r="H1810" s="123">
        <v>4400.0</v>
      </c>
      <c r="I1810" s="211" t="s">
        <v>2031</v>
      </c>
      <c r="J1810" s="211" t="s">
        <v>3348</v>
      </c>
      <c r="K1810" s="211">
        <v>1.0</v>
      </c>
      <c r="L1810" s="124">
        <v>3.876631806E9</v>
      </c>
      <c r="M1810" s="31"/>
    </row>
    <row r="1811">
      <c r="A1811" s="33" t="s">
        <v>10558</v>
      </c>
      <c r="B1811" s="122">
        <v>45926.0</v>
      </c>
      <c r="C1811" s="224">
        <v>8.07000033379E11</v>
      </c>
      <c r="D1811" s="224" t="s">
        <v>9526</v>
      </c>
      <c r="E1811" s="224" t="s">
        <v>10559</v>
      </c>
      <c r="F1811" s="123" t="s">
        <v>9528</v>
      </c>
      <c r="G1811" s="123" t="s">
        <v>127</v>
      </c>
      <c r="H1811" s="123">
        <v>4400.0</v>
      </c>
      <c r="I1811" s="224" t="s">
        <v>10560</v>
      </c>
      <c r="J1811" s="224" t="s">
        <v>10561</v>
      </c>
      <c r="K1811" s="224">
        <v>2.0</v>
      </c>
      <c r="L1811" s="124">
        <v>3.874432678E9</v>
      </c>
      <c r="M1811" s="31"/>
    </row>
    <row r="1812">
      <c r="A1812" s="33" t="s">
        <v>10562</v>
      </c>
      <c r="B1812" s="122">
        <v>45926.0</v>
      </c>
      <c r="C1812" s="33"/>
      <c r="D1812" s="33" t="s">
        <v>10413</v>
      </c>
      <c r="E1812" s="33" t="s">
        <v>10414</v>
      </c>
      <c r="F1812" s="123" t="s">
        <v>10415</v>
      </c>
      <c r="G1812" s="123" t="s">
        <v>127</v>
      </c>
      <c r="H1812" s="123">
        <v>4400.0</v>
      </c>
      <c r="I1812" s="33" t="s">
        <v>10563</v>
      </c>
      <c r="J1812" s="33" t="s">
        <v>10564</v>
      </c>
      <c r="K1812" s="33">
        <v>1.0</v>
      </c>
      <c r="L1812" s="124">
        <v>3.874743857E9</v>
      </c>
      <c r="M1812" s="54" t="s">
        <v>10565</v>
      </c>
    </row>
    <row r="1813" ht="6.75" customHeight="1">
      <c r="A1813" s="225"/>
      <c r="B1813" s="226"/>
      <c r="C1813" s="225"/>
      <c r="D1813" s="225"/>
      <c r="E1813" s="225"/>
      <c r="F1813" s="227"/>
      <c r="G1813" s="227"/>
      <c r="H1813" s="227"/>
      <c r="I1813" s="225"/>
      <c r="J1813" s="225"/>
      <c r="K1813" s="225"/>
      <c r="L1813" s="228"/>
      <c r="M1813" s="229"/>
      <c r="N1813" s="229"/>
      <c r="O1813" s="229"/>
      <c r="P1813" s="229"/>
      <c r="Q1813" s="229"/>
      <c r="R1813" s="229"/>
      <c r="S1813" s="229"/>
      <c r="T1813" s="229"/>
      <c r="U1813" s="229"/>
      <c r="V1813" s="229"/>
      <c r="W1813" s="229"/>
      <c r="X1813" s="229"/>
      <c r="Y1813" s="229"/>
      <c r="Z1813" s="229"/>
      <c r="AA1813" s="229"/>
      <c r="AB1813" s="229"/>
      <c r="AC1813" s="229"/>
    </row>
    <row r="1814">
      <c r="A1814" s="33" t="s">
        <v>10566</v>
      </c>
      <c r="B1814" s="122">
        <v>45930.0</v>
      </c>
      <c r="C1814" s="211">
        <v>8.07000033391E11</v>
      </c>
      <c r="D1814" s="211" t="s">
        <v>10567</v>
      </c>
      <c r="E1814" s="211" t="s">
        <v>10568</v>
      </c>
      <c r="F1814" s="123" t="s">
        <v>10569</v>
      </c>
      <c r="G1814" s="123" t="s">
        <v>127</v>
      </c>
      <c r="H1814" s="123">
        <v>4400.0</v>
      </c>
      <c r="I1814" s="211">
        <v>125810.0</v>
      </c>
      <c r="J1814" s="211" t="s">
        <v>4672</v>
      </c>
      <c r="K1814" s="211">
        <v>2.0</v>
      </c>
      <c r="L1814" s="124">
        <v>3.875180697E9</v>
      </c>
    </row>
    <row r="1815">
      <c r="A1815" s="33" t="s">
        <v>10566</v>
      </c>
      <c r="B1815" s="122">
        <v>45930.0</v>
      </c>
      <c r="C1815" s="224">
        <v>8.07000033391E11</v>
      </c>
      <c r="D1815" s="224" t="s">
        <v>10567</v>
      </c>
      <c r="E1815" s="224" t="s">
        <v>10568</v>
      </c>
      <c r="F1815" s="123" t="s">
        <v>10569</v>
      </c>
      <c r="G1815" s="123" t="s">
        <v>127</v>
      </c>
      <c r="H1815" s="123">
        <v>4400.0</v>
      </c>
      <c r="I1815" s="224">
        <v>125813.0</v>
      </c>
      <c r="J1815" s="224" t="s">
        <v>5703</v>
      </c>
      <c r="K1815" s="224">
        <v>1.0</v>
      </c>
      <c r="L1815" s="124">
        <v>3.875180697E9</v>
      </c>
    </row>
    <row r="1816">
      <c r="A1816" s="33" t="s">
        <v>10566</v>
      </c>
      <c r="B1816" s="122">
        <v>45930.0</v>
      </c>
      <c r="C1816" s="211">
        <v>8.07000033391E11</v>
      </c>
      <c r="D1816" s="211" t="s">
        <v>10567</v>
      </c>
      <c r="E1816" s="211" t="s">
        <v>10568</v>
      </c>
      <c r="F1816" s="123" t="s">
        <v>10569</v>
      </c>
      <c r="G1816" s="123" t="s">
        <v>127</v>
      </c>
      <c r="H1816" s="123">
        <v>4400.0</v>
      </c>
      <c r="I1816" s="211">
        <v>125822.0</v>
      </c>
      <c r="J1816" s="211" t="s">
        <v>6030</v>
      </c>
      <c r="K1816" s="211">
        <v>1.0</v>
      </c>
      <c r="L1816" s="124">
        <v>3.875180697E9</v>
      </c>
    </row>
    <row r="1817">
      <c r="A1817" s="33" t="s">
        <v>10566</v>
      </c>
      <c r="B1817" s="122">
        <v>45930.0</v>
      </c>
      <c r="C1817" s="224">
        <v>8.07000033392E11</v>
      </c>
      <c r="D1817" s="224" t="s">
        <v>10567</v>
      </c>
      <c r="E1817" s="224" t="s">
        <v>10568</v>
      </c>
      <c r="F1817" s="123" t="s">
        <v>10569</v>
      </c>
      <c r="G1817" s="123" t="s">
        <v>127</v>
      </c>
      <c r="H1817" s="123">
        <v>4400.0</v>
      </c>
      <c r="I1817" s="224" t="s">
        <v>3131</v>
      </c>
      <c r="J1817" s="224" t="s">
        <v>3416</v>
      </c>
      <c r="K1817" s="224">
        <v>1.0</v>
      </c>
      <c r="L1817" s="124">
        <v>3.875180697E9</v>
      </c>
    </row>
    <row r="1818">
      <c r="A1818" s="33" t="s">
        <v>10570</v>
      </c>
      <c r="B1818" s="122">
        <v>45930.0</v>
      </c>
      <c r="C1818" s="211">
        <v>8.07000033393E11</v>
      </c>
      <c r="D1818" s="211" t="s">
        <v>4956</v>
      </c>
      <c r="E1818" s="211" t="s">
        <v>4957</v>
      </c>
      <c r="F1818" s="123" t="s">
        <v>10571</v>
      </c>
      <c r="G1818" s="123" t="s">
        <v>127</v>
      </c>
      <c r="H1818" s="123">
        <v>4400.0</v>
      </c>
      <c r="I1818" s="211" t="s">
        <v>761</v>
      </c>
      <c r="J1818" s="211" t="s">
        <v>3761</v>
      </c>
      <c r="K1818" s="211">
        <v>1.0</v>
      </c>
      <c r="L1818" s="124">
        <v>3.874124408E9</v>
      </c>
    </row>
    <row r="1819">
      <c r="A1819" s="33" t="s">
        <v>10570</v>
      </c>
      <c r="B1819" s="122">
        <v>45930.0</v>
      </c>
      <c r="C1819" s="224">
        <v>8.07000033393E11</v>
      </c>
      <c r="D1819" s="224" t="s">
        <v>4956</v>
      </c>
      <c r="E1819" s="224" t="s">
        <v>4957</v>
      </c>
      <c r="F1819" s="123" t="s">
        <v>10571</v>
      </c>
      <c r="G1819" s="123" t="s">
        <v>127</v>
      </c>
      <c r="H1819" s="123">
        <v>4400.0</v>
      </c>
      <c r="I1819" s="224" t="s">
        <v>3512</v>
      </c>
      <c r="J1819" s="224" t="s">
        <v>3513</v>
      </c>
      <c r="K1819" s="224">
        <v>6.0</v>
      </c>
      <c r="L1819" s="124">
        <v>3.874124408E9</v>
      </c>
    </row>
    <row r="1820">
      <c r="A1820" s="33" t="s">
        <v>10570</v>
      </c>
      <c r="B1820" s="122">
        <v>45930.0</v>
      </c>
      <c r="C1820" s="211">
        <v>8.07000033394E11</v>
      </c>
      <c r="D1820" s="211" t="s">
        <v>4956</v>
      </c>
      <c r="E1820" s="211" t="s">
        <v>4957</v>
      </c>
      <c r="F1820" s="123" t="s">
        <v>10571</v>
      </c>
      <c r="G1820" s="123" t="s">
        <v>127</v>
      </c>
      <c r="H1820" s="123">
        <v>4400.0</v>
      </c>
      <c r="I1820" s="211" t="s">
        <v>340</v>
      </c>
      <c r="J1820" s="211" t="s">
        <v>3486</v>
      </c>
      <c r="K1820" s="211">
        <v>2.0</v>
      </c>
      <c r="L1820" s="124">
        <v>3.874124408E9</v>
      </c>
    </row>
    <row r="1821">
      <c r="A1821" s="33" t="s">
        <v>10572</v>
      </c>
      <c r="B1821" s="122">
        <v>45930.0</v>
      </c>
      <c r="C1821" s="224">
        <v>8.07000033398E11</v>
      </c>
      <c r="D1821" s="224" t="s">
        <v>4956</v>
      </c>
      <c r="E1821" s="224" t="s">
        <v>4957</v>
      </c>
      <c r="F1821" s="123" t="s">
        <v>10571</v>
      </c>
      <c r="G1821" s="123" t="s">
        <v>127</v>
      </c>
      <c r="H1821" s="123">
        <v>4400.0</v>
      </c>
      <c r="I1821" s="224" t="s">
        <v>4775</v>
      </c>
      <c r="J1821" s="224" t="s">
        <v>4776</v>
      </c>
      <c r="K1821" s="224">
        <v>1.0</v>
      </c>
      <c r="L1821" s="124">
        <v>3.874124408E9</v>
      </c>
    </row>
    <row r="1822">
      <c r="A1822" s="33" t="s">
        <v>10572</v>
      </c>
      <c r="B1822" s="122">
        <v>45930.0</v>
      </c>
      <c r="C1822" s="211">
        <v>8.07000033399E11</v>
      </c>
      <c r="D1822" s="211" t="s">
        <v>4956</v>
      </c>
      <c r="E1822" s="211" t="s">
        <v>4957</v>
      </c>
      <c r="F1822" s="123" t="s">
        <v>10571</v>
      </c>
      <c r="G1822" s="123" t="s">
        <v>127</v>
      </c>
      <c r="H1822" s="123">
        <v>4400.0</v>
      </c>
      <c r="I1822" s="211" t="s">
        <v>3510</v>
      </c>
      <c r="J1822" s="211" t="s">
        <v>3511</v>
      </c>
      <c r="K1822" s="211">
        <v>1.0</v>
      </c>
      <c r="L1822" s="124">
        <v>3.874124408E9</v>
      </c>
    </row>
    <row r="1823">
      <c r="A1823" s="33" t="s">
        <v>10573</v>
      </c>
      <c r="B1823" s="122">
        <v>45930.0</v>
      </c>
      <c r="C1823" s="224">
        <v>8.07000033401E11</v>
      </c>
      <c r="D1823" s="224" t="s">
        <v>6545</v>
      </c>
      <c r="E1823" s="224" t="s">
        <v>6546</v>
      </c>
      <c r="F1823" s="123" t="s">
        <v>10574</v>
      </c>
      <c r="G1823" s="123" t="s">
        <v>10575</v>
      </c>
      <c r="H1823" s="123"/>
      <c r="I1823" s="224" t="s">
        <v>118</v>
      </c>
      <c r="J1823" s="224" t="s">
        <v>4650</v>
      </c>
      <c r="K1823" s="224">
        <v>1.0</v>
      </c>
      <c r="L1823" s="124">
        <v>3.875287662E9</v>
      </c>
    </row>
    <row r="1824">
      <c r="A1824" s="33" t="s">
        <v>10573</v>
      </c>
      <c r="B1824" s="122">
        <v>45930.0</v>
      </c>
      <c r="C1824" s="211">
        <v>8.07000033401E11</v>
      </c>
      <c r="D1824" s="211" t="s">
        <v>6545</v>
      </c>
      <c r="E1824" s="211" t="s">
        <v>6546</v>
      </c>
      <c r="F1824" s="123" t="s">
        <v>10574</v>
      </c>
      <c r="G1824" s="123" t="s">
        <v>10575</v>
      </c>
      <c r="H1824" s="123"/>
      <c r="I1824" s="211" t="s">
        <v>512</v>
      </c>
      <c r="J1824" s="211" t="s">
        <v>513</v>
      </c>
      <c r="K1824" s="211">
        <v>12.0</v>
      </c>
      <c r="L1824" s="124">
        <v>3.875287662E9</v>
      </c>
    </row>
    <row r="1825">
      <c r="A1825" s="33" t="s">
        <v>10573</v>
      </c>
      <c r="B1825" s="122">
        <v>45930.0</v>
      </c>
      <c r="C1825" s="224">
        <v>8.07000033402E11</v>
      </c>
      <c r="D1825" s="224" t="s">
        <v>6545</v>
      </c>
      <c r="E1825" s="224" t="s">
        <v>6546</v>
      </c>
      <c r="F1825" s="123" t="s">
        <v>10574</v>
      </c>
      <c r="G1825" s="123" t="s">
        <v>10575</v>
      </c>
      <c r="H1825" s="123"/>
      <c r="I1825" s="224" t="s">
        <v>121</v>
      </c>
      <c r="J1825" s="224" t="s">
        <v>3199</v>
      </c>
      <c r="K1825" s="224">
        <v>2.0</v>
      </c>
      <c r="L1825" s="124">
        <v>3.875287662E9</v>
      </c>
    </row>
    <row r="1826">
      <c r="A1826" s="33" t="s">
        <v>10576</v>
      </c>
      <c r="B1826" s="122">
        <v>45930.0</v>
      </c>
      <c r="C1826" s="224">
        <v>8.07000033408E11</v>
      </c>
      <c r="D1826" s="224" t="s">
        <v>8673</v>
      </c>
      <c r="E1826" s="224" t="s">
        <v>8674</v>
      </c>
      <c r="F1826" s="123" t="s">
        <v>10577</v>
      </c>
      <c r="G1826" s="123" t="s">
        <v>104</v>
      </c>
      <c r="H1826" s="123">
        <v>4400.0</v>
      </c>
      <c r="I1826" s="224">
        <v>208501.0</v>
      </c>
      <c r="J1826" s="224" t="s">
        <v>481</v>
      </c>
      <c r="K1826" s="224">
        <v>2.0</v>
      </c>
      <c r="L1826" s="124">
        <v>3.874102034E9</v>
      </c>
    </row>
    <row r="1827">
      <c r="A1827" s="33" t="s">
        <v>10576</v>
      </c>
      <c r="B1827" s="122">
        <v>45930.0</v>
      </c>
      <c r="C1827" s="211">
        <v>8.07000033409E11</v>
      </c>
      <c r="D1827" s="211" t="s">
        <v>8673</v>
      </c>
      <c r="E1827" s="211" t="s">
        <v>8674</v>
      </c>
      <c r="F1827" s="123" t="s">
        <v>10577</v>
      </c>
      <c r="G1827" s="123" t="s">
        <v>104</v>
      </c>
      <c r="H1827" s="123">
        <v>4400.0</v>
      </c>
      <c r="I1827" s="211" t="s">
        <v>3285</v>
      </c>
      <c r="J1827" s="211" t="s">
        <v>3286</v>
      </c>
      <c r="K1827" s="211">
        <v>1.0</v>
      </c>
      <c r="L1827" s="124">
        <v>3.874102034E9</v>
      </c>
    </row>
    <row r="1828">
      <c r="A1828" s="33" t="s">
        <v>10578</v>
      </c>
      <c r="B1828" s="122">
        <v>45930.0</v>
      </c>
      <c r="C1828" s="211">
        <v>8.07000033387E11</v>
      </c>
      <c r="D1828" s="211" t="s">
        <v>10579</v>
      </c>
      <c r="E1828" s="211" t="s">
        <v>10580</v>
      </c>
      <c r="F1828" s="123" t="s">
        <v>10581</v>
      </c>
      <c r="G1828" s="123" t="s">
        <v>104</v>
      </c>
      <c r="H1828" s="123">
        <v>4400.0</v>
      </c>
      <c r="I1828" s="211">
        <v>125822.0</v>
      </c>
      <c r="J1828" s="211" t="s">
        <v>6030</v>
      </c>
      <c r="K1828" s="211">
        <v>1.0</v>
      </c>
      <c r="L1828" s="124">
        <v>3.87605649E9</v>
      </c>
    </row>
    <row r="1829">
      <c r="A1829" s="33" t="s">
        <v>10578</v>
      </c>
      <c r="B1829" s="122">
        <v>45930.0</v>
      </c>
      <c r="C1829" s="224">
        <v>8.07000033388E11</v>
      </c>
      <c r="D1829" s="224" t="s">
        <v>10579</v>
      </c>
      <c r="E1829" s="224" t="s">
        <v>10580</v>
      </c>
      <c r="F1829" s="123" t="s">
        <v>10581</v>
      </c>
      <c r="G1829" s="123" t="s">
        <v>104</v>
      </c>
      <c r="H1829" s="123">
        <v>4400.0</v>
      </c>
      <c r="I1829" s="224" t="s">
        <v>971</v>
      </c>
      <c r="J1829" s="224" t="s">
        <v>4477</v>
      </c>
      <c r="K1829" s="224">
        <v>1.0</v>
      </c>
      <c r="L1829" s="124">
        <v>3.87605649E9</v>
      </c>
    </row>
    <row r="1830">
      <c r="A1830" s="33" t="s">
        <v>10582</v>
      </c>
      <c r="B1830" s="122">
        <v>45930.0</v>
      </c>
      <c r="C1830" s="224">
        <v>8.0700003341E11</v>
      </c>
      <c r="D1830" s="224" t="s">
        <v>10583</v>
      </c>
      <c r="E1830" s="224" t="s">
        <v>10584</v>
      </c>
      <c r="F1830" s="123" t="s">
        <v>10585</v>
      </c>
      <c r="G1830" s="123" t="s">
        <v>104</v>
      </c>
      <c r="H1830" s="123">
        <v>4400.0</v>
      </c>
      <c r="I1830" s="224">
        <v>125811.0</v>
      </c>
      <c r="J1830" s="224" t="s">
        <v>6073</v>
      </c>
      <c r="K1830" s="224">
        <v>1.0</v>
      </c>
      <c r="L1830" s="124">
        <v>3.87538486E9</v>
      </c>
    </row>
    <row r="1831">
      <c r="A1831" s="33" t="s">
        <v>10582</v>
      </c>
      <c r="B1831" s="122">
        <v>45930.0</v>
      </c>
      <c r="C1831" s="211">
        <v>8.0700003341E11</v>
      </c>
      <c r="D1831" s="211" t="s">
        <v>10583</v>
      </c>
      <c r="E1831" s="211" t="s">
        <v>10584</v>
      </c>
      <c r="F1831" s="123" t="s">
        <v>10585</v>
      </c>
      <c r="G1831" s="123" t="s">
        <v>104</v>
      </c>
      <c r="H1831" s="123">
        <v>4400.0</v>
      </c>
      <c r="I1831" s="211" t="s">
        <v>971</v>
      </c>
      <c r="J1831" s="211" t="s">
        <v>4477</v>
      </c>
      <c r="K1831" s="211">
        <v>1.0</v>
      </c>
      <c r="L1831" s="124">
        <v>3.87538486E9</v>
      </c>
    </row>
    <row r="1832">
      <c r="A1832" s="33" t="s">
        <v>10586</v>
      </c>
      <c r="B1832" s="122">
        <v>45930.0</v>
      </c>
      <c r="C1832" s="224">
        <v>5.3100000019E10</v>
      </c>
      <c r="D1832" s="224" t="s">
        <v>10583</v>
      </c>
      <c r="E1832" s="224" t="s">
        <v>10584</v>
      </c>
      <c r="F1832" s="123" t="s">
        <v>10585</v>
      </c>
      <c r="G1832" s="123" t="s">
        <v>104</v>
      </c>
      <c r="H1832" s="123">
        <v>4400.0</v>
      </c>
      <c r="I1832" s="224" t="s">
        <v>4070</v>
      </c>
      <c r="J1832" s="224" t="s">
        <v>6264</v>
      </c>
      <c r="K1832" s="224">
        <v>1.0</v>
      </c>
      <c r="L1832" s="124">
        <v>3.87538486E9</v>
      </c>
    </row>
    <row r="1833">
      <c r="A1833" s="33" t="s">
        <v>10587</v>
      </c>
      <c r="B1833" s="122">
        <v>45932.0</v>
      </c>
      <c r="C1833" s="224">
        <v>8.0700003342E11</v>
      </c>
      <c r="D1833" s="224" t="s">
        <v>10588</v>
      </c>
      <c r="E1833" s="224" t="s">
        <v>10589</v>
      </c>
      <c r="F1833" s="123" t="s">
        <v>10590</v>
      </c>
      <c r="G1833" s="123" t="s">
        <v>104</v>
      </c>
      <c r="H1833" s="123">
        <v>4400.0</v>
      </c>
      <c r="I1833" s="224" t="s">
        <v>3376</v>
      </c>
      <c r="J1833" s="224" t="s">
        <v>3377</v>
      </c>
      <c r="K1833" s="224">
        <v>1.0</v>
      </c>
      <c r="L1833" s="124">
        <v>3.875061484E9</v>
      </c>
    </row>
    <row r="1834">
      <c r="A1834" s="33" t="s">
        <v>10591</v>
      </c>
      <c r="B1834" s="122">
        <v>45932.0</v>
      </c>
      <c r="C1834" s="224">
        <v>8.07000033432E11</v>
      </c>
      <c r="D1834" s="224" t="s">
        <v>10592</v>
      </c>
      <c r="E1834" s="224" t="s">
        <v>10593</v>
      </c>
      <c r="F1834" s="123" t="s">
        <v>10594</v>
      </c>
      <c r="G1834" s="123" t="s">
        <v>3234</v>
      </c>
      <c r="H1834" s="143"/>
      <c r="I1834" s="224" t="s">
        <v>634</v>
      </c>
      <c r="J1834" s="224" t="s">
        <v>635</v>
      </c>
      <c r="K1834" s="224">
        <v>2.0</v>
      </c>
      <c r="L1834" s="124">
        <v>3.87561686E9</v>
      </c>
    </row>
    <row r="1835">
      <c r="A1835" s="33" t="s">
        <v>10595</v>
      </c>
      <c r="B1835" s="122">
        <v>45932.0</v>
      </c>
      <c r="C1835" s="211">
        <v>8.07000033436E11</v>
      </c>
      <c r="D1835" s="211" t="s">
        <v>10596</v>
      </c>
      <c r="E1835" s="211" t="s">
        <v>10597</v>
      </c>
      <c r="F1835" s="123" t="s">
        <v>10598</v>
      </c>
      <c r="G1835" s="123" t="s">
        <v>104</v>
      </c>
      <c r="H1835" s="123">
        <v>4400.0</v>
      </c>
      <c r="I1835" s="211" t="s">
        <v>2956</v>
      </c>
      <c r="J1835" s="211" t="s">
        <v>3327</v>
      </c>
      <c r="K1835" s="211">
        <v>1.0</v>
      </c>
      <c r="L1835" s="124">
        <v>3.875329091E9</v>
      </c>
    </row>
    <row r="1836">
      <c r="A1836" s="33" t="s">
        <v>10595</v>
      </c>
      <c r="B1836" s="122">
        <v>45932.0</v>
      </c>
      <c r="C1836" s="224">
        <v>8.07000033436E11</v>
      </c>
      <c r="D1836" s="224" t="s">
        <v>10596</v>
      </c>
      <c r="E1836" s="224" t="s">
        <v>10597</v>
      </c>
      <c r="F1836" s="123" t="s">
        <v>10598</v>
      </c>
      <c r="G1836" s="123" t="s">
        <v>10599</v>
      </c>
      <c r="H1836" s="123">
        <v>4400.0</v>
      </c>
      <c r="I1836" s="224" t="s">
        <v>670</v>
      </c>
      <c r="J1836" s="224" t="s">
        <v>3410</v>
      </c>
      <c r="K1836" s="224">
        <v>1.0</v>
      </c>
      <c r="L1836" s="124">
        <v>3.875329091E9</v>
      </c>
    </row>
    <row r="1837">
      <c r="A1837" s="33"/>
      <c r="B1837" s="122"/>
      <c r="C1837" s="224">
        <v>8.07000033426E11</v>
      </c>
      <c r="D1837" s="224" t="s">
        <v>10600</v>
      </c>
      <c r="E1837" s="224" t="s">
        <v>10601</v>
      </c>
      <c r="F1837" s="123" t="s">
        <v>10602</v>
      </c>
      <c r="G1837" s="123" t="s">
        <v>10603</v>
      </c>
      <c r="H1837" s="123"/>
      <c r="I1837" s="224" t="s">
        <v>512</v>
      </c>
      <c r="J1837" s="224" t="s">
        <v>513</v>
      </c>
      <c r="K1837" s="224">
        <v>12.0</v>
      </c>
      <c r="L1837" s="124"/>
    </row>
    <row r="1838">
      <c r="A1838" s="33"/>
      <c r="B1838" s="122"/>
      <c r="C1838" s="211">
        <v>8.07000033427E11</v>
      </c>
      <c r="D1838" s="211" t="s">
        <v>10600</v>
      </c>
      <c r="E1838" s="211" t="s">
        <v>10601</v>
      </c>
      <c r="F1838" s="123" t="s">
        <v>10602</v>
      </c>
      <c r="G1838" s="123" t="s">
        <v>10603</v>
      </c>
      <c r="H1838" s="123"/>
      <c r="I1838" s="211" t="s">
        <v>50</v>
      </c>
      <c r="J1838" s="211" t="s">
        <v>51</v>
      </c>
      <c r="K1838" s="211">
        <v>1.0</v>
      </c>
      <c r="L1838" s="124"/>
    </row>
    <row r="1839">
      <c r="A1839" s="33"/>
      <c r="B1839" s="122"/>
      <c r="C1839" s="224">
        <v>8.07000033427E11</v>
      </c>
      <c r="D1839" s="224" t="s">
        <v>10600</v>
      </c>
      <c r="E1839" s="224" t="s">
        <v>10601</v>
      </c>
      <c r="F1839" s="123" t="s">
        <v>10602</v>
      </c>
      <c r="G1839" s="123" t="s">
        <v>10603</v>
      </c>
      <c r="H1839" s="123"/>
      <c r="I1839" s="224" t="s">
        <v>22</v>
      </c>
      <c r="J1839" s="224" t="s">
        <v>4013</v>
      </c>
      <c r="K1839" s="224">
        <v>1.0</v>
      </c>
      <c r="L1839" s="124"/>
    </row>
    <row r="1840">
      <c r="A1840" s="33"/>
      <c r="B1840" s="122"/>
      <c r="C1840" s="211">
        <v>8.07000033427E11</v>
      </c>
      <c r="D1840" s="211" t="s">
        <v>10600</v>
      </c>
      <c r="E1840" s="211" t="s">
        <v>10601</v>
      </c>
      <c r="F1840" s="123" t="s">
        <v>10602</v>
      </c>
      <c r="G1840" s="123" t="s">
        <v>10603</v>
      </c>
      <c r="H1840" s="123"/>
      <c r="I1840" s="211" t="s">
        <v>25</v>
      </c>
      <c r="J1840" s="211" t="s">
        <v>3401</v>
      </c>
      <c r="K1840" s="211">
        <v>2.0</v>
      </c>
      <c r="L1840" s="124"/>
    </row>
    <row r="1841">
      <c r="A1841" s="33"/>
      <c r="B1841" s="122"/>
      <c r="C1841" s="224">
        <v>8.07000033429E11</v>
      </c>
      <c r="D1841" s="224" t="s">
        <v>10600</v>
      </c>
      <c r="E1841" s="224" t="s">
        <v>10601</v>
      </c>
      <c r="F1841" s="123" t="s">
        <v>10602</v>
      </c>
      <c r="G1841" s="123" t="s">
        <v>10603</v>
      </c>
      <c r="H1841" s="123"/>
      <c r="I1841" s="224" t="s">
        <v>22</v>
      </c>
      <c r="J1841" s="224" t="s">
        <v>4013</v>
      </c>
      <c r="K1841" s="224">
        <v>1.0</v>
      </c>
      <c r="L1841" s="124"/>
    </row>
    <row r="1842">
      <c r="A1842" s="224" t="s">
        <v>10604</v>
      </c>
      <c r="B1842" s="122">
        <v>45934.0</v>
      </c>
      <c r="C1842" s="224">
        <v>8.07000033429E11</v>
      </c>
      <c r="D1842" s="224" t="s">
        <v>10600</v>
      </c>
      <c r="E1842" s="33" t="s">
        <v>10601</v>
      </c>
      <c r="F1842" s="123" t="s">
        <v>10602</v>
      </c>
      <c r="G1842" s="123" t="s">
        <v>127</v>
      </c>
      <c r="H1842" s="123">
        <v>4400.0</v>
      </c>
      <c r="I1842" s="33" t="s">
        <v>22</v>
      </c>
      <c r="J1842" s="33" t="s">
        <v>10605</v>
      </c>
      <c r="K1842" s="33">
        <v>1.0</v>
      </c>
      <c r="L1842" s="124">
        <v>3.87613857E9</v>
      </c>
    </row>
    <row r="1843">
      <c r="A1843" s="224" t="s">
        <v>10604</v>
      </c>
      <c r="B1843" s="122">
        <v>45934.0</v>
      </c>
      <c r="C1843" s="224">
        <v>8.07000033429E11</v>
      </c>
      <c r="D1843" s="224" t="s">
        <v>10600</v>
      </c>
      <c r="E1843" s="33" t="s">
        <v>10601</v>
      </c>
      <c r="F1843" s="123" t="s">
        <v>10602</v>
      </c>
      <c r="G1843" s="123" t="s">
        <v>127</v>
      </c>
      <c r="H1843" s="123">
        <v>4400.0</v>
      </c>
      <c r="I1843" s="33" t="s">
        <v>2171</v>
      </c>
      <c r="J1843" s="33" t="s">
        <v>10606</v>
      </c>
      <c r="K1843" s="33">
        <v>1.0</v>
      </c>
      <c r="L1843" s="124">
        <v>3.87613857E9</v>
      </c>
    </row>
    <row r="1844">
      <c r="A1844" s="33" t="s">
        <v>10607</v>
      </c>
      <c r="B1844" s="122">
        <v>45934.0</v>
      </c>
      <c r="C1844" s="224">
        <v>8.07000033452E11</v>
      </c>
      <c r="D1844" s="224" t="s">
        <v>10608</v>
      </c>
      <c r="E1844" s="33" t="s">
        <v>10609</v>
      </c>
      <c r="F1844" s="123" t="s">
        <v>10610</v>
      </c>
      <c r="G1844" s="123" t="s">
        <v>127</v>
      </c>
      <c r="H1844" s="123">
        <v>4400.0</v>
      </c>
      <c r="I1844" s="33" t="s">
        <v>541</v>
      </c>
      <c r="J1844" s="33" t="s">
        <v>10611</v>
      </c>
      <c r="K1844" s="33">
        <v>2.0</v>
      </c>
      <c r="L1844" s="124"/>
    </row>
    <row r="1845">
      <c r="A1845" s="33" t="s">
        <v>10607</v>
      </c>
      <c r="B1845" s="122">
        <v>45934.0</v>
      </c>
      <c r="C1845" s="224">
        <v>8.07000033452E11</v>
      </c>
      <c r="D1845" s="224" t="s">
        <v>10608</v>
      </c>
      <c r="E1845" s="33" t="s">
        <v>10609</v>
      </c>
      <c r="F1845" s="123" t="s">
        <v>10610</v>
      </c>
      <c r="G1845" s="123" t="s">
        <v>127</v>
      </c>
      <c r="H1845" s="123">
        <v>4400.0</v>
      </c>
      <c r="I1845" s="33" t="s">
        <v>1345</v>
      </c>
      <c r="J1845" s="33" t="s">
        <v>10612</v>
      </c>
      <c r="K1845" s="33">
        <v>2.0</v>
      </c>
      <c r="L1845" s="124"/>
    </row>
    <row r="1846">
      <c r="A1846" s="33" t="s">
        <v>10613</v>
      </c>
      <c r="B1846" s="122">
        <v>45934.0</v>
      </c>
      <c r="C1846" s="211">
        <v>8.07000033453E11</v>
      </c>
      <c r="D1846" s="211" t="s">
        <v>10614</v>
      </c>
      <c r="E1846" s="33" t="s">
        <v>10615</v>
      </c>
      <c r="F1846" s="123" t="s">
        <v>10616</v>
      </c>
      <c r="G1846" s="123" t="s">
        <v>127</v>
      </c>
      <c r="H1846" s="123">
        <v>4400.0</v>
      </c>
      <c r="I1846" s="33" t="s">
        <v>22</v>
      </c>
      <c r="J1846" s="33" t="s">
        <v>10617</v>
      </c>
      <c r="K1846" s="33">
        <v>1.0</v>
      </c>
      <c r="L1846" s="124">
        <v>3.878563532E9</v>
      </c>
    </row>
    <row r="1847">
      <c r="A1847" s="33"/>
      <c r="B1847" s="122">
        <v>45934.0</v>
      </c>
      <c r="C1847" s="211">
        <v>8.07000033453E11</v>
      </c>
      <c r="D1847" s="211" t="s">
        <v>10614</v>
      </c>
      <c r="E1847" s="33" t="s">
        <v>10615</v>
      </c>
      <c r="F1847" s="123" t="s">
        <v>10616</v>
      </c>
      <c r="G1847" s="123" t="s">
        <v>127</v>
      </c>
      <c r="H1847" s="123">
        <v>4400.0</v>
      </c>
      <c r="I1847" s="33" t="s">
        <v>25</v>
      </c>
      <c r="J1847" s="33" t="s">
        <v>10618</v>
      </c>
      <c r="K1847" s="33">
        <v>1.0</v>
      </c>
      <c r="L1847" s="124">
        <v>3.878563532E9</v>
      </c>
    </row>
    <row r="1848">
      <c r="A1848" s="33" t="s">
        <v>10619</v>
      </c>
      <c r="B1848" s="122">
        <v>45936.0</v>
      </c>
      <c r="C1848" s="224">
        <v>8.07000033416E11</v>
      </c>
      <c r="D1848" s="224" t="s">
        <v>10620</v>
      </c>
      <c r="E1848" s="224" t="s">
        <v>10621</v>
      </c>
      <c r="F1848" s="123" t="s">
        <v>10622</v>
      </c>
      <c r="G1848" s="123" t="s">
        <v>10623</v>
      </c>
      <c r="H1848" s="123"/>
      <c r="I1848" s="224" t="s">
        <v>512</v>
      </c>
      <c r="J1848" s="224" t="s">
        <v>513</v>
      </c>
      <c r="K1848" s="224">
        <v>12.0</v>
      </c>
      <c r="L1848" s="124">
        <v>3.875873664E9</v>
      </c>
    </row>
    <row r="1849">
      <c r="A1849" s="33" t="s">
        <v>10619</v>
      </c>
      <c r="B1849" s="122">
        <v>45936.0</v>
      </c>
      <c r="C1849" s="211">
        <v>8.07000033417E11</v>
      </c>
      <c r="D1849" s="211" t="s">
        <v>10620</v>
      </c>
      <c r="E1849" s="211" t="s">
        <v>10621</v>
      </c>
      <c r="F1849" s="123" t="s">
        <v>10622</v>
      </c>
      <c r="G1849" s="123" t="s">
        <v>10623</v>
      </c>
      <c r="H1849" s="123"/>
      <c r="I1849" s="211" t="s">
        <v>1533</v>
      </c>
      <c r="J1849" s="211" t="s">
        <v>8151</v>
      </c>
      <c r="K1849" s="211">
        <v>1.0</v>
      </c>
      <c r="L1849" s="124">
        <v>3.875873664E9</v>
      </c>
    </row>
    <row r="1850">
      <c r="A1850" s="33" t="s">
        <v>10619</v>
      </c>
      <c r="B1850" s="122">
        <v>45936.0</v>
      </c>
      <c r="C1850" s="224">
        <v>8.07000033417E11</v>
      </c>
      <c r="D1850" s="224" t="s">
        <v>10620</v>
      </c>
      <c r="E1850" s="224" t="s">
        <v>10621</v>
      </c>
      <c r="F1850" s="123" t="s">
        <v>10622</v>
      </c>
      <c r="G1850" s="123" t="s">
        <v>10623</v>
      </c>
      <c r="H1850" s="123"/>
      <c r="I1850" s="224" t="s">
        <v>121</v>
      </c>
      <c r="J1850" s="224" t="s">
        <v>3199</v>
      </c>
      <c r="K1850" s="224">
        <v>2.0</v>
      </c>
      <c r="L1850" s="124">
        <v>3.875873664E9</v>
      </c>
    </row>
    <row r="1851">
      <c r="A1851" s="33" t="s">
        <v>10624</v>
      </c>
      <c r="B1851" s="122">
        <v>45936.0</v>
      </c>
      <c r="C1851" s="224">
        <v>8.07000033451E11</v>
      </c>
      <c r="D1851" s="224" t="s">
        <v>4724</v>
      </c>
      <c r="E1851" s="224" t="s">
        <v>4725</v>
      </c>
      <c r="F1851" s="123"/>
      <c r="G1851" s="123"/>
      <c r="H1851" s="123"/>
      <c r="I1851" s="224" t="s">
        <v>3334</v>
      </c>
      <c r="J1851" s="224" t="s">
        <v>3575</v>
      </c>
      <c r="K1851" s="224">
        <v>2.0</v>
      </c>
      <c r="L1851" s="124"/>
    </row>
    <row r="1852">
      <c r="A1852" s="33" t="s">
        <v>10624</v>
      </c>
      <c r="B1852" s="122">
        <v>45936.0</v>
      </c>
      <c r="C1852" s="211">
        <v>8.07000033451E11</v>
      </c>
      <c r="D1852" s="211" t="s">
        <v>4724</v>
      </c>
      <c r="E1852" s="211" t="s">
        <v>4725</v>
      </c>
      <c r="F1852" s="123"/>
      <c r="G1852" s="123"/>
      <c r="H1852" s="123"/>
      <c r="I1852" s="211" t="s">
        <v>512</v>
      </c>
      <c r="J1852" s="211" t="s">
        <v>513</v>
      </c>
      <c r="K1852" s="211">
        <v>24.0</v>
      </c>
      <c r="L1852" s="124"/>
    </row>
    <row r="1853">
      <c r="A1853" s="33" t="s">
        <v>10625</v>
      </c>
      <c r="B1853" s="122">
        <v>45936.0</v>
      </c>
      <c r="C1853" s="224">
        <v>8.07000033451E11</v>
      </c>
      <c r="D1853" s="224" t="s">
        <v>4724</v>
      </c>
      <c r="E1853" s="224" t="s">
        <v>4725</v>
      </c>
      <c r="F1853" s="123"/>
      <c r="G1853" s="123"/>
      <c r="H1853" s="123"/>
      <c r="I1853" s="224" t="s">
        <v>758</v>
      </c>
      <c r="J1853" s="224" t="s">
        <v>3574</v>
      </c>
      <c r="K1853" s="224">
        <v>4.0</v>
      </c>
      <c r="L1853" s="124"/>
    </row>
    <row r="1854">
      <c r="A1854" s="33" t="s">
        <v>10626</v>
      </c>
      <c r="B1854" s="122">
        <v>45936.0</v>
      </c>
      <c r="C1854" s="211">
        <v>8.07000033473E11</v>
      </c>
      <c r="D1854" s="211" t="s">
        <v>10627</v>
      </c>
      <c r="E1854" s="211" t="s">
        <v>10628</v>
      </c>
      <c r="F1854" s="123"/>
      <c r="G1854" s="123"/>
      <c r="H1854" s="123">
        <v>4400.0</v>
      </c>
      <c r="I1854" s="211" t="s">
        <v>218</v>
      </c>
      <c r="J1854" s="211" t="s">
        <v>8664</v>
      </c>
      <c r="K1854" s="211">
        <v>1.0</v>
      </c>
      <c r="L1854" s="124"/>
    </row>
    <row r="1855">
      <c r="A1855" s="33" t="s">
        <v>10626</v>
      </c>
      <c r="B1855" s="122">
        <v>45936.0</v>
      </c>
      <c r="C1855" s="224">
        <v>8.07000033473E11</v>
      </c>
      <c r="D1855" s="224" t="s">
        <v>10627</v>
      </c>
      <c r="E1855" s="224" t="s">
        <v>10628</v>
      </c>
      <c r="F1855" s="123"/>
      <c r="G1855" s="123"/>
      <c r="H1855" s="123">
        <v>4400.0</v>
      </c>
      <c r="I1855" s="224" t="s">
        <v>512</v>
      </c>
      <c r="J1855" s="224" t="s">
        <v>513</v>
      </c>
      <c r="K1855" s="224">
        <v>12.0</v>
      </c>
      <c r="L1855" s="124"/>
    </row>
    <row r="1856">
      <c r="A1856" s="33" t="s">
        <v>10626</v>
      </c>
      <c r="B1856" s="122">
        <v>45936.0</v>
      </c>
      <c r="C1856" s="211">
        <v>8.07000033473E11</v>
      </c>
      <c r="D1856" s="211" t="s">
        <v>10627</v>
      </c>
      <c r="E1856" s="211" t="s">
        <v>10628</v>
      </c>
      <c r="F1856" s="123"/>
      <c r="G1856" s="123"/>
      <c r="H1856" s="123">
        <v>4400.0</v>
      </c>
      <c r="I1856" s="211" t="s">
        <v>121</v>
      </c>
      <c r="J1856" s="211" t="s">
        <v>3199</v>
      </c>
      <c r="K1856" s="211">
        <v>2.0</v>
      </c>
      <c r="L1856" s="124"/>
    </row>
    <row r="1857">
      <c r="A1857" s="33" t="s">
        <v>10629</v>
      </c>
      <c r="B1857" s="122">
        <v>45936.0</v>
      </c>
      <c r="C1857" s="211">
        <v>8.07000033474E11</v>
      </c>
      <c r="D1857" s="211" t="s">
        <v>10630</v>
      </c>
      <c r="E1857" s="211" t="s">
        <v>10631</v>
      </c>
      <c r="F1857" s="123"/>
      <c r="G1857" s="123"/>
      <c r="H1857" s="123">
        <v>4400.0</v>
      </c>
      <c r="I1857" s="211" t="s">
        <v>5658</v>
      </c>
      <c r="J1857" s="211" t="s">
        <v>5659</v>
      </c>
      <c r="K1857" s="211">
        <v>1.0</v>
      </c>
      <c r="L1857" s="124"/>
    </row>
    <row r="1858">
      <c r="A1858" s="33" t="s">
        <v>10629</v>
      </c>
      <c r="B1858" s="122">
        <v>45936.0</v>
      </c>
      <c r="C1858" s="224">
        <v>8.07000033474E11</v>
      </c>
      <c r="D1858" s="224" t="s">
        <v>10630</v>
      </c>
      <c r="E1858" s="224" t="s">
        <v>10631</v>
      </c>
      <c r="F1858" s="123"/>
      <c r="G1858" s="123"/>
      <c r="H1858" s="123">
        <v>4400.0</v>
      </c>
      <c r="I1858" s="224" t="s">
        <v>512</v>
      </c>
      <c r="J1858" s="224" t="s">
        <v>513</v>
      </c>
      <c r="K1858" s="224">
        <v>12.0</v>
      </c>
      <c r="L1858" s="124"/>
    </row>
    <row r="1859">
      <c r="A1859" s="33" t="s">
        <v>10629</v>
      </c>
      <c r="B1859" s="122">
        <v>45936.0</v>
      </c>
      <c r="C1859" s="211">
        <v>8.07000033474E11</v>
      </c>
      <c r="D1859" s="211" t="s">
        <v>10630</v>
      </c>
      <c r="E1859" s="211" t="s">
        <v>10631</v>
      </c>
      <c r="F1859" s="123"/>
      <c r="G1859" s="123"/>
      <c r="H1859" s="123">
        <v>4400.0</v>
      </c>
      <c r="I1859" s="211" t="s">
        <v>233</v>
      </c>
      <c r="J1859" s="211" t="s">
        <v>3459</v>
      </c>
      <c r="K1859" s="211">
        <v>2.0</v>
      </c>
      <c r="L1859" s="124"/>
    </row>
    <row r="1860">
      <c r="A1860" s="33" t="s">
        <v>10632</v>
      </c>
      <c r="B1860" s="122">
        <v>45937.0</v>
      </c>
      <c r="C1860" s="211">
        <v>8.07000033479E11</v>
      </c>
      <c r="D1860" s="211" t="s">
        <v>10633</v>
      </c>
      <c r="E1860" s="211" t="s">
        <v>10634</v>
      </c>
      <c r="F1860" s="123" t="s">
        <v>10635</v>
      </c>
      <c r="G1860" s="123" t="s">
        <v>10636</v>
      </c>
      <c r="H1860" s="123">
        <v>4400.0</v>
      </c>
      <c r="I1860" s="211" t="s">
        <v>985</v>
      </c>
      <c r="J1860" s="211" t="s">
        <v>3600</v>
      </c>
      <c r="K1860" s="211">
        <v>1.0</v>
      </c>
      <c r="L1860" s="124" t="s">
        <v>10637</v>
      </c>
    </row>
    <row r="1861">
      <c r="A1861" s="33" t="s">
        <v>10632</v>
      </c>
      <c r="B1861" s="122">
        <v>45937.0</v>
      </c>
      <c r="C1861" s="224">
        <v>8.07000033479E11</v>
      </c>
      <c r="D1861" s="224" t="s">
        <v>10633</v>
      </c>
      <c r="E1861" s="224" t="s">
        <v>10634</v>
      </c>
      <c r="F1861" s="123" t="s">
        <v>10635</v>
      </c>
      <c r="G1861" s="123" t="s">
        <v>10636</v>
      </c>
      <c r="H1861" s="123">
        <v>4400.0</v>
      </c>
      <c r="I1861" s="224" t="s">
        <v>512</v>
      </c>
      <c r="J1861" s="224" t="s">
        <v>513</v>
      </c>
      <c r="K1861" s="224">
        <v>6.0</v>
      </c>
      <c r="L1861" s="124" t="s">
        <v>10637</v>
      </c>
    </row>
    <row r="1862">
      <c r="A1862" s="33" t="s">
        <v>10632</v>
      </c>
      <c r="B1862" s="122">
        <v>45937.0</v>
      </c>
      <c r="C1862" s="211">
        <v>8.07000033479E11</v>
      </c>
      <c r="D1862" s="211" t="s">
        <v>10633</v>
      </c>
      <c r="E1862" s="211" t="s">
        <v>10634</v>
      </c>
      <c r="F1862" s="123" t="s">
        <v>10635</v>
      </c>
      <c r="G1862" s="123" t="s">
        <v>10636</v>
      </c>
      <c r="H1862" s="123">
        <v>4400.0</v>
      </c>
      <c r="I1862" s="211" t="s">
        <v>35</v>
      </c>
      <c r="J1862" s="211" t="s">
        <v>3188</v>
      </c>
      <c r="K1862" s="211">
        <v>1.0</v>
      </c>
      <c r="L1862" s="124" t="s">
        <v>10637</v>
      </c>
    </row>
    <row r="1863">
      <c r="A1863" s="33" t="s">
        <v>10638</v>
      </c>
      <c r="B1863" s="122">
        <v>45938.0</v>
      </c>
      <c r="C1863" s="224">
        <v>8.07000033483E11</v>
      </c>
      <c r="D1863" s="224" t="s">
        <v>10639</v>
      </c>
      <c r="E1863" s="224" t="s">
        <v>10640</v>
      </c>
      <c r="F1863" s="123" t="s">
        <v>10641</v>
      </c>
      <c r="G1863" s="123" t="s">
        <v>10636</v>
      </c>
      <c r="H1863" s="123">
        <v>4400.0</v>
      </c>
      <c r="I1863" s="224" t="s">
        <v>512</v>
      </c>
      <c r="J1863" s="224" t="s">
        <v>513</v>
      </c>
      <c r="K1863" s="224">
        <v>6.0</v>
      </c>
      <c r="L1863" s="124">
        <v>3.854728079E9</v>
      </c>
    </row>
    <row r="1864">
      <c r="A1864" s="33" t="s">
        <v>10638</v>
      </c>
      <c r="B1864" s="122">
        <v>45938.0</v>
      </c>
      <c r="C1864" s="211">
        <v>8.07000033484E11</v>
      </c>
      <c r="D1864" s="211" t="s">
        <v>10639</v>
      </c>
      <c r="E1864" s="211" t="s">
        <v>10640</v>
      </c>
      <c r="F1864" s="123" t="s">
        <v>10641</v>
      </c>
      <c r="G1864" s="123" t="s">
        <v>10636</v>
      </c>
      <c r="H1864" s="123">
        <v>4400.0</v>
      </c>
      <c r="I1864" s="211" t="s">
        <v>9359</v>
      </c>
      <c r="J1864" s="211" t="s">
        <v>9360</v>
      </c>
      <c r="K1864" s="211">
        <v>1.0</v>
      </c>
      <c r="L1864" s="124">
        <v>3.854728079E9</v>
      </c>
    </row>
    <row r="1865">
      <c r="A1865" s="33" t="s">
        <v>10638</v>
      </c>
      <c r="B1865" s="122">
        <v>45938.0</v>
      </c>
      <c r="C1865" s="224">
        <v>8.07000033484E11</v>
      </c>
      <c r="D1865" s="224" t="s">
        <v>10639</v>
      </c>
      <c r="E1865" s="224" t="s">
        <v>10640</v>
      </c>
      <c r="F1865" s="123" t="s">
        <v>10641</v>
      </c>
      <c r="G1865" s="123" t="s">
        <v>10636</v>
      </c>
      <c r="H1865" s="123">
        <v>4400.0</v>
      </c>
      <c r="I1865" s="224" t="s">
        <v>969</v>
      </c>
      <c r="J1865" s="224" t="s">
        <v>3296</v>
      </c>
      <c r="K1865" s="224">
        <v>1.0</v>
      </c>
      <c r="L1865" s="124">
        <v>3.854728079E9</v>
      </c>
    </row>
    <row r="1866">
      <c r="A1866" s="33" t="s">
        <v>10642</v>
      </c>
      <c r="B1866" s="122">
        <v>45938.0</v>
      </c>
      <c r="C1866" s="211">
        <v>8.07000033384E11</v>
      </c>
      <c r="D1866" s="211" t="s">
        <v>10643</v>
      </c>
      <c r="E1866" s="211" t="s">
        <v>10644</v>
      </c>
      <c r="F1866" s="123" t="s">
        <v>10645</v>
      </c>
      <c r="G1866" s="123" t="s">
        <v>10636</v>
      </c>
      <c r="H1866" s="123">
        <v>4400.0</v>
      </c>
      <c r="I1866" s="211" t="s">
        <v>4070</v>
      </c>
      <c r="J1866" s="211" t="s">
        <v>6264</v>
      </c>
      <c r="K1866" s="211">
        <v>1.0</v>
      </c>
      <c r="L1866" s="124">
        <v>3.8750096E9</v>
      </c>
    </row>
    <row r="1867">
      <c r="A1867" s="33" t="s">
        <v>10642</v>
      </c>
      <c r="B1867" s="122">
        <v>45938.0</v>
      </c>
      <c r="C1867" s="224">
        <v>8.07000033385E11</v>
      </c>
      <c r="D1867" s="224" t="s">
        <v>10643</v>
      </c>
      <c r="E1867" s="224" t="s">
        <v>10644</v>
      </c>
      <c r="F1867" s="123" t="s">
        <v>10645</v>
      </c>
      <c r="G1867" s="123" t="s">
        <v>10636</v>
      </c>
      <c r="H1867" s="123">
        <v>4400.0</v>
      </c>
      <c r="I1867" s="224" t="s">
        <v>8604</v>
      </c>
      <c r="J1867" s="224" t="s">
        <v>8605</v>
      </c>
      <c r="K1867" s="224">
        <v>1.0</v>
      </c>
      <c r="L1867" s="124">
        <v>3.8750096E9</v>
      </c>
    </row>
    <row r="1868">
      <c r="A1868" s="33" t="s">
        <v>10642</v>
      </c>
      <c r="B1868" s="122">
        <v>45938.0</v>
      </c>
      <c r="C1868" s="211">
        <v>8.07000033385E11</v>
      </c>
      <c r="D1868" s="211" t="s">
        <v>10643</v>
      </c>
      <c r="E1868" s="211" t="s">
        <v>10644</v>
      </c>
      <c r="F1868" s="123" t="s">
        <v>10645</v>
      </c>
      <c r="G1868" s="123" t="s">
        <v>10636</v>
      </c>
      <c r="H1868" s="123">
        <v>4400.0</v>
      </c>
      <c r="I1868" s="211" t="s">
        <v>1345</v>
      </c>
      <c r="J1868" s="211" t="s">
        <v>3639</v>
      </c>
      <c r="K1868" s="211">
        <v>1.0</v>
      </c>
      <c r="L1868" s="124">
        <v>3.8750096E9</v>
      </c>
    </row>
    <row r="1869">
      <c r="A1869" s="33" t="s">
        <v>10646</v>
      </c>
      <c r="B1869" s="122">
        <v>45938.0</v>
      </c>
      <c r="C1869" s="211">
        <v>8.0700003349E11</v>
      </c>
      <c r="D1869" s="211" t="s">
        <v>10647</v>
      </c>
      <c r="E1869" s="211" t="s">
        <v>10648</v>
      </c>
      <c r="F1869" s="123" t="s">
        <v>10649</v>
      </c>
      <c r="G1869" s="123" t="s">
        <v>10636</v>
      </c>
      <c r="H1869" s="123">
        <v>4400.0</v>
      </c>
      <c r="I1869" s="211">
        <v>125817.0</v>
      </c>
      <c r="J1869" s="211" t="s">
        <v>10650</v>
      </c>
      <c r="K1869" s="211">
        <v>3.0</v>
      </c>
      <c r="L1869" s="124">
        <v>3.874562626E9</v>
      </c>
    </row>
    <row r="1870">
      <c r="A1870" s="33" t="s">
        <v>10651</v>
      </c>
      <c r="B1870" s="122">
        <v>45938.0</v>
      </c>
      <c r="C1870" s="224">
        <v>8.07000033491E11</v>
      </c>
      <c r="D1870" s="224" t="s">
        <v>10647</v>
      </c>
      <c r="E1870" s="224" t="s">
        <v>10648</v>
      </c>
      <c r="F1870" s="123" t="s">
        <v>10649</v>
      </c>
      <c r="G1870" s="123" t="s">
        <v>10636</v>
      </c>
      <c r="H1870" s="123">
        <v>4400.0</v>
      </c>
      <c r="I1870" s="224" t="s">
        <v>1241</v>
      </c>
      <c r="J1870" s="224" t="s">
        <v>3500</v>
      </c>
      <c r="K1870" s="224">
        <v>1.0</v>
      </c>
      <c r="L1870" s="124">
        <v>3.874562626E9</v>
      </c>
    </row>
    <row r="1871">
      <c r="A1871" s="33" t="s">
        <v>10651</v>
      </c>
      <c r="B1871" s="122">
        <v>45938.0</v>
      </c>
      <c r="C1871" s="211">
        <v>8.07000033491E11</v>
      </c>
      <c r="D1871" s="211" t="s">
        <v>10647</v>
      </c>
      <c r="E1871" s="211" t="s">
        <v>10648</v>
      </c>
      <c r="F1871" s="123" t="s">
        <v>10649</v>
      </c>
      <c r="G1871" s="123" t="s">
        <v>10636</v>
      </c>
      <c r="H1871" s="123">
        <v>4400.0</v>
      </c>
      <c r="I1871" s="211" t="s">
        <v>561</v>
      </c>
      <c r="J1871" s="211" t="s">
        <v>8209</v>
      </c>
      <c r="K1871" s="211">
        <v>1.0</v>
      </c>
      <c r="L1871" s="124">
        <v>3.874562626E9</v>
      </c>
    </row>
    <row r="1872" ht="1.5" customHeight="1">
      <c r="A1872" s="225"/>
      <c r="B1872" s="226"/>
      <c r="C1872" s="225"/>
      <c r="D1872" s="225"/>
      <c r="E1872" s="225"/>
      <c r="F1872" s="227"/>
      <c r="G1872" s="227"/>
      <c r="H1872" s="227"/>
      <c r="I1872" s="225"/>
      <c r="J1872" s="225"/>
      <c r="K1872" s="225"/>
      <c r="L1872" s="228"/>
      <c r="M1872" s="229"/>
      <c r="N1872" s="229"/>
      <c r="O1872" s="229"/>
      <c r="P1872" s="229"/>
      <c r="Q1872" s="229"/>
      <c r="R1872" s="229"/>
      <c r="S1872" s="229"/>
      <c r="T1872" s="229"/>
      <c r="U1872" s="229"/>
      <c r="V1872" s="229"/>
      <c r="W1872" s="229"/>
      <c r="X1872" s="229"/>
      <c r="Y1872" s="229"/>
      <c r="Z1872" s="229"/>
      <c r="AA1872" s="229"/>
      <c r="AB1872" s="229"/>
      <c r="AC1872" s="229"/>
    </row>
    <row r="1873">
      <c r="A1873" s="33" t="s">
        <v>10652</v>
      </c>
      <c r="B1873" s="122">
        <v>45940.0</v>
      </c>
      <c r="C1873" s="224">
        <v>8.07000033499E11</v>
      </c>
      <c r="D1873" s="224" t="s">
        <v>10653</v>
      </c>
      <c r="E1873" s="224" t="s">
        <v>10654</v>
      </c>
      <c r="F1873" s="123"/>
      <c r="G1873" s="123"/>
      <c r="H1873" s="123"/>
      <c r="I1873" s="224" t="s">
        <v>3313</v>
      </c>
      <c r="J1873" s="224" t="s">
        <v>3314</v>
      </c>
      <c r="K1873" s="224">
        <v>1.0</v>
      </c>
      <c r="L1873" s="124">
        <v>3.874587328E9</v>
      </c>
    </row>
    <row r="1874">
      <c r="A1874" s="33" t="s">
        <v>10652</v>
      </c>
      <c r="B1874" s="122">
        <v>45940.0</v>
      </c>
      <c r="C1874" s="211">
        <v>8.070000335E11</v>
      </c>
      <c r="D1874" s="211" t="s">
        <v>10653</v>
      </c>
      <c r="E1874" s="211" t="s">
        <v>10654</v>
      </c>
      <c r="F1874" s="123"/>
      <c r="G1874" s="123"/>
      <c r="H1874" s="123"/>
      <c r="I1874" s="211" t="s">
        <v>3797</v>
      </c>
      <c r="J1874" s="211" t="s">
        <v>3798</v>
      </c>
      <c r="K1874" s="211">
        <v>1.0</v>
      </c>
      <c r="L1874" s="124">
        <v>3.874587328E9</v>
      </c>
    </row>
    <row r="1875">
      <c r="A1875" s="33" t="s">
        <v>10655</v>
      </c>
      <c r="B1875" s="122">
        <v>45940.0</v>
      </c>
      <c r="C1875" s="224">
        <v>8.07000033502E11</v>
      </c>
      <c r="D1875" s="224" t="s">
        <v>10656</v>
      </c>
      <c r="E1875" s="224" t="s">
        <v>10657</v>
      </c>
      <c r="F1875" s="123" t="s">
        <v>10658</v>
      </c>
      <c r="G1875" s="123" t="s">
        <v>10659</v>
      </c>
      <c r="H1875" s="123"/>
      <c r="I1875" s="224" t="s">
        <v>10660</v>
      </c>
      <c r="J1875" s="224" t="s">
        <v>10661</v>
      </c>
      <c r="K1875" s="224">
        <v>1.0</v>
      </c>
      <c r="L1875" s="124">
        <v>3.875135077E9</v>
      </c>
    </row>
    <row r="1876">
      <c r="A1876" s="33" t="s">
        <v>10655</v>
      </c>
      <c r="B1876" s="122">
        <v>45940.0</v>
      </c>
      <c r="C1876" s="211">
        <v>8.07000033502E11</v>
      </c>
      <c r="D1876" s="211" t="s">
        <v>10656</v>
      </c>
      <c r="E1876" s="211" t="s">
        <v>10657</v>
      </c>
      <c r="F1876" s="123" t="s">
        <v>10658</v>
      </c>
      <c r="G1876" s="123" t="s">
        <v>10659</v>
      </c>
      <c r="H1876" s="123"/>
      <c r="I1876" s="211" t="s">
        <v>3512</v>
      </c>
      <c r="J1876" s="211" t="s">
        <v>3513</v>
      </c>
      <c r="K1876" s="211">
        <v>12.0</v>
      </c>
      <c r="L1876" s="124">
        <v>3.875135077E9</v>
      </c>
    </row>
    <row r="1877">
      <c r="A1877" s="33" t="s">
        <v>10655</v>
      </c>
      <c r="B1877" s="122">
        <v>45940.0</v>
      </c>
      <c r="C1877" s="224">
        <v>8.07000033502E11</v>
      </c>
      <c r="D1877" s="224" t="s">
        <v>10656</v>
      </c>
      <c r="E1877" s="224" t="s">
        <v>10657</v>
      </c>
      <c r="F1877" s="123" t="s">
        <v>10658</v>
      </c>
      <c r="G1877" s="123" t="s">
        <v>10659</v>
      </c>
      <c r="H1877" s="123"/>
      <c r="I1877" s="224" t="s">
        <v>6835</v>
      </c>
      <c r="J1877" s="224" t="s">
        <v>8150</v>
      </c>
      <c r="K1877" s="224">
        <v>2.0</v>
      </c>
      <c r="L1877" s="124">
        <v>3.875135077E9</v>
      </c>
    </row>
    <row r="1878">
      <c r="A1878" s="33" t="s">
        <v>10662</v>
      </c>
      <c r="B1878" s="122">
        <v>45940.0</v>
      </c>
      <c r="C1878" s="211">
        <v>8.05011552699E11</v>
      </c>
      <c r="D1878" s="211" t="s">
        <v>10663</v>
      </c>
      <c r="E1878" s="211" t="s">
        <v>10664</v>
      </c>
      <c r="F1878" s="123" t="s">
        <v>10665</v>
      </c>
      <c r="G1878" s="123" t="s">
        <v>10666</v>
      </c>
      <c r="H1878" s="123"/>
      <c r="I1878" s="211" t="s">
        <v>289</v>
      </c>
      <c r="J1878" s="211" t="s">
        <v>290</v>
      </c>
      <c r="K1878" s="211">
        <v>1.0</v>
      </c>
      <c r="L1878" s="124">
        <v>3.875326939E9</v>
      </c>
    </row>
    <row r="1879">
      <c r="A1879" s="33" t="s">
        <v>10662</v>
      </c>
      <c r="B1879" s="122">
        <v>45940.0</v>
      </c>
      <c r="C1879" s="224">
        <v>8.05011552699E11</v>
      </c>
      <c r="D1879" s="224" t="s">
        <v>10663</v>
      </c>
      <c r="E1879" s="224" t="s">
        <v>10664</v>
      </c>
      <c r="F1879" s="123" t="s">
        <v>10665</v>
      </c>
      <c r="G1879" s="123" t="s">
        <v>10666</v>
      </c>
      <c r="H1879" s="123"/>
      <c r="I1879" s="224" t="s">
        <v>512</v>
      </c>
      <c r="J1879" s="224" t="s">
        <v>513</v>
      </c>
      <c r="K1879" s="224">
        <v>6.0</v>
      </c>
      <c r="L1879" s="124">
        <v>3.875326939E9</v>
      </c>
    </row>
    <row r="1880">
      <c r="A1880" s="33" t="s">
        <v>10662</v>
      </c>
      <c r="B1880" s="122">
        <v>45940.0</v>
      </c>
      <c r="C1880" s="211">
        <v>8.05011552699E11</v>
      </c>
      <c r="D1880" s="211" t="s">
        <v>10663</v>
      </c>
      <c r="E1880" s="211" t="s">
        <v>10664</v>
      </c>
      <c r="F1880" s="123" t="s">
        <v>10665</v>
      </c>
      <c r="G1880" s="123" t="s">
        <v>10666</v>
      </c>
      <c r="H1880" s="123"/>
      <c r="I1880" s="211" t="s">
        <v>273</v>
      </c>
      <c r="J1880" s="211" t="s">
        <v>3594</v>
      </c>
      <c r="K1880" s="211">
        <v>1.0</v>
      </c>
      <c r="L1880" s="124">
        <v>3.875326939E9</v>
      </c>
    </row>
    <row r="1881" ht="6.75" customHeight="1">
      <c r="A1881" s="100"/>
      <c r="B1881" s="230"/>
      <c r="C1881" s="100"/>
      <c r="D1881" s="100"/>
      <c r="E1881" s="100"/>
      <c r="F1881" s="231"/>
      <c r="G1881" s="231"/>
      <c r="H1881" s="231"/>
      <c r="I1881" s="100"/>
      <c r="J1881" s="100"/>
      <c r="K1881" s="100"/>
      <c r="L1881" s="232"/>
      <c r="M1881" s="233"/>
      <c r="N1881" s="233"/>
      <c r="O1881" s="233"/>
      <c r="P1881" s="233"/>
      <c r="Q1881" s="233"/>
      <c r="R1881" s="233"/>
      <c r="S1881" s="233"/>
      <c r="T1881" s="233"/>
      <c r="U1881" s="233"/>
      <c r="V1881" s="233"/>
      <c r="W1881" s="233"/>
      <c r="X1881" s="233"/>
      <c r="Y1881" s="233"/>
      <c r="Z1881" s="233"/>
      <c r="AA1881" s="233"/>
      <c r="AB1881" s="233"/>
      <c r="AC1881" s="233"/>
    </row>
    <row r="1882">
      <c r="A1882" s="33" t="s">
        <v>10667</v>
      </c>
      <c r="B1882" s="122">
        <v>45943.0</v>
      </c>
      <c r="C1882" s="224">
        <v>8.07000033514E11</v>
      </c>
      <c r="D1882" s="224" t="s">
        <v>10668</v>
      </c>
      <c r="E1882" s="224" t="s">
        <v>10669</v>
      </c>
      <c r="F1882" s="123" t="s">
        <v>10670</v>
      </c>
      <c r="G1882" s="123" t="s">
        <v>127</v>
      </c>
      <c r="H1882" s="123">
        <v>4400.0</v>
      </c>
      <c r="I1882" s="224">
        <v>125810.0</v>
      </c>
      <c r="J1882" s="224" t="s">
        <v>4672</v>
      </c>
      <c r="K1882" s="224">
        <v>1.0</v>
      </c>
      <c r="L1882" s="124">
        <v>3.872216465E9</v>
      </c>
    </row>
    <row r="1883">
      <c r="A1883" s="33" t="s">
        <v>10667</v>
      </c>
      <c r="B1883" s="122">
        <v>45943.0</v>
      </c>
      <c r="C1883" s="211">
        <v>8.07000033514E11</v>
      </c>
      <c r="D1883" s="211" t="s">
        <v>10668</v>
      </c>
      <c r="E1883" s="211" t="s">
        <v>10669</v>
      </c>
      <c r="F1883" s="123" t="s">
        <v>10670</v>
      </c>
      <c r="G1883" s="123" t="s">
        <v>127</v>
      </c>
      <c r="H1883" s="123">
        <v>4400.0</v>
      </c>
      <c r="I1883" s="211" t="s">
        <v>985</v>
      </c>
      <c r="J1883" s="211" t="s">
        <v>3600</v>
      </c>
      <c r="K1883" s="211">
        <v>1.0</v>
      </c>
      <c r="L1883" s="124">
        <v>3.872216465E9</v>
      </c>
    </row>
    <row r="1884">
      <c r="A1884" s="33" t="s">
        <v>10671</v>
      </c>
      <c r="B1884" s="122">
        <v>45943.0</v>
      </c>
      <c r="C1884" s="224">
        <v>8.07000033517E11</v>
      </c>
      <c r="D1884" s="224" t="s">
        <v>10672</v>
      </c>
      <c r="E1884" s="224" t="s">
        <v>10673</v>
      </c>
      <c r="F1884" s="123" t="s">
        <v>10674</v>
      </c>
      <c r="G1884" s="123" t="s">
        <v>127</v>
      </c>
      <c r="H1884" s="123">
        <v>4400.0</v>
      </c>
      <c r="I1884" s="224">
        <v>125808.0</v>
      </c>
      <c r="J1884" s="224" t="s">
        <v>7199</v>
      </c>
      <c r="K1884" s="224">
        <v>2.0</v>
      </c>
      <c r="L1884" s="124">
        <v>3.874561291E9</v>
      </c>
    </row>
    <row r="1885">
      <c r="A1885" s="33" t="s">
        <v>10671</v>
      </c>
      <c r="B1885" s="122">
        <v>45943.0</v>
      </c>
      <c r="C1885" s="211">
        <v>8.07000033517E11</v>
      </c>
      <c r="D1885" s="211" t="s">
        <v>10672</v>
      </c>
      <c r="E1885" s="211" t="s">
        <v>10673</v>
      </c>
      <c r="F1885" s="123" t="s">
        <v>10674</v>
      </c>
      <c r="G1885" s="123" t="s">
        <v>127</v>
      </c>
      <c r="H1885" s="123">
        <v>4400.0</v>
      </c>
      <c r="I1885" s="211" t="s">
        <v>4512</v>
      </c>
      <c r="J1885" s="211" t="s">
        <v>4513</v>
      </c>
      <c r="K1885" s="211">
        <v>1.0</v>
      </c>
      <c r="L1885" s="124">
        <v>3.874561291E9</v>
      </c>
    </row>
    <row r="1886">
      <c r="A1886" s="33" t="s">
        <v>10671</v>
      </c>
      <c r="B1886" s="122">
        <v>45943.0</v>
      </c>
      <c r="C1886" s="224">
        <v>8.07000033517E11</v>
      </c>
      <c r="D1886" s="224" t="s">
        <v>10672</v>
      </c>
      <c r="E1886" s="224" t="s">
        <v>10673</v>
      </c>
      <c r="F1886" s="123" t="s">
        <v>10674</v>
      </c>
      <c r="G1886" s="123" t="s">
        <v>127</v>
      </c>
      <c r="H1886" s="123">
        <v>4400.0</v>
      </c>
      <c r="I1886" s="224" t="s">
        <v>8532</v>
      </c>
      <c r="J1886" s="224" t="s">
        <v>8533</v>
      </c>
      <c r="K1886" s="224">
        <v>1.0</v>
      </c>
      <c r="L1886" s="124">
        <v>3.874561291E9</v>
      </c>
    </row>
    <row r="1887">
      <c r="A1887" s="33" t="s">
        <v>10675</v>
      </c>
      <c r="B1887" s="122">
        <v>45943.0</v>
      </c>
      <c r="C1887" s="211">
        <v>8.07000033518E11</v>
      </c>
      <c r="D1887" s="211" t="s">
        <v>10676</v>
      </c>
      <c r="E1887" s="211" t="s">
        <v>10677</v>
      </c>
      <c r="F1887" s="123" t="s">
        <v>10678</v>
      </c>
      <c r="G1887" s="123" t="s">
        <v>127</v>
      </c>
      <c r="H1887" s="123">
        <v>4400.0</v>
      </c>
      <c r="I1887" s="211" t="s">
        <v>32</v>
      </c>
      <c r="J1887" s="211" t="s">
        <v>3225</v>
      </c>
      <c r="K1887" s="211">
        <v>1.0</v>
      </c>
      <c r="L1887" s="124">
        <v>3.874658539E9</v>
      </c>
    </row>
    <row r="1888">
      <c r="A1888" s="33" t="s">
        <v>10675</v>
      </c>
      <c r="B1888" s="122">
        <v>45943.0</v>
      </c>
      <c r="C1888" s="224">
        <v>8.07000033519E11</v>
      </c>
      <c r="D1888" s="224" t="s">
        <v>10676</v>
      </c>
      <c r="E1888" s="224" t="s">
        <v>10677</v>
      </c>
      <c r="F1888" s="123" t="s">
        <v>10678</v>
      </c>
      <c r="G1888" s="123" t="s">
        <v>127</v>
      </c>
      <c r="H1888" s="123">
        <v>4400.0</v>
      </c>
      <c r="I1888" s="224" t="s">
        <v>670</v>
      </c>
      <c r="J1888" s="224" t="s">
        <v>3410</v>
      </c>
      <c r="K1888" s="224">
        <v>1.0</v>
      </c>
      <c r="L1888" s="124">
        <v>3.874658539E9</v>
      </c>
    </row>
    <row r="1889">
      <c r="A1889" s="33" t="s">
        <v>10679</v>
      </c>
      <c r="B1889" s="122">
        <v>45943.0</v>
      </c>
      <c r="C1889" s="224">
        <v>8.05011553168E11</v>
      </c>
      <c r="D1889" s="224" t="s">
        <v>10680</v>
      </c>
      <c r="E1889" s="224" t="s">
        <v>10681</v>
      </c>
      <c r="F1889" s="123" t="s">
        <v>10682</v>
      </c>
      <c r="G1889" s="123" t="s">
        <v>127</v>
      </c>
      <c r="H1889" s="123">
        <v>4400.0</v>
      </c>
      <c r="I1889" s="224" t="s">
        <v>3817</v>
      </c>
      <c r="J1889" s="224" t="s">
        <v>3818</v>
      </c>
      <c r="K1889" s="224">
        <v>1.0</v>
      </c>
      <c r="L1889" s="124">
        <v>3.874538852E9</v>
      </c>
    </row>
    <row r="1890">
      <c r="A1890" s="33" t="s">
        <v>10679</v>
      </c>
      <c r="B1890" s="122">
        <v>45943.0</v>
      </c>
      <c r="C1890" s="211">
        <v>8.05011553168E11</v>
      </c>
      <c r="D1890" s="211" t="s">
        <v>10680</v>
      </c>
      <c r="E1890" s="211" t="s">
        <v>10681</v>
      </c>
      <c r="F1890" s="123" t="s">
        <v>10682</v>
      </c>
      <c r="G1890" s="123" t="s">
        <v>127</v>
      </c>
      <c r="H1890" s="123">
        <v>4400.0</v>
      </c>
      <c r="I1890" s="211" t="s">
        <v>512</v>
      </c>
      <c r="J1890" s="211" t="s">
        <v>513</v>
      </c>
      <c r="K1890" s="211">
        <v>12.0</v>
      </c>
      <c r="L1890" s="124">
        <v>3.874538852E9</v>
      </c>
    </row>
    <row r="1891">
      <c r="A1891" s="33" t="s">
        <v>10679</v>
      </c>
      <c r="B1891" s="122">
        <v>45943.0</v>
      </c>
      <c r="C1891" s="224">
        <v>8.05011553168E11</v>
      </c>
      <c r="D1891" s="224" t="s">
        <v>10680</v>
      </c>
      <c r="E1891" s="224" t="s">
        <v>10681</v>
      </c>
      <c r="F1891" s="123" t="s">
        <v>10682</v>
      </c>
      <c r="G1891" s="123" t="s">
        <v>127</v>
      </c>
      <c r="H1891" s="123">
        <v>4400.0</v>
      </c>
      <c r="I1891" s="224" t="s">
        <v>340</v>
      </c>
      <c r="J1891" s="224" t="s">
        <v>3486</v>
      </c>
      <c r="K1891" s="224">
        <v>2.0</v>
      </c>
      <c r="L1891" s="124">
        <v>3.874538852E9</v>
      </c>
    </row>
    <row r="1892">
      <c r="A1892" s="33" t="s">
        <v>10683</v>
      </c>
      <c r="B1892" s="122">
        <v>45943.0</v>
      </c>
      <c r="C1892" s="211">
        <v>8.05011553205E11</v>
      </c>
      <c r="D1892" s="211" t="s">
        <v>10684</v>
      </c>
      <c r="E1892" s="211" t="s">
        <v>10685</v>
      </c>
      <c r="F1892" s="123" t="s">
        <v>10686</v>
      </c>
      <c r="G1892" s="123" t="s">
        <v>127</v>
      </c>
      <c r="H1892" s="123">
        <v>4400.0</v>
      </c>
      <c r="I1892" s="211">
        <v>125818.0</v>
      </c>
      <c r="J1892" s="211" t="s">
        <v>4334</v>
      </c>
      <c r="K1892" s="211">
        <v>1.0</v>
      </c>
      <c r="L1892" s="124">
        <v>3.874515158E9</v>
      </c>
    </row>
    <row r="1893">
      <c r="A1893" s="33" t="s">
        <v>10683</v>
      </c>
      <c r="B1893" s="122">
        <v>45943.0</v>
      </c>
      <c r="C1893" s="224">
        <v>8.05011553205E11</v>
      </c>
      <c r="D1893" s="224" t="s">
        <v>10684</v>
      </c>
      <c r="E1893" s="224" t="s">
        <v>10685</v>
      </c>
      <c r="F1893" s="123" t="s">
        <v>10686</v>
      </c>
      <c r="G1893" s="123" t="s">
        <v>127</v>
      </c>
      <c r="H1893" s="123">
        <v>4400.0</v>
      </c>
      <c r="I1893" s="224" t="s">
        <v>10687</v>
      </c>
      <c r="J1893" s="224" t="s">
        <v>10688</v>
      </c>
      <c r="K1893" s="224">
        <v>1.0</v>
      </c>
      <c r="L1893" s="124">
        <v>3.874515158E9</v>
      </c>
    </row>
    <row r="1894">
      <c r="A1894" s="33" t="s">
        <v>10689</v>
      </c>
      <c r="B1894" s="122">
        <v>45944.0</v>
      </c>
      <c r="C1894" s="211">
        <v>8.07000033532E11</v>
      </c>
      <c r="D1894" s="211" t="s">
        <v>10690</v>
      </c>
      <c r="E1894" s="211" t="s">
        <v>10691</v>
      </c>
      <c r="F1894" s="123" t="s">
        <v>10692</v>
      </c>
      <c r="G1894" s="123" t="s">
        <v>104</v>
      </c>
      <c r="H1894" s="123">
        <v>4400.0</v>
      </c>
      <c r="I1894" s="211" t="s">
        <v>947</v>
      </c>
      <c r="J1894" s="211" t="s">
        <v>3750</v>
      </c>
      <c r="K1894" s="211">
        <v>1.0</v>
      </c>
      <c r="L1894" s="124">
        <v>3.874247243E9</v>
      </c>
    </row>
    <row r="1895">
      <c r="A1895" s="33" t="s">
        <v>10693</v>
      </c>
      <c r="B1895" s="122">
        <v>45945.0</v>
      </c>
      <c r="C1895" s="224">
        <v>8.07000033536E11</v>
      </c>
      <c r="D1895" s="224" t="s">
        <v>10694</v>
      </c>
      <c r="E1895" s="224" t="s">
        <v>10695</v>
      </c>
      <c r="F1895" s="123" t="s">
        <v>10696</v>
      </c>
      <c r="G1895" s="123" t="s">
        <v>10697</v>
      </c>
      <c r="H1895" s="123"/>
      <c r="I1895" s="224" t="s">
        <v>2537</v>
      </c>
      <c r="J1895" s="224" t="s">
        <v>3955</v>
      </c>
      <c r="K1895" s="224">
        <v>1.0</v>
      </c>
      <c r="L1895" s="124">
        <v>3.874146104E9</v>
      </c>
    </row>
    <row r="1896">
      <c r="A1896" s="33" t="s">
        <v>10693</v>
      </c>
      <c r="B1896" s="122">
        <v>45945.0</v>
      </c>
      <c r="C1896" s="211">
        <v>8.07000033536E11</v>
      </c>
      <c r="D1896" s="211" t="s">
        <v>10694</v>
      </c>
      <c r="E1896" s="211" t="s">
        <v>10695</v>
      </c>
      <c r="F1896" s="123" t="s">
        <v>10696</v>
      </c>
      <c r="G1896" s="123" t="s">
        <v>10697</v>
      </c>
      <c r="H1896" s="123"/>
      <c r="I1896" s="211" t="s">
        <v>7329</v>
      </c>
      <c r="J1896" s="211" t="s">
        <v>9785</v>
      </c>
      <c r="K1896" s="211">
        <v>1.0</v>
      </c>
      <c r="L1896" s="124">
        <v>3.874146104E9</v>
      </c>
    </row>
    <row r="1897">
      <c r="A1897" s="33" t="s">
        <v>10693</v>
      </c>
      <c r="B1897" s="122">
        <v>45945.0</v>
      </c>
      <c r="C1897" s="224">
        <v>8.07000033537E11</v>
      </c>
      <c r="D1897" s="224" t="s">
        <v>10694</v>
      </c>
      <c r="E1897" s="224" t="s">
        <v>10695</v>
      </c>
      <c r="F1897" s="123" t="s">
        <v>10696</v>
      </c>
      <c r="G1897" s="123" t="s">
        <v>10697</v>
      </c>
      <c r="H1897" s="123"/>
      <c r="I1897" s="224" t="s">
        <v>121</v>
      </c>
      <c r="J1897" s="224" t="s">
        <v>3199</v>
      </c>
      <c r="K1897" s="224">
        <v>2.0</v>
      </c>
      <c r="L1897" s="124">
        <v>3.874146104E9</v>
      </c>
    </row>
    <row r="1898">
      <c r="A1898" s="33" t="s">
        <v>10698</v>
      </c>
      <c r="B1898" s="122">
        <v>45947.0</v>
      </c>
      <c r="C1898" s="224">
        <v>8.07000033554E11</v>
      </c>
      <c r="D1898" s="224" t="s">
        <v>10699</v>
      </c>
      <c r="E1898" s="224" t="s">
        <v>10700</v>
      </c>
      <c r="F1898" s="123" t="s">
        <v>10701</v>
      </c>
      <c r="G1898" s="123" t="s">
        <v>104</v>
      </c>
      <c r="H1898" s="123">
        <v>4400.0</v>
      </c>
      <c r="I1898" s="224">
        <v>125822.0</v>
      </c>
      <c r="J1898" s="224" t="s">
        <v>6030</v>
      </c>
      <c r="K1898" s="224">
        <v>2.0</v>
      </c>
      <c r="L1898" s="124">
        <v>3.87595628E9</v>
      </c>
    </row>
    <row r="1899">
      <c r="A1899" s="33" t="s">
        <v>10698</v>
      </c>
      <c r="B1899" s="122">
        <v>45947.0</v>
      </c>
      <c r="C1899" s="211">
        <v>8.07000033554E11</v>
      </c>
      <c r="D1899" s="211" t="s">
        <v>10699</v>
      </c>
      <c r="E1899" s="211" t="s">
        <v>10700</v>
      </c>
      <c r="F1899" s="123" t="s">
        <v>10701</v>
      </c>
      <c r="G1899" s="123" t="s">
        <v>104</v>
      </c>
      <c r="H1899" s="123">
        <v>4400.0</v>
      </c>
      <c r="I1899" s="211" t="s">
        <v>2956</v>
      </c>
      <c r="J1899" s="211" t="s">
        <v>3327</v>
      </c>
      <c r="K1899" s="211">
        <v>1.0</v>
      </c>
      <c r="L1899" s="124">
        <v>3.87595628E9</v>
      </c>
    </row>
    <row r="1900">
      <c r="A1900" s="33" t="s">
        <v>10698</v>
      </c>
      <c r="B1900" s="122">
        <v>45947.0</v>
      </c>
      <c r="C1900" s="224">
        <v>8.07000033554E11</v>
      </c>
      <c r="D1900" s="224" t="s">
        <v>10699</v>
      </c>
      <c r="E1900" s="224" t="s">
        <v>10700</v>
      </c>
      <c r="F1900" s="123" t="s">
        <v>10701</v>
      </c>
      <c r="G1900" s="123" t="s">
        <v>104</v>
      </c>
      <c r="H1900" s="123">
        <v>4400.0</v>
      </c>
      <c r="I1900" s="224" t="s">
        <v>670</v>
      </c>
      <c r="J1900" s="224" t="s">
        <v>3410</v>
      </c>
      <c r="K1900" s="224">
        <v>1.0</v>
      </c>
      <c r="L1900" s="124">
        <v>3.87595628E9</v>
      </c>
    </row>
    <row r="1901">
      <c r="A1901" s="33" t="s">
        <v>10702</v>
      </c>
      <c r="B1901" s="122">
        <v>45947.0</v>
      </c>
      <c r="C1901" s="224">
        <v>8.07000033552E11</v>
      </c>
      <c r="D1901" s="224" t="s">
        <v>10703</v>
      </c>
      <c r="E1901" s="224" t="s">
        <v>10704</v>
      </c>
      <c r="F1901" s="123" t="s">
        <v>10705</v>
      </c>
      <c r="G1901" s="123" t="s">
        <v>104</v>
      </c>
      <c r="H1901" s="123">
        <v>4400.0</v>
      </c>
      <c r="I1901" s="224">
        <v>208502.0</v>
      </c>
      <c r="J1901" s="224" t="s">
        <v>4551</v>
      </c>
      <c r="K1901" s="224">
        <v>2.0</v>
      </c>
      <c r="L1901" s="124">
        <v>3.872202694E9</v>
      </c>
    </row>
    <row r="1902">
      <c r="A1902" s="33" t="s">
        <v>10706</v>
      </c>
      <c r="B1902" s="122">
        <v>45947.0</v>
      </c>
      <c r="C1902" s="211">
        <v>8.07000033553E11</v>
      </c>
      <c r="D1902" s="211" t="s">
        <v>10703</v>
      </c>
      <c r="E1902" s="211" t="s">
        <v>10704</v>
      </c>
      <c r="F1902" s="123" t="s">
        <v>10705</v>
      </c>
      <c r="G1902" s="123" t="s">
        <v>104</v>
      </c>
      <c r="H1902" s="123">
        <v>4400.0</v>
      </c>
      <c r="I1902" s="211" t="s">
        <v>5658</v>
      </c>
      <c r="J1902" s="211" t="s">
        <v>5659</v>
      </c>
      <c r="K1902" s="211">
        <v>1.0</v>
      </c>
      <c r="L1902" s="124">
        <v>3.872202694E9</v>
      </c>
    </row>
    <row r="1903">
      <c r="A1903" s="33" t="s">
        <v>10706</v>
      </c>
      <c r="B1903" s="122">
        <v>45947.0</v>
      </c>
      <c r="C1903" s="224">
        <v>8.07000033553E11</v>
      </c>
      <c r="D1903" s="224" t="s">
        <v>10703</v>
      </c>
      <c r="E1903" s="224" t="s">
        <v>10704</v>
      </c>
      <c r="F1903" s="123" t="s">
        <v>10705</v>
      </c>
      <c r="G1903" s="123" t="s">
        <v>104</v>
      </c>
      <c r="H1903" s="123">
        <v>4400.0</v>
      </c>
      <c r="I1903" s="224" t="s">
        <v>233</v>
      </c>
      <c r="J1903" s="224" t="s">
        <v>3459</v>
      </c>
      <c r="K1903" s="224">
        <v>2.0</v>
      </c>
      <c r="L1903" s="124">
        <v>3.872202694E9</v>
      </c>
    </row>
    <row r="1904">
      <c r="A1904" s="33" t="s">
        <v>10707</v>
      </c>
      <c r="B1904" s="122">
        <v>45947.0</v>
      </c>
      <c r="C1904" s="211">
        <v>8.0700003355E11</v>
      </c>
      <c r="D1904" s="211" t="s">
        <v>2945</v>
      </c>
      <c r="E1904" s="211" t="s">
        <v>2946</v>
      </c>
      <c r="F1904" s="123" t="s">
        <v>10708</v>
      </c>
      <c r="G1904" s="123" t="s">
        <v>104</v>
      </c>
      <c r="H1904" s="123">
        <v>4400.0</v>
      </c>
      <c r="I1904" s="211" t="s">
        <v>32</v>
      </c>
      <c r="J1904" s="211" t="s">
        <v>3225</v>
      </c>
      <c r="K1904" s="211">
        <v>1.0</v>
      </c>
      <c r="L1904" s="124">
        <v>3.874875249E9</v>
      </c>
    </row>
    <row r="1905">
      <c r="A1905" s="33" t="s">
        <v>10709</v>
      </c>
      <c r="B1905" s="122">
        <v>45947.0</v>
      </c>
      <c r="C1905" s="224">
        <v>8.07000033539E11</v>
      </c>
      <c r="D1905" s="224" t="s">
        <v>8673</v>
      </c>
      <c r="E1905" s="224" t="s">
        <v>8674</v>
      </c>
      <c r="F1905" s="123" t="s">
        <v>10710</v>
      </c>
      <c r="G1905" s="123" t="s">
        <v>104</v>
      </c>
      <c r="H1905" s="123">
        <v>4400.0</v>
      </c>
      <c r="I1905" s="224" t="s">
        <v>4775</v>
      </c>
      <c r="J1905" s="224" t="s">
        <v>4776</v>
      </c>
      <c r="K1905" s="224">
        <v>1.0</v>
      </c>
      <c r="L1905" s="124">
        <v>3.874102034E9</v>
      </c>
    </row>
    <row r="1906">
      <c r="A1906" s="33" t="s">
        <v>10711</v>
      </c>
      <c r="B1906" s="122">
        <v>45947.0</v>
      </c>
      <c r="C1906" s="224">
        <v>8.07000033528E11</v>
      </c>
      <c r="D1906" s="224" t="s">
        <v>10712</v>
      </c>
      <c r="E1906" s="224" t="s">
        <v>10713</v>
      </c>
      <c r="F1906" s="123" t="s">
        <v>10714</v>
      </c>
      <c r="G1906" s="123" t="s">
        <v>127</v>
      </c>
      <c r="H1906" s="123">
        <v>4400.0</v>
      </c>
      <c r="I1906" s="224" t="s">
        <v>8146</v>
      </c>
      <c r="J1906" s="224" t="s">
        <v>8147</v>
      </c>
      <c r="K1906" s="224">
        <v>1.0</v>
      </c>
      <c r="L1906" s="124">
        <v>3.875949543E9</v>
      </c>
    </row>
    <row r="1907">
      <c r="A1907" s="33" t="s">
        <v>10711</v>
      </c>
      <c r="B1907" s="122">
        <v>45947.0</v>
      </c>
      <c r="C1907" s="211">
        <v>8.07000033528E11</v>
      </c>
      <c r="D1907" s="211" t="s">
        <v>10712</v>
      </c>
      <c r="E1907" s="211" t="s">
        <v>10713</v>
      </c>
      <c r="F1907" s="123" t="s">
        <v>10714</v>
      </c>
      <c r="G1907" s="123" t="s">
        <v>127</v>
      </c>
      <c r="H1907" s="123">
        <v>4400.0</v>
      </c>
      <c r="I1907" s="211" t="s">
        <v>3512</v>
      </c>
      <c r="J1907" s="211" t="s">
        <v>3513</v>
      </c>
      <c r="K1907" s="211">
        <v>12.0</v>
      </c>
      <c r="L1907" s="124">
        <v>3.875949543E9</v>
      </c>
    </row>
    <row r="1908">
      <c r="A1908" s="33" t="s">
        <v>10711</v>
      </c>
      <c r="B1908" s="122">
        <v>45947.0</v>
      </c>
      <c r="C1908" s="224">
        <v>8.07000033529E11</v>
      </c>
      <c r="D1908" s="224" t="s">
        <v>10712</v>
      </c>
      <c r="E1908" s="224" t="s">
        <v>10713</v>
      </c>
      <c r="F1908" s="123" t="s">
        <v>10714</v>
      </c>
      <c r="G1908" s="123" t="s">
        <v>127</v>
      </c>
      <c r="H1908" s="123">
        <v>4400.0</v>
      </c>
      <c r="I1908" s="224" t="s">
        <v>6835</v>
      </c>
      <c r="J1908" s="224" t="s">
        <v>8150</v>
      </c>
      <c r="K1908" s="224">
        <v>2.0</v>
      </c>
      <c r="L1908" s="124">
        <v>3.875949543E9</v>
      </c>
    </row>
    <row r="1909">
      <c r="A1909" s="33" t="s">
        <v>10711</v>
      </c>
      <c r="B1909" s="122">
        <v>45947.0</v>
      </c>
      <c r="C1909" s="211">
        <v>8.0700003353E11</v>
      </c>
      <c r="D1909" s="211" t="s">
        <v>10712</v>
      </c>
      <c r="E1909" s="211" t="s">
        <v>10713</v>
      </c>
      <c r="F1909" s="123" t="s">
        <v>10714</v>
      </c>
      <c r="G1909" s="123" t="s">
        <v>127</v>
      </c>
      <c r="H1909" s="123">
        <v>4400.0</v>
      </c>
      <c r="I1909" s="211" t="s">
        <v>512</v>
      </c>
      <c r="J1909" s="211" t="s">
        <v>513</v>
      </c>
      <c r="K1909" s="211">
        <v>6.0</v>
      </c>
      <c r="L1909" s="124">
        <v>3.875949543E9</v>
      </c>
    </row>
    <row r="1910">
      <c r="A1910" s="33" t="s">
        <v>10711</v>
      </c>
      <c r="B1910" s="122">
        <v>45947.0</v>
      </c>
      <c r="C1910" s="224">
        <v>8.07000033531E11</v>
      </c>
      <c r="D1910" s="224" t="s">
        <v>10712</v>
      </c>
      <c r="E1910" s="224" t="s">
        <v>10713</v>
      </c>
      <c r="F1910" s="123" t="s">
        <v>10714</v>
      </c>
      <c r="G1910" s="123" t="s">
        <v>127</v>
      </c>
      <c r="H1910" s="123">
        <v>4400.0</v>
      </c>
      <c r="I1910" s="224" t="s">
        <v>9359</v>
      </c>
      <c r="J1910" s="224" t="s">
        <v>9360</v>
      </c>
      <c r="K1910" s="224">
        <v>1.0</v>
      </c>
      <c r="L1910" s="124">
        <v>3.875949543E9</v>
      </c>
    </row>
    <row r="1911">
      <c r="A1911" s="33" t="s">
        <v>10711</v>
      </c>
      <c r="B1911" s="122">
        <v>45947.0</v>
      </c>
      <c r="C1911" s="211">
        <v>8.07000033531E11</v>
      </c>
      <c r="D1911" s="211" t="s">
        <v>10712</v>
      </c>
      <c r="E1911" s="211" t="s">
        <v>10713</v>
      </c>
      <c r="F1911" s="123" t="s">
        <v>10714</v>
      </c>
      <c r="G1911" s="123" t="s">
        <v>127</v>
      </c>
      <c r="H1911" s="123">
        <v>4400.0</v>
      </c>
      <c r="I1911" s="211" t="s">
        <v>969</v>
      </c>
      <c r="J1911" s="211" t="s">
        <v>3296</v>
      </c>
      <c r="K1911" s="211">
        <v>1.0</v>
      </c>
      <c r="L1911" s="124">
        <v>3.875949543E9</v>
      </c>
    </row>
    <row r="1912">
      <c r="A1912" s="33" t="s">
        <v>10715</v>
      </c>
      <c r="B1912" s="122">
        <v>45947.0</v>
      </c>
      <c r="C1912" s="224">
        <v>8.07000033558E11</v>
      </c>
      <c r="D1912" s="224" t="s">
        <v>10716</v>
      </c>
      <c r="E1912" s="224" t="s">
        <v>10717</v>
      </c>
      <c r="F1912" s="123" t="s">
        <v>10718</v>
      </c>
      <c r="G1912" s="123" t="s">
        <v>127</v>
      </c>
      <c r="H1912" s="123">
        <v>4400.0</v>
      </c>
      <c r="I1912" s="224" t="s">
        <v>4070</v>
      </c>
      <c r="J1912" s="224" t="s">
        <v>6264</v>
      </c>
      <c r="K1912" s="224">
        <v>1.0</v>
      </c>
      <c r="L1912" s="124">
        <v>3.874202084E9</v>
      </c>
    </row>
    <row r="1913">
      <c r="A1913" s="33" t="s">
        <v>10715</v>
      </c>
      <c r="B1913" s="122">
        <v>45947.0</v>
      </c>
      <c r="C1913" s="211">
        <v>8.07000033558E11</v>
      </c>
      <c r="D1913" s="211" t="s">
        <v>10716</v>
      </c>
      <c r="E1913" s="211" t="s">
        <v>10717</v>
      </c>
      <c r="F1913" s="123" t="s">
        <v>10718</v>
      </c>
      <c r="G1913" s="123" t="s">
        <v>127</v>
      </c>
      <c r="H1913" s="123">
        <v>4400.0</v>
      </c>
      <c r="I1913" s="211" t="s">
        <v>512</v>
      </c>
      <c r="J1913" s="211" t="s">
        <v>513</v>
      </c>
      <c r="K1913" s="211">
        <v>6.0</v>
      </c>
      <c r="L1913" s="124">
        <v>3.874202084E9</v>
      </c>
    </row>
    <row r="1914">
      <c r="A1914" s="33" t="s">
        <v>10715</v>
      </c>
      <c r="B1914" s="122">
        <v>45947.0</v>
      </c>
      <c r="C1914" s="224">
        <v>8.07000033559E11</v>
      </c>
      <c r="D1914" s="224" t="s">
        <v>10716</v>
      </c>
      <c r="E1914" s="224" t="s">
        <v>10717</v>
      </c>
      <c r="F1914" s="123" t="s">
        <v>10718</v>
      </c>
      <c r="G1914" s="123" t="s">
        <v>127</v>
      </c>
      <c r="H1914" s="123">
        <v>4400.0</v>
      </c>
      <c r="I1914" s="224" t="s">
        <v>3154</v>
      </c>
      <c r="J1914" s="224" t="s">
        <v>4564</v>
      </c>
      <c r="K1914" s="224">
        <v>1.0</v>
      </c>
      <c r="L1914" s="124">
        <v>3.874202084E9</v>
      </c>
    </row>
    <row r="1915">
      <c r="A1915" s="33" t="s">
        <v>10715</v>
      </c>
      <c r="B1915" s="122">
        <v>45947.0</v>
      </c>
      <c r="C1915" s="211">
        <v>8.07000033559E11</v>
      </c>
      <c r="D1915" s="211" t="s">
        <v>10716</v>
      </c>
      <c r="E1915" s="211" t="s">
        <v>10717</v>
      </c>
      <c r="F1915" s="123" t="s">
        <v>10718</v>
      </c>
      <c r="G1915" s="123" t="s">
        <v>127</v>
      </c>
      <c r="H1915" s="123">
        <v>4400.0</v>
      </c>
      <c r="I1915" s="211" t="s">
        <v>2031</v>
      </c>
      <c r="J1915" s="211" t="s">
        <v>3348</v>
      </c>
      <c r="K1915" s="211">
        <v>1.0</v>
      </c>
      <c r="L1915" s="124">
        <v>3.874202084E9</v>
      </c>
    </row>
    <row r="1916">
      <c r="A1916" s="234" t="s">
        <v>10719</v>
      </c>
      <c r="B1916" s="235">
        <v>45948.0</v>
      </c>
      <c r="C1916" s="33">
        <v>8.07000033564E11</v>
      </c>
      <c r="D1916" s="234" t="s">
        <v>10720</v>
      </c>
      <c r="E1916" s="234" t="s">
        <v>10721</v>
      </c>
      <c r="F1916" s="123" t="s">
        <v>10722</v>
      </c>
      <c r="G1916" s="123" t="s">
        <v>127</v>
      </c>
      <c r="H1916" s="123">
        <v>4400.0</v>
      </c>
      <c r="I1916" s="234">
        <v>125810.0</v>
      </c>
      <c r="J1916" s="234" t="s">
        <v>4672</v>
      </c>
      <c r="K1916" s="33">
        <v>2.0</v>
      </c>
      <c r="L1916" s="124" t="s">
        <v>10723</v>
      </c>
    </row>
    <row r="1917">
      <c r="A1917" s="211" t="s">
        <v>10719</v>
      </c>
      <c r="B1917" s="236">
        <v>45948.0</v>
      </c>
      <c r="C1917" s="33">
        <v>8.07000033564E11</v>
      </c>
      <c r="D1917" s="211" t="s">
        <v>10720</v>
      </c>
      <c r="E1917" s="211" t="s">
        <v>10721</v>
      </c>
      <c r="F1917" s="123" t="s">
        <v>10722</v>
      </c>
      <c r="G1917" s="123" t="s">
        <v>127</v>
      </c>
      <c r="H1917" s="123">
        <v>4400.0</v>
      </c>
      <c r="I1917" s="211">
        <v>125822.0</v>
      </c>
      <c r="J1917" s="211" t="s">
        <v>6030</v>
      </c>
      <c r="K1917" s="33">
        <v>2.0</v>
      </c>
      <c r="L1917" s="124" t="s">
        <v>10723</v>
      </c>
    </row>
    <row r="1918">
      <c r="A1918" s="234" t="s">
        <v>10719</v>
      </c>
      <c r="B1918" s="235">
        <v>45948.0</v>
      </c>
      <c r="C1918" s="33">
        <v>8.07000033564E11</v>
      </c>
      <c r="D1918" s="234" t="s">
        <v>10720</v>
      </c>
      <c r="E1918" s="234" t="s">
        <v>10721</v>
      </c>
      <c r="F1918" s="123" t="s">
        <v>10722</v>
      </c>
      <c r="G1918" s="123" t="s">
        <v>127</v>
      </c>
      <c r="H1918" s="123">
        <v>4400.0</v>
      </c>
      <c r="I1918" s="234" t="s">
        <v>3285</v>
      </c>
      <c r="J1918" s="234" t="s">
        <v>3286</v>
      </c>
      <c r="K1918" s="33">
        <v>1.0</v>
      </c>
      <c r="L1918" s="124" t="s">
        <v>10723</v>
      </c>
    </row>
    <row r="1919">
      <c r="A1919" s="211" t="s">
        <v>10719</v>
      </c>
      <c r="B1919" s="236">
        <v>45948.0</v>
      </c>
      <c r="C1919" s="33">
        <v>8.07000033565E11</v>
      </c>
      <c r="D1919" s="211" t="s">
        <v>10720</v>
      </c>
      <c r="E1919" s="211" t="s">
        <v>10721</v>
      </c>
      <c r="F1919" s="123" t="s">
        <v>10722</v>
      </c>
      <c r="G1919" s="123" t="s">
        <v>127</v>
      </c>
      <c r="H1919" s="123">
        <v>4400.0</v>
      </c>
      <c r="I1919" s="211" t="s">
        <v>512</v>
      </c>
      <c r="J1919" s="211" t="s">
        <v>513</v>
      </c>
      <c r="K1919" s="33">
        <v>6.0</v>
      </c>
      <c r="L1919" s="124" t="s">
        <v>10723</v>
      </c>
    </row>
    <row r="1920">
      <c r="A1920" s="234" t="s">
        <v>10719</v>
      </c>
      <c r="B1920" s="235">
        <v>45948.0</v>
      </c>
      <c r="C1920" s="33">
        <v>8.07000033565E11</v>
      </c>
      <c r="D1920" s="234" t="s">
        <v>10720</v>
      </c>
      <c r="E1920" s="234" t="s">
        <v>10721</v>
      </c>
      <c r="F1920" s="123" t="s">
        <v>10722</v>
      </c>
      <c r="G1920" s="123" t="s">
        <v>127</v>
      </c>
      <c r="H1920" s="123">
        <v>4400.0</v>
      </c>
      <c r="I1920" s="234" t="s">
        <v>670</v>
      </c>
      <c r="J1920" s="234" t="s">
        <v>3410</v>
      </c>
      <c r="K1920" s="33">
        <v>1.0</v>
      </c>
      <c r="L1920" s="124" t="s">
        <v>10723</v>
      </c>
    </row>
    <row r="1921">
      <c r="A1921" s="211" t="s">
        <v>10724</v>
      </c>
      <c r="B1921" s="236">
        <v>45948.0</v>
      </c>
      <c r="C1921" s="33">
        <v>8.0700003357E11</v>
      </c>
      <c r="D1921" s="211" t="s">
        <v>10725</v>
      </c>
      <c r="E1921" s="211" t="s">
        <v>10726</v>
      </c>
      <c r="F1921" s="123" t="s">
        <v>10727</v>
      </c>
      <c r="G1921" s="123" t="s">
        <v>127</v>
      </c>
      <c r="H1921" s="123">
        <v>4400.0</v>
      </c>
      <c r="I1921" s="211">
        <v>208502.0</v>
      </c>
      <c r="J1921" s="211" t="s">
        <v>4551</v>
      </c>
      <c r="K1921" s="211">
        <v>1.0</v>
      </c>
      <c r="L1921" s="124">
        <v>3.875047611E9</v>
      </c>
    </row>
    <row r="1922">
      <c r="A1922" s="234" t="s">
        <v>10728</v>
      </c>
      <c r="B1922" s="235">
        <v>45948.0</v>
      </c>
      <c r="C1922" s="33">
        <v>8.07000033571E11</v>
      </c>
      <c r="D1922" s="234" t="s">
        <v>10725</v>
      </c>
      <c r="E1922" s="234" t="s">
        <v>10726</v>
      </c>
      <c r="F1922" s="123" t="s">
        <v>10727</v>
      </c>
      <c r="G1922" s="123" t="s">
        <v>127</v>
      </c>
      <c r="H1922" s="123">
        <v>4400.0</v>
      </c>
      <c r="I1922" s="234" t="s">
        <v>2211</v>
      </c>
      <c r="J1922" s="234" t="s">
        <v>2212</v>
      </c>
      <c r="K1922" s="234">
        <v>1.0</v>
      </c>
      <c r="L1922" s="124">
        <v>3.875047611E9</v>
      </c>
    </row>
    <row r="1923">
      <c r="A1923" s="234" t="s">
        <v>10728</v>
      </c>
      <c r="B1923" s="236">
        <v>45948.0</v>
      </c>
      <c r="C1923" s="33">
        <v>8.07000033571E11</v>
      </c>
      <c r="D1923" s="211" t="s">
        <v>10725</v>
      </c>
      <c r="E1923" s="211" t="s">
        <v>10726</v>
      </c>
      <c r="F1923" s="123" t="s">
        <v>10727</v>
      </c>
      <c r="G1923" s="123" t="s">
        <v>127</v>
      </c>
      <c r="H1923" s="123">
        <v>4400.0</v>
      </c>
      <c r="I1923" s="211" t="s">
        <v>5436</v>
      </c>
      <c r="J1923" s="211" t="s">
        <v>5437</v>
      </c>
      <c r="K1923" s="211">
        <v>1.0</v>
      </c>
      <c r="L1923" s="124">
        <v>3.875047611E9</v>
      </c>
    </row>
    <row r="1924">
      <c r="A1924" s="234" t="s">
        <v>10729</v>
      </c>
      <c r="B1924" s="235">
        <v>45948.0</v>
      </c>
      <c r="C1924" s="33">
        <v>8.07000033569E11</v>
      </c>
      <c r="D1924" s="234" t="s">
        <v>10730</v>
      </c>
      <c r="E1924" s="234" t="s">
        <v>10731</v>
      </c>
      <c r="F1924" s="123" t="s">
        <v>10732</v>
      </c>
      <c r="G1924" s="123" t="s">
        <v>127</v>
      </c>
      <c r="H1924" s="237">
        <v>4400.0</v>
      </c>
      <c r="I1924" s="234" t="s">
        <v>2537</v>
      </c>
      <c r="J1924" s="234" t="s">
        <v>3955</v>
      </c>
      <c r="K1924" s="234">
        <v>1.0</v>
      </c>
      <c r="L1924" s="124">
        <v>1.54698708E8</v>
      </c>
    </row>
    <row r="1925">
      <c r="A1925" s="234" t="s">
        <v>10733</v>
      </c>
      <c r="B1925" s="235">
        <v>45948.0</v>
      </c>
      <c r="C1925" s="224">
        <v>8.07000033573E11</v>
      </c>
      <c r="D1925" s="224" t="s">
        <v>10734</v>
      </c>
      <c r="E1925" s="224" t="s">
        <v>10735</v>
      </c>
      <c r="F1925" s="123" t="s">
        <v>10736</v>
      </c>
      <c r="G1925" s="123" t="s">
        <v>127</v>
      </c>
      <c r="H1925" s="237">
        <v>4400.0</v>
      </c>
      <c r="I1925" s="224" t="s">
        <v>184</v>
      </c>
      <c r="J1925" s="224" t="s">
        <v>4485</v>
      </c>
      <c r="K1925" s="224">
        <v>1.0</v>
      </c>
      <c r="L1925" s="124">
        <v>3.874594923E9</v>
      </c>
    </row>
    <row r="1926">
      <c r="A1926" s="234" t="s">
        <v>10737</v>
      </c>
      <c r="B1926" s="238">
        <v>45948.0</v>
      </c>
      <c r="C1926" s="224">
        <v>8.07000033577E11</v>
      </c>
      <c r="D1926" s="224" t="s">
        <v>10738</v>
      </c>
      <c r="E1926" s="224" t="s">
        <v>10739</v>
      </c>
      <c r="F1926" s="123" t="s">
        <v>10740</v>
      </c>
      <c r="G1926" s="123" t="s">
        <v>127</v>
      </c>
      <c r="H1926" s="123">
        <v>4400.0</v>
      </c>
      <c r="I1926" s="224" t="s">
        <v>812</v>
      </c>
      <c r="J1926" s="224" t="s">
        <v>3564</v>
      </c>
      <c r="K1926" s="224">
        <v>1.0</v>
      </c>
      <c r="L1926" s="124">
        <v>3.8755374462E10</v>
      </c>
    </row>
    <row r="1927">
      <c r="A1927" s="234" t="s">
        <v>10737</v>
      </c>
      <c r="B1927" s="239">
        <v>45948.0</v>
      </c>
      <c r="C1927" s="211">
        <v>8.07000033577E11</v>
      </c>
      <c r="D1927" s="211" t="s">
        <v>10738</v>
      </c>
      <c r="E1927" s="211" t="s">
        <v>10739</v>
      </c>
      <c r="F1927" s="123" t="s">
        <v>10740</v>
      </c>
      <c r="G1927" s="123" t="s">
        <v>127</v>
      </c>
      <c r="H1927" s="237">
        <v>4400.0</v>
      </c>
      <c r="I1927" s="211" t="s">
        <v>512</v>
      </c>
      <c r="J1927" s="211" t="s">
        <v>513</v>
      </c>
      <c r="K1927" s="211">
        <v>6.0</v>
      </c>
      <c r="L1927" s="124">
        <v>3.8755374462E10</v>
      </c>
    </row>
    <row r="1928">
      <c r="A1928" s="234" t="s">
        <v>10737</v>
      </c>
      <c r="B1928" s="238">
        <v>45948.0</v>
      </c>
      <c r="C1928" s="224">
        <v>8.07000033577E11</v>
      </c>
      <c r="D1928" s="224" t="s">
        <v>10738</v>
      </c>
      <c r="E1928" s="224" t="s">
        <v>10739</v>
      </c>
      <c r="F1928" s="123" t="s">
        <v>10740</v>
      </c>
      <c r="G1928" s="123" t="s">
        <v>127</v>
      </c>
      <c r="H1928" s="237">
        <v>4400.0</v>
      </c>
      <c r="I1928" s="224" t="s">
        <v>35</v>
      </c>
      <c r="J1928" s="224" t="s">
        <v>3188</v>
      </c>
      <c r="K1928" s="224">
        <v>1.0</v>
      </c>
      <c r="L1928" s="124">
        <v>3.8755374462E10</v>
      </c>
    </row>
    <row r="1929">
      <c r="A1929" s="33"/>
      <c r="B1929" s="122"/>
      <c r="C1929" s="103">
        <v>8.07000033582E11</v>
      </c>
      <c r="D1929" s="103" t="s">
        <v>10741</v>
      </c>
      <c r="E1929" s="103" t="s">
        <v>10742</v>
      </c>
      <c r="F1929" s="123"/>
      <c r="G1929" s="123" t="s">
        <v>127</v>
      </c>
      <c r="H1929" s="123">
        <v>4400.0</v>
      </c>
      <c r="I1929" s="211" t="s">
        <v>4512</v>
      </c>
      <c r="J1929" s="211" t="s">
        <v>4513</v>
      </c>
      <c r="K1929" s="211">
        <v>1.0</v>
      </c>
      <c r="L1929" s="124"/>
    </row>
    <row r="1930">
      <c r="A1930" s="33"/>
      <c r="B1930" s="122"/>
      <c r="C1930" s="240">
        <v>8.07000033582E11</v>
      </c>
      <c r="D1930" s="240" t="s">
        <v>10741</v>
      </c>
      <c r="E1930" s="240" t="s">
        <v>10742</v>
      </c>
      <c r="F1930" s="123"/>
      <c r="G1930" s="123" t="s">
        <v>127</v>
      </c>
      <c r="H1930" s="237">
        <v>4400.0</v>
      </c>
      <c r="I1930" s="224" t="s">
        <v>2397</v>
      </c>
      <c r="J1930" s="224" t="s">
        <v>5040</v>
      </c>
      <c r="K1930" s="224">
        <v>1.0</v>
      </c>
      <c r="L1930" s="124"/>
    </row>
    <row r="1931">
      <c r="A1931" s="33"/>
      <c r="B1931" s="122"/>
      <c r="C1931" s="103">
        <v>8.07000033582E11</v>
      </c>
      <c r="D1931" s="103" t="s">
        <v>10741</v>
      </c>
      <c r="E1931" s="103" t="s">
        <v>10742</v>
      </c>
      <c r="F1931" s="123"/>
      <c r="G1931" s="123" t="s">
        <v>127</v>
      </c>
      <c r="H1931" s="237">
        <v>4400.0</v>
      </c>
      <c r="I1931" s="211" t="s">
        <v>985</v>
      </c>
      <c r="J1931" s="211" t="s">
        <v>3600</v>
      </c>
      <c r="K1931" s="211">
        <v>1.0</v>
      </c>
      <c r="L1931" s="124"/>
    </row>
    <row r="1932">
      <c r="A1932" s="33" t="s">
        <v>10743</v>
      </c>
      <c r="B1932" s="122">
        <v>45950.0</v>
      </c>
      <c r="C1932" s="103"/>
      <c r="D1932" s="103" t="s">
        <v>10744</v>
      </c>
      <c r="E1932" s="103" t="s">
        <v>10745</v>
      </c>
      <c r="F1932" s="123" t="s">
        <v>10746</v>
      </c>
      <c r="G1932" s="123" t="s">
        <v>127</v>
      </c>
      <c r="H1932" s="237">
        <v>4400.0</v>
      </c>
      <c r="I1932" s="211">
        <v>132.0</v>
      </c>
      <c r="J1932" s="211" t="s">
        <v>10747</v>
      </c>
      <c r="K1932" s="211">
        <v>1.0</v>
      </c>
      <c r="L1932" s="124">
        <v>3.875531996E9</v>
      </c>
    </row>
    <row r="1933">
      <c r="A1933" s="33" t="s">
        <v>10743</v>
      </c>
      <c r="B1933" s="122">
        <v>45950.0</v>
      </c>
      <c r="C1933" s="103"/>
      <c r="D1933" s="103" t="s">
        <v>10744</v>
      </c>
      <c r="E1933" s="103" t="s">
        <v>10745</v>
      </c>
      <c r="F1933" s="123" t="s">
        <v>10746</v>
      </c>
      <c r="G1933" s="123" t="s">
        <v>127</v>
      </c>
      <c r="H1933" s="237">
        <v>4400.0</v>
      </c>
      <c r="I1933" s="211" t="s">
        <v>4938</v>
      </c>
      <c r="J1933" s="211"/>
      <c r="K1933" s="211">
        <v>1.0</v>
      </c>
      <c r="L1933" s="124"/>
    </row>
    <row r="1934">
      <c r="A1934" s="33" t="s">
        <v>10743</v>
      </c>
      <c r="B1934" s="122">
        <v>45950.0</v>
      </c>
      <c r="C1934" s="103"/>
      <c r="D1934" s="103" t="s">
        <v>10744</v>
      </c>
      <c r="E1934" s="103" t="s">
        <v>10745</v>
      </c>
      <c r="F1934" s="123" t="s">
        <v>10746</v>
      </c>
      <c r="G1934" s="123" t="s">
        <v>127</v>
      </c>
      <c r="H1934" s="237">
        <v>4400.0</v>
      </c>
      <c r="I1934" s="211">
        <v>125811.0</v>
      </c>
      <c r="J1934" s="211"/>
      <c r="K1934" s="211">
        <v>2.0</v>
      </c>
      <c r="L1934" s="124"/>
    </row>
    <row r="1935">
      <c r="A1935" s="33" t="s">
        <v>10748</v>
      </c>
      <c r="B1935" s="122">
        <v>45950.0</v>
      </c>
      <c r="C1935" s="103"/>
      <c r="D1935" s="103" t="s">
        <v>10744</v>
      </c>
      <c r="E1935" s="103" t="s">
        <v>10745</v>
      </c>
      <c r="F1935" s="123" t="s">
        <v>10746</v>
      </c>
      <c r="G1935" s="123" t="s">
        <v>127</v>
      </c>
      <c r="H1935" s="237">
        <v>4400.0</v>
      </c>
      <c r="I1935" s="211" t="s">
        <v>233</v>
      </c>
      <c r="J1935" s="211"/>
      <c r="K1935" s="211">
        <v>2.0</v>
      </c>
      <c r="L1935" s="124"/>
    </row>
    <row r="1936">
      <c r="A1936" s="33" t="s">
        <v>10749</v>
      </c>
      <c r="B1936" s="122">
        <v>45950.0</v>
      </c>
      <c r="C1936" s="103">
        <v>8.07000033586E11</v>
      </c>
      <c r="D1936" s="103" t="s">
        <v>10750</v>
      </c>
      <c r="E1936" s="103" t="s">
        <v>10751</v>
      </c>
      <c r="F1936" s="123" t="s">
        <v>10752</v>
      </c>
      <c r="G1936" s="123" t="s">
        <v>127</v>
      </c>
      <c r="H1936" s="237">
        <v>4400.0</v>
      </c>
      <c r="I1936" s="211" t="s">
        <v>2397</v>
      </c>
      <c r="J1936" s="211" t="s">
        <v>5040</v>
      </c>
      <c r="K1936" s="241">
        <v>1.0</v>
      </c>
      <c r="L1936" s="124">
        <v>3.87536457E9</v>
      </c>
    </row>
    <row r="1937">
      <c r="A1937" s="33" t="s">
        <v>10753</v>
      </c>
      <c r="B1937" s="122">
        <v>45950.0</v>
      </c>
      <c r="C1937" s="240">
        <v>8.07000033574E11</v>
      </c>
      <c r="D1937" s="240" t="s">
        <v>10754</v>
      </c>
      <c r="E1937" s="240" t="s">
        <v>10755</v>
      </c>
      <c r="F1937" s="123" t="s">
        <v>10756</v>
      </c>
      <c r="G1937" s="123" t="s">
        <v>10757</v>
      </c>
      <c r="H1937" s="123"/>
      <c r="I1937" s="224">
        <v>125810.0</v>
      </c>
      <c r="J1937" s="224" t="s">
        <v>4672</v>
      </c>
      <c r="K1937" s="242">
        <v>2.0</v>
      </c>
      <c r="L1937" s="124">
        <v>3.875792816E9</v>
      </c>
    </row>
    <row r="1938">
      <c r="A1938" s="33" t="s">
        <v>10753</v>
      </c>
      <c r="B1938" s="122">
        <v>45950.0</v>
      </c>
      <c r="C1938" s="103">
        <v>8.07000033575E11</v>
      </c>
      <c r="D1938" s="103" t="s">
        <v>10754</v>
      </c>
      <c r="E1938" s="103" t="s">
        <v>10755</v>
      </c>
      <c r="F1938" s="123" t="s">
        <v>10756</v>
      </c>
      <c r="G1938" s="123" t="s">
        <v>10757</v>
      </c>
      <c r="H1938" s="123"/>
      <c r="I1938" s="211" t="s">
        <v>5842</v>
      </c>
      <c r="J1938" s="211" t="s">
        <v>5843</v>
      </c>
      <c r="K1938" s="241">
        <v>1.0</v>
      </c>
      <c r="L1938" s="124">
        <v>3.875792816E9</v>
      </c>
    </row>
    <row r="1939">
      <c r="A1939" s="33" t="s">
        <v>10753</v>
      </c>
      <c r="B1939" s="122">
        <v>45950.0</v>
      </c>
      <c r="C1939" s="240">
        <v>8.07000033575E11</v>
      </c>
      <c r="D1939" s="240" t="s">
        <v>10754</v>
      </c>
      <c r="E1939" s="240" t="s">
        <v>10755</v>
      </c>
      <c r="F1939" s="123" t="s">
        <v>10756</v>
      </c>
      <c r="G1939" s="123" t="s">
        <v>10757</v>
      </c>
      <c r="H1939" s="123"/>
      <c r="I1939" s="224" t="s">
        <v>3074</v>
      </c>
      <c r="J1939" s="224" t="s">
        <v>3232</v>
      </c>
      <c r="K1939" s="242">
        <v>1.0</v>
      </c>
      <c r="L1939" s="124">
        <v>3.875792816E9</v>
      </c>
    </row>
    <row r="1940">
      <c r="A1940" s="33" t="s">
        <v>10758</v>
      </c>
      <c r="B1940" s="122">
        <v>45950.0</v>
      </c>
      <c r="C1940" s="103">
        <v>8.07000033587E11</v>
      </c>
      <c r="D1940" s="103" t="s">
        <v>10759</v>
      </c>
      <c r="E1940" s="103" t="s">
        <v>10760</v>
      </c>
      <c r="F1940" s="123" t="s">
        <v>10761</v>
      </c>
      <c r="G1940" s="123" t="s">
        <v>127</v>
      </c>
      <c r="H1940" s="237">
        <v>4400.0</v>
      </c>
      <c r="I1940" s="211">
        <v>125810.0</v>
      </c>
      <c r="J1940" s="211" t="s">
        <v>4672</v>
      </c>
      <c r="K1940" s="241">
        <v>2.0</v>
      </c>
      <c r="L1940" s="124">
        <v>3.872792222E9</v>
      </c>
    </row>
    <row r="1941">
      <c r="A1941" s="33" t="s">
        <v>10758</v>
      </c>
      <c r="B1941" s="122">
        <v>45950.0</v>
      </c>
      <c r="C1941" s="240">
        <v>8.07000033587E11</v>
      </c>
      <c r="D1941" s="240" t="s">
        <v>10759</v>
      </c>
      <c r="E1941" s="240" t="s">
        <v>10760</v>
      </c>
      <c r="F1941" s="123" t="s">
        <v>10761</v>
      </c>
      <c r="G1941" s="123" t="s">
        <v>127</v>
      </c>
      <c r="H1941" s="237">
        <v>4400.0</v>
      </c>
      <c r="I1941" s="224" t="s">
        <v>512</v>
      </c>
      <c r="J1941" s="224" t="s">
        <v>513</v>
      </c>
      <c r="K1941" s="242">
        <v>12.0</v>
      </c>
      <c r="L1941" s="124">
        <v>3.872792222E9</v>
      </c>
    </row>
    <row r="1942">
      <c r="A1942" s="33" t="s">
        <v>10758</v>
      </c>
      <c r="B1942" s="122">
        <v>45950.0</v>
      </c>
      <c r="C1942" s="103">
        <v>8.07000033588E11</v>
      </c>
      <c r="D1942" s="103" t="s">
        <v>10759</v>
      </c>
      <c r="E1942" s="103" t="s">
        <v>10760</v>
      </c>
      <c r="F1942" s="123" t="s">
        <v>10761</v>
      </c>
      <c r="G1942" s="123" t="s">
        <v>127</v>
      </c>
      <c r="H1942" s="237">
        <v>4400.0</v>
      </c>
      <c r="I1942" s="211" t="s">
        <v>2397</v>
      </c>
      <c r="J1942" s="211" t="s">
        <v>5040</v>
      </c>
      <c r="K1942" s="241">
        <v>2.0</v>
      </c>
      <c r="L1942" s="124">
        <v>3.872792222E9</v>
      </c>
    </row>
    <row r="1943">
      <c r="A1943" s="33" t="s">
        <v>10758</v>
      </c>
      <c r="B1943" s="122">
        <v>45950.0</v>
      </c>
      <c r="C1943" s="240">
        <v>8.07000033588E11</v>
      </c>
      <c r="D1943" s="240" t="s">
        <v>10759</v>
      </c>
      <c r="E1943" s="240" t="s">
        <v>10760</v>
      </c>
      <c r="F1943" s="123" t="s">
        <v>10761</v>
      </c>
      <c r="G1943" s="123" t="s">
        <v>127</v>
      </c>
      <c r="H1943" s="237">
        <v>4400.0</v>
      </c>
      <c r="I1943" s="224" t="s">
        <v>969</v>
      </c>
      <c r="J1943" s="224" t="s">
        <v>3296</v>
      </c>
      <c r="K1943" s="242">
        <v>2.0</v>
      </c>
      <c r="L1943" s="124">
        <v>3.872792222E9</v>
      </c>
    </row>
    <row r="1944">
      <c r="A1944" s="33" t="s">
        <v>10762</v>
      </c>
      <c r="B1944" s="122">
        <v>45950.0</v>
      </c>
      <c r="C1944" s="103">
        <v>8.07000033589E11</v>
      </c>
      <c r="D1944" s="103" t="s">
        <v>10656</v>
      </c>
      <c r="E1944" s="103" t="s">
        <v>10657</v>
      </c>
      <c r="F1944" s="123" t="s">
        <v>10658</v>
      </c>
      <c r="G1944" s="123" t="s">
        <v>10763</v>
      </c>
      <c r="H1944" s="123"/>
      <c r="I1944" s="211" t="s">
        <v>512</v>
      </c>
      <c r="J1944" s="211" t="s">
        <v>513</v>
      </c>
      <c r="K1944" s="241">
        <v>12.0</v>
      </c>
      <c r="L1944" s="124">
        <v>3.875135077E9</v>
      </c>
    </row>
    <row r="1945">
      <c r="A1945" s="33" t="s">
        <v>10762</v>
      </c>
      <c r="B1945" s="122">
        <v>45950.0</v>
      </c>
      <c r="C1945" s="103">
        <v>8.07000033597E11</v>
      </c>
      <c r="D1945" s="240" t="s">
        <v>10656</v>
      </c>
      <c r="E1945" s="240" t="s">
        <v>10657</v>
      </c>
      <c r="F1945" s="123" t="s">
        <v>10658</v>
      </c>
      <c r="G1945" s="123" t="s">
        <v>10763</v>
      </c>
      <c r="H1945" s="123"/>
      <c r="I1945" s="211" t="s">
        <v>121</v>
      </c>
      <c r="J1945" s="211" t="s">
        <v>3199</v>
      </c>
      <c r="K1945" s="241">
        <v>2.0</v>
      </c>
      <c r="L1945" s="124">
        <v>3.875135077E9</v>
      </c>
    </row>
    <row r="1946">
      <c r="A1946" s="33" t="s">
        <v>10764</v>
      </c>
      <c r="B1946" s="122">
        <v>45950.0</v>
      </c>
      <c r="C1946" s="103">
        <v>8.07000033591E11</v>
      </c>
      <c r="D1946" s="103" t="s">
        <v>10656</v>
      </c>
      <c r="E1946" s="103" t="s">
        <v>10657</v>
      </c>
      <c r="F1946" s="123" t="s">
        <v>10658</v>
      </c>
      <c r="G1946" s="123" t="s">
        <v>10763</v>
      </c>
      <c r="H1946" s="123"/>
      <c r="I1946" s="211" t="s">
        <v>218</v>
      </c>
      <c r="J1946" s="211" t="s">
        <v>8664</v>
      </c>
      <c r="K1946" s="241">
        <v>1.0</v>
      </c>
      <c r="L1946" s="124">
        <v>3.875135077E9</v>
      </c>
    </row>
    <row r="1947">
      <c r="A1947" s="33" t="s">
        <v>10765</v>
      </c>
      <c r="B1947" s="122">
        <v>45950.0</v>
      </c>
      <c r="C1947" s="103">
        <v>8.07000033592E11</v>
      </c>
      <c r="D1947" s="103" t="s">
        <v>10766</v>
      </c>
      <c r="E1947" s="103" t="s">
        <v>10767</v>
      </c>
      <c r="F1947" s="123" t="s">
        <v>10768</v>
      </c>
      <c r="G1947" s="123" t="s">
        <v>10769</v>
      </c>
      <c r="H1947" s="123"/>
      <c r="I1947" s="211" t="s">
        <v>3205</v>
      </c>
      <c r="J1947" s="211" t="s">
        <v>3206</v>
      </c>
      <c r="K1947" s="241">
        <v>2.0</v>
      </c>
      <c r="L1947" s="124">
        <v>3.875442482E9</v>
      </c>
    </row>
    <row r="1948">
      <c r="A1948" s="33" t="s">
        <v>10770</v>
      </c>
      <c r="B1948" s="122">
        <v>45951.0</v>
      </c>
      <c r="C1948" s="103"/>
      <c r="D1948" s="103"/>
      <c r="E1948" s="103" t="s">
        <v>10771</v>
      </c>
      <c r="F1948" s="123" t="s">
        <v>10772</v>
      </c>
      <c r="G1948" s="123" t="s">
        <v>127</v>
      </c>
      <c r="H1948" s="123">
        <v>4400.0</v>
      </c>
      <c r="I1948" s="211" t="s">
        <v>2956</v>
      </c>
      <c r="J1948" s="211" t="s">
        <v>3452</v>
      </c>
      <c r="K1948" s="241">
        <v>1.0</v>
      </c>
      <c r="L1948" s="124">
        <v>3.87506653E9</v>
      </c>
    </row>
    <row r="1949">
      <c r="A1949" s="33" t="s">
        <v>10773</v>
      </c>
      <c r="B1949" s="122">
        <v>45951.0</v>
      </c>
      <c r="C1949" s="103"/>
      <c r="D1949" s="103"/>
      <c r="E1949" s="103" t="s">
        <v>10774</v>
      </c>
      <c r="F1949" s="243" t="s">
        <v>10775</v>
      </c>
      <c r="G1949" s="123" t="s">
        <v>127</v>
      </c>
      <c r="H1949" s="123">
        <v>4400.0</v>
      </c>
      <c r="I1949" s="211" t="s">
        <v>512</v>
      </c>
      <c r="J1949" s="211" t="s">
        <v>513</v>
      </c>
      <c r="K1949" s="241">
        <v>6.0</v>
      </c>
      <c r="L1949" s="124">
        <v>1.11544022226E11</v>
      </c>
    </row>
    <row r="1950">
      <c r="A1950" s="33" t="s">
        <v>10773</v>
      </c>
      <c r="B1950" s="122">
        <v>45951.0</v>
      </c>
      <c r="C1950" s="103"/>
      <c r="D1950" s="103"/>
      <c r="E1950" s="103" t="s">
        <v>10776</v>
      </c>
      <c r="F1950" s="243" t="s">
        <v>10775</v>
      </c>
      <c r="G1950" s="123" t="s">
        <v>127</v>
      </c>
      <c r="H1950" s="123">
        <v>4400.0</v>
      </c>
      <c r="I1950" s="211" t="s">
        <v>969</v>
      </c>
      <c r="J1950" s="211" t="s">
        <v>3296</v>
      </c>
      <c r="K1950" s="241">
        <v>1.0</v>
      </c>
      <c r="L1950" s="124">
        <v>1.11544022226E11</v>
      </c>
    </row>
    <row r="1951">
      <c r="A1951" s="33" t="s">
        <v>10773</v>
      </c>
      <c r="B1951" s="122">
        <v>45951.0</v>
      </c>
      <c r="C1951" s="103"/>
      <c r="D1951" s="103"/>
      <c r="E1951" s="103" t="s">
        <v>10774</v>
      </c>
      <c r="F1951" s="243" t="s">
        <v>10775</v>
      </c>
      <c r="G1951" s="123" t="s">
        <v>127</v>
      </c>
      <c r="H1951" s="123">
        <v>4400.0</v>
      </c>
      <c r="I1951" s="211" t="s">
        <v>2233</v>
      </c>
      <c r="J1951" s="211" t="s">
        <v>4158</v>
      </c>
      <c r="K1951" s="241">
        <v>1.0</v>
      </c>
      <c r="L1951" s="124">
        <v>1.11544022226E11</v>
      </c>
    </row>
    <row r="1952">
      <c r="A1952" s="33" t="s">
        <v>10773</v>
      </c>
      <c r="B1952" s="122">
        <v>45951.0</v>
      </c>
      <c r="C1952" s="103"/>
      <c r="D1952" s="103"/>
      <c r="E1952" s="103" t="s">
        <v>10774</v>
      </c>
      <c r="F1952" s="243" t="s">
        <v>10775</v>
      </c>
      <c r="G1952" s="123" t="s">
        <v>127</v>
      </c>
      <c r="H1952" s="123">
        <v>4400.0</v>
      </c>
      <c r="I1952" s="211">
        <v>125817.0</v>
      </c>
      <c r="J1952" s="211" t="s">
        <v>10777</v>
      </c>
      <c r="K1952" s="241">
        <v>2.0</v>
      </c>
      <c r="L1952" s="124">
        <v>1.11544022226E11</v>
      </c>
    </row>
    <row r="1953">
      <c r="A1953" s="33" t="s">
        <v>10778</v>
      </c>
      <c r="B1953" s="122">
        <v>45952.0</v>
      </c>
      <c r="C1953" s="240">
        <v>8.07000033606E11</v>
      </c>
      <c r="D1953" s="240" t="s">
        <v>10779</v>
      </c>
      <c r="E1953" s="240" t="s">
        <v>10780</v>
      </c>
      <c r="F1953" s="123" t="s">
        <v>10781</v>
      </c>
      <c r="G1953" s="123" t="s">
        <v>104</v>
      </c>
      <c r="H1953" s="123">
        <v>4400.0</v>
      </c>
      <c r="I1953" s="224" t="s">
        <v>512</v>
      </c>
      <c r="J1953" s="224" t="s">
        <v>513</v>
      </c>
      <c r="K1953" s="242">
        <v>6.0</v>
      </c>
      <c r="L1953" s="124">
        <v>3.874685536E9</v>
      </c>
    </row>
    <row r="1954">
      <c r="A1954" s="33" t="s">
        <v>10778</v>
      </c>
      <c r="B1954" s="122">
        <v>45952.0</v>
      </c>
      <c r="C1954" s="103">
        <v>8.07000033607E11</v>
      </c>
      <c r="D1954" s="103" t="s">
        <v>10779</v>
      </c>
      <c r="E1954" s="103" t="s">
        <v>10780</v>
      </c>
      <c r="F1954" s="123" t="s">
        <v>10781</v>
      </c>
      <c r="G1954" s="123" t="s">
        <v>104</v>
      </c>
      <c r="H1954" s="123">
        <v>4400.0</v>
      </c>
      <c r="I1954" s="211" t="s">
        <v>3376</v>
      </c>
      <c r="J1954" s="211" t="s">
        <v>3377</v>
      </c>
      <c r="K1954" s="241">
        <v>1.0</v>
      </c>
      <c r="L1954" s="124">
        <v>3.874685536E9</v>
      </c>
    </row>
    <row r="1955">
      <c r="A1955" s="33" t="s">
        <v>10778</v>
      </c>
      <c r="B1955" s="122">
        <v>45952.0</v>
      </c>
      <c r="C1955" s="240">
        <v>8.07000033607E11</v>
      </c>
      <c r="D1955" s="240" t="s">
        <v>10779</v>
      </c>
      <c r="E1955" s="240" t="s">
        <v>10780</v>
      </c>
      <c r="F1955" s="123" t="s">
        <v>10781</v>
      </c>
      <c r="G1955" s="123" t="s">
        <v>104</v>
      </c>
      <c r="H1955" s="123">
        <v>4400.0</v>
      </c>
      <c r="I1955" s="224" t="s">
        <v>2031</v>
      </c>
      <c r="J1955" s="224" t="s">
        <v>3348</v>
      </c>
      <c r="K1955" s="242">
        <v>1.0</v>
      </c>
      <c r="L1955" s="124">
        <v>3.874685536E9</v>
      </c>
    </row>
    <row r="1956">
      <c r="A1956" s="33" t="s">
        <v>10782</v>
      </c>
      <c r="B1956" s="122">
        <v>45952.0</v>
      </c>
      <c r="C1956" s="103">
        <v>8.07000033601E11</v>
      </c>
      <c r="D1956" s="103" t="s">
        <v>10783</v>
      </c>
      <c r="E1956" s="103" t="s">
        <v>10784</v>
      </c>
      <c r="F1956" s="123" t="s">
        <v>10785</v>
      </c>
      <c r="G1956" s="123" t="s">
        <v>104</v>
      </c>
      <c r="H1956" s="123">
        <v>4400.0</v>
      </c>
      <c r="I1956" s="211">
        <v>208502.0</v>
      </c>
      <c r="J1956" s="211" t="s">
        <v>4551</v>
      </c>
      <c r="K1956" s="241">
        <v>2.0</v>
      </c>
      <c r="L1956" s="124">
        <v>3.872140638E9</v>
      </c>
    </row>
    <row r="1957">
      <c r="A1957" s="33" t="s">
        <v>10782</v>
      </c>
      <c r="B1957" s="122">
        <v>45952.0</v>
      </c>
      <c r="C1957" s="240">
        <v>8.07000033601E11</v>
      </c>
      <c r="D1957" s="240" t="s">
        <v>10783</v>
      </c>
      <c r="E1957" s="240" t="s">
        <v>10784</v>
      </c>
      <c r="F1957" s="123" t="s">
        <v>10785</v>
      </c>
      <c r="G1957" s="123" t="s">
        <v>104</v>
      </c>
      <c r="H1957" s="123">
        <v>4400.0</v>
      </c>
      <c r="I1957" s="224" t="s">
        <v>5658</v>
      </c>
      <c r="J1957" s="224" t="s">
        <v>5659</v>
      </c>
      <c r="K1957" s="242">
        <v>1.0</v>
      </c>
      <c r="L1957" s="124">
        <v>3.872140638E9</v>
      </c>
    </row>
    <row r="1958">
      <c r="A1958" s="33" t="s">
        <v>10786</v>
      </c>
      <c r="B1958" s="122">
        <v>45952.0</v>
      </c>
      <c r="C1958" s="103">
        <v>8.07000033602E11</v>
      </c>
      <c r="D1958" s="103" t="s">
        <v>10783</v>
      </c>
      <c r="E1958" s="103" t="s">
        <v>10784</v>
      </c>
      <c r="F1958" s="123" t="s">
        <v>10785</v>
      </c>
      <c r="G1958" s="123" t="s">
        <v>104</v>
      </c>
      <c r="H1958" s="123">
        <v>4400.0</v>
      </c>
      <c r="I1958" s="211" t="s">
        <v>233</v>
      </c>
      <c r="J1958" s="211" t="s">
        <v>3459</v>
      </c>
      <c r="K1958" s="241">
        <v>2.0</v>
      </c>
      <c r="L1958" s="124">
        <v>3.872140638E9</v>
      </c>
    </row>
    <row r="1959">
      <c r="A1959" s="33" t="s">
        <v>10787</v>
      </c>
      <c r="B1959" s="122">
        <v>45952.0</v>
      </c>
      <c r="C1959" s="240">
        <v>8.07000033596E11</v>
      </c>
      <c r="D1959" s="240" t="s">
        <v>10788</v>
      </c>
      <c r="E1959" s="240" t="s">
        <v>10789</v>
      </c>
      <c r="F1959" s="123" t="s">
        <v>10790</v>
      </c>
      <c r="G1959" s="123" t="s">
        <v>104</v>
      </c>
      <c r="H1959" s="123">
        <v>4400.0</v>
      </c>
      <c r="I1959" s="224">
        <v>125822.0</v>
      </c>
      <c r="J1959" s="224" t="s">
        <v>6030</v>
      </c>
      <c r="K1959" s="242">
        <v>1.0</v>
      </c>
      <c r="L1959" s="124">
        <v>3.87583084E9</v>
      </c>
    </row>
    <row r="1960">
      <c r="A1960" s="33" t="s">
        <v>10787</v>
      </c>
      <c r="B1960" s="122">
        <v>45952.0</v>
      </c>
      <c r="C1960" s="103">
        <v>8.07000033596E11</v>
      </c>
      <c r="D1960" s="103" t="s">
        <v>10788</v>
      </c>
      <c r="E1960" s="103" t="s">
        <v>10789</v>
      </c>
      <c r="F1960" s="123" t="s">
        <v>10790</v>
      </c>
      <c r="G1960" s="123" t="s">
        <v>104</v>
      </c>
      <c r="H1960" s="123">
        <v>4400.0</v>
      </c>
      <c r="I1960" s="211" t="s">
        <v>1241</v>
      </c>
      <c r="J1960" s="211" t="s">
        <v>3500</v>
      </c>
      <c r="K1960" s="241">
        <v>1.0</v>
      </c>
      <c r="L1960" s="124">
        <v>3.87583084E9</v>
      </c>
    </row>
    <row r="1961">
      <c r="A1961" s="33" t="s">
        <v>10791</v>
      </c>
      <c r="B1961" s="122">
        <v>45954.0</v>
      </c>
      <c r="C1961" s="103">
        <v>8.07000033593E11</v>
      </c>
      <c r="D1961" s="103" t="s">
        <v>10792</v>
      </c>
      <c r="E1961" s="103" t="s">
        <v>10793</v>
      </c>
      <c r="F1961" s="123" t="s">
        <v>10794</v>
      </c>
      <c r="G1961" s="123" t="s">
        <v>127</v>
      </c>
      <c r="H1961" s="123">
        <v>4400.0</v>
      </c>
      <c r="I1961" s="211" t="s">
        <v>25</v>
      </c>
      <c r="J1961" s="211" t="s">
        <v>3401</v>
      </c>
      <c r="K1961" s="241">
        <v>1.0</v>
      </c>
      <c r="L1961" s="124">
        <v>3.875487748E9</v>
      </c>
    </row>
    <row r="1962">
      <c r="A1962" s="33" t="s">
        <v>10791</v>
      </c>
      <c r="B1962" s="122">
        <v>45954.0</v>
      </c>
      <c r="C1962" s="240">
        <v>8.07000033594E11</v>
      </c>
      <c r="D1962" s="240" t="s">
        <v>10792</v>
      </c>
      <c r="E1962" s="240" t="s">
        <v>10793</v>
      </c>
      <c r="F1962" s="123" t="s">
        <v>10794</v>
      </c>
      <c r="G1962" s="123" t="s">
        <v>127</v>
      </c>
      <c r="H1962" s="123">
        <v>4400.0</v>
      </c>
      <c r="I1962" s="224" t="s">
        <v>50</v>
      </c>
      <c r="J1962" s="224" t="s">
        <v>51</v>
      </c>
      <c r="K1962" s="242">
        <v>1.0</v>
      </c>
      <c r="L1962" s="124">
        <v>3.875487748E9</v>
      </c>
    </row>
    <row r="1963">
      <c r="A1963" s="33" t="s">
        <v>10795</v>
      </c>
      <c r="B1963" s="122">
        <v>45954.0</v>
      </c>
      <c r="C1963" s="240">
        <v>8.07000033599E11</v>
      </c>
      <c r="D1963" s="240" t="s">
        <v>10796</v>
      </c>
      <c r="E1963" s="240" t="s">
        <v>10797</v>
      </c>
      <c r="F1963" s="123" t="s">
        <v>10798</v>
      </c>
      <c r="G1963" s="123" t="s">
        <v>127</v>
      </c>
      <c r="H1963" s="123">
        <v>4400.0</v>
      </c>
      <c r="I1963" s="224" t="s">
        <v>32</v>
      </c>
      <c r="J1963" s="224" t="s">
        <v>3225</v>
      </c>
      <c r="K1963" s="242">
        <v>1.0</v>
      </c>
      <c r="L1963" s="124">
        <v>3.875323097E9</v>
      </c>
    </row>
    <row r="1964">
      <c r="A1964" s="33" t="s">
        <v>10795</v>
      </c>
      <c r="B1964" s="122">
        <v>45954.0</v>
      </c>
      <c r="C1964" s="103">
        <v>8.07000033599E11</v>
      </c>
      <c r="D1964" s="103" t="s">
        <v>10796</v>
      </c>
      <c r="E1964" s="103" t="s">
        <v>10797</v>
      </c>
      <c r="F1964" s="123" t="s">
        <v>10798</v>
      </c>
      <c r="G1964" s="123" t="s">
        <v>127</v>
      </c>
      <c r="H1964" s="123">
        <v>4400.0</v>
      </c>
      <c r="I1964" s="211" t="s">
        <v>512</v>
      </c>
      <c r="J1964" s="211" t="s">
        <v>513</v>
      </c>
      <c r="K1964" s="241">
        <v>6.0</v>
      </c>
      <c r="L1964" s="124">
        <v>3.875323097E9</v>
      </c>
    </row>
    <row r="1965">
      <c r="A1965" s="33" t="s">
        <v>10795</v>
      </c>
      <c r="B1965" s="122">
        <v>45954.0</v>
      </c>
      <c r="C1965" s="240">
        <v>8.07000033599E11</v>
      </c>
      <c r="D1965" s="240" t="s">
        <v>10796</v>
      </c>
      <c r="E1965" s="240" t="s">
        <v>10797</v>
      </c>
      <c r="F1965" s="123" t="s">
        <v>10798</v>
      </c>
      <c r="G1965" s="123" t="s">
        <v>127</v>
      </c>
      <c r="H1965" s="123">
        <v>4400.0</v>
      </c>
      <c r="I1965" s="224" t="s">
        <v>670</v>
      </c>
      <c r="J1965" s="224" t="s">
        <v>3410</v>
      </c>
      <c r="K1965" s="242">
        <v>1.0</v>
      </c>
      <c r="L1965" s="124">
        <v>3.875323097E9</v>
      </c>
    </row>
    <row r="1966">
      <c r="A1966" s="33" t="s">
        <v>10799</v>
      </c>
      <c r="B1966" s="122">
        <v>45954.0</v>
      </c>
      <c r="C1966" s="103">
        <v>8.07000033612E11</v>
      </c>
      <c r="D1966" s="103" t="s">
        <v>10800</v>
      </c>
      <c r="E1966" s="103" t="s">
        <v>10801</v>
      </c>
      <c r="F1966" s="123" t="s">
        <v>10802</v>
      </c>
      <c r="G1966" s="123" t="s">
        <v>127</v>
      </c>
      <c r="H1966" s="123">
        <v>4400.0</v>
      </c>
      <c r="I1966" s="211" t="s">
        <v>9359</v>
      </c>
      <c r="J1966" s="211" t="s">
        <v>9360</v>
      </c>
      <c r="K1966" s="241">
        <v>1.0</v>
      </c>
      <c r="L1966" s="124" t="s">
        <v>10803</v>
      </c>
    </row>
    <row r="1967">
      <c r="A1967" s="33" t="s">
        <v>10799</v>
      </c>
      <c r="B1967" s="122">
        <v>45954.0</v>
      </c>
      <c r="C1967" s="240">
        <v>8.07000033612E11</v>
      </c>
      <c r="D1967" s="240" t="s">
        <v>10800</v>
      </c>
      <c r="E1967" s="240" t="s">
        <v>10801</v>
      </c>
      <c r="F1967" s="123" t="s">
        <v>10802</v>
      </c>
      <c r="G1967" s="123" t="s">
        <v>127</v>
      </c>
      <c r="H1967" s="123">
        <v>4400.0</v>
      </c>
      <c r="I1967" s="224" t="s">
        <v>969</v>
      </c>
      <c r="J1967" s="224" t="s">
        <v>3296</v>
      </c>
      <c r="K1967" s="242">
        <v>1.0</v>
      </c>
      <c r="L1967" s="124" t="s">
        <v>10803</v>
      </c>
    </row>
    <row r="1968">
      <c r="A1968" s="33" t="s">
        <v>10804</v>
      </c>
      <c r="B1968" s="122">
        <v>45954.0</v>
      </c>
      <c r="C1968" s="103">
        <v>8.07000033615E11</v>
      </c>
      <c r="D1968" s="103" t="s">
        <v>10805</v>
      </c>
      <c r="E1968" s="103" t="s">
        <v>10806</v>
      </c>
      <c r="F1968" s="123" t="s">
        <v>10807</v>
      </c>
      <c r="G1968" s="123" t="s">
        <v>10763</v>
      </c>
      <c r="H1968" s="123">
        <v>4400.0</v>
      </c>
      <c r="I1968" s="211" t="s">
        <v>2397</v>
      </c>
      <c r="J1968" s="211" t="s">
        <v>5040</v>
      </c>
      <c r="K1968" s="241">
        <v>1.0</v>
      </c>
      <c r="L1968" s="124">
        <v>1.150576488E9</v>
      </c>
    </row>
    <row r="1969">
      <c r="A1969" s="33" t="s">
        <v>10804</v>
      </c>
      <c r="B1969" s="122">
        <v>45954.0</v>
      </c>
      <c r="C1969" s="240">
        <v>8.07000033616E11</v>
      </c>
      <c r="D1969" s="240" t="s">
        <v>10805</v>
      </c>
      <c r="E1969" s="240" t="s">
        <v>10806</v>
      </c>
      <c r="F1969" s="123" t="s">
        <v>10807</v>
      </c>
      <c r="G1969" s="123" t="s">
        <v>10763</v>
      </c>
      <c r="H1969" s="123">
        <v>4400.0</v>
      </c>
      <c r="I1969" s="224" t="s">
        <v>8738</v>
      </c>
      <c r="J1969" s="224" t="s">
        <v>8739</v>
      </c>
      <c r="K1969" s="242">
        <v>1.0</v>
      </c>
      <c r="L1969" s="124">
        <v>1.150576488E9</v>
      </c>
    </row>
    <row r="1970">
      <c r="A1970" s="33" t="s">
        <v>10808</v>
      </c>
      <c r="B1970" s="122">
        <v>45954.0</v>
      </c>
      <c r="C1970" s="103">
        <v>8.07000033614E11</v>
      </c>
      <c r="D1970" s="103" t="s">
        <v>10809</v>
      </c>
      <c r="E1970" s="103" t="s">
        <v>10810</v>
      </c>
      <c r="F1970" s="123" t="s">
        <v>10811</v>
      </c>
      <c r="G1970" s="123" t="s">
        <v>104</v>
      </c>
      <c r="H1970" s="123">
        <v>4400.0</v>
      </c>
      <c r="I1970" s="211" t="s">
        <v>10812</v>
      </c>
      <c r="J1970" s="211" t="s">
        <v>10813</v>
      </c>
      <c r="K1970" s="241">
        <v>1.0</v>
      </c>
      <c r="L1970" s="124">
        <v>3.874811281E9</v>
      </c>
    </row>
    <row r="1971">
      <c r="A1971" s="33" t="s">
        <v>10814</v>
      </c>
      <c r="B1971" s="122">
        <v>45954.0</v>
      </c>
      <c r="C1971" s="240">
        <v>8.07000033619E11</v>
      </c>
      <c r="D1971" s="240" t="s">
        <v>10815</v>
      </c>
      <c r="E1971" s="240" t="s">
        <v>10816</v>
      </c>
      <c r="F1971" s="123" t="s">
        <v>10817</v>
      </c>
      <c r="G1971" s="123" t="s">
        <v>10818</v>
      </c>
      <c r="H1971" s="123">
        <v>4407.0</v>
      </c>
      <c r="I1971" s="224" t="s">
        <v>3154</v>
      </c>
      <c r="J1971" s="224" t="s">
        <v>4564</v>
      </c>
      <c r="K1971" s="242">
        <v>1.0</v>
      </c>
      <c r="L1971" s="124">
        <v>3.874831621E9</v>
      </c>
    </row>
    <row r="1972">
      <c r="A1972" s="33" t="s">
        <v>10819</v>
      </c>
      <c r="B1972" s="122">
        <v>45955.0</v>
      </c>
      <c r="C1972" s="103">
        <v>8.07000033626E11</v>
      </c>
      <c r="D1972" s="103" t="s">
        <v>10148</v>
      </c>
      <c r="E1972" s="103" t="s">
        <v>10149</v>
      </c>
      <c r="F1972" s="123" t="s">
        <v>10820</v>
      </c>
      <c r="G1972" s="123" t="s">
        <v>127</v>
      </c>
      <c r="H1972" s="123">
        <v>4400.0</v>
      </c>
      <c r="I1972" s="211" t="s">
        <v>10821</v>
      </c>
      <c r="J1972" s="211" t="s">
        <v>10822</v>
      </c>
      <c r="K1972" s="241">
        <v>1.0</v>
      </c>
      <c r="L1972" s="124">
        <v>3.874431333E9</v>
      </c>
    </row>
    <row r="1973">
      <c r="A1973" s="33" t="s">
        <v>10819</v>
      </c>
      <c r="B1973" s="122">
        <v>45955.0</v>
      </c>
      <c r="C1973" s="240">
        <v>8.07000033627E11</v>
      </c>
      <c r="D1973" s="240" t="s">
        <v>10148</v>
      </c>
      <c r="E1973" s="240" t="s">
        <v>10149</v>
      </c>
      <c r="F1973" s="123" t="s">
        <v>10820</v>
      </c>
      <c r="G1973" s="123" t="s">
        <v>127</v>
      </c>
      <c r="H1973" s="123">
        <v>4400.0</v>
      </c>
      <c r="I1973" s="224" t="s">
        <v>121</v>
      </c>
      <c r="J1973" s="224" t="s">
        <v>3199</v>
      </c>
      <c r="K1973" s="242">
        <v>2.0</v>
      </c>
      <c r="L1973" s="124">
        <v>3.874431333E9</v>
      </c>
    </row>
    <row r="1974">
      <c r="A1974" s="33" t="s">
        <v>10823</v>
      </c>
      <c r="B1974" s="122">
        <v>45955.0</v>
      </c>
      <c r="C1974" s="240">
        <v>8.07000033636E11</v>
      </c>
      <c r="D1974" s="240" t="s">
        <v>10824</v>
      </c>
      <c r="E1974" s="103" t="s">
        <v>10825</v>
      </c>
      <c r="F1974" s="123" t="s">
        <v>10826</v>
      </c>
      <c r="G1974" s="123" t="s">
        <v>127</v>
      </c>
      <c r="H1974" s="123">
        <v>4400.0</v>
      </c>
      <c r="I1974" s="224" t="s">
        <v>2686</v>
      </c>
      <c r="J1974" s="224" t="s">
        <v>7670</v>
      </c>
      <c r="K1974" s="242">
        <v>1.0</v>
      </c>
      <c r="L1974" s="124">
        <v>3.875716741E9</v>
      </c>
    </row>
    <row r="1975">
      <c r="A1975" s="33" t="s">
        <v>10823</v>
      </c>
      <c r="B1975" s="122">
        <v>45955.0</v>
      </c>
      <c r="C1975" s="103">
        <v>8.07000033636E11</v>
      </c>
      <c r="D1975" s="103" t="s">
        <v>10824</v>
      </c>
      <c r="E1975" s="103" t="s">
        <v>10825</v>
      </c>
      <c r="F1975" s="123" t="s">
        <v>10826</v>
      </c>
      <c r="G1975" s="123" t="s">
        <v>127</v>
      </c>
      <c r="H1975" s="123">
        <v>4400.0</v>
      </c>
      <c r="I1975" s="224" t="s">
        <v>670</v>
      </c>
      <c r="J1975" s="224" t="s">
        <v>3410</v>
      </c>
      <c r="K1975" s="241">
        <v>1.0</v>
      </c>
      <c r="L1975" s="124">
        <v>3.875716741E9</v>
      </c>
    </row>
    <row r="1976">
      <c r="A1976" s="33" t="s">
        <v>10827</v>
      </c>
      <c r="B1976" s="122">
        <v>45955.0</v>
      </c>
      <c r="C1976" s="103">
        <v>8.07000033637E11</v>
      </c>
      <c r="D1976" s="103" t="s">
        <v>10828</v>
      </c>
      <c r="E1976" s="103" t="s">
        <v>10829</v>
      </c>
      <c r="F1976" s="241" t="s">
        <v>10830</v>
      </c>
      <c r="G1976" s="123" t="s">
        <v>127</v>
      </c>
      <c r="H1976" s="123">
        <v>4400.0</v>
      </c>
      <c r="I1976" s="211" t="s">
        <v>32</v>
      </c>
      <c r="J1976" s="211" t="s">
        <v>3225</v>
      </c>
      <c r="K1976" s="241">
        <v>1.0</v>
      </c>
      <c r="L1976" s="124">
        <v>2.96462641E9</v>
      </c>
    </row>
    <row r="1977">
      <c r="A1977" s="33" t="s">
        <v>10827</v>
      </c>
      <c r="B1977" s="122">
        <v>45955.0</v>
      </c>
      <c r="C1977" s="240">
        <v>8.07000033638E11</v>
      </c>
      <c r="D1977" s="240" t="s">
        <v>10828</v>
      </c>
      <c r="E1977" s="240" t="s">
        <v>10829</v>
      </c>
      <c r="F1977" s="241" t="s">
        <v>10830</v>
      </c>
      <c r="G1977" s="123" t="s">
        <v>127</v>
      </c>
      <c r="H1977" s="123">
        <v>4400.0</v>
      </c>
      <c r="I1977" s="224" t="s">
        <v>670</v>
      </c>
      <c r="J1977" s="224" t="s">
        <v>3410</v>
      </c>
      <c r="K1977" s="242">
        <v>1.0</v>
      </c>
      <c r="L1977" s="124">
        <v>2.96462641E9</v>
      </c>
    </row>
    <row r="1978">
      <c r="A1978" s="33" t="s">
        <v>10831</v>
      </c>
      <c r="B1978" s="122">
        <v>45955.0</v>
      </c>
      <c r="C1978" s="103">
        <v>8.07000033641E11</v>
      </c>
      <c r="D1978" s="103" t="s">
        <v>10832</v>
      </c>
      <c r="E1978" s="103" t="s">
        <v>10833</v>
      </c>
      <c r="F1978" s="123" t="s">
        <v>10834</v>
      </c>
      <c r="G1978" s="123" t="s">
        <v>127</v>
      </c>
      <c r="H1978" s="123">
        <v>4400.0</v>
      </c>
      <c r="I1978" s="211" t="s">
        <v>812</v>
      </c>
      <c r="J1978" s="211" t="s">
        <v>3564</v>
      </c>
      <c r="K1978" s="241">
        <v>1.0</v>
      </c>
      <c r="L1978" s="124">
        <v>3.874888919E9</v>
      </c>
    </row>
    <row r="1979" ht="3.0" customHeight="1">
      <c r="A1979" s="244"/>
      <c r="B1979" s="245"/>
      <c r="C1979" s="244"/>
      <c r="D1979" s="244"/>
      <c r="E1979" s="244"/>
      <c r="F1979" s="246"/>
      <c r="G1979" s="246"/>
      <c r="H1979" s="246"/>
      <c r="I1979" s="244"/>
      <c r="J1979" s="244"/>
      <c r="K1979" s="244"/>
      <c r="L1979" s="247"/>
      <c r="M1979" s="233"/>
      <c r="N1979" s="233"/>
      <c r="O1979" s="233"/>
      <c r="P1979" s="233"/>
      <c r="Q1979" s="233"/>
      <c r="R1979" s="233"/>
      <c r="S1979" s="233"/>
      <c r="T1979" s="233"/>
      <c r="U1979" s="233"/>
      <c r="V1979" s="233"/>
      <c r="W1979" s="233"/>
      <c r="X1979" s="233"/>
      <c r="Y1979" s="233"/>
      <c r="Z1979" s="233"/>
      <c r="AA1979" s="233"/>
      <c r="AB1979" s="233"/>
      <c r="AC1979" s="233"/>
    </row>
    <row r="1980">
      <c r="A1980" s="33" t="s">
        <v>10835</v>
      </c>
      <c r="B1980" s="122">
        <v>45957.0</v>
      </c>
      <c r="C1980" s="240">
        <v>8.07000033648E11</v>
      </c>
      <c r="D1980" s="240" t="s">
        <v>10836</v>
      </c>
      <c r="E1980" s="240" t="s">
        <v>10837</v>
      </c>
      <c r="F1980" s="123" t="s">
        <v>10838</v>
      </c>
      <c r="G1980" s="123" t="s">
        <v>127</v>
      </c>
      <c r="H1980" s="123">
        <v>4400.0</v>
      </c>
      <c r="I1980" s="224" t="s">
        <v>10839</v>
      </c>
      <c r="J1980" s="224" t="s">
        <v>10840</v>
      </c>
      <c r="K1980" s="242">
        <v>1.0</v>
      </c>
      <c r="L1980" s="124">
        <v>3.873064404E9</v>
      </c>
    </row>
    <row r="1981">
      <c r="A1981" s="33" t="s">
        <v>10835</v>
      </c>
      <c r="B1981" s="122">
        <v>45957.0</v>
      </c>
      <c r="C1981" s="103">
        <v>8.07000033648E11</v>
      </c>
      <c r="D1981" s="103" t="s">
        <v>10836</v>
      </c>
      <c r="E1981" s="103" t="s">
        <v>10837</v>
      </c>
      <c r="F1981" s="123" t="s">
        <v>10838</v>
      </c>
      <c r="G1981" s="123" t="s">
        <v>127</v>
      </c>
      <c r="H1981" s="123">
        <v>4400.0</v>
      </c>
      <c r="I1981" s="211" t="s">
        <v>969</v>
      </c>
      <c r="J1981" s="211" t="s">
        <v>3296</v>
      </c>
      <c r="K1981" s="241">
        <v>1.0</v>
      </c>
      <c r="L1981" s="124">
        <v>3.873064404E9</v>
      </c>
    </row>
    <row r="1982">
      <c r="A1982" s="33" t="s">
        <v>4723</v>
      </c>
      <c r="B1982" s="122">
        <v>45957.0</v>
      </c>
      <c r="C1982" s="33">
        <v>8.07025032657E11</v>
      </c>
      <c r="D1982" s="33"/>
      <c r="E1982" s="33" t="s">
        <v>4725</v>
      </c>
      <c r="F1982" s="123" t="s">
        <v>10841</v>
      </c>
      <c r="G1982" s="123" t="s">
        <v>624</v>
      </c>
      <c r="H1982" s="123">
        <v>4400.0</v>
      </c>
      <c r="I1982" s="33">
        <v>14.0</v>
      </c>
      <c r="J1982" s="33" t="s">
        <v>10842</v>
      </c>
      <c r="K1982" s="123">
        <v>1.0</v>
      </c>
      <c r="L1982" s="124">
        <v>3.875021745E9</v>
      </c>
    </row>
    <row r="1983">
      <c r="A1983" s="33" t="s">
        <v>4723</v>
      </c>
      <c r="B1983" s="33" t="s">
        <v>10843</v>
      </c>
      <c r="C1983" s="33">
        <v>8.07025032657E11</v>
      </c>
      <c r="D1983" s="33"/>
      <c r="E1983" s="33" t="s">
        <v>4725</v>
      </c>
      <c r="F1983" s="123" t="s">
        <v>10844</v>
      </c>
      <c r="G1983" s="123" t="s">
        <v>624</v>
      </c>
      <c r="H1983" s="123">
        <v>4400.0</v>
      </c>
      <c r="I1983" s="33" t="s">
        <v>10845</v>
      </c>
      <c r="J1983" s="33" t="s">
        <v>3574</v>
      </c>
      <c r="K1983" s="123">
        <v>2.0</v>
      </c>
      <c r="L1983" s="124">
        <v>3.875021745E9</v>
      </c>
    </row>
    <row r="1984">
      <c r="A1984" s="33" t="s">
        <v>4723</v>
      </c>
      <c r="B1984" s="33" t="s">
        <v>10843</v>
      </c>
      <c r="C1984" s="33">
        <v>8.07025032657E11</v>
      </c>
      <c r="D1984" s="33"/>
      <c r="E1984" s="33" t="s">
        <v>4725</v>
      </c>
      <c r="F1984" s="123" t="s">
        <v>10844</v>
      </c>
      <c r="G1984" s="123" t="s">
        <v>624</v>
      </c>
      <c r="H1984" s="123">
        <v>4400.0</v>
      </c>
      <c r="I1984" s="33" t="s">
        <v>3334</v>
      </c>
      <c r="J1984" s="33" t="s">
        <v>3575</v>
      </c>
      <c r="K1984" s="123">
        <v>1.0</v>
      </c>
      <c r="L1984" s="124">
        <v>3.875021745E9</v>
      </c>
    </row>
    <row r="1985">
      <c r="A1985" s="33" t="s">
        <v>4529</v>
      </c>
      <c r="B1985" s="122">
        <v>45959.0</v>
      </c>
      <c r="C1985" s="103">
        <v>8.07000033655E11</v>
      </c>
      <c r="D1985" s="103" t="s">
        <v>10846</v>
      </c>
      <c r="E1985" s="103" t="s">
        <v>10847</v>
      </c>
      <c r="F1985" s="123" t="s">
        <v>10848</v>
      </c>
      <c r="G1985" s="123" t="s">
        <v>127</v>
      </c>
      <c r="H1985" s="123">
        <v>4400.0</v>
      </c>
      <c r="I1985" s="211" t="s">
        <v>1337</v>
      </c>
      <c r="J1985" s="211" t="s">
        <v>9049</v>
      </c>
      <c r="K1985" s="241">
        <v>1.0</v>
      </c>
      <c r="L1985" s="124">
        <v>1.55965562E8</v>
      </c>
    </row>
    <row r="1986">
      <c r="A1986" s="33" t="s">
        <v>10849</v>
      </c>
      <c r="B1986" s="122">
        <v>45961.0</v>
      </c>
      <c r="C1986" s="103">
        <v>8.05011554441E11</v>
      </c>
      <c r="D1986" s="103" t="s">
        <v>10850</v>
      </c>
      <c r="E1986" s="103" t="s">
        <v>10851</v>
      </c>
      <c r="F1986" s="123" t="s">
        <v>10852</v>
      </c>
      <c r="G1986" s="123" t="s">
        <v>10636</v>
      </c>
      <c r="H1986" s="123">
        <v>4400.0</v>
      </c>
      <c r="I1986" s="211" t="s">
        <v>289</v>
      </c>
      <c r="J1986" s="211" t="s">
        <v>290</v>
      </c>
      <c r="K1986" s="241">
        <v>1.0</v>
      </c>
      <c r="L1986" s="124">
        <v>3.875221402E9</v>
      </c>
    </row>
    <row r="1987">
      <c r="A1987" s="33" t="s">
        <v>10853</v>
      </c>
      <c r="B1987" s="122">
        <v>45961.0</v>
      </c>
      <c r="C1987" s="103">
        <v>8.07000033667E11</v>
      </c>
      <c r="D1987" s="103" t="s">
        <v>10854</v>
      </c>
      <c r="E1987" s="103" t="s">
        <v>10855</v>
      </c>
      <c r="F1987" s="123" t="s">
        <v>10856</v>
      </c>
      <c r="G1987" s="123" t="s">
        <v>1986</v>
      </c>
      <c r="H1987" s="123">
        <v>4400.0</v>
      </c>
      <c r="I1987" s="211">
        <v>208009.0</v>
      </c>
      <c r="J1987" s="211" t="s">
        <v>10023</v>
      </c>
      <c r="K1987" s="241">
        <v>2.0</v>
      </c>
      <c r="L1987" s="124">
        <v>3.875975503E9</v>
      </c>
    </row>
    <row r="1988">
      <c r="A1988" s="33" t="s">
        <v>10853</v>
      </c>
      <c r="B1988" s="122">
        <v>45961.0</v>
      </c>
      <c r="C1988" s="240">
        <v>8.07000033667E11</v>
      </c>
      <c r="D1988" s="240" t="s">
        <v>10854</v>
      </c>
      <c r="E1988" s="240" t="s">
        <v>10855</v>
      </c>
      <c r="F1988" s="123" t="s">
        <v>10856</v>
      </c>
      <c r="G1988" s="123" t="s">
        <v>1986</v>
      </c>
      <c r="H1988" s="123">
        <v>4400.0</v>
      </c>
      <c r="I1988" s="224" t="s">
        <v>7088</v>
      </c>
      <c r="J1988" s="224" t="s">
        <v>8278</v>
      </c>
      <c r="K1988" s="242">
        <v>1.0</v>
      </c>
      <c r="L1988" s="124">
        <v>3.875975503E9</v>
      </c>
    </row>
    <row r="1989">
      <c r="A1989" s="33" t="s">
        <v>10857</v>
      </c>
      <c r="B1989" s="122">
        <v>45961.0</v>
      </c>
      <c r="C1989" s="240">
        <v>8.07000033664E11</v>
      </c>
      <c r="D1989" s="240" t="s">
        <v>10858</v>
      </c>
      <c r="E1989" s="240" t="s">
        <v>10859</v>
      </c>
      <c r="F1989" s="123" t="s">
        <v>10860</v>
      </c>
      <c r="G1989" s="123" t="s">
        <v>127</v>
      </c>
      <c r="H1989" s="123">
        <v>4400.0</v>
      </c>
      <c r="I1989" s="224" t="s">
        <v>3979</v>
      </c>
      <c r="J1989" s="224" t="s">
        <v>3980</v>
      </c>
      <c r="K1989" s="242">
        <v>1.0</v>
      </c>
      <c r="L1989" s="124">
        <v>3.874446393E9</v>
      </c>
    </row>
    <row r="1990">
      <c r="A1990" s="33" t="s">
        <v>10857</v>
      </c>
      <c r="B1990" s="122">
        <v>45961.0</v>
      </c>
      <c r="C1990" s="240">
        <v>8.07000033664E11</v>
      </c>
      <c r="D1990" s="240" t="s">
        <v>10858</v>
      </c>
      <c r="E1990" s="240" t="s">
        <v>10859</v>
      </c>
      <c r="F1990" s="123" t="s">
        <v>10860</v>
      </c>
      <c r="G1990" s="123" t="s">
        <v>127</v>
      </c>
      <c r="H1990" s="123">
        <v>4400.0</v>
      </c>
      <c r="I1990" s="55" t="s">
        <v>3979</v>
      </c>
      <c r="J1990" s="55" t="s">
        <v>3980</v>
      </c>
      <c r="K1990" s="242">
        <v>2.0</v>
      </c>
      <c r="L1990" s="124">
        <v>3.874446393E9</v>
      </c>
    </row>
    <row r="1991">
      <c r="A1991" s="33" t="s">
        <v>10857</v>
      </c>
      <c r="B1991" s="122">
        <v>45961.0</v>
      </c>
      <c r="C1991" s="240">
        <v>8.07000033664E11</v>
      </c>
      <c r="D1991" s="240" t="s">
        <v>10858</v>
      </c>
      <c r="E1991" s="240" t="s">
        <v>10859</v>
      </c>
      <c r="F1991" s="123" t="s">
        <v>10860</v>
      </c>
      <c r="G1991" s="123" t="s">
        <v>127</v>
      </c>
      <c r="H1991" s="123">
        <v>4400.0</v>
      </c>
      <c r="I1991" s="224" t="s">
        <v>758</v>
      </c>
      <c r="J1991" s="224" t="s">
        <v>3574</v>
      </c>
      <c r="K1991" s="242">
        <v>2.0</v>
      </c>
      <c r="L1991" s="124">
        <v>3.874446393E9</v>
      </c>
    </row>
    <row r="1992">
      <c r="A1992" s="33" t="s">
        <v>10861</v>
      </c>
      <c r="B1992" s="248">
        <v>45962.0</v>
      </c>
      <c r="C1992" s="240">
        <v>8.07000033669E11</v>
      </c>
      <c r="D1992" s="240" t="s">
        <v>10862</v>
      </c>
      <c r="E1992" s="240" t="s">
        <v>10863</v>
      </c>
      <c r="F1992" s="123" t="s">
        <v>10864</v>
      </c>
      <c r="G1992" s="123" t="s">
        <v>127</v>
      </c>
      <c r="H1992" s="123">
        <v>4400.0</v>
      </c>
      <c r="I1992" s="224" t="s">
        <v>512</v>
      </c>
      <c r="J1992" s="224" t="s">
        <v>513</v>
      </c>
      <c r="K1992" s="242">
        <v>12.0</v>
      </c>
      <c r="L1992" s="124">
        <v>3.875392251E9</v>
      </c>
      <c r="M1992" s="54" t="s">
        <v>4529</v>
      </c>
    </row>
    <row r="1993">
      <c r="A1993" s="33" t="s">
        <v>10861</v>
      </c>
      <c r="B1993" s="249">
        <v>45962.0</v>
      </c>
      <c r="C1993" s="103">
        <v>8.0700003367E11</v>
      </c>
      <c r="D1993" s="103" t="s">
        <v>10862</v>
      </c>
      <c r="E1993" s="103" t="s">
        <v>10863</v>
      </c>
      <c r="F1993" s="123" t="s">
        <v>10864</v>
      </c>
      <c r="G1993" s="123" t="s">
        <v>127</v>
      </c>
      <c r="H1993" s="123">
        <v>4400.0</v>
      </c>
      <c r="I1993" s="211" t="s">
        <v>7558</v>
      </c>
      <c r="J1993" s="211" t="s">
        <v>9580</v>
      </c>
      <c r="K1993" s="241">
        <v>1.0</v>
      </c>
      <c r="L1993" s="124">
        <v>3.875392251E9</v>
      </c>
    </row>
    <row r="1994">
      <c r="A1994" s="33" t="s">
        <v>10861</v>
      </c>
      <c r="B1994" s="248">
        <v>45962.0</v>
      </c>
      <c r="C1994" s="240">
        <v>8.0700003367E11</v>
      </c>
      <c r="D1994" s="240" t="s">
        <v>10862</v>
      </c>
      <c r="E1994" s="240" t="s">
        <v>10863</v>
      </c>
      <c r="F1994" s="123" t="s">
        <v>10864</v>
      </c>
      <c r="G1994" s="123" t="s">
        <v>127</v>
      </c>
      <c r="H1994" s="123">
        <v>4400.0</v>
      </c>
      <c r="I1994" s="224" t="s">
        <v>772</v>
      </c>
      <c r="J1994" s="224" t="s">
        <v>3363</v>
      </c>
      <c r="K1994" s="242">
        <v>2.0</v>
      </c>
      <c r="L1994" s="250">
        <v>3.875392251E9</v>
      </c>
    </row>
    <row r="1995">
      <c r="A1995" s="33" t="s">
        <v>10865</v>
      </c>
      <c r="B1995" s="249">
        <v>45962.0</v>
      </c>
      <c r="C1995" s="103">
        <v>8.07000033674E11</v>
      </c>
      <c r="D1995" s="103" t="s">
        <v>10866</v>
      </c>
      <c r="E1995" s="103" t="s">
        <v>10867</v>
      </c>
      <c r="F1995" s="123" t="s">
        <v>10868</v>
      </c>
      <c r="G1995" s="123" t="s">
        <v>127</v>
      </c>
      <c r="H1995" s="123">
        <v>4400.0</v>
      </c>
      <c r="I1995" s="211">
        <v>2.2346229143E10</v>
      </c>
      <c r="J1995" s="211" t="s">
        <v>8720</v>
      </c>
      <c r="K1995" s="241">
        <v>1.0</v>
      </c>
      <c r="L1995" s="124">
        <v>3.876433233E9</v>
      </c>
    </row>
    <row r="1996">
      <c r="A1996" s="33" t="s">
        <v>10865</v>
      </c>
      <c r="B1996" s="248">
        <v>45962.0</v>
      </c>
      <c r="C1996" s="240">
        <v>8.07000033675E11</v>
      </c>
      <c r="D1996" s="240" t="s">
        <v>10866</v>
      </c>
      <c r="E1996" s="240" t="s">
        <v>10867</v>
      </c>
      <c r="F1996" s="123" t="s">
        <v>10868</v>
      </c>
      <c r="G1996" s="123" t="s">
        <v>127</v>
      </c>
      <c r="H1996" s="123">
        <v>4400.0</v>
      </c>
      <c r="I1996" s="224" t="s">
        <v>659</v>
      </c>
      <c r="J1996" s="224" t="s">
        <v>3468</v>
      </c>
      <c r="K1996" s="242">
        <v>1.0</v>
      </c>
      <c r="L1996" s="124">
        <v>3.876433233E9</v>
      </c>
    </row>
    <row r="1997" ht="4.5" customHeight="1">
      <c r="A1997" s="100"/>
      <c r="B1997" s="230"/>
      <c r="C1997" s="251"/>
      <c r="D1997" s="251"/>
      <c r="E1997" s="251"/>
      <c r="F1997" s="231"/>
      <c r="G1997" s="231"/>
      <c r="H1997" s="231" t="s">
        <v>4529</v>
      </c>
      <c r="I1997" s="252"/>
      <c r="J1997" s="252"/>
      <c r="K1997" s="253"/>
      <c r="L1997" s="232"/>
      <c r="M1997" s="233"/>
      <c r="N1997" s="233"/>
      <c r="O1997" s="233"/>
      <c r="P1997" s="233"/>
      <c r="Q1997" s="233"/>
      <c r="R1997" s="233"/>
      <c r="S1997" s="233"/>
      <c r="T1997" s="233"/>
      <c r="U1997" s="233"/>
      <c r="V1997" s="233"/>
      <c r="W1997" s="233"/>
      <c r="X1997" s="233"/>
      <c r="Y1997" s="233"/>
      <c r="Z1997" s="233"/>
      <c r="AA1997" s="233"/>
      <c r="AB1997" s="233"/>
      <c r="AC1997" s="233"/>
    </row>
    <row r="1998">
      <c r="A1998" s="33" t="s">
        <v>10869</v>
      </c>
      <c r="B1998" s="122">
        <v>45964.0</v>
      </c>
      <c r="C1998" s="103">
        <v>8.07000033684E11</v>
      </c>
      <c r="D1998" s="103" t="s">
        <v>10870</v>
      </c>
      <c r="E1998" s="103" t="s">
        <v>10871</v>
      </c>
      <c r="F1998" s="123" t="s">
        <v>10872</v>
      </c>
      <c r="G1998" s="123" t="s">
        <v>127</v>
      </c>
      <c r="H1998" s="123">
        <v>4400.0</v>
      </c>
      <c r="I1998" s="211" t="s">
        <v>971</v>
      </c>
      <c r="J1998" s="211" t="s">
        <v>4477</v>
      </c>
      <c r="K1998" s="241">
        <v>2.0</v>
      </c>
      <c r="L1998" s="124">
        <v>3.874815966E9</v>
      </c>
    </row>
    <row r="1999">
      <c r="A1999" s="33" t="s">
        <v>10873</v>
      </c>
      <c r="B1999" s="122">
        <v>45964.0</v>
      </c>
      <c r="C1999" s="240">
        <v>8.07000033683E11</v>
      </c>
      <c r="D1999" s="240" t="s">
        <v>10874</v>
      </c>
      <c r="E1999" s="240" t="s">
        <v>10875</v>
      </c>
      <c r="F1999" s="123" t="s">
        <v>10876</v>
      </c>
      <c r="G1999" s="123" t="s">
        <v>127</v>
      </c>
      <c r="H1999" s="123">
        <v>4400.0</v>
      </c>
      <c r="I1999" s="224" t="s">
        <v>947</v>
      </c>
      <c r="J1999" s="224" t="s">
        <v>3750</v>
      </c>
      <c r="K1999" s="242">
        <v>1.0</v>
      </c>
      <c r="L1999" s="124">
        <v>3.875770492E9</v>
      </c>
    </row>
    <row r="2000">
      <c r="A2000" s="33" t="s">
        <v>10873</v>
      </c>
      <c r="B2000" s="122">
        <v>45964.0</v>
      </c>
      <c r="C2000" s="103">
        <v>8.07000033683E11</v>
      </c>
      <c r="D2000" s="103" t="s">
        <v>10874</v>
      </c>
      <c r="E2000" s="103" t="s">
        <v>10875</v>
      </c>
      <c r="F2000" s="123" t="s">
        <v>10876</v>
      </c>
      <c r="G2000" s="123" t="s">
        <v>127</v>
      </c>
      <c r="H2000" s="123">
        <v>4400.0</v>
      </c>
      <c r="I2000" s="211" t="s">
        <v>512</v>
      </c>
      <c r="J2000" s="211" t="s">
        <v>513</v>
      </c>
      <c r="K2000" s="241">
        <v>6.0</v>
      </c>
      <c r="L2000" s="124">
        <v>3.875770492E9</v>
      </c>
    </row>
    <row r="2001">
      <c r="A2001" s="33" t="s">
        <v>10873</v>
      </c>
      <c r="B2001" s="122">
        <v>45964.0</v>
      </c>
      <c r="C2001" s="240">
        <v>8.07000033683E11</v>
      </c>
      <c r="D2001" s="240" t="s">
        <v>10874</v>
      </c>
      <c r="E2001" s="240" t="s">
        <v>10875</v>
      </c>
      <c r="F2001" s="123" t="s">
        <v>10876</v>
      </c>
      <c r="G2001" s="123" t="s">
        <v>127</v>
      </c>
      <c r="H2001" s="123">
        <v>4400.0</v>
      </c>
      <c r="I2001" s="224" t="s">
        <v>35</v>
      </c>
      <c r="J2001" s="224" t="s">
        <v>3188</v>
      </c>
      <c r="K2001" s="242">
        <v>1.0</v>
      </c>
      <c r="L2001" s="124">
        <v>3.875770492E9</v>
      </c>
    </row>
    <row r="2002">
      <c r="A2002" s="33" t="s">
        <v>10877</v>
      </c>
      <c r="B2002" s="122">
        <v>45964.0</v>
      </c>
      <c r="C2002" s="103">
        <v>8.07000033691E11</v>
      </c>
      <c r="D2002" s="103" t="s">
        <v>10878</v>
      </c>
      <c r="E2002" s="103" t="s">
        <v>10879</v>
      </c>
      <c r="F2002" s="123" t="s">
        <v>10880</v>
      </c>
      <c r="G2002" s="123" t="s">
        <v>127</v>
      </c>
      <c r="H2002" s="123">
        <v>4400.0</v>
      </c>
      <c r="I2002" s="211" t="s">
        <v>2956</v>
      </c>
      <c r="J2002" s="211" t="s">
        <v>3327</v>
      </c>
      <c r="K2002" s="241">
        <v>1.0</v>
      </c>
      <c r="L2002" s="124">
        <v>3.875957141E9</v>
      </c>
    </row>
    <row r="2003">
      <c r="A2003" s="33" t="s">
        <v>10881</v>
      </c>
      <c r="B2003" s="248">
        <v>45964.0</v>
      </c>
      <c r="C2003" s="240">
        <v>8.07000033695E11</v>
      </c>
      <c r="D2003" s="240" t="s">
        <v>10882</v>
      </c>
      <c r="E2003" s="240" t="s">
        <v>10883</v>
      </c>
      <c r="F2003" s="123" t="s">
        <v>10884</v>
      </c>
      <c r="G2003" s="123" t="s">
        <v>127</v>
      </c>
      <c r="H2003" s="123">
        <v>4400.0</v>
      </c>
      <c r="I2003" s="224" t="s">
        <v>218</v>
      </c>
      <c r="J2003" s="224" t="s">
        <v>8664</v>
      </c>
      <c r="K2003" s="242">
        <v>1.0</v>
      </c>
      <c r="L2003" s="124"/>
    </row>
    <row r="2004">
      <c r="A2004" s="33" t="s">
        <v>10881</v>
      </c>
      <c r="B2004" s="249">
        <v>45964.0</v>
      </c>
      <c r="C2004" s="103">
        <v>8.07000033695E11</v>
      </c>
      <c r="D2004" s="103" t="s">
        <v>10882</v>
      </c>
      <c r="E2004" s="103" t="s">
        <v>10883</v>
      </c>
      <c r="F2004" s="123" t="s">
        <v>10884</v>
      </c>
      <c r="G2004" s="123" t="s">
        <v>127</v>
      </c>
      <c r="H2004" s="123">
        <v>4400.0</v>
      </c>
      <c r="I2004" s="211" t="s">
        <v>512</v>
      </c>
      <c r="J2004" s="211" t="s">
        <v>513</v>
      </c>
      <c r="K2004" s="241">
        <v>12.0</v>
      </c>
      <c r="L2004" s="124"/>
    </row>
    <row r="2005">
      <c r="A2005" s="33" t="s">
        <v>10881</v>
      </c>
      <c r="B2005" s="248">
        <v>45964.0</v>
      </c>
      <c r="C2005" s="240">
        <v>8.07000033696E11</v>
      </c>
      <c r="D2005" s="240" t="s">
        <v>10882</v>
      </c>
      <c r="E2005" s="240" t="s">
        <v>10883</v>
      </c>
      <c r="F2005" s="123" t="s">
        <v>10884</v>
      </c>
      <c r="G2005" s="123" t="s">
        <v>127</v>
      </c>
      <c r="H2005" s="123">
        <v>4400.0</v>
      </c>
      <c r="I2005" s="224" t="s">
        <v>121</v>
      </c>
      <c r="J2005" s="224" t="s">
        <v>3199</v>
      </c>
      <c r="K2005" s="242">
        <v>2.0</v>
      </c>
      <c r="L2005" s="124"/>
    </row>
    <row r="2006">
      <c r="A2006" s="33" t="s">
        <v>10885</v>
      </c>
      <c r="B2006" s="122">
        <v>45965.0</v>
      </c>
      <c r="C2006" s="103">
        <v>8.07000033714E11</v>
      </c>
      <c r="D2006" s="103" t="s">
        <v>10886</v>
      </c>
      <c r="E2006" s="103" t="s">
        <v>10887</v>
      </c>
      <c r="F2006" s="123" t="s">
        <v>10888</v>
      </c>
      <c r="G2006" s="123" t="s">
        <v>127</v>
      </c>
      <c r="H2006" s="123">
        <v>4400.0</v>
      </c>
      <c r="I2006" s="211" t="s">
        <v>758</v>
      </c>
      <c r="J2006" s="211" t="s">
        <v>3574</v>
      </c>
      <c r="K2006" s="241">
        <v>2.0</v>
      </c>
      <c r="L2006" s="124">
        <v>3.875123444E9</v>
      </c>
    </row>
    <row r="2007">
      <c r="A2007" s="33" t="s">
        <v>10885</v>
      </c>
      <c r="B2007" s="122">
        <v>45965.0</v>
      </c>
      <c r="C2007" s="240">
        <v>8.07000033715E11</v>
      </c>
      <c r="D2007" s="240" t="s">
        <v>10886</v>
      </c>
      <c r="E2007" s="240" t="s">
        <v>10887</v>
      </c>
      <c r="F2007" s="123" t="s">
        <v>10888</v>
      </c>
      <c r="G2007" s="123" t="s">
        <v>127</v>
      </c>
      <c r="H2007" s="123">
        <v>4400.0</v>
      </c>
      <c r="I2007" s="224" t="s">
        <v>7088</v>
      </c>
      <c r="J2007" s="224" t="s">
        <v>8278</v>
      </c>
      <c r="K2007" s="242">
        <v>1.0</v>
      </c>
      <c r="L2007" s="124">
        <v>3.875123444E9</v>
      </c>
    </row>
    <row r="2008">
      <c r="A2008" s="33" t="s">
        <v>10889</v>
      </c>
      <c r="B2008" s="122">
        <v>45965.0</v>
      </c>
      <c r="C2008" s="103">
        <v>8.0700003371E11</v>
      </c>
      <c r="D2008" s="103" t="s">
        <v>10890</v>
      </c>
      <c r="E2008" s="103" t="s">
        <v>10891</v>
      </c>
      <c r="F2008" s="123" t="s">
        <v>10892</v>
      </c>
      <c r="G2008" s="123" t="s">
        <v>127</v>
      </c>
      <c r="H2008" s="123">
        <v>4400.0</v>
      </c>
      <c r="I2008" s="211" t="s">
        <v>7088</v>
      </c>
      <c r="J2008" s="211" t="s">
        <v>8278</v>
      </c>
      <c r="K2008" s="241">
        <v>1.0</v>
      </c>
      <c r="L2008" s="124">
        <v>3.874034895E9</v>
      </c>
    </row>
    <row r="2009">
      <c r="A2009" s="33" t="s">
        <v>10889</v>
      </c>
      <c r="B2009" s="122">
        <v>45965.0</v>
      </c>
      <c r="C2009" s="240">
        <v>8.07000033711E11</v>
      </c>
      <c r="D2009" s="240" t="s">
        <v>10890</v>
      </c>
      <c r="E2009" s="240" t="s">
        <v>10891</v>
      </c>
      <c r="F2009" s="123" t="s">
        <v>10892</v>
      </c>
      <c r="G2009" s="123" t="s">
        <v>127</v>
      </c>
      <c r="H2009" s="123">
        <v>4400.0</v>
      </c>
      <c r="I2009" s="224" t="s">
        <v>758</v>
      </c>
      <c r="J2009" s="224" t="s">
        <v>3574</v>
      </c>
      <c r="K2009" s="242">
        <v>2.0</v>
      </c>
      <c r="L2009" s="124">
        <v>3.874034895E9</v>
      </c>
    </row>
    <row r="2010">
      <c r="A2010" s="33" t="s">
        <v>10893</v>
      </c>
      <c r="B2010" s="122">
        <v>45965.0</v>
      </c>
      <c r="C2010" s="103">
        <v>8.07000033709E11</v>
      </c>
      <c r="D2010" s="103" t="s">
        <v>10894</v>
      </c>
      <c r="E2010" s="103" t="s">
        <v>10895</v>
      </c>
      <c r="F2010" s="123" t="s">
        <v>10896</v>
      </c>
      <c r="G2010" s="123" t="s">
        <v>127</v>
      </c>
      <c r="H2010" s="123">
        <v>4400.0</v>
      </c>
      <c r="I2010" s="211" t="s">
        <v>7329</v>
      </c>
      <c r="J2010" s="211" t="s">
        <v>9785</v>
      </c>
      <c r="K2010" s="241">
        <v>1.0</v>
      </c>
      <c r="L2010" s="124">
        <v>3.874476345E9</v>
      </c>
    </row>
    <row r="2011">
      <c r="A2011" s="33" t="s">
        <v>10893</v>
      </c>
      <c r="B2011" s="122">
        <v>45965.0</v>
      </c>
      <c r="C2011" s="240">
        <v>8.07000033709E11</v>
      </c>
      <c r="D2011" s="240" t="s">
        <v>10894</v>
      </c>
      <c r="E2011" s="240" t="s">
        <v>10895</v>
      </c>
      <c r="F2011" s="123" t="s">
        <v>10896</v>
      </c>
      <c r="G2011" s="123" t="s">
        <v>127</v>
      </c>
      <c r="H2011" s="123">
        <v>4400.0</v>
      </c>
      <c r="I2011" s="224" t="s">
        <v>512</v>
      </c>
      <c r="J2011" s="224" t="s">
        <v>513</v>
      </c>
      <c r="K2011" s="242">
        <v>12.0</v>
      </c>
      <c r="L2011" s="124">
        <v>3.874476345E9</v>
      </c>
    </row>
    <row r="2012">
      <c r="A2012" s="33" t="s">
        <v>10893</v>
      </c>
      <c r="B2012" s="122">
        <v>45965.0</v>
      </c>
      <c r="C2012" s="103">
        <v>8.07000033709E11</v>
      </c>
      <c r="D2012" s="103" t="s">
        <v>10894</v>
      </c>
      <c r="E2012" s="103" t="s">
        <v>10895</v>
      </c>
      <c r="F2012" s="123" t="s">
        <v>10896</v>
      </c>
      <c r="G2012" s="123" t="s">
        <v>127</v>
      </c>
      <c r="H2012" s="123">
        <v>4400.0</v>
      </c>
      <c r="I2012" s="211" t="s">
        <v>121</v>
      </c>
      <c r="J2012" s="211" t="s">
        <v>3199</v>
      </c>
      <c r="K2012" s="241">
        <v>2.0</v>
      </c>
      <c r="L2012" s="124">
        <v>3.874476345E9</v>
      </c>
    </row>
    <row r="2013">
      <c r="A2013" s="33" t="s">
        <v>10897</v>
      </c>
      <c r="B2013" s="122">
        <v>45966.0</v>
      </c>
      <c r="C2013" s="103">
        <v>8.07000033742E11</v>
      </c>
      <c r="D2013" s="103" t="s">
        <v>10898</v>
      </c>
      <c r="E2013" s="103" t="s">
        <v>10899</v>
      </c>
      <c r="F2013" s="123" t="s">
        <v>10900</v>
      </c>
      <c r="G2013" s="123" t="s">
        <v>127</v>
      </c>
      <c r="H2013" s="123">
        <v>4400.0</v>
      </c>
      <c r="I2013" s="211" t="s">
        <v>9359</v>
      </c>
      <c r="J2013" s="211" t="s">
        <v>9360</v>
      </c>
      <c r="K2013" s="241">
        <v>1.0</v>
      </c>
      <c r="L2013" s="124">
        <v>3.874242926E9</v>
      </c>
    </row>
    <row r="2014">
      <c r="A2014" s="33" t="s">
        <v>10901</v>
      </c>
      <c r="B2014" s="122">
        <v>45966.0</v>
      </c>
      <c r="C2014" s="103">
        <v>8.07000033757E11</v>
      </c>
      <c r="D2014" s="103" t="s">
        <v>10902</v>
      </c>
      <c r="E2014" s="103" t="s">
        <v>10903</v>
      </c>
      <c r="F2014" s="123" t="s">
        <v>10904</v>
      </c>
      <c r="G2014" s="123" t="s">
        <v>127</v>
      </c>
      <c r="H2014" s="123">
        <v>4400.0</v>
      </c>
      <c r="I2014" s="211" t="s">
        <v>10543</v>
      </c>
      <c r="J2014" s="211" t="s">
        <v>10544</v>
      </c>
      <c r="K2014" s="241">
        <v>1.0</v>
      </c>
      <c r="L2014" s="124">
        <v>3.874465029E9</v>
      </c>
    </row>
    <row r="2015">
      <c r="A2015" s="33" t="s">
        <v>10901</v>
      </c>
      <c r="B2015" s="122">
        <v>45966.0</v>
      </c>
      <c r="C2015" s="240">
        <v>8.07000033757E11</v>
      </c>
      <c r="D2015" s="240" t="s">
        <v>10902</v>
      </c>
      <c r="E2015" s="240" t="s">
        <v>10903</v>
      </c>
      <c r="F2015" s="123" t="s">
        <v>10904</v>
      </c>
      <c r="G2015" s="123" t="s">
        <v>127</v>
      </c>
      <c r="H2015" s="123">
        <v>4400.0</v>
      </c>
      <c r="I2015" s="224" t="s">
        <v>512</v>
      </c>
      <c r="J2015" s="224" t="s">
        <v>513</v>
      </c>
      <c r="K2015" s="242">
        <v>6.0</v>
      </c>
      <c r="L2015" s="124">
        <v>3.874465029E9</v>
      </c>
    </row>
    <row r="2016">
      <c r="A2016" s="33" t="s">
        <v>10901</v>
      </c>
      <c r="B2016" s="122">
        <v>45966.0</v>
      </c>
      <c r="C2016" s="103">
        <v>8.07000033757E11</v>
      </c>
      <c r="D2016" s="103" t="s">
        <v>10902</v>
      </c>
      <c r="E2016" s="103" t="s">
        <v>10903</v>
      </c>
      <c r="F2016" s="123" t="s">
        <v>10904</v>
      </c>
      <c r="G2016" s="123" t="s">
        <v>127</v>
      </c>
      <c r="H2016" s="123">
        <v>4400.0</v>
      </c>
      <c r="I2016" s="211" t="s">
        <v>5028</v>
      </c>
      <c r="J2016" s="211" t="s">
        <v>5029</v>
      </c>
      <c r="K2016" s="241">
        <v>1.0</v>
      </c>
      <c r="L2016" s="124">
        <v>3.874465029E9</v>
      </c>
    </row>
    <row r="2017">
      <c r="A2017" s="33" t="s">
        <v>10905</v>
      </c>
      <c r="B2017" s="122">
        <v>45966.0</v>
      </c>
      <c r="C2017" s="240">
        <v>8.07000033735E11</v>
      </c>
      <c r="D2017" s="240" t="s">
        <v>10906</v>
      </c>
      <c r="E2017" s="240" t="s">
        <v>10907</v>
      </c>
      <c r="F2017" s="123" t="s">
        <v>10908</v>
      </c>
      <c r="G2017" s="123" t="s">
        <v>127</v>
      </c>
      <c r="H2017" s="123">
        <v>4400.0</v>
      </c>
      <c r="I2017" s="224" t="s">
        <v>4070</v>
      </c>
      <c r="J2017" s="224" t="s">
        <v>6264</v>
      </c>
      <c r="K2017" s="242">
        <v>1.0</v>
      </c>
      <c r="L2017" s="124">
        <v>3.87639792E9</v>
      </c>
    </row>
    <row r="2018">
      <c r="A2018" s="33" t="s">
        <v>10905</v>
      </c>
      <c r="B2018" s="122">
        <v>45966.0</v>
      </c>
      <c r="C2018" s="103">
        <v>8.07000033736E11</v>
      </c>
      <c r="D2018" s="103" t="s">
        <v>10906</v>
      </c>
      <c r="E2018" s="103" t="s">
        <v>10907</v>
      </c>
      <c r="F2018" s="123" t="s">
        <v>10908</v>
      </c>
      <c r="G2018" s="123" t="s">
        <v>127</v>
      </c>
      <c r="H2018" s="123">
        <v>4400.0</v>
      </c>
      <c r="I2018" s="211" t="s">
        <v>2956</v>
      </c>
      <c r="J2018" s="211" t="s">
        <v>3327</v>
      </c>
      <c r="K2018" s="241">
        <v>1.0</v>
      </c>
      <c r="L2018" s="124">
        <v>3.87639792E9</v>
      </c>
    </row>
    <row r="2019">
      <c r="A2019" s="33" t="s">
        <v>10909</v>
      </c>
      <c r="B2019" s="122">
        <v>45966.0</v>
      </c>
      <c r="C2019" s="103">
        <v>8.0700003374E11</v>
      </c>
      <c r="D2019" s="103" t="s">
        <v>10910</v>
      </c>
      <c r="E2019" s="103" t="s">
        <v>10911</v>
      </c>
      <c r="F2019" s="123" t="s">
        <v>10912</v>
      </c>
      <c r="G2019" s="123" t="s">
        <v>127</v>
      </c>
      <c r="H2019" s="123">
        <v>4400.0</v>
      </c>
      <c r="I2019" s="211" t="s">
        <v>9359</v>
      </c>
      <c r="J2019" s="211" t="s">
        <v>9360</v>
      </c>
      <c r="K2019" s="241">
        <v>1.0</v>
      </c>
      <c r="L2019" s="124">
        <v>3.875000035E9</v>
      </c>
    </row>
    <row r="2020">
      <c r="A2020" s="33" t="s">
        <v>10909</v>
      </c>
      <c r="B2020" s="122">
        <v>45966.0</v>
      </c>
      <c r="C2020" s="240">
        <v>8.0700003374E11</v>
      </c>
      <c r="D2020" s="240" t="s">
        <v>10910</v>
      </c>
      <c r="E2020" s="240" t="s">
        <v>10911</v>
      </c>
      <c r="F2020" s="123" t="s">
        <v>10912</v>
      </c>
      <c r="G2020" s="123" t="s">
        <v>127</v>
      </c>
      <c r="H2020" s="123">
        <v>4400.0</v>
      </c>
      <c r="I2020" s="224" t="s">
        <v>512</v>
      </c>
      <c r="J2020" s="224" t="s">
        <v>513</v>
      </c>
      <c r="K2020" s="242">
        <v>6.0</v>
      </c>
      <c r="L2020" s="124">
        <v>3.875000035E9</v>
      </c>
    </row>
    <row r="2021">
      <c r="A2021" s="33" t="s">
        <v>10909</v>
      </c>
      <c r="B2021" s="122">
        <v>45966.0</v>
      </c>
      <c r="C2021" s="103">
        <v>8.07000033741E11</v>
      </c>
      <c r="D2021" s="103" t="s">
        <v>10910</v>
      </c>
      <c r="E2021" s="103" t="s">
        <v>10911</v>
      </c>
      <c r="F2021" s="123" t="s">
        <v>10912</v>
      </c>
      <c r="G2021" s="123" t="s">
        <v>127</v>
      </c>
      <c r="H2021" s="123">
        <v>4400.0</v>
      </c>
      <c r="I2021" s="211" t="s">
        <v>969</v>
      </c>
      <c r="J2021" s="211" t="s">
        <v>3296</v>
      </c>
      <c r="K2021" s="241">
        <v>1.0</v>
      </c>
      <c r="L2021" s="124">
        <v>3.875000035E9</v>
      </c>
    </row>
    <row r="2022">
      <c r="A2022" s="33" t="s">
        <v>10913</v>
      </c>
      <c r="B2022" s="122">
        <v>45966.0</v>
      </c>
      <c r="C2022" s="240">
        <v>8.07000033768E11</v>
      </c>
      <c r="D2022" s="240" t="s">
        <v>10914</v>
      </c>
      <c r="E2022" s="240" t="s">
        <v>10915</v>
      </c>
      <c r="F2022" s="123" t="s">
        <v>10916</v>
      </c>
      <c r="G2022" s="123" t="s">
        <v>127</v>
      </c>
      <c r="H2022" s="123">
        <v>4400.0</v>
      </c>
      <c r="I2022" s="224" t="s">
        <v>947</v>
      </c>
      <c r="J2022" s="224" t="s">
        <v>3750</v>
      </c>
      <c r="K2022" s="242">
        <v>1.0</v>
      </c>
      <c r="L2022" s="124">
        <v>3.875915915E9</v>
      </c>
    </row>
    <row r="2023">
      <c r="A2023" s="33" t="s">
        <v>10917</v>
      </c>
      <c r="B2023" s="33" t="s">
        <v>10918</v>
      </c>
      <c r="C2023" s="240">
        <v>8.07000033763E11</v>
      </c>
      <c r="D2023" s="240" t="s">
        <v>10919</v>
      </c>
      <c r="E2023" s="240" t="s">
        <v>10920</v>
      </c>
      <c r="F2023" s="123" t="s">
        <v>10921</v>
      </c>
      <c r="G2023" s="123" t="s">
        <v>127</v>
      </c>
      <c r="H2023" s="123">
        <v>4400.0</v>
      </c>
      <c r="I2023" s="224" t="s">
        <v>659</v>
      </c>
      <c r="J2023" s="224" t="s">
        <v>3468</v>
      </c>
      <c r="K2023" s="242">
        <v>1.0</v>
      </c>
      <c r="L2023" s="124">
        <v>3.8768457E9</v>
      </c>
    </row>
    <row r="2024">
      <c r="A2024" s="33" t="s">
        <v>10922</v>
      </c>
      <c r="B2024" s="33" t="s">
        <v>10918</v>
      </c>
      <c r="C2024" s="240">
        <v>8.07000033702E11</v>
      </c>
      <c r="D2024" s="240" t="s">
        <v>10923</v>
      </c>
      <c r="E2024" s="240" t="s">
        <v>10924</v>
      </c>
      <c r="F2024" s="123" t="s">
        <v>10925</v>
      </c>
      <c r="G2024" s="123" t="s">
        <v>127</v>
      </c>
      <c r="H2024" s="123">
        <v>4400.0</v>
      </c>
      <c r="I2024" s="224" t="s">
        <v>22</v>
      </c>
      <c r="J2024" s="224" t="s">
        <v>4013</v>
      </c>
      <c r="K2024" s="242">
        <v>1.0</v>
      </c>
      <c r="L2024" s="124">
        <v>3.876183248E9</v>
      </c>
      <c r="M2024" s="210"/>
    </row>
    <row r="2025">
      <c r="A2025" s="33" t="s">
        <v>10922</v>
      </c>
      <c r="B2025" s="33" t="s">
        <v>10918</v>
      </c>
      <c r="C2025" s="103">
        <v>8.07000033703E11</v>
      </c>
      <c r="D2025" s="103" t="s">
        <v>10923</v>
      </c>
      <c r="E2025" s="103" t="s">
        <v>10924</v>
      </c>
      <c r="F2025" s="123" t="s">
        <v>10925</v>
      </c>
      <c r="G2025" s="123" t="s">
        <v>127</v>
      </c>
      <c r="H2025" s="123">
        <v>4400.0</v>
      </c>
      <c r="I2025" s="211" t="s">
        <v>4335</v>
      </c>
      <c r="J2025" s="211" t="s">
        <v>4336</v>
      </c>
      <c r="K2025" s="241">
        <v>1.0</v>
      </c>
      <c r="L2025" s="124">
        <v>3.876183248E9</v>
      </c>
    </row>
    <row r="2026">
      <c r="A2026" s="33" t="s">
        <v>10926</v>
      </c>
      <c r="B2026" s="33" t="s">
        <v>10918</v>
      </c>
      <c r="C2026" s="103">
        <v>8.07000033753E11</v>
      </c>
      <c r="D2026" s="103" t="s">
        <v>10927</v>
      </c>
      <c r="E2026" s="103" t="s">
        <v>10928</v>
      </c>
      <c r="F2026" s="123" t="s">
        <v>10929</v>
      </c>
      <c r="G2026" s="123" t="s">
        <v>127</v>
      </c>
      <c r="H2026" s="123">
        <v>4405.0</v>
      </c>
      <c r="I2026" s="211">
        <v>125814.0</v>
      </c>
      <c r="J2026" s="211" t="s">
        <v>9798</v>
      </c>
      <c r="K2026" s="241">
        <v>1.0</v>
      </c>
      <c r="L2026" s="124">
        <v>3.876386259E9</v>
      </c>
    </row>
    <row r="2027">
      <c r="A2027" s="33" t="s">
        <v>10930</v>
      </c>
      <c r="B2027" s="33" t="s">
        <v>10918</v>
      </c>
      <c r="C2027" s="240">
        <v>8.07000033754E11</v>
      </c>
      <c r="D2027" s="240" t="s">
        <v>10927</v>
      </c>
      <c r="E2027" s="240" t="s">
        <v>10928</v>
      </c>
      <c r="F2027" s="123" t="s">
        <v>10929</v>
      </c>
      <c r="G2027" s="123" t="s">
        <v>127</v>
      </c>
      <c r="H2027" s="123">
        <v>4405.0</v>
      </c>
      <c r="I2027" s="224" t="s">
        <v>10931</v>
      </c>
      <c r="J2027" s="224" t="s">
        <v>10932</v>
      </c>
      <c r="K2027" s="242">
        <v>1.0</v>
      </c>
      <c r="L2027" s="124">
        <v>3.876386259E9</v>
      </c>
    </row>
    <row r="2028">
      <c r="A2028" s="33" t="s">
        <v>10930</v>
      </c>
      <c r="B2028" s="33" t="s">
        <v>10918</v>
      </c>
      <c r="C2028" s="103">
        <v>8.07000033754E11</v>
      </c>
      <c r="D2028" s="103" t="s">
        <v>10927</v>
      </c>
      <c r="E2028" s="103" t="s">
        <v>10928</v>
      </c>
      <c r="F2028" s="123" t="s">
        <v>10929</v>
      </c>
      <c r="G2028" s="123" t="s">
        <v>127</v>
      </c>
      <c r="H2028" s="123">
        <v>4405.0</v>
      </c>
      <c r="I2028" s="211" t="s">
        <v>2294</v>
      </c>
      <c r="J2028" s="211" t="s">
        <v>5415</v>
      </c>
      <c r="K2028" s="241">
        <v>1.0</v>
      </c>
      <c r="L2028" s="124">
        <v>3.876386259E9</v>
      </c>
    </row>
    <row r="2029">
      <c r="A2029" s="33"/>
      <c r="B2029" s="33" t="s">
        <v>10918</v>
      </c>
      <c r="C2029" s="103">
        <v>8.07000033758E11</v>
      </c>
      <c r="D2029" s="103" t="s">
        <v>10933</v>
      </c>
      <c r="E2029" s="103" t="s">
        <v>10934</v>
      </c>
      <c r="F2029" s="123" t="s">
        <v>10935</v>
      </c>
      <c r="G2029" s="123" t="s">
        <v>127</v>
      </c>
      <c r="H2029" s="123">
        <v>4400.0</v>
      </c>
      <c r="I2029" s="211">
        <v>125818.0</v>
      </c>
      <c r="J2029" s="211" t="s">
        <v>4334</v>
      </c>
      <c r="K2029" s="241">
        <v>4.0</v>
      </c>
      <c r="L2029" s="124"/>
    </row>
    <row r="2030">
      <c r="A2030" s="33"/>
      <c r="B2030" s="33" t="s">
        <v>10918</v>
      </c>
      <c r="C2030" s="240">
        <v>8.07000033759E11</v>
      </c>
      <c r="D2030" s="240" t="s">
        <v>10933</v>
      </c>
      <c r="E2030" s="240" t="s">
        <v>10934</v>
      </c>
      <c r="F2030" s="123" t="s">
        <v>10935</v>
      </c>
      <c r="G2030" s="123" t="s">
        <v>127</v>
      </c>
      <c r="H2030" s="123">
        <v>4400.0</v>
      </c>
      <c r="I2030" s="224" t="s">
        <v>3074</v>
      </c>
      <c r="J2030" s="224" t="s">
        <v>3232</v>
      </c>
      <c r="K2030" s="242">
        <v>1.0</v>
      </c>
      <c r="L2030" s="124"/>
    </row>
    <row r="2031">
      <c r="A2031" s="33"/>
      <c r="B2031" s="33" t="s">
        <v>10918</v>
      </c>
      <c r="C2031" s="103">
        <v>8.0700003376E11</v>
      </c>
      <c r="D2031" s="103" t="s">
        <v>10933</v>
      </c>
      <c r="E2031" s="103" t="s">
        <v>10934</v>
      </c>
      <c r="F2031" s="123" t="s">
        <v>10935</v>
      </c>
      <c r="G2031" s="123" t="s">
        <v>127</v>
      </c>
      <c r="H2031" s="123">
        <v>4400.0</v>
      </c>
      <c r="I2031" s="211" t="s">
        <v>2537</v>
      </c>
      <c r="J2031" s="211" t="s">
        <v>3955</v>
      </c>
      <c r="K2031" s="241">
        <v>1.0</v>
      </c>
      <c r="L2031" s="124"/>
    </row>
    <row r="2032">
      <c r="A2032" s="33" t="s">
        <v>10936</v>
      </c>
      <c r="B2032" s="122">
        <v>45967.0</v>
      </c>
      <c r="C2032" s="103">
        <v>8.07000033779E11</v>
      </c>
      <c r="D2032" s="103" t="s">
        <v>10937</v>
      </c>
      <c r="E2032" s="103" t="s">
        <v>10938</v>
      </c>
      <c r="F2032" s="123" t="s">
        <v>10939</v>
      </c>
      <c r="G2032" s="123" t="s">
        <v>10940</v>
      </c>
      <c r="H2032" s="123">
        <v>4405.0</v>
      </c>
      <c r="I2032" s="211">
        <v>125812.0</v>
      </c>
      <c r="J2032" s="211" t="s">
        <v>9317</v>
      </c>
      <c r="K2032" s="241">
        <v>2.0</v>
      </c>
      <c r="L2032" s="124">
        <v>3.874472995E9</v>
      </c>
    </row>
    <row r="2033">
      <c r="A2033" s="33" t="s">
        <v>10936</v>
      </c>
      <c r="B2033" s="122">
        <v>45967.0</v>
      </c>
      <c r="C2033" s="240">
        <v>8.07000033779E11</v>
      </c>
      <c r="D2033" s="240" t="s">
        <v>10937</v>
      </c>
      <c r="E2033" s="240" t="s">
        <v>10938</v>
      </c>
      <c r="F2033" s="123" t="s">
        <v>10939</v>
      </c>
      <c r="G2033" s="123" t="s">
        <v>10940</v>
      </c>
      <c r="H2033" s="123">
        <v>4405.0</v>
      </c>
      <c r="I2033" s="224" t="s">
        <v>3451</v>
      </c>
      <c r="J2033" s="224" t="s">
        <v>3452</v>
      </c>
      <c r="K2033" s="242">
        <v>1.0</v>
      </c>
      <c r="L2033" s="124">
        <v>3.874472995E9</v>
      </c>
    </row>
    <row r="2034">
      <c r="A2034" s="33" t="s">
        <v>10941</v>
      </c>
      <c r="B2034" s="122">
        <v>45967.0</v>
      </c>
      <c r="C2034" s="103">
        <v>8.07000033722E11</v>
      </c>
      <c r="D2034" s="103" t="s">
        <v>10942</v>
      </c>
      <c r="E2034" s="103" t="s">
        <v>10943</v>
      </c>
      <c r="F2034" s="123" t="s">
        <v>10944</v>
      </c>
      <c r="G2034" s="123" t="s">
        <v>1885</v>
      </c>
      <c r="H2034" s="123">
        <v>4405.0</v>
      </c>
      <c r="I2034" s="211" t="s">
        <v>4070</v>
      </c>
      <c r="J2034" s="211" t="s">
        <v>6264</v>
      </c>
      <c r="K2034" s="241">
        <v>3.0</v>
      </c>
      <c r="L2034" s="124">
        <v>3.874487855E9</v>
      </c>
    </row>
    <row r="2035">
      <c r="A2035" s="33" t="s">
        <v>10941</v>
      </c>
      <c r="B2035" s="122">
        <v>45967.0</v>
      </c>
      <c r="C2035" s="240">
        <v>8.07000033723E11</v>
      </c>
      <c r="D2035" s="240" t="s">
        <v>10942</v>
      </c>
      <c r="E2035" s="240" t="s">
        <v>10943</v>
      </c>
      <c r="F2035" s="123" t="s">
        <v>10944</v>
      </c>
      <c r="G2035" s="123" t="s">
        <v>1885</v>
      </c>
      <c r="H2035" s="123">
        <v>4405.0</v>
      </c>
      <c r="I2035" s="224" t="s">
        <v>3407</v>
      </c>
      <c r="J2035" s="224" t="s">
        <v>3408</v>
      </c>
      <c r="K2035" s="242">
        <v>3.0</v>
      </c>
      <c r="L2035" s="124">
        <v>3.874487855E9</v>
      </c>
    </row>
    <row r="2036">
      <c r="A2036" s="33" t="s">
        <v>10941</v>
      </c>
      <c r="B2036" s="122">
        <v>45967.0</v>
      </c>
      <c r="C2036" s="240">
        <v>8.07000033783E11</v>
      </c>
      <c r="D2036" s="240" t="s">
        <v>10942</v>
      </c>
      <c r="E2036" s="240" t="s">
        <v>10943</v>
      </c>
      <c r="F2036" s="123" t="s">
        <v>10944</v>
      </c>
      <c r="G2036" s="123" t="s">
        <v>1885</v>
      </c>
      <c r="H2036" s="123">
        <v>4405.0</v>
      </c>
      <c r="I2036" s="224" t="s">
        <v>5970</v>
      </c>
      <c r="J2036" s="224" t="s">
        <v>5347</v>
      </c>
      <c r="K2036" s="242">
        <v>3.0</v>
      </c>
      <c r="L2036" s="124">
        <v>3.874487855E9</v>
      </c>
    </row>
    <row r="2037">
      <c r="A2037" s="33"/>
      <c r="B2037" s="122">
        <v>45967.0</v>
      </c>
      <c r="C2037" s="240">
        <v>8.07000033772E11</v>
      </c>
      <c r="D2037" s="240" t="s">
        <v>10945</v>
      </c>
      <c r="E2037" s="240" t="s">
        <v>10946</v>
      </c>
      <c r="F2037" s="123" t="s">
        <v>10947</v>
      </c>
      <c r="G2037" s="123" t="s">
        <v>127</v>
      </c>
      <c r="H2037" s="123">
        <v>4400.0</v>
      </c>
      <c r="I2037" s="224" t="s">
        <v>3334</v>
      </c>
      <c r="J2037" s="224" t="s">
        <v>3335</v>
      </c>
      <c r="K2037" s="242">
        <v>1.0</v>
      </c>
      <c r="L2037" s="124">
        <v>3.875777457E9</v>
      </c>
    </row>
    <row r="2038">
      <c r="A2038" s="33"/>
      <c r="B2038" s="122">
        <v>45967.0</v>
      </c>
      <c r="C2038" s="240">
        <v>8.07000033772E11</v>
      </c>
      <c r="D2038" s="240" t="s">
        <v>10945</v>
      </c>
      <c r="E2038" s="240" t="s">
        <v>10946</v>
      </c>
      <c r="F2038" s="123" t="s">
        <v>10947</v>
      </c>
      <c r="G2038" s="123" t="s">
        <v>127</v>
      </c>
      <c r="H2038" s="123">
        <v>4400.0</v>
      </c>
      <c r="I2038" s="224" t="s">
        <v>758</v>
      </c>
      <c r="J2038" s="224" t="s">
        <v>3363</v>
      </c>
      <c r="K2038" s="242">
        <v>2.0</v>
      </c>
      <c r="L2038" s="124">
        <v>3.875777457E9</v>
      </c>
    </row>
    <row r="2039">
      <c r="A2039" s="33"/>
      <c r="B2039" s="122">
        <v>45967.0</v>
      </c>
      <c r="C2039" s="254">
        <v>8.07000033787E11</v>
      </c>
      <c r="D2039" s="255" t="s">
        <v>4724</v>
      </c>
      <c r="E2039" s="256" t="s">
        <v>4725</v>
      </c>
      <c r="F2039" s="254" t="s">
        <v>10948</v>
      </c>
      <c r="G2039" s="254" t="s">
        <v>127</v>
      </c>
      <c r="H2039" s="254">
        <v>4400.0</v>
      </c>
      <c r="I2039" s="257" t="s">
        <v>3334</v>
      </c>
      <c r="J2039" s="257" t="s">
        <v>10949</v>
      </c>
      <c r="K2039" s="254">
        <v>1.0</v>
      </c>
      <c r="L2039" s="256">
        <v>3.875161117E9</v>
      </c>
    </row>
    <row r="2040">
      <c r="A2040" s="33"/>
      <c r="B2040" s="122">
        <v>45967.0</v>
      </c>
      <c r="C2040" s="254">
        <v>8.07000033787E11</v>
      </c>
      <c r="D2040" s="255" t="s">
        <v>4724</v>
      </c>
      <c r="E2040" s="256" t="s">
        <v>4725</v>
      </c>
      <c r="F2040" s="254" t="s">
        <v>10948</v>
      </c>
      <c r="G2040" s="254" t="s">
        <v>127</v>
      </c>
      <c r="H2040" s="254">
        <v>4400.0</v>
      </c>
      <c r="I2040" s="257" t="s">
        <v>10950</v>
      </c>
      <c r="J2040" s="257" t="s">
        <v>10951</v>
      </c>
      <c r="K2040" s="254">
        <v>2.0</v>
      </c>
      <c r="L2040" s="256">
        <v>3.875161117E9</v>
      </c>
    </row>
    <row r="2041">
      <c r="A2041" s="33" t="s">
        <v>10952</v>
      </c>
      <c r="B2041" s="122">
        <v>45968.0</v>
      </c>
      <c r="C2041" s="103">
        <v>8.07000033794E11</v>
      </c>
      <c r="D2041" s="103" t="s">
        <v>5177</v>
      </c>
      <c r="E2041" s="103" t="s">
        <v>5178</v>
      </c>
      <c r="F2041" s="123" t="s">
        <v>10953</v>
      </c>
      <c r="G2041" s="123" t="s">
        <v>127</v>
      </c>
      <c r="H2041" s="123">
        <v>4400.0</v>
      </c>
      <c r="I2041" s="211" t="s">
        <v>249</v>
      </c>
      <c r="J2041" s="211" t="s">
        <v>9324</v>
      </c>
      <c r="K2041" s="241">
        <v>1.0</v>
      </c>
      <c r="L2041" s="124">
        <v>3.875010062E9</v>
      </c>
    </row>
    <row r="2042">
      <c r="A2042" s="33" t="s">
        <v>10952</v>
      </c>
      <c r="B2042" s="122">
        <v>45968.0</v>
      </c>
      <c r="C2042" s="240">
        <v>8.07000033794E11</v>
      </c>
      <c r="D2042" s="240" t="s">
        <v>5177</v>
      </c>
      <c r="E2042" s="240" t="s">
        <v>5178</v>
      </c>
      <c r="F2042" s="123" t="s">
        <v>10953</v>
      </c>
      <c r="G2042" s="254" t="s">
        <v>127</v>
      </c>
      <c r="H2042" s="254">
        <v>4400.0</v>
      </c>
      <c r="I2042" s="224" t="s">
        <v>512</v>
      </c>
      <c r="J2042" s="224" t="s">
        <v>513</v>
      </c>
      <c r="K2042" s="242">
        <v>12.0</v>
      </c>
      <c r="L2042" s="124">
        <v>3.875010062E9</v>
      </c>
    </row>
    <row r="2043">
      <c r="A2043" s="33" t="s">
        <v>10952</v>
      </c>
      <c r="B2043" s="122">
        <v>45968.0</v>
      </c>
      <c r="C2043" s="103">
        <v>8.07000033795E11</v>
      </c>
      <c r="D2043" s="103" t="s">
        <v>5177</v>
      </c>
      <c r="E2043" s="103" t="s">
        <v>5178</v>
      </c>
      <c r="F2043" s="123" t="s">
        <v>10953</v>
      </c>
      <c r="G2043" s="254" t="s">
        <v>127</v>
      </c>
      <c r="H2043" s="254">
        <v>4400.0</v>
      </c>
      <c r="I2043" s="211" t="s">
        <v>233</v>
      </c>
      <c r="J2043" s="211" t="s">
        <v>3459</v>
      </c>
      <c r="K2043" s="241">
        <v>2.0</v>
      </c>
      <c r="L2043" s="124">
        <v>3.875010062E9</v>
      </c>
    </row>
    <row r="2044">
      <c r="A2044" s="33" t="s">
        <v>10954</v>
      </c>
      <c r="B2044" s="122">
        <v>45968.0</v>
      </c>
      <c r="C2044" s="103">
        <v>8.0700003379E11</v>
      </c>
      <c r="D2044" s="103" t="s">
        <v>10955</v>
      </c>
      <c r="E2044" s="103" t="s">
        <v>10956</v>
      </c>
      <c r="F2044" s="123" t="s">
        <v>10957</v>
      </c>
      <c r="G2044" s="123" t="s">
        <v>10958</v>
      </c>
      <c r="H2044" s="123"/>
      <c r="I2044" s="211" t="s">
        <v>512</v>
      </c>
      <c r="J2044" s="211" t="s">
        <v>513</v>
      </c>
      <c r="K2044" s="241">
        <v>12.0</v>
      </c>
      <c r="L2044" s="124">
        <v>3.875315202E9</v>
      </c>
    </row>
    <row r="2045">
      <c r="A2045" s="33" t="s">
        <v>10954</v>
      </c>
      <c r="B2045" s="122">
        <v>45968.0</v>
      </c>
      <c r="C2045" s="240">
        <v>8.07000033791E11</v>
      </c>
      <c r="D2045" s="240" t="s">
        <v>10955</v>
      </c>
      <c r="E2045" s="240" t="s">
        <v>10956</v>
      </c>
      <c r="F2045" s="123" t="s">
        <v>10957</v>
      </c>
      <c r="G2045" s="123" t="s">
        <v>10958</v>
      </c>
      <c r="H2045" s="123"/>
      <c r="I2045" s="224" t="s">
        <v>7329</v>
      </c>
      <c r="J2045" s="224" t="s">
        <v>9785</v>
      </c>
      <c r="K2045" s="242">
        <v>1.0</v>
      </c>
      <c r="L2045" s="124">
        <v>3.875315202E9</v>
      </c>
    </row>
    <row r="2046">
      <c r="A2046" s="33" t="s">
        <v>10954</v>
      </c>
      <c r="B2046" s="122">
        <v>45968.0</v>
      </c>
      <c r="C2046" s="103">
        <v>8.07000033791E11</v>
      </c>
      <c r="D2046" s="103" t="s">
        <v>10955</v>
      </c>
      <c r="E2046" s="103" t="s">
        <v>10956</v>
      </c>
      <c r="F2046" s="123" t="s">
        <v>10957</v>
      </c>
      <c r="G2046" s="123" t="s">
        <v>10958</v>
      </c>
      <c r="H2046" s="123"/>
      <c r="I2046" s="211" t="s">
        <v>121</v>
      </c>
      <c r="J2046" s="211" t="s">
        <v>3199</v>
      </c>
      <c r="K2046" s="241">
        <v>2.0</v>
      </c>
      <c r="L2046" s="124">
        <v>3.875315202E9</v>
      </c>
    </row>
    <row r="2047">
      <c r="A2047" s="33" t="s">
        <v>10954</v>
      </c>
      <c r="B2047" s="122">
        <v>45968.0</v>
      </c>
      <c r="C2047" s="240">
        <v>8.07000033792E11</v>
      </c>
      <c r="D2047" s="240" t="s">
        <v>10955</v>
      </c>
      <c r="E2047" s="240" t="s">
        <v>10956</v>
      </c>
      <c r="F2047" s="123" t="s">
        <v>10957</v>
      </c>
      <c r="G2047" s="123" t="s">
        <v>10958</v>
      </c>
      <c r="H2047" s="123"/>
      <c r="I2047" s="224" t="s">
        <v>10959</v>
      </c>
      <c r="J2047" s="224" t="s">
        <v>10960</v>
      </c>
      <c r="K2047" s="242">
        <v>1.0</v>
      </c>
      <c r="L2047" s="124">
        <v>3.875315202E9</v>
      </c>
    </row>
    <row r="2048">
      <c r="A2048" s="33" t="s">
        <v>10961</v>
      </c>
      <c r="B2048" s="122">
        <v>45968.0</v>
      </c>
      <c r="C2048" s="103">
        <v>8.07000033805E11</v>
      </c>
      <c r="D2048" s="103" t="s">
        <v>10962</v>
      </c>
      <c r="E2048" s="103" t="s">
        <v>10963</v>
      </c>
      <c r="F2048" s="123" t="s">
        <v>10964</v>
      </c>
      <c r="G2048" s="123" t="s">
        <v>127</v>
      </c>
      <c r="H2048" s="123"/>
      <c r="I2048" s="211" t="s">
        <v>761</v>
      </c>
      <c r="J2048" s="211" t="s">
        <v>3761</v>
      </c>
      <c r="K2048" s="241">
        <v>1.0</v>
      </c>
      <c r="L2048" s="124">
        <v>3.875317074E9</v>
      </c>
    </row>
    <row r="2049">
      <c r="A2049" s="33" t="s">
        <v>10965</v>
      </c>
      <c r="B2049" s="122">
        <v>45969.0</v>
      </c>
      <c r="C2049" s="103">
        <v>8.07000033807E11</v>
      </c>
      <c r="D2049" s="103" t="s">
        <v>10966</v>
      </c>
      <c r="E2049" s="103" t="s">
        <v>10967</v>
      </c>
      <c r="F2049" s="123" t="s">
        <v>10968</v>
      </c>
      <c r="G2049" s="123" t="s">
        <v>10969</v>
      </c>
      <c r="H2049" s="123">
        <v>4400.0</v>
      </c>
      <c r="I2049" s="211">
        <v>208502.0</v>
      </c>
      <c r="J2049" s="211" t="s">
        <v>4551</v>
      </c>
      <c r="K2049" s="241">
        <v>2.0</v>
      </c>
      <c r="L2049" s="124">
        <v>3.875317074E9</v>
      </c>
    </row>
    <row r="2050">
      <c r="A2050" s="33" t="s">
        <v>10965</v>
      </c>
      <c r="B2050" s="122">
        <v>45969.0</v>
      </c>
      <c r="C2050" s="240">
        <v>8.07000033807E11</v>
      </c>
      <c r="D2050" s="240" t="s">
        <v>10966</v>
      </c>
      <c r="E2050" s="240" t="s">
        <v>10967</v>
      </c>
      <c r="F2050" s="123" t="s">
        <v>10968</v>
      </c>
      <c r="G2050" s="123" t="s">
        <v>10969</v>
      </c>
      <c r="H2050" s="123">
        <v>4400.0</v>
      </c>
      <c r="I2050" s="224" t="s">
        <v>3512</v>
      </c>
      <c r="J2050" s="224" t="s">
        <v>3513</v>
      </c>
      <c r="K2050" s="242">
        <v>12.0</v>
      </c>
      <c r="L2050" s="124">
        <v>3.875317074E9</v>
      </c>
    </row>
    <row r="2051">
      <c r="A2051" s="33" t="s">
        <v>10965</v>
      </c>
      <c r="B2051" s="122">
        <v>45969.0</v>
      </c>
      <c r="C2051" s="103">
        <v>8.07000033808E11</v>
      </c>
      <c r="D2051" s="103" t="s">
        <v>10966</v>
      </c>
      <c r="E2051" s="103" t="s">
        <v>10967</v>
      </c>
      <c r="F2051" s="123" t="s">
        <v>10968</v>
      </c>
      <c r="G2051" s="123" t="s">
        <v>10969</v>
      </c>
      <c r="H2051" s="123">
        <v>4400.0</v>
      </c>
      <c r="I2051" s="211" t="s">
        <v>8146</v>
      </c>
      <c r="J2051" s="211" t="s">
        <v>8147</v>
      </c>
      <c r="K2051" s="241">
        <v>1.0</v>
      </c>
      <c r="L2051" s="124">
        <v>3.875317074E9</v>
      </c>
    </row>
    <row r="2052">
      <c r="A2052" s="33" t="s">
        <v>10965</v>
      </c>
      <c r="B2052" s="122">
        <v>45969.0</v>
      </c>
      <c r="C2052" s="240">
        <v>8.07000033808E11</v>
      </c>
      <c r="D2052" s="240" t="s">
        <v>10966</v>
      </c>
      <c r="E2052" s="240" t="s">
        <v>10967</v>
      </c>
      <c r="F2052" s="123" t="s">
        <v>10968</v>
      </c>
      <c r="G2052" s="123" t="s">
        <v>10969</v>
      </c>
      <c r="H2052" s="123">
        <v>4400.0</v>
      </c>
      <c r="I2052" s="224" t="s">
        <v>6835</v>
      </c>
      <c r="J2052" s="224" t="s">
        <v>8150</v>
      </c>
      <c r="K2052" s="242">
        <v>2.0</v>
      </c>
      <c r="L2052" s="124">
        <v>3.875317074E9</v>
      </c>
    </row>
    <row r="2053">
      <c r="A2053" s="33" t="s">
        <v>10970</v>
      </c>
      <c r="B2053" s="122">
        <v>45969.0</v>
      </c>
      <c r="C2053" s="103">
        <v>8.07000033815E11</v>
      </c>
      <c r="D2053" s="103" t="s">
        <v>10971</v>
      </c>
      <c r="E2053" s="103" t="s">
        <v>10972</v>
      </c>
      <c r="F2053" s="123" t="s">
        <v>10973</v>
      </c>
      <c r="G2053" s="123" t="s">
        <v>127</v>
      </c>
      <c r="H2053" s="123">
        <v>4400.0</v>
      </c>
      <c r="I2053" s="211" t="s">
        <v>10974</v>
      </c>
      <c r="J2053" s="211" t="s">
        <v>10975</v>
      </c>
      <c r="K2053" s="241">
        <v>1.0</v>
      </c>
      <c r="L2053" s="124">
        <v>3.87538188E9</v>
      </c>
    </row>
    <row r="2054">
      <c r="A2054" s="33" t="s">
        <v>10970</v>
      </c>
      <c r="B2054" s="122">
        <v>45969.0</v>
      </c>
      <c r="C2054" s="240">
        <v>8.07000033816E11</v>
      </c>
      <c r="D2054" s="240" t="s">
        <v>10971</v>
      </c>
      <c r="E2054" s="240" t="s">
        <v>10972</v>
      </c>
      <c r="F2054" s="123" t="s">
        <v>10973</v>
      </c>
      <c r="G2054" s="123" t="s">
        <v>127</v>
      </c>
      <c r="H2054" s="123">
        <v>4400.0</v>
      </c>
      <c r="I2054" s="224" t="s">
        <v>701</v>
      </c>
      <c r="J2054" s="224" t="s">
        <v>4409</v>
      </c>
      <c r="K2054" s="242">
        <v>1.0</v>
      </c>
      <c r="L2054" s="124">
        <v>3.87538188E9</v>
      </c>
    </row>
    <row r="2055">
      <c r="A2055" s="33" t="s">
        <v>10976</v>
      </c>
      <c r="B2055" s="122">
        <v>45969.0</v>
      </c>
      <c r="C2055" s="103">
        <v>8.07000033817E11</v>
      </c>
      <c r="D2055" s="103" t="s">
        <v>10971</v>
      </c>
      <c r="E2055" s="103" t="s">
        <v>10972</v>
      </c>
      <c r="F2055" s="123" t="s">
        <v>10973</v>
      </c>
      <c r="G2055" s="123" t="s">
        <v>127</v>
      </c>
      <c r="H2055" s="123">
        <v>4400.0</v>
      </c>
      <c r="I2055" s="211" t="s">
        <v>1419</v>
      </c>
      <c r="J2055" s="211" t="s">
        <v>8456</v>
      </c>
      <c r="K2055" s="241">
        <v>1.0</v>
      </c>
      <c r="L2055" s="124">
        <v>3.87538188E9</v>
      </c>
    </row>
    <row r="2056">
      <c r="A2056" s="33" t="s">
        <v>10976</v>
      </c>
      <c r="B2056" s="122">
        <v>45969.0</v>
      </c>
      <c r="C2056" s="240">
        <v>8.07000033818E11</v>
      </c>
      <c r="D2056" s="240" t="s">
        <v>10971</v>
      </c>
      <c r="E2056" s="240" t="s">
        <v>10972</v>
      </c>
      <c r="F2056" s="123" t="s">
        <v>10973</v>
      </c>
      <c r="G2056" s="123" t="s">
        <v>127</v>
      </c>
      <c r="H2056" s="123">
        <v>4400.0</v>
      </c>
      <c r="I2056" s="224" t="s">
        <v>512</v>
      </c>
      <c r="J2056" s="224" t="s">
        <v>513</v>
      </c>
      <c r="K2056" s="242">
        <v>6.0</v>
      </c>
      <c r="L2056" s="124">
        <v>3.87538188E9</v>
      </c>
    </row>
    <row r="2057">
      <c r="A2057" s="33" t="s">
        <v>10976</v>
      </c>
      <c r="B2057" s="122">
        <v>45969.0</v>
      </c>
      <c r="C2057" s="103">
        <v>8.07000033819E11</v>
      </c>
      <c r="D2057" s="103" t="s">
        <v>10971</v>
      </c>
      <c r="E2057" s="103" t="s">
        <v>10972</v>
      </c>
      <c r="F2057" s="123" t="s">
        <v>10973</v>
      </c>
      <c r="G2057" s="123" t="s">
        <v>127</v>
      </c>
      <c r="H2057" s="123">
        <v>4400.0</v>
      </c>
      <c r="I2057" s="211" t="s">
        <v>1749</v>
      </c>
      <c r="J2057" s="211" t="s">
        <v>3240</v>
      </c>
      <c r="K2057" s="241">
        <v>1.0</v>
      </c>
      <c r="L2057" s="124">
        <v>3.87538188E9</v>
      </c>
    </row>
    <row r="2058">
      <c r="A2058" s="33" t="s">
        <v>10977</v>
      </c>
      <c r="B2058" s="122">
        <v>45969.0</v>
      </c>
      <c r="C2058" s="103">
        <v>8.07000033823E11</v>
      </c>
      <c r="D2058" s="103" t="s">
        <v>10978</v>
      </c>
      <c r="E2058" s="103" t="s">
        <v>10979</v>
      </c>
      <c r="F2058" s="241" t="s">
        <v>10980</v>
      </c>
      <c r="G2058" s="241" t="s">
        <v>1986</v>
      </c>
      <c r="H2058" s="241">
        <v>4403.0</v>
      </c>
      <c r="I2058" s="211" t="s">
        <v>9359</v>
      </c>
      <c r="J2058" s="211" t="s">
        <v>9360</v>
      </c>
      <c r="K2058" s="241">
        <v>1.0</v>
      </c>
      <c r="L2058" s="124">
        <v>3.875129191E9</v>
      </c>
    </row>
    <row r="2059">
      <c r="A2059" s="33" t="s">
        <v>10981</v>
      </c>
      <c r="B2059" s="122">
        <v>45971.0</v>
      </c>
      <c r="C2059" s="240">
        <v>8.05011558789E11</v>
      </c>
      <c r="D2059" s="240" t="s">
        <v>10982</v>
      </c>
      <c r="E2059" s="240" t="s">
        <v>10983</v>
      </c>
      <c r="F2059" s="123" t="s">
        <v>10984</v>
      </c>
      <c r="G2059" s="123" t="s">
        <v>127</v>
      </c>
      <c r="H2059" s="123">
        <v>4400.0</v>
      </c>
      <c r="I2059" s="224" t="s">
        <v>5034</v>
      </c>
      <c r="J2059" s="224" t="s">
        <v>5035</v>
      </c>
      <c r="K2059" s="242">
        <v>1.0</v>
      </c>
      <c r="L2059" s="124">
        <v>3.413398205E9</v>
      </c>
    </row>
    <row r="2060">
      <c r="A2060" s="33" t="s">
        <v>10981</v>
      </c>
      <c r="B2060" s="122">
        <v>45971.0</v>
      </c>
      <c r="C2060" s="103">
        <v>8.05011558789E11</v>
      </c>
      <c r="D2060" s="103" t="s">
        <v>10982</v>
      </c>
      <c r="E2060" s="103" t="s">
        <v>10983</v>
      </c>
      <c r="F2060" s="123" t="s">
        <v>10984</v>
      </c>
      <c r="G2060" s="123" t="s">
        <v>127</v>
      </c>
      <c r="H2060" s="123">
        <v>4400.0</v>
      </c>
      <c r="I2060" s="211" t="s">
        <v>512</v>
      </c>
      <c r="J2060" s="211" t="s">
        <v>513</v>
      </c>
      <c r="K2060" s="241">
        <v>6.0</v>
      </c>
      <c r="L2060" s="124">
        <v>3.413398205E9</v>
      </c>
    </row>
    <row r="2061">
      <c r="A2061" s="33" t="s">
        <v>10981</v>
      </c>
      <c r="B2061" s="122">
        <v>45971.0</v>
      </c>
      <c r="C2061" s="240">
        <v>8.05011558789E11</v>
      </c>
      <c r="D2061" s="240" t="s">
        <v>10982</v>
      </c>
      <c r="E2061" s="240" t="s">
        <v>10983</v>
      </c>
      <c r="F2061" s="123" t="s">
        <v>10984</v>
      </c>
      <c r="G2061" s="123" t="s">
        <v>127</v>
      </c>
      <c r="H2061" s="123">
        <v>4400.0</v>
      </c>
      <c r="I2061" s="224" t="s">
        <v>670</v>
      </c>
      <c r="J2061" s="224" t="s">
        <v>3410</v>
      </c>
      <c r="K2061" s="242">
        <v>1.0</v>
      </c>
      <c r="L2061" s="124">
        <v>3.413398205E9</v>
      </c>
    </row>
    <row r="2062">
      <c r="A2062" s="33" t="s">
        <v>10985</v>
      </c>
      <c r="B2062" s="122">
        <v>45971.0</v>
      </c>
      <c r="C2062" s="103">
        <v>8.0700003384E11</v>
      </c>
      <c r="D2062" s="103" t="s">
        <v>7760</v>
      </c>
      <c r="E2062" s="103" t="s">
        <v>7761</v>
      </c>
      <c r="F2062" s="241" t="s">
        <v>10986</v>
      </c>
      <c r="G2062" s="123" t="s">
        <v>127</v>
      </c>
      <c r="H2062" s="123">
        <v>4400.0</v>
      </c>
      <c r="I2062" s="211" t="s">
        <v>8514</v>
      </c>
      <c r="J2062" s="211" t="s">
        <v>8515</v>
      </c>
      <c r="K2062" s="241">
        <v>2.0</v>
      </c>
      <c r="L2062" s="104">
        <v>3.874502964E9</v>
      </c>
    </row>
    <row r="2063">
      <c r="A2063" s="33" t="s">
        <v>10987</v>
      </c>
      <c r="B2063" s="122">
        <v>45971.0</v>
      </c>
      <c r="C2063" s="240">
        <v>8.07000033802E11</v>
      </c>
      <c r="D2063" s="240" t="s">
        <v>10988</v>
      </c>
      <c r="E2063" s="240" t="s">
        <v>10989</v>
      </c>
      <c r="F2063" s="123" t="s">
        <v>10990</v>
      </c>
      <c r="G2063" s="123" t="s">
        <v>127</v>
      </c>
      <c r="H2063" s="123">
        <v>4400.0</v>
      </c>
      <c r="I2063" s="224">
        <v>208502.0</v>
      </c>
      <c r="J2063" s="224" t="s">
        <v>4551</v>
      </c>
      <c r="K2063" s="242">
        <v>2.0</v>
      </c>
      <c r="L2063" s="124">
        <v>3.875570089E9</v>
      </c>
    </row>
    <row r="2064">
      <c r="A2064" s="33" t="s">
        <v>10987</v>
      </c>
      <c r="B2064" s="122">
        <v>45971.0</v>
      </c>
      <c r="C2064" s="103">
        <v>8.07000033803E11</v>
      </c>
      <c r="D2064" s="103" t="s">
        <v>10988</v>
      </c>
      <c r="E2064" s="103" t="s">
        <v>10989</v>
      </c>
      <c r="F2064" s="123" t="s">
        <v>10990</v>
      </c>
      <c r="G2064" s="123" t="s">
        <v>127</v>
      </c>
      <c r="H2064" s="123">
        <v>4400.0</v>
      </c>
      <c r="I2064" s="211" t="s">
        <v>512</v>
      </c>
      <c r="J2064" s="211" t="s">
        <v>513</v>
      </c>
      <c r="K2064" s="241">
        <v>12.0</v>
      </c>
      <c r="L2064" s="124">
        <v>3.875570089E9</v>
      </c>
    </row>
    <row r="2065">
      <c r="A2065" s="33" t="s">
        <v>10991</v>
      </c>
      <c r="B2065" s="122">
        <v>45971.0</v>
      </c>
      <c r="C2065" s="240">
        <v>8.07000033804E11</v>
      </c>
      <c r="D2065" s="240" t="s">
        <v>10988</v>
      </c>
      <c r="E2065" s="240" t="s">
        <v>10989</v>
      </c>
      <c r="F2065" s="123" t="s">
        <v>10990</v>
      </c>
      <c r="G2065" s="123" t="s">
        <v>127</v>
      </c>
      <c r="H2065" s="123">
        <v>4400.0</v>
      </c>
      <c r="I2065" s="224" t="s">
        <v>7558</v>
      </c>
      <c r="J2065" s="224" t="s">
        <v>9580</v>
      </c>
      <c r="K2065" s="242">
        <v>1.0</v>
      </c>
      <c r="L2065" s="124">
        <v>3.875570089E9</v>
      </c>
    </row>
    <row r="2066">
      <c r="A2066" s="33" t="s">
        <v>10991</v>
      </c>
      <c r="B2066" s="122">
        <v>45971.0</v>
      </c>
      <c r="C2066" s="103">
        <v>8.07000033804E11</v>
      </c>
      <c r="D2066" s="103" t="s">
        <v>10988</v>
      </c>
      <c r="E2066" s="103" t="s">
        <v>10989</v>
      </c>
      <c r="F2066" s="123" t="s">
        <v>10990</v>
      </c>
      <c r="G2066" s="123" t="s">
        <v>127</v>
      </c>
      <c r="H2066" s="123">
        <v>4400.0</v>
      </c>
      <c r="I2066" s="211" t="s">
        <v>772</v>
      </c>
      <c r="J2066" s="211" t="s">
        <v>3363</v>
      </c>
      <c r="K2066" s="241">
        <v>2.0</v>
      </c>
      <c r="L2066" s="124">
        <v>3.875570089E9</v>
      </c>
    </row>
    <row r="2067">
      <c r="A2067" s="33" t="s">
        <v>10992</v>
      </c>
      <c r="B2067" s="122">
        <v>45971.0</v>
      </c>
      <c r="C2067" s="240">
        <v>8.0700003383E11</v>
      </c>
      <c r="D2067" s="240" t="s">
        <v>10993</v>
      </c>
      <c r="E2067" s="240" t="s">
        <v>10994</v>
      </c>
      <c r="F2067" s="242" t="s">
        <v>10995</v>
      </c>
      <c r="G2067" s="123" t="s">
        <v>127</v>
      </c>
      <c r="H2067" s="123">
        <v>4400.0</v>
      </c>
      <c r="I2067" s="224" t="s">
        <v>10660</v>
      </c>
      <c r="J2067" s="224" t="s">
        <v>10661</v>
      </c>
      <c r="K2067" s="242">
        <v>1.0</v>
      </c>
      <c r="L2067" s="124">
        <v>3.873541845E9</v>
      </c>
    </row>
    <row r="2068">
      <c r="A2068" s="33" t="s">
        <v>10992</v>
      </c>
      <c r="B2068" s="122">
        <v>45971.0</v>
      </c>
      <c r="C2068" s="103">
        <v>8.07000033831E11</v>
      </c>
      <c r="D2068" s="103" t="s">
        <v>10993</v>
      </c>
      <c r="E2068" s="103" t="s">
        <v>10994</v>
      </c>
      <c r="F2068" s="242" t="s">
        <v>10995</v>
      </c>
      <c r="G2068" s="123" t="s">
        <v>127</v>
      </c>
      <c r="H2068" s="123">
        <v>4400.0</v>
      </c>
      <c r="I2068" s="211" t="s">
        <v>6835</v>
      </c>
      <c r="J2068" s="211" t="s">
        <v>8150</v>
      </c>
      <c r="K2068" s="241">
        <v>2.0</v>
      </c>
      <c r="L2068" s="124">
        <v>3.873541845E9</v>
      </c>
    </row>
    <row r="2069">
      <c r="A2069" s="33" t="s">
        <v>10996</v>
      </c>
      <c r="B2069" s="122">
        <v>45971.0</v>
      </c>
      <c r="C2069" s="240">
        <v>8.07000033832E11</v>
      </c>
      <c r="D2069" s="240" t="s">
        <v>10997</v>
      </c>
      <c r="E2069" s="240" t="s">
        <v>10998</v>
      </c>
      <c r="F2069" s="242" t="s">
        <v>10999</v>
      </c>
      <c r="G2069" s="123" t="s">
        <v>127</v>
      </c>
      <c r="H2069" s="123">
        <v>4400.0</v>
      </c>
      <c r="I2069" s="224">
        <v>125811.0</v>
      </c>
      <c r="J2069" s="224" t="s">
        <v>6073</v>
      </c>
      <c r="K2069" s="242">
        <v>2.0</v>
      </c>
      <c r="L2069" s="124">
        <v>3.874852898E9</v>
      </c>
    </row>
    <row r="2070">
      <c r="A2070" s="33" t="s">
        <v>10996</v>
      </c>
      <c r="B2070" s="122">
        <v>45971.0</v>
      </c>
      <c r="C2070" s="103">
        <v>8.07000033832E11</v>
      </c>
      <c r="D2070" s="103" t="s">
        <v>10997</v>
      </c>
      <c r="E2070" s="103" t="s">
        <v>10998</v>
      </c>
      <c r="F2070" s="242" t="s">
        <v>10999</v>
      </c>
      <c r="G2070" s="123" t="s">
        <v>127</v>
      </c>
      <c r="H2070" s="123">
        <v>4400.0</v>
      </c>
      <c r="I2070" s="211" t="s">
        <v>5262</v>
      </c>
      <c r="J2070" s="211" t="s">
        <v>5263</v>
      </c>
      <c r="K2070" s="241">
        <v>1.0</v>
      </c>
      <c r="L2070" s="124">
        <v>3.874852898E9</v>
      </c>
    </row>
    <row r="2071">
      <c r="A2071" s="33" t="s">
        <v>10996</v>
      </c>
      <c r="B2071" s="122">
        <v>45971.0</v>
      </c>
      <c r="C2071" s="240">
        <v>8.07000033832E11</v>
      </c>
      <c r="D2071" s="240" t="s">
        <v>10997</v>
      </c>
      <c r="E2071" s="240" t="s">
        <v>10998</v>
      </c>
      <c r="F2071" s="242" t="s">
        <v>10999</v>
      </c>
      <c r="G2071" s="123" t="s">
        <v>127</v>
      </c>
      <c r="H2071" s="123">
        <v>4400.0</v>
      </c>
      <c r="I2071" s="224" t="s">
        <v>118</v>
      </c>
      <c r="J2071" s="224" t="s">
        <v>4650</v>
      </c>
      <c r="K2071" s="242">
        <v>1.0</v>
      </c>
      <c r="L2071" s="124">
        <v>3.874852898E9</v>
      </c>
    </row>
    <row r="2072">
      <c r="A2072" s="33" t="s">
        <v>10996</v>
      </c>
      <c r="B2072" s="122">
        <v>45971.0</v>
      </c>
      <c r="C2072" s="103">
        <v>8.07000033832E11</v>
      </c>
      <c r="D2072" s="103" t="s">
        <v>10997</v>
      </c>
      <c r="E2072" s="103" t="s">
        <v>10998</v>
      </c>
      <c r="F2072" s="242" t="s">
        <v>10999</v>
      </c>
      <c r="G2072" s="123" t="s">
        <v>127</v>
      </c>
      <c r="H2072" s="123">
        <v>4400.0</v>
      </c>
      <c r="I2072" s="211" t="s">
        <v>512</v>
      </c>
      <c r="J2072" s="211" t="s">
        <v>513</v>
      </c>
      <c r="K2072" s="241">
        <v>12.0</v>
      </c>
      <c r="L2072" s="124">
        <v>3.874852898E9</v>
      </c>
    </row>
    <row r="2073">
      <c r="A2073" s="33" t="s">
        <v>10996</v>
      </c>
      <c r="B2073" s="122">
        <v>45971.0</v>
      </c>
      <c r="C2073" s="240">
        <v>8.07000033832E11</v>
      </c>
      <c r="D2073" s="240" t="s">
        <v>10997</v>
      </c>
      <c r="E2073" s="240" t="s">
        <v>10998</v>
      </c>
      <c r="F2073" s="242" t="s">
        <v>10999</v>
      </c>
      <c r="G2073" s="123" t="s">
        <v>127</v>
      </c>
      <c r="H2073" s="123">
        <v>4400.0</v>
      </c>
      <c r="I2073" s="224" t="s">
        <v>121</v>
      </c>
      <c r="J2073" s="224" t="s">
        <v>3199</v>
      </c>
      <c r="K2073" s="242">
        <v>2.0</v>
      </c>
      <c r="L2073" s="124">
        <v>3.874852898E9</v>
      </c>
    </row>
    <row r="2074">
      <c r="A2074" s="33" t="s">
        <v>10996</v>
      </c>
      <c r="B2074" s="122">
        <v>45971.0</v>
      </c>
      <c r="C2074" s="103">
        <v>8.07000033833E11</v>
      </c>
      <c r="D2074" s="103" t="s">
        <v>10997</v>
      </c>
      <c r="E2074" s="103" t="s">
        <v>10998</v>
      </c>
      <c r="F2074" s="242" t="s">
        <v>10999</v>
      </c>
      <c r="G2074" s="123" t="s">
        <v>127</v>
      </c>
      <c r="H2074" s="123">
        <v>4400.0</v>
      </c>
      <c r="I2074" s="211" t="s">
        <v>985</v>
      </c>
      <c r="J2074" s="211" t="s">
        <v>3600</v>
      </c>
      <c r="K2074" s="241">
        <v>1.0</v>
      </c>
      <c r="L2074" s="124">
        <v>3.874852898E9</v>
      </c>
    </row>
    <row r="2075">
      <c r="A2075" s="33" t="s">
        <v>11000</v>
      </c>
      <c r="B2075" s="122">
        <v>45971.0</v>
      </c>
      <c r="C2075" s="103">
        <v>8.07000033833E11</v>
      </c>
      <c r="D2075" s="103" t="s">
        <v>10997</v>
      </c>
      <c r="E2075" s="103" t="s">
        <v>10998</v>
      </c>
      <c r="F2075" s="242" t="s">
        <v>10999</v>
      </c>
      <c r="G2075" s="123" t="s">
        <v>127</v>
      </c>
      <c r="H2075" s="123">
        <v>4400.0</v>
      </c>
      <c r="I2075" s="258">
        <v>208502.0</v>
      </c>
      <c r="J2075" s="258" t="s">
        <v>4551</v>
      </c>
      <c r="K2075" s="259">
        <v>2.0</v>
      </c>
      <c r="L2075" s="124">
        <v>3.874852898E9</v>
      </c>
    </row>
    <row r="2076">
      <c r="A2076" s="33" t="s">
        <v>11001</v>
      </c>
      <c r="B2076" s="122">
        <v>45971.0</v>
      </c>
      <c r="C2076" s="240">
        <v>8.07000033838E11</v>
      </c>
      <c r="D2076" s="240" t="s">
        <v>11002</v>
      </c>
      <c r="E2076" s="240" t="s">
        <v>11003</v>
      </c>
      <c r="F2076" s="242" t="s">
        <v>11004</v>
      </c>
      <c r="G2076" s="123" t="s">
        <v>127</v>
      </c>
      <c r="H2076" s="123">
        <v>4400.0</v>
      </c>
      <c r="I2076" s="224" t="s">
        <v>121</v>
      </c>
      <c r="J2076" s="224" t="s">
        <v>3199</v>
      </c>
      <c r="K2076" s="242">
        <v>2.0</v>
      </c>
      <c r="L2076" s="124">
        <v>3.875094179E9</v>
      </c>
    </row>
    <row r="2077">
      <c r="A2077" s="33" t="s">
        <v>11005</v>
      </c>
      <c r="B2077" s="122">
        <v>45971.0</v>
      </c>
      <c r="C2077" s="103">
        <v>8.07000033839E11</v>
      </c>
      <c r="D2077" s="103" t="s">
        <v>11002</v>
      </c>
      <c r="E2077" s="103" t="s">
        <v>11003</v>
      </c>
      <c r="F2077" s="242" t="s">
        <v>11004</v>
      </c>
      <c r="G2077" s="123" t="s">
        <v>127</v>
      </c>
      <c r="H2077" s="123">
        <v>4400.0</v>
      </c>
      <c r="I2077" s="211" t="s">
        <v>6833</v>
      </c>
      <c r="J2077" s="211" t="s">
        <v>11006</v>
      </c>
      <c r="K2077" s="241">
        <v>1.0</v>
      </c>
      <c r="L2077" s="124">
        <v>3.875094179E9</v>
      </c>
    </row>
    <row r="2078">
      <c r="A2078" s="33" t="s">
        <v>11007</v>
      </c>
      <c r="B2078" s="122">
        <v>45971.0</v>
      </c>
      <c r="C2078" s="103">
        <v>8.07000033844E11</v>
      </c>
      <c r="D2078" s="103" t="s">
        <v>11008</v>
      </c>
      <c r="E2078" s="103" t="s">
        <v>11009</v>
      </c>
      <c r="F2078" s="123" t="s">
        <v>11010</v>
      </c>
      <c r="G2078" s="123" t="s">
        <v>127</v>
      </c>
      <c r="H2078" s="123">
        <v>4400.0</v>
      </c>
      <c r="I2078" s="211" t="s">
        <v>32</v>
      </c>
      <c r="J2078" s="211" t="s">
        <v>3225</v>
      </c>
      <c r="K2078" s="241">
        <v>1.0</v>
      </c>
      <c r="L2078" s="124">
        <v>3.874154523E9</v>
      </c>
    </row>
    <row r="2079">
      <c r="A2079" s="33" t="s">
        <v>11011</v>
      </c>
      <c r="B2079" s="122">
        <v>45971.0</v>
      </c>
      <c r="C2079" s="240">
        <v>8.07000033854E11</v>
      </c>
      <c r="D2079" s="240" t="s">
        <v>11012</v>
      </c>
      <c r="E2079" s="240" t="s">
        <v>11013</v>
      </c>
      <c r="F2079" s="123" t="s">
        <v>11014</v>
      </c>
      <c r="G2079" s="123" t="s">
        <v>127</v>
      </c>
      <c r="H2079" s="123">
        <v>4400.0</v>
      </c>
      <c r="I2079" s="224">
        <v>208501.0</v>
      </c>
      <c r="J2079" s="224" t="s">
        <v>481</v>
      </c>
      <c r="K2079" s="242">
        <v>1.0</v>
      </c>
      <c r="L2079" s="124">
        <v>3.874874674E9</v>
      </c>
    </row>
    <row r="2080">
      <c r="A2080" s="33" t="s">
        <v>11011</v>
      </c>
      <c r="B2080" s="122">
        <v>45971.0</v>
      </c>
      <c r="C2080" s="103">
        <v>8.07000033854E11</v>
      </c>
      <c r="D2080" s="103" t="s">
        <v>11012</v>
      </c>
      <c r="E2080" s="103" t="s">
        <v>11013</v>
      </c>
      <c r="F2080" s="123" t="s">
        <v>11014</v>
      </c>
      <c r="G2080" s="123" t="s">
        <v>127</v>
      </c>
      <c r="H2080" s="123">
        <v>4400.0</v>
      </c>
      <c r="I2080" s="211" t="s">
        <v>512</v>
      </c>
      <c r="J2080" s="211" t="s">
        <v>513</v>
      </c>
      <c r="K2080" s="241">
        <v>6.0</v>
      </c>
      <c r="L2080" s="124">
        <v>3.874874674E9</v>
      </c>
    </row>
    <row r="2081">
      <c r="A2081" s="33" t="s">
        <v>11011</v>
      </c>
      <c r="B2081" s="122">
        <v>45971.0</v>
      </c>
      <c r="C2081" s="240">
        <v>8.07000033855E11</v>
      </c>
      <c r="D2081" s="240" t="s">
        <v>11012</v>
      </c>
      <c r="E2081" s="240" t="s">
        <v>11013</v>
      </c>
      <c r="F2081" s="123" t="s">
        <v>11014</v>
      </c>
      <c r="G2081" s="123" t="s">
        <v>127</v>
      </c>
      <c r="H2081" s="123">
        <v>4400.0</v>
      </c>
      <c r="I2081" s="224" t="s">
        <v>10687</v>
      </c>
      <c r="J2081" s="224" t="s">
        <v>10688</v>
      </c>
      <c r="K2081" s="242">
        <v>1.0</v>
      </c>
      <c r="L2081" s="124">
        <v>3.874874674E9</v>
      </c>
    </row>
    <row r="2082">
      <c r="A2082" s="33" t="s">
        <v>11011</v>
      </c>
      <c r="B2082" s="122">
        <v>45971.0</v>
      </c>
      <c r="C2082" s="103">
        <v>8.07000033855E11</v>
      </c>
      <c r="D2082" s="103" t="s">
        <v>11012</v>
      </c>
      <c r="E2082" s="103" t="s">
        <v>11013</v>
      </c>
      <c r="F2082" s="123" t="s">
        <v>11014</v>
      </c>
      <c r="G2082" s="123" t="s">
        <v>127</v>
      </c>
      <c r="H2082" s="123">
        <v>4400.0</v>
      </c>
      <c r="I2082" s="211" t="s">
        <v>1827</v>
      </c>
      <c r="J2082" s="211" t="s">
        <v>4367</v>
      </c>
      <c r="K2082" s="241">
        <v>1.0</v>
      </c>
      <c r="L2082" s="124">
        <v>3.874874674E9</v>
      </c>
    </row>
    <row r="2083">
      <c r="A2083" s="33" t="s">
        <v>11015</v>
      </c>
      <c r="B2083" s="139">
        <v>45973.0</v>
      </c>
      <c r="C2083" s="240"/>
      <c r="D2083" s="240"/>
      <c r="E2083" s="240" t="s">
        <v>11016</v>
      </c>
      <c r="F2083" s="123" t="s">
        <v>11017</v>
      </c>
      <c r="G2083" s="123" t="s">
        <v>127</v>
      </c>
      <c r="H2083" s="123">
        <v>4400.0</v>
      </c>
      <c r="I2083" s="224" t="s">
        <v>11018</v>
      </c>
      <c r="J2083" s="224"/>
      <c r="K2083" s="242">
        <v>1.0</v>
      </c>
      <c r="L2083" s="124">
        <v>3.876125581E9</v>
      </c>
    </row>
    <row r="2084">
      <c r="A2084" s="33" t="s">
        <v>11019</v>
      </c>
      <c r="B2084" s="139">
        <v>45973.0</v>
      </c>
      <c r="C2084" s="240"/>
      <c r="D2084" s="240"/>
      <c r="E2084" s="240" t="s">
        <v>11016</v>
      </c>
      <c r="F2084" s="123" t="s">
        <v>11017</v>
      </c>
      <c r="G2084" s="123" t="s">
        <v>127</v>
      </c>
      <c r="H2084" s="123">
        <v>4400.0</v>
      </c>
      <c r="I2084" s="224" t="s">
        <v>11020</v>
      </c>
      <c r="J2084" s="224" t="s">
        <v>11021</v>
      </c>
      <c r="K2084" s="242">
        <v>1.0</v>
      </c>
      <c r="L2084" s="124">
        <v>3.876125581E9</v>
      </c>
    </row>
    <row r="2085">
      <c r="A2085" s="33" t="s">
        <v>11022</v>
      </c>
      <c r="B2085" s="139">
        <v>45973.0</v>
      </c>
      <c r="C2085" s="240"/>
      <c r="D2085" s="240"/>
      <c r="E2085" s="240" t="s">
        <v>11023</v>
      </c>
      <c r="F2085" s="123" t="s">
        <v>11024</v>
      </c>
      <c r="G2085" s="123" t="s">
        <v>127</v>
      </c>
      <c r="H2085" s="123">
        <v>4400.0</v>
      </c>
      <c r="I2085" s="224" t="s">
        <v>670</v>
      </c>
      <c r="J2085" s="224"/>
      <c r="K2085" s="242">
        <v>1.0</v>
      </c>
      <c r="L2085" s="124">
        <v>3.875395866E9</v>
      </c>
    </row>
    <row r="2086">
      <c r="A2086" s="33" t="s">
        <v>11022</v>
      </c>
      <c r="B2086" s="139">
        <v>45973.0</v>
      </c>
      <c r="C2086" s="240"/>
      <c r="D2086" s="240"/>
      <c r="E2086" s="240" t="s">
        <v>11023</v>
      </c>
      <c r="F2086" s="123" t="s">
        <v>11024</v>
      </c>
      <c r="G2086" s="123" t="s">
        <v>127</v>
      </c>
      <c r="H2086" s="123">
        <v>4400.0</v>
      </c>
      <c r="I2086" s="224" t="s">
        <v>3074</v>
      </c>
      <c r="J2086" s="224"/>
      <c r="K2086" s="242"/>
      <c r="L2086" s="124">
        <v>3.875395866E9</v>
      </c>
    </row>
    <row r="2087">
      <c r="A2087" s="33" t="s">
        <v>11025</v>
      </c>
      <c r="B2087" s="139">
        <v>45973.0</v>
      </c>
      <c r="C2087" s="240"/>
      <c r="D2087" s="240"/>
      <c r="E2087" s="240" t="s">
        <v>11026</v>
      </c>
      <c r="F2087" s="123" t="s">
        <v>11027</v>
      </c>
      <c r="G2087" s="123" t="s">
        <v>11028</v>
      </c>
      <c r="H2087" s="123">
        <v>4400.0</v>
      </c>
      <c r="I2087" s="224" t="s">
        <v>812</v>
      </c>
      <c r="J2087" s="224" t="s">
        <v>11029</v>
      </c>
      <c r="K2087" s="242">
        <v>1.0</v>
      </c>
      <c r="L2087" s="124">
        <v>3.874020769E9</v>
      </c>
    </row>
    <row r="2088">
      <c r="A2088" s="33" t="s">
        <v>11025</v>
      </c>
      <c r="B2088" s="139">
        <v>45973.0</v>
      </c>
      <c r="C2088" s="240"/>
      <c r="D2088" s="240"/>
      <c r="E2088" s="240" t="s">
        <v>11026</v>
      </c>
      <c r="F2088" s="123" t="s">
        <v>11027</v>
      </c>
      <c r="G2088" s="123" t="s">
        <v>127</v>
      </c>
      <c r="H2088" s="123">
        <v>4400.0</v>
      </c>
      <c r="I2088" s="224">
        <v>2.2346229143E10</v>
      </c>
      <c r="J2088" s="224" t="s">
        <v>11030</v>
      </c>
      <c r="K2088" s="242">
        <v>1.0</v>
      </c>
      <c r="L2088" s="124">
        <v>3.874020769E9</v>
      </c>
    </row>
    <row r="2089">
      <c r="A2089" s="33" t="s">
        <v>11025</v>
      </c>
      <c r="B2089" s="139">
        <v>45973.0</v>
      </c>
      <c r="C2089" s="240"/>
      <c r="D2089" s="240"/>
      <c r="E2089" s="240" t="s">
        <v>11026</v>
      </c>
      <c r="F2089" s="123" t="s">
        <v>11027</v>
      </c>
      <c r="G2089" s="123" t="s">
        <v>127</v>
      </c>
      <c r="H2089" s="123">
        <v>4400.0</v>
      </c>
      <c r="I2089" s="224" t="s">
        <v>4070</v>
      </c>
      <c r="J2089" s="224"/>
      <c r="K2089" s="242">
        <v>1.0</v>
      </c>
      <c r="L2089" s="124">
        <v>3.874020769E9</v>
      </c>
    </row>
    <row r="2090">
      <c r="A2090" s="33" t="s">
        <v>11031</v>
      </c>
      <c r="B2090" s="139">
        <v>45973.0</v>
      </c>
      <c r="C2090" s="240"/>
      <c r="D2090" s="240"/>
      <c r="E2090" s="240" t="s">
        <v>11032</v>
      </c>
      <c r="F2090" s="123" t="s">
        <v>11033</v>
      </c>
      <c r="G2090" s="123" t="s">
        <v>127</v>
      </c>
      <c r="H2090" s="123">
        <v>4400.0</v>
      </c>
      <c r="I2090" s="224">
        <v>125814.0</v>
      </c>
      <c r="J2090" s="224" t="s">
        <v>11034</v>
      </c>
      <c r="K2090" s="242">
        <v>2.0</v>
      </c>
      <c r="L2090" s="124">
        <v>3.875843594E9</v>
      </c>
    </row>
    <row r="2091">
      <c r="A2091" s="33" t="s">
        <v>11035</v>
      </c>
      <c r="B2091" s="139">
        <v>45973.0</v>
      </c>
      <c r="C2091" s="240"/>
      <c r="D2091" s="240"/>
      <c r="E2091" s="240" t="s">
        <v>11032</v>
      </c>
      <c r="F2091" s="123" t="s">
        <v>11033</v>
      </c>
      <c r="G2091" s="123" t="s">
        <v>127</v>
      </c>
      <c r="H2091" s="123">
        <v>4400.0</v>
      </c>
      <c r="I2091" s="224" t="s">
        <v>4250</v>
      </c>
      <c r="J2091" s="224" t="s">
        <v>11036</v>
      </c>
      <c r="K2091" s="242">
        <v>2.0</v>
      </c>
      <c r="L2091" s="124">
        <v>3.875843594E9</v>
      </c>
    </row>
    <row r="2092">
      <c r="A2092" s="33" t="s">
        <v>11035</v>
      </c>
      <c r="B2092" s="139">
        <v>45973.0</v>
      </c>
      <c r="C2092" s="240"/>
      <c r="D2092" s="240"/>
      <c r="E2092" s="240" t="s">
        <v>11032</v>
      </c>
      <c r="F2092" s="123" t="s">
        <v>11033</v>
      </c>
      <c r="G2092" s="123" t="s">
        <v>127</v>
      </c>
      <c r="H2092" s="123">
        <v>4400.0</v>
      </c>
      <c r="I2092" s="224" t="s">
        <v>4938</v>
      </c>
      <c r="J2092" s="224" t="s">
        <v>11037</v>
      </c>
      <c r="K2092" s="242">
        <v>1.0</v>
      </c>
      <c r="L2092" s="124">
        <v>3.875843594E9</v>
      </c>
    </row>
    <row r="2093">
      <c r="A2093" s="33" t="s">
        <v>11038</v>
      </c>
      <c r="B2093" s="122">
        <v>45974.0</v>
      </c>
      <c r="C2093" s="240">
        <v>8.07000033882E11</v>
      </c>
      <c r="D2093" s="240" t="s">
        <v>1104</v>
      </c>
      <c r="E2093" s="240" t="s">
        <v>11039</v>
      </c>
      <c r="F2093" s="123" t="s">
        <v>11040</v>
      </c>
      <c r="G2093" s="123" t="s">
        <v>127</v>
      </c>
      <c r="H2093" s="123">
        <v>4400.0</v>
      </c>
      <c r="I2093" s="224" t="s">
        <v>947</v>
      </c>
      <c r="J2093" s="224" t="s">
        <v>3750</v>
      </c>
      <c r="K2093" s="242">
        <v>1.0</v>
      </c>
      <c r="L2093" s="124">
        <v>1.166934206E9</v>
      </c>
    </row>
    <row r="2094">
      <c r="A2094" s="33" t="s">
        <v>11041</v>
      </c>
      <c r="B2094" s="122">
        <v>45974.0</v>
      </c>
      <c r="C2094" s="103">
        <v>8.07000033728E11</v>
      </c>
      <c r="D2094" s="103" t="s">
        <v>11042</v>
      </c>
      <c r="E2094" s="103" t="s">
        <v>11043</v>
      </c>
      <c r="F2094" s="123" t="s">
        <v>11044</v>
      </c>
      <c r="G2094" s="123" t="s">
        <v>127</v>
      </c>
      <c r="H2094" s="123">
        <v>4400.0</v>
      </c>
      <c r="I2094" s="211" t="s">
        <v>512</v>
      </c>
      <c r="J2094" s="211" t="s">
        <v>513</v>
      </c>
      <c r="K2094" s="241">
        <v>12.0</v>
      </c>
      <c r="L2094" s="124">
        <v>3.874064029E9</v>
      </c>
    </row>
    <row r="2095">
      <c r="A2095" s="33" t="s">
        <v>11041</v>
      </c>
      <c r="B2095" s="122">
        <v>45974.0</v>
      </c>
      <c r="C2095" s="240">
        <v>8.07000033729E11</v>
      </c>
      <c r="D2095" s="240" t="s">
        <v>11042</v>
      </c>
      <c r="E2095" s="240" t="s">
        <v>11043</v>
      </c>
      <c r="F2095" s="123" t="s">
        <v>11044</v>
      </c>
      <c r="G2095" s="123" t="s">
        <v>127</v>
      </c>
      <c r="H2095" s="123">
        <v>4400.0</v>
      </c>
      <c r="I2095" s="224" t="s">
        <v>2537</v>
      </c>
      <c r="J2095" s="224" t="s">
        <v>3955</v>
      </c>
      <c r="K2095" s="242">
        <v>1.0</v>
      </c>
      <c r="L2095" s="124">
        <v>3.874064029E9</v>
      </c>
    </row>
    <row r="2096">
      <c r="A2096" s="33" t="s">
        <v>11041</v>
      </c>
      <c r="B2096" s="122">
        <v>45974.0</v>
      </c>
      <c r="C2096" s="103">
        <v>8.07000033729E11</v>
      </c>
      <c r="D2096" s="103" t="s">
        <v>11042</v>
      </c>
      <c r="E2096" s="103" t="s">
        <v>11043</v>
      </c>
      <c r="F2096" s="123" t="s">
        <v>11044</v>
      </c>
      <c r="G2096" s="123" t="s">
        <v>127</v>
      </c>
      <c r="H2096" s="123">
        <v>4400.0</v>
      </c>
      <c r="I2096" s="211" t="s">
        <v>340</v>
      </c>
      <c r="J2096" s="211" t="s">
        <v>3486</v>
      </c>
      <c r="K2096" s="241">
        <v>2.0</v>
      </c>
      <c r="L2096" s="124">
        <v>3.874064029E9</v>
      </c>
    </row>
    <row r="2097">
      <c r="A2097" s="33" t="s">
        <v>11045</v>
      </c>
      <c r="B2097" s="122">
        <v>45974.0</v>
      </c>
      <c r="C2097" s="240">
        <v>8.07000033857E11</v>
      </c>
      <c r="D2097" s="240" t="s">
        <v>5227</v>
      </c>
      <c r="E2097" s="240" t="s">
        <v>5228</v>
      </c>
      <c r="F2097" s="123" t="s">
        <v>5229</v>
      </c>
      <c r="G2097" s="123" t="s">
        <v>127</v>
      </c>
      <c r="H2097" s="123">
        <v>4400.0</v>
      </c>
      <c r="I2097" s="224">
        <v>125818.0</v>
      </c>
      <c r="J2097" s="224" t="s">
        <v>4334</v>
      </c>
      <c r="K2097" s="242">
        <v>6.0</v>
      </c>
      <c r="L2097" s="124">
        <v>3.875470901E9</v>
      </c>
    </row>
    <row r="2098">
      <c r="A2098" s="33" t="s">
        <v>11045</v>
      </c>
      <c r="B2098" s="122">
        <v>45974.0</v>
      </c>
      <c r="C2098" s="103">
        <v>8.07000033857E11</v>
      </c>
      <c r="D2098" s="103" t="s">
        <v>5227</v>
      </c>
      <c r="E2098" s="103" t="s">
        <v>5228</v>
      </c>
      <c r="F2098" s="123" t="s">
        <v>5229</v>
      </c>
      <c r="G2098" s="123" t="s">
        <v>127</v>
      </c>
      <c r="H2098" s="123">
        <v>4400.0</v>
      </c>
      <c r="I2098" s="211" t="s">
        <v>2171</v>
      </c>
      <c r="J2098" s="211" t="s">
        <v>3446</v>
      </c>
      <c r="K2098" s="241">
        <v>6.0</v>
      </c>
      <c r="L2098" s="124">
        <v>3.875470901E9</v>
      </c>
    </row>
    <row r="2099">
      <c r="A2099" s="33" t="s">
        <v>11045</v>
      </c>
      <c r="B2099" s="122">
        <v>45974.0</v>
      </c>
      <c r="C2099" s="240">
        <v>8.07000033857E11</v>
      </c>
      <c r="D2099" s="240" t="s">
        <v>5227</v>
      </c>
      <c r="E2099" s="240" t="s">
        <v>5228</v>
      </c>
      <c r="F2099" s="123" t="s">
        <v>5229</v>
      </c>
      <c r="G2099" s="123" t="s">
        <v>127</v>
      </c>
      <c r="H2099" s="123">
        <v>4400.0</v>
      </c>
      <c r="I2099" s="224" t="s">
        <v>512</v>
      </c>
      <c r="J2099" s="224" t="s">
        <v>513</v>
      </c>
      <c r="K2099" s="242">
        <v>24.0</v>
      </c>
      <c r="L2099" s="124">
        <v>3.875470901E9</v>
      </c>
    </row>
    <row r="2100">
      <c r="A2100" s="33" t="s">
        <v>11045</v>
      </c>
      <c r="B2100" s="122">
        <v>45974.0</v>
      </c>
      <c r="C2100" s="103">
        <v>8.07000033857E11</v>
      </c>
      <c r="D2100" s="103" t="s">
        <v>5227</v>
      </c>
      <c r="E2100" s="103" t="s">
        <v>5228</v>
      </c>
      <c r="F2100" s="123" t="s">
        <v>5229</v>
      </c>
      <c r="G2100" s="123" t="s">
        <v>127</v>
      </c>
      <c r="H2100" s="123">
        <v>4400.0</v>
      </c>
      <c r="I2100" s="211" t="s">
        <v>3447</v>
      </c>
      <c r="J2100" s="211" t="s">
        <v>3448</v>
      </c>
      <c r="K2100" s="241">
        <v>4.0</v>
      </c>
      <c r="L2100" s="124">
        <v>3.875470901E9</v>
      </c>
    </row>
    <row r="2101">
      <c r="A2101" s="33" t="s">
        <v>11045</v>
      </c>
      <c r="B2101" s="122">
        <v>45974.0</v>
      </c>
      <c r="C2101" s="240">
        <v>5.3100000032E10</v>
      </c>
      <c r="D2101" s="240" t="s">
        <v>5227</v>
      </c>
      <c r="E2101" s="240" t="s">
        <v>5228</v>
      </c>
      <c r="F2101" s="123" t="s">
        <v>5229</v>
      </c>
      <c r="G2101" s="123" t="s">
        <v>127</v>
      </c>
      <c r="H2101" s="123">
        <v>4400.0</v>
      </c>
      <c r="I2101" s="224" t="s">
        <v>4070</v>
      </c>
      <c r="J2101" s="224" t="s">
        <v>6264</v>
      </c>
      <c r="K2101" s="242">
        <v>1.0</v>
      </c>
      <c r="L2101" s="124">
        <v>3.875470901E9</v>
      </c>
    </row>
    <row r="2102">
      <c r="A2102" s="33" t="s">
        <v>11046</v>
      </c>
      <c r="B2102" s="122">
        <v>45974.0</v>
      </c>
      <c r="C2102" s="240">
        <v>8.07000033887E11</v>
      </c>
      <c r="D2102" s="240" t="s">
        <v>11047</v>
      </c>
      <c r="E2102" s="240" t="s">
        <v>11048</v>
      </c>
      <c r="F2102" s="123" t="s">
        <v>11049</v>
      </c>
      <c r="G2102" s="123" t="s">
        <v>11050</v>
      </c>
      <c r="H2102" s="123"/>
      <c r="I2102" s="224" t="s">
        <v>1559</v>
      </c>
      <c r="J2102" s="224" t="s">
        <v>8503</v>
      </c>
      <c r="K2102" s="242">
        <v>2.0</v>
      </c>
      <c r="L2102" s="124">
        <v>3.875920177E9</v>
      </c>
    </row>
    <row r="2103">
      <c r="A2103" s="33" t="s">
        <v>11051</v>
      </c>
      <c r="B2103" s="122">
        <v>45974.0</v>
      </c>
      <c r="C2103" s="103">
        <v>8.07000033886E11</v>
      </c>
      <c r="D2103" s="103" t="s">
        <v>11052</v>
      </c>
      <c r="E2103" s="103" t="s">
        <v>11053</v>
      </c>
      <c r="F2103" s="123" t="s">
        <v>11054</v>
      </c>
      <c r="G2103" s="123" t="s">
        <v>10940</v>
      </c>
      <c r="H2103" s="123">
        <v>4400.0</v>
      </c>
      <c r="I2103" s="211" t="s">
        <v>3407</v>
      </c>
      <c r="J2103" s="211" t="s">
        <v>3408</v>
      </c>
      <c r="K2103" s="241">
        <v>1.0</v>
      </c>
      <c r="L2103" s="124">
        <v>3.87683226E9</v>
      </c>
    </row>
    <row r="2104">
      <c r="A2104" s="31" t="s">
        <v>11055</v>
      </c>
      <c r="B2104" s="260">
        <v>45974.0</v>
      </c>
      <c r="C2104" s="103">
        <v>8.07000033891E11</v>
      </c>
      <c r="D2104" s="103" t="s">
        <v>11056</v>
      </c>
      <c r="E2104" s="103" t="s">
        <v>11057</v>
      </c>
      <c r="F2104" s="123" t="s">
        <v>11058</v>
      </c>
      <c r="G2104" s="123" t="s">
        <v>11059</v>
      </c>
      <c r="H2104" s="123">
        <v>4407.0</v>
      </c>
      <c r="I2104" s="211" t="s">
        <v>118</v>
      </c>
      <c r="J2104" s="211" t="s">
        <v>4650</v>
      </c>
      <c r="K2104" s="241">
        <v>1.0</v>
      </c>
      <c r="L2104" s="31">
        <v>3.874579768E9</v>
      </c>
    </row>
    <row r="2105">
      <c r="A2105" s="31" t="s">
        <v>11060</v>
      </c>
      <c r="B2105" s="260">
        <v>45978.0</v>
      </c>
      <c r="C2105" s="103">
        <v>8.05011560333E11</v>
      </c>
      <c r="D2105" s="103" t="s">
        <v>11061</v>
      </c>
      <c r="E2105" s="103" t="s">
        <v>11062</v>
      </c>
      <c r="F2105" s="123" t="s">
        <v>11063</v>
      </c>
      <c r="G2105" s="123" t="s">
        <v>127</v>
      </c>
      <c r="H2105" s="123">
        <v>4400.0</v>
      </c>
      <c r="I2105" s="211" t="s">
        <v>22</v>
      </c>
      <c r="J2105" s="211" t="s">
        <v>4013</v>
      </c>
      <c r="K2105" s="241">
        <v>1.0</v>
      </c>
      <c r="L2105" s="31">
        <v>3.874250952E9</v>
      </c>
    </row>
    <row r="2106">
      <c r="A2106" s="31" t="s">
        <v>11064</v>
      </c>
      <c r="B2106" s="260">
        <v>45978.0</v>
      </c>
      <c r="C2106" s="103">
        <v>8.07000033905E11</v>
      </c>
      <c r="D2106" s="103" t="s">
        <v>11065</v>
      </c>
      <c r="E2106" s="103" t="s">
        <v>11066</v>
      </c>
      <c r="F2106" s="241" t="s">
        <v>11067</v>
      </c>
      <c r="G2106" s="123" t="s">
        <v>127</v>
      </c>
      <c r="H2106" s="123">
        <v>4400.0</v>
      </c>
      <c r="I2106" s="211" t="s">
        <v>5842</v>
      </c>
      <c r="J2106" s="211" t="s">
        <v>5843</v>
      </c>
      <c r="K2106" s="241">
        <v>1.0</v>
      </c>
      <c r="L2106" s="31">
        <v>3.877504613E9</v>
      </c>
    </row>
    <row r="2107">
      <c r="A2107" s="31" t="s">
        <v>11064</v>
      </c>
      <c r="B2107" s="260">
        <v>45978.0</v>
      </c>
      <c r="C2107" s="240">
        <v>8.07000033905E11</v>
      </c>
      <c r="D2107" s="240" t="s">
        <v>11065</v>
      </c>
      <c r="E2107" s="240" t="s">
        <v>11066</v>
      </c>
      <c r="F2107" s="241" t="s">
        <v>11067</v>
      </c>
      <c r="G2107" s="123" t="s">
        <v>127</v>
      </c>
      <c r="H2107" s="123">
        <v>4400.0</v>
      </c>
      <c r="I2107" s="224" t="s">
        <v>659</v>
      </c>
      <c r="J2107" s="224" t="s">
        <v>3468</v>
      </c>
      <c r="K2107" s="242">
        <v>1.0</v>
      </c>
      <c r="L2107" s="31">
        <v>3.877504613E9</v>
      </c>
    </row>
    <row r="2108">
      <c r="A2108" s="31" t="s">
        <v>11068</v>
      </c>
      <c r="B2108" s="260">
        <v>45978.0</v>
      </c>
      <c r="C2108" s="240">
        <v>8.07000033899E11</v>
      </c>
      <c r="D2108" s="240" t="s">
        <v>11069</v>
      </c>
      <c r="E2108" s="240" t="s">
        <v>11070</v>
      </c>
      <c r="F2108" s="123" t="s">
        <v>11071</v>
      </c>
      <c r="G2108" s="123" t="s">
        <v>127</v>
      </c>
      <c r="H2108" s="123">
        <v>4400.0</v>
      </c>
      <c r="I2108" s="224" t="s">
        <v>761</v>
      </c>
      <c r="J2108" s="224" t="s">
        <v>3761</v>
      </c>
      <c r="K2108" s="242">
        <v>1.0</v>
      </c>
      <c r="L2108" s="31">
        <v>3.875740071E9</v>
      </c>
    </row>
    <row r="2109">
      <c r="A2109" s="31" t="s">
        <v>11068</v>
      </c>
      <c r="B2109" s="260">
        <v>45978.0</v>
      </c>
      <c r="C2109" s="103">
        <v>8.07000033899E11</v>
      </c>
      <c r="D2109" s="103" t="s">
        <v>11069</v>
      </c>
      <c r="E2109" s="103" t="s">
        <v>11070</v>
      </c>
      <c r="F2109" s="123" t="s">
        <v>11071</v>
      </c>
      <c r="G2109" s="123" t="s">
        <v>127</v>
      </c>
      <c r="H2109" s="123">
        <v>4400.0</v>
      </c>
      <c r="I2109" s="211" t="s">
        <v>512</v>
      </c>
      <c r="J2109" s="211" t="s">
        <v>513</v>
      </c>
      <c r="K2109" s="241">
        <v>12.0</v>
      </c>
      <c r="L2109" s="31">
        <v>3.875740071E9</v>
      </c>
    </row>
    <row r="2110">
      <c r="A2110" s="31" t="s">
        <v>11068</v>
      </c>
      <c r="B2110" s="260">
        <v>45978.0</v>
      </c>
      <c r="C2110" s="240">
        <v>8.07000033899E11</v>
      </c>
      <c r="D2110" s="240" t="s">
        <v>11069</v>
      </c>
      <c r="E2110" s="240" t="s">
        <v>11070</v>
      </c>
      <c r="F2110" s="123" t="s">
        <v>11071</v>
      </c>
      <c r="G2110" s="123" t="s">
        <v>127</v>
      </c>
      <c r="H2110" s="123">
        <v>4400.0</v>
      </c>
      <c r="I2110" s="224" t="s">
        <v>758</v>
      </c>
      <c r="J2110" s="224" t="s">
        <v>3574</v>
      </c>
      <c r="K2110" s="242">
        <v>2.0</v>
      </c>
      <c r="L2110" s="31">
        <v>3.875740071E9</v>
      </c>
    </row>
    <row r="2111">
      <c r="A2111" s="31" t="s">
        <v>11072</v>
      </c>
      <c r="B2111" s="260">
        <v>45978.0</v>
      </c>
      <c r="C2111" s="240">
        <v>8.0700003388E11</v>
      </c>
      <c r="D2111" s="240" t="s">
        <v>11073</v>
      </c>
      <c r="E2111" s="240" t="s">
        <v>11074</v>
      </c>
      <c r="F2111" s="123" t="s">
        <v>11075</v>
      </c>
      <c r="G2111" s="123" t="s">
        <v>11076</v>
      </c>
      <c r="H2111" s="123">
        <v>4449.0</v>
      </c>
      <c r="I2111" s="224" t="s">
        <v>512</v>
      </c>
      <c r="J2111" s="224" t="s">
        <v>513</v>
      </c>
      <c r="K2111" s="242">
        <v>12.0</v>
      </c>
      <c r="L2111" s="31">
        <v>3.877667704E9</v>
      </c>
    </row>
    <row r="2112">
      <c r="A2112" s="31" t="s">
        <v>11072</v>
      </c>
      <c r="B2112" s="260">
        <v>45978.0</v>
      </c>
      <c r="C2112" s="103">
        <v>8.07000033881E11</v>
      </c>
      <c r="D2112" s="103" t="s">
        <v>11073</v>
      </c>
      <c r="E2112" s="103" t="s">
        <v>11074</v>
      </c>
      <c r="F2112" s="123" t="s">
        <v>11075</v>
      </c>
      <c r="G2112" s="123" t="s">
        <v>11076</v>
      </c>
      <c r="H2112" s="123">
        <v>4449.0</v>
      </c>
      <c r="I2112" s="211" t="s">
        <v>1533</v>
      </c>
      <c r="J2112" s="211" t="s">
        <v>8151</v>
      </c>
      <c r="K2112" s="241">
        <v>1.0</v>
      </c>
      <c r="L2112" s="31">
        <v>3.877667704E9</v>
      </c>
    </row>
    <row r="2113">
      <c r="A2113" s="31" t="s">
        <v>11072</v>
      </c>
      <c r="B2113" s="260">
        <v>45978.0</v>
      </c>
      <c r="C2113" s="240">
        <v>8.07000033881E11</v>
      </c>
      <c r="D2113" s="240" t="s">
        <v>11073</v>
      </c>
      <c r="E2113" s="240" t="s">
        <v>11074</v>
      </c>
      <c r="F2113" s="123" t="s">
        <v>11075</v>
      </c>
      <c r="G2113" s="123" t="s">
        <v>11076</v>
      </c>
      <c r="H2113" s="123">
        <v>4449.0</v>
      </c>
      <c r="I2113" s="224" t="s">
        <v>121</v>
      </c>
      <c r="J2113" s="224" t="s">
        <v>3199</v>
      </c>
      <c r="K2113" s="242">
        <v>2.0</v>
      </c>
      <c r="L2113" s="31">
        <v>3.877667704E9</v>
      </c>
    </row>
    <row r="2114">
      <c r="A2114" s="261" t="s">
        <v>11077</v>
      </c>
      <c r="B2114" s="262">
        <v>45978.0</v>
      </c>
      <c r="C2114" s="261">
        <v>8.07000033909E11</v>
      </c>
      <c r="D2114" s="261" t="s">
        <v>11078</v>
      </c>
      <c r="E2114" s="263" t="s">
        <v>11079</v>
      </c>
      <c r="F2114" s="261" t="s">
        <v>11080</v>
      </c>
      <c r="G2114" s="261" t="s">
        <v>127</v>
      </c>
      <c r="H2114" s="261">
        <v>4400.0</v>
      </c>
      <c r="I2114" s="263">
        <v>125813.0</v>
      </c>
      <c r="J2114" s="263" t="s">
        <v>11081</v>
      </c>
      <c r="K2114" s="261">
        <v>4.0</v>
      </c>
      <c r="L2114" s="263">
        <v>3.875727339E10</v>
      </c>
    </row>
    <row r="2115">
      <c r="A2115" s="261" t="s">
        <v>11077</v>
      </c>
      <c r="B2115" s="262">
        <v>45978.0</v>
      </c>
      <c r="C2115" s="261">
        <v>8.07000033909E11</v>
      </c>
      <c r="D2115" s="261" t="s">
        <v>11078</v>
      </c>
      <c r="E2115" s="263" t="s">
        <v>11079</v>
      </c>
      <c r="F2115" s="261" t="s">
        <v>11080</v>
      </c>
      <c r="G2115" s="261" t="s">
        <v>127</v>
      </c>
      <c r="H2115" s="261">
        <v>4400.0</v>
      </c>
      <c r="I2115" s="263">
        <v>125814.0</v>
      </c>
      <c r="J2115" s="263" t="s">
        <v>11082</v>
      </c>
      <c r="K2115" s="261">
        <v>2.0</v>
      </c>
      <c r="L2115" s="263">
        <v>3.875727339E10</v>
      </c>
    </row>
    <row r="2116">
      <c r="A2116" s="261" t="s">
        <v>11077</v>
      </c>
      <c r="B2116" s="262">
        <v>45978.0</v>
      </c>
      <c r="C2116" s="261">
        <v>8.07000033909E11</v>
      </c>
      <c r="D2116" s="261" t="s">
        <v>11078</v>
      </c>
      <c r="E2116" s="263" t="s">
        <v>11079</v>
      </c>
      <c r="F2116" s="261" t="s">
        <v>11080</v>
      </c>
      <c r="G2116" s="261" t="s">
        <v>127</v>
      </c>
      <c r="H2116" s="261">
        <v>4400.0</v>
      </c>
      <c r="I2116" s="263" t="s">
        <v>11083</v>
      </c>
      <c r="J2116" s="263" t="s">
        <v>11084</v>
      </c>
      <c r="K2116" s="261">
        <v>1.0</v>
      </c>
      <c r="L2116" s="263">
        <v>3.875727339E10</v>
      </c>
    </row>
    <row r="2117">
      <c r="A2117" s="261" t="s">
        <v>11085</v>
      </c>
      <c r="B2117" s="262">
        <v>45978.0</v>
      </c>
      <c r="C2117" s="261">
        <v>8.07000033911E11</v>
      </c>
      <c r="D2117" s="261" t="s">
        <v>11078</v>
      </c>
      <c r="E2117" s="263" t="s">
        <v>11079</v>
      </c>
      <c r="F2117" s="261" t="s">
        <v>11080</v>
      </c>
      <c r="G2117" s="261" t="s">
        <v>127</v>
      </c>
      <c r="H2117" s="261">
        <v>4400.0</v>
      </c>
      <c r="I2117" s="263" t="s">
        <v>1337</v>
      </c>
      <c r="J2117" s="263" t="s">
        <v>11086</v>
      </c>
      <c r="K2117" s="261">
        <v>1.0</v>
      </c>
      <c r="L2117" s="263">
        <v>3.875727339E10</v>
      </c>
    </row>
    <row r="2118">
      <c r="A2118" s="261" t="s">
        <v>11085</v>
      </c>
      <c r="B2118" s="262">
        <v>45978.0</v>
      </c>
      <c r="C2118" s="261">
        <v>8.07000033911E11</v>
      </c>
      <c r="D2118" s="261" t="s">
        <v>11078</v>
      </c>
      <c r="E2118" s="263" t="s">
        <v>11079</v>
      </c>
      <c r="F2118" s="261" t="s">
        <v>11080</v>
      </c>
      <c r="G2118" s="261" t="s">
        <v>127</v>
      </c>
      <c r="H2118" s="261">
        <v>4400.0</v>
      </c>
      <c r="I2118" s="263" t="s">
        <v>11087</v>
      </c>
      <c r="J2118" s="263" t="s">
        <v>11088</v>
      </c>
      <c r="K2118" s="261">
        <v>2.0</v>
      </c>
      <c r="L2118" s="263">
        <v>3.875727339E10</v>
      </c>
    </row>
    <row r="2119">
      <c r="A2119" s="33" t="s">
        <v>11089</v>
      </c>
      <c r="B2119" s="122">
        <v>45979.0</v>
      </c>
      <c r="C2119" s="103">
        <v>8.07000033912E11</v>
      </c>
      <c r="D2119" s="103" t="s">
        <v>11090</v>
      </c>
      <c r="E2119" s="103" t="s">
        <v>11091</v>
      </c>
      <c r="F2119" s="123" t="s">
        <v>11092</v>
      </c>
      <c r="G2119" s="123" t="s">
        <v>104</v>
      </c>
      <c r="H2119" s="123">
        <v>4400.0</v>
      </c>
      <c r="I2119" s="211" t="s">
        <v>11093</v>
      </c>
      <c r="J2119" s="211" t="s">
        <v>11094</v>
      </c>
      <c r="K2119" s="241">
        <v>1.0</v>
      </c>
      <c r="L2119" s="124">
        <v>1.126396404E9</v>
      </c>
    </row>
    <row r="2120">
      <c r="A2120" s="33" t="s">
        <v>11089</v>
      </c>
      <c r="B2120" s="122">
        <v>45979.0</v>
      </c>
      <c r="C2120" s="240">
        <v>8.07000033913E11</v>
      </c>
      <c r="D2120" s="240" t="s">
        <v>11090</v>
      </c>
      <c r="E2120" s="240" t="s">
        <v>11091</v>
      </c>
      <c r="F2120" s="123" t="s">
        <v>11092</v>
      </c>
      <c r="G2120" s="123" t="s">
        <v>104</v>
      </c>
      <c r="H2120" s="123">
        <v>4400.0</v>
      </c>
      <c r="I2120" s="224" t="s">
        <v>3512</v>
      </c>
      <c r="J2120" s="224" t="s">
        <v>3513</v>
      </c>
      <c r="K2120" s="242">
        <v>12.0</v>
      </c>
      <c r="L2120" s="124">
        <v>1.126396404E9</v>
      </c>
    </row>
    <row r="2121">
      <c r="A2121" s="33" t="s">
        <v>11089</v>
      </c>
      <c r="B2121" s="122">
        <v>45979.0</v>
      </c>
      <c r="C2121" s="103">
        <v>8.07000033914E11</v>
      </c>
      <c r="D2121" s="103" t="s">
        <v>11090</v>
      </c>
      <c r="E2121" s="103" t="s">
        <v>11091</v>
      </c>
      <c r="F2121" s="123" t="s">
        <v>11092</v>
      </c>
      <c r="G2121" s="123" t="s">
        <v>104</v>
      </c>
      <c r="H2121" s="123">
        <v>4400.0</v>
      </c>
      <c r="I2121" s="211" t="s">
        <v>6665</v>
      </c>
      <c r="J2121" s="211" t="s">
        <v>11095</v>
      </c>
      <c r="K2121" s="241">
        <v>1.0</v>
      </c>
      <c r="L2121" s="124">
        <v>1.126396404E9</v>
      </c>
    </row>
    <row r="2122">
      <c r="A2122" s="33" t="s">
        <v>11089</v>
      </c>
      <c r="B2122" s="122">
        <v>45979.0</v>
      </c>
      <c r="C2122" s="240">
        <v>8.07000033914E11</v>
      </c>
      <c r="D2122" s="240" t="s">
        <v>11090</v>
      </c>
      <c r="E2122" s="240" t="s">
        <v>11091</v>
      </c>
      <c r="F2122" s="123" t="s">
        <v>11092</v>
      </c>
      <c r="G2122" s="123" t="s">
        <v>104</v>
      </c>
      <c r="H2122" s="123">
        <v>4400.0</v>
      </c>
      <c r="I2122" s="224" t="s">
        <v>4250</v>
      </c>
      <c r="J2122" s="224" t="s">
        <v>4251</v>
      </c>
      <c r="K2122" s="242">
        <v>2.0</v>
      </c>
      <c r="L2122" s="124">
        <v>1.126396404E9</v>
      </c>
    </row>
    <row r="2123">
      <c r="A2123" s="33" t="s">
        <v>11089</v>
      </c>
      <c r="B2123" s="122">
        <v>45979.0</v>
      </c>
      <c r="C2123" s="240">
        <v>8.07000033912E11</v>
      </c>
      <c r="D2123" s="240" t="s">
        <v>11090</v>
      </c>
      <c r="E2123" s="240" t="s">
        <v>11091</v>
      </c>
      <c r="F2123" s="123" t="s">
        <v>11092</v>
      </c>
      <c r="G2123" s="123" t="s">
        <v>104</v>
      </c>
      <c r="H2123" s="123">
        <v>4400.0</v>
      </c>
      <c r="I2123" s="224">
        <v>125820.0</v>
      </c>
      <c r="J2123" s="224" t="s">
        <v>10252</v>
      </c>
      <c r="K2123" s="242">
        <v>2.0</v>
      </c>
      <c r="L2123" s="124">
        <v>1.126396404E9</v>
      </c>
    </row>
    <row r="2124" ht="5.25" customHeight="1">
      <c r="A2124" s="100"/>
      <c r="B2124" s="230"/>
      <c r="C2124" s="251"/>
      <c r="D2124" s="251"/>
      <c r="E2124" s="251"/>
      <c r="F2124" s="231"/>
      <c r="G2124" s="231"/>
      <c r="H2124" s="231"/>
      <c r="I2124" s="252"/>
      <c r="J2124" s="252"/>
      <c r="K2124" s="253"/>
      <c r="L2124" s="232"/>
      <c r="M2124" s="233"/>
      <c r="N2124" s="233"/>
      <c r="O2124" s="233"/>
      <c r="P2124" s="233"/>
      <c r="Q2124" s="233"/>
      <c r="R2124" s="233"/>
      <c r="S2124" s="233"/>
      <c r="T2124" s="233"/>
      <c r="U2124" s="233"/>
      <c r="V2124" s="233"/>
      <c r="W2124" s="233"/>
      <c r="X2124" s="233"/>
      <c r="Y2124" s="233"/>
      <c r="Z2124" s="233"/>
      <c r="AA2124" s="233"/>
      <c r="AB2124" s="233"/>
      <c r="AC2124" s="233"/>
    </row>
    <row r="2125">
      <c r="A2125" s="33" t="s">
        <v>11096</v>
      </c>
      <c r="B2125" s="122">
        <v>45980.0</v>
      </c>
      <c r="C2125" s="240">
        <v>8.07000033916E11</v>
      </c>
      <c r="D2125" s="240" t="s">
        <v>11097</v>
      </c>
      <c r="E2125" s="240" t="s">
        <v>11098</v>
      </c>
      <c r="F2125" s="123" t="s">
        <v>11099</v>
      </c>
      <c r="G2125" s="123" t="s">
        <v>127</v>
      </c>
      <c r="H2125" s="123">
        <v>4400.0</v>
      </c>
      <c r="I2125" s="224" t="s">
        <v>512</v>
      </c>
      <c r="J2125" s="224" t="s">
        <v>513</v>
      </c>
      <c r="K2125" s="242">
        <v>6.0</v>
      </c>
      <c r="L2125" s="124">
        <v>3.875791981E9</v>
      </c>
    </row>
    <row r="2126">
      <c r="A2126" s="33" t="s">
        <v>11096</v>
      </c>
      <c r="B2126" s="122">
        <v>45980.0</v>
      </c>
      <c r="C2126" s="103">
        <v>8.07000033917E11</v>
      </c>
      <c r="D2126" s="103" t="s">
        <v>11097</v>
      </c>
      <c r="E2126" s="103" t="s">
        <v>11098</v>
      </c>
      <c r="F2126" s="123" t="s">
        <v>11099</v>
      </c>
      <c r="G2126" s="123" t="s">
        <v>127</v>
      </c>
      <c r="H2126" s="123">
        <v>4400.0</v>
      </c>
      <c r="I2126" s="211" t="s">
        <v>9359</v>
      </c>
      <c r="J2126" s="211" t="s">
        <v>9360</v>
      </c>
      <c r="K2126" s="241">
        <v>1.0</v>
      </c>
      <c r="L2126" s="124">
        <v>3.875791981E9</v>
      </c>
    </row>
    <row r="2127">
      <c r="A2127" s="33" t="s">
        <v>11096</v>
      </c>
      <c r="B2127" s="122">
        <v>45980.0</v>
      </c>
      <c r="C2127" s="240">
        <v>8.07000033917E11</v>
      </c>
      <c r="D2127" s="240" t="s">
        <v>11097</v>
      </c>
      <c r="E2127" s="240" t="s">
        <v>11098</v>
      </c>
      <c r="F2127" s="123" t="s">
        <v>11099</v>
      </c>
      <c r="G2127" s="123" t="s">
        <v>127</v>
      </c>
      <c r="H2127" s="123">
        <v>4400.0</v>
      </c>
      <c r="I2127" s="224" t="s">
        <v>969</v>
      </c>
      <c r="J2127" s="224" t="s">
        <v>3296</v>
      </c>
      <c r="K2127" s="242">
        <v>1.0</v>
      </c>
      <c r="L2127" s="124">
        <v>3.875791981E9</v>
      </c>
    </row>
    <row r="2128">
      <c r="A2128" s="33" t="s">
        <v>11100</v>
      </c>
      <c r="B2128" s="122">
        <v>45980.0</v>
      </c>
      <c r="C2128" s="103">
        <v>8.07000033919E11</v>
      </c>
      <c r="D2128" s="103" t="s">
        <v>6545</v>
      </c>
      <c r="E2128" s="103" t="s">
        <v>6546</v>
      </c>
      <c r="F2128" s="123" t="s">
        <v>11101</v>
      </c>
      <c r="G2128" s="123" t="s">
        <v>3599</v>
      </c>
      <c r="H2128" s="123">
        <v>4554.0</v>
      </c>
      <c r="I2128" s="211" t="s">
        <v>512</v>
      </c>
      <c r="J2128" s="211" t="s">
        <v>513</v>
      </c>
      <c r="K2128" s="241">
        <v>6.0</v>
      </c>
      <c r="L2128" s="124">
        <v>3.875287662E9</v>
      </c>
    </row>
    <row r="2129">
      <c r="A2129" s="33" t="s">
        <v>11100</v>
      </c>
      <c r="B2129" s="122">
        <v>45980.0</v>
      </c>
      <c r="C2129" s="240">
        <v>8.0700003392E11</v>
      </c>
      <c r="D2129" s="240" t="s">
        <v>6545</v>
      </c>
      <c r="E2129" s="240" t="s">
        <v>6546</v>
      </c>
      <c r="F2129" s="123" t="s">
        <v>11101</v>
      </c>
      <c r="G2129" s="123" t="s">
        <v>3599</v>
      </c>
      <c r="H2129" s="123">
        <v>4554.0</v>
      </c>
      <c r="I2129" s="224" t="s">
        <v>812</v>
      </c>
      <c r="J2129" s="224" t="s">
        <v>3564</v>
      </c>
      <c r="K2129" s="242">
        <v>1.0</v>
      </c>
      <c r="L2129" s="124">
        <v>3.875287662E9</v>
      </c>
    </row>
    <row r="2130">
      <c r="A2130" s="33" t="s">
        <v>11100</v>
      </c>
      <c r="B2130" s="122">
        <v>45980.0</v>
      </c>
      <c r="C2130" s="103">
        <v>8.0700003392E11</v>
      </c>
      <c r="D2130" s="103" t="s">
        <v>6545</v>
      </c>
      <c r="E2130" s="103" t="s">
        <v>6546</v>
      </c>
      <c r="F2130" s="123" t="s">
        <v>11101</v>
      </c>
      <c r="G2130" s="123" t="s">
        <v>3599</v>
      </c>
      <c r="H2130" s="123">
        <v>4554.0</v>
      </c>
      <c r="I2130" s="211" t="s">
        <v>35</v>
      </c>
      <c r="J2130" s="211" t="s">
        <v>3188</v>
      </c>
      <c r="K2130" s="241">
        <v>1.0</v>
      </c>
      <c r="L2130" s="124">
        <v>3.875287662E9</v>
      </c>
    </row>
    <row r="2131">
      <c r="A2131" s="33" t="s">
        <v>11102</v>
      </c>
      <c r="B2131" s="122">
        <v>45980.0</v>
      </c>
      <c r="C2131" s="103">
        <v>8.07000033895E11</v>
      </c>
      <c r="D2131" s="103" t="s">
        <v>11103</v>
      </c>
      <c r="E2131" s="103" t="s">
        <v>11104</v>
      </c>
      <c r="F2131" s="123" t="s">
        <v>11105</v>
      </c>
      <c r="G2131" s="123" t="s">
        <v>127</v>
      </c>
      <c r="H2131" s="123">
        <v>4400.0</v>
      </c>
      <c r="I2131" s="211">
        <v>125814.0</v>
      </c>
      <c r="J2131" s="211" t="s">
        <v>9798</v>
      </c>
      <c r="K2131" s="241">
        <v>2.0</v>
      </c>
      <c r="L2131" s="124">
        <v>3.877409303E9</v>
      </c>
    </row>
    <row r="2132">
      <c r="A2132" s="33" t="s">
        <v>11102</v>
      </c>
      <c r="B2132" s="122">
        <v>45980.0</v>
      </c>
      <c r="C2132" s="240">
        <v>8.07000033895E11</v>
      </c>
      <c r="D2132" s="240" t="s">
        <v>11103</v>
      </c>
      <c r="E2132" s="240" t="s">
        <v>11104</v>
      </c>
      <c r="F2132" s="123" t="s">
        <v>11105</v>
      </c>
      <c r="G2132" s="123" t="s">
        <v>127</v>
      </c>
      <c r="H2132" s="123">
        <v>4400.0</v>
      </c>
      <c r="I2132" s="224" t="s">
        <v>11093</v>
      </c>
      <c r="J2132" s="224" t="s">
        <v>11094</v>
      </c>
      <c r="K2132" s="242">
        <v>1.0</v>
      </c>
      <c r="L2132" s="124">
        <v>3.877409303E9</v>
      </c>
    </row>
    <row r="2133">
      <c r="A2133" s="33" t="s">
        <v>11106</v>
      </c>
      <c r="B2133" s="122">
        <v>45980.0</v>
      </c>
      <c r="C2133" s="103">
        <v>8.07000033896E11</v>
      </c>
      <c r="D2133" s="103" t="s">
        <v>11103</v>
      </c>
      <c r="E2133" s="103" t="s">
        <v>11104</v>
      </c>
      <c r="F2133" s="123" t="s">
        <v>11105</v>
      </c>
      <c r="G2133" s="123" t="s">
        <v>127</v>
      </c>
      <c r="H2133" s="123">
        <v>4400.0</v>
      </c>
      <c r="I2133" s="211" t="s">
        <v>6833</v>
      </c>
      <c r="J2133" s="211" t="s">
        <v>11006</v>
      </c>
      <c r="K2133" s="241">
        <v>1.0</v>
      </c>
      <c r="L2133" s="124">
        <v>3.877409303E9</v>
      </c>
    </row>
    <row r="2134">
      <c r="A2134" s="33" t="s">
        <v>11107</v>
      </c>
      <c r="B2134" s="122">
        <v>45980.0</v>
      </c>
      <c r="C2134" s="240">
        <v>8.07000033897E11</v>
      </c>
      <c r="D2134" s="240" t="s">
        <v>11103</v>
      </c>
      <c r="E2134" s="240" t="s">
        <v>11104</v>
      </c>
      <c r="F2134" s="123" t="s">
        <v>11105</v>
      </c>
      <c r="G2134" s="123" t="s">
        <v>127</v>
      </c>
      <c r="H2134" s="123">
        <v>4400.0</v>
      </c>
      <c r="I2134" s="224" t="s">
        <v>6835</v>
      </c>
      <c r="J2134" s="224" t="s">
        <v>8150</v>
      </c>
      <c r="K2134" s="242">
        <v>2.0</v>
      </c>
      <c r="L2134" s="124">
        <v>3.877409303E9</v>
      </c>
    </row>
    <row r="2135">
      <c r="A2135" s="33" t="s">
        <v>11108</v>
      </c>
      <c r="B2135" s="122">
        <v>45980.0</v>
      </c>
      <c r="C2135" s="240">
        <v>8.07000033928E11</v>
      </c>
      <c r="D2135" s="240" t="s">
        <v>11109</v>
      </c>
      <c r="E2135" s="240" t="s">
        <v>11110</v>
      </c>
      <c r="F2135" s="123" t="s">
        <v>11111</v>
      </c>
      <c r="G2135" s="123" t="s">
        <v>127</v>
      </c>
      <c r="H2135" s="123">
        <v>4400.0</v>
      </c>
      <c r="I2135" s="224">
        <v>125813.0</v>
      </c>
      <c r="J2135" s="224" t="s">
        <v>5703</v>
      </c>
      <c r="K2135" s="242">
        <v>2.0</v>
      </c>
      <c r="L2135" s="124">
        <v>3.874244414E9</v>
      </c>
    </row>
    <row r="2136">
      <c r="A2136" s="33" t="s">
        <v>11108</v>
      </c>
      <c r="B2136" s="122">
        <v>45980.0</v>
      </c>
      <c r="C2136" s="103">
        <v>8.07000033928E11</v>
      </c>
      <c r="D2136" s="103" t="s">
        <v>11109</v>
      </c>
      <c r="E2136" s="103" t="s">
        <v>11110</v>
      </c>
      <c r="F2136" s="123" t="s">
        <v>11111</v>
      </c>
      <c r="G2136" s="123" t="s">
        <v>127</v>
      </c>
      <c r="H2136" s="123">
        <v>4400.0</v>
      </c>
      <c r="I2136" s="211" t="s">
        <v>3205</v>
      </c>
      <c r="J2136" s="211" t="s">
        <v>3206</v>
      </c>
      <c r="K2136" s="241">
        <v>1.0</v>
      </c>
      <c r="L2136" s="124">
        <v>3.874244414E9</v>
      </c>
    </row>
    <row r="2137">
      <c r="A2137" s="33" t="s">
        <v>11108</v>
      </c>
      <c r="B2137" s="122">
        <v>45980.0</v>
      </c>
      <c r="C2137" s="240">
        <v>8.07000033928E11</v>
      </c>
      <c r="D2137" s="240" t="s">
        <v>11109</v>
      </c>
      <c r="E2137" s="240" t="s">
        <v>11110</v>
      </c>
      <c r="F2137" s="123" t="s">
        <v>11111</v>
      </c>
      <c r="G2137" s="123" t="s">
        <v>127</v>
      </c>
      <c r="H2137" s="123">
        <v>4400.0</v>
      </c>
      <c r="I2137" s="224" t="s">
        <v>11112</v>
      </c>
      <c r="J2137" s="224" t="s">
        <v>11113</v>
      </c>
      <c r="K2137" s="242">
        <v>1.0</v>
      </c>
      <c r="L2137" s="124">
        <v>3.874244414E9</v>
      </c>
    </row>
    <row r="2138">
      <c r="A2138" s="33" t="s">
        <v>11114</v>
      </c>
      <c r="B2138" s="122">
        <v>45981.0</v>
      </c>
      <c r="C2138" s="103">
        <v>8.07000033932E11</v>
      </c>
      <c r="D2138" s="103" t="s">
        <v>11115</v>
      </c>
      <c r="E2138" s="103" t="s">
        <v>11116</v>
      </c>
      <c r="F2138" s="123" t="s">
        <v>11117</v>
      </c>
      <c r="G2138" s="123" t="s">
        <v>127</v>
      </c>
      <c r="H2138" s="123">
        <v>4400.0</v>
      </c>
      <c r="I2138" s="211">
        <v>125814.0</v>
      </c>
      <c r="J2138" s="211" t="s">
        <v>9798</v>
      </c>
      <c r="K2138" s="241">
        <v>2.0</v>
      </c>
      <c r="L2138" s="124">
        <v>3.874155375E9</v>
      </c>
    </row>
    <row r="2139">
      <c r="A2139" s="33" t="s">
        <v>11114</v>
      </c>
      <c r="B2139" s="33" t="s">
        <v>11118</v>
      </c>
      <c r="C2139" s="240">
        <v>8.07000033933E11</v>
      </c>
      <c r="D2139" s="240" t="s">
        <v>11115</v>
      </c>
      <c r="E2139" s="240" t="s">
        <v>11116</v>
      </c>
      <c r="F2139" s="123" t="s">
        <v>11117</v>
      </c>
      <c r="G2139" s="123" t="s">
        <v>127</v>
      </c>
      <c r="H2139" s="123">
        <v>4400.0</v>
      </c>
      <c r="I2139" s="224" t="s">
        <v>4133</v>
      </c>
      <c r="J2139" s="224" t="s">
        <v>4134</v>
      </c>
      <c r="K2139" s="242">
        <v>1.0</v>
      </c>
      <c r="L2139" s="124">
        <v>3.874155375E9</v>
      </c>
    </row>
    <row r="2140">
      <c r="A2140" s="33" t="s">
        <v>11119</v>
      </c>
      <c r="B2140" s="122">
        <v>45981.0</v>
      </c>
      <c r="C2140" s="103">
        <v>8.07000033934E11</v>
      </c>
      <c r="D2140" s="103" t="s">
        <v>11115</v>
      </c>
      <c r="E2140" s="103" t="s">
        <v>11116</v>
      </c>
      <c r="F2140" s="123" t="s">
        <v>11117</v>
      </c>
      <c r="G2140" s="123" t="s">
        <v>127</v>
      </c>
      <c r="H2140" s="123">
        <v>4400.0</v>
      </c>
      <c r="I2140" s="211" t="s">
        <v>11120</v>
      </c>
      <c r="J2140" s="211" t="s">
        <v>11121</v>
      </c>
      <c r="K2140" s="241">
        <v>1.0</v>
      </c>
      <c r="L2140" s="124">
        <v>3.874155375E9</v>
      </c>
    </row>
    <row r="2141">
      <c r="A2141" s="33" t="s">
        <v>11122</v>
      </c>
      <c r="B2141" s="122">
        <v>45983.0</v>
      </c>
      <c r="C2141" s="240">
        <v>8.07000033956E11</v>
      </c>
      <c r="D2141" s="240" t="s">
        <v>11123</v>
      </c>
      <c r="E2141" s="240" t="s">
        <v>11124</v>
      </c>
      <c r="F2141" s="123" t="s">
        <v>11125</v>
      </c>
      <c r="G2141" s="123" t="s">
        <v>127</v>
      </c>
      <c r="H2141" s="123">
        <v>4400.0</v>
      </c>
      <c r="I2141" s="224" t="s">
        <v>2397</v>
      </c>
      <c r="J2141" s="224" t="s">
        <v>5040</v>
      </c>
      <c r="K2141" s="242">
        <v>1.0</v>
      </c>
      <c r="L2141" s="124">
        <v>3.875170652E9</v>
      </c>
    </row>
    <row r="2142">
      <c r="A2142" s="33" t="s">
        <v>11122</v>
      </c>
      <c r="B2142" s="122">
        <v>45983.0</v>
      </c>
      <c r="C2142" s="103">
        <v>8.07000033956E11</v>
      </c>
      <c r="D2142" s="103" t="s">
        <v>11123</v>
      </c>
      <c r="E2142" s="103" t="s">
        <v>11124</v>
      </c>
      <c r="F2142" s="123" t="s">
        <v>11125</v>
      </c>
      <c r="G2142" s="123" t="s">
        <v>127</v>
      </c>
      <c r="H2142" s="123">
        <v>4400.0</v>
      </c>
      <c r="I2142" s="211" t="s">
        <v>512</v>
      </c>
      <c r="J2142" s="211" t="s">
        <v>513</v>
      </c>
      <c r="K2142" s="241">
        <v>6.0</v>
      </c>
      <c r="L2142" s="124">
        <v>3.875170652E9</v>
      </c>
    </row>
    <row r="2143">
      <c r="A2143" s="33" t="s">
        <v>11122</v>
      </c>
      <c r="B2143" s="122">
        <v>45983.0</v>
      </c>
      <c r="C2143" s="240">
        <v>8.07000033956E11</v>
      </c>
      <c r="D2143" s="240" t="s">
        <v>11123</v>
      </c>
      <c r="E2143" s="240" t="s">
        <v>11124</v>
      </c>
      <c r="F2143" s="123" t="s">
        <v>11125</v>
      </c>
      <c r="G2143" s="123" t="s">
        <v>127</v>
      </c>
      <c r="H2143" s="123">
        <v>4400.0</v>
      </c>
      <c r="I2143" s="224" t="s">
        <v>969</v>
      </c>
      <c r="J2143" s="224" t="s">
        <v>3296</v>
      </c>
      <c r="K2143" s="242">
        <v>1.0</v>
      </c>
      <c r="L2143" s="124">
        <v>3.875170652E9</v>
      </c>
    </row>
    <row r="2144">
      <c r="A2144" s="33" t="s">
        <v>11126</v>
      </c>
      <c r="B2144" s="122">
        <v>45983.0</v>
      </c>
      <c r="C2144" s="103">
        <v>8.07000033957E11</v>
      </c>
      <c r="D2144" s="103" t="s">
        <v>11123</v>
      </c>
      <c r="E2144" s="103" t="s">
        <v>11124</v>
      </c>
      <c r="F2144" s="123" t="s">
        <v>11125</v>
      </c>
      <c r="G2144" s="123" t="s">
        <v>127</v>
      </c>
      <c r="H2144" s="123">
        <v>4400.0</v>
      </c>
      <c r="I2144" s="211" t="s">
        <v>512</v>
      </c>
      <c r="J2144" s="211" t="s">
        <v>513</v>
      </c>
      <c r="K2144" s="241">
        <v>6.0</v>
      </c>
      <c r="L2144" s="124">
        <v>3.875170652E9</v>
      </c>
    </row>
    <row r="2145">
      <c r="A2145" s="33" t="s">
        <v>11126</v>
      </c>
      <c r="B2145" s="122">
        <v>45983.0</v>
      </c>
      <c r="C2145" s="240">
        <v>8.07000033958E11</v>
      </c>
      <c r="D2145" s="240" t="s">
        <v>11123</v>
      </c>
      <c r="E2145" s="240" t="s">
        <v>11124</v>
      </c>
      <c r="F2145" s="123" t="s">
        <v>11125</v>
      </c>
      <c r="G2145" s="123" t="s">
        <v>127</v>
      </c>
      <c r="H2145" s="123">
        <v>4400.0</v>
      </c>
      <c r="I2145" s="224" t="s">
        <v>985</v>
      </c>
      <c r="J2145" s="224" t="s">
        <v>3600</v>
      </c>
      <c r="K2145" s="242">
        <v>1.0</v>
      </c>
      <c r="L2145" s="124">
        <v>3.875170652E9</v>
      </c>
    </row>
    <row r="2146">
      <c r="A2146" s="33" t="s">
        <v>11126</v>
      </c>
      <c r="B2146" s="122">
        <v>45983.0</v>
      </c>
      <c r="C2146" s="103">
        <v>8.07000033958E11</v>
      </c>
      <c r="D2146" s="103" t="s">
        <v>11123</v>
      </c>
      <c r="E2146" s="103" t="s">
        <v>11124</v>
      </c>
      <c r="F2146" s="123" t="s">
        <v>11125</v>
      </c>
      <c r="G2146" s="123" t="s">
        <v>127</v>
      </c>
      <c r="H2146" s="123">
        <v>4400.0</v>
      </c>
      <c r="I2146" s="211" t="s">
        <v>35</v>
      </c>
      <c r="J2146" s="211" t="s">
        <v>3188</v>
      </c>
      <c r="K2146" s="241">
        <v>1.0</v>
      </c>
      <c r="L2146" s="124">
        <v>3.875170652E9</v>
      </c>
    </row>
    <row r="2147">
      <c r="A2147" s="33" t="s">
        <v>11127</v>
      </c>
      <c r="B2147" s="122">
        <v>45983.0</v>
      </c>
      <c r="C2147" s="240">
        <v>8.07000033955E11</v>
      </c>
      <c r="D2147" s="240" t="s">
        <v>11128</v>
      </c>
      <c r="E2147" s="240" t="s">
        <v>11129</v>
      </c>
      <c r="F2147" s="123" t="s">
        <v>11130</v>
      </c>
      <c r="G2147" s="123" t="s">
        <v>11131</v>
      </c>
      <c r="H2147" s="123">
        <v>4407.0</v>
      </c>
      <c r="I2147" s="224" t="s">
        <v>8295</v>
      </c>
      <c r="J2147" s="224" t="s">
        <v>8296</v>
      </c>
      <c r="K2147" s="242">
        <v>1.0</v>
      </c>
      <c r="L2147" s="124">
        <v>3.875896315E9</v>
      </c>
    </row>
    <row r="2148">
      <c r="A2148" s="33" t="s">
        <v>11132</v>
      </c>
      <c r="B2148" s="122">
        <v>45983.0</v>
      </c>
      <c r="C2148" s="240">
        <v>8.0700003363E11</v>
      </c>
      <c r="D2148" s="240" t="s">
        <v>11133</v>
      </c>
      <c r="E2148" s="240" t="s">
        <v>11134</v>
      </c>
      <c r="F2148" s="123" t="s">
        <v>11135</v>
      </c>
      <c r="G2148" s="123" t="s">
        <v>127</v>
      </c>
      <c r="H2148" s="123">
        <v>4400.0</v>
      </c>
      <c r="I2148" s="224" t="s">
        <v>32</v>
      </c>
      <c r="J2148" s="224" t="s">
        <v>3225</v>
      </c>
      <c r="K2148" s="242">
        <v>2.0</v>
      </c>
      <c r="L2148" s="124">
        <v>3.875213283E9</v>
      </c>
    </row>
    <row r="2149">
      <c r="A2149" s="33" t="s">
        <v>11132</v>
      </c>
      <c r="B2149" s="122">
        <v>45983.0</v>
      </c>
      <c r="C2149" s="103">
        <v>8.0700003363E11</v>
      </c>
      <c r="D2149" s="103" t="s">
        <v>11133</v>
      </c>
      <c r="E2149" s="103" t="s">
        <v>11134</v>
      </c>
      <c r="F2149" s="123" t="s">
        <v>11135</v>
      </c>
      <c r="G2149" s="123" t="s">
        <v>127</v>
      </c>
      <c r="H2149" s="123">
        <v>4400.0</v>
      </c>
      <c r="I2149" s="211" t="s">
        <v>512</v>
      </c>
      <c r="J2149" s="211" t="s">
        <v>513</v>
      </c>
      <c r="K2149" s="241">
        <v>12.0</v>
      </c>
      <c r="L2149" s="124">
        <v>3.875213283E9</v>
      </c>
    </row>
    <row r="2150">
      <c r="A2150" s="33" t="s">
        <v>11132</v>
      </c>
      <c r="B2150" s="122">
        <v>45983.0</v>
      </c>
      <c r="C2150" s="240">
        <v>8.0700003363E11</v>
      </c>
      <c r="D2150" s="240" t="s">
        <v>11133</v>
      </c>
      <c r="E2150" s="240" t="s">
        <v>11134</v>
      </c>
      <c r="F2150" s="123" t="s">
        <v>11135</v>
      </c>
      <c r="G2150" s="123" t="s">
        <v>127</v>
      </c>
      <c r="H2150" s="123">
        <v>4400.0</v>
      </c>
      <c r="I2150" s="224" t="s">
        <v>670</v>
      </c>
      <c r="J2150" s="224" t="s">
        <v>3410</v>
      </c>
      <c r="K2150" s="242">
        <v>2.0</v>
      </c>
      <c r="L2150" s="124">
        <v>3.875213283E9</v>
      </c>
    </row>
    <row r="2151">
      <c r="A2151" s="33" t="s">
        <v>11136</v>
      </c>
      <c r="B2151" s="122">
        <v>45983.0</v>
      </c>
      <c r="C2151" s="103">
        <v>8.07000033631E11</v>
      </c>
      <c r="D2151" s="103" t="s">
        <v>11133</v>
      </c>
      <c r="E2151" s="103" t="s">
        <v>11134</v>
      </c>
      <c r="F2151" s="123" t="s">
        <v>11135</v>
      </c>
      <c r="G2151" s="123" t="s">
        <v>127</v>
      </c>
      <c r="H2151" s="123">
        <v>4400.0</v>
      </c>
      <c r="I2151" s="211" t="s">
        <v>2412</v>
      </c>
      <c r="J2151" s="211" t="s">
        <v>2413</v>
      </c>
      <c r="K2151" s="241">
        <v>1.0</v>
      </c>
      <c r="L2151" s="124">
        <v>3.875213283E9</v>
      </c>
    </row>
    <row r="2152">
      <c r="A2152" s="33" t="s">
        <v>11136</v>
      </c>
      <c r="B2152" s="122">
        <v>45983.0</v>
      </c>
      <c r="C2152" s="240">
        <v>8.07000033632E11</v>
      </c>
      <c r="D2152" s="240" t="s">
        <v>11133</v>
      </c>
      <c r="E2152" s="240" t="s">
        <v>11134</v>
      </c>
      <c r="F2152" s="123" t="s">
        <v>11135</v>
      </c>
      <c r="G2152" s="123" t="s">
        <v>127</v>
      </c>
      <c r="H2152" s="123">
        <v>4400.0</v>
      </c>
      <c r="I2152" s="224" t="s">
        <v>2412</v>
      </c>
      <c r="J2152" s="224" t="s">
        <v>2413</v>
      </c>
      <c r="K2152" s="242">
        <v>1.0</v>
      </c>
      <c r="L2152" s="124">
        <v>3.875213283E9</v>
      </c>
    </row>
    <row r="2153">
      <c r="A2153" s="250" t="s">
        <v>11137</v>
      </c>
      <c r="B2153" s="122">
        <v>45983.0</v>
      </c>
      <c r="C2153" s="264">
        <v>8.05011560655E11</v>
      </c>
      <c r="D2153" s="265" t="s">
        <v>11138</v>
      </c>
      <c r="E2153" s="265" t="s">
        <v>11139</v>
      </c>
      <c r="F2153" s="184" t="s">
        <v>11140</v>
      </c>
      <c r="G2153" s="184" t="s">
        <v>11028</v>
      </c>
      <c r="H2153" s="184">
        <v>4448.0</v>
      </c>
      <c r="I2153" s="266" t="s">
        <v>5034</v>
      </c>
      <c r="J2153" s="266" t="s">
        <v>5035</v>
      </c>
      <c r="K2153" s="267">
        <v>1.0</v>
      </c>
      <c r="L2153" s="185">
        <v>3.877407711E9</v>
      </c>
    </row>
    <row r="2154">
      <c r="A2154" s="250" t="s">
        <v>11137</v>
      </c>
      <c r="B2154" s="122">
        <v>45983.0</v>
      </c>
      <c r="C2154" s="268">
        <v>8.05011560655E11</v>
      </c>
      <c r="D2154" s="255" t="s">
        <v>11138</v>
      </c>
      <c r="E2154" s="255" t="s">
        <v>11139</v>
      </c>
      <c r="F2154" s="184" t="s">
        <v>11140</v>
      </c>
      <c r="G2154" s="184" t="s">
        <v>11028</v>
      </c>
      <c r="H2154" s="184">
        <v>4448.0</v>
      </c>
      <c r="I2154" s="269" t="s">
        <v>512</v>
      </c>
      <c r="J2154" s="269" t="s">
        <v>513</v>
      </c>
      <c r="K2154" s="270">
        <v>6.0</v>
      </c>
      <c r="L2154" s="185">
        <v>3.877407711E9</v>
      </c>
    </row>
    <row r="2155">
      <c r="A2155" s="250" t="s">
        <v>11137</v>
      </c>
      <c r="B2155" s="122">
        <v>45983.0</v>
      </c>
      <c r="C2155" s="264">
        <v>8.05011560655E11</v>
      </c>
      <c r="D2155" s="265" t="s">
        <v>11138</v>
      </c>
      <c r="E2155" s="265" t="s">
        <v>11139</v>
      </c>
      <c r="F2155" s="184" t="s">
        <v>11140</v>
      </c>
      <c r="G2155" s="184" t="s">
        <v>11028</v>
      </c>
      <c r="H2155" s="184">
        <v>4448.0</v>
      </c>
      <c r="I2155" s="266" t="s">
        <v>670</v>
      </c>
      <c r="J2155" s="266" t="s">
        <v>3410</v>
      </c>
      <c r="K2155" s="267">
        <v>1.0</v>
      </c>
      <c r="L2155" s="185">
        <v>3.877407711E9</v>
      </c>
    </row>
    <row r="2156">
      <c r="A2156" s="33" t="s">
        <v>11141</v>
      </c>
      <c r="B2156" s="139">
        <v>45984.0</v>
      </c>
      <c r="C2156" s="240">
        <v>8.07000033973E11</v>
      </c>
      <c r="D2156" s="240" t="s">
        <v>11142</v>
      </c>
      <c r="E2156" s="240" t="s">
        <v>11143</v>
      </c>
      <c r="F2156" s="123" t="s">
        <v>11144</v>
      </c>
      <c r="G2156" s="123" t="s">
        <v>127</v>
      </c>
      <c r="H2156" s="123">
        <v>4400.0</v>
      </c>
      <c r="I2156" s="224" t="s">
        <v>4070</v>
      </c>
      <c r="J2156" s="224" t="s">
        <v>6264</v>
      </c>
      <c r="K2156" s="242">
        <v>1.0</v>
      </c>
      <c r="L2156" s="124">
        <v>3.876858931E9</v>
      </c>
    </row>
    <row r="2157">
      <c r="A2157" s="33" t="s">
        <v>11145</v>
      </c>
      <c r="B2157" s="139">
        <v>45984.0</v>
      </c>
      <c r="C2157" s="103">
        <v>8.07000033974E11</v>
      </c>
      <c r="D2157" s="103" t="s">
        <v>11142</v>
      </c>
      <c r="E2157" s="103" t="s">
        <v>11143</v>
      </c>
      <c r="F2157" s="123" t="s">
        <v>11144</v>
      </c>
      <c r="G2157" s="123" t="s">
        <v>127</v>
      </c>
      <c r="H2157" s="123">
        <v>4400.0</v>
      </c>
      <c r="I2157" s="211" t="s">
        <v>985</v>
      </c>
      <c r="J2157" s="211" t="s">
        <v>3600</v>
      </c>
      <c r="K2157" s="241">
        <v>1.0</v>
      </c>
      <c r="L2157" s="124">
        <v>3.876858931E9</v>
      </c>
    </row>
    <row r="2158">
      <c r="A2158" s="33" t="s">
        <v>11145</v>
      </c>
      <c r="B2158" s="139">
        <v>45984.0</v>
      </c>
      <c r="C2158" s="240">
        <v>8.07000033974E11</v>
      </c>
      <c r="D2158" s="240" t="s">
        <v>11142</v>
      </c>
      <c r="E2158" s="240" t="s">
        <v>11143</v>
      </c>
      <c r="F2158" s="123" t="s">
        <v>11144</v>
      </c>
      <c r="G2158" s="123" t="s">
        <v>127</v>
      </c>
      <c r="H2158" s="123">
        <v>4400.0</v>
      </c>
      <c r="I2158" s="224" t="s">
        <v>512</v>
      </c>
      <c r="J2158" s="224" t="s">
        <v>513</v>
      </c>
      <c r="K2158" s="242">
        <v>6.0</v>
      </c>
      <c r="L2158" s="124">
        <v>3.876858931E9</v>
      </c>
    </row>
    <row r="2159">
      <c r="A2159" s="33" t="s">
        <v>11145</v>
      </c>
      <c r="B2159" s="139">
        <v>45984.0</v>
      </c>
      <c r="C2159" s="103">
        <v>8.07000033974E11</v>
      </c>
      <c r="D2159" s="103" t="s">
        <v>11142</v>
      </c>
      <c r="E2159" s="103" t="s">
        <v>11143</v>
      </c>
      <c r="F2159" s="123" t="s">
        <v>11144</v>
      </c>
      <c r="G2159" s="123" t="s">
        <v>127</v>
      </c>
      <c r="H2159" s="123">
        <v>4400.0</v>
      </c>
      <c r="I2159" s="211" t="s">
        <v>35</v>
      </c>
      <c r="J2159" s="211" t="s">
        <v>3188</v>
      </c>
      <c r="K2159" s="241">
        <v>1.0</v>
      </c>
      <c r="L2159" s="124">
        <v>3.876858931E9</v>
      </c>
    </row>
    <row r="2160" ht="5.25" customHeight="1">
      <c r="A2160" s="244"/>
      <c r="B2160" s="245"/>
      <c r="C2160" s="271"/>
      <c r="D2160" s="271"/>
      <c r="E2160" s="271"/>
      <c r="F2160" s="246"/>
      <c r="G2160" s="246"/>
      <c r="H2160" s="246"/>
      <c r="I2160" s="272"/>
      <c r="J2160" s="272"/>
      <c r="K2160" s="273"/>
      <c r="L2160" s="247"/>
      <c r="M2160" s="233"/>
      <c r="N2160" s="233"/>
      <c r="O2160" s="233"/>
      <c r="P2160" s="233"/>
      <c r="Q2160" s="233"/>
      <c r="R2160" s="233"/>
      <c r="S2160" s="233"/>
      <c r="T2160" s="233"/>
      <c r="U2160" s="233"/>
      <c r="V2160" s="233"/>
      <c r="W2160" s="233"/>
      <c r="X2160" s="233"/>
      <c r="Y2160" s="233"/>
      <c r="Z2160" s="233"/>
      <c r="AA2160" s="233"/>
      <c r="AB2160" s="233"/>
      <c r="AC2160" s="233"/>
    </row>
    <row r="2161">
      <c r="A2161" s="33" t="s">
        <v>11146</v>
      </c>
      <c r="B2161" s="122">
        <v>45986.0</v>
      </c>
      <c r="C2161" s="103">
        <v>8.07000033962E11</v>
      </c>
      <c r="D2161" s="103" t="s">
        <v>11147</v>
      </c>
      <c r="E2161" s="103" t="s">
        <v>11148</v>
      </c>
      <c r="F2161" s="123" t="s">
        <v>11149</v>
      </c>
      <c r="G2161" s="123" t="s">
        <v>127</v>
      </c>
      <c r="H2161" s="123">
        <v>4400.0</v>
      </c>
      <c r="I2161" s="211" t="s">
        <v>3451</v>
      </c>
      <c r="J2161" s="211" t="s">
        <v>3452</v>
      </c>
      <c r="K2161" s="241">
        <v>1.0</v>
      </c>
      <c r="L2161" s="124">
        <v>3.876843404E9</v>
      </c>
    </row>
    <row r="2162">
      <c r="A2162" s="33" t="s">
        <v>11146</v>
      </c>
      <c r="B2162" s="122">
        <v>45986.0</v>
      </c>
      <c r="C2162" s="240">
        <v>8.07000033962E11</v>
      </c>
      <c r="D2162" s="240" t="s">
        <v>11147</v>
      </c>
      <c r="E2162" s="240" t="s">
        <v>11148</v>
      </c>
      <c r="F2162" s="123" t="s">
        <v>11149</v>
      </c>
      <c r="G2162" s="123" t="s">
        <v>127</v>
      </c>
      <c r="H2162" s="123">
        <v>4400.0</v>
      </c>
      <c r="I2162" s="224" t="s">
        <v>512</v>
      </c>
      <c r="J2162" s="224" t="s">
        <v>513</v>
      </c>
      <c r="K2162" s="242">
        <v>6.0</v>
      </c>
      <c r="L2162" s="124">
        <v>3.876843404E9</v>
      </c>
    </row>
    <row r="2163">
      <c r="A2163" s="33" t="s">
        <v>11146</v>
      </c>
      <c r="B2163" s="122">
        <v>45986.0</v>
      </c>
      <c r="C2163" s="103">
        <v>8.07000033962E11</v>
      </c>
      <c r="D2163" s="103" t="s">
        <v>11147</v>
      </c>
      <c r="E2163" s="103" t="s">
        <v>11148</v>
      </c>
      <c r="F2163" s="123" t="s">
        <v>11149</v>
      </c>
      <c r="G2163" s="123" t="s">
        <v>127</v>
      </c>
      <c r="H2163" s="123">
        <v>4400.0</v>
      </c>
      <c r="I2163" s="211" t="s">
        <v>670</v>
      </c>
      <c r="J2163" s="211" t="s">
        <v>3410</v>
      </c>
      <c r="K2163" s="241">
        <v>1.0</v>
      </c>
      <c r="L2163" s="124">
        <v>3.876843404E9</v>
      </c>
    </row>
    <row r="2164">
      <c r="A2164" s="33" t="s">
        <v>11150</v>
      </c>
      <c r="B2164" s="122">
        <v>45986.0</v>
      </c>
      <c r="C2164" s="103">
        <v>8.07000033975E11</v>
      </c>
      <c r="D2164" s="103" t="s">
        <v>11151</v>
      </c>
      <c r="E2164" s="103" t="s">
        <v>11152</v>
      </c>
      <c r="F2164" s="123" t="s">
        <v>11153</v>
      </c>
      <c r="G2164" s="123" t="s">
        <v>127</v>
      </c>
      <c r="H2164" s="123">
        <v>4400.0</v>
      </c>
      <c r="I2164" s="211" t="s">
        <v>3154</v>
      </c>
      <c r="J2164" s="211" t="s">
        <v>4564</v>
      </c>
      <c r="K2164" s="241">
        <v>1.0</v>
      </c>
      <c r="L2164" s="124">
        <v>3.875777338E9</v>
      </c>
    </row>
    <row r="2165">
      <c r="A2165" s="33" t="s">
        <v>11150</v>
      </c>
      <c r="B2165" s="122">
        <v>45986.0</v>
      </c>
      <c r="C2165" s="240">
        <v>5.3000000001E10</v>
      </c>
      <c r="D2165" s="240" t="s">
        <v>11151</v>
      </c>
      <c r="E2165" s="240" t="s">
        <v>11152</v>
      </c>
      <c r="F2165" s="123" t="s">
        <v>11153</v>
      </c>
      <c r="G2165" s="123" t="s">
        <v>127</v>
      </c>
      <c r="H2165" s="123">
        <v>4400.0</v>
      </c>
      <c r="I2165" s="224" t="s">
        <v>4070</v>
      </c>
      <c r="J2165" s="224" t="s">
        <v>6264</v>
      </c>
      <c r="K2165" s="242">
        <v>1.0</v>
      </c>
      <c r="L2165" s="124">
        <v>3.875777338E9</v>
      </c>
    </row>
    <row r="2166">
      <c r="A2166" s="33" t="s">
        <v>11154</v>
      </c>
      <c r="B2166" s="122">
        <v>45986.0</v>
      </c>
      <c r="C2166" s="103">
        <v>8.0700003398E11</v>
      </c>
      <c r="D2166" s="103" t="s">
        <v>11103</v>
      </c>
      <c r="E2166" s="103" t="s">
        <v>11104</v>
      </c>
      <c r="F2166" s="123" t="s">
        <v>11105</v>
      </c>
      <c r="G2166" s="123" t="s">
        <v>127</v>
      </c>
      <c r="H2166" s="123">
        <v>4400.0</v>
      </c>
      <c r="I2166" s="211">
        <v>2.2346259146E10</v>
      </c>
      <c r="J2166" s="211" t="s">
        <v>9046</v>
      </c>
      <c r="K2166" s="241">
        <v>1.0</v>
      </c>
      <c r="L2166" s="124">
        <v>3.87409303E8</v>
      </c>
    </row>
    <row r="2167">
      <c r="A2167" s="33" t="s">
        <v>11154</v>
      </c>
      <c r="B2167" s="122">
        <v>45986.0</v>
      </c>
      <c r="C2167" s="240">
        <v>8.07000033981E11</v>
      </c>
      <c r="D2167" s="240" t="s">
        <v>11103</v>
      </c>
      <c r="E2167" s="240" t="s">
        <v>11104</v>
      </c>
      <c r="F2167" s="123" t="s">
        <v>11105</v>
      </c>
      <c r="G2167" s="123" t="s">
        <v>127</v>
      </c>
      <c r="H2167" s="123">
        <v>4400.0</v>
      </c>
      <c r="I2167" s="224" t="s">
        <v>9725</v>
      </c>
      <c r="J2167" s="224" t="s">
        <v>9726</v>
      </c>
      <c r="K2167" s="242">
        <v>1.0</v>
      </c>
      <c r="L2167" s="124">
        <v>3.87409303E8</v>
      </c>
    </row>
    <row r="2168">
      <c r="A2168" s="33" t="s">
        <v>11155</v>
      </c>
      <c r="B2168" s="122">
        <v>45986.0</v>
      </c>
      <c r="C2168" s="240">
        <v>8.07000033969E11</v>
      </c>
      <c r="D2168" s="240" t="s">
        <v>11156</v>
      </c>
      <c r="E2168" s="240" t="s">
        <v>11157</v>
      </c>
      <c r="F2168" s="123" t="s">
        <v>11158</v>
      </c>
      <c r="G2168" s="123" t="s">
        <v>127</v>
      </c>
      <c r="H2168" s="123">
        <v>4400.0</v>
      </c>
      <c r="I2168" s="224" t="s">
        <v>11159</v>
      </c>
      <c r="J2168" s="224" t="s">
        <v>11160</v>
      </c>
      <c r="K2168" s="242">
        <v>1.0</v>
      </c>
      <c r="L2168" s="124">
        <v>3.876836487E9</v>
      </c>
    </row>
    <row r="2169">
      <c r="A2169" s="33" t="s">
        <v>11161</v>
      </c>
      <c r="B2169" s="122">
        <v>45986.0</v>
      </c>
      <c r="C2169" s="240">
        <v>8.07000033982E11</v>
      </c>
      <c r="D2169" s="240" t="s">
        <v>11162</v>
      </c>
      <c r="E2169" s="240" t="s">
        <v>11163</v>
      </c>
      <c r="F2169" s="123" t="s">
        <v>11164</v>
      </c>
      <c r="G2169" s="123" t="s">
        <v>127</v>
      </c>
      <c r="H2169" s="123">
        <v>4400.0</v>
      </c>
      <c r="I2169" s="224" t="s">
        <v>10974</v>
      </c>
      <c r="J2169" s="224" t="s">
        <v>10975</v>
      </c>
      <c r="K2169" s="242">
        <v>1.0</v>
      </c>
      <c r="L2169" s="124">
        <v>3.876183574E9</v>
      </c>
    </row>
    <row r="2170">
      <c r="A2170" s="33" t="s">
        <v>11165</v>
      </c>
      <c r="B2170" s="122">
        <v>45986.0</v>
      </c>
      <c r="C2170" s="103">
        <v>8.07000033983E11</v>
      </c>
      <c r="D2170" s="103" t="s">
        <v>11162</v>
      </c>
      <c r="E2170" s="103" t="s">
        <v>11163</v>
      </c>
      <c r="F2170" s="123" t="s">
        <v>11164</v>
      </c>
      <c r="G2170" s="123" t="s">
        <v>127</v>
      </c>
      <c r="H2170" s="123">
        <v>4400.0</v>
      </c>
      <c r="I2170" s="211" t="s">
        <v>701</v>
      </c>
      <c r="J2170" s="211" t="s">
        <v>4409</v>
      </c>
      <c r="K2170" s="241">
        <v>1.0</v>
      </c>
      <c r="L2170" s="124">
        <v>3.876183574E9</v>
      </c>
    </row>
    <row r="2171">
      <c r="A2171" s="33" t="s">
        <v>11166</v>
      </c>
      <c r="B2171" s="122">
        <v>45986.0</v>
      </c>
      <c r="C2171" s="103">
        <v>8.05011561026E11</v>
      </c>
      <c r="D2171" s="103" t="s">
        <v>11167</v>
      </c>
      <c r="E2171" s="103" t="s">
        <v>11168</v>
      </c>
      <c r="F2171" s="123" t="s">
        <v>11169</v>
      </c>
      <c r="G2171" s="123" t="s">
        <v>127</v>
      </c>
      <c r="H2171" s="123">
        <v>4400.0</v>
      </c>
      <c r="I2171" s="211" t="s">
        <v>3431</v>
      </c>
      <c r="J2171" s="211" t="s">
        <v>3432</v>
      </c>
      <c r="K2171" s="241">
        <v>1.0</v>
      </c>
      <c r="L2171" s="124">
        <v>3.874538659E9</v>
      </c>
    </row>
    <row r="2172">
      <c r="A2172" s="33" t="s">
        <v>11170</v>
      </c>
      <c r="B2172" s="122">
        <v>45988.0</v>
      </c>
      <c r="C2172" s="240">
        <v>8.07000034002E11</v>
      </c>
      <c r="D2172" s="240" t="s">
        <v>11171</v>
      </c>
      <c r="E2172" s="240" t="s">
        <v>11172</v>
      </c>
      <c r="F2172" s="123" t="s">
        <v>11173</v>
      </c>
      <c r="G2172" s="123" t="s">
        <v>104</v>
      </c>
      <c r="H2172" s="123">
        <v>4400.0</v>
      </c>
      <c r="I2172" s="224" t="s">
        <v>947</v>
      </c>
      <c r="J2172" s="224" t="s">
        <v>3750</v>
      </c>
      <c r="K2172" s="242">
        <v>1.0</v>
      </c>
      <c r="L2172" s="124">
        <v>3.874890082E9</v>
      </c>
    </row>
    <row r="2173">
      <c r="A2173" s="33" t="s">
        <v>11170</v>
      </c>
      <c r="B2173" s="122">
        <v>45988.0</v>
      </c>
      <c r="C2173" s="103">
        <v>8.07000034002E11</v>
      </c>
      <c r="D2173" s="103" t="s">
        <v>11171</v>
      </c>
      <c r="E2173" s="103" t="s">
        <v>11172</v>
      </c>
      <c r="F2173" s="123" t="s">
        <v>11173</v>
      </c>
      <c r="G2173" s="123" t="s">
        <v>104</v>
      </c>
      <c r="H2173" s="123">
        <v>4400.0</v>
      </c>
      <c r="I2173" s="211" t="s">
        <v>512</v>
      </c>
      <c r="J2173" s="211" t="s">
        <v>513</v>
      </c>
      <c r="K2173" s="241">
        <v>6.0</v>
      </c>
      <c r="L2173" s="124">
        <v>3.874890082E9</v>
      </c>
    </row>
    <row r="2174">
      <c r="A2174" s="33" t="s">
        <v>11170</v>
      </c>
      <c r="B2174" s="122">
        <v>45988.0</v>
      </c>
      <c r="C2174" s="240">
        <v>8.07000034002E11</v>
      </c>
      <c r="D2174" s="240" t="s">
        <v>11171</v>
      </c>
      <c r="E2174" s="240" t="s">
        <v>11172</v>
      </c>
      <c r="F2174" s="123" t="s">
        <v>11173</v>
      </c>
      <c r="G2174" s="123" t="s">
        <v>104</v>
      </c>
      <c r="H2174" s="123">
        <v>4400.0</v>
      </c>
      <c r="I2174" s="224" t="s">
        <v>35</v>
      </c>
      <c r="J2174" s="224" t="s">
        <v>3188</v>
      </c>
      <c r="K2174" s="242">
        <v>1.0</v>
      </c>
      <c r="L2174" s="124">
        <v>3.874890082E9</v>
      </c>
    </row>
    <row r="2175">
      <c r="A2175" s="33" t="s">
        <v>11174</v>
      </c>
      <c r="B2175" s="122">
        <v>45988.0</v>
      </c>
      <c r="C2175" s="103">
        <v>8.07000033994E11</v>
      </c>
      <c r="D2175" s="103" t="s">
        <v>11175</v>
      </c>
      <c r="E2175" s="103" t="s">
        <v>11176</v>
      </c>
      <c r="F2175" s="123" t="s">
        <v>11177</v>
      </c>
      <c r="G2175" s="123" t="s">
        <v>104</v>
      </c>
      <c r="H2175" s="123">
        <v>4400.0</v>
      </c>
      <c r="I2175" s="211" t="s">
        <v>3512</v>
      </c>
      <c r="J2175" s="211" t="s">
        <v>3513</v>
      </c>
      <c r="K2175" s="241">
        <v>12.0</v>
      </c>
      <c r="L2175" s="124">
        <v>3.875228402E9</v>
      </c>
    </row>
    <row r="2176">
      <c r="A2176" s="33" t="s">
        <v>11174</v>
      </c>
      <c r="B2176" s="122">
        <v>45988.0</v>
      </c>
      <c r="C2176" s="240">
        <v>8.07000033995E11</v>
      </c>
      <c r="D2176" s="240" t="s">
        <v>11175</v>
      </c>
      <c r="E2176" s="240" t="s">
        <v>11176</v>
      </c>
      <c r="F2176" s="123" t="s">
        <v>11177</v>
      </c>
      <c r="G2176" s="123" t="s">
        <v>104</v>
      </c>
      <c r="H2176" s="123">
        <v>4400.0</v>
      </c>
      <c r="I2176" s="224" t="s">
        <v>11159</v>
      </c>
      <c r="J2176" s="224" t="s">
        <v>11160</v>
      </c>
      <c r="K2176" s="242">
        <v>1.0</v>
      </c>
      <c r="L2176" s="124">
        <v>3.875228402E9</v>
      </c>
    </row>
    <row r="2177">
      <c r="A2177" s="33" t="s">
        <v>11174</v>
      </c>
      <c r="B2177" s="122">
        <v>45988.0</v>
      </c>
      <c r="C2177" s="103">
        <v>8.07000033995E11</v>
      </c>
      <c r="D2177" s="103" t="s">
        <v>11175</v>
      </c>
      <c r="E2177" s="103" t="s">
        <v>11176</v>
      </c>
      <c r="F2177" s="123" t="s">
        <v>11177</v>
      </c>
      <c r="G2177" s="123" t="s">
        <v>104</v>
      </c>
      <c r="H2177" s="123">
        <v>4400.0</v>
      </c>
      <c r="I2177" s="211" t="s">
        <v>4250</v>
      </c>
      <c r="J2177" s="211" t="s">
        <v>4251</v>
      </c>
      <c r="K2177" s="241">
        <v>2.0</v>
      </c>
      <c r="L2177" s="124">
        <v>3.875228402E9</v>
      </c>
    </row>
    <row r="2178">
      <c r="A2178" s="33" t="s">
        <v>11178</v>
      </c>
      <c r="B2178" s="122">
        <v>45988.0</v>
      </c>
      <c r="C2178" s="103">
        <v>8.07000033997E11</v>
      </c>
      <c r="D2178" s="103" t="s">
        <v>11179</v>
      </c>
      <c r="E2178" s="103" t="s">
        <v>11180</v>
      </c>
      <c r="F2178" s="123" t="s">
        <v>11181</v>
      </c>
      <c r="G2178" s="123" t="s">
        <v>104</v>
      </c>
      <c r="H2178" s="123">
        <v>4400.0</v>
      </c>
      <c r="I2178" s="211" t="s">
        <v>985</v>
      </c>
      <c r="J2178" s="211" t="s">
        <v>3600</v>
      </c>
      <c r="K2178" s="241">
        <v>1.0</v>
      </c>
      <c r="L2178" s="124">
        <v>3.875792734E9</v>
      </c>
    </row>
    <row r="2179">
      <c r="A2179" s="33" t="s">
        <v>11178</v>
      </c>
      <c r="B2179" s="122">
        <v>45988.0</v>
      </c>
      <c r="C2179" s="240">
        <v>8.07000033998E11</v>
      </c>
      <c r="D2179" s="240" t="s">
        <v>11179</v>
      </c>
      <c r="E2179" s="240" t="s">
        <v>11180</v>
      </c>
      <c r="F2179" s="123" t="s">
        <v>11181</v>
      </c>
      <c r="G2179" s="123" t="s">
        <v>104</v>
      </c>
      <c r="H2179" s="123">
        <v>4400.0</v>
      </c>
      <c r="I2179" s="224">
        <v>125818.0</v>
      </c>
      <c r="J2179" s="224" t="s">
        <v>4334</v>
      </c>
      <c r="K2179" s="242">
        <v>2.0</v>
      </c>
      <c r="L2179" s="124">
        <v>3.875792734E9</v>
      </c>
    </row>
    <row r="2180">
      <c r="A2180" s="33" t="s">
        <v>11182</v>
      </c>
      <c r="B2180" s="122">
        <v>45988.0</v>
      </c>
      <c r="C2180" s="103">
        <v>8.07000033999E11</v>
      </c>
      <c r="D2180" s="103" t="s">
        <v>11183</v>
      </c>
      <c r="E2180" s="103" t="s">
        <v>11184</v>
      </c>
      <c r="F2180" s="123" t="s">
        <v>11185</v>
      </c>
      <c r="G2180" s="123" t="s">
        <v>104</v>
      </c>
      <c r="H2180" s="123">
        <v>4400.0</v>
      </c>
      <c r="I2180" s="211" t="s">
        <v>5262</v>
      </c>
      <c r="J2180" s="211" t="s">
        <v>5263</v>
      </c>
      <c r="K2180" s="241">
        <v>1.0</v>
      </c>
      <c r="L2180" s="124">
        <v>3.886534709E9</v>
      </c>
    </row>
    <row r="2181">
      <c r="A2181" s="33" t="s">
        <v>11186</v>
      </c>
      <c r="B2181" s="122">
        <v>45988.0</v>
      </c>
      <c r="C2181" s="240">
        <v>8.07000034E11</v>
      </c>
      <c r="D2181" s="240" t="s">
        <v>11183</v>
      </c>
      <c r="E2181" s="240" t="s">
        <v>11184</v>
      </c>
      <c r="F2181" s="123" t="s">
        <v>11185</v>
      </c>
      <c r="G2181" s="123" t="s">
        <v>104</v>
      </c>
      <c r="H2181" s="123">
        <v>4400.0</v>
      </c>
      <c r="I2181" s="224" t="s">
        <v>985</v>
      </c>
      <c r="J2181" s="224" t="s">
        <v>3600</v>
      </c>
      <c r="K2181" s="242">
        <v>1.0</v>
      </c>
      <c r="L2181" s="124">
        <v>3.886534709E9</v>
      </c>
    </row>
    <row r="2182">
      <c r="A2182" s="33" t="s">
        <v>11187</v>
      </c>
      <c r="B2182" s="122">
        <v>45988.0</v>
      </c>
      <c r="C2182" s="240">
        <v>8.07000033996E11</v>
      </c>
      <c r="D2182" s="240" t="s">
        <v>11188</v>
      </c>
      <c r="E2182" s="240" t="s">
        <v>11189</v>
      </c>
      <c r="F2182" s="123" t="s">
        <v>11190</v>
      </c>
      <c r="G2182" s="123" t="s">
        <v>104</v>
      </c>
      <c r="H2182" s="123">
        <v>4400.0</v>
      </c>
      <c r="I2182" s="224" t="s">
        <v>298</v>
      </c>
      <c r="J2182" s="224" t="s">
        <v>6035</v>
      </c>
      <c r="K2182" s="242">
        <v>1.0</v>
      </c>
      <c r="L2182" s="124">
        <v>4213636.0</v>
      </c>
    </row>
    <row r="2183">
      <c r="A2183" s="33" t="s">
        <v>11191</v>
      </c>
      <c r="B2183" s="122">
        <v>45988.0</v>
      </c>
      <c r="C2183" s="240">
        <v>8.07000033953E11</v>
      </c>
      <c r="D2183" s="240" t="s">
        <v>11192</v>
      </c>
      <c r="E2183" s="240" t="s">
        <v>11193</v>
      </c>
      <c r="F2183" s="123" t="s">
        <v>11194</v>
      </c>
      <c r="G2183" s="123" t="s">
        <v>104</v>
      </c>
      <c r="H2183" s="123">
        <v>4400.0</v>
      </c>
      <c r="I2183" s="224" t="s">
        <v>512</v>
      </c>
      <c r="J2183" s="224" t="s">
        <v>513</v>
      </c>
      <c r="K2183" s="242">
        <v>12.0</v>
      </c>
      <c r="L2183" s="124">
        <v>3.874069675E9</v>
      </c>
    </row>
    <row r="2184">
      <c r="A2184" s="33" t="s">
        <v>11191</v>
      </c>
      <c r="B2184" s="122">
        <v>45988.0</v>
      </c>
      <c r="C2184" s="103">
        <v>8.07000033954E11</v>
      </c>
      <c r="D2184" s="103" t="s">
        <v>11192</v>
      </c>
      <c r="E2184" s="103" t="s">
        <v>11193</v>
      </c>
      <c r="F2184" s="123" t="s">
        <v>11194</v>
      </c>
      <c r="G2184" s="123" t="s">
        <v>104</v>
      </c>
      <c r="H2184" s="123">
        <v>4400.0</v>
      </c>
      <c r="I2184" s="211">
        <v>125812.0</v>
      </c>
      <c r="J2184" s="211" t="s">
        <v>9317</v>
      </c>
      <c r="K2184" s="241">
        <v>4.0</v>
      </c>
      <c r="L2184" s="124">
        <v>3.874069675E9</v>
      </c>
    </row>
    <row r="2185">
      <c r="A2185" s="33" t="s">
        <v>11191</v>
      </c>
      <c r="B2185" s="122">
        <v>45988.0</v>
      </c>
      <c r="C2185" s="240">
        <v>8.07000033954E11</v>
      </c>
      <c r="D2185" s="240" t="s">
        <v>11192</v>
      </c>
      <c r="E2185" s="240" t="s">
        <v>11193</v>
      </c>
      <c r="F2185" s="123" t="s">
        <v>11194</v>
      </c>
      <c r="G2185" s="123" t="s">
        <v>104</v>
      </c>
      <c r="H2185" s="123">
        <v>4400.0</v>
      </c>
      <c r="I2185" s="224" t="s">
        <v>3131</v>
      </c>
      <c r="J2185" s="224" t="s">
        <v>3416</v>
      </c>
      <c r="K2185" s="242">
        <v>2.0</v>
      </c>
      <c r="L2185" s="124">
        <v>3.874069675E9</v>
      </c>
    </row>
    <row r="2186">
      <c r="A2186" s="33" t="s">
        <v>11191</v>
      </c>
      <c r="B2186" s="122">
        <v>45988.0</v>
      </c>
      <c r="C2186" s="103">
        <v>8.07000033954E11</v>
      </c>
      <c r="D2186" s="103" t="s">
        <v>11192</v>
      </c>
      <c r="E2186" s="103" t="s">
        <v>11193</v>
      </c>
      <c r="F2186" s="123" t="s">
        <v>11194</v>
      </c>
      <c r="G2186" s="123" t="s">
        <v>104</v>
      </c>
      <c r="H2186" s="123">
        <v>4400.0</v>
      </c>
      <c r="I2186" s="211" t="s">
        <v>670</v>
      </c>
      <c r="J2186" s="211" t="s">
        <v>3410</v>
      </c>
      <c r="K2186" s="241">
        <v>2.0</v>
      </c>
      <c r="L2186" s="124">
        <v>3.874069675E9</v>
      </c>
    </row>
    <row r="2187">
      <c r="A2187" s="33" t="s">
        <v>11195</v>
      </c>
      <c r="B2187" s="122">
        <v>45988.0</v>
      </c>
      <c r="C2187" s="240">
        <v>8.07000033986E11</v>
      </c>
      <c r="D2187" s="240" t="s">
        <v>11196</v>
      </c>
      <c r="E2187" s="240" t="s">
        <v>11197</v>
      </c>
      <c r="F2187" s="123" t="s">
        <v>11198</v>
      </c>
      <c r="G2187" s="123" t="s">
        <v>104</v>
      </c>
      <c r="H2187" s="123">
        <v>4400.0</v>
      </c>
      <c r="I2187" s="224" t="s">
        <v>2956</v>
      </c>
      <c r="J2187" s="224" t="s">
        <v>3327</v>
      </c>
      <c r="K2187" s="242">
        <v>1.0</v>
      </c>
      <c r="L2187" s="124">
        <v>3.875065725E9</v>
      </c>
    </row>
    <row r="2188">
      <c r="A2188" s="33" t="s">
        <v>11199</v>
      </c>
      <c r="B2188" s="122">
        <v>45988.0</v>
      </c>
      <c r="C2188" s="103">
        <v>8.07000033988E11</v>
      </c>
      <c r="D2188" s="103" t="s">
        <v>5218</v>
      </c>
      <c r="E2188" s="103" t="s">
        <v>5219</v>
      </c>
      <c r="F2188" s="123" t="s">
        <v>11200</v>
      </c>
      <c r="G2188" s="123" t="s">
        <v>104</v>
      </c>
      <c r="H2188" s="123">
        <v>4400.0</v>
      </c>
      <c r="I2188" s="211" t="s">
        <v>3512</v>
      </c>
      <c r="J2188" s="211" t="s">
        <v>3513</v>
      </c>
      <c r="K2188" s="241">
        <v>12.0</v>
      </c>
      <c r="L2188" s="124">
        <v>3.874414446E9</v>
      </c>
    </row>
    <row r="2189">
      <c r="A2189" s="33" t="s">
        <v>11199</v>
      </c>
      <c r="B2189" s="122">
        <v>45988.0</v>
      </c>
      <c r="C2189" s="240">
        <v>8.07000033989E11</v>
      </c>
      <c r="D2189" s="240" t="s">
        <v>5218</v>
      </c>
      <c r="E2189" s="240" t="s">
        <v>5219</v>
      </c>
      <c r="F2189" s="123" t="s">
        <v>11200</v>
      </c>
      <c r="G2189" s="123" t="s">
        <v>104</v>
      </c>
      <c r="H2189" s="123">
        <v>4400.0</v>
      </c>
      <c r="I2189" s="224" t="s">
        <v>4938</v>
      </c>
      <c r="J2189" s="224" t="s">
        <v>4939</v>
      </c>
      <c r="K2189" s="242">
        <v>1.0</v>
      </c>
      <c r="L2189" s="124">
        <v>3.874414446E9</v>
      </c>
    </row>
    <row r="2190">
      <c r="A2190" s="33" t="s">
        <v>11199</v>
      </c>
      <c r="B2190" s="122">
        <v>45988.0</v>
      </c>
      <c r="C2190" s="103">
        <v>8.0700003399E11</v>
      </c>
      <c r="D2190" s="103" t="s">
        <v>5218</v>
      </c>
      <c r="E2190" s="103" t="s">
        <v>5219</v>
      </c>
      <c r="F2190" s="123" t="s">
        <v>11200</v>
      </c>
      <c r="G2190" s="123" t="s">
        <v>104</v>
      </c>
      <c r="H2190" s="123">
        <v>4400.0</v>
      </c>
      <c r="I2190" s="211" t="s">
        <v>4250</v>
      </c>
      <c r="J2190" s="211" t="s">
        <v>4251</v>
      </c>
      <c r="K2190" s="241">
        <v>2.0</v>
      </c>
      <c r="L2190" s="124">
        <v>3.874414446E9</v>
      </c>
    </row>
    <row r="2191">
      <c r="A2191" s="33" t="s">
        <v>11201</v>
      </c>
      <c r="B2191" s="122">
        <v>45989.0</v>
      </c>
      <c r="C2191" s="240">
        <v>8.07000033924E11</v>
      </c>
      <c r="D2191" s="240" t="s">
        <v>5309</v>
      </c>
      <c r="E2191" s="240" t="s">
        <v>5310</v>
      </c>
      <c r="F2191" s="123"/>
      <c r="G2191" s="123" t="s">
        <v>127</v>
      </c>
      <c r="H2191" s="123">
        <v>4400.0</v>
      </c>
      <c r="I2191" s="224">
        <v>125813.0</v>
      </c>
      <c r="J2191" s="224" t="s">
        <v>5703</v>
      </c>
      <c r="K2191" s="242">
        <v>2.0</v>
      </c>
      <c r="L2191" s="124">
        <v>3.875373845E9</v>
      </c>
    </row>
    <row r="2192">
      <c r="A2192" s="33" t="s">
        <v>11201</v>
      </c>
      <c r="B2192" s="122">
        <v>45989.0</v>
      </c>
      <c r="C2192" s="103">
        <v>8.07000033927E11</v>
      </c>
      <c r="D2192" s="103" t="s">
        <v>5309</v>
      </c>
      <c r="E2192" s="103" t="s">
        <v>5310</v>
      </c>
      <c r="F2192" s="123" t="s">
        <v>11202</v>
      </c>
      <c r="G2192" s="123" t="s">
        <v>127</v>
      </c>
      <c r="H2192" s="123">
        <v>4400.0</v>
      </c>
      <c r="I2192" s="211">
        <v>125818.0</v>
      </c>
      <c r="J2192" s="211" t="s">
        <v>4334</v>
      </c>
      <c r="K2192" s="241">
        <v>2.0</v>
      </c>
      <c r="L2192" s="124">
        <v>3.875373845E9</v>
      </c>
    </row>
    <row r="2193">
      <c r="A2193" s="33" t="s">
        <v>11203</v>
      </c>
      <c r="B2193" s="122">
        <v>45989.0</v>
      </c>
      <c r="C2193" s="240">
        <v>8.07000034011E11</v>
      </c>
      <c r="D2193" s="240" t="s">
        <v>11204</v>
      </c>
      <c r="E2193" s="240" t="s">
        <v>11205</v>
      </c>
      <c r="F2193" s="123" t="s">
        <v>11206</v>
      </c>
      <c r="G2193" s="123" t="s">
        <v>5680</v>
      </c>
      <c r="H2193" s="119"/>
      <c r="I2193" s="224" t="s">
        <v>2956</v>
      </c>
      <c r="J2193" s="224" t="s">
        <v>11207</v>
      </c>
      <c r="K2193" s="242">
        <v>1.0</v>
      </c>
      <c r="L2193" s="124">
        <v>3.874636581E9</v>
      </c>
      <c r="N2193" s="274"/>
      <c r="O2193" s="275"/>
      <c r="P2193" s="276"/>
      <c r="Q2193" s="275"/>
      <c r="R2193" s="277"/>
      <c r="S2193" s="276"/>
      <c r="T2193" s="276"/>
      <c r="U2193" s="276"/>
      <c r="V2193" s="276"/>
      <c r="W2193" s="276"/>
      <c r="X2193" s="276"/>
      <c r="Y2193" s="276"/>
      <c r="Z2193" s="276"/>
      <c r="AA2193" s="276"/>
      <c r="AB2193" s="276"/>
      <c r="AC2193" s="276"/>
    </row>
    <row r="2194">
      <c r="A2194" s="33" t="s">
        <v>11203</v>
      </c>
      <c r="B2194" s="122">
        <v>45989.0</v>
      </c>
      <c r="C2194" s="240">
        <v>8.0700003401E11</v>
      </c>
      <c r="D2194" s="240" t="s">
        <v>11204</v>
      </c>
      <c r="E2194" s="240" t="s">
        <v>11205</v>
      </c>
      <c r="F2194" s="123" t="s">
        <v>11206</v>
      </c>
      <c r="G2194" s="123" t="s">
        <v>5680</v>
      </c>
      <c r="H2194" s="123">
        <v>4430.0</v>
      </c>
      <c r="I2194" s="224" t="s">
        <v>11208</v>
      </c>
      <c r="J2194" s="224" t="s">
        <v>11209</v>
      </c>
      <c r="K2194" s="242">
        <v>1.0</v>
      </c>
      <c r="L2194" s="124">
        <v>3.874636581E9</v>
      </c>
      <c r="N2194" s="274"/>
      <c r="O2194" s="275"/>
      <c r="P2194" s="276"/>
      <c r="Q2194" s="275"/>
      <c r="R2194" s="277"/>
      <c r="S2194" s="276"/>
      <c r="T2194" s="276"/>
      <c r="U2194" s="276"/>
      <c r="V2194" s="276"/>
      <c r="W2194" s="276"/>
      <c r="X2194" s="276"/>
      <c r="Y2194" s="276"/>
      <c r="Z2194" s="276"/>
      <c r="AA2194" s="276"/>
      <c r="AB2194" s="276"/>
      <c r="AC2194" s="276"/>
    </row>
    <row r="2195">
      <c r="A2195" s="33" t="s">
        <v>11210</v>
      </c>
      <c r="B2195" s="122">
        <v>45989.0</v>
      </c>
      <c r="C2195" s="240">
        <v>8.07000034004E11</v>
      </c>
      <c r="D2195" s="240" t="s">
        <v>11211</v>
      </c>
      <c r="E2195" s="240" t="s">
        <v>11212</v>
      </c>
      <c r="F2195" s="123" t="s">
        <v>11213</v>
      </c>
      <c r="G2195" s="123" t="s">
        <v>10763</v>
      </c>
      <c r="H2195" s="123">
        <v>4400.0</v>
      </c>
      <c r="I2195" s="224">
        <v>132.0</v>
      </c>
      <c r="J2195" s="224" t="s">
        <v>11214</v>
      </c>
      <c r="K2195" s="242">
        <v>1.0</v>
      </c>
      <c r="L2195" s="124">
        <v>3.875253752E9</v>
      </c>
    </row>
    <row r="2196">
      <c r="A2196" s="33" t="s">
        <v>11210</v>
      </c>
      <c r="B2196" s="122">
        <v>45989.0</v>
      </c>
      <c r="C2196" s="103">
        <v>8.07000034004E11</v>
      </c>
      <c r="D2196" s="103" t="s">
        <v>11211</v>
      </c>
      <c r="E2196" s="103" t="s">
        <v>11212</v>
      </c>
      <c r="F2196" s="123" t="s">
        <v>11213</v>
      </c>
      <c r="G2196" s="123" t="s">
        <v>10763</v>
      </c>
      <c r="H2196" s="123">
        <v>4400.0</v>
      </c>
      <c r="I2196" s="211" t="s">
        <v>11083</v>
      </c>
      <c r="J2196" s="211" t="s">
        <v>11215</v>
      </c>
      <c r="K2196" s="241">
        <v>1.0</v>
      </c>
      <c r="L2196" s="124">
        <v>3.875253752E9</v>
      </c>
    </row>
    <row r="2197">
      <c r="A2197" s="33" t="s">
        <v>11210</v>
      </c>
      <c r="B2197" s="122">
        <v>45989.0</v>
      </c>
      <c r="C2197" s="240">
        <v>8.07000034005E11</v>
      </c>
      <c r="D2197" s="240" t="s">
        <v>11211</v>
      </c>
      <c r="E2197" s="240" t="s">
        <v>11212</v>
      </c>
      <c r="F2197" s="123" t="s">
        <v>11213</v>
      </c>
      <c r="G2197" s="123" t="s">
        <v>10763</v>
      </c>
      <c r="H2197" s="123">
        <v>4400.0</v>
      </c>
      <c r="I2197" s="224" t="s">
        <v>512</v>
      </c>
      <c r="J2197" s="224" t="s">
        <v>513</v>
      </c>
      <c r="K2197" s="242">
        <v>12.0</v>
      </c>
      <c r="L2197" s="124">
        <v>3.875253752E9</v>
      </c>
    </row>
    <row r="2198">
      <c r="A2198" s="33" t="s">
        <v>11216</v>
      </c>
      <c r="B2198" s="122">
        <v>45989.0</v>
      </c>
      <c r="C2198" s="103">
        <v>8.07000034006E11</v>
      </c>
      <c r="D2198" s="103" t="s">
        <v>11211</v>
      </c>
      <c r="E2198" s="103" t="s">
        <v>11212</v>
      </c>
      <c r="F2198" s="123" t="s">
        <v>11213</v>
      </c>
      <c r="G2198" s="123" t="s">
        <v>10763</v>
      </c>
      <c r="H2198" s="123">
        <v>4400.0</v>
      </c>
      <c r="I2198" s="211" t="s">
        <v>5658</v>
      </c>
      <c r="J2198" s="211" t="s">
        <v>5659</v>
      </c>
      <c r="K2198" s="241">
        <v>1.0</v>
      </c>
      <c r="L2198" s="124">
        <v>3.875253752E9</v>
      </c>
    </row>
    <row r="2199">
      <c r="A2199" s="33" t="s">
        <v>11216</v>
      </c>
      <c r="B2199" s="122">
        <v>45989.0</v>
      </c>
      <c r="C2199" s="240">
        <v>8.07000034006E11</v>
      </c>
      <c r="D2199" s="240" t="s">
        <v>11211</v>
      </c>
      <c r="E2199" s="240" t="s">
        <v>11212</v>
      </c>
      <c r="F2199" s="123" t="s">
        <v>11213</v>
      </c>
      <c r="G2199" s="123" t="s">
        <v>10763</v>
      </c>
      <c r="H2199" s="123">
        <v>4400.0</v>
      </c>
      <c r="I2199" s="224" t="s">
        <v>233</v>
      </c>
      <c r="J2199" s="224" t="s">
        <v>3459</v>
      </c>
      <c r="K2199" s="242">
        <v>2.0</v>
      </c>
      <c r="L2199" s="124">
        <v>3.875253752E9</v>
      </c>
    </row>
    <row r="2200">
      <c r="A2200" s="33" t="s">
        <v>11217</v>
      </c>
      <c r="B2200" s="122">
        <v>45989.0</v>
      </c>
      <c r="C2200" s="240">
        <v>5.310000004E10</v>
      </c>
      <c r="D2200" s="240" t="s">
        <v>11218</v>
      </c>
      <c r="E2200" s="240" t="s">
        <v>11219</v>
      </c>
      <c r="F2200" s="123" t="s">
        <v>11213</v>
      </c>
      <c r="G2200" s="123" t="s">
        <v>10763</v>
      </c>
      <c r="H2200" s="123">
        <v>4400.0</v>
      </c>
      <c r="I2200" s="224">
        <v>125818.0</v>
      </c>
      <c r="J2200" s="224" t="s">
        <v>4334</v>
      </c>
      <c r="K2200" s="242">
        <v>2.0</v>
      </c>
      <c r="L2200" s="124">
        <v>3.875253752E9</v>
      </c>
    </row>
    <row r="2201">
      <c r="A2201" s="33" t="s">
        <v>11220</v>
      </c>
      <c r="B2201" s="122">
        <v>45990.0</v>
      </c>
      <c r="C2201" s="240">
        <v>8.07000033712E11</v>
      </c>
      <c r="D2201" s="240" t="s">
        <v>11221</v>
      </c>
      <c r="E2201" s="240" t="s">
        <v>11222</v>
      </c>
      <c r="F2201" s="123"/>
      <c r="G2201" s="123" t="s">
        <v>127</v>
      </c>
      <c r="H2201" s="123">
        <v>4400.0</v>
      </c>
      <c r="I2201" s="224" t="s">
        <v>2956</v>
      </c>
      <c r="J2201" s="224" t="s">
        <v>3327</v>
      </c>
      <c r="K2201" s="242">
        <v>1.0</v>
      </c>
      <c r="L2201" s="210">
        <v>3.875215809E9</v>
      </c>
    </row>
    <row r="2202">
      <c r="A2202" s="33" t="s">
        <v>11220</v>
      </c>
      <c r="B2202" s="122">
        <v>45990.0</v>
      </c>
      <c r="C2202" s="103">
        <v>8.07000033712E11</v>
      </c>
      <c r="D2202" s="103" t="s">
        <v>11221</v>
      </c>
      <c r="E2202" s="103" t="s">
        <v>11222</v>
      </c>
      <c r="F2202" s="123"/>
      <c r="G2202" s="123" t="s">
        <v>127</v>
      </c>
      <c r="H2202" s="123">
        <v>4400.0</v>
      </c>
      <c r="I2202" s="211" t="s">
        <v>512</v>
      </c>
      <c r="J2202" s="211" t="s">
        <v>513</v>
      </c>
      <c r="K2202" s="241">
        <v>6.0</v>
      </c>
      <c r="L2202" s="210">
        <v>3.875215809E9</v>
      </c>
    </row>
    <row r="2203">
      <c r="A2203" s="33" t="s">
        <v>11223</v>
      </c>
      <c r="B2203" s="122">
        <v>45990.0</v>
      </c>
      <c r="C2203" s="240">
        <v>8.07000033712E11</v>
      </c>
      <c r="D2203" s="240" t="s">
        <v>11221</v>
      </c>
      <c r="E2203" s="240" t="s">
        <v>11222</v>
      </c>
      <c r="F2203" s="123"/>
      <c r="G2203" s="123" t="s">
        <v>127</v>
      </c>
      <c r="H2203" s="123">
        <v>4400.0</v>
      </c>
      <c r="I2203" s="224" t="s">
        <v>670</v>
      </c>
      <c r="J2203" s="224" t="s">
        <v>3410</v>
      </c>
      <c r="K2203" s="242">
        <v>1.0</v>
      </c>
      <c r="L2203" s="210">
        <v>3.875215809E9</v>
      </c>
    </row>
    <row r="2204">
      <c r="A2204" s="33" t="s">
        <v>11224</v>
      </c>
      <c r="B2204" s="122">
        <v>45990.0</v>
      </c>
      <c r="C2204" s="103">
        <v>8.07000034015E11</v>
      </c>
      <c r="D2204" s="103" t="s">
        <v>11225</v>
      </c>
      <c r="E2204" s="103" t="s">
        <v>11226</v>
      </c>
      <c r="F2204" s="123" t="s">
        <v>11227</v>
      </c>
      <c r="G2204" s="123" t="s">
        <v>127</v>
      </c>
      <c r="H2204" s="123">
        <v>4400.0</v>
      </c>
      <c r="I2204" s="211" t="s">
        <v>3205</v>
      </c>
      <c r="J2204" s="211" t="s">
        <v>3206</v>
      </c>
      <c r="K2204" s="241">
        <v>1.0</v>
      </c>
      <c r="L2204" s="210">
        <v>3.875803095E9</v>
      </c>
    </row>
    <row r="2205">
      <c r="A2205" s="33" t="s">
        <v>11224</v>
      </c>
      <c r="B2205" s="122">
        <v>45990.0</v>
      </c>
      <c r="C2205" s="240">
        <v>8.07000034015E11</v>
      </c>
      <c r="D2205" s="240" t="s">
        <v>11225</v>
      </c>
      <c r="E2205" s="240" t="s">
        <v>11226</v>
      </c>
      <c r="F2205" s="123" t="s">
        <v>11227</v>
      </c>
      <c r="G2205" s="123" t="s">
        <v>127</v>
      </c>
      <c r="H2205" s="123">
        <v>4400.0</v>
      </c>
      <c r="I2205" s="224" t="s">
        <v>3054</v>
      </c>
      <c r="J2205" s="224" t="s">
        <v>3346</v>
      </c>
      <c r="K2205" s="242">
        <v>1.0</v>
      </c>
      <c r="L2205" s="210">
        <v>3.875803095E9</v>
      </c>
    </row>
    <row r="2206" ht="6.75" customHeight="1">
      <c r="A2206" s="244"/>
      <c r="B2206" s="245"/>
      <c r="C2206" s="271"/>
      <c r="D2206" s="271"/>
      <c r="E2206" s="271"/>
      <c r="F2206" s="246"/>
      <c r="G2206" s="246"/>
      <c r="H2206" s="246"/>
      <c r="I2206" s="272"/>
      <c r="J2206" s="272"/>
      <c r="K2206" s="273"/>
      <c r="L2206" s="247"/>
      <c r="M2206" s="233"/>
      <c r="N2206" s="233"/>
      <c r="O2206" s="233"/>
      <c r="P2206" s="233"/>
      <c r="Q2206" s="233"/>
      <c r="R2206" s="233"/>
      <c r="S2206" s="233"/>
      <c r="T2206" s="233"/>
      <c r="U2206" s="233"/>
      <c r="V2206" s="233"/>
      <c r="W2206" s="233"/>
      <c r="X2206" s="233"/>
      <c r="Y2206" s="233"/>
      <c r="Z2206" s="233"/>
      <c r="AA2206" s="233"/>
      <c r="AB2206" s="233"/>
      <c r="AC2206" s="233"/>
    </row>
    <row r="2207">
      <c r="A2207" s="33" t="s">
        <v>11228</v>
      </c>
      <c r="B2207" s="122">
        <v>45992.0</v>
      </c>
      <c r="C2207" s="240">
        <v>8.07000034032E11</v>
      </c>
      <c r="D2207" s="240" t="s">
        <v>11229</v>
      </c>
      <c r="E2207" s="240" t="s">
        <v>11230</v>
      </c>
      <c r="F2207" s="123" t="s">
        <v>11231</v>
      </c>
      <c r="G2207" s="123" t="s">
        <v>127</v>
      </c>
      <c r="H2207" s="123">
        <v>4400.0</v>
      </c>
      <c r="I2207" s="224">
        <v>125701.0</v>
      </c>
      <c r="J2207" s="224" t="s">
        <v>9720</v>
      </c>
      <c r="K2207" s="242">
        <v>1.0</v>
      </c>
      <c r="L2207" s="124">
        <v>3.872102283E9</v>
      </c>
    </row>
    <row r="2208">
      <c r="A2208" s="33" t="s">
        <v>11228</v>
      </c>
      <c r="B2208" s="122">
        <v>45992.0</v>
      </c>
      <c r="C2208" s="103">
        <v>8.07000034032E11</v>
      </c>
      <c r="D2208" s="103" t="s">
        <v>11229</v>
      </c>
      <c r="E2208" s="103" t="s">
        <v>11230</v>
      </c>
      <c r="F2208" s="123" t="s">
        <v>11231</v>
      </c>
      <c r="G2208" s="123" t="s">
        <v>127</v>
      </c>
      <c r="H2208" s="123">
        <v>4400.0</v>
      </c>
      <c r="I2208" s="211">
        <v>125823.0</v>
      </c>
      <c r="J2208" s="211" t="s">
        <v>11232</v>
      </c>
      <c r="K2208" s="241">
        <v>2.0</v>
      </c>
      <c r="L2208" s="124">
        <v>3.872102283E9</v>
      </c>
    </row>
    <row r="2209">
      <c r="A2209" s="33" t="s">
        <v>11233</v>
      </c>
      <c r="B2209" s="122">
        <v>45992.0</v>
      </c>
      <c r="C2209" s="240">
        <v>8.07000034033E11</v>
      </c>
      <c r="D2209" s="240" t="s">
        <v>11229</v>
      </c>
      <c r="E2209" s="240" t="s">
        <v>11230</v>
      </c>
      <c r="F2209" s="123" t="s">
        <v>11231</v>
      </c>
      <c r="G2209" s="123" t="s">
        <v>127</v>
      </c>
      <c r="H2209" s="123">
        <v>4400.0</v>
      </c>
      <c r="I2209" s="224" t="s">
        <v>11234</v>
      </c>
      <c r="J2209" s="224" t="s">
        <v>11235</v>
      </c>
      <c r="K2209" s="242">
        <v>1.0</v>
      </c>
      <c r="L2209" s="124">
        <v>3.872102283E9</v>
      </c>
    </row>
    <row r="2210">
      <c r="A2210" s="33" t="s">
        <v>11236</v>
      </c>
      <c r="B2210" s="122">
        <v>45992.0</v>
      </c>
      <c r="C2210" s="103">
        <v>8.07000034045E11</v>
      </c>
      <c r="D2210" s="103" t="s">
        <v>11237</v>
      </c>
      <c r="E2210" s="103" t="s">
        <v>11238</v>
      </c>
      <c r="F2210" s="123" t="s">
        <v>11239</v>
      </c>
      <c r="G2210" s="123" t="s">
        <v>127</v>
      </c>
      <c r="H2210" s="123">
        <v>4400.0</v>
      </c>
      <c r="I2210" s="211" t="s">
        <v>2956</v>
      </c>
      <c r="J2210" s="211" t="s">
        <v>3327</v>
      </c>
      <c r="K2210" s="241">
        <v>1.0</v>
      </c>
      <c r="L2210" s="124">
        <v>3.878236461E9</v>
      </c>
    </row>
    <row r="2211">
      <c r="A2211" s="33" t="s">
        <v>11240</v>
      </c>
      <c r="B2211" s="122">
        <v>45992.0</v>
      </c>
      <c r="C2211" s="103">
        <v>8.07000034043E11</v>
      </c>
      <c r="D2211" s="103" t="s">
        <v>11241</v>
      </c>
      <c r="E2211" s="103" t="s">
        <v>11242</v>
      </c>
      <c r="F2211" s="123" t="s">
        <v>11243</v>
      </c>
      <c r="G2211" s="123" t="s">
        <v>127</v>
      </c>
      <c r="H2211" s="123">
        <v>4400.0</v>
      </c>
      <c r="I2211" s="211">
        <v>208502.0</v>
      </c>
      <c r="J2211" s="211" t="s">
        <v>4551</v>
      </c>
      <c r="K2211" s="241">
        <v>4.0</v>
      </c>
      <c r="L2211" s="124">
        <v>3.875134194E9</v>
      </c>
    </row>
    <row r="2212">
      <c r="A2212" s="33" t="s">
        <v>11240</v>
      </c>
      <c r="B2212" s="122">
        <v>45992.0</v>
      </c>
      <c r="C2212" s="240">
        <v>8.07000034043E11</v>
      </c>
      <c r="D2212" s="240" t="s">
        <v>11241</v>
      </c>
      <c r="E2212" s="240" t="s">
        <v>11242</v>
      </c>
      <c r="F2212" s="123" t="s">
        <v>11243</v>
      </c>
      <c r="G2212" s="123" t="s">
        <v>127</v>
      </c>
      <c r="H2212" s="123">
        <v>4400.0</v>
      </c>
      <c r="I2212" s="224" t="s">
        <v>280</v>
      </c>
      <c r="J2212" s="224" t="s">
        <v>5669</v>
      </c>
      <c r="K2212" s="242">
        <v>1.0</v>
      </c>
      <c r="L2212" s="124">
        <v>3.875134194E9</v>
      </c>
    </row>
    <row r="2213">
      <c r="A2213" s="33" t="s">
        <v>11240</v>
      </c>
      <c r="B2213" s="122">
        <v>45992.0</v>
      </c>
      <c r="C2213" s="103">
        <v>8.07000034043E11</v>
      </c>
      <c r="D2213" s="103" t="s">
        <v>11241</v>
      </c>
      <c r="E2213" s="103" t="s">
        <v>11242</v>
      </c>
      <c r="F2213" s="123" t="s">
        <v>11243</v>
      </c>
      <c r="G2213" s="123" t="s">
        <v>127</v>
      </c>
      <c r="H2213" s="123">
        <v>4400.0</v>
      </c>
      <c r="I2213" s="211" t="s">
        <v>512</v>
      </c>
      <c r="J2213" s="211" t="s">
        <v>513</v>
      </c>
      <c r="K2213" s="241">
        <v>12.0</v>
      </c>
      <c r="L2213" s="124">
        <v>3.875134194E9</v>
      </c>
    </row>
    <row r="2214">
      <c r="A2214" s="33" t="s">
        <v>11240</v>
      </c>
      <c r="B2214" s="122">
        <v>45992.0</v>
      </c>
      <c r="C2214" s="240">
        <v>8.07000034043E11</v>
      </c>
      <c r="D2214" s="240" t="s">
        <v>11241</v>
      </c>
      <c r="E2214" s="240" t="s">
        <v>11242</v>
      </c>
      <c r="F2214" s="123" t="s">
        <v>11243</v>
      </c>
      <c r="G2214" s="123" t="s">
        <v>127</v>
      </c>
      <c r="H2214" s="123">
        <v>4400.0</v>
      </c>
      <c r="I2214" s="224" t="s">
        <v>340</v>
      </c>
      <c r="J2214" s="224" t="s">
        <v>3486</v>
      </c>
      <c r="K2214" s="242">
        <v>2.0</v>
      </c>
      <c r="L2214" s="124">
        <v>3.875134194E9</v>
      </c>
    </row>
    <row r="2215">
      <c r="A2215" s="33" t="s">
        <v>11244</v>
      </c>
      <c r="B2215" s="122">
        <v>45992.0</v>
      </c>
      <c r="C2215" s="240">
        <v>8.07000034022E11</v>
      </c>
      <c r="D2215" s="240" t="s">
        <v>11245</v>
      </c>
      <c r="E2215" s="240" t="s">
        <v>11246</v>
      </c>
      <c r="F2215" s="123" t="s">
        <v>11247</v>
      </c>
      <c r="G2215" s="123" t="s">
        <v>127</v>
      </c>
      <c r="H2215" s="123">
        <v>4400.0</v>
      </c>
      <c r="I2215" s="224">
        <v>125808.0</v>
      </c>
      <c r="J2215" s="224" t="s">
        <v>7199</v>
      </c>
      <c r="K2215" s="242">
        <v>2.0</v>
      </c>
      <c r="L2215" s="124">
        <v>3.875502812E9</v>
      </c>
    </row>
    <row r="2216">
      <c r="A2216" s="33" t="s">
        <v>11244</v>
      </c>
      <c r="B2216" s="122">
        <v>45992.0</v>
      </c>
      <c r="C2216" s="103">
        <v>8.07000034022E11</v>
      </c>
      <c r="D2216" s="103" t="s">
        <v>11245</v>
      </c>
      <c r="E2216" s="103" t="s">
        <v>11246</v>
      </c>
      <c r="F2216" s="123" t="s">
        <v>11247</v>
      </c>
      <c r="G2216" s="123" t="s">
        <v>127</v>
      </c>
      <c r="H2216" s="123">
        <v>4400.0</v>
      </c>
      <c r="I2216" s="211" t="s">
        <v>2956</v>
      </c>
      <c r="J2216" s="211" t="s">
        <v>3327</v>
      </c>
      <c r="K2216" s="241">
        <v>1.0</v>
      </c>
      <c r="L2216" s="124">
        <v>3.875502812E9</v>
      </c>
    </row>
    <row r="2217">
      <c r="A2217" s="33" t="s">
        <v>11248</v>
      </c>
      <c r="B2217" s="122">
        <v>45994.0</v>
      </c>
      <c r="C2217" s="240">
        <v>5.3100000042E10</v>
      </c>
      <c r="D2217" s="240" t="s">
        <v>11249</v>
      </c>
      <c r="E2217" s="240" t="s">
        <v>11250</v>
      </c>
      <c r="F2217" s="123" t="s">
        <v>11251</v>
      </c>
      <c r="G2217" s="123" t="s">
        <v>127</v>
      </c>
      <c r="H2217" s="123">
        <v>4400.0</v>
      </c>
      <c r="I2217" s="224">
        <v>125818.0</v>
      </c>
      <c r="J2217" s="224" t="s">
        <v>4334</v>
      </c>
      <c r="K2217" s="242">
        <v>2.0</v>
      </c>
      <c r="L2217" s="124">
        <v>3.874811089E9</v>
      </c>
    </row>
    <row r="2218">
      <c r="A2218" s="33" t="s">
        <v>11248</v>
      </c>
      <c r="B2218" s="122">
        <v>45994.0</v>
      </c>
      <c r="C2218" s="240">
        <v>8.07000034023E11</v>
      </c>
      <c r="D2218" s="240" t="s">
        <v>11249</v>
      </c>
      <c r="E2218" s="240" t="s">
        <v>11250</v>
      </c>
      <c r="F2218" s="123" t="s">
        <v>11251</v>
      </c>
      <c r="G2218" s="123" t="s">
        <v>127</v>
      </c>
      <c r="H2218" s="123">
        <v>4400.0</v>
      </c>
      <c r="I2218" s="224" t="s">
        <v>2956</v>
      </c>
      <c r="J2218" s="224" t="s">
        <v>3327</v>
      </c>
      <c r="K2218" s="242">
        <v>1.0</v>
      </c>
      <c r="L2218" s="124">
        <v>3.874811089E9</v>
      </c>
    </row>
    <row r="2219">
      <c r="A2219" s="33" t="s">
        <v>11252</v>
      </c>
      <c r="B2219" s="122">
        <v>45994.0</v>
      </c>
      <c r="C2219" s="103">
        <v>8.07000033936E11</v>
      </c>
      <c r="D2219" s="103" t="s">
        <v>11253</v>
      </c>
      <c r="E2219" s="103" t="s">
        <v>11254</v>
      </c>
      <c r="F2219" s="123" t="s">
        <v>11255</v>
      </c>
      <c r="G2219" s="123" t="s">
        <v>11256</v>
      </c>
      <c r="H2219" s="123">
        <v>4407.0</v>
      </c>
      <c r="I2219" s="211" t="s">
        <v>512</v>
      </c>
      <c r="J2219" s="211" t="s">
        <v>513</v>
      </c>
      <c r="K2219" s="241">
        <v>12.0</v>
      </c>
      <c r="L2219" s="124">
        <v>3.87862901E9</v>
      </c>
    </row>
    <row r="2220">
      <c r="A2220" s="33" t="s">
        <v>11252</v>
      </c>
      <c r="B2220" s="122">
        <v>45994.0</v>
      </c>
      <c r="C2220" s="240">
        <v>8.07000033937E11</v>
      </c>
      <c r="D2220" s="240" t="s">
        <v>11253</v>
      </c>
      <c r="E2220" s="240" t="s">
        <v>11254</v>
      </c>
      <c r="F2220" s="123" t="s">
        <v>11255</v>
      </c>
      <c r="G2220" s="123" t="s">
        <v>11256</v>
      </c>
      <c r="H2220" s="123">
        <v>4407.0</v>
      </c>
      <c r="I2220" s="224" t="s">
        <v>867</v>
      </c>
      <c r="J2220" s="224" t="s">
        <v>9669</v>
      </c>
      <c r="K2220" s="242">
        <v>1.0</v>
      </c>
      <c r="L2220" s="124">
        <v>3.87862901E9</v>
      </c>
    </row>
    <row r="2221">
      <c r="A2221" s="33" t="s">
        <v>11252</v>
      </c>
      <c r="B2221" s="122">
        <v>45994.0</v>
      </c>
      <c r="C2221" s="103">
        <v>8.07000033937E11</v>
      </c>
      <c r="D2221" s="103" t="s">
        <v>11253</v>
      </c>
      <c r="E2221" s="103" t="s">
        <v>11254</v>
      </c>
      <c r="F2221" s="123" t="s">
        <v>11255</v>
      </c>
      <c r="G2221" s="123" t="s">
        <v>11256</v>
      </c>
      <c r="H2221" s="123">
        <v>4407.0</v>
      </c>
      <c r="I2221" s="211" t="s">
        <v>340</v>
      </c>
      <c r="J2221" s="211" t="s">
        <v>3486</v>
      </c>
      <c r="K2221" s="241">
        <v>2.0</v>
      </c>
      <c r="L2221" s="124">
        <v>3.87862901E9</v>
      </c>
    </row>
    <row r="2222">
      <c r="A2222" s="33" t="s">
        <v>11257</v>
      </c>
      <c r="B2222" s="122">
        <v>45994.0</v>
      </c>
      <c r="C2222" s="240">
        <v>8.07000033938E11</v>
      </c>
      <c r="D2222" s="240" t="s">
        <v>11253</v>
      </c>
      <c r="E2222" s="240" t="s">
        <v>11254</v>
      </c>
      <c r="F2222" s="123" t="s">
        <v>11255</v>
      </c>
      <c r="G2222" s="123" t="s">
        <v>11256</v>
      </c>
      <c r="H2222" s="123">
        <v>4407.0</v>
      </c>
      <c r="I2222" s="224" t="s">
        <v>512</v>
      </c>
      <c r="J2222" s="224" t="s">
        <v>513</v>
      </c>
      <c r="K2222" s="242">
        <v>12.0</v>
      </c>
      <c r="L2222" s="124">
        <v>3.87862901E9</v>
      </c>
    </row>
    <row r="2223">
      <c r="A2223" s="33" t="s">
        <v>11257</v>
      </c>
      <c r="B2223" s="122">
        <v>45994.0</v>
      </c>
      <c r="C2223" s="103">
        <v>8.07000033939E11</v>
      </c>
      <c r="D2223" s="103" t="s">
        <v>11253</v>
      </c>
      <c r="E2223" s="103" t="s">
        <v>11254</v>
      </c>
      <c r="F2223" s="123" t="s">
        <v>11255</v>
      </c>
      <c r="G2223" s="123" t="s">
        <v>11256</v>
      </c>
      <c r="H2223" s="123">
        <v>4407.0</v>
      </c>
      <c r="I2223" s="211" t="s">
        <v>867</v>
      </c>
      <c r="J2223" s="211" t="s">
        <v>9669</v>
      </c>
      <c r="K2223" s="241">
        <v>1.0</v>
      </c>
      <c r="L2223" s="124">
        <v>3.87862901E9</v>
      </c>
    </row>
    <row r="2224">
      <c r="A2224" s="33" t="s">
        <v>11257</v>
      </c>
      <c r="B2224" s="122">
        <v>45994.0</v>
      </c>
      <c r="C2224" s="240">
        <v>8.07000033939E11</v>
      </c>
      <c r="D2224" s="240" t="s">
        <v>11253</v>
      </c>
      <c r="E2224" s="240" t="s">
        <v>11254</v>
      </c>
      <c r="F2224" s="123" t="s">
        <v>11255</v>
      </c>
      <c r="G2224" s="123" t="s">
        <v>11256</v>
      </c>
      <c r="H2224" s="123">
        <v>4407.0</v>
      </c>
      <c r="I2224" s="224" t="s">
        <v>340</v>
      </c>
      <c r="J2224" s="224" t="s">
        <v>3486</v>
      </c>
      <c r="K2224" s="242">
        <v>2.0</v>
      </c>
      <c r="L2224" s="124">
        <v>3.87862901E9</v>
      </c>
    </row>
    <row r="2225">
      <c r="A2225" s="33" t="s">
        <v>11258</v>
      </c>
      <c r="B2225" s="122">
        <v>45994.0</v>
      </c>
      <c r="C2225" s="103">
        <v>8.07000034044E11</v>
      </c>
      <c r="D2225" s="103" t="s">
        <v>11259</v>
      </c>
      <c r="E2225" s="103" t="s">
        <v>11260</v>
      </c>
      <c r="F2225" s="123" t="s">
        <v>11261</v>
      </c>
      <c r="G2225" s="123" t="s">
        <v>127</v>
      </c>
      <c r="H2225" s="123">
        <v>4400.0</v>
      </c>
      <c r="I2225" s="211" t="s">
        <v>5034</v>
      </c>
      <c r="J2225" s="211" t="s">
        <v>5035</v>
      </c>
      <c r="K2225" s="241">
        <v>1.0</v>
      </c>
      <c r="L2225" s="124">
        <v>3.875682916E9</v>
      </c>
    </row>
    <row r="2226">
      <c r="A2226" s="33" t="s">
        <v>11262</v>
      </c>
      <c r="B2226" s="122">
        <v>45994.0</v>
      </c>
      <c r="C2226" s="240">
        <v>8.07000034046E11</v>
      </c>
      <c r="D2226" s="240" t="s">
        <v>11263</v>
      </c>
      <c r="E2226" s="240" t="s">
        <v>11264</v>
      </c>
      <c r="F2226" s="123" t="s">
        <v>11265</v>
      </c>
      <c r="G2226" s="123" t="s">
        <v>127</v>
      </c>
      <c r="H2226" s="123">
        <v>4400.0</v>
      </c>
      <c r="I2226" s="224" t="s">
        <v>512</v>
      </c>
      <c r="J2226" s="224" t="s">
        <v>513</v>
      </c>
      <c r="K2226" s="242">
        <v>6.0</v>
      </c>
      <c r="L2226" s="124">
        <v>3.876859196E9</v>
      </c>
    </row>
    <row r="2227">
      <c r="A2227" s="33" t="s">
        <v>11262</v>
      </c>
      <c r="B2227" s="122">
        <v>45994.0</v>
      </c>
      <c r="C2227" s="103">
        <v>8.07000034047E11</v>
      </c>
      <c r="D2227" s="103" t="s">
        <v>11263</v>
      </c>
      <c r="E2227" s="103" t="s">
        <v>11264</v>
      </c>
      <c r="F2227" s="123" t="s">
        <v>11265</v>
      </c>
      <c r="G2227" s="123" t="s">
        <v>127</v>
      </c>
      <c r="H2227" s="123">
        <v>4400.0</v>
      </c>
      <c r="I2227" s="211" t="s">
        <v>698</v>
      </c>
      <c r="J2227" s="211" t="s">
        <v>699</v>
      </c>
      <c r="K2227" s="241">
        <v>1.0</v>
      </c>
      <c r="L2227" s="124">
        <v>3.876859196E9</v>
      </c>
    </row>
    <row r="2228">
      <c r="A2228" s="33" t="s">
        <v>11262</v>
      </c>
      <c r="B2228" s="122">
        <v>45994.0</v>
      </c>
      <c r="C2228" s="240">
        <v>8.07000034047E11</v>
      </c>
      <c r="D2228" s="240" t="s">
        <v>11263</v>
      </c>
      <c r="E2228" s="240" t="s">
        <v>11264</v>
      </c>
      <c r="F2228" s="123" t="s">
        <v>11265</v>
      </c>
      <c r="G2228" s="123" t="s">
        <v>127</v>
      </c>
      <c r="H2228" s="123">
        <v>4400.0</v>
      </c>
      <c r="I2228" s="224" t="s">
        <v>64</v>
      </c>
      <c r="J2228" s="224" t="s">
        <v>3708</v>
      </c>
      <c r="K2228" s="242">
        <v>1.0</v>
      </c>
      <c r="L2228" s="124">
        <v>3.876859196E9</v>
      </c>
    </row>
    <row r="2229">
      <c r="A2229" s="33" t="s">
        <v>11266</v>
      </c>
      <c r="B2229" s="122">
        <v>45994.0</v>
      </c>
      <c r="C2229" s="103">
        <v>8.07000034059E11</v>
      </c>
      <c r="D2229" s="103" t="s">
        <v>11267</v>
      </c>
      <c r="E2229" s="103" t="s">
        <v>11268</v>
      </c>
      <c r="F2229" s="123" t="s">
        <v>11269</v>
      </c>
      <c r="G2229" s="123" t="s">
        <v>127</v>
      </c>
      <c r="H2229" s="123">
        <v>4400.0</v>
      </c>
      <c r="I2229" s="211" t="s">
        <v>3512</v>
      </c>
      <c r="J2229" s="211" t="s">
        <v>3513</v>
      </c>
      <c r="K2229" s="241">
        <v>12.0</v>
      </c>
      <c r="L2229" s="124">
        <v>3.878322931E9</v>
      </c>
    </row>
    <row r="2230">
      <c r="A2230" s="33" t="s">
        <v>11266</v>
      </c>
      <c r="B2230" s="122">
        <v>45994.0</v>
      </c>
      <c r="C2230" s="240">
        <v>8.0700003406E11</v>
      </c>
      <c r="D2230" s="240" t="s">
        <v>11267</v>
      </c>
      <c r="E2230" s="240" t="s">
        <v>11268</v>
      </c>
      <c r="F2230" s="123" t="s">
        <v>11269</v>
      </c>
      <c r="G2230" s="123" t="s">
        <v>127</v>
      </c>
      <c r="H2230" s="123">
        <v>4400.0</v>
      </c>
      <c r="I2230" s="224" t="s">
        <v>6833</v>
      </c>
      <c r="J2230" s="224" t="s">
        <v>11006</v>
      </c>
      <c r="K2230" s="242">
        <v>1.0</v>
      </c>
      <c r="L2230" s="124">
        <v>3.878322931E9</v>
      </c>
    </row>
    <row r="2231">
      <c r="A2231" s="33" t="s">
        <v>11266</v>
      </c>
      <c r="B2231" s="122">
        <v>45994.0</v>
      </c>
      <c r="C2231" s="103">
        <v>8.0700003406E11</v>
      </c>
      <c r="D2231" s="103" t="s">
        <v>11267</v>
      </c>
      <c r="E2231" s="103" t="s">
        <v>11268</v>
      </c>
      <c r="F2231" s="123" t="s">
        <v>11269</v>
      </c>
      <c r="G2231" s="123" t="s">
        <v>127</v>
      </c>
      <c r="H2231" s="123">
        <v>4400.0</v>
      </c>
      <c r="I2231" s="211" t="s">
        <v>6835</v>
      </c>
      <c r="J2231" s="211" t="s">
        <v>8150</v>
      </c>
      <c r="K2231" s="241">
        <v>2.0</v>
      </c>
      <c r="L2231" s="124">
        <v>3.878322931E9</v>
      </c>
    </row>
    <row r="2232">
      <c r="A2232" s="33" t="s">
        <v>11270</v>
      </c>
      <c r="B2232" s="122">
        <v>45994.0</v>
      </c>
      <c r="C2232" s="240">
        <v>5.3100000041E10</v>
      </c>
      <c r="D2232" s="240" t="s">
        <v>11221</v>
      </c>
      <c r="E2232" s="240" t="s">
        <v>11222</v>
      </c>
      <c r="F2232" s="123" t="s">
        <v>2619</v>
      </c>
      <c r="G2232" s="123" t="s">
        <v>127</v>
      </c>
      <c r="H2232" s="123">
        <v>4400.0</v>
      </c>
      <c r="I2232" s="224">
        <v>125818.0</v>
      </c>
      <c r="J2232" s="224" t="s">
        <v>4334</v>
      </c>
      <c r="K2232" s="242">
        <v>2.0</v>
      </c>
      <c r="L2232" s="124">
        <v>3.875215809E9</v>
      </c>
    </row>
    <row r="2233">
      <c r="A2233" s="33" t="s">
        <v>11271</v>
      </c>
      <c r="B2233" s="122">
        <v>45994.0</v>
      </c>
      <c r="C2233" s="240">
        <v>8.07000034054E11</v>
      </c>
      <c r="D2233" s="240" t="s">
        <v>11272</v>
      </c>
      <c r="E2233" s="240" t="s">
        <v>11273</v>
      </c>
      <c r="F2233" s="123" t="s">
        <v>11274</v>
      </c>
      <c r="G2233" s="123" t="s">
        <v>127</v>
      </c>
      <c r="H2233" s="123">
        <v>4400.0</v>
      </c>
      <c r="I2233" s="224">
        <v>208502.0</v>
      </c>
      <c r="J2233" s="224" t="s">
        <v>4551</v>
      </c>
      <c r="K2233" s="242">
        <v>2.0</v>
      </c>
      <c r="L2233" s="124">
        <v>3.87445754E8</v>
      </c>
    </row>
    <row r="2234">
      <c r="A2234" s="33" t="s">
        <v>11271</v>
      </c>
      <c r="B2234" s="122">
        <v>45994.0</v>
      </c>
      <c r="C2234" s="103">
        <v>8.07000034055E11</v>
      </c>
      <c r="D2234" s="103" t="s">
        <v>11272</v>
      </c>
      <c r="E2234" s="103" t="s">
        <v>11273</v>
      </c>
      <c r="F2234" s="123" t="s">
        <v>11274</v>
      </c>
      <c r="G2234" s="123" t="s">
        <v>127</v>
      </c>
      <c r="H2234" s="123">
        <v>4400.0</v>
      </c>
      <c r="I2234" s="211" t="s">
        <v>3512</v>
      </c>
      <c r="J2234" s="211" t="s">
        <v>3513</v>
      </c>
      <c r="K2234" s="241">
        <v>12.0</v>
      </c>
      <c r="L2234" s="124">
        <v>3.87445754E8</v>
      </c>
    </row>
    <row r="2235">
      <c r="A2235" s="33" t="s">
        <v>11271</v>
      </c>
      <c r="B2235" s="122">
        <v>45994.0</v>
      </c>
      <c r="C2235" s="240">
        <v>8.07000034056E11</v>
      </c>
      <c r="D2235" s="240" t="s">
        <v>11272</v>
      </c>
      <c r="E2235" s="240" t="s">
        <v>11273</v>
      </c>
      <c r="F2235" s="123" t="s">
        <v>11274</v>
      </c>
      <c r="G2235" s="123" t="s">
        <v>127</v>
      </c>
      <c r="H2235" s="123">
        <v>4400.0</v>
      </c>
      <c r="I2235" s="224" t="s">
        <v>6835</v>
      </c>
      <c r="J2235" s="224" t="s">
        <v>8150</v>
      </c>
      <c r="K2235" s="242">
        <v>2.0</v>
      </c>
      <c r="L2235" s="124">
        <v>3.87445754E8</v>
      </c>
    </row>
    <row r="2236">
      <c r="A2236" s="33" t="s">
        <v>11275</v>
      </c>
      <c r="B2236" s="122">
        <v>45994.0</v>
      </c>
      <c r="C2236" s="103">
        <v>8.07000034057E11</v>
      </c>
      <c r="D2236" s="103" t="s">
        <v>11272</v>
      </c>
      <c r="E2236" s="103" t="s">
        <v>11273</v>
      </c>
      <c r="F2236" s="123" t="s">
        <v>11274</v>
      </c>
      <c r="G2236" s="123" t="s">
        <v>127</v>
      </c>
      <c r="H2236" s="123">
        <v>4400.0</v>
      </c>
      <c r="I2236" s="211" t="s">
        <v>10821</v>
      </c>
      <c r="J2236" s="211" t="s">
        <v>10822</v>
      </c>
      <c r="K2236" s="241">
        <v>1.0</v>
      </c>
      <c r="L2236" s="124">
        <v>3.87445754E8</v>
      </c>
    </row>
    <row r="2237">
      <c r="A2237" s="33" t="s">
        <v>11276</v>
      </c>
      <c r="B2237" s="122">
        <v>45994.0</v>
      </c>
      <c r="C2237" s="103">
        <v>8.07000034026E11</v>
      </c>
      <c r="D2237" s="103" t="s">
        <v>11277</v>
      </c>
      <c r="E2237" s="103" t="s">
        <v>11278</v>
      </c>
      <c r="F2237" s="123" t="s">
        <v>11279</v>
      </c>
      <c r="G2237" s="123" t="s">
        <v>127</v>
      </c>
      <c r="H2237" s="123">
        <v>4400.0</v>
      </c>
      <c r="I2237" s="211" t="s">
        <v>11280</v>
      </c>
      <c r="J2237" s="211" t="s">
        <v>11281</v>
      </c>
      <c r="K2237" s="241">
        <v>1.0</v>
      </c>
      <c r="L2237" s="124">
        <v>3.8744551E9</v>
      </c>
    </row>
    <row r="2238">
      <c r="A2238" s="33" t="s">
        <v>11276</v>
      </c>
      <c r="B2238" s="122">
        <v>45994.0</v>
      </c>
      <c r="C2238" s="240">
        <v>8.07000034026E11</v>
      </c>
      <c r="D2238" s="240" t="s">
        <v>11277</v>
      </c>
      <c r="E2238" s="240" t="s">
        <v>11278</v>
      </c>
      <c r="F2238" s="123" t="s">
        <v>11279</v>
      </c>
      <c r="G2238" s="123" t="s">
        <v>127</v>
      </c>
      <c r="H2238" s="123">
        <v>4400.0</v>
      </c>
      <c r="I2238" s="224" t="s">
        <v>4793</v>
      </c>
      <c r="J2238" s="224" t="s">
        <v>4794</v>
      </c>
      <c r="K2238" s="242">
        <v>1.0</v>
      </c>
      <c r="L2238" s="124">
        <v>3.8744551E9</v>
      </c>
    </row>
    <row r="2239">
      <c r="A2239" s="33" t="s">
        <v>11282</v>
      </c>
      <c r="B2239" s="122">
        <v>45994.0</v>
      </c>
      <c r="C2239" s="103">
        <v>8.07000034029E11</v>
      </c>
      <c r="D2239" s="103" t="s">
        <v>11283</v>
      </c>
      <c r="E2239" s="103" t="s">
        <v>11284</v>
      </c>
      <c r="F2239" s="123" t="s">
        <v>11285</v>
      </c>
      <c r="G2239" s="123" t="s">
        <v>127</v>
      </c>
      <c r="H2239" s="123">
        <v>4400.0</v>
      </c>
      <c r="I2239" s="211" t="s">
        <v>512</v>
      </c>
      <c r="J2239" s="211" t="s">
        <v>513</v>
      </c>
      <c r="K2239" s="241">
        <v>6.0</v>
      </c>
      <c r="L2239" s="124">
        <v>3.874828877E9</v>
      </c>
    </row>
    <row r="2240">
      <c r="A2240" s="33" t="s">
        <v>11282</v>
      </c>
      <c r="B2240" s="122">
        <v>45994.0</v>
      </c>
      <c r="C2240" s="240">
        <v>8.0700003403E11</v>
      </c>
      <c r="D2240" s="240" t="s">
        <v>11283</v>
      </c>
      <c r="E2240" s="240" t="s">
        <v>11284</v>
      </c>
      <c r="F2240" s="123" t="s">
        <v>11285</v>
      </c>
      <c r="G2240" s="123" t="s">
        <v>127</v>
      </c>
      <c r="H2240" s="123">
        <v>4400.0</v>
      </c>
      <c r="I2240" s="224" t="s">
        <v>3154</v>
      </c>
      <c r="J2240" s="224" t="s">
        <v>4564</v>
      </c>
      <c r="K2240" s="242">
        <v>1.0</v>
      </c>
      <c r="L2240" s="124">
        <v>3.874828877E9</v>
      </c>
    </row>
    <row r="2241">
      <c r="A2241" s="33" t="s">
        <v>11282</v>
      </c>
      <c r="B2241" s="122">
        <v>45994.0</v>
      </c>
      <c r="C2241" s="103">
        <v>8.0700003403E11</v>
      </c>
      <c r="D2241" s="103" t="s">
        <v>11283</v>
      </c>
      <c r="E2241" s="103" t="s">
        <v>11284</v>
      </c>
      <c r="F2241" s="123" t="s">
        <v>11285</v>
      </c>
      <c r="G2241" s="123" t="s">
        <v>127</v>
      </c>
      <c r="H2241" s="123">
        <v>4400.0</v>
      </c>
      <c r="I2241" s="211" t="s">
        <v>2031</v>
      </c>
      <c r="J2241" s="211" t="s">
        <v>3348</v>
      </c>
      <c r="K2241" s="241">
        <v>1.0</v>
      </c>
      <c r="L2241" s="124">
        <v>3.874828877E9</v>
      </c>
    </row>
    <row r="2242">
      <c r="A2242" s="33" t="s">
        <v>11286</v>
      </c>
      <c r="B2242" s="122">
        <v>45994.0</v>
      </c>
      <c r="C2242" s="103">
        <v>8.07000034024E11</v>
      </c>
      <c r="D2242" s="103" t="s">
        <v>11287</v>
      </c>
      <c r="E2242" s="103" t="s">
        <v>11288</v>
      </c>
      <c r="F2242" s="123" t="s">
        <v>11289</v>
      </c>
      <c r="G2242" s="123" t="s">
        <v>127</v>
      </c>
      <c r="H2242" s="123">
        <v>4400.0</v>
      </c>
      <c r="I2242" s="211">
        <v>125812.0</v>
      </c>
      <c r="J2242" s="211" t="s">
        <v>9317</v>
      </c>
      <c r="K2242" s="241">
        <v>2.0</v>
      </c>
      <c r="L2242" s="124">
        <v>3.87574995E9</v>
      </c>
    </row>
    <row r="2243">
      <c r="A2243" s="33" t="s">
        <v>11286</v>
      </c>
      <c r="B2243" s="122">
        <v>45994.0</v>
      </c>
      <c r="C2243" s="240">
        <v>8.07000034024E11</v>
      </c>
      <c r="D2243" s="240" t="s">
        <v>11287</v>
      </c>
      <c r="E2243" s="240" t="s">
        <v>11288</v>
      </c>
      <c r="F2243" s="123" t="s">
        <v>11289</v>
      </c>
      <c r="G2243" s="123" t="s">
        <v>127</v>
      </c>
      <c r="H2243" s="123">
        <v>4400.0</v>
      </c>
      <c r="I2243" s="224" t="s">
        <v>3334</v>
      </c>
      <c r="J2243" s="224" t="s">
        <v>3575</v>
      </c>
      <c r="K2243" s="242">
        <v>1.0</v>
      </c>
      <c r="L2243" s="124">
        <v>3.87574995E9</v>
      </c>
    </row>
    <row r="2244">
      <c r="A2244" s="33" t="s">
        <v>11286</v>
      </c>
      <c r="B2244" s="122">
        <v>45994.0</v>
      </c>
      <c r="C2244" s="103">
        <v>8.07000034024E11</v>
      </c>
      <c r="D2244" s="103" t="s">
        <v>11287</v>
      </c>
      <c r="E2244" s="103" t="s">
        <v>11288</v>
      </c>
      <c r="F2244" s="123" t="s">
        <v>11289</v>
      </c>
      <c r="G2244" s="123" t="s">
        <v>127</v>
      </c>
      <c r="H2244" s="123">
        <v>4400.0</v>
      </c>
      <c r="I2244" s="211" t="s">
        <v>512</v>
      </c>
      <c r="J2244" s="211" t="s">
        <v>513</v>
      </c>
      <c r="K2244" s="241">
        <v>12.0</v>
      </c>
      <c r="L2244" s="124">
        <v>3.87574995E9</v>
      </c>
    </row>
    <row r="2245">
      <c r="A2245" s="33" t="s">
        <v>11286</v>
      </c>
      <c r="B2245" s="122">
        <v>45994.0</v>
      </c>
      <c r="C2245" s="240">
        <v>8.07000034024E11</v>
      </c>
      <c r="D2245" s="240" t="s">
        <v>11287</v>
      </c>
      <c r="E2245" s="240" t="s">
        <v>11288</v>
      </c>
      <c r="F2245" s="123" t="s">
        <v>11289</v>
      </c>
      <c r="G2245" s="123" t="s">
        <v>127</v>
      </c>
      <c r="H2245" s="123">
        <v>4400.0</v>
      </c>
      <c r="I2245" s="224" t="s">
        <v>758</v>
      </c>
      <c r="J2245" s="224" t="s">
        <v>3574</v>
      </c>
      <c r="K2245" s="242">
        <v>2.0</v>
      </c>
      <c r="L2245" s="124">
        <v>3.87574995E9</v>
      </c>
    </row>
    <row r="2246">
      <c r="A2246" s="33" t="s">
        <v>11290</v>
      </c>
      <c r="B2246" s="122">
        <v>45994.0</v>
      </c>
      <c r="C2246" s="240">
        <v>8.07000034063E11</v>
      </c>
      <c r="D2246" s="240" t="s">
        <v>11291</v>
      </c>
      <c r="E2246" s="240" t="s">
        <v>11292</v>
      </c>
      <c r="F2246" s="123" t="s">
        <v>11293</v>
      </c>
      <c r="G2246" s="123" t="s">
        <v>127</v>
      </c>
      <c r="H2246" s="123">
        <v>4400.0</v>
      </c>
      <c r="I2246" s="224">
        <v>208501.0</v>
      </c>
      <c r="J2246" s="224" t="s">
        <v>481</v>
      </c>
      <c r="K2246" s="242">
        <v>2.0</v>
      </c>
      <c r="L2246" s="124">
        <v>3.875065217E9</v>
      </c>
    </row>
    <row r="2247">
      <c r="A2247" s="33" t="s">
        <v>11290</v>
      </c>
      <c r="B2247" s="122">
        <v>45994.0</v>
      </c>
      <c r="C2247" s="103">
        <v>8.07000034063E11</v>
      </c>
      <c r="D2247" s="103" t="s">
        <v>11291</v>
      </c>
      <c r="E2247" s="103" t="s">
        <v>11292</v>
      </c>
      <c r="F2247" s="123" t="s">
        <v>11293</v>
      </c>
      <c r="G2247" s="123" t="s">
        <v>127</v>
      </c>
      <c r="H2247" s="123">
        <v>4400.0</v>
      </c>
      <c r="I2247" s="211" t="s">
        <v>512</v>
      </c>
      <c r="J2247" s="211" t="s">
        <v>513</v>
      </c>
      <c r="K2247" s="241">
        <v>12.0</v>
      </c>
      <c r="L2247" s="124">
        <v>3.875065217E9</v>
      </c>
    </row>
    <row r="2248">
      <c r="A2248" s="33" t="s">
        <v>11290</v>
      </c>
      <c r="B2248" s="122">
        <v>45994.0</v>
      </c>
      <c r="C2248" s="240">
        <v>8.07000034064E11</v>
      </c>
      <c r="D2248" s="240" t="s">
        <v>11291</v>
      </c>
      <c r="E2248" s="240" t="s">
        <v>11292</v>
      </c>
      <c r="F2248" s="123" t="s">
        <v>11293</v>
      </c>
      <c r="G2248" s="123" t="s">
        <v>127</v>
      </c>
      <c r="H2248" s="123">
        <v>4400.0</v>
      </c>
      <c r="I2248" s="224" t="s">
        <v>3817</v>
      </c>
      <c r="J2248" s="224" t="s">
        <v>3818</v>
      </c>
      <c r="K2248" s="242">
        <v>1.0</v>
      </c>
      <c r="L2248" s="124">
        <v>3.875065217E9</v>
      </c>
    </row>
    <row r="2249">
      <c r="A2249" s="33" t="s">
        <v>11290</v>
      </c>
      <c r="B2249" s="122">
        <v>45994.0</v>
      </c>
      <c r="C2249" s="103">
        <v>8.07000034064E11</v>
      </c>
      <c r="D2249" s="103" t="s">
        <v>11291</v>
      </c>
      <c r="E2249" s="103" t="s">
        <v>11292</v>
      </c>
      <c r="F2249" s="123" t="s">
        <v>11293</v>
      </c>
      <c r="G2249" s="123" t="s">
        <v>127</v>
      </c>
      <c r="H2249" s="123">
        <v>4400.0</v>
      </c>
      <c r="I2249" s="211" t="s">
        <v>340</v>
      </c>
      <c r="J2249" s="211" t="s">
        <v>3486</v>
      </c>
      <c r="K2249" s="241">
        <v>2.0</v>
      </c>
      <c r="L2249" s="124">
        <v>3.875065217E9</v>
      </c>
    </row>
    <row r="2250">
      <c r="A2250" s="33" t="s">
        <v>11290</v>
      </c>
      <c r="B2250" s="122">
        <v>45994.0</v>
      </c>
      <c r="C2250" s="240">
        <v>8.07000034065E11</v>
      </c>
      <c r="D2250" s="240" t="s">
        <v>11291</v>
      </c>
      <c r="E2250" s="240" t="s">
        <v>11292</v>
      </c>
      <c r="F2250" s="123" t="s">
        <v>11293</v>
      </c>
      <c r="G2250" s="123" t="s">
        <v>127</v>
      </c>
      <c r="H2250" s="123">
        <v>4400.0</v>
      </c>
      <c r="I2250" s="224">
        <v>2.2346259137E10</v>
      </c>
      <c r="J2250" s="224" t="s">
        <v>7164</v>
      </c>
      <c r="K2250" s="242">
        <v>1.0</v>
      </c>
      <c r="L2250" s="124">
        <v>3.875065217E9</v>
      </c>
    </row>
    <row r="2251">
      <c r="A2251" s="33" t="s">
        <v>11294</v>
      </c>
      <c r="B2251" s="122">
        <v>45997.0</v>
      </c>
      <c r="C2251" s="103">
        <v>8.07000034071E11</v>
      </c>
      <c r="D2251" s="103" t="s">
        <v>11295</v>
      </c>
      <c r="E2251" s="103" t="s">
        <v>11296</v>
      </c>
      <c r="F2251" s="123" t="s">
        <v>11297</v>
      </c>
      <c r="G2251" s="123" t="s">
        <v>104</v>
      </c>
      <c r="H2251" s="123">
        <v>4400.0</v>
      </c>
      <c r="I2251" s="211">
        <v>186006.0</v>
      </c>
      <c r="J2251" s="211" t="s">
        <v>11298</v>
      </c>
      <c r="K2251" s="241">
        <v>1.0</v>
      </c>
      <c r="L2251" s="124"/>
    </row>
    <row r="2252">
      <c r="A2252" s="33" t="s">
        <v>11294</v>
      </c>
      <c r="B2252" s="122">
        <v>45997.0</v>
      </c>
      <c r="C2252" s="240">
        <v>8.07000034071E11</v>
      </c>
      <c r="D2252" s="240" t="s">
        <v>11295</v>
      </c>
      <c r="E2252" s="240" t="s">
        <v>11296</v>
      </c>
      <c r="F2252" s="123" t="s">
        <v>11297</v>
      </c>
      <c r="G2252" s="123" t="s">
        <v>104</v>
      </c>
      <c r="H2252" s="123">
        <v>4400.0</v>
      </c>
      <c r="I2252" s="224" t="s">
        <v>7371</v>
      </c>
      <c r="J2252" s="224" t="s">
        <v>8339</v>
      </c>
      <c r="K2252" s="242">
        <v>2.0</v>
      </c>
      <c r="L2252" s="124"/>
    </row>
    <row r="2253">
      <c r="A2253" s="33" t="s">
        <v>11299</v>
      </c>
      <c r="B2253" s="122">
        <v>45997.0</v>
      </c>
      <c r="C2253" s="240">
        <v>8.07000033901E11</v>
      </c>
      <c r="D2253" s="240" t="s">
        <v>11300</v>
      </c>
      <c r="E2253" s="240" t="s">
        <v>11301</v>
      </c>
      <c r="F2253" s="123" t="s">
        <v>11302</v>
      </c>
      <c r="G2253" s="123" t="s">
        <v>104</v>
      </c>
      <c r="H2253" s="123">
        <v>4400.0</v>
      </c>
      <c r="I2253" s="224" t="s">
        <v>11303</v>
      </c>
      <c r="J2253" s="224" t="s">
        <v>11304</v>
      </c>
      <c r="K2253" s="242">
        <v>1.0</v>
      </c>
      <c r="L2253" s="124">
        <v>3.875292724E9</v>
      </c>
    </row>
    <row r="2254">
      <c r="A2254" s="33" t="s">
        <v>11299</v>
      </c>
      <c r="B2254" s="122">
        <v>45997.0</v>
      </c>
      <c r="C2254" s="103">
        <v>8.07000033901E11</v>
      </c>
      <c r="D2254" s="103" t="s">
        <v>11300</v>
      </c>
      <c r="E2254" s="103" t="s">
        <v>11301</v>
      </c>
      <c r="F2254" s="123" t="s">
        <v>11302</v>
      </c>
      <c r="G2254" s="123" t="s">
        <v>104</v>
      </c>
      <c r="H2254" s="123">
        <v>4400.0</v>
      </c>
      <c r="I2254" s="211" t="s">
        <v>3131</v>
      </c>
      <c r="J2254" s="211" t="s">
        <v>3416</v>
      </c>
      <c r="K2254" s="241">
        <v>1.0</v>
      </c>
      <c r="L2254" s="124">
        <v>3.875292724E9</v>
      </c>
    </row>
    <row r="2255">
      <c r="A2255" s="33" t="s">
        <v>11299</v>
      </c>
      <c r="B2255" s="122">
        <v>45997.0</v>
      </c>
      <c r="C2255" s="103">
        <v>8.0700003408E11</v>
      </c>
      <c r="D2255" s="103" t="s">
        <v>11300</v>
      </c>
      <c r="E2255" s="103" t="s">
        <v>11301</v>
      </c>
      <c r="F2255" s="123" t="s">
        <v>11302</v>
      </c>
      <c r="G2255" s="123" t="s">
        <v>104</v>
      </c>
      <c r="H2255" s="123">
        <v>4400.0</v>
      </c>
      <c r="I2255" s="211" t="s">
        <v>8983</v>
      </c>
      <c r="J2255" s="211" t="s">
        <v>8984</v>
      </c>
      <c r="K2255" s="241">
        <v>1.0</v>
      </c>
      <c r="L2255" s="124">
        <v>3.875292724E9</v>
      </c>
    </row>
    <row r="2256">
      <c r="A2256" s="33" t="s">
        <v>11305</v>
      </c>
      <c r="B2256" s="122">
        <v>45997.0</v>
      </c>
      <c r="C2256" s="103">
        <v>8.05011561946E11</v>
      </c>
      <c r="D2256" s="103" t="s">
        <v>11306</v>
      </c>
      <c r="E2256" s="103" t="s">
        <v>11307</v>
      </c>
      <c r="F2256" s="241" t="s">
        <v>11308</v>
      </c>
      <c r="G2256" s="241" t="s">
        <v>20</v>
      </c>
      <c r="H2256" s="241">
        <v>4400.0</v>
      </c>
      <c r="I2256" s="211" t="s">
        <v>2171</v>
      </c>
      <c r="J2256" s="211" t="s">
        <v>3446</v>
      </c>
      <c r="K2256" s="241">
        <v>2.0</v>
      </c>
      <c r="L2256" s="124">
        <v>3.87538057E9</v>
      </c>
    </row>
    <row r="2257">
      <c r="A2257" s="33" t="s">
        <v>11305</v>
      </c>
      <c r="B2257" s="122">
        <v>45997.0</v>
      </c>
      <c r="C2257" s="240">
        <v>8.05011561946E11</v>
      </c>
      <c r="D2257" s="240" t="s">
        <v>11306</v>
      </c>
      <c r="E2257" s="240" t="s">
        <v>11307</v>
      </c>
      <c r="F2257" s="242" t="s">
        <v>11308</v>
      </c>
      <c r="G2257" s="242" t="s">
        <v>20</v>
      </c>
      <c r="H2257" s="242">
        <v>4400.0</v>
      </c>
      <c r="I2257" s="224" t="s">
        <v>512</v>
      </c>
      <c r="J2257" s="224" t="s">
        <v>513</v>
      </c>
      <c r="K2257" s="242">
        <v>12.0</v>
      </c>
      <c r="L2257" s="124">
        <v>3.87538057E9</v>
      </c>
    </row>
    <row r="2258">
      <c r="A2258" s="33" t="s">
        <v>11305</v>
      </c>
      <c r="B2258" s="122">
        <v>45997.0</v>
      </c>
      <c r="C2258" s="103">
        <v>8.05011561946E11</v>
      </c>
      <c r="D2258" s="103" t="s">
        <v>11306</v>
      </c>
      <c r="E2258" s="103" t="s">
        <v>11307</v>
      </c>
      <c r="F2258" s="241" t="s">
        <v>11308</v>
      </c>
      <c r="G2258" s="241" t="s">
        <v>20</v>
      </c>
      <c r="H2258" s="241">
        <v>4400.0</v>
      </c>
      <c r="I2258" s="211" t="s">
        <v>3447</v>
      </c>
      <c r="J2258" s="211" t="s">
        <v>3448</v>
      </c>
      <c r="K2258" s="241">
        <v>2.0</v>
      </c>
      <c r="L2258" s="124">
        <v>3.87538057E9</v>
      </c>
    </row>
    <row r="2259" ht="2.25" customHeight="1">
      <c r="A2259" s="244"/>
      <c r="B2259" s="245"/>
      <c r="C2259" s="271"/>
      <c r="D2259" s="271"/>
      <c r="E2259" s="271"/>
      <c r="F2259" s="273"/>
      <c r="G2259" s="273"/>
      <c r="H2259" s="273"/>
      <c r="I2259" s="272"/>
      <c r="J2259" s="272"/>
      <c r="K2259" s="273"/>
      <c r="L2259" s="247"/>
      <c r="M2259" s="233"/>
      <c r="N2259" s="233"/>
      <c r="O2259" s="233"/>
      <c r="P2259" s="233"/>
      <c r="Q2259" s="233"/>
      <c r="R2259" s="233"/>
      <c r="S2259" s="233"/>
      <c r="T2259" s="233"/>
      <c r="U2259" s="233"/>
      <c r="V2259" s="233"/>
      <c r="W2259" s="233"/>
      <c r="X2259" s="233"/>
      <c r="Y2259" s="233"/>
      <c r="Z2259" s="233"/>
      <c r="AA2259" s="233"/>
      <c r="AB2259" s="233"/>
      <c r="AC2259" s="233"/>
    </row>
    <row r="2260">
      <c r="A2260" s="33" t="s">
        <v>11309</v>
      </c>
      <c r="B2260" s="122">
        <v>46000.0</v>
      </c>
      <c r="C2260" s="103">
        <v>8.07000034109E11</v>
      </c>
      <c r="D2260" s="103" t="s">
        <v>11310</v>
      </c>
      <c r="E2260" s="103" t="s">
        <v>11311</v>
      </c>
      <c r="F2260" s="241" t="s">
        <v>11312</v>
      </c>
      <c r="G2260" s="241" t="s">
        <v>127</v>
      </c>
      <c r="H2260" s="241">
        <v>4400.0</v>
      </c>
      <c r="I2260" s="211" t="s">
        <v>947</v>
      </c>
      <c r="J2260" s="211" t="s">
        <v>3750</v>
      </c>
      <c r="K2260" s="241">
        <v>1.0</v>
      </c>
      <c r="L2260" s="124">
        <v>3.876331581E9</v>
      </c>
    </row>
    <row r="2261">
      <c r="A2261" s="33" t="s">
        <v>11313</v>
      </c>
      <c r="B2261" s="122">
        <v>46000.0</v>
      </c>
      <c r="C2261" s="240">
        <v>8.07000034101E11</v>
      </c>
      <c r="D2261" s="240" t="s">
        <v>11314</v>
      </c>
      <c r="E2261" s="240" t="s">
        <v>11315</v>
      </c>
      <c r="F2261" s="243" t="s">
        <v>11316</v>
      </c>
      <c r="G2261" s="123" t="s">
        <v>127</v>
      </c>
      <c r="H2261" s="123">
        <v>4400.0</v>
      </c>
      <c r="I2261" s="224" t="s">
        <v>2686</v>
      </c>
      <c r="J2261" s="224" t="s">
        <v>7670</v>
      </c>
      <c r="K2261" s="242">
        <v>1.0</v>
      </c>
      <c r="L2261" s="124">
        <v>3.874756665E9</v>
      </c>
    </row>
    <row r="2262">
      <c r="A2262" s="33" t="s">
        <v>11317</v>
      </c>
      <c r="B2262" s="122">
        <v>46000.0</v>
      </c>
      <c r="C2262" s="240">
        <v>8.07000034111E11</v>
      </c>
      <c r="D2262" s="240" t="s">
        <v>11318</v>
      </c>
      <c r="E2262" s="240" t="s">
        <v>11319</v>
      </c>
      <c r="F2262" s="123" t="s">
        <v>11320</v>
      </c>
      <c r="G2262" s="123" t="s">
        <v>127</v>
      </c>
      <c r="H2262" s="123">
        <v>4400.0</v>
      </c>
      <c r="I2262" s="224">
        <v>125818.0</v>
      </c>
      <c r="J2262" s="224" t="s">
        <v>4334</v>
      </c>
      <c r="K2262" s="242">
        <v>4.0</v>
      </c>
      <c r="L2262" s="124">
        <v>3.874833215E9</v>
      </c>
    </row>
    <row r="2263">
      <c r="A2263" s="33" t="s">
        <v>11317</v>
      </c>
      <c r="B2263" s="122">
        <v>46000.0</v>
      </c>
      <c r="C2263" s="103">
        <v>8.07000034111E11</v>
      </c>
      <c r="D2263" s="103" t="s">
        <v>11318</v>
      </c>
      <c r="E2263" s="103" t="s">
        <v>11319</v>
      </c>
      <c r="F2263" s="123" t="s">
        <v>11320</v>
      </c>
      <c r="G2263" s="123" t="s">
        <v>127</v>
      </c>
      <c r="H2263" s="123">
        <v>4400.0</v>
      </c>
      <c r="I2263" s="211" t="s">
        <v>512</v>
      </c>
      <c r="J2263" s="211" t="s">
        <v>513</v>
      </c>
      <c r="K2263" s="241">
        <v>24.0</v>
      </c>
      <c r="L2263" s="124">
        <v>3.874833215E9</v>
      </c>
    </row>
    <row r="2264">
      <c r="A2264" s="33" t="s">
        <v>11317</v>
      </c>
      <c r="B2264" s="122">
        <v>46000.0</v>
      </c>
      <c r="C2264" s="240">
        <v>8.07000034112E11</v>
      </c>
      <c r="D2264" s="240" t="s">
        <v>11318</v>
      </c>
      <c r="E2264" s="240" t="s">
        <v>11319</v>
      </c>
      <c r="F2264" s="123" t="s">
        <v>11320</v>
      </c>
      <c r="G2264" s="123" t="s">
        <v>127</v>
      </c>
      <c r="H2264" s="123">
        <v>4400.0</v>
      </c>
      <c r="I2264" s="224" t="s">
        <v>3334</v>
      </c>
      <c r="J2264" s="224" t="s">
        <v>3575</v>
      </c>
      <c r="K2264" s="242">
        <v>2.0</v>
      </c>
      <c r="L2264" s="124">
        <v>3.874833215E9</v>
      </c>
    </row>
    <row r="2265">
      <c r="A2265" s="33" t="s">
        <v>11317</v>
      </c>
      <c r="B2265" s="122">
        <v>46000.0</v>
      </c>
      <c r="C2265" s="103">
        <v>8.07000034112E11</v>
      </c>
      <c r="D2265" s="103" t="s">
        <v>11318</v>
      </c>
      <c r="E2265" s="103" t="s">
        <v>11319</v>
      </c>
      <c r="F2265" s="123" t="s">
        <v>11320</v>
      </c>
      <c r="G2265" s="123" t="s">
        <v>127</v>
      </c>
      <c r="H2265" s="123">
        <v>4400.0</v>
      </c>
      <c r="I2265" s="211" t="s">
        <v>758</v>
      </c>
      <c r="J2265" s="211" t="s">
        <v>3574</v>
      </c>
      <c r="K2265" s="241">
        <v>4.0</v>
      </c>
      <c r="L2265" s="124">
        <v>3.874833215E9</v>
      </c>
    </row>
    <row r="2266">
      <c r="A2266" s="33" t="s">
        <v>11321</v>
      </c>
      <c r="B2266" s="122">
        <v>46000.0</v>
      </c>
      <c r="C2266" s="240">
        <v>8.05011561395E11</v>
      </c>
      <c r="D2266" s="240" t="s">
        <v>11322</v>
      </c>
      <c r="E2266" s="240" t="s">
        <v>11323</v>
      </c>
      <c r="F2266" s="242" t="s">
        <v>11324</v>
      </c>
      <c r="G2266" s="242" t="s">
        <v>983</v>
      </c>
      <c r="H2266" s="242">
        <v>4400.0</v>
      </c>
      <c r="I2266" s="224" t="s">
        <v>11325</v>
      </c>
      <c r="J2266" s="224" t="s">
        <v>11326</v>
      </c>
      <c r="K2266" s="242">
        <v>1.0</v>
      </c>
      <c r="L2266" s="124">
        <v>3.874812392E9</v>
      </c>
    </row>
    <row r="2267">
      <c r="A2267" s="33" t="s">
        <v>11321</v>
      </c>
      <c r="B2267" s="122">
        <v>46000.0</v>
      </c>
      <c r="C2267" s="103">
        <v>8.05011561395E11</v>
      </c>
      <c r="D2267" s="103" t="s">
        <v>11322</v>
      </c>
      <c r="E2267" s="103" t="s">
        <v>11323</v>
      </c>
      <c r="F2267" s="241" t="s">
        <v>11324</v>
      </c>
      <c r="G2267" s="241" t="s">
        <v>983</v>
      </c>
      <c r="H2267" s="241">
        <v>4400.0</v>
      </c>
      <c r="I2267" s="211" t="s">
        <v>512</v>
      </c>
      <c r="J2267" s="211" t="s">
        <v>513</v>
      </c>
      <c r="K2267" s="241">
        <v>12.0</v>
      </c>
      <c r="L2267" s="124">
        <v>3.874812392E9</v>
      </c>
    </row>
    <row r="2268">
      <c r="A2268" s="33" t="s">
        <v>11321</v>
      </c>
      <c r="B2268" s="122">
        <v>46000.0</v>
      </c>
      <c r="C2268" s="240">
        <v>8.05011561395E11</v>
      </c>
      <c r="D2268" s="240" t="s">
        <v>11322</v>
      </c>
      <c r="E2268" s="240" t="s">
        <v>11323</v>
      </c>
      <c r="F2268" s="242" t="s">
        <v>11324</v>
      </c>
      <c r="G2268" s="242" t="s">
        <v>983</v>
      </c>
      <c r="H2268" s="242">
        <v>4400.0</v>
      </c>
      <c r="I2268" s="224" t="s">
        <v>758</v>
      </c>
      <c r="J2268" s="224" t="s">
        <v>3574</v>
      </c>
      <c r="K2268" s="242">
        <v>2.0</v>
      </c>
      <c r="L2268" s="124">
        <v>3.874812392E9</v>
      </c>
    </row>
    <row r="2269">
      <c r="A2269" s="33" t="s">
        <v>11327</v>
      </c>
      <c r="B2269" s="122">
        <v>46000.0</v>
      </c>
      <c r="C2269" s="240">
        <v>8.05011561543E11</v>
      </c>
      <c r="D2269" s="240" t="s">
        <v>11328</v>
      </c>
      <c r="E2269" s="240" t="s">
        <v>11329</v>
      </c>
      <c r="F2269" s="242" t="s">
        <v>11330</v>
      </c>
      <c r="G2269" s="242" t="s">
        <v>983</v>
      </c>
      <c r="H2269" s="242" t="s">
        <v>4086</v>
      </c>
      <c r="I2269" s="224" t="s">
        <v>3641</v>
      </c>
      <c r="J2269" s="224" t="s">
        <v>3642</v>
      </c>
      <c r="K2269" s="242">
        <v>1.0</v>
      </c>
      <c r="L2269" s="124">
        <v>3.8748103E9</v>
      </c>
    </row>
    <row r="2270">
      <c r="A2270" s="33" t="s">
        <v>11327</v>
      </c>
      <c r="B2270" s="122">
        <v>46000.0</v>
      </c>
      <c r="C2270" s="103">
        <v>8.05011561543E11</v>
      </c>
      <c r="D2270" s="103" t="s">
        <v>11328</v>
      </c>
      <c r="E2270" s="103" t="s">
        <v>11329</v>
      </c>
      <c r="F2270" s="241" t="s">
        <v>11330</v>
      </c>
      <c r="G2270" s="241" t="s">
        <v>983</v>
      </c>
      <c r="H2270" s="241" t="s">
        <v>4086</v>
      </c>
      <c r="I2270" s="211" t="s">
        <v>4793</v>
      </c>
      <c r="J2270" s="211" t="s">
        <v>4794</v>
      </c>
      <c r="K2270" s="241">
        <v>1.0</v>
      </c>
      <c r="L2270" s="124">
        <v>3.8748103E9</v>
      </c>
    </row>
    <row r="2271">
      <c r="A2271" s="33" t="s">
        <v>11331</v>
      </c>
      <c r="B2271" s="122">
        <v>46000.0</v>
      </c>
      <c r="C2271" s="240">
        <v>8.05011561681E11</v>
      </c>
      <c r="D2271" s="240" t="s">
        <v>11332</v>
      </c>
      <c r="E2271" s="240" t="s">
        <v>11333</v>
      </c>
      <c r="F2271" s="242" t="s">
        <v>11334</v>
      </c>
      <c r="G2271" s="242" t="s">
        <v>20</v>
      </c>
      <c r="H2271" s="242">
        <v>4400.0</v>
      </c>
      <c r="I2271" s="224" t="s">
        <v>3334</v>
      </c>
      <c r="J2271" s="224" t="s">
        <v>3575</v>
      </c>
      <c r="K2271" s="242">
        <v>1.0</v>
      </c>
      <c r="L2271" s="124">
        <v>3.876840482E9</v>
      </c>
    </row>
    <row r="2272">
      <c r="A2272" s="33" t="s">
        <v>11331</v>
      </c>
      <c r="B2272" s="122">
        <v>46000.0</v>
      </c>
      <c r="C2272" s="103">
        <v>8.05011561681E11</v>
      </c>
      <c r="D2272" s="103" t="s">
        <v>11332</v>
      </c>
      <c r="E2272" s="103" t="s">
        <v>11333</v>
      </c>
      <c r="F2272" s="241" t="s">
        <v>11334</v>
      </c>
      <c r="G2272" s="241" t="s">
        <v>20</v>
      </c>
      <c r="H2272" s="241">
        <v>4400.0</v>
      </c>
      <c r="I2272" s="211" t="s">
        <v>512</v>
      </c>
      <c r="J2272" s="211" t="s">
        <v>513</v>
      </c>
      <c r="K2272" s="241">
        <v>12.0</v>
      </c>
      <c r="L2272" s="124">
        <v>3.876840482E9</v>
      </c>
    </row>
    <row r="2273">
      <c r="A2273" s="33" t="s">
        <v>11331</v>
      </c>
      <c r="B2273" s="122">
        <v>46000.0</v>
      </c>
      <c r="C2273" s="240">
        <v>8.05011561681E11</v>
      </c>
      <c r="D2273" s="240" t="s">
        <v>11332</v>
      </c>
      <c r="E2273" s="240" t="s">
        <v>11333</v>
      </c>
      <c r="F2273" s="242" t="s">
        <v>11334</v>
      </c>
      <c r="G2273" s="242" t="s">
        <v>20</v>
      </c>
      <c r="H2273" s="242">
        <v>4400.0</v>
      </c>
      <c r="I2273" s="224" t="s">
        <v>758</v>
      </c>
      <c r="J2273" s="224" t="s">
        <v>3574</v>
      </c>
      <c r="K2273" s="242">
        <v>2.0</v>
      </c>
      <c r="L2273" s="124">
        <v>3.876840482E9</v>
      </c>
    </row>
    <row r="2274">
      <c r="A2274" s="33" t="s">
        <v>11335</v>
      </c>
      <c r="B2274" s="122">
        <v>46000.0</v>
      </c>
      <c r="C2274" s="240">
        <v>8.05011562243E11</v>
      </c>
      <c r="D2274" s="240" t="s">
        <v>11336</v>
      </c>
      <c r="E2274" s="240" t="s">
        <v>11337</v>
      </c>
      <c r="F2274" s="242" t="s">
        <v>11338</v>
      </c>
      <c r="G2274" s="242" t="s">
        <v>20</v>
      </c>
      <c r="H2274" s="242">
        <v>4400.0</v>
      </c>
      <c r="I2274" s="224" t="s">
        <v>5034</v>
      </c>
      <c r="J2274" s="224" t="s">
        <v>5035</v>
      </c>
      <c r="K2274" s="242">
        <v>1.0</v>
      </c>
      <c r="L2274" s="124">
        <v>3.875061307E9</v>
      </c>
    </row>
    <row r="2275">
      <c r="A2275" s="33" t="s">
        <v>11335</v>
      </c>
      <c r="B2275" s="122">
        <v>46000.0</v>
      </c>
      <c r="C2275" s="103">
        <v>8.05011562243E11</v>
      </c>
      <c r="D2275" s="103" t="s">
        <v>11336</v>
      </c>
      <c r="E2275" s="103" t="s">
        <v>11337</v>
      </c>
      <c r="F2275" s="241" t="s">
        <v>11338</v>
      </c>
      <c r="G2275" s="241" t="s">
        <v>20</v>
      </c>
      <c r="H2275" s="241">
        <v>4400.0</v>
      </c>
      <c r="I2275" s="211" t="s">
        <v>512</v>
      </c>
      <c r="J2275" s="211" t="s">
        <v>513</v>
      </c>
      <c r="K2275" s="241">
        <v>6.0</v>
      </c>
      <c r="L2275" s="124">
        <v>3.875061307E9</v>
      </c>
    </row>
    <row r="2276">
      <c r="A2276" s="33" t="s">
        <v>11335</v>
      </c>
      <c r="B2276" s="122">
        <v>46000.0</v>
      </c>
      <c r="C2276" s="240">
        <v>8.05011562243E11</v>
      </c>
      <c r="D2276" s="240" t="s">
        <v>11336</v>
      </c>
      <c r="E2276" s="240" t="s">
        <v>11337</v>
      </c>
      <c r="F2276" s="242" t="s">
        <v>11338</v>
      </c>
      <c r="G2276" s="242" t="s">
        <v>20</v>
      </c>
      <c r="H2276" s="242">
        <v>4400.0</v>
      </c>
      <c r="I2276" s="224" t="s">
        <v>670</v>
      </c>
      <c r="J2276" s="224" t="s">
        <v>3410</v>
      </c>
      <c r="K2276" s="242">
        <v>1.0</v>
      </c>
      <c r="L2276" s="124">
        <v>3.875061307E9</v>
      </c>
    </row>
    <row r="2277">
      <c r="A2277" s="33" t="s">
        <v>11339</v>
      </c>
      <c r="B2277" s="122">
        <v>46000.0</v>
      </c>
      <c r="C2277" s="240">
        <v>8.07000034115E11</v>
      </c>
      <c r="D2277" s="240" t="s">
        <v>11340</v>
      </c>
      <c r="E2277" s="240" t="s">
        <v>11341</v>
      </c>
      <c r="F2277" s="123" t="s">
        <v>11342</v>
      </c>
      <c r="G2277" s="123" t="s">
        <v>11343</v>
      </c>
      <c r="H2277" s="123">
        <v>4400.0</v>
      </c>
      <c r="I2277" s="224">
        <v>125810.0</v>
      </c>
      <c r="J2277" s="224" t="s">
        <v>4672</v>
      </c>
      <c r="K2277" s="242">
        <v>2.0</v>
      </c>
      <c r="L2277" s="124">
        <v>3.87533334E9</v>
      </c>
    </row>
    <row r="2278">
      <c r="A2278" s="33" t="s">
        <v>11344</v>
      </c>
      <c r="B2278" s="122">
        <v>46000.0</v>
      </c>
      <c r="C2278" s="103">
        <v>8.07000034116E11</v>
      </c>
      <c r="D2278" s="103" t="s">
        <v>11340</v>
      </c>
      <c r="E2278" s="103" t="s">
        <v>11341</v>
      </c>
      <c r="F2278" s="123" t="s">
        <v>11342</v>
      </c>
      <c r="G2278" s="123" t="s">
        <v>11343</v>
      </c>
      <c r="H2278" s="123">
        <v>4400.0</v>
      </c>
      <c r="I2278" s="211" t="s">
        <v>5262</v>
      </c>
      <c r="J2278" s="211" t="s">
        <v>5263</v>
      </c>
      <c r="K2278" s="241">
        <v>1.0</v>
      </c>
      <c r="L2278" s="124">
        <v>3.87533334E9</v>
      </c>
    </row>
    <row r="2279">
      <c r="A2279" s="33" t="s">
        <v>11344</v>
      </c>
      <c r="B2279" s="122">
        <v>46000.0</v>
      </c>
      <c r="C2279" s="240">
        <v>8.07000034116E11</v>
      </c>
      <c r="D2279" s="240" t="s">
        <v>11340</v>
      </c>
      <c r="E2279" s="240" t="s">
        <v>11341</v>
      </c>
      <c r="F2279" s="123" t="s">
        <v>11342</v>
      </c>
      <c r="G2279" s="123" t="s">
        <v>11343</v>
      </c>
      <c r="H2279" s="123">
        <v>4400.0</v>
      </c>
      <c r="I2279" s="224" t="s">
        <v>1379</v>
      </c>
      <c r="J2279" s="224" t="s">
        <v>7653</v>
      </c>
      <c r="K2279" s="242">
        <v>1.0</v>
      </c>
      <c r="L2279" s="124">
        <v>3.87533334E9</v>
      </c>
    </row>
    <row r="2280">
      <c r="A2280" s="33" t="s">
        <v>11345</v>
      </c>
      <c r="B2280" s="122">
        <v>46001.0</v>
      </c>
      <c r="C2280" s="240">
        <v>8.05011562195E11</v>
      </c>
      <c r="D2280" s="240" t="s">
        <v>11346</v>
      </c>
      <c r="E2280" s="240" t="s">
        <v>11347</v>
      </c>
      <c r="F2280" s="242" t="s">
        <v>11348</v>
      </c>
      <c r="G2280" s="242" t="s">
        <v>624</v>
      </c>
      <c r="H2280" s="242">
        <v>4403.0</v>
      </c>
      <c r="I2280" s="224">
        <v>111.0</v>
      </c>
      <c r="J2280" s="224" t="s">
        <v>11349</v>
      </c>
      <c r="K2280" s="242">
        <v>1.0</v>
      </c>
      <c r="L2280" s="124">
        <v>3.515990078E9</v>
      </c>
    </row>
    <row r="2281">
      <c r="A2281" s="33" t="s">
        <v>11345</v>
      </c>
      <c r="B2281" s="122">
        <v>46001.0</v>
      </c>
      <c r="C2281" s="103">
        <v>8.05011562195E11</v>
      </c>
      <c r="D2281" s="103" t="s">
        <v>11346</v>
      </c>
      <c r="E2281" s="103" t="s">
        <v>11347</v>
      </c>
      <c r="F2281" s="241" t="s">
        <v>11348</v>
      </c>
      <c r="G2281" s="241" t="s">
        <v>624</v>
      </c>
      <c r="H2281" s="241">
        <v>4403.0</v>
      </c>
      <c r="I2281" s="211">
        <v>125808.0</v>
      </c>
      <c r="J2281" s="211" t="s">
        <v>7199</v>
      </c>
      <c r="K2281" s="241">
        <v>2.0</v>
      </c>
      <c r="L2281" s="124">
        <v>3.515990078E9</v>
      </c>
    </row>
    <row r="2282">
      <c r="A2282" s="33" t="s">
        <v>11345</v>
      </c>
      <c r="B2282" s="122">
        <v>46001.0</v>
      </c>
      <c r="C2282" s="240">
        <v>8.05011562195E11</v>
      </c>
      <c r="D2282" s="240" t="s">
        <v>11346</v>
      </c>
      <c r="E2282" s="240" t="s">
        <v>11347</v>
      </c>
      <c r="F2282" s="242" t="s">
        <v>11348</v>
      </c>
      <c r="G2282" s="242" t="s">
        <v>624</v>
      </c>
      <c r="H2282" s="242">
        <v>4403.0</v>
      </c>
      <c r="I2282" s="224" t="s">
        <v>11280</v>
      </c>
      <c r="J2282" s="224" t="s">
        <v>11281</v>
      </c>
      <c r="K2282" s="242">
        <v>1.0</v>
      </c>
      <c r="L2282" s="124">
        <v>3.515990078E9</v>
      </c>
    </row>
    <row r="2283">
      <c r="A2283" s="33" t="s">
        <v>11345</v>
      </c>
      <c r="B2283" s="122">
        <v>46001.0</v>
      </c>
      <c r="C2283" s="103">
        <v>8.05011562195E11</v>
      </c>
      <c r="D2283" s="103" t="s">
        <v>11346</v>
      </c>
      <c r="E2283" s="103" t="s">
        <v>11347</v>
      </c>
      <c r="F2283" s="241" t="s">
        <v>11348</v>
      </c>
      <c r="G2283" s="241" t="s">
        <v>624</v>
      </c>
      <c r="H2283" s="241">
        <v>4403.0</v>
      </c>
      <c r="I2283" s="211" t="s">
        <v>512</v>
      </c>
      <c r="J2283" s="211" t="s">
        <v>513</v>
      </c>
      <c r="K2283" s="241">
        <v>6.0</v>
      </c>
      <c r="L2283" s="124">
        <v>3.515990078E9</v>
      </c>
    </row>
    <row r="2284">
      <c r="A2284" s="33" t="s">
        <v>11345</v>
      </c>
      <c r="B2284" s="122">
        <v>46001.0</v>
      </c>
      <c r="C2284" s="240">
        <v>8.05011562195E11</v>
      </c>
      <c r="D2284" s="240" t="s">
        <v>11346</v>
      </c>
      <c r="E2284" s="240" t="s">
        <v>11347</v>
      </c>
      <c r="F2284" s="242" t="s">
        <v>11348</v>
      </c>
      <c r="G2284" s="242" t="s">
        <v>624</v>
      </c>
      <c r="H2284" s="242">
        <v>4403.0</v>
      </c>
      <c r="I2284" s="224" t="s">
        <v>1345</v>
      </c>
      <c r="J2284" s="224" t="s">
        <v>3639</v>
      </c>
      <c r="K2284" s="242">
        <v>1.0</v>
      </c>
      <c r="L2284" s="124">
        <v>3.515990078E9</v>
      </c>
    </row>
    <row r="2285">
      <c r="A2285" s="33" t="s">
        <v>11350</v>
      </c>
      <c r="B2285" s="122">
        <v>46001.0</v>
      </c>
      <c r="C2285" s="240">
        <v>8.07000034079E11</v>
      </c>
      <c r="D2285" s="240" t="s">
        <v>11351</v>
      </c>
      <c r="E2285" s="240" t="s">
        <v>11352</v>
      </c>
      <c r="F2285" s="242" t="s">
        <v>11353</v>
      </c>
      <c r="G2285" s="242" t="s">
        <v>3262</v>
      </c>
      <c r="H2285" s="242">
        <v>4400.0</v>
      </c>
      <c r="I2285" s="224" t="s">
        <v>812</v>
      </c>
      <c r="J2285" s="224" t="s">
        <v>3564</v>
      </c>
      <c r="K2285" s="242">
        <v>1.0</v>
      </c>
      <c r="L2285" s="124">
        <v>3.876001601E9</v>
      </c>
    </row>
    <row r="2286">
      <c r="A2286" s="33" t="s">
        <v>11354</v>
      </c>
      <c r="B2286" s="122">
        <v>46002.0</v>
      </c>
      <c r="C2286" s="240">
        <v>8.0700003414E11</v>
      </c>
      <c r="D2286" s="240" t="s">
        <v>11355</v>
      </c>
      <c r="E2286" s="240" t="s">
        <v>11356</v>
      </c>
      <c r="F2286" s="123" t="s">
        <v>11357</v>
      </c>
      <c r="G2286" s="123" t="s">
        <v>4397</v>
      </c>
      <c r="H2286" s="123">
        <v>4400.0</v>
      </c>
      <c r="I2286" s="224" t="s">
        <v>947</v>
      </c>
      <c r="J2286" s="224" t="s">
        <v>3750</v>
      </c>
      <c r="K2286" s="242">
        <v>1.0</v>
      </c>
      <c r="L2286" s="124">
        <v>3.874880836E9</v>
      </c>
    </row>
    <row r="2287">
      <c r="A2287" s="33" t="s">
        <v>11358</v>
      </c>
      <c r="B2287" s="122">
        <v>46002.0</v>
      </c>
      <c r="C2287" s="240">
        <v>8.07000034141E11</v>
      </c>
      <c r="D2287" s="240" t="s">
        <v>11359</v>
      </c>
      <c r="E2287" s="240" t="s">
        <v>11360</v>
      </c>
      <c r="F2287" s="123" t="s">
        <v>11361</v>
      </c>
      <c r="G2287" s="123" t="s">
        <v>127</v>
      </c>
      <c r="H2287" s="123">
        <v>4400.0</v>
      </c>
      <c r="I2287" s="224" t="s">
        <v>512</v>
      </c>
      <c r="J2287" s="224" t="s">
        <v>513</v>
      </c>
      <c r="K2287" s="242">
        <v>6.0</v>
      </c>
      <c r="L2287" s="242">
        <v>3.87535561E9</v>
      </c>
    </row>
    <row r="2288">
      <c r="A2288" s="33" t="s">
        <v>11358</v>
      </c>
      <c r="B2288" s="122">
        <v>46002.0</v>
      </c>
      <c r="C2288" s="103">
        <v>8.07000034142E11</v>
      </c>
      <c r="D2288" s="103" t="s">
        <v>11359</v>
      </c>
      <c r="E2288" s="103" t="s">
        <v>11360</v>
      </c>
      <c r="F2288" s="123" t="s">
        <v>11361</v>
      </c>
      <c r="G2288" s="278" t="s">
        <v>127</v>
      </c>
      <c r="H2288" s="278">
        <v>4400.0</v>
      </c>
      <c r="I2288" s="211" t="s">
        <v>1419</v>
      </c>
      <c r="J2288" s="211" t="s">
        <v>8456</v>
      </c>
      <c r="K2288" s="241">
        <v>1.0</v>
      </c>
      <c r="L2288" s="242">
        <v>3.87535561E9</v>
      </c>
    </row>
    <row r="2289">
      <c r="A2289" s="33" t="s">
        <v>11358</v>
      </c>
      <c r="B2289" s="122">
        <v>46002.0</v>
      </c>
      <c r="C2289" s="240">
        <v>8.07000034142E11</v>
      </c>
      <c r="D2289" s="240" t="s">
        <v>11359</v>
      </c>
      <c r="E2289" s="240" t="s">
        <v>11360</v>
      </c>
      <c r="F2289" s="123" t="s">
        <v>11361</v>
      </c>
      <c r="G2289" s="279" t="s">
        <v>127</v>
      </c>
      <c r="H2289" s="279">
        <v>4400.0</v>
      </c>
      <c r="I2289" s="224" t="s">
        <v>169</v>
      </c>
      <c r="J2289" s="224" t="s">
        <v>4514</v>
      </c>
      <c r="K2289" s="242">
        <v>1.0</v>
      </c>
      <c r="L2289" s="242">
        <v>3.87535561E9</v>
      </c>
    </row>
    <row r="2290">
      <c r="A2290" s="33" t="s">
        <v>11362</v>
      </c>
      <c r="B2290" s="122">
        <v>46005.0</v>
      </c>
      <c r="C2290" s="240">
        <v>8.0700003415E11</v>
      </c>
      <c r="D2290" s="240" t="s">
        <v>11183</v>
      </c>
      <c r="E2290" s="240" t="s">
        <v>11184</v>
      </c>
      <c r="F2290" s="242" t="s">
        <v>11363</v>
      </c>
      <c r="G2290" s="242" t="s">
        <v>127</v>
      </c>
      <c r="H2290" s="242">
        <v>4400.0</v>
      </c>
      <c r="I2290" s="224" t="s">
        <v>11364</v>
      </c>
      <c r="J2290" s="224" t="s">
        <v>11365</v>
      </c>
      <c r="K2290" s="242">
        <v>1.0</v>
      </c>
      <c r="L2290" s="242">
        <v>3.886534709E9</v>
      </c>
    </row>
    <row r="2291">
      <c r="A2291" s="33" t="s">
        <v>11362</v>
      </c>
      <c r="B2291" s="122">
        <v>46005.0</v>
      </c>
      <c r="C2291" s="103">
        <v>8.07000034151E11</v>
      </c>
      <c r="D2291" s="103" t="s">
        <v>11183</v>
      </c>
      <c r="E2291" s="103" t="s">
        <v>11184</v>
      </c>
      <c r="F2291" s="242" t="s">
        <v>11363</v>
      </c>
      <c r="G2291" s="241" t="s">
        <v>127</v>
      </c>
      <c r="H2291" s="241">
        <v>4400.0</v>
      </c>
      <c r="I2291" s="211" t="s">
        <v>985</v>
      </c>
      <c r="J2291" s="211" t="s">
        <v>3600</v>
      </c>
      <c r="K2291" s="241">
        <v>1.0</v>
      </c>
      <c r="L2291" s="242">
        <v>3.886534709E9</v>
      </c>
    </row>
    <row r="2292">
      <c r="A2292" s="33" t="s">
        <v>11366</v>
      </c>
      <c r="B2292" s="122">
        <v>46005.0</v>
      </c>
      <c r="C2292" s="240">
        <v>8.07000034153E11</v>
      </c>
      <c r="D2292" s="240" t="s">
        <v>11367</v>
      </c>
      <c r="E2292" s="240" t="s">
        <v>11368</v>
      </c>
      <c r="F2292" s="123" t="s">
        <v>11369</v>
      </c>
      <c r="G2292" s="123" t="s">
        <v>1986</v>
      </c>
      <c r="H2292" s="123">
        <v>4400.0</v>
      </c>
      <c r="I2292" s="224" t="s">
        <v>8604</v>
      </c>
      <c r="J2292" s="224" t="s">
        <v>8605</v>
      </c>
      <c r="K2292" s="242">
        <v>1.0</v>
      </c>
      <c r="L2292" s="124">
        <v>3.874423354E9</v>
      </c>
    </row>
    <row r="2293">
      <c r="A2293" s="33" t="s">
        <v>11366</v>
      </c>
      <c r="B2293" s="122">
        <v>46005.0</v>
      </c>
      <c r="C2293" s="103">
        <v>8.07000034153E11</v>
      </c>
      <c r="D2293" s="103" t="s">
        <v>11367</v>
      </c>
      <c r="E2293" s="103" t="s">
        <v>11368</v>
      </c>
      <c r="F2293" s="123" t="s">
        <v>11369</v>
      </c>
      <c r="G2293" s="123" t="s">
        <v>1986</v>
      </c>
      <c r="H2293" s="123">
        <v>4400.0</v>
      </c>
      <c r="I2293" s="211" t="s">
        <v>4793</v>
      </c>
      <c r="J2293" s="211" t="s">
        <v>4794</v>
      </c>
      <c r="K2293" s="241">
        <v>1.0</v>
      </c>
      <c r="L2293" s="124">
        <v>3.874423354E9</v>
      </c>
    </row>
    <row r="2294">
      <c r="A2294" s="33" t="s">
        <v>11370</v>
      </c>
      <c r="B2294" s="122">
        <v>46005.0</v>
      </c>
      <c r="C2294" s="240">
        <v>8.07000034157E11</v>
      </c>
      <c r="D2294" s="240" t="s">
        <v>11371</v>
      </c>
      <c r="E2294" s="240" t="s">
        <v>11372</v>
      </c>
      <c r="F2294" s="123" t="s">
        <v>11373</v>
      </c>
      <c r="G2294" s="123" t="s">
        <v>127</v>
      </c>
      <c r="H2294" s="123">
        <v>4400.0</v>
      </c>
      <c r="I2294" s="224" t="s">
        <v>3334</v>
      </c>
      <c r="J2294" s="224" t="s">
        <v>3575</v>
      </c>
      <c r="K2294" s="242">
        <v>1.0</v>
      </c>
      <c r="L2294" s="124">
        <v>3.875002391E9</v>
      </c>
    </row>
    <row r="2295">
      <c r="A2295" s="33" t="s">
        <v>11374</v>
      </c>
      <c r="B2295" s="122">
        <v>46005.0</v>
      </c>
      <c r="C2295" s="103">
        <v>8.07000034154E11</v>
      </c>
      <c r="D2295" s="103" t="s">
        <v>11375</v>
      </c>
      <c r="E2295" s="103" t="s">
        <v>11376</v>
      </c>
      <c r="F2295" s="123" t="s">
        <v>11377</v>
      </c>
      <c r="G2295" s="123" t="s">
        <v>127</v>
      </c>
      <c r="H2295" s="123">
        <v>4400.0</v>
      </c>
      <c r="I2295" s="211">
        <v>125812.0</v>
      </c>
      <c r="J2295" s="211" t="s">
        <v>9317</v>
      </c>
      <c r="K2295" s="241">
        <v>2.0</v>
      </c>
      <c r="L2295" s="124">
        <v>3.874502328E9</v>
      </c>
    </row>
    <row r="2296">
      <c r="A2296" s="33" t="s">
        <v>11374</v>
      </c>
      <c r="B2296" s="122">
        <v>46005.0</v>
      </c>
      <c r="C2296" s="240">
        <v>8.07000034154E11</v>
      </c>
      <c r="D2296" s="240" t="s">
        <v>11375</v>
      </c>
      <c r="E2296" s="240" t="s">
        <v>11376</v>
      </c>
      <c r="F2296" s="123" t="s">
        <v>11377</v>
      </c>
      <c r="G2296" s="123" t="s">
        <v>127</v>
      </c>
      <c r="H2296" s="123">
        <v>4400.0</v>
      </c>
      <c r="I2296" s="224" t="s">
        <v>1766</v>
      </c>
      <c r="J2296" s="224" t="s">
        <v>8008</v>
      </c>
      <c r="K2296" s="242">
        <v>1.0</v>
      </c>
      <c r="L2296" s="124">
        <v>3.874502328E9</v>
      </c>
    </row>
    <row r="2297">
      <c r="A2297" s="33" t="s">
        <v>11374</v>
      </c>
      <c r="B2297" s="122">
        <v>46005.0</v>
      </c>
      <c r="C2297" s="103">
        <v>8.07000034154E11</v>
      </c>
      <c r="D2297" s="103" t="s">
        <v>11375</v>
      </c>
      <c r="E2297" s="103" t="s">
        <v>11376</v>
      </c>
      <c r="F2297" s="123" t="s">
        <v>11377</v>
      </c>
      <c r="G2297" s="123" t="s">
        <v>127</v>
      </c>
      <c r="H2297" s="123">
        <v>4400.0</v>
      </c>
      <c r="I2297" s="211" t="s">
        <v>11083</v>
      </c>
      <c r="J2297" s="211" t="s">
        <v>11215</v>
      </c>
      <c r="K2297" s="241">
        <v>1.0</v>
      </c>
      <c r="L2297" s="124">
        <v>3.874502328E9</v>
      </c>
    </row>
    <row r="2298">
      <c r="A2298" s="33" t="s">
        <v>11374</v>
      </c>
      <c r="B2298" s="122">
        <v>46005.0</v>
      </c>
      <c r="C2298" s="240">
        <v>8.07000034154E11</v>
      </c>
      <c r="D2298" s="240" t="s">
        <v>11375</v>
      </c>
      <c r="E2298" s="240" t="s">
        <v>11376</v>
      </c>
      <c r="F2298" s="123" t="s">
        <v>11377</v>
      </c>
      <c r="G2298" s="123" t="s">
        <v>127</v>
      </c>
      <c r="H2298" s="123">
        <v>4400.0</v>
      </c>
      <c r="I2298" s="224" t="s">
        <v>512</v>
      </c>
      <c r="J2298" s="224" t="s">
        <v>513</v>
      </c>
      <c r="K2298" s="242">
        <v>12.0</v>
      </c>
      <c r="L2298" s="124">
        <v>3.874502328E9</v>
      </c>
    </row>
    <row r="2299">
      <c r="A2299" s="33" t="s">
        <v>11374</v>
      </c>
      <c r="B2299" s="122">
        <v>46005.0</v>
      </c>
      <c r="C2299" s="103">
        <v>8.07000034154E11</v>
      </c>
      <c r="D2299" s="103" t="s">
        <v>11375</v>
      </c>
      <c r="E2299" s="103" t="s">
        <v>11376</v>
      </c>
      <c r="F2299" s="123" t="s">
        <v>11377</v>
      </c>
      <c r="G2299" s="123" t="s">
        <v>127</v>
      </c>
      <c r="H2299" s="123">
        <v>4400.0</v>
      </c>
      <c r="I2299" s="211" t="s">
        <v>233</v>
      </c>
      <c r="J2299" s="211" t="s">
        <v>3459</v>
      </c>
      <c r="K2299" s="241">
        <v>2.0</v>
      </c>
      <c r="L2299" s="124">
        <v>3.874502328E9</v>
      </c>
    </row>
    <row r="2300">
      <c r="A2300" s="33" t="s">
        <v>11378</v>
      </c>
      <c r="B2300" s="122">
        <v>46005.0</v>
      </c>
      <c r="C2300" s="240"/>
      <c r="E2300" s="240" t="s">
        <v>11379</v>
      </c>
      <c r="F2300" s="123" t="s">
        <v>11380</v>
      </c>
      <c r="G2300" s="123" t="s">
        <v>127</v>
      </c>
      <c r="H2300" s="123">
        <v>4400.0</v>
      </c>
      <c r="I2300" s="269" t="s">
        <v>2956</v>
      </c>
      <c r="J2300" s="224" t="s">
        <v>11381</v>
      </c>
      <c r="K2300" s="242">
        <v>1.0</v>
      </c>
      <c r="L2300" s="124">
        <v>3.874835474E9</v>
      </c>
    </row>
    <row r="2301">
      <c r="A2301" s="33" t="s">
        <v>11378</v>
      </c>
      <c r="B2301" s="122">
        <v>46005.0</v>
      </c>
      <c r="C2301" s="240"/>
      <c r="E2301" s="240" t="s">
        <v>11379</v>
      </c>
      <c r="F2301" s="123" t="s">
        <v>11380</v>
      </c>
      <c r="G2301" s="123" t="s">
        <v>127</v>
      </c>
      <c r="H2301" s="123">
        <v>4400.0</v>
      </c>
      <c r="I2301" s="269">
        <v>125818.0</v>
      </c>
      <c r="J2301" s="224" t="s">
        <v>11382</v>
      </c>
      <c r="K2301" s="242">
        <v>2.0</v>
      </c>
      <c r="L2301" s="124">
        <v>3.874835474E9</v>
      </c>
    </row>
    <row r="2302">
      <c r="A2302" s="33" t="s">
        <v>11383</v>
      </c>
      <c r="B2302" s="122">
        <v>46005.0</v>
      </c>
      <c r="C2302" s="240"/>
      <c r="E2302" s="240" t="s">
        <v>11384</v>
      </c>
      <c r="F2302" s="123" t="s">
        <v>11385</v>
      </c>
      <c r="G2302" s="123" t="s">
        <v>127</v>
      </c>
      <c r="H2302" s="123">
        <v>4400.0</v>
      </c>
      <c r="I2302" s="224" t="s">
        <v>659</v>
      </c>
      <c r="J2302" s="224" t="s">
        <v>11386</v>
      </c>
      <c r="K2302" s="242">
        <v>1.0</v>
      </c>
      <c r="L2302" s="124">
        <v>3.87462342E9</v>
      </c>
    </row>
    <row r="2303">
      <c r="A2303" s="33" t="s">
        <v>11387</v>
      </c>
      <c r="B2303" s="122">
        <v>46007.0</v>
      </c>
      <c r="C2303" s="240">
        <v>8.07000034169E11</v>
      </c>
      <c r="D2303" s="54" t="s">
        <v>11388</v>
      </c>
      <c r="E2303" s="240" t="s">
        <v>11389</v>
      </c>
      <c r="F2303" s="280" t="s">
        <v>11390</v>
      </c>
      <c r="G2303" s="123" t="s">
        <v>104</v>
      </c>
      <c r="H2303" s="123">
        <v>4400.0</v>
      </c>
      <c r="I2303" s="224" t="s">
        <v>512</v>
      </c>
      <c r="J2303" s="224" t="s">
        <v>513</v>
      </c>
      <c r="K2303" s="242">
        <v>12.0</v>
      </c>
      <c r="L2303" s="124">
        <v>3.815427935E9</v>
      </c>
    </row>
    <row r="2304">
      <c r="A2304" s="33" t="s">
        <v>11387</v>
      </c>
      <c r="B2304" s="122">
        <v>46007.0</v>
      </c>
      <c r="C2304" s="103">
        <v>8.0700003417E11</v>
      </c>
      <c r="D2304" s="103" t="s">
        <v>11388</v>
      </c>
      <c r="E2304" s="103" t="s">
        <v>11389</v>
      </c>
      <c r="F2304" s="280" t="s">
        <v>11390</v>
      </c>
      <c r="G2304" s="123" t="s">
        <v>104</v>
      </c>
      <c r="H2304" s="123">
        <v>4400.0</v>
      </c>
      <c r="I2304" s="211" t="s">
        <v>3692</v>
      </c>
      <c r="J2304" s="211" t="s">
        <v>3693</v>
      </c>
      <c r="K2304" s="241">
        <v>2.0</v>
      </c>
      <c r="L2304" s="124">
        <v>3.815427935E9</v>
      </c>
    </row>
    <row r="2305">
      <c r="A2305" s="33" t="s">
        <v>11387</v>
      </c>
      <c r="B2305" s="122">
        <v>46007.0</v>
      </c>
      <c r="C2305" s="240">
        <v>8.0700003417E11</v>
      </c>
      <c r="D2305" s="240" t="s">
        <v>11388</v>
      </c>
      <c r="E2305" s="240" t="s">
        <v>11389</v>
      </c>
      <c r="F2305" s="280" t="s">
        <v>11390</v>
      </c>
      <c r="G2305" s="123" t="s">
        <v>104</v>
      </c>
      <c r="H2305" s="123">
        <v>4400.0</v>
      </c>
      <c r="I2305" s="224" t="s">
        <v>1345</v>
      </c>
      <c r="J2305" s="224" t="s">
        <v>3639</v>
      </c>
      <c r="K2305" s="242">
        <v>2.0</v>
      </c>
      <c r="L2305" s="124">
        <v>3.815427935E9</v>
      </c>
    </row>
    <row r="2306">
      <c r="A2306" s="33" t="s">
        <v>11391</v>
      </c>
      <c r="B2306" s="122">
        <v>46008.0</v>
      </c>
      <c r="C2306" s="240">
        <v>8.0700003418E11</v>
      </c>
      <c r="D2306" s="240" t="s">
        <v>11388</v>
      </c>
      <c r="E2306" s="240" t="s">
        <v>11392</v>
      </c>
      <c r="F2306" s="242" t="s">
        <v>11393</v>
      </c>
      <c r="G2306" s="242" t="s">
        <v>127</v>
      </c>
      <c r="H2306" s="242">
        <v>4400.0</v>
      </c>
      <c r="I2306" s="224">
        <v>125818.0</v>
      </c>
      <c r="J2306" s="224" t="s">
        <v>4334</v>
      </c>
      <c r="K2306" s="242">
        <v>2.0</v>
      </c>
      <c r="L2306" s="124">
        <v>3.872247819E9</v>
      </c>
    </row>
    <row r="2307">
      <c r="A2307" s="33" t="s">
        <v>11391</v>
      </c>
      <c r="B2307" s="122">
        <v>46008.0</v>
      </c>
      <c r="C2307" s="103">
        <v>8.0700003418E11</v>
      </c>
      <c r="D2307" s="103" t="s">
        <v>11394</v>
      </c>
      <c r="E2307" s="103" t="s">
        <v>11392</v>
      </c>
      <c r="F2307" s="241" t="s">
        <v>11393</v>
      </c>
      <c r="G2307" s="241" t="s">
        <v>127</v>
      </c>
      <c r="H2307" s="241">
        <v>4400.0</v>
      </c>
      <c r="I2307" s="211" t="s">
        <v>512</v>
      </c>
      <c r="J2307" s="211" t="s">
        <v>513</v>
      </c>
      <c r="K2307" s="241">
        <v>6.0</v>
      </c>
      <c r="L2307" s="124">
        <v>3.872247819E9</v>
      </c>
    </row>
    <row r="2308">
      <c r="A2308" s="33" t="s">
        <v>11391</v>
      </c>
      <c r="B2308" s="122">
        <v>46008.0</v>
      </c>
      <c r="C2308" s="240">
        <v>8.07000034181E11</v>
      </c>
      <c r="D2308" s="240" t="s">
        <v>11394</v>
      </c>
      <c r="E2308" s="240" t="s">
        <v>11392</v>
      </c>
      <c r="F2308" s="242" t="s">
        <v>11393</v>
      </c>
      <c r="G2308" s="242" t="s">
        <v>127</v>
      </c>
      <c r="H2308" s="242">
        <v>4400.0</v>
      </c>
      <c r="I2308" s="224" t="s">
        <v>2956</v>
      </c>
      <c r="J2308" s="224" t="s">
        <v>3327</v>
      </c>
      <c r="K2308" s="242">
        <v>1.0</v>
      </c>
      <c r="L2308" s="124">
        <v>3.872247819E9</v>
      </c>
    </row>
    <row r="2309">
      <c r="A2309" s="33" t="s">
        <v>11391</v>
      </c>
      <c r="B2309" s="122">
        <v>46008.0</v>
      </c>
      <c r="C2309" s="103">
        <v>8.07000034181E11</v>
      </c>
      <c r="D2309" s="103" t="s">
        <v>11394</v>
      </c>
      <c r="E2309" s="103" t="s">
        <v>11392</v>
      </c>
      <c r="F2309" s="241" t="s">
        <v>11393</v>
      </c>
      <c r="G2309" s="241" t="s">
        <v>127</v>
      </c>
      <c r="H2309" s="241">
        <v>4400.0</v>
      </c>
      <c r="I2309" s="211" t="s">
        <v>670</v>
      </c>
      <c r="J2309" s="211" t="s">
        <v>3410</v>
      </c>
      <c r="K2309" s="241">
        <v>1.0</v>
      </c>
      <c r="L2309" s="124">
        <v>3.872247819E9</v>
      </c>
    </row>
    <row r="2310">
      <c r="A2310" s="33" t="s">
        <v>11395</v>
      </c>
      <c r="B2310" s="122">
        <v>46008.0</v>
      </c>
      <c r="C2310" s="103">
        <v>8.07000034185E11</v>
      </c>
      <c r="D2310" s="103" t="s">
        <v>11396</v>
      </c>
      <c r="E2310" s="103" t="s">
        <v>11397</v>
      </c>
      <c r="F2310" s="241" t="s">
        <v>11398</v>
      </c>
      <c r="G2310" s="241" t="s">
        <v>127</v>
      </c>
      <c r="H2310" s="241">
        <v>4400.0</v>
      </c>
      <c r="I2310" s="211" t="s">
        <v>5262</v>
      </c>
      <c r="J2310" s="211" t="s">
        <v>5263</v>
      </c>
      <c r="K2310" s="241">
        <v>1.0</v>
      </c>
      <c r="L2310" s="124">
        <v>3.874481993E9</v>
      </c>
    </row>
    <row r="2311">
      <c r="A2311" s="33" t="s">
        <v>11395</v>
      </c>
      <c r="B2311" s="122">
        <v>46008.0</v>
      </c>
      <c r="C2311" s="240">
        <v>8.07000034185E11</v>
      </c>
      <c r="D2311" s="240" t="s">
        <v>11396</v>
      </c>
      <c r="E2311" s="240" t="s">
        <v>11397</v>
      </c>
      <c r="F2311" s="241" t="s">
        <v>11398</v>
      </c>
      <c r="G2311" s="242" t="s">
        <v>127</v>
      </c>
      <c r="H2311" s="242">
        <v>4400.0</v>
      </c>
      <c r="I2311" s="224" t="s">
        <v>3074</v>
      </c>
      <c r="J2311" s="224" t="s">
        <v>3232</v>
      </c>
      <c r="K2311" s="242">
        <v>1.0</v>
      </c>
      <c r="L2311" s="124">
        <v>3.874481993E9</v>
      </c>
    </row>
    <row r="2312">
      <c r="A2312" s="33" t="s">
        <v>11395</v>
      </c>
      <c r="B2312" s="122">
        <v>46008.0</v>
      </c>
      <c r="C2312" s="103">
        <v>8.07000034186E11</v>
      </c>
      <c r="D2312" s="103" t="s">
        <v>11396</v>
      </c>
      <c r="E2312" s="103" t="s">
        <v>11397</v>
      </c>
      <c r="F2312" s="241" t="s">
        <v>11398</v>
      </c>
      <c r="G2312" s="241" t="s">
        <v>127</v>
      </c>
      <c r="H2312" s="241">
        <v>4400.0</v>
      </c>
      <c r="I2312" s="211" t="s">
        <v>4070</v>
      </c>
      <c r="J2312" s="211" t="s">
        <v>6264</v>
      </c>
      <c r="K2312" s="241">
        <v>1.0</v>
      </c>
      <c r="L2312" s="124">
        <v>3.874481993E9</v>
      </c>
    </row>
    <row r="2313">
      <c r="A2313" s="33" t="s">
        <v>11399</v>
      </c>
      <c r="B2313" s="122">
        <v>46008.0</v>
      </c>
      <c r="C2313" s="240">
        <v>8.07000034166E11</v>
      </c>
      <c r="D2313" s="240" t="s">
        <v>11400</v>
      </c>
      <c r="E2313" s="240" t="s">
        <v>11401</v>
      </c>
      <c r="F2313" s="242" t="s">
        <v>11402</v>
      </c>
      <c r="G2313" s="242" t="s">
        <v>127</v>
      </c>
      <c r="H2313" s="242">
        <v>4400.0</v>
      </c>
      <c r="I2313" s="224">
        <v>125814.0</v>
      </c>
      <c r="J2313" s="224" t="s">
        <v>9798</v>
      </c>
      <c r="K2313" s="242">
        <v>1.0</v>
      </c>
      <c r="L2313" s="124">
        <v>3.876854986E9</v>
      </c>
    </row>
    <row r="2314">
      <c r="A2314" s="33" t="s">
        <v>11399</v>
      </c>
      <c r="B2314" s="122">
        <v>46008.0</v>
      </c>
      <c r="C2314" s="103">
        <v>8.07000034166E11</v>
      </c>
      <c r="D2314" s="103" t="s">
        <v>11400</v>
      </c>
      <c r="E2314" s="103" t="s">
        <v>11401</v>
      </c>
      <c r="F2314" s="241" t="s">
        <v>11402</v>
      </c>
      <c r="G2314" s="241" t="s">
        <v>127</v>
      </c>
      <c r="H2314" s="241">
        <v>4400.0</v>
      </c>
      <c r="I2314" s="211" t="s">
        <v>5185</v>
      </c>
      <c r="J2314" s="211" t="s">
        <v>5186</v>
      </c>
      <c r="K2314" s="241">
        <v>1.0</v>
      </c>
      <c r="L2314" s="124">
        <v>3.876854986E9</v>
      </c>
    </row>
    <row r="2315">
      <c r="A2315" s="33" t="s">
        <v>11399</v>
      </c>
      <c r="B2315" s="122">
        <v>46008.0</v>
      </c>
      <c r="C2315" s="240">
        <v>8.07000034166E11</v>
      </c>
      <c r="D2315" s="240" t="s">
        <v>11400</v>
      </c>
      <c r="E2315" s="240" t="s">
        <v>11401</v>
      </c>
      <c r="F2315" s="242" t="s">
        <v>11402</v>
      </c>
      <c r="G2315" s="242" t="s">
        <v>127</v>
      </c>
      <c r="H2315" s="242">
        <v>4400.0</v>
      </c>
      <c r="I2315" s="224" t="s">
        <v>512</v>
      </c>
      <c r="J2315" s="224" t="s">
        <v>513</v>
      </c>
      <c r="K2315" s="242">
        <v>6.0</v>
      </c>
      <c r="L2315" s="124">
        <v>3.876854986E9</v>
      </c>
    </row>
    <row r="2316">
      <c r="A2316" s="33" t="s">
        <v>11399</v>
      </c>
      <c r="B2316" s="122">
        <v>46008.0</v>
      </c>
      <c r="C2316" s="103">
        <v>8.07000034166E11</v>
      </c>
      <c r="D2316" s="103" t="s">
        <v>11400</v>
      </c>
      <c r="E2316" s="103" t="s">
        <v>11401</v>
      </c>
      <c r="F2316" s="241" t="s">
        <v>11402</v>
      </c>
      <c r="G2316" s="241" t="s">
        <v>127</v>
      </c>
      <c r="H2316" s="241">
        <v>4400.0</v>
      </c>
      <c r="I2316" s="211" t="s">
        <v>2031</v>
      </c>
      <c r="J2316" s="211" t="s">
        <v>3348</v>
      </c>
      <c r="K2316" s="241">
        <v>1.0</v>
      </c>
      <c r="L2316" s="124">
        <v>3.876854986E9</v>
      </c>
    </row>
    <row r="2317">
      <c r="A2317" s="33" t="s">
        <v>11403</v>
      </c>
      <c r="B2317" s="122">
        <v>46008.0</v>
      </c>
      <c r="C2317" s="240">
        <v>8.07000034178E11</v>
      </c>
      <c r="D2317" s="240" t="s">
        <v>11404</v>
      </c>
      <c r="E2317" s="240" t="s">
        <v>11405</v>
      </c>
      <c r="F2317" s="242" t="s">
        <v>11406</v>
      </c>
      <c r="G2317" s="242" t="s">
        <v>127</v>
      </c>
      <c r="H2317" s="242">
        <v>4400.0</v>
      </c>
      <c r="I2317" s="224" t="s">
        <v>280</v>
      </c>
      <c r="J2317" s="224" t="s">
        <v>5669</v>
      </c>
      <c r="K2317" s="242">
        <v>1.0</v>
      </c>
      <c r="L2317" s="124">
        <v>1.132447914E9</v>
      </c>
    </row>
    <row r="2318">
      <c r="A2318" s="33" t="s">
        <v>11403</v>
      </c>
      <c r="B2318" s="122">
        <v>46008.0</v>
      </c>
      <c r="C2318" s="103">
        <v>8.07000034178E11</v>
      </c>
      <c r="D2318" s="103" t="s">
        <v>11404</v>
      </c>
      <c r="E2318" s="103" t="s">
        <v>11405</v>
      </c>
      <c r="F2318" s="241" t="s">
        <v>11406</v>
      </c>
      <c r="G2318" s="241" t="s">
        <v>127</v>
      </c>
      <c r="H2318" s="241">
        <v>4400.0</v>
      </c>
      <c r="I2318" s="211" t="s">
        <v>512</v>
      </c>
      <c r="J2318" s="211" t="s">
        <v>513</v>
      </c>
      <c r="K2318" s="241">
        <v>12.0</v>
      </c>
      <c r="L2318" s="124">
        <v>1.132447914E9</v>
      </c>
    </row>
    <row r="2319">
      <c r="A2319" s="33" t="s">
        <v>11403</v>
      </c>
      <c r="B2319" s="122">
        <v>46008.0</v>
      </c>
      <c r="C2319" s="240">
        <v>8.07000034178E11</v>
      </c>
      <c r="D2319" s="240" t="s">
        <v>11404</v>
      </c>
      <c r="E2319" s="240" t="s">
        <v>11405</v>
      </c>
      <c r="F2319" s="242" t="s">
        <v>11406</v>
      </c>
      <c r="G2319" s="242" t="s">
        <v>127</v>
      </c>
      <c r="H2319" s="242">
        <v>4400.0</v>
      </c>
      <c r="I2319" s="224" t="s">
        <v>340</v>
      </c>
      <c r="J2319" s="224" t="s">
        <v>3486</v>
      </c>
      <c r="K2319" s="242">
        <v>2.0</v>
      </c>
      <c r="L2319" s="124">
        <v>1.132447914E9</v>
      </c>
    </row>
    <row r="2320">
      <c r="A2320" s="33" t="s">
        <v>11403</v>
      </c>
      <c r="B2320" s="122">
        <v>46008.0</v>
      </c>
      <c r="C2320" s="103">
        <v>8.07000034179E11</v>
      </c>
      <c r="D2320" s="103" t="s">
        <v>11404</v>
      </c>
      <c r="E2320" s="103" t="s">
        <v>11405</v>
      </c>
      <c r="F2320" s="241" t="s">
        <v>11406</v>
      </c>
      <c r="G2320" s="241" t="s">
        <v>127</v>
      </c>
      <c r="H2320" s="241">
        <v>4400.0</v>
      </c>
      <c r="I2320" s="211" t="s">
        <v>812</v>
      </c>
      <c r="J2320" s="211" t="s">
        <v>3564</v>
      </c>
      <c r="K2320" s="241">
        <v>1.0</v>
      </c>
      <c r="L2320" s="124">
        <v>1.132447914E9</v>
      </c>
    </row>
    <row r="2321">
      <c r="A2321" s="33" t="s">
        <v>11407</v>
      </c>
      <c r="B2321" s="122">
        <v>46008.0</v>
      </c>
      <c r="C2321" s="240">
        <v>8.07000034182E11</v>
      </c>
      <c r="D2321" s="240" t="s">
        <v>11408</v>
      </c>
      <c r="E2321" s="240" t="s">
        <v>11409</v>
      </c>
      <c r="F2321" s="242" t="s">
        <v>11410</v>
      </c>
      <c r="G2321" s="242" t="s">
        <v>127</v>
      </c>
      <c r="H2321" s="242">
        <v>4400.0</v>
      </c>
      <c r="I2321" s="224">
        <v>125818.0</v>
      </c>
      <c r="J2321" s="224" t="s">
        <v>4334</v>
      </c>
      <c r="K2321" s="242">
        <v>2.0</v>
      </c>
      <c r="L2321" s="124">
        <v>3.874133412E9</v>
      </c>
    </row>
    <row r="2322">
      <c r="A2322" s="33" t="s">
        <v>11407</v>
      </c>
      <c r="B2322" s="122">
        <v>46008.0</v>
      </c>
      <c r="C2322" s="103">
        <v>8.07000034182E11</v>
      </c>
      <c r="D2322" s="103" t="s">
        <v>11408</v>
      </c>
      <c r="E2322" s="103" t="s">
        <v>11409</v>
      </c>
      <c r="F2322" s="241" t="s">
        <v>11410</v>
      </c>
      <c r="G2322" s="241" t="s">
        <v>127</v>
      </c>
      <c r="H2322" s="241">
        <v>4400.0</v>
      </c>
      <c r="I2322" s="211" t="s">
        <v>512</v>
      </c>
      <c r="J2322" s="211" t="s">
        <v>513</v>
      </c>
      <c r="K2322" s="241">
        <v>6.0</v>
      </c>
      <c r="L2322" s="124">
        <v>3.874133412E9</v>
      </c>
    </row>
    <row r="2323">
      <c r="A2323" s="33" t="s">
        <v>11407</v>
      </c>
      <c r="B2323" s="122">
        <v>46008.0</v>
      </c>
      <c r="C2323" s="240">
        <v>8.07000034183E11</v>
      </c>
      <c r="D2323" s="240" t="s">
        <v>11408</v>
      </c>
      <c r="E2323" s="240" t="s">
        <v>11409</v>
      </c>
      <c r="F2323" s="242" t="s">
        <v>11410</v>
      </c>
      <c r="G2323" s="242" t="s">
        <v>127</v>
      </c>
      <c r="H2323" s="242">
        <v>4400.0</v>
      </c>
      <c r="I2323" s="224" t="s">
        <v>8604</v>
      </c>
      <c r="J2323" s="224" t="s">
        <v>8605</v>
      </c>
      <c r="K2323" s="242">
        <v>1.0</v>
      </c>
      <c r="L2323" s="124">
        <v>3.874133412E9</v>
      </c>
    </row>
    <row r="2324">
      <c r="A2324" s="33" t="s">
        <v>11407</v>
      </c>
      <c r="B2324" s="122">
        <v>46008.0</v>
      </c>
      <c r="C2324" s="103">
        <v>8.07000034184E11</v>
      </c>
      <c r="D2324" s="103" t="s">
        <v>11408</v>
      </c>
      <c r="E2324" s="103" t="s">
        <v>11409</v>
      </c>
      <c r="F2324" s="241" t="s">
        <v>11410</v>
      </c>
      <c r="G2324" s="241" t="s">
        <v>127</v>
      </c>
      <c r="H2324" s="241">
        <v>4400.0</v>
      </c>
      <c r="I2324" s="211" t="s">
        <v>1345</v>
      </c>
      <c r="J2324" s="211" t="s">
        <v>3639</v>
      </c>
      <c r="K2324" s="241">
        <v>1.0</v>
      </c>
      <c r="L2324" s="124">
        <v>3.874133412E9</v>
      </c>
    </row>
    <row r="2325">
      <c r="A2325" s="33" t="s">
        <v>11411</v>
      </c>
      <c r="B2325" s="122">
        <v>46008.0</v>
      </c>
      <c r="C2325" s="103">
        <v>8.07000034191E11</v>
      </c>
      <c r="D2325" s="103" t="s">
        <v>11412</v>
      </c>
      <c r="E2325" s="103" t="s">
        <v>11413</v>
      </c>
      <c r="F2325" s="241" t="s">
        <v>11414</v>
      </c>
      <c r="G2325" s="241" t="s">
        <v>104</v>
      </c>
      <c r="H2325" s="241">
        <v>4400.0</v>
      </c>
      <c r="I2325" s="211" t="s">
        <v>32</v>
      </c>
      <c r="J2325" s="211" t="s">
        <v>3225</v>
      </c>
      <c r="K2325" s="241">
        <v>1.0</v>
      </c>
      <c r="L2325" s="124">
        <v>1.12380258E9</v>
      </c>
    </row>
    <row r="2326">
      <c r="A2326" s="33" t="s">
        <v>11411</v>
      </c>
      <c r="B2326" s="122">
        <v>46008.0</v>
      </c>
      <c r="C2326" s="240">
        <v>8.07000034191E11</v>
      </c>
      <c r="D2326" s="240" t="s">
        <v>11412</v>
      </c>
      <c r="E2326" s="240" t="s">
        <v>11413</v>
      </c>
      <c r="F2326" s="242" t="s">
        <v>11414</v>
      </c>
      <c r="G2326" s="242" t="s">
        <v>104</v>
      </c>
      <c r="H2326" s="242">
        <v>4400.0</v>
      </c>
      <c r="I2326" s="224" t="s">
        <v>512</v>
      </c>
      <c r="J2326" s="224" t="s">
        <v>513</v>
      </c>
      <c r="K2326" s="242">
        <v>6.0</v>
      </c>
      <c r="L2326" s="124">
        <v>1.12380258E9</v>
      </c>
    </row>
    <row r="2327">
      <c r="A2327" s="33" t="s">
        <v>11411</v>
      </c>
      <c r="B2327" s="122">
        <v>46008.0</v>
      </c>
      <c r="C2327" s="103">
        <v>8.07000034191E11</v>
      </c>
      <c r="D2327" s="103" t="s">
        <v>11412</v>
      </c>
      <c r="E2327" s="103" t="s">
        <v>11413</v>
      </c>
      <c r="F2327" s="241" t="s">
        <v>11414</v>
      </c>
      <c r="G2327" s="241" t="s">
        <v>104</v>
      </c>
      <c r="H2327" s="241">
        <v>4400.0</v>
      </c>
      <c r="I2327" s="211" t="s">
        <v>35</v>
      </c>
      <c r="J2327" s="211" t="s">
        <v>3188</v>
      </c>
      <c r="K2327" s="241">
        <v>1.0</v>
      </c>
      <c r="L2327" s="124">
        <v>1.12380258E9</v>
      </c>
    </row>
    <row r="2328">
      <c r="A2328" s="33" t="s">
        <v>11415</v>
      </c>
      <c r="B2328" s="122">
        <v>46008.0</v>
      </c>
      <c r="C2328" s="103">
        <v>8.07000034194E11</v>
      </c>
      <c r="D2328" s="103" t="s">
        <v>11416</v>
      </c>
      <c r="E2328" s="103" t="s">
        <v>11417</v>
      </c>
      <c r="F2328" s="241" t="s">
        <v>11418</v>
      </c>
      <c r="G2328" s="241" t="s">
        <v>104</v>
      </c>
      <c r="H2328" s="241">
        <v>4400.0</v>
      </c>
      <c r="I2328" s="211" t="s">
        <v>4976</v>
      </c>
      <c r="J2328" s="211" t="s">
        <v>4977</v>
      </c>
      <c r="K2328" s="241">
        <v>1.0</v>
      </c>
      <c r="L2328" s="124">
        <v>3.874022828E9</v>
      </c>
    </row>
    <row r="2329">
      <c r="A2329" s="33" t="s">
        <v>11415</v>
      </c>
      <c r="B2329" s="122">
        <v>46008.0</v>
      </c>
      <c r="C2329" s="240">
        <v>8.07000034195E11</v>
      </c>
      <c r="D2329" s="240" t="s">
        <v>11416</v>
      </c>
      <c r="E2329" s="240" t="s">
        <v>11417</v>
      </c>
      <c r="F2329" s="242" t="s">
        <v>11418</v>
      </c>
      <c r="G2329" s="242" t="s">
        <v>104</v>
      </c>
      <c r="H2329" s="242">
        <v>4400.0</v>
      </c>
      <c r="I2329" s="224" t="s">
        <v>4070</v>
      </c>
      <c r="J2329" s="224" t="s">
        <v>6264</v>
      </c>
      <c r="K2329" s="242">
        <v>1.0</v>
      </c>
      <c r="L2329" s="124">
        <v>3.874022828E9</v>
      </c>
    </row>
    <row r="2330">
      <c r="A2330" s="33" t="s">
        <v>11419</v>
      </c>
      <c r="B2330" s="122">
        <v>46008.0</v>
      </c>
      <c r="C2330" s="240">
        <v>8.05011562663E11</v>
      </c>
      <c r="D2330" s="240" t="s">
        <v>11420</v>
      </c>
      <c r="E2330" s="240" t="s">
        <v>11421</v>
      </c>
      <c r="F2330" s="242" t="s">
        <v>11422</v>
      </c>
      <c r="G2330" s="242" t="s">
        <v>4501</v>
      </c>
      <c r="H2330" s="242">
        <v>4190.0</v>
      </c>
      <c r="I2330" s="224" t="s">
        <v>3054</v>
      </c>
      <c r="J2330" s="224" t="s">
        <v>3346</v>
      </c>
      <c r="K2330" s="242">
        <v>1.0</v>
      </c>
      <c r="L2330" s="124">
        <v>3.876634991E9</v>
      </c>
    </row>
    <row r="2331">
      <c r="A2331" s="33" t="s">
        <v>11419</v>
      </c>
      <c r="B2331" s="122">
        <v>46008.0</v>
      </c>
      <c r="C2331" s="103">
        <v>8.05011562663E11</v>
      </c>
      <c r="D2331" s="103" t="s">
        <v>11420</v>
      </c>
      <c r="E2331" s="103" t="s">
        <v>11421</v>
      </c>
      <c r="F2331" s="241" t="s">
        <v>11422</v>
      </c>
      <c r="G2331" s="241" t="s">
        <v>4501</v>
      </c>
      <c r="H2331" s="241">
        <v>4190.0</v>
      </c>
      <c r="I2331" s="211" t="s">
        <v>512</v>
      </c>
      <c r="J2331" s="211" t="s">
        <v>513</v>
      </c>
      <c r="K2331" s="241">
        <v>6.0</v>
      </c>
      <c r="L2331" s="124">
        <v>3.876634991E9</v>
      </c>
    </row>
    <row r="2332">
      <c r="A2332" s="33" t="s">
        <v>11419</v>
      </c>
      <c r="B2332" s="122">
        <v>46008.0</v>
      </c>
      <c r="C2332" s="240">
        <v>8.05011562663E11</v>
      </c>
      <c r="D2332" s="240" t="s">
        <v>11420</v>
      </c>
      <c r="E2332" s="240" t="s">
        <v>11421</v>
      </c>
      <c r="F2332" s="242" t="s">
        <v>11422</v>
      </c>
      <c r="G2332" s="242" t="s">
        <v>4501</v>
      </c>
      <c r="H2332" s="242">
        <v>4190.0</v>
      </c>
      <c r="I2332" s="224" t="s">
        <v>2031</v>
      </c>
      <c r="J2332" s="224" t="s">
        <v>3348</v>
      </c>
      <c r="K2332" s="242">
        <v>1.0</v>
      </c>
      <c r="L2332" s="124">
        <v>3.876634991E9</v>
      </c>
    </row>
    <row r="2333">
      <c r="A2333" s="33" t="s">
        <v>11423</v>
      </c>
      <c r="B2333" s="122">
        <v>46009.0</v>
      </c>
      <c r="C2333" s="240">
        <v>8.07000034198E11</v>
      </c>
      <c r="D2333" s="240" t="s">
        <v>11424</v>
      </c>
      <c r="E2333" s="240" t="s">
        <v>11425</v>
      </c>
      <c r="F2333" s="242" t="s">
        <v>11426</v>
      </c>
      <c r="G2333" s="242" t="s">
        <v>4645</v>
      </c>
      <c r="H2333" s="242">
        <v>4400.0</v>
      </c>
      <c r="I2333" s="224">
        <v>125818.0</v>
      </c>
      <c r="J2333" s="224" t="s">
        <v>4334</v>
      </c>
      <c r="K2333" s="242">
        <v>2.0</v>
      </c>
      <c r="L2333" s="124">
        <v>3.874558838E9</v>
      </c>
    </row>
    <row r="2334">
      <c r="A2334" s="33" t="s">
        <v>11423</v>
      </c>
      <c r="B2334" s="122">
        <v>46009.0</v>
      </c>
      <c r="C2334" s="103">
        <v>8.07000034198E11</v>
      </c>
      <c r="D2334" s="103" t="s">
        <v>11424</v>
      </c>
      <c r="E2334" s="103" t="s">
        <v>11425</v>
      </c>
      <c r="F2334" s="241" t="s">
        <v>11426</v>
      </c>
      <c r="G2334" s="241" t="s">
        <v>4645</v>
      </c>
      <c r="H2334" s="241">
        <v>4400.0</v>
      </c>
      <c r="I2334" s="211" t="s">
        <v>761</v>
      </c>
      <c r="J2334" s="211" t="s">
        <v>3761</v>
      </c>
      <c r="K2334" s="241">
        <v>1.0</v>
      </c>
      <c r="L2334" s="124">
        <v>3.874558838E9</v>
      </c>
    </row>
    <row r="2335">
      <c r="A2335" s="33" t="s">
        <v>11423</v>
      </c>
      <c r="B2335" s="122">
        <v>46009.0</v>
      </c>
      <c r="C2335" s="240">
        <v>8.07000034198E11</v>
      </c>
      <c r="D2335" s="240" t="s">
        <v>11424</v>
      </c>
      <c r="E2335" s="240" t="s">
        <v>11425</v>
      </c>
      <c r="F2335" s="242" t="s">
        <v>11426</v>
      </c>
      <c r="G2335" s="242" t="s">
        <v>4645</v>
      </c>
      <c r="H2335" s="242">
        <v>4400.0</v>
      </c>
      <c r="I2335" s="224" t="s">
        <v>512</v>
      </c>
      <c r="J2335" s="224" t="s">
        <v>513</v>
      </c>
      <c r="K2335" s="242">
        <v>12.0</v>
      </c>
      <c r="L2335" s="124">
        <v>3.874558838E9</v>
      </c>
    </row>
    <row r="2336">
      <c r="A2336" s="33" t="s">
        <v>11423</v>
      </c>
      <c r="B2336" s="122">
        <v>46009.0</v>
      </c>
      <c r="C2336" s="103">
        <v>8.07000034199E11</v>
      </c>
      <c r="D2336" s="103" t="s">
        <v>11424</v>
      </c>
      <c r="E2336" s="103" t="s">
        <v>11425</v>
      </c>
      <c r="F2336" s="241" t="s">
        <v>11426</v>
      </c>
      <c r="G2336" s="241" t="s">
        <v>4645</v>
      </c>
      <c r="H2336" s="241">
        <v>4400.0</v>
      </c>
      <c r="I2336" s="211" t="s">
        <v>758</v>
      </c>
      <c r="J2336" s="211" t="s">
        <v>3574</v>
      </c>
      <c r="K2336" s="241">
        <v>2.0</v>
      </c>
      <c r="L2336" s="124">
        <v>3.874558838E9</v>
      </c>
    </row>
    <row r="2337">
      <c r="A2337" s="33" t="s">
        <v>11427</v>
      </c>
      <c r="B2337" s="122">
        <v>46009.0</v>
      </c>
      <c r="C2337" s="240">
        <v>8.07000034201E11</v>
      </c>
      <c r="D2337" s="240" t="s">
        <v>11428</v>
      </c>
      <c r="E2337" s="240" t="s">
        <v>11429</v>
      </c>
      <c r="F2337" s="242" t="s">
        <v>11430</v>
      </c>
      <c r="G2337" s="242" t="s">
        <v>127</v>
      </c>
      <c r="H2337" s="242">
        <v>4400.0</v>
      </c>
      <c r="I2337" s="224" t="s">
        <v>3692</v>
      </c>
      <c r="J2337" s="224" t="s">
        <v>3693</v>
      </c>
      <c r="K2337" s="242">
        <v>2.0</v>
      </c>
      <c r="L2337" s="124">
        <v>2.645259185E9</v>
      </c>
    </row>
    <row r="2338">
      <c r="A2338" s="33" t="s">
        <v>11427</v>
      </c>
      <c r="B2338" s="122">
        <v>46009.0</v>
      </c>
      <c r="C2338" s="103">
        <v>8.07000034201E11</v>
      </c>
      <c r="D2338" s="103" t="s">
        <v>11428</v>
      </c>
      <c r="E2338" s="103" t="s">
        <v>11429</v>
      </c>
      <c r="F2338" s="241" t="s">
        <v>11430</v>
      </c>
      <c r="G2338" s="241" t="s">
        <v>127</v>
      </c>
      <c r="H2338" s="241">
        <v>4400.0</v>
      </c>
      <c r="I2338" s="211" t="s">
        <v>512</v>
      </c>
      <c r="J2338" s="211" t="s">
        <v>513</v>
      </c>
      <c r="K2338" s="241">
        <v>12.0</v>
      </c>
      <c r="L2338" s="124">
        <v>2.645259185E9</v>
      </c>
    </row>
    <row r="2339">
      <c r="A2339" s="33" t="s">
        <v>11427</v>
      </c>
      <c r="B2339" s="122">
        <v>46009.0</v>
      </c>
      <c r="C2339" s="240">
        <v>8.07000034201E11</v>
      </c>
      <c r="D2339" s="240" t="s">
        <v>11428</v>
      </c>
      <c r="E2339" s="240" t="s">
        <v>11429</v>
      </c>
      <c r="F2339" s="242" t="s">
        <v>11430</v>
      </c>
      <c r="G2339" s="242" t="s">
        <v>127</v>
      </c>
      <c r="H2339" s="242">
        <v>4400.0</v>
      </c>
      <c r="I2339" s="224" t="s">
        <v>1345</v>
      </c>
      <c r="J2339" s="224" t="s">
        <v>3639</v>
      </c>
      <c r="K2339" s="242">
        <v>2.0</v>
      </c>
      <c r="L2339" s="124">
        <v>2.645259185E9</v>
      </c>
    </row>
    <row r="2340">
      <c r="A2340" s="33" t="s">
        <v>11431</v>
      </c>
      <c r="B2340" s="122">
        <v>46010.0</v>
      </c>
      <c r="C2340" s="240">
        <v>8.05011564633E11</v>
      </c>
      <c r="D2340" s="240" t="s">
        <v>11432</v>
      </c>
      <c r="E2340" s="240" t="s">
        <v>11433</v>
      </c>
      <c r="F2340" s="242" t="s">
        <v>11434</v>
      </c>
      <c r="G2340" s="242" t="s">
        <v>20</v>
      </c>
      <c r="H2340" s="242">
        <v>4400.0</v>
      </c>
      <c r="I2340" s="224" t="s">
        <v>60</v>
      </c>
      <c r="J2340" s="224" t="s">
        <v>3706</v>
      </c>
      <c r="K2340" s="242">
        <v>1.0</v>
      </c>
      <c r="L2340" s="124">
        <v>3.87595028E9</v>
      </c>
    </row>
    <row r="2341">
      <c r="A2341" s="33" t="s">
        <v>11431</v>
      </c>
      <c r="B2341" s="122">
        <v>46010.0</v>
      </c>
      <c r="C2341" s="103">
        <v>8.05011564633E11</v>
      </c>
      <c r="D2341" s="103" t="s">
        <v>11432</v>
      </c>
      <c r="E2341" s="103" t="s">
        <v>11433</v>
      </c>
      <c r="F2341" s="241" t="s">
        <v>11434</v>
      </c>
      <c r="G2341" s="241" t="s">
        <v>20</v>
      </c>
      <c r="H2341" s="241">
        <v>4400.0</v>
      </c>
      <c r="I2341" s="211" t="s">
        <v>512</v>
      </c>
      <c r="J2341" s="211" t="s">
        <v>513</v>
      </c>
      <c r="K2341" s="241">
        <v>6.0</v>
      </c>
      <c r="L2341" s="124">
        <v>3.87595028E9</v>
      </c>
    </row>
    <row r="2342">
      <c r="A2342" s="33" t="s">
        <v>11431</v>
      </c>
      <c r="B2342" s="122">
        <v>46010.0</v>
      </c>
      <c r="C2342" s="240">
        <v>8.05011564633E11</v>
      </c>
      <c r="D2342" s="240" t="s">
        <v>11432</v>
      </c>
      <c r="E2342" s="240" t="s">
        <v>11433</v>
      </c>
      <c r="F2342" s="242" t="s">
        <v>11434</v>
      </c>
      <c r="G2342" s="242" t="s">
        <v>20</v>
      </c>
      <c r="H2342" s="242">
        <v>4400.0</v>
      </c>
      <c r="I2342" s="224" t="s">
        <v>64</v>
      </c>
      <c r="J2342" s="224" t="s">
        <v>3708</v>
      </c>
      <c r="K2342" s="242">
        <v>1.0</v>
      </c>
      <c r="L2342" s="124">
        <v>3.87595028E9</v>
      </c>
    </row>
    <row r="2343">
      <c r="A2343" s="33" t="s">
        <v>11435</v>
      </c>
      <c r="B2343" s="122">
        <v>46011.0</v>
      </c>
      <c r="C2343" s="240">
        <v>8.07000034209E11</v>
      </c>
      <c r="D2343" s="240" t="s">
        <v>11436</v>
      </c>
      <c r="E2343" s="240" t="s">
        <v>11437</v>
      </c>
      <c r="F2343" s="123" t="s">
        <v>11438</v>
      </c>
      <c r="G2343" s="242" t="s">
        <v>127</v>
      </c>
      <c r="H2343" s="242">
        <v>4400.0</v>
      </c>
      <c r="I2343" s="224">
        <v>208502.0</v>
      </c>
      <c r="J2343" s="224" t="s">
        <v>4551</v>
      </c>
      <c r="K2343" s="242">
        <v>2.0</v>
      </c>
      <c r="L2343" s="124">
        <v>3.875755977E9</v>
      </c>
    </row>
    <row r="2344">
      <c r="A2344" s="33" t="s">
        <v>11435</v>
      </c>
      <c r="B2344" s="122">
        <v>46011.0</v>
      </c>
      <c r="C2344" s="103">
        <v>8.07000034209E11</v>
      </c>
      <c r="D2344" s="103" t="s">
        <v>11436</v>
      </c>
      <c r="E2344" s="103" t="s">
        <v>11437</v>
      </c>
      <c r="F2344" s="123" t="s">
        <v>11438</v>
      </c>
      <c r="G2344" s="242" t="s">
        <v>20</v>
      </c>
      <c r="H2344" s="242">
        <v>4400.0</v>
      </c>
      <c r="I2344" s="211" t="s">
        <v>10130</v>
      </c>
      <c r="J2344" s="211" t="s">
        <v>10131</v>
      </c>
      <c r="K2344" s="241">
        <v>1.0</v>
      </c>
      <c r="L2344" s="124">
        <v>3.875755977E9</v>
      </c>
    </row>
    <row r="2345">
      <c r="A2345" s="33" t="s">
        <v>11435</v>
      </c>
      <c r="B2345" s="122">
        <v>46011.0</v>
      </c>
      <c r="C2345" s="240">
        <v>8.0700003421E11</v>
      </c>
      <c r="D2345" s="240" t="s">
        <v>11436</v>
      </c>
      <c r="E2345" s="240" t="s">
        <v>11437</v>
      </c>
      <c r="F2345" s="123" t="s">
        <v>11438</v>
      </c>
      <c r="G2345" s="241" t="s">
        <v>20</v>
      </c>
      <c r="H2345" s="241">
        <v>4400.0</v>
      </c>
      <c r="I2345" s="224" t="s">
        <v>11439</v>
      </c>
      <c r="J2345" s="224" t="s">
        <v>11440</v>
      </c>
      <c r="K2345" s="242">
        <v>1.0</v>
      </c>
      <c r="L2345" s="124">
        <v>3.875755977E9</v>
      </c>
    </row>
    <row r="2346">
      <c r="A2346" s="33" t="s">
        <v>11435</v>
      </c>
      <c r="B2346" s="122">
        <v>46011.0</v>
      </c>
      <c r="C2346" s="103">
        <v>8.0700003421E11</v>
      </c>
      <c r="D2346" s="103" t="s">
        <v>11436</v>
      </c>
      <c r="E2346" s="103" t="s">
        <v>11437</v>
      </c>
      <c r="F2346" s="123" t="s">
        <v>11438</v>
      </c>
      <c r="G2346" s="242" t="s">
        <v>20</v>
      </c>
      <c r="H2346" s="242">
        <v>4400.0</v>
      </c>
      <c r="I2346" s="211" t="s">
        <v>3484</v>
      </c>
      <c r="J2346" s="211" t="s">
        <v>3485</v>
      </c>
      <c r="K2346" s="241">
        <v>1.0</v>
      </c>
      <c r="L2346" s="124">
        <v>3.875755977E9</v>
      </c>
    </row>
    <row r="2347">
      <c r="A2347" s="33" t="s">
        <v>11441</v>
      </c>
      <c r="B2347" s="122">
        <v>46011.0</v>
      </c>
      <c r="C2347" s="103">
        <v>8.07000034206E11</v>
      </c>
      <c r="D2347" s="103" t="s">
        <v>11442</v>
      </c>
      <c r="E2347" s="103" t="s">
        <v>11443</v>
      </c>
      <c r="F2347" s="123" t="s">
        <v>11444</v>
      </c>
      <c r="G2347" s="242" t="s">
        <v>127</v>
      </c>
      <c r="H2347" s="242">
        <v>4400.0</v>
      </c>
      <c r="I2347" s="211">
        <v>125812.0</v>
      </c>
      <c r="J2347" s="211" t="s">
        <v>9317</v>
      </c>
      <c r="K2347" s="241">
        <v>2.0</v>
      </c>
      <c r="L2347" s="124">
        <v>3.874155957E9</v>
      </c>
    </row>
    <row r="2348">
      <c r="A2348" s="33" t="s">
        <v>11441</v>
      </c>
      <c r="B2348" s="122">
        <v>46011.0</v>
      </c>
      <c r="C2348" s="240">
        <v>8.07000034206E11</v>
      </c>
      <c r="D2348" s="240" t="s">
        <v>11442</v>
      </c>
      <c r="E2348" s="240" t="s">
        <v>11443</v>
      </c>
      <c r="F2348" s="123" t="s">
        <v>11444</v>
      </c>
      <c r="G2348" s="242" t="s">
        <v>20</v>
      </c>
      <c r="H2348" s="242">
        <v>4400.0</v>
      </c>
      <c r="I2348" s="224" t="s">
        <v>1379</v>
      </c>
      <c r="J2348" s="224" t="s">
        <v>7653</v>
      </c>
      <c r="K2348" s="242">
        <v>1.0</v>
      </c>
      <c r="L2348" s="124">
        <v>3.874155957E9</v>
      </c>
    </row>
    <row r="2349">
      <c r="A2349" s="33" t="s">
        <v>11441</v>
      </c>
      <c r="B2349" s="122">
        <v>46011.0</v>
      </c>
      <c r="C2349" s="103">
        <v>8.07000034206E11</v>
      </c>
      <c r="D2349" s="103" t="s">
        <v>11442</v>
      </c>
      <c r="E2349" s="103" t="s">
        <v>11443</v>
      </c>
      <c r="F2349" s="123" t="s">
        <v>11444</v>
      </c>
      <c r="G2349" s="241" t="s">
        <v>20</v>
      </c>
      <c r="H2349" s="241">
        <v>4400.0</v>
      </c>
      <c r="I2349" s="211" t="s">
        <v>512</v>
      </c>
      <c r="J2349" s="211" t="s">
        <v>513</v>
      </c>
      <c r="K2349" s="241">
        <v>6.0</v>
      </c>
      <c r="L2349" s="124">
        <v>3.874155957E9</v>
      </c>
    </row>
    <row r="2350">
      <c r="A2350" s="33" t="s">
        <v>11441</v>
      </c>
      <c r="B2350" s="122">
        <v>46011.0</v>
      </c>
      <c r="C2350" s="240">
        <v>8.07000034206E11</v>
      </c>
      <c r="D2350" s="240" t="s">
        <v>11442</v>
      </c>
      <c r="E2350" s="240" t="s">
        <v>11443</v>
      </c>
      <c r="F2350" s="123" t="s">
        <v>11444</v>
      </c>
      <c r="G2350" s="242" t="s">
        <v>20</v>
      </c>
      <c r="H2350" s="242">
        <v>4400.0</v>
      </c>
      <c r="I2350" s="224" t="s">
        <v>35</v>
      </c>
      <c r="J2350" s="224" t="s">
        <v>3188</v>
      </c>
      <c r="K2350" s="242">
        <v>1.0</v>
      </c>
      <c r="L2350" s="124">
        <v>3.874155957E9</v>
      </c>
    </row>
    <row r="2351" ht="6.75" customHeight="1">
      <c r="A2351" s="244"/>
      <c r="B2351" s="245"/>
      <c r="C2351" s="271"/>
      <c r="D2351" s="271"/>
      <c r="E2351" s="271"/>
      <c r="F2351" s="246"/>
      <c r="G2351" s="246"/>
      <c r="H2351" s="246"/>
      <c r="I2351" s="272"/>
      <c r="J2351" s="272"/>
      <c r="K2351" s="273"/>
      <c r="L2351" s="247"/>
      <c r="M2351" s="233"/>
      <c r="N2351" s="233"/>
      <c r="O2351" s="233"/>
      <c r="P2351" s="233"/>
      <c r="Q2351" s="233"/>
      <c r="R2351" s="233"/>
      <c r="S2351" s="233"/>
      <c r="T2351" s="233"/>
      <c r="U2351" s="233"/>
      <c r="V2351" s="233"/>
      <c r="W2351" s="233"/>
      <c r="X2351" s="233"/>
      <c r="Y2351" s="233"/>
      <c r="Z2351" s="233"/>
      <c r="AA2351" s="233"/>
      <c r="AB2351" s="233"/>
      <c r="AC2351" s="233"/>
    </row>
    <row r="2352">
      <c r="A2352" s="33" t="s">
        <v>11445</v>
      </c>
      <c r="B2352" s="122">
        <v>46013.0</v>
      </c>
      <c r="C2352" s="103">
        <v>8.07000034214E11</v>
      </c>
      <c r="D2352" s="103" t="s">
        <v>11446</v>
      </c>
      <c r="E2352" s="103" t="s">
        <v>11447</v>
      </c>
      <c r="F2352" s="123" t="s">
        <v>11448</v>
      </c>
      <c r="G2352" s="123" t="s">
        <v>127</v>
      </c>
      <c r="H2352" s="123">
        <v>4400.0</v>
      </c>
      <c r="I2352" s="211" t="s">
        <v>2956</v>
      </c>
      <c r="J2352" s="211" t="s">
        <v>3327</v>
      </c>
      <c r="K2352" s="241">
        <v>1.0</v>
      </c>
      <c r="L2352" s="124">
        <v>3.875605602E9</v>
      </c>
    </row>
    <row r="2353">
      <c r="A2353" s="33" t="s">
        <v>11445</v>
      </c>
      <c r="B2353" s="122">
        <v>46013.0</v>
      </c>
      <c r="C2353" s="240">
        <v>8.07000034214E11</v>
      </c>
      <c r="D2353" s="240" t="s">
        <v>11446</v>
      </c>
      <c r="E2353" s="240" t="s">
        <v>11447</v>
      </c>
      <c r="F2353" s="123" t="s">
        <v>11448</v>
      </c>
      <c r="G2353" s="123" t="s">
        <v>127</v>
      </c>
      <c r="H2353" s="123">
        <v>4400.0</v>
      </c>
      <c r="I2353" s="224" t="s">
        <v>512</v>
      </c>
      <c r="J2353" s="224" t="s">
        <v>513</v>
      </c>
      <c r="K2353" s="242">
        <v>6.0</v>
      </c>
      <c r="L2353" s="124">
        <v>3.875605602E9</v>
      </c>
    </row>
    <row r="2354">
      <c r="A2354" s="33" t="s">
        <v>11445</v>
      </c>
      <c r="B2354" s="122">
        <v>46013.0</v>
      </c>
      <c r="C2354" s="103">
        <v>8.07000034214E11</v>
      </c>
      <c r="D2354" s="103" t="s">
        <v>11446</v>
      </c>
      <c r="E2354" s="103" t="s">
        <v>11447</v>
      </c>
      <c r="F2354" s="123" t="s">
        <v>11448</v>
      </c>
      <c r="G2354" s="123" t="s">
        <v>127</v>
      </c>
      <c r="H2354" s="123">
        <v>4400.0</v>
      </c>
      <c r="I2354" s="211" t="s">
        <v>670</v>
      </c>
      <c r="J2354" s="211" t="s">
        <v>3410</v>
      </c>
      <c r="K2354" s="241">
        <v>1.0</v>
      </c>
      <c r="L2354" s="124">
        <v>3.875605602E9</v>
      </c>
    </row>
    <row r="2355">
      <c r="A2355" s="33" t="s">
        <v>11449</v>
      </c>
      <c r="B2355" s="122">
        <v>46014.0</v>
      </c>
      <c r="C2355" s="240">
        <v>8.07000034226E11</v>
      </c>
      <c r="D2355" s="240" t="s">
        <v>11450</v>
      </c>
      <c r="E2355" s="240" t="s">
        <v>11451</v>
      </c>
      <c r="F2355" s="242" t="s">
        <v>11452</v>
      </c>
      <c r="G2355" s="242" t="s">
        <v>127</v>
      </c>
      <c r="H2355" s="242">
        <v>4400.0</v>
      </c>
      <c r="I2355" s="224" t="s">
        <v>8532</v>
      </c>
      <c r="J2355" s="224" t="s">
        <v>8533</v>
      </c>
      <c r="K2355" s="242">
        <v>1.0</v>
      </c>
      <c r="L2355" s="124">
        <v>3.875004233E9</v>
      </c>
    </row>
    <row r="2356">
      <c r="A2356" s="33" t="s">
        <v>11453</v>
      </c>
      <c r="B2356" s="122">
        <v>46014.0</v>
      </c>
      <c r="C2356" s="103">
        <v>8.0700003404E11</v>
      </c>
      <c r="D2356" s="103" t="s">
        <v>11454</v>
      </c>
      <c r="E2356" s="103" t="s">
        <v>11455</v>
      </c>
      <c r="F2356" s="123" t="s">
        <v>11456</v>
      </c>
      <c r="G2356" s="123" t="s">
        <v>127</v>
      </c>
      <c r="H2356" s="123">
        <v>4400.0</v>
      </c>
      <c r="I2356" s="211" t="s">
        <v>258</v>
      </c>
      <c r="J2356" s="211" t="s">
        <v>259</v>
      </c>
      <c r="K2356" s="241">
        <v>2.0</v>
      </c>
      <c r="L2356" s="124">
        <v>3.875900409E9</v>
      </c>
    </row>
    <row r="2357">
      <c r="A2357" s="33" t="s">
        <v>11457</v>
      </c>
      <c r="B2357" s="122">
        <v>46014.0</v>
      </c>
      <c r="C2357" s="240">
        <v>7.000000028E9</v>
      </c>
      <c r="D2357" s="240" t="s">
        <v>11454</v>
      </c>
      <c r="E2357" s="240" t="s">
        <v>11455</v>
      </c>
      <c r="F2357" s="123" t="s">
        <v>11456</v>
      </c>
      <c r="G2357" s="123" t="s">
        <v>127</v>
      </c>
      <c r="H2357" s="123">
        <v>4400.0</v>
      </c>
      <c r="I2357" s="224">
        <v>180408.0</v>
      </c>
      <c r="J2357" s="224" t="s">
        <v>11458</v>
      </c>
      <c r="K2357" s="242">
        <v>1.0</v>
      </c>
      <c r="L2357" s="124">
        <v>3.875900409E9</v>
      </c>
    </row>
    <row r="2358">
      <c r="A2358" s="33" t="s">
        <v>11459</v>
      </c>
      <c r="B2358" s="122">
        <v>46014.0</v>
      </c>
      <c r="C2358" s="240">
        <v>8.05011564082E11</v>
      </c>
      <c r="D2358" s="240" t="s">
        <v>11460</v>
      </c>
      <c r="E2358" s="240" t="s">
        <v>11461</v>
      </c>
      <c r="F2358" s="242" t="s">
        <v>11462</v>
      </c>
      <c r="G2358" s="242" t="s">
        <v>5508</v>
      </c>
      <c r="H2358" s="242">
        <v>4425.0</v>
      </c>
      <c r="I2358" s="224" t="s">
        <v>698</v>
      </c>
      <c r="J2358" s="224" t="s">
        <v>699</v>
      </c>
      <c r="K2358" s="242">
        <v>1.0</v>
      </c>
      <c r="L2358" s="124"/>
    </row>
    <row r="2359">
      <c r="A2359" s="33" t="s">
        <v>11463</v>
      </c>
      <c r="B2359" s="122">
        <v>46379.0</v>
      </c>
      <c r="C2359" s="240"/>
      <c r="D2359" s="240"/>
      <c r="E2359" s="240" t="s">
        <v>11464</v>
      </c>
      <c r="F2359" s="242" t="s">
        <v>11465</v>
      </c>
      <c r="G2359" s="242" t="s">
        <v>127</v>
      </c>
      <c r="H2359" s="242">
        <v>4400.0</v>
      </c>
      <c r="I2359" s="224" t="s">
        <v>10484</v>
      </c>
      <c r="J2359" s="224" t="s">
        <v>11466</v>
      </c>
      <c r="K2359" s="242">
        <v>1.0</v>
      </c>
      <c r="L2359" s="124">
        <v>3.874880818E9</v>
      </c>
    </row>
    <row r="2360">
      <c r="A2360" s="33" t="s">
        <v>11467</v>
      </c>
      <c r="B2360" s="122">
        <v>46017.0</v>
      </c>
      <c r="C2360" s="240">
        <v>8.07000034256E11</v>
      </c>
      <c r="D2360" s="240" t="s">
        <v>11468</v>
      </c>
      <c r="E2360" s="240" t="s">
        <v>11469</v>
      </c>
      <c r="F2360" s="242" t="s">
        <v>11470</v>
      </c>
      <c r="G2360" s="242" t="s">
        <v>127</v>
      </c>
      <c r="H2360" s="242">
        <v>4400.0</v>
      </c>
      <c r="I2360" s="224">
        <v>125812.0</v>
      </c>
      <c r="J2360" s="224" t="s">
        <v>9317</v>
      </c>
      <c r="K2360" s="242">
        <v>2.0</v>
      </c>
      <c r="L2360" s="124">
        <v>3.874060556E9</v>
      </c>
    </row>
    <row r="2361">
      <c r="A2361" s="33" t="s">
        <v>11467</v>
      </c>
      <c r="B2361" s="122">
        <v>46017.0</v>
      </c>
      <c r="C2361" s="103">
        <v>8.07000034256E11</v>
      </c>
      <c r="D2361" s="103" t="s">
        <v>11468</v>
      </c>
      <c r="E2361" s="103" t="s">
        <v>11469</v>
      </c>
      <c r="F2361" s="241" t="s">
        <v>11470</v>
      </c>
      <c r="G2361" s="241" t="s">
        <v>127</v>
      </c>
      <c r="H2361" s="241">
        <v>4400.0</v>
      </c>
      <c r="I2361" s="211">
        <v>125814.0</v>
      </c>
      <c r="J2361" s="211" t="s">
        <v>9798</v>
      </c>
      <c r="K2361" s="241">
        <v>2.0</v>
      </c>
      <c r="L2361" s="124">
        <v>3.874060556E9</v>
      </c>
    </row>
    <row r="2362">
      <c r="A2362" s="33" t="s">
        <v>11467</v>
      </c>
      <c r="B2362" s="122">
        <v>46017.0</v>
      </c>
      <c r="C2362" s="240">
        <v>8.07000034256E11</v>
      </c>
      <c r="D2362" s="240" t="s">
        <v>11468</v>
      </c>
      <c r="E2362" s="240" t="s">
        <v>11469</v>
      </c>
      <c r="F2362" s="242" t="s">
        <v>11470</v>
      </c>
      <c r="G2362" s="242" t="s">
        <v>127</v>
      </c>
      <c r="H2362" s="242">
        <v>4400.0</v>
      </c>
      <c r="I2362" s="224" t="s">
        <v>6343</v>
      </c>
      <c r="J2362" s="224" t="s">
        <v>6435</v>
      </c>
      <c r="K2362" s="242">
        <v>1.0</v>
      </c>
      <c r="L2362" s="124">
        <v>3.874060556E9</v>
      </c>
    </row>
    <row r="2363">
      <c r="A2363" s="33" t="s">
        <v>11467</v>
      </c>
      <c r="B2363" s="122">
        <v>46017.0</v>
      </c>
      <c r="C2363" s="103">
        <v>8.07000034256E11</v>
      </c>
      <c r="D2363" s="103" t="s">
        <v>11468</v>
      </c>
      <c r="E2363" s="103" t="s">
        <v>11469</v>
      </c>
      <c r="F2363" s="241" t="s">
        <v>11470</v>
      </c>
      <c r="G2363" s="241" t="s">
        <v>127</v>
      </c>
      <c r="H2363" s="241">
        <v>4400.0</v>
      </c>
      <c r="I2363" s="211" t="s">
        <v>512</v>
      </c>
      <c r="J2363" s="211" t="s">
        <v>513</v>
      </c>
      <c r="K2363" s="241">
        <v>12.0</v>
      </c>
      <c r="L2363" s="124">
        <v>3.874060556E9</v>
      </c>
    </row>
    <row r="2364">
      <c r="A2364" s="33" t="s">
        <v>11467</v>
      </c>
      <c r="B2364" s="122">
        <v>46017.0</v>
      </c>
      <c r="C2364" s="240">
        <v>8.07000034257E11</v>
      </c>
      <c r="D2364" s="240" t="s">
        <v>11468</v>
      </c>
      <c r="E2364" s="240" t="s">
        <v>11469</v>
      </c>
      <c r="F2364" s="242" t="s">
        <v>11470</v>
      </c>
      <c r="G2364" s="242" t="s">
        <v>127</v>
      </c>
      <c r="H2364" s="242">
        <v>4400.0</v>
      </c>
      <c r="I2364" s="224" t="s">
        <v>233</v>
      </c>
      <c r="J2364" s="224" t="s">
        <v>3459</v>
      </c>
      <c r="K2364" s="242">
        <v>2.0</v>
      </c>
      <c r="L2364" s="124">
        <v>3.874060556E9</v>
      </c>
    </row>
    <row r="2365">
      <c r="A2365" s="33" t="s">
        <v>11467</v>
      </c>
      <c r="B2365" s="122">
        <v>46017.0</v>
      </c>
      <c r="C2365" s="103">
        <v>8.07000034268E11</v>
      </c>
      <c r="D2365" s="103" t="s">
        <v>11468</v>
      </c>
      <c r="E2365" s="103" t="s">
        <v>11469</v>
      </c>
      <c r="F2365" s="241" t="s">
        <v>11470</v>
      </c>
      <c r="G2365" s="241" t="s">
        <v>127</v>
      </c>
      <c r="H2365" s="241">
        <v>4400.0</v>
      </c>
      <c r="I2365" s="211" t="s">
        <v>4070</v>
      </c>
      <c r="J2365" s="211" t="s">
        <v>6264</v>
      </c>
      <c r="K2365" s="241">
        <v>1.0</v>
      </c>
      <c r="L2365" s="124">
        <v>3.874060556E9</v>
      </c>
    </row>
    <row r="2366">
      <c r="A2366" s="33" t="s">
        <v>11471</v>
      </c>
      <c r="B2366" s="122">
        <v>46017.0</v>
      </c>
      <c r="C2366" s="240">
        <v>8.07000034258E11</v>
      </c>
      <c r="D2366" s="240" t="s">
        <v>11472</v>
      </c>
      <c r="E2366" s="240" t="s">
        <v>11473</v>
      </c>
      <c r="F2366" s="242" t="s">
        <v>11474</v>
      </c>
      <c r="G2366" s="242" t="s">
        <v>104</v>
      </c>
      <c r="H2366" s="242">
        <v>4400.0</v>
      </c>
      <c r="I2366" s="224" t="s">
        <v>5034</v>
      </c>
      <c r="J2366" s="224" t="s">
        <v>5035</v>
      </c>
      <c r="K2366" s="242">
        <v>1.0</v>
      </c>
      <c r="L2366" s="124">
        <v>3.873021669E9</v>
      </c>
    </row>
    <row r="2367">
      <c r="A2367" s="33" t="s">
        <v>11471</v>
      </c>
      <c r="B2367" s="122">
        <v>46017.0</v>
      </c>
      <c r="C2367" s="103">
        <v>8.07000034258E11</v>
      </c>
      <c r="D2367" s="103" t="s">
        <v>11472</v>
      </c>
      <c r="E2367" s="103" t="s">
        <v>11473</v>
      </c>
      <c r="F2367" s="241" t="s">
        <v>11474</v>
      </c>
      <c r="G2367" s="241" t="s">
        <v>104</v>
      </c>
      <c r="H2367" s="241">
        <v>4400.0</v>
      </c>
      <c r="I2367" s="211" t="s">
        <v>512</v>
      </c>
      <c r="J2367" s="211" t="s">
        <v>513</v>
      </c>
      <c r="K2367" s="241">
        <v>6.0</v>
      </c>
      <c r="L2367" s="124">
        <v>3.873021669E9</v>
      </c>
    </row>
    <row r="2368">
      <c r="A2368" s="33" t="s">
        <v>11471</v>
      </c>
      <c r="B2368" s="122">
        <v>46017.0</v>
      </c>
      <c r="C2368" s="240">
        <v>8.07000034258E11</v>
      </c>
      <c r="D2368" s="240" t="s">
        <v>11472</v>
      </c>
      <c r="E2368" s="240" t="s">
        <v>11473</v>
      </c>
      <c r="F2368" s="242" t="s">
        <v>11474</v>
      </c>
      <c r="G2368" s="242" t="s">
        <v>104</v>
      </c>
      <c r="H2368" s="242">
        <v>4400.0</v>
      </c>
      <c r="I2368" s="224" t="s">
        <v>670</v>
      </c>
      <c r="J2368" s="224" t="s">
        <v>3410</v>
      </c>
      <c r="K2368" s="242">
        <v>1.0</v>
      </c>
      <c r="L2368" s="124">
        <v>3.873021669E9</v>
      </c>
    </row>
    <row r="2369">
      <c r="A2369" s="33" t="s">
        <v>11475</v>
      </c>
      <c r="B2369" s="122">
        <v>46017.0</v>
      </c>
      <c r="C2369" s="103">
        <v>8.07000034265E11</v>
      </c>
      <c r="D2369" s="103" t="s">
        <v>11476</v>
      </c>
      <c r="E2369" s="103" t="s">
        <v>11477</v>
      </c>
      <c r="F2369" s="241" t="s">
        <v>11478</v>
      </c>
      <c r="G2369" s="241" t="s">
        <v>104</v>
      </c>
      <c r="H2369" s="241">
        <v>4400.0</v>
      </c>
      <c r="I2369" s="211" t="s">
        <v>3154</v>
      </c>
      <c r="J2369" s="211" t="s">
        <v>4564</v>
      </c>
      <c r="K2369" s="241">
        <v>2.0</v>
      </c>
      <c r="L2369" s="124">
        <v>3.874440761E9</v>
      </c>
    </row>
    <row r="2370">
      <c r="A2370" s="33" t="s">
        <v>11475</v>
      </c>
      <c r="B2370" s="122">
        <v>46017.0</v>
      </c>
      <c r="C2370" s="240">
        <v>8.07000034265E11</v>
      </c>
      <c r="D2370" s="240" t="s">
        <v>11476</v>
      </c>
      <c r="E2370" s="240" t="s">
        <v>11477</v>
      </c>
      <c r="F2370" s="242" t="s">
        <v>11478</v>
      </c>
      <c r="G2370" s="242" t="s">
        <v>104</v>
      </c>
      <c r="H2370" s="242">
        <v>4400.0</v>
      </c>
      <c r="I2370" s="224" t="s">
        <v>512</v>
      </c>
      <c r="J2370" s="224" t="s">
        <v>513</v>
      </c>
      <c r="K2370" s="242">
        <v>12.0</v>
      </c>
      <c r="L2370" s="124">
        <v>3.874440761E9</v>
      </c>
    </row>
    <row r="2371">
      <c r="A2371" s="33" t="s">
        <v>11475</v>
      </c>
      <c r="B2371" s="122">
        <v>46017.0</v>
      </c>
      <c r="C2371" s="103">
        <v>8.07000034265E11</v>
      </c>
      <c r="D2371" s="103" t="s">
        <v>11476</v>
      </c>
      <c r="E2371" s="103" t="s">
        <v>11477</v>
      </c>
      <c r="F2371" s="241" t="s">
        <v>11478</v>
      </c>
      <c r="G2371" s="241" t="s">
        <v>104</v>
      </c>
      <c r="H2371" s="241">
        <v>4400.0</v>
      </c>
      <c r="I2371" s="211" t="s">
        <v>2031</v>
      </c>
      <c r="J2371" s="211" t="s">
        <v>3348</v>
      </c>
      <c r="K2371" s="241">
        <v>2.0</v>
      </c>
      <c r="L2371" s="124">
        <v>3.874440761E9</v>
      </c>
    </row>
    <row r="2372">
      <c r="A2372" s="33" t="s">
        <v>11475</v>
      </c>
      <c r="B2372" s="248">
        <v>46017.0</v>
      </c>
      <c r="C2372" s="240">
        <v>8.07000034265E11</v>
      </c>
      <c r="D2372" s="240" t="s">
        <v>11476</v>
      </c>
      <c r="E2372" s="240" t="s">
        <v>11477</v>
      </c>
      <c r="F2372" s="241" t="s">
        <v>11478</v>
      </c>
      <c r="G2372" s="241" t="s">
        <v>104</v>
      </c>
      <c r="H2372" s="241">
        <v>4400.0</v>
      </c>
      <c r="I2372" s="211" t="s">
        <v>4070</v>
      </c>
      <c r="J2372" s="211" t="s">
        <v>6264</v>
      </c>
      <c r="K2372" s="241">
        <v>1.0</v>
      </c>
      <c r="L2372" s="124">
        <v>3.874440761E9</v>
      </c>
    </row>
    <row r="2373">
      <c r="A2373" s="33" t="s">
        <v>11479</v>
      </c>
      <c r="B2373" s="122">
        <v>46017.0</v>
      </c>
      <c r="C2373" s="240">
        <v>8.07000034273E11</v>
      </c>
      <c r="D2373" s="281" t="s">
        <v>11480</v>
      </c>
      <c r="E2373" s="240" t="s">
        <v>11481</v>
      </c>
      <c r="F2373" s="123" t="s">
        <v>11482</v>
      </c>
      <c r="G2373" s="123" t="s">
        <v>9078</v>
      </c>
      <c r="H2373" s="123">
        <v>4406.0</v>
      </c>
      <c r="I2373" s="224" t="s">
        <v>1241</v>
      </c>
      <c r="J2373" s="224" t="s">
        <v>11483</v>
      </c>
      <c r="K2373" s="242">
        <v>1.0</v>
      </c>
      <c r="L2373" s="124">
        <v>3.876053983E9</v>
      </c>
    </row>
    <row r="2374">
      <c r="A2374" s="33" t="s">
        <v>11479</v>
      </c>
      <c r="B2374" s="122">
        <v>46017.0</v>
      </c>
      <c r="C2374" s="240">
        <v>8.07000034273E11</v>
      </c>
      <c r="D2374" s="281" t="s">
        <v>11480</v>
      </c>
      <c r="E2374" s="240" t="s">
        <v>11481</v>
      </c>
      <c r="F2374" s="123" t="s">
        <v>11482</v>
      </c>
      <c r="G2374" s="123" t="s">
        <v>9078</v>
      </c>
      <c r="H2374" s="123">
        <v>4406.0</v>
      </c>
      <c r="I2374" s="224">
        <v>125818.0</v>
      </c>
      <c r="J2374" s="224" t="s">
        <v>11484</v>
      </c>
      <c r="K2374" s="242">
        <v>1.0</v>
      </c>
      <c r="L2374" s="124">
        <v>3.876053983E9</v>
      </c>
    </row>
    <row r="2375">
      <c r="A2375" s="33" t="s">
        <v>11485</v>
      </c>
      <c r="B2375" s="249">
        <v>46018.0</v>
      </c>
      <c r="C2375" s="103">
        <v>8.07000034295E11</v>
      </c>
      <c r="D2375" s="103" t="s">
        <v>11486</v>
      </c>
      <c r="E2375" s="103" t="s">
        <v>11487</v>
      </c>
      <c r="F2375" s="241" t="s">
        <v>11488</v>
      </c>
      <c r="G2375" s="241" t="s">
        <v>127</v>
      </c>
      <c r="H2375" s="241">
        <v>4400.0</v>
      </c>
      <c r="I2375" s="211">
        <v>208501.0</v>
      </c>
      <c r="J2375" s="211" t="s">
        <v>481</v>
      </c>
      <c r="K2375" s="241">
        <v>2.0</v>
      </c>
      <c r="L2375" s="124"/>
    </row>
    <row r="2376">
      <c r="A2376" s="33" t="s">
        <v>11485</v>
      </c>
      <c r="B2376" s="248">
        <v>46018.0</v>
      </c>
      <c r="C2376" s="240">
        <v>8.07000034295E11</v>
      </c>
      <c r="D2376" s="240" t="s">
        <v>11486</v>
      </c>
      <c r="E2376" s="240" t="s">
        <v>11487</v>
      </c>
      <c r="F2376" s="242" t="s">
        <v>11488</v>
      </c>
      <c r="G2376" s="242" t="s">
        <v>127</v>
      </c>
      <c r="H2376" s="242">
        <v>4400.0</v>
      </c>
      <c r="I2376" s="224" t="s">
        <v>10130</v>
      </c>
      <c r="J2376" s="224" t="s">
        <v>10131</v>
      </c>
      <c r="K2376" s="242">
        <v>1.0</v>
      </c>
      <c r="L2376" s="124"/>
    </row>
    <row r="2377">
      <c r="A2377" s="33" t="s">
        <v>11485</v>
      </c>
      <c r="B2377" s="249">
        <v>46018.0</v>
      </c>
      <c r="C2377" s="103">
        <v>8.07000034296E11</v>
      </c>
      <c r="D2377" s="103" t="s">
        <v>11486</v>
      </c>
      <c r="E2377" s="103" t="s">
        <v>11487</v>
      </c>
      <c r="F2377" s="241" t="s">
        <v>11488</v>
      </c>
      <c r="G2377" s="241" t="s">
        <v>127</v>
      </c>
      <c r="H2377" s="241">
        <v>4400.0</v>
      </c>
      <c r="I2377" s="211" t="s">
        <v>340</v>
      </c>
      <c r="J2377" s="211" t="s">
        <v>3486</v>
      </c>
      <c r="K2377" s="241">
        <v>2.0</v>
      </c>
      <c r="L2377" s="124"/>
    </row>
    <row r="2378">
      <c r="A2378" s="33" t="s">
        <v>11489</v>
      </c>
      <c r="B2378" s="248">
        <v>46018.0</v>
      </c>
      <c r="C2378" s="240">
        <v>8.07000034297E11</v>
      </c>
      <c r="D2378" s="240" t="s">
        <v>11486</v>
      </c>
      <c r="E2378" s="240" t="s">
        <v>11487</v>
      </c>
      <c r="F2378" s="242" t="s">
        <v>11488</v>
      </c>
      <c r="G2378" s="242" t="s">
        <v>127</v>
      </c>
      <c r="H2378" s="242">
        <v>4400.0</v>
      </c>
      <c r="I2378" s="224" t="s">
        <v>512</v>
      </c>
      <c r="J2378" s="224" t="s">
        <v>513</v>
      </c>
      <c r="K2378" s="242">
        <v>12.0</v>
      </c>
      <c r="L2378" s="124"/>
    </row>
    <row r="2379">
      <c r="A2379" s="33" t="s">
        <v>11489</v>
      </c>
      <c r="B2379" s="249">
        <v>46018.0</v>
      </c>
      <c r="C2379" s="103">
        <v>8.07000034298E11</v>
      </c>
      <c r="D2379" s="103" t="s">
        <v>11486</v>
      </c>
      <c r="E2379" s="103" t="s">
        <v>11487</v>
      </c>
      <c r="F2379" s="241" t="s">
        <v>11488</v>
      </c>
      <c r="G2379" s="241" t="s">
        <v>127</v>
      </c>
      <c r="H2379" s="241">
        <v>4400.0</v>
      </c>
      <c r="I2379" s="211" t="s">
        <v>3817</v>
      </c>
      <c r="J2379" s="211" t="s">
        <v>3818</v>
      </c>
      <c r="K2379" s="241">
        <v>1.0</v>
      </c>
      <c r="L2379" s="124"/>
    </row>
    <row r="2380">
      <c r="A2380" s="33" t="s">
        <v>11490</v>
      </c>
      <c r="B2380" s="248">
        <v>46018.0</v>
      </c>
      <c r="C2380" s="240">
        <v>8.07000034284E11</v>
      </c>
      <c r="D2380" s="240" t="s">
        <v>11491</v>
      </c>
      <c r="E2380" s="240" t="s">
        <v>11492</v>
      </c>
      <c r="F2380" s="242" t="s">
        <v>11493</v>
      </c>
      <c r="G2380" s="242" t="s">
        <v>104</v>
      </c>
      <c r="H2380" s="242">
        <v>4400.0</v>
      </c>
      <c r="I2380" s="224">
        <v>125818.0</v>
      </c>
      <c r="J2380" s="224" t="s">
        <v>4334</v>
      </c>
      <c r="K2380" s="242">
        <v>2.0</v>
      </c>
      <c r="L2380" s="124"/>
    </row>
    <row r="2381">
      <c r="A2381" s="33" t="s">
        <v>11490</v>
      </c>
      <c r="B2381" s="249">
        <v>46018.0</v>
      </c>
      <c r="C2381" s="103">
        <v>8.07000034284E11</v>
      </c>
      <c r="D2381" s="103" t="s">
        <v>11491</v>
      </c>
      <c r="E2381" s="103" t="s">
        <v>11492</v>
      </c>
      <c r="F2381" s="241" t="s">
        <v>11493</v>
      </c>
      <c r="G2381" s="241" t="s">
        <v>104</v>
      </c>
      <c r="H2381" s="241">
        <v>4400.0</v>
      </c>
      <c r="I2381" s="211">
        <v>125819.0</v>
      </c>
      <c r="J2381" s="211" t="s">
        <v>9858</v>
      </c>
      <c r="K2381" s="241">
        <v>2.0</v>
      </c>
      <c r="L2381" s="124"/>
    </row>
    <row r="2382">
      <c r="A2382" s="33" t="s">
        <v>11490</v>
      </c>
      <c r="B2382" s="248">
        <v>46018.0</v>
      </c>
      <c r="C2382" s="240">
        <v>8.07000034284E11</v>
      </c>
      <c r="D2382" s="240" t="s">
        <v>11491</v>
      </c>
      <c r="E2382" s="240" t="s">
        <v>11492</v>
      </c>
      <c r="F2382" s="242" t="s">
        <v>11493</v>
      </c>
      <c r="G2382" s="242" t="s">
        <v>104</v>
      </c>
      <c r="H2382" s="242">
        <v>4400.0</v>
      </c>
      <c r="I2382" s="224" t="s">
        <v>512</v>
      </c>
      <c r="J2382" s="224" t="s">
        <v>513</v>
      </c>
      <c r="K2382" s="242">
        <v>12.0</v>
      </c>
      <c r="L2382" s="124"/>
    </row>
    <row r="2383">
      <c r="A2383" s="33" t="s">
        <v>11490</v>
      </c>
      <c r="B2383" s="249">
        <v>46018.0</v>
      </c>
      <c r="C2383" s="103">
        <v>8.07000034285E11</v>
      </c>
      <c r="D2383" s="103" t="s">
        <v>11491</v>
      </c>
      <c r="E2383" s="103" t="s">
        <v>11492</v>
      </c>
      <c r="F2383" s="241" t="s">
        <v>11493</v>
      </c>
      <c r="G2383" s="241" t="s">
        <v>104</v>
      </c>
      <c r="H2383" s="241">
        <v>4400.0</v>
      </c>
      <c r="I2383" s="211" t="s">
        <v>3817</v>
      </c>
      <c r="J2383" s="211" t="s">
        <v>3818</v>
      </c>
      <c r="K2383" s="241">
        <v>1.0</v>
      </c>
      <c r="L2383" s="124"/>
    </row>
    <row r="2384">
      <c r="A2384" s="33" t="s">
        <v>11490</v>
      </c>
      <c r="B2384" s="248">
        <v>46018.0</v>
      </c>
      <c r="C2384" s="240">
        <v>8.07000034285E11</v>
      </c>
      <c r="D2384" s="240" t="s">
        <v>11491</v>
      </c>
      <c r="E2384" s="240" t="s">
        <v>11492</v>
      </c>
      <c r="F2384" s="242" t="s">
        <v>11493</v>
      </c>
      <c r="G2384" s="242" t="s">
        <v>104</v>
      </c>
      <c r="H2384" s="242">
        <v>4400.0</v>
      </c>
      <c r="I2384" s="224" t="s">
        <v>340</v>
      </c>
      <c r="J2384" s="224" t="s">
        <v>3486</v>
      </c>
      <c r="K2384" s="242">
        <v>2.0</v>
      </c>
      <c r="L2384" s="124"/>
    </row>
    <row r="2385">
      <c r="A2385" s="33" t="s">
        <v>11494</v>
      </c>
      <c r="B2385" s="248">
        <v>46018.0</v>
      </c>
      <c r="C2385" s="240">
        <v>8.07000034302E11</v>
      </c>
      <c r="D2385" s="240" t="s">
        <v>11495</v>
      </c>
      <c r="E2385" s="240" t="s">
        <v>11496</v>
      </c>
      <c r="F2385" s="123" t="s">
        <v>11497</v>
      </c>
      <c r="G2385" s="242" t="s">
        <v>104</v>
      </c>
      <c r="H2385" s="242">
        <v>4400.0</v>
      </c>
      <c r="I2385" s="224" t="s">
        <v>512</v>
      </c>
      <c r="J2385" s="224" t="s">
        <v>513</v>
      </c>
      <c r="K2385" s="242">
        <v>6.0</v>
      </c>
      <c r="L2385" s="124">
        <v>3.874864049E9</v>
      </c>
    </row>
    <row r="2386">
      <c r="A2386" s="33" t="s">
        <v>11494</v>
      </c>
      <c r="B2386" s="249">
        <v>46018.0</v>
      </c>
      <c r="C2386" s="103">
        <v>8.07000034303E11</v>
      </c>
      <c r="D2386" s="103" t="s">
        <v>11495</v>
      </c>
      <c r="E2386" s="103" t="s">
        <v>11496</v>
      </c>
      <c r="F2386" s="123" t="s">
        <v>11497</v>
      </c>
      <c r="G2386" s="241" t="s">
        <v>104</v>
      </c>
      <c r="H2386" s="241">
        <v>4400.0</v>
      </c>
      <c r="I2386" s="211" t="s">
        <v>3131</v>
      </c>
      <c r="J2386" s="211" t="s">
        <v>3416</v>
      </c>
      <c r="K2386" s="241">
        <v>1.0</v>
      </c>
      <c r="L2386" s="124">
        <v>3.874864049E9</v>
      </c>
    </row>
    <row r="2387">
      <c r="A2387" s="33" t="s">
        <v>11494</v>
      </c>
      <c r="B2387" s="248">
        <v>46018.0</v>
      </c>
      <c r="C2387" s="240">
        <v>8.07000034304E11</v>
      </c>
      <c r="D2387" s="240" t="s">
        <v>11495</v>
      </c>
      <c r="E2387" s="240" t="s">
        <v>11496</v>
      </c>
      <c r="F2387" s="123" t="s">
        <v>11497</v>
      </c>
      <c r="G2387" s="242" t="s">
        <v>104</v>
      </c>
      <c r="H2387" s="242">
        <v>4400.0</v>
      </c>
      <c r="I2387" s="224" t="s">
        <v>35</v>
      </c>
      <c r="J2387" s="224" t="s">
        <v>3188</v>
      </c>
      <c r="K2387" s="242">
        <v>1.0</v>
      </c>
      <c r="L2387" s="124">
        <v>3.874864049E9</v>
      </c>
    </row>
    <row r="2388">
      <c r="A2388" s="33" t="s">
        <v>11498</v>
      </c>
      <c r="B2388" s="249">
        <v>46018.0</v>
      </c>
      <c r="C2388" s="103"/>
      <c r="D2388" s="103"/>
      <c r="E2388" s="103" t="s">
        <v>11499</v>
      </c>
      <c r="F2388" s="123" t="s">
        <v>11500</v>
      </c>
      <c r="G2388" s="123" t="s">
        <v>127</v>
      </c>
      <c r="H2388" s="123">
        <v>4400.0</v>
      </c>
      <c r="I2388" s="211" t="s">
        <v>8604</v>
      </c>
      <c r="J2388" s="211" t="s">
        <v>11501</v>
      </c>
      <c r="K2388" s="241">
        <v>1.0</v>
      </c>
      <c r="L2388" s="124">
        <v>3.875713392E9</v>
      </c>
    </row>
    <row r="2389">
      <c r="A2389" s="33" t="s">
        <v>11498</v>
      </c>
      <c r="B2389" s="249">
        <v>46018.0</v>
      </c>
      <c r="C2389" s="103"/>
      <c r="D2389" s="103"/>
      <c r="E2389" s="103" t="s">
        <v>11499</v>
      </c>
      <c r="F2389" s="123" t="s">
        <v>11500</v>
      </c>
      <c r="G2389" s="123" t="s">
        <v>127</v>
      </c>
      <c r="H2389" s="123">
        <v>4400.0</v>
      </c>
      <c r="I2389" s="211">
        <v>208502.0</v>
      </c>
      <c r="J2389" s="211" t="s">
        <v>11502</v>
      </c>
      <c r="K2389" s="241">
        <v>2.0</v>
      </c>
      <c r="L2389" s="124">
        <v>3.875713392E9</v>
      </c>
    </row>
    <row r="2390">
      <c r="A2390" s="33" t="s">
        <v>11503</v>
      </c>
      <c r="B2390" s="249">
        <v>46018.0</v>
      </c>
      <c r="C2390" s="103">
        <v>8.07000034311E11</v>
      </c>
      <c r="D2390" s="103" t="s">
        <v>11504</v>
      </c>
      <c r="E2390" s="103" t="s">
        <v>11505</v>
      </c>
      <c r="F2390" s="123" t="s">
        <v>11506</v>
      </c>
      <c r="G2390" s="123" t="s">
        <v>104</v>
      </c>
      <c r="H2390" s="123">
        <v>4400.0</v>
      </c>
      <c r="I2390" s="211" t="s">
        <v>11507</v>
      </c>
      <c r="J2390" s="211" t="s">
        <v>11508</v>
      </c>
      <c r="K2390" s="241">
        <v>1.0</v>
      </c>
      <c r="L2390" s="124">
        <v>3.87407652E9</v>
      </c>
    </row>
    <row r="2391">
      <c r="A2391" s="33" t="s">
        <v>11503</v>
      </c>
      <c r="B2391" s="248">
        <v>46018.0</v>
      </c>
      <c r="C2391" s="240">
        <v>8.07000034311E11</v>
      </c>
      <c r="D2391" s="240" t="s">
        <v>11504</v>
      </c>
      <c r="E2391" s="240" t="s">
        <v>11505</v>
      </c>
      <c r="F2391" s="123" t="s">
        <v>11506</v>
      </c>
      <c r="G2391" s="123" t="s">
        <v>104</v>
      </c>
      <c r="H2391" s="123">
        <v>4400.0</v>
      </c>
      <c r="I2391" s="224" t="s">
        <v>3512</v>
      </c>
      <c r="J2391" s="224" t="s">
        <v>3513</v>
      </c>
      <c r="K2391" s="242">
        <v>6.0</v>
      </c>
      <c r="L2391" s="124">
        <v>3.87407652E9</v>
      </c>
    </row>
    <row r="2392">
      <c r="A2392" s="33" t="s">
        <v>11503</v>
      </c>
      <c r="B2392" s="249">
        <v>46018.0</v>
      </c>
      <c r="C2392" s="103">
        <v>8.07000034311E11</v>
      </c>
      <c r="D2392" s="103" t="s">
        <v>11504</v>
      </c>
      <c r="E2392" s="103" t="s">
        <v>11505</v>
      </c>
      <c r="F2392" s="123" t="s">
        <v>11506</v>
      </c>
      <c r="G2392" s="123" t="s">
        <v>104</v>
      </c>
      <c r="H2392" s="123">
        <v>4400.0</v>
      </c>
      <c r="I2392" s="211" t="s">
        <v>3510</v>
      </c>
      <c r="J2392" s="211" t="s">
        <v>3511</v>
      </c>
      <c r="K2392" s="241">
        <v>1.0</v>
      </c>
      <c r="L2392" s="124">
        <v>3.87407652E9</v>
      </c>
    </row>
    <row r="2393">
      <c r="A2393" s="33" t="s">
        <v>11503</v>
      </c>
      <c r="B2393" s="248">
        <v>46018.0</v>
      </c>
      <c r="C2393" s="240">
        <v>8.07000034312E11</v>
      </c>
      <c r="D2393" s="240" t="s">
        <v>11504</v>
      </c>
      <c r="E2393" s="240" t="s">
        <v>11505</v>
      </c>
      <c r="F2393" s="123" t="s">
        <v>11506</v>
      </c>
      <c r="G2393" s="123" t="s">
        <v>104</v>
      </c>
      <c r="H2393" s="123">
        <v>4400.0</v>
      </c>
      <c r="I2393" s="224" t="s">
        <v>3376</v>
      </c>
      <c r="J2393" s="224" t="s">
        <v>3377</v>
      </c>
      <c r="K2393" s="242">
        <v>2.0</v>
      </c>
      <c r="L2393" s="124">
        <v>3.87407652E9</v>
      </c>
    </row>
    <row r="2394">
      <c r="A2394" s="33" t="s">
        <v>11509</v>
      </c>
      <c r="B2394" s="122">
        <v>46019.0</v>
      </c>
      <c r="C2394" s="240"/>
      <c r="D2394" s="240"/>
      <c r="E2394" s="240" t="s">
        <v>11510</v>
      </c>
      <c r="F2394" s="123" t="s">
        <v>11511</v>
      </c>
      <c r="G2394" s="123" t="s">
        <v>3047</v>
      </c>
      <c r="H2394" s="123">
        <v>4400.0</v>
      </c>
      <c r="I2394" s="224">
        <v>125815.0</v>
      </c>
      <c r="J2394" s="224" t="s">
        <v>11512</v>
      </c>
      <c r="K2394" s="242">
        <v>2.0</v>
      </c>
      <c r="L2394" s="124">
        <v>3.876849726E9</v>
      </c>
    </row>
    <row r="2395">
      <c r="A2395" s="33" t="s">
        <v>11509</v>
      </c>
      <c r="B2395" s="122">
        <v>46019.0</v>
      </c>
      <c r="C2395" s="240"/>
      <c r="D2395" s="240"/>
      <c r="E2395" s="240" t="s">
        <v>11510</v>
      </c>
      <c r="F2395" s="123" t="s">
        <v>11511</v>
      </c>
      <c r="G2395" s="123" t="s">
        <v>3047</v>
      </c>
      <c r="H2395" s="123">
        <v>4400.0</v>
      </c>
      <c r="I2395" s="224">
        <v>125813.0</v>
      </c>
      <c r="J2395" s="224" t="s">
        <v>11513</v>
      </c>
      <c r="K2395" s="242">
        <v>8.0</v>
      </c>
      <c r="L2395" s="124">
        <v>3.876849726E9</v>
      </c>
    </row>
    <row r="2396">
      <c r="A2396" s="33" t="s">
        <v>11514</v>
      </c>
      <c r="B2396" s="122">
        <v>46020.0</v>
      </c>
      <c r="C2396" s="103">
        <v>8.07000034325E11</v>
      </c>
      <c r="D2396" s="103" t="s">
        <v>11515</v>
      </c>
      <c r="E2396" s="103" t="s">
        <v>11516</v>
      </c>
      <c r="F2396" s="123" t="s">
        <v>11517</v>
      </c>
      <c r="G2396" s="123" t="s">
        <v>127</v>
      </c>
      <c r="H2396" s="123">
        <v>4400.0</v>
      </c>
      <c r="I2396" s="211">
        <v>125818.0</v>
      </c>
      <c r="J2396" s="211" t="s">
        <v>4334</v>
      </c>
      <c r="K2396" s="241">
        <v>2.0</v>
      </c>
      <c r="L2396" s="124">
        <v>3.875271348E9</v>
      </c>
    </row>
    <row r="2397">
      <c r="A2397" s="33" t="s">
        <v>11514</v>
      </c>
      <c r="B2397" s="122">
        <v>46020.0</v>
      </c>
      <c r="C2397" s="240">
        <v>8.07000034326E11</v>
      </c>
      <c r="D2397" s="240" t="s">
        <v>11515</v>
      </c>
      <c r="E2397" s="240" t="s">
        <v>11516</v>
      </c>
      <c r="F2397" s="123" t="s">
        <v>11517</v>
      </c>
      <c r="G2397" s="123" t="s">
        <v>127</v>
      </c>
      <c r="H2397" s="123">
        <v>4400.0</v>
      </c>
      <c r="I2397" s="224" t="s">
        <v>3285</v>
      </c>
      <c r="J2397" s="224" t="s">
        <v>3286</v>
      </c>
      <c r="K2397" s="242">
        <v>1.0</v>
      </c>
      <c r="L2397" s="124">
        <v>3.875271348E9</v>
      </c>
    </row>
    <row r="2398">
      <c r="A2398" s="33" t="s">
        <v>11518</v>
      </c>
      <c r="B2398" s="122">
        <v>46020.0</v>
      </c>
      <c r="C2398" s="103">
        <v>8.07000034317E11</v>
      </c>
      <c r="D2398" s="103" t="s">
        <v>11519</v>
      </c>
      <c r="E2398" s="103" t="s">
        <v>11510</v>
      </c>
      <c r="F2398" s="123" t="s">
        <v>11520</v>
      </c>
      <c r="G2398" s="123" t="s">
        <v>11521</v>
      </c>
      <c r="H2398" s="123">
        <v>4400.0</v>
      </c>
      <c r="I2398" s="211" t="s">
        <v>512</v>
      </c>
      <c r="J2398" s="211" t="s">
        <v>513</v>
      </c>
      <c r="K2398" s="241">
        <v>6.0</v>
      </c>
      <c r="L2398" s="124">
        <v>3.876849726E9</v>
      </c>
    </row>
    <row r="2399">
      <c r="A2399" s="33" t="s">
        <v>11518</v>
      </c>
      <c r="B2399" s="122">
        <v>46020.0</v>
      </c>
      <c r="C2399" s="240">
        <v>8.07000034319E11</v>
      </c>
      <c r="D2399" s="240" t="s">
        <v>11519</v>
      </c>
      <c r="E2399" s="240" t="s">
        <v>11510</v>
      </c>
      <c r="F2399" s="123" t="s">
        <v>11511</v>
      </c>
      <c r="G2399" s="123" t="s">
        <v>3047</v>
      </c>
      <c r="H2399" s="123">
        <v>4400.0</v>
      </c>
      <c r="I2399" s="224" t="s">
        <v>659</v>
      </c>
      <c r="J2399" s="224" t="s">
        <v>3468</v>
      </c>
      <c r="K2399" s="242">
        <v>1.0</v>
      </c>
      <c r="L2399" s="124">
        <v>3.876849726E9</v>
      </c>
    </row>
    <row r="2400">
      <c r="A2400" s="33" t="s">
        <v>11518</v>
      </c>
      <c r="B2400" s="122">
        <v>46020.0</v>
      </c>
      <c r="C2400" s="103">
        <v>8.07000034319E11</v>
      </c>
      <c r="D2400" s="103" t="s">
        <v>11519</v>
      </c>
      <c r="E2400" s="103" t="s">
        <v>11510</v>
      </c>
      <c r="F2400" s="123" t="s">
        <v>11511</v>
      </c>
      <c r="G2400" s="123" t="s">
        <v>3047</v>
      </c>
      <c r="H2400" s="123">
        <v>4400.0</v>
      </c>
      <c r="I2400" s="211" t="s">
        <v>35</v>
      </c>
      <c r="J2400" s="211" t="s">
        <v>3188</v>
      </c>
      <c r="K2400" s="241">
        <v>1.0</v>
      </c>
      <c r="L2400" s="124">
        <v>3.876849726E9</v>
      </c>
    </row>
    <row r="2401">
      <c r="A2401" s="33" t="s">
        <v>11518</v>
      </c>
      <c r="B2401" s="122">
        <v>46020.0</v>
      </c>
      <c r="C2401" s="240">
        <v>8.07000034321E11</v>
      </c>
      <c r="D2401" s="240" t="s">
        <v>11519</v>
      </c>
      <c r="E2401" s="240" t="s">
        <v>11510</v>
      </c>
      <c r="F2401" s="123" t="s">
        <v>11511</v>
      </c>
      <c r="G2401" s="123" t="s">
        <v>3047</v>
      </c>
      <c r="H2401" s="123">
        <v>4400.0</v>
      </c>
      <c r="I2401" s="224" t="s">
        <v>2537</v>
      </c>
      <c r="J2401" s="224" t="s">
        <v>3955</v>
      </c>
      <c r="K2401" s="242">
        <v>1.0</v>
      </c>
      <c r="L2401" s="124">
        <v>3.876849726E9</v>
      </c>
    </row>
    <row r="2402">
      <c r="A2402" s="33" t="s">
        <v>11518</v>
      </c>
      <c r="B2402" s="122">
        <v>46020.0</v>
      </c>
      <c r="C2402" s="103">
        <v>8.07000034322E11</v>
      </c>
      <c r="D2402" s="103" t="s">
        <v>11519</v>
      </c>
      <c r="E2402" s="103" t="s">
        <v>11510</v>
      </c>
      <c r="F2402" s="123" t="s">
        <v>11511</v>
      </c>
      <c r="G2402" s="123" t="s">
        <v>3047</v>
      </c>
      <c r="H2402" s="123">
        <v>4400.0</v>
      </c>
      <c r="I2402" s="211" t="s">
        <v>340</v>
      </c>
      <c r="J2402" s="211" t="s">
        <v>3486</v>
      </c>
      <c r="K2402" s="241">
        <v>2.0</v>
      </c>
      <c r="L2402" s="124">
        <v>3.876849726E9</v>
      </c>
    </row>
    <row r="2403">
      <c r="A2403" s="33" t="s">
        <v>11522</v>
      </c>
      <c r="B2403" s="122">
        <v>46020.0</v>
      </c>
      <c r="C2403" s="103">
        <v>8.07000034313E11</v>
      </c>
      <c r="D2403" s="103" t="s">
        <v>11523</v>
      </c>
      <c r="E2403" s="103" t="s">
        <v>11524</v>
      </c>
      <c r="F2403" s="123" t="s">
        <v>11525</v>
      </c>
      <c r="G2403" s="123" t="s">
        <v>11028</v>
      </c>
      <c r="H2403" s="123">
        <v>4400.0</v>
      </c>
      <c r="I2403" s="211">
        <v>125812.0</v>
      </c>
      <c r="J2403" s="211" t="s">
        <v>9317</v>
      </c>
      <c r="K2403" s="241">
        <v>2.0</v>
      </c>
      <c r="L2403" s="124">
        <v>3.874699506E9</v>
      </c>
    </row>
    <row r="2404">
      <c r="A2404" s="33" t="s">
        <v>11522</v>
      </c>
      <c r="B2404" s="122">
        <v>46020.0</v>
      </c>
      <c r="C2404" s="240">
        <v>8.07000034313E11</v>
      </c>
      <c r="D2404" s="240" t="s">
        <v>11523</v>
      </c>
      <c r="E2404" s="240" t="s">
        <v>11524</v>
      </c>
      <c r="F2404" s="123" t="s">
        <v>11525</v>
      </c>
      <c r="G2404" s="123" t="s">
        <v>11028</v>
      </c>
      <c r="H2404" s="123">
        <v>4400.0</v>
      </c>
      <c r="I2404" s="224" t="s">
        <v>512</v>
      </c>
      <c r="J2404" s="224" t="s">
        <v>513</v>
      </c>
      <c r="K2404" s="242">
        <v>6.0</v>
      </c>
      <c r="L2404" s="124">
        <v>3.874699506E9</v>
      </c>
    </row>
    <row r="2405">
      <c r="A2405" s="33" t="s">
        <v>11522</v>
      </c>
      <c r="B2405" s="122">
        <v>46020.0</v>
      </c>
      <c r="C2405" s="103">
        <v>8.07000034314E11</v>
      </c>
      <c r="D2405" s="103" t="s">
        <v>11523</v>
      </c>
      <c r="E2405" s="103" t="s">
        <v>11524</v>
      </c>
      <c r="F2405" s="123" t="s">
        <v>11525</v>
      </c>
      <c r="G2405" s="123" t="s">
        <v>11028</v>
      </c>
      <c r="H2405" s="123">
        <v>4400.0</v>
      </c>
      <c r="I2405" s="211" t="s">
        <v>35</v>
      </c>
      <c r="J2405" s="211" t="s">
        <v>3188</v>
      </c>
      <c r="K2405" s="241">
        <v>1.0</v>
      </c>
      <c r="L2405" s="124">
        <v>3.874699506E9</v>
      </c>
    </row>
    <row r="2406">
      <c r="A2406" s="33" t="s">
        <v>11526</v>
      </c>
      <c r="B2406" s="122">
        <v>46020.0</v>
      </c>
      <c r="C2406" s="240">
        <v>8.07000034315E11</v>
      </c>
      <c r="D2406" s="240" t="s">
        <v>11523</v>
      </c>
      <c r="E2406" s="240" t="s">
        <v>11524</v>
      </c>
      <c r="F2406" s="123" t="s">
        <v>11525</v>
      </c>
      <c r="G2406" s="123" t="s">
        <v>11028</v>
      </c>
      <c r="H2406" s="123">
        <v>4400.0</v>
      </c>
      <c r="I2406" s="224" t="s">
        <v>659</v>
      </c>
      <c r="J2406" s="224" t="s">
        <v>3468</v>
      </c>
      <c r="K2406" s="242">
        <v>1.0</v>
      </c>
      <c r="L2406" s="124">
        <v>3.874699506E9</v>
      </c>
    </row>
    <row r="2407">
      <c r="A2407" s="33" t="s">
        <v>11527</v>
      </c>
      <c r="B2407" s="122">
        <v>46020.0</v>
      </c>
      <c r="C2407" s="240">
        <v>8.07000034339E11</v>
      </c>
      <c r="D2407" s="240" t="s">
        <v>11528</v>
      </c>
      <c r="E2407" s="240" t="s">
        <v>11529</v>
      </c>
      <c r="F2407" s="123" t="s">
        <v>11530</v>
      </c>
      <c r="G2407" s="123" t="s">
        <v>1529</v>
      </c>
      <c r="H2407" s="123">
        <v>4400.0</v>
      </c>
      <c r="I2407" s="224" t="s">
        <v>4070</v>
      </c>
      <c r="J2407" s="224" t="s">
        <v>6264</v>
      </c>
      <c r="K2407" s="242">
        <v>1.0</v>
      </c>
      <c r="L2407" s="124">
        <v>1.54535334E8</v>
      </c>
    </row>
    <row r="2408">
      <c r="A2408" s="33" t="s">
        <v>11531</v>
      </c>
      <c r="B2408" s="122">
        <v>46020.0</v>
      </c>
      <c r="C2408" s="103">
        <v>8.07000034333E11</v>
      </c>
      <c r="D2408" s="103" t="s">
        <v>11528</v>
      </c>
      <c r="E2408" s="103" t="s">
        <v>11529</v>
      </c>
      <c r="F2408" s="123" t="s">
        <v>11530</v>
      </c>
      <c r="G2408" s="123" t="s">
        <v>1529</v>
      </c>
      <c r="H2408" s="123">
        <v>4400.0</v>
      </c>
      <c r="I2408" s="211" t="s">
        <v>2537</v>
      </c>
      <c r="J2408" s="211" t="s">
        <v>3955</v>
      </c>
      <c r="K2408" s="241">
        <v>1.0</v>
      </c>
      <c r="L2408" s="124">
        <v>1.54535334E8</v>
      </c>
    </row>
    <row r="2409">
      <c r="A2409" s="33" t="s">
        <v>11532</v>
      </c>
      <c r="B2409" s="122">
        <v>46020.0</v>
      </c>
      <c r="C2409" s="240">
        <v>8.07000034334E11</v>
      </c>
      <c r="D2409" s="240" t="s">
        <v>11533</v>
      </c>
      <c r="E2409" s="240" t="s">
        <v>11534</v>
      </c>
      <c r="F2409" s="123" t="s">
        <v>11535</v>
      </c>
      <c r="G2409" s="123" t="s">
        <v>11536</v>
      </c>
      <c r="H2409" s="123">
        <v>4400.0</v>
      </c>
      <c r="I2409" s="224" t="s">
        <v>698</v>
      </c>
      <c r="J2409" s="224" t="s">
        <v>699</v>
      </c>
      <c r="K2409" s="242">
        <v>2.0</v>
      </c>
      <c r="L2409" s="124">
        <v>3.874023729E9</v>
      </c>
    </row>
    <row r="2410">
      <c r="A2410" s="33" t="s">
        <v>11532</v>
      </c>
      <c r="B2410" s="122">
        <v>46020.0</v>
      </c>
      <c r="C2410" s="103">
        <v>8.07000034334E11</v>
      </c>
      <c r="D2410" s="103" t="s">
        <v>11533</v>
      </c>
      <c r="E2410" s="103" t="s">
        <v>11534</v>
      </c>
      <c r="F2410" s="123" t="s">
        <v>11535</v>
      </c>
      <c r="G2410" s="123" t="s">
        <v>11536</v>
      </c>
      <c r="H2410" s="123">
        <v>4400.0</v>
      </c>
      <c r="I2410" s="211" t="s">
        <v>512</v>
      </c>
      <c r="J2410" s="211" t="s">
        <v>513</v>
      </c>
      <c r="K2410" s="241">
        <v>12.0</v>
      </c>
      <c r="L2410" s="124">
        <v>3.874023729E9</v>
      </c>
    </row>
    <row r="2411">
      <c r="A2411" s="33" t="s">
        <v>11532</v>
      </c>
      <c r="B2411" s="122">
        <v>46020.0</v>
      </c>
      <c r="C2411" s="240">
        <v>8.07000034334E11</v>
      </c>
      <c r="D2411" s="240" t="s">
        <v>11533</v>
      </c>
      <c r="E2411" s="240" t="s">
        <v>11534</v>
      </c>
      <c r="F2411" s="123" t="s">
        <v>11535</v>
      </c>
      <c r="G2411" s="123" t="s">
        <v>11536</v>
      </c>
      <c r="H2411" s="123">
        <v>4400.0</v>
      </c>
      <c r="I2411" s="224" t="s">
        <v>64</v>
      </c>
      <c r="J2411" s="224" t="s">
        <v>3708</v>
      </c>
      <c r="K2411" s="242">
        <v>2.0</v>
      </c>
      <c r="L2411" s="124">
        <v>3.874023729E9</v>
      </c>
    </row>
    <row r="2412">
      <c r="A2412" s="33" t="s">
        <v>11537</v>
      </c>
      <c r="B2412" s="122">
        <v>46020.0</v>
      </c>
      <c r="C2412" s="103">
        <v>8.07000034345E11</v>
      </c>
      <c r="D2412" s="103" t="s">
        <v>11538</v>
      </c>
      <c r="E2412" s="103" t="s">
        <v>11539</v>
      </c>
      <c r="F2412" s="123" t="s">
        <v>11540</v>
      </c>
      <c r="G2412" s="123" t="s">
        <v>104</v>
      </c>
      <c r="H2412" s="123">
        <v>4400.0</v>
      </c>
      <c r="I2412" s="211" t="s">
        <v>1759</v>
      </c>
      <c r="J2412" s="211" t="s">
        <v>11541</v>
      </c>
      <c r="K2412" s="241">
        <v>1.0</v>
      </c>
      <c r="L2412" s="124">
        <v>3.875646807E9</v>
      </c>
    </row>
    <row r="2413">
      <c r="A2413" s="33" t="s">
        <v>11542</v>
      </c>
      <c r="B2413" s="122">
        <v>46020.0</v>
      </c>
      <c r="C2413" s="240">
        <v>8.07000034346E11</v>
      </c>
      <c r="D2413" s="240" t="s">
        <v>11538</v>
      </c>
      <c r="E2413" s="240" t="s">
        <v>11539</v>
      </c>
      <c r="F2413" s="123" t="s">
        <v>11540</v>
      </c>
      <c r="G2413" s="123" t="s">
        <v>104</v>
      </c>
      <c r="H2413" s="123">
        <v>4400.0</v>
      </c>
      <c r="I2413" s="224" t="s">
        <v>1756</v>
      </c>
      <c r="J2413" s="224" t="s">
        <v>5005</v>
      </c>
      <c r="K2413" s="242">
        <v>1.0</v>
      </c>
      <c r="L2413" s="124">
        <v>3.875646807E9</v>
      </c>
    </row>
    <row r="2414">
      <c r="A2414" s="33" t="s">
        <v>11543</v>
      </c>
      <c r="B2414" s="122">
        <v>46022.0</v>
      </c>
      <c r="C2414" s="240"/>
      <c r="D2414" s="240"/>
      <c r="E2414" s="240" t="s">
        <v>11544</v>
      </c>
      <c r="F2414" s="123" t="s">
        <v>11545</v>
      </c>
      <c r="G2414" s="123" t="s">
        <v>127</v>
      </c>
      <c r="H2414" s="123">
        <v>4400.0</v>
      </c>
      <c r="I2414" s="224" t="s">
        <v>4133</v>
      </c>
      <c r="J2414" s="224"/>
      <c r="K2414" s="242">
        <v>1.0</v>
      </c>
      <c r="L2414" s="124">
        <v>3.873522E9</v>
      </c>
    </row>
    <row r="2415">
      <c r="A2415" s="33" t="s">
        <v>11543</v>
      </c>
      <c r="B2415" s="122">
        <v>46022.0</v>
      </c>
      <c r="C2415" s="240"/>
      <c r="D2415" s="240"/>
      <c r="E2415" s="240" t="s">
        <v>11544</v>
      </c>
      <c r="F2415" s="123" t="s">
        <v>11545</v>
      </c>
      <c r="G2415" s="123" t="s">
        <v>127</v>
      </c>
      <c r="H2415" s="123">
        <v>4400.0</v>
      </c>
      <c r="I2415" s="224" t="s">
        <v>512</v>
      </c>
      <c r="J2415" s="224"/>
      <c r="K2415" s="242">
        <v>12.0</v>
      </c>
      <c r="L2415" s="124">
        <v>3.873522E9</v>
      </c>
    </row>
    <row r="2416">
      <c r="A2416" s="33" t="s">
        <v>11543</v>
      </c>
      <c r="B2416" s="122">
        <v>46022.0</v>
      </c>
      <c r="C2416" s="240"/>
      <c r="D2416" s="240"/>
      <c r="E2416" s="240" t="s">
        <v>11544</v>
      </c>
      <c r="F2416" s="123" t="s">
        <v>11545</v>
      </c>
      <c r="G2416" s="123" t="s">
        <v>127</v>
      </c>
      <c r="H2416" s="123">
        <v>4400.0</v>
      </c>
      <c r="I2416" s="224">
        <v>208501.0</v>
      </c>
      <c r="J2416" s="224"/>
      <c r="K2416" s="242">
        <v>2.0</v>
      </c>
      <c r="L2416" s="124">
        <v>3.873522E9</v>
      </c>
    </row>
    <row r="2417">
      <c r="A2417" s="33" t="s">
        <v>11546</v>
      </c>
      <c r="B2417" s="122">
        <v>46022.0</v>
      </c>
      <c r="C2417" s="240"/>
      <c r="D2417" s="240"/>
      <c r="E2417" s="240" t="s">
        <v>11544</v>
      </c>
      <c r="F2417" s="123" t="s">
        <v>11545</v>
      </c>
      <c r="G2417" s="123" t="s">
        <v>127</v>
      </c>
      <c r="H2417" s="123">
        <v>4400.0</v>
      </c>
      <c r="I2417" s="224" t="s">
        <v>340</v>
      </c>
      <c r="J2417" s="224"/>
      <c r="K2417" s="242">
        <v>2.0</v>
      </c>
      <c r="L2417" s="124">
        <v>3.873522E9</v>
      </c>
    </row>
    <row r="2418" ht="4.5" customHeight="1">
      <c r="A2418" s="100"/>
      <c r="B2418" s="230"/>
      <c r="C2418" s="251"/>
      <c r="D2418" s="251"/>
      <c r="E2418" s="251"/>
      <c r="F2418" s="231"/>
      <c r="G2418" s="231"/>
      <c r="H2418" s="231"/>
      <c r="I2418" s="252"/>
      <c r="J2418" s="252"/>
      <c r="K2418" s="253"/>
      <c r="L2418" s="232"/>
      <c r="M2418" s="233"/>
      <c r="N2418" s="233"/>
      <c r="O2418" s="233"/>
      <c r="P2418" s="233"/>
      <c r="Q2418" s="233"/>
      <c r="R2418" s="233"/>
      <c r="S2418" s="233"/>
      <c r="T2418" s="233"/>
      <c r="U2418" s="233"/>
      <c r="V2418" s="233"/>
      <c r="W2418" s="233"/>
      <c r="X2418" s="233"/>
      <c r="Y2418" s="233"/>
      <c r="Z2418" s="233"/>
      <c r="AA2418" s="233"/>
      <c r="AB2418" s="233"/>
      <c r="AC2418" s="233"/>
    </row>
    <row r="2419">
      <c r="A2419" s="33" t="s">
        <v>11547</v>
      </c>
      <c r="B2419" s="249">
        <v>46024.0</v>
      </c>
      <c r="C2419" s="103">
        <v>8.0700003441E11</v>
      </c>
      <c r="D2419" s="103" t="s">
        <v>11548</v>
      </c>
      <c r="E2419" s="103" t="s">
        <v>11549</v>
      </c>
      <c r="F2419" s="123" t="s">
        <v>11550</v>
      </c>
      <c r="G2419" s="123" t="s">
        <v>104</v>
      </c>
      <c r="H2419" s="241">
        <v>4400.0</v>
      </c>
      <c r="I2419" s="211" t="s">
        <v>7088</v>
      </c>
      <c r="J2419" s="211" t="s">
        <v>8278</v>
      </c>
      <c r="K2419" s="242">
        <v>1.0</v>
      </c>
      <c r="L2419" s="124"/>
    </row>
    <row r="2420">
      <c r="A2420" s="33" t="s">
        <v>11551</v>
      </c>
      <c r="B2420" s="248">
        <v>46024.0</v>
      </c>
      <c r="C2420" s="240">
        <v>8.07000034404E11</v>
      </c>
      <c r="D2420" s="240" t="s">
        <v>11552</v>
      </c>
      <c r="E2420" s="240" t="s">
        <v>11553</v>
      </c>
      <c r="F2420" s="242" t="s">
        <v>11554</v>
      </c>
      <c r="G2420" s="242" t="s">
        <v>127</v>
      </c>
      <c r="H2420" s="242">
        <v>4400.0</v>
      </c>
      <c r="I2420" s="224" t="s">
        <v>3131</v>
      </c>
      <c r="J2420" s="224" t="s">
        <v>3416</v>
      </c>
      <c r="K2420" s="242">
        <v>1.0</v>
      </c>
      <c r="L2420" s="124"/>
    </row>
    <row r="2421">
      <c r="A2421" s="33" t="s">
        <v>11555</v>
      </c>
      <c r="B2421" s="248">
        <v>46024.0</v>
      </c>
      <c r="C2421" s="240">
        <v>8.07000034376E11</v>
      </c>
      <c r="D2421" s="240" t="s">
        <v>11556</v>
      </c>
      <c r="E2421" s="240" t="s">
        <v>11557</v>
      </c>
      <c r="F2421" s="242" t="s">
        <v>11558</v>
      </c>
      <c r="G2421" s="242" t="s">
        <v>425</v>
      </c>
      <c r="H2421" s="242">
        <v>4400.0</v>
      </c>
      <c r="I2421" s="224" t="s">
        <v>512</v>
      </c>
      <c r="J2421" s="224" t="s">
        <v>513</v>
      </c>
      <c r="K2421" s="242">
        <v>6.0</v>
      </c>
      <c r="L2421" s="124"/>
    </row>
    <row r="2422">
      <c r="A2422" s="33" t="s">
        <v>11555</v>
      </c>
      <c r="B2422" s="248">
        <v>46024.0</v>
      </c>
      <c r="C2422" s="103">
        <v>8.07000034377E11</v>
      </c>
      <c r="D2422" s="103" t="s">
        <v>11556</v>
      </c>
      <c r="E2422" s="103" t="s">
        <v>11557</v>
      </c>
      <c r="F2422" s="241" t="s">
        <v>11558</v>
      </c>
      <c r="G2422" s="241" t="s">
        <v>425</v>
      </c>
      <c r="H2422" s="241">
        <v>4400.0</v>
      </c>
      <c r="I2422" s="211" t="s">
        <v>5185</v>
      </c>
      <c r="J2422" s="211" t="s">
        <v>5186</v>
      </c>
      <c r="K2422" s="241">
        <v>1.0</v>
      </c>
      <c r="L2422" s="124"/>
    </row>
    <row r="2423">
      <c r="A2423" s="33" t="s">
        <v>11559</v>
      </c>
      <c r="B2423" s="248">
        <v>46024.0</v>
      </c>
      <c r="C2423" s="240">
        <v>8.07000034421E11</v>
      </c>
      <c r="D2423" s="240" t="s">
        <v>11556</v>
      </c>
      <c r="E2423" s="240" t="s">
        <v>11557</v>
      </c>
      <c r="F2423" s="242" t="s">
        <v>11558</v>
      </c>
      <c r="G2423" s="242" t="s">
        <v>425</v>
      </c>
      <c r="H2423" s="242">
        <v>4400.0</v>
      </c>
      <c r="I2423" s="224" t="s">
        <v>969</v>
      </c>
      <c r="J2423" s="224" t="s">
        <v>3296</v>
      </c>
      <c r="K2423" s="242">
        <v>1.0</v>
      </c>
      <c r="L2423" s="242"/>
    </row>
    <row r="2424">
      <c r="A2424" s="33" t="s">
        <v>11560</v>
      </c>
      <c r="B2424" s="248">
        <v>46024.0</v>
      </c>
      <c r="C2424" s="240">
        <v>8.07000034402E11</v>
      </c>
      <c r="D2424" s="240" t="s">
        <v>11561</v>
      </c>
      <c r="E2424" s="240" t="s">
        <v>11562</v>
      </c>
      <c r="F2424" s="242" t="s">
        <v>11563</v>
      </c>
      <c r="G2424" s="242" t="s">
        <v>1529</v>
      </c>
      <c r="H2424" s="242">
        <v>4400.0</v>
      </c>
      <c r="I2424" s="224" t="s">
        <v>218</v>
      </c>
      <c r="J2424" s="224" t="s">
        <v>8664</v>
      </c>
      <c r="K2424" s="242">
        <v>1.0</v>
      </c>
      <c r="L2424" s="124"/>
    </row>
    <row r="2425">
      <c r="A2425" s="33" t="s">
        <v>11560</v>
      </c>
      <c r="B2425" s="249">
        <v>46024.0</v>
      </c>
      <c r="C2425" s="103">
        <v>8.07000034403E11</v>
      </c>
      <c r="D2425" s="103" t="s">
        <v>11561</v>
      </c>
      <c r="E2425" s="103" t="s">
        <v>11562</v>
      </c>
      <c r="F2425" s="241" t="s">
        <v>11563</v>
      </c>
      <c r="G2425" s="241" t="s">
        <v>1529</v>
      </c>
      <c r="H2425" s="241">
        <v>4400.0</v>
      </c>
      <c r="I2425" s="211" t="s">
        <v>11564</v>
      </c>
      <c r="J2425" s="211" t="s">
        <v>11565</v>
      </c>
      <c r="K2425" s="241">
        <v>1.0</v>
      </c>
      <c r="L2425" s="124"/>
    </row>
    <row r="2426">
      <c r="A2426" s="33" t="s">
        <v>11566</v>
      </c>
      <c r="B2426" s="248">
        <v>46024.0</v>
      </c>
      <c r="C2426" s="240">
        <v>8.07000034417E11</v>
      </c>
      <c r="D2426" s="240" t="s">
        <v>11567</v>
      </c>
      <c r="E2426" s="240" t="s">
        <v>11568</v>
      </c>
      <c r="F2426" s="242" t="s">
        <v>11569</v>
      </c>
      <c r="G2426" s="242" t="s">
        <v>104</v>
      </c>
      <c r="H2426" s="242">
        <v>4400.0</v>
      </c>
      <c r="I2426" s="224" t="s">
        <v>1766</v>
      </c>
      <c r="J2426" s="224" t="s">
        <v>8008</v>
      </c>
      <c r="K2426" s="242">
        <v>1.0</v>
      </c>
      <c r="L2426" s="124"/>
    </row>
    <row r="2427">
      <c r="A2427" s="33" t="s">
        <v>11566</v>
      </c>
      <c r="B2427" s="249">
        <v>46024.0</v>
      </c>
      <c r="C2427" s="103">
        <v>8.07000034418E11</v>
      </c>
      <c r="D2427" s="103" t="s">
        <v>11567</v>
      </c>
      <c r="E2427" s="103" t="s">
        <v>11568</v>
      </c>
      <c r="F2427" s="241" t="s">
        <v>11569</v>
      </c>
      <c r="G2427" s="241" t="s">
        <v>104</v>
      </c>
      <c r="H2427" s="241">
        <v>4400.0</v>
      </c>
      <c r="I2427" s="211" t="s">
        <v>11570</v>
      </c>
      <c r="J2427" s="211" t="s">
        <v>11571</v>
      </c>
      <c r="K2427" s="241">
        <v>1.0</v>
      </c>
      <c r="L2427" s="124"/>
    </row>
    <row r="2428">
      <c r="A2428" s="33" t="s">
        <v>11566</v>
      </c>
      <c r="B2428" s="248">
        <v>46024.0</v>
      </c>
      <c r="C2428" s="240">
        <v>8.07000034419E11</v>
      </c>
      <c r="D2428" s="240" t="s">
        <v>11567</v>
      </c>
      <c r="E2428" s="240" t="s">
        <v>11568</v>
      </c>
      <c r="F2428" s="242" t="s">
        <v>11569</v>
      </c>
      <c r="G2428" s="242" t="s">
        <v>104</v>
      </c>
      <c r="H2428" s="242">
        <v>4400.0</v>
      </c>
      <c r="I2428" s="224" t="s">
        <v>8371</v>
      </c>
      <c r="J2428" s="224" t="s">
        <v>8372</v>
      </c>
      <c r="K2428" s="242">
        <v>1.0</v>
      </c>
      <c r="L2428" s="124"/>
    </row>
    <row r="2429">
      <c r="A2429" s="33" t="s">
        <v>11566</v>
      </c>
      <c r="B2429" s="249">
        <v>46024.0</v>
      </c>
      <c r="C2429" s="103">
        <v>8.07000034419E11</v>
      </c>
      <c r="D2429" s="103" t="s">
        <v>11567</v>
      </c>
      <c r="E2429" s="103" t="s">
        <v>11568</v>
      </c>
      <c r="F2429" s="241" t="s">
        <v>11569</v>
      </c>
      <c r="G2429" s="241" t="s">
        <v>104</v>
      </c>
      <c r="H2429" s="241">
        <v>4400.0</v>
      </c>
      <c r="I2429" s="211" t="s">
        <v>1040</v>
      </c>
      <c r="J2429" s="211" t="s">
        <v>3294</v>
      </c>
      <c r="K2429" s="241">
        <v>1.0</v>
      </c>
      <c r="L2429" s="124"/>
    </row>
    <row r="2430">
      <c r="A2430" s="33" t="s">
        <v>11566</v>
      </c>
      <c r="B2430" s="248">
        <v>46024.0</v>
      </c>
      <c r="C2430" s="240">
        <v>8.07000034419E11</v>
      </c>
      <c r="D2430" s="240" t="s">
        <v>11567</v>
      </c>
      <c r="E2430" s="240" t="s">
        <v>11568</v>
      </c>
      <c r="F2430" s="242" t="s">
        <v>11569</v>
      </c>
      <c r="G2430" s="242" t="s">
        <v>104</v>
      </c>
      <c r="H2430" s="242">
        <v>4400.0</v>
      </c>
      <c r="I2430" s="224" t="s">
        <v>512</v>
      </c>
      <c r="J2430" s="224" t="s">
        <v>513</v>
      </c>
      <c r="K2430" s="242">
        <v>6.0</v>
      </c>
      <c r="L2430" s="124"/>
    </row>
    <row r="2431">
      <c r="A2431" s="33" t="s">
        <v>11566</v>
      </c>
      <c r="B2431" s="249">
        <v>46024.0</v>
      </c>
      <c r="C2431" s="103">
        <v>8.07000034419E11</v>
      </c>
      <c r="D2431" s="103" t="s">
        <v>11567</v>
      </c>
      <c r="E2431" s="103" t="s">
        <v>11568</v>
      </c>
      <c r="F2431" s="241" t="s">
        <v>11569</v>
      </c>
      <c r="G2431" s="241" t="s">
        <v>104</v>
      </c>
      <c r="H2431" s="241">
        <v>4400.0</v>
      </c>
      <c r="I2431" s="211" t="s">
        <v>969</v>
      </c>
      <c r="J2431" s="211" t="s">
        <v>3296</v>
      </c>
      <c r="K2431" s="241">
        <v>1.0</v>
      </c>
      <c r="L2431" s="124"/>
    </row>
    <row r="2432">
      <c r="A2432" s="33" t="s">
        <v>11566</v>
      </c>
      <c r="B2432" s="248">
        <v>46024.0</v>
      </c>
      <c r="C2432" s="240">
        <v>8.0700003442E11</v>
      </c>
      <c r="D2432" s="240" t="s">
        <v>11567</v>
      </c>
      <c r="E2432" s="240" t="s">
        <v>11568</v>
      </c>
      <c r="F2432" s="241" t="s">
        <v>11569</v>
      </c>
      <c r="G2432" s="241" t="s">
        <v>104</v>
      </c>
      <c r="H2432" s="241">
        <v>4400.0</v>
      </c>
      <c r="I2432" s="224">
        <v>208502.0</v>
      </c>
      <c r="J2432" s="224" t="s">
        <v>4551</v>
      </c>
      <c r="K2432" s="242">
        <v>2.0</v>
      </c>
      <c r="L2432" s="124"/>
    </row>
    <row r="2433">
      <c r="A2433" s="33" t="s">
        <v>11572</v>
      </c>
      <c r="B2433" s="249">
        <v>46024.0</v>
      </c>
      <c r="C2433" s="103">
        <v>8.07000034405E11</v>
      </c>
      <c r="D2433" s="103" t="s">
        <v>11573</v>
      </c>
      <c r="E2433" s="103" t="s">
        <v>11574</v>
      </c>
      <c r="F2433" s="241" t="s">
        <v>11575</v>
      </c>
      <c r="G2433" s="241" t="s">
        <v>127</v>
      </c>
      <c r="H2433" s="241">
        <v>4400.0</v>
      </c>
      <c r="I2433" s="211" t="s">
        <v>50</v>
      </c>
      <c r="J2433" s="211" t="s">
        <v>51</v>
      </c>
      <c r="K2433" s="241">
        <v>1.0</v>
      </c>
      <c r="L2433" s="124"/>
    </row>
    <row r="2434">
      <c r="A2434" s="33" t="s">
        <v>11572</v>
      </c>
      <c r="B2434" s="248">
        <v>46024.0</v>
      </c>
      <c r="C2434" s="240">
        <v>8.07000034405E11</v>
      </c>
      <c r="D2434" s="240" t="s">
        <v>11573</v>
      </c>
      <c r="E2434" s="240" t="s">
        <v>11574</v>
      </c>
      <c r="F2434" s="241" t="s">
        <v>11575</v>
      </c>
      <c r="G2434" s="242" t="s">
        <v>127</v>
      </c>
      <c r="H2434" s="242">
        <v>4400.0</v>
      </c>
      <c r="I2434" s="224" t="s">
        <v>512</v>
      </c>
      <c r="J2434" s="224" t="s">
        <v>513</v>
      </c>
      <c r="K2434" s="242">
        <v>6.0</v>
      </c>
      <c r="L2434" s="124"/>
    </row>
    <row r="2435">
      <c r="A2435" s="33" t="s">
        <v>11572</v>
      </c>
      <c r="B2435" s="249">
        <v>46024.0</v>
      </c>
      <c r="C2435" s="103">
        <v>8.07000034405E11</v>
      </c>
      <c r="D2435" s="103" t="s">
        <v>11573</v>
      </c>
      <c r="E2435" s="103" t="s">
        <v>11574</v>
      </c>
      <c r="F2435" s="241" t="s">
        <v>11575</v>
      </c>
      <c r="G2435" s="241" t="s">
        <v>127</v>
      </c>
      <c r="H2435" s="241">
        <v>4400.0</v>
      </c>
      <c r="I2435" s="211" t="s">
        <v>25</v>
      </c>
      <c r="J2435" s="211" t="s">
        <v>3401</v>
      </c>
      <c r="K2435" s="241">
        <v>1.0</v>
      </c>
      <c r="L2435" s="124"/>
    </row>
    <row r="2436">
      <c r="A2436" s="33" t="s">
        <v>11576</v>
      </c>
      <c r="B2436" s="249">
        <v>46024.0</v>
      </c>
      <c r="C2436" s="240">
        <v>8.07000034423E11</v>
      </c>
      <c r="D2436" s="240" t="s">
        <v>11577</v>
      </c>
      <c r="E2436" s="240" t="s">
        <v>11578</v>
      </c>
      <c r="F2436" s="123" t="s">
        <v>11579</v>
      </c>
      <c r="G2436" s="241" t="s">
        <v>127</v>
      </c>
      <c r="H2436" s="241">
        <v>4400.0</v>
      </c>
      <c r="I2436" s="224" t="s">
        <v>7329</v>
      </c>
      <c r="J2436" s="224" t="s">
        <v>9785</v>
      </c>
      <c r="K2436" s="242">
        <v>1.0</v>
      </c>
      <c r="L2436" s="124"/>
    </row>
    <row r="2437">
      <c r="A2437" s="33" t="s">
        <v>11576</v>
      </c>
      <c r="B2437" s="248">
        <v>46024.0</v>
      </c>
      <c r="C2437" s="103">
        <v>8.07000034423E11</v>
      </c>
      <c r="D2437" s="103" t="s">
        <v>11577</v>
      </c>
      <c r="E2437" s="103" t="s">
        <v>11578</v>
      </c>
      <c r="F2437" s="123" t="s">
        <v>11579</v>
      </c>
      <c r="G2437" s="242" t="s">
        <v>127</v>
      </c>
      <c r="H2437" s="242">
        <v>4400.0</v>
      </c>
      <c r="I2437" s="211" t="s">
        <v>512</v>
      </c>
      <c r="J2437" s="211" t="s">
        <v>513</v>
      </c>
      <c r="K2437" s="241">
        <v>12.0</v>
      </c>
      <c r="L2437" s="124"/>
    </row>
    <row r="2438">
      <c r="A2438" s="33" t="s">
        <v>11576</v>
      </c>
      <c r="B2438" s="248">
        <v>46024.0</v>
      </c>
      <c r="C2438" s="240">
        <v>8.07000034423E11</v>
      </c>
      <c r="D2438" s="240" t="s">
        <v>11577</v>
      </c>
      <c r="E2438" s="240" t="s">
        <v>11578</v>
      </c>
      <c r="F2438" s="123" t="s">
        <v>11579</v>
      </c>
      <c r="G2438" s="241" t="s">
        <v>127</v>
      </c>
      <c r="H2438" s="241">
        <v>4400.0</v>
      </c>
      <c r="I2438" s="224" t="s">
        <v>121</v>
      </c>
      <c r="J2438" s="224" t="s">
        <v>3199</v>
      </c>
      <c r="K2438" s="242">
        <v>2.0</v>
      </c>
      <c r="L2438" s="124"/>
    </row>
    <row r="2439">
      <c r="A2439" s="103" t="s">
        <v>11580</v>
      </c>
      <c r="B2439" s="249">
        <v>46024.0</v>
      </c>
      <c r="C2439" s="240">
        <v>8.07000034427E11</v>
      </c>
      <c r="D2439" s="240" t="s">
        <v>11581</v>
      </c>
      <c r="E2439" s="240" t="s">
        <v>11582</v>
      </c>
      <c r="F2439" s="123" t="s">
        <v>11583</v>
      </c>
      <c r="G2439" s="241" t="s">
        <v>127</v>
      </c>
      <c r="H2439" s="241">
        <v>4400.0</v>
      </c>
      <c r="I2439" s="224">
        <v>125814.0</v>
      </c>
      <c r="J2439" s="224" t="s">
        <v>9798</v>
      </c>
      <c r="K2439" s="242">
        <v>2.0</v>
      </c>
      <c r="L2439" s="124"/>
    </row>
    <row r="2440">
      <c r="A2440" s="103" t="s">
        <v>11580</v>
      </c>
      <c r="B2440" s="248">
        <v>46024.0</v>
      </c>
      <c r="C2440" s="103">
        <v>8.07000034427E11</v>
      </c>
      <c r="D2440" s="103" t="s">
        <v>11581</v>
      </c>
      <c r="E2440" s="103" t="s">
        <v>11582</v>
      </c>
      <c r="F2440" s="123" t="s">
        <v>11583</v>
      </c>
      <c r="G2440" s="242" t="s">
        <v>127</v>
      </c>
      <c r="H2440" s="242">
        <v>4400.0</v>
      </c>
      <c r="I2440" s="211" t="s">
        <v>1937</v>
      </c>
      <c r="J2440" s="211" t="s">
        <v>4036</v>
      </c>
      <c r="K2440" s="241">
        <v>1.0</v>
      </c>
      <c r="L2440" s="124"/>
    </row>
    <row r="2441">
      <c r="A2441" s="103" t="s">
        <v>11580</v>
      </c>
      <c r="B2441" s="248">
        <v>46024.0</v>
      </c>
      <c r="C2441" s="240">
        <v>8.07000034428E11</v>
      </c>
      <c r="D2441" s="240" t="s">
        <v>11581</v>
      </c>
      <c r="E2441" s="240" t="s">
        <v>11582</v>
      </c>
      <c r="F2441" s="123" t="s">
        <v>11583</v>
      </c>
      <c r="G2441" s="241" t="s">
        <v>127</v>
      </c>
      <c r="H2441" s="241">
        <v>4400.0</v>
      </c>
      <c r="I2441" s="224" t="s">
        <v>11570</v>
      </c>
      <c r="J2441" s="224" t="s">
        <v>11571</v>
      </c>
      <c r="K2441" s="242">
        <v>1.0</v>
      </c>
      <c r="L2441" s="124"/>
    </row>
    <row r="2442" ht="6.75" customHeight="1">
      <c r="A2442" s="100"/>
      <c r="B2442" s="230"/>
      <c r="C2442" s="251"/>
      <c r="D2442" s="251"/>
      <c r="E2442" s="251"/>
      <c r="F2442" s="231"/>
      <c r="G2442" s="231"/>
      <c r="H2442" s="231"/>
      <c r="I2442" s="252"/>
      <c r="J2442" s="252"/>
      <c r="K2442" s="253"/>
      <c r="L2442" s="232"/>
      <c r="M2442" s="233"/>
      <c r="N2442" s="233"/>
      <c r="O2442" s="233"/>
      <c r="P2442" s="233"/>
      <c r="Q2442" s="233"/>
      <c r="R2442" s="233"/>
      <c r="S2442" s="233"/>
      <c r="T2442" s="233"/>
      <c r="U2442" s="233"/>
      <c r="V2442" s="233"/>
      <c r="W2442" s="233"/>
      <c r="X2442" s="233"/>
      <c r="Y2442" s="233"/>
      <c r="Z2442" s="233"/>
      <c r="AA2442" s="233"/>
      <c r="AB2442" s="233"/>
      <c r="AC2442" s="233"/>
    </row>
    <row r="2443">
      <c r="A2443" s="33" t="s">
        <v>11584</v>
      </c>
      <c r="B2443" s="33" t="s">
        <v>11585</v>
      </c>
      <c r="C2443" s="240">
        <v>8.0700003444E11</v>
      </c>
      <c r="D2443" s="240" t="s">
        <v>11586</v>
      </c>
      <c r="E2443" s="240" t="s">
        <v>11587</v>
      </c>
      <c r="F2443" s="242" t="s">
        <v>11588</v>
      </c>
      <c r="G2443" s="242" t="s">
        <v>20</v>
      </c>
      <c r="H2443" s="242" t="s">
        <v>4086</v>
      </c>
      <c r="I2443" s="224" t="s">
        <v>812</v>
      </c>
      <c r="J2443" s="224" t="s">
        <v>3564</v>
      </c>
      <c r="K2443" s="242">
        <v>1.0</v>
      </c>
      <c r="L2443" s="124">
        <v>3.875721119E9</v>
      </c>
    </row>
    <row r="2444">
      <c r="A2444" s="33" t="s">
        <v>11589</v>
      </c>
      <c r="B2444" s="33" t="s">
        <v>11585</v>
      </c>
      <c r="C2444" s="240">
        <v>8.07000034444E11</v>
      </c>
      <c r="D2444" s="240" t="s">
        <v>11590</v>
      </c>
      <c r="E2444" s="240" t="s">
        <v>11591</v>
      </c>
      <c r="F2444" s="242" t="s">
        <v>11592</v>
      </c>
      <c r="G2444" s="242" t="s">
        <v>127</v>
      </c>
      <c r="H2444" s="242">
        <v>4400.0</v>
      </c>
      <c r="I2444" s="224">
        <v>125822.0</v>
      </c>
      <c r="J2444" s="224" t="s">
        <v>6030</v>
      </c>
      <c r="K2444" s="242">
        <v>2.0</v>
      </c>
      <c r="L2444" s="124">
        <v>3.872229962E9</v>
      </c>
    </row>
    <row r="2445">
      <c r="A2445" s="33" t="s">
        <v>11589</v>
      </c>
      <c r="B2445" s="33" t="s">
        <v>11585</v>
      </c>
      <c r="C2445" s="103">
        <v>8.07000034444E11</v>
      </c>
      <c r="D2445" s="103" t="s">
        <v>11590</v>
      </c>
      <c r="E2445" s="103" t="s">
        <v>11591</v>
      </c>
      <c r="F2445" s="241" t="s">
        <v>11592</v>
      </c>
      <c r="G2445" s="241" t="s">
        <v>127</v>
      </c>
      <c r="H2445" s="241">
        <v>4400.0</v>
      </c>
      <c r="I2445" s="211">
        <v>2.2346229137E10</v>
      </c>
      <c r="J2445" s="211" t="s">
        <v>7165</v>
      </c>
      <c r="K2445" s="241">
        <v>1.0</v>
      </c>
      <c r="L2445" s="124">
        <v>3.872229962E9</v>
      </c>
    </row>
    <row r="2446">
      <c r="A2446" s="33" t="s">
        <v>11589</v>
      </c>
      <c r="B2446" s="33" t="s">
        <v>11585</v>
      </c>
      <c r="C2446" s="240">
        <v>8.07000034444E11</v>
      </c>
      <c r="D2446" s="240" t="s">
        <v>11590</v>
      </c>
      <c r="E2446" s="240" t="s">
        <v>11591</v>
      </c>
      <c r="F2446" s="242" t="s">
        <v>11592</v>
      </c>
      <c r="G2446" s="242" t="s">
        <v>127</v>
      </c>
      <c r="H2446" s="242">
        <v>4400.0</v>
      </c>
      <c r="I2446" s="224" t="s">
        <v>512</v>
      </c>
      <c r="J2446" s="224" t="s">
        <v>513</v>
      </c>
      <c r="K2446" s="242">
        <v>6.0</v>
      </c>
      <c r="L2446" s="124">
        <v>3.872229962E9</v>
      </c>
    </row>
    <row r="2447">
      <c r="A2447" s="33" t="s">
        <v>11593</v>
      </c>
      <c r="B2447" s="33" t="s">
        <v>11585</v>
      </c>
      <c r="C2447" s="103">
        <v>8.07000034445E11</v>
      </c>
      <c r="D2447" s="103" t="s">
        <v>11590</v>
      </c>
      <c r="E2447" s="103" t="s">
        <v>11591</v>
      </c>
      <c r="F2447" s="241" t="s">
        <v>11592</v>
      </c>
      <c r="G2447" s="241" t="s">
        <v>127</v>
      </c>
      <c r="H2447" s="241">
        <v>4400.0</v>
      </c>
      <c r="I2447" s="211" t="s">
        <v>22</v>
      </c>
      <c r="J2447" s="211" t="s">
        <v>4013</v>
      </c>
      <c r="K2447" s="241">
        <v>1.0</v>
      </c>
      <c r="L2447" s="124">
        <v>3.872229962E9</v>
      </c>
    </row>
    <row r="2448">
      <c r="A2448" s="33" t="s">
        <v>11593</v>
      </c>
      <c r="B2448" s="33" t="s">
        <v>11585</v>
      </c>
      <c r="C2448" s="240">
        <v>8.07000034445E11</v>
      </c>
      <c r="D2448" s="240" t="s">
        <v>11590</v>
      </c>
      <c r="E2448" s="240" t="s">
        <v>11591</v>
      </c>
      <c r="F2448" s="242" t="s">
        <v>11592</v>
      </c>
      <c r="G2448" s="242" t="s">
        <v>127</v>
      </c>
      <c r="H2448" s="242">
        <v>4400.0</v>
      </c>
      <c r="I2448" s="224" t="s">
        <v>25</v>
      </c>
      <c r="J2448" s="224" t="s">
        <v>3401</v>
      </c>
      <c r="K2448" s="242">
        <v>1.0</v>
      </c>
      <c r="L2448" s="124">
        <v>3.872229962E9</v>
      </c>
    </row>
    <row r="2449">
      <c r="A2449" s="33" t="s">
        <v>11594</v>
      </c>
      <c r="B2449" s="33" t="s">
        <v>11585</v>
      </c>
      <c r="C2449" s="103">
        <v>8.07000034174E11</v>
      </c>
      <c r="D2449" s="103" t="s">
        <v>11595</v>
      </c>
      <c r="E2449" s="103" t="s">
        <v>11596</v>
      </c>
      <c r="F2449" s="241" t="s">
        <v>1877</v>
      </c>
      <c r="G2449" s="241" t="s">
        <v>20</v>
      </c>
      <c r="H2449" s="241" t="s">
        <v>1878</v>
      </c>
      <c r="I2449" s="211">
        <v>125812.0</v>
      </c>
      <c r="J2449" s="211" t="s">
        <v>9317</v>
      </c>
      <c r="K2449" s="241">
        <v>2.0</v>
      </c>
      <c r="L2449" s="124">
        <v>3.87561876E9</v>
      </c>
    </row>
    <row r="2450">
      <c r="A2450" s="33" t="s">
        <v>11594</v>
      </c>
      <c r="B2450" s="33" t="s">
        <v>11585</v>
      </c>
      <c r="C2450" s="240">
        <v>8.07000034174E11</v>
      </c>
      <c r="D2450" s="240" t="s">
        <v>11595</v>
      </c>
      <c r="E2450" s="240" t="s">
        <v>11596</v>
      </c>
      <c r="F2450" s="242" t="s">
        <v>1877</v>
      </c>
      <c r="G2450" s="242" t="s">
        <v>20</v>
      </c>
      <c r="H2450" s="242" t="s">
        <v>1878</v>
      </c>
      <c r="I2450" s="224" t="s">
        <v>512</v>
      </c>
      <c r="J2450" s="224" t="s">
        <v>513</v>
      </c>
      <c r="K2450" s="242">
        <v>12.0</v>
      </c>
      <c r="L2450" s="124">
        <v>3.87561876E9</v>
      </c>
    </row>
    <row r="2451">
      <c r="A2451" s="33" t="s">
        <v>11597</v>
      </c>
      <c r="B2451" s="33" t="s">
        <v>11585</v>
      </c>
      <c r="C2451" s="103">
        <v>8.07000034175E11</v>
      </c>
      <c r="D2451" s="103" t="s">
        <v>11595</v>
      </c>
      <c r="E2451" s="103" t="s">
        <v>11596</v>
      </c>
      <c r="F2451" s="241" t="s">
        <v>1877</v>
      </c>
      <c r="G2451" s="241" t="s">
        <v>20</v>
      </c>
      <c r="H2451" s="241" t="s">
        <v>1878</v>
      </c>
      <c r="I2451" s="211" t="s">
        <v>1937</v>
      </c>
      <c r="J2451" s="211" t="s">
        <v>4036</v>
      </c>
      <c r="K2451" s="241">
        <v>1.0</v>
      </c>
      <c r="L2451" s="124">
        <v>3.87561876E9</v>
      </c>
    </row>
    <row r="2452">
      <c r="A2452" s="33" t="s">
        <v>11597</v>
      </c>
      <c r="B2452" s="33" t="s">
        <v>11585</v>
      </c>
      <c r="C2452" s="240">
        <v>8.07000034175E11</v>
      </c>
      <c r="D2452" s="240" t="s">
        <v>11595</v>
      </c>
      <c r="E2452" s="240" t="s">
        <v>11596</v>
      </c>
      <c r="F2452" s="242" t="s">
        <v>1877</v>
      </c>
      <c r="G2452" s="242" t="s">
        <v>20</v>
      </c>
      <c r="H2452" s="242" t="s">
        <v>1878</v>
      </c>
      <c r="I2452" s="224" t="s">
        <v>233</v>
      </c>
      <c r="J2452" s="224" t="s">
        <v>3459</v>
      </c>
      <c r="K2452" s="242">
        <v>2.0</v>
      </c>
      <c r="L2452" s="124">
        <v>3.87561876E9</v>
      </c>
    </row>
    <row r="2453">
      <c r="A2453" s="33" t="s">
        <v>11598</v>
      </c>
      <c r="B2453" s="33" t="s">
        <v>11585</v>
      </c>
      <c r="C2453" s="240"/>
      <c r="D2453" s="240"/>
      <c r="E2453" s="240" t="s">
        <v>11599</v>
      </c>
      <c r="F2453" s="123"/>
      <c r="G2453" s="123" t="s">
        <v>20</v>
      </c>
      <c r="H2453" s="123">
        <v>4400.0</v>
      </c>
      <c r="I2453" s="224" t="s">
        <v>670</v>
      </c>
      <c r="J2453" s="224" t="s">
        <v>11600</v>
      </c>
      <c r="K2453" s="242">
        <v>1.0</v>
      </c>
      <c r="L2453" s="124">
        <v>3.872204813E9</v>
      </c>
      <c r="M2453" s="54" t="s">
        <v>11601</v>
      </c>
    </row>
    <row r="2454">
      <c r="A2454" s="33" t="s">
        <v>11602</v>
      </c>
      <c r="B2454" s="33" t="s">
        <v>11585</v>
      </c>
      <c r="C2454" s="240">
        <v>8.07000034448E11</v>
      </c>
      <c r="D2454" s="240" t="s">
        <v>11603</v>
      </c>
      <c r="E2454" s="240" t="s">
        <v>11604</v>
      </c>
      <c r="F2454" s="242" t="s">
        <v>11605</v>
      </c>
      <c r="G2454" s="242" t="s">
        <v>127</v>
      </c>
      <c r="H2454" s="242">
        <v>4400.0</v>
      </c>
      <c r="I2454" s="224">
        <v>125814.0</v>
      </c>
      <c r="J2454" s="224" t="s">
        <v>9798</v>
      </c>
      <c r="K2454" s="242">
        <v>2.0</v>
      </c>
      <c r="L2454" s="124"/>
    </row>
    <row r="2455">
      <c r="A2455" s="33" t="s">
        <v>11606</v>
      </c>
      <c r="B2455" s="33" t="s">
        <v>11585</v>
      </c>
      <c r="C2455" s="103">
        <v>8.07000034449E11</v>
      </c>
      <c r="D2455" s="103" t="s">
        <v>11603</v>
      </c>
      <c r="E2455" s="103" t="s">
        <v>11604</v>
      </c>
      <c r="F2455" s="241" t="s">
        <v>11605</v>
      </c>
      <c r="G2455" s="241" t="s">
        <v>127</v>
      </c>
      <c r="H2455" s="241">
        <v>4400.0</v>
      </c>
      <c r="I2455" s="211" t="s">
        <v>280</v>
      </c>
      <c r="J2455" s="211" t="s">
        <v>5669</v>
      </c>
      <c r="K2455" s="241">
        <v>1.0</v>
      </c>
      <c r="L2455" s="124"/>
    </row>
    <row r="2456">
      <c r="A2456" s="33" t="s">
        <v>11607</v>
      </c>
      <c r="B2456" s="33" t="s">
        <v>11585</v>
      </c>
      <c r="C2456" s="240">
        <v>8.0700003445E11</v>
      </c>
      <c r="D2456" s="240" t="s">
        <v>11603</v>
      </c>
      <c r="E2456" s="240" t="s">
        <v>11604</v>
      </c>
      <c r="F2456" s="242" t="s">
        <v>11605</v>
      </c>
      <c r="G2456" s="242" t="s">
        <v>127</v>
      </c>
      <c r="H2456" s="242">
        <v>4400.0</v>
      </c>
      <c r="I2456" s="224" t="s">
        <v>512</v>
      </c>
      <c r="J2456" s="224" t="s">
        <v>513</v>
      </c>
      <c r="K2456" s="242">
        <v>12.0</v>
      </c>
      <c r="L2456" s="124"/>
    </row>
    <row r="2457">
      <c r="A2457" s="33" t="s">
        <v>11607</v>
      </c>
      <c r="B2457" s="33" t="s">
        <v>11585</v>
      </c>
      <c r="C2457" s="103">
        <v>8.07000034451E11</v>
      </c>
      <c r="D2457" s="103" t="s">
        <v>11603</v>
      </c>
      <c r="E2457" s="103" t="s">
        <v>11604</v>
      </c>
      <c r="F2457" s="241" t="s">
        <v>11605</v>
      </c>
      <c r="G2457" s="241" t="s">
        <v>127</v>
      </c>
      <c r="H2457" s="241">
        <v>4400.0</v>
      </c>
      <c r="I2457" s="211" t="s">
        <v>340</v>
      </c>
      <c r="J2457" s="211" t="s">
        <v>3486</v>
      </c>
      <c r="K2457" s="241">
        <v>2.0</v>
      </c>
      <c r="L2457" s="124"/>
    </row>
    <row r="2458">
      <c r="A2458" s="33" t="s">
        <v>11608</v>
      </c>
      <c r="B2458" s="33" t="s">
        <v>11585</v>
      </c>
      <c r="C2458" s="240"/>
      <c r="D2458" s="240" t="s">
        <v>11609</v>
      </c>
      <c r="E2458" s="240" t="s">
        <v>11610</v>
      </c>
      <c r="F2458" s="123" t="s">
        <v>11611</v>
      </c>
      <c r="G2458" s="123" t="s">
        <v>127</v>
      </c>
      <c r="H2458" s="123">
        <v>4400.0</v>
      </c>
      <c r="I2458" s="224" t="s">
        <v>1115</v>
      </c>
      <c r="J2458" s="224"/>
      <c r="K2458" s="242">
        <v>1.0</v>
      </c>
      <c r="L2458" s="124">
        <v>3.81332268E9</v>
      </c>
    </row>
    <row r="2459">
      <c r="A2459" s="33" t="s">
        <v>11608</v>
      </c>
      <c r="B2459" s="33" t="s">
        <v>11585</v>
      </c>
      <c r="C2459" s="240"/>
      <c r="D2459" s="240" t="s">
        <v>11609</v>
      </c>
      <c r="E2459" s="240" t="s">
        <v>11610</v>
      </c>
      <c r="F2459" s="123" t="s">
        <v>11611</v>
      </c>
      <c r="G2459" s="123" t="s">
        <v>127</v>
      </c>
      <c r="H2459" s="123">
        <v>4400.0</v>
      </c>
      <c r="I2459" s="224" t="s">
        <v>340</v>
      </c>
      <c r="J2459" s="224"/>
      <c r="K2459" s="242">
        <v>2.0</v>
      </c>
      <c r="L2459" s="124">
        <v>3.81332268E9</v>
      </c>
    </row>
    <row r="2460">
      <c r="A2460" s="33" t="s">
        <v>11612</v>
      </c>
      <c r="B2460" s="122">
        <v>46363.0</v>
      </c>
      <c r="C2460" s="240">
        <v>8.07000034476E11</v>
      </c>
      <c r="D2460" s="240" t="s">
        <v>11613</v>
      </c>
      <c r="E2460" s="240" t="s">
        <v>11614</v>
      </c>
      <c r="F2460" s="242" t="s">
        <v>11615</v>
      </c>
      <c r="G2460" s="242" t="s">
        <v>20</v>
      </c>
      <c r="H2460" s="242" t="s">
        <v>1878</v>
      </c>
      <c r="I2460" s="224" t="s">
        <v>11616</v>
      </c>
      <c r="J2460" s="224" t="s">
        <v>11617</v>
      </c>
      <c r="K2460" s="242">
        <v>1.0</v>
      </c>
      <c r="L2460" s="124">
        <v>3.874501416E9</v>
      </c>
    </row>
    <row r="2461">
      <c r="A2461" s="33" t="s">
        <v>11612</v>
      </c>
      <c r="B2461" s="122">
        <v>46363.0</v>
      </c>
      <c r="C2461" s="103">
        <v>8.07000034476E11</v>
      </c>
      <c r="D2461" s="103" t="s">
        <v>11613</v>
      </c>
      <c r="E2461" s="103" t="s">
        <v>11614</v>
      </c>
      <c r="F2461" s="242" t="s">
        <v>11615</v>
      </c>
      <c r="G2461" s="241" t="s">
        <v>20</v>
      </c>
      <c r="H2461" s="241" t="s">
        <v>1878</v>
      </c>
      <c r="I2461" s="211" t="s">
        <v>3512</v>
      </c>
      <c r="J2461" s="211" t="s">
        <v>3513</v>
      </c>
      <c r="K2461" s="241">
        <v>12.0</v>
      </c>
      <c r="L2461" s="124">
        <v>3.874501416E9</v>
      </c>
    </row>
    <row r="2462">
      <c r="A2462" s="33" t="s">
        <v>11612</v>
      </c>
      <c r="B2462" s="122">
        <v>46363.0</v>
      </c>
      <c r="C2462" s="240">
        <v>8.07000034476E11</v>
      </c>
      <c r="D2462" s="240" t="s">
        <v>11613</v>
      </c>
      <c r="E2462" s="240" t="s">
        <v>11614</v>
      </c>
      <c r="F2462" s="242" t="s">
        <v>11615</v>
      </c>
      <c r="G2462" s="242" t="s">
        <v>20</v>
      </c>
      <c r="H2462" s="242" t="s">
        <v>1878</v>
      </c>
      <c r="I2462" s="224" t="s">
        <v>5764</v>
      </c>
      <c r="J2462" s="224" t="s">
        <v>5765</v>
      </c>
      <c r="K2462" s="242">
        <v>2.0</v>
      </c>
      <c r="L2462" s="124">
        <v>3.874501416E9</v>
      </c>
    </row>
    <row r="2463">
      <c r="A2463" s="33" t="s">
        <v>11612</v>
      </c>
      <c r="B2463" s="122">
        <v>46363.0</v>
      </c>
      <c r="C2463" s="103">
        <v>8.07000034477E11</v>
      </c>
      <c r="D2463" s="103" t="s">
        <v>11613</v>
      </c>
      <c r="E2463" s="103" t="s">
        <v>11614</v>
      </c>
      <c r="F2463" s="242" t="s">
        <v>11615</v>
      </c>
      <c r="G2463" s="241" t="s">
        <v>20</v>
      </c>
      <c r="H2463" s="241" t="s">
        <v>1878</v>
      </c>
      <c r="I2463" s="211">
        <v>2.2346259143E10</v>
      </c>
      <c r="J2463" s="211" t="s">
        <v>11618</v>
      </c>
      <c r="K2463" s="241">
        <v>1.0</v>
      </c>
      <c r="L2463" s="124">
        <v>3.874501416E9</v>
      </c>
    </row>
    <row r="2464">
      <c r="A2464" s="33" t="s">
        <v>11619</v>
      </c>
      <c r="B2464" s="122">
        <v>46363.0</v>
      </c>
      <c r="C2464" s="240">
        <v>8.07000034464E11</v>
      </c>
      <c r="D2464" s="240" t="s">
        <v>11620</v>
      </c>
      <c r="E2464" s="240" t="s">
        <v>11621</v>
      </c>
      <c r="F2464" s="242" t="s">
        <v>11622</v>
      </c>
      <c r="G2464" s="242" t="s">
        <v>127</v>
      </c>
      <c r="H2464" s="242">
        <v>4400.0</v>
      </c>
      <c r="I2464" s="224">
        <v>125814.0</v>
      </c>
      <c r="J2464" s="224" t="s">
        <v>9798</v>
      </c>
      <c r="K2464" s="242">
        <v>2.0</v>
      </c>
      <c r="L2464" s="124">
        <v>3.874466832E9</v>
      </c>
    </row>
    <row r="2465">
      <c r="A2465" s="33" t="s">
        <v>11619</v>
      </c>
      <c r="B2465" s="122">
        <v>46363.0</v>
      </c>
      <c r="C2465" s="103">
        <v>8.07000034464E11</v>
      </c>
      <c r="D2465" s="103" t="s">
        <v>11620</v>
      </c>
      <c r="E2465" s="103" t="s">
        <v>11621</v>
      </c>
      <c r="F2465" s="241" t="s">
        <v>11622</v>
      </c>
      <c r="G2465" s="241" t="s">
        <v>127</v>
      </c>
      <c r="H2465" s="241">
        <v>4400.0</v>
      </c>
      <c r="I2465" s="211">
        <v>203707.0</v>
      </c>
      <c r="J2465" s="211" t="s">
        <v>2986</v>
      </c>
      <c r="K2465" s="241">
        <v>1.0</v>
      </c>
      <c r="L2465" s="124">
        <v>3.874466832E9</v>
      </c>
    </row>
    <row r="2466">
      <c r="A2466" s="33" t="s">
        <v>11619</v>
      </c>
      <c r="B2466" s="122">
        <v>46363.0</v>
      </c>
      <c r="C2466" s="240">
        <v>8.07000034465E11</v>
      </c>
      <c r="D2466" s="240" t="s">
        <v>11620</v>
      </c>
      <c r="E2466" s="240" t="s">
        <v>11621</v>
      </c>
      <c r="F2466" s="242" t="s">
        <v>11622</v>
      </c>
      <c r="G2466" s="242" t="s">
        <v>127</v>
      </c>
      <c r="H2466" s="242">
        <v>4400.0</v>
      </c>
      <c r="I2466" s="224">
        <v>204210.0</v>
      </c>
      <c r="J2466" s="224" t="s">
        <v>10068</v>
      </c>
      <c r="K2466" s="242">
        <v>2.0</v>
      </c>
      <c r="L2466" s="124">
        <v>3.874466832E9</v>
      </c>
    </row>
    <row r="2467">
      <c r="A2467" s="33" t="s">
        <v>11623</v>
      </c>
      <c r="B2467" s="122">
        <v>46030.0</v>
      </c>
      <c r="C2467" s="240">
        <v>8.07000034413E11</v>
      </c>
      <c r="D2467" s="240" t="s">
        <v>5523</v>
      </c>
      <c r="E2467" s="240" t="s">
        <v>5524</v>
      </c>
      <c r="F2467" s="242" t="s">
        <v>1877</v>
      </c>
      <c r="G2467" s="242" t="s">
        <v>20</v>
      </c>
      <c r="H2467" s="242" t="s">
        <v>1878</v>
      </c>
      <c r="I2467" s="224">
        <v>125822.0</v>
      </c>
      <c r="J2467" s="224" t="s">
        <v>6030</v>
      </c>
      <c r="K2467" s="242">
        <v>2.0</v>
      </c>
      <c r="L2467" s="124">
        <v>3.873641232E9</v>
      </c>
    </row>
    <row r="2468">
      <c r="A2468" s="33" t="s">
        <v>11623</v>
      </c>
      <c r="B2468" s="122">
        <v>46030.0</v>
      </c>
      <c r="C2468" s="103">
        <v>8.07000034413E11</v>
      </c>
      <c r="D2468" s="103" t="s">
        <v>5523</v>
      </c>
      <c r="E2468" s="103" t="s">
        <v>5524</v>
      </c>
      <c r="F2468" s="241" t="s">
        <v>1877</v>
      </c>
      <c r="G2468" s="241" t="s">
        <v>20</v>
      </c>
      <c r="H2468" s="241" t="s">
        <v>1878</v>
      </c>
      <c r="I2468" s="211">
        <v>208502.0</v>
      </c>
      <c r="J2468" s="211" t="s">
        <v>4551</v>
      </c>
      <c r="K2468" s="241">
        <v>2.0</v>
      </c>
      <c r="L2468" s="124">
        <v>3.873641232E9</v>
      </c>
    </row>
    <row r="2469">
      <c r="A2469" s="33" t="s">
        <v>11623</v>
      </c>
      <c r="B2469" s="122">
        <v>46030.0</v>
      </c>
      <c r="C2469" s="240">
        <v>8.07000034413E11</v>
      </c>
      <c r="D2469" s="240" t="s">
        <v>5523</v>
      </c>
      <c r="E2469" s="240" t="s">
        <v>5524</v>
      </c>
      <c r="F2469" s="242" t="s">
        <v>1877</v>
      </c>
      <c r="G2469" s="242" t="s">
        <v>20</v>
      </c>
      <c r="H2469" s="242" t="s">
        <v>1878</v>
      </c>
      <c r="I2469" s="224" t="s">
        <v>118</v>
      </c>
      <c r="J2469" s="224" t="s">
        <v>4650</v>
      </c>
      <c r="K2469" s="242">
        <v>1.0</v>
      </c>
      <c r="L2469" s="124">
        <v>3.873641232E9</v>
      </c>
    </row>
    <row r="2470">
      <c r="A2470" s="33" t="s">
        <v>11623</v>
      </c>
      <c r="B2470" s="122">
        <v>46030.0</v>
      </c>
      <c r="C2470" s="103">
        <v>8.07000034413E11</v>
      </c>
      <c r="D2470" s="103" t="s">
        <v>5523</v>
      </c>
      <c r="E2470" s="103" t="s">
        <v>5524</v>
      </c>
      <c r="F2470" s="241" t="s">
        <v>1877</v>
      </c>
      <c r="G2470" s="241" t="s">
        <v>20</v>
      </c>
      <c r="H2470" s="241" t="s">
        <v>1878</v>
      </c>
      <c r="I2470" s="211" t="s">
        <v>512</v>
      </c>
      <c r="J2470" s="211" t="s">
        <v>513</v>
      </c>
      <c r="K2470" s="241">
        <v>12.0</v>
      </c>
      <c r="L2470" s="124">
        <v>3.873641232E9</v>
      </c>
    </row>
    <row r="2471">
      <c r="A2471" s="33" t="s">
        <v>11623</v>
      </c>
      <c r="B2471" s="122">
        <v>46030.0</v>
      </c>
      <c r="C2471" s="240">
        <v>8.07000034414E11</v>
      </c>
      <c r="D2471" s="240" t="s">
        <v>5523</v>
      </c>
      <c r="E2471" s="240" t="s">
        <v>5524</v>
      </c>
      <c r="F2471" s="242" t="s">
        <v>1877</v>
      </c>
      <c r="G2471" s="242" t="s">
        <v>20</v>
      </c>
      <c r="H2471" s="242" t="s">
        <v>1878</v>
      </c>
      <c r="I2471" s="224" t="s">
        <v>121</v>
      </c>
      <c r="J2471" s="224" t="s">
        <v>3199</v>
      </c>
      <c r="K2471" s="242">
        <v>2.0</v>
      </c>
      <c r="L2471" s="124">
        <v>3.873641232E9</v>
      </c>
    </row>
    <row r="2472">
      <c r="A2472" s="33" t="s">
        <v>11623</v>
      </c>
      <c r="B2472" s="122">
        <v>46030.0</v>
      </c>
      <c r="C2472" s="103">
        <v>8.07000034415E11</v>
      </c>
      <c r="D2472" s="103" t="s">
        <v>5523</v>
      </c>
      <c r="E2472" s="103" t="s">
        <v>5524</v>
      </c>
      <c r="F2472" s="241" t="s">
        <v>1877</v>
      </c>
      <c r="G2472" s="241" t="s">
        <v>20</v>
      </c>
      <c r="H2472" s="241" t="s">
        <v>1878</v>
      </c>
      <c r="I2472" s="211" t="s">
        <v>670</v>
      </c>
      <c r="J2472" s="211" t="s">
        <v>3410</v>
      </c>
      <c r="K2472" s="241">
        <v>2.0</v>
      </c>
      <c r="L2472" s="124">
        <v>3.873641232E9</v>
      </c>
    </row>
    <row r="2473">
      <c r="A2473" s="33" t="s">
        <v>11624</v>
      </c>
      <c r="B2473" s="122">
        <v>46030.0</v>
      </c>
      <c r="C2473" s="103">
        <v>8.07000034438E11</v>
      </c>
      <c r="D2473" s="103" t="s">
        <v>11625</v>
      </c>
      <c r="E2473" s="103" t="s">
        <v>11626</v>
      </c>
      <c r="F2473" s="241" t="s">
        <v>11627</v>
      </c>
      <c r="G2473" s="241" t="s">
        <v>127</v>
      </c>
      <c r="H2473" s="241">
        <v>4400.0</v>
      </c>
      <c r="I2473" s="211" t="s">
        <v>4976</v>
      </c>
      <c r="J2473" s="211" t="s">
        <v>4977</v>
      </c>
      <c r="K2473" s="241">
        <v>1.0</v>
      </c>
      <c r="L2473" s="124">
        <v>3.875356927E9</v>
      </c>
    </row>
    <row r="2474">
      <c r="A2474" s="33" t="s">
        <v>11628</v>
      </c>
      <c r="B2474" s="122">
        <v>46030.0</v>
      </c>
      <c r="C2474" s="240">
        <v>8.07000034486E11</v>
      </c>
      <c r="D2474" s="240" t="s">
        <v>11629</v>
      </c>
      <c r="E2474" s="240" t="s">
        <v>11630</v>
      </c>
      <c r="F2474" s="242" t="s">
        <v>11631</v>
      </c>
      <c r="G2474" s="242" t="s">
        <v>127</v>
      </c>
      <c r="H2474" s="242">
        <v>4400.0</v>
      </c>
      <c r="I2474" s="224" t="s">
        <v>3131</v>
      </c>
      <c r="J2474" s="224" t="s">
        <v>3416</v>
      </c>
      <c r="K2474" s="242">
        <v>1.0</v>
      </c>
      <c r="L2474" s="124">
        <v>3.87215233E9</v>
      </c>
    </row>
    <row r="2475">
      <c r="A2475" s="33" t="s">
        <v>11632</v>
      </c>
      <c r="B2475" s="122">
        <v>46030.0</v>
      </c>
      <c r="C2475" s="240">
        <v>8.07000034494E11</v>
      </c>
      <c r="D2475" s="240" t="s">
        <v>11633</v>
      </c>
      <c r="E2475" s="240" t="s">
        <v>1260</v>
      </c>
      <c r="F2475" s="242" t="s">
        <v>11634</v>
      </c>
      <c r="G2475" s="242" t="s">
        <v>127</v>
      </c>
      <c r="H2475" s="242">
        <v>4400.0</v>
      </c>
      <c r="I2475" s="224" t="s">
        <v>3285</v>
      </c>
      <c r="J2475" s="224" t="s">
        <v>3286</v>
      </c>
      <c r="K2475" s="242">
        <v>1.0</v>
      </c>
      <c r="L2475" s="124">
        <v>3.876109272E9</v>
      </c>
    </row>
    <row r="2476">
      <c r="A2476" s="33" t="s">
        <v>11635</v>
      </c>
      <c r="B2476" s="122">
        <v>46030.0</v>
      </c>
      <c r="C2476" s="103">
        <v>8.07000034501E11</v>
      </c>
      <c r="D2476" s="103" t="s">
        <v>11636</v>
      </c>
      <c r="E2476" s="103" t="s">
        <v>11637</v>
      </c>
      <c r="F2476" s="241" t="s">
        <v>11638</v>
      </c>
      <c r="G2476" s="241" t="s">
        <v>127</v>
      </c>
      <c r="H2476" s="241">
        <v>4400.0</v>
      </c>
      <c r="I2476" s="211" t="s">
        <v>1379</v>
      </c>
      <c r="J2476" s="211" t="s">
        <v>7653</v>
      </c>
      <c r="K2476" s="241">
        <v>1.0</v>
      </c>
      <c r="L2476" s="124">
        <v>3.874874695E9</v>
      </c>
    </row>
    <row r="2477">
      <c r="A2477" s="33" t="s">
        <v>11639</v>
      </c>
      <c r="B2477" s="122">
        <v>46030.0</v>
      </c>
      <c r="C2477" s="240">
        <v>8.07000034505E11</v>
      </c>
      <c r="D2477" s="240" t="s">
        <v>11640</v>
      </c>
      <c r="E2477" s="240" t="s">
        <v>11641</v>
      </c>
      <c r="F2477" s="242" t="s">
        <v>11642</v>
      </c>
      <c r="G2477" s="242" t="s">
        <v>127</v>
      </c>
      <c r="H2477" s="242">
        <v>4400.0</v>
      </c>
      <c r="I2477" s="224">
        <v>125817.0</v>
      </c>
      <c r="J2477" s="224" t="s">
        <v>10650</v>
      </c>
      <c r="K2477" s="242">
        <v>2.0</v>
      </c>
      <c r="L2477" s="124">
        <v>3.874048305E9</v>
      </c>
    </row>
    <row r="2478">
      <c r="A2478" s="33" t="s">
        <v>11639</v>
      </c>
      <c r="B2478" s="122">
        <v>46030.0</v>
      </c>
      <c r="C2478" s="103">
        <v>8.07000034505E11</v>
      </c>
      <c r="D2478" s="103" t="s">
        <v>11640</v>
      </c>
      <c r="E2478" s="103" t="s">
        <v>11641</v>
      </c>
      <c r="F2478" s="241" t="s">
        <v>11642</v>
      </c>
      <c r="G2478" s="241" t="s">
        <v>127</v>
      </c>
      <c r="H2478" s="241">
        <v>4400.0</v>
      </c>
      <c r="I2478" s="211" t="s">
        <v>512</v>
      </c>
      <c r="J2478" s="211" t="s">
        <v>513</v>
      </c>
      <c r="K2478" s="241">
        <v>12.0</v>
      </c>
      <c r="L2478" s="124">
        <v>3.874048305E9</v>
      </c>
    </row>
    <row r="2479">
      <c r="A2479" s="33" t="s">
        <v>11639</v>
      </c>
      <c r="B2479" s="122">
        <v>46030.0</v>
      </c>
      <c r="C2479" s="240">
        <v>8.07000034506E11</v>
      </c>
      <c r="D2479" s="240" t="s">
        <v>11640</v>
      </c>
      <c r="E2479" s="240" t="s">
        <v>11641</v>
      </c>
      <c r="F2479" s="242" t="s">
        <v>11642</v>
      </c>
      <c r="G2479" s="242" t="s">
        <v>127</v>
      </c>
      <c r="H2479" s="242">
        <v>4400.0</v>
      </c>
      <c r="I2479" s="224" t="s">
        <v>118</v>
      </c>
      <c r="J2479" s="224" t="s">
        <v>4650</v>
      </c>
      <c r="K2479" s="242">
        <v>1.0</v>
      </c>
      <c r="L2479" s="124">
        <v>3.874048305E9</v>
      </c>
    </row>
    <row r="2480">
      <c r="A2480" s="33" t="s">
        <v>11639</v>
      </c>
      <c r="B2480" s="122">
        <v>46030.0</v>
      </c>
      <c r="C2480" s="103">
        <v>8.07000034506E11</v>
      </c>
      <c r="D2480" s="103" t="s">
        <v>11640</v>
      </c>
      <c r="E2480" s="103" t="s">
        <v>11641</v>
      </c>
      <c r="F2480" s="241" t="s">
        <v>11642</v>
      </c>
      <c r="G2480" s="241" t="s">
        <v>127</v>
      </c>
      <c r="H2480" s="241">
        <v>4400.0</v>
      </c>
      <c r="I2480" s="211" t="s">
        <v>121</v>
      </c>
      <c r="J2480" s="211" t="s">
        <v>3199</v>
      </c>
      <c r="K2480" s="241">
        <v>2.0</v>
      </c>
      <c r="L2480" s="124">
        <v>3.874048305E9</v>
      </c>
    </row>
    <row r="2481">
      <c r="A2481" s="33" t="s">
        <v>11643</v>
      </c>
      <c r="B2481" s="122">
        <v>46031.0</v>
      </c>
      <c r="C2481" s="240">
        <v>8.07000034372E11</v>
      </c>
      <c r="D2481" s="240" t="s">
        <v>5510</v>
      </c>
      <c r="E2481" s="240" t="s">
        <v>5511</v>
      </c>
      <c r="F2481" s="242" t="s">
        <v>11644</v>
      </c>
      <c r="G2481" s="242" t="s">
        <v>5513</v>
      </c>
      <c r="H2481" s="242">
        <v>4421.0</v>
      </c>
      <c r="I2481" s="224">
        <v>125822.0</v>
      </c>
      <c r="J2481" s="224" t="s">
        <v>6030</v>
      </c>
      <c r="K2481" s="242">
        <v>2.0</v>
      </c>
      <c r="L2481" s="124">
        <v>3.875372268E9</v>
      </c>
    </row>
    <row r="2482">
      <c r="A2482" s="33" t="s">
        <v>11643</v>
      </c>
      <c r="B2482" s="122">
        <v>46031.0</v>
      </c>
      <c r="C2482" s="103">
        <v>8.07000034373E11</v>
      </c>
      <c r="D2482" s="103" t="s">
        <v>5510</v>
      </c>
      <c r="E2482" s="103" t="s">
        <v>5511</v>
      </c>
      <c r="F2482" s="241" t="s">
        <v>11644</v>
      </c>
      <c r="G2482" s="241" t="s">
        <v>5513</v>
      </c>
      <c r="H2482" s="241">
        <v>4421.0</v>
      </c>
      <c r="I2482" s="211" t="s">
        <v>8532</v>
      </c>
      <c r="J2482" s="211" t="s">
        <v>8533</v>
      </c>
      <c r="K2482" s="241">
        <v>1.0</v>
      </c>
      <c r="L2482" s="124">
        <v>3.875372268E9</v>
      </c>
    </row>
    <row r="2483">
      <c r="A2483" s="33" t="s">
        <v>11643</v>
      </c>
      <c r="B2483" s="122">
        <v>46031.0</v>
      </c>
      <c r="C2483" s="240">
        <v>8.07000034375E11</v>
      </c>
      <c r="D2483" s="240" t="s">
        <v>5510</v>
      </c>
      <c r="E2483" s="240" t="s">
        <v>5511</v>
      </c>
      <c r="F2483" s="242" t="s">
        <v>11644</v>
      </c>
      <c r="G2483" s="242" t="s">
        <v>5513</v>
      </c>
      <c r="H2483" s="242">
        <v>4421.0</v>
      </c>
      <c r="I2483" s="224" t="s">
        <v>2031</v>
      </c>
      <c r="J2483" s="224" t="s">
        <v>3348</v>
      </c>
      <c r="K2483" s="242">
        <v>1.0</v>
      </c>
      <c r="L2483" s="124">
        <v>3.875372268E9</v>
      </c>
    </row>
    <row r="2484">
      <c r="A2484" s="33" t="s">
        <v>11645</v>
      </c>
      <c r="B2484" s="122">
        <v>46031.0</v>
      </c>
      <c r="C2484" s="103">
        <v>8.07000034397E11</v>
      </c>
      <c r="D2484" s="103" t="s">
        <v>11646</v>
      </c>
      <c r="E2484" s="103" t="s">
        <v>11647</v>
      </c>
      <c r="F2484" s="241" t="s">
        <v>11648</v>
      </c>
      <c r="G2484" s="241" t="s">
        <v>2940</v>
      </c>
      <c r="H2484" s="241">
        <v>4421.0</v>
      </c>
      <c r="I2484" s="211" t="s">
        <v>3054</v>
      </c>
      <c r="J2484" s="211" t="s">
        <v>3346</v>
      </c>
      <c r="K2484" s="241">
        <v>1.0</v>
      </c>
      <c r="L2484" s="124">
        <v>3.87483719E9</v>
      </c>
    </row>
    <row r="2485">
      <c r="A2485" s="33" t="s">
        <v>11649</v>
      </c>
      <c r="B2485" s="122">
        <v>46031.0</v>
      </c>
      <c r="C2485" s="103">
        <v>8.07000034491E11</v>
      </c>
      <c r="D2485" s="103" t="s">
        <v>11650</v>
      </c>
      <c r="E2485" s="103" t="s">
        <v>11651</v>
      </c>
      <c r="F2485" s="241" t="s">
        <v>11652</v>
      </c>
      <c r="G2485" s="241" t="s">
        <v>1885</v>
      </c>
      <c r="H2485" s="123"/>
      <c r="I2485" s="211">
        <v>125822.0</v>
      </c>
      <c r="J2485" s="211" t="s">
        <v>6030</v>
      </c>
      <c r="K2485" s="241">
        <v>2.0</v>
      </c>
      <c r="L2485" s="124">
        <v>3.875653407E9</v>
      </c>
    </row>
    <row r="2486">
      <c r="A2486" s="33" t="s">
        <v>11649</v>
      </c>
      <c r="B2486" s="122">
        <v>46031.0</v>
      </c>
      <c r="C2486" s="240">
        <v>8.07000034492E11</v>
      </c>
      <c r="D2486" s="240" t="s">
        <v>11650</v>
      </c>
      <c r="E2486" s="240" t="s">
        <v>11651</v>
      </c>
      <c r="F2486" s="242" t="s">
        <v>11652</v>
      </c>
      <c r="G2486" s="242" t="s">
        <v>1885</v>
      </c>
      <c r="H2486" s="123"/>
      <c r="I2486" s="224" t="s">
        <v>3451</v>
      </c>
      <c r="J2486" s="224" t="s">
        <v>3452</v>
      </c>
      <c r="K2486" s="242">
        <v>1.0</v>
      </c>
      <c r="L2486" s="124">
        <v>3.875653407E9</v>
      </c>
    </row>
    <row r="2487">
      <c r="A2487" s="33" t="s">
        <v>11649</v>
      </c>
      <c r="B2487" s="122">
        <v>46031.0</v>
      </c>
      <c r="C2487" s="103">
        <v>8.07000034492E11</v>
      </c>
      <c r="D2487" s="103" t="s">
        <v>11650</v>
      </c>
      <c r="E2487" s="103" t="s">
        <v>11651</v>
      </c>
      <c r="F2487" s="241" t="s">
        <v>11652</v>
      </c>
      <c r="G2487" s="241" t="s">
        <v>1885</v>
      </c>
      <c r="H2487" s="123"/>
      <c r="I2487" s="211" t="s">
        <v>512</v>
      </c>
      <c r="J2487" s="211" t="s">
        <v>513</v>
      </c>
      <c r="K2487" s="241">
        <v>6.0</v>
      </c>
      <c r="L2487" s="124">
        <v>3.875653407E9</v>
      </c>
    </row>
    <row r="2488">
      <c r="A2488" s="33" t="s">
        <v>11649</v>
      </c>
      <c r="B2488" s="122">
        <v>46031.0</v>
      </c>
      <c r="C2488" s="240">
        <v>8.07000034492E11</v>
      </c>
      <c r="D2488" s="240" t="s">
        <v>11650</v>
      </c>
      <c r="E2488" s="240" t="s">
        <v>11651</v>
      </c>
      <c r="F2488" s="242" t="s">
        <v>11652</v>
      </c>
      <c r="G2488" s="242" t="s">
        <v>1885</v>
      </c>
      <c r="H2488" s="123"/>
      <c r="I2488" s="224" t="s">
        <v>670</v>
      </c>
      <c r="J2488" s="224" t="s">
        <v>3410</v>
      </c>
      <c r="K2488" s="242">
        <v>1.0</v>
      </c>
      <c r="L2488" s="124">
        <v>3.875653407E9</v>
      </c>
    </row>
    <row r="2489">
      <c r="A2489" s="33" t="s">
        <v>11653</v>
      </c>
      <c r="B2489" s="122">
        <v>46031.0</v>
      </c>
      <c r="C2489" s="103">
        <v>8.07000034507E11</v>
      </c>
      <c r="D2489" s="103" t="s">
        <v>11654</v>
      </c>
      <c r="E2489" s="103" t="s">
        <v>11655</v>
      </c>
      <c r="F2489" s="241" t="s">
        <v>11656</v>
      </c>
      <c r="G2489" s="241" t="s">
        <v>1986</v>
      </c>
      <c r="H2489" s="241">
        <v>4400.0</v>
      </c>
      <c r="I2489" s="211" t="s">
        <v>9389</v>
      </c>
      <c r="J2489" s="211" t="s">
        <v>9390</v>
      </c>
      <c r="K2489" s="241">
        <v>1.0</v>
      </c>
      <c r="L2489" s="124">
        <v>3.874677492E9</v>
      </c>
    </row>
    <row r="2490">
      <c r="A2490" s="33" t="s">
        <v>11657</v>
      </c>
      <c r="B2490" s="122">
        <v>46031.0</v>
      </c>
      <c r="C2490" s="240">
        <v>8.07000034479E11</v>
      </c>
      <c r="D2490" s="240" t="s">
        <v>11658</v>
      </c>
      <c r="E2490" s="240" t="s">
        <v>11659</v>
      </c>
      <c r="F2490" s="123" t="s">
        <v>11660</v>
      </c>
      <c r="G2490" s="123" t="s">
        <v>104</v>
      </c>
      <c r="H2490" s="123">
        <v>4400.0</v>
      </c>
      <c r="I2490" s="224" t="s">
        <v>8532</v>
      </c>
      <c r="J2490" s="224" t="s">
        <v>8533</v>
      </c>
      <c r="K2490" s="242">
        <v>1.0</v>
      </c>
      <c r="L2490" s="124">
        <v>3.875554114E9</v>
      </c>
    </row>
    <row r="2491">
      <c r="A2491" s="33" t="s">
        <v>11661</v>
      </c>
      <c r="B2491" s="122">
        <v>46031.0</v>
      </c>
      <c r="C2491" s="103">
        <v>8.07000034482E11</v>
      </c>
      <c r="D2491" s="103" t="s">
        <v>11662</v>
      </c>
      <c r="E2491" s="103" t="s">
        <v>11663</v>
      </c>
      <c r="F2491" s="123" t="s">
        <v>11664</v>
      </c>
      <c r="G2491" s="123" t="s">
        <v>104</v>
      </c>
      <c r="H2491" s="123">
        <v>4400.0</v>
      </c>
      <c r="I2491" s="211" t="s">
        <v>2956</v>
      </c>
      <c r="J2491" s="211" t="s">
        <v>3327</v>
      </c>
      <c r="K2491" s="241">
        <v>1.0</v>
      </c>
      <c r="L2491" s="124">
        <v>3.874023377E9</v>
      </c>
    </row>
    <row r="2492">
      <c r="A2492" s="33" t="s">
        <v>11665</v>
      </c>
      <c r="B2492" s="122">
        <v>46031.0</v>
      </c>
      <c r="C2492" s="103">
        <v>8.07000034514E11</v>
      </c>
      <c r="D2492" s="103" t="s">
        <v>11666</v>
      </c>
      <c r="E2492" s="103" t="s">
        <v>11667</v>
      </c>
      <c r="F2492" s="241" t="s">
        <v>11668</v>
      </c>
      <c r="G2492" s="241" t="s">
        <v>127</v>
      </c>
      <c r="H2492" s="241">
        <v>4400.0</v>
      </c>
      <c r="I2492" s="211">
        <v>125808.0</v>
      </c>
      <c r="J2492" s="211" t="s">
        <v>7199</v>
      </c>
      <c r="K2492" s="241">
        <v>2.0</v>
      </c>
      <c r="L2492" s="124">
        <v>2.966210483E9</v>
      </c>
    </row>
    <row r="2493">
      <c r="A2493" s="33" t="s">
        <v>11665</v>
      </c>
      <c r="B2493" s="122">
        <v>46031.0</v>
      </c>
      <c r="C2493" s="240">
        <v>8.07000034514E11</v>
      </c>
      <c r="D2493" s="240" t="s">
        <v>11666</v>
      </c>
      <c r="E2493" s="240" t="s">
        <v>11667</v>
      </c>
      <c r="F2493" s="242" t="s">
        <v>11668</v>
      </c>
      <c r="G2493" s="242" t="s">
        <v>127</v>
      </c>
      <c r="H2493" s="242">
        <v>4400.0</v>
      </c>
      <c r="I2493" s="224">
        <v>125817.0</v>
      </c>
      <c r="J2493" s="224" t="s">
        <v>10650</v>
      </c>
      <c r="K2493" s="242">
        <v>2.0</v>
      </c>
      <c r="L2493" s="124">
        <v>2.966210483E9</v>
      </c>
    </row>
    <row r="2494">
      <c r="A2494" s="33" t="s">
        <v>11665</v>
      </c>
      <c r="B2494" s="122">
        <v>46031.0</v>
      </c>
      <c r="C2494" s="103">
        <v>8.07000034514E11</v>
      </c>
      <c r="D2494" s="103" t="s">
        <v>11666</v>
      </c>
      <c r="E2494" s="103" t="s">
        <v>11667</v>
      </c>
      <c r="F2494" s="241" t="s">
        <v>11668</v>
      </c>
      <c r="G2494" s="241" t="s">
        <v>127</v>
      </c>
      <c r="H2494" s="241">
        <v>4400.0</v>
      </c>
      <c r="I2494" s="211" t="s">
        <v>512</v>
      </c>
      <c r="J2494" s="211" t="s">
        <v>513</v>
      </c>
      <c r="K2494" s="241">
        <v>12.0</v>
      </c>
      <c r="L2494" s="124">
        <v>2.966210483E9</v>
      </c>
    </row>
    <row r="2495">
      <c r="A2495" s="33" t="s">
        <v>11665</v>
      </c>
      <c r="B2495" s="122">
        <v>46031.0</v>
      </c>
      <c r="C2495" s="240">
        <v>8.07000034515E11</v>
      </c>
      <c r="D2495" s="240" t="s">
        <v>11666</v>
      </c>
      <c r="E2495" s="240" t="s">
        <v>11667</v>
      </c>
      <c r="F2495" s="242" t="s">
        <v>11668</v>
      </c>
      <c r="G2495" s="242" t="s">
        <v>127</v>
      </c>
      <c r="H2495" s="242">
        <v>4400.0</v>
      </c>
      <c r="I2495" s="224" t="s">
        <v>2397</v>
      </c>
      <c r="J2495" s="224" t="s">
        <v>5040</v>
      </c>
      <c r="K2495" s="242">
        <v>1.0</v>
      </c>
      <c r="L2495" s="124">
        <v>2.966210483E9</v>
      </c>
    </row>
    <row r="2496">
      <c r="A2496" s="33" t="s">
        <v>11665</v>
      </c>
      <c r="B2496" s="122">
        <v>46031.0</v>
      </c>
      <c r="C2496" s="103">
        <v>8.07000034515E11</v>
      </c>
      <c r="D2496" s="103" t="s">
        <v>11666</v>
      </c>
      <c r="E2496" s="103" t="s">
        <v>11667</v>
      </c>
      <c r="F2496" s="241" t="s">
        <v>11668</v>
      </c>
      <c r="G2496" s="241" t="s">
        <v>127</v>
      </c>
      <c r="H2496" s="241">
        <v>4400.0</v>
      </c>
      <c r="I2496" s="211" t="s">
        <v>985</v>
      </c>
      <c r="J2496" s="211" t="s">
        <v>3600</v>
      </c>
      <c r="K2496" s="241">
        <v>1.0</v>
      </c>
      <c r="L2496" s="124">
        <v>2.966210483E9</v>
      </c>
    </row>
    <row r="2497">
      <c r="A2497" s="33" t="s">
        <v>11665</v>
      </c>
      <c r="B2497" s="122">
        <v>46031.0</v>
      </c>
      <c r="C2497" s="240">
        <v>8.07000034515E11</v>
      </c>
      <c r="D2497" s="240" t="s">
        <v>11666</v>
      </c>
      <c r="E2497" s="240" t="s">
        <v>11667</v>
      </c>
      <c r="F2497" s="242" t="s">
        <v>11668</v>
      </c>
      <c r="G2497" s="242" t="s">
        <v>127</v>
      </c>
      <c r="H2497" s="242">
        <v>4400.0</v>
      </c>
      <c r="I2497" s="224" t="s">
        <v>969</v>
      </c>
      <c r="J2497" s="224" t="s">
        <v>3296</v>
      </c>
      <c r="K2497" s="242">
        <v>1.0</v>
      </c>
      <c r="L2497" s="124">
        <v>2.966210483E9</v>
      </c>
    </row>
    <row r="2498">
      <c r="A2498" s="33" t="s">
        <v>11665</v>
      </c>
      <c r="B2498" s="122">
        <v>46031.0</v>
      </c>
      <c r="C2498" s="103">
        <v>8.07000034515E11</v>
      </c>
      <c r="D2498" s="103" t="s">
        <v>11666</v>
      </c>
      <c r="E2498" s="103" t="s">
        <v>11667</v>
      </c>
      <c r="F2498" s="241" t="s">
        <v>11668</v>
      </c>
      <c r="G2498" s="241" t="s">
        <v>127</v>
      </c>
      <c r="H2498" s="241">
        <v>4400.0</v>
      </c>
      <c r="I2498" s="211" t="s">
        <v>35</v>
      </c>
      <c r="J2498" s="211" t="s">
        <v>3188</v>
      </c>
      <c r="K2498" s="241">
        <v>1.0</v>
      </c>
      <c r="L2498" s="124">
        <v>2.966210483E9</v>
      </c>
    </row>
    <row r="2499">
      <c r="A2499" s="33" t="s">
        <v>11669</v>
      </c>
      <c r="B2499" s="122">
        <v>46031.0</v>
      </c>
      <c r="C2499" s="240">
        <v>8.07000034517E11</v>
      </c>
      <c r="D2499" s="240" t="s">
        <v>11670</v>
      </c>
      <c r="E2499" s="240" t="s">
        <v>11671</v>
      </c>
      <c r="F2499" s="242" t="s">
        <v>11672</v>
      </c>
      <c r="G2499" s="242" t="s">
        <v>127</v>
      </c>
      <c r="H2499" s="242">
        <v>4400.0</v>
      </c>
      <c r="I2499" s="224" t="s">
        <v>512</v>
      </c>
      <c r="J2499" s="224" t="s">
        <v>513</v>
      </c>
      <c r="K2499" s="242">
        <v>6.0</v>
      </c>
      <c r="L2499" s="124">
        <v>2.964520309E9</v>
      </c>
    </row>
    <row r="2500">
      <c r="A2500" s="33" t="s">
        <v>11669</v>
      </c>
      <c r="B2500" s="122">
        <v>46031.0</v>
      </c>
      <c r="C2500" s="103">
        <v>8.07000034518E11</v>
      </c>
      <c r="D2500" s="103" t="s">
        <v>11670</v>
      </c>
      <c r="E2500" s="103" t="s">
        <v>11671</v>
      </c>
      <c r="F2500" s="241" t="s">
        <v>11672</v>
      </c>
      <c r="G2500" s="241" t="s">
        <v>127</v>
      </c>
      <c r="H2500" s="241">
        <v>4400.0</v>
      </c>
      <c r="I2500" s="211">
        <v>125822.0</v>
      </c>
      <c r="J2500" s="211" t="s">
        <v>6030</v>
      </c>
      <c r="K2500" s="241">
        <v>1.0</v>
      </c>
      <c r="L2500" s="124">
        <v>2.964520309E9</v>
      </c>
    </row>
    <row r="2501">
      <c r="A2501" s="33" t="s">
        <v>11669</v>
      </c>
      <c r="B2501" s="122">
        <v>46031.0</v>
      </c>
      <c r="C2501" s="240">
        <v>8.07000034519E11</v>
      </c>
      <c r="D2501" s="240" t="s">
        <v>11670</v>
      </c>
      <c r="E2501" s="240" t="s">
        <v>11671</v>
      </c>
      <c r="F2501" s="242" t="s">
        <v>11672</v>
      </c>
      <c r="G2501" s="242" t="s">
        <v>127</v>
      </c>
      <c r="H2501" s="242">
        <v>4400.0</v>
      </c>
      <c r="I2501" s="224" t="s">
        <v>10974</v>
      </c>
      <c r="J2501" s="224" t="s">
        <v>10975</v>
      </c>
      <c r="K2501" s="242">
        <v>1.0</v>
      </c>
      <c r="L2501" s="124">
        <v>2.964520309E9</v>
      </c>
    </row>
    <row r="2502">
      <c r="A2502" s="33" t="s">
        <v>11669</v>
      </c>
      <c r="B2502" s="122">
        <v>46031.0</v>
      </c>
      <c r="C2502" s="103">
        <v>8.07000034519E11</v>
      </c>
      <c r="D2502" s="103" t="s">
        <v>11670</v>
      </c>
      <c r="E2502" s="103" t="s">
        <v>11671</v>
      </c>
      <c r="F2502" s="241" t="s">
        <v>11672</v>
      </c>
      <c r="G2502" s="241" t="s">
        <v>127</v>
      </c>
      <c r="H2502" s="241">
        <v>4400.0</v>
      </c>
      <c r="I2502" s="211" t="s">
        <v>1827</v>
      </c>
      <c r="J2502" s="211" t="s">
        <v>4367</v>
      </c>
      <c r="K2502" s="241">
        <v>1.0</v>
      </c>
      <c r="L2502" s="124">
        <v>2.964520309E9</v>
      </c>
    </row>
    <row r="2503">
      <c r="A2503" s="33" t="s">
        <v>11673</v>
      </c>
      <c r="B2503" s="122">
        <v>46031.0</v>
      </c>
      <c r="C2503" s="240">
        <v>8.07000034525E11</v>
      </c>
      <c r="D2503" s="240" t="s">
        <v>11674</v>
      </c>
      <c r="E2503" s="240" t="s">
        <v>11675</v>
      </c>
      <c r="F2503" s="242" t="s">
        <v>11676</v>
      </c>
      <c r="G2503" s="242" t="s">
        <v>127</v>
      </c>
      <c r="H2503" s="242">
        <v>4400.0</v>
      </c>
      <c r="I2503" s="224">
        <v>125822.0</v>
      </c>
      <c r="J2503" s="224" t="s">
        <v>6030</v>
      </c>
      <c r="K2503" s="242">
        <v>2.0</v>
      </c>
      <c r="L2503" s="124"/>
    </row>
    <row r="2504">
      <c r="A2504" s="33" t="s">
        <v>11673</v>
      </c>
      <c r="B2504" s="122">
        <v>46031.0</v>
      </c>
      <c r="C2504" s="103">
        <v>8.07000034526E11</v>
      </c>
      <c r="D2504" s="103" t="s">
        <v>11674</v>
      </c>
      <c r="E2504" s="103" t="s">
        <v>11675</v>
      </c>
      <c r="F2504" s="241" t="s">
        <v>11676</v>
      </c>
      <c r="G2504" s="241" t="s">
        <v>127</v>
      </c>
      <c r="H2504" s="241">
        <v>4400.0</v>
      </c>
      <c r="I2504" s="211" t="s">
        <v>512</v>
      </c>
      <c r="J2504" s="211" t="s">
        <v>513</v>
      </c>
      <c r="K2504" s="241">
        <v>12.0</v>
      </c>
      <c r="L2504" s="124"/>
    </row>
    <row r="2505">
      <c r="A2505" s="33" t="s">
        <v>11673</v>
      </c>
      <c r="B2505" s="122">
        <v>46031.0</v>
      </c>
      <c r="C2505" s="240">
        <v>8.07000034527E11</v>
      </c>
      <c r="D2505" s="240" t="s">
        <v>11674</v>
      </c>
      <c r="E2505" s="240" t="s">
        <v>11675</v>
      </c>
      <c r="F2505" s="242" t="s">
        <v>11676</v>
      </c>
      <c r="G2505" s="242" t="s">
        <v>127</v>
      </c>
      <c r="H2505" s="242">
        <v>4400.0</v>
      </c>
      <c r="I2505" s="224" t="s">
        <v>761</v>
      </c>
      <c r="J2505" s="224" t="s">
        <v>3761</v>
      </c>
      <c r="K2505" s="242">
        <v>1.0</v>
      </c>
      <c r="L2505" s="124"/>
    </row>
    <row r="2506">
      <c r="A2506" s="33" t="s">
        <v>11673</v>
      </c>
      <c r="B2506" s="122">
        <v>46031.0</v>
      </c>
      <c r="C2506" s="103">
        <v>8.07000034527E11</v>
      </c>
      <c r="D2506" s="103" t="s">
        <v>11674</v>
      </c>
      <c r="E2506" s="103" t="s">
        <v>11675</v>
      </c>
      <c r="F2506" s="241" t="s">
        <v>11676</v>
      </c>
      <c r="G2506" s="241" t="s">
        <v>127</v>
      </c>
      <c r="H2506" s="241">
        <v>4400.0</v>
      </c>
      <c r="I2506" s="211" t="s">
        <v>758</v>
      </c>
      <c r="J2506" s="211" t="s">
        <v>3574</v>
      </c>
      <c r="K2506" s="241">
        <v>2.0</v>
      </c>
      <c r="L2506" s="124"/>
    </row>
    <row r="2507">
      <c r="A2507" s="33" t="s">
        <v>11677</v>
      </c>
      <c r="B2507" s="122">
        <v>46032.0</v>
      </c>
      <c r="C2507" s="103">
        <v>8.07000034516E11</v>
      </c>
      <c r="D2507" s="103" t="s">
        <v>11678</v>
      </c>
      <c r="E2507" s="103" t="s">
        <v>11679</v>
      </c>
      <c r="F2507" s="123" t="s">
        <v>11680</v>
      </c>
      <c r="G2507" s="123" t="s">
        <v>11028</v>
      </c>
      <c r="H2507" s="123">
        <v>4400.0</v>
      </c>
      <c r="I2507" s="211" t="s">
        <v>985</v>
      </c>
      <c r="J2507" s="211" t="s">
        <v>3600</v>
      </c>
      <c r="K2507" s="241">
        <v>1.0</v>
      </c>
      <c r="L2507" s="124">
        <v>3.875847326E9</v>
      </c>
    </row>
    <row r="2508">
      <c r="A2508" s="33" t="s">
        <v>11681</v>
      </c>
      <c r="B2508" s="122">
        <v>46032.0</v>
      </c>
      <c r="C2508" s="103">
        <v>8.07000034537E11</v>
      </c>
      <c r="D2508" s="103" t="s">
        <v>11682</v>
      </c>
      <c r="E2508" s="103" t="s">
        <v>11683</v>
      </c>
      <c r="F2508" s="123" t="s">
        <v>11684</v>
      </c>
      <c r="G2508" s="123" t="s">
        <v>104</v>
      </c>
      <c r="H2508" s="123">
        <v>4400.0</v>
      </c>
      <c r="I2508" s="211" t="s">
        <v>218</v>
      </c>
      <c r="J2508" s="211" t="s">
        <v>8664</v>
      </c>
      <c r="K2508" s="241">
        <v>1.0</v>
      </c>
      <c r="L2508" s="124">
        <v>3.874441005E9</v>
      </c>
    </row>
    <row r="2509">
      <c r="A2509" s="33" t="s">
        <v>11685</v>
      </c>
      <c r="B2509" s="122">
        <v>46033.0</v>
      </c>
      <c r="C2509" s="103">
        <v>8.07000034544E11</v>
      </c>
      <c r="D2509" s="103" t="s">
        <v>11686</v>
      </c>
      <c r="E2509" s="103" t="s">
        <v>11687</v>
      </c>
      <c r="F2509" s="123" t="s">
        <v>11688</v>
      </c>
      <c r="G2509" s="123" t="s">
        <v>11689</v>
      </c>
      <c r="H2509" s="123">
        <v>4400.0</v>
      </c>
      <c r="I2509" s="211" t="s">
        <v>280</v>
      </c>
      <c r="J2509" s="211" t="s">
        <v>5669</v>
      </c>
      <c r="K2509" s="241">
        <v>1.0</v>
      </c>
      <c r="L2509" s="124">
        <v>3.875954867E9</v>
      </c>
    </row>
    <row r="2510">
      <c r="A2510" s="33" t="s">
        <v>11690</v>
      </c>
      <c r="B2510" s="122">
        <v>46033.0</v>
      </c>
      <c r="C2510" s="103">
        <v>8.07000034547E11</v>
      </c>
      <c r="D2510" s="103" t="s">
        <v>11388</v>
      </c>
      <c r="E2510" s="103" t="s">
        <v>11389</v>
      </c>
      <c r="F2510" s="243" t="s">
        <v>11691</v>
      </c>
      <c r="G2510" s="242" t="s">
        <v>127</v>
      </c>
      <c r="H2510" s="241">
        <v>4400.0</v>
      </c>
      <c r="I2510" s="211" t="s">
        <v>512</v>
      </c>
      <c r="J2510" s="211" t="s">
        <v>513</v>
      </c>
      <c r="K2510" s="241">
        <v>6.0</v>
      </c>
      <c r="L2510" s="124">
        <v>3.8715427935E10</v>
      </c>
    </row>
    <row r="2511">
      <c r="A2511" s="33" t="s">
        <v>11690</v>
      </c>
      <c r="B2511" s="122">
        <v>46033.0</v>
      </c>
      <c r="C2511" s="240">
        <v>8.07000034548E11</v>
      </c>
      <c r="D2511" s="240" t="s">
        <v>11388</v>
      </c>
      <c r="E2511" s="240" t="s">
        <v>11389</v>
      </c>
      <c r="F2511" s="243" t="s">
        <v>11691</v>
      </c>
      <c r="G2511" s="241" t="s">
        <v>127</v>
      </c>
      <c r="H2511" s="242">
        <v>4400.0</v>
      </c>
      <c r="I2511" s="224" t="s">
        <v>8604</v>
      </c>
      <c r="J2511" s="224" t="s">
        <v>8605</v>
      </c>
      <c r="K2511" s="242">
        <v>1.0</v>
      </c>
      <c r="L2511" s="124">
        <v>3.8715427935E10</v>
      </c>
    </row>
    <row r="2512">
      <c r="A2512" s="33" t="s">
        <v>11690</v>
      </c>
      <c r="B2512" s="122">
        <v>46033.0</v>
      </c>
      <c r="C2512" s="103">
        <v>8.07000034548E11</v>
      </c>
      <c r="D2512" s="103" t="s">
        <v>11388</v>
      </c>
      <c r="E2512" s="103" t="s">
        <v>11389</v>
      </c>
      <c r="F2512" s="243" t="s">
        <v>11691</v>
      </c>
      <c r="G2512" s="242" t="s">
        <v>127</v>
      </c>
      <c r="H2512" s="241">
        <v>4400.0</v>
      </c>
      <c r="I2512" s="211" t="s">
        <v>1345</v>
      </c>
      <c r="J2512" s="211" t="s">
        <v>3639</v>
      </c>
      <c r="K2512" s="241">
        <v>1.0</v>
      </c>
      <c r="L2512" s="124">
        <v>3.8715427935E10</v>
      </c>
    </row>
    <row r="2513">
      <c r="A2513" s="33" t="s">
        <v>11692</v>
      </c>
      <c r="B2513" s="122">
        <v>46033.0</v>
      </c>
      <c r="C2513" s="240">
        <v>8.07000034549E11</v>
      </c>
      <c r="D2513" s="240" t="s">
        <v>11388</v>
      </c>
      <c r="E2513" s="240" t="s">
        <v>11389</v>
      </c>
      <c r="F2513" s="243" t="s">
        <v>11691</v>
      </c>
      <c r="G2513" s="241" t="s">
        <v>127</v>
      </c>
      <c r="H2513" s="123">
        <v>4400.0</v>
      </c>
      <c r="I2513" s="224" t="s">
        <v>512</v>
      </c>
      <c r="J2513" s="224" t="s">
        <v>513</v>
      </c>
      <c r="K2513" s="242">
        <v>6.0</v>
      </c>
      <c r="L2513" s="124">
        <v>3.8715427935E10</v>
      </c>
    </row>
    <row r="2514">
      <c r="A2514" s="33" t="s">
        <v>11692</v>
      </c>
      <c r="B2514" s="122">
        <v>46033.0</v>
      </c>
      <c r="C2514" s="103">
        <v>8.0700003455E11</v>
      </c>
      <c r="D2514" s="103" t="s">
        <v>11388</v>
      </c>
      <c r="E2514" s="103" t="s">
        <v>11389</v>
      </c>
      <c r="F2514" s="243" t="s">
        <v>11691</v>
      </c>
      <c r="G2514" s="242" t="s">
        <v>127</v>
      </c>
      <c r="H2514" s="123">
        <v>4400.0</v>
      </c>
      <c r="I2514" s="211" t="s">
        <v>8604</v>
      </c>
      <c r="J2514" s="211" t="s">
        <v>8605</v>
      </c>
      <c r="K2514" s="241">
        <v>1.0</v>
      </c>
      <c r="L2514" s="124">
        <v>3.8715427935E10</v>
      </c>
    </row>
    <row r="2515">
      <c r="A2515" s="33" t="s">
        <v>11692</v>
      </c>
      <c r="B2515" s="122">
        <v>46033.0</v>
      </c>
      <c r="C2515" s="240">
        <v>8.0700003455E11</v>
      </c>
      <c r="D2515" s="240" t="s">
        <v>11388</v>
      </c>
      <c r="E2515" s="240" t="s">
        <v>11389</v>
      </c>
      <c r="F2515" s="243" t="s">
        <v>11691</v>
      </c>
      <c r="G2515" s="241" t="s">
        <v>127</v>
      </c>
      <c r="H2515" s="123">
        <v>4400.0</v>
      </c>
      <c r="I2515" s="224" t="s">
        <v>1345</v>
      </c>
      <c r="J2515" s="224" t="s">
        <v>3639</v>
      </c>
      <c r="K2515" s="242">
        <v>1.0</v>
      </c>
      <c r="L2515" s="124">
        <v>3.8715427935E10</v>
      </c>
    </row>
    <row r="2516" ht="4.5" customHeight="1">
      <c r="A2516" s="100"/>
      <c r="B2516" s="230"/>
      <c r="C2516" s="251"/>
      <c r="D2516" s="251"/>
      <c r="E2516" s="251"/>
      <c r="F2516" s="231"/>
      <c r="G2516" s="253"/>
      <c r="H2516" s="253"/>
      <c r="I2516" s="252"/>
      <c r="J2516" s="251"/>
      <c r="K2516" s="253"/>
      <c r="L2516" s="253"/>
      <c r="M2516" s="233"/>
      <c r="N2516" s="233"/>
      <c r="O2516" s="233"/>
      <c r="P2516" s="233"/>
      <c r="Q2516" s="233"/>
      <c r="R2516" s="233"/>
      <c r="S2516" s="233"/>
      <c r="T2516" s="233"/>
      <c r="U2516" s="233"/>
      <c r="V2516" s="233"/>
      <c r="W2516" s="233"/>
      <c r="X2516" s="233"/>
      <c r="Y2516" s="233"/>
      <c r="Z2516" s="233"/>
      <c r="AA2516" s="233"/>
      <c r="AB2516" s="233"/>
      <c r="AC2516" s="233"/>
    </row>
    <row r="2517">
      <c r="A2517" s="33" t="s">
        <v>11693</v>
      </c>
      <c r="B2517" s="122">
        <v>46034.0</v>
      </c>
      <c r="C2517" s="240">
        <v>8.07000034522E11</v>
      </c>
      <c r="D2517" s="240" t="s">
        <v>11694</v>
      </c>
      <c r="E2517" s="240" t="s">
        <v>11695</v>
      </c>
      <c r="F2517" s="123" t="s">
        <v>11696</v>
      </c>
      <c r="G2517" s="242" t="s">
        <v>127</v>
      </c>
      <c r="H2517" s="241">
        <v>4400.0</v>
      </c>
      <c r="I2517" s="224">
        <v>125808.0</v>
      </c>
      <c r="J2517" s="240" t="s">
        <v>7199</v>
      </c>
      <c r="K2517" s="242">
        <v>2.0</v>
      </c>
      <c r="L2517" s="242">
        <v>3.871554605E9</v>
      </c>
    </row>
    <row r="2518">
      <c r="A2518" s="33" t="s">
        <v>11697</v>
      </c>
      <c r="B2518" s="122">
        <v>46034.0</v>
      </c>
      <c r="C2518" s="103">
        <v>8.07000034523E11</v>
      </c>
      <c r="D2518" s="103" t="s">
        <v>11694</v>
      </c>
      <c r="E2518" s="103" t="s">
        <v>11695</v>
      </c>
      <c r="F2518" s="123" t="s">
        <v>11696</v>
      </c>
      <c r="G2518" s="241" t="s">
        <v>127</v>
      </c>
      <c r="H2518" s="123">
        <v>4400.0</v>
      </c>
      <c r="I2518" s="211" t="s">
        <v>512</v>
      </c>
      <c r="J2518" s="103" t="s">
        <v>513</v>
      </c>
      <c r="K2518" s="241">
        <v>6.0</v>
      </c>
      <c r="L2518" s="242">
        <v>3.871554605E9</v>
      </c>
    </row>
    <row r="2519">
      <c r="A2519" s="33" t="s">
        <v>11697</v>
      </c>
      <c r="B2519" s="122">
        <v>46034.0</v>
      </c>
      <c r="C2519" s="240">
        <v>8.07000034524E11</v>
      </c>
      <c r="D2519" s="240" t="s">
        <v>11694</v>
      </c>
      <c r="E2519" s="240" t="s">
        <v>11695</v>
      </c>
      <c r="F2519" s="123" t="s">
        <v>11696</v>
      </c>
      <c r="G2519" s="242" t="s">
        <v>127</v>
      </c>
      <c r="H2519" s="123">
        <v>4400.0</v>
      </c>
      <c r="I2519" s="224" t="s">
        <v>3451</v>
      </c>
      <c r="J2519" s="240" t="s">
        <v>3452</v>
      </c>
      <c r="K2519" s="242">
        <v>1.0</v>
      </c>
      <c r="L2519" s="242">
        <v>3.871554605E9</v>
      </c>
    </row>
    <row r="2520">
      <c r="A2520" s="33" t="s">
        <v>11697</v>
      </c>
      <c r="B2520" s="122">
        <v>46034.0</v>
      </c>
      <c r="C2520" s="103">
        <v>8.07000034524E11</v>
      </c>
      <c r="D2520" s="103" t="s">
        <v>11694</v>
      </c>
      <c r="E2520" s="103" t="s">
        <v>11695</v>
      </c>
      <c r="F2520" s="123" t="s">
        <v>11696</v>
      </c>
      <c r="G2520" s="241" t="s">
        <v>127</v>
      </c>
      <c r="H2520" s="123">
        <v>4400.0</v>
      </c>
      <c r="I2520" s="211" t="s">
        <v>670</v>
      </c>
      <c r="J2520" s="103" t="s">
        <v>3410</v>
      </c>
      <c r="K2520" s="241">
        <v>1.0</v>
      </c>
      <c r="L2520" s="242">
        <v>3.871554605E9</v>
      </c>
    </row>
    <row r="2521">
      <c r="A2521" s="33" t="s">
        <v>11698</v>
      </c>
      <c r="B2521" s="122">
        <v>46034.0</v>
      </c>
      <c r="C2521" s="240">
        <v>8.07000034551E11</v>
      </c>
      <c r="D2521" s="240" t="s">
        <v>11699</v>
      </c>
      <c r="E2521" s="240" t="s">
        <v>11700</v>
      </c>
      <c r="F2521" s="242" t="s">
        <v>11701</v>
      </c>
      <c r="G2521" s="242" t="s">
        <v>127</v>
      </c>
      <c r="H2521" s="242">
        <v>4400.0</v>
      </c>
      <c r="I2521" s="224">
        <v>125823.0</v>
      </c>
      <c r="J2521" s="240" t="s">
        <v>11232</v>
      </c>
      <c r="K2521" s="242">
        <v>2.0</v>
      </c>
      <c r="L2521" s="124">
        <v>3.875605631E9</v>
      </c>
    </row>
    <row r="2522">
      <c r="A2522" s="33" t="s">
        <v>11698</v>
      </c>
      <c r="B2522" s="122">
        <v>46034.0</v>
      </c>
      <c r="C2522" s="103">
        <v>8.07000034551E11</v>
      </c>
      <c r="D2522" s="103" t="s">
        <v>11699</v>
      </c>
      <c r="E2522" s="103" t="s">
        <v>11700</v>
      </c>
      <c r="F2522" s="241" t="s">
        <v>11701</v>
      </c>
      <c r="G2522" s="241" t="s">
        <v>127</v>
      </c>
      <c r="H2522" s="241">
        <v>4400.0</v>
      </c>
      <c r="I2522" s="211" t="s">
        <v>8295</v>
      </c>
      <c r="J2522" s="103" t="s">
        <v>8296</v>
      </c>
      <c r="K2522" s="241">
        <v>1.0</v>
      </c>
      <c r="L2522" s="124">
        <v>3.875605631E9</v>
      </c>
    </row>
    <row r="2523">
      <c r="A2523" s="33" t="s">
        <v>11702</v>
      </c>
      <c r="B2523" s="122">
        <v>46034.0</v>
      </c>
      <c r="C2523" s="240">
        <v>8.07000034552E11</v>
      </c>
      <c r="D2523" s="240" t="s">
        <v>11703</v>
      </c>
      <c r="E2523" s="240" t="s">
        <v>11704</v>
      </c>
      <c r="F2523" s="123" t="s">
        <v>11705</v>
      </c>
      <c r="G2523" s="242" t="s">
        <v>127</v>
      </c>
      <c r="H2523" s="123">
        <v>4400.0</v>
      </c>
      <c r="I2523" s="224">
        <v>125813.0</v>
      </c>
      <c r="J2523" s="240" t="s">
        <v>5703</v>
      </c>
      <c r="K2523" s="242">
        <v>2.0</v>
      </c>
      <c r="L2523" s="124">
        <v>3.874591517E9</v>
      </c>
    </row>
    <row r="2524">
      <c r="A2524" s="33" t="s">
        <v>11702</v>
      </c>
      <c r="B2524" s="122">
        <v>46034.0</v>
      </c>
      <c r="C2524" s="103">
        <v>8.07000034553E11</v>
      </c>
      <c r="D2524" s="103" t="s">
        <v>11703</v>
      </c>
      <c r="E2524" s="103" t="s">
        <v>11704</v>
      </c>
      <c r="F2524" s="123" t="s">
        <v>11705</v>
      </c>
      <c r="G2524" s="241" t="s">
        <v>127</v>
      </c>
      <c r="H2524" s="123">
        <v>4400.0</v>
      </c>
      <c r="I2524" s="211" t="s">
        <v>3649</v>
      </c>
      <c r="J2524" s="103" t="s">
        <v>3650</v>
      </c>
      <c r="K2524" s="241">
        <v>1.0</v>
      </c>
      <c r="L2524" s="124">
        <v>3.874591517E9</v>
      </c>
      <c r="M2524" s="54" t="s">
        <v>11706</v>
      </c>
    </row>
    <row r="2525">
      <c r="A2525" s="33" t="s">
        <v>11707</v>
      </c>
      <c r="B2525" s="122">
        <v>46035.0</v>
      </c>
      <c r="C2525" s="103">
        <v>8.07000034562E11</v>
      </c>
      <c r="D2525" s="103" t="s">
        <v>11708</v>
      </c>
      <c r="E2525" s="103" t="s">
        <v>11709</v>
      </c>
      <c r="F2525" s="241" t="s">
        <v>11710</v>
      </c>
      <c r="G2525" s="241" t="s">
        <v>20</v>
      </c>
      <c r="H2525" s="241" t="s">
        <v>4086</v>
      </c>
      <c r="I2525" s="211">
        <v>208501.0</v>
      </c>
      <c r="J2525" s="103" t="s">
        <v>481</v>
      </c>
      <c r="K2525" s="241">
        <v>2.0</v>
      </c>
      <c r="L2525" s="124">
        <v>3.874796681E9</v>
      </c>
    </row>
    <row r="2526">
      <c r="A2526" s="33" t="s">
        <v>11707</v>
      </c>
      <c r="B2526" s="122">
        <v>46035.0</v>
      </c>
      <c r="C2526" s="240">
        <v>8.07000034563E11</v>
      </c>
      <c r="D2526" s="240" t="s">
        <v>11708</v>
      </c>
      <c r="E2526" s="240" t="s">
        <v>11709</v>
      </c>
      <c r="F2526" s="242" t="s">
        <v>11710</v>
      </c>
      <c r="G2526" s="242" t="s">
        <v>20</v>
      </c>
      <c r="H2526" s="242" t="s">
        <v>4086</v>
      </c>
      <c r="I2526" s="224" t="s">
        <v>3131</v>
      </c>
      <c r="J2526" s="240" t="s">
        <v>3416</v>
      </c>
      <c r="K2526" s="242">
        <v>1.0</v>
      </c>
      <c r="L2526" s="124">
        <v>3.874796681E9</v>
      </c>
    </row>
    <row r="2527">
      <c r="A2527" s="33" t="s">
        <v>11707</v>
      </c>
      <c r="B2527" s="122">
        <v>46035.0</v>
      </c>
      <c r="C2527" s="103">
        <v>8.07000034563E11</v>
      </c>
      <c r="D2527" s="103" t="s">
        <v>11708</v>
      </c>
      <c r="E2527" s="103" t="s">
        <v>11709</v>
      </c>
      <c r="F2527" s="241" t="s">
        <v>11710</v>
      </c>
      <c r="G2527" s="241" t="s">
        <v>20</v>
      </c>
      <c r="H2527" s="241" t="s">
        <v>4086</v>
      </c>
      <c r="I2527" s="211" t="s">
        <v>512</v>
      </c>
      <c r="J2527" s="103" t="s">
        <v>513</v>
      </c>
      <c r="K2527" s="241">
        <v>6.0</v>
      </c>
      <c r="L2527" s="124">
        <v>3.874796681E9</v>
      </c>
    </row>
    <row r="2528">
      <c r="A2528" s="33" t="s">
        <v>11707</v>
      </c>
      <c r="B2528" s="122">
        <v>46035.0</v>
      </c>
      <c r="C2528" s="240">
        <v>8.07000034563E11</v>
      </c>
      <c r="D2528" s="240" t="s">
        <v>11708</v>
      </c>
      <c r="E2528" s="240" t="s">
        <v>11709</v>
      </c>
      <c r="F2528" s="242" t="s">
        <v>11710</v>
      </c>
      <c r="G2528" s="242" t="s">
        <v>20</v>
      </c>
      <c r="H2528" s="242" t="s">
        <v>4086</v>
      </c>
      <c r="I2528" s="224" t="s">
        <v>35</v>
      </c>
      <c r="J2528" s="240" t="s">
        <v>3188</v>
      </c>
      <c r="K2528" s="242">
        <v>1.0</v>
      </c>
      <c r="L2528" s="124">
        <v>3.874796681E9</v>
      </c>
    </row>
    <row r="2529">
      <c r="A2529" s="33" t="s">
        <v>11711</v>
      </c>
      <c r="B2529" s="122">
        <v>46035.0</v>
      </c>
      <c r="C2529" s="240">
        <v>8.07000034567E11</v>
      </c>
      <c r="D2529" s="240" t="s">
        <v>11712</v>
      </c>
      <c r="E2529" s="240" t="s">
        <v>11713</v>
      </c>
      <c r="F2529" s="242" t="s">
        <v>11714</v>
      </c>
      <c r="G2529" s="242" t="s">
        <v>127</v>
      </c>
      <c r="H2529" s="242">
        <v>4400.0</v>
      </c>
      <c r="I2529" s="224" t="s">
        <v>512</v>
      </c>
      <c r="J2529" s="240" t="s">
        <v>513</v>
      </c>
      <c r="K2529" s="242">
        <v>12.0</v>
      </c>
      <c r="L2529" s="124"/>
    </row>
    <row r="2530">
      <c r="A2530" s="33" t="s">
        <v>11711</v>
      </c>
      <c r="B2530" s="122">
        <v>46035.0</v>
      </c>
      <c r="C2530" s="103">
        <v>8.07000034568E11</v>
      </c>
      <c r="D2530" s="103" t="s">
        <v>11712</v>
      </c>
      <c r="E2530" s="103" t="s">
        <v>11713</v>
      </c>
      <c r="F2530" s="241" t="s">
        <v>11714</v>
      </c>
      <c r="G2530" s="241" t="s">
        <v>127</v>
      </c>
      <c r="H2530" s="241">
        <v>4400.0</v>
      </c>
      <c r="I2530" s="211" t="s">
        <v>1937</v>
      </c>
      <c r="J2530" s="103" t="s">
        <v>4036</v>
      </c>
      <c r="K2530" s="241">
        <v>1.0</v>
      </c>
      <c r="L2530" s="124"/>
    </row>
    <row r="2531">
      <c r="A2531" s="33" t="s">
        <v>11711</v>
      </c>
      <c r="B2531" s="122">
        <v>46035.0</v>
      </c>
      <c r="C2531" s="240">
        <v>8.07000034568E11</v>
      </c>
      <c r="D2531" s="240" t="s">
        <v>11712</v>
      </c>
      <c r="E2531" s="240" t="s">
        <v>11713</v>
      </c>
      <c r="F2531" s="242" t="s">
        <v>11714</v>
      </c>
      <c r="G2531" s="242" t="s">
        <v>127</v>
      </c>
      <c r="H2531" s="242">
        <v>4400.0</v>
      </c>
      <c r="I2531" s="224" t="s">
        <v>233</v>
      </c>
      <c r="J2531" s="240" t="s">
        <v>3459</v>
      </c>
      <c r="K2531" s="242">
        <v>2.0</v>
      </c>
      <c r="L2531" s="124"/>
    </row>
    <row r="2532">
      <c r="A2532" s="33" t="s">
        <v>11715</v>
      </c>
      <c r="B2532" s="122">
        <v>46036.0</v>
      </c>
      <c r="C2532" s="240">
        <v>8.07000034581E11</v>
      </c>
      <c r="D2532" s="240" t="s">
        <v>9331</v>
      </c>
      <c r="E2532" s="240" t="s">
        <v>9332</v>
      </c>
      <c r="F2532" s="242" t="s">
        <v>11716</v>
      </c>
      <c r="G2532" s="242" t="s">
        <v>20</v>
      </c>
      <c r="H2532" s="242">
        <v>4400.0</v>
      </c>
      <c r="I2532" s="224">
        <v>125817.0</v>
      </c>
      <c r="J2532" s="240" t="s">
        <v>10650</v>
      </c>
      <c r="K2532" s="242">
        <v>2.0</v>
      </c>
      <c r="L2532" s="124">
        <v>3.874036114E9</v>
      </c>
    </row>
    <row r="2533">
      <c r="A2533" s="33" t="s">
        <v>11715</v>
      </c>
      <c r="B2533" s="122">
        <v>46036.0</v>
      </c>
      <c r="C2533" s="103">
        <v>8.07000034582E11</v>
      </c>
      <c r="D2533" s="103" t="s">
        <v>9331</v>
      </c>
      <c r="E2533" s="103" t="s">
        <v>9332</v>
      </c>
      <c r="F2533" s="241" t="s">
        <v>11716</v>
      </c>
      <c r="G2533" s="241" t="s">
        <v>20</v>
      </c>
      <c r="H2533" s="241">
        <v>4400.0</v>
      </c>
      <c r="I2533" s="211" t="s">
        <v>1379</v>
      </c>
      <c r="J2533" s="103" t="s">
        <v>7653</v>
      </c>
      <c r="K2533" s="241">
        <v>1.0</v>
      </c>
      <c r="L2533" s="124">
        <v>3.874036114E9</v>
      </c>
    </row>
    <row r="2534">
      <c r="A2534" s="33" t="s">
        <v>11717</v>
      </c>
      <c r="B2534" s="122">
        <v>46037.0</v>
      </c>
      <c r="C2534" s="240">
        <v>8.05011567006E11</v>
      </c>
      <c r="D2534" s="240" t="s">
        <v>11718</v>
      </c>
      <c r="E2534" s="240" t="s">
        <v>11719</v>
      </c>
      <c r="F2534" s="242" t="s">
        <v>11720</v>
      </c>
      <c r="G2534" s="242" t="s">
        <v>20</v>
      </c>
      <c r="H2534" s="242">
        <v>4400.0</v>
      </c>
      <c r="I2534" s="224" t="s">
        <v>289</v>
      </c>
      <c r="J2534" s="240" t="s">
        <v>290</v>
      </c>
      <c r="K2534" s="242">
        <v>2.0</v>
      </c>
      <c r="L2534" s="124">
        <v>3.873458711E9</v>
      </c>
      <c r="M2534" s="282" t="s">
        <v>11721</v>
      </c>
    </row>
    <row r="2535">
      <c r="A2535" s="33" t="s">
        <v>11717</v>
      </c>
      <c r="B2535" s="122">
        <v>46037.0</v>
      </c>
      <c r="C2535" s="103">
        <v>8.05011567006E11</v>
      </c>
      <c r="D2535" s="103" t="s">
        <v>11718</v>
      </c>
      <c r="E2535" s="103" t="s">
        <v>11719</v>
      </c>
      <c r="F2535" s="241" t="s">
        <v>11720</v>
      </c>
      <c r="G2535" s="241" t="s">
        <v>20</v>
      </c>
      <c r="H2535" s="241">
        <v>4400.0</v>
      </c>
      <c r="I2535" s="211" t="s">
        <v>512</v>
      </c>
      <c r="J2535" s="103" t="s">
        <v>513</v>
      </c>
      <c r="K2535" s="241">
        <v>12.0</v>
      </c>
      <c r="L2535" s="124">
        <v>3.873458711E9</v>
      </c>
      <c r="M2535" s="282" t="s">
        <v>11721</v>
      </c>
    </row>
    <row r="2536">
      <c r="A2536" s="33" t="s">
        <v>11717</v>
      </c>
      <c r="B2536" s="122">
        <v>46037.0</v>
      </c>
      <c r="C2536" s="240">
        <v>8.05011567006E11</v>
      </c>
      <c r="D2536" s="240" t="s">
        <v>11718</v>
      </c>
      <c r="E2536" s="240" t="s">
        <v>11719</v>
      </c>
      <c r="F2536" s="242" t="s">
        <v>11720</v>
      </c>
      <c r="G2536" s="242" t="s">
        <v>20</v>
      </c>
      <c r="H2536" s="242">
        <v>4400.0</v>
      </c>
      <c r="I2536" s="224" t="s">
        <v>273</v>
      </c>
      <c r="J2536" s="240" t="s">
        <v>3594</v>
      </c>
      <c r="K2536" s="242">
        <v>2.0</v>
      </c>
      <c r="L2536" s="124">
        <v>3.873458711E9</v>
      </c>
      <c r="M2536" s="283" t="s">
        <v>11721</v>
      </c>
    </row>
    <row r="2537">
      <c r="A2537" s="33" t="s">
        <v>11722</v>
      </c>
      <c r="B2537" s="122">
        <v>46037.0</v>
      </c>
      <c r="C2537" s="103">
        <v>8.05011567308E11</v>
      </c>
      <c r="D2537" s="103" t="s">
        <v>11723</v>
      </c>
      <c r="E2537" s="103" t="s">
        <v>11724</v>
      </c>
      <c r="F2537" s="241" t="s">
        <v>11725</v>
      </c>
      <c r="G2537" s="241" t="s">
        <v>20</v>
      </c>
      <c r="H2537" s="241">
        <v>4400.0</v>
      </c>
      <c r="I2537" s="211" t="s">
        <v>32</v>
      </c>
      <c r="J2537" s="103" t="s">
        <v>3225</v>
      </c>
      <c r="K2537" s="241">
        <v>1.0</v>
      </c>
      <c r="L2537" s="124">
        <v>3.875918805E9</v>
      </c>
      <c r="M2537" s="160"/>
    </row>
    <row r="2538">
      <c r="A2538" s="33" t="s">
        <v>11722</v>
      </c>
      <c r="B2538" s="122">
        <v>46037.0</v>
      </c>
      <c r="C2538" s="240">
        <v>8.0501156731E11</v>
      </c>
      <c r="D2538" s="240" t="s">
        <v>11723</v>
      </c>
      <c r="E2538" s="240" t="s">
        <v>11724</v>
      </c>
      <c r="F2538" s="242" t="s">
        <v>11725</v>
      </c>
      <c r="G2538" s="242" t="s">
        <v>20</v>
      </c>
      <c r="H2538" s="242">
        <v>4400.0</v>
      </c>
      <c r="I2538" s="224" t="s">
        <v>512</v>
      </c>
      <c r="J2538" s="240" t="s">
        <v>513</v>
      </c>
      <c r="K2538" s="242">
        <v>6.0</v>
      </c>
      <c r="L2538" s="124">
        <v>3.875918805E9</v>
      </c>
      <c r="M2538" s="160"/>
    </row>
    <row r="2539">
      <c r="A2539" s="33" t="s">
        <v>11722</v>
      </c>
      <c r="B2539" s="122">
        <v>46037.0</v>
      </c>
      <c r="C2539" s="103">
        <v>8.0501156731E11</v>
      </c>
      <c r="D2539" s="103" t="s">
        <v>11723</v>
      </c>
      <c r="E2539" s="103" t="s">
        <v>11724</v>
      </c>
      <c r="F2539" s="241" t="s">
        <v>11725</v>
      </c>
      <c r="G2539" s="241" t="s">
        <v>20</v>
      </c>
      <c r="H2539" s="241">
        <v>4400.0</v>
      </c>
      <c r="I2539" s="211" t="s">
        <v>670</v>
      </c>
      <c r="J2539" s="103" t="s">
        <v>3410</v>
      </c>
      <c r="K2539" s="241">
        <v>1.0</v>
      </c>
      <c r="L2539" s="124">
        <v>3.875918805E9</v>
      </c>
    </row>
    <row r="2540">
      <c r="A2540" s="33" t="s">
        <v>11726</v>
      </c>
      <c r="B2540" s="122">
        <v>46037.0</v>
      </c>
      <c r="C2540" s="103">
        <v>8.0700003456E11</v>
      </c>
      <c r="D2540" s="103" t="s">
        <v>11727</v>
      </c>
      <c r="E2540" s="103" t="s">
        <v>11728</v>
      </c>
      <c r="F2540" s="241" t="s">
        <v>11729</v>
      </c>
      <c r="G2540" s="241" t="s">
        <v>127</v>
      </c>
      <c r="H2540" s="241">
        <v>4400.0</v>
      </c>
      <c r="I2540" s="211">
        <v>208501.0</v>
      </c>
      <c r="J2540" s="103" t="s">
        <v>481</v>
      </c>
      <c r="K2540" s="241">
        <v>2.0</v>
      </c>
      <c r="L2540" s="124">
        <v>3.875114451E9</v>
      </c>
    </row>
    <row r="2541">
      <c r="A2541" s="33" t="s">
        <v>11726</v>
      </c>
      <c r="B2541" s="122">
        <v>46037.0</v>
      </c>
      <c r="C2541" s="240">
        <v>8.07000034561E11</v>
      </c>
      <c r="D2541" s="240" t="s">
        <v>11727</v>
      </c>
      <c r="E2541" s="240" t="s">
        <v>11728</v>
      </c>
      <c r="F2541" s="242" t="s">
        <v>11729</v>
      </c>
      <c r="G2541" s="242" t="s">
        <v>127</v>
      </c>
      <c r="H2541" s="242">
        <v>4400.0</v>
      </c>
      <c r="I2541" s="224" t="s">
        <v>8295</v>
      </c>
      <c r="J2541" s="240" t="s">
        <v>8296</v>
      </c>
      <c r="K2541" s="242">
        <v>1.0</v>
      </c>
      <c r="L2541" s="124">
        <v>3.875114451E9</v>
      </c>
    </row>
    <row r="2542">
      <c r="A2542" s="33" t="s">
        <v>11726</v>
      </c>
      <c r="B2542" s="122">
        <v>46037.0</v>
      </c>
      <c r="C2542" s="103">
        <v>8.07000034561E11</v>
      </c>
      <c r="D2542" s="103" t="s">
        <v>11727</v>
      </c>
      <c r="E2542" s="103" t="s">
        <v>11728</v>
      </c>
      <c r="F2542" s="241" t="s">
        <v>11729</v>
      </c>
      <c r="G2542" s="241" t="s">
        <v>127</v>
      </c>
      <c r="H2542" s="241">
        <v>4400.0</v>
      </c>
      <c r="I2542" s="211" t="s">
        <v>3131</v>
      </c>
      <c r="J2542" s="103" t="s">
        <v>3416</v>
      </c>
      <c r="K2542" s="241">
        <v>1.0</v>
      </c>
      <c r="L2542" s="124">
        <v>3.875114451E9</v>
      </c>
    </row>
    <row r="2543">
      <c r="A2543" s="33" t="s">
        <v>11730</v>
      </c>
      <c r="B2543" s="122">
        <v>46037.0</v>
      </c>
      <c r="C2543" s="103">
        <v>8.07000034564E11</v>
      </c>
      <c r="D2543" s="103" t="s">
        <v>5641</v>
      </c>
      <c r="E2543" s="103" t="s">
        <v>5642</v>
      </c>
      <c r="F2543" s="241" t="s">
        <v>11731</v>
      </c>
      <c r="G2543" s="241" t="s">
        <v>127</v>
      </c>
      <c r="H2543" s="241">
        <v>4400.0</v>
      </c>
      <c r="I2543" s="211" t="s">
        <v>3451</v>
      </c>
      <c r="J2543" s="103" t="s">
        <v>3452</v>
      </c>
      <c r="K2543" s="241">
        <v>1.0</v>
      </c>
      <c r="L2543" s="124">
        <v>3.874127745E9</v>
      </c>
    </row>
    <row r="2544">
      <c r="A2544" s="33" t="s">
        <v>11732</v>
      </c>
      <c r="B2544" s="122">
        <v>46037.0</v>
      </c>
      <c r="C2544" s="240">
        <v>8.07000034566E11</v>
      </c>
      <c r="D2544" s="240" t="s">
        <v>5641</v>
      </c>
      <c r="E2544" s="240" t="s">
        <v>5642</v>
      </c>
      <c r="F2544" s="242" t="s">
        <v>11731</v>
      </c>
      <c r="G2544" s="242" t="s">
        <v>127</v>
      </c>
      <c r="H2544" s="242">
        <v>4400.0</v>
      </c>
      <c r="I2544" s="224">
        <v>125810.0</v>
      </c>
      <c r="J2544" s="240" t="s">
        <v>4672</v>
      </c>
      <c r="K2544" s="242">
        <v>2.0</v>
      </c>
      <c r="L2544" s="124">
        <v>3.874127745E9</v>
      </c>
    </row>
    <row r="2545">
      <c r="A2545" s="33" t="s">
        <v>11733</v>
      </c>
      <c r="B2545" s="122">
        <v>46038.0</v>
      </c>
      <c r="C2545" s="240">
        <v>8.07000034615E11</v>
      </c>
      <c r="D2545" s="240" t="s">
        <v>11128</v>
      </c>
      <c r="E2545" s="240" t="s">
        <v>11129</v>
      </c>
      <c r="F2545" s="123" t="s">
        <v>11734</v>
      </c>
      <c r="G2545" s="123" t="s">
        <v>127</v>
      </c>
      <c r="H2545" s="123">
        <v>4400.0</v>
      </c>
      <c r="I2545" s="224" t="s">
        <v>22</v>
      </c>
      <c r="J2545" s="240" t="s">
        <v>4013</v>
      </c>
      <c r="K2545" s="242">
        <v>1.0</v>
      </c>
      <c r="L2545" s="124" t="s">
        <v>11735</v>
      </c>
      <c r="M2545" s="54" t="s">
        <v>11736</v>
      </c>
    </row>
    <row r="2546">
      <c r="A2546" s="33" t="s">
        <v>11737</v>
      </c>
      <c r="B2546" s="122">
        <v>46038.0</v>
      </c>
      <c r="C2546" s="103">
        <v>8.07000034613E11</v>
      </c>
      <c r="D2546" s="103" t="s">
        <v>11738</v>
      </c>
      <c r="E2546" s="103" t="s">
        <v>11739</v>
      </c>
      <c r="F2546" s="123" t="s">
        <v>11740</v>
      </c>
      <c r="G2546" s="123" t="s">
        <v>127</v>
      </c>
      <c r="H2546" s="123">
        <v>4400.0</v>
      </c>
      <c r="I2546" s="211" t="s">
        <v>3451</v>
      </c>
      <c r="J2546" s="103" t="s">
        <v>3452</v>
      </c>
      <c r="K2546" s="241">
        <v>1.0</v>
      </c>
      <c r="L2546" s="124">
        <v>3.875907793E9</v>
      </c>
    </row>
    <row r="2547">
      <c r="A2547" s="33" t="s">
        <v>11737</v>
      </c>
      <c r="B2547" s="122">
        <v>46038.0</v>
      </c>
      <c r="C2547" s="240">
        <v>8.07000034613E11</v>
      </c>
      <c r="D2547" s="240" t="s">
        <v>11738</v>
      </c>
      <c r="E2547" s="240" t="s">
        <v>11739</v>
      </c>
      <c r="F2547" s="123" t="s">
        <v>11740</v>
      </c>
      <c r="G2547" s="123" t="s">
        <v>127</v>
      </c>
      <c r="H2547" s="123">
        <v>4400.0</v>
      </c>
      <c r="I2547" s="224" t="s">
        <v>512</v>
      </c>
      <c r="J2547" s="240" t="s">
        <v>513</v>
      </c>
      <c r="K2547" s="242">
        <v>6.0</v>
      </c>
      <c r="L2547" s="124">
        <v>3.875907793E9</v>
      </c>
    </row>
    <row r="2548">
      <c r="A2548" s="33" t="s">
        <v>11737</v>
      </c>
      <c r="B2548" s="122">
        <v>46038.0</v>
      </c>
      <c r="C2548" s="103">
        <v>8.07000034613E11</v>
      </c>
      <c r="D2548" s="103" t="s">
        <v>11738</v>
      </c>
      <c r="E2548" s="103" t="s">
        <v>11739</v>
      </c>
      <c r="F2548" s="123" t="s">
        <v>11740</v>
      </c>
      <c r="G2548" s="123" t="s">
        <v>127</v>
      </c>
      <c r="H2548" s="123">
        <v>4400.0</v>
      </c>
      <c r="I2548" s="211" t="s">
        <v>670</v>
      </c>
      <c r="J2548" s="103" t="s">
        <v>3410</v>
      </c>
      <c r="K2548" s="241">
        <v>1.0</v>
      </c>
      <c r="L2548" s="124">
        <v>3.875907793E9</v>
      </c>
    </row>
    <row r="2549" ht="6.0" customHeight="1">
      <c r="A2549" s="244"/>
      <c r="B2549" s="245"/>
      <c r="C2549" s="271"/>
      <c r="D2549" s="271"/>
      <c r="E2549" s="271"/>
      <c r="F2549" s="246"/>
      <c r="G2549" s="246"/>
      <c r="H2549" s="246"/>
      <c r="I2549" s="272"/>
      <c r="J2549" s="272"/>
      <c r="K2549" s="273"/>
      <c r="L2549" s="247"/>
      <c r="M2549" s="233"/>
      <c r="N2549" s="233"/>
      <c r="O2549" s="233"/>
      <c r="P2549" s="233"/>
      <c r="Q2549" s="233"/>
      <c r="R2549" s="233"/>
      <c r="S2549" s="233"/>
      <c r="T2549" s="233"/>
      <c r="U2549" s="233"/>
      <c r="V2549" s="233"/>
      <c r="W2549" s="233"/>
      <c r="X2549" s="233"/>
      <c r="Y2549" s="233"/>
      <c r="Z2549" s="233"/>
      <c r="AA2549" s="233"/>
      <c r="AB2549" s="233"/>
      <c r="AC2549" s="233"/>
    </row>
    <row r="2550">
      <c r="A2550" s="33" t="s">
        <v>11741</v>
      </c>
      <c r="B2550" s="122">
        <v>46041.0</v>
      </c>
      <c r="C2550" s="103">
        <v>8.07000034627E11</v>
      </c>
      <c r="D2550" s="103" t="s">
        <v>11742</v>
      </c>
      <c r="E2550" s="103" t="s">
        <v>11743</v>
      </c>
      <c r="F2550" s="241" t="s">
        <v>11744</v>
      </c>
      <c r="G2550" s="241" t="s">
        <v>127</v>
      </c>
      <c r="H2550" s="241">
        <v>4400.0</v>
      </c>
      <c r="I2550" s="211">
        <v>125815.0</v>
      </c>
      <c r="J2550" s="103" t="s">
        <v>569</v>
      </c>
      <c r="K2550" s="241">
        <v>2.0</v>
      </c>
      <c r="L2550" s="124">
        <v>3.874528473E9</v>
      </c>
    </row>
    <row r="2551">
      <c r="A2551" s="33" t="s">
        <v>11741</v>
      </c>
      <c r="B2551" s="122">
        <v>46041.0</v>
      </c>
      <c r="C2551" s="240">
        <v>8.07000034627E11</v>
      </c>
      <c r="D2551" s="240" t="s">
        <v>11742</v>
      </c>
      <c r="E2551" s="240" t="s">
        <v>11743</v>
      </c>
      <c r="F2551" s="242" t="s">
        <v>11744</v>
      </c>
      <c r="G2551" s="242" t="s">
        <v>127</v>
      </c>
      <c r="H2551" s="242">
        <v>4400.0</v>
      </c>
      <c r="I2551" s="224" t="s">
        <v>1379</v>
      </c>
      <c r="J2551" s="240" t="s">
        <v>7653</v>
      </c>
      <c r="K2551" s="242">
        <v>1.0</v>
      </c>
      <c r="L2551" s="124">
        <v>3.874528473E9</v>
      </c>
    </row>
    <row r="2552">
      <c r="A2552" s="33" t="s">
        <v>11745</v>
      </c>
      <c r="B2552" s="122">
        <v>46041.0</v>
      </c>
      <c r="C2552" s="103">
        <v>8.07000034597E11</v>
      </c>
      <c r="D2552" s="103" t="s">
        <v>11746</v>
      </c>
      <c r="E2552" s="103" t="s">
        <v>11747</v>
      </c>
      <c r="F2552" s="241" t="s">
        <v>11748</v>
      </c>
      <c r="G2552" s="241" t="s">
        <v>127</v>
      </c>
      <c r="H2552" s="241">
        <v>4400.0</v>
      </c>
      <c r="I2552" s="211" t="s">
        <v>670</v>
      </c>
      <c r="J2552" s="103" t="s">
        <v>3410</v>
      </c>
      <c r="K2552" s="241">
        <v>1.0</v>
      </c>
      <c r="L2552" s="124">
        <v>1.56056887E8</v>
      </c>
    </row>
    <row r="2553">
      <c r="A2553" s="33" t="s">
        <v>11749</v>
      </c>
      <c r="B2553" s="122">
        <v>46041.0</v>
      </c>
      <c r="C2553" s="240">
        <v>8.07000034598E11</v>
      </c>
      <c r="D2553" s="240" t="s">
        <v>11746</v>
      </c>
      <c r="E2553" s="240" t="s">
        <v>11747</v>
      </c>
      <c r="F2553" s="242" t="s">
        <v>11748</v>
      </c>
      <c r="G2553" s="242" t="s">
        <v>127</v>
      </c>
      <c r="H2553" s="242">
        <v>4400.0</v>
      </c>
      <c r="I2553" s="224" t="s">
        <v>2956</v>
      </c>
      <c r="J2553" s="240" t="s">
        <v>3327</v>
      </c>
      <c r="K2553" s="242">
        <v>1.0</v>
      </c>
      <c r="L2553" s="124">
        <v>1.56056887E8</v>
      </c>
    </row>
    <row r="2554">
      <c r="A2554" s="33" t="s">
        <v>11749</v>
      </c>
      <c r="B2554" s="122">
        <v>46041.0</v>
      </c>
      <c r="C2554" s="103">
        <v>8.07000034598E11</v>
      </c>
      <c r="D2554" s="103" t="s">
        <v>11746</v>
      </c>
      <c r="E2554" s="103" t="s">
        <v>11747</v>
      </c>
      <c r="F2554" s="241" t="s">
        <v>11748</v>
      </c>
      <c r="G2554" s="241" t="s">
        <v>127</v>
      </c>
      <c r="H2554" s="241">
        <v>4400.0</v>
      </c>
      <c r="I2554" s="211" t="s">
        <v>512</v>
      </c>
      <c r="J2554" s="103" t="s">
        <v>513</v>
      </c>
      <c r="K2554" s="241">
        <v>6.0</v>
      </c>
      <c r="L2554" s="124">
        <v>1.56056887E8</v>
      </c>
    </row>
    <row r="2555">
      <c r="A2555" s="33" t="s">
        <v>11749</v>
      </c>
      <c r="B2555" s="122">
        <v>46041.0</v>
      </c>
      <c r="C2555" s="240">
        <v>8.07000034599E11</v>
      </c>
      <c r="D2555" s="240" t="s">
        <v>11746</v>
      </c>
      <c r="E2555" s="240" t="s">
        <v>11747</v>
      </c>
      <c r="F2555" s="242" t="s">
        <v>11748</v>
      </c>
      <c r="G2555" s="242" t="s">
        <v>127</v>
      </c>
      <c r="H2555" s="242">
        <v>4400.0</v>
      </c>
      <c r="I2555" s="224">
        <v>125813.0</v>
      </c>
      <c r="J2555" s="240" t="s">
        <v>5703</v>
      </c>
      <c r="K2555" s="242">
        <v>2.0</v>
      </c>
      <c r="L2555" s="124">
        <v>1.56056887E8</v>
      </c>
    </row>
    <row r="2556">
      <c r="A2556" s="33" t="s">
        <v>11750</v>
      </c>
      <c r="B2556" s="122">
        <v>46041.0</v>
      </c>
      <c r="C2556" s="103">
        <v>8.07000034648E11</v>
      </c>
      <c r="D2556" s="103" t="s">
        <v>5661</v>
      </c>
      <c r="E2556" s="103" t="s">
        <v>5662</v>
      </c>
      <c r="F2556" s="241" t="s">
        <v>11751</v>
      </c>
      <c r="G2556" s="241" t="s">
        <v>127</v>
      </c>
      <c r="H2556" s="241">
        <v>4400.0</v>
      </c>
      <c r="I2556" s="211" t="s">
        <v>9359</v>
      </c>
      <c r="J2556" s="103" t="s">
        <v>9360</v>
      </c>
      <c r="K2556" s="241">
        <v>1.0</v>
      </c>
      <c r="L2556" s="124">
        <v>3.875733888E9</v>
      </c>
    </row>
    <row r="2557">
      <c r="A2557" s="33" t="s">
        <v>11750</v>
      </c>
      <c r="B2557" s="122">
        <v>46041.0</v>
      </c>
      <c r="C2557" s="240">
        <v>8.07000034649E11</v>
      </c>
      <c r="D2557" s="240" t="s">
        <v>5661</v>
      </c>
      <c r="E2557" s="240" t="s">
        <v>5662</v>
      </c>
      <c r="F2557" s="242" t="s">
        <v>11751</v>
      </c>
      <c r="G2557" s="242" t="s">
        <v>127</v>
      </c>
      <c r="H2557" s="242">
        <v>4400.0</v>
      </c>
      <c r="I2557" s="224" t="s">
        <v>3376</v>
      </c>
      <c r="J2557" s="240" t="s">
        <v>3377</v>
      </c>
      <c r="K2557" s="242">
        <v>2.0</v>
      </c>
      <c r="L2557" s="124">
        <v>3.875733888E9</v>
      </c>
    </row>
    <row r="2558">
      <c r="A2558" s="33" t="s">
        <v>11752</v>
      </c>
      <c r="B2558" s="122">
        <v>46041.0</v>
      </c>
      <c r="C2558" s="103">
        <v>8.07000034658E11</v>
      </c>
      <c r="D2558" s="103" t="s">
        <v>11753</v>
      </c>
      <c r="E2558" s="103" t="s">
        <v>11754</v>
      </c>
      <c r="F2558" s="241" t="s">
        <v>1877</v>
      </c>
      <c r="G2558" s="241" t="s">
        <v>20</v>
      </c>
      <c r="H2558" s="241" t="s">
        <v>1878</v>
      </c>
      <c r="I2558" s="211">
        <v>125808.0</v>
      </c>
      <c r="J2558" s="103" t="s">
        <v>7199</v>
      </c>
      <c r="K2558" s="241">
        <v>4.0</v>
      </c>
      <c r="L2558" s="124">
        <v>3.886363782E9</v>
      </c>
    </row>
    <row r="2559">
      <c r="A2559" s="33" t="s">
        <v>11752</v>
      </c>
      <c r="B2559" s="122">
        <v>46041.0</v>
      </c>
      <c r="C2559" s="240">
        <v>8.07000034658E11</v>
      </c>
      <c r="D2559" s="240" t="s">
        <v>11753</v>
      </c>
      <c r="E2559" s="240" t="s">
        <v>11754</v>
      </c>
      <c r="F2559" s="242" t="s">
        <v>1877</v>
      </c>
      <c r="G2559" s="242" t="s">
        <v>20</v>
      </c>
      <c r="H2559" s="242" t="s">
        <v>1878</v>
      </c>
      <c r="I2559" s="224" t="s">
        <v>512</v>
      </c>
      <c r="J2559" s="240" t="s">
        <v>513</v>
      </c>
      <c r="K2559" s="242">
        <v>6.0</v>
      </c>
      <c r="L2559" s="124">
        <v>3.886363782E9</v>
      </c>
    </row>
    <row r="2560">
      <c r="A2560" s="33" t="s">
        <v>11752</v>
      </c>
      <c r="B2560" s="122">
        <v>46041.0</v>
      </c>
      <c r="C2560" s="103">
        <v>8.07000034659E11</v>
      </c>
      <c r="D2560" s="103" t="s">
        <v>11753</v>
      </c>
      <c r="E2560" s="103" t="s">
        <v>11754</v>
      </c>
      <c r="F2560" s="241" t="s">
        <v>1877</v>
      </c>
      <c r="G2560" s="241" t="s">
        <v>20</v>
      </c>
      <c r="H2560" s="241" t="s">
        <v>1878</v>
      </c>
      <c r="I2560" s="211" t="s">
        <v>289</v>
      </c>
      <c r="J2560" s="103" t="s">
        <v>290</v>
      </c>
      <c r="K2560" s="241">
        <v>1.0</v>
      </c>
      <c r="L2560" s="124">
        <v>3.886363782E9</v>
      </c>
    </row>
    <row r="2561">
      <c r="A2561" s="33" t="s">
        <v>11755</v>
      </c>
      <c r="B2561" s="122">
        <v>46041.0</v>
      </c>
      <c r="C2561" s="240">
        <v>8.07000034659E11</v>
      </c>
      <c r="D2561" s="240" t="s">
        <v>11753</v>
      </c>
      <c r="E2561" s="240" t="s">
        <v>11754</v>
      </c>
      <c r="F2561" s="242" t="s">
        <v>1877</v>
      </c>
      <c r="G2561" s="242" t="s">
        <v>20</v>
      </c>
      <c r="H2561" s="242" t="s">
        <v>1878</v>
      </c>
      <c r="I2561" s="224" t="s">
        <v>273</v>
      </c>
      <c r="J2561" s="240" t="s">
        <v>3594</v>
      </c>
      <c r="K2561" s="242">
        <v>1.0</v>
      </c>
      <c r="L2561" s="124">
        <v>3.886363782E9</v>
      </c>
    </row>
    <row r="2562">
      <c r="A2562" s="33" t="s">
        <v>11755</v>
      </c>
      <c r="B2562" s="122">
        <v>46041.0</v>
      </c>
      <c r="C2562" s="103">
        <v>8.0700003466E11</v>
      </c>
      <c r="D2562" s="103" t="s">
        <v>11753</v>
      </c>
      <c r="E2562" s="103" t="s">
        <v>11754</v>
      </c>
      <c r="F2562" s="241" t="s">
        <v>1877</v>
      </c>
      <c r="G2562" s="241" t="s">
        <v>20</v>
      </c>
      <c r="H2562" s="241" t="s">
        <v>1878</v>
      </c>
      <c r="I2562" s="211" t="s">
        <v>512</v>
      </c>
      <c r="J2562" s="103" t="s">
        <v>513</v>
      </c>
      <c r="K2562" s="241">
        <v>6.0</v>
      </c>
      <c r="L2562" s="124">
        <v>3.886363782E9</v>
      </c>
    </row>
    <row r="2563">
      <c r="A2563" s="33" t="s">
        <v>11755</v>
      </c>
      <c r="B2563" s="122">
        <v>46041.0</v>
      </c>
      <c r="C2563" s="240">
        <v>8.07000034661E11</v>
      </c>
      <c r="D2563" s="240" t="s">
        <v>11753</v>
      </c>
      <c r="E2563" s="240" t="s">
        <v>11754</v>
      </c>
      <c r="F2563" s="242" t="s">
        <v>1877</v>
      </c>
      <c r="G2563" s="242" t="s">
        <v>20</v>
      </c>
      <c r="H2563" s="242" t="s">
        <v>1878</v>
      </c>
      <c r="I2563" s="224" t="s">
        <v>50</v>
      </c>
      <c r="J2563" s="240" t="s">
        <v>51</v>
      </c>
      <c r="K2563" s="242">
        <v>1.0</v>
      </c>
      <c r="L2563" s="124">
        <v>3.886363782E9</v>
      </c>
    </row>
    <row r="2564">
      <c r="A2564" s="33" t="s">
        <v>11755</v>
      </c>
      <c r="B2564" s="122">
        <v>46041.0</v>
      </c>
      <c r="C2564" s="103">
        <v>8.07000034661E11</v>
      </c>
      <c r="D2564" s="103" t="s">
        <v>11753</v>
      </c>
      <c r="E2564" s="103" t="s">
        <v>11754</v>
      </c>
      <c r="F2564" s="241" t="s">
        <v>1877</v>
      </c>
      <c r="G2564" s="241" t="s">
        <v>20</v>
      </c>
      <c r="H2564" s="241" t="s">
        <v>1878</v>
      </c>
      <c r="I2564" s="211" t="s">
        <v>25</v>
      </c>
      <c r="J2564" s="103" t="s">
        <v>3401</v>
      </c>
      <c r="K2564" s="241">
        <v>1.0</v>
      </c>
      <c r="L2564" s="124">
        <v>3.886363782E9</v>
      </c>
    </row>
    <row r="2565">
      <c r="A2565" s="33" t="s">
        <v>11756</v>
      </c>
      <c r="B2565" s="122">
        <v>46041.0</v>
      </c>
      <c r="C2565" s="240">
        <v>8.07000034675E11</v>
      </c>
      <c r="D2565" s="240" t="s">
        <v>11757</v>
      </c>
      <c r="E2565" s="240" t="s">
        <v>11758</v>
      </c>
      <c r="F2565" s="242" t="s">
        <v>11759</v>
      </c>
      <c r="G2565" s="242" t="s">
        <v>127</v>
      </c>
      <c r="H2565" s="242">
        <v>4400.0</v>
      </c>
      <c r="I2565" s="224" t="s">
        <v>3285</v>
      </c>
      <c r="J2565" s="240" t="s">
        <v>3286</v>
      </c>
      <c r="K2565" s="242">
        <v>1.0</v>
      </c>
      <c r="L2565" s="124">
        <v>3.875709329E9</v>
      </c>
    </row>
    <row r="2566">
      <c r="A2566" s="33" t="s">
        <v>11760</v>
      </c>
      <c r="B2566" s="122">
        <v>46041.0</v>
      </c>
      <c r="C2566" s="240">
        <v>8.0700003468E11</v>
      </c>
      <c r="D2566" s="240" t="s">
        <v>11761</v>
      </c>
      <c r="E2566" s="240" t="s">
        <v>11762</v>
      </c>
      <c r="F2566" s="242" t="s">
        <v>11763</v>
      </c>
      <c r="G2566" s="242" t="s">
        <v>4496</v>
      </c>
      <c r="H2566" s="242">
        <v>4400.0</v>
      </c>
      <c r="I2566" s="224" t="s">
        <v>1766</v>
      </c>
      <c r="J2566" s="240" t="s">
        <v>8008</v>
      </c>
      <c r="K2566" s="242">
        <v>1.0</v>
      </c>
      <c r="L2566" s="124">
        <v>3.875621389E9</v>
      </c>
    </row>
    <row r="2567">
      <c r="A2567" s="33" t="s">
        <v>11760</v>
      </c>
      <c r="B2567" s="122">
        <v>46041.0</v>
      </c>
      <c r="C2567" s="103">
        <v>8.0700003468E11</v>
      </c>
      <c r="D2567" s="103" t="s">
        <v>11761</v>
      </c>
      <c r="E2567" s="103" t="s">
        <v>11762</v>
      </c>
      <c r="F2567" s="241" t="s">
        <v>11763</v>
      </c>
      <c r="G2567" s="241" t="s">
        <v>4496</v>
      </c>
      <c r="H2567" s="241">
        <v>4400.0</v>
      </c>
      <c r="I2567" s="211" t="s">
        <v>512</v>
      </c>
      <c r="J2567" s="103" t="s">
        <v>513</v>
      </c>
      <c r="K2567" s="241">
        <v>12.0</v>
      </c>
      <c r="L2567" s="124">
        <v>3.875621389E9</v>
      </c>
    </row>
    <row r="2568">
      <c r="A2568" s="33" t="s">
        <v>11760</v>
      </c>
      <c r="B2568" s="122">
        <v>46041.0</v>
      </c>
      <c r="C2568" s="240">
        <v>8.0700003468E11</v>
      </c>
      <c r="D2568" s="240" t="s">
        <v>11761</v>
      </c>
      <c r="E2568" s="240" t="s">
        <v>11762</v>
      </c>
      <c r="F2568" s="242" t="s">
        <v>11763</v>
      </c>
      <c r="G2568" s="242" t="s">
        <v>4496</v>
      </c>
      <c r="H2568" s="242">
        <v>4400.0</v>
      </c>
      <c r="I2568" s="224" t="s">
        <v>233</v>
      </c>
      <c r="J2568" s="240" t="s">
        <v>3459</v>
      </c>
      <c r="K2568" s="242">
        <v>2.0</v>
      </c>
      <c r="L2568" s="124">
        <v>3.875621389E9</v>
      </c>
    </row>
    <row r="2569">
      <c r="A2569" s="33" t="s">
        <v>11764</v>
      </c>
      <c r="B2569" s="122">
        <v>46042.0</v>
      </c>
      <c r="C2569" s="103">
        <v>8.0700003467E11</v>
      </c>
      <c r="D2569" s="103" t="s">
        <v>11765</v>
      </c>
      <c r="E2569" s="103" t="s">
        <v>11766</v>
      </c>
      <c r="F2569" s="241" t="s">
        <v>11767</v>
      </c>
      <c r="G2569" s="241" t="s">
        <v>127</v>
      </c>
      <c r="H2569" s="241">
        <v>4400.0</v>
      </c>
      <c r="I2569" s="211" t="s">
        <v>3131</v>
      </c>
      <c r="J2569" s="103" t="s">
        <v>3416</v>
      </c>
      <c r="K2569" s="241">
        <v>1.0</v>
      </c>
      <c r="L2569" s="124">
        <v>3.873615367E9</v>
      </c>
    </row>
    <row r="2570">
      <c r="A2570" s="33" t="s">
        <v>11764</v>
      </c>
      <c r="B2570" s="122">
        <v>46042.0</v>
      </c>
      <c r="C2570" s="240">
        <v>8.0700003467E11</v>
      </c>
      <c r="D2570" s="240" t="s">
        <v>11765</v>
      </c>
      <c r="E2570" s="240" t="s">
        <v>11766</v>
      </c>
      <c r="F2570" s="242" t="s">
        <v>11767</v>
      </c>
      <c r="G2570" s="242" t="s">
        <v>127</v>
      </c>
      <c r="H2570" s="242">
        <v>4400.0</v>
      </c>
      <c r="I2570" s="224" t="s">
        <v>35</v>
      </c>
      <c r="J2570" s="240" t="s">
        <v>3188</v>
      </c>
      <c r="K2570" s="242">
        <v>1.0</v>
      </c>
      <c r="L2570" s="124">
        <v>3.873615367E9</v>
      </c>
    </row>
    <row r="2571">
      <c r="A2571" s="33" t="s">
        <v>11768</v>
      </c>
      <c r="B2571" s="122">
        <v>46042.0</v>
      </c>
      <c r="C2571" s="240">
        <v>8.07000034706E11</v>
      </c>
      <c r="D2571" s="240" t="s">
        <v>11769</v>
      </c>
      <c r="E2571" s="240" t="s">
        <v>11770</v>
      </c>
      <c r="F2571" s="242" t="s">
        <v>11771</v>
      </c>
      <c r="G2571" s="242" t="s">
        <v>127</v>
      </c>
      <c r="H2571" s="242">
        <v>4400.0</v>
      </c>
      <c r="I2571" s="224" t="s">
        <v>11303</v>
      </c>
      <c r="J2571" s="240" t="s">
        <v>11304</v>
      </c>
      <c r="K2571" s="242">
        <v>1.0</v>
      </c>
      <c r="L2571" s="124">
        <v>3.875479776E9</v>
      </c>
    </row>
    <row r="2572">
      <c r="A2572" s="33" t="s">
        <v>11768</v>
      </c>
      <c r="B2572" s="122">
        <v>46042.0</v>
      </c>
      <c r="C2572" s="103">
        <v>8.07000034706E11</v>
      </c>
      <c r="D2572" s="103" t="s">
        <v>11769</v>
      </c>
      <c r="E2572" s="103" t="s">
        <v>11770</v>
      </c>
      <c r="F2572" s="241" t="s">
        <v>11771</v>
      </c>
      <c r="G2572" s="241" t="s">
        <v>127</v>
      </c>
      <c r="H2572" s="241">
        <v>4400.0</v>
      </c>
      <c r="I2572" s="211" t="s">
        <v>4976</v>
      </c>
      <c r="J2572" s="103" t="s">
        <v>4977</v>
      </c>
      <c r="K2572" s="241">
        <v>1.0</v>
      </c>
      <c r="L2572" s="124">
        <v>3.875479776E9</v>
      </c>
    </row>
    <row r="2573">
      <c r="A2573" s="33" t="s">
        <v>11772</v>
      </c>
      <c r="B2573" s="122">
        <v>46042.0</v>
      </c>
      <c r="C2573" s="103">
        <v>8.07000034707E11</v>
      </c>
      <c r="D2573" s="103" t="s">
        <v>11773</v>
      </c>
      <c r="E2573" s="103" t="s">
        <v>11774</v>
      </c>
      <c r="F2573" s="241" t="s">
        <v>11775</v>
      </c>
      <c r="G2573" s="241" t="s">
        <v>127</v>
      </c>
      <c r="H2573" s="241">
        <v>4400.0</v>
      </c>
      <c r="I2573" s="211" t="s">
        <v>3451</v>
      </c>
      <c r="J2573" s="103" t="s">
        <v>3452</v>
      </c>
      <c r="K2573" s="241">
        <v>1.0</v>
      </c>
      <c r="L2573" s="124">
        <v>3.874098028E9</v>
      </c>
    </row>
    <row r="2574">
      <c r="A2574" s="33" t="s">
        <v>11776</v>
      </c>
      <c r="B2574" s="122">
        <v>46042.0</v>
      </c>
      <c r="C2574" s="240">
        <v>8.07000034709E11</v>
      </c>
      <c r="D2574" s="240" t="s">
        <v>11773</v>
      </c>
      <c r="E2574" s="240" t="s">
        <v>11774</v>
      </c>
      <c r="F2574" s="242" t="s">
        <v>11775</v>
      </c>
      <c r="G2574" s="242" t="s">
        <v>127</v>
      </c>
      <c r="H2574" s="242">
        <v>4400.0</v>
      </c>
      <c r="I2574" s="224" t="s">
        <v>670</v>
      </c>
      <c r="J2574" s="240" t="s">
        <v>3410</v>
      </c>
      <c r="K2574" s="242">
        <v>1.0</v>
      </c>
      <c r="L2574" s="124">
        <v>3.874098028E9</v>
      </c>
    </row>
    <row r="2575">
      <c r="A2575" s="33" t="s">
        <v>11777</v>
      </c>
      <c r="B2575" s="122">
        <v>46042.0</v>
      </c>
      <c r="C2575" s="240">
        <v>8.07000034721E11</v>
      </c>
      <c r="D2575" s="240" t="s">
        <v>11778</v>
      </c>
      <c r="E2575" s="240" t="s">
        <v>11779</v>
      </c>
      <c r="F2575" s="242" t="s">
        <v>11780</v>
      </c>
      <c r="G2575" s="242" t="s">
        <v>127</v>
      </c>
      <c r="H2575" s="242">
        <v>4400.0</v>
      </c>
      <c r="I2575" s="224" t="s">
        <v>3285</v>
      </c>
      <c r="J2575" s="240" t="s">
        <v>3286</v>
      </c>
      <c r="K2575" s="242">
        <v>1.0</v>
      </c>
      <c r="L2575" s="124">
        <v>1.162349036E9</v>
      </c>
    </row>
    <row r="2576">
      <c r="A2576" s="33" t="s">
        <v>11781</v>
      </c>
      <c r="B2576" s="122">
        <v>46042.0</v>
      </c>
      <c r="C2576" s="240"/>
      <c r="D2576" s="240"/>
      <c r="E2576" s="240" t="s">
        <v>11782</v>
      </c>
      <c r="F2576" s="123" t="s">
        <v>11783</v>
      </c>
      <c r="G2576" s="123" t="s">
        <v>127</v>
      </c>
      <c r="H2576" s="123">
        <v>4400.0</v>
      </c>
      <c r="I2576" s="224" t="s">
        <v>761</v>
      </c>
      <c r="J2576" s="224" t="s">
        <v>11784</v>
      </c>
      <c r="K2576" s="242">
        <v>1.0</v>
      </c>
      <c r="L2576" s="124">
        <v>3.87457802E9</v>
      </c>
      <c r="M2576" s="284" t="s">
        <v>11785</v>
      </c>
    </row>
    <row r="2577" ht="3.0" customHeight="1">
      <c r="A2577" s="285"/>
      <c r="B2577" s="286"/>
      <c r="C2577" s="287"/>
      <c r="D2577" s="287"/>
      <c r="E2577" s="287"/>
      <c r="F2577" s="288"/>
      <c r="G2577" s="288"/>
      <c r="H2577" s="288"/>
      <c r="I2577" s="289"/>
      <c r="J2577" s="289"/>
      <c r="K2577" s="290"/>
      <c r="L2577" s="291"/>
      <c r="M2577" s="292"/>
      <c r="N2577" s="292"/>
      <c r="O2577" s="292"/>
      <c r="P2577" s="292"/>
      <c r="Q2577" s="292"/>
      <c r="R2577" s="292"/>
      <c r="S2577" s="292"/>
      <c r="T2577" s="292"/>
      <c r="U2577" s="292"/>
      <c r="V2577" s="292"/>
      <c r="W2577" s="292"/>
      <c r="X2577" s="292"/>
      <c r="Y2577" s="292"/>
      <c r="Z2577" s="292"/>
      <c r="AA2577" s="292"/>
      <c r="AB2577" s="292"/>
      <c r="AC2577" s="292"/>
    </row>
    <row r="2578">
      <c r="A2578" s="33" t="s">
        <v>11786</v>
      </c>
      <c r="B2578" s="122">
        <v>46044.0</v>
      </c>
      <c r="C2578" s="240">
        <v>8.07000034742E11</v>
      </c>
      <c r="D2578" s="240" t="s">
        <v>11787</v>
      </c>
      <c r="E2578" s="240" t="s">
        <v>11788</v>
      </c>
      <c r="F2578" s="242" t="s">
        <v>11789</v>
      </c>
      <c r="G2578" s="242" t="s">
        <v>127</v>
      </c>
      <c r="H2578" s="242">
        <v>4400.0</v>
      </c>
      <c r="I2578" s="224" t="s">
        <v>512</v>
      </c>
      <c r="J2578" s="240" t="s">
        <v>513</v>
      </c>
      <c r="K2578" s="242">
        <v>6.0</v>
      </c>
      <c r="L2578" s="124">
        <v>3.872177907E9</v>
      </c>
    </row>
    <row r="2579">
      <c r="A2579" s="33" t="s">
        <v>11786</v>
      </c>
      <c r="B2579" s="122">
        <v>46044.0</v>
      </c>
      <c r="C2579" s="103">
        <v>8.07000034743E11</v>
      </c>
      <c r="D2579" s="103" t="s">
        <v>11787</v>
      </c>
      <c r="E2579" s="103" t="s">
        <v>11788</v>
      </c>
      <c r="F2579" s="241" t="s">
        <v>11789</v>
      </c>
      <c r="G2579" s="241" t="s">
        <v>127</v>
      </c>
      <c r="H2579" s="241">
        <v>4400.0</v>
      </c>
      <c r="I2579" s="211" t="s">
        <v>5034</v>
      </c>
      <c r="J2579" s="103" t="s">
        <v>5035</v>
      </c>
      <c r="K2579" s="241">
        <v>1.0</v>
      </c>
      <c r="L2579" s="124">
        <v>3.872177907E9</v>
      </c>
    </row>
    <row r="2580">
      <c r="A2580" s="33" t="s">
        <v>11786</v>
      </c>
      <c r="B2580" s="122">
        <v>46044.0</v>
      </c>
      <c r="C2580" s="240">
        <v>8.07000034743E11</v>
      </c>
      <c r="D2580" s="240" t="s">
        <v>11787</v>
      </c>
      <c r="E2580" s="240" t="s">
        <v>11788</v>
      </c>
      <c r="F2580" s="242" t="s">
        <v>11789</v>
      </c>
      <c r="G2580" s="242" t="s">
        <v>127</v>
      </c>
      <c r="H2580" s="242">
        <v>4400.0</v>
      </c>
      <c r="I2580" s="224" t="s">
        <v>512</v>
      </c>
      <c r="J2580" s="240" t="s">
        <v>513</v>
      </c>
      <c r="K2580" s="242">
        <v>6.0</v>
      </c>
      <c r="L2580" s="124">
        <v>3.872177907E9</v>
      </c>
    </row>
    <row r="2581">
      <c r="A2581" s="33" t="s">
        <v>11790</v>
      </c>
      <c r="B2581" s="122">
        <v>46044.0</v>
      </c>
      <c r="C2581" s="103">
        <v>8.07000034744E11</v>
      </c>
      <c r="D2581" s="103" t="s">
        <v>11787</v>
      </c>
      <c r="E2581" s="103" t="s">
        <v>11788</v>
      </c>
      <c r="F2581" s="241" t="s">
        <v>11789</v>
      </c>
      <c r="G2581" s="241" t="s">
        <v>127</v>
      </c>
      <c r="H2581" s="241">
        <v>4400.0</v>
      </c>
      <c r="I2581" s="211" t="s">
        <v>670</v>
      </c>
      <c r="J2581" s="103" t="s">
        <v>3410</v>
      </c>
      <c r="K2581" s="241">
        <v>1.0</v>
      </c>
      <c r="L2581" s="124">
        <v>3.872177907E9</v>
      </c>
    </row>
    <row r="2582">
      <c r="A2582" s="33" t="s">
        <v>11790</v>
      </c>
      <c r="B2582" s="122">
        <v>46044.0</v>
      </c>
      <c r="C2582" s="240">
        <v>8.07000034745E11</v>
      </c>
      <c r="D2582" s="240" t="s">
        <v>11787</v>
      </c>
      <c r="E2582" s="240" t="s">
        <v>11788</v>
      </c>
      <c r="F2582" s="242" t="s">
        <v>11789</v>
      </c>
      <c r="G2582" s="242" t="s">
        <v>127</v>
      </c>
      <c r="H2582" s="242">
        <v>4400.0</v>
      </c>
      <c r="I2582" s="224" t="s">
        <v>3074</v>
      </c>
      <c r="J2582" s="240" t="s">
        <v>3232</v>
      </c>
      <c r="K2582" s="242">
        <v>1.0</v>
      </c>
      <c r="L2582" s="124">
        <v>3.872177907E9</v>
      </c>
    </row>
    <row r="2583">
      <c r="A2583" s="33" t="s">
        <v>11790</v>
      </c>
      <c r="B2583" s="122">
        <v>46044.0</v>
      </c>
      <c r="C2583" s="103">
        <v>8.07000034745E11</v>
      </c>
      <c r="D2583" s="103" t="s">
        <v>11787</v>
      </c>
      <c r="E2583" s="103" t="s">
        <v>11788</v>
      </c>
      <c r="F2583" s="241" t="s">
        <v>11789</v>
      </c>
      <c r="G2583" s="241" t="s">
        <v>127</v>
      </c>
      <c r="H2583" s="241">
        <v>4400.0</v>
      </c>
      <c r="I2583" s="211" t="s">
        <v>670</v>
      </c>
      <c r="J2583" s="103" t="s">
        <v>3410</v>
      </c>
      <c r="K2583" s="241">
        <v>1.0</v>
      </c>
      <c r="L2583" s="124">
        <v>3.872177907E9</v>
      </c>
    </row>
    <row r="2584">
      <c r="A2584" s="33" t="s">
        <v>11791</v>
      </c>
      <c r="B2584" s="122">
        <v>46044.0</v>
      </c>
      <c r="C2584" s="103">
        <v>8.07000034746E11</v>
      </c>
      <c r="D2584" s="103" t="s">
        <v>11792</v>
      </c>
      <c r="E2584" s="103" t="s">
        <v>11793</v>
      </c>
      <c r="F2584" s="241" t="s">
        <v>11794</v>
      </c>
      <c r="G2584" s="241" t="s">
        <v>127</v>
      </c>
      <c r="H2584" s="241">
        <v>4400.0</v>
      </c>
      <c r="I2584" s="211" t="s">
        <v>249</v>
      </c>
      <c r="J2584" s="103" t="s">
        <v>9324</v>
      </c>
      <c r="K2584" s="241">
        <v>1.0</v>
      </c>
      <c r="L2584" s="124">
        <v>3.874761266E9</v>
      </c>
    </row>
    <row r="2585">
      <c r="A2585" s="33" t="s">
        <v>11791</v>
      </c>
      <c r="B2585" s="122">
        <v>46044.0</v>
      </c>
      <c r="C2585" s="240">
        <v>8.07000034747E11</v>
      </c>
      <c r="D2585" s="240" t="s">
        <v>11792</v>
      </c>
      <c r="E2585" s="240" t="s">
        <v>11793</v>
      </c>
      <c r="F2585" s="242" t="s">
        <v>11794</v>
      </c>
      <c r="G2585" s="242" t="s">
        <v>127</v>
      </c>
      <c r="H2585" s="242">
        <v>4400.0</v>
      </c>
      <c r="I2585" s="224" t="s">
        <v>258</v>
      </c>
      <c r="J2585" s="240" t="s">
        <v>259</v>
      </c>
      <c r="K2585" s="242">
        <v>2.0</v>
      </c>
      <c r="L2585" s="124">
        <v>3.874761266E9</v>
      </c>
    </row>
    <row r="2586">
      <c r="A2586" s="33" t="s">
        <v>11795</v>
      </c>
      <c r="B2586" s="122">
        <v>46044.0</v>
      </c>
      <c r="C2586" s="103">
        <v>8.07000034751E11</v>
      </c>
      <c r="D2586" s="103" t="s">
        <v>11796</v>
      </c>
      <c r="E2586" s="103" t="s">
        <v>11797</v>
      </c>
      <c r="F2586" s="241" t="s">
        <v>11798</v>
      </c>
      <c r="G2586" s="241" t="s">
        <v>127</v>
      </c>
      <c r="H2586" s="241">
        <v>4400.0</v>
      </c>
      <c r="I2586" s="211" t="s">
        <v>11020</v>
      </c>
      <c r="J2586" s="103" t="s">
        <v>11799</v>
      </c>
      <c r="K2586" s="241">
        <v>1.0</v>
      </c>
      <c r="L2586" s="124">
        <v>3.875122789E9</v>
      </c>
    </row>
    <row r="2587">
      <c r="A2587" s="33" t="s">
        <v>11795</v>
      </c>
      <c r="B2587" s="122">
        <v>46044.0</v>
      </c>
      <c r="C2587" s="240">
        <v>8.07000034752E11</v>
      </c>
      <c r="D2587" s="240" t="s">
        <v>11796</v>
      </c>
      <c r="E2587" s="240" t="s">
        <v>11797</v>
      </c>
      <c r="F2587" s="242" t="s">
        <v>11798</v>
      </c>
      <c r="G2587" s="242" t="s">
        <v>127</v>
      </c>
      <c r="H2587" s="242">
        <v>4400.0</v>
      </c>
      <c r="I2587" s="224" t="s">
        <v>3484</v>
      </c>
      <c r="J2587" s="240" t="s">
        <v>3485</v>
      </c>
      <c r="K2587" s="242">
        <v>1.0</v>
      </c>
      <c r="L2587" s="124">
        <v>3.875122789E9</v>
      </c>
    </row>
    <row r="2588">
      <c r="A2588" s="33" t="s">
        <v>11800</v>
      </c>
      <c r="B2588" s="122">
        <v>46044.0</v>
      </c>
      <c r="C2588" s="240">
        <v>8.07000034758E11</v>
      </c>
      <c r="D2588" s="240" t="s">
        <v>11801</v>
      </c>
      <c r="E2588" s="240" t="s">
        <v>11802</v>
      </c>
      <c r="F2588" s="242" t="s">
        <v>11803</v>
      </c>
      <c r="G2588" s="242" t="s">
        <v>127</v>
      </c>
      <c r="H2588" s="242">
        <v>4400.0</v>
      </c>
      <c r="I2588" s="224" t="s">
        <v>512</v>
      </c>
      <c r="J2588" s="240" t="s">
        <v>513</v>
      </c>
      <c r="K2588" s="242">
        <v>12.0</v>
      </c>
      <c r="L2588" s="124">
        <v>3.875323611E9</v>
      </c>
    </row>
    <row r="2589">
      <c r="A2589" s="33" t="s">
        <v>11800</v>
      </c>
      <c r="B2589" s="122">
        <v>46044.0</v>
      </c>
      <c r="C2589" s="103">
        <v>8.07000034759E11</v>
      </c>
      <c r="D2589" s="103" t="s">
        <v>11801</v>
      </c>
      <c r="E2589" s="103" t="s">
        <v>11802</v>
      </c>
      <c r="F2589" s="241" t="s">
        <v>11803</v>
      </c>
      <c r="G2589" s="241" t="s">
        <v>127</v>
      </c>
      <c r="H2589" s="241">
        <v>4400.0</v>
      </c>
      <c r="I2589" s="211" t="s">
        <v>8099</v>
      </c>
      <c r="J2589" s="103" t="s">
        <v>8100</v>
      </c>
      <c r="K2589" s="241">
        <v>1.0</v>
      </c>
      <c r="L2589" s="124">
        <v>3.875323611E9</v>
      </c>
    </row>
    <row r="2590">
      <c r="A2590" s="33" t="s">
        <v>11800</v>
      </c>
      <c r="B2590" s="122">
        <v>46044.0</v>
      </c>
      <c r="C2590" s="240">
        <v>8.07000034759E11</v>
      </c>
      <c r="D2590" s="240" t="s">
        <v>11801</v>
      </c>
      <c r="E2590" s="240" t="s">
        <v>11802</v>
      </c>
      <c r="F2590" s="242" t="s">
        <v>11803</v>
      </c>
      <c r="G2590" s="242" t="s">
        <v>127</v>
      </c>
      <c r="H2590" s="242">
        <v>4400.0</v>
      </c>
      <c r="I2590" s="224" t="s">
        <v>121</v>
      </c>
      <c r="J2590" s="240" t="s">
        <v>3199</v>
      </c>
      <c r="K2590" s="242">
        <v>2.0</v>
      </c>
      <c r="L2590" s="124">
        <v>3.875323611E9</v>
      </c>
    </row>
    <row r="2591">
      <c r="A2591" s="33" t="s">
        <v>11800</v>
      </c>
      <c r="B2591" s="122">
        <v>46044.0</v>
      </c>
      <c r="C2591" s="103">
        <v>8.0700003476E11</v>
      </c>
      <c r="D2591" s="103" t="s">
        <v>11801</v>
      </c>
      <c r="E2591" s="103" t="s">
        <v>11802</v>
      </c>
      <c r="F2591" s="241" t="s">
        <v>11803</v>
      </c>
      <c r="G2591" s="241" t="s">
        <v>127</v>
      </c>
      <c r="H2591" s="241">
        <v>4400.0</v>
      </c>
      <c r="I2591" s="211">
        <v>208502.0</v>
      </c>
      <c r="J2591" s="103" t="s">
        <v>4551</v>
      </c>
      <c r="K2591" s="241">
        <v>2.0</v>
      </c>
      <c r="L2591" s="124">
        <v>3.875323611E9</v>
      </c>
    </row>
    <row r="2592">
      <c r="A2592" s="33" t="s">
        <v>11804</v>
      </c>
      <c r="B2592" s="122">
        <v>46044.0</v>
      </c>
      <c r="C2592" s="103">
        <v>8.07000034606E11</v>
      </c>
      <c r="D2592" s="103" t="s">
        <v>5649</v>
      </c>
      <c r="E2592" s="103" t="s">
        <v>5650</v>
      </c>
      <c r="F2592" s="123"/>
      <c r="G2592" s="123"/>
      <c r="H2592" s="123"/>
      <c r="I2592" s="211" t="s">
        <v>4070</v>
      </c>
      <c r="J2592" s="103" t="s">
        <v>6264</v>
      </c>
      <c r="K2592" s="241">
        <v>2.0</v>
      </c>
      <c r="L2592" s="124"/>
    </row>
    <row r="2593">
      <c r="A2593" s="33" t="s">
        <v>11805</v>
      </c>
      <c r="B2593" s="122">
        <v>46044.0</v>
      </c>
      <c r="C2593" s="103">
        <v>8.07000034762E11</v>
      </c>
      <c r="D2593" s="103" t="s">
        <v>11806</v>
      </c>
      <c r="E2593" s="103" t="s">
        <v>11807</v>
      </c>
      <c r="F2593" s="241" t="s">
        <v>11808</v>
      </c>
      <c r="G2593" s="241" t="s">
        <v>11809</v>
      </c>
      <c r="H2593" s="241">
        <v>4440.0</v>
      </c>
      <c r="I2593" s="211" t="s">
        <v>1937</v>
      </c>
      <c r="J2593" s="103" t="s">
        <v>4036</v>
      </c>
      <c r="K2593" s="241">
        <v>1.0</v>
      </c>
      <c r="L2593" s="124">
        <v>3.876403466E9</v>
      </c>
    </row>
    <row r="2594">
      <c r="A2594" s="33" t="s">
        <v>11805</v>
      </c>
      <c r="B2594" s="122">
        <v>46044.0</v>
      </c>
      <c r="C2594" s="240">
        <v>8.07000034762E11</v>
      </c>
      <c r="D2594" s="240" t="s">
        <v>11806</v>
      </c>
      <c r="E2594" s="240" t="s">
        <v>11807</v>
      </c>
      <c r="F2594" s="242" t="s">
        <v>11808</v>
      </c>
      <c r="G2594" s="242" t="s">
        <v>11809</v>
      </c>
      <c r="H2594" s="242">
        <v>4440.0</v>
      </c>
      <c r="I2594" s="224" t="s">
        <v>512</v>
      </c>
      <c r="J2594" s="240" t="s">
        <v>513</v>
      </c>
      <c r="K2594" s="242">
        <v>12.0</v>
      </c>
      <c r="L2594" s="124"/>
    </row>
    <row r="2595">
      <c r="A2595" s="33" t="s">
        <v>11805</v>
      </c>
      <c r="B2595" s="122">
        <v>46044.0</v>
      </c>
      <c r="C2595" s="103">
        <v>8.07000034763E11</v>
      </c>
      <c r="D2595" s="103" t="s">
        <v>11806</v>
      </c>
      <c r="E2595" s="103" t="s">
        <v>11807</v>
      </c>
      <c r="F2595" s="241" t="s">
        <v>11808</v>
      </c>
      <c r="G2595" s="241" t="s">
        <v>11809</v>
      </c>
      <c r="H2595" s="241">
        <v>4440.0</v>
      </c>
      <c r="I2595" s="211" t="s">
        <v>233</v>
      </c>
      <c r="J2595" s="103" t="s">
        <v>3459</v>
      </c>
      <c r="K2595" s="241">
        <v>2.0</v>
      </c>
      <c r="L2595" s="124">
        <v>3.876528179E9</v>
      </c>
    </row>
    <row r="2596">
      <c r="A2596" s="33" t="s">
        <v>11810</v>
      </c>
      <c r="B2596" s="122">
        <v>46045.0</v>
      </c>
      <c r="C2596" s="240">
        <v>8.0700003468E11</v>
      </c>
      <c r="D2596" s="240" t="s">
        <v>11761</v>
      </c>
      <c r="E2596" s="240" t="s">
        <v>11762</v>
      </c>
      <c r="F2596" s="242" t="s">
        <v>11811</v>
      </c>
      <c r="G2596" s="123" t="s">
        <v>127</v>
      </c>
      <c r="H2596" s="123">
        <v>4400.0</v>
      </c>
      <c r="I2596" s="224">
        <v>125811.0</v>
      </c>
      <c r="J2596" s="240" t="s">
        <v>6073</v>
      </c>
      <c r="K2596" s="242">
        <v>1.0</v>
      </c>
      <c r="L2596" s="124">
        <v>3.875621389E9</v>
      </c>
    </row>
    <row r="2597">
      <c r="A2597" s="33" t="s">
        <v>11810</v>
      </c>
      <c r="B2597" s="122">
        <v>46045.0</v>
      </c>
      <c r="C2597" s="103">
        <v>8.07000034775E11</v>
      </c>
      <c r="D2597" s="103" t="s">
        <v>11761</v>
      </c>
      <c r="E2597" s="103" t="s">
        <v>11762</v>
      </c>
      <c r="F2597" s="242" t="s">
        <v>11811</v>
      </c>
      <c r="G2597" s="123" t="s">
        <v>127</v>
      </c>
      <c r="H2597" s="241">
        <v>4440.0</v>
      </c>
      <c r="I2597" s="211">
        <v>125822.0</v>
      </c>
      <c r="J2597" s="103" t="s">
        <v>6030</v>
      </c>
      <c r="K2597" s="241">
        <v>3.0</v>
      </c>
      <c r="L2597" s="124">
        <v>3.875621389E9</v>
      </c>
    </row>
    <row r="2598">
      <c r="A2598" s="33" t="s">
        <v>11810</v>
      </c>
      <c r="B2598" s="122">
        <v>46045.0</v>
      </c>
      <c r="C2598" s="240">
        <v>8.07000034775E11</v>
      </c>
      <c r="D2598" s="240" t="s">
        <v>11761</v>
      </c>
      <c r="E2598" s="240" t="s">
        <v>11762</v>
      </c>
      <c r="F2598" s="242" t="s">
        <v>11811</v>
      </c>
      <c r="G2598" s="123" t="s">
        <v>127</v>
      </c>
      <c r="H2598" s="242">
        <v>4440.0</v>
      </c>
      <c r="I2598" s="224" t="s">
        <v>8137</v>
      </c>
      <c r="J2598" s="240" t="s">
        <v>8138</v>
      </c>
      <c r="K2598" s="242">
        <v>2.0</v>
      </c>
      <c r="L2598" s="124">
        <v>3.875621389E9</v>
      </c>
    </row>
    <row r="2599">
      <c r="A2599" s="33" t="s">
        <v>11812</v>
      </c>
      <c r="B2599" s="122">
        <v>46045.0</v>
      </c>
      <c r="C2599" s="103">
        <v>8.07000034776E11</v>
      </c>
      <c r="D2599" s="103" t="s">
        <v>11761</v>
      </c>
      <c r="E2599" s="103" t="s">
        <v>11762</v>
      </c>
      <c r="F2599" s="242" t="s">
        <v>11811</v>
      </c>
      <c r="G2599" s="123" t="s">
        <v>127</v>
      </c>
      <c r="H2599" s="241">
        <v>4440.0</v>
      </c>
      <c r="I2599" s="211" t="s">
        <v>701</v>
      </c>
      <c r="J2599" s="103" t="s">
        <v>4409</v>
      </c>
      <c r="K2599" s="241">
        <v>1.0</v>
      </c>
      <c r="L2599" s="124">
        <v>3.875621389E9</v>
      </c>
    </row>
    <row r="2600">
      <c r="A2600" s="123" t="s">
        <v>11813</v>
      </c>
      <c r="B2600" s="122">
        <v>46045.0</v>
      </c>
      <c r="C2600" s="240">
        <v>8.07000034777E11</v>
      </c>
      <c r="D2600" s="240" t="s">
        <v>11761</v>
      </c>
      <c r="E2600" s="240" t="s">
        <v>11762</v>
      </c>
      <c r="F2600" s="242" t="s">
        <v>11811</v>
      </c>
      <c r="G2600" s="123" t="s">
        <v>127</v>
      </c>
      <c r="H2600" s="123">
        <v>4400.0</v>
      </c>
      <c r="I2600" s="224">
        <v>203701.0</v>
      </c>
      <c r="J2600" s="240" t="s">
        <v>7908</v>
      </c>
      <c r="K2600" s="242">
        <v>1.0</v>
      </c>
      <c r="L2600" s="124">
        <v>3.875621389E9</v>
      </c>
    </row>
    <row r="2601">
      <c r="A2601" s="33" t="s">
        <v>11814</v>
      </c>
      <c r="B2601" s="122">
        <v>46045.0</v>
      </c>
      <c r="C2601" s="103">
        <v>8.07000034778E11</v>
      </c>
      <c r="D2601" s="103" t="s">
        <v>11815</v>
      </c>
      <c r="E2601" s="103" t="s">
        <v>11816</v>
      </c>
      <c r="F2601" s="241" t="s">
        <v>11817</v>
      </c>
      <c r="G2601" s="123" t="s">
        <v>127</v>
      </c>
      <c r="H2601" s="241">
        <v>4400.0</v>
      </c>
      <c r="I2601" s="211" t="s">
        <v>512</v>
      </c>
      <c r="J2601" s="103" t="s">
        <v>513</v>
      </c>
      <c r="K2601" s="241">
        <v>6.0</v>
      </c>
      <c r="L2601" s="124" t="s">
        <v>4529</v>
      </c>
    </row>
    <row r="2602">
      <c r="A2602" s="33" t="s">
        <v>11814</v>
      </c>
      <c r="B2602" s="122">
        <v>46045.0</v>
      </c>
      <c r="C2602" s="240">
        <v>8.07000034779E11</v>
      </c>
      <c r="D2602" s="240" t="s">
        <v>11815</v>
      </c>
      <c r="E2602" s="240" t="s">
        <v>11816</v>
      </c>
      <c r="F2602" s="242" t="s">
        <v>11817</v>
      </c>
      <c r="G2602" s="123" t="s">
        <v>127</v>
      </c>
      <c r="H2602" s="242">
        <v>4400.0</v>
      </c>
      <c r="I2602" s="224" t="s">
        <v>659</v>
      </c>
      <c r="J2602" s="240" t="s">
        <v>3468</v>
      </c>
      <c r="K2602" s="242">
        <v>1.0</v>
      </c>
      <c r="L2602" s="124"/>
    </row>
    <row r="2603">
      <c r="A2603" s="33" t="s">
        <v>11814</v>
      </c>
      <c r="B2603" s="122">
        <v>46045.0</v>
      </c>
      <c r="C2603" s="103">
        <v>8.0700003478E11</v>
      </c>
      <c r="D2603" s="103" t="s">
        <v>11815</v>
      </c>
      <c r="E2603" s="103" t="s">
        <v>11816</v>
      </c>
      <c r="F2603" s="241" t="s">
        <v>11817</v>
      </c>
      <c r="G2603" s="123" t="s">
        <v>127</v>
      </c>
      <c r="H2603" s="241">
        <v>4400.0</v>
      </c>
      <c r="I2603" s="211" t="s">
        <v>35</v>
      </c>
      <c r="J2603" s="103" t="s">
        <v>3188</v>
      </c>
      <c r="K2603" s="241">
        <v>1.0</v>
      </c>
      <c r="L2603" s="124"/>
    </row>
    <row r="2604">
      <c r="A2604" s="33" t="s">
        <v>11818</v>
      </c>
      <c r="B2604" s="122">
        <v>46045.0</v>
      </c>
      <c r="C2604" s="103">
        <v>8.07000034783E11</v>
      </c>
      <c r="D2604" s="103" t="s">
        <v>11792</v>
      </c>
      <c r="E2604" s="103" t="s">
        <v>11793</v>
      </c>
      <c r="F2604" s="123" t="s">
        <v>11819</v>
      </c>
      <c r="G2604" s="123" t="s">
        <v>127</v>
      </c>
      <c r="H2604" s="242">
        <v>4400.0</v>
      </c>
      <c r="I2604" s="224" t="s">
        <v>11820</v>
      </c>
      <c r="J2604" s="224" t="s">
        <v>11821</v>
      </c>
      <c r="K2604" s="242">
        <v>1.0</v>
      </c>
      <c r="L2604" s="124">
        <v>3.874761266E9</v>
      </c>
      <c r="M2604" s="54" t="s">
        <v>11822</v>
      </c>
    </row>
    <row r="2605">
      <c r="A2605" s="33" t="s">
        <v>11818</v>
      </c>
      <c r="B2605" s="122">
        <v>46045.0</v>
      </c>
      <c r="C2605" s="240">
        <v>8.07000034785E11</v>
      </c>
      <c r="D2605" s="240" t="s">
        <v>11792</v>
      </c>
      <c r="E2605" s="240" t="s">
        <v>11793</v>
      </c>
      <c r="F2605" s="123" t="s">
        <v>11819</v>
      </c>
      <c r="G2605" s="123" t="s">
        <v>127</v>
      </c>
      <c r="H2605" s="241">
        <v>4400.0</v>
      </c>
      <c r="I2605" s="224" t="s">
        <v>340</v>
      </c>
      <c r="J2605" s="224" t="s">
        <v>3486</v>
      </c>
      <c r="K2605" s="242">
        <v>2.0</v>
      </c>
      <c r="L2605" s="124">
        <v>3.874761266E9</v>
      </c>
      <c r="M2605" s="54" t="s">
        <v>11822</v>
      </c>
    </row>
    <row r="2606">
      <c r="A2606" s="33" t="s">
        <v>11823</v>
      </c>
      <c r="B2606" s="122">
        <v>46045.0</v>
      </c>
      <c r="C2606" s="240"/>
      <c r="D2606" s="240" t="s">
        <v>5492</v>
      </c>
      <c r="E2606" s="240" t="s">
        <v>11824</v>
      </c>
      <c r="F2606" s="123"/>
      <c r="G2606" s="123" t="s">
        <v>127</v>
      </c>
      <c r="H2606" s="241">
        <v>4400.0</v>
      </c>
      <c r="I2606" s="224" t="s">
        <v>670</v>
      </c>
      <c r="J2606" s="240" t="s">
        <v>3410</v>
      </c>
      <c r="K2606" s="242">
        <v>1.0</v>
      </c>
      <c r="L2606" s="124"/>
    </row>
    <row r="2607">
      <c r="A2607" s="33" t="s">
        <v>11825</v>
      </c>
      <c r="B2607" s="122">
        <v>46048.0</v>
      </c>
      <c r="C2607" s="240">
        <v>8.07000034832E11</v>
      </c>
      <c r="D2607" s="240" t="s">
        <v>11826</v>
      </c>
      <c r="E2607" s="240" t="s">
        <v>11827</v>
      </c>
      <c r="F2607" s="123" t="s">
        <v>11828</v>
      </c>
      <c r="G2607" s="123" t="s">
        <v>127</v>
      </c>
      <c r="H2607" s="123">
        <v>4400.0</v>
      </c>
      <c r="I2607" s="224" t="s">
        <v>3649</v>
      </c>
      <c r="J2607" s="240" t="s">
        <v>3650</v>
      </c>
      <c r="K2607" s="242">
        <v>1.0</v>
      </c>
      <c r="L2607" s="124">
        <v>3.874390299E9</v>
      </c>
    </row>
    <row r="2608">
      <c r="A2608" s="33" t="s">
        <v>11829</v>
      </c>
      <c r="B2608" s="122">
        <v>46048.0</v>
      </c>
      <c r="C2608" s="240">
        <v>8.07000034806E11</v>
      </c>
      <c r="D2608" s="240" t="s">
        <v>11830</v>
      </c>
      <c r="E2608" s="240" t="s">
        <v>11831</v>
      </c>
      <c r="F2608" s="123" t="s">
        <v>11832</v>
      </c>
      <c r="G2608" s="123" t="s">
        <v>127</v>
      </c>
      <c r="H2608" s="123">
        <v>4400.0</v>
      </c>
      <c r="I2608" s="224" t="s">
        <v>761</v>
      </c>
      <c r="J2608" s="240" t="s">
        <v>3761</v>
      </c>
      <c r="K2608" s="242">
        <v>1.0</v>
      </c>
      <c r="L2608" s="124">
        <v>3.872140412E9</v>
      </c>
    </row>
    <row r="2609">
      <c r="A2609" s="33" t="s">
        <v>11829</v>
      </c>
      <c r="B2609" s="122">
        <v>46048.0</v>
      </c>
      <c r="C2609" s="103">
        <v>8.07000034806E11</v>
      </c>
      <c r="D2609" s="103" t="s">
        <v>11830</v>
      </c>
      <c r="E2609" s="103" t="s">
        <v>11831</v>
      </c>
      <c r="F2609" s="123" t="s">
        <v>11832</v>
      </c>
      <c r="G2609" s="123" t="s">
        <v>127</v>
      </c>
      <c r="H2609" s="123">
        <v>4400.0</v>
      </c>
      <c r="I2609" s="211" t="s">
        <v>512</v>
      </c>
      <c r="J2609" s="103" t="s">
        <v>513</v>
      </c>
      <c r="K2609" s="241">
        <v>12.0</v>
      </c>
      <c r="L2609" s="124">
        <v>3.872140412E9</v>
      </c>
    </row>
    <row r="2610">
      <c r="A2610" s="33" t="s">
        <v>11833</v>
      </c>
      <c r="B2610" s="122">
        <v>46048.0</v>
      </c>
      <c r="C2610" s="240">
        <v>8.07000034807E11</v>
      </c>
      <c r="D2610" s="240" t="s">
        <v>11830</v>
      </c>
      <c r="E2610" s="240" t="s">
        <v>11831</v>
      </c>
      <c r="F2610" s="123" t="s">
        <v>11832</v>
      </c>
      <c r="G2610" s="123" t="s">
        <v>127</v>
      </c>
      <c r="H2610" s="123">
        <v>4400.0</v>
      </c>
      <c r="I2610" s="224" t="s">
        <v>340</v>
      </c>
      <c r="J2610" s="240" t="s">
        <v>3486</v>
      </c>
      <c r="K2610" s="242">
        <v>2.0</v>
      </c>
      <c r="L2610" s="124">
        <v>3.872140412E9</v>
      </c>
    </row>
    <row r="2611">
      <c r="A2611" s="33" t="s">
        <v>11834</v>
      </c>
      <c r="B2611" s="122">
        <v>46048.0</v>
      </c>
      <c r="C2611" s="240">
        <v>8.07000034812E11</v>
      </c>
      <c r="D2611" s="240" t="s">
        <v>11835</v>
      </c>
      <c r="E2611" s="240" t="s">
        <v>11836</v>
      </c>
      <c r="F2611" s="123" t="s">
        <v>11837</v>
      </c>
      <c r="G2611" s="123" t="s">
        <v>127</v>
      </c>
      <c r="H2611" s="123">
        <v>4400.0</v>
      </c>
      <c r="I2611" s="224" t="s">
        <v>1040</v>
      </c>
      <c r="J2611" s="240" t="s">
        <v>3294</v>
      </c>
      <c r="K2611" s="242">
        <v>1.0</v>
      </c>
      <c r="L2611" s="124">
        <v>4999569.0</v>
      </c>
    </row>
    <row r="2612">
      <c r="A2612" s="33" t="s">
        <v>11838</v>
      </c>
      <c r="B2612" s="122">
        <v>46048.0</v>
      </c>
      <c r="C2612" s="103">
        <v>8.07000034813E11</v>
      </c>
      <c r="D2612" s="103" t="s">
        <v>11835</v>
      </c>
      <c r="E2612" s="103" t="s">
        <v>11836</v>
      </c>
      <c r="F2612" s="123" t="s">
        <v>11837</v>
      </c>
      <c r="G2612" s="123" t="s">
        <v>127</v>
      </c>
      <c r="H2612" s="123">
        <v>4400.0</v>
      </c>
      <c r="I2612" s="211">
        <v>125812.0</v>
      </c>
      <c r="J2612" s="103" t="s">
        <v>9317</v>
      </c>
      <c r="K2612" s="241">
        <v>2.0</v>
      </c>
      <c r="L2612" s="124">
        <v>4999569.0</v>
      </c>
    </row>
    <row r="2613" ht="4.5" customHeight="1">
      <c r="A2613" s="100"/>
      <c r="B2613" s="230"/>
      <c r="C2613" s="251"/>
      <c r="D2613" s="251"/>
      <c r="E2613" s="251"/>
      <c r="F2613" s="231"/>
      <c r="G2613" s="231"/>
      <c r="H2613" s="231"/>
      <c r="I2613" s="252"/>
      <c r="J2613" s="252"/>
      <c r="K2613" s="253"/>
      <c r="L2613" s="232"/>
      <c r="M2613" s="233"/>
      <c r="N2613" s="233"/>
      <c r="O2613" s="233"/>
      <c r="P2613" s="233"/>
      <c r="Q2613" s="233"/>
      <c r="R2613" s="233"/>
      <c r="S2613" s="233"/>
      <c r="T2613" s="233"/>
      <c r="U2613" s="233"/>
      <c r="V2613" s="233"/>
      <c r="W2613" s="233"/>
      <c r="X2613" s="233"/>
      <c r="Y2613" s="233"/>
      <c r="Z2613" s="233"/>
      <c r="AA2613" s="233"/>
      <c r="AB2613" s="233"/>
      <c r="AC2613" s="233"/>
    </row>
    <row r="2614">
      <c r="A2614" s="33" t="s">
        <v>11839</v>
      </c>
      <c r="B2614" s="122">
        <v>46050.0</v>
      </c>
      <c r="C2614" s="103">
        <v>8.07000034843E11</v>
      </c>
      <c r="D2614" s="103" t="s">
        <v>11840</v>
      </c>
      <c r="E2614" s="103" t="s">
        <v>11841</v>
      </c>
      <c r="F2614" s="241" t="s">
        <v>11842</v>
      </c>
      <c r="G2614" s="241" t="s">
        <v>127</v>
      </c>
      <c r="H2614" s="241">
        <v>4400.0</v>
      </c>
      <c r="I2614" s="211" t="s">
        <v>947</v>
      </c>
      <c r="J2614" s="103" t="s">
        <v>3750</v>
      </c>
      <c r="K2614" s="241">
        <v>1.0</v>
      </c>
      <c r="L2614" s="124">
        <v>4395950.0</v>
      </c>
    </row>
    <row r="2615">
      <c r="A2615" s="33" t="s">
        <v>11843</v>
      </c>
      <c r="B2615" s="122">
        <v>46050.0</v>
      </c>
      <c r="C2615" s="240">
        <v>8.07000034862E11</v>
      </c>
      <c r="D2615" s="240" t="s">
        <v>11844</v>
      </c>
      <c r="E2615" s="240" t="s">
        <v>11845</v>
      </c>
      <c r="F2615" s="242" t="s">
        <v>11846</v>
      </c>
      <c r="G2615" s="242" t="s">
        <v>11847</v>
      </c>
      <c r="H2615" s="242">
        <v>4400.0</v>
      </c>
      <c r="I2615" s="224" t="s">
        <v>2956</v>
      </c>
      <c r="J2615" s="240" t="s">
        <v>3327</v>
      </c>
      <c r="K2615" s="242">
        <v>1.0</v>
      </c>
      <c r="L2615" s="124">
        <v>3.874098316E9</v>
      </c>
    </row>
    <row r="2616">
      <c r="A2616" s="33" t="s">
        <v>11848</v>
      </c>
      <c r="B2616" s="122">
        <v>46050.0</v>
      </c>
      <c r="C2616" s="103">
        <v>8.07000034859E11</v>
      </c>
      <c r="D2616" s="103" t="s">
        <v>11849</v>
      </c>
      <c r="E2616" s="103" t="s">
        <v>11850</v>
      </c>
      <c r="F2616" s="241" t="s">
        <v>11851</v>
      </c>
      <c r="G2616" s="241" t="s">
        <v>116</v>
      </c>
      <c r="H2616" s="241">
        <v>4400.0</v>
      </c>
      <c r="I2616" s="211" t="s">
        <v>3131</v>
      </c>
      <c r="J2616" s="103" t="s">
        <v>3416</v>
      </c>
      <c r="K2616" s="241">
        <v>1.0</v>
      </c>
      <c r="L2616" s="124">
        <v>3.874127347E9</v>
      </c>
    </row>
    <row r="2617">
      <c r="A2617" s="33" t="s">
        <v>11852</v>
      </c>
      <c r="B2617" s="122">
        <v>46050.0</v>
      </c>
      <c r="C2617" s="240">
        <v>8.05011569325E11</v>
      </c>
      <c r="D2617" s="240" t="s">
        <v>11853</v>
      </c>
      <c r="E2617" s="240" t="s">
        <v>11854</v>
      </c>
      <c r="F2617" s="242" t="s">
        <v>11855</v>
      </c>
      <c r="G2617" s="242" t="s">
        <v>20</v>
      </c>
      <c r="H2617" s="242">
        <v>4400.0</v>
      </c>
      <c r="I2617" s="224" t="s">
        <v>4512</v>
      </c>
      <c r="J2617" s="240" t="s">
        <v>4513</v>
      </c>
      <c r="K2617" s="242">
        <v>1.0</v>
      </c>
      <c r="L2617" s="124">
        <v>3.815300025E9</v>
      </c>
    </row>
    <row r="2618">
      <c r="A2618" s="33" t="s">
        <v>11856</v>
      </c>
      <c r="B2618" s="122">
        <v>46050.0</v>
      </c>
      <c r="C2618" s="240">
        <v>8.07000034803E11</v>
      </c>
      <c r="D2618" s="240" t="s">
        <v>5725</v>
      </c>
      <c r="E2618" s="240" t="s">
        <v>5726</v>
      </c>
      <c r="F2618" s="242" t="s">
        <v>5727</v>
      </c>
      <c r="G2618" s="242" t="s">
        <v>127</v>
      </c>
      <c r="H2618" s="242">
        <v>4400.0</v>
      </c>
      <c r="I2618" s="224" t="s">
        <v>1559</v>
      </c>
      <c r="J2618" s="240" t="s">
        <v>8503</v>
      </c>
      <c r="K2618" s="242">
        <v>1.0</v>
      </c>
      <c r="L2618" s="124">
        <v>1.165712831E9</v>
      </c>
    </row>
    <row r="2619">
      <c r="A2619" s="33" t="s">
        <v>11857</v>
      </c>
      <c r="B2619" s="122">
        <v>46050.0</v>
      </c>
      <c r="C2619" s="103">
        <v>8.07000034815E11</v>
      </c>
      <c r="D2619" s="103" t="s">
        <v>5721</v>
      </c>
      <c r="E2619" s="103" t="s">
        <v>5722</v>
      </c>
      <c r="F2619" s="241" t="s">
        <v>5723</v>
      </c>
      <c r="G2619" s="241" t="s">
        <v>127</v>
      </c>
      <c r="H2619" s="241">
        <v>4400.0</v>
      </c>
      <c r="I2619" s="211" t="s">
        <v>512</v>
      </c>
      <c r="J2619" s="103" t="s">
        <v>513</v>
      </c>
      <c r="K2619" s="241">
        <v>6.0</v>
      </c>
      <c r="L2619" s="124">
        <v>3.87569714E9</v>
      </c>
    </row>
    <row r="2620">
      <c r="A2620" s="33" t="s">
        <v>11857</v>
      </c>
      <c r="B2620" s="122">
        <v>46050.0</v>
      </c>
      <c r="C2620" s="240">
        <v>8.07000034816E11</v>
      </c>
      <c r="D2620" s="240" t="s">
        <v>5721</v>
      </c>
      <c r="E2620" s="240" t="s">
        <v>5722</v>
      </c>
      <c r="F2620" s="242" t="s">
        <v>5723</v>
      </c>
      <c r="G2620" s="242" t="s">
        <v>127</v>
      </c>
      <c r="H2620" s="242">
        <v>4400.0</v>
      </c>
      <c r="I2620" s="224" t="s">
        <v>969</v>
      </c>
      <c r="J2620" s="240" t="s">
        <v>3296</v>
      </c>
      <c r="K2620" s="242">
        <v>1.0</v>
      </c>
      <c r="L2620" s="124">
        <v>3.87569714E9</v>
      </c>
    </row>
    <row r="2621">
      <c r="A2621" s="33" t="s">
        <v>11858</v>
      </c>
      <c r="B2621" s="122">
        <v>46050.0</v>
      </c>
      <c r="C2621" s="240">
        <v>8.07000034841E11</v>
      </c>
      <c r="D2621" s="240" t="s">
        <v>11859</v>
      </c>
      <c r="E2621" s="240" t="s">
        <v>11860</v>
      </c>
      <c r="F2621" s="242" t="s">
        <v>11861</v>
      </c>
      <c r="G2621" s="242" t="s">
        <v>127</v>
      </c>
      <c r="H2621" s="242">
        <v>4400.0</v>
      </c>
      <c r="I2621" s="224" t="s">
        <v>8532</v>
      </c>
      <c r="J2621" s="240" t="s">
        <v>8533</v>
      </c>
      <c r="K2621" s="242">
        <v>1.0</v>
      </c>
      <c r="L2621" s="124">
        <v>3.87468202E9</v>
      </c>
    </row>
    <row r="2622">
      <c r="A2622" s="33" t="s">
        <v>11862</v>
      </c>
      <c r="B2622" s="122">
        <v>46050.0</v>
      </c>
      <c r="C2622" s="103">
        <v>8.07000034842E11</v>
      </c>
      <c r="D2622" s="103" t="s">
        <v>11859</v>
      </c>
      <c r="E2622" s="103" t="s">
        <v>11860</v>
      </c>
      <c r="F2622" s="241" t="s">
        <v>11861</v>
      </c>
      <c r="G2622" s="241" t="s">
        <v>127</v>
      </c>
      <c r="H2622" s="241">
        <v>4400.0</v>
      </c>
      <c r="I2622" s="211">
        <v>125812.0</v>
      </c>
      <c r="J2622" s="103" t="s">
        <v>9317</v>
      </c>
      <c r="K2622" s="241">
        <v>2.0</v>
      </c>
      <c r="L2622" s="124">
        <v>3.87468202E9</v>
      </c>
    </row>
    <row r="2623">
      <c r="A2623" s="33" t="s">
        <v>11863</v>
      </c>
      <c r="B2623" s="122">
        <v>46050.0</v>
      </c>
      <c r="C2623" s="240">
        <v>8.07000034853E11</v>
      </c>
      <c r="D2623" s="240" t="s">
        <v>11864</v>
      </c>
      <c r="E2623" s="240" t="s">
        <v>11865</v>
      </c>
      <c r="F2623" s="242" t="s">
        <v>11866</v>
      </c>
      <c r="G2623" s="242" t="s">
        <v>127</v>
      </c>
      <c r="H2623" s="242">
        <v>4400.0</v>
      </c>
      <c r="I2623" s="224" t="s">
        <v>617</v>
      </c>
      <c r="J2623" s="240" t="s">
        <v>3867</v>
      </c>
      <c r="K2623" s="242">
        <v>1.0</v>
      </c>
      <c r="L2623" s="124">
        <v>3.874126218E9</v>
      </c>
    </row>
    <row r="2624">
      <c r="A2624" s="33" t="s">
        <v>11867</v>
      </c>
      <c r="B2624" s="122">
        <v>46050.0</v>
      </c>
      <c r="C2624" s="240">
        <v>8.07000034665E11</v>
      </c>
      <c r="D2624" s="240" t="s">
        <v>5677</v>
      </c>
      <c r="E2624" s="240" t="s">
        <v>5678</v>
      </c>
      <c r="F2624" s="242" t="s">
        <v>5679</v>
      </c>
      <c r="G2624" s="242" t="s">
        <v>5680</v>
      </c>
      <c r="H2624" s="242">
        <v>4400.0</v>
      </c>
      <c r="I2624" s="224">
        <v>208501.0</v>
      </c>
      <c r="J2624" s="240" t="s">
        <v>481</v>
      </c>
      <c r="K2624" s="242">
        <v>2.0</v>
      </c>
      <c r="L2624" s="124">
        <v>3.874470351E9</v>
      </c>
      <c r="M2624" s="54" t="s">
        <v>11868</v>
      </c>
    </row>
    <row r="2625">
      <c r="A2625" s="33"/>
      <c r="B2625" s="122">
        <v>46051.0</v>
      </c>
      <c r="C2625" s="103">
        <v>8.07000034871E11</v>
      </c>
      <c r="D2625" s="103" t="s">
        <v>11869</v>
      </c>
      <c r="E2625" s="103" t="s">
        <v>11870</v>
      </c>
      <c r="F2625" s="241" t="s">
        <v>11871</v>
      </c>
      <c r="G2625" s="241" t="s">
        <v>127</v>
      </c>
      <c r="H2625" s="241">
        <v>4400.0</v>
      </c>
      <c r="I2625" s="211" t="s">
        <v>512</v>
      </c>
      <c r="J2625" s="103" t="s">
        <v>513</v>
      </c>
      <c r="K2625" s="241">
        <v>12.0</v>
      </c>
      <c r="L2625" s="124"/>
    </row>
    <row r="2626">
      <c r="A2626" s="33"/>
      <c r="B2626" s="122">
        <v>46051.0</v>
      </c>
      <c r="C2626" s="240">
        <v>8.07000034872E11</v>
      </c>
      <c r="D2626" s="240" t="s">
        <v>11869</v>
      </c>
      <c r="E2626" s="240" t="s">
        <v>11870</v>
      </c>
      <c r="F2626" s="242" t="s">
        <v>11871</v>
      </c>
      <c r="G2626" s="242" t="s">
        <v>127</v>
      </c>
      <c r="H2626" s="242">
        <v>4400.0</v>
      </c>
      <c r="I2626" s="224" t="s">
        <v>7741</v>
      </c>
      <c r="J2626" s="240" t="s">
        <v>7742</v>
      </c>
      <c r="K2626" s="242">
        <v>1.0</v>
      </c>
      <c r="L2626" s="124"/>
    </row>
    <row r="2627">
      <c r="A2627" s="33"/>
      <c r="B2627" s="122">
        <v>46051.0</v>
      </c>
      <c r="C2627" s="103">
        <v>8.07000034872E11</v>
      </c>
      <c r="D2627" s="103" t="s">
        <v>11869</v>
      </c>
      <c r="E2627" s="103" t="s">
        <v>11870</v>
      </c>
      <c r="F2627" s="241" t="s">
        <v>11871</v>
      </c>
      <c r="G2627" s="241" t="s">
        <v>127</v>
      </c>
      <c r="H2627" s="241">
        <v>4400.0</v>
      </c>
      <c r="I2627" s="211" t="s">
        <v>772</v>
      </c>
      <c r="J2627" s="103" t="s">
        <v>3363</v>
      </c>
      <c r="K2627" s="241">
        <v>2.0</v>
      </c>
      <c r="L2627" s="124"/>
    </row>
    <row r="2628">
      <c r="A2628" s="33"/>
      <c r="B2628" s="122">
        <v>46051.0</v>
      </c>
      <c r="C2628" s="240">
        <v>8.07000034873E11</v>
      </c>
      <c r="D2628" s="240" t="s">
        <v>11869</v>
      </c>
      <c r="E2628" s="240" t="s">
        <v>11870</v>
      </c>
      <c r="F2628" s="242" t="s">
        <v>11871</v>
      </c>
      <c r="G2628" s="242" t="s">
        <v>127</v>
      </c>
      <c r="H2628" s="242">
        <v>4400.0</v>
      </c>
      <c r="I2628" s="224">
        <v>208502.0</v>
      </c>
      <c r="J2628" s="240" t="s">
        <v>4551</v>
      </c>
      <c r="K2628" s="242">
        <v>1.0</v>
      </c>
      <c r="L2628" s="124"/>
    </row>
    <row r="2629">
      <c r="A2629" s="33"/>
      <c r="B2629" s="122">
        <v>46051.0</v>
      </c>
      <c r="C2629" s="103">
        <v>8.07000034835E11</v>
      </c>
      <c r="D2629" s="103" t="s">
        <v>5761</v>
      </c>
      <c r="E2629" s="103" t="s">
        <v>5762</v>
      </c>
      <c r="F2629" s="241" t="s">
        <v>5763</v>
      </c>
      <c r="G2629" s="241" t="s">
        <v>69</v>
      </c>
      <c r="H2629" s="241">
        <v>4400.0</v>
      </c>
      <c r="I2629" s="211">
        <v>125814.0</v>
      </c>
      <c r="J2629" s="103" t="s">
        <v>9798</v>
      </c>
      <c r="K2629" s="241">
        <v>2.0</v>
      </c>
      <c r="L2629" s="124"/>
    </row>
    <row r="2630">
      <c r="A2630" s="33"/>
      <c r="B2630" s="122">
        <v>46051.0</v>
      </c>
      <c r="C2630" s="240">
        <v>8.07000034835E11</v>
      </c>
      <c r="D2630" s="240" t="s">
        <v>5761</v>
      </c>
      <c r="E2630" s="240" t="s">
        <v>5762</v>
      </c>
      <c r="F2630" s="242" t="s">
        <v>5763</v>
      </c>
      <c r="G2630" s="242" t="s">
        <v>69</v>
      </c>
      <c r="H2630" s="242">
        <v>4400.0</v>
      </c>
      <c r="I2630" s="224" t="s">
        <v>3512</v>
      </c>
      <c r="J2630" s="240" t="s">
        <v>3513</v>
      </c>
      <c r="K2630" s="242">
        <v>12.0</v>
      </c>
      <c r="L2630" s="124"/>
    </row>
    <row r="2631">
      <c r="A2631" s="33"/>
      <c r="B2631" s="122">
        <v>46051.0</v>
      </c>
      <c r="C2631" s="103">
        <v>8.07000034837E11</v>
      </c>
      <c r="D2631" s="103" t="s">
        <v>5761</v>
      </c>
      <c r="E2631" s="103" t="s">
        <v>5762</v>
      </c>
      <c r="F2631" s="241" t="s">
        <v>5763</v>
      </c>
      <c r="G2631" s="241" t="s">
        <v>69</v>
      </c>
      <c r="H2631" s="241">
        <v>4400.0</v>
      </c>
      <c r="I2631" s="211" t="s">
        <v>11872</v>
      </c>
      <c r="J2631" s="103" t="s">
        <v>11873</v>
      </c>
      <c r="K2631" s="241">
        <v>1.0</v>
      </c>
      <c r="L2631" s="124"/>
    </row>
    <row r="2632">
      <c r="A2632" s="33" t="s">
        <v>11874</v>
      </c>
      <c r="B2632" s="122">
        <v>46053.0</v>
      </c>
      <c r="C2632" s="240">
        <v>8.07000034875E11</v>
      </c>
      <c r="D2632" s="240" t="s">
        <v>754</v>
      </c>
      <c r="E2632" s="240" t="s">
        <v>755</v>
      </c>
      <c r="F2632" s="123" t="s">
        <v>11875</v>
      </c>
      <c r="G2632" s="123" t="s">
        <v>11876</v>
      </c>
      <c r="H2632" s="123">
        <v>4421.0</v>
      </c>
      <c r="I2632" s="224" t="s">
        <v>512</v>
      </c>
      <c r="J2632" s="240" t="s">
        <v>513</v>
      </c>
      <c r="K2632" s="242">
        <v>12.0</v>
      </c>
      <c r="L2632" s="124">
        <v>3.874028854E9</v>
      </c>
    </row>
    <row r="2633">
      <c r="A2633" s="33" t="s">
        <v>11874</v>
      </c>
      <c r="B2633" s="122">
        <v>46053.0</v>
      </c>
      <c r="C2633" s="103">
        <v>8.07000034876E11</v>
      </c>
      <c r="D2633" s="103" t="s">
        <v>754</v>
      </c>
      <c r="E2633" s="103" t="s">
        <v>755</v>
      </c>
      <c r="F2633" s="123" t="s">
        <v>11875</v>
      </c>
      <c r="G2633" s="123" t="s">
        <v>11876</v>
      </c>
      <c r="H2633" s="123">
        <v>4421.0</v>
      </c>
      <c r="I2633" s="211" t="s">
        <v>3334</v>
      </c>
      <c r="J2633" s="103" t="s">
        <v>3575</v>
      </c>
      <c r="K2633" s="241">
        <v>1.0</v>
      </c>
      <c r="L2633" s="124">
        <v>3.874028854E9</v>
      </c>
    </row>
    <row r="2634">
      <c r="A2634" s="33" t="s">
        <v>11874</v>
      </c>
      <c r="B2634" s="122">
        <v>46053.0</v>
      </c>
      <c r="C2634" s="240">
        <v>8.07000034876E11</v>
      </c>
      <c r="D2634" s="240" t="s">
        <v>754</v>
      </c>
      <c r="E2634" s="240" t="s">
        <v>755</v>
      </c>
      <c r="F2634" s="123" t="s">
        <v>11875</v>
      </c>
      <c r="G2634" s="123" t="s">
        <v>11876</v>
      </c>
      <c r="H2634" s="123">
        <v>4421.0</v>
      </c>
      <c r="I2634" s="224" t="s">
        <v>758</v>
      </c>
      <c r="J2634" s="240" t="s">
        <v>3574</v>
      </c>
      <c r="K2634" s="242">
        <v>2.0</v>
      </c>
      <c r="L2634" s="124">
        <v>3.874028854E9</v>
      </c>
    </row>
    <row r="2635">
      <c r="A2635" s="33" t="s">
        <v>11877</v>
      </c>
      <c r="B2635" s="122">
        <v>46053.0</v>
      </c>
      <c r="C2635" s="103">
        <v>8.07000034895E11</v>
      </c>
      <c r="D2635" s="103" t="s">
        <v>9951</v>
      </c>
      <c r="E2635" s="103" t="s">
        <v>2841</v>
      </c>
      <c r="F2635" s="123" t="s">
        <v>11878</v>
      </c>
      <c r="G2635" s="123" t="s">
        <v>127</v>
      </c>
      <c r="H2635" s="123">
        <v>4400.0</v>
      </c>
      <c r="I2635" s="211" t="s">
        <v>5970</v>
      </c>
      <c r="J2635" s="103" t="s">
        <v>5347</v>
      </c>
      <c r="K2635" s="241">
        <v>1.0</v>
      </c>
      <c r="L2635" s="124">
        <v>3.874191995E9</v>
      </c>
    </row>
    <row r="2636">
      <c r="A2636" s="33" t="s">
        <v>11879</v>
      </c>
      <c r="B2636" s="122">
        <v>46053.0</v>
      </c>
      <c r="C2636" s="240">
        <v>8.07000034898E11</v>
      </c>
      <c r="D2636" s="240" t="s">
        <v>11880</v>
      </c>
      <c r="E2636" s="240" t="s">
        <v>11881</v>
      </c>
      <c r="F2636" s="123" t="s">
        <v>11882</v>
      </c>
      <c r="G2636" s="123" t="s">
        <v>127</v>
      </c>
      <c r="H2636" s="123">
        <v>4400.0</v>
      </c>
      <c r="I2636" s="224" t="s">
        <v>3154</v>
      </c>
      <c r="J2636" s="240" t="s">
        <v>4564</v>
      </c>
      <c r="K2636" s="242">
        <v>1.0</v>
      </c>
      <c r="L2636" s="124">
        <v>3.874838738E9</v>
      </c>
    </row>
    <row r="2637">
      <c r="A2637" s="33" t="s">
        <v>11883</v>
      </c>
      <c r="B2637" s="122">
        <v>46053.0</v>
      </c>
      <c r="C2637" s="103">
        <v>8.0501157011E11</v>
      </c>
      <c r="D2637" s="103" t="s">
        <v>11884</v>
      </c>
      <c r="E2637" s="103" t="s">
        <v>11885</v>
      </c>
      <c r="F2637" s="123" t="s">
        <v>11886</v>
      </c>
      <c r="G2637" s="241" t="s">
        <v>127</v>
      </c>
      <c r="H2637" s="241">
        <v>4400.0</v>
      </c>
      <c r="I2637" s="211" t="s">
        <v>5034</v>
      </c>
      <c r="J2637" s="103" t="s">
        <v>5035</v>
      </c>
      <c r="K2637" s="241">
        <v>1.0</v>
      </c>
      <c r="L2637" s="124">
        <v>3.874440184E9</v>
      </c>
    </row>
    <row r="2638">
      <c r="A2638" s="33" t="s">
        <v>11883</v>
      </c>
      <c r="B2638" s="122">
        <v>46053.0</v>
      </c>
      <c r="C2638" s="240">
        <v>8.0501157011E11</v>
      </c>
      <c r="D2638" s="240" t="s">
        <v>11884</v>
      </c>
      <c r="E2638" s="240" t="s">
        <v>11885</v>
      </c>
      <c r="F2638" s="123" t="s">
        <v>11886</v>
      </c>
      <c r="G2638" s="242" t="s">
        <v>127</v>
      </c>
      <c r="H2638" s="242">
        <v>4400.0</v>
      </c>
      <c r="I2638" s="224" t="s">
        <v>512</v>
      </c>
      <c r="J2638" s="240" t="s">
        <v>513</v>
      </c>
      <c r="K2638" s="242">
        <v>6.0</v>
      </c>
      <c r="L2638" s="124">
        <v>3.874440184E9</v>
      </c>
    </row>
    <row r="2639">
      <c r="A2639" s="33" t="s">
        <v>11883</v>
      </c>
      <c r="B2639" s="122">
        <v>46053.0</v>
      </c>
      <c r="C2639" s="103">
        <v>8.0501157011E11</v>
      </c>
      <c r="D2639" s="103" t="s">
        <v>11884</v>
      </c>
      <c r="E2639" s="103" t="s">
        <v>11885</v>
      </c>
      <c r="F2639" s="123" t="s">
        <v>11886</v>
      </c>
      <c r="G2639" s="241" t="s">
        <v>127</v>
      </c>
      <c r="H2639" s="241">
        <v>4400.0</v>
      </c>
      <c r="I2639" s="211" t="s">
        <v>670</v>
      </c>
      <c r="J2639" s="103" t="s">
        <v>3410</v>
      </c>
      <c r="K2639" s="241">
        <v>1.0</v>
      </c>
      <c r="L2639" s="124">
        <v>3.874440184E9</v>
      </c>
    </row>
    <row r="2640">
      <c r="A2640" s="33" t="s">
        <v>11887</v>
      </c>
      <c r="B2640" s="122">
        <v>46053.0</v>
      </c>
      <c r="C2640" s="240">
        <v>8.0700003489E11</v>
      </c>
      <c r="D2640" s="240" t="s">
        <v>11888</v>
      </c>
      <c r="E2640" s="240" t="s">
        <v>4725</v>
      </c>
      <c r="F2640" s="123" t="s">
        <v>11889</v>
      </c>
      <c r="G2640" s="242" t="s">
        <v>127</v>
      </c>
      <c r="H2640" s="242">
        <v>4400.0</v>
      </c>
      <c r="I2640" s="224" t="s">
        <v>11890</v>
      </c>
      <c r="J2640" s="240" t="s">
        <v>11891</v>
      </c>
      <c r="K2640" s="242">
        <v>2.0</v>
      </c>
      <c r="L2640" s="124">
        <v>3.875161117E9</v>
      </c>
    </row>
    <row r="2641">
      <c r="A2641" s="33" t="s">
        <v>11887</v>
      </c>
      <c r="B2641" s="122">
        <v>46053.0</v>
      </c>
      <c r="C2641" s="103">
        <v>8.0700003489E11</v>
      </c>
      <c r="D2641" s="103" t="s">
        <v>11888</v>
      </c>
      <c r="E2641" s="103" t="s">
        <v>4725</v>
      </c>
      <c r="F2641" s="123" t="s">
        <v>11889</v>
      </c>
      <c r="G2641" s="241" t="s">
        <v>127</v>
      </c>
      <c r="H2641" s="241">
        <v>4400.0</v>
      </c>
      <c r="I2641" s="211" t="s">
        <v>659</v>
      </c>
      <c r="J2641" s="103" t="s">
        <v>3468</v>
      </c>
      <c r="K2641" s="241">
        <v>1.0</v>
      </c>
      <c r="L2641" s="124">
        <v>3.875161117E9</v>
      </c>
    </row>
    <row r="2642" ht="3.75" customHeight="1">
      <c r="A2642" s="100"/>
      <c r="B2642" s="230"/>
      <c r="C2642" s="251"/>
      <c r="D2642" s="251"/>
      <c r="E2642" s="251"/>
      <c r="F2642" s="231"/>
      <c r="G2642" s="231"/>
      <c r="H2642" s="231"/>
      <c r="I2642" s="252"/>
      <c r="J2642" s="252"/>
      <c r="K2642" s="253"/>
      <c r="L2642" s="232"/>
      <c r="M2642" s="233"/>
      <c r="N2642" s="233"/>
      <c r="O2642" s="233"/>
      <c r="P2642" s="233"/>
      <c r="Q2642" s="233"/>
      <c r="R2642" s="233"/>
      <c r="S2642" s="233"/>
      <c r="T2642" s="233"/>
      <c r="U2642" s="233"/>
      <c r="V2642" s="233"/>
      <c r="W2642" s="233"/>
      <c r="X2642" s="233"/>
      <c r="Y2642" s="233"/>
      <c r="Z2642" s="233"/>
      <c r="AA2642" s="233"/>
      <c r="AB2642" s="233"/>
      <c r="AC2642" s="233"/>
    </row>
    <row r="2643">
      <c r="A2643" s="33" t="s">
        <v>11892</v>
      </c>
      <c r="B2643" s="122">
        <v>46055.0</v>
      </c>
      <c r="C2643" s="240">
        <v>8.07000034949E11</v>
      </c>
      <c r="D2643" s="240" t="s">
        <v>11893</v>
      </c>
      <c r="E2643" s="240" t="s">
        <v>11894</v>
      </c>
      <c r="F2643" s="242" t="s">
        <v>11895</v>
      </c>
      <c r="G2643" s="242" t="s">
        <v>11896</v>
      </c>
      <c r="H2643" s="242">
        <v>4400.0</v>
      </c>
      <c r="I2643" s="224" t="s">
        <v>1241</v>
      </c>
      <c r="J2643" s="240" t="s">
        <v>3500</v>
      </c>
      <c r="K2643" s="242">
        <v>1.0</v>
      </c>
      <c r="L2643" s="124">
        <v>3.875198106E9</v>
      </c>
    </row>
    <row r="2644">
      <c r="A2644" s="33" t="s">
        <v>11892</v>
      </c>
      <c r="B2644" s="122">
        <v>46055.0</v>
      </c>
      <c r="C2644" s="103">
        <v>8.07000034949E11</v>
      </c>
      <c r="D2644" s="103" t="s">
        <v>11893</v>
      </c>
      <c r="E2644" s="103" t="s">
        <v>11894</v>
      </c>
      <c r="F2644" s="241" t="s">
        <v>11895</v>
      </c>
      <c r="G2644" s="241" t="s">
        <v>11896</v>
      </c>
      <c r="H2644" s="241">
        <v>4400.0</v>
      </c>
      <c r="I2644" s="211" t="s">
        <v>512</v>
      </c>
      <c r="J2644" s="103" t="s">
        <v>513</v>
      </c>
      <c r="K2644" s="241">
        <v>6.0</v>
      </c>
      <c r="L2644" s="124">
        <v>3.875198106E9</v>
      </c>
    </row>
    <row r="2645">
      <c r="A2645" s="33" t="s">
        <v>11892</v>
      </c>
      <c r="B2645" s="122">
        <v>46055.0</v>
      </c>
      <c r="C2645" s="240">
        <v>8.07000034949E11</v>
      </c>
      <c r="D2645" s="240" t="s">
        <v>11893</v>
      </c>
      <c r="E2645" s="240" t="s">
        <v>11894</v>
      </c>
      <c r="F2645" s="242" t="s">
        <v>11895</v>
      </c>
      <c r="G2645" s="242" t="s">
        <v>11896</v>
      </c>
      <c r="H2645" s="242">
        <v>4400.0</v>
      </c>
      <c r="I2645" s="224" t="s">
        <v>169</v>
      </c>
      <c r="J2645" s="240" t="s">
        <v>4514</v>
      </c>
      <c r="K2645" s="242">
        <v>1.0</v>
      </c>
      <c r="L2645" s="124">
        <v>3.875198106E9</v>
      </c>
    </row>
    <row r="2646">
      <c r="A2646" s="33" t="s">
        <v>11897</v>
      </c>
      <c r="B2646" s="122">
        <v>46055.0</v>
      </c>
      <c r="C2646" s="240">
        <v>8.07000034964E11</v>
      </c>
      <c r="D2646" s="240" t="s">
        <v>11898</v>
      </c>
      <c r="E2646" s="240" t="s">
        <v>11899</v>
      </c>
      <c r="F2646" s="242" t="s">
        <v>11900</v>
      </c>
      <c r="G2646" s="242" t="s">
        <v>127</v>
      </c>
      <c r="H2646" s="242">
        <v>4400.0</v>
      </c>
      <c r="I2646" s="224" t="s">
        <v>512</v>
      </c>
      <c r="J2646" s="240" t="s">
        <v>513</v>
      </c>
      <c r="K2646" s="242">
        <v>6.0</v>
      </c>
      <c r="L2646" s="124">
        <v>3.875662313E9</v>
      </c>
    </row>
    <row r="2647">
      <c r="A2647" s="33" t="s">
        <v>11897</v>
      </c>
      <c r="B2647" s="122">
        <v>46055.0</v>
      </c>
      <c r="C2647" s="103">
        <v>8.07000034965E11</v>
      </c>
      <c r="D2647" s="103" t="s">
        <v>11898</v>
      </c>
      <c r="E2647" s="103" t="s">
        <v>11899</v>
      </c>
      <c r="F2647" s="241" t="s">
        <v>11900</v>
      </c>
      <c r="G2647" s="241" t="s">
        <v>127</v>
      </c>
      <c r="H2647" s="241">
        <v>4400.0</v>
      </c>
      <c r="I2647" s="211" t="s">
        <v>3131</v>
      </c>
      <c r="J2647" s="103" t="s">
        <v>3416</v>
      </c>
      <c r="K2647" s="241">
        <v>1.0</v>
      </c>
      <c r="L2647" s="124">
        <v>3.875662313E9</v>
      </c>
    </row>
    <row r="2648">
      <c r="A2648" s="33" t="s">
        <v>11897</v>
      </c>
      <c r="B2648" s="122">
        <v>46055.0</v>
      </c>
      <c r="C2648" s="240">
        <v>8.07000034965E11</v>
      </c>
      <c r="D2648" s="240" t="s">
        <v>11898</v>
      </c>
      <c r="E2648" s="240" t="s">
        <v>11899</v>
      </c>
      <c r="F2648" s="242" t="s">
        <v>11900</v>
      </c>
      <c r="G2648" s="242" t="s">
        <v>127</v>
      </c>
      <c r="H2648" s="242">
        <v>4400.0</v>
      </c>
      <c r="I2648" s="224" t="s">
        <v>35</v>
      </c>
      <c r="J2648" s="240" t="s">
        <v>3188</v>
      </c>
      <c r="K2648" s="242">
        <v>1.0</v>
      </c>
      <c r="L2648" s="124">
        <v>3.875662313E9</v>
      </c>
    </row>
    <row r="2649">
      <c r="A2649" s="33" t="s">
        <v>11901</v>
      </c>
      <c r="B2649" s="122">
        <v>46055.0</v>
      </c>
      <c r="C2649" s="103">
        <v>8.07000034966E11</v>
      </c>
      <c r="D2649" s="103" t="s">
        <v>11898</v>
      </c>
      <c r="E2649" s="103" t="s">
        <v>11899</v>
      </c>
      <c r="F2649" s="241" t="s">
        <v>11900</v>
      </c>
      <c r="G2649" s="241" t="s">
        <v>127</v>
      </c>
      <c r="H2649" s="241">
        <v>4400.0</v>
      </c>
      <c r="I2649" s="211">
        <v>125813.0</v>
      </c>
      <c r="J2649" s="103" t="s">
        <v>5703</v>
      </c>
      <c r="K2649" s="241">
        <v>2.0</v>
      </c>
      <c r="L2649" s="124">
        <v>3.875662313E9</v>
      </c>
    </row>
    <row r="2650">
      <c r="A2650" s="33" t="s">
        <v>11902</v>
      </c>
      <c r="B2650" s="122">
        <v>46055.0</v>
      </c>
      <c r="C2650" s="240"/>
      <c r="D2650" s="240" t="s">
        <v>11903</v>
      </c>
      <c r="E2650" s="240" t="s">
        <v>11904</v>
      </c>
      <c r="F2650" s="123" t="s">
        <v>11905</v>
      </c>
      <c r="G2650" s="123" t="s">
        <v>127</v>
      </c>
      <c r="H2650" s="123">
        <v>4400.0</v>
      </c>
      <c r="I2650" s="224" t="s">
        <v>11906</v>
      </c>
      <c r="J2650" s="224" t="s">
        <v>11907</v>
      </c>
      <c r="K2650" s="242">
        <v>1.0</v>
      </c>
      <c r="L2650" s="124">
        <v>3.875416777E9</v>
      </c>
    </row>
    <row r="2651">
      <c r="A2651" s="33" t="s">
        <v>11902</v>
      </c>
      <c r="B2651" s="122">
        <v>46055.0</v>
      </c>
      <c r="C2651" s="240"/>
      <c r="D2651" s="240" t="s">
        <v>11903</v>
      </c>
      <c r="E2651" s="240" t="s">
        <v>11904</v>
      </c>
      <c r="F2651" s="123" t="s">
        <v>11905</v>
      </c>
      <c r="G2651" s="123" t="s">
        <v>127</v>
      </c>
      <c r="H2651" s="123">
        <v>4400.0</v>
      </c>
      <c r="I2651" s="224" t="s">
        <v>11208</v>
      </c>
      <c r="J2651" s="224" t="s">
        <v>11908</v>
      </c>
      <c r="K2651" s="242">
        <v>1.0</v>
      </c>
      <c r="L2651" s="124">
        <v>3.875416777E9</v>
      </c>
    </row>
    <row r="2652">
      <c r="A2652" s="33" t="s">
        <v>11902</v>
      </c>
      <c r="B2652" s="122">
        <v>46055.0</v>
      </c>
      <c r="C2652" s="240"/>
      <c r="D2652" s="240" t="s">
        <v>11903</v>
      </c>
      <c r="E2652" s="240" t="s">
        <v>11904</v>
      </c>
      <c r="F2652" s="123" t="s">
        <v>11909</v>
      </c>
      <c r="G2652" s="123" t="s">
        <v>127</v>
      </c>
      <c r="H2652" s="123">
        <v>4400.0</v>
      </c>
      <c r="I2652" s="224" t="s">
        <v>512</v>
      </c>
      <c r="J2652" s="224" t="s">
        <v>513</v>
      </c>
      <c r="K2652" s="242">
        <v>6.0</v>
      </c>
      <c r="L2652" s="124">
        <v>3.875416777E9</v>
      </c>
    </row>
    <row r="2653">
      <c r="A2653" s="33" t="s">
        <v>11910</v>
      </c>
      <c r="B2653" s="122">
        <v>46055.0</v>
      </c>
      <c r="C2653" s="240"/>
      <c r="D2653" s="240" t="s">
        <v>11911</v>
      </c>
      <c r="E2653" s="240" t="s">
        <v>11912</v>
      </c>
      <c r="F2653" s="123" t="s">
        <v>11913</v>
      </c>
      <c r="G2653" s="123" t="s">
        <v>127</v>
      </c>
      <c r="H2653" s="123">
        <v>4400.0</v>
      </c>
      <c r="I2653" s="224" t="s">
        <v>11890</v>
      </c>
      <c r="J2653" s="224" t="s">
        <v>11914</v>
      </c>
      <c r="K2653" s="242">
        <v>2.0</v>
      </c>
      <c r="L2653" s="124"/>
    </row>
    <row r="2654">
      <c r="A2654" s="33" t="s">
        <v>11910</v>
      </c>
      <c r="B2654" s="122">
        <v>46055.0</v>
      </c>
      <c r="C2654" s="240"/>
      <c r="D2654" s="240" t="s">
        <v>11911</v>
      </c>
      <c r="E2654" s="240" t="s">
        <v>11912</v>
      </c>
      <c r="F2654" s="123" t="s">
        <v>11913</v>
      </c>
      <c r="G2654" s="123" t="s">
        <v>127</v>
      </c>
      <c r="H2654" s="123">
        <v>4400.0</v>
      </c>
      <c r="I2654" s="224">
        <v>2.2346229143E10</v>
      </c>
      <c r="J2654" s="224" t="s">
        <v>11915</v>
      </c>
      <c r="K2654" s="242">
        <v>1.0</v>
      </c>
      <c r="L2654" s="124"/>
    </row>
    <row r="2655">
      <c r="A2655" s="33" t="s">
        <v>11916</v>
      </c>
      <c r="B2655" s="122">
        <v>46055.0</v>
      </c>
      <c r="C2655" s="240">
        <v>8.07000034968E11</v>
      </c>
      <c r="D2655" s="240" t="s">
        <v>11917</v>
      </c>
      <c r="E2655" s="240" t="s">
        <v>11918</v>
      </c>
      <c r="F2655" s="123" t="s">
        <v>11919</v>
      </c>
      <c r="G2655" s="123" t="s">
        <v>127</v>
      </c>
      <c r="H2655" s="123">
        <v>4400.0</v>
      </c>
      <c r="I2655" s="224" t="s">
        <v>2537</v>
      </c>
      <c r="J2655" s="224" t="s">
        <v>11920</v>
      </c>
      <c r="K2655" s="242">
        <v>1.0</v>
      </c>
      <c r="L2655" s="124">
        <v>3.873036674E9</v>
      </c>
    </row>
    <row r="2656">
      <c r="A2656" s="33" t="s">
        <v>11921</v>
      </c>
      <c r="B2656" s="122">
        <v>46056.0</v>
      </c>
      <c r="C2656" s="103">
        <v>8.07000034915E11</v>
      </c>
      <c r="D2656" s="103" t="s">
        <v>5744</v>
      </c>
      <c r="E2656" s="103" t="s">
        <v>11922</v>
      </c>
      <c r="F2656" s="241" t="s">
        <v>11923</v>
      </c>
      <c r="G2656" s="241" t="s">
        <v>127</v>
      </c>
      <c r="H2656" s="241">
        <v>4400.0</v>
      </c>
      <c r="I2656" s="211" t="s">
        <v>812</v>
      </c>
      <c r="J2656" s="103" t="s">
        <v>3564</v>
      </c>
      <c r="K2656" s="241">
        <v>1.0</v>
      </c>
      <c r="L2656" s="124">
        <v>3.875365598E9</v>
      </c>
    </row>
    <row r="2657">
      <c r="A2657" s="33" t="s">
        <v>11924</v>
      </c>
      <c r="B2657" s="122">
        <v>46056.0</v>
      </c>
      <c r="C2657" s="240">
        <v>8.07000034975E11</v>
      </c>
      <c r="D2657" s="240" t="s">
        <v>11925</v>
      </c>
      <c r="E2657" s="240" t="s">
        <v>11926</v>
      </c>
      <c r="F2657" s="242" t="s">
        <v>11927</v>
      </c>
      <c r="G2657" s="242" t="s">
        <v>116</v>
      </c>
      <c r="H2657" s="242">
        <v>4400.0</v>
      </c>
      <c r="I2657" s="224" t="s">
        <v>947</v>
      </c>
      <c r="J2657" s="240" t="s">
        <v>3750</v>
      </c>
      <c r="K2657" s="242">
        <v>1.0</v>
      </c>
      <c r="L2657" s="124">
        <v>3.874663466E9</v>
      </c>
    </row>
    <row r="2658">
      <c r="A2658" s="33" t="s">
        <v>11928</v>
      </c>
      <c r="B2658" s="122">
        <v>46056.0</v>
      </c>
      <c r="C2658" s="103">
        <v>8.07000034976E11</v>
      </c>
      <c r="D2658" s="103" t="s">
        <v>11929</v>
      </c>
      <c r="E2658" s="103" t="s">
        <v>11930</v>
      </c>
      <c r="F2658" s="241" t="s">
        <v>11931</v>
      </c>
      <c r="G2658" s="241" t="s">
        <v>127</v>
      </c>
      <c r="H2658" s="241">
        <v>4400.0</v>
      </c>
      <c r="I2658" s="211">
        <v>125819.0</v>
      </c>
      <c r="J2658" s="103" t="s">
        <v>9858</v>
      </c>
      <c r="K2658" s="241">
        <v>2.0</v>
      </c>
      <c r="L2658" s="124">
        <v>1.131622812E9</v>
      </c>
    </row>
    <row r="2659">
      <c r="A2659" s="33" t="s">
        <v>11928</v>
      </c>
      <c r="B2659" s="122">
        <v>46056.0</v>
      </c>
      <c r="C2659" s="240">
        <v>8.07000034976E11</v>
      </c>
      <c r="D2659" s="240" t="s">
        <v>11929</v>
      </c>
      <c r="E2659" s="240" t="s">
        <v>11930</v>
      </c>
      <c r="F2659" s="242" t="s">
        <v>11931</v>
      </c>
      <c r="G2659" s="242" t="s">
        <v>127</v>
      </c>
      <c r="H2659" s="242">
        <v>4400.0</v>
      </c>
      <c r="I2659" s="224" t="s">
        <v>4976</v>
      </c>
      <c r="J2659" s="240" t="s">
        <v>4977</v>
      </c>
      <c r="K2659" s="242">
        <v>1.0</v>
      </c>
      <c r="L2659" s="124">
        <v>1.131622812E9</v>
      </c>
    </row>
    <row r="2660">
      <c r="A2660" s="33" t="s">
        <v>11928</v>
      </c>
      <c r="B2660" s="122">
        <v>46056.0</v>
      </c>
      <c r="C2660" s="103">
        <v>8.07000034977E11</v>
      </c>
      <c r="D2660" s="103" t="s">
        <v>11929</v>
      </c>
      <c r="E2660" s="103" t="s">
        <v>11930</v>
      </c>
      <c r="F2660" s="241" t="s">
        <v>11931</v>
      </c>
      <c r="G2660" s="241" t="s">
        <v>127</v>
      </c>
      <c r="H2660" s="241">
        <v>4400.0</v>
      </c>
      <c r="I2660" s="211" t="s">
        <v>11303</v>
      </c>
      <c r="J2660" s="103" t="s">
        <v>11304</v>
      </c>
      <c r="K2660" s="241">
        <v>1.0</v>
      </c>
      <c r="L2660" s="124">
        <v>1.131622812E9</v>
      </c>
    </row>
    <row r="2661">
      <c r="A2661" s="33" t="s">
        <v>11932</v>
      </c>
      <c r="B2661" s="122">
        <v>46057.0</v>
      </c>
      <c r="C2661" s="240">
        <v>8.07000034982E11</v>
      </c>
      <c r="D2661" s="240" t="s">
        <v>11933</v>
      </c>
      <c r="E2661" s="240" t="s">
        <v>11934</v>
      </c>
      <c r="F2661" s="242" t="s">
        <v>11935</v>
      </c>
      <c r="G2661" s="242" t="s">
        <v>127</v>
      </c>
      <c r="H2661" s="242">
        <v>4400.0</v>
      </c>
      <c r="I2661" s="224">
        <v>125811.0</v>
      </c>
      <c r="J2661" s="240" t="s">
        <v>6073</v>
      </c>
      <c r="K2661" s="242">
        <v>2.0</v>
      </c>
      <c r="L2661" s="124">
        <v>3.874453216E9</v>
      </c>
    </row>
    <row r="2662">
      <c r="A2662" s="33" t="s">
        <v>11932</v>
      </c>
      <c r="B2662" s="122">
        <v>46057.0</v>
      </c>
      <c r="C2662" s="103">
        <v>8.07000034982E11</v>
      </c>
      <c r="D2662" s="103" t="s">
        <v>11933</v>
      </c>
      <c r="E2662" s="103" t="s">
        <v>11934</v>
      </c>
      <c r="F2662" s="241" t="s">
        <v>11935</v>
      </c>
      <c r="G2662" s="241" t="s">
        <v>127</v>
      </c>
      <c r="H2662" s="241">
        <v>4400.0</v>
      </c>
      <c r="I2662" s="211" t="s">
        <v>298</v>
      </c>
      <c r="J2662" s="103" t="s">
        <v>6035</v>
      </c>
      <c r="K2662" s="241">
        <v>1.0</v>
      </c>
      <c r="L2662" s="124">
        <v>3.874453216E9</v>
      </c>
    </row>
    <row r="2663">
      <c r="A2663" s="33" t="s">
        <v>11932</v>
      </c>
      <c r="B2663" s="122">
        <v>46057.0</v>
      </c>
      <c r="C2663" s="240">
        <v>8.07000034982E11</v>
      </c>
      <c r="D2663" s="240" t="s">
        <v>11933</v>
      </c>
      <c r="E2663" s="240" t="s">
        <v>11934</v>
      </c>
      <c r="F2663" s="242" t="s">
        <v>11935</v>
      </c>
      <c r="G2663" s="242" t="s">
        <v>127</v>
      </c>
      <c r="H2663" s="242">
        <v>4400.0</v>
      </c>
      <c r="I2663" s="224" t="s">
        <v>512</v>
      </c>
      <c r="J2663" s="240" t="s">
        <v>513</v>
      </c>
      <c r="K2663" s="242">
        <v>12.0</v>
      </c>
      <c r="L2663" s="124">
        <v>3.874453216E9</v>
      </c>
    </row>
    <row r="2664">
      <c r="A2664" s="33" t="s">
        <v>11932</v>
      </c>
      <c r="B2664" s="122">
        <v>46057.0</v>
      </c>
      <c r="C2664" s="103">
        <v>8.07000034982E11</v>
      </c>
      <c r="D2664" s="103" t="s">
        <v>11933</v>
      </c>
      <c r="E2664" s="103" t="s">
        <v>11934</v>
      </c>
      <c r="F2664" s="241" t="s">
        <v>11935</v>
      </c>
      <c r="G2664" s="241" t="s">
        <v>127</v>
      </c>
      <c r="H2664" s="241">
        <v>4400.0</v>
      </c>
      <c r="I2664" s="211" t="s">
        <v>340</v>
      </c>
      <c r="J2664" s="103" t="s">
        <v>3486</v>
      </c>
      <c r="K2664" s="241">
        <v>2.0</v>
      </c>
      <c r="L2664" s="124">
        <v>3.874453216E9</v>
      </c>
    </row>
    <row r="2665">
      <c r="A2665" s="33" t="s">
        <v>11936</v>
      </c>
      <c r="B2665" s="122">
        <v>46057.0</v>
      </c>
      <c r="C2665" s="103">
        <v>8.07000034919E11</v>
      </c>
      <c r="D2665" s="103" t="s">
        <v>5802</v>
      </c>
      <c r="E2665" s="103" t="s">
        <v>5803</v>
      </c>
      <c r="F2665" s="241" t="s">
        <v>5804</v>
      </c>
      <c r="G2665" s="241" t="s">
        <v>20</v>
      </c>
      <c r="H2665" s="241">
        <v>4400.0</v>
      </c>
      <c r="I2665" s="211" t="s">
        <v>1241</v>
      </c>
      <c r="J2665" s="103" t="s">
        <v>3500</v>
      </c>
      <c r="K2665" s="241">
        <v>1.0</v>
      </c>
      <c r="L2665" s="124">
        <v>3.874556605E9</v>
      </c>
    </row>
    <row r="2666">
      <c r="A2666" s="33" t="s">
        <v>11936</v>
      </c>
      <c r="B2666" s="122">
        <v>46057.0</v>
      </c>
      <c r="C2666" s="240">
        <v>8.07000034919E11</v>
      </c>
      <c r="D2666" s="240" t="s">
        <v>5802</v>
      </c>
      <c r="E2666" s="240" t="s">
        <v>5803</v>
      </c>
      <c r="F2666" s="242" t="s">
        <v>5804</v>
      </c>
      <c r="G2666" s="242" t="s">
        <v>20</v>
      </c>
      <c r="H2666" s="242">
        <v>4400.0</v>
      </c>
      <c r="I2666" s="224" t="s">
        <v>761</v>
      </c>
      <c r="J2666" s="240" t="s">
        <v>3761</v>
      </c>
      <c r="K2666" s="242">
        <v>1.0</v>
      </c>
      <c r="L2666" s="124">
        <v>3.874556605E9</v>
      </c>
    </row>
    <row r="2667">
      <c r="A2667" s="33" t="s">
        <v>11936</v>
      </c>
      <c r="B2667" s="122">
        <v>46057.0</v>
      </c>
      <c r="C2667" s="103">
        <v>8.07000034919E11</v>
      </c>
      <c r="D2667" s="103" t="s">
        <v>5802</v>
      </c>
      <c r="E2667" s="103" t="s">
        <v>5803</v>
      </c>
      <c r="F2667" s="241" t="s">
        <v>5804</v>
      </c>
      <c r="G2667" s="241" t="s">
        <v>20</v>
      </c>
      <c r="H2667" s="241">
        <v>4400.0</v>
      </c>
      <c r="I2667" s="211" t="s">
        <v>512</v>
      </c>
      <c r="J2667" s="103" t="s">
        <v>513</v>
      </c>
      <c r="K2667" s="241">
        <v>12.0</v>
      </c>
      <c r="L2667" s="124">
        <v>3.874556605E9</v>
      </c>
    </row>
    <row r="2668">
      <c r="A2668" s="33" t="s">
        <v>11936</v>
      </c>
      <c r="B2668" s="122">
        <v>46057.0</v>
      </c>
      <c r="C2668" s="240">
        <v>8.07000034919E11</v>
      </c>
      <c r="D2668" s="240" t="s">
        <v>5802</v>
      </c>
      <c r="E2668" s="240" t="s">
        <v>5803</v>
      </c>
      <c r="F2668" s="242" t="s">
        <v>5804</v>
      </c>
      <c r="G2668" s="242" t="s">
        <v>20</v>
      </c>
      <c r="H2668" s="242">
        <v>4400.0</v>
      </c>
      <c r="I2668" s="224" t="s">
        <v>758</v>
      </c>
      <c r="J2668" s="240" t="s">
        <v>3574</v>
      </c>
      <c r="K2668" s="242">
        <v>2.0</v>
      </c>
      <c r="L2668" s="124">
        <v>3.874556605E9</v>
      </c>
    </row>
    <row r="2669">
      <c r="A2669" s="33" t="s">
        <v>11937</v>
      </c>
      <c r="B2669" s="122">
        <v>45692.0</v>
      </c>
      <c r="C2669" s="103">
        <v>8.07000034987E11</v>
      </c>
      <c r="D2669" s="103" t="s">
        <v>11938</v>
      </c>
      <c r="E2669" s="103" t="s">
        <v>11939</v>
      </c>
      <c r="F2669" s="123" t="s">
        <v>11940</v>
      </c>
      <c r="G2669" s="123" t="s">
        <v>104</v>
      </c>
      <c r="H2669" s="123">
        <v>4400.0</v>
      </c>
      <c r="I2669" s="211" t="s">
        <v>10560</v>
      </c>
      <c r="J2669" s="103" t="s">
        <v>10561</v>
      </c>
      <c r="K2669" s="241">
        <v>2.0</v>
      </c>
      <c r="L2669" s="124">
        <v>3.874550112E9</v>
      </c>
    </row>
    <row r="2670">
      <c r="A2670" s="33" t="s">
        <v>11941</v>
      </c>
      <c r="B2670" s="122">
        <v>46058.0</v>
      </c>
      <c r="C2670" s="103">
        <v>8.0700003499E11</v>
      </c>
      <c r="D2670" s="103" t="s">
        <v>11942</v>
      </c>
      <c r="E2670" s="103" t="s">
        <v>11943</v>
      </c>
      <c r="F2670" s="241" t="s">
        <v>11944</v>
      </c>
      <c r="G2670" s="241" t="s">
        <v>127</v>
      </c>
      <c r="H2670" s="241">
        <v>4400.0</v>
      </c>
      <c r="I2670" s="211" t="s">
        <v>5034</v>
      </c>
      <c r="J2670" s="103" t="s">
        <v>5035</v>
      </c>
      <c r="K2670" s="241">
        <v>1.0</v>
      </c>
      <c r="L2670" s="124">
        <v>3.87482402E9</v>
      </c>
    </row>
    <row r="2671">
      <c r="A2671" s="33" t="s">
        <v>11945</v>
      </c>
      <c r="B2671" s="122">
        <v>46058.0</v>
      </c>
      <c r="C2671" s="103">
        <v>8.07000034993E11</v>
      </c>
      <c r="D2671" s="103" t="s">
        <v>11946</v>
      </c>
      <c r="E2671" s="103" t="s">
        <v>11947</v>
      </c>
      <c r="F2671" s="241" t="s">
        <v>11948</v>
      </c>
      <c r="G2671" s="241" t="s">
        <v>127</v>
      </c>
      <c r="H2671" s="241">
        <v>4400.0</v>
      </c>
      <c r="I2671" s="211" t="s">
        <v>541</v>
      </c>
      <c r="J2671" s="103" t="s">
        <v>3947</v>
      </c>
      <c r="K2671" s="241">
        <v>1.0</v>
      </c>
      <c r="L2671" s="124">
        <v>3.874862737E9</v>
      </c>
    </row>
    <row r="2672">
      <c r="A2672" s="33" t="s">
        <v>11945</v>
      </c>
      <c r="B2672" s="122">
        <v>46058.0</v>
      </c>
      <c r="C2672" s="240">
        <v>8.07000034993E11</v>
      </c>
      <c r="D2672" s="240" t="s">
        <v>11946</v>
      </c>
      <c r="E2672" s="240" t="s">
        <v>11947</v>
      </c>
      <c r="F2672" s="242" t="s">
        <v>11948</v>
      </c>
      <c r="G2672" s="242" t="s">
        <v>127</v>
      </c>
      <c r="H2672" s="242">
        <v>4400.0</v>
      </c>
      <c r="I2672" s="224" t="s">
        <v>512</v>
      </c>
      <c r="J2672" s="240" t="s">
        <v>513</v>
      </c>
      <c r="K2672" s="242">
        <v>6.0</v>
      </c>
      <c r="L2672" s="124">
        <v>3.874862737E9</v>
      </c>
    </row>
    <row r="2673">
      <c r="A2673" s="33" t="s">
        <v>11945</v>
      </c>
      <c r="B2673" s="122">
        <v>46058.0</v>
      </c>
      <c r="C2673" s="103">
        <v>8.07000034993E11</v>
      </c>
      <c r="D2673" s="103" t="s">
        <v>11946</v>
      </c>
      <c r="E2673" s="103" t="s">
        <v>11947</v>
      </c>
      <c r="F2673" s="241" t="s">
        <v>11948</v>
      </c>
      <c r="G2673" s="241" t="s">
        <v>127</v>
      </c>
      <c r="H2673" s="241">
        <v>4400.0</v>
      </c>
      <c r="I2673" s="211" t="s">
        <v>1345</v>
      </c>
      <c r="J2673" s="103" t="s">
        <v>3639</v>
      </c>
      <c r="K2673" s="241">
        <v>1.0</v>
      </c>
      <c r="L2673" s="124">
        <v>3.874862737E9</v>
      </c>
    </row>
    <row r="2674">
      <c r="A2674" s="33" t="s">
        <v>11949</v>
      </c>
      <c r="B2674" s="122">
        <v>46058.0</v>
      </c>
      <c r="C2674" s="240">
        <v>8.07000034994E11</v>
      </c>
      <c r="D2674" s="240" t="s">
        <v>11946</v>
      </c>
      <c r="E2674" s="240" t="s">
        <v>11947</v>
      </c>
      <c r="F2674" s="242" t="s">
        <v>11948</v>
      </c>
      <c r="G2674" s="242" t="s">
        <v>127</v>
      </c>
      <c r="H2674" s="242">
        <v>4400.0</v>
      </c>
      <c r="I2674" s="224">
        <v>125807.0</v>
      </c>
      <c r="J2674" s="240" t="s">
        <v>237</v>
      </c>
      <c r="K2674" s="242">
        <v>1.0</v>
      </c>
      <c r="L2674" s="124">
        <v>3.874862737E9</v>
      </c>
    </row>
    <row r="2675">
      <c r="A2675" s="33" t="s">
        <v>11950</v>
      </c>
      <c r="B2675" s="122">
        <v>46059.0</v>
      </c>
      <c r="C2675" s="240">
        <v>8.07000035007E11</v>
      </c>
      <c r="D2675" s="240" t="s">
        <v>6467</v>
      </c>
      <c r="E2675" s="240" t="s">
        <v>11951</v>
      </c>
      <c r="F2675" s="242" t="s">
        <v>6469</v>
      </c>
      <c r="G2675" s="242" t="s">
        <v>1567</v>
      </c>
      <c r="H2675" s="242">
        <v>4400.0</v>
      </c>
      <c r="I2675" s="224" t="s">
        <v>11507</v>
      </c>
      <c r="J2675" s="240" t="s">
        <v>11508</v>
      </c>
      <c r="K2675" s="242">
        <v>1.0</v>
      </c>
      <c r="L2675" s="124">
        <v>3.873575474E9</v>
      </c>
    </row>
    <row r="2676">
      <c r="A2676" s="33" t="s">
        <v>11950</v>
      </c>
      <c r="B2676" s="122">
        <v>46059.0</v>
      </c>
      <c r="C2676" s="103">
        <v>8.07000035007E11</v>
      </c>
      <c r="D2676" s="103" t="s">
        <v>6467</v>
      </c>
      <c r="E2676" s="103" t="s">
        <v>11951</v>
      </c>
      <c r="F2676" s="241" t="s">
        <v>6469</v>
      </c>
      <c r="G2676" s="241" t="s">
        <v>1567</v>
      </c>
      <c r="H2676" s="241">
        <v>4400.0</v>
      </c>
      <c r="I2676" s="211" t="s">
        <v>3512</v>
      </c>
      <c r="J2676" s="103" t="s">
        <v>3513</v>
      </c>
      <c r="K2676" s="241">
        <v>6.0</v>
      </c>
      <c r="L2676" s="124">
        <v>3.873575474E9</v>
      </c>
    </row>
    <row r="2677">
      <c r="A2677" s="33" t="s">
        <v>11950</v>
      </c>
      <c r="B2677" s="122">
        <v>46059.0</v>
      </c>
      <c r="C2677" s="240">
        <v>8.07000035007E11</v>
      </c>
      <c r="D2677" s="240" t="s">
        <v>6467</v>
      </c>
      <c r="E2677" s="240" t="s">
        <v>11951</v>
      </c>
      <c r="F2677" s="242" t="s">
        <v>6469</v>
      </c>
      <c r="G2677" s="242" t="s">
        <v>1567</v>
      </c>
      <c r="H2677" s="242">
        <v>4400.0</v>
      </c>
      <c r="I2677" s="224" t="s">
        <v>3510</v>
      </c>
      <c r="J2677" s="240" t="s">
        <v>3511</v>
      </c>
      <c r="K2677" s="242">
        <v>1.0</v>
      </c>
      <c r="L2677" s="124">
        <v>3.873575474E9</v>
      </c>
    </row>
    <row r="2678">
      <c r="A2678" s="33" t="s">
        <v>11952</v>
      </c>
      <c r="B2678" s="122">
        <v>46059.0</v>
      </c>
      <c r="C2678" s="240">
        <v>8.07000035005E11</v>
      </c>
      <c r="D2678" s="240" t="s">
        <v>11953</v>
      </c>
      <c r="E2678" s="240" t="s">
        <v>11954</v>
      </c>
      <c r="F2678" s="242" t="s">
        <v>11955</v>
      </c>
      <c r="G2678" s="242" t="s">
        <v>104</v>
      </c>
      <c r="H2678" s="242">
        <v>4400.0</v>
      </c>
      <c r="I2678" s="224" t="s">
        <v>50</v>
      </c>
      <c r="J2678" s="240" t="s">
        <v>51</v>
      </c>
      <c r="K2678" s="242">
        <v>1.0</v>
      </c>
      <c r="L2678" s="124">
        <v>3.875205841E9</v>
      </c>
    </row>
    <row r="2679">
      <c r="A2679" s="33" t="s">
        <v>11952</v>
      </c>
      <c r="B2679" s="122">
        <v>46059.0</v>
      </c>
      <c r="C2679" s="103">
        <v>8.07000035005E11</v>
      </c>
      <c r="D2679" s="103" t="s">
        <v>11953</v>
      </c>
      <c r="E2679" s="103" t="s">
        <v>11954</v>
      </c>
      <c r="F2679" s="241" t="s">
        <v>11955</v>
      </c>
      <c r="G2679" s="241" t="s">
        <v>104</v>
      </c>
      <c r="H2679" s="241">
        <v>4400.0</v>
      </c>
      <c r="I2679" s="211" t="s">
        <v>512</v>
      </c>
      <c r="J2679" s="103" t="s">
        <v>513</v>
      </c>
      <c r="K2679" s="241">
        <v>6.0</v>
      </c>
      <c r="L2679" s="124">
        <v>3.875205841E9</v>
      </c>
    </row>
    <row r="2680">
      <c r="A2680" s="33" t="s">
        <v>11952</v>
      </c>
      <c r="B2680" s="122">
        <v>46059.0</v>
      </c>
      <c r="C2680" s="240">
        <v>8.07000035005E11</v>
      </c>
      <c r="D2680" s="240" t="s">
        <v>11953</v>
      </c>
      <c r="E2680" s="240" t="s">
        <v>11954</v>
      </c>
      <c r="F2680" s="242" t="s">
        <v>11955</v>
      </c>
      <c r="G2680" s="242" t="s">
        <v>104</v>
      </c>
      <c r="H2680" s="242">
        <v>4400.0</v>
      </c>
      <c r="I2680" s="224" t="s">
        <v>25</v>
      </c>
      <c r="J2680" s="240" t="s">
        <v>3401</v>
      </c>
      <c r="K2680" s="242">
        <v>1.0</v>
      </c>
      <c r="L2680" s="124">
        <v>3.875205841E9</v>
      </c>
    </row>
    <row r="2681">
      <c r="A2681" s="33" t="s">
        <v>11956</v>
      </c>
      <c r="B2681" s="122">
        <v>46059.0</v>
      </c>
      <c r="C2681" s="103">
        <v>8.0700003501E11</v>
      </c>
      <c r="D2681" s="103" t="s">
        <v>11957</v>
      </c>
      <c r="E2681" s="103" t="s">
        <v>11958</v>
      </c>
      <c r="F2681" s="241" t="s">
        <v>11959</v>
      </c>
      <c r="G2681" s="241" t="s">
        <v>127</v>
      </c>
      <c r="H2681" s="241">
        <v>4400.0</v>
      </c>
      <c r="I2681" s="211">
        <v>208502.0</v>
      </c>
      <c r="J2681" s="103" t="s">
        <v>4551</v>
      </c>
      <c r="K2681" s="241">
        <v>2.0</v>
      </c>
      <c r="L2681" s="124"/>
    </row>
    <row r="2682">
      <c r="A2682" s="33" t="s">
        <v>11956</v>
      </c>
      <c r="B2682" s="122">
        <v>46059.0</v>
      </c>
      <c r="C2682" s="240">
        <v>8.0700003501E11</v>
      </c>
      <c r="D2682" s="240" t="s">
        <v>11957</v>
      </c>
      <c r="E2682" s="240" t="s">
        <v>11958</v>
      </c>
      <c r="F2682" s="242" t="s">
        <v>11959</v>
      </c>
      <c r="G2682" s="242" t="s">
        <v>127</v>
      </c>
      <c r="H2682" s="242">
        <v>4400.0</v>
      </c>
      <c r="I2682" s="224" t="s">
        <v>4248</v>
      </c>
      <c r="J2682" s="240" t="s">
        <v>4249</v>
      </c>
      <c r="K2682" s="242">
        <v>1.0</v>
      </c>
      <c r="L2682" s="124"/>
    </row>
    <row r="2683">
      <c r="A2683" s="33" t="s">
        <v>11956</v>
      </c>
      <c r="B2683" s="122">
        <v>46059.0</v>
      </c>
      <c r="C2683" s="103">
        <v>8.0700003501E11</v>
      </c>
      <c r="D2683" s="103" t="s">
        <v>11957</v>
      </c>
      <c r="E2683" s="103" t="s">
        <v>11958</v>
      </c>
      <c r="F2683" s="241" t="s">
        <v>11959</v>
      </c>
      <c r="G2683" s="241" t="s">
        <v>127</v>
      </c>
      <c r="H2683" s="241">
        <v>4400.0</v>
      </c>
      <c r="I2683" s="211" t="s">
        <v>3512</v>
      </c>
      <c r="J2683" s="103" t="s">
        <v>3513</v>
      </c>
      <c r="K2683" s="241">
        <v>12.0</v>
      </c>
      <c r="L2683" s="124"/>
    </row>
    <row r="2684">
      <c r="A2684" s="33" t="s">
        <v>11956</v>
      </c>
      <c r="B2684" s="122">
        <v>46059.0</v>
      </c>
      <c r="C2684" s="240">
        <v>8.0700003501E11</v>
      </c>
      <c r="D2684" s="240" t="s">
        <v>11957</v>
      </c>
      <c r="E2684" s="240" t="s">
        <v>11958</v>
      </c>
      <c r="F2684" s="242" t="s">
        <v>11959</v>
      </c>
      <c r="G2684" s="242" t="s">
        <v>127</v>
      </c>
      <c r="H2684" s="242">
        <v>4400.0</v>
      </c>
      <c r="I2684" s="224" t="s">
        <v>4250</v>
      </c>
      <c r="J2684" s="240" t="s">
        <v>4251</v>
      </c>
      <c r="K2684" s="242">
        <v>2.0</v>
      </c>
      <c r="L2684" s="124"/>
    </row>
    <row r="2685">
      <c r="A2685" s="33" t="s">
        <v>11956</v>
      </c>
      <c r="B2685" s="122">
        <v>46059.0</v>
      </c>
      <c r="C2685" s="103">
        <v>8.07000035011E11</v>
      </c>
      <c r="D2685" s="103" t="s">
        <v>11957</v>
      </c>
      <c r="E2685" s="103" t="s">
        <v>11958</v>
      </c>
      <c r="F2685" s="241" t="s">
        <v>11959</v>
      </c>
      <c r="G2685" s="241" t="s">
        <v>127</v>
      </c>
      <c r="H2685" s="241">
        <v>4400.0</v>
      </c>
      <c r="I2685" s="211" t="s">
        <v>6773</v>
      </c>
      <c r="J2685" s="103" t="s">
        <v>11960</v>
      </c>
      <c r="K2685" s="241">
        <v>1.0</v>
      </c>
      <c r="L2685" s="124"/>
    </row>
    <row r="2686">
      <c r="A2686" s="33" t="s">
        <v>11956</v>
      </c>
      <c r="B2686" s="122">
        <v>46059.0</v>
      </c>
      <c r="C2686" s="240">
        <v>8.07000035012E11</v>
      </c>
      <c r="D2686" s="240" t="s">
        <v>11957</v>
      </c>
      <c r="E2686" s="240" t="s">
        <v>11958</v>
      </c>
      <c r="F2686" s="242" t="s">
        <v>11959</v>
      </c>
      <c r="G2686" s="242" t="s">
        <v>127</v>
      </c>
      <c r="H2686" s="242">
        <v>4400.0</v>
      </c>
      <c r="I2686" s="224" t="s">
        <v>4793</v>
      </c>
      <c r="J2686" s="240" t="s">
        <v>4794</v>
      </c>
      <c r="K2686" s="242">
        <v>1.0</v>
      </c>
      <c r="L2686" s="124"/>
    </row>
    <row r="2687">
      <c r="A2687" s="33" t="s">
        <v>11956</v>
      </c>
      <c r="B2687" s="122">
        <v>46059.0</v>
      </c>
      <c r="C2687" s="103">
        <v>8.07000035013E11</v>
      </c>
      <c r="D2687" s="103" t="s">
        <v>11957</v>
      </c>
      <c r="E2687" s="103" t="s">
        <v>11958</v>
      </c>
      <c r="F2687" s="241" t="s">
        <v>11959</v>
      </c>
      <c r="G2687" s="241" t="s">
        <v>127</v>
      </c>
      <c r="H2687" s="241">
        <v>4400.0</v>
      </c>
      <c r="I2687" s="211">
        <v>208502.0</v>
      </c>
      <c r="J2687" s="103" t="s">
        <v>4551</v>
      </c>
      <c r="K2687" s="241">
        <v>1.0</v>
      </c>
      <c r="L2687" s="124"/>
    </row>
    <row r="2688">
      <c r="A2688" s="33" t="s">
        <v>11961</v>
      </c>
      <c r="B2688" s="122">
        <v>46059.0</v>
      </c>
      <c r="C2688" s="240">
        <v>8.07000035004E11</v>
      </c>
      <c r="D2688" s="240" t="s">
        <v>11962</v>
      </c>
      <c r="E2688" s="240" t="s">
        <v>11963</v>
      </c>
      <c r="F2688" s="242" t="s">
        <v>11964</v>
      </c>
      <c r="G2688" s="242" t="s">
        <v>127</v>
      </c>
      <c r="H2688" s="242">
        <v>4400.0</v>
      </c>
      <c r="I2688" s="224" t="s">
        <v>3131</v>
      </c>
      <c r="J2688" s="240" t="s">
        <v>3416</v>
      </c>
      <c r="K2688" s="242">
        <v>1.0</v>
      </c>
      <c r="L2688" s="124">
        <v>3.875839069E9</v>
      </c>
    </row>
    <row r="2689">
      <c r="A2689" s="33" t="s">
        <v>11965</v>
      </c>
      <c r="B2689" s="122">
        <v>46059.0</v>
      </c>
      <c r="C2689" s="103">
        <v>8.07000035014E11</v>
      </c>
      <c r="D2689" s="103" t="s">
        <v>11966</v>
      </c>
      <c r="E2689" s="103" t="s">
        <v>11967</v>
      </c>
      <c r="F2689" s="241" t="s">
        <v>11968</v>
      </c>
      <c r="G2689" s="241" t="s">
        <v>127</v>
      </c>
      <c r="H2689" s="241">
        <v>4400.0</v>
      </c>
      <c r="I2689" s="211" t="s">
        <v>2956</v>
      </c>
      <c r="J2689" s="103" t="s">
        <v>3327</v>
      </c>
      <c r="K2689" s="241">
        <v>1.0</v>
      </c>
      <c r="L2689" s="124">
        <v>3.872102107E9</v>
      </c>
    </row>
    <row r="2690">
      <c r="A2690" s="33" t="s">
        <v>11969</v>
      </c>
      <c r="B2690" s="122">
        <v>46059.0</v>
      </c>
      <c r="C2690" s="240">
        <v>8.07000034969E11</v>
      </c>
      <c r="D2690" s="240" t="s">
        <v>4724</v>
      </c>
      <c r="E2690" s="240" t="s">
        <v>4725</v>
      </c>
      <c r="F2690" s="242" t="s">
        <v>11970</v>
      </c>
      <c r="G2690" s="242" t="s">
        <v>20</v>
      </c>
      <c r="H2690" s="242" t="s">
        <v>1878</v>
      </c>
      <c r="I2690" s="224" t="s">
        <v>7741</v>
      </c>
      <c r="J2690" s="240" t="s">
        <v>7742</v>
      </c>
      <c r="K2690" s="242">
        <v>1.0</v>
      </c>
      <c r="L2690" s="124">
        <v>4321073.0</v>
      </c>
    </row>
    <row r="2691">
      <c r="A2691" s="33" t="s">
        <v>11969</v>
      </c>
      <c r="B2691" s="122">
        <v>46059.0</v>
      </c>
      <c r="C2691" s="103">
        <v>8.0700003497E11</v>
      </c>
      <c r="D2691" s="103" t="s">
        <v>4724</v>
      </c>
      <c r="E2691" s="103" t="s">
        <v>4725</v>
      </c>
      <c r="F2691" s="241" t="s">
        <v>11971</v>
      </c>
      <c r="G2691" s="241" t="s">
        <v>20</v>
      </c>
      <c r="H2691" s="241" t="s">
        <v>1878</v>
      </c>
      <c r="I2691" s="211">
        <v>125814.0</v>
      </c>
      <c r="J2691" s="103" t="s">
        <v>9798</v>
      </c>
      <c r="K2691" s="241">
        <v>2.0</v>
      </c>
      <c r="L2691" s="124">
        <v>4321073.0</v>
      </c>
    </row>
    <row r="2692">
      <c r="A2692" s="33" t="s">
        <v>11972</v>
      </c>
      <c r="B2692" s="122">
        <v>46059.0</v>
      </c>
      <c r="C2692" s="240">
        <v>8.07000034988E11</v>
      </c>
      <c r="D2692" s="240" t="s">
        <v>11973</v>
      </c>
      <c r="E2692" s="240" t="s">
        <v>11974</v>
      </c>
      <c r="F2692" s="242" t="s">
        <v>11975</v>
      </c>
      <c r="G2692" s="242" t="s">
        <v>127</v>
      </c>
      <c r="H2692" s="242">
        <v>4400.0</v>
      </c>
      <c r="I2692" s="224">
        <v>125810.0</v>
      </c>
      <c r="J2692" s="240" t="s">
        <v>4672</v>
      </c>
      <c r="K2692" s="242">
        <v>2.0</v>
      </c>
      <c r="L2692" s="124"/>
    </row>
    <row r="2693">
      <c r="A2693" s="33" t="s">
        <v>11972</v>
      </c>
      <c r="B2693" s="122">
        <v>46059.0</v>
      </c>
      <c r="C2693" s="103">
        <v>8.07000034989E11</v>
      </c>
      <c r="D2693" s="103" t="s">
        <v>11973</v>
      </c>
      <c r="E2693" s="103" t="s">
        <v>11974</v>
      </c>
      <c r="F2693" s="241" t="s">
        <v>11975</v>
      </c>
      <c r="G2693" s="241" t="s">
        <v>127</v>
      </c>
      <c r="H2693" s="241">
        <v>4400.0</v>
      </c>
      <c r="I2693" s="211" t="s">
        <v>5842</v>
      </c>
      <c r="J2693" s="103" t="s">
        <v>5843</v>
      </c>
      <c r="K2693" s="241">
        <v>1.0</v>
      </c>
      <c r="L2693" s="124"/>
    </row>
    <row r="2694">
      <c r="A2694" s="33" t="s">
        <v>11972</v>
      </c>
      <c r="B2694" s="122">
        <v>46059.0</v>
      </c>
      <c r="C2694" s="240">
        <v>8.07000034989E11</v>
      </c>
      <c r="D2694" s="240" t="s">
        <v>11973</v>
      </c>
      <c r="E2694" s="240" t="s">
        <v>11974</v>
      </c>
      <c r="F2694" s="242" t="s">
        <v>11975</v>
      </c>
      <c r="G2694" s="242" t="s">
        <v>127</v>
      </c>
      <c r="H2694" s="242">
        <v>4400.0</v>
      </c>
      <c r="I2694" s="224" t="s">
        <v>3131</v>
      </c>
      <c r="J2694" s="240" t="s">
        <v>3416</v>
      </c>
      <c r="K2694" s="242">
        <v>1.0</v>
      </c>
      <c r="L2694" s="124"/>
    </row>
    <row r="2695">
      <c r="A2695" s="33" t="s">
        <v>11976</v>
      </c>
      <c r="B2695" s="122">
        <v>46059.0</v>
      </c>
      <c r="C2695" s="240">
        <v>8.07000034736E11</v>
      </c>
      <c r="D2695" s="240" t="s">
        <v>5696</v>
      </c>
      <c r="E2695" s="240" t="s">
        <v>5697</v>
      </c>
      <c r="F2695" s="242" t="s">
        <v>5698</v>
      </c>
      <c r="G2695" s="242" t="s">
        <v>2907</v>
      </c>
      <c r="H2695" s="242">
        <v>4400.0</v>
      </c>
      <c r="I2695" s="224">
        <v>125813.0</v>
      </c>
      <c r="J2695" s="240" t="s">
        <v>5703</v>
      </c>
      <c r="K2695" s="242">
        <v>10.0</v>
      </c>
      <c r="L2695" s="124">
        <v>3.874432518E9</v>
      </c>
    </row>
    <row r="2696">
      <c r="A2696" s="33" t="s">
        <v>11976</v>
      </c>
      <c r="B2696" s="122">
        <v>46059.0</v>
      </c>
      <c r="C2696" s="103">
        <v>8.07000034736E11</v>
      </c>
      <c r="D2696" s="103" t="s">
        <v>5696</v>
      </c>
      <c r="E2696" s="103" t="s">
        <v>5697</v>
      </c>
      <c r="F2696" s="241" t="s">
        <v>5698</v>
      </c>
      <c r="G2696" s="241" t="s">
        <v>2907</v>
      </c>
      <c r="H2696" s="241">
        <v>4400.0</v>
      </c>
      <c r="I2696" s="211">
        <v>125814.0</v>
      </c>
      <c r="J2696" s="103" t="s">
        <v>9798</v>
      </c>
      <c r="K2696" s="241">
        <v>4.0</v>
      </c>
      <c r="L2696" s="124">
        <v>3.874432518E9</v>
      </c>
    </row>
    <row r="2697">
      <c r="A2697" s="33" t="s">
        <v>11976</v>
      </c>
      <c r="B2697" s="122">
        <v>46059.0</v>
      </c>
      <c r="C2697" s="240">
        <v>8.07000034736E11</v>
      </c>
      <c r="D2697" s="240" t="s">
        <v>5696</v>
      </c>
      <c r="E2697" s="240" t="s">
        <v>5697</v>
      </c>
      <c r="F2697" s="242" t="s">
        <v>5698</v>
      </c>
      <c r="G2697" s="242" t="s">
        <v>2907</v>
      </c>
      <c r="H2697" s="242">
        <v>4400.0</v>
      </c>
      <c r="I2697" s="224">
        <v>208501.0</v>
      </c>
      <c r="J2697" s="240" t="s">
        <v>481</v>
      </c>
      <c r="K2697" s="242">
        <v>6.0</v>
      </c>
      <c r="L2697" s="124">
        <v>3.874432518E9</v>
      </c>
    </row>
    <row r="2698">
      <c r="A2698" s="33" t="s">
        <v>11976</v>
      </c>
      <c r="B2698" s="122">
        <v>46059.0</v>
      </c>
      <c r="C2698" s="103">
        <v>8.07000034736E11</v>
      </c>
      <c r="D2698" s="103" t="s">
        <v>5696</v>
      </c>
      <c r="E2698" s="103" t="s">
        <v>5697</v>
      </c>
      <c r="F2698" s="241" t="s">
        <v>5698</v>
      </c>
      <c r="G2698" s="241" t="s">
        <v>2907</v>
      </c>
      <c r="H2698" s="241">
        <v>4400.0</v>
      </c>
      <c r="I2698" s="211" t="s">
        <v>512</v>
      </c>
      <c r="J2698" s="103" t="s">
        <v>513</v>
      </c>
      <c r="K2698" s="241">
        <v>24.0</v>
      </c>
      <c r="L2698" s="124">
        <v>3.874432518E9</v>
      </c>
    </row>
    <row r="2699">
      <c r="A2699" s="33" t="s">
        <v>11976</v>
      </c>
      <c r="B2699" s="122">
        <v>46059.0</v>
      </c>
      <c r="C2699" s="240">
        <v>8.07000034736E11</v>
      </c>
      <c r="D2699" s="240" t="s">
        <v>5696</v>
      </c>
      <c r="E2699" s="240" t="s">
        <v>5697</v>
      </c>
      <c r="F2699" s="242" t="s">
        <v>5698</v>
      </c>
      <c r="G2699" s="242" t="s">
        <v>2907</v>
      </c>
      <c r="H2699" s="242">
        <v>4400.0</v>
      </c>
      <c r="I2699" s="224" t="s">
        <v>8983</v>
      </c>
      <c r="J2699" s="240" t="s">
        <v>8984</v>
      </c>
      <c r="K2699" s="242">
        <v>3.0</v>
      </c>
      <c r="L2699" s="124">
        <v>3.874432518E9</v>
      </c>
    </row>
    <row r="2700">
      <c r="A2700" s="33" t="s">
        <v>11976</v>
      </c>
      <c r="B2700" s="122">
        <v>46059.0</v>
      </c>
      <c r="C2700" s="103">
        <v>8.07000034736E11</v>
      </c>
      <c r="D2700" s="103" t="s">
        <v>5696</v>
      </c>
      <c r="E2700" s="103" t="s">
        <v>5697</v>
      </c>
      <c r="F2700" s="241" t="s">
        <v>5698</v>
      </c>
      <c r="G2700" s="241" t="s">
        <v>2907</v>
      </c>
      <c r="H2700" s="241">
        <v>4400.0</v>
      </c>
      <c r="I2700" s="211" t="s">
        <v>10959</v>
      </c>
      <c r="J2700" s="103" t="s">
        <v>10960</v>
      </c>
      <c r="K2700" s="241">
        <v>2.0</v>
      </c>
      <c r="L2700" s="124">
        <v>3.874432518E9</v>
      </c>
    </row>
    <row r="2701">
      <c r="A2701" s="33" t="s">
        <v>11976</v>
      </c>
      <c r="B2701" s="122">
        <v>46059.0</v>
      </c>
      <c r="C2701" s="240">
        <v>8.07000034737E11</v>
      </c>
      <c r="D2701" s="240" t="s">
        <v>5696</v>
      </c>
      <c r="E2701" s="240" t="s">
        <v>5697</v>
      </c>
      <c r="F2701" s="242" t="s">
        <v>5698</v>
      </c>
      <c r="G2701" s="242" t="s">
        <v>2907</v>
      </c>
      <c r="H2701" s="242">
        <v>4400.0</v>
      </c>
      <c r="I2701" s="224" t="s">
        <v>5842</v>
      </c>
      <c r="J2701" s="240" t="s">
        <v>5843</v>
      </c>
      <c r="K2701" s="242">
        <v>3.0</v>
      </c>
      <c r="L2701" s="124">
        <v>3.874432518E9</v>
      </c>
    </row>
    <row r="2702">
      <c r="A2702" s="33" t="s">
        <v>11976</v>
      </c>
      <c r="B2702" s="122">
        <v>46059.0</v>
      </c>
      <c r="C2702" s="103">
        <v>8.07000034737E11</v>
      </c>
      <c r="D2702" s="103" t="s">
        <v>5696</v>
      </c>
      <c r="E2702" s="103" t="s">
        <v>5697</v>
      </c>
      <c r="F2702" s="241" t="s">
        <v>5698</v>
      </c>
      <c r="G2702" s="241" t="s">
        <v>2907</v>
      </c>
      <c r="H2702" s="241">
        <v>4400.0</v>
      </c>
      <c r="I2702" s="211" t="s">
        <v>4899</v>
      </c>
      <c r="J2702" s="103" t="s">
        <v>4900</v>
      </c>
      <c r="K2702" s="241">
        <v>2.0</v>
      </c>
      <c r="L2702" s="124">
        <v>3.874432518E9</v>
      </c>
    </row>
    <row r="2703">
      <c r="A2703" s="33" t="s">
        <v>11976</v>
      </c>
      <c r="B2703" s="122">
        <v>46059.0</v>
      </c>
      <c r="C2703" s="240">
        <v>8.07000034737E11</v>
      </c>
      <c r="D2703" s="240" t="s">
        <v>5696</v>
      </c>
      <c r="E2703" s="240" t="s">
        <v>5697</v>
      </c>
      <c r="F2703" s="242" t="s">
        <v>5698</v>
      </c>
      <c r="G2703" s="242" t="s">
        <v>2907</v>
      </c>
      <c r="H2703" s="242">
        <v>4400.0</v>
      </c>
      <c r="I2703" s="224" t="s">
        <v>9295</v>
      </c>
      <c r="J2703" s="240" t="s">
        <v>9296</v>
      </c>
      <c r="K2703" s="242">
        <v>1.0</v>
      </c>
      <c r="L2703" s="124">
        <v>3.874432518E9</v>
      </c>
    </row>
    <row r="2704">
      <c r="A2704" s="33" t="s">
        <v>11976</v>
      </c>
      <c r="B2704" s="122">
        <v>46059.0</v>
      </c>
      <c r="C2704" s="103">
        <v>8.07000034738E11</v>
      </c>
      <c r="D2704" s="103" t="s">
        <v>5696</v>
      </c>
      <c r="E2704" s="103" t="s">
        <v>5697</v>
      </c>
      <c r="F2704" s="241" t="s">
        <v>5698</v>
      </c>
      <c r="G2704" s="241" t="s">
        <v>2907</v>
      </c>
      <c r="H2704" s="241">
        <v>4400.0</v>
      </c>
      <c r="I2704" s="211" t="s">
        <v>233</v>
      </c>
      <c r="J2704" s="103" t="s">
        <v>3459</v>
      </c>
      <c r="K2704" s="241">
        <v>4.0</v>
      </c>
      <c r="L2704" s="124">
        <v>3.874432518E9</v>
      </c>
    </row>
    <row r="2705">
      <c r="A2705" s="33" t="s">
        <v>11977</v>
      </c>
      <c r="B2705" s="122">
        <v>46059.0</v>
      </c>
      <c r="C2705" s="103">
        <v>8.07000034882E11</v>
      </c>
      <c r="D2705" s="103" t="s">
        <v>5787</v>
      </c>
      <c r="E2705" s="103" t="s">
        <v>5788</v>
      </c>
      <c r="F2705" s="241" t="s">
        <v>5789</v>
      </c>
      <c r="G2705" s="241" t="s">
        <v>127</v>
      </c>
      <c r="H2705" s="241">
        <v>4400.0</v>
      </c>
      <c r="I2705" s="211">
        <v>118.0</v>
      </c>
      <c r="J2705" s="103" t="s">
        <v>11978</v>
      </c>
      <c r="K2705" s="241">
        <v>1.0</v>
      </c>
      <c r="L2705" s="124">
        <v>3.874034353E9</v>
      </c>
    </row>
    <row r="2706">
      <c r="A2706" s="33" t="s">
        <v>11977</v>
      </c>
      <c r="B2706" s="122">
        <v>46059.0</v>
      </c>
      <c r="C2706" s="240">
        <v>8.07000034882E11</v>
      </c>
      <c r="D2706" s="240" t="s">
        <v>5787</v>
      </c>
      <c r="E2706" s="240" t="s">
        <v>5788</v>
      </c>
      <c r="F2706" s="242" t="s">
        <v>5789</v>
      </c>
      <c r="G2706" s="242" t="s">
        <v>127</v>
      </c>
      <c r="H2706" s="242">
        <v>4400.0</v>
      </c>
      <c r="I2706" s="224">
        <v>125822.0</v>
      </c>
      <c r="J2706" s="240" t="s">
        <v>6030</v>
      </c>
      <c r="K2706" s="242">
        <v>2.0</v>
      </c>
      <c r="L2706" s="124">
        <v>3.874034353E9</v>
      </c>
    </row>
    <row r="2707">
      <c r="A2707" s="33" t="s">
        <v>11977</v>
      </c>
      <c r="B2707" s="122">
        <v>46059.0</v>
      </c>
      <c r="C2707" s="103">
        <v>5.3100000066E10</v>
      </c>
      <c r="D2707" s="103" t="s">
        <v>5787</v>
      </c>
      <c r="E2707" s="103" t="s">
        <v>5788</v>
      </c>
      <c r="F2707" s="241" t="s">
        <v>5789</v>
      </c>
      <c r="G2707" s="241" t="s">
        <v>127</v>
      </c>
      <c r="H2707" s="241">
        <v>4400.0</v>
      </c>
      <c r="I2707" s="211" t="s">
        <v>4070</v>
      </c>
      <c r="J2707" s="103" t="s">
        <v>6264</v>
      </c>
      <c r="K2707" s="241">
        <v>1.0</v>
      </c>
      <c r="L2707" s="124">
        <v>3.874034353E9</v>
      </c>
    </row>
    <row r="2708">
      <c r="A2708" s="33" t="s">
        <v>11979</v>
      </c>
      <c r="B2708" s="122">
        <v>46059.0</v>
      </c>
      <c r="C2708" s="103">
        <v>8.07000034904E11</v>
      </c>
      <c r="D2708" s="103" t="s">
        <v>5808</v>
      </c>
      <c r="E2708" s="103" t="s">
        <v>5809</v>
      </c>
      <c r="F2708" s="241" t="s">
        <v>5810</v>
      </c>
      <c r="G2708" s="241" t="s">
        <v>127</v>
      </c>
      <c r="H2708" s="241">
        <v>4400.0</v>
      </c>
      <c r="I2708" s="211">
        <v>125812.0</v>
      </c>
      <c r="J2708" s="103" t="s">
        <v>9317</v>
      </c>
      <c r="K2708" s="241">
        <v>2.0</v>
      </c>
      <c r="L2708" s="124">
        <v>3.874068039E9</v>
      </c>
    </row>
    <row r="2709">
      <c r="A2709" s="33" t="s">
        <v>11980</v>
      </c>
      <c r="B2709" s="122">
        <v>46060.0</v>
      </c>
      <c r="C2709" s="103">
        <v>8.07000035044E11</v>
      </c>
      <c r="D2709" s="103" t="s">
        <v>5802</v>
      </c>
      <c r="E2709" s="103" t="s">
        <v>5803</v>
      </c>
      <c r="F2709" s="241" t="s">
        <v>5804</v>
      </c>
      <c r="G2709" s="241" t="s">
        <v>20</v>
      </c>
      <c r="H2709" s="241">
        <v>4400.0</v>
      </c>
      <c r="I2709" s="211" t="s">
        <v>10358</v>
      </c>
      <c r="J2709" s="103" t="s">
        <v>10359</v>
      </c>
      <c r="K2709" s="241">
        <v>1.0</v>
      </c>
      <c r="L2709" s="124">
        <v>3.874556605E9</v>
      </c>
    </row>
    <row r="2710">
      <c r="A2710" s="33" t="s">
        <v>11981</v>
      </c>
      <c r="B2710" s="293">
        <v>46062.0</v>
      </c>
      <c r="C2710" s="103">
        <v>8.07000035065E11</v>
      </c>
      <c r="D2710" s="103" t="s">
        <v>11982</v>
      </c>
      <c r="E2710" s="103" t="s">
        <v>11983</v>
      </c>
      <c r="F2710" s="241" t="s">
        <v>11984</v>
      </c>
      <c r="G2710" s="241" t="s">
        <v>127</v>
      </c>
      <c r="H2710" s="241">
        <v>4400.0</v>
      </c>
      <c r="I2710" s="211" t="s">
        <v>4070</v>
      </c>
      <c r="J2710" s="103" t="s">
        <v>6264</v>
      </c>
      <c r="K2710" s="241">
        <v>1.0</v>
      </c>
      <c r="L2710" s="124">
        <v>3.875043969E9</v>
      </c>
    </row>
    <row r="2711">
      <c r="A2711" s="33" t="s">
        <v>11981</v>
      </c>
      <c r="B2711" s="293">
        <v>46062.0</v>
      </c>
      <c r="C2711" s="103">
        <v>8.07000035015E11</v>
      </c>
      <c r="D2711" s="103" t="s">
        <v>11982</v>
      </c>
      <c r="E2711" s="103" t="s">
        <v>11983</v>
      </c>
      <c r="F2711" s="241" t="s">
        <v>11984</v>
      </c>
      <c r="G2711" s="241" t="s">
        <v>127</v>
      </c>
      <c r="H2711" s="241">
        <v>4400.0</v>
      </c>
      <c r="I2711" s="211">
        <v>125817.0</v>
      </c>
      <c r="J2711" s="103" t="s">
        <v>10650</v>
      </c>
      <c r="K2711" s="241">
        <v>2.0</v>
      </c>
      <c r="L2711" s="124">
        <v>3.875043969E9</v>
      </c>
    </row>
    <row r="2712">
      <c r="A2712" s="33" t="s">
        <v>11985</v>
      </c>
      <c r="B2712" s="293">
        <v>46062.0</v>
      </c>
      <c r="C2712" s="240">
        <v>8.07000035016E11</v>
      </c>
      <c r="D2712" s="240" t="s">
        <v>11982</v>
      </c>
      <c r="E2712" s="240" t="s">
        <v>11983</v>
      </c>
      <c r="F2712" s="242" t="s">
        <v>11984</v>
      </c>
      <c r="G2712" s="242" t="s">
        <v>127</v>
      </c>
      <c r="H2712" s="242">
        <v>4400.0</v>
      </c>
      <c r="I2712" s="224" t="s">
        <v>512</v>
      </c>
      <c r="J2712" s="240" t="s">
        <v>513</v>
      </c>
      <c r="K2712" s="242">
        <v>6.0</v>
      </c>
      <c r="L2712" s="124">
        <v>3.875043969E9</v>
      </c>
    </row>
    <row r="2713">
      <c r="A2713" s="33" t="s">
        <v>11985</v>
      </c>
      <c r="B2713" s="293">
        <v>46062.0</v>
      </c>
      <c r="C2713" s="103">
        <v>8.07000035017E11</v>
      </c>
      <c r="D2713" s="103" t="s">
        <v>11982</v>
      </c>
      <c r="E2713" s="103" t="s">
        <v>11983</v>
      </c>
      <c r="F2713" s="241" t="s">
        <v>11984</v>
      </c>
      <c r="G2713" s="241" t="s">
        <v>127</v>
      </c>
      <c r="H2713" s="241">
        <v>4400.0</v>
      </c>
      <c r="I2713" s="211" t="s">
        <v>812</v>
      </c>
      <c r="J2713" s="103" t="s">
        <v>3564</v>
      </c>
      <c r="K2713" s="241">
        <v>1.0</v>
      </c>
      <c r="L2713" s="124">
        <v>3.875043969E9</v>
      </c>
    </row>
    <row r="2714">
      <c r="A2714" s="33" t="s">
        <v>11985</v>
      </c>
      <c r="B2714" s="293">
        <v>46062.0</v>
      </c>
      <c r="C2714" s="240">
        <v>8.07000035017E11</v>
      </c>
      <c r="D2714" s="240" t="s">
        <v>11982</v>
      </c>
      <c r="E2714" s="240" t="s">
        <v>11983</v>
      </c>
      <c r="F2714" s="242" t="s">
        <v>11984</v>
      </c>
      <c r="G2714" s="242" t="s">
        <v>127</v>
      </c>
      <c r="H2714" s="242">
        <v>4400.0</v>
      </c>
      <c r="I2714" s="224" t="s">
        <v>35</v>
      </c>
      <c r="J2714" s="240" t="s">
        <v>3188</v>
      </c>
      <c r="K2714" s="242">
        <v>1.0</v>
      </c>
      <c r="L2714" s="124">
        <v>3.875043969E9</v>
      </c>
    </row>
    <row r="2715">
      <c r="A2715" s="33" t="s">
        <v>11986</v>
      </c>
      <c r="B2715" s="293">
        <v>46062.0</v>
      </c>
      <c r="C2715" s="103">
        <v>8.07000035022E11</v>
      </c>
      <c r="D2715" s="103" t="s">
        <v>11987</v>
      </c>
      <c r="E2715" s="103" t="s">
        <v>11988</v>
      </c>
      <c r="F2715" s="241" t="s">
        <v>11989</v>
      </c>
      <c r="G2715" s="241" t="s">
        <v>127</v>
      </c>
      <c r="H2715" s="241">
        <v>4400.0</v>
      </c>
      <c r="I2715" s="211">
        <v>208501.0</v>
      </c>
      <c r="J2715" s="103" t="s">
        <v>481</v>
      </c>
      <c r="K2715" s="241">
        <v>2.0</v>
      </c>
      <c r="L2715" s="124">
        <v>3.872266436E9</v>
      </c>
    </row>
    <row r="2716">
      <c r="A2716" s="33" t="s">
        <v>11986</v>
      </c>
      <c r="B2716" s="293">
        <v>46062.0</v>
      </c>
      <c r="C2716" s="240">
        <v>8.07000035022E11</v>
      </c>
      <c r="D2716" s="240" t="s">
        <v>11987</v>
      </c>
      <c r="E2716" s="240" t="s">
        <v>11988</v>
      </c>
      <c r="F2716" s="242" t="s">
        <v>11989</v>
      </c>
      <c r="G2716" s="242" t="s">
        <v>127</v>
      </c>
      <c r="H2716" s="242">
        <v>4400.0</v>
      </c>
      <c r="I2716" s="224" t="s">
        <v>4133</v>
      </c>
      <c r="J2716" s="240" t="s">
        <v>4134</v>
      </c>
      <c r="K2716" s="242">
        <v>1.0</v>
      </c>
      <c r="L2716" s="124">
        <v>3.872266436E9</v>
      </c>
    </row>
    <row r="2717">
      <c r="A2717" s="33" t="s">
        <v>11986</v>
      </c>
      <c r="B2717" s="293">
        <v>46062.0</v>
      </c>
      <c r="C2717" s="103">
        <v>8.07000035022E11</v>
      </c>
      <c r="D2717" s="103" t="s">
        <v>11987</v>
      </c>
      <c r="E2717" s="103" t="s">
        <v>11988</v>
      </c>
      <c r="F2717" s="241" t="s">
        <v>11989</v>
      </c>
      <c r="G2717" s="241" t="s">
        <v>127</v>
      </c>
      <c r="H2717" s="241">
        <v>4400.0</v>
      </c>
      <c r="I2717" s="211" t="s">
        <v>512</v>
      </c>
      <c r="J2717" s="103" t="s">
        <v>513</v>
      </c>
      <c r="K2717" s="241">
        <v>12.0</v>
      </c>
      <c r="L2717" s="124">
        <v>3.872266436E9</v>
      </c>
    </row>
    <row r="2718">
      <c r="A2718" s="33" t="s">
        <v>11986</v>
      </c>
      <c r="B2718" s="293">
        <v>46062.0</v>
      </c>
      <c r="C2718" s="240">
        <v>8.07000035023E11</v>
      </c>
      <c r="D2718" s="240" t="s">
        <v>11987</v>
      </c>
      <c r="E2718" s="240" t="s">
        <v>11988</v>
      </c>
      <c r="F2718" s="242" t="s">
        <v>11989</v>
      </c>
      <c r="G2718" s="242" t="s">
        <v>127</v>
      </c>
      <c r="H2718" s="242">
        <v>4400.0</v>
      </c>
      <c r="I2718" s="224" t="s">
        <v>340</v>
      </c>
      <c r="J2718" s="240" t="s">
        <v>3486</v>
      </c>
      <c r="K2718" s="242">
        <v>2.0</v>
      </c>
      <c r="L2718" s="124">
        <v>3.872266436E9</v>
      </c>
    </row>
    <row r="2719">
      <c r="A2719" s="33" t="s">
        <v>11990</v>
      </c>
      <c r="B2719" s="293">
        <v>46062.0</v>
      </c>
      <c r="C2719" s="103">
        <v>8.07000035027E11</v>
      </c>
      <c r="D2719" s="103" t="s">
        <v>11991</v>
      </c>
      <c r="E2719" s="103" t="s">
        <v>11992</v>
      </c>
      <c r="F2719" s="241" t="s">
        <v>11993</v>
      </c>
      <c r="G2719" s="241" t="s">
        <v>127</v>
      </c>
      <c r="H2719" s="241">
        <v>4400.0</v>
      </c>
      <c r="I2719" s="211">
        <v>208501.0</v>
      </c>
      <c r="J2719" s="103" t="s">
        <v>481</v>
      </c>
      <c r="K2719" s="241">
        <v>1.0</v>
      </c>
      <c r="L2719" s="124">
        <v>3.875731941E9</v>
      </c>
    </row>
    <row r="2720">
      <c r="A2720" s="33" t="s">
        <v>11990</v>
      </c>
      <c r="B2720" s="293">
        <v>46062.0</v>
      </c>
      <c r="C2720" s="240">
        <v>8.07000035027E11</v>
      </c>
      <c r="D2720" s="240" t="s">
        <v>11991</v>
      </c>
      <c r="E2720" s="240" t="s">
        <v>11992</v>
      </c>
      <c r="F2720" s="242" t="s">
        <v>11993</v>
      </c>
      <c r="G2720" s="242" t="s">
        <v>127</v>
      </c>
      <c r="H2720" s="242">
        <v>4400.0</v>
      </c>
      <c r="I2720" s="224" t="s">
        <v>512</v>
      </c>
      <c r="J2720" s="240" t="s">
        <v>513</v>
      </c>
      <c r="K2720" s="242">
        <v>12.0</v>
      </c>
      <c r="L2720" s="124">
        <v>3.875731941E9</v>
      </c>
    </row>
    <row r="2721">
      <c r="A2721" s="33" t="s">
        <v>11990</v>
      </c>
      <c r="B2721" s="293">
        <v>46062.0</v>
      </c>
      <c r="C2721" s="103">
        <v>8.07000035028E11</v>
      </c>
      <c r="D2721" s="103" t="s">
        <v>11991</v>
      </c>
      <c r="E2721" s="103" t="s">
        <v>11992</v>
      </c>
      <c r="F2721" s="241" t="s">
        <v>11993</v>
      </c>
      <c r="G2721" s="241" t="s">
        <v>127</v>
      </c>
      <c r="H2721" s="241">
        <v>4400.0</v>
      </c>
      <c r="I2721" s="211" t="s">
        <v>3334</v>
      </c>
      <c r="J2721" s="103" t="s">
        <v>3575</v>
      </c>
      <c r="K2721" s="241">
        <v>1.0</v>
      </c>
      <c r="L2721" s="124">
        <v>3.875731941E9</v>
      </c>
    </row>
    <row r="2722">
      <c r="A2722" s="33" t="s">
        <v>11990</v>
      </c>
      <c r="B2722" s="293">
        <v>46062.0</v>
      </c>
      <c r="C2722" s="240">
        <v>8.07000035028E11</v>
      </c>
      <c r="D2722" s="240" t="s">
        <v>11991</v>
      </c>
      <c r="E2722" s="240" t="s">
        <v>11992</v>
      </c>
      <c r="F2722" s="242" t="s">
        <v>11993</v>
      </c>
      <c r="G2722" s="242" t="s">
        <v>127</v>
      </c>
      <c r="H2722" s="242">
        <v>4400.0</v>
      </c>
      <c r="I2722" s="224" t="s">
        <v>758</v>
      </c>
      <c r="J2722" s="240" t="s">
        <v>3574</v>
      </c>
      <c r="K2722" s="242">
        <v>2.0</v>
      </c>
      <c r="L2722" s="124">
        <v>3.875731941E9</v>
      </c>
    </row>
    <row r="2723">
      <c r="A2723" s="33" t="s">
        <v>11994</v>
      </c>
      <c r="B2723" s="293">
        <v>46062.0</v>
      </c>
      <c r="C2723" s="103">
        <v>8.07000035029E11</v>
      </c>
      <c r="D2723" s="103" t="s">
        <v>11991</v>
      </c>
      <c r="E2723" s="103" t="s">
        <v>11992</v>
      </c>
      <c r="F2723" s="241" t="s">
        <v>11993</v>
      </c>
      <c r="G2723" s="241" t="s">
        <v>127</v>
      </c>
      <c r="H2723" s="241">
        <v>4400.0</v>
      </c>
      <c r="I2723" s="211">
        <v>208501.0</v>
      </c>
      <c r="J2723" s="103" t="s">
        <v>481</v>
      </c>
      <c r="K2723" s="241">
        <v>1.0</v>
      </c>
      <c r="L2723" s="124">
        <v>3.875731941E9</v>
      </c>
    </row>
    <row r="2724">
      <c r="A2724" s="33" t="s">
        <v>11995</v>
      </c>
      <c r="B2724" s="293">
        <v>46062.0</v>
      </c>
      <c r="C2724" s="240">
        <v>8.0700003504E11</v>
      </c>
      <c r="D2724" s="240" t="s">
        <v>11996</v>
      </c>
      <c r="E2724" s="240" t="s">
        <v>11997</v>
      </c>
      <c r="F2724" s="242" t="s">
        <v>11998</v>
      </c>
      <c r="G2724" s="242" t="s">
        <v>127</v>
      </c>
      <c r="H2724" s="242">
        <v>4400.0</v>
      </c>
      <c r="I2724" s="224">
        <v>208501.0</v>
      </c>
      <c r="J2724" s="240" t="s">
        <v>481</v>
      </c>
      <c r="K2724" s="242">
        <v>2.0</v>
      </c>
      <c r="L2724" s="124">
        <v>3.875085956E9</v>
      </c>
    </row>
    <row r="2725">
      <c r="A2725" s="33" t="s">
        <v>11995</v>
      </c>
      <c r="B2725" s="293">
        <v>46062.0</v>
      </c>
      <c r="C2725" s="103">
        <v>8.0700003504E11</v>
      </c>
      <c r="D2725" s="103" t="s">
        <v>11996</v>
      </c>
      <c r="E2725" s="103" t="s">
        <v>11997</v>
      </c>
      <c r="F2725" s="241" t="s">
        <v>11998</v>
      </c>
      <c r="G2725" s="241" t="s">
        <v>127</v>
      </c>
      <c r="H2725" s="241">
        <v>4400.0</v>
      </c>
      <c r="I2725" s="211" t="s">
        <v>512</v>
      </c>
      <c r="J2725" s="103" t="s">
        <v>513</v>
      </c>
      <c r="K2725" s="241">
        <v>6.0</v>
      </c>
      <c r="L2725" s="124">
        <v>3.875085956E9</v>
      </c>
    </row>
    <row r="2726">
      <c r="A2726" s="33" t="s">
        <v>11995</v>
      </c>
      <c r="B2726" s="293">
        <v>46062.0</v>
      </c>
      <c r="C2726" s="240">
        <v>8.07000035041E11</v>
      </c>
      <c r="D2726" s="240" t="s">
        <v>11996</v>
      </c>
      <c r="E2726" s="240" t="s">
        <v>11997</v>
      </c>
      <c r="F2726" s="242" t="s">
        <v>11998</v>
      </c>
      <c r="G2726" s="242" t="s">
        <v>127</v>
      </c>
      <c r="H2726" s="242">
        <v>4400.0</v>
      </c>
      <c r="I2726" s="224" t="s">
        <v>2956</v>
      </c>
      <c r="J2726" s="240" t="s">
        <v>3327</v>
      </c>
      <c r="K2726" s="242">
        <v>1.0</v>
      </c>
      <c r="L2726" s="124">
        <v>3.875085956E9</v>
      </c>
    </row>
    <row r="2727">
      <c r="A2727" s="33" t="s">
        <v>11995</v>
      </c>
      <c r="B2727" s="293">
        <v>46062.0</v>
      </c>
      <c r="C2727" s="103">
        <v>8.07000035042E11</v>
      </c>
      <c r="D2727" s="103" t="s">
        <v>11996</v>
      </c>
      <c r="E2727" s="103" t="s">
        <v>11997</v>
      </c>
      <c r="F2727" s="241" t="s">
        <v>11998</v>
      </c>
      <c r="G2727" s="241" t="s">
        <v>127</v>
      </c>
      <c r="H2727" s="241">
        <v>4400.0</v>
      </c>
      <c r="I2727" s="211" t="s">
        <v>670</v>
      </c>
      <c r="J2727" s="103" t="s">
        <v>3410</v>
      </c>
      <c r="K2727" s="241">
        <v>1.0</v>
      </c>
      <c r="L2727" s="124">
        <v>3.875085956E9</v>
      </c>
    </row>
    <row r="2728">
      <c r="A2728" s="33" t="s">
        <v>11999</v>
      </c>
      <c r="B2728" s="293">
        <v>46062.0</v>
      </c>
      <c r="C2728" s="240">
        <v>8.07000034927E11</v>
      </c>
      <c r="D2728" s="240" t="s">
        <v>12000</v>
      </c>
      <c r="E2728" s="240" t="s">
        <v>12001</v>
      </c>
      <c r="F2728" s="242" t="s">
        <v>12002</v>
      </c>
      <c r="G2728" s="242" t="s">
        <v>104</v>
      </c>
      <c r="H2728" s="242">
        <v>4400.0</v>
      </c>
      <c r="I2728" s="224" t="s">
        <v>8295</v>
      </c>
      <c r="J2728" s="240" t="s">
        <v>8296</v>
      </c>
      <c r="K2728" s="242">
        <v>1.0</v>
      </c>
      <c r="L2728" s="124">
        <v>3.876053448E9</v>
      </c>
    </row>
    <row r="2729">
      <c r="A2729" s="33" t="s">
        <v>12003</v>
      </c>
      <c r="B2729" s="293">
        <v>46062.0</v>
      </c>
      <c r="C2729" s="240">
        <v>8.07000035066E11</v>
      </c>
      <c r="D2729" s="240" t="s">
        <v>5492</v>
      </c>
      <c r="E2729" s="240" t="s">
        <v>5493</v>
      </c>
      <c r="F2729" s="123" t="s">
        <v>12004</v>
      </c>
      <c r="G2729" s="123" t="s">
        <v>127</v>
      </c>
      <c r="H2729" s="123">
        <v>4400.0</v>
      </c>
      <c r="I2729" s="224" t="s">
        <v>35</v>
      </c>
      <c r="J2729" s="240" t="s">
        <v>3188</v>
      </c>
      <c r="K2729" s="242">
        <v>1.0</v>
      </c>
      <c r="L2729" s="124">
        <v>3.875354674E9</v>
      </c>
    </row>
    <row r="2730">
      <c r="A2730" s="33" t="s">
        <v>12005</v>
      </c>
      <c r="B2730" s="122">
        <v>46064.0</v>
      </c>
      <c r="C2730" s="103">
        <v>8.07000035085E11</v>
      </c>
      <c r="D2730" s="103" t="s">
        <v>12006</v>
      </c>
      <c r="E2730" s="103" t="s">
        <v>12007</v>
      </c>
      <c r="F2730" s="123" t="s">
        <v>12008</v>
      </c>
      <c r="G2730" s="123" t="s">
        <v>127</v>
      </c>
      <c r="H2730" s="123">
        <v>4400.0</v>
      </c>
      <c r="I2730" s="211" t="s">
        <v>110</v>
      </c>
      <c r="J2730" s="103" t="s">
        <v>3673</v>
      </c>
      <c r="K2730" s="241">
        <v>1.0</v>
      </c>
      <c r="L2730" s="124">
        <v>3.513093864E9</v>
      </c>
    </row>
    <row r="2731">
      <c r="A2731" s="33" t="s">
        <v>12009</v>
      </c>
      <c r="B2731" s="122">
        <v>46064.0</v>
      </c>
      <c r="C2731" s="240">
        <v>8.07000035076E11</v>
      </c>
      <c r="D2731" s="240" t="s">
        <v>12010</v>
      </c>
      <c r="E2731" s="240" t="s">
        <v>12011</v>
      </c>
      <c r="F2731" s="123" t="s">
        <v>12012</v>
      </c>
      <c r="G2731" s="123" t="s">
        <v>127</v>
      </c>
      <c r="H2731" s="123">
        <v>4400.0</v>
      </c>
      <c r="I2731" s="224" t="s">
        <v>12013</v>
      </c>
      <c r="J2731" s="240" t="s">
        <v>12014</v>
      </c>
      <c r="K2731" s="242">
        <v>1.0</v>
      </c>
      <c r="L2731" s="124">
        <v>3.874898331E9</v>
      </c>
    </row>
    <row r="2732">
      <c r="A2732" s="33" t="s">
        <v>12009</v>
      </c>
      <c r="B2732" s="122">
        <v>46064.0</v>
      </c>
      <c r="C2732" s="103">
        <v>8.07000035077E11</v>
      </c>
      <c r="D2732" s="103" t="s">
        <v>12010</v>
      </c>
      <c r="E2732" s="103" t="s">
        <v>12011</v>
      </c>
      <c r="F2732" s="123" t="s">
        <v>12012</v>
      </c>
      <c r="G2732" s="123" t="s">
        <v>127</v>
      </c>
      <c r="H2732" s="123">
        <v>4400.0</v>
      </c>
      <c r="I2732" s="211">
        <v>125802.0</v>
      </c>
      <c r="J2732" s="103" t="s">
        <v>7943</v>
      </c>
      <c r="K2732" s="241">
        <v>1.0</v>
      </c>
      <c r="L2732" s="124">
        <v>3.874898331E9</v>
      </c>
    </row>
    <row r="2733">
      <c r="A2733" s="33" t="s">
        <v>12009</v>
      </c>
      <c r="B2733" s="122">
        <v>46064.0</v>
      </c>
      <c r="C2733" s="240">
        <v>8.07000035077E11</v>
      </c>
      <c r="D2733" s="240" t="s">
        <v>12010</v>
      </c>
      <c r="E2733" s="240" t="s">
        <v>12011</v>
      </c>
      <c r="F2733" s="123" t="s">
        <v>12012</v>
      </c>
      <c r="G2733" s="123" t="s">
        <v>127</v>
      </c>
      <c r="H2733" s="123">
        <v>4400.0</v>
      </c>
      <c r="I2733" s="224">
        <v>125810.0</v>
      </c>
      <c r="J2733" s="240" t="s">
        <v>4672</v>
      </c>
      <c r="K2733" s="242">
        <v>2.0</v>
      </c>
      <c r="L2733" s="124">
        <v>3.874898331E9</v>
      </c>
    </row>
    <row r="2734">
      <c r="A2734" s="33" t="s">
        <v>12009</v>
      </c>
      <c r="B2734" s="122">
        <v>46064.0</v>
      </c>
      <c r="C2734" s="103">
        <v>8.07000035077E11</v>
      </c>
      <c r="D2734" s="103" t="s">
        <v>12010</v>
      </c>
      <c r="E2734" s="103" t="s">
        <v>12011</v>
      </c>
      <c r="F2734" s="123" t="s">
        <v>12012</v>
      </c>
      <c r="G2734" s="123" t="s">
        <v>127</v>
      </c>
      <c r="H2734" s="123">
        <v>4400.0</v>
      </c>
      <c r="I2734" s="211" t="s">
        <v>575</v>
      </c>
      <c r="J2734" s="103" t="s">
        <v>576</v>
      </c>
      <c r="K2734" s="241">
        <v>1.0</v>
      </c>
      <c r="L2734" s="124">
        <v>3.874898331E9</v>
      </c>
    </row>
    <row r="2735">
      <c r="A2735" s="294" t="s">
        <v>12009</v>
      </c>
      <c r="B2735" s="295">
        <v>46064.0</v>
      </c>
      <c r="C2735" s="296">
        <v>8.07000035028E11</v>
      </c>
      <c r="D2735" s="296" t="s">
        <v>11991</v>
      </c>
      <c r="E2735" s="296" t="s">
        <v>11992</v>
      </c>
      <c r="F2735" s="297" t="s">
        <v>11993</v>
      </c>
      <c r="G2735" s="297" t="s">
        <v>127</v>
      </c>
      <c r="H2735" s="297">
        <v>4400.0</v>
      </c>
      <c r="I2735" s="298" t="s">
        <v>758</v>
      </c>
      <c r="J2735" s="296" t="s">
        <v>3574</v>
      </c>
      <c r="K2735" s="297">
        <v>1.0</v>
      </c>
      <c r="L2735" s="299">
        <v>3.875731941E9</v>
      </c>
      <c r="M2735" s="284" t="s">
        <v>12015</v>
      </c>
    </row>
    <row r="2736">
      <c r="A2736" s="33" t="s">
        <v>12016</v>
      </c>
      <c r="B2736" s="122">
        <v>45700.0</v>
      </c>
      <c r="C2736" s="103">
        <v>8.07000035088E11</v>
      </c>
      <c r="D2736" s="103" t="s">
        <v>12017</v>
      </c>
      <c r="E2736" s="103" t="s">
        <v>12018</v>
      </c>
      <c r="F2736" s="241" t="s">
        <v>12019</v>
      </c>
      <c r="G2736" s="241" t="s">
        <v>127</v>
      </c>
      <c r="H2736" s="241">
        <v>4400.0</v>
      </c>
      <c r="I2736" s="211" t="s">
        <v>3451</v>
      </c>
      <c r="J2736" s="103" t="s">
        <v>3452</v>
      </c>
      <c r="K2736" s="241">
        <v>1.0</v>
      </c>
      <c r="L2736" s="124">
        <v>3.875390525E9</v>
      </c>
    </row>
    <row r="2737">
      <c r="A2737" s="33" t="s">
        <v>12016</v>
      </c>
      <c r="B2737" s="122">
        <v>45700.0</v>
      </c>
      <c r="C2737" s="240">
        <v>8.07000035088E11</v>
      </c>
      <c r="D2737" s="240" t="s">
        <v>12017</v>
      </c>
      <c r="E2737" s="240" t="s">
        <v>12018</v>
      </c>
      <c r="F2737" s="242" t="s">
        <v>12019</v>
      </c>
      <c r="G2737" s="242" t="s">
        <v>127</v>
      </c>
      <c r="H2737" s="242">
        <v>4400.0</v>
      </c>
      <c r="I2737" s="224" t="s">
        <v>512</v>
      </c>
      <c r="J2737" s="240" t="s">
        <v>513</v>
      </c>
      <c r="K2737" s="242">
        <v>6.0</v>
      </c>
      <c r="L2737" s="124">
        <v>3.875390525E9</v>
      </c>
    </row>
    <row r="2738">
      <c r="A2738" s="33" t="s">
        <v>12016</v>
      </c>
      <c r="B2738" s="122">
        <v>45700.0</v>
      </c>
      <c r="C2738" s="103">
        <v>8.07000035088E11</v>
      </c>
      <c r="D2738" s="103" t="s">
        <v>12017</v>
      </c>
      <c r="E2738" s="103" t="s">
        <v>12018</v>
      </c>
      <c r="F2738" s="241" t="s">
        <v>12019</v>
      </c>
      <c r="G2738" s="241" t="s">
        <v>127</v>
      </c>
      <c r="H2738" s="241">
        <v>4400.0</v>
      </c>
      <c r="I2738" s="211" t="s">
        <v>670</v>
      </c>
      <c r="J2738" s="103" t="s">
        <v>3410</v>
      </c>
      <c r="K2738" s="241">
        <v>1.0</v>
      </c>
      <c r="L2738" s="124">
        <v>3.875390525E9</v>
      </c>
    </row>
    <row r="2739">
      <c r="A2739" s="33" t="s">
        <v>12020</v>
      </c>
      <c r="B2739" s="122">
        <v>46067.0</v>
      </c>
      <c r="C2739" s="240">
        <v>8.07000035102E11</v>
      </c>
      <c r="D2739" s="240" t="s">
        <v>12021</v>
      </c>
      <c r="E2739" s="240" t="s">
        <v>12022</v>
      </c>
      <c r="F2739" s="123" t="s">
        <v>12023</v>
      </c>
      <c r="G2739" s="123" t="s">
        <v>104</v>
      </c>
      <c r="H2739" s="123">
        <v>4400.0</v>
      </c>
      <c r="I2739" s="224">
        <v>208501.0</v>
      </c>
      <c r="J2739" s="240" t="s">
        <v>481</v>
      </c>
      <c r="K2739" s="242">
        <v>4.0</v>
      </c>
      <c r="L2739" s="124">
        <v>3.487472521E9</v>
      </c>
    </row>
    <row r="2740">
      <c r="A2740" s="33" t="s">
        <v>12020</v>
      </c>
      <c r="B2740" s="122">
        <v>46067.0</v>
      </c>
      <c r="C2740" s="240">
        <v>8.07000035103E11</v>
      </c>
      <c r="D2740" s="240" t="s">
        <v>12021</v>
      </c>
      <c r="E2740" s="240" t="s">
        <v>12022</v>
      </c>
      <c r="F2740" s="123" t="s">
        <v>12023</v>
      </c>
      <c r="G2740" s="123" t="s">
        <v>104</v>
      </c>
      <c r="H2740" s="123">
        <v>4400.0</v>
      </c>
      <c r="I2740" s="224" t="s">
        <v>5034</v>
      </c>
      <c r="J2740" s="240" t="s">
        <v>5035</v>
      </c>
      <c r="K2740" s="242">
        <v>1.0</v>
      </c>
      <c r="L2740" s="124">
        <v>3.487472521E9</v>
      </c>
    </row>
    <row r="2741">
      <c r="A2741" s="33" t="s">
        <v>12024</v>
      </c>
      <c r="B2741" s="122">
        <v>46067.0</v>
      </c>
      <c r="C2741" s="103">
        <v>8.07000035103E11</v>
      </c>
      <c r="D2741" s="103" t="s">
        <v>12021</v>
      </c>
      <c r="E2741" s="103" t="s">
        <v>12022</v>
      </c>
      <c r="F2741" s="123" t="s">
        <v>12025</v>
      </c>
      <c r="G2741" s="123" t="s">
        <v>104</v>
      </c>
      <c r="H2741" s="123"/>
      <c r="I2741" s="211" t="s">
        <v>7955</v>
      </c>
      <c r="J2741" s="103" t="s">
        <v>7956</v>
      </c>
      <c r="K2741" s="241">
        <v>1.0</v>
      </c>
      <c r="L2741" s="124">
        <v>3.487472521E9</v>
      </c>
    </row>
    <row r="2742">
      <c r="A2742" s="33" t="s">
        <v>12024</v>
      </c>
      <c r="B2742" s="122">
        <v>46067.0</v>
      </c>
      <c r="C2742" s="240">
        <v>8.07000035103E11</v>
      </c>
      <c r="D2742" s="240" t="s">
        <v>12021</v>
      </c>
      <c r="E2742" s="240" t="s">
        <v>12022</v>
      </c>
      <c r="F2742" s="123" t="s">
        <v>12025</v>
      </c>
      <c r="G2742" s="123" t="s">
        <v>104</v>
      </c>
      <c r="H2742" s="123"/>
      <c r="I2742" s="224" t="s">
        <v>758</v>
      </c>
      <c r="J2742" s="240" t="s">
        <v>3574</v>
      </c>
      <c r="K2742" s="242">
        <v>2.0</v>
      </c>
      <c r="L2742" s="124">
        <v>3.487472521E9</v>
      </c>
    </row>
    <row r="2743">
      <c r="A2743" s="33" t="s">
        <v>12026</v>
      </c>
      <c r="B2743" s="122">
        <v>46067.0</v>
      </c>
      <c r="C2743" s="240">
        <v>8.07000035098E11</v>
      </c>
      <c r="D2743" s="240" t="s">
        <v>12027</v>
      </c>
      <c r="E2743" s="240" t="s">
        <v>12028</v>
      </c>
      <c r="F2743" s="242" t="s">
        <v>12029</v>
      </c>
      <c r="G2743" s="242" t="s">
        <v>104</v>
      </c>
      <c r="H2743" s="242">
        <v>4400.0</v>
      </c>
      <c r="I2743" s="224" t="s">
        <v>5185</v>
      </c>
      <c r="J2743" s="240" t="s">
        <v>5186</v>
      </c>
      <c r="K2743" s="242">
        <v>1.0</v>
      </c>
      <c r="L2743" s="124">
        <v>3.874090772E9</v>
      </c>
    </row>
    <row r="2744">
      <c r="A2744" s="33" t="s">
        <v>12026</v>
      </c>
      <c r="B2744" s="122">
        <v>46067.0</v>
      </c>
      <c r="C2744" s="103">
        <v>8.07000035098E11</v>
      </c>
      <c r="D2744" s="103" t="s">
        <v>12027</v>
      </c>
      <c r="E2744" s="103" t="s">
        <v>12028</v>
      </c>
      <c r="F2744" s="241" t="s">
        <v>12029</v>
      </c>
      <c r="G2744" s="241" t="s">
        <v>104</v>
      </c>
      <c r="H2744" s="241">
        <v>4400.0</v>
      </c>
      <c r="I2744" s="211" t="s">
        <v>512</v>
      </c>
      <c r="J2744" s="103" t="s">
        <v>513</v>
      </c>
      <c r="K2744" s="241">
        <v>6.0</v>
      </c>
      <c r="L2744" s="124">
        <v>3.874090772E9</v>
      </c>
    </row>
    <row r="2745">
      <c r="A2745" s="33" t="s">
        <v>12026</v>
      </c>
      <c r="B2745" s="122">
        <v>46067.0</v>
      </c>
      <c r="C2745" s="240">
        <v>8.07000035098E11</v>
      </c>
      <c r="D2745" s="240" t="s">
        <v>12027</v>
      </c>
      <c r="E2745" s="240" t="s">
        <v>12028</v>
      </c>
      <c r="F2745" s="242" t="s">
        <v>12029</v>
      </c>
      <c r="G2745" s="242" t="s">
        <v>104</v>
      </c>
      <c r="H2745" s="242">
        <v>4400.0</v>
      </c>
      <c r="I2745" s="224" t="s">
        <v>2031</v>
      </c>
      <c r="J2745" s="240" t="s">
        <v>3348</v>
      </c>
      <c r="K2745" s="242">
        <v>1.0</v>
      </c>
      <c r="L2745" s="124">
        <v>3.874090772E9</v>
      </c>
    </row>
    <row r="2746">
      <c r="A2746" s="33" t="s">
        <v>12030</v>
      </c>
      <c r="B2746" s="122">
        <v>46067.0</v>
      </c>
      <c r="C2746" s="240">
        <v>8.07000035105E11</v>
      </c>
      <c r="D2746" s="240" t="s">
        <v>12031</v>
      </c>
      <c r="E2746" s="240" t="s">
        <v>12032</v>
      </c>
      <c r="F2746" s="242" t="s">
        <v>12033</v>
      </c>
      <c r="G2746" s="242" t="s">
        <v>6516</v>
      </c>
      <c r="H2746" s="242">
        <v>4400.0</v>
      </c>
      <c r="I2746" s="224" t="s">
        <v>3451</v>
      </c>
      <c r="J2746" s="240" t="s">
        <v>3452</v>
      </c>
      <c r="K2746" s="242">
        <v>1.0</v>
      </c>
      <c r="L2746" s="124">
        <v>3.875142805E9</v>
      </c>
    </row>
    <row r="2747">
      <c r="A2747" s="33" t="s">
        <v>12034</v>
      </c>
      <c r="B2747" s="122">
        <v>46067.0</v>
      </c>
      <c r="C2747" s="240">
        <v>8.07000035109E11</v>
      </c>
      <c r="D2747" s="240" t="s">
        <v>12035</v>
      </c>
      <c r="E2747" s="240" t="s">
        <v>12036</v>
      </c>
      <c r="F2747" s="242" t="s">
        <v>12037</v>
      </c>
      <c r="G2747" s="242" t="s">
        <v>425</v>
      </c>
      <c r="H2747" s="242">
        <v>4407.0</v>
      </c>
      <c r="I2747" s="224">
        <v>208502.0</v>
      </c>
      <c r="J2747" s="240" t="s">
        <v>4551</v>
      </c>
      <c r="K2747" s="242">
        <v>2.0</v>
      </c>
      <c r="L2747" s="124">
        <v>3.874732333E9</v>
      </c>
    </row>
    <row r="2748">
      <c r="A2748" s="33" t="s">
        <v>12034</v>
      </c>
      <c r="B2748" s="122">
        <v>46067.0</v>
      </c>
      <c r="C2748" s="103">
        <v>8.07000035109E11</v>
      </c>
      <c r="D2748" s="103" t="s">
        <v>12035</v>
      </c>
      <c r="E2748" s="103" t="s">
        <v>12036</v>
      </c>
      <c r="F2748" s="241" t="s">
        <v>12037</v>
      </c>
      <c r="G2748" s="241" t="s">
        <v>425</v>
      </c>
      <c r="H2748" s="241">
        <v>4407.0</v>
      </c>
      <c r="I2748" s="211" t="s">
        <v>9725</v>
      </c>
      <c r="J2748" s="103" t="s">
        <v>9726</v>
      </c>
      <c r="K2748" s="241">
        <v>1.0</v>
      </c>
      <c r="L2748" s="124">
        <v>3.874732333E9</v>
      </c>
    </row>
    <row r="2749">
      <c r="A2749" s="33" t="s">
        <v>12034</v>
      </c>
      <c r="B2749" s="122">
        <v>46067.0</v>
      </c>
      <c r="C2749" s="240">
        <v>8.0700003511E11</v>
      </c>
      <c r="D2749" s="240" t="s">
        <v>12035</v>
      </c>
      <c r="E2749" s="240" t="s">
        <v>12036</v>
      </c>
      <c r="F2749" s="242" t="s">
        <v>12037</v>
      </c>
      <c r="G2749" s="242" t="s">
        <v>425</v>
      </c>
      <c r="H2749" s="242">
        <v>4407.0</v>
      </c>
      <c r="I2749" s="224" t="s">
        <v>3512</v>
      </c>
      <c r="J2749" s="240" t="s">
        <v>3513</v>
      </c>
      <c r="K2749" s="242">
        <v>12.0</v>
      </c>
      <c r="L2749" s="124">
        <v>3.874732333E9</v>
      </c>
    </row>
    <row r="2750">
      <c r="A2750" s="33" t="s">
        <v>12034</v>
      </c>
      <c r="B2750" s="122">
        <v>46067.0</v>
      </c>
      <c r="C2750" s="103">
        <v>8.07000035111E11</v>
      </c>
      <c r="D2750" s="103" t="s">
        <v>12035</v>
      </c>
      <c r="E2750" s="103" t="s">
        <v>12036</v>
      </c>
      <c r="F2750" s="241" t="s">
        <v>12037</v>
      </c>
      <c r="G2750" s="241" t="s">
        <v>425</v>
      </c>
      <c r="H2750" s="241">
        <v>4407.0</v>
      </c>
      <c r="I2750" s="211" t="s">
        <v>6835</v>
      </c>
      <c r="J2750" s="103" t="s">
        <v>8150</v>
      </c>
      <c r="K2750" s="241">
        <v>2.0</v>
      </c>
      <c r="L2750" s="124">
        <v>3.874732333E9</v>
      </c>
    </row>
    <row r="2751">
      <c r="A2751" s="33" t="s">
        <v>12038</v>
      </c>
      <c r="B2751" s="122">
        <v>46067.0</v>
      </c>
      <c r="C2751" s="103">
        <v>8.07000035117E11</v>
      </c>
      <c r="D2751" s="103" t="s">
        <v>12039</v>
      </c>
      <c r="E2751" s="103" t="s">
        <v>12040</v>
      </c>
      <c r="F2751" s="241" t="s">
        <v>12041</v>
      </c>
      <c r="G2751" s="241" t="s">
        <v>127</v>
      </c>
      <c r="H2751" s="241">
        <v>4400.0</v>
      </c>
      <c r="I2751" s="211">
        <v>125817.0</v>
      </c>
      <c r="J2751" s="103" t="s">
        <v>10650</v>
      </c>
      <c r="K2751" s="241">
        <v>2.0</v>
      </c>
      <c r="L2751" s="124">
        <v>3.874867112E9</v>
      </c>
    </row>
    <row r="2752">
      <c r="A2752" s="33" t="s">
        <v>12038</v>
      </c>
      <c r="B2752" s="122">
        <v>46067.0</v>
      </c>
      <c r="C2752" s="240">
        <v>8.07000035117E11</v>
      </c>
      <c r="D2752" s="240" t="s">
        <v>12039</v>
      </c>
      <c r="E2752" s="240" t="s">
        <v>12040</v>
      </c>
      <c r="F2752" s="242" t="s">
        <v>12041</v>
      </c>
      <c r="G2752" s="242" t="s">
        <v>127</v>
      </c>
      <c r="H2752" s="242">
        <v>4400.0</v>
      </c>
      <c r="I2752" s="224">
        <v>2.2346229143E10</v>
      </c>
      <c r="J2752" s="240" t="s">
        <v>8720</v>
      </c>
      <c r="K2752" s="242">
        <v>1.0</v>
      </c>
      <c r="L2752" s="124">
        <v>3.874867112E9</v>
      </c>
    </row>
    <row r="2753">
      <c r="A2753" s="33" t="s">
        <v>12038</v>
      </c>
      <c r="B2753" s="122">
        <v>46067.0</v>
      </c>
      <c r="C2753" s="103">
        <v>8.07000035117E11</v>
      </c>
      <c r="D2753" s="103" t="s">
        <v>12039</v>
      </c>
      <c r="E2753" s="103" t="s">
        <v>12040</v>
      </c>
      <c r="F2753" s="241" t="s">
        <v>12041</v>
      </c>
      <c r="G2753" s="241" t="s">
        <v>127</v>
      </c>
      <c r="H2753" s="241">
        <v>4400.0</v>
      </c>
      <c r="I2753" s="211" t="s">
        <v>3285</v>
      </c>
      <c r="J2753" s="103" t="s">
        <v>3286</v>
      </c>
      <c r="K2753" s="241">
        <v>1.0</v>
      </c>
      <c r="L2753" s="124">
        <v>3.874867112E9</v>
      </c>
    </row>
    <row r="2754">
      <c r="A2754" s="33" t="s">
        <v>12042</v>
      </c>
      <c r="B2754" s="122">
        <v>46067.0</v>
      </c>
      <c r="C2754" s="240">
        <v>8.07000035121E11</v>
      </c>
      <c r="D2754" s="240" t="s">
        <v>12043</v>
      </c>
      <c r="E2754" s="240" t="s">
        <v>12044</v>
      </c>
      <c r="F2754" s="242" t="s">
        <v>12045</v>
      </c>
      <c r="G2754" s="242" t="s">
        <v>127</v>
      </c>
      <c r="H2754" s="242">
        <v>4400.0</v>
      </c>
      <c r="I2754" s="224">
        <v>125814.0</v>
      </c>
      <c r="J2754" s="240" t="s">
        <v>9798</v>
      </c>
      <c r="K2754" s="242">
        <v>2.0</v>
      </c>
      <c r="L2754" s="124">
        <v>2.96460454E9</v>
      </c>
    </row>
    <row r="2755">
      <c r="A2755" s="33" t="s">
        <v>12042</v>
      </c>
      <c r="B2755" s="122">
        <v>46067.0</v>
      </c>
      <c r="C2755" s="103">
        <v>8.07000035121E11</v>
      </c>
      <c r="D2755" s="103" t="s">
        <v>12043</v>
      </c>
      <c r="E2755" s="103" t="s">
        <v>12044</v>
      </c>
      <c r="F2755" s="241" t="s">
        <v>12045</v>
      </c>
      <c r="G2755" s="241" t="s">
        <v>127</v>
      </c>
      <c r="H2755" s="241">
        <v>4400.0</v>
      </c>
      <c r="I2755" s="211" t="s">
        <v>512</v>
      </c>
      <c r="J2755" s="103" t="s">
        <v>513</v>
      </c>
      <c r="K2755" s="241">
        <v>12.0</v>
      </c>
      <c r="L2755" s="124">
        <v>2.96460454E9</v>
      </c>
    </row>
    <row r="2756">
      <c r="A2756" s="33" t="s">
        <v>12042</v>
      </c>
      <c r="B2756" s="122">
        <v>46067.0</v>
      </c>
      <c r="C2756" s="240">
        <v>8.07000035122E11</v>
      </c>
      <c r="D2756" s="240" t="s">
        <v>12043</v>
      </c>
      <c r="E2756" s="240" t="s">
        <v>12044</v>
      </c>
      <c r="F2756" s="242" t="s">
        <v>12045</v>
      </c>
      <c r="G2756" s="242" t="s">
        <v>127</v>
      </c>
      <c r="H2756" s="242">
        <v>4400.0</v>
      </c>
      <c r="I2756" s="224" t="s">
        <v>3154</v>
      </c>
      <c r="J2756" s="240" t="s">
        <v>4564</v>
      </c>
      <c r="K2756" s="242">
        <v>2.0</v>
      </c>
      <c r="L2756" s="124">
        <v>2.96460454E9</v>
      </c>
    </row>
    <row r="2757">
      <c r="A2757" s="33" t="s">
        <v>12042</v>
      </c>
      <c r="B2757" s="122">
        <v>46067.0</v>
      </c>
      <c r="C2757" s="103">
        <v>8.07000035122E11</v>
      </c>
      <c r="D2757" s="103" t="s">
        <v>12043</v>
      </c>
      <c r="E2757" s="103" t="s">
        <v>12044</v>
      </c>
      <c r="F2757" s="241" t="s">
        <v>12045</v>
      </c>
      <c r="G2757" s="241" t="s">
        <v>127</v>
      </c>
      <c r="H2757" s="241">
        <v>4400.0</v>
      </c>
      <c r="I2757" s="211" t="s">
        <v>2031</v>
      </c>
      <c r="J2757" s="103" t="s">
        <v>3348</v>
      </c>
      <c r="K2757" s="241">
        <v>2.0</v>
      </c>
      <c r="L2757" s="124">
        <v>2.96460454E9</v>
      </c>
    </row>
    <row r="2758" ht="7.5" customHeight="1">
      <c r="A2758" s="100"/>
      <c r="B2758" s="230"/>
      <c r="C2758" s="251"/>
      <c r="D2758" s="251"/>
      <c r="E2758" s="251"/>
      <c r="F2758" s="231"/>
      <c r="G2758" s="231"/>
      <c r="H2758" s="231"/>
      <c r="I2758" s="252"/>
      <c r="J2758" s="252"/>
      <c r="K2758" s="253"/>
      <c r="L2758" s="232"/>
      <c r="M2758" s="233"/>
      <c r="N2758" s="233"/>
      <c r="O2758" s="233"/>
      <c r="P2758" s="233"/>
      <c r="Q2758" s="233"/>
      <c r="R2758" s="233"/>
      <c r="S2758" s="233"/>
      <c r="T2758" s="233"/>
      <c r="U2758" s="233"/>
      <c r="V2758" s="233"/>
      <c r="W2758" s="233"/>
      <c r="X2758" s="233"/>
      <c r="Y2758" s="233"/>
      <c r="Z2758" s="233"/>
      <c r="AA2758" s="233"/>
      <c r="AB2758" s="233"/>
      <c r="AC2758" s="233"/>
    </row>
    <row r="2759">
      <c r="A2759" s="33" t="s">
        <v>12046</v>
      </c>
      <c r="B2759" s="122">
        <v>46071.0</v>
      </c>
      <c r="C2759" s="240">
        <v>8.07000035115E11</v>
      </c>
      <c r="D2759" s="240" t="s">
        <v>12047</v>
      </c>
      <c r="E2759" s="240" t="s">
        <v>12048</v>
      </c>
      <c r="F2759" s="242" t="s">
        <v>12049</v>
      </c>
      <c r="G2759" s="242" t="s">
        <v>127</v>
      </c>
      <c r="H2759" s="242">
        <v>4400.0</v>
      </c>
      <c r="I2759" s="224">
        <v>125814.0</v>
      </c>
      <c r="J2759" s="240" t="s">
        <v>9798</v>
      </c>
      <c r="K2759" s="242">
        <v>2.0</v>
      </c>
      <c r="L2759" s="124">
        <v>3.875073603E9</v>
      </c>
    </row>
    <row r="2760">
      <c r="A2760" s="33" t="s">
        <v>12046</v>
      </c>
      <c r="B2760" s="122">
        <v>46071.0</v>
      </c>
      <c r="C2760" s="103">
        <v>8.07000035115E11</v>
      </c>
      <c r="D2760" s="103" t="s">
        <v>12047</v>
      </c>
      <c r="E2760" s="103" t="s">
        <v>12048</v>
      </c>
      <c r="F2760" s="241" t="s">
        <v>12049</v>
      </c>
      <c r="G2760" s="241" t="s">
        <v>127</v>
      </c>
      <c r="H2760" s="241">
        <v>4400.0</v>
      </c>
      <c r="I2760" s="211" t="s">
        <v>5436</v>
      </c>
      <c r="J2760" s="103" t="s">
        <v>5437</v>
      </c>
      <c r="K2760" s="241">
        <v>1.0</v>
      </c>
      <c r="L2760" s="124">
        <v>3.875073603E9</v>
      </c>
    </row>
    <row r="2761">
      <c r="A2761" s="33" t="s">
        <v>12046</v>
      </c>
      <c r="B2761" s="122">
        <v>46071.0</v>
      </c>
      <c r="C2761" s="240">
        <v>8.07000035115E11</v>
      </c>
      <c r="D2761" s="240" t="s">
        <v>12047</v>
      </c>
      <c r="E2761" s="240" t="s">
        <v>12048</v>
      </c>
      <c r="F2761" s="242" t="s">
        <v>12049</v>
      </c>
      <c r="G2761" s="242" t="s">
        <v>127</v>
      </c>
      <c r="H2761" s="242">
        <v>4400.0</v>
      </c>
      <c r="I2761" s="224" t="s">
        <v>512</v>
      </c>
      <c r="J2761" s="240" t="s">
        <v>513</v>
      </c>
      <c r="K2761" s="242">
        <v>6.0</v>
      </c>
      <c r="L2761" s="124">
        <v>3.875073603E9</v>
      </c>
    </row>
    <row r="2762">
      <c r="A2762" s="33" t="s">
        <v>12046</v>
      </c>
      <c r="B2762" s="122">
        <v>46071.0</v>
      </c>
      <c r="C2762" s="103">
        <v>8.07000035115E11</v>
      </c>
      <c r="D2762" s="103" t="s">
        <v>12047</v>
      </c>
      <c r="E2762" s="103" t="s">
        <v>12048</v>
      </c>
      <c r="F2762" s="241" t="s">
        <v>12049</v>
      </c>
      <c r="G2762" s="241" t="s">
        <v>127</v>
      </c>
      <c r="H2762" s="241">
        <v>4400.0</v>
      </c>
      <c r="I2762" s="211" t="s">
        <v>233</v>
      </c>
      <c r="J2762" s="103" t="s">
        <v>3459</v>
      </c>
      <c r="K2762" s="241">
        <v>1.0</v>
      </c>
      <c r="L2762" s="124">
        <v>3.875073603E9</v>
      </c>
    </row>
    <row r="2763">
      <c r="A2763" s="33" t="s">
        <v>12046</v>
      </c>
      <c r="B2763" s="122">
        <v>46071.0</v>
      </c>
      <c r="C2763" s="240">
        <v>8.07000035116E11</v>
      </c>
      <c r="D2763" s="240" t="s">
        <v>12047</v>
      </c>
      <c r="E2763" s="240" t="s">
        <v>12048</v>
      </c>
      <c r="F2763" s="242" t="s">
        <v>12049</v>
      </c>
      <c r="G2763" s="242" t="s">
        <v>127</v>
      </c>
      <c r="H2763" s="242">
        <v>4400.0</v>
      </c>
      <c r="I2763" s="224" t="s">
        <v>1756</v>
      </c>
      <c r="J2763" s="240" t="s">
        <v>5005</v>
      </c>
      <c r="K2763" s="242">
        <v>1.0</v>
      </c>
      <c r="L2763" s="124">
        <v>3.875073603E9</v>
      </c>
    </row>
    <row r="2764">
      <c r="A2764" s="33" t="s">
        <v>12046</v>
      </c>
      <c r="B2764" s="122">
        <v>46071.0</v>
      </c>
      <c r="C2764" s="103">
        <v>8.07000035116E11</v>
      </c>
      <c r="D2764" s="103" t="s">
        <v>12047</v>
      </c>
      <c r="E2764" s="103" t="s">
        <v>12048</v>
      </c>
      <c r="F2764" s="241" t="s">
        <v>12049</v>
      </c>
      <c r="G2764" s="241" t="s">
        <v>127</v>
      </c>
      <c r="H2764" s="241">
        <v>4400.0</v>
      </c>
      <c r="I2764" s="211" t="s">
        <v>512</v>
      </c>
      <c r="J2764" s="103" t="s">
        <v>513</v>
      </c>
      <c r="K2764" s="241">
        <v>6.0</v>
      </c>
      <c r="L2764" s="124">
        <v>3.875073603E9</v>
      </c>
    </row>
    <row r="2765">
      <c r="A2765" s="33" t="s">
        <v>12046</v>
      </c>
      <c r="B2765" s="122">
        <v>46071.0</v>
      </c>
      <c r="C2765" s="240">
        <v>8.07000035116E11</v>
      </c>
      <c r="D2765" s="240" t="s">
        <v>12047</v>
      </c>
      <c r="E2765" s="240" t="s">
        <v>12048</v>
      </c>
      <c r="F2765" s="242" t="s">
        <v>12049</v>
      </c>
      <c r="G2765" s="242" t="s">
        <v>127</v>
      </c>
      <c r="H2765" s="242">
        <v>4400.0</v>
      </c>
      <c r="I2765" s="224" t="s">
        <v>233</v>
      </c>
      <c r="J2765" s="240" t="s">
        <v>3459</v>
      </c>
      <c r="K2765" s="242">
        <v>1.0</v>
      </c>
      <c r="L2765" s="124">
        <v>3.875073603E9</v>
      </c>
    </row>
    <row r="2766">
      <c r="A2766" s="33" t="s">
        <v>12050</v>
      </c>
      <c r="B2766" s="122">
        <v>46071.0</v>
      </c>
      <c r="C2766" s="103">
        <v>8.07000035129E11</v>
      </c>
      <c r="D2766" s="103" t="s">
        <v>12051</v>
      </c>
      <c r="E2766" s="103" t="s">
        <v>12052</v>
      </c>
      <c r="F2766" s="241" t="s">
        <v>12053</v>
      </c>
      <c r="G2766" s="241" t="s">
        <v>127</v>
      </c>
      <c r="H2766" s="241">
        <v>4400.0</v>
      </c>
      <c r="I2766" s="211" t="s">
        <v>8099</v>
      </c>
      <c r="J2766" s="103" t="s">
        <v>8100</v>
      </c>
      <c r="K2766" s="241">
        <v>1.0</v>
      </c>
      <c r="L2766" s="124">
        <v>3.875266995E9</v>
      </c>
    </row>
    <row r="2767">
      <c r="A2767" s="33" t="s">
        <v>12050</v>
      </c>
      <c r="B2767" s="122">
        <v>46071.0</v>
      </c>
      <c r="C2767" s="240">
        <v>8.07000035129E11</v>
      </c>
      <c r="D2767" s="240" t="s">
        <v>12051</v>
      </c>
      <c r="E2767" s="240" t="s">
        <v>12052</v>
      </c>
      <c r="F2767" s="242" t="s">
        <v>12053</v>
      </c>
      <c r="G2767" s="242" t="s">
        <v>127</v>
      </c>
      <c r="H2767" s="242">
        <v>4400.0</v>
      </c>
      <c r="I2767" s="224" t="s">
        <v>512</v>
      </c>
      <c r="J2767" s="240" t="s">
        <v>513</v>
      </c>
      <c r="K2767" s="242">
        <v>12.0</v>
      </c>
      <c r="L2767" s="124">
        <v>3.875266995E9</v>
      </c>
    </row>
    <row r="2768">
      <c r="A2768" s="33" t="s">
        <v>12050</v>
      </c>
      <c r="B2768" s="122">
        <v>46071.0</v>
      </c>
      <c r="C2768" s="103">
        <v>8.07000035129E11</v>
      </c>
      <c r="D2768" s="103" t="s">
        <v>12051</v>
      </c>
      <c r="E2768" s="103" t="s">
        <v>12052</v>
      </c>
      <c r="F2768" s="241" t="s">
        <v>12053</v>
      </c>
      <c r="G2768" s="241" t="s">
        <v>127</v>
      </c>
      <c r="H2768" s="241">
        <v>4400.0</v>
      </c>
      <c r="I2768" s="211" t="s">
        <v>121</v>
      </c>
      <c r="J2768" s="103" t="s">
        <v>3199</v>
      </c>
      <c r="K2768" s="241">
        <v>2.0</v>
      </c>
      <c r="L2768" s="124">
        <v>3.875266995E9</v>
      </c>
    </row>
    <row r="2769">
      <c r="A2769" s="33" t="s">
        <v>12054</v>
      </c>
      <c r="B2769" s="122">
        <v>46071.0</v>
      </c>
      <c r="C2769" s="240">
        <v>8.07000035143E11</v>
      </c>
      <c r="D2769" s="240" t="s">
        <v>11367</v>
      </c>
      <c r="E2769" s="240" t="s">
        <v>11368</v>
      </c>
      <c r="F2769" s="242" t="s">
        <v>12055</v>
      </c>
      <c r="G2769" s="242" t="s">
        <v>1986</v>
      </c>
      <c r="H2769" s="242">
        <v>4400.0</v>
      </c>
      <c r="I2769" s="224" t="s">
        <v>11890</v>
      </c>
      <c r="J2769" s="240" t="s">
        <v>11891</v>
      </c>
      <c r="K2769" s="242">
        <v>2.0</v>
      </c>
      <c r="L2769" s="124">
        <v>3.874423354E9</v>
      </c>
    </row>
    <row r="2770">
      <c r="A2770" s="33" t="s">
        <v>12054</v>
      </c>
      <c r="B2770" s="122">
        <v>46071.0</v>
      </c>
      <c r="C2770" s="103">
        <v>8.07000035143E11</v>
      </c>
      <c r="D2770" s="103" t="s">
        <v>11367</v>
      </c>
      <c r="E2770" s="103" t="s">
        <v>11368</v>
      </c>
      <c r="F2770" s="241" t="s">
        <v>12055</v>
      </c>
      <c r="G2770" s="241" t="s">
        <v>1986</v>
      </c>
      <c r="H2770" s="241">
        <v>4400.0</v>
      </c>
      <c r="I2770" s="211" t="s">
        <v>812</v>
      </c>
      <c r="J2770" s="103" t="s">
        <v>3564</v>
      </c>
      <c r="K2770" s="241">
        <v>1.0</v>
      </c>
      <c r="L2770" s="124">
        <v>3.874423354E9</v>
      </c>
    </row>
    <row r="2771">
      <c r="A2771" s="33" t="s">
        <v>12054</v>
      </c>
      <c r="B2771" s="122">
        <v>46071.0</v>
      </c>
      <c r="C2771" s="240">
        <v>8.07000035143E11</v>
      </c>
      <c r="D2771" s="240" t="s">
        <v>11367</v>
      </c>
      <c r="E2771" s="240" t="s">
        <v>11368</v>
      </c>
      <c r="F2771" s="242" t="s">
        <v>12055</v>
      </c>
      <c r="G2771" s="242" t="s">
        <v>1986</v>
      </c>
      <c r="H2771" s="242">
        <v>4400.0</v>
      </c>
      <c r="I2771" s="224" t="s">
        <v>512</v>
      </c>
      <c r="J2771" s="240" t="s">
        <v>513</v>
      </c>
      <c r="K2771" s="242">
        <v>6.0</v>
      </c>
      <c r="L2771" s="124">
        <v>3.874423354E9</v>
      </c>
    </row>
    <row r="2772">
      <c r="A2772" s="33" t="s">
        <v>12054</v>
      </c>
      <c r="B2772" s="122">
        <v>46071.0</v>
      </c>
      <c r="C2772" s="103">
        <v>8.07000035143E11</v>
      </c>
      <c r="D2772" s="103" t="s">
        <v>11367</v>
      </c>
      <c r="E2772" s="103" t="s">
        <v>11368</v>
      </c>
      <c r="F2772" s="241" t="s">
        <v>12055</v>
      </c>
      <c r="G2772" s="241" t="s">
        <v>1986</v>
      </c>
      <c r="H2772" s="241">
        <v>4400.0</v>
      </c>
      <c r="I2772" s="211" t="s">
        <v>35</v>
      </c>
      <c r="J2772" s="103" t="s">
        <v>3188</v>
      </c>
      <c r="K2772" s="241">
        <v>1.0</v>
      </c>
      <c r="L2772" s="124">
        <v>3.874423354E9</v>
      </c>
    </row>
    <row r="2773">
      <c r="A2773" s="33" t="s">
        <v>12056</v>
      </c>
      <c r="B2773" s="122">
        <v>46071.0</v>
      </c>
      <c r="C2773" s="103">
        <v>8.07000035139E11</v>
      </c>
      <c r="D2773" s="103" t="s">
        <v>12057</v>
      </c>
      <c r="E2773" s="103" t="s">
        <v>12058</v>
      </c>
      <c r="F2773" s="241" t="s">
        <v>12059</v>
      </c>
      <c r="G2773" s="241" t="s">
        <v>4056</v>
      </c>
      <c r="H2773" s="241">
        <v>4400.0</v>
      </c>
      <c r="I2773" s="211" t="s">
        <v>184</v>
      </c>
      <c r="J2773" s="103" t="s">
        <v>4485</v>
      </c>
      <c r="K2773" s="241">
        <v>1.0</v>
      </c>
      <c r="L2773" s="124">
        <v>3.875392658E9</v>
      </c>
    </row>
    <row r="2774">
      <c r="A2774" s="33" t="s">
        <v>12056</v>
      </c>
      <c r="B2774" s="122">
        <v>46071.0</v>
      </c>
      <c r="C2774" s="240">
        <v>8.07000035139E11</v>
      </c>
      <c r="D2774" s="240" t="s">
        <v>12057</v>
      </c>
      <c r="E2774" s="240" t="s">
        <v>12058</v>
      </c>
      <c r="F2774" s="242" t="s">
        <v>12059</v>
      </c>
      <c r="G2774" s="242" t="s">
        <v>4056</v>
      </c>
      <c r="H2774" s="242">
        <v>4400.0</v>
      </c>
      <c r="I2774" s="224" t="s">
        <v>512</v>
      </c>
      <c r="J2774" s="240" t="s">
        <v>513</v>
      </c>
      <c r="K2774" s="242">
        <v>6.0</v>
      </c>
      <c r="L2774" s="124">
        <v>3.875392658E9</v>
      </c>
    </row>
    <row r="2775">
      <c r="A2775" s="33" t="s">
        <v>12056</v>
      </c>
      <c r="B2775" s="122">
        <v>46071.0</v>
      </c>
      <c r="C2775" s="103">
        <v>8.07000035139E11</v>
      </c>
      <c r="D2775" s="103" t="s">
        <v>12057</v>
      </c>
      <c r="E2775" s="103" t="s">
        <v>12058</v>
      </c>
      <c r="F2775" s="241" t="s">
        <v>12059</v>
      </c>
      <c r="G2775" s="241" t="s">
        <v>4056</v>
      </c>
      <c r="H2775" s="241">
        <v>4400.0</v>
      </c>
      <c r="I2775" s="211" t="s">
        <v>273</v>
      </c>
      <c r="J2775" s="103" t="s">
        <v>3594</v>
      </c>
      <c r="K2775" s="241">
        <v>1.0</v>
      </c>
      <c r="L2775" s="124">
        <v>3.875392658E9</v>
      </c>
    </row>
    <row r="2776" ht="6.75" customHeight="1">
      <c r="A2776" s="100"/>
      <c r="B2776" s="230"/>
      <c r="C2776" s="251"/>
      <c r="D2776" s="251"/>
      <c r="E2776" s="251"/>
      <c r="F2776" s="231"/>
      <c r="G2776" s="231"/>
      <c r="H2776" s="231"/>
      <c r="I2776" s="252"/>
      <c r="J2776" s="251"/>
      <c r="K2776" s="253"/>
      <c r="L2776" s="232"/>
      <c r="M2776" s="233"/>
      <c r="N2776" s="233"/>
      <c r="O2776" s="233"/>
      <c r="P2776" s="233"/>
      <c r="Q2776" s="233"/>
      <c r="R2776" s="233"/>
      <c r="S2776" s="233"/>
      <c r="T2776" s="233"/>
      <c r="U2776" s="233"/>
      <c r="V2776" s="233"/>
      <c r="W2776" s="233"/>
      <c r="X2776" s="233"/>
      <c r="Y2776" s="233"/>
      <c r="Z2776" s="233"/>
      <c r="AA2776" s="233"/>
      <c r="AB2776" s="233"/>
      <c r="AC2776" s="233"/>
    </row>
    <row r="2777">
      <c r="A2777" s="33" t="s">
        <v>12060</v>
      </c>
      <c r="B2777" s="122">
        <v>46073.0</v>
      </c>
      <c r="C2777" s="103">
        <v>8.07000035147E11</v>
      </c>
      <c r="D2777" s="103" t="s">
        <v>12061</v>
      </c>
      <c r="E2777" s="103" t="s">
        <v>12062</v>
      </c>
      <c r="F2777" s="241" t="s">
        <v>12063</v>
      </c>
      <c r="G2777" s="241" t="s">
        <v>104</v>
      </c>
      <c r="H2777" s="241">
        <v>4400.0</v>
      </c>
      <c r="I2777" s="211" t="s">
        <v>947</v>
      </c>
      <c r="J2777" s="103" t="s">
        <v>3750</v>
      </c>
      <c r="K2777" s="241">
        <v>1.0</v>
      </c>
      <c r="L2777" s="124">
        <v>3.875870915E9</v>
      </c>
    </row>
    <row r="2778">
      <c r="A2778" s="33" t="s">
        <v>12064</v>
      </c>
      <c r="B2778" s="122">
        <v>46073.0</v>
      </c>
      <c r="C2778" s="103">
        <v>8.07000035149E11</v>
      </c>
      <c r="D2778" s="103" t="s">
        <v>12065</v>
      </c>
      <c r="E2778" s="103" t="s">
        <v>12066</v>
      </c>
      <c r="F2778" s="241" t="s">
        <v>12067</v>
      </c>
      <c r="G2778" s="241" t="s">
        <v>127</v>
      </c>
      <c r="H2778" s="241">
        <v>4400.0</v>
      </c>
      <c r="I2778" s="211" t="s">
        <v>8604</v>
      </c>
      <c r="J2778" s="103" t="s">
        <v>8605</v>
      </c>
      <c r="K2778" s="241">
        <v>1.0</v>
      </c>
      <c r="L2778" s="124">
        <v>3.816900914E9</v>
      </c>
    </row>
    <row r="2779">
      <c r="A2779" s="33" t="s">
        <v>12064</v>
      </c>
      <c r="B2779" s="122">
        <v>46073.0</v>
      </c>
      <c r="C2779" s="240">
        <v>8.0700003515E11</v>
      </c>
      <c r="D2779" s="240" t="s">
        <v>12065</v>
      </c>
      <c r="E2779" s="240" t="s">
        <v>12066</v>
      </c>
      <c r="F2779" s="242" t="s">
        <v>12067</v>
      </c>
      <c r="G2779" s="242" t="s">
        <v>127</v>
      </c>
      <c r="H2779" s="242">
        <v>4400.0</v>
      </c>
      <c r="I2779" s="224" t="s">
        <v>4793</v>
      </c>
      <c r="J2779" s="240" t="s">
        <v>4794</v>
      </c>
      <c r="K2779" s="242">
        <v>1.0</v>
      </c>
      <c r="L2779" s="124">
        <v>3.816900914E9</v>
      </c>
    </row>
    <row r="2780">
      <c r="A2780" s="33" t="s">
        <v>12064</v>
      </c>
      <c r="B2780" s="122">
        <v>46073.0</v>
      </c>
      <c r="C2780" s="240">
        <v>8.07000035141E11</v>
      </c>
      <c r="D2780" s="240" t="s">
        <v>12065</v>
      </c>
      <c r="E2780" s="240" t="s">
        <v>12066</v>
      </c>
      <c r="F2780" s="241" t="s">
        <v>12067</v>
      </c>
      <c r="G2780" s="241" t="s">
        <v>127</v>
      </c>
      <c r="H2780" s="241">
        <v>4400.0</v>
      </c>
      <c r="I2780" s="224">
        <v>125810.0</v>
      </c>
      <c r="J2780" s="240" t="s">
        <v>4672</v>
      </c>
      <c r="K2780" s="242">
        <v>2.0</v>
      </c>
      <c r="L2780" s="124">
        <v>3.816900914E9</v>
      </c>
    </row>
    <row r="2781">
      <c r="A2781" s="33" t="s">
        <v>12068</v>
      </c>
      <c r="B2781" s="122">
        <v>46073.0</v>
      </c>
      <c r="C2781" s="103">
        <v>8.07000035161E11</v>
      </c>
      <c r="D2781" s="103" t="s">
        <v>12069</v>
      </c>
      <c r="E2781" s="103" t="s">
        <v>12070</v>
      </c>
      <c r="F2781" s="241" t="s">
        <v>12071</v>
      </c>
      <c r="G2781" s="241" t="s">
        <v>127</v>
      </c>
      <c r="H2781" s="241">
        <v>4400.0</v>
      </c>
      <c r="I2781" s="211" t="s">
        <v>258</v>
      </c>
      <c r="J2781" s="103" t="s">
        <v>259</v>
      </c>
      <c r="K2781" s="241">
        <v>2.0</v>
      </c>
      <c r="L2781" s="124">
        <v>3.874859632E9</v>
      </c>
    </row>
    <row r="2782">
      <c r="A2782" s="33" t="s">
        <v>12068</v>
      </c>
      <c r="B2782" s="122">
        <v>46073.0</v>
      </c>
      <c r="C2782" s="240">
        <v>8.07000035161E11</v>
      </c>
      <c r="D2782" s="240" t="s">
        <v>12069</v>
      </c>
      <c r="E2782" s="240" t="s">
        <v>12070</v>
      </c>
      <c r="F2782" s="242" t="s">
        <v>12071</v>
      </c>
      <c r="G2782" s="242" t="s">
        <v>127</v>
      </c>
      <c r="H2782" s="242">
        <v>4400.0</v>
      </c>
      <c r="I2782" s="224" t="s">
        <v>249</v>
      </c>
      <c r="J2782" s="240" t="s">
        <v>9324</v>
      </c>
      <c r="K2782" s="242">
        <v>1.0</v>
      </c>
      <c r="L2782" s="124">
        <v>3.874859632E9</v>
      </c>
    </row>
    <row r="2783">
      <c r="A2783" s="33" t="s">
        <v>12072</v>
      </c>
      <c r="B2783" s="122">
        <v>46073.0</v>
      </c>
      <c r="C2783" s="240">
        <v>8.07000035157E11</v>
      </c>
      <c r="D2783" s="240" t="s">
        <v>12073</v>
      </c>
      <c r="E2783" s="240" t="s">
        <v>12074</v>
      </c>
      <c r="F2783" s="242" t="s">
        <v>12075</v>
      </c>
      <c r="G2783" s="242" t="s">
        <v>127</v>
      </c>
      <c r="H2783" s="242">
        <v>4400.0</v>
      </c>
      <c r="I2783" s="224" t="s">
        <v>512</v>
      </c>
      <c r="J2783" s="240" t="s">
        <v>513</v>
      </c>
      <c r="K2783" s="242">
        <v>12.0</v>
      </c>
      <c r="L2783" s="124">
        <v>3.87210591E9</v>
      </c>
    </row>
    <row r="2784">
      <c r="A2784" s="33" t="s">
        <v>12072</v>
      </c>
      <c r="B2784" s="122">
        <v>46073.0</v>
      </c>
      <c r="C2784" s="103">
        <v>8.07000035158E11</v>
      </c>
      <c r="D2784" s="103" t="s">
        <v>12073</v>
      </c>
      <c r="E2784" s="103" t="s">
        <v>12074</v>
      </c>
      <c r="F2784" s="241" t="s">
        <v>12075</v>
      </c>
      <c r="G2784" s="241" t="s">
        <v>127</v>
      </c>
      <c r="H2784" s="241">
        <v>4400.0</v>
      </c>
      <c r="I2784" s="211" t="s">
        <v>8099</v>
      </c>
      <c r="J2784" s="103" t="s">
        <v>8100</v>
      </c>
      <c r="K2784" s="241">
        <v>1.0</v>
      </c>
      <c r="L2784" s="124">
        <v>3.87210591E9</v>
      </c>
    </row>
    <row r="2785">
      <c r="A2785" s="33" t="s">
        <v>12072</v>
      </c>
      <c r="B2785" s="122">
        <v>46073.0</v>
      </c>
      <c r="C2785" s="240">
        <v>8.07000035158E11</v>
      </c>
      <c r="D2785" s="240" t="s">
        <v>12073</v>
      </c>
      <c r="E2785" s="240" t="s">
        <v>12074</v>
      </c>
      <c r="F2785" s="242" t="s">
        <v>12075</v>
      </c>
      <c r="G2785" s="242" t="s">
        <v>127</v>
      </c>
      <c r="H2785" s="242">
        <v>4400.0</v>
      </c>
      <c r="I2785" s="224" t="s">
        <v>121</v>
      </c>
      <c r="J2785" s="240" t="s">
        <v>3199</v>
      </c>
      <c r="K2785" s="242">
        <v>2.0</v>
      </c>
      <c r="L2785" s="124">
        <v>3.87210591E9</v>
      </c>
    </row>
    <row r="2786">
      <c r="A2786" s="33" t="s">
        <v>12076</v>
      </c>
      <c r="B2786" s="122">
        <v>46073.0</v>
      </c>
      <c r="C2786" s="240">
        <v>8.07000035152E11</v>
      </c>
      <c r="D2786" s="240" t="s">
        <v>12077</v>
      </c>
      <c r="E2786" s="240" t="s">
        <v>12078</v>
      </c>
      <c r="F2786" s="242" t="s">
        <v>12079</v>
      </c>
      <c r="G2786" s="242" t="s">
        <v>104</v>
      </c>
      <c r="H2786" s="242">
        <v>4400.0</v>
      </c>
      <c r="I2786" s="224" t="s">
        <v>512</v>
      </c>
      <c r="J2786" s="240" t="s">
        <v>513</v>
      </c>
      <c r="K2786" s="242">
        <v>6.0</v>
      </c>
      <c r="L2786" s="124">
        <v>2.320597545E9</v>
      </c>
    </row>
    <row r="2787">
      <c r="A2787" s="33" t="s">
        <v>12076</v>
      </c>
      <c r="B2787" s="122">
        <v>46073.0</v>
      </c>
      <c r="C2787" s="103">
        <v>8.07000035153E11</v>
      </c>
      <c r="D2787" s="103" t="s">
        <v>12077</v>
      </c>
      <c r="E2787" s="103" t="s">
        <v>12078</v>
      </c>
      <c r="F2787" s="241" t="s">
        <v>12079</v>
      </c>
      <c r="G2787" s="241" t="s">
        <v>104</v>
      </c>
      <c r="H2787" s="241">
        <v>4400.0</v>
      </c>
      <c r="I2787" s="211" t="s">
        <v>5034</v>
      </c>
      <c r="J2787" s="103" t="s">
        <v>5035</v>
      </c>
      <c r="K2787" s="241">
        <v>1.0</v>
      </c>
      <c r="L2787" s="124">
        <v>2.320597545E9</v>
      </c>
    </row>
    <row r="2788">
      <c r="A2788" s="33" t="s">
        <v>12076</v>
      </c>
      <c r="B2788" s="122">
        <v>46073.0</v>
      </c>
      <c r="C2788" s="240">
        <v>8.07000035153E11</v>
      </c>
      <c r="D2788" s="240" t="s">
        <v>12077</v>
      </c>
      <c r="E2788" s="240" t="s">
        <v>12078</v>
      </c>
      <c r="F2788" s="242" t="s">
        <v>12079</v>
      </c>
      <c r="G2788" s="242" t="s">
        <v>104</v>
      </c>
      <c r="H2788" s="242">
        <v>4400.0</v>
      </c>
      <c r="I2788" s="224" t="s">
        <v>670</v>
      </c>
      <c r="J2788" s="240" t="s">
        <v>3410</v>
      </c>
      <c r="K2788" s="242">
        <v>1.0</v>
      </c>
      <c r="L2788" s="124">
        <v>2.320597545E9</v>
      </c>
    </row>
    <row r="2789">
      <c r="A2789" s="33" t="s">
        <v>12080</v>
      </c>
      <c r="B2789" s="122">
        <v>46073.0</v>
      </c>
      <c r="C2789" s="103">
        <v>8.07000035154E11</v>
      </c>
      <c r="D2789" s="103" t="s">
        <v>12077</v>
      </c>
      <c r="E2789" s="103" t="s">
        <v>12078</v>
      </c>
      <c r="F2789" s="241" t="s">
        <v>12079</v>
      </c>
      <c r="G2789" s="241" t="s">
        <v>104</v>
      </c>
      <c r="H2789" s="241">
        <v>4400.0</v>
      </c>
      <c r="I2789" s="211">
        <v>125817.0</v>
      </c>
      <c r="J2789" s="103" t="s">
        <v>10650</v>
      </c>
      <c r="K2789" s="241">
        <v>2.0</v>
      </c>
      <c r="L2789" s="124">
        <v>2.320597545E9</v>
      </c>
    </row>
    <row r="2790">
      <c r="A2790" s="33" t="s">
        <v>12081</v>
      </c>
      <c r="B2790" s="122">
        <v>46074.0</v>
      </c>
      <c r="C2790" s="103">
        <v>8.07000035182E11</v>
      </c>
      <c r="D2790" s="103" t="s">
        <v>12082</v>
      </c>
      <c r="E2790" s="103" t="s">
        <v>12083</v>
      </c>
      <c r="F2790" s="123" t="s">
        <v>12084</v>
      </c>
      <c r="G2790" s="241" t="s">
        <v>104</v>
      </c>
      <c r="H2790" s="241">
        <v>4400.0</v>
      </c>
      <c r="I2790" s="211" t="s">
        <v>512</v>
      </c>
      <c r="J2790" s="103" t="s">
        <v>513</v>
      </c>
      <c r="K2790" s="241">
        <v>6.0</v>
      </c>
      <c r="L2790" s="124">
        <v>3.812016769E9</v>
      </c>
    </row>
    <row r="2791">
      <c r="A2791" s="33" t="s">
        <v>12081</v>
      </c>
      <c r="B2791" s="122">
        <v>46074.0</v>
      </c>
      <c r="C2791" s="240">
        <v>8.07000035183E11</v>
      </c>
      <c r="D2791" s="240" t="s">
        <v>12082</v>
      </c>
      <c r="E2791" s="240" t="s">
        <v>12083</v>
      </c>
      <c r="F2791" s="123" t="s">
        <v>12084</v>
      </c>
      <c r="G2791" s="242" t="s">
        <v>104</v>
      </c>
      <c r="H2791" s="242">
        <v>4400.0</v>
      </c>
      <c r="I2791" s="224" t="s">
        <v>2397</v>
      </c>
      <c r="J2791" s="240" t="s">
        <v>5040</v>
      </c>
      <c r="K2791" s="242">
        <v>1.0</v>
      </c>
      <c r="L2791" s="124">
        <v>3.812016769E9</v>
      </c>
    </row>
    <row r="2792">
      <c r="A2792" s="33" t="s">
        <v>12081</v>
      </c>
      <c r="B2792" s="122">
        <v>46074.0</v>
      </c>
      <c r="C2792" s="103">
        <v>8.07000035184E11</v>
      </c>
      <c r="D2792" s="103" t="s">
        <v>12082</v>
      </c>
      <c r="E2792" s="103" t="s">
        <v>12083</v>
      </c>
      <c r="F2792" s="123" t="s">
        <v>12084</v>
      </c>
      <c r="G2792" s="241" t="s">
        <v>104</v>
      </c>
      <c r="H2792" s="241">
        <v>4400.0</v>
      </c>
      <c r="I2792" s="211" t="s">
        <v>969</v>
      </c>
      <c r="J2792" s="103" t="s">
        <v>3296</v>
      </c>
      <c r="K2792" s="241">
        <v>1.0</v>
      </c>
      <c r="L2792" s="124">
        <v>3.812016769E9</v>
      </c>
    </row>
    <row r="2793">
      <c r="A2793" s="33" t="s">
        <v>12085</v>
      </c>
      <c r="B2793" s="122">
        <v>46074.0</v>
      </c>
      <c r="C2793" s="240">
        <v>8.07000035185E11</v>
      </c>
      <c r="D2793" s="240" t="s">
        <v>12086</v>
      </c>
      <c r="E2793" s="240" t="s">
        <v>12087</v>
      </c>
      <c r="F2793" s="123" t="s">
        <v>12088</v>
      </c>
      <c r="G2793" s="241" t="s">
        <v>104</v>
      </c>
      <c r="H2793" s="241">
        <v>4400.0</v>
      </c>
      <c r="I2793" s="224">
        <v>125811.0</v>
      </c>
      <c r="J2793" s="240" t="s">
        <v>6073</v>
      </c>
      <c r="K2793" s="242">
        <v>2.0</v>
      </c>
      <c r="L2793" s="124">
        <v>3.872269388E9</v>
      </c>
    </row>
    <row r="2794">
      <c r="A2794" s="33" t="s">
        <v>12085</v>
      </c>
      <c r="B2794" s="122">
        <v>46074.0</v>
      </c>
      <c r="C2794" s="103">
        <v>8.07000035185E11</v>
      </c>
      <c r="D2794" s="103" t="s">
        <v>12086</v>
      </c>
      <c r="E2794" s="103" t="s">
        <v>12087</v>
      </c>
      <c r="F2794" s="123" t="s">
        <v>12088</v>
      </c>
      <c r="G2794" s="242" t="s">
        <v>104</v>
      </c>
      <c r="H2794" s="242">
        <v>4400.0</v>
      </c>
      <c r="I2794" s="211">
        <v>203707.0</v>
      </c>
      <c r="J2794" s="103" t="s">
        <v>2986</v>
      </c>
      <c r="K2794" s="241">
        <v>1.0</v>
      </c>
      <c r="L2794" s="124">
        <v>3.872269388E9</v>
      </c>
    </row>
    <row r="2795">
      <c r="A2795" s="33" t="s">
        <v>12085</v>
      </c>
      <c r="B2795" s="122">
        <v>46074.0</v>
      </c>
      <c r="C2795" s="240">
        <v>8.07000035186E11</v>
      </c>
      <c r="D2795" s="240" t="s">
        <v>12086</v>
      </c>
      <c r="E2795" s="240" t="s">
        <v>12087</v>
      </c>
      <c r="F2795" s="123" t="s">
        <v>12088</v>
      </c>
      <c r="G2795" s="241" t="s">
        <v>104</v>
      </c>
      <c r="H2795" s="241">
        <v>4400.0</v>
      </c>
      <c r="I2795" s="224">
        <v>204210.0</v>
      </c>
      <c r="J2795" s="240" t="s">
        <v>10068</v>
      </c>
      <c r="K2795" s="242">
        <v>2.0</v>
      </c>
      <c r="L2795" s="124">
        <v>3.872269388E9</v>
      </c>
    </row>
    <row r="2796" ht="2.25" customHeight="1">
      <c r="A2796" s="100"/>
      <c r="B2796" s="230"/>
      <c r="C2796" s="251"/>
      <c r="D2796" s="251"/>
      <c r="E2796" s="251"/>
      <c r="F2796" s="231"/>
      <c r="G2796" s="231"/>
      <c r="H2796" s="231"/>
      <c r="I2796" s="252"/>
      <c r="J2796" s="252"/>
      <c r="K2796" s="253"/>
      <c r="L2796" s="232"/>
      <c r="M2796" s="233"/>
      <c r="N2796" s="233"/>
      <c r="O2796" s="233"/>
      <c r="P2796" s="233"/>
      <c r="Q2796" s="233"/>
      <c r="R2796" s="233"/>
      <c r="S2796" s="233"/>
      <c r="T2796" s="233"/>
      <c r="U2796" s="233"/>
      <c r="V2796" s="233"/>
      <c r="W2796" s="233"/>
      <c r="X2796" s="233"/>
      <c r="Y2796" s="233"/>
      <c r="Z2796" s="233"/>
      <c r="AA2796" s="233"/>
      <c r="AB2796" s="233"/>
      <c r="AC2796" s="233"/>
    </row>
    <row r="2797">
      <c r="A2797" s="33" t="s">
        <v>12089</v>
      </c>
      <c r="B2797" s="122">
        <v>46076.0</v>
      </c>
      <c r="C2797" s="103">
        <v>8.07000035189E11</v>
      </c>
      <c r="D2797" s="103" t="s">
        <v>12090</v>
      </c>
      <c r="E2797" s="103" t="s">
        <v>12091</v>
      </c>
      <c r="F2797" s="241" t="s">
        <v>12092</v>
      </c>
      <c r="G2797" s="241" t="s">
        <v>1986</v>
      </c>
      <c r="H2797" s="241">
        <v>4400.0</v>
      </c>
      <c r="I2797" s="211" t="s">
        <v>1241</v>
      </c>
      <c r="J2797" s="103" t="s">
        <v>3500</v>
      </c>
      <c r="K2797" s="241">
        <v>2.0</v>
      </c>
      <c r="L2797" s="124">
        <v>3.876379059E9</v>
      </c>
    </row>
    <row r="2798">
      <c r="A2798" s="33" t="s">
        <v>12093</v>
      </c>
      <c r="B2798" s="122">
        <v>46076.0</v>
      </c>
      <c r="C2798" s="103">
        <v>8.05011571455E11</v>
      </c>
      <c r="D2798" s="103" t="s">
        <v>12094</v>
      </c>
      <c r="E2798" s="103" t="s">
        <v>12095</v>
      </c>
      <c r="F2798" s="241" t="s">
        <v>12096</v>
      </c>
      <c r="G2798" s="241" t="s">
        <v>20</v>
      </c>
      <c r="H2798" s="241">
        <v>4400.0</v>
      </c>
      <c r="I2798" s="211" t="s">
        <v>5185</v>
      </c>
      <c r="J2798" s="103" t="s">
        <v>5186</v>
      </c>
      <c r="K2798" s="241">
        <v>1.0</v>
      </c>
      <c r="L2798" s="124">
        <v>3.875683032E9</v>
      </c>
    </row>
    <row r="2799">
      <c r="A2799" s="33" t="s">
        <v>12093</v>
      </c>
      <c r="B2799" s="122">
        <v>46076.0</v>
      </c>
      <c r="C2799" s="240">
        <v>8.05011571455E11</v>
      </c>
      <c r="D2799" s="240" t="s">
        <v>12094</v>
      </c>
      <c r="E2799" s="240" t="s">
        <v>12095</v>
      </c>
      <c r="F2799" s="242" t="s">
        <v>12096</v>
      </c>
      <c r="G2799" s="242" t="s">
        <v>20</v>
      </c>
      <c r="H2799" s="242">
        <v>4400.0</v>
      </c>
      <c r="I2799" s="224" t="s">
        <v>512</v>
      </c>
      <c r="J2799" s="240" t="s">
        <v>513</v>
      </c>
      <c r="K2799" s="242">
        <v>6.0</v>
      </c>
      <c r="L2799" s="124">
        <v>3.875683032E9</v>
      </c>
    </row>
    <row r="2800">
      <c r="A2800" s="33" t="s">
        <v>12093</v>
      </c>
      <c r="B2800" s="122">
        <v>46076.0</v>
      </c>
      <c r="C2800" s="103">
        <v>8.05011571455E11</v>
      </c>
      <c r="D2800" s="103" t="s">
        <v>12094</v>
      </c>
      <c r="E2800" s="103" t="s">
        <v>12095</v>
      </c>
      <c r="F2800" s="241" t="s">
        <v>12096</v>
      </c>
      <c r="G2800" s="241" t="s">
        <v>20</v>
      </c>
      <c r="H2800" s="241">
        <v>4400.0</v>
      </c>
      <c r="I2800" s="211" t="s">
        <v>2031</v>
      </c>
      <c r="J2800" s="103" t="s">
        <v>3348</v>
      </c>
      <c r="K2800" s="241">
        <v>1.0</v>
      </c>
      <c r="L2800" s="124">
        <v>3.875683032E9</v>
      </c>
    </row>
    <row r="2801">
      <c r="A2801" s="33" t="s">
        <v>12097</v>
      </c>
      <c r="B2801" s="122">
        <v>46076.0</v>
      </c>
      <c r="C2801" s="103">
        <v>8.07000035197E11</v>
      </c>
      <c r="D2801" s="103" t="s">
        <v>12098</v>
      </c>
      <c r="E2801" s="103" t="s">
        <v>12099</v>
      </c>
      <c r="F2801" s="123" t="s">
        <v>12100</v>
      </c>
      <c r="G2801" s="242" t="s">
        <v>20</v>
      </c>
      <c r="H2801" s="242">
        <v>4400.0</v>
      </c>
      <c r="I2801" s="211">
        <v>125801.0</v>
      </c>
      <c r="J2801" s="103" t="s">
        <v>5192</v>
      </c>
      <c r="K2801" s="241">
        <v>1.0</v>
      </c>
      <c r="L2801" s="124">
        <v>3.874525933E9</v>
      </c>
    </row>
    <row r="2802">
      <c r="A2802" s="33" t="s">
        <v>12097</v>
      </c>
      <c r="B2802" s="122">
        <v>46076.0</v>
      </c>
      <c r="C2802" s="240">
        <v>8.07000035198E11</v>
      </c>
      <c r="D2802" s="240" t="s">
        <v>12098</v>
      </c>
      <c r="E2802" s="240" t="s">
        <v>12099</v>
      </c>
      <c r="F2802" s="123" t="s">
        <v>12100</v>
      </c>
      <c r="G2802" s="241" t="s">
        <v>20</v>
      </c>
      <c r="H2802" s="241">
        <v>4400.0</v>
      </c>
      <c r="I2802" s="224" t="s">
        <v>8532</v>
      </c>
      <c r="J2802" s="240" t="s">
        <v>8533</v>
      </c>
      <c r="K2802" s="242">
        <v>1.0</v>
      </c>
      <c r="L2802" s="124">
        <v>3.874525933E9</v>
      </c>
    </row>
    <row r="2803">
      <c r="A2803" s="33" t="s">
        <v>12101</v>
      </c>
      <c r="B2803" s="122"/>
      <c r="C2803" s="103">
        <v>8.070000352E11</v>
      </c>
      <c r="D2803" s="103" t="s">
        <v>12102</v>
      </c>
      <c r="E2803" s="103" t="s">
        <v>12103</v>
      </c>
      <c r="F2803" s="241" t="s">
        <v>12104</v>
      </c>
      <c r="G2803" s="241" t="s">
        <v>127</v>
      </c>
      <c r="H2803" s="241">
        <v>4400.0</v>
      </c>
      <c r="I2803" s="211" t="s">
        <v>4070</v>
      </c>
      <c r="J2803" s="103" t="s">
        <v>6264</v>
      </c>
      <c r="K2803" s="241">
        <v>1.0</v>
      </c>
      <c r="L2803" s="124">
        <v>3.87459426E9</v>
      </c>
    </row>
    <row r="2804">
      <c r="A2804" s="33" t="s">
        <v>12101</v>
      </c>
      <c r="B2804" s="122"/>
      <c r="C2804" s="240">
        <v>8.07000035199E11</v>
      </c>
      <c r="D2804" s="240" t="s">
        <v>12102</v>
      </c>
      <c r="E2804" s="240" t="s">
        <v>12103</v>
      </c>
      <c r="F2804" s="242" t="s">
        <v>12104</v>
      </c>
      <c r="G2804" s="242" t="s">
        <v>127</v>
      </c>
      <c r="H2804" s="242">
        <v>4400.0</v>
      </c>
      <c r="I2804" s="224" t="s">
        <v>2397</v>
      </c>
      <c r="J2804" s="240" t="s">
        <v>5040</v>
      </c>
      <c r="K2804" s="242">
        <v>1.0</v>
      </c>
      <c r="L2804" s="124">
        <v>3.87459426E9</v>
      </c>
    </row>
    <row r="2805">
      <c r="A2805" s="33" t="s">
        <v>12105</v>
      </c>
      <c r="B2805" s="122">
        <v>46079.0</v>
      </c>
      <c r="C2805" s="240">
        <v>8.07000034928E11</v>
      </c>
      <c r="D2805" s="240" t="s">
        <v>12000</v>
      </c>
      <c r="E2805" s="240" t="s">
        <v>12001</v>
      </c>
      <c r="F2805" s="242" t="s">
        <v>12106</v>
      </c>
      <c r="G2805" s="242" t="s">
        <v>127</v>
      </c>
      <c r="H2805" s="242">
        <v>4400.0</v>
      </c>
      <c r="I2805" s="224" t="s">
        <v>11020</v>
      </c>
      <c r="J2805" s="240" t="s">
        <v>11799</v>
      </c>
      <c r="K2805" s="242">
        <v>1.0</v>
      </c>
      <c r="L2805" s="124">
        <v>3.876053448E9</v>
      </c>
    </row>
    <row r="2806">
      <c r="A2806" s="33" t="s">
        <v>12107</v>
      </c>
      <c r="B2806" s="122">
        <v>46079.0</v>
      </c>
      <c r="C2806" s="103">
        <v>8.05011571612E11</v>
      </c>
      <c r="D2806" s="103" t="s">
        <v>12108</v>
      </c>
      <c r="E2806" s="103" t="s">
        <v>12109</v>
      </c>
      <c r="F2806" s="123" t="s">
        <v>12110</v>
      </c>
      <c r="G2806" s="242" t="s">
        <v>127</v>
      </c>
      <c r="H2806" s="242">
        <v>4400.0</v>
      </c>
      <c r="I2806" s="211" t="s">
        <v>5034</v>
      </c>
      <c r="J2806" s="103" t="s">
        <v>5035</v>
      </c>
      <c r="K2806" s="241">
        <v>1.0</v>
      </c>
      <c r="L2806" s="124">
        <v>3.875188321E9</v>
      </c>
    </row>
    <row r="2807">
      <c r="A2807" s="33" t="s">
        <v>12107</v>
      </c>
      <c r="B2807" s="122">
        <v>46079.0</v>
      </c>
      <c r="C2807" s="240">
        <v>8.05011571612E11</v>
      </c>
      <c r="D2807" s="240" t="s">
        <v>12108</v>
      </c>
      <c r="E2807" s="240" t="s">
        <v>12109</v>
      </c>
      <c r="F2807" s="123" t="s">
        <v>12110</v>
      </c>
      <c r="G2807" s="242" t="s">
        <v>127</v>
      </c>
      <c r="H2807" s="242">
        <v>4400.0</v>
      </c>
      <c r="I2807" s="224" t="s">
        <v>512</v>
      </c>
      <c r="J2807" s="240" t="s">
        <v>513</v>
      </c>
      <c r="K2807" s="242">
        <v>6.0</v>
      </c>
      <c r="L2807" s="124">
        <v>3.875188321E9</v>
      </c>
    </row>
    <row r="2808">
      <c r="A2808" s="33" t="s">
        <v>12107</v>
      </c>
      <c r="B2808" s="122">
        <v>46079.0</v>
      </c>
      <c r="C2808" s="103">
        <v>8.05011571612E11</v>
      </c>
      <c r="D2808" s="103" t="s">
        <v>12108</v>
      </c>
      <c r="E2808" s="103" t="s">
        <v>12109</v>
      </c>
      <c r="F2808" s="123" t="s">
        <v>12110</v>
      </c>
      <c r="G2808" s="242" t="s">
        <v>127</v>
      </c>
      <c r="H2808" s="242">
        <v>4400.0</v>
      </c>
      <c r="I2808" s="211" t="s">
        <v>670</v>
      </c>
      <c r="J2808" s="103" t="s">
        <v>3410</v>
      </c>
      <c r="K2808" s="241">
        <v>1.0</v>
      </c>
      <c r="L2808" s="124">
        <v>3.875188321E9</v>
      </c>
    </row>
    <row r="2809" ht="4.5" customHeight="1">
      <c r="A2809" s="100"/>
      <c r="B2809" s="230"/>
      <c r="C2809" s="251"/>
      <c r="D2809" s="251"/>
      <c r="E2809" s="251"/>
      <c r="F2809" s="231"/>
      <c r="G2809" s="231"/>
      <c r="H2809" s="231"/>
      <c r="I2809" s="252"/>
      <c r="J2809" s="252"/>
      <c r="K2809" s="253"/>
      <c r="L2809" s="232"/>
      <c r="M2809" s="233"/>
      <c r="N2809" s="233"/>
      <c r="O2809" s="233"/>
      <c r="P2809" s="233"/>
      <c r="Q2809" s="233"/>
      <c r="R2809" s="233"/>
      <c r="S2809" s="233"/>
      <c r="T2809" s="233"/>
      <c r="U2809" s="233"/>
      <c r="V2809" s="233"/>
      <c r="W2809" s="233"/>
      <c r="X2809" s="233"/>
      <c r="Y2809" s="233"/>
      <c r="Z2809" s="233"/>
      <c r="AA2809" s="233"/>
      <c r="AB2809" s="233"/>
      <c r="AC2809" s="233"/>
    </row>
    <row r="2810">
      <c r="A2810" s="33" t="s">
        <v>12111</v>
      </c>
      <c r="B2810" s="122">
        <v>46083.0</v>
      </c>
      <c r="C2810" s="240">
        <v>8.07000035227E11</v>
      </c>
      <c r="D2810" s="240" t="s">
        <v>12112</v>
      </c>
      <c r="E2810" s="240" t="s">
        <v>12113</v>
      </c>
      <c r="F2810" s="242" t="s">
        <v>12114</v>
      </c>
      <c r="G2810" s="242" t="s">
        <v>127</v>
      </c>
      <c r="H2810" s="242">
        <v>4400.0</v>
      </c>
      <c r="I2810" s="224" t="s">
        <v>6573</v>
      </c>
      <c r="J2810" s="240" t="s">
        <v>6574</v>
      </c>
      <c r="K2810" s="242">
        <v>1.0</v>
      </c>
      <c r="L2810" s="124">
        <v>3.874810044E9</v>
      </c>
    </row>
    <row r="2811">
      <c r="A2811" s="33" t="s">
        <v>12115</v>
      </c>
      <c r="B2811" s="122">
        <v>46083.0</v>
      </c>
      <c r="C2811" s="103">
        <v>8.07000035229E11</v>
      </c>
      <c r="D2811" s="103" t="s">
        <v>12112</v>
      </c>
      <c r="E2811" s="103" t="s">
        <v>12113</v>
      </c>
      <c r="F2811" s="241" t="s">
        <v>12114</v>
      </c>
      <c r="G2811" s="241" t="s">
        <v>127</v>
      </c>
      <c r="H2811" s="241">
        <v>4400.0</v>
      </c>
      <c r="I2811" s="211" t="s">
        <v>5842</v>
      </c>
      <c r="J2811" s="103" t="s">
        <v>5843</v>
      </c>
      <c r="K2811" s="241">
        <v>1.0</v>
      </c>
      <c r="L2811" s="124">
        <v>3.874810044E9</v>
      </c>
    </row>
    <row r="2812">
      <c r="A2812" s="33" t="s">
        <v>12116</v>
      </c>
      <c r="B2812" s="122">
        <v>46083.0</v>
      </c>
      <c r="C2812" s="240">
        <v>8.0700003523E11</v>
      </c>
      <c r="D2812" s="240" t="s">
        <v>12117</v>
      </c>
      <c r="E2812" s="240" t="s">
        <v>12118</v>
      </c>
      <c r="F2812" s="242" t="s">
        <v>12119</v>
      </c>
      <c r="G2812" s="242" t="s">
        <v>104</v>
      </c>
      <c r="H2812" s="242">
        <v>4400.0</v>
      </c>
      <c r="I2812" s="224" t="s">
        <v>2537</v>
      </c>
      <c r="J2812" s="240" t="s">
        <v>3955</v>
      </c>
      <c r="K2812" s="242">
        <v>1.0</v>
      </c>
      <c r="L2812" s="124">
        <v>3.875501897E9</v>
      </c>
    </row>
    <row r="2813">
      <c r="A2813" s="33" t="s">
        <v>12120</v>
      </c>
      <c r="B2813" s="122">
        <v>46083.0</v>
      </c>
      <c r="C2813" s="103">
        <v>8.07000035231E11</v>
      </c>
      <c r="D2813" s="103" t="s">
        <v>12121</v>
      </c>
      <c r="E2813" s="103" t="s">
        <v>12122</v>
      </c>
      <c r="F2813" s="241" t="s">
        <v>12123</v>
      </c>
      <c r="G2813" s="241" t="s">
        <v>4645</v>
      </c>
      <c r="H2813" s="241">
        <v>4400.0</v>
      </c>
      <c r="I2813" s="211" t="s">
        <v>5970</v>
      </c>
      <c r="J2813" s="103" t="s">
        <v>5347</v>
      </c>
      <c r="K2813" s="241">
        <v>1.0</v>
      </c>
      <c r="L2813" s="124">
        <v>3.875757029E9</v>
      </c>
    </row>
    <row r="2814">
      <c r="A2814" s="33" t="s">
        <v>12120</v>
      </c>
      <c r="B2814" s="122">
        <v>46083.0</v>
      </c>
      <c r="C2814" s="240">
        <v>8.07000035232E11</v>
      </c>
      <c r="D2814" s="240" t="s">
        <v>12121</v>
      </c>
      <c r="E2814" s="240" t="s">
        <v>12122</v>
      </c>
      <c r="F2814" s="242" t="s">
        <v>12123</v>
      </c>
      <c r="G2814" s="242" t="s">
        <v>4645</v>
      </c>
      <c r="H2814" s="242">
        <v>4400.0</v>
      </c>
      <c r="I2814" s="224" t="s">
        <v>2294</v>
      </c>
      <c r="J2814" s="240" t="s">
        <v>5415</v>
      </c>
      <c r="K2814" s="242">
        <v>1.0</v>
      </c>
      <c r="L2814" s="124">
        <v>3.875757029E9</v>
      </c>
    </row>
    <row r="2815">
      <c r="A2815" s="33" t="s">
        <v>12120</v>
      </c>
      <c r="B2815" s="122">
        <v>46083.0</v>
      </c>
      <c r="C2815" s="103">
        <v>8.07000035233E11</v>
      </c>
      <c r="D2815" s="103" t="s">
        <v>12121</v>
      </c>
      <c r="E2815" s="103" t="s">
        <v>12122</v>
      </c>
      <c r="F2815" s="241" t="s">
        <v>12123</v>
      </c>
      <c r="G2815" s="241" t="s">
        <v>4645</v>
      </c>
      <c r="H2815" s="241">
        <v>4400.0</v>
      </c>
      <c r="I2815" s="211" t="s">
        <v>5817</v>
      </c>
      <c r="J2815" s="103" t="s">
        <v>5417</v>
      </c>
      <c r="K2815" s="241">
        <v>1.0</v>
      </c>
      <c r="L2815" s="124">
        <v>3.875757029E9</v>
      </c>
    </row>
    <row r="2816">
      <c r="A2816" s="33" t="s">
        <v>12124</v>
      </c>
      <c r="B2816" s="122">
        <v>46083.0</v>
      </c>
      <c r="C2816" s="240">
        <v>8.05011571816E11</v>
      </c>
      <c r="D2816" s="240" t="s">
        <v>12125</v>
      </c>
      <c r="E2816" s="240" t="s">
        <v>12126</v>
      </c>
      <c r="F2816" s="242" t="s">
        <v>12127</v>
      </c>
      <c r="G2816" s="242" t="s">
        <v>247</v>
      </c>
      <c r="H2816" s="242">
        <v>4400.0</v>
      </c>
      <c r="I2816" s="224" t="s">
        <v>289</v>
      </c>
      <c r="J2816" s="240" t="s">
        <v>290</v>
      </c>
      <c r="K2816" s="242">
        <v>1.0</v>
      </c>
      <c r="L2816" s="124">
        <v>3.875937745E9</v>
      </c>
    </row>
    <row r="2817">
      <c r="A2817" s="33" t="s">
        <v>12128</v>
      </c>
      <c r="B2817" s="122">
        <v>46083.0</v>
      </c>
      <c r="C2817" s="240">
        <v>8.07000035258E11</v>
      </c>
      <c r="D2817" s="240" t="s">
        <v>12129</v>
      </c>
      <c r="E2817" s="240" t="s">
        <v>12130</v>
      </c>
      <c r="F2817" s="242" t="s">
        <v>12131</v>
      </c>
      <c r="G2817" s="242" t="s">
        <v>127</v>
      </c>
      <c r="H2817" s="242">
        <v>4400.0</v>
      </c>
      <c r="I2817" s="224" t="s">
        <v>1040</v>
      </c>
      <c r="J2817" s="240" t="s">
        <v>3294</v>
      </c>
      <c r="K2817" s="242">
        <v>2.0</v>
      </c>
      <c r="L2817" s="124">
        <v>3.875831843E9</v>
      </c>
    </row>
    <row r="2818">
      <c r="A2818" s="33" t="s">
        <v>12128</v>
      </c>
      <c r="B2818" s="122">
        <v>46083.0</v>
      </c>
      <c r="C2818" s="103">
        <v>8.07000035258E11</v>
      </c>
      <c r="D2818" s="103" t="s">
        <v>12129</v>
      </c>
      <c r="E2818" s="103" t="s">
        <v>12130</v>
      </c>
      <c r="F2818" s="241" t="s">
        <v>12131</v>
      </c>
      <c r="G2818" s="241" t="s">
        <v>127</v>
      </c>
      <c r="H2818" s="241">
        <v>4400.0</v>
      </c>
      <c r="I2818" s="211" t="s">
        <v>512</v>
      </c>
      <c r="J2818" s="103" t="s">
        <v>513</v>
      </c>
      <c r="K2818" s="241">
        <v>12.0</v>
      </c>
      <c r="L2818" s="124">
        <v>3.875831843E9</v>
      </c>
    </row>
    <row r="2819">
      <c r="A2819" s="33" t="s">
        <v>12128</v>
      </c>
      <c r="B2819" s="122">
        <v>46083.0</v>
      </c>
      <c r="C2819" s="240">
        <v>8.07000035259E11</v>
      </c>
      <c r="D2819" s="240" t="s">
        <v>12129</v>
      </c>
      <c r="E2819" s="240" t="s">
        <v>12130</v>
      </c>
      <c r="F2819" s="242" t="s">
        <v>12131</v>
      </c>
      <c r="G2819" s="242" t="s">
        <v>127</v>
      </c>
      <c r="H2819" s="242">
        <v>4400.0</v>
      </c>
      <c r="I2819" s="224" t="s">
        <v>969</v>
      </c>
      <c r="J2819" s="240" t="s">
        <v>3296</v>
      </c>
      <c r="K2819" s="242">
        <v>2.0</v>
      </c>
      <c r="L2819" s="124">
        <v>3.875831843E9</v>
      </c>
    </row>
    <row r="2820">
      <c r="A2820" s="33" t="s">
        <v>12132</v>
      </c>
      <c r="B2820" s="122">
        <v>46083.0</v>
      </c>
      <c r="C2820" s="240">
        <v>8.07000035206E11</v>
      </c>
      <c r="D2820" s="240" t="s">
        <v>12133</v>
      </c>
      <c r="E2820" s="240" t="s">
        <v>12134</v>
      </c>
      <c r="F2820" s="242" t="s">
        <v>1877</v>
      </c>
      <c r="G2820" s="242" t="s">
        <v>20</v>
      </c>
      <c r="H2820" s="242" t="s">
        <v>1878</v>
      </c>
      <c r="I2820" s="224">
        <v>208502.0</v>
      </c>
      <c r="J2820" s="240" t="s">
        <v>4551</v>
      </c>
      <c r="K2820" s="242">
        <v>2.0</v>
      </c>
      <c r="L2820" s="124">
        <v>3.872175656E9</v>
      </c>
    </row>
    <row r="2821">
      <c r="A2821" s="33" t="s">
        <v>12135</v>
      </c>
      <c r="B2821" s="122">
        <v>46083.0</v>
      </c>
      <c r="C2821" s="103">
        <v>8.07000035207E11</v>
      </c>
      <c r="D2821" s="103" t="s">
        <v>12133</v>
      </c>
      <c r="E2821" s="103" t="s">
        <v>12134</v>
      </c>
      <c r="F2821" s="241" t="s">
        <v>1877</v>
      </c>
      <c r="G2821" s="241" t="s">
        <v>20</v>
      </c>
      <c r="H2821" s="241" t="s">
        <v>1878</v>
      </c>
      <c r="I2821" s="211">
        <v>203707.0</v>
      </c>
      <c r="J2821" s="103" t="s">
        <v>2986</v>
      </c>
      <c r="K2821" s="241">
        <v>1.0</v>
      </c>
      <c r="L2821" s="124">
        <v>3.872175656E9</v>
      </c>
    </row>
    <row r="2822">
      <c r="A2822" s="33" t="s">
        <v>12135</v>
      </c>
      <c r="B2822" s="122">
        <v>46083.0</v>
      </c>
      <c r="C2822" s="240">
        <v>8.07000035208E11</v>
      </c>
      <c r="D2822" s="240" t="s">
        <v>12133</v>
      </c>
      <c r="E2822" s="240" t="s">
        <v>12134</v>
      </c>
      <c r="F2822" s="242" t="s">
        <v>1877</v>
      </c>
      <c r="G2822" s="242" t="s">
        <v>20</v>
      </c>
      <c r="H2822" s="242" t="s">
        <v>1878</v>
      </c>
      <c r="I2822" s="224">
        <v>204210.0</v>
      </c>
      <c r="J2822" s="240" t="s">
        <v>10068</v>
      </c>
      <c r="K2822" s="242">
        <v>2.0</v>
      </c>
      <c r="L2822" s="124">
        <v>3.872175656E9</v>
      </c>
    </row>
    <row r="2823" ht="6.75" customHeight="1">
      <c r="A2823" s="300"/>
      <c r="B2823" s="301"/>
      <c r="C2823" s="302"/>
      <c r="D2823" s="302"/>
      <c r="E2823" s="302"/>
      <c r="F2823" s="303"/>
      <c r="G2823" s="303"/>
      <c r="H2823" s="303"/>
      <c r="I2823" s="304"/>
      <c r="J2823" s="304"/>
      <c r="K2823" s="305"/>
      <c r="L2823" s="306"/>
      <c r="M2823" s="307"/>
      <c r="N2823" s="307"/>
      <c r="O2823" s="307"/>
      <c r="P2823" s="307"/>
      <c r="Q2823" s="307"/>
      <c r="R2823" s="307"/>
      <c r="S2823" s="307"/>
      <c r="T2823" s="307"/>
      <c r="U2823" s="307"/>
      <c r="V2823" s="307"/>
      <c r="W2823" s="307"/>
      <c r="X2823" s="307"/>
      <c r="Y2823" s="307"/>
      <c r="Z2823" s="307"/>
      <c r="AA2823" s="307"/>
      <c r="AB2823" s="307"/>
      <c r="AC2823" s="307"/>
    </row>
    <row r="2824">
      <c r="A2824" s="33" t="s">
        <v>12136</v>
      </c>
      <c r="B2824" s="122">
        <v>46085.0</v>
      </c>
      <c r="C2824" s="240">
        <v>8.0501157146E11</v>
      </c>
      <c r="D2824" s="240" t="s">
        <v>12137</v>
      </c>
      <c r="E2824" s="240" t="s">
        <v>12138</v>
      </c>
      <c r="F2824" s="242" t="s">
        <v>12139</v>
      </c>
      <c r="G2824" s="242" t="s">
        <v>1017</v>
      </c>
      <c r="H2824" s="242">
        <v>4562.0</v>
      </c>
      <c r="I2824" s="224" t="s">
        <v>11325</v>
      </c>
      <c r="J2824" s="240" t="s">
        <v>11326</v>
      </c>
      <c r="K2824" s="242">
        <v>1.0</v>
      </c>
      <c r="L2824" s="124">
        <v>3.873651981E9</v>
      </c>
    </row>
    <row r="2825">
      <c r="A2825" s="33" t="s">
        <v>12140</v>
      </c>
      <c r="B2825" s="122">
        <v>46085.0</v>
      </c>
      <c r="C2825" s="103">
        <v>8.05011571509E11</v>
      </c>
      <c r="D2825" s="103" t="s">
        <v>12141</v>
      </c>
      <c r="E2825" s="103" t="s">
        <v>12142</v>
      </c>
      <c r="F2825" s="241" t="s">
        <v>12143</v>
      </c>
      <c r="G2825" s="241" t="s">
        <v>41</v>
      </c>
      <c r="H2825" s="241">
        <v>4560.0</v>
      </c>
      <c r="I2825" s="211" t="s">
        <v>761</v>
      </c>
      <c r="J2825" s="103" t="s">
        <v>3761</v>
      </c>
      <c r="K2825" s="241">
        <v>1.0</v>
      </c>
      <c r="L2825" s="124">
        <v>3.8735533E9</v>
      </c>
    </row>
    <row r="2826">
      <c r="A2826" s="33" t="s">
        <v>12140</v>
      </c>
      <c r="B2826" s="122">
        <v>46085.0</v>
      </c>
      <c r="C2826" s="240">
        <v>8.05011571509E11</v>
      </c>
      <c r="D2826" s="240" t="s">
        <v>12141</v>
      </c>
      <c r="E2826" s="240" t="s">
        <v>12142</v>
      </c>
      <c r="F2826" s="242" t="s">
        <v>12143</v>
      </c>
      <c r="G2826" s="242" t="s">
        <v>41</v>
      </c>
      <c r="H2826" s="242">
        <v>4560.0</v>
      </c>
      <c r="I2826" s="224" t="s">
        <v>512</v>
      </c>
      <c r="J2826" s="240" t="s">
        <v>513</v>
      </c>
      <c r="K2826" s="242">
        <v>12.0</v>
      </c>
      <c r="L2826" s="124">
        <v>3.8735533E9</v>
      </c>
    </row>
    <row r="2827">
      <c r="A2827" s="33" t="s">
        <v>12140</v>
      </c>
      <c r="B2827" s="122">
        <v>46085.0</v>
      </c>
      <c r="C2827" s="103">
        <v>8.05011571509E11</v>
      </c>
      <c r="D2827" s="103" t="s">
        <v>12141</v>
      </c>
      <c r="E2827" s="103" t="s">
        <v>12142</v>
      </c>
      <c r="F2827" s="241" t="s">
        <v>12143</v>
      </c>
      <c r="G2827" s="241" t="s">
        <v>41</v>
      </c>
      <c r="H2827" s="241">
        <v>4560.0</v>
      </c>
      <c r="I2827" s="211" t="s">
        <v>758</v>
      </c>
      <c r="J2827" s="103" t="s">
        <v>3574</v>
      </c>
      <c r="K2827" s="241">
        <v>2.0</v>
      </c>
      <c r="L2827" s="124">
        <v>3.8735533E9</v>
      </c>
    </row>
    <row r="2828">
      <c r="A2828" s="33" t="s">
        <v>12144</v>
      </c>
      <c r="B2828" s="122">
        <v>46085.0</v>
      </c>
      <c r="C2828" s="240">
        <v>8.07940000133E11</v>
      </c>
      <c r="D2828" s="240" t="s">
        <v>12145</v>
      </c>
      <c r="E2828" s="240" t="s">
        <v>12146</v>
      </c>
      <c r="F2828" s="242" t="s">
        <v>12147</v>
      </c>
      <c r="G2828" s="242" t="s">
        <v>12148</v>
      </c>
      <c r="H2828" s="242">
        <v>4530.0</v>
      </c>
      <c r="I2828" s="224" t="s">
        <v>5185</v>
      </c>
      <c r="J2828" s="240" t="s">
        <v>5186</v>
      </c>
      <c r="K2828" s="242">
        <v>1.0</v>
      </c>
      <c r="L2828" s="124">
        <v>3.878516374E9</v>
      </c>
    </row>
    <row r="2829">
      <c r="A2829" s="33" t="s">
        <v>12144</v>
      </c>
      <c r="B2829" s="122">
        <v>46085.0</v>
      </c>
      <c r="C2829" s="103">
        <v>8.05011571894E11</v>
      </c>
      <c r="D2829" s="103" t="s">
        <v>12125</v>
      </c>
      <c r="E2829" s="103" t="s">
        <v>12126</v>
      </c>
      <c r="F2829" s="241" t="s">
        <v>12149</v>
      </c>
      <c r="G2829" s="241" t="s">
        <v>20</v>
      </c>
      <c r="H2829" s="241">
        <v>4400.0</v>
      </c>
      <c r="I2829" s="211" t="s">
        <v>634</v>
      </c>
      <c r="J2829" s="103" t="s">
        <v>635</v>
      </c>
      <c r="K2829" s="241">
        <v>1.0</v>
      </c>
      <c r="L2829" s="124">
        <v>3.875937745E9</v>
      </c>
    </row>
    <row r="2830">
      <c r="A2830" s="33" t="s">
        <v>12150</v>
      </c>
      <c r="B2830" s="122">
        <v>46085.0</v>
      </c>
      <c r="C2830" s="103">
        <v>8.07000035262E11</v>
      </c>
      <c r="D2830" s="103" t="s">
        <v>12151</v>
      </c>
      <c r="E2830" s="103" t="s">
        <v>12152</v>
      </c>
      <c r="F2830" s="241" t="s">
        <v>12153</v>
      </c>
      <c r="G2830" s="241" t="s">
        <v>11809</v>
      </c>
      <c r="H2830" s="241">
        <v>4440.0</v>
      </c>
      <c r="I2830" s="211" t="s">
        <v>512</v>
      </c>
      <c r="J2830" s="103" t="s">
        <v>513</v>
      </c>
      <c r="K2830" s="241">
        <v>12.0</v>
      </c>
      <c r="L2830" s="124">
        <v>3.876522272E9</v>
      </c>
    </row>
    <row r="2831">
      <c r="A2831" s="33" t="s">
        <v>12150</v>
      </c>
      <c r="B2831" s="122">
        <v>46085.0</v>
      </c>
      <c r="C2831" s="240">
        <v>8.07000035263E11</v>
      </c>
      <c r="D2831" s="240" t="s">
        <v>12151</v>
      </c>
      <c r="E2831" s="240" t="s">
        <v>12152</v>
      </c>
      <c r="F2831" s="242" t="s">
        <v>12153</v>
      </c>
      <c r="G2831" s="242" t="s">
        <v>11809</v>
      </c>
      <c r="H2831" s="242">
        <v>4440.0</v>
      </c>
      <c r="I2831" s="224" t="s">
        <v>218</v>
      </c>
      <c r="J2831" s="240" t="s">
        <v>8664</v>
      </c>
      <c r="K2831" s="242">
        <v>1.0</v>
      </c>
      <c r="L2831" s="124">
        <v>3.876522272E9</v>
      </c>
    </row>
    <row r="2832">
      <c r="A2832" s="33" t="s">
        <v>12150</v>
      </c>
      <c r="B2832" s="122">
        <v>46085.0</v>
      </c>
      <c r="C2832" s="103">
        <v>8.07000035263E11</v>
      </c>
      <c r="D2832" s="103" t="s">
        <v>12151</v>
      </c>
      <c r="E2832" s="103" t="s">
        <v>12152</v>
      </c>
      <c r="F2832" s="241" t="s">
        <v>12153</v>
      </c>
      <c r="G2832" s="241" t="s">
        <v>11809</v>
      </c>
      <c r="H2832" s="241">
        <v>4440.0</v>
      </c>
      <c r="I2832" s="211" t="s">
        <v>121</v>
      </c>
      <c r="J2832" s="103" t="s">
        <v>3199</v>
      </c>
      <c r="K2832" s="241">
        <v>2.0</v>
      </c>
      <c r="L2832" s="124">
        <v>3.876522272E9</v>
      </c>
    </row>
    <row r="2833">
      <c r="A2833" s="33" t="s">
        <v>12150</v>
      </c>
      <c r="B2833" s="122">
        <v>46085.0</v>
      </c>
      <c r="C2833" s="240">
        <v>8.07000035264E11</v>
      </c>
      <c r="D2833" s="240" t="s">
        <v>12151</v>
      </c>
      <c r="E2833" s="240" t="s">
        <v>12152</v>
      </c>
      <c r="F2833" s="242" t="s">
        <v>12153</v>
      </c>
      <c r="G2833" s="242" t="s">
        <v>11809</v>
      </c>
      <c r="H2833" s="242">
        <v>4440.0</v>
      </c>
      <c r="I2833" s="224">
        <v>125811.0</v>
      </c>
      <c r="J2833" s="240" t="s">
        <v>6073</v>
      </c>
      <c r="K2833" s="242">
        <v>2.0</v>
      </c>
      <c r="L2833" s="124">
        <v>3.876522272E9</v>
      </c>
    </row>
    <row r="2834">
      <c r="A2834" s="33" t="s">
        <v>12154</v>
      </c>
      <c r="B2834" s="122">
        <v>46085.0</v>
      </c>
      <c r="C2834" s="240">
        <v>8.07000035269E11</v>
      </c>
      <c r="D2834" s="240" t="s">
        <v>12155</v>
      </c>
      <c r="E2834" s="240" t="s">
        <v>12156</v>
      </c>
      <c r="F2834" s="242" t="s">
        <v>12157</v>
      </c>
      <c r="G2834" s="242" t="s">
        <v>104</v>
      </c>
      <c r="H2834" s="242">
        <v>4400.0</v>
      </c>
      <c r="I2834" s="224">
        <v>125818.0</v>
      </c>
      <c r="J2834" s="240" t="s">
        <v>4334</v>
      </c>
      <c r="K2834" s="242">
        <v>2.0</v>
      </c>
      <c r="L2834" s="124">
        <v>1.542245123E9</v>
      </c>
    </row>
    <row r="2835">
      <c r="A2835" s="33" t="s">
        <v>12154</v>
      </c>
      <c r="B2835" s="122">
        <v>46085.0</v>
      </c>
      <c r="C2835" s="103">
        <v>8.07000035269E11</v>
      </c>
      <c r="D2835" s="103" t="s">
        <v>12155</v>
      </c>
      <c r="E2835" s="103" t="s">
        <v>12156</v>
      </c>
      <c r="F2835" s="241" t="s">
        <v>12157</v>
      </c>
      <c r="G2835" s="241" t="s">
        <v>104</v>
      </c>
      <c r="H2835" s="241">
        <v>4400.0</v>
      </c>
      <c r="I2835" s="211">
        <v>2.2346229141E10</v>
      </c>
      <c r="J2835" s="103" t="s">
        <v>12158</v>
      </c>
      <c r="K2835" s="241">
        <v>1.0</v>
      </c>
      <c r="L2835" s="124">
        <v>1.542245123E9</v>
      </c>
    </row>
    <row r="2836">
      <c r="A2836" s="33" t="s">
        <v>12154</v>
      </c>
      <c r="B2836" s="122">
        <v>46085.0</v>
      </c>
      <c r="C2836" s="240">
        <v>8.07000035269E11</v>
      </c>
      <c r="D2836" s="240" t="s">
        <v>12155</v>
      </c>
      <c r="E2836" s="240" t="s">
        <v>12156</v>
      </c>
      <c r="F2836" s="242" t="s">
        <v>12157</v>
      </c>
      <c r="G2836" s="242" t="s">
        <v>104</v>
      </c>
      <c r="H2836" s="242">
        <v>4400.0</v>
      </c>
      <c r="I2836" s="224" t="s">
        <v>4335</v>
      </c>
      <c r="J2836" s="240" t="s">
        <v>4336</v>
      </c>
      <c r="K2836" s="242">
        <v>1.0</v>
      </c>
      <c r="L2836" s="124">
        <v>1.542245123E9</v>
      </c>
    </row>
    <row r="2837">
      <c r="A2837" s="33" t="s">
        <v>12154</v>
      </c>
      <c r="B2837" s="122">
        <v>46085.0</v>
      </c>
      <c r="C2837" s="103">
        <v>8.0700003527E11</v>
      </c>
      <c r="D2837" s="103" t="s">
        <v>12155</v>
      </c>
      <c r="E2837" s="103" t="s">
        <v>12156</v>
      </c>
      <c r="F2837" s="241" t="s">
        <v>12157</v>
      </c>
      <c r="G2837" s="241" t="s">
        <v>104</v>
      </c>
      <c r="H2837" s="241">
        <v>4400.0</v>
      </c>
      <c r="I2837" s="211" t="s">
        <v>2372</v>
      </c>
      <c r="J2837" s="103" t="s">
        <v>8140</v>
      </c>
      <c r="K2837" s="241">
        <v>1.0</v>
      </c>
      <c r="L2837" s="124">
        <v>1.542245123E9</v>
      </c>
    </row>
    <row r="2838">
      <c r="A2838" s="33" t="s">
        <v>12159</v>
      </c>
      <c r="B2838" s="122">
        <v>46085.0</v>
      </c>
      <c r="C2838" s="240">
        <v>8.07000035261E11</v>
      </c>
      <c r="D2838" s="240" t="s">
        <v>12160</v>
      </c>
      <c r="E2838" s="240" t="s">
        <v>12161</v>
      </c>
      <c r="F2838" s="242" t="s">
        <v>12162</v>
      </c>
      <c r="G2838" s="242" t="s">
        <v>127</v>
      </c>
      <c r="H2838" s="242">
        <v>4400.0</v>
      </c>
      <c r="I2838" s="224" t="s">
        <v>4220</v>
      </c>
      <c r="J2838" s="240" t="s">
        <v>4221</v>
      </c>
      <c r="K2838" s="242">
        <v>1.0</v>
      </c>
      <c r="L2838" s="124">
        <v>3.878539477E9</v>
      </c>
    </row>
    <row r="2839">
      <c r="A2839" s="33" t="s">
        <v>12159</v>
      </c>
      <c r="B2839" s="122">
        <v>46085.0</v>
      </c>
      <c r="C2839" s="103">
        <v>8.07000035261E11</v>
      </c>
      <c r="D2839" s="103" t="s">
        <v>12160</v>
      </c>
      <c r="E2839" s="103" t="s">
        <v>12161</v>
      </c>
      <c r="F2839" s="241" t="s">
        <v>12162</v>
      </c>
      <c r="G2839" s="241" t="s">
        <v>127</v>
      </c>
      <c r="H2839" s="241">
        <v>4400.0</v>
      </c>
      <c r="I2839" s="211" t="s">
        <v>512</v>
      </c>
      <c r="J2839" s="103" t="s">
        <v>513</v>
      </c>
      <c r="K2839" s="241">
        <v>6.0</v>
      </c>
      <c r="L2839" s="124">
        <v>3.878539477E9</v>
      </c>
    </row>
    <row r="2840">
      <c r="A2840" s="33" t="s">
        <v>12159</v>
      </c>
      <c r="B2840" s="122">
        <v>46085.0</v>
      </c>
      <c r="C2840" s="240">
        <v>8.07000035261E11</v>
      </c>
      <c r="D2840" s="240" t="s">
        <v>12160</v>
      </c>
      <c r="E2840" s="240" t="s">
        <v>12161</v>
      </c>
      <c r="F2840" s="242" t="s">
        <v>12162</v>
      </c>
      <c r="G2840" s="242" t="s">
        <v>127</v>
      </c>
      <c r="H2840" s="242">
        <v>4400.0</v>
      </c>
      <c r="I2840" s="224" t="s">
        <v>969</v>
      </c>
      <c r="J2840" s="240" t="s">
        <v>3296</v>
      </c>
      <c r="K2840" s="242">
        <v>1.0</v>
      </c>
      <c r="L2840" s="124">
        <v>3.878539477E9</v>
      </c>
    </row>
    <row r="2841">
      <c r="A2841" s="33" t="s">
        <v>12163</v>
      </c>
      <c r="B2841" s="122">
        <v>46085.0</v>
      </c>
      <c r="C2841" s="240">
        <v>8.07000035279E11</v>
      </c>
      <c r="D2841" s="240" t="s">
        <v>12164</v>
      </c>
      <c r="E2841" s="240" t="s">
        <v>12165</v>
      </c>
      <c r="F2841" s="242" t="s">
        <v>12166</v>
      </c>
      <c r="G2841" s="242" t="s">
        <v>127</v>
      </c>
      <c r="H2841" s="242">
        <v>4400.0</v>
      </c>
      <c r="I2841" s="224" t="s">
        <v>512</v>
      </c>
      <c r="J2841" s="240" t="s">
        <v>513</v>
      </c>
      <c r="K2841" s="242">
        <v>12.0</v>
      </c>
      <c r="L2841" s="124">
        <v>3.87500588E9</v>
      </c>
    </row>
    <row r="2842">
      <c r="A2842" s="33" t="s">
        <v>12163</v>
      </c>
      <c r="B2842" s="122">
        <v>46085.0</v>
      </c>
      <c r="C2842" s="103">
        <v>8.0700003528E11</v>
      </c>
      <c r="D2842" s="103" t="s">
        <v>12164</v>
      </c>
      <c r="E2842" s="103" t="s">
        <v>12165</v>
      </c>
      <c r="F2842" s="241" t="s">
        <v>12166</v>
      </c>
      <c r="G2842" s="241" t="s">
        <v>127</v>
      </c>
      <c r="H2842" s="241">
        <v>4400.0</v>
      </c>
      <c r="I2842" s="211" t="s">
        <v>249</v>
      </c>
      <c r="J2842" s="103" t="s">
        <v>9324</v>
      </c>
      <c r="K2842" s="241">
        <v>1.0</v>
      </c>
      <c r="L2842" s="124">
        <v>3.87500588E9</v>
      </c>
    </row>
    <row r="2843">
      <c r="A2843" s="33" t="s">
        <v>12163</v>
      </c>
      <c r="B2843" s="122">
        <v>46085.0</v>
      </c>
      <c r="C2843" s="240">
        <v>8.0700003528E11</v>
      </c>
      <c r="D2843" s="240" t="s">
        <v>12164</v>
      </c>
      <c r="E2843" s="240" t="s">
        <v>12165</v>
      </c>
      <c r="F2843" s="242" t="s">
        <v>12166</v>
      </c>
      <c r="G2843" s="242" t="s">
        <v>127</v>
      </c>
      <c r="H2843" s="242">
        <v>4400.0</v>
      </c>
      <c r="I2843" s="224" t="s">
        <v>233</v>
      </c>
      <c r="J2843" s="240" t="s">
        <v>3459</v>
      </c>
      <c r="K2843" s="242">
        <v>2.0</v>
      </c>
      <c r="L2843" s="124">
        <v>3.87500588E9</v>
      </c>
    </row>
    <row r="2844" ht="6.0" customHeight="1">
      <c r="A2844" s="100"/>
      <c r="B2844" s="230"/>
      <c r="C2844" s="251"/>
      <c r="D2844" s="251"/>
      <c r="E2844" s="251"/>
      <c r="F2844" s="231"/>
      <c r="G2844" s="231"/>
      <c r="H2844" s="231"/>
      <c r="I2844" s="252"/>
      <c r="J2844" s="252"/>
      <c r="K2844" s="253"/>
      <c r="L2844" s="232"/>
      <c r="M2844" s="233"/>
      <c r="N2844" s="233"/>
      <c r="O2844" s="233"/>
      <c r="P2844" s="233"/>
      <c r="Q2844" s="233"/>
      <c r="R2844" s="233"/>
      <c r="S2844" s="233"/>
      <c r="T2844" s="233"/>
      <c r="U2844" s="233"/>
      <c r="V2844" s="233"/>
      <c r="W2844" s="233"/>
      <c r="X2844" s="233"/>
      <c r="Y2844" s="233"/>
      <c r="Z2844" s="233"/>
      <c r="AA2844" s="233"/>
      <c r="AB2844" s="233"/>
      <c r="AC2844" s="233"/>
    </row>
    <row r="2845">
      <c r="A2845" s="33" t="s">
        <v>12167</v>
      </c>
      <c r="B2845" s="122">
        <v>46087.0</v>
      </c>
      <c r="C2845" s="240">
        <v>8.07000035234E11</v>
      </c>
      <c r="D2845" s="240" t="s">
        <v>5862</v>
      </c>
      <c r="E2845" s="240" t="s">
        <v>5863</v>
      </c>
      <c r="F2845" s="242" t="s">
        <v>12168</v>
      </c>
      <c r="G2845" s="242" t="s">
        <v>1986</v>
      </c>
      <c r="H2845" s="242">
        <v>4400.0</v>
      </c>
      <c r="I2845" s="224">
        <v>208501.0</v>
      </c>
      <c r="J2845" s="240" t="s">
        <v>481</v>
      </c>
      <c r="K2845" s="242">
        <v>2.0</v>
      </c>
      <c r="L2845" s="124">
        <v>3.874035148E9</v>
      </c>
    </row>
    <row r="2846">
      <c r="A2846" s="33" t="s">
        <v>12169</v>
      </c>
      <c r="B2846" s="122">
        <v>46087.0</v>
      </c>
      <c r="C2846" s="240">
        <v>8.07000035293E11</v>
      </c>
      <c r="D2846" s="240" t="s">
        <v>12170</v>
      </c>
      <c r="E2846" s="240" t="s">
        <v>12171</v>
      </c>
      <c r="F2846" s="242" t="s">
        <v>12172</v>
      </c>
      <c r="G2846" s="242" t="s">
        <v>1986</v>
      </c>
      <c r="H2846" s="242">
        <v>4403.0</v>
      </c>
      <c r="I2846" s="224" t="s">
        <v>512</v>
      </c>
      <c r="J2846" s="240" t="s">
        <v>513</v>
      </c>
      <c r="K2846" s="242">
        <v>6.0</v>
      </c>
      <c r="L2846" s="124">
        <v>3.875347268E9</v>
      </c>
    </row>
    <row r="2847">
      <c r="A2847" s="33" t="s">
        <v>12169</v>
      </c>
      <c r="B2847" s="122">
        <v>46087.0</v>
      </c>
      <c r="C2847" s="103">
        <v>8.07000035294E11</v>
      </c>
      <c r="D2847" s="103" t="s">
        <v>12170</v>
      </c>
      <c r="E2847" s="103" t="s">
        <v>12171</v>
      </c>
      <c r="F2847" s="241" t="s">
        <v>12172</v>
      </c>
      <c r="G2847" s="241" t="s">
        <v>1986</v>
      </c>
      <c r="H2847" s="241">
        <v>4403.0</v>
      </c>
      <c r="I2847" s="211" t="s">
        <v>2956</v>
      </c>
      <c r="J2847" s="103" t="s">
        <v>3327</v>
      </c>
      <c r="K2847" s="241">
        <v>1.0</v>
      </c>
      <c r="L2847" s="124">
        <v>3.875347268E9</v>
      </c>
    </row>
    <row r="2848">
      <c r="A2848" s="33" t="s">
        <v>12169</v>
      </c>
      <c r="B2848" s="122">
        <v>46087.0</v>
      </c>
      <c r="C2848" s="240">
        <v>8.07000035294E11</v>
      </c>
      <c r="D2848" s="240" t="s">
        <v>12170</v>
      </c>
      <c r="E2848" s="240" t="s">
        <v>12171</v>
      </c>
      <c r="F2848" s="242" t="s">
        <v>12172</v>
      </c>
      <c r="G2848" s="242" t="s">
        <v>1986</v>
      </c>
      <c r="H2848" s="242">
        <v>4403.0</v>
      </c>
      <c r="I2848" s="224" t="s">
        <v>670</v>
      </c>
      <c r="J2848" s="240" t="s">
        <v>3410</v>
      </c>
      <c r="K2848" s="242">
        <v>1.0</v>
      </c>
      <c r="L2848" s="124">
        <v>3.875347268E9</v>
      </c>
    </row>
    <row r="2849">
      <c r="A2849" s="33" t="s">
        <v>12173</v>
      </c>
      <c r="B2849" s="122">
        <v>46087.0</v>
      </c>
      <c r="C2849" s="103">
        <v>8.07000035299E11</v>
      </c>
      <c r="D2849" s="103" t="s">
        <v>12174</v>
      </c>
      <c r="E2849" s="103" t="s">
        <v>12175</v>
      </c>
      <c r="F2849" s="241" t="s">
        <v>12176</v>
      </c>
      <c r="G2849" s="241" t="s">
        <v>127</v>
      </c>
      <c r="H2849" s="241">
        <v>4400.0</v>
      </c>
      <c r="I2849" s="211" t="s">
        <v>5817</v>
      </c>
      <c r="J2849" s="103" t="s">
        <v>5417</v>
      </c>
      <c r="K2849" s="241">
        <v>1.0</v>
      </c>
      <c r="L2849" s="124">
        <v>3.876840902E9</v>
      </c>
    </row>
    <row r="2850">
      <c r="A2850" s="33" t="s">
        <v>12173</v>
      </c>
      <c r="B2850" s="122">
        <v>46087.0</v>
      </c>
      <c r="C2850" s="240">
        <v>8.07000035299E11</v>
      </c>
      <c r="D2850" s="240" t="s">
        <v>12174</v>
      </c>
      <c r="E2850" s="240" t="s">
        <v>12175</v>
      </c>
      <c r="F2850" s="242" t="s">
        <v>12176</v>
      </c>
      <c r="G2850" s="242" t="s">
        <v>127</v>
      </c>
      <c r="H2850" s="242">
        <v>4400.0</v>
      </c>
      <c r="I2850" s="224" t="s">
        <v>6548</v>
      </c>
      <c r="J2850" s="240" t="s">
        <v>6549</v>
      </c>
      <c r="K2850" s="242">
        <v>1.0</v>
      </c>
      <c r="L2850" s="124">
        <v>3.876840902E9</v>
      </c>
    </row>
    <row r="2851">
      <c r="A2851" s="33" t="s">
        <v>12177</v>
      </c>
      <c r="B2851" s="122">
        <v>46087.0</v>
      </c>
      <c r="C2851" s="103">
        <v>8.07000035306E11</v>
      </c>
      <c r="D2851" s="103" t="s">
        <v>12178</v>
      </c>
      <c r="E2851" s="103" t="s">
        <v>12179</v>
      </c>
      <c r="F2851" s="241" t="s">
        <v>12180</v>
      </c>
      <c r="G2851" s="241" t="s">
        <v>127</v>
      </c>
      <c r="H2851" s="241">
        <v>4400.0</v>
      </c>
      <c r="I2851" s="211" t="s">
        <v>512</v>
      </c>
      <c r="J2851" s="103" t="s">
        <v>513</v>
      </c>
      <c r="K2851" s="241">
        <v>12.0</v>
      </c>
      <c r="L2851" s="124">
        <v>3.875829049E9</v>
      </c>
    </row>
    <row r="2852">
      <c r="A2852" s="33" t="s">
        <v>12181</v>
      </c>
      <c r="B2852" s="122">
        <v>46087.0</v>
      </c>
      <c r="C2852" s="240">
        <v>8.07000035307E11</v>
      </c>
      <c r="D2852" s="240" t="s">
        <v>12178</v>
      </c>
      <c r="E2852" s="240" t="s">
        <v>12179</v>
      </c>
      <c r="F2852" s="242" t="s">
        <v>12180</v>
      </c>
      <c r="G2852" s="242" t="s">
        <v>127</v>
      </c>
      <c r="H2852" s="242">
        <v>4400.0</v>
      </c>
      <c r="I2852" s="224" t="s">
        <v>659</v>
      </c>
      <c r="J2852" s="240" t="s">
        <v>3468</v>
      </c>
      <c r="K2852" s="242">
        <v>1.0</v>
      </c>
      <c r="L2852" s="124">
        <v>3.875829049E9</v>
      </c>
    </row>
    <row r="2853">
      <c r="A2853" s="33" t="s">
        <v>12181</v>
      </c>
      <c r="B2853" s="122">
        <v>46087.0</v>
      </c>
      <c r="C2853" s="103">
        <v>8.07000035309E11</v>
      </c>
      <c r="D2853" s="103" t="s">
        <v>12178</v>
      </c>
      <c r="E2853" s="103" t="s">
        <v>12179</v>
      </c>
      <c r="F2853" s="241" t="s">
        <v>12180</v>
      </c>
      <c r="G2853" s="241" t="s">
        <v>127</v>
      </c>
      <c r="H2853" s="241">
        <v>4400.0</v>
      </c>
      <c r="I2853" s="211" t="s">
        <v>659</v>
      </c>
      <c r="J2853" s="103" t="s">
        <v>3468</v>
      </c>
      <c r="K2853" s="241">
        <v>1.0</v>
      </c>
      <c r="L2853" s="124">
        <v>3.875829049E9</v>
      </c>
    </row>
    <row r="2854">
      <c r="A2854" s="33" t="s">
        <v>12177</v>
      </c>
      <c r="B2854" s="122">
        <v>46087.0</v>
      </c>
      <c r="C2854" s="240">
        <v>8.0700003531E11</v>
      </c>
      <c r="D2854" s="240" t="s">
        <v>12178</v>
      </c>
      <c r="E2854" s="240" t="s">
        <v>12179</v>
      </c>
      <c r="F2854" s="242" t="s">
        <v>12180</v>
      </c>
      <c r="G2854" s="242" t="s">
        <v>127</v>
      </c>
      <c r="H2854" s="242">
        <v>4400.0</v>
      </c>
      <c r="I2854" s="224" t="s">
        <v>35</v>
      </c>
      <c r="J2854" s="240" t="s">
        <v>3188</v>
      </c>
      <c r="K2854" s="242">
        <v>2.0</v>
      </c>
      <c r="L2854" s="124">
        <v>3.875829049E9</v>
      </c>
    </row>
    <row r="2855">
      <c r="A2855" s="33" t="s">
        <v>12182</v>
      </c>
      <c r="B2855" s="122">
        <v>46087.0</v>
      </c>
      <c r="C2855" s="103">
        <v>8.07000035311E11</v>
      </c>
      <c r="D2855" s="103" t="s">
        <v>12183</v>
      </c>
      <c r="E2855" s="103" t="s">
        <v>12184</v>
      </c>
      <c r="F2855" s="241" t="s">
        <v>12185</v>
      </c>
      <c r="G2855" s="241" t="s">
        <v>127</v>
      </c>
      <c r="H2855" s="241">
        <v>4400.0</v>
      </c>
      <c r="I2855" s="211" t="s">
        <v>98</v>
      </c>
      <c r="J2855" s="103" t="s">
        <v>3187</v>
      </c>
      <c r="K2855" s="241">
        <v>1.0</v>
      </c>
      <c r="L2855" s="124">
        <v>3.874737017E9</v>
      </c>
    </row>
    <row r="2856">
      <c r="A2856" s="33" t="s">
        <v>12186</v>
      </c>
      <c r="B2856" s="122">
        <v>46087.0</v>
      </c>
      <c r="C2856" s="240">
        <v>8.07000035284E11</v>
      </c>
      <c r="D2856" s="240" t="s">
        <v>12187</v>
      </c>
      <c r="E2856" s="240" t="s">
        <v>12188</v>
      </c>
      <c r="F2856" s="242" t="s">
        <v>12189</v>
      </c>
      <c r="G2856" s="242" t="s">
        <v>127</v>
      </c>
      <c r="H2856" s="242">
        <v>4400.0</v>
      </c>
      <c r="I2856" s="224" t="s">
        <v>512</v>
      </c>
      <c r="J2856" s="240" t="s">
        <v>513</v>
      </c>
      <c r="K2856" s="242">
        <v>12.0</v>
      </c>
      <c r="L2856" s="124">
        <v>3.874593332E9</v>
      </c>
    </row>
    <row r="2857">
      <c r="A2857" s="33" t="s">
        <v>12186</v>
      </c>
      <c r="B2857" s="122">
        <v>46087.0</v>
      </c>
      <c r="C2857" s="103">
        <v>8.07000035285E11</v>
      </c>
      <c r="D2857" s="103" t="s">
        <v>12187</v>
      </c>
      <c r="E2857" s="103" t="s">
        <v>12188</v>
      </c>
      <c r="F2857" s="241" t="s">
        <v>12189</v>
      </c>
      <c r="G2857" s="241" t="s">
        <v>127</v>
      </c>
      <c r="H2857" s="241">
        <v>4400.0</v>
      </c>
      <c r="I2857" s="211" t="s">
        <v>8295</v>
      </c>
      <c r="J2857" s="103" t="s">
        <v>8296</v>
      </c>
      <c r="K2857" s="241">
        <v>2.0</v>
      </c>
      <c r="L2857" s="124">
        <v>3.874593332E9</v>
      </c>
    </row>
    <row r="2858">
      <c r="A2858" s="33" t="s">
        <v>12186</v>
      </c>
      <c r="B2858" s="122">
        <v>46087.0</v>
      </c>
      <c r="C2858" s="240">
        <v>8.07000035285E11</v>
      </c>
      <c r="D2858" s="240" t="s">
        <v>12187</v>
      </c>
      <c r="E2858" s="240" t="s">
        <v>12188</v>
      </c>
      <c r="F2858" s="242" t="s">
        <v>12189</v>
      </c>
      <c r="G2858" s="242" t="s">
        <v>127</v>
      </c>
      <c r="H2858" s="242">
        <v>4400.0</v>
      </c>
      <c r="I2858" s="224" t="s">
        <v>169</v>
      </c>
      <c r="J2858" s="240" t="s">
        <v>4514</v>
      </c>
      <c r="K2858" s="242">
        <v>2.0</v>
      </c>
      <c r="L2858" s="124">
        <v>3.874593332E9</v>
      </c>
    </row>
    <row r="2859">
      <c r="A2859" s="33" t="s">
        <v>12190</v>
      </c>
      <c r="B2859" s="122">
        <v>46088.0</v>
      </c>
      <c r="C2859" s="103">
        <v>8.07000035324E11</v>
      </c>
      <c r="D2859" s="103" t="s">
        <v>12191</v>
      </c>
      <c r="E2859" s="103" t="s">
        <v>12192</v>
      </c>
      <c r="F2859" s="123" t="s">
        <v>12193</v>
      </c>
      <c r="G2859" s="241" t="s">
        <v>127</v>
      </c>
      <c r="H2859" s="123">
        <v>4400.0</v>
      </c>
      <c r="I2859" s="211" t="s">
        <v>4368</v>
      </c>
      <c r="J2859" s="103" t="s">
        <v>4369</v>
      </c>
      <c r="K2859" s="241">
        <v>1.0</v>
      </c>
      <c r="L2859" s="124">
        <v>3.875023407E9</v>
      </c>
    </row>
    <row r="2860">
      <c r="A2860" s="33" t="s">
        <v>12194</v>
      </c>
      <c r="B2860" s="122">
        <v>46088.0</v>
      </c>
      <c r="C2860" s="103">
        <v>8.07000035316E11</v>
      </c>
      <c r="D2860" s="103" t="s">
        <v>12195</v>
      </c>
      <c r="E2860" s="103" t="s">
        <v>12196</v>
      </c>
      <c r="F2860" s="123" t="s">
        <v>12197</v>
      </c>
      <c r="G2860" s="241" t="s">
        <v>127</v>
      </c>
      <c r="H2860" s="241">
        <v>4400.0</v>
      </c>
      <c r="I2860" s="211" t="s">
        <v>512</v>
      </c>
      <c r="J2860" s="103" t="s">
        <v>513</v>
      </c>
      <c r="K2860" s="241">
        <v>6.0</v>
      </c>
      <c r="L2860" s="124">
        <v>1.134121009E9</v>
      </c>
    </row>
    <row r="2861">
      <c r="A2861" s="33" t="s">
        <v>12194</v>
      </c>
      <c r="B2861" s="122">
        <v>46088.0</v>
      </c>
      <c r="C2861" s="240">
        <v>8.07000035317E11</v>
      </c>
      <c r="D2861" s="240" t="s">
        <v>12195</v>
      </c>
      <c r="E2861" s="240" t="s">
        <v>12196</v>
      </c>
      <c r="F2861" s="123" t="s">
        <v>12197</v>
      </c>
      <c r="G2861" s="242" t="s">
        <v>127</v>
      </c>
      <c r="H2861" s="242">
        <v>4400.0</v>
      </c>
      <c r="I2861" s="224" t="s">
        <v>3154</v>
      </c>
      <c r="J2861" s="240" t="s">
        <v>4564</v>
      </c>
      <c r="K2861" s="242">
        <v>1.0</v>
      </c>
      <c r="L2861" s="124">
        <v>1.134121009E9</v>
      </c>
    </row>
    <row r="2862">
      <c r="A2862" s="33" t="s">
        <v>12194</v>
      </c>
      <c r="B2862" s="122">
        <v>46088.0</v>
      </c>
      <c r="C2862" s="103">
        <v>8.07000035317E11</v>
      </c>
      <c r="D2862" s="103" t="s">
        <v>12195</v>
      </c>
      <c r="E2862" s="103" t="s">
        <v>12196</v>
      </c>
      <c r="F2862" s="123" t="s">
        <v>12197</v>
      </c>
      <c r="G2862" s="241" t="s">
        <v>127</v>
      </c>
      <c r="H2862" s="123">
        <v>4400.0</v>
      </c>
      <c r="I2862" s="211" t="s">
        <v>2031</v>
      </c>
      <c r="J2862" s="103" t="s">
        <v>3348</v>
      </c>
      <c r="K2862" s="241">
        <v>1.0</v>
      </c>
      <c r="L2862" s="124">
        <v>1.134121009E9</v>
      </c>
    </row>
    <row r="2863">
      <c r="A2863" s="33" t="s">
        <v>12198</v>
      </c>
      <c r="B2863" s="122">
        <v>46088.0</v>
      </c>
      <c r="C2863" s="240">
        <v>8.07000035314E11</v>
      </c>
      <c r="D2863" s="240" t="s">
        <v>12117</v>
      </c>
      <c r="E2863" s="240" t="s">
        <v>12118</v>
      </c>
      <c r="F2863" s="123" t="s">
        <v>12199</v>
      </c>
      <c r="G2863" s="241" t="s">
        <v>127</v>
      </c>
      <c r="H2863" s="123">
        <v>4400.0</v>
      </c>
      <c r="I2863" s="224" t="s">
        <v>280</v>
      </c>
      <c r="J2863" s="240" t="s">
        <v>5669</v>
      </c>
      <c r="K2863" s="242">
        <v>1.0</v>
      </c>
      <c r="L2863" s="124">
        <v>3.875501897E9</v>
      </c>
    </row>
    <row r="2864" ht="4.5" customHeight="1">
      <c r="A2864" s="100"/>
      <c r="B2864" s="230"/>
      <c r="C2864" s="251"/>
      <c r="D2864" s="251"/>
      <c r="E2864" s="251"/>
      <c r="F2864" s="231"/>
      <c r="G2864" s="231"/>
      <c r="H2864" s="231"/>
      <c r="I2864" s="252"/>
      <c r="J2864" s="252"/>
      <c r="K2864" s="253"/>
      <c r="L2864" s="232"/>
      <c r="M2864" s="233"/>
      <c r="N2864" s="233"/>
      <c r="O2864" s="233"/>
      <c r="P2864" s="233"/>
      <c r="Q2864" s="233"/>
      <c r="R2864" s="233"/>
      <c r="S2864" s="233"/>
      <c r="T2864" s="233"/>
      <c r="U2864" s="233"/>
      <c r="V2864" s="233"/>
      <c r="W2864" s="233"/>
      <c r="X2864" s="233"/>
      <c r="Y2864" s="233"/>
      <c r="Z2864" s="233"/>
      <c r="AA2864" s="233"/>
      <c r="AB2864" s="233"/>
      <c r="AC2864" s="233"/>
    </row>
    <row r="2865">
      <c r="A2865" s="33" t="s">
        <v>12200</v>
      </c>
      <c r="B2865" s="122">
        <v>46090.0</v>
      </c>
      <c r="C2865" s="103">
        <v>8.05011571991E11</v>
      </c>
      <c r="D2865" s="103" t="s">
        <v>12201</v>
      </c>
      <c r="E2865" s="103" t="s">
        <v>12202</v>
      </c>
      <c r="F2865" s="241" t="s">
        <v>12203</v>
      </c>
      <c r="G2865" s="241" t="s">
        <v>20</v>
      </c>
      <c r="H2865" s="241">
        <v>4400.0</v>
      </c>
      <c r="I2865" s="211" t="s">
        <v>3451</v>
      </c>
      <c r="J2865" s="103" t="s">
        <v>3452</v>
      </c>
      <c r="K2865" s="241">
        <v>1.0</v>
      </c>
      <c r="L2865" s="124">
        <v>3.875811118E9</v>
      </c>
    </row>
    <row r="2866">
      <c r="A2866" s="33" t="s">
        <v>12204</v>
      </c>
      <c r="B2866" s="122">
        <v>46090.0</v>
      </c>
      <c r="C2866" s="240">
        <v>8.07000035328E11</v>
      </c>
      <c r="D2866" s="240" t="s">
        <v>12205</v>
      </c>
      <c r="E2866" s="240" t="s">
        <v>12206</v>
      </c>
      <c r="F2866" s="242" t="s">
        <v>12207</v>
      </c>
      <c r="G2866" s="242" t="s">
        <v>4645</v>
      </c>
      <c r="H2866" s="242">
        <v>4400.0</v>
      </c>
      <c r="I2866" s="224" t="s">
        <v>512</v>
      </c>
      <c r="J2866" s="240" t="s">
        <v>513</v>
      </c>
      <c r="K2866" s="242">
        <v>12.0</v>
      </c>
      <c r="L2866" s="124">
        <v>3.875143737E9</v>
      </c>
    </row>
    <row r="2867">
      <c r="A2867" s="33" t="s">
        <v>12204</v>
      </c>
      <c r="B2867" s="122">
        <v>46090.0</v>
      </c>
      <c r="C2867" s="103">
        <v>8.07000035329E11</v>
      </c>
      <c r="D2867" s="103" t="s">
        <v>12205</v>
      </c>
      <c r="E2867" s="103" t="s">
        <v>12206</v>
      </c>
      <c r="F2867" s="241" t="s">
        <v>12207</v>
      </c>
      <c r="G2867" s="241" t="s">
        <v>4645</v>
      </c>
      <c r="H2867" s="241">
        <v>4400.0</v>
      </c>
      <c r="I2867" s="211">
        <v>208502.0</v>
      </c>
      <c r="J2867" s="103" t="s">
        <v>4551</v>
      </c>
      <c r="K2867" s="241">
        <v>2.0</v>
      </c>
      <c r="L2867" s="124">
        <v>3.875143737E9</v>
      </c>
    </row>
    <row r="2868">
      <c r="A2868" s="33" t="s">
        <v>12208</v>
      </c>
      <c r="B2868" s="122">
        <v>46090.0</v>
      </c>
      <c r="C2868" s="240">
        <v>8.07000035331E11</v>
      </c>
      <c r="D2868" s="240" t="s">
        <v>12205</v>
      </c>
      <c r="E2868" s="240" t="s">
        <v>12206</v>
      </c>
      <c r="F2868" s="242" t="s">
        <v>12207</v>
      </c>
      <c r="G2868" s="242" t="s">
        <v>4645</v>
      </c>
      <c r="H2868" s="242">
        <v>4400.0</v>
      </c>
      <c r="I2868" s="224" t="s">
        <v>8099</v>
      </c>
      <c r="J2868" s="240" t="s">
        <v>8100</v>
      </c>
      <c r="K2868" s="242">
        <v>1.0</v>
      </c>
      <c r="L2868" s="124">
        <v>3.875143737E9</v>
      </c>
    </row>
    <row r="2869">
      <c r="A2869" s="33" t="s">
        <v>12208</v>
      </c>
      <c r="B2869" s="122">
        <v>46090.0</v>
      </c>
      <c r="C2869" s="103">
        <v>8.07000035331E11</v>
      </c>
      <c r="D2869" s="103" t="s">
        <v>12205</v>
      </c>
      <c r="E2869" s="103" t="s">
        <v>12206</v>
      </c>
      <c r="F2869" s="241" t="s">
        <v>12207</v>
      </c>
      <c r="G2869" s="241" t="s">
        <v>4645</v>
      </c>
      <c r="H2869" s="241">
        <v>4400.0</v>
      </c>
      <c r="I2869" s="211" t="s">
        <v>121</v>
      </c>
      <c r="J2869" s="103" t="s">
        <v>3199</v>
      </c>
      <c r="K2869" s="241">
        <v>2.0</v>
      </c>
      <c r="L2869" s="124">
        <v>3.875143737E9</v>
      </c>
    </row>
    <row r="2870">
      <c r="A2870" s="33" t="s">
        <v>12209</v>
      </c>
      <c r="B2870" s="122">
        <v>46090.0</v>
      </c>
      <c r="C2870" s="240">
        <v>8.07000035339E11</v>
      </c>
      <c r="D2870" s="240" t="s">
        <v>12210</v>
      </c>
      <c r="E2870" s="240" t="s">
        <v>12211</v>
      </c>
      <c r="F2870" s="242" t="s">
        <v>12212</v>
      </c>
      <c r="G2870" s="242" t="s">
        <v>127</v>
      </c>
      <c r="H2870" s="242">
        <v>4400.0</v>
      </c>
      <c r="I2870" s="224" t="s">
        <v>512</v>
      </c>
      <c r="J2870" s="240" t="s">
        <v>513</v>
      </c>
      <c r="K2870" s="242">
        <v>12.0</v>
      </c>
      <c r="L2870" s="124">
        <v>3.87571394E9</v>
      </c>
    </row>
    <row r="2871">
      <c r="A2871" s="33" t="s">
        <v>12209</v>
      </c>
      <c r="B2871" s="122">
        <v>46090.0</v>
      </c>
      <c r="C2871" s="103">
        <v>8.0700003534E11</v>
      </c>
      <c r="D2871" s="103" t="s">
        <v>12210</v>
      </c>
      <c r="E2871" s="103" t="s">
        <v>12211</v>
      </c>
      <c r="F2871" s="241" t="s">
        <v>12212</v>
      </c>
      <c r="G2871" s="241" t="s">
        <v>127</v>
      </c>
      <c r="H2871" s="241">
        <v>4400.0</v>
      </c>
      <c r="I2871" s="211" t="s">
        <v>2537</v>
      </c>
      <c r="J2871" s="103" t="s">
        <v>3955</v>
      </c>
      <c r="K2871" s="241">
        <v>1.0</v>
      </c>
      <c r="L2871" s="124">
        <v>3.87571394E9</v>
      </c>
    </row>
    <row r="2872">
      <c r="A2872" s="33" t="s">
        <v>12209</v>
      </c>
      <c r="B2872" s="122">
        <v>46090.0</v>
      </c>
      <c r="C2872" s="240">
        <v>8.0700003534E11</v>
      </c>
      <c r="D2872" s="240" t="s">
        <v>12210</v>
      </c>
      <c r="E2872" s="240" t="s">
        <v>12211</v>
      </c>
      <c r="F2872" s="242" t="s">
        <v>12212</v>
      </c>
      <c r="G2872" s="242" t="s">
        <v>127</v>
      </c>
      <c r="H2872" s="242">
        <v>4400.0</v>
      </c>
      <c r="I2872" s="224" t="s">
        <v>340</v>
      </c>
      <c r="J2872" s="240" t="s">
        <v>3486</v>
      </c>
      <c r="K2872" s="242">
        <v>2.0</v>
      </c>
      <c r="L2872" s="124">
        <v>3.87571394E9</v>
      </c>
    </row>
    <row r="2873">
      <c r="A2873" s="33" t="s">
        <v>12213</v>
      </c>
      <c r="B2873" s="122">
        <v>46090.0</v>
      </c>
      <c r="C2873" s="103">
        <v>8.07000035341E11</v>
      </c>
      <c r="D2873" s="103" t="s">
        <v>12210</v>
      </c>
      <c r="E2873" s="103" t="s">
        <v>12211</v>
      </c>
      <c r="F2873" s="241" t="s">
        <v>12212</v>
      </c>
      <c r="G2873" s="241" t="s">
        <v>127</v>
      </c>
      <c r="H2873" s="241">
        <v>4400.0</v>
      </c>
      <c r="I2873" s="211" t="s">
        <v>3912</v>
      </c>
      <c r="J2873" s="103" t="s">
        <v>3913</v>
      </c>
      <c r="K2873" s="241">
        <v>1.0</v>
      </c>
      <c r="L2873" s="124">
        <v>3.87571394E9</v>
      </c>
    </row>
    <row r="2874">
      <c r="A2874" s="33" t="s">
        <v>12214</v>
      </c>
      <c r="B2874" s="122">
        <v>46090.0</v>
      </c>
      <c r="C2874" s="240">
        <v>8.0700003535E11</v>
      </c>
      <c r="D2874" s="240" t="s">
        <v>12215</v>
      </c>
      <c r="E2874" s="240" t="s">
        <v>12216</v>
      </c>
      <c r="F2874" s="242" t="s">
        <v>12217</v>
      </c>
      <c r="G2874" s="242" t="s">
        <v>127</v>
      </c>
      <c r="H2874" s="242">
        <v>4400.0</v>
      </c>
      <c r="I2874" s="224" t="s">
        <v>2956</v>
      </c>
      <c r="J2874" s="240" t="s">
        <v>3327</v>
      </c>
      <c r="K2874" s="242">
        <v>1.0</v>
      </c>
      <c r="L2874" s="124">
        <v>3.873635212E9</v>
      </c>
    </row>
    <row r="2875">
      <c r="A2875" s="33" t="s">
        <v>12218</v>
      </c>
      <c r="B2875" s="122">
        <v>46090.0</v>
      </c>
      <c r="C2875" s="103">
        <v>8.07000035351E11</v>
      </c>
      <c r="D2875" s="103" t="s">
        <v>12215</v>
      </c>
      <c r="E2875" s="103" t="s">
        <v>12216</v>
      </c>
      <c r="F2875" s="241" t="s">
        <v>12217</v>
      </c>
      <c r="G2875" s="241" t="s">
        <v>127</v>
      </c>
      <c r="H2875" s="241">
        <v>4400.0</v>
      </c>
      <c r="I2875" s="211" t="s">
        <v>2956</v>
      </c>
      <c r="J2875" s="103" t="s">
        <v>3327</v>
      </c>
      <c r="K2875" s="241">
        <v>1.0</v>
      </c>
      <c r="L2875" s="124">
        <v>3.873635212E9</v>
      </c>
    </row>
    <row r="2876">
      <c r="A2876" s="33" t="s">
        <v>12219</v>
      </c>
      <c r="B2876" s="122">
        <v>46090.0</v>
      </c>
      <c r="C2876" s="240">
        <v>8.07000035327E11</v>
      </c>
      <c r="D2876" s="240" t="s">
        <v>12220</v>
      </c>
      <c r="E2876" s="240" t="s">
        <v>12221</v>
      </c>
      <c r="F2876" s="242" t="s">
        <v>12222</v>
      </c>
      <c r="G2876" s="242" t="s">
        <v>127</v>
      </c>
      <c r="H2876" s="242">
        <v>4400.0</v>
      </c>
      <c r="I2876" s="224" t="s">
        <v>4220</v>
      </c>
      <c r="J2876" s="240" t="s">
        <v>4221</v>
      </c>
      <c r="K2876" s="242">
        <v>1.0</v>
      </c>
      <c r="L2876" s="124">
        <v>3.874480004E9</v>
      </c>
    </row>
    <row r="2877">
      <c r="A2877" s="33" t="s">
        <v>12219</v>
      </c>
      <c r="B2877" s="122">
        <v>46090.0</v>
      </c>
      <c r="C2877" s="103">
        <v>8.07000035327E11</v>
      </c>
      <c r="D2877" s="103" t="s">
        <v>12220</v>
      </c>
      <c r="E2877" s="103" t="s">
        <v>12221</v>
      </c>
      <c r="F2877" s="241" t="s">
        <v>12222</v>
      </c>
      <c r="G2877" s="241" t="s">
        <v>127</v>
      </c>
      <c r="H2877" s="241">
        <v>4400.0</v>
      </c>
      <c r="I2877" s="211" t="s">
        <v>3154</v>
      </c>
      <c r="J2877" s="103" t="s">
        <v>4564</v>
      </c>
      <c r="K2877" s="241">
        <v>1.0</v>
      </c>
      <c r="L2877" s="124">
        <v>3.874480004E9</v>
      </c>
    </row>
    <row r="2878">
      <c r="A2878" s="33" t="s">
        <v>12219</v>
      </c>
      <c r="B2878" s="122">
        <v>46090.0</v>
      </c>
      <c r="C2878" s="240">
        <v>8.07000035327E11</v>
      </c>
      <c r="D2878" s="240" t="s">
        <v>12220</v>
      </c>
      <c r="E2878" s="240" t="s">
        <v>12221</v>
      </c>
      <c r="F2878" s="242" t="s">
        <v>12222</v>
      </c>
      <c r="G2878" s="242" t="s">
        <v>127</v>
      </c>
      <c r="H2878" s="242">
        <v>4400.0</v>
      </c>
      <c r="I2878" s="224" t="s">
        <v>512</v>
      </c>
      <c r="J2878" s="240" t="s">
        <v>513</v>
      </c>
      <c r="K2878" s="242">
        <v>6.0</v>
      </c>
      <c r="L2878" s="124">
        <v>3.874480004E9</v>
      </c>
    </row>
    <row r="2879">
      <c r="A2879" s="33" t="s">
        <v>12219</v>
      </c>
      <c r="B2879" s="122">
        <v>46090.0</v>
      </c>
      <c r="C2879" s="103">
        <v>8.07000035327E11</v>
      </c>
      <c r="D2879" s="103" t="s">
        <v>12220</v>
      </c>
      <c r="E2879" s="103" t="s">
        <v>12221</v>
      </c>
      <c r="F2879" s="241" t="s">
        <v>12222</v>
      </c>
      <c r="G2879" s="241" t="s">
        <v>127</v>
      </c>
      <c r="H2879" s="241">
        <v>4400.0</v>
      </c>
      <c r="I2879" s="211" t="s">
        <v>2031</v>
      </c>
      <c r="J2879" s="103" t="s">
        <v>3348</v>
      </c>
      <c r="K2879" s="241">
        <v>1.0</v>
      </c>
      <c r="L2879" s="124">
        <v>3.874480004E9</v>
      </c>
    </row>
    <row r="2880">
      <c r="A2880" s="33" t="s">
        <v>12223</v>
      </c>
      <c r="B2880" s="122">
        <v>46090.0</v>
      </c>
      <c r="C2880" s="240">
        <v>8.07000035335E11</v>
      </c>
      <c r="D2880" s="240" t="s">
        <v>12224</v>
      </c>
      <c r="E2880" s="240" t="s">
        <v>12225</v>
      </c>
      <c r="F2880" s="242" t="s">
        <v>12226</v>
      </c>
      <c r="G2880" s="242" t="s">
        <v>12227</v>
      </c>
      <c r="H2880" s="242">
        <v>4400.0</v>
      </c>
      <c r="I2880" s="224" t="s">
        <v>1083</v>
      </c>
      <c r="J2880" s="240" t="s">
        <v>4426</v>
      </c>
      <c r="K2880" s="242">
        <v>1.0</v>
      </c>
      <c r="L2880" s="124">
        <v>3.874873111E9</v>
      </c>
    </row>
    <row r="2881">
      <c r="A2881" s="33" t="s">
        <v>12223</v>
      </c>
      <c r="B2881" s="122">
        <v>46090.0</v>
      </c>
      <c r="C2881" s="103">
        <v>8.07000035335E11</v>
      </c>
      <c r="D2881" s="103" t="s">
        <v>12224</v>
      </c>
      <c r="E2881" s="103" t="s">
        <v>12225</v>
      </c>
      <c r="F2881" s="241" t="s">
        <v>12226</v>
      </c>
      <c r="G2881" s="241" t="s">
        <v>12227</v>
      </c>
      <c r="H2881" s="241">
        <v>4400.0</v>
      </c>
      <c r="I2881" s="211" t="s">
        <v>512</v>
      </c>
      <c r="J2881" s="103" t="s">
        <v>513</v>
      </c>
      <c r="K2881" s="241">
        <v>12.0</v>
      </c>
      <c r="L2881" s="124">
        <v>3.874873111E9</v>
      </c>
    </row>
    <row r="2882">
      <c r="A2882" s="33" t="s">
        <v>12223</v>
      </c>
      <c r="B2882" s="122">
        <v>46090.0</v>
      </c>
      <c r="C2882" s="240">
        <v>8.07000035335E11</v>
      </c>
      <c r="D2882" s="240" t="s">
        <v>12224</v>
      </c>
      <c r="E2882" s="240" t="s">
        <v>12225</v>
      </c>
      <c r="F2882" s="242" t="s">
        <v>12226</v>
      </c>
      <c r="G2882" s="242" t="s">
        <v>12227</v>
      </c>
      <c r="H2882" s="242">
        <v>4400.0</v>
      </c>
      <c r="I2882" s="224" t="s">
        <v>121</v>
      </c>
      <c r="J2882" s="240" t="s">
        <v>3199</v>
      </c>
      <c r="K2882" s="242">
        <v>2.0</v>
      </c>
      <c r="L2882" s="124">
        <v>3.874873111E9</v>
      </c>
    </row>
    <row r="2883">
      <c r="A2883" s="33" t="s">
        <v>12228</v>
      </c>
      <c r="B2883" s="122">
        <v>46090.0</v>
      </c>
      <c r="C2883" s="103">
        <v>8.07000035353E11</v>
      </c>
      <c r="D2883" s="103" t="s">
        <v>12229</v>
      </c>
      <c r="E2883" s="103" t="s">
        <v>12230</v>
      </c>
      <c r="F2883" s="241" t="s">
        <v>12231</v>
      </c>
      <c r="G2883" s="241" t="s">
        <v>4645</v>
      </c>
      <c r="H2883" s="241">
        <v>4400.0</v>
      </c>
      <c r="I2883" s="211" t="s">
        <v>2956</v>
      </c>
      <c r="J2883" s="103" t="s">
        <v>3327</v>
      </c>
      <c r="K2883" s="241">
        <v>2.0</v>
      </c>
      <c r="L2883" s="124">
        <v>3.874634721E9</v>
      </c>
    </row>
    <row r="2884">
      <c r="A2884" s="33" t="s">
        <v>12232</v>
      </c>
      <c r="B2884" s="122">
        <v>46092.0</v>
      </c>
      <c r="C2884" s="103">
        <v>8.07000035338E11</v>
      </c>
      <c r="D2884" s="103" t="s">
        <v>12233</v>
      </c>
      <c r="E2884" s="103" t="s">
        <v>12234</v>
      </c>
      <c r="F2884" s="241" t="s">
        <v>12235</v>
      </c>
      <c r="G2884" s="241" t="s">
        <v>104</v>
      </c>
      <c r="H2884" s="241">
        <v>4400.0</v>
      </c>
      <c r="I2884" s="211" t="s">
        <v>3131</v>
      </c>
      <c r="J2884" s="103" t="s">
        <v>3416</v>
      </c>
      <c r="K2884" s="241">
        <v>1.0</v>
      </c>
      <c r="L2884" s="124">
        <v>3.874851904E9</v>
      </c>
    </row>
    <row r="2885">
      <c r="A2885" s="33" t="s">
        <v>12232</v>
      </c>
      <c r="B2885" s="122">
        <v>46092.0</v>
      </c>
      <c r="C2885" s="240">
        <v>8.07000035338E11</v>
      </c>
      <c r="D2885" s="240" t="s">
        <v>12233</v>
      </c>
      <c r="E2885" s="240" t="s">
        <v>12234</v>
      </c>
      <c r="F2885" s="242" t="s">
        <v>12235</v>
      </c>
      <c r="G2885" s="242" t="s">
        <v>104</v>
      </c>
      <c r="H2885" s="242">
        <v>4400.0</v>
      </c>
      <c r="I2885" s="224" t="s">
        <v>3817</v>
      </c>
      <c r="J2885" s="240" t="s">
        <v>3818</v>
      </c>
      <c r="K2885" s="242">
        <v>1.0</v>
      </c>
      <c r="L2885" s="124">
        <v>3.874851904E9</v>
      </c>
    </row>
    <row r="2886">
      <c r="A2886" s="33" t="s">
        <v>12232</v>
      </c>
      <c r="B2886" s="122">
        <v>46092.0</v>
      </c>
      <c r="C2886" s="103">
        <v>8.07000035338E11</v>
      </c>
      <c r="D2886" s="103" t="s">
        <v>12233</v>
      </c>
      <c r="E2886" s="103" t="s">
        <v>12234</v>
      </c>
      <c r="F2886" s="241" t="s">
        <v>12235</v>
      </c>
      <c r="G2886" s="241" t="s">
        <v>104</v>
      </c>
      <c r="H2886" s="241">
        <v>4400.0</v>
      </c>
      <c r="I2886" s="211" t="s">
        <v>512</v>
      </c>
      <c r="J2886" s="103" t="s">
        <v>513</v>
      </c>
      <c r="K2886" s="241">
        <v>18.0</v>
      </c>
      <c r="L2886" s="124">
        <v>3.874851904E9</v>
      </c>
    </row>
    <row r="2887">
      <c r="A2887" s="33" t="s">
        <v>12232</v>
      </c>
      <c r="B2887" s="122">
        <v>46092.0</v>
      </c>
      <c r="C2887" s="240">
        <v>8.07000035338E11</v>
      </c>
      <c r="D2887" s="240" t="s">
        <v>12233</v>
      </c>
      <c r="E2887" s="240" t="s">
        <v>12234</v>
      </c>
      <c r="F2887" s="242" t="s">
        <v>12235</v>
      </c>
      <c r="G2887" s="242" t="s">
        <v>104</v>
      </c>
      <c r="H2887" s="242">
        <v>4400.0</v>
      </c>
      <c r="I2887" s="224" t="s">
        <v>340</v>
      </c>
      <c r="J2887" s="240" t="s">
        <v>3486</v>
      </c>
      <c r="K2887" s="242">
        <v>2.0</v>
      </c>
      <c r="L2887" s="124">
        <v>3.874851904E9</v>
      </c>
    </row>
    <row r="2888">
      <c r="A2888" s="33" t="s">
        <v>12232</v>
      </c>
      <c r="B2888" s="122">
        <v>46092.0</v>
      </c>
      <c r="C2888" s="103">
        <v>8.07000035338E11</v>
      </c>
      <c r="D2888" s="103" t="s">
        <v>12233</v>
      </c>
      <c r="E2888" s="103" t="s">
        <v>12234</v>
      </c>
      <c r="F2888" s="241" t="s">
        <v>12235</v>
      </c>
      <c r="G2888" s="241" t="s">
        <v>104</v>
      </c>
      <c r="H2888" s="241">
        <v>4400.0</v>
      </c>
      <c r="I2888" s="211" t="s">
        <v>35</v>
      </c>
      <c r="J2888" s="103" t="s">
        <v>3188</v>
      </c>
      <c r="K2888" s="241">
        <v>1.0</v>
      </c>
      <c r="L2888" s="124">
        <v>3.874851904E9</v>
      </c>
    </row>
    <row r="2889">
      <c r="A2889" s="33" t="s">
        <v>12236</v>
      </c>
      <c r="B2889" s="122">
        <v>46092.0</v>
      </c>
      <c r="C2889" s="240">
        <v>8.0700003524E11</v>
      </c>
      <c r="D2889" s="240" t="s">
        <v>12237</v>
      </c>
      <c r="E2889" s="240" t="s">
        <v>12238</v>
      </c>
      <c r="F2889" s="123" t="s">
        <v>12239</v>
      </c>
      <c r="G2889" s="123" t="s">
        <v>127</v>
      </c>
      <c r="H2889" s="123">
        <v>4400.0</v>
      </c>
      <c r="I2889" s="224" t="s">
        <v>512</v>
      </c>
      <c r="J2889" s="240" t="s">
        <v>513</v>
      </c>
      <c r="K2889" s="242">
        <v>12.0</v>
      </c>
      <c r="L2889" s="124">
        <v>3.8741679E9</v>
      </c>
    </row>
    <row r="2890">
      <c r="A2890" s="33" t="s">
        <v>12236</v>
      </c>
      <c r="B2890" s="122">
        <v>46092.0</v>
      </c>
      <c r="C2890" s="103">
        <v>8.07000035241E11</v>
      </c>
      <c r="D2890" s="103" t="s">
        <v>12237</v>
      </c>
      <c r="E2890" s="103" t="s">
        <v>12238</v>
      </c>
      <c r="F2890" s="123" t="s">
        <v>12239</v>
      </c>
      <c r="G2890" s="123" t="s">
        <v>127</v>
      </c>
      <c r="H2890" s="123">
        <v>4400.0</v>
      </c>
      <c r="I2890" s="211" t="s">
        <v>233</v>
      </c>
      <c r="J2890" s="103" t="s">
        <v>3459</v>
      </c>
      <c r="K2890" s="241">
        <v>2.0</v>
      </c>
      <c r="L2890" s="124">
        <v>3.8741679E9</v>
      </c>
    </row>
    <row r="2891">
      <c r="A2891" s="33" t="s">
        <v>12240</v>
      </c>
      <c r="B2891" s="122">
        <v>46094.0</v>
      </c>
      <c r="C2891" s="240">
        <v>8.07000035394E11</v>
      </c>
      <c r="D2891" s="240" t="s">
        <v>12241</v>
      </c>
      <c r="E2891" s="240" t="s">
        <v>12242</v>
      </c>
      <c r="F2891" s="242" t="s">
        <v>12243</v>
      </c>
      <c r="G2891" s="242" t="s">
        <v>127</v>
      </c>
      <c r="H2891" s="242">
        <v>4400.0</v>
      </c>
      <c r="I2891" s="224" t="s">
        <v>512</v>
      </c>
      <c r="J2891" s="240" t="s">
        <v>513</v>
      </c>
      <c r="K2891" s="242">
        <v>12.0</v>
      </c>
      <c r="L2891" s="124">
        <v>3.875420331E9</v>
      </c>
    </row>
    <row r="2892">
      <c r="A2892" s="33" t="s">
        <v>12240</v>
      </c>
      <c r="B2892" s="122">
        <v>46094.0</v>
      </c>
      <c r="C2892" s="103">
        <v>8.07000035395E11</v>
      </c>
      <c r="D2892" s="103" t="s">
        <v>12241</v>
      </c>
      <c r="E2892" s="103" t="s">
        <v>12242</v>
      </c>
      <c r="F2892" s="241" t="s">
        <v>12243</v>
      </c>
      <c r="G2892" s="241" t="s">
        <v>127</v>
      </c>
      <c r="H2892" s="241">
        <v>4400.0</v>
      </c>
      <c r="I2892" s="211" t="s">
        <v>7955</v>
      </c>
      <c r="J2892" s="103" t="s">
        <v>7956</v>
      </c>
      <c r="K2892" s="241">
        <v>1.0</v>
      </c>
      <c r="L2892" s="124">
        <v>3.875420331E9</v>
      </c>
    </row>
    <row r="2893">
      <c r="A2893" s="33" t="s">
        <v>12240</v>
      </c>
      <c r="B2893" s="122">
        <v>46094.0</v>
      </c>
      <c r="C2893" s="240">
        <v>8.07000035395E11</v>
      </c>
      <c r="D2893" s="240" t="s">
        <v>12241</v>
      </c>
      <c r="E2893" s="240" t="s">
        <v>12242</v>
      </c>
      <c r="F2893" s="242" t="s">
        <v>12243</v>
      </c>
      <c r="G2893" s="242" t="s">
        <v>127</v>
      </c>
      <c r="H2893" s="242">
        <v>4400.0</v>
      </c>
      <c r="I2893" s="224" t="s">
        <v>758</v>
      </c>
      <c r="J2893" s="240" t="s">
        <v>3574</v>
      </c>
      <c r="K2893" s="242">
        <v>2.0</v>
      </c>
      <c r="L2893" s="124">
        <v>3.875420331E9</v>
      </c>
    </row>
    <row r="2894">
      <c r="A2894" s="33" t="s">
        <v>12244</v>
      </c>
      <c r="B2894" s="122">
        <v>46094.0</v>
      </c>
      <c r="C2894" s="103">
        <v>8.070000354E11</v>
      </c>
      <c r="D2894" s="103" t="s">
        <v>12245</v>
      </c>
      <c r="E2894" s="103" t="s">
        <v>12246</v>
      </c>
      <c r="F2894" s="241" t="s">
        <v>12247</v>
      </c>
      <c r="G2894" s="241" t="s">
        <v>3047</v>
      </c>
      <c r="H2894" s="241">
        <v>4400.0</v>
      </c>
      <c r="I2894" s="211">
        <v>125819.0</v>
      </c>
      <c r="J2894" s="103" t="s">
        <v>9858</v>
      </c>
      <c r="K2894" s="241">
        <v>2.0</v>
      </c>
      <c r="L2894" s="124">
        <v>1.164554839E9</v>
      </c>
    </row>
    <row r="2895">
      <c r="A2895" s="33" t="s">
        <v>12244</v>
      </c>
      <c r="B2895" s="122">
        <v>46094.0</v>
      </c>
      <c r="C2895" s="240">
        <v>8.070000354E11</v>
      </c>
      <c r="D2895" s="240" t="s">
        <v>12245</v>
      </c>
      <c r="E2895" s="240" t="s">
        <v>12246</v>
      </c>
      <c r="F2895" s="242" t="s">
        <v>12247</v>
      </c>
      <c r="G2895" s="242" t="s">
        <v>3047</v>
      </c>
      <c r="H2895" s="242">
        <v>4400.0</v>
      </c>
      <c r="I2895" s="224" t="s">
        <v>512</v>
      </c>
      <c r="J2895" s="240" t="s">
        <v>513</v>
      </c>
      <c r="K2895" s="242">
        <v>6.0</v>
      </c>
      <c r="L2895" s="124">
        <v>1.164554839E9</v>
      </c>
    </row>
    <row r="2896">
      <c r="A2896" s="33" t="s">
        <v>12244</v>
      </c>
      <c r="B2896" s="122">
        <v>46094.0</v>
      </c>
      <c r="C2896" s="103">
        <v>8.07000035401E11</v>
      </c>
      <c r="D2896" s="103" t="s">
        <v>12245</v>
      </c>
      <c r="E2896" s="103" t="s">
        <v>12246</v>
      </c>
      <c r="F2896" s="241" t="s">
        <v>12247</v>
      </c>
      <c r="G2896" s="241" t="s">
        <v>3047</v>
      </c>
      <c r="H2896" s="241">
        <v>4400.0</v>
      </c>
      <c r="I2896" s="211" t="s">
        <v>947</v>
      </c>
      <c r="J2896" s="103" t="s">
        <v>3750</v>
      </c>
      <c r="K2896" s="241">
        <v>1.0</v>
      </c>
      <c r="L2896" s="124">
        <v>1.164554839E9</v>
      </c>
    </row>
    <row r="2897">
      <c r="A2897" s="33" t="s">
        <v>12244</v>
      </c>
      <c r="B2897" s="122">
        <v>46094.0</v>
      </c>
      <c r="C2897" s="240">
        <v>8.07000035401E11</v>
      </c>
      <c r="D2897" s="240" t="s">
        <v>12245</v>
      </c>
      <c r="E2897" s="240" t="s">
        <v>12246</v>
      </c>
      <c r="F2897" s="242" t="s">
        <v>12247</v>
      </c>
      <c r="G2897" s="242" t="s">
        <v>3047</v>
      </c>
      <c r="H2897" s="242">
        <v>4400.0</v>
      </c>
      <c r="I2897" s="224" t="s">
        <v>35</v>
      </c>
      <c r="J2897" s="240" t="s">
        <v>3188</v>
      </c>
      <c r="K2897" s="242">
        <v>1.0</v>
      </c>
      <c r="L2897" s="124">
        <v>1.164554839E9</v>
      </c>
    </row>
    <row r="2898">
      <c r="A2898" s="33" t="s">
        <v>12248</v>
      </c>
      <c r="B2898" s="122">
        <v>46095.0</v>
      </c>
      <c r="C2898" s="240">
        <v>8.07000035409E11</v>
      </c>
      <c r="D2898" s="240" t="s">
        <v>12249</v>
      </c>
      <c r="E2898" s="240" t="s">
        <v>12250</v>
      </c>
      <c r="F2898" s="123" t="s">
        <v>12251</v>
      </c>
      <c r="G2898" s="242" t="s">
        <v>127</v>
      </c>
      <c r="H2898" s="123">
        <v>4400.0</v>
      </c>
      <c r="I2898" s="224" t="s">
        <v>11325</v>
      </c>
      <c r="J2898" s="240" t="s">
        <v>11326</v>
      </c>
      <c r="K2898" s="242">
        <v>1.0</v>
      </c>
      <c r="L2898" s="124">
        <v>1.168723227E9</v>
      </c>
    </row>
    <row r="2899">
      <c r="A2899" s="33" t="s">
        <v>12248</v>
      </c>
      <c r="B2899" s="122">
        <v>46095.0</v>
      </c>
      <c r="C2899" s="103">
        <v>8.07000035409E11</v>
      </c>
      <c r="D2899" s="103" t="s">
        <v>12249</v>
      </c>
      <c r="E2899" s="103" t="s">
        <v>12250</v>
      </c>
      <c r="F2899" s="123" t="s">
        <v>12251</v>
      </c>
      <c r="G2899" s="241" t="s">
        <v>127</v>
      </c>
      <c r="H2899" s="123">
        <v>4400.0</v>
      </c>
      <c r="I2899" s="211" t="s">
        <v>512</v>
      </c>
      <c r="J2899" s="103" t="s">
        <v>513</v>
      </c>
      <c r="K2899" s="241">
        <v>12.0</v>
      </c>
      <c r="L2899" s="124">
        <v>1.168723227E9</v>
      </c>
    </row>
    <row r="2900">
      <c r="A2900" s="33" t="s">
        <v>12248</v>
      </c>
      <c r="B2900" s="122">
        <v>46095.0</v>
      </c>
      <c r="C2900" s="240">
        <v>8.07000035409E11</v>
      </c>
      <c r="D2900" s="240" t="s">
        <v>12249</v>
      </c>
      <c r="E2900" s="240" t="s">
        <v>12250</v>
      </c>
      <c r="F2900" s="123" t="s">
        <v>12251</v>
      </c>
      <c r="G2900" s="242" t="s">
        <v>127</v>
      </c>
      <c r="H2900" s="123">
        <v>4400.0</v>
      </c>
      <c r="I2900" s="224" t="s">
        <v>758</v>
      </c>
      <c r="J2900" s="240" t="s">
        <v>3574</v>
      </c>
      <c r="K2900" s="242">
        <v>2.0</v>
      </c>
      <c r="L2900" s="124">
        <v>1.168723227E9</v>
      </c>
    </row>
    <row r="2901">
      <c r="A2901" s="33" t="s">
        <v>12252</v>
      </c>
      <c r="B2901" s="122">
        <v>46095.0</v>
      </c>
      <c r="C2901" s="240">
        <v>8.07000035414E11</v>
      </c>
      <c r="D2901" s="240" t="s">
        <v>12253</v>
      </c>
      <c r="E2901" s="240" t="s">
        <v>12254</v>
      </c>
      <c r="F2901" s="123" t="s">
        <v>12255</v>
      </c>
      <c r="G2901" s="242" t="s">
        <v>127</v>
      </c>
      <c r="H2901" s="123">
        <v>4400.0</v>
      </c>
      <c r="I2901" s="224">
        <v>125812.0</v>
      </c>
      <c r="J2901" s="240" t="s">
        <v>9317</v>
      </c>
      <c r="K2901" s="242">
        <v>2.0</v>
      </c>
      <c r="L2901" s="124">
        <v>3.876111735E9</v>
      </c>
    </row>
    <row r="2902">
      <c r="A2902" s="33" t="s">
        <v>12256</v>
      </c>
      <c r="B2902" s="122">
        <v>46095.0</v>
      </c>
      <c r="C2902" s="103">
        <v>8.07000035415E11</v>
      </c>
      <c r="D2902" s="103" t="s">
        <v>12253</v>
      </c>
      <c r="E2902" s="103" t="s">
        <v>12254</v>
      </c>
      <c r="F2902" s="123" t="s">
        <v>12255</v>
      </c>
      <c r="G2902" s="241" t="s">
        <v>127</v>
      </c>
      <c r="H2902" s="123">
        <v>4400.0</v>
      </c>
      <c r="I2902" s="211" t="s">
        <v>512</v>
      </c>
      <c r="J2902" s="103" t="s">
        <v>513</v>
      </c>
      <c r="K2902" s="241">
        <v>6.0</v>
      </c>
      <c r="L2902" s="124">
        <v>3.876111735E9</v>
      </c>
    </row>
    <row r="2903">
      <c r="A2903" s="33" t="s">
        <v>12256</v>
      </c>
      <c r="B2903" s="122">
        <v>46095.0</v>
      </c>
      <c r="C2903" s="240">
        <v>8.07000035416E11</v>
      </c>
      <c r="D2903" s="240" t="s">
        <v>12253</v>
      </c>
      <c r="E2903" s="240" t="s">
        <v>12254</v>
      </c>
      <c r="F2903" s="123" t="s">
        <v>12255</v>
      </c>
      <c r="G2903" s="242" t="s">
        <v>127</v>
      </c>
      <c r="H2903" s="123">
        <v>4400.0</v>
      </c>
      <c r="I2903" s="224" t="s">
        <v>5034</v>
      </c>
      <c r="J2903" s="240" t="s">
        <v>5035</v>
      </c>
      <c r="K2903" s="242">
        <v>1.0</v>
      </c>
      <c r="L2903" s="124">
        <v>3.876111735E9</v>
      </c>
    </row>
    <row r="2904">
      <c r="A2904" s="33" t="s">
        <v>12256</v>
      </c>
      <c r="B2904" s="122">
        <v>46095.0</v>
      </c>
      <c r="C2904" s="103">
        <v>8.07000035416E11</v>
      </c>
      <c r="D2904" s="103" t="s">
        <v>12253</v>
      </c>
      <c r="E2904" s="308"/>
      <c r="F2904" s="123" t="s">
        <v>12255</v>
      </c>
      <c r="G2904" s="242" t="s">
        <v>127</v>
      </c>
      <c r="H2904" s="123">
        <v>4400.0</v>
      </c>
      <c r="I2904" s="211" t="s">
        <v>670</v>
      </c>
      <c r="J2904" s="103" t="s">
        <v>3410</v>
      </c>
      <c r="K2904" s="241">
        <v>1.0</v>
      </c>
      <c r="L2904" s="124">
        <v>3.876111735E9</v>
      </c>
    </row>
    <row r="2905">
      <c r="A2905" s="244"/>
      <c r="B2905" s="245"/>
      <c r="C2905" s="271"/>
      <c r="D2905" s="271"/>
      <c r="E2905" s="233"/>
      <c r="F2905" s="246"/>
      <c r="G2905" s="246"/>
      <c r="H2905" s="246"/>
      <c r="I2905" s="272"/>
      <c r="J2905" s="272"/>
      <c r="K2905" s="273"/>
      <c r="L2905" s="247"/>
    </row>
    <row r="2906">
      <c r="A2906" s="33" t="s">
        <v>12257</v>
      </c>
      <c r="B2906" s="122">
        <v>46099.0</v>
      </c>
      <c r="C2906" s="240"/>
      <c r="D2906" s="240"/>
      <c r="E2906" s="240" t="s">
        <v>12258</v>
      </c>
      <c r="F2906" s="123" t="s">
        <v>12259</v>
      </c>
      <c r="G2906" s="242" t="s">
        <v>127</v>
      </c>
      <c r="H2906" s="123">
        <v>4400.0</v>
      </c>
      <c r="I2906" s="33">
        <v>2.234625915E10</v>
      </c>
      <c r="J2906" s="31" t="s">
        <v>9048</v>
      </c>
      <c r="K2906" s="242">
        <v>1.0</v>
      </c>
      <c r="L2906" s="124">
        <v>3.874128414E9</v>
      </c>
    </row>
    <row r="2907">
      <c r="A2907" s="33" t="s">
        <v>12257</v>
      </c>
      <c r="B2907" s="122">
        <v>46099.0</v>
      </c>
      <c r="C2907" s="240"/>
      <c r="D2907" s="240"/>
      <c r="E2907" s="240" t="s">
        <v>12258</v>
      </c>
      <c r="F2907" s="123" t="s">
        <v>12259</v>
      </c>
      <c r="G2907" s="241" t="s">
        <v>127</v>
      </c>
      <c r="H2907" s="123">
        <v>4400.0</v>
      </c>
      <c r="I2907" s="33">
        <v>2.2346259149E10</v>
      </c>
      <c r="J2907" s="31" t="s">
        <v>12260</v>
      </c>
      <c r="K2907" s="242">
        <v>1.0</v>
      </c>
      <c r="L2907" s="124">
        <v>3.874128414E9</v>
      </c>
    </row>
    <row r="2908">
      <c r="A2908" s="33" t="s">
        <v>12257</v>
      </c>
      <c r="B2908" s="122">
        <v>46099.0</v>
      </c>
      <c r="C2908" s="240"/>
      <c r="D2908" s="240"/>
      <c r="E2908" s="240" t="s">
        <v>12258</v>
      </c>
      <c r="F2908" s="123" t="s">
        <v>12259</v>
      </c>
      <c r="G2908" s="242" t="s">
        <v>127</v>
      </c>
      <c r="H2908" s="123">
        <v>4400.0</v>
      </c>
      <c r="I2908" s="33" t="s">
        <v>4899</v>
      </c>
      <c r="J2908" s="31" t="s">
        <v>4900</v>
      </c>
      <c r="K2908" s="242">
        <v>1.0</v>
      </c>
      <c r="L2908" s="124">
        <v>3.874128414E9</v>
      </c>
    </row>
    <row r="2909">
      <c r="A2909" s="33" t="s">
        <v>12261</v>
      </c>
      <c r="B2909" s="122">
        <v>46099.0</v>
      </c>
      <c r="C2909" s="240"/>
      <c r="D2909" s="240"/>
      <c r="E2909" s="240" t="s">
        <v>12258</v>
      </c>
      <c r="F2909" s="123" t="s">
        <v>12259</v>
      </c>
      <c r="G2909" s="242" t="s">
        <v>127</v>
      </c>
      <c r="H2909" s="123">
        <v>4400.0</v>
      </c>
      <c r="I2909" s="33" t="s">
        <v>645</v>
      </c>
      <c r="J2909" s="31" t="s">
        <v>3253</v>
      </c>
      <c r="K2909" s="242">
        <v>2.0</v>
      </c>
      <c r="L2909" s="124">
        <v>3.874128414E9</v>
      </c>
    </row>
    <row r="2910">
      <c r="A2910" s="33" t="s">
        <v>12262</v>
      </c>
      <c r="B2910" s="122">
        <v>46100.0</v>
      </c>
      <c r="C2910" s="103">
        <v>8.07000035454E11</v>
      </c>
      <c r="D2910" s="103" t="s">
        <v>12263</v>
      </c>
      <c r="E2910" s="103" t="s">
        <v>12264</v>
      </c>
      <c r="F2910" s="123" t="s">
        <v>12265</v>
      </c>
      <c r="G2910" s="242" t="s">
        <v>127</v>
      </c>
      <c r="H2910" s="123">
        <v>4400.0</v>
      </c>
      <c r="I2910" s="211">
        <v>208501.0</v>
      </c>
      <c r="J2910" s="103" t="s">
        <v>481</v>
      </c>
      <c r="K2910" s="241">
        <v>2.0</v>
      </c>
      <c r="L2910" s="124">
        <v>3.8755641574E10</v>
      </c>
    </row>
    <row r="2911">
      <c r="A2911" s="33" t="s">
        <v>12262</v>
      </c>
      <c r="B2911" s="122">
        <v>46100.0</v>
      </c>
      <c r="C2911" s="240">
        <v>8.07000035454E11</v>
      </c>
      <c r="D2911" s="240" t="s">
        <v>12263</v>
      </c>
      <c r="E2911" s="240" t="s">
        <v>12264</v>
      </c>
      <c r="F2911" s="123" t="s">
        <v>12265</v>
      </c>
      <c r="G2911" s="241" t="s">
        <v>127</v>
      </c>
      <c r="H2911" s="123">
        <v>4400.0</v>
      </c>
      <c r="I2911" s="224" t="s">
        <v>512</v>
      </c>
      <c r="J2911" s="240" t="s">
        <v>513</v>
      </c>
      <c r="K2911" s="242">
        <v>12.0</v>
      </c>
      <c r="L2911" s="124">
        <v>3.8755641574E10</v>
      </c>
    </row>
    <row r="2912">
      <c r="A2912" s="33" t="s">
        <v>12262</v>
      </c>
      <c r="B2912" s="122">
        <v>46100.0</v>
      </c>
      <c r="C2912" s="103">
        <v>8.07000035455E11</v>
      </c>
      <c r="D2912" s="103" t="s">
        <v>12263</v>
      </c>
      <c r="E2912" s="103" t="s">
        <v>12264</v>
      </c>
      <c r="F2912" s="123" t="s">
        <v>12265</v>
      </c>
      <c r="G2912" s="242" t="s">
        <v>127</v>
      </c>
      <c r="H2912" s="123">
        <v>4400.0</v>
      </c>
      <c r="I2912" s="211" t="s">
        <v>8532</v>
      </c>
      <c r="J2912" s="103" t="s">
        <v>8533</v>
      </c>
      <c r="K2912" s="241">
        <v>2.0</v>
      </c>
      <c r="L2912" s="124">
        <v>3.8755641574E10</v>
      </c>
    </row>
    <row r="2913">
      <c r="A2913" s="33" t="s">
        <v>12262</v>
      </c>
      <c r="B2913" s="122">
        <v>46100.0</v>
      </c>
      <c r="C2913" s="240">
        <v>8.07000035455E11</v>
      </c>
      <c r="D2913" s="240" t="s">
        <v>12263</v>
      </c>
      <c r="E2913" s="240" t="s">
        <v>12264</v>
      </c>
      <c r="F2913" s="123" t="s">
        <v>12265</v>
      </c>
      <c r="G2913" s="242" t="s">
        <v>127</v>
      </c>
      <c r="H2913" s="123">
        <v>4400.0</v>
      </c>
      <c r="I2913" s="224" t="s">
        <v>1749</v>
      </c>
      <c r="J2913" s="240" t="s">
        <v>3240</v>
      </c>
      <c r="K2913" s="242">
        <v>2.0</v>
      </c>
      <c r="L2913" s="124">
        <v>3.8755641574E10</v>
      </c>
    </row>
    <row r="2914">
      <c r="A2914" s="33" t="s">
        <v>12266</v>
      </c>
      <c r="B2914" s="122">
        <v>46100.0</v>
      </c>
      <c r="C2914" s="103">
        <v>8.07000035456E11</v>
      </c>
      <c r="D2914" s="103" t="s">
        <v>12267</v>
      </c>
      <c r="E2914" s="103" t="s">
        <v>12268</v>
      </c>
      <c r="F2914" s="123" t="s">
        <v>12269</v>
      </c>
      <c r="G2914" s="123" t="s">
        <v>11689</v>
      </c>
      <c r="H2914" s="123">
        <v>4407.0</v>
      </c>
      <c r="I2914" s="211" t="s">
        <v>22</v>
      </c>
      <c r="J2914" s="103" t="s">
        <v>4013</v>
      </c>
      <c r="K2914" s="241">
        <v>1.0</v>
      </c>
      <c r="L2914" s="124">
        <v>3.874123144E9</v>
      </c>
    </row>
    <row r="2915">
      <c r="A2915" s="33" t="s">
        <v>12266</v>
      </c>
      <c r="B2915" s="122">
        <v>46100.0</v>
      </c>
      <c r="C2915" s="240">
        <v>8.07000035456E11</v>
      </c>
      <c r="D2915" s="240" t="s">
        <v>12267</v>
      </c>
      <c r="E2915" s="240" t="s">
        <v>12268</v>
      </c>
      <c r="F2915" s="123" t="s">
        <v>12269</v>
      </c>
      <c r="G2915" s="123" t="s">
        <v>11689</v>
      </c>
      <c r="H2915" s="123">
        <v>4407.0</v>
      </c>
      <c r="I2915" s="224" t="s">
        <v>512</v>
      </c>
      <c r="J2915" s="240" t="s">
        <v>513</v>
      </c>
      <c r="K2915" s="242">
        <v>6.0</v>
      </c>
      <c r="L2915" s="124">
        <v>3.874123144E9</v>
      </c>
    </row>
    <row r="2916">
      <c r="A2916" s="33" t="s">
        <v>12266</v>
      </c>
      <c r="B2916" s="122">
        <v>46100.0</v>
      </c>
      <c r="C2916" s="103">
        <v>8.07000035456E11</v>
      </c>
      <c r="D2916" s="103" t="s">
        <v>12267</v>
      </c>
      <c r="E2916" s="103" t="s">
        <v>12268</v>
      </c>
      <c r="F2916" s="123" t="s">
        <v>12269</v>
      </c>
      <c r="G2916" s="123" t="s">
        <v>11689</v>
      </c>
      <c r="H2916" s="123">
        <v>4407.0</v>
      </c>
      <c r="I2916" s="211" t="s">
        <v>25</v>
      </c>
      <c r="J2916" s="103" t="s">
        <v>3401</v>
      </c>
      <c r="K2916" s="241">
        <v>1.0</v>
      </c>
      <c r="L2916" s="124">
        <v>3.874123144E9</v>
      </c>
    </row>
    <row r="2917">
      <c r="A2917" s="33" t="s">
        <v>12270</v>
      </c>
      <c r="B2917" s="122">
        <v>46100.0</v>
      </c>
      <c r="C2917" s="103">
        <v>8.07000035432E11</v>
      </c>
      <c r="D2917" s="103" t="s">
        <v>12271</v>
      </c>
      <c r="E2917" s="103" t="s">
        <v>12272</v>
      </c>
      <c r="F2917" s="123" t="s">
        <v>12273</v>
      </c>
      <c r="G2917" s="242" t="s">
        <v>127</v>
      </c>
      <c r="H2917" s="123">
        <v>4400.0</v>
      </c>
      <c r="I2917" s="211">
        <v>125814.0</v>
      </c>
      <c r="J2917" s="103" t="s">
        <v>9798</v>
      </c>
      <c r="K2917" s="241">
        <v>2.0</v>
      </c>
      <c r="L2917" s="124">
        <v>3.874588016E9</v>
      </c>
    </row>
    <row r="2918">
      <c r="A2918" s="33" t="s">
        <v>12270</v>
      </c>
      <c r="B2918" s="122">
        <v>46100.0</v>
      </c>
      <c r="C2918" s="240">
        <v>8.07000035433E11</v>
      </c>
      <c r="D2918" s="240" t="s">
        <v>12271</v>
      </c>
      <c r="E2918" s="240" t="s">
        <v>12272</v>
      </c>
      <c r="F2918" s="123" t="s">
        <v>12273</v>
      </c>
      <c r="G2918" s="241" t="s">
        <v>127</v>
      </c>
      <c r="H2918" s="123">
        <v>4400.0</v>
      </c>
      <c r="I2918" s="224" t="s">
        <v>512</v>
      </c>
      <c r="J2918" s="240" t="s">
        <v>513</v>
      </c>
      <c r="K2918" s="242">
        <v>12.0</v>
      </c>
      <c r="L2918" s="124">
        <v>3.874588016E9</v>
      </c>
    </row>
    <row r="2919">
      <c r="A2919" s="33" t="s">
        <v>12270</v>
      </c>
      <c r="B2919" s="122">
        <v>46100.0</v>
      </c>
      <c r="C2919" s="103">
        <v>8.07000035434E11</v>
      </c>
      <c r="D2919" s="103" t="s">
        <v>12271</v>
      </c>
      <c r="E2919" s="103" t="s">
        <v>12272</v>
      </c>
      <c r="F2919" s="123" t="s">
        <v>12273</v>
      </c>
      <c r="G2919" s="242" t="s">
        <v>127</v>
      </c>
      <c r="H2919" s="123">
        <v>4400.0</v>
      </c>
      <c r="I2919" s="211" t="s">
        <v>7839</v>
      </c>
      <c r="J2919" s="103" t="s">
        <v>7840</v>
      </c>
      <c r="K2919" s="241">
        <v>1.0</v>
      </c>
      <c r="L2919" s="124">
        <v>3.874588016E9</v>
      </c>
    </row>
    <row r="2920">
      <c r="A2920" s="33" t="s">
        <v>12270</v>
      </c>
      <c r="B2920" s="122">
        <v>46100.0</v>
      </c>
      <c r="C2920" s="240">
        <v>8.07000035435E11</v>
      </c>
      <c r="D2920" s="240" t="s">
        <v>12271</v>
      </c>
      <c r="E2920" s="240" t="s">
        <v>12272</v>
      </c>
      <c r="F2920" s="123" t="s">
        <v>12273</v>
      </c>
      <c r="G2920" s="242" t="s">
        <v>127</v>
      </c>
      <c r="H2920" s="123">
        <v>4400.0</v>
      </c>
      <c r="I2920" s="224" t="s">
        <v>340</v>
      </c>
      <c r="J2920" s="240" t="s">
        <v>3486</v>
      </c>
      <c r="K2920" s="242">
        <v>2.0</v>
      </c>
      <c r="L2920" s="124">
        <v>3.874588016E9</v>
      </c>
    </row>
    <row r="2921">
      <c r="A2921" s="33" t="s">
        <v>12274</v>
      </c>
      <c r="B2921" s="122">
        <v>46101.0</v>
      </c>
      <c r="C2921" s="240">
        <v>8.07000035457E11</v>
      </c>
      <c r="D2921" s="240" t="s">
        <v>12275</v>
      </c>
      <c r="E2921" s="240" t="s">
        <v>12276</v>
      </c>
      <c r="F2921" s="123" t="s">
        <v>12277</v>
      </c>
      <c r="G2921" s="242" t="s">
        <v>127</v>
      </c>
      <c r="H2921" s="123">
        <v>4400.0</v>
      </c>
      <c r="I2921" s="224" t="s">
        <v>867</v>
      </c>
      <c r="J2921" s="240" t="s">
        <v>9669</v>
      </c>
      <c r="K2921" s="242">
        <v>2.0</v>
      </c>
      <c r="L2921" s="124">
        <v>3.87843769E9</v>
      </c>
    </row>
    <row r="2922">
      <c r="A2922" s="33" t="s">
        <v>12274</v>
      </c>
      <c r="B2922" s="122">
        <v>46101.0</v>
      </c>
      <c r="C2922" s="103">
        <v>8.07000035457E11</v>
      </c>
      <c r="D2922" s="103" t="s">
        <v>12275</v>
      </c>
      <c r="E2922" s="103" t="s">
        <v>12276</v>
      </c>
      <c r="F2922" s="123" t="s">
        <v>12277</v>
      </c>
      <c r="G2922" s="242" t="s">
        <v>127</v>
      </c>
      <c r="H2922" s="123">
        <v>4400.0</v>
      </c>
      <c r="I2922" s="211" t="s">
        <v>1408</v>
      </c>
      <c r="J2922" s="103" t="s">
        <v>7680</v>
      </c>
      <c r="K2922" s="241">
        <v>1.0</v>
      </c>
      <c r="L2922" s="124">
        <v>3.87843769E9</v>
      </c>
    </row>
    <row r="2923">
      <c r="A2923" s="33" t="s">
        <v>12278</v>
      </c>
      <c r="B2923" s="122">
        <v>46101.0</v>
      </c>
      <c r="C2923" s="103">
        <v>8.07000035459E11</v>
      </c>
      <c r="D2923" s="103" t="s">
        <v>12279</v>
      </c>
      <c r="E2923" s="103" t="s">
        <v>12280</v>
      </c>
      <c r="F2923" s="123" t="s">
        <v>12281</v>
      </c>
      <c r="G2923" s="241" t="s">
        <v>127</v>
      </c>
      <c r="H2923" s="123">
        <v>4400.0</v>
      </c>
      <c r="I2923" s="211" t="s">
        <v>3285</v>
      </c>
      <c r="J2923" s="103" t="s">
        <v>3286</v>
      </c>
      <c r="K2923" s="241">
        <v>1.0</v>
      </c>
      <c r="L2923" s="124">
        <v>1.122871635E9</v>
      </c>
    </row>
    <row r="2924">
      <c r="A2924" s="33" t="s">
        <v>12278</v>
      </c>
      <c r="B2924" s="122">
        <v>46101.0</v>
      </c>
      <c r="C2924" s="240">
        <v>8.07000035459E11</v>
      </c>
      <c r="D2924" s="240" t="s">
        <v>12279</v>
      </c>
      <c r="E2924" s="240" t="s">
        <v>12280</v>
      </c>
      <c r="F2924" s="123" t="s">
        <v>12281</v>
      </c>
      <c r="G2924" s="242" t="s">
        <v>127</v>
      </c>
      <c r="H2924" s="123">
        <v>4400.0</v>
      </c>
      <c r="I2924" s="224" t="s">
        <v>512</v>
      </c>
      <c r="J2924" s="240" t="s">
        <v>513</v>
      </c>
      <c r="K2924" s="242">
        <v>6.0</v>
      </c>
      <c r="L2924" s="124">
        <v>1.122871635E9</v>
      </c>
    </row>
    <row r="2925">
      <c r="A2925" s="33" t="s">
        <v>12278</v>
      </c>
      <c r="B2925" s="122">
        <v>46101.0</v>
      </c>
      <c r="C2925" s="103">
        <v>8.07000035459E11</v>
      </c>
      <c r="D2925" s="103" t="s">
        <v>12279</v>
      </c>
      <c r="E2925" s="103" t="s">
        <v>12280</v>
      </c>
      <c r="F2925" s="123" t="s">
        <v>12281</v>
      </c>
      <c r="G2925" s="242" t="s">
        <v>127</v>
      </c>
      <c r="H2925" s="123">
        <v>4400.0</v>
      </c>
      <c r="I2925" s="211" t="s">
        <v>670</v>
      </c>
      <c r="J2925" s="103" t="s">
        <v>3410</v>
      </c>
      <c r="K2925" s="241">
        <v>1.0</v>
      </c>
      <c r="L2925" s="124">
        <v>1.122871635E9</v>
      </c>
    </row>
    <row r="2926">
      <c r="A2926" s="33" t="s">
        <v>12282</v>
      </c>
      <c r="B2926" s="122">
        <v>46101.0</v>
      </c>
      <c r="C2926" s="240">
        <v>8.0700003546E11</v>
      </c>
      <c r="D2926" s="240" t="s">
        <v>12279</v>
      </c>
      <c r="E2926" s="240" t="s">
        <v>12280</v>
      </c>
      <c r="F2926" s="123" t="s">
        <v>12281</v>
      </c>
      <c r="G2926" s="242" t="s">
        <v>127</v>
      </c>
      <c r="H2926" s="123">
        <v>4400.0</v>
      </c>
      <c r="I2926" s="224">
        <v>125813.0</v>
      </c>
      <c r="J2926" s="240" t="s">
        <v>5703</v>
      </c>
      <c r="K2926" s="242">
        <v>2.0</v>
      </c>
      <c r="L2926" s="124">
        <v>1.122871635E9</v>
      </c>
    </row>
    <row r="2927">
      <c r="A2927" s="33" t="s">
        <v>12283</v>
      </c>
      <c r="B2927" s="122">
        <v>46101.0</v>
      </c>
      <c r="C2927" s="103">
        <v>8.07000035278E11</v>
      </c>
      <c r="D2927" s="103" t="s">
        <v>12284</v>
      </c>
      <c r="E2927" s="103" t="s">
        <v>12285</v>
      </c>
      <c r="F2927" s="123" t="s">
        <v>12286</v>
      </c>
      <c r="G2927" s="242" t="s">
        <v>127</v>
      </c>
      <c r="H2927" s="123">
        <v>4400.0</v>
      </c>
      <c r="I2927" s="211" t="s">
        <v>2233</v>
      </c>
      <c r="J2927" s="103" t="s">
        <v>4158</v>
      </c>
      <c r="K2927" s="241">
        <v>1.0</v>
      </c>
      <c r="L2927" s="124">
        <v>3.875815096E9</v>
      </c>
    </row>
    <row r="2928">
      <c r="A2928" s="33" t="s">
        <v>12287</v>
      </c>
      <c r="B2928" s="122">
        <v>46102.0</v>
      </c>
      <c r="C2928" s="240">
        <v>8.07000035465E11</v>
      </c>
      <c r="D2928" s="240" t="s">
        <v>12288</v>
      </c>
      <c r="E2928" s="240" t="s">
        <v>12289</v>
      </c>
      <c r="F2928" s="123" t="s">
        <v>12290</v>
      </c>
      <c r="G2928" s="242" t="s">
        <v>127</v>
      </c>
      <c r="H2928" s="123">
        <v>4400.0</v>
      </c>
      <c r="I2928" s="224" t="s">
        <v>12291</v>
      </c>
      <c r="J2928" s="224" t="s">
        <v>12292</v>
      </c>
      <c r="K2928" s="242">
        <v>2.0</v>
      </c>
      <c r="L2928" s="124">
        <v>3.875820004E9</v>
      </c>
    </row>
    <row r="2929">
      <c r="A2929" s="33" t="s">
        <v>12287</v>
      </c>
      <c r="B2929" s="122">
        <v>46102.0</v>
      </c>
      <c r="C2929" s="240">
        <v>8.07000035465E11</v>
      </c>
      <c r="D2929" s="240" t="s">
        <v>12288</v>
      </c>
      <c r="E2929" s="240" t="s">
        <v>12289</v>
      </c>
      <c r="F2929" s="123" t="s">
        <v>12290</v>
      </c>
      <c r="G2929" s="242" t="s">
        <v>127</v>
      </c>
      <c r="H2929" s="123">
        <v>4400.0</v>
      </c>
      <c r="I2929" s="224" t="s">
        <v>512</v>
      </c>
      <c r="J2929" s="240" t="s">
        <v>513</v>
      </c>
      <c r="K2929" s="242">
        <v>12.0</v>
      </c>
      <c r="L2929" s="124">
        <v>3.875820004E9</v>
      </c>
    </row>
    <row r="2930">
      <c r="A2930" s="33" t="s">
        <v>12287</v>
      </c>
      <c r="B2930" s="122">
        <v>46102.0</v>
      </c>
      <c r="C2930" s="240">
        <v>8.07000035465E11</v>
      </c>
      <c r="D2930" s="240" t="s">
        <v>12288</v>
      </c>
      <c r="E2930" s="240" t="s">
        <v>12289</v>
      </c>
      <c r="F2930" s="123" t="s">
        <v>12290</v>
      </c>
      <c r="G2930" s="242" t="s">
        <v>127</v>
      </c>
      <c r="H2930" s="123">
        <v>4400.0</v>
      </c>
      <c r="I2930" s="224" t="s">
        <v>4543</v>
      </c>
      <c r="J2930" s="224" t="s">
        <v>12293</v>
      </c>
      <c r="K2930" s="242">
        <v>1.0</v>
      </c>
      <c r="L2930" s="124">
        <v>3.875820004E9</v>
      </c>
    </row>
    <row r="2931">
      <c r="A2931" s="33" t="s">
        <v>12294</v>
      </c>
      <c r="B2931" s="122">
        <v>46102.0</v>
      </c>
      <c r="C2931" s="240">
        <v>8.07000035466E11</v>
      </c>
      <c r="D2931" s="240" t="s">
        <v>1303</v>
      </c>
      <c r="E2931" s="240" t="s">
        <v>12295</v>
      </c>
      <c r="F2931" s="123" t="s">
        <v>12296</v>
      </c>
      <c r="G2931" s="242" t="s">
        <v>127</v>
      </c>
      <c r="H2931" s="123">
        <v>4400.0</v>
      </c>
      <c r="I2931" s="224" t="s">
        <v>1115</v>
      </c>
      <c r="J2931" s="240" t="s">
        <v>8215</v>
      </c>
      <c r="K2931" s="242">
        <v>1.0</v>
      </c>
      <c r="L2931" s="124">
        <v>3.875056145E9</v>
      </c>
    </row>
    <row r="2932">
      <c r="A2932" s="100"/>
      <c r="B2932" s="230"/>
      <c r="C2932" s="251"/>
      <c r="D2932" s="251"/>
      <c r="E2932" s="251"/>
      <c r="F2932" s="231"/>
      <c r="G2932" s="253"/>
      <c r="H2932" s="231"/>
      <c r="I2932" s="252"/>
      <c r="J2932" s="251"/>
      <c r="K2932" s="253"/>
      <c r="L2932" s="232"/>
    </row>
    <row r="2933">
      <c r="A2933" s="33" t="s">
        <v>12297</v>
      </c>
      <c r="B2933" s="122">
        <v>46104.0</v>
      </c>
      <c r="C2933" s="240">
        <v>8.07000035468E11</v>
      </c>
      <c r="D2933" s="240" t="s">
        <v>12298</v>
      </c>
      <c r="E2933" s="240" t="s">
        <v>12299</v>
      </c>
      <c r="F2933" s="123" t="s">
        <v>12300</v>
      </c>
      <c r="G2933" s="242" t="s">
        <v>127</v>
      </c>
      <c r="H2933" s="123">
        <v>4400.0</v>
      </c>
      <c r="I2933" s="224" t="s">
        <v>32</v>
      </c>
      <c r="J2933" s="240" t="s">
        <v>3225</v>
      </c>
      <c r="K2933" s="242">
        <v>1.0</v>
      </c>
      <c r="L2933" s="124">
        <v>3.874205725E9</v>
      </c>
    </row>
    <row r="2934">
      <c r="A2934" s="33" t="s">
        <v>12301</v>
      </c>
      <c r="B2934" s="122">
        <v>46104.0</v>
      </c>
      <c r="C2934" s="240">
        <v>8.05011572723E11</v>
      </c>
      <c r="D2934" s="240" t="s">
        <v>12302</v>
      </c>
      <c r="E2934" s="240" t="s">
        <v>12303</v>
      </c>
      <c r="F2934" s="123" t="s">
        <v>12304</v>
      </c>
      <c r="G2934" s="242" t="s">
        <v>127</v>
      </c>
      <c r="H2934" s="123">
        <v>4400.0</v>
      </c>
      <c r="I2934" s="224" t="s">
        <v>3641</v>
      </c>
      <c r="J2934" s="240" t="s">
        <v>3642</v>
      </c>
      <c r="K2934" s="242">
        <v>1.0</v>
      </c>
      <c r="L2934" s="124">
        <v>3.874649377E9</v>
      </c>
    </row>
    <row r="2935">
      <c r="A2935" s="33" t="s">
        <v>12301</v>
      </c>
      <c r="B2935" s="122">
        <v>46104.0</v>
      </c>
      <c r="C2935" s="103">
        <v>8.05011572723E11</v>
      </c>
      <c r="D2935" s="103" t="s">
        <v>12302</v>
      </c>
      <c r="E2935" s="103" t="s">
        <v>12303</v>
      </c>
      <c r="F2935" s="123" t="s">
        <v>12304</v>
      </c>
      <c r="G2935" s="242" t="s">
        <v>127</v>
      </c>
      <c r="H2935" s="123">
        <v>4400.0</v>
      </c>
      <c r="I2935" s="211" t="s">
        <v>512</v>
      </c>
      <c r="J2935" s="103" t="s">
        <v>513</v>
      </c>
      <c r="K2935" s="241">
        <v>6.0</v>
      </c>
      <c r="L2935" s="124">
        <v>3.874649377E9</v>
      </c>
    </row>
    <row r="2936">
      <c r="A2936" s="33" t="s">
        <v>12301</v>
      </c>
      <c r="B2936" s="122">
        <v>46104.0</v>
      </c>
      <c r="C2936" s="240">
        <v>8.05011572723E11</v>
      </c>
      <c r="D2936" s="240" t="s">
        <v>12302</v>
      </c>
      <c r="E2936" s="240" t="s">
        <v>12303</v>
      </c>
      <c r="F2936" s="123" t="s">
        <v>12304</v>
      </c>
      <c r="G2936" s="242" t="s">
        <v>127</v>
      </c>
      <c r="H2936" s="123">
        <v>4400.0</v>
      </c>
      <c r="I2936" s="224" t="s">
        <v>1345</v>
      </c>
      <c r="J2936" s="240" t="s">
        <v>3639</v>
      </c>
      <c r="K2936" s="242">
        <v>1.0</v>
      </c>
      <c r="L2936" s="124">
        <v>3.874649377E9</v>
      </c>
    </row>
    <row r="2937">
      <c r="A2937" s="33" t="s">
        <v>12305</v>
      </c>
      <c r="B2937" s="122">
        <v>46104.0</v>
      </c>
      <c r="C2937" s="103">
        <v>8.07000035475E11</v>
      </c>
      <c r="D2937" s="103" t="s">
        <v>12306</v>
      </c>
      <c r="E2937" s="103" t="s">
        <v>12307</v>
      </c>
      <c r="F2937" s="123" t="s">
        <v>12308</v>
      </c>
      <c r="G2937" s="242" t="s">
        <v>127</v>
      </c>
      <c r="H2937" s="123">
        <v>4400.0</v>
      </c>
      <c r="I2937" s="211" t="s">
        <v>3154</v>
      </c>
      <c r="J2937" s="103" t="s">
        <v>4564</v>
      </c>
      <c r="K2937" s="241">
        <v>2.0</v>
      </c>
      <c r="L2937" s="124">
        <v>3.875284027E9</v>
      </c>
    </row>
    <row r="2938">
      <c r="A2938" s="33" t="s">
        <v>12309</v>
      </c>
      <c r="B2938" s="122">
        <v>46105.0</v>
      </c>
      <c r="C2938" s="103">
        <v>8.07000035493E11</v>
      </c>
      <c r="D2938" s="240" t="s">
        <v>12310</v>
      </c>
      <c r="E2938" s="240" t="s">
        <v>12311</v>
      </c>
      <c r="F2938" s="123" t="s">
        <v>12312</v>
      </c>
      <c r="G2938" s="242" t="s">
        <v>127</v>
      </c>
      <c r="H2938" s="123">
        <v>4400.0</v>
      </c>
      <c r="I2938" s="224" t="s">
        <v>2372</v>
      </c>
      <c r="J2938" s="240" t="s">
        <v>8140</v>
      </c>
      <c r="K2938" s="242">
        <v>1.0</v>
      </c>
      <c r="L2938" s="124">
        <v>3.8750725E8</v>
      </c>
    </row>
    <row r="2939">
      <c r="A2939" s="33" t="s">
        <v>12309</v>
      </c>
      <c r="B2939" s="122">
        <v>46105.0</v>
      </c>
      <c r="C2939" s="103">
        <v>8.07000035493E11</v>
      </c>
      <c r="D2939" s="240" t="s">
        <v>12310</v>
      </c>
      <c r="E2939" s="240" t="s">
        <v>12311</v>
      </c>
      <c r="F2939" s="123" t="s">
        <v>12312</v>
      </c>
      <c r="G2939" s="242" t="s">
        <v>127</v>
      </c>
      <c r="H2939" s="123">
        <v>4400.0</v>
      </c>
      <c r="I2939" s="224">
        <v>208501.0</v>
      </c>
      <c r="J2939" s="224" t="s">
        <v>12313</v>
      </c>
      <c r="K2939" s="242">
        <v>2.0</v>
      </c>
      <c r="L2939" s="124">
        <v>3.8750725E8</v>
      </c>
    </row>
    <row r="2940">
      <c r="A2940" s="33" t="s">
        <v>12314</v>
      </c>
      <c r="B2940" s="122">
        <v>46105.0</v>
      </c>
      <c r="C2940" s="103">
        <v>8.07000035492E11</v>
      </c>
      <c r="D2940" s="240" t="s">
        <v>12315</v>
      </c>
      <c r="E2940" s="240" t="s">
        <v>12316</v>
      </c>
      <c r="F2940" s="123" t="s">
        <v>12317</v>
      </c>
      <c r="G2940" s="123" t="s">
        <v>12318</v>
      </c>
      <c r="H2940" s="123">
        <v>4400.0</v>
      </c>
      <c r="I2940" s="33" t="s">
        <v>3641</v>
      </c>
      <c r="J2940" s="31" t="s">
        <v>3642</v>
      </c>
      <c r="K2940" s="242">
        <v>1.0</v>
      </c>
      <c r="L2940" s="124">
        <v>3.87479065E9</v>
      </c>
    </row>
    <row r="2941">
      <c r="A2941" s="33" t="s">
        <v>12314</v>
      </c>
      <c r="B2941" s="122">
        <v>46105.0</v>
      </c>
      <c r="C2941" s="103">
        <v>8.07000035492E11</v>
      </c>
      <c r="D2941" s="240" t="s">
        <v>12315</v>
      </c>
      <c r="E2941" s="240" t="s">
        <v>12316</v>
      </c>
      <c r="F2941" s="123" t="s">
        <v>12317</v>
      </c>
      <c r="G2941" s="123" t="s">
        <v>12318</v>
      </c>
      <c r="H2941" s="123">
        <v>4400.0</v>
      </c>
      <c r="I2941" s="33" t="s">
        <v>512</v>
      </c>
      <c r="J2941" s="31" t="s">
        <v>513</v>
      </c>
      <c r="K2941" s="242">
        <v>6.0</v>
      </c>
      <c r="L2941" s="124">
        <v>3.87479065E9</v>
      </c>
    </row>
    <row r="2942">
      <c r="A2942" s="33" t="s">
        <v>12314</v>
      </c>
      <c r="B2942" s="122">
        <v>46105.0</v>
      </c>
      <c r="C2942" s="103">
        <v>8.07000035492E11</v>
      </c>
      <c r="D2942" s="240" t="s">
        <v>12315</v>
      </c>
      <c r="E2942" s="240" t="s">
        <v>12316</v>
      </c>
      <c r="F2942" s="123" t="s">
        <v>12317</v>
      </c>
      <c r="G2942" s="123" t="s">
        <v>12318</v>
      </c>
      <c r="H2942" s="123">
        <v>4400.0</v>
      </c>
      <c r="I2942" s="33" t="s">
        <v>1345</v>
      </c>
      <c r="J2942" s="31" t="s">
        <v>3639</v>
      </c>
      <c r="K2942" s="242">
        <v>1.0</v>
      </c>
      <c r="L2942" s="124">
        <v>3.87479065E9</v>
      </c>
    </row>
    <row r="2943">
      <c r="A2943" s="33" t="s">
        <v>12319</v>
      </c>
      <c r="B2943" s="122">
        <v>46105.0</v>
      </c>
      <c r="C2943" s="103">
        <v>8.07000035486E11</v>
      </c>
      <c r="D2943" s="240" t="s">
        <v>12320</v>
      </c>
      <c r="E2943" s="240" t="s">
        <v>12321</v>
      </c>
      <c r="F2943" s="123" t="s">
        <v>12322</v>
      </c>
      <c r="G2943" s="242" t="s">
        <v>127</v>
      </c>
      <c r="H2943" s="123">
        <v>4400.0</v>
      </c>
      <c r="I2943" s="33" t="s">
        <v>6548</v>
      </c>
      <c r="J2943" s="31" t="s">
        <v>6549</v>
      </c>
      <c r="K2943" s="242">
        <v>1.0</v>
      </c>
      <c r="L2943" s="124">
        <v>3.874408475E9</v>
      </c>
    </row>
    <row r="2944">
      <c r="A2944" s="33" t="s">
        <v>12319</v>
      </c>
      <c r="B2944" s="122">
        <v>46105.0</v>
      </c>
      <c r="C2944" s="103">
        <v>8.07000035486E11</v>
      </c>
      <c r="D2944" s="240" t="s">
        <v>12320</v>
      </c>
      <c r="E2944" s="240" t="s">
        <v>12321</v>
      </c>
      <c r="F2944" s="123" t="s">
        <v>12322</v>
      </c>
      <c r="G2944" s="242" t="s">
        <v>127</v>
      </c>
      <c r="H2944" s="123">
        <v>4400.0</v>
      </c>
      <c r="I2944" s="33" t="s">
        <v>3218</v>
      </c>
      <c r="J2944" s="31" t="s">
        <v>3219</v>
      </c>
      <c r="K2944" s="242">
        <v>1.0</v>
      </c>
      <c r="L2944" s="124">
        <v>3.874408475E9</v>
      </c>
    </row>
    <row r="2945">
      <c r="A2945" s="33" t="s">
        <v>12319</v>
      </c>
      <c r="B2945" s="122">
        <v>46105.0</v>
      </c>
      <c r="C2945" s="103">
        <v>8.07000035486E11</v>
      </c>
      <c r="D2945" s="240" t="s">
        <v>12320</v>
      </c>
      <c r="E2945" s="240" t="s">
        <v>12321</v>
      </c>
      <c r="F2945" s="123" t="s">
        <v>12322</v>
      </c>
      <c r="G2945" s="242" t="s">
        <v>127</v>
      </c>
      <c r="H2945" s="123">
        <v>4400.0</v>
      </c>
      <c r="I2945" s="33" t="s">
        <v>12323</v>
      </c>
      <c r="J2945" s="31" t="s">
        <v>12324</v>
      </c>
      <c r="K2945" s="242">
        <v>2.0</v>
      </c>
      <c r="L2945" s="124">
        <v>3.874408475E9</v>
      </c>
    </row>
    <row r="2946">
      <c r="A2946" s="33" t="s">
        <v>12325</v>
      </c>
      <c r="B2946" s="122">
        <v>46105.0</v>
      </c>
      <c r="C2946" s="103">
        <v>8.07000035494E11</v>
      </c>
      <c r="D2946" s="240" t="s">
        <v>12326</v>
      </c>
      <c r="E2946" s="240" t="s">
        <v>12327</v>
      </c>
      <c r="F2946" s="123" t="s">
        <v>12328</v>
      </c>
      <c r="G2946" s="242" t="s">
        <v>127</v>
      </c>
      <c r="H2946" s="123">
        <v>4400.0</v>
      </c>
      <c r="I2946" s="33" t="s">
        <v>1241</v>
      </c>
      <c r="J2946" s="31" t="s">
        <v>3500</v>
      </c>
      <c r="K2946" s="242">
        <v>1.0</v>
      </c>
      <c r="L2946" s="124">
        <v>3.872262646E9</v>
      </c>
    </row>
    <row r="2947">
      <c r="A2947" s="33" t="s">
        <v>12325</v>
      </c>
      <c r="B2947" s="122">
        <v>46105.0</v>
      </c>
      <c r="C2947" s="103">
        <v>8.07000035494E11</v>
      </c>
      <c r="D2947" s="240" t="s">
        <v>12326</v>
      </c>
      <c r="E2947" s="240" t="s">
        <v>12327</v>
      </c>
      <c r="F2947" s="123" t="s">
        <v>12328</v>
      </c>
      <c r="G2947" s="242" t="s">
        <v>127</v>
      </c>
      <c r="H2947" s="123">
        <v>4400.0</v>
      </c>
      <c r="I2947" s="33">
        <v>125811.0</v>
      </c>
      <c r="J2947" s="33" t="s">
        <v>6073</v>
      </c>
      <c r="K2947" s="242">
        <v>4.0</v>
      </c>
      <c r="L2947" s="124">
        <v>3.872262646E9</v>
      </c>
    </row>
    <row r="2948">
      <c r="A2948" s="33" t="s">
        <v>12329</v>
      </c>
      <c r="B2948" s="122">
        <v>46105.0</v>
      </c>
      <c r="C2948" s="240">
        <v>8.07000035496E11</v>
      </c>
      <c r="D2948" s="240" t="s">
        <v>12330</v>
      </c>
      <c r="E2948" s="240" t="s">
        <v>12331</v>
      </c>
      <c r="F2948" s="123" t="s">
        <v>12332</v>
      </c>
      <c r="G2948" s="242" t="s">
        <v>127</v>
      </c>
      <c r="H2948" s="123">
        <v>4400.0</v>
      </c>
      <c r="I2948" s="224">
        <v>125820.0</v>
      </c>
      <c r="J2948" s="240" t="s">
        <v>10252</v>
      </c>
      <c r="K2948" s="242">
        <v>4.0</v>
      </c>
      <c r="L2948" s="124">
        <v>3.876054209E9</v>
      </c>
    </row>
    <row r="2949">
      <c r="A2949" s="33" t="s">
        <v>12329</v>
      </c>
      <c r="B2949" s="122">
        <v>46105.0</v>
      </c>
      <c r="C2949" s="103">
        <v>8.07000035496E11</v>
      </c>
      <c r="D2949" s="103" t="s">
        <v>12330</v>
      </c>
      <c r="E2949" s="103" t="s">
        <v>12331</v>
      </c>
      <c r="F2949" s="123" t="s">
        <v>12332</v>
      </c>
      <c r="G2949" s="242" t="s">
        <v>127</v>
      </c>
      <c r="H2949" s="123">
        <v>4400.0</v>
      </c>
      <c r="I2949" s="211" t="s">
        <v>512</v>
      </c>
      <c r="J2949" s="103" t="s">
        <v>513</v>
      </c>
      <c r="K2949" s="241">
        <v>12.0</v>
      </c>
      <c r="L2949" s="124">
        <v>3.876054209E9</v>
      </c>
    </row>
    <row r="2950">
      <c r="A2950" s="33" t="s">
        <v>12329</v>
      </c>
      <c r="B2950" s="122">
        <v>46105.0</v>
      </c>
      <c r="C2950" s="240">
        <v>8.07000035497E11</v>
      </c>
      <c r="D2950" s="240" t="s">
        <v>12330</v>
      </c>
      <c r="E2950" s="240" t="s">
        <v>12331</v>
      </c>
      <c r="F2950" s="123" t="s">
        <v>12332</v>
      </c>
      <c r="G2950" s="242" t="s">
        <v>127</v>
      </c>
      <c r="H2950" s="123">
        <v>4400.0</v>
      </c>
      <c r="I2950" s="224" t="s">
        <v>1766</v>
      </c>
      <c r="J2950" s="240" t="s">
        <v>8008</v>
      </c>
      <c r="K2950" s="242">
        <v>1.0</v>
      </c>
      <c r="L2950" s="124">
        <v>3.876054209E9</v>
      </c>
    </row>
    <row r="2951">
      <c r="A2951" s="33" t="s">
        <v>12329</v>
      </c>
      <c r="B2951" s="122">
        <v>46105.0</v>
      </c>
      <c r="C2951" s="103">
        <v>8.07000035497E11</v>
      </c>
      <c r="D2951" s="103" t="s">
        <v>12330</v>
      </c>
      <c r="E2951" s="103" t="s">
        <v>12331</v>
      </c>
      <c r="F2951" s="123" t="s">
        <v>12332</v>
      </c>
      <c r="G2951" s="242" t="s">
        <v>127</v>
      </c>
      <c r="H2951" s="123">
        <v>4400.0</v>
      </c>
      <c r="I2951" s="211" t="s">
        <v>233</v>
      </c>
      <c r="J2951" s="103" t="s">
        <v>3459</v>
      </c>
      <c r="K2951" s="241">
        <v>2.0</v>
      </c>
      <c r="L2951" s="124">
        <v>3.876054209E9</v>
      </c>
    </row>
    <row r="2952">
      <c r="A2952" s="33" t="s">
        <v>12333</v>
      </c>
      <c r="B2952" s="122">
        <v>46105.0</v>
      </c>
      <c r="C2952" s="240">
        <v>8.07000035505E11</v>
      </c>
      <c r="D2952" s="240" t="s">
        <v>12330</v>
      </c>
      <c r="E2952" s="240" t="s">
        <v>12331</v>
      </c>
      <c r="F2952" s="123" t="s">
        <v>12332</v>
      </c>
      <c r="G2952" s="242" t="s">
        <v>127</v>
      </c>
      <c r="H2952" s="123">
        <v>4400.0</v>
      </c>
      <c r="I2952" s="224" t="s">
        <v>3649</v>
      </c>
      <c r="J2952" s="240" t="s">
        <v>3650</v>
      </c>
      <c r="K2952" s="242">
        <v>1.0</v>
      </c>
      <c r="L2952" s="124">
        <v>3.876054209E9</v>
      </c>
    </row>
    <row r="2953">
      <c r="A2953" s="33" t="s">
        <v>12334</v>
      </c>
      <c r="B2953" s="122">
        <v>46106.0</v>
      </c>
      <c r="C2953" s="103">
        <v>8.0700003551E11</v>
      </c>
      <c r="D2953" s="103" t="s">
        <v>12335</v>
      </c>
      <c r="E2953" s="103" t="s">
        <v>12336</v>
      </c>
      <c r="F2953" s="241" t="s">
        <v>12337</v>
      </c>
      <c r="G2953" s="241" t="s">
        <v>127</v>
      </c>
      <c r="H2953" s="123">
        <v>4400.0</v>
      </c>
      <c r="I2953" s="211" t="s">
        <v>298</v>
      </c>
      <c r="J2953" s="103" t="s">
        <v>6035</v>
      </c>
      <c r="K2953" s="242">
        <v>1.0</v>
      </c>
      <c r="L2953" s="124">
        <v>3.874620044E9</v>
      </c>
    </row>
    <row r="2954">
      <c r="A2954" s="33" t="s">
        <v>12338</v>
      </c>
      <c r="B2954" s="122">
        <v>46106.0</v>
      </c>
      <c r="C2954" s="240">
        <v>8.070000355E11</v>
      </c>
      <c r="D2954" s="240" t="s">
        <v>5995</v>
      </c>
      <c r="E2954" s="240" t="s">
        <v>5996</v>
      </c>
      <c r="F2954" s="123" t="s">
        <v>5997</v>
      </c>
      <c r="G2954" s="123" t="s">
        <v>127</v>
      </c>
      <c r="H2954" s="123">
        <v>4400.0</v>
      </c>
      <c r="I2954" s="224" t="s">
        <v>512</v>
      </c>
      <c r="J2954" s="240" t="s">
        <v>513</v>
      </c>
      <c r="K2954" s="242">
        <v>12.0</v>
      </c>
      <c r="L2954" s="124">
        <v>3.875923578E9</v>
      </c>
    </row>
    <row r="2955">
      <c r="A2955" s="33" t="s">
        <v>12338</v>
      </c>
      <c r="B2955" s="122">
        <v>46106.0</v>
      </c>
      <c r="C2955" s="103">
        <v>8.07000035501E11</v>
      </c>
      <c r="D2955" s="103" t="s">
        <v>5995</v>
      </c>
      <c r="E2955" s="103" t="s">
        <v>5996</v>
      </c>
      <c r="F2955" s="123" t="s">
        <v>5997</v>
      </c>
      <c r="G2955" s="123" t="s">
        <v>127</v>
      </c>
      <c r="H2955" s="123">
        <v>4400.0</v>
      </c>
      <c r="I2955" s="211" t="s">
        <v>2956</v>
      </c>
      <c r="J2955" s="103" t="s">
        <v>3327</v>
      </c>
      <c r="K2955" s="242">
        <v>1.0</v>
      </c>
      <c r="L2955" s="124">
        <v>3.875923578E9</v>
      </c>
    </row>
    <row r="2956">
      <c r="A2956" s="33" t="s">
        <v>12338</v>
      </c>
      <c r="B2956" s="122">
        <v>46106.0</v>
      </c>
      <c r="C2956" s="240">
        <v>8.07000035501E11</v>
      </c>
      <c r="D2956" s="240" t="s">
        <v>5995</v>
      </c>
      <c r="E2956" s="240" t="s">
        <v>5996</v>
      </c>
      <c r="F2956" s="123" t="s">
        <v>5997</v>
      </c>
      <c r="G2956" s="123" t="s">
        <v>127</v>
      </c>
      <c r="H2956" s="123">
        <v>4400.0</v>
      </c>
      <c r="I2956" s="224" t="s">
        <v>670</v>
      </c>
      <c r="J2956" s="240" t="s">
        <v>3410</v>
      </c>
      <c r="K2956" s="242">
        <v>1.0</v>
      </c>
      <c r="L2956" s="124">
        <v>3.875923578E9</v>
      </c>
    </row>
    <row r="2957">
      <c r="A2957" s="100"/>
      <c r="B2957" s="230"/>
      <c r="C2957" s="251"/>
      <c r="D2957" s="251"/>
      <c r="E2957" s="251"/>
      <c r="F2957" s="231"/>
      <c r="G2957" s="231"/>
      <c r="H2957" s="231"/>
      <c r="I2957" s="252"/>
      <c r="J2957" s="252"/>
      <c r="K2957" s="253"/>
      <c r="L2957" s="232"/>
    </row>
    <row r="2958">
      <c r="A2958" s="33" t="s">
        <v>12339</v>
      </c>
      <c r="B2958" s="122">
        <v>46107.0</v>
      </c>
      <c r="C2958" s="240">
        <v>8.07000035247E11</v>
      </c>
      <c r="D2958" s="240" t="s">
        <v>12340</v>
      </c>
      <c r="E2958" s="240" t="s">
        <v>12341</v>
      </c>
      <c r="F2958" s="123" t="s">
        <v>12342</v>
      </c>
      <c r="G2958" s="242" t="s">
        <v>127</v>
      </c>
      <c r="H2958" s="123">
        <v>4400.0</v>
      </c>
      <c r="I2958" s="224">
        <v>2.2346259137E10</v>
      </c>
      <c r="J2958" s="240" t="s">
        <v>7164</v>
      </c>
      <c r="K2958" s="242">
        <v>1.0</v>
      </c>
      <c r="L2958" s="124">
        <v>3.874023348E9</v>
      </c>
    </row>
    <row r="2959">
      <c r="A2959" s="33" t="s">
        <v>12339</v>
      </c>
      <c r="B2959" s="122">
        <v>46107.0</v>
      </c>
      <c r="C2959" s="103">
        <v>8.07000035247E11</v>
      </c>
      <c r="D2959" s="103" t="s">
        <v>12340</v>
      </c>
      <c r="E2959" s="103" t="s">
        <v>12341</v>
      </c>
      <c r="F2959" s="123" t="s">
        <v>12342</v>
      </c>
      <c r="G2959" s="242" t="s">
        <v>127</v>
      </c>
      <c r="H2959" s="123">
        <v>4400.0</v>
      </c>
      <c r="I2959" s="211">
        <v>2.2346259143E10</v>
      </c>
      <c r="J2959" s="103" t="s">
        <v>11618</v>
      </c>
      <c r="K2959" s="241">
        <v>1.0</v>
      </c>
      <c r="L2959" s="124">
        <v>3.874023348E9</v>
      </c>
    </row>
    <row r="2960">
      <c r="A2960" s="33" t="s">
        <v>12339</v>
      </c>
      <c r="B2960" s="122">
        <v>46107.0</v>
      </c>
      <c r="C2960" s="240">
        <v>8.07000035247E11</v>
      </c>
      <c r="D2960" s="240" t="s">
        <v>12340</v>
      </c>
      <c r="E2960" s="240" t="s">
        <v>12341</v>
      </c>
      <c r="F2960" s="123" t="s">
        <v>12342</v>
      </c>
      <c r="G2960" s="242" t="s">
        <v>127</v>
      </c>
      <c r="H2960" s="123">
        <v>4400.0</v>
      </c>
      <c r="I2960" s="224" t="s">
        <v>5185</v>
      </c>
      <c r="J2960" s="240" t="s">
        <v>5186</v>
      </c>
      <c r="K2960" s="242">
        <v>2.0</v>
      </c>
      <c r="L2960" s="124">
        <v>3.874023348E9</v>
      </c>
    </row>
    <row r="2961">
      <c r="A2961" s="33" t="s">
        <v>12339</v>
      </c>
      <c r="B2961" s="122">
        <v>46107.0</v>
      </c>
      <c r="C2961" s="103">
        <v>8.07000035247E11</v>
      </c>
      <c r="D2961" s="103" t="s">
        <v>12340</v>
      </c>
      <c r="E2961" s="103" t="s">
        <v>12341</v>
      </c>
      <c r="F2961" s="123" t="s">
        <v>12342</v>
      </c>
      <c r="G2961" s="242" t="s">
        <v>127</v>
      </c>
      <c r="H2961" s="123">
        <v>4400.0</v>
      </c>
      <c r="I2961" s="211" t="s">
        <v>298</v>
      </c>
      <c r="J2961" s="103" t="s">
        <v>6035</v>
      </c>
      <c r="K2961" s="241">
        <v>1.0</v>
      </c>
      <c r="L2961" s="124">
        <v>3.874023348E9</v>
      </c>
    </row>
    <row r="2962">
      <c r="A2962" s="33" t="s">
        <v>12339</v>
      </c>
      <c r="B2962" s="122">
        <v>46107.0</v>
      </c>
      <c r="C2962" s="240">
        <v>8.07000035247E11</v>
      </c>
      <c r="D2962" s="240" t="s">
        <v>12340</v>
      </c>
      <c r="E2962" s="240" t="s">
        <v>12341</v>
      </c>
      <c r="F2962" s="123" t="s">
        <v>12342</v>
      </c>
      <c r="G2962" s="242" t="s">
        <v>127</v>
      </c>
      <c r="H2962" s="123">
        <v>4400.0</v>
      </c>
      <c r="I2962" s="224" t="s">
        <v>512</v>
      </c>
      <c r="J2962" s="240" t="s">
        <v>513</v>
      </c>
      <c r="K2962" s="242">
        <v>24.0</v>
      </c>
      <c r="L2962" s="124">
        <v>3.874023348E9</v>
      </c>
    </row>
    <row r="2963">
      <c r="A2963" s="33" t="s">
        <v>12339</v>
      </c>
      <c r="B2963" s="122">
        <v>46107.0</v>
      </c>
      <c r="C2963" s="103">
        <v>8.07000035247E11</v>
      </c>
      <c r="D2963" s="103" t="s">
        <v>12340</v>
      </c>
      <c r="E2963" s="103" t="s">
        <v>12341</v>
      </c>
      <c r="F2963" s="123" t="s">
        <v>12342</v>
      </c>
      <c r="G2963" s="242" t="s">
        <v>127</v>
      </c>
      <c r="H2963" s="123">
        <v>4400.0</v>
      </c>
      <c r="I2963" s="211" t="s">
        <v>340</v>
      </c>
      <c r="J2963" s="103" t="s">
        <v>3486</v>
      </c>
      <c r="K2963" s="241">
        <v>2.0</v>
      </c>
      <c r="L2963" s="124">
        <v>3.874023348E9</v>
      </c>
    </row>
    <row r="2964">
      <c r="A2964" s="33" t="s">
        <v>12339</v>
      </c>
      <c r="B2964" s="122">
        <v>46107.0</v>
      </c>
      <c r="C2964" s="240">
        <v>8.07000035247E11</v>
      </c>
      <c r="D2964" s="240" t="s">
        <v>12340</v>
      </c>
      <c r="E2964" s="240" t="s">
        <v>12341</v>
      </c>
      <c r="F2964" s="123" t="s">
        <v>12342</v>
      </c>
      <c r="G2964" s="241" t="s">
        <v>127</v>
      </c>
      <c r="H2964" s="123">
        <v>4400.0</v>
      </c>
      <c r="I2964" s="224" t="s">
        <v>2031</v>
      </c>
      <c r="J2964" s="240" t="s">
        <v>3348</v>
      </c>
      <c r="K2964" s="242">
        <v>2.0</v>
      </c>
      <c r="L2964" s="124">
        <v>3.874023348E9</v>
      </c>
    </row>
    <row r="2965">
      <c r="A2965" s="33" t="s">
        <v>12343</v>
      </c>
      <c r="B2965" s="122">
        <v>46107.0</v>
      </c>
      <c r="C2965" s="103">
        <v>8.07000035322E11</v>
      </c>
      <c r="D2965" s="103" t="s">
        <v>12344</v>
      </c>
      <c r="E2965" s="103" t="s">
        <v>12345</v>
      </c>
      <c r="F2965" s="123" t="s">
        <v>12346</v>
      </c>
      <c r="G2965" s="123" t="s">
        <v>127</v>
      </c>
      <c r="H2965" s="123">
        <v>4400.0</v>
      </c>
      <c r="I2965" s="211" t="s">
        <v>298</v>
      </c>
      <c r="J2965" s="103" t="s">
        <v>6035</v>
      </c>
      <c r="K2965" s="241">
        <v>1.0</v>
      </c>
      <c r="L2965" s="124">
        <v>3.873513592E9</v>
      </c>
    </row>
    <row r="2966">
      <c r="A2966" s="33" t="s">
        <v>12343</v>
      </c>
      <c r="B2966" s="122">
        <v>46107.0</v>
      </c>
      <c r="C2966" s="240">
        <v>8.07000035322E11</v>
      </c>
      <c r="D2966" s="240" t="s">
        <v>12344</v>
      </c>
      <c r="E2966" s="240" t="s">
        <v>12345</v>
      </c>
      <c r="F2966" s="123" t="s">
        <v>12346</v>
      </c>
      <c r="G2966" s="123" t="s">
        <v>127</v>
      </c>
      <c r="H2966" s="123">
        <v>4400.0</v>
      </c>
      <c r="I2966" s="224" t="s">
        <v>512</v>
      </c>
      <c r="J2966" s="240" t="s">
        <v>513</v>
      </c>
      <c r="K2966" s="242">
        <v>12.0</v>
      </c>
      <c r="L2966" s="124">
        <v>3.873513592E9</v>
      </c>
    </row>
    <row r="2967">
      <c r="A2967" s="33" t="s">
        <v>12343</v>
      </c>
      <c r="B2967" s="122">
        <v>46107.0</v>
      </c>
      <c r="C2967" s="103">
        <v>8.07000035322E11</v>
      </c>
      <c r="D2967" s="103" t="s">
        <v>12344</v>
      </c>
      <c r="E2967" s="103" t="s">
        <v>12345</v>
      </c>
      <c r="F2967" s="123" t="s">
        <v>12346</v>
      </c>
      <c r="G2967" s="123" t="s">
        <v>127</v>
      </c>
      <c r="H2967" s="123">
        <v>4400.0</v>
      </c>
      <c r="I2967" s="211" t="s">
        <v>340</v>
      </c>
      <c r="J2967" s="103" t="s">
        <v>3486</v>
      </c>
      <c r="K2967" s="241">
        <v>2.0</v>
      </c>
      <c r="L2967" s="124">
        <v>3.873513592E9</v>
      </c>
    </row>
    <row r="2968">
      <c r="A2968" s="33" t="s">
        <v>12347</v>
      </c>
      <c r="B2968" s="122">
        <v>46107.0</v>
      </c>
      <c r="C2968" s="103">
        <v>8.07000035515E11</v>
      </c>
      <c r="D2968" s="103" t="s">
        <v>12348</v>
      </c>
      <c r="E2968" s="103" t="s">
        <v>12349</v>
      </c>
      <c r="F2968" s="123" t="s">
        <v>12350</v>
      </c>
      <c r="G2968" s="123" t="s">
        <v>127</v>
      </c>
      <c r="H2968" s="123">
        <v>4400.0</v>
      </c>
      <c r="I2968" s="211" t="s">
        <v>512</v>
      </c>
      <c r="J2968" s="103" t="s">
        <v>513</v>
      </c>
      <c r="K2968" s="241">
        <v>12.0</v>
      </c>
      <c r="L2968" s="124">
        <v>3.624779431E9</v>
      </c>
    </row>
    <row r="2969">
      <c r="A2969" s="33" t="s">
        <v>12347</v>
      </c>
      <c r="B2969" s="122">
        <v>46107.0</v>
      </c>
      <c r="C2969" s="240">
        <v>8.07000035516E11</v>
      </c>
      <c r="D2969" s="240" t="s">
        <v>12348</v>
      </c>
      <c r="E2969" s="240" t="s">
        <v>12349</v>
      </c>
      <c r="F2969" s="123" t="s">
        <v>12350</v>
      </c>
      <c r="G2969" s="123" t="s">
        <v>127</v>
      </c>
      <c r="H2969" s="123">
        <v>4400.0</v>
      </c>
      <c r="I2969" s="224" t="s">
        <v>218</v>
      </c>
      <c r="J2969" s="240" t="s">
        <v>8664</v>
      </c>
      <c r="K2969" s="242">
        <v>1.0</v>
      </c>
      <c r="L2969" s="124">
        <v>3.624779431E9</v>
      </c>
    </row>
    <row r="2970">
      <c r="A2970" s="33" t="s">
        <v>12347</v>
      </c>
      <c r="B2970" s="122">
        <v>46107.0</v>
      </c>
      <c r="C2970" s="103">
        <v>8.07000035516E11</v>
      </c>
      <c r="D2970" s="103" t="s">
        <v>12348</v>
      </c>
      <c r="E2970" s="103" t="s">
        <v>12349</v>
      </c>
      <c r="F2970" s="123" t="s">
        <v>12350</v>
      </c>
      <c r="G2970" s="123" t="s">
        <v>127</v>
      </c>
      <c r="H2970" s="123">
        <v>4400.0</v>
      </c>
      <c r="I2970" s="211" t="s">
        <v>121</v>
      </c>
      <c r="J2970" s="103" t="s">
        <v>3199</v>
      </c>
      <c r="K2970" s="241">
        <v>2.0</v>
      </c>
      <c r="L2970" s="124">
        <v>3.624779431E9</v>
      </c>
    </row>
    <row r="2971">
      <c r="A2971" s="33" t="s">
        <v>12351</v>
      </c>
      <c r="B2971" s="122">
        <v>46108.0</v>
      </c>
      <c r="C2971" s="103">
        <v>8.07000035525E11</v>
      </c>
      <c r="D2971" s="103" t="s">
        <v>12352</v>
      </c>
      <c r="E2971" s="103" t="s">
        <v>12353</v>
      </c>
      <c r="F2971" s="123" t="s">
        <v>12354</v>
      </c>
      <c r="G2971" s="123" t="s">
        <v>127</v>
      </c>
      <c r="H2971" s="123">
        <v>4400.0</v>
      </c>
      <c r="I2971" s="211">
        <v>125812.0</v>
      </c>
      <c r="J2971" s="103" t="s">
        <v>9317</v>
      </c>
      <c r="K2971" s="241">
        <v>4.0</v>
      </c>
      <c r="L2971" s="124">
        <v>4.16479E7</v>
      </c>
    </row>
    <row r="2972">
      <c r="A2972" s="33" t="s">
        <v>12351</v>
      </c>
      <c r="B2972" s="122">
        <v>46108.0</v>
      </c>
      <c r="C2972" s="240">
        <v>8.07000035525E11</v>
      </c>
      <c r="D2972" s="240" t="s">
        <v>12352</v>
      </c>
      <c r="E2972" s="240" t="s">
        <v>12353</v>
      </c>
      <c r="F2972" s="123" t="s">
        <v>12354</v>
      </c>
      <c r="G2972" s="123" t="s">
        <v>127</v>
      </c>
      <c r="H2972" s="123">
        <v>4400.0</v>
      </c>
      <c r="I2972" s="224" t="s">
        <v>3131</v>
      </c>
      <c r="J2972" s="240" t="s">
        <v>3416</v>
      </c>
      <c r="K2972" s="242">
        <v>2.0</v>
      </c>
      <c r="L2972" s="124">
        <v>4.16479E7</v>
      </c>
    </row>
    <row r="2973">
      <c r="A2973" s="33" t="s">
        <v>12355</v>
      </c>
      <c r="B2973" s="122">
        <v>46108.0</v>
      </c>
      <c r="C2973" s="240">
        <v>8.07000035522E11</v>
      </c>
      <c r="D2973" s="240" t="s">
        <v>12356</v>
      </c>
      <c r="E2973" s="240" t="s">
        <v>12357</v>
      </c>
      <c r="F2973" s="123" t="s">
        <v>12358</v>
      </c>
      <c r="G2973" s="123" t="s">
        <v>127</v>
      </c>
      <c r="H2973" s="123">
        <v>4400.0</v>
      </c>
      <c r="I2973" s="224" t="s">
        <v>3285</v>
      </c>
      <c r="J2973" s="240" t="s">
        <v>3286</v>
      </c>
      <c r="K2973" s="242">
        <v>1.0</v>
      </c>
      <c r="L2973" s="124">
        <v>3.875911142E9</v>
      </c>
    </row>
    <row r="2974">
      <c r="A2974" s="33" t="s">
        <v>12359</v>
      </c>
      <c r="B2974" s="122">
        <v>46108.0</v>
      </c>
      <c r="C2974" s="103">
        <v>8.05011572927E11</v>
      </c>
      <c r="D2974" s="103" t="s">
        <v>12360</v>
      </c>
      <c r="E2974" s="103" t="s">
        <v>12361</v>
      </c>
      <c r="F2974" s="123" t="s">
        <v>12362</v>
      </c>
      <c r="G2974" s="123" t="s">
        <v>127</v>
      </c>
      <c r="H2974" s="123">
        <v>4400.0</v>
      </c>
      <c r="I2974" s="211" t="s">
        <v>60</v>
      </c>
      <c r="J2974" s="103" t="s">
        <v>3706</v>
      </c>
      <c r="K2974" s="241">
        <v>1.0</v>
      </c>
      <c r="L2974" s="124">
        <v>3.878463299E9</v>
      </c>
    </row>
    <row r="2975">
      <c r="A2975" s="33" t="s">
        <v>12363</v>
      </c>
      <c r="B2975" s="122">
        <v>46108.0</v>
      </c>
      <c r="C2975" s="103">
        <v>8.07000035491E11</v>
      </c>
      <c r="D2975" s="103" t="s">
        <v>12364</v>
      </c>
      <c r="E2975" s="103" t="s">
        <v>12365</v>
      </c>
      <c r="F2975" s="123" t="s">
        <v>12366</v>
      </c>
      <c r="G2975" s="123" t="s">
        <v>4611</v>
      </c>
      <c r="H2975" s="123">
        <v>4520.0</v>
      </c>
      <c r="I2975" s="211" t="s">
        <v>2372</v>
      </c>
      <c r="J2975" s="103" t="s">
        <v>8140</v>
      </c>
      <c r="K2975" s="241">
        <v>1.0</v>
      </c>
      <c r="L2975" s="124">
        <v>3.878353632E9</v>
      </c>
    </row>
    <row r="2976">
      <c r="A2976" s="33" t="s">
        <v>12367</v>
      </c>
      <c r="B2976" s="122">
        <v>46108.0</v>
      </c>
      <c r="C2976" s="103">
        <v>8.07940000415E11</v>
      </c>
      <c r="D2976" s="103" t="s">
        <v>12368</v>
      </c>
      <c r="E2976" s="103" t="s">
        <v>12369</v>
      </c>
      <c r="F2976" s="123" t="s">
        <v>12370</v>
      </c>
      <c r="G2976" s="123" t="s">
        <v>48</v>
      </c>
      <c r="H2976" s="123">
        <v>4427.0</v>
      </c>
      <c r="I2976" s="211" t="s">
        <v>4790</v>
      </c>
      <c r="J2976" s="103" t="s">
        <v>4791</v>
      </c>
      <c r="K2976" s="241">
        <v>1.0</v>
      </c>
      <c r="L2976" s="124">
        <v>3.815179598E9</v>
      </c>
    </row>
    <row r="2977">
      <c r="A2977" s="33" t="s">
        <v>12367</v>
      </c>
      <c r="B2977" s="122">
        <v>46108.0</v>
      </c>
      <c r="C2977" s="240">
        <v>8.07940000415E11</v>
      </c>
      <c r="D2977" s="240" t="s">
        <v>12368</v>
      </c>
      <c r="E2977" s="240" t="s">
        <v>12369</v>
      </c>
      <c r="F2977" s="123" t="s">
        <v>12370</v>
      </c>
      <c r="G2977" s="123" t="s">
        <v>48</v>
      </c>
      <c r="H2977" s="123">
        <v>4427.0</v>
      </c>
      <c r="I2977" s="224" t="s">
        <v>4793</v>
      </c>
      <c r="J2977" s="240" t="s">
        <v>4794</v>
      </c>
      <c r="K2977" s="242">
        <v>1.0</v>
      </c>
      <c r="L2977" s="124">
        <v>3.815179598E9</v>
      </c>
    </row>
    <row r="2978">
      <c r="A2978" s="33" t="s">
        <v>12371</v>
      </c>
      <c r="B2978" s="122">
        <v>46108.0</v>
      </c>
      <c r="C2978" s="103">
        <v>8.07000035533E11</v>
      </c>
      <c r="D2978" s="103" t="s">
        <v>12372</v>
      </c>
      <c r="E2978" s="103" t="s">
        <v>12373</v>
      </c>
      <c r="F2978" s="123" t="s">
        <v>12374</v>
      </c>
      <c r="G2978" s="123" t="s">
        <v>127</v>
      </c>
      <c r="H2978" s="123">
        <v>4400.0</v>
      </c>
      <c r="I2978" s="211" t="s">
        <v>4512</v>
      </c>
      <c r="J2978" s="103" t="s">
        <v>4513</v>
      </c>
      <c r="K2978" s="241">
        <v>1.0</v>
      </c>
      <c r="L2978" s="124">
        <v>3.876851612E9</v>
      </c>
    </row>
    <row r="2979">
      <c r="A2979" s="33" t="s">
        <v>12375</v>
      </c>
      <c r="B2979" s="122">
        <v>46108.0</v>
      </c>
      <c r="C2979" s="103">
        <v>8.07000035536E11</v>
      </c>
      <c r="D2979" s="103" t="s">
        <v>12376</v>
      </c>
      <c r="E2979" s="103" t="s">
        <v>12377</v>
      </c>
      <c r="F2979" s="123" t="s">
        <v>12378</v>
      </c>
      <c r="G2979" s="123" t="s">
        <v>127</v>
      </c>
      <c r="H2979" s="123">
        <v>4400.0</v>
      </c>
      <c r="I2979" s="211" t="s">
        <v>761</v>
      </c>
      <c r="J2979" s="103" t="s">
        <v>3761</v>
      </c>
      <c r="K2979" s="241">
        <v>1.0</v>
      </c>
      <c r="L2979" s="124">
        <v>3.875601243E9</v>
      </c>
    </row>
    <row r="2980">
      <c r="A2980" s="33" t="s">
        <v>12375</v>
      </c>
      <c r="B2980" s="122">
        <v>46108.0</v>
      </c>
      <c r="C2980" s="240">
        <v>8.07000035536E11</v>
      </c>
      <c r="D2980" s="240" t="s">
        <v>12376</v>
      </c>
      <c r="E2980" s="240" t="s">
        <v>12377</v>
      </c>
      <c r="F2980" s="123" t="s">
        <v>12378</v>
      </c>
      <c r="G2980" s="123" t="s">
        <v>127</v>
      </c>
      <c r="H2980" s="123">
        <v>4400.0</v>
      </c>
      <c r="I2980" s="224" t="s">
        <v>512</v>
      </c>
      <c r="J2980" s="240" t="s">
        <v>513</v>
      </c>
      <c r="K2980" s="242">
        <v>12.0</v>
      </c>
      <c r="L2980" s="124">
        <v>3.875601243E9</v>
      </c>
    </row>
    <row r="2981">
      <c r="A2981" s="33" t="s">
        <v>12375</v>
      </c>
      <c r="B2981" s="122">
        <v>46108.0</v>
      </c>
      <c r="C2981" s="103">
        <v>8.07000035536E11</v>
      </c>
      <c r="D2981" s="103" t="s">
        <v>12376</v>
      </c>
      <c r="E2981" s="103" t="s">
        <v>12377</v>
      </c>
      <c r="F2981" s="123" t="s">
        <v>12378</v>
      </c>
      <c r="G2981" s="123" t="s">
        <v>127</v>
      </c>
      <c r="H2981" s="123">
        <v>4400.0</v>
      </c>
      <c r="I2981" s="211" t="s">
        <v>758</v>
      </c>
      <c r="J2981" s="103" t="s">
        <v>3574</v>
      </c>
      <c r="K2981" s="241">
        <v>2.0</v>
      </c>
      <c r="L2981" s="124">
        <v>3.875601243E9</v>
      </c>
    </row>
    <row r="2982">
      <c r="A2982" s="33" t="s">
        <v>12379</v>
      </c>
      <c r="B2982" s="122">
        <v>46109.0</v>
      </c>
      <c r="C2982" s="103">
        <v>8.07000035544E11</v>
      </c>
      <c r="D2982" s="103" t="s">
        <v>11450</v>
      </c>
      <c r="E2982" s="103" t="s">
        <v>11451</v>
      </c>
      <c r="F2982" s="123" t="s">
        <v>11452</v>
      </c>
      <c r="G2982" s="123" t="s">
        <v>127</v>
      </c>
      <c r="H2982" s="123">
        <v>4400.0</v>
      </c>
      <c r="I2982" s="211" t="s">
        <v>2171</v>
      </c>
      <c r="J2982" s="103" t="s">
        <v>3446</v>
      </c>
      <c r="K2982" s="241">
        <v>1.0</v>
      </c>
      <c r="L2982" s="124">
        <v>3.875004233E9</v>
      </c>
    </row>
    <row r="2983">
      <c r="A2983" s="33" t="s">
        <v>12380</v>
      </c>
      <c r="B2983" s="122">
        <v>46109.0</v>
      </c>
      <c r="C2983" s="103">
        <v>8.07000035546E11</v>
      </c>
      <c r="D2983" s="103" t="s">
        <v>12381</v>
      </c>
      <c r="E2983" s="103" t="s">
        <v>12382</v>
      </c>
      <c r="F2983" s="123" t="s">
        <v>12383</v>
      </c>
      <c r="G2983" s="123" t="s">
        <v>127</v>
      </c>
      <c r="H2983" s="123">
        <v>4400.0</v>
      </c>
      <c r="I2983" s="211" t="s">
        <v>1379</v>
      </c>
      <c r="J2983" s="103" t="s">
        <v>7653</v>
      </c>
      <c r="K2983" s="241">
        <v>1.0</v>
      </c>
      <c r="L2983" s="124">
        <v>3.875314358E9</v>
      </c>
    </row>
    <row r="2984">
      <c r="A2984" s="240" t="s">
        <v>12384</v>
      </c>
      <c r="B2984" s="122">
        <v>46109.0</v>
      </c>
      <c r="C2984" s="240">
        <v>8.0700003554E11</v>
      </c>
      <c r="D2984" s="240" t="s">
        <v>5887</v>
      </c>
      <c r="E2984" s="240" t="s">
        <v>5888</v>
      </c>
      <c r="F2984" s="123" t="s">
        <v>12385</v>
      </c>
      <c r="G2984" s="123" t="s">
        <v>127</v>
      </c>
      <c r="H2984" s="123">
        <v>4400.0</v>
      </c>
      <c r="I2984" s="224">
        <v>125801.0</v>
      </c>
      <c r="J2984" s="240" t="s">
        <v>5192</v>
      </c>
      <c r="K2984" s="242">
        <v>6.0</v>
      </c>
      <c r="L2984" s="124">
        <v>3.875007245E9</v>
      </c>
    </row>
    <row r="2985">
      <c r="A2985" s="240" t="s">
        <v>12384</v>
      </c>
      <c r="B2985" s="122">
        <v>46109.0</v>
      </c>
      <c r="C2985" s="103">
        <v>8.0700003554E11</v>
      </c>
      <c r="D2985" s="103" t="s">
        <v>5887</v>
      </c>
      <c r="E2985" s="103" t="s">
        <v>5888</v>
      </c>
      <c r="F2985" s="123" t="s">
        <v>12385</v>
      </c>
      <c r="G2985" s="123" t="s">
        <v>127</v>
      </c>
      <c r="H2985" s="123">
        <v>4400.0</v>
      </c>
      <c r="I2985" s="211" t="s">
        <v>3054</v>
      </c>
      <c r="J2985" s="103" t="s">
        <v>3346</v>
      </c>
      <c r="K2985" s="241">
        <v>1.0</v>
      </c>
      <c r="L2985" s="124">
        <v>3.875007245E9</v>
      </c>
    </row>
    <row r="2986">
      <c r="A2986" s="240" t="s">
        <v>12384</v>
      </c>
      <c r="B2986" s="122">
        <v>46109.0</v>
      </c>
      <c r="C2986" s="240">
        <v>8.0700003554E11</v>
      </c>
      <c r="D2986" s="240" t="s">
        <v>5887</v>
      </c>
      <c r="E2986" s="240" t="s">
        <v>5888</v>
      </c>
      <c r="F2986" s="123" t="s">
        <v>12385</v>
      </c>
      <c r="G2986" s="123" t="s">
        <v>127</v>
      </c>
      <c r="H2986" s="123">
        <v>4400.0</v>
      </c>
      <c r="I2986" s="224" t="s">
        <v>3451</v>
      </c>
      <c r="J2986" s="240" t="s">
        <v>3452</v>
      </c>
      <c r="K2986" s="242">
        <v>4.0</v>
      </c>
      <c r="L2986" s="124">
        <v>3.875007245E9</v>
      </c>
    </row>
    <row r="2987">
      <c r="A2987" s="240" t="s">
        <v>12384</v>
      </c>
      <c r="B2987" s="122">
        <v>46109.0</v>
      </c>
      <c r="C2987" s="103">
        <v>8.0700003554E11</v>
      </c>
      <c r="D2987" s="103" t="s">
        <v>5887</v>
      </c>
      <c r="E2987" s="103" t="s">
        <v>5888</v>
      </c>
      <c r="F2987" s="123" t="s">
        <v>12385</v>
      </c>
      <c r="G2987" s="123" t="s">
        <v>127</v>
      </c>
      <c r="H2987" s="123">
        <v>4400.0</v>
      </c>
      <c r="I2987" s="211" t="s">
        <v>512</v>
      </c>
      <c r="J2987" s="103" t="s">
        <v>513</v>
      </c>
      <c r="K2987" s="241">
        <v>18.0</v>
      </c>
      <c r="L2987" s="124">
        <v>3.875007245E9</v>
      </c>
    </row>
    <row r="2988">
      <c r="A2988" s="240" t="s">
        <v>12384</v>
      </c>
      <c r="B2988" s="122">
        <v>46109.0</v>
      </c>
      <c r="C2988" s="240">
        <v>8.0700003554E11</v>
      </c>
      <c r="D2988" s="240" t="s">
        <v>5887</v>
      </c>
      <c r="E2988" s="240" t="s">
        <v>5888</v>
      </c>
      <c r="F2988" s="123" t="s">
        <v>12385</v>
      </c>
      <c r="G2988" s="123" t="s">
        <v>127</v>
      </c>
      <c r="H2988" s="123">
        <v>4400.0</v>
      </c>
      <c r="I2988" s="224" t="s">
        <v>2031</v>
      </c>
      <c r="J2988" s="240" t="s">
        <v>3348</v>
      </c>
      <c r="K2988" s="242">
        <v>1.0</v>
      </c>
      <c r="L2988" s="124">
        <v>3.875007245E9</v>
      </c>
    </row>
    <row r="2989">
      <c r="A2989" s="240" t="s">
        <v>12384</v>
      </c>
      <c r="B2989" s="122">
        <v>46109.0</v>
      </c>
      <c r="C2989" s="103">
        <v>8.0700003554E11</v>
      </c>
      <c r="D2989" s="103" t="s">
        <v>5887</v>
      </c>
      <c r="E2989" s="103" t="s">
        <v>5888</v>
      </c>
      <c r="F2989" s="123" t="s">
        <v>12385</v>
      </c>
      <c r="G2989" s="123" t="s">
        <v>127</v>
      </c>
      <c r="H2989" s="123">
        <v>4400.0</v>
      </c>
      <c r="I2989" s="211" t="s">
        <v>670</v>
      </c>
      <c r="J2989" s="103" t="s">
        <v>3410</v>
      </c>
      <c r="K2989" s="241">
        <v>2.0</v>
      </c>
      <c r="L2989" s="124">
        <v>3.875007245E9</v>
      </c>
    </row>
    <row r="2990">
      <c r="A2990" s="240" t="s">
        <v>12386</v>
      </c>
      <c r="B2990" s="122">
        <v>46109.0</v>
      </c>
      <c r="C2990" s="240">
        <v>8.07000035541E11</v>
      </c>
      <c r="D2990" s="240" t="s">
        <v>5887</v>
      </c>
      <c r="E2990" s="240" t="s">
        <v>5888</v>
      </c>
      <c r="F2990" s="123" t="s">
        <v>12385</v>
      </c>
      <c r="G2990" s="123" t="s">
        <v>127</v>
      </c>
      <c r="H2990" s="123">
        <v>4400.0</v>
      </c>
      <c r="I2990" s="224" t="s">
        <v>110</v>
      </c>
      <c r="J2990" s="240" t="s">
        <v>3673</v>
      </c>
      <c r="K2990" s="242">
        <v>2.0</v>
      </c>
      <c r="L2990" s="124">
        <v>3.875007245E9</v>
      </c>
    </row>
    <row r="2991">
      <c r="A2991" s="240" t="s">
        <v>12387</v>
      </c>
      <c r="B2991" s="122">
        <v>46109.0</v>
      </c>
      <c r="C2991" s="103">
        <v>8.07000035547E11</v>
      </c>
      <c r="D2991" s="103" t="s">
        <v>12388</v>
      </c>
      <c r="E2991" s="103" t="s">
        <v>12389</v>
      </c>
      <c r="F2991" s="123" t="s">
        <v>12390</v>
      </c>
      <c r="G2991" s="123" t="s">
        <v>127</v>
      </c>
      <c r="H2991" s="123">
        <v>4400.0</v>
      </c>
      <c r="I2991" s="211">
        <v>125815.0</v>
      </c>
      <c r="J2991" s="103" t="s">
        <v>569</v>
      </c>
      <c r="K2991" s="241">
        <v>2.0</v>
      </c>
      <c r="L2991" s="124">
        <v>3.87547165E9</v>
      </c>
    </row>
    <row r="2992">
      <c r="A2992" s="240" t="s">
        <v>12387</v>
      </c>
      <c r="B2992" s="122">
        <v>46109.0</v>
      </c>
      <c r="C2992" s="240">
        <v>8.07000035548E11</v>
      </c>
      <c r="D2992" s="240" t="s">
        <v>12388</v>
      </c>
      <c r="E2992" s="240" t="s">
        <v>12389</v>
      </c>
      <c r="F2992" s="123" t="s">
        <v>12390</v>
      </c>
      <c r="G2992" s="123" t="s">
        <v>127</v>
      </c>
      <c r="H2992" s="123">
        <v>4400.0</v>
      </c>
      <c r="I2992" s="224" t="s">
        <v>512</v>
      </c>
      <c r="J2992" s="240" t="s">
        <v>513</v>
      </c>
      <c r="K2992" s="242">
        <v>6.0</v>
      </c>
      <c r="L2992" s="124">
        <v>3.87547165E9</v>
      </c>
    </row>
    <row r="2993">
      <c r="A2993" s="240" t="s">
        <v>12387</v>
      </c>
      <c r="B2993" s="122">
        <v>46109.0</v>
      </c>
      <c r="C2993" s="103">
        <v>8.07000035549E11</v>
      </c>
      <c r="D2993" s="103" t="s">
        <v>12388</v>
      </c>
      <c r="E2993" s="103" t="s">
        <v>12389</v>
      </c>
      <c r="F2993" s="123" t="s">
        <v>12390</v>
      </c>
      <c r="G2993" s="123" t="s">
        <v>127</v>
      </c>
      <c r="H2993" s="123">
        <v>4400.0</v>
      </c>
      <c r="I2993" s="211" t="s">
        <v>812</v>
      </c>
      <c r="J2993" s="103" t="s">
        <v>3564</v>
      </c>
      <c r="K2993" s="241">
        <v>1.0</v>
      </c>
      <c r="L2993" s="124">
        <v>3.87547165E9</v>
      </c>
    </row>
    <row r="2994">
      <c r="A2994" s="240" t="s">
        <v>12387</v>
      </c>
      <c r="B2994" s="122">
        <v>46109.0</v>
      </c>
      <c r="C2994" s="240">
        <v>8.07000035549E11</v>
      </c>
      <c r="D2994" s="240" t="s">
        <v>12388</v>
      </c>
      <c r="E2994" s="240" t="s">
        <v>12389</v>
      </c>
      <c r="F2994" s="123" t="s">
        <v>12390</v>
      </c>
      <c r="G2994" s="123" t="s">
        <v>127</v>
      </c>
      <c r="H2994" s="123">
        <v>4400.0</v>
      </c>
      <c r="I2994" s="224" t="s">
        <v>35</v>
      </c>
      <c r="J2994" s="240" t="s">
        <v>3188</v>
      </c>
      <c r="K2994" s="242">
        <v>1.0</v>
      </c>
      <c r="L2994" s="124">
        <v>3.87547165E9</v>
      </c>
    </row>
    <row r="2995">
      <c r="A2995" s="33" t="s">
        <v>12391</v>
      </c>
      <c r="B2995" s="122">
        <v>46109.0</v>
      </c>
      <c r="C2995" s="103">
        <v>8.0700003555E11</v>
      </c>
      <c r="D2995" s="103" t="s">
        <v>12392</v>
      </c>
      <c r="E2995" s="103" t="s">
        <v>12393</v>
      </c>
      <c r="F2995" s="123" t="s">
        <v>12394</v>
      </c>
      <c r="G2995" s="123" t="s">
        <v>127</v>
      </c>
      <c r="H2995" s="123">
        <v>4400.0</v>
      </c>
      <c r="I2995" s="211" t="s">
        <v>2956</v>
      </c>
      <c r="J2995" s="103" t="s">
        <v>3327</v>
      </c>
      <c r="K2995" s="241">
        <v>1.0</v>
      </c>
      <c r="L2995" s="124">
        <v>3.874487151E9</v>
      </c>
    </row>
    <row r="2996">
      <c r="A2996" s="33" t="s">
        <v>12391</v>
      </c>
      <c r="B2996" s="122">
        <v>46109.0</v>
      </c>
      <c r="C2996" s="240">
        <v>8.0700003555E11</v>
      </c>
      <c r="D2996" s="240" t="s">
        <v>12392</v>
      </c>
      <c r="E2996" s="240" t="s">
        <v>12393</v>
      </c>
      <c r="F2996" s="123" t="s">
        <v>12394</v>
      </c>
      <c r="G2996" s="123" t="s">
        <v>127</v>
      </c>
      <c r="H2996" s="123">
        <v>4400.0</v>
      </c>
      <c r="I2996" s="224" t="s">
        <v>512</v>
      </c>
      <c r="J2996" s="240" t="s">
        <v>513</v>
      </c>
      <c r="K2996" s="242">
        <v>6.0</v>
      </c>
      <c r="L2996" s="124">
        <v>3.874487151E9</v>
      </c>
    </row>
    <row r="2997">
      <c r="A2997" s="33" t="s">
        <v>12391</v>
      </c>
      <c r="B2997" s="122">
        <v>46109.0</v>
      </c>
      <c r="C2997" s="103">
        <v>8.0700003555E11</v>
      </c>
      <c r="D2997" s="103" t="s">
        <v>12392</v>
      </c>
      <c r="E2997" s="103" t="s">
        <v>12393</v>
      </c>
      <c r="F2997" s="123" t="s">
        <v>12394</v>
      </c>
      <c r="G2997" s="123" t="s">
        <v>127</v>
      </c>
      <c r="H2997" s="123">
        <v>4400.0</v>
      </c>
      <c r="I2997" s="211" t="s">
        <v>670</v>
      </c>
      <c r="J2997" s="103" t="s">
        <v>3410</v>
      </c>
      <c r="K2997" s="241">
        <v>1.0</v>
      </c>
      <c r="L2997" s="124">
        <v>3.874487151E9</v>
      </c>
    </row>
    <row r="2998">
      <c r="A2998" s="33" t="s">
        <v>12395</v>
      </c>
      <c r="B2998" s="122">
        <v>46109.0</v>
      </c>
      <c r="C2998" s="103">
        <v>8.07000035551E11</v>
      </c>
      <c r="D2998" s="103" t="s">
        <v>12396</v>
      </c>
      <c r="E2998" s="103" t="s">
        <v>12397</v>
      </c>
      <c r="F2998" s="123" t="s">
        <v>12398</v>
      </c>
      <c r="G2998" s="123" t="s">
        <v>127</v>
      </c>
      <c r="H2998" s="123">
        <v>4400.0</v>
      </c>
      <c r="I2998" s="211" t="s">
        <v>9295</v>
      </c>
      <c r="J2998" s="103" t="s">
        <v>9296</v>
      </c>
      <c r="K2998" s="241">
        <v>1.0</v>
      </c>
      <c r="L2998" s="124">
        <v>3.874530053E9</v>
      </c>
    </row>
    <row r="2999" ht="3.75" customHeight="1">
      <c r="A2999" s="244"/>
      <c r="B2999" s="245"/>
      <c r="C2999" s="271"/>
      <c r="D2999" s="271"/>
      <c r="E2999" s="271"/>
      <c r="F2999" s="246"/>
      <c r="G2999" s="246"/>
      <c r="H2999" s="246"/>
      <c r="I2999" s="272"/>
      <c r="J2999" s="272"/>
      <c r="K2999" s="273"/>
      <c r="L2999" s="247"/>
      <c r="M2999" s="233"/>
      <c r="N2999" s="233"/>
      <c r="O2999" s="233"/>
      <c r="P2999" s="233"/>
      <c r="Q2999" s="233"/>
      <c r="R2999" s="233"/>
      <c r="S2999" s="233"/>
      <c r="T2999" s="233"/>
      <c r="U2999" s="233"/>
      <c r="V2999" s="233"/>
      <c r="W2999" s="233"/>
      <c r="X2999" s="233"/>
      <c r="Y2999" s="233"/>
      <c r="Z2999" s="233"/>
      <c r="AA2999" s="233"/>
      <c r="AB2999" s="233"/>
      <c r="AC2999" s="233"/>
    </row>
    <row r="3000">
      <c r="A3000" s="33" t="s">
        <v>12399</v>
      </c>
      <c r="B3000" s="122">
        <v>46111.0</v>
      </c>
      <c r="C3000" s="103">
        <v>8.07000035565E11</v>
      </c>
      <c r="D3000" s="103" t="s">
        <v>12400</v>
      </c>
      <c r="E3000" s="103" t="s">
        <v>12401</v>
      </c>
      <c r="F3000" s="241" t="s">
        <v>12402</v>
      </c>
      <c r="G3000" s="241" t="s">
        <v>127</v>
      </c>
      <c r="H3000" s="241">
        <v>4400.0</v>
      </c>
      <c r="I3000" s="211" t="s">
        <v>1379</v>
      </c>
      <c r="J3000" s="103" t="s">
        <v>7653</v>
      </c>
      <c r="K3000" s="241">
        <v>1.0</v>
      </c>
      <c r="L3000" s="124">
        <v>3.872220188E9</v>
      </c>
    </row>
    <row r="3001">
      <c r="A3001" s="33" t="s">
        <v>12403</v>
      </c>
      <c r="B3001" s="122">
        <v>46111.0</v>
      </c>
      <c r="C3001" s="240">
        <v>8.07000035566E11</v>
      </c>
      <c r="D3001" s="240" t="s">
        <v>12404</v>
      </c>
      <c r="E3001" s="240" t="s">
        <v>12405</v>
      </c>
      <c r="F3001" s="242" t="s">
        <v>12406</v>
      </c>
      <c r="G3001" s="242" t="s">
        <v>127</v>
      </c>
      <c r="H3001" s="242">
        <v>4400.0</v>
      </c>
      <c r="I3001" s="224" t="s">
        <v>2397</v>
      </c>
      <c r="J3001" s="240" t="s">
        <v>5040</v>
      </c>
      <c r="K3001" s="242">
        <v>1.0</v>
      </c>
      <c r="L3001" s="124">
        <v>3.87406931E9</v>
      </c>
    </row>
    <row r="3002">
      <c r="A3002" s="33" t="s">
        <v>12403</v>
      </c>
      <c r="B3002" s="122">
        <v>46111.0</v>
      </c>
      <c r="C3002" s="103">
        <v>8.07000035566E11</v>
      </c>
      <c r="D3002" s="103" t="s">
        <v>12404</v>
      </c>
      <c r="E3002" s="103" t="s">
        <v>12405</v>
      </c>
      <c r="F3002" s="241" t="s">
        <v>12406</v>
      </c>
      <c r="G3002" s="241" t="s">
        <v>127</v>
      </c>
      <c r="H3002" s="241">
        <v>4400.0</v>
      </c>
      <c r="I3002" s="211" t="s">
        <v>985</v>
      </c>
      <c r="J3002" s="103" t="s">
        <v>3600</v>
      </c>
      <c r="K3002" s="241">
        <v>1.0</v>
      </c>
      <c r="L3002" s="124">
        <v>3.87406931E9</v>
      </c>
    </row>
    <row r="3003">
      <c r="A3003" s="33" t="s">
        <v>12407</v>
      </c>
      <c r="B3003" s="122">
        <v>46111.0</v>
      </c>
      <c r="C3003" s="240">
        <v>8.0700003557E11</v>
      </c>
      <c r="D3003" s="240" t="s">
        <v>12408</v>
      </c>
      <c r="E3003" s="240" t="s">
        <v>12409</v>
      </c>
      <c r="F3003" s="242" t="s">
        <v>12410</v>
      </c>
      <c r="G3003" s="242" t="s">
        <v>127</v>
      </c>
      <c r="H3003" s="242">
        <v>4400.0</v>
      </c>
      <c r="I3003" s="224" t="s">
        <v>512</v>
      </c>
      <c r="J3003" s="240" t="s">
        <v>513</v>
      </c>
      <c r="K3003" s="242">
        <v>12.0</v>
      </c>
      <c r="L3003" s="124">
        <v>3.874821908E9</v>
      </c>
    </row>
    <row r="3004">
      <c r="A3004" s="33" t="s">
        <v>12407</v>
      </c>
      <c r="B3004" s="122">
        <v>46111.0</v>
      </c>
      <c r="C3004" s="103">
        <v>8.07000035571E11</v>
      </c>
      <c r="D3004" s="103" t="s">
        <v>12408</v>
      </c>
      <c r="E3004" s="103" t="s">
        <v>12409</v>
      </c>
      <c r="F3004" s="241" t="s">
        <v>12410</v>
      </c>
      <c r="G3004" s="241" t="s">
        <v>127</v>
      </c>
      <c r="H3004" s="241">
        <v>4400.0</v>
      </c>
      <c r="I3004" s="211" t="s">
        <v>218</v>
      </c>
      <c r="J3004" s="103" t="s">
        <v>8664</v>
      </c>
      <c r="K3004" s="241">
        <v>1.0</v>
      </c>
      <c r="L3004" s="124">
        <v>3.874821908E9</v>
      </c>
    </row>
    <row r="3005">
      <c r="A3005" s="33" t="s">
        <v>12407</v>
      </c>
      <c r="B3005" s="122">
        <v>46111.0</v>
      </c>
      <c r="C3005" s="240">
        <v>8.07000035571E11</v>
      </c>
      <c r="D3005" s="240" t="s">
        <v>12408</v>
      </c>
      <c r="E3005" s="240" t="s">
        <v>12409</v>
      </c>
      <c r="F3005" s="242" t="s">
        <v>12410</v>
      </c>
      <c r="G3005" s="242" t="s">
        <v>127</v>
      </c>
      <c r="H3005" s="242">
        <v>4400.0</v>
      </c>
      <c r="I3005" s="224" t="s">
        <v>121</v>
      </c>
      <c r="J3005" s="240" t="s">
        <v>3199</v>
      </c>
      <c r="K3005" s="242">
        <v>2.0</v>
      </c>
      <c r="L3005" s="124">
        <v>3.874821908E9</v>
      </c>
    </row>
    <row r="3006">
      <c r="A3006" s="33" t="s">
        <v>12411</v>
      </c>
      <c r="B3006" s="122">
        <v>46111.0</v>
      </c>
      <c r="C3006" s="103">
        <v>8.07000035572E11</v>
      </c>
      <c r="D3006" s="103" t="s">
        <v>12412</v>
      </c>
      <c r="E3006" s="103" t="s">
        <v>12413</v>
      </c>
      <c r="F3006" s="241" t="s">
        <v>12414</v>
      </c>
      <c r="G3006" s="241" t="s">
        <v>127</v>
      </c>
      <c r="H3006" s="241">
        <v>4400.0</v>
      </c>
      <c r="I3006" s="211" t="s">
        <v>8371</v>
      </c>
      <c r="J3006" s="103" t="s">
        <v>8372</v>
      </c>
      <c r="K3006" s="241">
        <v>1.0</v>
      </c>
      <c r="L3006" s="124">
        <v>3.875353288E9</v>
      </c>
    </row>
    <row r="3007">
      <c r="A3007" s="33" t="s">
        <v>12415</v>
      </c>
      <c r="B3007" s="122">
        <v>46111.0</v>
      </c>
      <c r="C3007" s="240">
        <v>8.07000035574E11</v>
      </c>
      <c r="D3007" s="240" t="s">
        <v>12416</v>
      </c>
      <c r="E3007" s="240" t="s">
        <v>12417</v>
      </c>
      <c r="F3007" s="242" t="s">
        <v>12418</v>
      </c>
      <c r="G3007" s="242" t="s">
        <v>2811</v>
      </c>
      <c r="H3007" s="242">
        <v>4400.0</v>
      </c>
      <c r="I3007" s="224" t="s">
        <v>512</v>
      </c>
      <c r="J3007" s="240" t="s">
        <v>513</v>
      </c>
      <c r="K3007" s="242">
        <v>18.0</v>
      </c>
      <c r="L3007" s="124">
        <v>3.874041387E9</v>
      </c>
    </row>
    <row r="3008">
      <c r="A3008" s="33" t="s">
        <v>12415</v>
      </c>
      <c r="B3008" s="122">
        <v>46111.0</v>
      </c>
      <c r="C3008" s="103">
        <v>8.07000035575E11</v>
      </c>
      <c r="D3008" s="103" t="s">
        <v>12416</v>
      </c>
      <c r="E3008" s="103" t="s">
        <v>12417</v>
      </c>
      <c r="F3008" s="241" t="s">
        <v>12418</v>
      </c>
      <c r="G3008" s="241" t="s">
        <v>2811</v>
      </c>
      <c r="H3008" s="241">
        <v>4400.0</v>
      </c>
      <c r="I3008" s="211" t="s">
        <v>98</v>
      </c>
      <c r="J3008" s="103" t="s">
        <v>3187</v>
      </c>
      <c r="K3008" s="241">
        <v>1.0</v>
      </c>
      <c r="L3008" s="124">
        <v>3.874041387E9</v>
      </c>
    </row>
    <row r="3009">
      <c r="A3009" s="33" t="s">
        <v>12415</v>
      </c>
      <c r="B3009" s="122">
        <v>46111.0</v>
      </c>
      <c r="C3009" s="240">
        <v>8.07000035575E11</v>
      </c>
      <c r="D3009" s="240" t="s">
        <v>12416</v>
      </c>
      <c r="E3009" s="240" t="s">
        <v>12417</v>
      </c>
      <c r="F3009" s="242" t="s">
        <v>12418</v>
      </c>
      <c r="G3009" s="242" t="s">
        <v>2811</v>
      </c>
      <c r="H3009" s="242">
        <v>4400.0</v>
      </c>
      <c r="I3009" s="224" t="s">
        <v>1115</v>
      </c>
      <c r="J3009" s="240" t="s">
        <v>8215</v>
      </c>
      <c r="K3009" s="242">
        <v>1.0</v>
      </c>
      <c r="L3009" s="124">
        <v>3.874041387E9</v>
      </c>
    </row>
    <row r="3010">
      <c r="A3010" s="33" t="s">
        <v>12415</v>
      </c>
      <c r="B3010" s="122">
        <v>46111.0</v>
      </c>
      <c r="C3010" s="103">
        <v>8.07000035575E11</v>
      </c>
      <c r="D3010" s="103" t="s">
        <v>12416</v>
      </c>
      <c r="E3010" s="103" t="s">
        <v>12417</v>
      </c>
      <c r="F3010" s="241" t="s">
        <v>12418</v>
      </c>
      <c r="G3010" s="241" t="s">
        <v>2811</v>
      </c>
      <c r="H3010" s="241">
        <v>4400.0</v>
      </c>
      <c r="I3010" s="211" t="s">
        <v>340</v>
      </c>
      <c r="J3010" s="103" t="s">
        <v>3486</v>
      </c>
      <c r="K3010" s="241">
        <v>2.0</v>
      </c>
      <c r="L3010" s="124">
        <v>3.874041387E9</v>
      </c>
    </row>
    <row r="3011">
      <c r="A3011" s="33" t="s">
        <v>12415</v>
      </c>
      <c r="B3011" s="122">
        <v>46111.0</v>
      </c>
      <c r="C3011" s="240">
        <v>8.07000035575E11</v>
      </c>
      <c r="D3011" s="240" t="s">
        <v>12416</v>
      </c>
      <c r="E3011" s="240" t="s">
        <v>12417</v>
      </c>
      <c r="F3011" s="242" t="s">
        <v>12418</v>
      </c>
      <c r="G3011" s="242" t="s">
        <v>2811</v>
      </c>
      <c r="H3011" s="242">
        <v>4400.0</v>
      </c>
      <c r="I3011" s="224" t="s">
        <v>670</v>
      </c>
      <c r="J3011" s="240" t="s">
        <v>3410</v>
      </c>
      <c r="K3011" s="242">
        <v>1.0</v>
      </c>
      <c r="L3011" s="124">
        <v>3.874041387E9</v>
      </c>
    </row>
    <row r="3012">
      <c r="A3012" s="33" t="s">
        <v>12419</v>
      </c>
      <c r="B3012" s="122">
        <v>46111.0</v>
      </c>
      <c r="C3012" s="103">
        <v>8.07000035578E11</v>
      </c>
      <c r="D3012" s="103" t="s">
        <v>12420</v>
      </c>
      <c r="E3012" s="103" t="s">
        <v>12421</v>
      </c>
      <c r="F3012" s="241" t="s">
        <v>12422</v>
      </c>
      <c r="G3012" s="241" t="s">
        <v>2907</v>
      </c>
      <c r="H3012" s="241">
        <v>4400.0</v>
      </c>
      <c r="I3012" s="211">
        <v>125822.0</v>
      </c>
      <c r="J3012" s="103" t="s">
        <v>6030</v>
      </c>
      <c r="K3012" s="241">
        <v>2.0</v>
      </c>
      <c r="L3012" s="124">
        <v>3.872138512E9</v>
      </c>
    </row>
    <row r="3013">
      <c r="A3013" s="33" t="s">
        <v>12419</v>
      </c>
      <c r="B3013" s="122">
        <v>46111.0</v>
      </c>
      <c r="C3013" s="240">
        <v>8.07000035578E11</v>
      </c>
      <c r="D3013" s="240" t="s">
        <v>12420</v>
      </c>
      <c r="E3013" s="240" t="s">
        <v>12421</v>
      </c>
      <c r="F3013" s="242" t="s">
        <v>12422</v>
      </c>
      <c r="G3013" s="242" t="s">
        <v>2907</v>
      </c>
      <c r="H3013" s="242">
        <v>4400.0</v>
      </c>
      <c r="I3013" s="224" t="s">
        <v>3154</v>
      </c>
      <c r="J3013" s="240" t="s">
        <v>4564</v>
      </c>
      <c r="K3013" s="242">
        <v>1.0</v>
      </c>
      <c r="L3013" s="124">
        <v>3.872138512E9</v>
      </c>
    </row>
    <row r="3014">
      <c r="A3014" s="33" t="s">
        <v>12423</v>
      </c>
      <c r="B3014" s="122">
        <v>46111.0</v>
      </c>
      <c r="C3014" s="103">
        <v>8.05011573302E11</v>
      </c>
      <c r="D3014" s="103" t="s">
        <v>12424</v>
      </c>
      <c r="E3014" s="103" t="s">
        <v>12425</v>
      </c>
      <c r="F3014" s="241" t="s">
        <v>12426</v>
      </c>
      <c r="G3014" s="241" t="s">
        <v>20</v>
      </c>
      <c r="H3014" s="241">
        <v>4401.0</v>
      </c>
      <c r="I3014" s="211" t="s">
        <v>2171</v>
      </c>
      <c r="J3014" s="103" t="s">
        <v>3446</v>
      </c>
      <c r="K3014" s="241">
        <v>1.0</v>
      </c>
      <c r="L3014" s="124">
        <v>3.872774444E9</v>
      </c>
    </row>
    <row r="3015">
      <c r="A3015" s="33" t="s">
        <v>12423</v>
      </c>
      <c r="B3015" s="122">
        <v>46111.0</v>
      </c>
      <c r="C3015" s="240">
        <v>8.05011573302E11</v>
      </c>
      <c r="D3015" s="240" t="s">
        <v>12424</v>
      </c>
      <c r="E3015" s="240" t="s">
        <v>12425</v>
      </c>
      <c r="F3015" s="242" t="s">
        <v>12426</v>
      </c>
      <c r="G3015" s="242" t="s">
        <v>20</v>
      </c>
      <c r="H3015" s="242">
        <v>4401.0</v>
      </c>
      <c r="I3015" s="224" t="s">
        <v>512</v>
      </c>
      <c r="J3015" s="240" t="s">
        <v>513</v>
      </c>
      <c r="K3015" s="242">
        <v>6.0</v>
      </c>
      <c r="L3015" s="124">
        <v>3.872774444E9</v>
      </c>
    </row>
    <row r="3016">
      <c r="A3016" s="33" t="s">
        <v>12423</v>
      </c>
      <c r="B3016" s="122">
        <v>46111.0</v>
      </c>
      <c r="C3016" s="103">
        <v>8.05011573302E11</v>
      </c>
      <c r="D3016" s="103" t="s">
        <v>12424</v>
      </c>
      <c r="E3016" s="103" t="s">
        <v>12425</v>
      </c>
      <c r="F3016" s="241" t="s">
        <v>12426</v>
      </c>
      <c r="G3016" s="241" t="s">
        <v>20</v>
      </c>
      <c r="H3016" s="241">
        <v>4401.0</v>
      </c>
      <c r="I3016" s="211" t="s">
        <v>3447</v>
      </c>
      <c r="J3016" s="103" t="s">
        <v>3448</v>
      </c>
      <c r="K3016" s="241">
        <v>1.0</v>
      </c>
      <c r="L3016" s="124">
        <v>3.872774444E9</v>
      </c>
    </row>
    <row r="3017">
      <c r="A3017" s="33"/>
      <c r="B3017" s="122">
        <v>46111.0</v>
      </c>
      <c r="C3017" s="103">
        <v>8.07000035584E11</v>
      </c>
      <c r="D3017" s="103" t="s">
        <v>12416</v>
      </c>
      <c r="E3017" s="103" t="s">
        <v>12417</v>
      </c>
      <c r="F3017" s="241" t="s">
        <v>12418</v>
      </c>
      <c r="G3017" s="241" t="s">
        <v>2811</v>
      </c>
      <c r="H3017" s="241">
        <v>4400.0</v>
      </c>
      <c r="I3017" s="211" t="s">
        <v>659</v>
      </c>
      <c r="J3017" s="103" t="s">
        <v>3468</v>
      </c>
      <c r="K3017" s="241">
        <v>1.0</v>
      </c>
      <c r="L3017" s="124"/>
    </row>
    <row r="3018">
      <c r="A3018" s="244"/>
      <c r="B3018" s="245"/>
      <c r="C3018" s="271"/>
      <c r="D3018" s="271"/>
      <c r="E3018" s="271"/>
      <c r="F3018" s="273"/>
      <c r="G3018" s="273"/>
      <c r="H3018" s="273"/>
      <c r="I3018" s="272"/>
      <c r="J3018" s="271"/>
      <c r="K3018" s="273"/>
      <c r="L3018" s="247"/>
    </row>
    <row r="3019">
      <c r="A3019" s="33" t="s">
        <v>12427</v>
      </c>
      <c r="B3019" s="122">
        <v>46112.0</v>
      </c>
      <c r="C3019" s="103">
        <v>8.07000035586E11</v>
      </c>
      <c r="D3019" s="103" t="s">
        <v>12428</v>
      </c>
      <c r="E3019" s="103" t="s">
        <v>12429</v>
      </c>
      <c r="F3019" s="242" t="s">
        <v>12430</v>
      </c>
      <c r="G3019" s="242" t="s">
        <v>127</v>
      </c>
      <c r="H3019" s="242">
        <v>4400.0</v>
      </c>
      <c r="I3019" s="211" t="s">
        <v>11303</v>
      </c>
      <c r="J3019" s="103" t="s">
        <v>11304</v>
      </c>
      <c r="K3019" s="241">
        <v>1.0</v>
      </c>
      <c r="L3019" s="124">
        <v>3.87605802E9</v>
      </c>
    </row>
    <row r="3020">
      <c r="A3020" s="33" t="s">
        <v>12427</v>
      </c>
      <c r="B3020" s="122">
        <v>46112.0</v>
      </c>
      <c r="C3020" s="240">
        <v>8.07000035586E11</v>
      </c>
      <c r="D3020" s="240" t="s">
        <v>12428</v>
      </c>
      <c r="E3020" s="240" t="s">
        <v>12429</v>
      </c>
      <c r="F3020" s="242" t="s">
        <v>12430</v>
      </c>
      <c r="G3020" s="242" t="s">
        <v>127</v>
      </c>
      <c r="H3020" s="242">
        <v>4400.0</v>
      </c>
      <c r="I3020" s="224" t="s">
        <v>795</v>
      </c>
      <c r="J3020" s="240" t="s">
        <v>8913</v>
      </c>
      <c r="K3020" s="242">
        <v>1.0</v>
      </c>
      <c r="L3020" s="124">
        <v>3.87605802E9</v>
      </c>
    </row>
    <row r="3021">
      <c r="A3021" s="33" t="s">
        <v>12431</v>
      </c>
      <c r="B3021" s="122">
        <v>46112.0</v>
      </c>
      <c r="C3021" s="103">
        <v>8.07000035587E11</v>
      </c>
      <c r="D3021" s="103" t="s">
        <v>12432</v>
      </c>
      <c r="E3021" s="103" t="s">
        <v>12433</v>
      </c>
      <c r="F3021" s="242" t="s">
        <v>12434</v>
      </c>
      <c r="G3021" s="242" t="s">
        <v>127</v>
      </c>
      <c r="H3021" s="242">
        <v>4400.0</v>
      </c>
      <c r="I3021" s="211" t="s">
        <v>512</v>
      </c>
      <c r="J3021" s="103" t="s">
        <v>513</v>
      </c>
      <c r="K3021" s="241">
        <v>6.0</v>
      </c>
      <c r="L3021" s="124">
        <v>3.875879974E9</v>
      </c>
    </row>
    <row r="3022">
      <c r="A3022" s="33" t="s">
        <v>12431</v>
      </c>
      <c r="B3022" s="122">
        <v>46112.0</v>
      </c>
      <c r="C3022" s="240">
        <v>8.07000035588E11</v>
      </c>
      <c r="D3022" s="240" t="s">
        <v>12432</v>
      </c>
      <c r="E3022" s="240" t="s">
        <v>12433</v>
      </c>
      <c r="F3022" s="242" t="s">
        <v>12434</v>
      </c>
      <c r="G3022" s="242" t="s">
        <v>127</v>
      </c>
      <c r="H3022" s="242">
        <v>4400.0</v>
      </c>
      <c r="I3022" s="224" t="s">
        <v>2956</v>
      </c>
      <c r="J3022" s="240" t="s">
        <v>3327</v>
      </c>
      <c r="K3022" s="242">
        <v>1.0</v>
      </c>
      <c r="L3022" s="124">
        <v>3.875879974E9</v>
      </c>
    </row>
    <row r="3023">
      <c r="A3023" s="33" t="s">
        <v>12431</v>
      </c>
      <c r="B3023" s="122">
        <v>46112.0</v>
      </c>
      <c r="C3023" s="103">
        <v>8.07000035588E11</v>
      </c>
      <c r="D3023" s="103" t="s">
        <v>12432</v>
      </c>
      <c r="E3023" s="103" t="s">
        <v>12433</v>
      </c>
      <c r="F3023" s="242" t="s">
        <v>12434</v>
      </c>
      <c r="G3023" s="242" t="s">
        <v>127</v>
      </c>
      <c r="H3023" s="242">
        <v>4400.0</v>
      </c>
      <c r="I3023" s="211" t="s">
        <v>670</v>
      </c>
      <c r="J3023" s="103" t="s">
        <v>3410</v>
      </c>
      <c r="K3023" s="241">
        <v>1.0</v>
      </c>
      <c r="L3023" s="124">
        <v>3.875879974E9</v>
      </c>
    </row>
    <row r="3024">
      <c r="A3024" s="33" t="s">
        <v>12435</v>
      </c>
      <c r="B3024" s="122">
        <v>46112.0</v>
      </c>
      <c r="C3024" s="103">
        <v>8.0700003559E11</v>
      </c>
      <c r="D3024" s="103" t="s">
        <v>12436</v>
      </c>
      <c r="E3024" s="103" t="s">
        <v>12437</v>
      </c>
      <c r="F3024" s="242" t="s">
        <v>12438</v>
      </c>
      <c r="G3024" s="242" t="s">
        <v>127</v>
      </c>
      <c r="H3024" s="242">
        <v>4400.0</v>
      </c>
      <c r="I3024" s="211" t="s">
        <v>5817</v>
      </c>
      <c r="J3024" s="103" t="s">
        <v>5417</v>
      </c>
      <c r="K3024" s="241">
        <v>1.0</v>
      </c>
      <c r="L3024" s="124">
        <v>3.875020036E9</v>
      </c>
    </row>
    <row r="3025">
      <c r="A3025" s="33" t="s">
        <v>12435</v>
      </c>
      <c r="B3025" s="122">
        <v>46112.0</v>
      </c>
      <c r="C3025" s="240">
        <v>8.0700003559E11</v>
      </c>
      <c r="D3025" s="240" t="s">
        <v>12436</v>
      </c>
      <c r="E3025" s="240" t="s">
        <v>12437</v>
      </c>
      <c r="F3025" s="242" t="s">
        <v>12438</v>
      </c>
      <c r="G3025" s="242" t="s">
        <v>127</v>
      </c>
      <c r="H3025" s="242">
        <v>4400.0</v>
      </c>
      <c r="I3025" s="224" t="s">
        <v>2294</v>
      </c>
      <c r="J3025" s="240" t="s">
        <v>5415</v>
      </c>
      <c r="K3025" s="242">
        <v>1.0</v>
      </c>
      <c r="L3025" s="124">
        <v>3.875020036E9</v>
      </c>
    </row>
    <row r="3026">
      <c r="A3026" s="33" t="s">
        <v>12439</v>
      </c>
      <c r="B3026" s="122">
        <v>46112.0</v>
      </c>
      <c r="C3026" s="103">
        <v>8.07000035593E11</v>
      </c>
      <c r="D3026" s="103" t="s">
        <v>12440</v>
      </c>
      <c r="E3026" s="103" t="s">
        <v>12441</v>
      </c>
      <c r="F3026" s="242" t="s">
        <v>12442</v>
      </c>
      <c r="G3026" s="242" t="s">
        <v>127</v>
      </c>
      <c r="H3026" s="242">
        <v>4400.0</v>
      </c>
      <c r="I3026" s="211" t="s">
        <v>512</v>
      </c>
      <c r="J3026" s="103" t="s">
        <v>513</v>
      </c>
      <c r="K3026" s="241">
        <v>12.0</v>
      </c>
      <c r="L3026" s="124">
        <v>3.874103007E9</v>
      </c>
    </row>
    <row r="3027">
      <c r="A3027" s="33" t="s">
        <v>12439</v>
      </c>
      <c r="B3027" s="122">
        <v>46112.0</v>
      </c>
      <c r="C3027" s="240">
        <v>8.07000035594E11</v>
      </c>
      <c r="D3027" s="240" t="s">
        <v>12440</v>
      </c>
      <c r="E3027" s="240" t="s">
        <v>12441</v>
      </c>
      <c r="F3027" s="242" t="s">
        <v>12442</v>
      </c>
      <c r="G3027" s="242" t="s">
        <v>127</v>
      </c>
      <c r="H3027" s="242">
        <v>4400.0</v>
      </c>
      <c r="I3027" s="224" t="s">
        <v>761</v>
      </c>
      <c r="J3027" s="240" t="s">
        <v>3761</v>
      </c>
      <c r="K3027" s="242">
        <v>1.0</v>
      </c>
      <c r="L3027" s="124">
        <v>3.874103007E9</v>
      </c>
    </row>
    <row r="3028">
      <c r="A3028" s="33" t="s">
        <v>12439</v>
      </c>
      <c r="B3028" s="122">
        <v>46112.0</v>
      </c>
      <c r="C3028" s="103">
        <v>8.07000035594E11</v>
      </c>
      <c r="D3028" s="103" t="s">
        <v>12440</v>
      </c>
      <c r="E3028" s="103" t="s">
        <v>12441</v>
      </c>
      <c r="F3028" s="242" t="s">
        <v>12442</v>
      </c>
      <c r="G3028" s="242" t="s">
        <v>127</v>
      </c>
      <c r="H3028" s="242">
        <v>4400.0</v>
      </c>
      <c r="I3028" s="211" t="s">
        <v>758</v>
      </c>
      <c r="J3028" s="103" t="s">
        <v>3574</v>
      </c>
      <c r="K3028" s="241">
        <v>2.0</v>
      </c>
      <c r="L3028" s="124">
        <v>3.874103007E9</v>
      </c>
    </row>
    <row r="3029">
      <c r="A3029" s="33" t="s">
        <v>12443</v>
      </c>
      <c r="B3029" s="122">
        <v>46112.0</v>
      </c>
      <c r="C3029" s="240">
        <v>8.07000035595E11</v>
      </c>
      <c r="D3029" s="240" t="s">
        <v>12444</v>
      </c>
      <c r="E3029" s="240" t="s">
        <v>12445</v>
      </c>
      <c r="F3029" s="242" t="s">
        <v>12446</v>
      </c>
      <c r="G3029" s="242" t="s">
        <v>127</v>
      </c>
      <c r="H3029" s="242">
        <v>4400.0</v>
      </c>
      <c r="I3029" s="224" t="s">
        <v>3817</v>
      </c>
      <c r="J3029" s="240" t="s">
        <v>3818</v>
      </c>
      <c r="K3029" s="242">
        <v>1.0</v>
      </c>
      <c r="L3029" s="124">
        <v>3.875149203E9</v>
      </c>
    </row>
    <row r="3030">
      <c r="A3030" s="33" t="s">
        <v>12443</v>
      </c>
      <c r="B3030" s="122">
        <v>46112.0</v>
      </c>
      <c r="C3030" s="103">
        <v>8.07000035595E11</v>
      </c>
      <c r="D3030" s="103" t="s">
        <v>12444</v>
      </c>
      <c r="E3030" s="103" t="s">
        <v>12445</v>
      </c>
      <c r="F3030" s="242" t="s">
        <v>12446</v>
      </c>
      <c r="G3030" s="242" t="s">
        <v>127</v>
      </c>
      <c r="H3030" s="242">
        <v>4400.0</v>
      </c>
      <c r="I3030" s="211" t="s">
        <v>512</v>
      </c>
      <c r="J3030" s="103" t="s">
        <v>513</v>
      </c>
      <c r="K3030" s="241">
        <v>12.0</v>
      </c>
      <c r="L3030" s="124">
        <v>3.875149203E9</v>
      </c>
    </row>
    <row r="3031">
      <c r="A3031" s="33" t="s">
        <v>12443</v>
      </c>
      <c r="B3031" s="122">
        <v>46112.0</v>
      </c>
      <c r="C3031" s="240">
        <v>8.07000035595E11</v>
      </c>
      <c r="D3031" s="240" t="s">
        <v>12444</v>
      </c>
      <c r="E3031" s="240" t="s">
        <v>12445</v>
      </c>
      <c r="F3031" s="242" t="s">
        <v>12446</v>
      </c>
      <c r="G3031" s="242" t="s">
        <v>127</v>
      </c>
      <c r="H3031" s="242">
        <v>4400.0</v>
      </c>
      <c r="I3031" s="224" t="s">
        <v>340</v>
      </c>
      <c r="J3031" s="240" t="s">
        <v>3486</v>
      </c>
      <c r="K3031" s="242">
        <v>2.0</v>
      </c>
      <c r="L3031" s="124">
        <v>3.875149203E9</v>
      </c>
    </row>
    <row r="3032">
      <c r="A3032" s="33" t="s">
        <v>12447</v>
      </c>
      <c r="B3032" s="122">
        <v>46113.0</v>
      </c>
      <c r="C3032" s="103">
        <v>8.07000035605E11</v>
      </c>
      <c r="D3032" s="103" t="s">
        <v>12448</v>
      </c>
      <c r="E3032" s="103" t="s">
        <v>12449</v>
      </c>
      <c r="F3032" s="241" t="s">
        <v>12450</v>
      </c>
      <c r="G3032" s="241" t="s">
        <v>127</v>
      </c>
      <c r="H3032" s="241">
        <v>4400.0</v>
      </c>
      <c r="I3032" s="211" t="s">
        <v>98</v>
      </c>
      <c r="J3032" s="103" t="s">
        <v>3187</v>
      </c>
      <c r="K3032" s="241">
        <v>1.0</v>
      </c>
      <c r="L3032" s="124">
        <v>3.874528368E9</v>
      </c>
    </row>
    <row r="3033">
      <c r="A3033" s="33" t="s">
        <v>12447</v>
      </c>
      <c r="B3033" s="122">
        <v>46113.0</v>
      </c>
      <c r="C3033" s="240">
        <v>8.07000035605E11</v>
      </c>
      <c r="D3033" s="240" t="s">
        <v>12448</v>
      </c>
      <c r="E3033" s="240" t="s">
        <v>12449</v>
      </c>
      <c r="F3033" s="242" t="s">
        <v>12450</v>
      </c>
      <c r="G3033" s="242" t="s">
        <v>127</v>
      </c>
      <c r="H3033" s="242">
        <v>4400.0</v>
      </c>
      <c r="I3033" s="224" t="s">
        <v>512</v>
      </c>
      <c r="J3033" s="240" t="s">
        <v>513</v>
      </c>
      <c r="K3033" s="242">
        <v>6.0</v>
      </c>
      <c r="L3033" s="124">
        <v>3.874528368E9</v>
      </c>
    </row>
    <row r="3034">
      <c r="A3034" s="33" t="s">
        <v>12447</v>
      </c>
      <c r="B3034" s="122">
        <v>46113.0</v>
      </c>
      <c r="C3034" s="103">
        <v>8.07000035605E11</v>
      </c>
      <c r="D3034" s="103" t="s">
        <v>12448</v>
      </c>
      <c r="E3034" s="103" t="s">
        <v>12449</v>
      </c>
      <c r="F3034" s="241" t="s">
        <v>12450</v>
      </c>
      <c r="G3034" s="241" t="s">
        <v>127</v>
      </c>
      <c r="H3034" s="241">
        <v>4400.0</v>
      </c>
      <c r="I3034" s="211" t="s">
        <v>35</v>
      </c>
      <c r="J3034" s="103" t="s">
        <v>3188</v>
      </c>
      <c r="K3034" s="241">
        <v>1.0</v>
      </c>
      <c r="L3034" s="124">
        <v>3.874528368E9</v>
      </c>
    </row>
    <row r="3035">
      <c r="A3035" s="33" t="s">
        <v>12451</v>
      </c>
      <c r="B3035" s="122">
        <v>46113.0</v>
      </c>
      <c r="C3035" s="103">
        <v>8.07000035615E11</v>
      </c>
      <c r="D3035" s="103" t="s">
        <v>12452</v>
      </c>
      <c r="E3035" s="103" t="s">
        <v>12453</v>
      </c>
      <c r="F3035" s="241" t="s">
        <v>12454</v>
      </c>
      <c r="G3035" s="241" t="s">
        <v>127</v>
      </c>
      <c r="H3035" s="241">
        <v>4400.0</v>
      </c>
      <c r="I3035" s="211" t="s">
        <v>3218</v>
      </c>
      <c r="J3035" s="103" t="s">
        <v>3219</v>
      </c>
      <c r="K3035" s="241">
        <v>1.0</v>
      </c>
      <c r="L3035" s="124">
        <v>3.874328594E9</v>
      </c>
    </row>
    <row r="3036">
      <c r="A3036" s="33" t="s">
        <v>12451</v>
      </c>
      <c r="B3036" s="122">
        <v>46113.0</v>
      </c>
      <c r="C3036" s="240">
        <v>8.07000035615E11</v>
      </c>
      <c r="D3036" s="240" t="s">
        <v>12452</v>
      </c>
      <c r="E3036" s="240" t="s">
        <v>12453</v>
      </c>
      <c r="F3036" s="242" t="s">
        <v>12454</v>
      </c>
      <c r="G3036" s="242" t="s">
        <v>127</v>
      </c>
      <c r="H3036" s="242">
        <v>4400.0</v>
      </c>
      <c r="I3036" s="224" t="s">
        <v>6548</v>
      </c>
      <c r="J3036" s="240" t="s">
        <v>6549</v>
      </c>
      <c r="K3036" s="242">
        <v>1.0</v>
      </c>
      <c r="L3036" s="124">
        <v>3.874328594E9</v>
      </c>
    </row>
    <row r="3037">
      <c r="A3037" s="33" t="s">
        <v>12455</v>
      </c>
      <c r="B3037" s="122">
        <v>46114.0</v>
      </c>
      <c r="C3037" s="240">
        <v>8.07000035617E11</v>
      </c>
      <c r="D3037" s="240" t="s">
        <v>12456</v>
      </c>
      <c r="E3037" s="240" t="s">
        <v>12457</v>
      </c>
      <c r="F3037" s="242" t="s">
        <v>12458</v>
      </c>
      <c r="G3037" s="242" t="s">
        <v>12459</v>
      </c>
      <c r="H3037" s="242">
        <v>4427.0</v>
      </c>
      <c r="I3037" s="224" t="s">
        <v>3451</v>
      </c>
      <c r="J3037" s="240" t="s">
        <v>3452</v>
      </c>
      <c r="K3037" s="242">
        <v>1.0</v>
      </c>
      <c r="L3037" s="124">
        <v>3.874148189E9</v>
      </c>
    </row>
    <row r="3038">
      <c r="A3038" s="33" t="s">
        <v>12455</v>
      </c>
      <c r="B3038" s="122">
        <v>46114.0</v>
      </c>
      <c r="C3038" s="103">
        <v>8.07000035617E11</v>
      </c>
      <c r="D3038" s="103" t="s">
        <v>12456</v>
      </c>
      <c r="E3038" s="103" t="s">
        <v>12457</v>
      </c>
      <c r="F3038" s="242" t="s">
        <v>12458</v>
      </c>
      <c r="G3038" s="242" t="s">
        <v>12459</v>
      </c>
      <c r="H3038" s="242">
        <v>4427.0</v>
      </c>
      <c r="I3038" s="211" t="s">
        <v>512</v>
      </c>
      <c r="J3038" s="103" t="s">
        <v>513</v>
      </c>
      <c r="K3038" s="241">
        <v>6.0</v>
      </c>
      <c r="L3038" s="124">
        <v>3.874148189E9</v>
      </c>
    </row>
    <row r="3039">
      <c r="A3039" s="33" t="s">
        <v>12455</v>
      </c>
      <c r="B3039" s="122">
        <v>46114.0</v>
      </c>
      <c r="C3039" s="240">
        <v>8.07000035617E11</v>
      </c>
      <c r="D3039" s="240" t="s">
        <v>12456</v>
      </c>
      <c r="E3039" s="240" t="s">
        <v>12457</v>
      </c>
      <c r="F3039" s="242" t="s">
        <v>12458</v>
      </c>
      <c r="G3039" s="242" t="s">
        <v>12459</v>
      </c>
      <c r="H3039" s="242">
        <v>4427.0</v>
      </c>
      <c r="I3039" s="224" t="s">
        <v>670</v>
      </c>
      <c r="J3039" s="240" t="s">
        <v>3410</v>
      </c>
      <c r="K3039" s="242">
        <v>1.0</v>
      </c>
      <c r="L3039" s="124">
        <v>3.874148189E9</v>
      </c>
    </row>
    <row r="3040" ht="8.25" customHeight="1">
      <c r="A3040" s="244"/>
      <c r="B3040" s="245"/>
      <c r="C3040" s="271"/>
      <c r="D3040" s="271"/>
      <c r="E3040" s="271"/>
      <c r="F3040" s="273"/>
      <c r="G3040" s="273"/>
      <c r="H3040" s="273"/>
      <c r="I3040" s="272"/>
      <c r="J3040" s="271"/>
      <c r="K3040" s="273"/>
      <c r="L3040" s="247"/>
      <c r="M3040" s="233"/>
      <c r="N3040" s="233"/>
      <c r="O3040" s="233"/>
      <c r="P3040" s="233"/>
      <c r="Q3040" s="233"/>
      <c r="R3040" s="233"/>
      <c r="S3040" s="233"/>
      <c r="T3040" s="233"/>
      <c r="U3040" s="233"/>
      <c r="V3040" s="233"/>
      <c r="W3040" s="233"/>
      <c r="X3040" s="233"/>
      <c r="Y3040" s="233"/>
      <c r="Z3040" s="233"/>
      <c r="AA3040" s="233"/>
      <c r="AB3040" s="233"/>
      <c r="AC3040" s="233"/>
    </row>
    <row r="3041">
      <c r="A3041" s="33" t="s">
        <v>12460</v>
      </c>
      <c r="B3041" s="122">
        <v>46116.0</v>
      </c>
      <c r="C3041" s="240">
        <v>8.07000035626E11</v>
      </c>
      <c r="D3041" s="240" t="s">
        <v>12461</v>
      </c>
      <c r="E3041" s="240" t="s">
        <v>12462</v>
      </c>
      <c r="F3041" s="242" t="s">
        <v>12463</v>
      </c>
      <c r="G3041" s="242" t="s">
        <v>127</v>
      </c>
      <c r="H3041" s="242">
        <v>4400.0</v>
      </c>
      <c r="I3041" s="224" t="s">
        <v>2956</v>
      </c>
      <c r="J3041" s="240" t="s">
        <v>3327</v>
      </c>
      <c r="K3041" s="242">
        <v>1.0</v>
      </c>
      <c r="L3041" s="124">
        <v>3.875619318E9</v>
      </c>
    </row>
    <row r="3042">
      <c r="A3042" s="33" t="s">
        <v>12460</v>
      </c>
      <c r="B3042" s="122">
        <v>46116.0</v>
      </c>
      <c r="C3042" s="103">
        <v>8.07000035627E11</v>
      </c>
      <c r="D3042" s="103" t="s">
        <v>12461</v>
      </c>
      <c r="E3042" s="103" t="s">
        <v>12462</v>
      </c>
      <c r="F3042" s="241" t="s">
        <v>12463</v>
      </c>
      <c r="G3042" s="241" t="s">
        <v>127</v>
      </c>
      <c r="H3042" s="241">
        <v>4400.0</v>
      </c>
      <c r="I3042" s="211" t="s">
        <v>4335</v>
      </c>
      <c r="J3042" s="103" t="s">
        <v>4336</v>
      </c>
      <c r="K3042" s="241">
        <v>1.0</v>
      </c>
      <c r="L3042" s="124">
        <v>3.875619318E9</v>
      </c>
    </row>
    <row r="3043">
      <c r="A3043" s="33" t="s">
        <v>12464</v>
      </c>
      <c r="B3043" s="122">
        <v>46116.0</v>
      </c>
      <c r="C3043" s="240">
        <v>8.07000035628E11</v>
      </c>
      <c r="D3043" s="240" t="s">
        <v>12461</v>
      </c>
      <c r="E3043" s="240" t="s">
        <v>12462</v>
      </c>
      <c r="F3043" s="242" t="s">
        <v>12463</v>
      </c>
      <c r="G3043" s="242" t="s">
        <v>127</v>
      </c>
      <c r="H3043" s="242">
        <v>4400.0</v>
      </c>
      <c r="I3043" s="224" t="s">
        <v>512</v>
      </c>
      <c r="J3043" s="240" t="s">
        <v>513</v>
      </c>
      <c r="K3043" s="242">
        <v>6.0</v>
      </c>
      <c r="L3043" s="124">
        <v>3.875619318E9</v>
      </c>
    </row>
    <row r="3044">
      <c r="A3044" s="33" t="s">
        <v>12464</v>
      </c>
      <c r="B3044" s="122">
        <v>46116.0</v>
      </c>
      <c r="C3044" s="103">
        <v>8.07000035629E11</v>
      </c>
      <c r="D3044" s="103" t="s">
        <v>12461</v>
      </c>
      <c r="E3044" s="103" t="s">
        <v>12462</v>
      </c>
      <c r="F3044" s="241" t="s">
        <v>12463</v>
      </c>
      <c r="G3044" s="241" t="s">
        <v>127</v>
      </c>
      <c r="H3044" s="241">
        <v>4400.0</v>
      </c>
      <c r="I3044" s="211" t="s">
        <v>2956</v>
      </c>
      <c r="J3044" s="103" t="s">
        <v>3327</v>
      </c>
      <c r="K3044" s="241">
        <v>1.0</v>
      </c>
      <c r="L3044" s="124">
        <v>3.875619318E9</v>
      </c>
    </row>
    <row r="3045">
      <c r="A3045" s="33" t="s">
        <v>12464</v>
      </c>
      <c r="B3045" s="122">
        <v>46116.0</v>
      </c>
      <c r="C3045" s="240">
        <v>8.07000035629E11</v>
      </c>
      <c r="D3045" s="240" t="s">
        <v>12461</v>
      </c>
      <c r="E3045" s="240" t="s">
        <v>12462</v>
      </c>
      <c r="F3045" s="242" t="s">
        <v>12463</v>
      </c>
      <c r="G3045" s="242" t="s">
        <v>127</v>
      </c>
      <c r="H3045" s="242">
        <v>4400.0</v>
      </c>
      <c r="I3045" s="224" t="s">
        <v>670</v>
      </c>
      <c r="J3045" s="240" t="s">
        <v>3410</v>
      </c>
      <c r="K3045" s="242">
        <v>1.0</v>
      </c>
      <c r="L3045" s="124">
        <v>3.875619318E9</v>
      </c>
    </row>
    <row r="3046">
      <c r="A3046" s="33" t="s">
        <v>12465</v>
      </c>
      <c r="B3046" s="122">
        <v>46116.0</v>
      </c>
      <c r="C3046" s="103">
        <v>8.07000035638E11</v>
      </c>
      <c r="D3046" s="103" t="s">
        <v>12466</v>
      </c>
      <c r="E3046" s="103" t="s">
        <v>12467</v>
      </c>
      <c r="F3046" s="241" t="s">
        <v>12468</v>
      </c>
      <c r="G3046" s="241" t="s">
        <v>127</v>
      </c>
      <c r="H3046" s="241">
        <v>4400.0</v>
      </c>
      <c r="I3046" s="211" t="s">
        <v>6343</v>
      </c>
      <c r="J3046" s="103" t="s">
        <v>6435</v>
      </c>
      <c r="K3046" s="241">
        <v>1.0</v>
      </c>
      <c r="L3046" s="124">
        <v>3.874553107E9</v>
      </c>
    </row>
    <row r="3047">
      <c r="A3047" s="33" t="s">
        <v>12465</v>
      </c>
      <c r="B3047" s="122">
        <v>46116.0</v>
      </c>
      <c r="C3047" s="240">
        <v>8.07000035638E11</v>
      </c>
      <c r="D3047" s="240" t="s">
        <v>12466</v>
      </c>
      <c r="E3047" s="240" t="s">
        <v>12467</v>
      </c>
      <c r="F3047" s="242" t="s">
        <v>12468</v>
      </c>
      <c r="G3047" s="242" t="s">
        <v>127</v>
      </c>
      <c r="H3047" s="242">
        <v>4400.0</v>
      </c>
      <c r="I3047" s="224" t="s">
        <v>512</v>
      </c>
      <c r="J3047" s="240" t="s">
        <v>513</v>
      </c>
      <c r="K3047" s="242">
        <v>12.0</v>
      </c>
      <c r="L3047" s="124">
        <v>3.874553107E9</v>
      </c>
    </row>
    <row r="3048">
      <c r="A3048" s="33" t="s">
        <v>12465</v>
      </c>
      <c r="B3048" s="122">
        <v>46116.0</v>
      </c>
      <c r="C3048" s="103">
        <v>8.07000035638E11</v>
      </c>
      <c r="D3048" s="103" t="s">
        <v>12466</v>
      </c>
      <c r="E3048" s="103" t="s">
        <v>12467</v>
      </c>
      <c r="F3048" s="241" t="s">
        <v>12468</v>
      </c>
      <c r="G3048" s="241" t="s">
        <v>127</v>
      </c>
      <c r="H3048" s="241">
        <v>4400.0</v>
      </c>
      <c r="I3048" s="211" t="s">
        <v>233</v>
      </c>
      <c r="J3048" s="103" t="s">
        <v>3459</v>
      </c>
      <c r="K3048" s="241">
        <v>2.0</v>
      </c>
      <c r="L3048" s="124">
        <v>3.874553107E9</v>
      </c>
    </row>
    <row r="3049" ht="5.25" customHeight="1">
      <c r="A3049" s="300"/>
      <c r="B3049" s="301"/>
      <c r="C3049" s="302"/>
      <c r="D3049" s="302"/>
      <c r="E3049" s="302"/>
      <c r="F3049" s="305"/>
      <c r="G3049" s="305"/>
      <c r="H3049" s="305"/>
      <c r="I3049" s="304"/>
      <c r="J3049" s="302"/>
      <c r="K3049" s="305"/>
      <c r="L3049" s="306"/>
      <c r="M3049" s="307"/>
      <c r="N3049" s="307"/>
      <c r="O3049" s="307"/>
      <c r="P3049" s="307"/>
      <c r="Q3049" s="307"/>
      <c r="R3049" s="307"/>
      <c r="S3049" s="307"/>
      <c r="T3049" s="307"/>
      <c r="U3049" s="307"/>
      <c r="V3049" s="307"/>
      <c r="W3049" s="307"/>
      <c r="X3049" s="307"/>
      <c r="Y3049" s="307"/>
      <c r="Z3049" s="307"/>
      <c r="AA3049" s="307"/>
      <c r="AB3049" s="307"/>
      <c r="AC3049" s="307"/>
    </row>
    <row r="3050">
      <c r="A3050" s="33">
        <v>1.7200024307E10</v>
      </c>
      <c r="B3050" s="122">
        <v>46118.0</v>
      </c>
      <c r="C3050" s="240">
        <v>8.07000035657E11</v>
      </c>
      <c r="D3050" s="240" t="s">
        <v>12469</v>
      </c>
      <c r="E3050" s="240" t="s">
        <v>12470</v>
      </c>
      <c r="F3050" s="242" t="s">
        <v>12471</v>
      </c>
      <c r="G3050" s="242" t="s">
        <v>127</v>
      </c>
      <c r="H3050" s="242">
        <v>4400.0</v>
      </c>
      <c r="I3050" s="224" t="s">
        <v>4133</v>
      </c>
      <c r="J3050" s="240" t="s">
        <v>4134</v>
      </c>
      <c r="K3050" s="242">
        <v>1.0</v>
      </c>
      <c r="L3050" s="124">
        <v>3.874596035E9</v>
      </c>
    </row>
    <row r="3051">
      <c r="A3051" s="33">
        <v>1.7200024307E10</v>
      </c>
      <c r="B3051" s="122">
        <v>46118.0</v>
      </c>
      <c r="C3051" s="103">
        <v>8.07000035657E11</v>
      </c>
      <c r="D3051" s="103" t="s">
        <v>12469</v>
      </c>
      <c r="E3051" s="103" t="s">
        <v>12470</v>
      </c>
      <c r="F3051" s="241" t="s">
        <v>12471</v>
      </c>
      <c r="G3051" s="241" t="s">
        <v>127</v>
      </c>
      <c r="H3051" s="241">
        <v>4400.0</v>
      </c>
      <c r="I3051" s="211" t="s">
        <v>512</v>
      </c>
      <c r="J3051" s="103" t="s">
        <v>513</v>
      </c>
      <c r="K3051" s="241">
        <v>12.0</v>
      </c>
      <c r="L3051" s="124">
        <v>3.874596035E9</v>
      </c>
    </row>
    <row r="3052">
      <c r="A3052" s="33">
        <v>1.7200024307E10</v>
      </c>
      <c r="B3052" s="122">
        <v>46118.0</v>
      </c>
      <c r="C3052" s="240">
        <v>8.07000035657E11</v>
      </c>
      <c r="D3052" s="240" t="s">
        <v>12469</v>
      </c>
      <c r="E3052" s="240" t="s">
        <v>12470</v>
      </c>
      <c r="F3052" s="242" t="s">
        <v>12471</v>
      </c>
      <c r="G3052" s="242" t="s">
        <v>127</v>
      </c>
      <c r="H3052" s="242">
        <v>4400.0</v>
      </c>
      <c r="I3052" s="224" t="s">
        <v>340</v>
      </c>
      <c r="J3052" s="240" t="s">
        <v>3486</v>
      </c>
      <c r="K3052" s="242">
        <v>2.0</v>
      </c>
      <c r="L3052" s="124">
        <v>3.874596035E9</v>
      </c>
    </row>
    <row r="3053">
      <c r="A3053" s="33">
        <v>1.7200024308E10</v>
      </c>
      <c r="B3053" s="122">
        <v>46118.0</v>
      </c>
      <c r="C3053" s="103">
        <v>8.07000035644E11</v>
      </c>
      <c r="D3053" s="103" t="s">
        <v>12472</v>
      </c>
      <c r="E3053" s="103" t="s">
        <v>12473</v>
      </c>
      <c r="F3053" s="241" t="s">
        <v>12474</v>
      </c>
      <c r="G3053" s="241" t="s">
        <v>127</v>
      </c>
      <c r="H3053" s="241">
        <v>4400.0</v>
      </c>
      <c r="I3053" s="211" t="s">
        <v>3205</v>
      </c>
      <c r="J3053" s="103" t="s">
        <v>3206</v>
      </c>
      <c r="K3053" s="241">
        <v>1.0</v>
      </c>
      <c r="L3053" s="124">
        <v>3.872247915E9</v>
      </c>
    </row>
    <row r="3054">
      <c r="A3054" s="33">
        <v>1.7200024308E10</v>
      </c>
      <c r="B3054" s="122">
        <v>46118.0</v>
      </c>
      <c r="C3054" s="240">
        <v>8.07000035644E11</v>
      </c>
      <c r="D3054" s="240" t="s">
        <v>12472</v>
      </c>
      <c r="E3054" s="240" t="s">
        <v>12473</v>
      </c>
      <c r="F3054" s="242" t="s">
        <v>12474</v>
      </c>
      <c r="G3054" s="242" t="s">
        <v>127</v>
      </c>
      <c r="H3054" s="242">
        <v>4400.0</v>
      </c>
      <c r="I3054" s="224" t="s">
        <v>512</v>
      </c>
      <c r="J3054" s="240" t="s">
        <v>513</v>
      </c>
      <c r="K3054" s="242">
        <v>6.0</v>
      </c>
      <c r="L3054" s="124">
        <v>3.872247915E9</v>
      </c>
    </row>
    <row r="3055">
      <c r="A3055" s="33">
        <v>1.7200024308E10</v>
      </c>
      <c r="B3055" s="122">
        <v>46118.0</v>
      </c>
      <c r="C3055" s="103">
        <v>8.07000035644E11</v>
      </c>
      <c r="D3055" s="103" t="s">
        <v>12472</v>
      </c>
      <c r="E3055" s="103" t="s">
        <v>12473</v>
      </c>
      <c r="F3055" s="241" t="s">
        <v>12474</v>
      </c>
      <c r="G3055" s="241" t="s">
        <v>127</v>
      </c>
      <c r="H3055" s="241">
        <v>4400.0</v>
      </c>
      <c r="I3055" s="211" t="s">
        <v>1749</v>
      </c>
      <c r="J3055" s="103" t="s">
        <v>3240</v>
      </c>
      <c r="K3055" s="241">
        <v>1.0</v>
      </c>
      <c r="L3055" s="124">
        <v>3.872247915E9</v>
      </c>
    </row>
    <row r="3056">
      <c r="A3056" s="33">
        <v>1.7200024312E10</v>
      </c>
      <c r="B3056" s="122">
        <v>46119.0</v>
      </c>
      <c r="C3056" s="103">
        <v>8.05011573744E11</v>
      </c>
      <c r="D3056" s="103" t="s">
        <v>12475</v>
      </c>
      <c r="E3056" s="103" t="s">
        <v>12476</v>
      </c>
      <c r="F3056" s="241" t="s">
        <v>12477</v>
      </c>
      <c r="G3056" s="241" t="s">
        <v>20</v>
      </c>
      <c r="H3056" s="241">
        <v>4400.0</v>
      </c>
      <c r="I3056" s="211" t="s">
        <v>3451</v>
      </c>
      <c r="J3056" s="103" t="s">
        <v>3452</v>
      </c>
      <c r="K3056" s="241">
        <v>1.0</v>
      </c>
      <c r="L3056" s="124">
        <v>3.875533007E9</v>
      </c>
    </row>
    <row r="3057">
      <c r="A3057" s="33">
        <v>1.7200024313E10</v>
      </c>
      <c r="B3057" s="122">
        <v>46119.0</v>
      </c>
      <c r="C3057" s="240">
        <v>8.07000035671E11</v>
      </c>
      <c r="D3057" s="240" t="s">
        <v>3264</v>
      </c>
      <c r="E3057" s="240" t="s">
        <v>3265</v>
      </c>
      <c r="F3057" s="242" t="s">
        <v>3266</v>
      </c>
      <c r="G3057" s="242" t="s">
        <v>127</v>
      </c>
      <c r="H3057" s="242">
        <v>4400.0</v>
      </c>
      <c r="I3057" s="224" t="s">
        <v>947</v>
      </c>
      <c r="J3057" s="240" t="s">
        <v>3750</v>
      </c>
      <c r="K3057" s="242">
        <v>1.0</v>
      </c>
      <c r="L3057" s="124">
        <v>3.875671512E9</v>
      </c>
    </row>
    <row r="3058">
      <c r="A3058" s="33">
        <v>1.7200024314E10</v>
      </c>
      <c r="B3058" s="122">
        <v>46119.0</v>
      </c>
      <c r="C3058" s="103">
        <v>8.07000035672E11</v>
      </c>
      <c r="D3058" s="103" t="s">
        <v>12478</v>
      </c>
      <c r="E3058" s="103" t="s">
        <v>12479</v>
      </c>
      <c r="F3058" s="241" t="s">
        <v>12480</v>
      </c>
      <c r="G3058" s="241" t="s">
        <v>4645</v>
      </c>
      <c r="H3058" s="241">
        <v>4400.0</v>
      </c>
      <c r="I3058" s="211" t="s">
        <v>3285</v>
      </c>
      <c r="J3058" s="103" t="s">
        <v>3286</v>
      </c>
      <c r="K3058" s="241">
        <v>1.0</v>
      </c>
      <c r="L3058" s="124">
        <v>3.875040711E9</v>
      </c>
    </row>
    <row r="3059">
      <c r="A3059" s="33">
        <v>1.7200024315E10</v>
      </c>
      <c r="B3059" s="122">
        <v>46119.0</v>
      </c>
      <c r="C3059" s="240">
        <v>8.07000035673E11</v>
      </c>
      <c r="D3059" s="240" t="s">
        <v>12481</v>
      </c>
      <c r="E3059" s="240" t="s">
        <v>12482</v>
      </c>
      <c r="F3059" s="242" t="s">
        <v>12483</v>
      </c>
      <c r="G3059" s="242" t="s">
        <v>127</v>
      </c>
      <c r="H3059" s="242">
        <v>4400.0</v>
      </c>
      <c r="I3059" s="224" t="s">
        <v>3334</v>
      </c>
      <c r="J3059" s="240" t="s">
        <v>3575</v>
      </c>
      <c r="K3059" s="242">
        <v>1.0</v>
      </c>
      <c r="L3059" s="124">
        <v>3.87501033E9</v>
      </c>
    </row>
    <row r="3060">
      <c r="A3060" s="33">
        <v>1.7200024315E10</v>
      </c>
      <c r="B3060" s="122">
        <v>46119.0</v>
      </c>
      <c r="C3060" s="240">
        <v>8.07000035674E11</v>
      </c>
      <c r="D3060" s="240" t="s">
        <v>12484</v>
      </c>
      <c r="E3060" s="240" t="s">
        <v>12485</v>
      </c>
      <c r="F3060" s="242" t="s">
        <v>12486</v>
      </c>
      <c r="G3060" s="242" t="s">
        <v>127</v>
      </c>
      <c r="H3060" s="242">
        <v>4400.0</v>
      </c>
      <c r="I3060" s="224">
        <v>131.0</v>
      </c>
      <c r="J3060" s="240" t="s">
        <v>12487</v>
      </c>
      <c r="K3060" s="242">
        <v>1.0</v>
      </c>
      <c r="L3060" s="124">
        <v>3.875176803E9</v>
      </c>
    </row>
    <row r="3061">
      <c r="A3061" s="33">
        <v>1.7200024316E10</v>
      </c>
      <c r="B3061" s="122">
        <v>46119.0</v>
      </c>
      <c r="C3061" s="103">
        <v>8.07000035674E11</v>
      </c>
      <c r="D3061" s="103" t="s">
        <v>12484</v>
      </c>
      <c r="E3061" s="103" t="s">
        <v>12485</v>
      </c>
      <c r="F3061" s="241" t="s">
        <v>12486</v>
      </c>
      <c r="G3061" s="241" t="s">
        <v>127</v>
      </c>
      <c r="H3061" s="241">
        <v>4400.0</v>
      </c>
      <c r="I3061" s="211" t="s">
        <v>512</v>
      </c>
      <c r="J3061" s="103" t="s">
        <v>513</v>
      </c>
      <c r="K3061" s="241">
        <v>12.0</v>
      </c>
      <c r="L3061" s="124">
        <v>3.875176803E9</v>
      </c>
    </row>
    <row r="3062">
      <c r="A3062" s="33">
        <v>1.7200024317E10</v>
      </c>
      <c r="B3062" s="122">
        <v>46119.0</v>
      </c>
      <c r="C3062" s="240">
        <v>8.07000035675E11</v>
      </c>
      <c r="D3062" s="240" t="s">
        <v>12484</v>
      </c>
      <c r="E3062" s="240" t="s">
        <v>12485</v>
      </c>
      <c r="F3062" s="242" t="s">
        <v>12486</v>
      </c>
      <c r="G3062" s="242" t="s">
        <v>127</v>
      </c>
      <c r="H3062" s="242">
        <v>4400.0</v>
      </c>
      <c r="I3062" s="224">
        <v>125816.0</v>
      </c>
      <c r="J3062" s="240" t="s">
        <v>7713</v>
      </c>
      <c r="K3062" s="242">
        <v>2.0</v>
      </c>
      <c r="L3062" s="124">
        <v>3.875176803E9</v>
      </c>
    </row>
    <row r="3063">
      <c r="A3063" s="33">
        <v>1.7200024317E10</v>
      </c>
      <c r="B3063" s="122">
        <v>46119.0</v>
      </c>
      <c r="C3063" s="103">
        <v>8.07000035675E11</v>
      </c>
      <c r="D3063" s="103" t="s">
        <v>12484</v>
      </c>
      <c r="E3063" s="103" t="s">
        <v>12485</v>
      </c>
      <c r="F3063" s="241" t="s">
        <v>12486</v>
      </c>
      <c r="G3063" s="241" t="s">
        <v>127</v>
      </c>
      <c r="H3063" s="241">
        <v>4400.0</v>
      </c>
      <c r="I3063" s="211">
        <v>125818.0</v>
      </c>
      <c r="J3063" s="103" t="s">
        <v>4334</v>
      </c>
      <c r="K3063" s="241">
        <v>2.0</v>
      </c>
      <c r="L3063" s="124">
        <v>3.875176803E9</v>
      </c>
    </row>
    <row r="3064">
      <c r="A3064" s="33">
        <v>1.7200024318E10</v>
      </c>
      <c r="B3064" s="122">
        <v>46119.0</v>
      </c>
      <c r="C3064" s="240">
        <v>8.07000035676E11</v>
      </c>
      <c r="D3064" s="240" t="s">
        <v>12484</v>
      </c>
      <c r="E3064" s="240" t="s">
        <v>12485</v>
      </c>
      <c r="F3064" s="242" t="s">
        <v>12486</v>
      </c>
      <c r="G3064" s="242" t="s">
        <v>127</v>
      </c>
      <c r="H3064" s="242">
        <v>4400.0</v>
      </c>
      <c r="I3064" s="224" t="s">
        <v>3649</v>
      </c>
      <c r="J3064" s="240" t="s">
        <v>3650</v>
      </c>
      <c r="K3064" s="242">
        <v>1.0</v>
      </c>
      <c r="L3064" s="124">
        <v>3.875176803E9</v>
      </c>
    </row>
    <row r="3065">
      <c r="A3065" s="33">
        <v>1.7200024318E10</v>
      </c>
      <c r="B3065" s="122">
        <v>46119.0</v>
      </c>
      <c r="C3065" s="103">
        <v>8.07000035676E11</v>
      </c>
      <c r="D3065" s="103" t="s">
        <v>12484</v>
      </c>
      <c r="E3065" s="103" t="s">
        <v>12485</v>
      </c>
      <c r="F3065" s="241" t="s">
        <v>12486</v>
      </c>
      <c r="G3065" s="241" t="s">
        <v>127</v>
      </c>
      <c r="H3065" s="241">
        <v>4400.0</v>
      </c>
      <c r="I3065" s="211" t="s">
        <v>218</v>
      </c>
      <c r="J3065" s="103" t="s">
        <v>8664</v>
      </c>
      <c r="K3065" s="241">
        <v>1.0</v>
      </c>
      <c r="L3065" s="124">
        <v>3.875176803E9</v>
      </c>
    </row>
    <row r="3066">
      <c r="A3066" s="33">
        <v>1.7200024318E10</v>
      </c>
      <c r="B3066" s="122">
        <v>46119.0</v>
      </c>
      <c r="C3066" s="240">
        <v>8.07000035676E11</v>
      </c>
      <c r="D3066" s="240" t="s">
        <v>12484</v>
      </c>
      <c r="E3066" s="240" t="s">
        <v>12485</v>
      </c>
      <c r="F3066" s="242" t="s">
        <v>12486</v>
      </c>
      <c r="G3066" s="242" t="s">
        <v>127</v>
      </c>
      <c r="H3066" s="242">
        <v>4400.0</v>
      </c>
      <c r="I3066" s="224" t="s">
        <v>121</v>
      </c>
      <c r="J3066" s="240" t="s">
        <v>3199</v>
      </c>
      <c r="K3066" s="242">
        <v>2.0</v>
      </c>
      <c r="L3066" s="124">
        <v>3.875176803E9</v>
      </c>
    </row>
    <row r="3067">
      <c r="A3067" s="33">
        <v>1.720002432E10</v>
      </c>
      <c r="B3067" s="122">
        <v>46119.0</v>
      </c>
      <c r="C3067" s="240">
        <v>8.07000035599E11</v>
      </c>
      <c r="D3067" s="240" t="s">
        <v>12488</v>
      </c>
      <c r="E3067" s="240" t="s">
        <v>12489</v>
      </c>
      <c r="F3067" s="242" t="s">
        <v>12490</v>
      </c>
      <c r="G3067" s="242" t="s">
        <v>127</v>
      </c>
      <c r="H3067" s="242">
        <v>4400.0</v>
      </c>
      <c r="I3067" s="224">
        <v>125810.0</v>
      </c>
      <c r="J3067" s="240" t="s">
        <v>4672</v>
      </c>
      <c r="K3067" s="242">
        <v>2.0</v>
      </c>
      <c r="L3067" s="124">
        <v>3.876055904E9</v>
      </c>
    </row>
    <row r="3068">
      <c r="A3068" s="33" t="s">
        <v>12491</v>
      </c>
      <c r="B3068" s="122">
        <v>46121.0</v>
      </c>
      <c r="C3068" s="240">
        <v>8.07000035603E11</v>
      </c>
      <c r="D3068" s="240" t="s">
        <v>6047</v>
      </c>
      <c r="E3068" s="240" t="s">
        <v>6048</v>
      </c>
      <c r="F3068" s="242" t="s">
        <v>12492</v>
      </c>
      <c r="G3068" s="242" t="s">
        <v>127</v>
      </c>
      <c r="H3068" s="242">
        <v>4400.0</v>
      </c>
      <c r="I3068" s="224" t="s">
        <v>3285</v>
      </c>
      <c r="J3068" s="240" t="s">
        <v>3286</v>
      </c>
      <c r="K3068" s="242">
        <v>1.0</v>
      </c>
      <c r="L3068" s="124">
        <v>3.874737373E9</v>
      </c>
    </row>
    <row r="3069">
      <c r="A3069" s="33" t="s">
        <v>12493</v>
      </c>
      <c r="B3069" s="122">
        <v>46123.0</v>
      </c>
      <c r="C3069" s="240">
        <v>8.07000035693E11</v>
      </c>
      <c r="D3069" s="240" t="s">
        <v>12494</v>
      </c>
      <c r="E3069" s="240" t="s">
        <v>12495</v>
      </c>
      <c r="F3069" s="242" t="s">
        <v>12496</v>
      </c>
      <c r="G3069" s="242" t="s">
        <v>127</v>
      </c>
      <c r="H3069" s="242">
        <v>4400.0</v>
      </c>
      <c r="I3069" s="224" t="s">
        <v>512</v>
      </c>
      <c r="J3069" s="240" t="s">
        <v>513</v>
      </c>
      <c r="K3069" s="242">
        <v>6.0</v>
      </c>
      <c r="L3069" s="124">
        <v>3.875670108E9</v>
      </c>
    </row>
    <row r="3070">
      <c r="A3070" s="33" t="s">
        <v>12493</v>
      </c>
      <c r="B3070" s="122">
        <v>46123.0</v>
      </c>
      <c r="C3070" s="103">
        <v>8.07000035694E11</v>
      </c>
      <c r="D3070" s="103" t="s">
        <v>12494</v>
      </c>
      <c r="E3070" s="103" t="s">
        <v>12495</v>
      </c>
      <c r="F3070" s="242" t="s">
        <v>12496</v>
      </c>
      <c r="G3070" s="242" t="s">
        <v>127</v>
      </c>
      <c r="H3070" s="242">
        <v>4400.0</v>
      </c>
      <c r="I3070" s="211" t="s">
        <v>6573</v>
      </c>
      <c r="J3070" s="103" t="s">
        <v>6574</v>
      </c>
      <c r="K3070" s="241">
        <v>1.0</v>
      </c>
      <c r="L3070" s="124">
        <v>3.875670108E9</v>
      </c>
    </row>
    <row r="3071">
      <c r="A3071" s="33" t="s">
        <v>12493</v>
      </c>
      <c r="B3071" s="122">
        <v>46123.0</v>
      </c>
      <c r="C3071" s="240">
        <v>8.07000035694E11</v>
      </c>
      <c r="D3071" s="240" t="s">
        <v>12494</v>
      </c>
      <c r="E3071" s="240" t="s">
        <v>12495</v>
      </c>
      <c r="F3071" s="242" t="s">
        <v>12496</v>
      </c>
      <c r="G3071" s="242" t="s">
        <v>127</v>
      </c>
      <c r="H3071" s="242">
        <v>4400.0</v>
      </c>
      <c r="I3071" s="224" t="s">
        <v>35</v>
      </c>
      <c r="J3071" s="240" t="s">
        <v>3188</v>
      </c>
      <c r="K3071" s="242">
        <v>1.0</v>
      </c>
      <c r="L3071" s="124">
        <v>3.875670108E9</v>
      </c>
    </row>
    <row r="3072">
      <c r="A3072" s="33" t="s">
        <v>12497</v>
      </c>
      <c r="B3072" s="122">
        <v>46123.0</v>
      </c>
      <c r="C3072" s="240">
        <v>8.07000035701E11</v>
      </c>
      <c r="D3072" s="240" t="s">
        <v>12498</v>
      </c>
      <c r="E3072" s="240" t="s">
        <v>12499</v>
      </c>
      <c r="F3072" s="242" t="s">
        <v>12500</v>
      </c>
      <c r="G3072" s="242" t="s">
        <v>127</v>
      </c>
      <c r="H3072" s="242">
        <v>4400.0</v>
      </c>
      <c r="I3072" s="224">
        <v>208501.0</v>
      </c>
      <c r="J3072" s="240" t="s">
        <v>481</v>
      </c>
      <c r="K3072" s="242">
        <v>1.0</v>
      </c>
      <c r="L3072" s="124">
        <v>3.874206731E9</v>
      </c>
    </row>
    <row r="3073">
      <c r="A3073" s="33" t="s">
        <v>12497</v>
      </c>
      <c r="B3073" s="122">
        <v>46123.0</v>
      </c>
      <c r="C3073" s="103">
        <v>8.07000035701E11</v>
      </c>
      <c r="D3073" s="103" t="s">
        <v>12498</v>
      </c>
      <c r="E3073" s="103" t="s">
        <v>12499</v>
      </c>
      <c r="F3073" s="242" t="s">
        <v>12500</v>
      </c>
      <c r="G3073" s="242" t="s">
        <v>127</v>
      </c>
      <c r="H3073" s="242">
        <v>4400.0</v>
      </c>
      <c r="I3073" s="211">
        <v>208502.0</v>
      </c>
      <c r="J3073" s="103" t="s">
        <v>4551</v>
      </c>
      <c r="K3073" s="241">
        <v>2.0</v>
      </c>
      <c r="L3073" s="124">
        <v>3.874206731E9</v>
      </c>
    </row>
    <row r="3074">
      <c r="A3074" s="33" t="s">
        <v>12497</v>
      </c>
      <c r="B3074" s="122">
        <v>46123.0</v>
      </c>
      <c r="C3074" s="240">
        <v>8.07000035701E11</v>
      </c>
      <c r="D3074" s="240" t="s">
        <v>12498</v>
      </c>
      <c r="E3074" s="240" t="s">
        <v>12499</v>
      </c>
      <c r="F3074" s="242" t="s">
        <v>12500</v>
      </c>
      <c r="G3074" s="242" t="s">
        <v>127</v>
      </c>
      <c r="H3074" s="242">
        <v>4400.0</v>
      </c>
      <c r="I3074" s="224" t="s">
        <v>3512</v>
      </c>
      <c r="J3074" s="240" t="s">
        <v>3513</v>
      </c>
      <c r="K3074" s="242">
        <v>12.0</v>
      </c>
      <c r="L3074" s="124">
        <v>3.874206731E9</v>
      </c>
    </row>
    <row r="3075">
      <c r="A3075" s="33" t="s">
        <v>12501</v>
      </c>
      <c r="B3075" s="122">
        <v>46123.0</v>
      </c>
      <c r="C3075" s="103">
        <v>8.07000035703E11</v>
      </c>
      <c r="D3075" s="103" t="s">
        <v>12498</v>
      </c>
      <c r="E3075" s="103" t="s">
        <v>12499</v>
      </c>
      <c r="F3075" s="242" t="s">
        <v>12500</v>
      </c>
      <c r="G3075" s="242" t="s">
        <v>127</v>
      </c>
      <c r="H3075" s="242">
        <v>4400.0</v>
      </c>
      <c r="I3075" s="211" t="s">
        <v>9725</v>
      </c>
      <c r="J3075" s="103" t="s">
        <v>9726</v>
      </c>
      <c r="K3075" s="241">
        <v>1.0</v>
      </c>
      <c r="L3075" s="124">
        <v>3.874206731E9</v>
      </c>
    </row>
    <row r="3076">
      <c r="A3076" s="33" t="s">
        <v>12501</v>
      </c>
      <c r="B3076" s="122">
        <v>46123.0</v>
      </c>
      <c r="C3076" s="240">
        <v>8.07000035703E11</v>
      </c>
      <c r="D3076" s="240" t="s">
        <v>12498</v>
      </c>
      <c r="E3076" s="240" t="s">
        <v>12499</v>
      </c>
      <c r="F3076" s="242" t="s">
        <v>12500</v>
      </c>
      <c r="G3076" s="242" t="s">
        <v>127</v>
      </c>
      <c r="H3076" s="242">
        <v>4400.0</v>
      </c>
      <c r="I3076" s="224" t="s">
        <v>6835</v>
      </c>
      <c r="J3076" s="240" t="s">
        <v>8150</v>
      </c>
      <c r="K3076" s="242">
        <v>2.0</v>
      </c>
      <c r="L3076" s="124">
        <v>3.874206731E9</v>
      </c>
    </row>
    <row r="3077">
      <c r="A3077" s="33" t="s">
        <v>12502</v>
      </c>
      <c r="B3077" s="122">
        <v>46123.0</v>
      </c>
      <c r="C3077" s="240">
        <v>8.07000035704E11</v>
      </c>
      <c r="D3077" s="240" t="s">
        <v>12503</v>
      </c>
      <c r="E3077" s="240" t="s">
        <v>12504</v>
      </c>
      <c r="F3077" s="242" t="s">
        <v>12505</v>
      </c>
      <c r="G3077" s="242" t="s">
        <v>127</v>
      </c>
      <c r="H3077" s="242">
        <v>4400.0</v>
      </c>
      <c r="I3077" s="224" t="s">
        <v>512</v>
      </c>
      <c r="J3077" s="240" t="s">
        <v>513</v>
      </c>
      <c r="K3077" s="242">
        <v>12.0</v>
      </c>
      <c r="L3077" s="124">
        <v>3.874672874E9</v>
      </c>
    </row>
    <row r="3078">
      <c r="A3078" s="33" t="s">
        <v>12502</v>
      </c>
      <c r="B3078" s="122">
        <v>46123.0</v>
      </c>
      <c r="C3078" s="103">
        <v>8.07000035705E11</v>
      </c>
      <c r="D3078" s="103" t="s">
        <v>12503</v>
      </c>
      <c r="E3078" s="103" t="s">
        <v>12504</v>
      </c>
      <c r="F3078" s="242" t="s">
        <v>12505</v>
      </c>
      <c r="G3078" s="242" t="s">
        <v>127</v>
      </c>
      <c r="H3078" s="242">
        <v>4400.0</v>
      </c>
      <c r="I3078" s="211" t="s">
        <v>8763</v>
      </c>
      <c r="J3078" s="103" t="s">
        <v>8764</v>
      </c>
      <c r="K3078" s="241">
        <v>1.0</v>
      </c>
      <c r="L3078" s="124">
        <v>3.874672874E9</v>
      </c>
    </row>
    <row r="3079">
      <c r="A3079" s="33" t="s">
        <v>12502</v>
      </c>
      <c r="B3079" s="122">
        <v>46123.0</v>
      </c>
      <c r="C3079" s="240">
        <v>8.07000035705E11</v>
      </c>
      <c r="D3079" s="240" t="s">
        <v>12503</v>
      </c>
      <c r="E3079" s="240" t="s">
        <v>12504</v>
      </c>
      <c r="F3079" s="242" t="s">
        <v>12505</v>
      </c>
      <c r="G3079" s="242" t="s">
        <v>127</v>
      </c>
      <c r="H3079" s="242">
        <v>4400.0</v>
      </c>
      <c r="I3079" s="224" t="s">
        <v>233</v>
      </c>
      <c r="J3079" s="240" t="s">
        <v>3459</v>
      </c>
      <c r="K3079" s="242">
        <v>2.0</v>
      </c>
      <c r="L3079" s="124">
        <v>3.874672874E9</v>
      </c>
    </row>
    <row r="3080">
      <c r="A3080" s="33" t="s">
        <v>12506</v>
      </c>
      <c r="B3080" s="122">
        <v>46123.0</v>
      </c>
      <c r="C3080" s="240">
        <v>8.07000035707E11</v>
      </c>
      <c r="D3080" s="240" t="s">
        <v>12507</v>
      </c>
      <c r="E3080" s="240" t="s">
        <v>12508</v>
      </c>
      <c r="F3080" s="242" t="s">
        <v>12509</v>
      </c>
      <c r="G3080" s="242" t="s">
        <v>127</v>
      </c>
      <c r="H3080" s="242">
        <v>4400.0</v>
      </c>
      <c r="I3080" s="224" t="s">
        <v>512</v>
      </c>
      <c r="J3080" s="240" t="s">
        <v>513</v>
      </c>
      <c r="K3080" s="242">
        <v>6.0</v>
      </c>
      <c r="L3080" s="124">
        <v>3.512732871E9</v>
      </c>
    </row>
    <row r="3081">
      <c r="A3081" s="33" t="s">
        <v>12510</v>
      </c>
      <c r="B3081" s="122">
        <v>46123.0</v>
      </c>
      <c r="C3081" s="103">
        <v>8.07000035708E11</v>
      </c>
      <c r="D3081" s="103" t="s">
        <v>12507</v>
      </c>
      <c r="E3081" s="103" t="s">
        <v>12508</v>
      </c>
      <c r="F3081" s="242" t="s">
        <v>12509</v>
      </c>
      <c r="G3081" s="242" t="s">
        <v>127</v>
      </c>
      <c r="H3081" s="242">
        <v>4400.0</v>
      </c>
      <c r="I3081" s="211" t="s">
        <v>659</v>
      </c>
      <c r="J3081" s="103" t="s">
        <v>3468</v>
      </c>
      <c r="K3081" s="241">
        <v>1.0</v>
      </c>
      <c r="L3081" s="124">
        <v>3.512732871E9</v>
      </c>
    </row>
    <row r="3082">
      <c r="A3082" s="33" t="s">
        <v>12510</v>
      </c>
      <c r="B3082" s="122">
        <v>46123.0</v>
      </c>
      <c r="C3082" s="240">
        <v>8.07000035708E11</v>
      </c>
      <c r="D3082" s="240" t="s">
        <v>12507</v>
      </c>
      <c r="E3082" s="240" t="s">
        <v>12508</v>
      </c>
      <c r="F3082" s="242" t="s">
        <v>12509</v>
      </c>
      <c r="G3082" s="242" t="s">
        <v>127</v>
      </c>
      <c r="H3082" s="242">
        <v>4400.0</v>
      </c>
      <c r="I3082" s="224" t="s">
        <v>35</v>
      </c>
      <c r="J3082" s="240" t="s">
        <v>3188</v>
      </c>
      <c r="K3082" s="242">
        <v>1.0</v>
      </c>
      <c r="L3082" s="124">
        <v>3.512732871E9</v>
      </c>
    </row>
    <row r="3083" ht="5.25" customHeight="1">
      <c r="A3083" s="244"/>
      <c r="B3083" s="245"/>
      <c r="C3083" s="271"/>
      <c r="D3083" s="271"/>
      <c r="E3083" s="271"/>
      <c r="F3083" s="273"/>
      <c r="G3083" s="273"/>
      <c r="H3083" s="273"/>
      <c r="I3083" s="272"/>
      <c r="J3083" s="271"/>
      <c r="K3083" s="273"/>
      <c r="L3083" s="247"/>
      <c r="M3083" s="233"/>
      <c r="N3083" s="233"/>
      <c r="O3083" s="233"/>
      <c r="P3083" s="233"/>
      <c r="Q3083" s="233"/>
      <c r="R3083" s="233"/>
      <c r="S3083" s="233"/>
      <c r="T3083" s="233"/>
      <c r="U3083" s="233"/>
      <c r="V3083" s="233"/>
      <c r="W3083" s="233"/>
      <c r="X3083" s="233"/>
      <c r="Y3083" s="233"/>
      <c r="Z3083" s="233"/>
      <c r="AA3083" s="233"/>
      <c r="AB3083" s="233"/>
      <c r="AC3083" s="233"/>
    </row>
    <row r="3084">
      <c r="A3084" s="33" t="s">
        <v>12511</v>
      </c>
      <c r="B3084" s="122">
        <v>46125.0</v>
      </c>
      <c r="C3084" s="211">
        <v>8.0700003571E11</v>
      </c>
      <c r="D3084" s="211" t="s">
        <v>12512</v>
      </c>
      <c r="E3084" s="211" t="s">
        <v>12513</v>
      </c>
      <c r="F3084" s="241" t="s">
        <v>12514</v>
      </c>
      <c r="G3084" s="241" t="s">
        <v>4645</v>
      </c>
      <c r="H3084" s="241">
        <v>4400.0</v>
      </c>
      <c r="I3084" s="211" t="s">
        <v>6343</v>
      </c>
      <c r="J3084" s="211" t="s">
        <v>6435</v>
      </c>
      <c r="K3084" s="211">
        <v>1.0</v>
      </c>
      <c r="L3084" s="33">
        <v>3.874579383E9</v>
      </c>
    </row>
    <row r="3085">
      <c r="A3085" s="33" t="s">
        <v>12515</v>
      </c>
      <c r="B3085" s="122">
        <v>46125.0</v>
      </c>
      <c r="C3085" s="224">
        <v>8.07000035713E11</v>
      </c>
      <c r="D3085" s="224" t="s">
        <v>8402</v>
      </c>
      <c r="E3085" s="224" t="s">
        <v>8403</v>
      </c>
      <c r="F3085" s="242" t="s">
        <v>12516</v>
      </c>
      <c r="G3085" s="242" t="s">
        <v>127</v>
      </c>
      <c r="H3085" s="242">
        <v>4400.0</v>
      </c>
      <c r="I3085" s="224" t="s">
        <v>512</v>
      </c>
      <c r="J3085" s="224" t="s">
        <v>513</v>
      </c>
      <c r="K3085" s="224">
        <v>6.0</v>
      </c>
      <c r="L3085" s="33">
        <v>1.124768701E9</v>
      </c>
    </row>
    <row r="3086">
      <c r="A3086" s="33" t="s">
        <v>12515</v>
      </c>
      <c r="B3086" s="122">
        <v>46125.0</v>
      </c>
      <c r="C3086" s="211">
        <v>8.07000035713E11</v>
      </c>
      <c r="D3086" s="211" t="s">
        <v>8402</v>
      </c>
      <c r="E3086" s="211" t="s">
        <v>8403</v>
      </c>
      <c r="F3086" s="241" t="s">
        <v>12516</v>
      </c>
      <c r="G3086" s="241" t="s">
        <v>127</v>
      </c>
      <c r="H3086" s="241">
        <v>4400.0</v>
      </c>
      <c r="I3086" s="211" t="s">
        <v>110</v>
      </c>
      <c r="J3086" s="211" t="s">
        <v>3673</v>
      </c>
      <c r="K3086" s="211">
        <v>1.0</v>
      </c>
      <c r="L3086" s="33">
        <v>1.124768701E9</v>
      </c>
    </row>
    <row r="3087">
      <c r="A3087" s="33" t="s">
        <v>12515</v>
      </c>
      <c r="B3087" s="122">
        <v>46125.0</v>
      </c>
      <c r="C3087" s="224">
        <v>8.07000035714E11</v>
      </c>
      <c r="D3087" s="224" t="s">
        <v>8402</v>
      </c>
      <c r="E3087" s="224" t="s">
        <v>8403</v>
      </c>
      <c r="F3087" s="242" t="s">
        <v>12516</v>
      </c>
      <c r="G3087" s="242" t="s">
        <v>127</v>
      </c>
      <c r="H3087" s="242">
        <v>4400.0</v>
      </c>
      <c r="I3087" s="224" t="s">
        <v>5034</v>
      </c>
      <c r="J3087" s="224" t="s">
        <v>5035</v>
      </c>
      <c r="K3087" s="224">
        <v>1.0</v>
      </c>
      <c r="L3087" s="33">
        <v>1.124768701E9</v>
      </c>
    </row>
    <row r="3088">
      <c r="A3088" s="211" t="s">
        <v>12517</v>
      </c>
      <c r="B3088" s="122">
        <v>46125.0</v>
      </c>
      <c r="C3088" s="211">
        <v>8.07000035712E11</v>
      </c>
      <c r="D3088" s="211" t="s">
        <v>12518</v>
      </c>
      <c r="E3088" s="211" t="s">
        <v>12519</v>
      </c>
      <c r="F3088" s="241" t="s">
        <v>12520</v>
      </c>
      <c r="G3088" s="241" t="s">
        <v>127</v>
      </c>
      <c r="H3088" s="241">
        <v>4400.0</v>
      </c>
      <c r="I3088" s="211">
        <v>125810.0</v>
      </c>
      <c r="J3088" s="211" t="s">
        <v>4672</v>
      </c>
      <c r="K3088" s="211">
        <v>2.0</v>
      </c>
      <c r="L3088" s="33">
        <v>3.875047903E9</v>
      </c>
    </row>
    <row r="3089">
      <c r="A3089" s="211" t="s">
        <v>12517</v>
      </c>
      <c r="B3089" s="122">
        <v>46125.0</v>
      </c>
      <c r="C3089" s="224">
        <v>8.07000035712E11</v>
      </c>
      <c r="D3089" s="224" t="s">
        <v>12518</v>
      </c>
      <c r="E3089" s="224" t="s">
        <v>12519</v>
      </c>
      <c r="F3089" s="242" t="s">
        <v>12520</v>
      </c>
      <c r="G3089" s="242" t="s">
        <v>127</v>
      </c>
      <c r="H3089" s="242">
        <v>4400.0</v>
      </c>
      <c r="I3089" s="224">
        <v>2.2346229143E10</v>
      </c>
      <c r="J3089" s="224" t="s">
        <v>8720</v>
      </c>
      <c r="K3089" s="224">
        <v>1.0</v>
      </c>
      <c r="L3089" s="33">
        <v>3.875047903E9</v>
      </c>
    </row>
    <row r="3090">
      <c r="A3090" s="211" t="s">
        <v>12517</v>
      </c>
      <c r="B3090" s="122">
        <v>46125.0</v>
      </c>
      <c r="C3090" s="211">
        <v>8.07000035712E11</v>
      </c>
      <c r="D3090" s="211" t="s">
        <v>12518</v>
      </c>
      <c r="E3090" s="211" t="s">
        <v>12519</v>
      </c>
      <c r="F3090" s="241" t="s">
        <v>12520</v>
      </c>
      <c r="G3090" s="241" t="s">
        <v>127</v>
      </c>
      <c r="H3090" s="241">
        <v>4400.0</v>
      </c>
      <c r="I3090" s="211" t="s">
        <v>947</v>
      </c>
      <c r="J3090" s="211" t="s">
        <v>3750</v>
      </c>
      <c r="K3090" s="211">
        <v>1.0</v>
      </c>
      <c r="L3090" s="33">
        <v>3.875047903E9</v>
      </c>
    </row>
    <row r="3091">
      <c r="A3091" s="211" t="s">
        <v>12517</v>
      </c>
      <c r="B3091" s="122">
        <v>46125.0</v>
      </c>
      <c r="C3091" s="224">
        <v>8.07000035712E11</v>
      </c>
      <c r="D3091" s="224" t="s">
        <v>12518</v>
      </c>
      <c r="E3091" s="224" t="s">
        <v>12519</v>
      </c>
      <c r="F3091" s="242" t="s">
        <v>12520</v>
      </c>
      <c r="G3091" s="242" t="s">
        <v>127</v>
      </c>
      <c r="H3091" s="242">
        <v>4400.0</v>
      </c>
      <c r="I3091" s="224" t="s">
        <v>512</v>
      </c>
      <c r="J3091" s="224" t="s">
        <v>513</v>
      </c>
      <c r="K3091" s="224">
        <v>6.0</v>
      </c>
      <c r="L3091" s="33">
        <v>3.875047903E9</v>
      </c>
    </row>
    <row r="3092">
      <c r="A3092" s="211" t="s">
        <v>12517</v>
      </c>
      <c r="B3092" s="122">
        <v>46125.0</v>
      </c>
      <c r="C3092" s="211">
        <v>8.07000035712E11</v>
      </c>
      <c r="D3092" s="211" t="s">
        <v>12518</v>
      </c>
      <c r="E3092" s="211" t="s">
        <v>12519</v>
      </c>
      <c r="F3092" s="241" t="s">
        <v>12520</v>
      </c>
      <c r="G3092" s="241" t="s">
        <v>127</v>
      </c>
      <c r="H3092" s="241">
        <v>4400.0</v>
      </c>
      <c r="I3092" s="211" t="s">
        <v>35</v>
      </c>
      <c r="J3092" s="211" t="s">
        <v>3188</v>
      </c>
      <c r="K3092" s="211">
        <v>1.0</v>
      </c>
      <c r="L3092" s="33">
        <v>3.875047903E9</v>
      </c>
    </row>
    <row r="3093">
      <c r="A3093" s="33" t="s">
        <v>12521</v>
      </c>
      <c r="B3093" s="122">
        <v>46125.0</v>
      </c>
      <c r="C3093" s="224">
        <v>8.07000035718E11</v>
      </c>
      <c r="D3093" s="224" t="s">
        <v>12522</v>
      </c>
      <c r="E3093" s="224" t="s">
        <v>12523</v>
      </c>
      <c r="F3093" s="242" t="s">
        <v>12524</v>
      </c>
      <c r="G3093" s="242" t="s">
        <v>127</v>
      </c>
      <c r="H3093" s="242">
        <v>4400.0</v>
      </c>
      <c r="I3093" s="224" t="s">
        <v>12525</v>
      </c>
      <c r="J3093" s="224" t="s">
        <v>12526</v>
      </c>
      <c r="K3093" s="224">
        <v>1.0</v>
      </c>
      <c r="L3093" s="33">
        <v>3.874538543E9</v>
      </c>
    </row>
    <row r="3094">
      <c r="A3094" s="33" t="s">
        <v>12521</v>
      </c>
      <c r="B3094" s="122">
        <v>46125.0</v>
      </c>
      <c r="C3094" s="211">
        <v>8.07000035719E11</v>
      </c>
      <c r="D3094" s="211" t="s">
        <v>12522</v>
      </c>
      <c r="E3094" s="211" t="s">
        <v>12523</v>
      </c>
      <c r="F3094" s="241" t="s">
        <v>12524</v>
      </c>
      <c r="G3094" s="241" t="s">
        <v>127</v>
      </c>
      <c r="H3094" s="241">
        <v>4400.0</v>
      </c>
      <c r="I3094" s="211" t="s">
        <v>110</v>
      </c>
      <c r="J3094" s="211" t="s">
        <v>3673</v>
      </c>
      <c r="K3094" s="211">
        <v>1.0</v>
      </c>
      <c r="L3094" s="33">
        <v>3.874538543E9</v>
      </c>
    </row>
    <row r="3095">
      <c r="A3095" s="33" t="s">
        <v>12527</v>
      </c>
      <c r="B3095" s="122">
        <v>46125.0</v>
      </c>
      <c r="C3095" s="224">
        <v>8.0700003572E11</v>
      </c>
      <c r="D3095" s="224" t="s">
        <v>12522</v>
      </c>
      <c r="E3095" s="224" t="s">
        <v>12523</v>
      </c>
      <c r="F3095" s="242" t="s">
        <v>12524</v>
      </c>
      <c r="G3095" s="242" t="s">
        <v>127</v>
      </c>
      <c r="H3095" s="242">
        <v>4400.0</v>
      </c>
      <c r="I3095" s="224">
        <v>125810.0</v>
      </c>
      <c r="J3095" s="224" t="s">
        <v>4672</v>
      </c>
      <c r="K3095" s="224">
        <v>2.0</v>
      </c>
      <c r="L3095" s="33">
        <v>3.874538543E9</v>
      </c>
    </row>
    <row r="3096">
      <c r="A3096" s="33" t="s">
        <v>12527</v>
      </c>
      <c r="B3096" s="122">
        <v>46125.0</v>
      </c>
      <c r="C3096" s="211">
        <v>8.07000035721E11</v>
      </c>
      <c r="D3096" s="211" t="s">
        <v>12522</v>
      </c>
      <c r="E3096" s="211" t="s">
        <v>12523</v>
      </c>
      <c r="F3096" s="241" t="s">
        <v>12524</v>
      </c>
      <c r="G3096" s="241" t="s">
        <v>127</v>
      </c>
      <c r="H3096" s="241">
        <v>4400.0</v>
      </c>
      <c r="I3096" s="211" t="s">
        <v>50</v>
      </c>
      <c r="J3096" s="211" t="s">
        <v>51</v>
      </c>
      <c r="K3096" s="211">
        <v>1.0</v>
      </c>
      <c r="L3096" s="33">
        <v>3.874538543E9</v>
      </c>
    </row>
    <row r="3097">
      <c r="A3097" s="33" t="s">
        <v>12528</v>
      </c>
      <c r="B3097" s="122">
        <v>46125.0</v>
      </c>
      <c r="C3097" s="211">
        <v>8.07000035726E11</v>
      </c>
      <c r="D3097" s="211" t="s">
        <v>12529</v>
      </c>
      <c r="E3097" s="211" t="s">
        <v>12530</v>
      </c>
      <c r="F3097" s="241" t="s">
        <v>12531</v>
      </c>
      <c r="G3097" s="241" t="s">
        <v>3047</v>
      </c>
      <c r="H3097" s="241">
        <v>4400.0</v>
      </c>
      <c r="I3097" s="211" t="s">
        <v>3162</v>
      </c>
      <c r="J3097" s="211" t="s">
        <v>3885</v>
      </c>
      <c r="K3097" s="211">
        <v>2.0</v>
      </c>
      <c r="L3097" s="33">
        <v>3.875223271E9</v>
      </c>
    </row>
    <row r="3098">
      <c r="A3098" s="33" t="s">
        <v>12528</v>
      </c>
      <c r="B3098" s="122">
        <v>46125.0</v>
      </c>
      <c r="C3098" s="224">
        <v>8.07000035726E11</v>
      </c>
      <c r="D3098" s="224" t="s">
        <v>12529</v>
      </c>
      <c r="E3098" s="224" t="s">
        <v>12530</v>
      </c>
      <c r="F3098" s="242" t="s">
        <v>12531</v>
      </c>
      <c r="G3098" s="242" t="s">
        <v>3047</v>
      </c>
      <c r="H3098" s="242">
        <v>4400.0</v>
      </c>
      <c r="I3098" s="224" t="s">
        <v>512</v>
      </c>
      <c r="J3098" s="224" t="s">
        <v>513</v>
      </c>
      <c r="K3098" s="224">
        <v>12.0</v>
      </c>
      <c r="L3098" s="33">
        <v>3.875223271E9</v>
      </c>
    </row>
    <row r="3099">
      <c r="A3099" s="33" t="s">
        <v>12528</v>
      </c>
      <c r="B3099" s="122">
        <v>46125.0</v>
      </c>
      <c r="C3099" s="211">
        <v>8.07000035726E11</v>
      </c>
      <c r="D3099" s="211" t="s">
        <v>12529</v>
      </c>
      <c r="E3099" s="211" t="s">
        <v>12530</v>
      </c>
      <c r="F3099" s="241" t="s">
        <v>12531</v>
      </c>
      <c r="G3099" s="241" t="s">
        <v>3047</v>
      </c>
      <c r="H3099" s="241">
        <v>4400.0</v>
      </c>
      <c r="I3099" s="211" t="s">
        <v>2031</v>
      </c>
      <c r="J3099" s="211" t="s">
        <v>3348</v>
      </c>
      <c r="K3099" s="211">
        <v>2.0</v>
      </c>
      <c r="L3099" s="33">
        <v>3.875223271E9</v>
      </c>
    </row>
    <row r="3100">
      <c r="A3100" s="33" t="s">
        <v>12532</v>
      </c>
      <c r="B3100" s="122">
        <v>46126.0</v>
      </c>
      <c r="C3100" s="211">
        <v>8.07000035727E11</v>
      </c>
      <c r="D3100" s="211" t="s">
        <v>12533</v>
      </c>
      <c r="E3100" s="211" t="s">
        <v>12534</v>
      </c>
      <c r="F3100" s="241" t="s">
        <v>12535</v>
      </c>
      <c r="G3100" s="241" t="s">
        <v>4496</v>
      </c>
      <c r="H3100" s="241">
        <v>4400.0</v>
      </c>
      <c r="I3100" s="211">
        <v>125803.0</v>
      </c>
      <c r="J3100" s="211" t="s">
        <v>5805</v>
      </c>
      <c r="K3100" s="211">
        <v>2.0</v>
      </c>
      <c r="L3100" s="33">
        <v>3.876853126E9</v>
      </c>
    </row>
    <row r="3101">
      <c r="A3101" s="33" t="s">
        <v>12532</v>
      </c>
      <c r="B3101" s="122">
        <v>46126.0</v>
      </c>
      <c r="C3101" s="224">
        <v>8.07000035727E11</v>
      </c>
      <c r="D3101" s="224" t="s">
        <v>12533</v>
      </c>
      <c r="E3101" s="224" t="s">
        <v>12534</v>
      </c>
      <c r="F3101" s="242" t="s">
        <v>12535</v>
      </c>
      <c r="G3101" s="242" t="s">
        <v>4496</v>
      </c>
      <c r="H3101" s="242">
        <v>4400.0</v>
      </c>
      <c r="I3101" s="224">
        <v>125811.0</v>
      </c>
      <c r="J3101" s="224" t="s">
        <v>6073</v>
      </c>
      <c r="K3101" s="224">
        <v>2.0</v>
      </c>
      <c r="L3101" s="33">
        <v>3.876853126E9</v>
      </c>
    </row>
    <row r="3102">
      <c r="A3102" s="33" t="s">
        <v>12532</v>
      </c>
      <c r="B3102" s="122">
        <v>46126.0</v>
      </c>
      <c r="C3102" s="211">
        <v>8.07000035727E11</v>
      </c>
      <c r="D3102" s="211" t="s">
        <v>12533</v>
      </c>
      <c r="E3102" s="211" t="s">
        <v>12534</v>
      </c>
      <c r="F3102" s="241" t="s">
        <v>12535</v>
      </c>
      <c r="G3102" s="241" t="s">
        <v>4496</v>
      </c>
      <c r="H3102" s="241">
        <v>4400.0</v>
      </c>
      <c r="I3102" s="211" t="s">
        <v>1766</v>
      </c>
      <c r="J3102" s="211" t="s">
        <v>8008</v>
      </c>
      <c r="K3102" s="211">
        <v>1.0</v>
      </c>
      <c r="L3102" s="33">
        <v>3.876853126E9</v>
      </c>
    </row>
    <row r="3103">
      <c r="A3103" s="33" t="s">
        <v>12536</v>
      </c>
      <c r="B3103" s="122">
        <v>46126.0</v>
      </c>
      <c r="C3103" s="224">
        <v>8.0700003573E11</v>
      </c>
      <c r="D3103" s="224" t="s">
        <v>12537</v>
      </c>
      <c r="E3103" s="224" t="s">
        <v>12538</v>
      </c>
      <c r="F3103" s="242" t="s">
        <v>12539</v>
      </c>
      <c r="G3103" s="242" t="s">
        <v>127</v>
      </c>
      <c r="H3103" s="242">
        <v>4400.0</v>
      </c>
      <c r="I3103" s="224">
        <v>208502.0</v>
      </c>
      <c r="J3103" s="224" t="s">
        <v>4551</v>
      </c>
      <c r="K3103" s="224">
        <v>2.0</v>
      </c>
      <c r="L3103" s="33"/>
    </row>
    <row r="3104">
      <c r="A3104" s="33" t="s">
        <v>12536</v>
      </c>
      <c r="B3104" s="122">
        <v>46126.0</v>
      </c>
      <c r="C3104" s="211">
        <v>8.0700003573E11</v>
      </c>
      <c r="D3104" s="211" t="s">
        <v>12537</v>
      </c>
      <c r="E3104" s="211" t="s">
        <v>12538</v>
      </c>
      <c r="F3104" s="241" t="s">
        <v>12539</v>
      </c>
      <c r="G3104" s="241" t="s">
        <v>127</v>
      </c>
      <c r="H3104" s="241">
        <v>4400.0</v>
      </c>
      <c r="I3104" s="211" t="s">
        <v>3512</v>
      </c>
      <c r="J3104" s="211" t="s">
        <v>3513</v>
      </c>
      <c r="K3104" s="211">
        <v>12.0</v>
      </c>
      <c r="L3104" s="33"/>
    </row>
    <row r="3105">
      <c r="A3105" s="33" t="s">
        <v>12536</v>
      </c>
      <c r="B3105" s="122">
        <v>46126.0</v>
      </c>
      <c r="C3105" s="224">
        <v>8.07000035731E11</v>
      </c>
      <c r="D3105" s="224" t="s">
        <v>12537</v>
      </c>
      <c r="E3105" s="224" t="s">
        <v>12538</v>
      </c>
      <c r="F3105" s="242" t="s">
        <v>12539</v>
      </c>
      <c r="G3105" s="242" t="s">
        <v>127</v>
      </c>
      <c r="H3105" s="242">
        <v>4400.0</v>
      </c>
      <c r="I3105" s="224" t="s">
        <v>12540</v>
      </c>
      <c r="J3105" s="224" t="s">
        <v>12541</v>
      </c>
      <c r="K3105" s="224">
        <v>1.0</v>
      </c>
      <c r="L3105" s="33"/>
    </row>
    <row r="3106">
      <c r="A3106" s="33" t="s">
        <v>12536</v>
      </c>
      <c r="B3106" s="122">
        <v>46126.0</v>
      </c>
      <c r="C3106" s="211">
        <v>8.07000035731E11</v>
      </c>
      <c r="D3106" s="211" t="s">
        <v>12537</v>
      </c>
      <c r="E3106" s="211" t="s">
        <v>12538</v>
      </c>
      <c r="F3106" s="241" t="s">
        <v>12539</v>
      </c>
      <c r="G3106" s="241" t="s">
        <v>127</v>
      </c>
      <c r="H3106" s="241">
        <v>4400.0</v>
      </c>
      <c r="I3106" s="211" t="s">
        <v>6835</v>
      </c>
      <c r="J3106" s="211" t="s">
        <v>8150</v>
      </c>
      <c r="K3106" s="211">
        <v>2.0</v>
      </c>
      <c r="L3106" s="33"/>
    </row>
    <row r="3107">
      <c r="A3107" s="33" t="s">
        <v>12542</v>
      </c>
      <c r="B3107" s="122">
        <v>46126.0</v>
      </c>
      <c r="C3107" s="224">
        <v>8.07000035732E11</v>
      </c>
      <c r="D3107" s="224" t="s">
        <v>12543</v>
      </c>
      <c r="E3107" s="224" t="s">
        <v>12544</v>
      </c>
      <c r="F3107" s="242" t="s">
        <v>12545</v>
      </c>
      <c r="G3107" s="242" t="s">
        <v>127</v>
      </c>
      <c r="H3107" s="242">
        <v>4400.0</v>
      </c>
      <c r="I3107" s="224" t="s">
        <v>3512</v>
      </c>
      <c r="J3107" s="224" t="s">
        <v>3513</v>
      </c>
      <c r="K3107" s="224">
        <v>10.0</v>
      </c>
      <c r="L3107" s="33"/>
    </row>
    <row r="3108">
      <c r="A3108" s="33" t="s">
        <v>12542</v>
      </c>
      <c r="B3108" s="122">
        <v>46126.0</v>
      </c>
      <c r="C3108" s="211">
        <v>8.07000035733E11</v>
      </c>
      <c r="D3108" s="211" t="s">
        <v>12543</v>
      </c>
      <c r="E3108" s="211" t="s">
        <v>12544</v>
      </c>
      <c r="F3108" s="241" t="s">
        <v>12545</v>
      </c>
      <c r="G3108" s="241" t="s">
        <v>127</v>
      </c>
      <c r="H3108" s="241">
        <v>4400.0</v>
      </c>
      <c r="I3108" s="211">
        <v>125811.0</v>
      </c>
      <c r="J3108" s="211" t="s">
        <v>6073</v>
      </c>
      <c r="K3108" s="211">
        <v>2.0</v>
      </c>
      <c r="L3108" s="33"/>
    </row>
    <row r="3109">
      <c r="A3109" s="33" t="s">
        <v>12542</v>
      </c>
      <c r="B3109" s="122">
        <v>46126.0</v>
      </c>
      <c r="C3109" s="224">
        <v>8.07000035734E11</v>
      </c>
      <c r="D3109" s="224" t="s">
        <v>12543</v>
      </c>
      <c r="E3109" s="224" t="s">
        <v>12544</v>
      </c>
      <c r="F3109" s="242" t="s">
        <v>12545</v>
      </c>
      <c r="G3109" s="242" t="s">
        <v>127</v>
      </c>
      <c r="H3109" s="242">
        <v>4400.0</v>
      </c>
      <c r="I3109" s="224">
        <v>125811.0</v>
      </c>
      <c r="J3109" s="224" t="s">
        <v>6073</v>
      </c>
      <c r="K3109" s="224">
        <v>2.0</v>
      </c>
      <c r="L3109" s="33"/>
    </row>
    <row r="3110">
      <c r="A3110" s="33" t="s">
        <v>12542</v>
      </c>
      <c r="B3110" s="122">
        <v>46126.0</v>
      </c>
      <c r="C3110" s="211">
        <v>8.07000035735E11</v>
      </c>
      <c r="D3110" s="211" t="s">
        <v>12543</v>
      </c>
      <c r="E3110" s="211" t="s">
        <v>12544</v>
      </c>
      <c r="F3110" s="241" t="s">
        <v>12545</v>
      </c>
      <c r="G3110" s="241" t="s">
        <v>127</v>
      </c>
      <c r="H3110" s="241">
        <v>4400.0</v>
      </c>
      <c r="I3110" s="211" t="s">
        <v>6665</v>
      </c>
      <c r="J3110" s="211" t="s">
        <v>11095</v>
      </c>
      <c r="K3110" s="211">
        <v>1.0</v>
      </c>
      <c r="L3110" s="33"/>
    </row>
    <row r="3111">
      <c r="A3111" s="33" t="s">
        <v>12542</v>
      </c>
      <c r="B3111" s="122">
        <v>46126.0</v>
      </c>
      <c r="C3111" s="224">
        <v>8.07000035736E11</v>
      </c>
      <c r="D3111" s="224" t="s">
        <v>12543</v>
      </c>
      <c r="E3111" s="224" t="s">
        <v>12544</v>
      </c>
      <c r="F3111" s="242" t="s">
        <v>12545</v>
      </c>
      <c r="G3111" s="242" t="s">
        <v>127</v>
      </c>
      <c r="H3111" s="242">
        <v>4400.0</v>
      </c>
      <c r="I3111" s="224" t="s">
        <v>10959</v>
      </c>
      <c r="J3111" s="224" t="s">
        <v>10960</v>
      </c>
      <c r="K3111" s="224">
        <v>1.0</v>
      </c>
      <c r="L3111" s="33"/>
    </row>
    <row r="3112">
      <c r="A3112" s="33" t="s">
        <v>12542</v>
      </c>
      <c r="B3112" s="122">
        <v>46126.0</v>
      </c>
      <c r="C3112" s="211">
        <v>8.07000035736E11</v>
      </c>
      <c r="D3112" s="211" t="s">
        <v>12543</v>
      </c>
      <c r="E3112" s="211" t="s">
        <v>12544</v>
      </c>
      <c r="F3112" s="241" t="s">
        <v>12545</v>
      </c>
      <c r="G3112" s="241" t="s">
        <v>127</v>
      </c>
      <c r="H3112" s="241">
        <v>4400.0</v>
      </c>
      <c r="I3112" s="211" t="s">
        <v>4250</v>
      </c>
      <c r="J3112" s="211" t="s">
        <v>4251</v>
      </c>
      <c r="K3112" s="211">
        <v>2.0</v>
      </c>
      <c r="L3112" s="33"/>
    </row>
    <row r="3113">
      <c r="A3113" s="33" t="s">
        <v>12546</v>
      </c>
      <c r="B3113" s="122">
        <v>45763.0</v>
      </c>
      <c r="C3113" s="224">
        <v>8.07000035743E11</v>
      </c>
      <c r="D3113" s="224" t="s">
        <v>12547</v>
      </c>
      <c r="E3113" s="224" t="s">
        <v>12548</v>
      </c>
      <c r="F3113" s="242" t="s">
        <v>12549</v>
      </c>
      <c r="G3113" s="242" t="s">
        <v>127</v>
      </c>
      <c r="H3113" s="242">
        <v>4400.0</v>
      </c>
      <c r="I3113" s="224" t="s">
        <v>5842</v>
      </c>
      <c r="J3113" s="224" t="s">
        <v>5843</v>
      </c>
      <c r="K3113" s="224">
        <v>1.0</v>
      </c>
      <c r="L3113" s="33">
        <v>3.875437499E9</v>
      </c>
    </row>
    <row r="3114">
      <c r="A3114" s="33" t="s">
        <v>12546</v>
      </c>
      <c r="B3114" s="122">
        <v>45763.0</v>
      </c>
      <c r="C3114" s="211">
        <v>8.07000035743E11</v>
      </c>
      <c r="D3114" s="211" t="s">
        <v>12547</v>
      </c>
      <c r="E3114" s="211" t="s">
        <v>12548</v>
      </c>
      <c r="F3114" s="242" t="s">
        <v>12549</v>
      </c>
      <c r="G3114" s="241" t="s">
        <v>127</v>
      </c>
      <c r="H3114" s="241">
        <v>4400.0</v>
      </c>
      <c r="I3114" s="211" t="s">
        <v>3131</v>
      </c>
      <c r="J3114" s="211" t="s">
        <v>3416</v>
      </c>
      <c r="K3114" s="211">
        <v>1.0</v>
      </c>
      <c r="L3114" s="33">
        <v>3.875437499E9</v>
      </c>
    </row>
    <row r="3115">
      <c r="A3115" s="33" t="s">
        <v>12550</v>
      </c>
      <c r="B3115" s="122">
        <v>45763.0</v>
      </c>
      <c r="C3115" s="211">
        <v>8.05011574078E11</v>
      </c>
      <c r="D3115" s="211" t="s">
        <v>12551</v>
      </c>
      <c r="E3115" s="211" t="s">
        <v>12552</v>
      </c>
      <c r="F3115" s="242" t="s">
        <v>12553</v>
      </c>
      <c r="G3115" s="242" t="s">
        <v>2943</v>
      </c>
      <c r="H3115" s="242">
        <v>4407.0</v>
      </c>
      <c r="I3115" s="211" t="s">
        <v>2372</v>
      </c>
      <c r="J3115" s="211" t="s">
        <v>8140</v>
      </c>
      <c r="K3115" s="211">
        <v>1.0</v>
      </c>
      <c r="L3115" s="33">
        <v>3.875180998E9</v>
      </c>
    </row>
    <row r="3116">
      <c r="A3116" s="33" t="s">
        <v>12550</v>
      </c>
      <c r="B3116" s="122">
        <v>45763.0</v>
      </c>
      <c r="C3116" s="224">
        <v>8.05011574078E11</v>
      </c>
      <c r="D3116" s="224" t="s">
        <v>12551</v>
      </c>
      <c r="E3116" s="224" t="s">
        <v>12552</v>
      </c>
      <c r="F3116" s="242" t="s">
        <v>12553</v>
      </c>
      <c r="G3116" s="242" t="s">
        <v>2943</v>
      </c>
      <c r="H3116" s="242">
        <v>4407.0</v>
      </c>
      <c r="I3116" s="224" t="s">
        <v>512</v>
      </c>
      <c r="J3116" s="224" t="s">
        <v>513</v>
      </c>
      <c r="K3116" s="224">
        <v>6.0</v>
      </c>
      <c r="L3116" s="33">
        <v>3.875180998E9</v>
      </c>
    </row>
    <row r="3117">
      <c r="A3117" s="33" t="s">
        <v>12550</v>
      </c>
      <c r="B3117" s="122">
        <v>45763.0</v>
      </c>
      <c r="C3117" s="211">
        <v>8.05011574078E11</v>
      </c>
      <c r="D3117" s="211" t="s">
        <v>12551</v>
      </c>
      <c r="E3117" s="211" t="s">
        <v>12552</v>
      </c>
      <c r="F3117" s="242" t="s">
        <v>12553</v>
      </c>
      <c r="G3117" s="242" t="s">
        <v>2943</v>
      </c>
      <c r="H3117" s="242">
        <v>4407.0</v>
      </c>
      <c r="I3117" s="211" t="s">
        <v>35</v>
      </c>
      <c r="J3117" s="211" t="s">
        <v>3188</v>
      </c>
      <c r="K3117" s="211">
        <v>1.0</v>
      </c>
      <c r="L3117" s="33">
        <v>3.875180998E9</v>
      </c>
    </row>
    <row r="3118">
      <c r="A3118" s="33" t="s">
        <v>12554</v>
      </c>
      <c r="B3118" s="122">
        <v>45763.0</v>
      </c>
      <c r="C3118" s="224">
        <v>8.07000035764E11</v>
      </c>
      <c r="D3118" s="224" t="s">
        <v>12555</v>
      </c>
      <c r="E3118" s="224" t="s">
        <v>12556</v>
      </c>
      <c r="F3118" s="242" t="s">
        <v>12557</v>
      </c>
      <c r="G3118" s="242" t="s">
        <v>127</v>
      </c>
      <c r="H3118" s="242">
        <v>4400.0</v>
      </c>
      <c r="I3118" s="33" t="s">
        <v>233</v>
      </c>
      <c r="J3118" s="33" t="s">
        <v>3459</v>
      </c>
      <c r="K3118" s="224">
        <v>2.0</v>
      </c>
      <c r="L3118" s="33">
        <v>1.134321564E9</v>
      </c>
    </row>
    <row r="3119">
      <c r="A3119" s="33" t="s">
        <v>12558</v>
      </c>
      <c r="B3119" s="122">
        <v>45763.0</v>
      </c>
      <c r="C3119" s="224">
        <v>8.07000035764E11</v>
      </c>
      <c r="D3119" s="224" t="s">
        <v>12555</v>
      </c>
      <c r="E3119" s="224" t="s">
        <v>12556</v>
      </c>
      <c r="F3119" s="242" t="s">
        <v>12557</v>
      </c>
      <c r="G3119" s="241" t="s">
        <v>127</v>
      </c>
      <c r="H3119" s="241">
        <v>4400.0</v>
      </c>
      <c r="I3119" s="33" t="s">
        <v>8763</v>
      </c>
      <c r="J3119" s="33" t="s">
        <v>12559</v>
      </c>
      <c r="K3119" s="224">
        <v>1.0</v>
      </c>
      <c r="L3119" s="33">
        <v>1.134321564E9</v>
      </c>
    </row>
    <row r="3120">
      <c r="A3120" s="33" t="s">
        <v>12558</v>
      </c>
      <c r="B3120" s="122">
        <v>45763.0</v>
      </c>
      <c r="C3120" s="224">
        <v>8.07000035764E11</v>
      </c>
      <c r="D3120" s="224" t="s">
        <v>12555</v>
      </c>
      <c r="E3120" s="224" t="s">
        <v>12556</v>
      </c>
      <c r="F3120" s="242" t="s">
        <v>12557</v>
      </c>
      <c r="G3120" s="242" t="s">
        <v>127</v>
      </c>
      <c r="H3120" s="242">
        <v>4400.0</v>
      </c>
      <c r="I3120" s="224" t="s">
        <v>512</v>
      </c>
      <c r="J3120" s="224" t="s">
        <v>513</v>
      </c>
      <c r="K3120" s="224">
        <v>12.0</v>
      </c>
      <c r="L3120" s="33">
        <v>1.134321564E9</v>
      </c>
    </row>
    <row r="3121">
      <c r="A3121" s="33" t="s">
        <v>12560</v>
      </c>
      <c r="B3121" s="122">
        <v>45763.0</v>
      </c>
      <c r="C3121" s="224">
        <v>8.0700000356E11</v>
      </c>
      <c r="D3121" s="224" t="s">
        <v>12555</v>
      </c>
      <c r="E3121" s="224" t="s">
        <v>12556</v>
      </c>
      <c r="F3121" s="242" t="s">
        <v>12557</v>
      </c>
      <c r="G3121" s="241" t="s">
        <v>127</v>
      </c>
      <c r="H3121" s="241">
        <v>4400.0</v>
      </c>
      <c r="I3121" s="224">
        <v>125822.0</v>
      </c>
      <c r="J3121" s="33" t="s">
        <v>6030</v>
      </c>
      <c r="K3121" s="224">
        <v>1.0</v>
      </c>
      <c r="L3121" s="33">
        <v>1.134321564E9</v>
      </c>
    </row>
    <row r="3122">
      <c r="A3122" s="33" t="s">
        <v>12560</v>
      </c>
      <c r="B3122" s="122">
        <v>45763.0</v>
      </c>
      <c r="C3122" s="224">
        <v>8.0700000356E11</v>
      </c>
      <c r="D3122" s="224" t="s">
        <v>12555</v>
      </c>
      <c r="E3122" s="224" t="s">
        <v>12556</v>
      </c>
      <c r="F3122" s="242" t="s">
        <v>12557</v>
      </c>
      <c r="G3122" s="242" t="s">
        <v>127</v>
      </c>
      <c r="H3122" s="242">
        <v>4400.0</v>
      </c>
      <c r="I3122" s="224">
        <v>208502.0</v>
      </c>
      <c r="J3122" s="33" t="s">
        <v>4551</v>
      </c>
      <c r="K3122" s="224">
        <v>2.0</v>
      </c>
      <c r="L3122" s="33">
        <v>1.134321564E9</v>
      </c>
    </row>
    <row r="3123">
      <c r="A3123" s="33" t="s">
        <v>12561</v>
      </c>
      <c r="B3123" s="122">
        <v>46129.0</v>
      </c>
      <c r="C3123" s="224">
        <v>8.07000035645E11</v>
      </c>
      <c r="D3123" s="224" t="s">
        <v>12562</v>
      </c>
      <c r="E3123" s="224" t="s">
        <v>12563</v>
      </c>
      <c r="F3123" s="242" t="s">
        <v>12564</v>
      </c>
      <c r="G3123" s="241" t="s">
        <v>127</v>
      </c>
      <c r="H3123" s="241">
        <v>4400.0</v>
      </c>
      <c r="I3123" s="224" t="s">
        <v>512</v>
      </c>
      <c r="J3123" s="224" t="s">
        <v>513</v>
      </c>
      <c r="K3123" s="224">
        <v>12.0</v>
      </c>
      <c r="L3123" s="33"/>
    </row>
    <row r="3124">
      <c r="A3124" s="33" t="s">
        <v>12561</v>
      </c>
      <c r="B3124" s="122">
        <v>46129.0</v>
      </c>
      <c r="C3124" s="211">
        <v>8.07000035646E11</v>
      </c>
      <c r="D3124" s="211" t="s">
        <v>12562</v>
      </c>
      <c r="E3124" s="211" t="s">
        <v>12563</v>
      </c>
      <c r="F3124" s="242" t="s">
        <v>12564</v>
      </c>
      <c r="G3124" s="241" t="s">
        <v>127</v>
      </c>
      <c r="H3124" s="241">
        <v>4400.0</v>
      </c>
      <c r="I3124" s="211">
        <v>125810.0</v>
      </c>
      <c r="J3124" s="211" t="s">
        <v>4672</v>
      </c>
      <c r="K3124" s="211">
        <v>2.0</v>
      </c>
      <c r="L3124" s="33"/>
    </row>
    <row r="3125">
      <c r="A3125" s="33" t="s">
        <v>12561</v>
      </c>
      <c r="B3125" s="122">
        <v>46129.0</v>
      </c>
      <c r="C3125" s="224">
        <v>8.07000035646E11</v>
      </c>
      <c r="D3125" s="224" t="s">
        <v>12562</v>
      </c>
      <c r="E3125" s="224" t="s">
        <v>12563</v>
      </c>
      <c r="F3125" s="242" t="s">
        <v>12564</v>
      </c>
      <c r="G3125" s="241" t="s">
        <v>127</v>
      </c>
      <c r="H3125" s="241">
        <v>4400.0</v>
      </c>
      <c r="I3125" s="224" t="s">
        <v>4133</v>
      </c>
      <c r="J3125" s="224" t="s">
        <v>4134</v>
      </c>
      <c r="K3125" s="224">
        <v>1.0</v>
      </c>
      <c r="L3125" s="33"/>
    </row>
    <row r="3126">
      <c r="A3126" s="33" t="s">
        <v>12561</v>
      </c>
      <c r="B3126" s="122">
        <v>46129.0</v>
      </c>
      <c r="C3126" s="211">
        <v>8.07000035646E11</v>
      </c>
      <c r="D3126" s="211" t="s">
        <v>12562</v>
      </c>
      <c r="E3126" s="211" t="s">
        <v>12563</v>
      </c>
      <c r="F3126" s="242" t="s">
        <v>12564</v>
      </c>
      <c r="G3126" s="241" t="s">
        <v>127</v>
      </c>
      <c r="H3126" s="241">
        <v>4400.0</v>
      </c>
      <c r="I3126" s="211" t="s">
        <v>340</v>
      </c>
      <c r="J3126" s="211" t="s">
        <v>3486</v>
      </c>
      <c r="K3126" s="211">
        <v>2.0</v>
      </c>
      <c r="L3126" s="33"/>
    </row>
    <row r="3127">
      <c r="A3127" s="33" t="s">
        <v>12565</v>
      </c>
      <c r="B3127" s="122">
        <v>46129.0</v>
      </c>
      <c r="C3127" s="211">
        <v>8.07000035757E11</v>
      </c>
      <c r="D3127" s="211" t="s">
        <v>12566</v>
      </c>
      <c r="E3127" s="211" t="s">
        <v>12567</v>
      </c>
      <c r="F3127" s="241" t="s">
        <v>12568</v>
      </c>
      <c r="G3127" s="241" t="s">
        <v>127</v>
      </c>
      <c r="H3127" s="241">
        <v>4400.0</v>
      </c>
      <c r="I3127" s="211" t="s">
        <v>7955</v>
      </c>
      <c r="J3127" s="211" t="s">
        <v>7956</v>
      </c>
      <c r="K3127" s="211">
        <v>1.0</v>
      </c>
      <c r="L3127" s="33">
        <v>3.87482855E9</v>
      </c>
    </row>
    <row r="3128">
      <c r="A3128" s="33" t="s">
        <v>12565</v>
      </c>
      <c r="B3128" s="122">
        <v>46129.0</v>
      </c>
      <c r="C3128" s="224">
        <v>8.07000035757E11</v>
      </c>
      <c r="D3128" s="224" t="s">
        <v>12566</v>
      </c>
      <c r="E3128" s="224" t="s">
        <v>12567</v>
      </c>
      <c r="F3128" s="242" t="s">
        <v>12568</v>
      </c>
      <c r="G3128" s="242" t="s">
        <v>127</v>
      </c>
      <c r="H3128" s="242">
        <v>4400.0</v>
      </c>
      <c r="I3128" s="224" t="s">
        <v>512</v>
      </c>
      <c r="J3128" s="224" t="s">
        <v>513</v>
      </c>
      <c r="K3128" s="224">
        <v>12.0</v>
      </c>
      <c r="L3128" s="33">
        <v>3.87482855E9</v>
      </c>
    </row>
    <row r="3129">
      <c r="A3129" s="33" t="s">
        <v>12569</v>
      </c>
      <c r="B3129" s="122">
        <v>46129.0</v>
      </c>
      <c r="C3129" s="211">
        <v>8.07000035759E11</v>
      </c>
      <c r="D3129" s="211" t="s">
        <v>12566</v>
      </c>
      <c r="E3129" s="211" t="s">
        <v>12567</v>
      </c>
      <c r="F3129" s="241" t="s">
        <v>12568</v>
      </c>
      <c r="G3129" s="241" t="s">
        <v>127</v>
      </c>
      <c r="H3129" s="241">
        <v>4400.0</v>
      </c>
      <c r="I3129" s="211" t="s">
        <v>758</v>
      </c>
      <c r="J3129" s="211" t="s">
        <v>3574</v>
      </c>
      <c r="K3129" s="211">
        <v>2.0</v>
      </c>
      <c r="L3129" s="33">
        <v>3.87482855E9</v>
      </c>
    </row>
    <row r="3130">
      <c r="A3130" s="33" t="s">
        <v>12570</v>
      </c>
      <c r="B3130" s="122">
        <v>46129.0</v>
      </c>
      <c r="C3130" s="224">
        <v>8.05011574137E11</v>
      </c>
      <c r="D3130" s="224" t="s">
        <v>12571</v>
      </c>
      <c r="E3130" s="224" t="s">
        <v>12572</v>
      </c>
      <c r="F3130" s="242" t="s">
        <v>12573</v>
      </c>
      <c r="G3130" s="242" t="s">
        <v>20</v>
      </c>
      <c r="H3130" s="242">
        <v>4400.0</v>
      </c>
      <c r="I3130" s="224" t="s">
        <v>634</v>
      </c>
      <c r="J3130" s="224" t="s">
        <v>635</v>
      </c>
      <c r="K3130" s="224">
        <v>2.0</v>
      </c>
      <c r="L3130" s="33">
        <v>3.873692595E9</v>
      </c>
    </row>
    <row r="3131">
      <c r="A3131" s="33" t="s">
        <v>12574</v>
      </c>
      <c r="B3131" s="122">
        <v>46129.0</v>
      </c>
      <c r="C3131" s="211">
        <v>8.07000035767E11</v>
      </c>
      <c r="D3131" s="211" t="s">
        <v>12575</v>
      </c>
      <c r="E3131" s="211" t="s">
        <v>12576</v>
      </c>
      <c r="F3131" s="241" t="s">
        <v>12577</v>
      </c>
      <c r="G3131" s="241" t="s">
        <v>127</v>
      </c>
      <c r="H3131" s="241">
        <v>4400.0</v>
      </c>
      <c r="I3131" s="211" t="s">
        <v>512</v>
      </c>
      <c r="J3131" s="211" t="s">
        <v>513</v>
      </c>
      <c r="K3131" s="211">
        <v>12.0</v>
      </c>
      <c r="L3131" s="33">
        <v>3.876308844E9</v>
      </c>
    </row>
    <row r="3132">
      <c r="A3132" s="33" t="s">
        <v>12574</v>
      </c>
      <c r="B3132" s="122">
        <v>46129.0</v>
      </c>
      <c r="C3132" s="224">
        <v>8.07000035768E11</v>
      </c>
      <c r="D3132" s="224" t="s">
        <v>12575</v>
      </c>
      <c r="E3132" s="224" t="s">
        <v>12576</v>
      </c>
      <c r="F3132" s="242" t="s">
        <v>12577</v>
      </c>
      <c r="G3132" s="242" t="s">
        <v>127</v>
      </c>
      <c r="H3132" s="242">
        <v>4400.0</v>
      </c>
      <c r="I3132" s="224" t="s">
        <v>7741</v>
      </c>
      <c r="J3132" s="224" t="s">
        <v>7742</v>
      </c>
      <c r="K3132" s="224">
        <v>1.0</v>
      </c>
      <c r="L3132" s="33">
        <v>3.876308844E9</v>
      </c>
    </row>
    <row r="3133">
      <c r="A3133" s="33" t="s">
        <v>12574</v>
      </c>
      <c r="B3133" s="122">
        <v>46129.0</v>
      </c>
      <c r="C3133" s="211">
        <v>8.07000035768E11</v>
      </c>
      <c r="D3133" s="211" t="s">
        <v>12575</v>
      </c>
      <c r="E3133" s="211" t="s">
        <v>12576</v>
      </c>
      <c r="F3133" s="241" t="s">
        <v>12577</v>
      </c>
      <c r="G3133" s="241" t="s">
        <v>127</v>
      </c>
      <c r="H3133" s="241">
        <v>4400.0</v>
      </c>
      <c r="I3133" s="211" t="s">
        <v>772</v>
      </c>
      <c r="J3133" s="211" t="s">
        <v>3363</v>
      </c>
      <c r="K3133" s="211">
        <v>2.0</v>
      </c>
      <c r="L3133" s="33">
        <v>3.876308844E9</v>
      </c>
    </row>
    <row r="3134" ht="3.0" customHeight="1">
      <c r="A3134" s="100"/>
      <c r="B3134" s="230"/>
      <c r="C3134" s="251"/>
      <c r="D3134" s="251"/>
      <c r="E3134" s="251"/>
      <c r="F3134" s="253"/>
      <c r="G3134" s="253"/>
      <c r="H3134" s="253"/>
      <c r="I3134" s="252"/>
      <c r="J3134" s="251"/>
      <c r="K3134" s="253"/>
      <c r="L3134" s="232"/>
      <c r="M3134" s="233"/>
      <c r="N3134" s="233"/>
      <c r="O3134" s="233"/>
      <c r="P3134" s="233"/>
      <c r="Q3134" s="233"/>
      <c r="R3134" s="233"/>
      <c r="S3134" s="233"/>
      <c r="T3134" s="233"/>
      <c r="U3134" s="233"/>
      <c r="V3134" s="233"/>
      <c r="W3134" s="233"/>
      <c r="X3134" s="233"/>
      <c r="Y3134" s="233"/>
      <c r="Z3134" s="233"/>
      <c r="AA3134" s="233"/>
      <c r="AB3134" s="233"/>
      <c r="AC3134" s="233"/>
    </row>
    <row r="3135">
      <c r="A3135" s="33" t="s">
        <v>12578</v>
      </c>
      <c r="B3135" s="122">
        <v>46133.0</v>
      </c>
      <c r="C3135" s="103">
        <v>8.07000035739E11</v>
      </c>
      <c r="D3135" s="103" t="s">
        <v>6093</v>
      </c>
      <c r="E3135" s="103" t="s">
        <v>6094</v>
      </c>
      <c r="F3135" s="241" t="s">
        <v>6095</v>
      </c>
      <c r="G3135" s="241" t="s">
        <v>127</v>
      </c>
      <c r="H3135" s="241">
        <v>4400.0</v>
      </c>
      <c r="I3135" s="211" t="s">
        <v>4250</v>
      </c>
      <c r="J3135" s="103" t="s">
        <v>4251</v>
      </c>
      <c r="K3135" s="241">
        <v>2.0</v>
      </c>
      <c r="L3135" s="124">
        <v>3.875385097E9</v>
      </c>
    </row>
    <row r="3136">
      <c r="A3136" s="33" t="s">
        <v>12578</v>
      </c>
      <c r="B3136" s="122">
        <v>46133.0</v>
      </c>
      <c r="C3136" s="240">
        <v>8.07000035741E11</v>
      </c>
      <c r="D3136" s="240" t="s">
        <v>6093</v>
      </c>
      <c r="E3136" s="240" t="s">
        <v>6094</v>
      </c>
      <c r="F3136" s="242" t="s">
        <v>6095</v>
      </c>
      <c r="G3136" s="242" t="s">
        <v>127</v>
      </c>
      <c r="H3136" s="242">
        <v>4400.0</v>
      </c>
      <c r="I3136" s="224" t="s">
        <v>4248</v>
      </c>
      <c r="J3136" s="240" t="s">
        <v>4249</v>
      </c>
      <c r="K3136" s="242">
        <v>1.0</v>
      </c>
      <c r="L3136" s="124">
        <v>3.875385097E9</v>
      </c>
    </row>
    <row r="3137">
      <c r="A3137" s="33" t="s">
        <v>12579</v>
      </c>
      <c r="B3137" s="122">
        <v>46133.0</v>
      </c>
      <c r="C3137" s="103">
        <v>8.07000035793E11</v>
      </c>
      <c r="D3137" s="103" t="s">
        <v>12580</v>
      </c>
      <c r="E3137" s="103" t="s">
        <v>12581</v>
      </c>
      <c r="F3137" s="241" t="s">
        <v>12582</v>
      </c>
      <c r="G3137" s="241" t="s">
        <v>127</v>
      </c>
      <c r="H3137" s="241">
        <v>4400.0</v>
      </c>
      <c r="I3137" s="211" t="s">
        <v>512</v>
      </c>
      <c r="J3137" s="103" t="s">
        <v>513</v>
      </c>
      <c r="K3137" s="241">
        <v>12.0</v>
      </c>
      <c r="L3137" s="124">
        <v>3.875467514E9</v>
      </c>
    </row>
    <row r="3138">
      <c r="A3138" s="33" t="s">
        <v>12579</v>
      </c>
      <c r="B3138" s="122">
        <v>46133.0</v>
      </c>
      <c r="C3138" s="240">
        <v>8.07000035794E11</v>
      </c>
      <c r="D3138" s="240" t="s">
        <v>12580</v>
      </c>
      <c r="E3138" s="240" t="s">
        <v>12581</v>
      </c>
      <c r="F3138" s="242" t="s">
        <v>12582</v>
      </c>
      <c r="G3138" s="242" t="s">
        <v>127</v>
      </c>
      <c r="H3138" s="242">
        <v>4400.0</v>
      </c>
      <c r="I3138" s="224" t="s">
        <v>3484</v>
      </c>
      <c r="J3138" s="240" t="s">
        <v>3485</v>
      </c>
      <c r="K3138" s="242">
        <v>1.0</v>
      </c>
      <c r="L3138" s="124">
        <v>3.875467514E9</v>
      </c>
    </row>
    <row r="3139">
      <c r="A3139" s="33" t="s">
        <v>12579</v>
      </c>
      <c r="B3139" s="122">
        <v>46133.0</v>
      </c>
      <c r="C3139" s="103">
        <v>8.07000035795E11</v>
      </c>
      <c r="D3139" s="103" t="s">
        <v>12580</v>
      </c>
      <c r="E3139" s="103" t="s">
        <v>12581</v>
      </c>
      <c r="F3139" s="241" t="s">
        <v>12582</v>
      </c>
      <c r="G3139" s="241" t="s">
        <v>127</v>
      </c>
      <c r="H3139" s="241">
        <v>4400.0</v>
      </c>
      <c r="I3139" s="211" t="s">
        <v>340</v>
      </c>
      <c r="J3139" s="103" t="s">
        <v>3486</v>
      </c>
      <c r="K3139" s="241">
        <v>2.0</v>
      </c>
      <c r="L3139" s="124">
        <v>3.875467514E9</v>
      </c>
    </row>
    <row r="3140">
      <c r="A3140" s="33" t="s">
        <v>12583</v>
      </c>
      <c r="B3140" s="122">
        <v>46134.0</v>
      </c>
      <c r="C3140" s="240">
        <v>8.07000035583E11</v>
      </c>
      <c r="D3140" s="240" t="s">
        <v>6070</v>
      </c>
      <c r="E3140" s="240" t="s">
        <v>6071</v>
      </c>
      <c r="F3140" s="242" t="s">
        <v>6072</v>
      </c>
      <c r="G3140" s="242" t="s">
        <v>127</v>
      </c>
      <c r="H3140" s="242">
        <v>4400.0</v>
      </c>
      <c r="I3140" s="224">
        <v>125811.0</v>
      </c>
      <c r="J3140" s="240" t="s">
        <v>6073</v>
      </c>
      <c r="K3140" s="242">
        <v>2.0</v>
      </c>
      <c r="L3140" s="124">
        <v>1.165206266E9</v>
      </c>
    </row>
    <row r="3141">
      <c r="A3141" s="33" t="s">
        <v>12584</v>
      </c>
      <c r="B3141" s="122">
        <v>46134.0</v>
      </c>
      <c r="C3141" s="103">
        <v>8.0501157396E11</v>
      </c>
      <c r="D3141" s="103" t="s">
        <v>12585</v>
      </c>
      <c r="E3141" s="103" t="s">
        <v>12586</v>
      </c>
      <c r="F3141" s="241" t="s">
        <v>12587</v>
      </c>
      <c r="G3141" s="241" t="s">
        <v>12588</v>
      </c>
      <c r="H3141" s="241">
        <v>4530.0</v>
      </c>
      <c r="I3141" s="211" t="s">
        <v>3339</v>
      </c>
      <c r="J3141" s="103" t="s">
        <v>3340</v>
      </c>
      <c r="K3141" s="241">
        <v>1.0</v>
      </c>
      <c r="L3141" s="124">
        <v>3.584245292E9</v>
      </c>
    </row>
    <row r="3142">
      <c r="A3142" s="33" t="s">
        <v>12589</v>
      </c>
      <c r="B3142" s="122">
        <v>46135.0</v>
      </c>
      <c r="C3142" s="103">
        <v>8.07000035801E11</v>
      </c>
      <c r="D3142" s="103" t="s">
        <v>12590</v>
      </c>
      <c r="E3142" s="103" t="s">
        <v>12591</v>
      </c>
      <c r="F3142" s="242" t="s">
        <v>12592</v>
      </c>
      <c r="G3142" s="242" t="s">
        <v>104</v>
      </c>
      <c r="H3142" s="242">
        <v>4400.0</v>
      </c>
      <c r="I3142" s="211" t="s">
        <v>8532</v>
      </c>
      <c r="J3142" s="103" t="s">
        <v>8533</v>
      </c>
      <c r="K3142" s="241">
        <v>1.0</v>
      </c>
      <c r="L3142" s="124">
        <v>3.874779573E9</v>
      </c>
    </row>
    <row r="3143">
      <c r="A3143" s="33" t="s">
        <v>12593</v>
      </c>
      <c r="B3143" s="122">
        <v>46136.0</v>
      </c>
      <c r="C3143" s="103">
        <v>8.07000035803E11</v>
      </c>
      <c r="D3143" s="103" t="s">
        <v>12594</v>
      </c>
      <c r="E3143" s="103" t="s">
        <v>12595</v>
      </c>
      <c r="F3143" s="242" t="s">
        <v>12596</v>
      </c>
      <c r="G3143" s="242" t="s">
        <v>104</v>
      </c>
      <c r="H3143" s="242">
        <v>4400.0</v>
      </c>
      <c r="I3143" s="211" t="s">
        <v>5551</v>
      </c>
      <c r="J3143" s="103" t="s">
        <v>5552</v>
      </c>
      <c r="K3143" s="241">
        <v>1.0</v>
      </c>
      <c r="L3143" s="124">
        <v>3.874128912E9</v>
      </c>
    </row>
    <row r="3144">
      <c r="A3144" s="33" t="s">
        <v>12593</v>
      </c>
      <c r="B3144" s="122">
        <v>46136.0</v>
      </c>
      <c r="C3144" s="240">
        <v>8.07000035803E11</v>
      </c>
      <c r="D3144" s="240" t="s">
        <v>12594</v>
      </c>
      <c r="E3144" s="240" t="s">
        <v>12595</v>
      </c>
      <c r="F3144" s="242" t="s">
        <v>12596</v>
      </c>
      <c r="G3144" s="242" t="s">
        <v>104</v>
      </c>
      <c r="H3144" s="242">
        <v>4400.0</v>
      </c>
      <c r="I3144" s="224" t="s">
        <v>110</v>
      </c>
      <c r="J3144" s="240" t="s">
        <v>3673</v>
      </c>
      <c r="K3144" s="242">
        <v>1.0</v>
      </c>
      <c r="L3144" s="124">
        <v>3.874128912E9</v>
      </c>
    </row>
    <row r="3145">
      <c r="A3145" s="33" t="s">
        <v>12597</v>
      </c>
      <c r="B3145" s="122">
        <v>46136.0</v>
      </c>
      <c r="C3145" s="103">
        <v>8.05011574391E11</v>
      </c>
      <c r="D3145" s="103" t="s">
        <v>12598</v>
      </c>
      <c r="E3145" s="103" t="s">
        <v>12599</v>
      </c>
      <c r="F3145" s="242" t="s">
        <v>12600</v>
      </c>
      <c r="G3145" s="242" t="s">
        <v>104</v>
      </c>
      <c r="H3145" s="242">
        <v>4400.0</v>
      </c>
      <c r="I3145" s="211" t="s">
        <v>3451</v>
      </c>
      <c r="J3145" s="103" t="s">
        <v>3452</v>
      </c>
      <c r="K3145" s="241">
        <v>1.0</v>
      </c>
      <c r="L3145" s="124">
        <v>3.875919671E9</v>
      </c>
    </row>
    <row r="3146" ht="6.0" customHeight="1">
      <c r="A3146" s="244"/>
      <c r="B3146" s="245"/>
      <c r="C3146" s="271"/>
      <c r="D3146" s="271"/>
      <c r="E3146" s="271"/>
      <c r="F3146" s="273"/>
      <c r="G3146" s="273"/>
      <c r="H3146" s="273"/>
      <c r="I3146" s="272"/>
      <c r="J3146" s="271"/>
      <c r="K3146" s="273"/>
      <c r="L3146" s="247"/>
      <c r="M3146" s="233"/>
      <c r="N3146" s="233"/>
      <c r="O3146" s="233"/>
      <c r="P3146" s="233"/>
      <c r="Q3146" s="233"/>
      <c r="R3146" s="233"/>
      <c r="S3146" s="233"/>
      <c r="T3146" s="233"/>
      <c r="U3146" s="233"/>
      <c r="V3146" s="233"/>
      <c r="W3146" s="233"/>
      <c r="X3146" s="233"/>
      <c r="Y3146" s="233"/>
      <c r="Z3146" s="233"/>
      <c r="AA3146" s="233"/>
      <c r="AB3146" s="233"/>
      <c r="AC3146" s="233"/>
    </row>
    <row r="3147">
      <c r="A3147" s="33" t="s">
        <v>12601</v>
      </c>
      <c r="B3147" s="122">
        <v>46138.0</v>
      </c>
      <c r="C3147" s="240"/>
      <c r="D3147" s="240" t="s">
        <v>12602</v>
      </c>
      <c r="E3147" s="240" t="s">
        <v>12603</v>
      </c>
      <c r="F3147" s="242" t="s">
        <v>12604</v>
      </c>
      <c r="G3147" s="242" t="s">
        <v>11028</v>
      </c>
      <c r="H3147" s="242">
        <v>4400.0</v>
      </c>
      <c r="I3147" s="224" t="s">
        <v>812</v>
      </c>
      <c r="J3147" s="240" t="s">
        <v>12605</v>
      </c>
      <c r="K3147" s="242">
        <v>1.0</v>
      </c>
      <c r="L3147" s="124">
        <v>3.87453533E9</v>
      </c>
    </row>
    <row r="3148">
      <c r="A3148" s="33" t="s">
        <v>12606</v>
      </c>
      <c r="B3148" s="122">
        <v>46138.0</v>
      </c>
      <c r="C3148" s="240"/>
      <c r="D3148" s="240" t="s">
        <v>12607</v>
      </c>
      <c r="E3148" s="240" t="s">
        <v>12608</v>
      </c>
      <c r="F3148" s="242" t="s">
        <v>12609</v>
      </c>
      <c r="G3148" s="242" t="s">
        <v>11028</v>
      </c>
      <c r="H3148" s="242">
        <v>4400.0</v>
      </c>
      <c r="I3148" s="224" t="s">
        <v>1379</v>
      </c>
      <c r="J3148" s="240" t="s">
        <v>12610</v>
      </c>
      <c r="K3148" s="242">
        <v>1.0</v>
      </c>
      <c r="L3148" s="124">
        <v>3.875338411E9</v>
      </c>
    </row>
    <row r="3149">
      <c r="A3149" s="33" t="s">
        <v>12606</v>
      </c>
      <c r="B3149" s="122">
        <v>46138.0</v>
      </c>
      <c r="C3149" s="240"/>
      <c r="D3149" s="240" t="s">
        <v>12607</v>
      </c>
      <c r="E3149" s="240" t="s">
        <v>12608</v>
      </c>
      <c r="F3149" s="242" t="s">
        <v>12609</v>
      </c>
      <c r="G3149" s="242" t="s">
        <v>11028</v>
      </c>
      <c r="H3149" s="242">
        <v>4400.0</v>
      </c>
      <c r="I3149" s="224" t="s">
        <v>35</v>
      </c>
      <c r="J3149" s="240" t="s">
        <v>12611</v>
      </c>
      <c r="K3149" s="242">
        <v>1.0</v>
      </c>
      <c r="L3149" s="124">
        <v>3.875338411E9</v>
      </c>
    </row>
    <row r="3150">
      <c r="A3150" s="33" t="s">
        <v>12612</v>
      </c>
      <c r="B3150" s="122">
        <v>46138.0</v>
      </c>
      <c r="C3150" s="240"/>
      <c r="D3150" s="240" t="s">
        <v>12607</v>
      </c>
      <c r="E3150" s="240" t="s">
        <v>12608</v>
      </c>
      <c r="F3150" s="242" t="s">
        <v>12609</v>
      </c>
      <c r="G3150" s="242" t="s">
        <v>11028</v>
      </c>
      <c r="H3150" s="242">
        <v>4400.0</v>
      </c>
      <c r="I3150" s="224">
        <v>125811.0</v>
      </c>
      <c r="J3150" s="240" t="s">
        <v>12613</v>
      </c>
      <c r="K3150" s="242">
        <v>1.0</v>
      </c>
      <c r="L3150" s="124">
        <v>3.875338411E9</v>
      </c>
    </row>
    <row r="3151">
      <c r="A3151" s="33" t="s">
        <v>12614</v>
      </c>
      <c r="B3151" s="122">
        <v>46138.0</v>
      </c>
      <c r="C3151" s="240"/>
      <c r="D3151" s="240" t="s">
        <v>12607</v>
      </c>
      <c r="E3151" s="240" t="s">
        <v>12608</v>
      </c>
      <c r="F3151" s="242" t="s">
        <v>12609</v>
      </c>
      <c r="G3151" s="242" t="s">
        <v>11028</v>
      </c>
      <c r="H3151" s="242">
        <v>4400.0</v>
      </c>
      <c r="I3151" s="224" t="s">
        <v>969</v>
      </c>
      <c r="J3151" s="240" t="s">
        <v>12615</v>
      </c>
      <c r="K3151" s="242">
        <v>1.0</v>
      </c>
      <c r="L3151" s="124">
        <v>3.875338411E9</v>
      </c>
    </row>
    <row r="3152">
      <c r="A3152" s="33" t="s">
        <v>12614</v>
      </c>
      <c r="B3152" s="122">
        <v>46138.0</v>
      </c>
      <c r="C3152" s="240"/>
      <c r="D3152" s="240" t="s">
        <v>12607</v>
      </c>
      <c r="E3152" s="240" t="s">
        <v>12608</v>
      </c>
      <c r="F3152" s="242" t="s">
        <v>12609</v>
      </c>
      <c r="G3152" s="242" t="s">
        <v>11028</v>
      </c>
      <c r="H3152" s="242">
        <v>4400.0</v>
      </c>
      <c r="I3152" s="224" t="s">
        <v>9359</v>
      </c>
      <c r="J3152" s="240" t="s">
        <v>12616</v>
      </c>
      <c r="K3152" s="242">
        <v>1.0</v>
      </c>
      <c r="L3152" s="124">
        <v>3.875338411E9</v>
      </c>
    </row>
    <row r="3153">
      <c r="A3153" s="33" t="s">
        <v>12617</v>
      </c>
      <c r="B3153" s="122">
        <v>46138.0</v>
      </c>
      <c r="C3153" s="240"/>
      <c r="D3153" s="240" t="s">
        <v>12618</v>
      </c>
      <c r="E3153" s="240" t="s">
        <v>12619</v>
      </c>
      <c r="F3153" s="242" t="s">
        <v>12620</v>
      </c>
      <c r="G3153" s="242" t="s">
        <v>11028</v>
      </c>
      <c r="H3153" s="242">
        <v>4400.0</v>
      </c>
      <c r="I3153" s="224" t="s">
        <v>218</v>
      </c>
      <c r="J3153" s="240" t="s">
        <v>12621</v>
      </c>
      <c r="K3153" s="242">
        <v>1.0</v>
      </c>
      <c r="L3153" s="124">
        <v>3.874650504E9</v>
      </c>
    </row>
    <row r="3154">
      <c r="A3154" s="33" t="s">
        <v>12622</v>
      </c>
      <c r="B3154" s="122">
        <v>46139.0</v>
      </c>
      <c r="C3154" s="240">
        <v>8.07000035832E11</v>
      </c>
      <c r="D3154" s="240" t="s">
        <v>10639</v>
      </c>
      <c r="E3154" s="240" t="s">
        <v>10640</v>
      </c>
      <c r="F3154" s="242" t="s">
        <v>12623</v>
      </c>
      <c r="G3154" s="242" t="s">
        <v>4645</v>
      </c>
      <c r="H3154" s="242">
        <v>4400.0</v>
      </c>
      <c r="I3154" s="224" t="s">
        <v>12624</v>
      </c>
      <c r="J3154" s="240" t="s">
        <v>12625</v>
      </c>
      <c r="K3154" s="242">
        <v>1.0</v>
      </c>
      <c r="L3154" s="124">
        <v>3.874728079E9</v>
      </c>
    </row>
    <row r="3155">
      <c r="A3155" s="33" t="s">
        <v>12626</v>
      </c>
      <c r="B3155" s="122">
        <v>46139.0</v>
      </c>
      <c r="C3155" s="103">
        <v>8.07000035842E11</v>
      </c>
      <c r="D3155" s="103" t="s">
        <v>11849</v>
      </c>
      <c r="E3155" s="103" t="s">
        <v>11850</v>
      </c>
      <c r="F3155" s="241" t="s">
        <v>12627</v>
      </c>
      <c r="G3155" s="241" t="s">
        <v>116</v>
      </c>
      <c r="H3155" s="241">
        <v>4400.0</v>
      </c>
      <c r="I3155" s="211" t="s">
        <v>512</v>
      </c>
      <c r="J3155" s="103" t="s">
        <v>513</v>
      </c>
      <c r="K3155" s="241">
        <v>6.0</v>
      </c>
      <c r="L3155" s="124">
        <v>3.874551969E9</v>
      </c>
    </row>
    <row r="3156">
      <c r="A3156" s="33" t="s">
        <v>12626</v>
      </c>
      <c r="B3156" s="122">
        <v>46139.0</v>
      </c>
      <c r="C3156" s="240">
        <v>8.07000035843E11</v>
      </c>
      <c r="D3156" s="240" t="s">
        <v>11849</v>
      </c>
      <c r="E3156" s="240" t="s">
        <v>11850</v>
      </c>
      <c r="F3156" s="242" t="s">
        <v>12627</v>
      </c>
      <c r="G3156" s="242" t="s">
        <v>116</v>
      </c>
      <c r="H3156" s="242">
        <v>4400.0</v>
      </c>
      <c r="I3156" s="224" t="s">
        <v>5436</v>
      </c>
      <c r="J3156" s="240" t="s">
        <v>5437</v>
      </c>
      <c r="K3156" s="242">
        <v>1.0</v>
      </c>
      <c r="L3156" s="124">
        <v>3.874551969E9</v>
      </c>
    </row>
    <row r="3157">
      <c r="A3157" s="33" t="s">
        <v>12626</v>
      </c>
      <c r="B3157" s="122">
        <v>46139.0</v>
      </c>
      <c r="C3157" s="103">
        <v>8.07000035844E11</v>
      </c>
      <c r="D3157" s="103" t="s">
        <v>11849</v>
      </c>
      <c r="E3157" s="103" t="s">
        <v>11850</v>
      </c>
      <c r="F3157" s="241" t="s">
        <v>12627</v>
      </c>
      <c r="G3157" s="241" t="s">
        <v>116</v>
      </c>
      <c r="H3157" s="241">
        <v>4400.0</v>
      </c>
      <c r="I3157" s="211" t="s">
        <v>233</v>
      </c>
      <c r="J3157" s="103" t="s">
        <v>3459</v>
      </c>
      <c r="K3157" s="241">
        <v>1.0</v>
      </c>
      <c r="L3157" s="124">
        <v>3.874551969E9</v>
      </c>
    </row>
    <row r="3158">
      <c r="A3158" s="33" t="s">
        <v>12628</v>
      </c>
      <c r="B3158" s="122">
        <v>46139.0</v>
      </c>
      <c r="C3158" s="103">
        <v>8.07000035839E11</v>
      </c>
      <c r="D3158" s="103" t="s">
        <v>12629</v>
      </c>
      <c r="E3158" s="103" t="s">
        <v>12630</v>
      </c>
      <c r="F3158" s="241" t="s">
        <v>12631</v>
      </c>
      <c r="G3158" s="241" t="s">
        <v>12632</v>
      </c>
      <c r="H3158" s="241">
        <v>4421.0</v>
      </c>
      <c r="I3158" s="309">
        <v>841702.0</v>
      </c>
      <c r="J3158" s="103" t="s">
        <v>7685</v>
      </c>
      <c r="K3158" s="241">
        <v>1.0</v>
      </c>
      <c r="L3158" s="124">
        <v>1.158550962E9</v>
      </c>
    </row>
    <row r="3159">
      <c r="A3159" s="33" t="s">
        <v>12633</v>
      </c>
      <c r="B3159" s="122">
        <v>46139.0</v>
      </c>
      <c r="C3159" s="240">
        <v>8.0700003585E11</v>
      </c>
      <c r="D3159" s="240" t="s">
        <v>12634</v>
      </c>
      <c r="E3159" s="240" t="s">
        <v>12635</v>
      </c>
      <c r="F3159" s="242" t="s">
        <v>12636</v>
      </c>
      <c r="G3159" s="242" t="s">
        <v>127</v>
      </c>
      <c r="H3159" s="242">
        <v>4400.0</v>
      </c>
      <c r="I3159" s="224" t="s">
        <v>3817</v>
      </c>
      <c r="J3159" s="240" t="s">
        <v>3818</v>
      </c>
      <c r="K3159" s="242">
        <v>1.0</v>
      </c>
      <c r="L3159" s="124">
        <v>1.13334263E9</v>
      </c>
    </row>
    <row r="3160">
      <c r="A3160" s="33" t="s">
        <v>12633</v>
      </c>
      <c r="B3160" s="122">
        <v>46139.0</v>
      </c>
      <c r="C3160" s="103">
        <v>8.0700003585E11</v>
      </c>
      <c r="D3160" s="103" t="s">
        <v>12634</v>
      </c>
      <c r="E3160" s="103" t="s">
        <v>12635</v>
      </c>
      <c r="F3160" s="241" t="s">
        <v>12636</v>
      </c>
      <c r="G3160" s="241" t="s">
        <v>127</v>
      </c>
      <c r="H3160" s="241">
        <v>4400.0</v>
      </c>
      <c r="I3160" s="211" t="s">
        <v>512</v>
      </c>
      <c r="J3160" s="103" t="s">
        <v>513</v>
      </c>
      <c r="K3160" s="241">
        <v>12.0</v>
      </c>
      <c r="L3160" s="124">
        <v>1.13334263E9</v>
      </c>
    </row>
    <row r="3161">
      <c r="A3161" s="33" t="s">
        <v>12633</v>
      </c>
      <c r="B3161" s="122">
        <v>46139.0</v>
      </c>
      <c r="C3161" s="240">
        <v>8.0700003585E11</v>
      </c>
      <c r="D3161" s="240" t="s">
        <v>12634</v>
      </c>
      <c r="E3161" s="240" t="s">
        <v>12635</v>
      </c>
      <c r="F3161" s="242" t="s">
        <v>12636</v>
      </c>
      <c r="G3161" s="242" t="s">
        <v>127</v>
      </c>
      <c r="H3161" s="242">
        <v>4400.0</v>
      </c>
      <c r="I3161" s="224" t="s">
        <v>340</v>
      </c>
      <c r="J3161" s="240" t="s">
        <v>3486</v>
      </c>
      <c r="K3161" s="242">
        <v>2.0</v>
      </c>
      <c r="L3161" s="124">
        <v>1.13334263E9</v>
      </c>
    </row>
    <row r="3162">
      <c r="A3162" s="33" t="s">
        <v>12637</v>
      </c>
      <c r="B3162" s="122">
        <v>46139.0</v>
      </c>
      <c r="C3162" s="103">
        <v>8.07000035851E11</v>
      </c>
      <c r="D3162" s="103" t="s">
        <v>12634</v>
      </c>
      <c r="E3162" s="103" t="s">
        <v>12635</v>
      </c>
      <c r="F3162" s="241" t="s">
        <v>12636</v>
      </c>
      <c r="G3162" s="241" t="s">
        <v>127</v>
      </c>
      <c r="H3162" s="241">
        <v>4400.0</v>
      </c>
      <c r="I3162" s="211" t="s">
        <v>4790</v>
      </c>
      <c r="J3162" s="103" t="s">
        <v>4791</v>
      </c>
      <c r="K3162" s="241">
        <v>1.0</v>
      </c>
      <c r="L3162" s="124">
        <v>1.13334263E9</v>
      </c>
    </row>
    <row r="3163">
      <c r="A3163" s="33" t="s">
        <v>12637</v>
      </c>
      <c r="B3163" s="122">
        <v>46139.0</v>
      </c>
      <c r="C3163" s="240">
        <v>8.07000035851E11</v>
      </c>
      <c r="D3163" s="240" t="s">
        <v>12634</v>
      </c>
      <c r="E3163" s="240" t="s">
        <v>12635</v>
      </c>
      <c r="F3163" s="242" t="s">
        <v>12636</v>
      </c>
      <c r="G3163" s="242" t="s">
        <v>127</v>
      </c>
      <c r="H3163" s="242">
        <v>4400.0</v>
      </c>
      <c r="I3163" s="224" t="s">
        <v>4793</v>
      </c>
      <c r="J3163" s="240" t="s">
        <v>4794</v>
      </c>
      <c r="K3163" s="242">
        <v>1.0</v>
      </c>
      <c r="L3163" s="124">
        <v>1.13334263E9</v>
      </c>
    </row>
    <row r="3164">
      <c r="A3164" s="33" t="s">
        <v>12638</v>
      </c>
      <c r="B3164" s="122">
        <v>46139.0</v>
      </c>
      <c r="C3164" s="240">
        <v>8.07000035854E11</v>
      </c>
      <c r="D3164" s="240" t="s">
        <v>12639</v>
      </c>
      <c r="E3164" s="240" t="s">
        <v>12640</v>
      </c>
      <c r="F3164" s="242" t="s">
        <v>12641</v>
      </c>
      <c r="G3164" s="242" t="s">
        <v>127</v>
      </c>
      <c r="H3164" s="242">
        <v>4400.0</v>
      </c>
      <c r="I3164" s="224" t="s">
        <v>512</v>
      </c>
      <c r="J3164" s="240" t="s">
        <v>513</v>
      </c>
      <c r="K3164" s="242">
        <v>6.0</v>
      </c>
      <c r="L3164" s="124">
        <v>3.875357768E9</v>
      </c>
    </row>
    <row r="3165">
      <c r="A3165" s="33" t="s">
        <v>12638</v>
      </c>
      <c r="B3165" s="122">
        <v>46139.0</v>
      </c>
      <c r="C3165" s="103">
        <v>8.07000035855E11</v>
      </c>
      <c r="D3165" s="103" t="s">
        <v>12639</v>
      </c>
      <c r="E3165" s="103" t="s">
        <v>12640</v>
      </c>
      <c r="F3165" s="241" t="s">
        <v>12641</v>
      </c>
      <c r="G3165" s="241" t="s">
        <v>127</v>
      </c>
      <c r="H3165" s="241">
        <v>4400.0</v>
      </c>
      <c r="I3165" s="211" t="s">
        <v>1559</v>
      </c>
      <c r="J3165" s="103" t="s">
        <v>8503</v>
      </c>
      <c r="K3165" s="241">
        <v>1.0</v>
      </c>
      <c r="L3165" s="124">
        <v>3.875357768E9</v>
      </c>
    </row>
    <row r="3166">
      <c r="A3166" s="33" t="s">
        <v>12638</v>
      </c>
      <c r="B3166" s="122">
        <v>46139.0</v>
      </c>
      <c r="C3166" s="240">
        <v>8.07000035855E11</v>
      </c>
      <c r="D3166" s="240" t="s">
        <v>12639</v>
      </c>
      <c r="E3166" s="240" t="s">
        <v>12640</v>
      </c>
      <c r="F3166" s="242" t="s">
        <v>12641</v>
      </c>
      <c r="G3166" s="242" t="s">
        <v>127</v>
      </c>
      <c r="H3166" s="242">
        <v>4400.0</v>
      </c>
      <c r="I3166" s="224" t="s">
        <v>1827</v>
      </c>
      <c r="J3166" s="240" t="s">
        <v>4367</v>
      </c>
      <c r="K3166" s="242">
        <v>1.0</v>
      </c>
      <c r="L3166" s="124">
        <v>3.875357768E9</v>
      </c>
    </row>
    <row r="3167">
      <c r="A3167" s="33" t="s">
        <v>12642</v>
      </c>
      <c r="B3167" s="122">
        <v>46139.0</v>
      </c>
      <c r="C3167" s="103">
        <v>8.07000035856E11</v>
      </c>
      <c r="D3167" s="103" t="s">
        <v>12639</v>
      </c>
      <c r="E3167" s="103" t="s">
        <v>12640</v>
      </c>
      <c r="F3167" s="241" t="s">
        <v>12641</v>
      </c>
      <c r="G3167" s="241" t="s">
        <v>127</v>
      </c>
      <c r="H3167" s="241">
        <v>4400.0</v>
      </c>
      <c r="I3167" s="211" t="s">
        <v>10687</v>
      </c>
      <c r="J3167" s="103" t="s">
        <v>10688</v>
      </c>
      <c r="K3167" s="241">
        <v>1.0</v>
      </c>
      <c r="L3167" s="124">
        <v>3.875357768E9</v>
      </c>
    </row>
    <row r="3168">
      <c r="A3168" s="33" t="s">
        <v>12643</v>
      </c>
      <c r="B3168" s="122">
        <v>46144.0</v>
      </c>
      <c r="C3168" s="103">
        <v>8.07000035867E11</v>
      </c>
      <c r="D3168" s="103" t="s">
        <v>12639</v>
      </c>
      <c r="E3168" s="103" t="s">
        <v>12640</v>
      </c>
      <c r="F3168" s="241" t="s">
        <v>12641</v>
      </c>
      <c r="G3168" s="241" t="s">
        <v>127</v>
      </c>
      <c r="H3168" s="241">
        <v>4400.0</v>
      </c>
      <c r="I3168" s="211" t="s">
        <v>2233</v>
      </c>
      <c r="J3168" s="103" t="s">
        <v>4158</v>
      </c>
      <c r="K3168" s="241">
        <v>1.0</v>
      </c>
      <c r="L3168" s="124">
        <v>3.875357768E9</v>
      </c>
    </row>
    <row r="3169">
      <c r="A3169" s="33" t="s">
        <v>12644</v>
      </c>
      <c r="B3169" s="122">
        <v>46131.0</v>
      </c>
      <c r="C3169" s="240"/>
      <c r="D3169" s="240"/>
      <c r="E3169" s="240" t="s">
        <v>12645</v>
      </c>
      <c r="F3169" s="241" t="s">
        <v>12646</v>
      </c>
      <c r="G3169" s="242" t="s">
        <v>127</v>
      </c>
      <c r="H3169" s="242">
        <v>4400.0</v>
      </c>
      <c r="I3169" s="224">
        <v>125819.0</v>
      </c>
      <c r="J3169" s="240" t="s">
        <v>12647</v>
      </c>
      <c r="K3169" s="242">
        <v>2.0</v>
      </c>
      <c r="L3169" s="124">
        <v>4167900.0</v>
      </c>
    </row>
    <row r="3170">
      <c r="A3170" s="33" t="s">
        <v>12644</v>
      </c>
      <c r="B3170" s="122">
        <v>46131.0</v>
      </c>
      <c r="C3170" s="240"/>
      <c r="D3170" s="240"/>
      <c r="E3170" s="240" t="s">
        <v>12645</v>
      </c>
      <c r="F3170" s="241" t="s">
        <v>12646</v>
      </c>
      <c r="G3170" s="242" t="s">
        <v>127</v>
      </c>
      <c r="H3170" s="242">
        <v>4400.0</v>
      </c>
      <c r="I3170" s="224" t="s">
        <v>512</v>
      </c>
      <c r="J3170" s="240" t="s">
        <v>12648</v>
      </c>
      <c r="K3170" s="242">
        <v>6.0</v>
      </c>
      <c r="L3170" s="124">
        <v>4167900.0</v>
      </c>
    </row>
    <row r="3171">
      <c r="A3171" s="33" t="s">
        <v>12644</v>
      </c>
      <c r="B3171" s="122">
        <v>46131.0</v>
      </c>
      <c r="C3171" s="240"/>
      <c r="D3171" s="240"/>
      <c r="E3171" s="240" t="s">
        <v>12645</v>
      </c>
      <c r="F3171" s="241" t="s">
        <v>12646</v>
      </c>
      <c r="G3171" s="242" t="s">
        <v>127</v>
      </c>
      <c r="H3171" s="242">
        <v>4400.0</v>
      </c>
      <c r="I3171" s="224" t="s">
        <v>7460</v>
      </c>
      <c r="J3171" s="240" t="s">
        <v>7461</v>
      </c>
      <c r="K3171" s="242">
        <v>1.0</v>
      </c>
      <c r="L3171" s="124">
        <v>4167900.0</v>
      </c>
    </row>
    <row r="3172">
      <c r="A3172" s="33" t="s">
        <v>12644</v>
      </c>
      <c r="B3172" s="122">
        <v>46131.0</v>
      </c>
      <c r="C3172" s="240"/>
      <c r="D3172" s="240"/>
      <c r="E3172" s="240" t="s">
        <v>12645</v>
      </c>
      <c r="F3172" s="241" t="s">
        <v>12646</v>
      </c>
      <c r="G3172" s="242" t="s">
        <v>127</v>
      </c>
      <c r="H3172" s="242">
        <v>4400.0</v>
      </c>
      <c r="I3172" s="224" t="s">
        <v>35</v>
      </c>
      <c r="J3172" s="240" t="s">
        <v>12649</v>
      </c>
      <c r="K3172" s="242">
        <v>1.0</v>
      </c>
      <c r="L3172" s="124">
        <v>4167900.0</v>
      </c>
    </row>
    <row r="3173" ht="3.75" customHeight="1">
      <c r="A3173" s="100"/>
      <c r="B3173" s="230"/>
      <c r="C3173" s="251"/>
      <c r="D3173" s="251"/>
      <c r="E3173" s="251"/>
      <c r="F3173" s="253"/>
      <c r="G3173" s="253"/>
      <c r="H3173" s="253"/>
      <c r="I3173" s="252"/>
      <c r="J3173" s="251"/>
      <c r="K3173" s="253"/>
      <c r="L3173" s="232"/>
      <c r="M3173" s="233"/>
      <c r="N3173" s="233"/>
      <c r="O3173" s="233"/>
      <c r="P3173" s="233"/>
      <c r="Q3173" s="233"/>
      <c r="R3173" s="233"/>
      <c r="S3173" s="233"/>
      <c r="T3173" s="233"/>
      <c r="U3173" s="233"/>
      <c r="V3173" s="233"/>
      <c r="W3173" s="233"/>
      <c r="X3173" s="233"/>
      <c r="Y3173" s="233"/>
      <c r="Z3173" s="233"/>
      <c r="AA3173" s="233"/>
      <c r="AB3173" s="233"/>
      <c r="AC3173" s="233"/>
    </row>
    <row r="3174">
      <c r="A3174" s="33" t="s">
        <v>12650</v>
      </c>
      <c r="B3174" s="122">
        <v>46144.0</v>
      </c>
      <c r="C3174" s="240">
        <v>8.07000035869E11</v>
      </c>
      <c r="D3174" s="240" t="s">
        <v>12651</v>
      </c>
      <c r="E3174" s="240" t="s">
        <v>12652</v>
      </c>
      <c r="F3174" s="242" t="s">
        <v>12653</v>
      </c>
      <c r="G3174" s="242" t="s">
        <v>127</v>
      </c>
      <c r="H3174" s="242">
        <v>4400.0</v>
      </c>
      <c r="I3174" s="224" t="s">
        <v>12654</v>
      </c>
      <c r="J3174" s="240" t="s">
        <v>12655</v>
      </c>
      <c r="K3174" s="242">
        <v>1.0</v>
      </c>
      <c r="L3174" s="124">
        <v>3.875374732E9</v>
      </c>
    </row>
    <row r="3175">
      <c r="A3175" s="33" t="s">
        <v>12656</v>
      </c>
      <c r="B3175" s="122">
        <v>46144.0</v>
      </c>
      <c r="C3175" s="103">
        <v>8.0700003587E11</v>
      </c>
      <c r="D3175" s="103" t="s">
        <v>12657</v>
      </c>
      <c r="E3175" s="103" t="s">
        <v>12658</v>
      </c>
      <c r="F3175" s="242" t="s">
        <v>12659</v>
      </c>
      <c r="G3175" s="242" t="s">
        <v>127</v>
      </c>
      <c r="H3175" s="242">
        <v>4400.0</v>
      </c>
      <c r="I3175" s="211" t="s">
        <v>6153</v>
      </c>
      <c r="J3175" s="103" t="s">
        <v>6154</v>
      </c>
      <c r="K3175" s="241">
        <v>1.0</v>
      </c>
      <c r="L3175" s="124">
        <v>2.97635085E8</v>
      </c>
    </row>
    <row r="3176">
      <c r="A3176" s="33" t="s">
        <v>12656</v>
      </c>
      <c r="B3176" s="122">
        <v>46144.0</v>
      </c>
      <c r="C3176" s="240">
        <v>8.0700003587E11</v>
      </c>
      <c r="D3176" s="240" t="s">
        <v>12657</v>
      </c>
      <c r="E3176" s="240" t="s">
        <v>12658</v>
      </c>
      <c r="F3176" s="242" t="s">
        <v>12659</v>
      </c>
      <c r="G3176" s="242" t="s">
        <v>127</v>
      </c>
      <c r="H3176" s="242">
        <v>4400.0</v>
      </c>
      <c r="I3176" s="224" t="s">
        <v>512</v>
      </c>
      <c r="J3176" s="240" t="s">
        <v>513</v>
      </c>
      <c r="K3176" s="242">
        <v>6.0</v>
      </c>
      <c r="L3176" s="124">
        <v>2.97635085E8</v>
      </c>
    </row>
    <row r="3177">
      <c r="A3177" s="33" t="s">
        <v>12656</v>
      </c>
      <c r="B3177" s="122">
        <v>46144.0</v>
      </c>
      <c r="C3177" s="103">
        <v>8.0700003587E11</v>
      </c>
      <c r="D3177" s="103" t="s">
        <v>12657</v>
      </c>
      <c r="E3177" s="103" t="s">
        <v>12658</v>
      </c>
      <c r="F3177" s="242" t="s">
        <v>12659</v>
      </c>
      <c r="G3177" s="242" t="s">
        <v>127</v>
      </c>
      <c r="H3177" s="242">
        <v>4400.0</v>
      </c>
      <c r="I3177" s="211" t="s">
        <v>2031</v>
      </c>
      <c r="J3177" s="103" t="s">
        <v>3348</v>
      </c>
      <c r="K3177" s="241">
        <v>1.0</v>
      </c>
      <c r="L3177" s="124">
        <v>2.97635085E8</v>
      </c>
    </row>
    <row r="3178">
      <c r="A3178" s="33" t="s">
        <v>12660</v>
      </c>
      <c r="B3178" s="122">
        <v>46144.0</v>
      </c>
      <c r="C3178" s="103">
        <v>8.07000035871E11</v>
      </c>
      <c r="D3178" s="103" t="s">
        <v>12661</v>
      </c>
      <c r="E3178" s="103" t="s">
        <v>12662</v>
      </c>
      <c r="F3178" s="242" t="s">
        <v>12663</v>
      </c>
      <c r="G3178" s="242" t="s">
        <v>127</v>
      </c>
      <c r="H3178" s="242">
        <v>4400.0</v>
      </c>
      <c r="I3178" s="211" t="s">
        <v>512</v>
      </c>
      <c r="J3178" s="103" t="s">
        <v>513</v>
      </c>
      <c r="K3178" s="241">
        <v>12.0</v>
      </c>
      <c r="L3178" s="124">
        <v>3.87461001E9</v>
      </c>
    </row>
    <row r="3179">
      <c r="A3179" s="33" t="s">
        <v>12660</v>
      </c>
      <c r="B3179" s="122">
        <v>46144.0</v>
      </c>
      <c r="C3179" s="240">
        <v>8.07000035872E11</v>
      </c>
      <c r="D3179" s="240" t="s">
        <v>12661</v>
      </c>
      <c r="E3179" s="240" t="s">
        <v>12662</v>
      </c>
      <c r="F3179" s="242" t="s">
        <v>12663</v>
      </c>
      <c r="G3179" s="242" t="s">
        <v>127</v>
      </c>
      <c r="H3179" s="242">
        <v>4400.0</v>
      </c>
      <c r="I3179" s="224" t="s">
        <v>340</v>
      </c>
      <c r="J3179" s="240" t="s">
        <v>3486</v>
      </c>
      <c r="K3179" s="242">
        <v>2.0</v>
      </c>
      <c r="L3179" s="124">
        <v>3.87461001E9</v>
      </c>
    </row>
    <row r="3180">
      <c r="A3180" s="33" t="s">
        <v>12660</v>
      </c>
      <c r="B3180" s="122">
        <v>46144.0</v>
      </c>
      <c r="C3180" s="103">
        <v>8.07000035873E11</v>
      </c>
      <c r="D3180" s="103" t="s">
        <v>12661</v>
      </c>
      <c r="E3180" s="103" t="s">
        <v>12662</v>
      </c>
      <c r="F3180" s="242" t="s">
        <v>12663</v>
      </c>
      <c r="G3180" s="242" t="s">
        <v>127</v>
      </c>
      <c r="H3180" s="242">
        <v>4400.0</v>
      </c>
      <c r="I3180" s="211" t="s">
        <v>1115</v>
      </c>
      <c r="J3180" s="103" t="s">
        <v>8215</v>
      </c>
      <c r="K3180" s="241">
        <v>1.0</v>
      </c>
      <c r="L3180" s="124">
        <v>3.87461001E9</v>
      </c>
    </row>
    <row r="3181">
      <c r="A3181" s="33" t="s">
        <v>12664</v>
      </c>
      <c r="B3181" s="122">
        <v>46144.0</v>
      </c>
      <c r="C3181" s="103">
        <v>8.07000035875E11</v>
      </c>
      <c r="D3181" s="103" t="s">
        <v>12665</v>
      </c>
      <c r="E3181" s="103" t="s">
        <v>12666</v>
      </c>
      <c r="F3181" s="242" t="s">
        <v>12667</v>
      </c>
      <c r="G3181" s="242" t="s">
        <v>127</v>
      </c>
      <c r="H3181" s="242">
        <v>4400.0</v>
      </c>
      <c r="I3181" s="211">
        <v>125824.0</v>
      </c>
      <c r="J3181" s="103" t="s">
        <v>12668</v>
      </c>
      <c r="K3181" s="241">
        <v>2.0</v>
      </c>
      <c r="L3181" s="124">
        <v>3.875382391E9</v>
      </c>
    </row>
    <row r="3182">
      <c r="A3182" s="33" t="s">
        <v>12664</v>
      </c>
      <c r="B3182" s="122">
        <v>46144.0</v>
      </c>
      <c r="C3182" s="240">
        <v>8.07000035875E11</v>
      </c>
      <c r="D3182" s="240" t="s">
        <v>12665</v>
      </c>
      <c r="E3182" s="240" t="s">
        <v>12666</v>
      </c>
      <c r="F3182" s="242" t="s">
        <v>12667</v>
      </c>
      <c r="G3182" s="242" t="s">
        <v>127</v>
      </c>
      <c r="H3182" s="242">
        <v>4400.0</v>
      </c>
      <c r="I3182" s="224" t="s">
        <v>1937</v>
      </c>
      <c r="J3182" s="240" t="s">
        <v>4036</v>
      </c>
      <c r="K3182" s="242">
        <v>1.0</v>
      </c>
      <c r="L3182" s="124">
        <v>3.875382391E9</v>
      </c>
    </row>
    <row r="3183" ht="6.0" customHeight="1">
      <c r="A3183" s="244"/>
      <c r="B3183" s="245"/>
      <c r="C3183" s="271"/>
      <c r="D3183" s="271"/>
      <c r="E3183" s="271"/>
      <c r="F3183" s="273"/>
      <c r="G3183" s="273"/>
      <c r="H3183" s="273"/>
      <c r="I3183" s="272"/>
      <c r="J3183" s="271"/>
      <c r="K3183" s="273"/>
      <c r="L3183" s="247"/>
      <c r="M3183" s="233"/>
      <c r="N3183" s="233"/>
      <c r="O3183" s="233"/>
      <c r="P3183" s="233"/>
      <c r="Q3183" s="233"/>
      <c r="R3183" s="233"/>
      <c r="S3183" s="233"/>
      <c r="T3183" s="233"/>
      <c r="U3183" s="233"/>
      <c r="V3183" s="233"/>
      <c r="W3183" s="233"/>
      <c r="X3183" s="233"/>
      <c r="Y3183" s="233"/>
      <c r="Z3183" s="233"/>
      <c r="AA3183" s="233"/>
      <c r="AB3183" s="233"/>
      <c r="AC3183" s="233"/>
    </row>
    <row r="3184">
      <c r="A3184" s="33" t="s">
        <v>12669</v>
      </c>
      <c r="B3184" s="122">
        <v>46146.0</v>
      </c>
      <c r="C3184" s="240">
        <v>8.07000035889E11</v>
      </c>
      <c r="D3184" s="240" t="s">
        <v>12518</v>
      </c>
      <c r="E3184" s="240" t="s">
        <v>12519</v>
      </c>
      <c r="F3184" s="242" t="s">
        <v>12520</v>
      </c>
      <c r="G3184" s="242" t="s">
        <v>127</v>
      </c>
      <c r="H3184" s="242">
        <v>4400.0</v>
      </c>
      <c r="I3184" s="224" t="s">
        <v>5262</v>
      </c>
      <c r="J3184" s="240" t="s">
        <v>5263</v>
      </c>
      <c r="K3184" s="242">
        <v>1.0</v>
      </c>
      <c r="L3184" s="124">
        <v>3.875047903E9</v>
      </c>
    </row>
    <row r="3185">
      <c r="A3185" s="33" t="s">
        <v>12670</v>
      </c>
      <c r="B3185" s="122">
        <v>46146.0</v>
      </c>
      <c r="C3185" s="240">
        <v>8.07000035881E11</v>
      </c>
      <c r="D3185" s="240" t="s">
        <v>12671</v>
      </c>
      <c r="E3185" s="240" t="s">
        <v>12672</v>
      </c>
      <c r="F3185" s="242" t="s">
        <v>12673</v>
      </c>
      <c r="G3185" s="242" t="s">
        <v>104</v>
      </c>
      <c r="H3185" s="242">
        <v>4400.0</v>
      </c>
      <c r="I3185" s="224" t="s">
        <v>1040</v>
      </c>
      <c r="J3185" s="240" t="s">
        <v>3294</v>
      </c>
      <c r="K3185" s="242">
        <v>1.0</v>
      </c>
      <c r="L3185" s="124">
        <v>3.875005347E9</v>
      </c>
    </row>
    <row r="3186">
      <c r="A3186" s="33" t="s">
        <v>12674</v>
      </c>
      <c r="B3186" s="122">
        <v>46146.0</v>
      </c>
      <c r="C3186" s="103">
        <v>8.070000359E11</v>
      </c>
      <c r="D3186" s="103" t="s">
        <v>12675</v>
      </c>
      <c r="E3186" s="103" t="s">
        <v>12676</v>
      </c>
      <c r="F3186" s="241" t="s">
        <v>12677</v>
      </c>
      <c r="G3186" s="241" t="s">
        <v>12678</v>
      </c>
      <c r="H3186" s="241">
        <v>4400.0</v>
      </c>
      <c r="I3186" s="211" t="s">
        <v>2956</v>
      </c>
      <c r="J3186" s="103" t="s">
        <v>3327</v>
      </c>
      <c r="K3186" s="241">
        <v>1.0</v>
      </c>
      <c r="L3186" s="124">
        <v>1.166119266E9</v>
      </c>
    </row>
    <row r="3187">
      <c r="A3187" s="33" t="s">
        <v>12679</v>
      </c>
      <c r="B3187" s="122">
        <v>46148.0</v>
      </c>
      <c r="C3187" s="103">
        <v>8.07000035903E11</v>
      </c>
      <c r="D3187" s="103" t="s">
        <v>12680</v>
      </c>
      <c r="E3187" s="103" t="s">
        <v>12681</v>
      </c>
      <c r="F3187" s="242" t="s">
        <v>12682</v>
      </c>
      <c r="G3187" s="242" t="s">
        <v>127</v>
      </c>
      <c r="H3187" s="242">
        <v>4400.0</v>
      </c>
      <c r="I3187" s="309">
        <v>915846.0</v>
      </c>
      <c r="J3187" s="103" t="s">
        <v>9900</v>
      </c>
      <c r="K3187" s="241">
        <v>1.0</v>
      </c>
      <c r="L3187" s="124">
        <v>3.875604032E9</v>
      </c>
    </row>
    <row r="3188">
      <c r="A3188" s="33" t="s">
        <v>12679</v>
      </c>
      <c r="B3188" s="122">
        <v>46148.0</v>
      </c>
      <c r="C3188" s="240">
        <v>8.07000035903E11</v>
      </c>
      <c r="D3188" s="240" t="s">
        <v>12680</v>
      </c>
      <c r="E3188" s="240" t="s">
        <v>12681</v>
      </c>
      <c r="F3188" s="242" t="s">
        <v>12682</v>
      </c>
      <c r="G3188" s="242" t="s">
        <v>127</v>
      </c>
      <c r="H3188" s="242">
        <v>4400.0</v>
      </c>
      <c r="I3188" s="224">
        <v>87610.0</v>
      </c>
      <c r="J3188" s="240" t="s">
        <v>12683</v>
      </c>
      <c r="K3188" s="242">
        <v>2.0</v>
      </c>
      <c r="L3188" s="124">
        <v>3.875604032E9</v>
      </c>
    </row>
    <row r="3189">
      <c r="A3189" s="33" t="s">
        <v>12684</v>
      </c>
      <c r="B3189" s="122">
        <v>46148.0</v>
      </c>
      <c r="C3189" s="240">
        <v>8.0700003591E11</v>
      </c>
      <c r="D3189" s="240" t="s">
        <v>12685</v>
      </c>
      <c r="E3189" s="240" t="s">
        <v>12686</v>
      </c>
      <c r="F3189" s="242" t="s">
        <v>12687</v>
      </c>
      <c r="G3189" s="242" t="s">
        <v>127</v>
      </c>
      <c r="H3189" s="242">
        <v>4400.0</v>
      </c>
      <c r="I3189" s="224" t="s">
        <v>11890</v>
      </c>
      <c r="J3189" s="240" t="s">
        <v>11891</v>
      </c>
      <c r="K3189" s="242">
        <v>2.0</v>
      </c>
      <c r="L3189" s="124">
        <v>3.874102399E9</v>
      </c>
    </row>
    <row r="3190">
      <c r="A3190" s="33" t="s">
        <v>12684</v>
      </c>
      <c r="B3190" s="122">
        <v>46148.0</v>
      </c>
      <c r="C3190" s="103">
        <v>8.0700003591E11</v>
      </c>
      <c r="D3190" s="103" t="s">
        <v>12685</v>
      </c>
      <c r="E3190" s="103" t="s">
        <v>12686</v>
      </c>
      <c r="F3190" s="242" t="s">
        <v>12687</v>
      </c>
      <c r="G3190" s="242" t="s">
        <v>127</v>
      </c>
      <c r="H3190" s="242">
        <v>4400.0</v>
      </c>
      <c r="I3190" s="211" t="s">
        <v>1115</v>
      </c>
      <c r="J3190" s="103" t="s">
        <v>8215</v>
      </c>
      <c r="K3190" s="241">
        <v>1.0</v>
      </c>
      <c r="L3190" s="124">
        <v>3.874102399E9</v>
      </c>
    </row>
    <row r="3191">
      <c r="A3191" s="33" t="s">
        <v>12684</v>
      </c>
      <c r="B3191" s="122">
        <v>46148.0</v>
      </c>
      <c r="C3191" s="240">
        <v>8.0700003591E11</v>
      </c>
      <c r="D3191" s="240" t="s">
        <v>12685</v>
      </c>
      <c r="E3191" s="240" t="s">
        <v>12686</v>
      </c>
      <c r="F3191" s="242" t="s">
        <v>12687</v>
      </c>
      <c r="G3191" s="242" t="s">
        <v>127</v>
      </c>
      <c r="H3191" s="242">
        <v>4400.0</v>
      </c>
      <c r="I3191" s="224" t="s">
        <v>512</v>
      </c>
      <c r="J3191" s="240" t="s">
        <v>513</v>
      </c>
      <c r="K3191" s="242">
        <v>12.0</v>
      </c>
      <c r="L3191" s="124">
        <v>3.874102399E9</v>
      </c>
    </row>
    <row r="3192">
      <c r="A3192" s="33" t="s">
        <v>12684</v>
      </c>
      <c r="B3192" s="122">
        <v>46148.0</v>
      </c>
      <c r="C3192" s="103">
        <v>8.0700003591E11</v>
      </c>
      <c r="D3192" s="103" t="s">
        <v>12685</v>
      </c>
      <c r="E3192" s="103" t="s">
        <v>12686</v>
      </c>
      <c r="F3192" s="242" t="s">
        <v>12687</v>
      </c>
      <c r="G3192" s="242" t="s">
        <v>127</v>
      </c>
      <c r="H3192" s="242">
        <v>4400.0</v>
      </c>
      <c r="I3192" s="211" t="s">
        <v>340</v>
      </c>
      <c r="J3192" s="103" t="s">
        <v>3486</v>
      </c>
      <c r="K3192" s="241">
        <v>2.0</v>
      </c>
      <c r="L3192" s="124">
        <v>3.874102399E9</v>
      </c>
    </row>
    <row r="3193">
      <c r="A3193" s="33" t="s">
        <v>12688</v>
      </c>
      <c r="B3193" s="122">
        <v>46149.0</v>
      </c>
      <c r="C3193" s="240">
        <v>8.07000035862E11</v>
      </c>
      <c r="D3193" s="240" t="s">
        <v>12689</v>
      </c>
      <c r="E3193" s="240" t="s">
        <v>12690</v>
      </c>
      <c r="F3193" s="242" t="s">
        <v>12691</v>
      </c>
      <c r="G3193" s="242" t="s">
        <v>127</v>
      </c>
      <c r="H3193" s="242">
        <v>4126.0</v>
      </c>
      <c r="I3193" s="224" t="s">
        <v>12013</v>
      </c>
      <c r="J3193" s="240" t="s">
        <v>12014</v>
      </c>
      <c r="K3193" s="242">
        <v>1.0</v>
      </c>
      <c r="L3193" s="124">
        <v>3.816403644E9</v>
      </c>
    </row>
    <row r="3194">
      <c r="A3194" s="33" t="s">
        <v>12688</v>
      </c>
      <c r="B3194" s="122">
        <v>46149.0</v>
      </c>
      <c r="C3194" s="103">
        <v>8.07000035863E11</v>
      </c>
      <c r="D3194" s="103" t="s">
        <v>12689</v>
      </c>
      <c r="E3194" s="103" t="s">
        <v>12690</v>
      </c>
      <c r="F3194" s="241" t="s">
        <v>12691</v>
      </c>
      <c r="G3194" s="241" t="s">
        <v>127</v>
      </c>
      <c r="H3194" s="241">
        <v>4126.0</v>
      </c>
      <c r="I3194" s="211">
        <v>125823.0</v>
      </c>
      <c r="J3194" s="103" t="s">
        <v>11232</v>
      </c>
      <c r="K3194" s="241">
        <v>1.0</v>
      </c>
      <c r="L3194" s="124">
        <v>3.816403644E9</v>
      </c>
    </row>
    <row r="3195">
      <c r="A3195" s="33" t="s">
        <v>12688</v>
      </c>
      <c r="B3195" s="122">
        <v>46149.0</v>
      </c>
      <c r="C3195" s="240">
        <v>8.07000035864E11</v>
      </c>
      <c r="D3195" s="240" t="s">
        <v>12689</v>
      </c>
      <c r="E3195" s="240" t="s">
        <v>12690</v>
      </c>
      <c r="F3195" s="242" t="s">
        <v>12691</v>
      </c>
      <c r="G3195" s="242" t="s">
        <v>127</v>
      </c>
      <c r="H3195" s="242">
        <v>4126.0</v>
      </c>
      <c r="I3195" s="224" t="s">
        <v>512</v>
      </c>
      <c r="J3195" s="240" t="s">
        <v>513</v>
      </c>
      <c r="K3195" s="242">
        <v>6.0</v>
      </c>
      <c r="L3195" s="124">
        <v>3.816403644E9</v>
      </c>
    </row>
    <row r="3196">
      <c r="A3196" s="33" t="s">
        <v>12688</v>
      </c>
      <c r="B3196" s="122">
        <v>46149.0</v>
      </c>
      <c r="C3196" s="103">
        <v>8.07000035865E11</v>
      </c>
      <c r="D3196" s="103" t="s">
        <v>12689</v>
      </c>
      <c r="E3196" s="103" t="s">
        <v>12690</v>
      </c>
      <c r="F3196" s="241" t="s">
        <v>12691</v>
      </c>
      <c r="G3196" s="241" t="s">
        <v>127</v>
      </c>
      <c r="H3196" s="241">
        <v>4126.0</v>
      </c>
      <c r="I3196" s="211" t="s">
        <v>4220</v>
      </c>
      <c r="J3196" s="103" t="s">
        <v>4221</v>
      </c>
      <c r="K3196" s="241">
        <v>1.0</v>
      </c>
      <c r="L3196" s="124">
        <v>3.816403644E9</v>
      </c>
    </row>
    <row r="3197">
      <c r="A3197" s="33" t="s">
        <v>12688</v>
      </c>
      <c r="B3197" s="122">
        <v>46149.0</v>
      </c>
      <c r="C3197" s="240">
        <v>8.07000035865E11</v>
      </c>
      <c r="D3197" s="240" t="s">
        <v>12689</v>
      </c>
      <c r="E3197" s="240" t="s">
        <v>12690</v>
      </c>
      <c r="F3197" s="242" t="s">
        <v>12691</v>
      </c>
      <c r="G3197" s="242" t="s">
        <v>127</v>
      </c>
      <c r="H3197" s="242">
        <v>4126.0</v>
      </c>
      <c r="I3197" s="224" t="s">
        <v>969</v>
      </c>
      <c r="J3197" s="240" t="s">
        <v>3296</v>
      </c>
      <c r="K3197" s="242">
        <v>1.0</v>
      </c>
      <c r="L3197" s="124">
        <v>3.816403644E9</v>
      </c>
    </row>
    <row r="3198">
      <c r="A3198" s="33" t="s">
        <v>12692</v>
      </c>
      <c r="B3198" s="122">
        <v>46149.0</v>
      </c>
      <c r="C3198" s="240">
        <v>8.07000035915E11</v>
      </c>
      <c r="D3198" s="240" t="s">
        <v>12693</v>
      </c>
      <c r="E3198" s="240" t="s">
        <v>12694</v>
      </c>
      <c r="F3198" s="242" t="s">
        <v>12695</v>
      </c>
      <c r="G3198" s="242" t="s">
        <v>4496</v>
      </c>
      <c r="H3198" s="242">
        <v>4401.0</v>
      </c>
      <c r="I3198" s="224" t="s">
        <v>1379</v>
      </c>
      <c r="J3198" s="240" t="s">
        <v>7653</v>
      </c>
      <c r="K3198" s="242">
        <v>1.0</v>
      </c>
      <c r="L3198" s="124">
        <v>3.874830114E9</v>
      </c>
    </row>
    <row r="3199">
      <c r="A3199" s="33" t="s">
        <v>12692</v>
      </c>
      <c r="B3199" s="122">
        <v>46149.0</v>
      </c>
      <c r="C3199" s="103">
        <v>8.07000035915E11</v>
      </c>
      <c r="D3199" s="103" t="s">
        <v>12693</v>
      </c>
      <c r="E3199" s="103" t="s">
        <v>12694</v>
      </c>
      <c r="F3199" s="241" t="s">
        <v>12695</v>
      </c>
      <c r="G3199" s="241" t="s">
        <v>4496</v>
      </c>
      <c r="H3199" s="241">
        <v>4401.0</v>
      </c>
      <c r="I3199" s="211" t="s">
        <v>512</v>
      </c>
      <c r="J3199" s="103" t="s">
        <v>513</v>
      </c>
      <c r="K3199" s="241">
        <v>6.0</v>
      </c>
      <c r="L3199" s="124">
        <v>3.874830114E9</v>
      </c>
    </row>
    <row r="3200">
      <c r="A3200" s="33" t="s">
        <v>12692</v>
      </c>
      <c r="B3200" s="122">
        <v>46149.0</v>
      </c>
      <c r="C3200" s="240">
        <v>8.07000035915E11</v>
      </c>
      <c r="D3200" s="240" t="s">
        <v>12693</v>
      </c>
      <c r="E3200" s="240" t="s">
        <v>12694</v>
      </c>
      <c r="F3200" s="242" t="s">
        <v>12695</v>
      </c>
      <c r="G3200" s="242" t="s">
        <v>4496</v>
      </c>
      <c r="H3200" s="242">
        <v>4401.0</v>
      </c>
      <c r="I3200" s="224" t="s">
        <v>35</v>
      </c>
      <c r="J3200" s="240" t="s">
        <v>3188</v>
      </c>
      <c r="K3200" s="242">
        <v>1.0</v>
      </c>
      <c r="L3200" s="124">
        <v>3.874830114E9</v>
      </c>
    </row>
    <row r="3201">
      <c r="A3201" s="33" t="s">
        <v>12696</v>
      </c>
      <c r="B3201" s="122">
        <v>46150.0</v>
      </c>
      <c r="C3201" s="240">
        <v>8.07000035921E11</v>
      </c>
      <c r="D3201" s="240" t="s">
        <v>12697</v>
      </c>
      <c r="E3201" s="240" t="s">
        <v>12698</v>
      </c>
      <c r="F3201" s="242" t="s">
        <v>12699</v>
      </c>
      <c r="G3201" s="242" t="s">
        <v>127</v>
      </c>
      <c r="H3201" s="242">
        <v>4400.0</v>
      </c>
      <c r="I3201" s="224" t="s">
        <v>3979</v>
      </c>
      <c r="J3201" s="240" t="s">
        <v>3980</v>
      </c>
      <c r="K3201" s="242">
        <v>1.0</v>
      </c>
      <c r="L3201" s="124">
        <v>3.874192666E9</v>
      </c>
    </row>
    <row r="3202">
      <c r="A3202" s="33" t="s">
        <v>12696</v>
      </c>
      <c r="B3202" s="122">
        <v>46150.0</v>
      </c>
      <c r="C3202" s="103">
        <v>8.07000035922E11</v>
      </c>
      <c r="D3202" s="103" t="s">
        <v>12697</v>
      </c>
      <c r="E3202" s="103" t="s">
        <v>12698</v>
      </c>
      <c r="F3202" s="241" t="s">
        <v>12699</v>
      </c>
      <c r="G3202" s="241" t="s">
        <v>127</v>
      </c>
      <c r="H3202" s="241">
        <v>4400.0</v>
      </c>
      <c r="I3202" s="211" t="s">
        <v>12700</v>
      </c>
      <c r="J3202" s="103" t="s">
        <v>12701</v>
      </c>
      <c r="K3202" s="241">
        <v>2.0</v>
      </c>
      <c r="L3202" s="124">
        <v>3.874192666E9</v>
      </c>
    </row>
    <row r="3203">
      <c r="A3203" s="33" t="s">
        <v>12702</v>
      </c>
      <c r="B3203" s="122">
        <v>46150.0</v>
      </c>
      <c r="C3203" s="240">
        <v>8.07000035923E11</v>
      </c>
      <c r="D3203" s="240" t="s">
        <v>12703</v>
      </c>
      <c r="E3203" s="240" t="s">
        <v>12704</v>
      </c>
      <c r="F3203" s="242" t="s">
        <v>12705</v>
      </c>
      <c r="G3203" s="242" t="s">
        <v>127</v>
      </c>
      <c r="H3203" s="242">
        <v>4400.0</v>
      </c>
      <c r="I3203" s="224" t="s">
        <v>1115</v>
      </c>
      <c r="J3203" s="240" t="s">
        <v>8215</v>
      </c>
      <c r="K3203" s="242">
        <v>1.0</v>
      </c>
      <c r="L3203" s="124">
        <v>3.874654219E9</v>
      </c>
    </row>
    <row r="3204">
      <c r="A3204" s="33" t="s">
        <v>12702</v>
      </c>
      <c r="B3204" s="122">
        <v>46150.0</v>
      </c>
      <c r="C3204" s="103">
        <v>8.07000035923E11</v>
      </c>
      <c r="D3204" s="103" t="s">
        <v>12703</v>
      </c>
      <c r="E3204" s="103" t="s">
        <v>12704</v>
      </c>
      <c r="F3204" s="241" t="s">
        <v>12705</v>
      </c>
      <c r="G3204" s="241" t="s">
        <v>127</v>
      </c>
      <c r="H3204" s="241">
        <v>4400.0</v>
      </c>
      <c r="I3204" s="211" t="s">
        <v>512</v>
      </c>
      <c r="J3204" s="103" t="s">
        <v>513</v>
      </c>
      <c r="K3204" s="241">
        <v>12.0</v>
      </c>
      <c r="L3204" s="124">
        <v>3.874654219E9</v>
      </c>
    </row>
    <row r="3205">
      <c r="A3205" s="33" t="s">
        <v>12702</v>
      </c>
      <c r="B3205" s="122">
        <v>46150.0</v>
      </c>
      <c r="C3205" s="240">
        <v>8.07000035923E11</v>
      </c>
      <c r="D3205" s="240" t="s">
        <v>12703</v>
      </c>
      <c r="E3205" s="240" t="s">
        <v>12704</v>
      </c>
      <c r="F3205" s="242" t="s">
        <v>12705</v>
      </c>
      <c r="G3205" s="242" t="s">
        <v>127</v>
      </c>
      <c r="H3205" s="242">
        <v>4400.0</v>
      </c>
      <c r="I3205" s="224" t="s">
        <v>340</v>
      </c>
      <c r="J3205" s="240" t="s">
        <v>3486</v>
      </c>
      <c r="K3205" s="242">
        <v>2.0</v>
      </c>
      <c r="L3205" s="124">
        <v>3.874654219E9</v>
      </c>
    </row>
    <row r="3206">
      <c r="A3206" s="33" t="s">
        <v>12706</v>
      </c>
      <c r="B3206" s="122">
        <v>46150.0</v>
      </c>
      <c r="C3206" s="103">
        <v>8.07000035924E11</v>
      </c>
      <c r="D3206" s="103" t="s">
        <v>12707</v>
      </c>
      <c r="E3206" s="103" t="s">
        <v>12708</v>
      </c>
      <c r="F3206" s="241" t="s">
        <v>12709</v>
      </c>
      <c r="G3206" s="241" t="s">
        <v>127</v>
      </c>
      <c r="H3206" s="241">
        <v>4400.0</v>
      </c>
      <c r="I3206" s="211" t="s">
        <v>5970</v>
      </c>
      <c r="J3206" s="103" t="s">
        <v>5347</v>
      </c>
      <c r="K3206" s="241">
        <v>1.0</v>
      </c>
      <c r="L3206" s="124">
        <v>3.874458208E9</v>
      </c>
    </row>
    <row r="3207">
      <c r="A3207" s="33" t="s">
        <v>12706</v>
      </c>
      <c r="B3207" s="122">
        <v>46150.0</v>
      </c>
      <c r="C3207" s="240">
        <v>8.07000035925E11</v>
      </c>
      <c r="D3207" s="240" t="s">
        <v>12707</v>
      </c>
      <c r="E3207" s="240" t="s">
        <v>12708</v>
      </c>
      <c r="F3207" s="242" t="s">
        <v>12709</v>
      </c>
      <c r="G3207" s="242" t="s">
        <v>127</v>
      </c>
      <c r="H3207" s="242">
        <v>4400.0</v>
      </c>
      <c r="I3207" s="224" t="s">
        <v>512</v>
      </c>
      <c r="J3207" s="240" t="s">
        <v>513</v>
      </c>
      <c r="K3207" s="242">
        <v>12.0</v>
      </c>
      <c r="L3207" s="124">
        <v>3.874458208E9</v>
      </c>
    </row>
    <row r="3208">
      <c r="A3208" s="33" t="s">
        <v>12706</v>
      </c>
      <c r="B3208" s="122">
        <v>46150.0</v>
      </c>
      <c r="C3208" s="103">
        <v>8.07000035926E11</v>
      </c>
      <c r="D3208" s="103" t="s">
        <v>12707</v>
      </c>
      <c r="E3208" s="103" t="s">
        <v>12708</v>
      </c>
      <c r="F3208" s="241" t="s">
        <v>12709</v>
      </c>
      <c r="G3208" s="241" t="s">
        <v>127</v>
      </c>
      <c r="H3208" s="241">
        <v>4400.0</v>
      </c>
      <c r="I3208" s="211" t="s">
        <v>5185</v>
      </c>
      <c r="J3208" s="103" t="s">
        <v>5186</v>
      </c>
      <c r="K3208" s="241">
        <v>2.0</v>
      </c>
      <c r="L3208" s="124">
        <v>3.874458208E9</v>
      </c>
    </row>
    <row r="3209">
      <c r="A3209" s="33" t="s">
        <v>12706</v>
      </c>
      <c r="B3209" s="122">
        <v>46150.0</v>
      </c>
      <c r="C3209" s="240">
        <v>8.07000035926E11</v>
      </c>
      <c r="D3209" s="240" t="s">
        <v>12707</v>
      </c>
      <c r="E3209" s="240" t="s">
        <v>12708</v>
      </c>
      <c r="F3209" s="242" t="s">
        <v>12709</v>
      </c>
      <c r="G3209" s="242" t="s">
        <v>127</v>
      </c>
      <c r="H3209" s="242">
        <v>4400.0</v>
      </c>
      <c r="I3209" s="224" t="s">
        <v>2031</v>
      </c>
      <c r="J3209" s="240" t="s">
        <v>3348</v>
      </c>
      <c r="K3209" s="242">
        <v>2.0</v>
      </c>
      <c r="L3209" s="124">
        <v>3.874458208E9</v>
      </c>
    </row>
    <row r="3210" ht="6.75" customHeight="1">
      <c r="A3210" s="100"/>
      <c r="B3210" s="230"/>
      <c r="C3210" s="251"/>
      <c r="D3210" s="251"/>
      <c r="E3210" s="251"/>
      <c r="F3210" s="253"/>
      <c r="G3210" s="253"/>
      <c r="H3210" s="253"/>
      <c r="I3210" s="252"/>
      <c r="J3210" s="251"/>
      <c r="K3210" s="253"/>
      <c r="L3210" s="232"/>
    </row>
    <row r="3211">
      <c r="A3211" s="33" t="s">
        <v>12710</v>
      </c>
      <c r="B3211" s="122">
        <v>46151.0</v>
      </c>
      <c r="C3211" s="240">
        <v>8.07000035884E11</v>
      </c>
      <c r="D3211" s="240" t="s">
        <v>6150</v>
      </c>
      <c r="E3211" s="240" t="s">
        <v>6151</v>
      </c>
      <c r="F3211" s="242" t="s">
        <v>6152</v>
      </c>
      <c r="G3211" s="241" t="s">
        <v>2907</v>
      </c>
      <c r="H3211" s="241">
        <v>4400.0</v>
      </c>
      <c r="I3211" s="224" t="s">
        <v>3649</v>
      </c>
      <c r="J3211" s="240" t="s">
        <v>3650</v>
      </c>
      <c r="K3211" s="242">
        <v>1.0</v>
      </c>
      <c r="L3211" s="124">
        <v>3.87442644E9</v>
      </c>
    </row>
    <row r="3212">
      <c r="A3212" s="33" t="s">
        <v>12710</v>
      </c>
      <c r="B3212" s="122">
        <v>46151.0</v>
      </c>
      <c r="C3212" s="103">
        <v>8.07000035885E11</v>
      </c>
      <c r="D3212" s="103" t="s">
        <v>6150</v>
      </c>
      <c r="E3212" s="103" t="s">
        <v>6151</v>
      </c>
      <c r="F3212" s="242" t="s">
        <v>6152</v>
      </c>
      <c r="G3212" s="241" t="s">
        <v>2907</v>
      </c>
      <c r="H3212" s="242">
        <v>4400.0</v>
      </c>
      <c r="I3212" s="211" t="s">
        <v>110</v>
      </c>
      <c r="J3212" s="103" t="s">
        <v>3673</v>
      </c>
      <c r="K3212" s="241">
        <v>1.0</v>
      </c>
      <c r="L3212" s="124">
        <v>3.87442644E9</v>
      </c>
    </row>
    <row r="3213">
      <c r="A3213" s="33" t="s">
        <v>12711</v>
      </c>
      <c r="B3213" s="122">
        <v>46151.0</v>
      </c>
      <c r="C3213" s="103">
        <v>8.0700003594E11</v>
      </c>
      <c r="D3213" s="103" t="s">
        <v>12712</v>
      </c>
      <c r="E3213" s="103" t="s">
        <v>12713</v>
      </c>
      <c r="F3213" s="241" t="s">
        <v>12714</v>
      </c>
      <c r="G3213" s="241" t="s">
        <v>4645</v>
      </c>
      <c r="H3213" s="241">
        <v>4400.0</v>
      </c>
      <c r="I3213" s="211" t="s">
        <v>12715</v>
      </c>
      <c r="J3213" s="103" t="s">
        <v>12716</v>
      </c>
      <c r="K3213" s="241">
        <v>1.0</v>
      </c>
      <c r="L3213" s="124" t="s">
        <v>4529</v>
      </c>
    </row>
    <row r="3214">
      <c r="A3214" s="33" t="s">
        <v>12717</v>
      </c>
      <c r="B3214" s="122">
        <v>46153.0</v>
      </c>
      <c r="C3214" s="103">
        <v>8.07000035968E11</v>
      </c>
      <c r="D3214" s="103" t="s">
        <v>12718</v>
      </c>
      <c r="E3214" s="103" t="s">
        <v>12719</v>
      </c>
      <c r="F3214" s="241" t="s">
        <v>12720</v>
      </c>
      <c r="G3214" s="241" t="s">
        <v>104</v>
      </c>
      <c r="H3214" s="241">
        <v>4400.0</v>
      </c>
      <c r="I3214" s="211" t="s">
        <v>512</v>
      </c>
      <c r="J3214" s="103" t="s">
        <v>513</v>
      </c>
      <c r="K3214" s="241">
        <v>12.0</v>
      </c>
      <c r="L3214" s="124">
        <v>3.874871125E9</v>
      </c>
    </row>
    <row r="3215">
      <c r="A3215" s="33" t="s">
        <v>12717</v>
      </c>
      <c r="B3215" s="122">
        <v>46153.0</v>
      </c>
      <c r="C3215" s="240">
        <v>8.07000035969E11</v>
      </c>
      <c r="D3215" s="240" t="s">
        <v>12718</v>
      </c>
      <c r="E3215" s="240" t="s">
        <v>12719</v>
      </c>
      <c r="F3215" s="242" t="s">
        <v>12720</v>
      </c>
      <c r="G3215" s="242" t="s">
        <v>104</v>
      </c>
      <c r="H3215" s="242">
        <v>4400.0</v>
      </c>
      <c r="I3215" s="224" t="s">
        <v>4899</v>
      </c>
      <c r="J3215" s="240" t="s">
        <v>4900</v>
      </c>
      <c r="K3215" s="242">
        <v>1.0</v>
      </c>
      <c r="L3215" s="124">
        <v>3.874871125E9</v>
      </c>
    </row>
    <row r="3216">
      <c r="A3216" s="33" t="s">
        <v>12717</v>
      </c>
      <c r="B3216" s="122">
        <v>46153.0</v>
      </c>
      <c r="C3216" s="103">
        <v>8.07000035969E11</v>
      </c>
      <c r="D3216" s="103" t="s">
        <v>12718</v>
      </c>
      <c r="E3216" s="103" t="s">
        <v>12719</v>
      </c>
      <c r="F3216" s="241" t="s">
        <v>12720</v>
      </c>
      <c r="G3216" s="241" t="s">
        <v>104</v>
      </c>
      <c r="H3216" s="241">
        <v>4400.0</v>
      </c>
      <c r="I3216" s="211" t="s">
        <v>233</v>
      </c>
      <c r="J3216" s="103" t="s">
        <v>3459</v>
      </c>
      <c r="K3216" s="241">
        <v>2.0</v>
      </c>
      <c r="L3216" s="124">
        <v>3.874871125E9</v>
      </c>
    </row>
    <row r="3217">
      <c r="A3217" s="33" t="s">
        <v>12721</v>
      </c>
      <c r="B3217" s="122">
        <v>46153.0</v>
      </c>
      <c r="C3217" s="240">
        <v>8.07000035955E11</v>
      </c>
      <c r="D3217" s="240" t="s">
        <v>12722</v>
      </c>
      <c r="E3217" s="240" t="s">
        <v>12723</v>
      </c>
      <c r="F3217" s="242" t="s">
        <v>12724</v>
      </c>
      <c r="G3217" s="242" t="s">
        <v>127</v>
      </c>
      <c r="H3217" s="242">
        <v>4400.0</v>
      </c>
      <c r="I3217" s="224" t="s">
        <v>512</v>
      </c>
      <c r="J3217" s="240" t="s">
        <v>513</v>
      </c>
      <c r="K3217" s="242">
        <v>18.0</v>
      </c>
      <c r="L3217" s="124">
        <v>3.875327673E9</v>
      </c>
    </row>
    <row r="3218">
      <c r="A3218" s="33" t="s">
        <v>12721</v>
      </c>
      <c r="B3218" s="122">
        <v>46153.0</v>
      </c>
      <c r="C3218" s="103">
        <v>8.07000035957E11</v>
      </c>
      <c r="D3218" s="103" t="s">
        <v>12722</v>
      </c>
      <c r="E3218" s="103" t="s">
        <v>12723</v>
      </c>
      <c r="F3218" s="241" t="s">
        <v>12724</v>
      </c>
      <c r="G3218" s="241" t="s">
        <v>127</v>
      </c>
      <c r="H3218" s="241">
        <v>4400.0</v>
      </c>
      <c r="I3218" s="211" t="s">
        <v>3979</v>
      </c>
      <c r="J3218" s="103" t="s">
        <v>3980</v>
      </c>
      <c r="K3218" s="241">
        <v>1.0</v>
      </c>
      <c r="L3218" s="124">
        <v>3.875327673E9</v>
      </c>
    </row>
    <row r="3219">
      <c r="A3219" s="33" t="s">
        <v>12725</v>
      </c>
      <c r="B3219" s="122">
        <v>46153.0</v>
      </c>
      <c r="C3219" s="240">
        <v>8.07000035957E11</v>
      </c>
      <c r="D3219" s="240" t="s">
        <v>12722</v>
      </c>
      <c r="E3219" s="240" t="s">
        <v>12723</v>
      </c>
      <c r="F3219" s="242" t="s">
        <v>12726</v>
      </c>
      <c r="G3219" s="242" t="s">
        <v>127</v>
      </c>
      <c r="H3219" s="242">
        <v>4400.0</v>
      </c>
      <c r="I3219" s="224" t="s">
        <v>106</v>
      </c>
      <c r="J3219" s="240" t="s">
        <v>3670</v>
      </c>
      <c r="K3219" s="242">
        <v>1.0</v>
      </c>
      <c r="L3219" s="124">
        <v>3.875327673E9</v>
      </c>
    </row>
    <row r="3220">
      <c r="A3220" s="33" t="s">
        <v>12725</v>
      </c>
      <c r="B3220" s="122">
        <v>46153.0</v>
      </c>
      <c r="C3220" s="103">
        <v>8.07000035957E11</v>
      </c>
      <c r="D3220" s="103" t="s">
        <v>12722</v>
      </c>
      <c r="E3220" s="103" t="s">
        <v>12723</v>
      </c>
      <c r="F3220" s="242" t="s">
        <v>12726</v>
      </c>
      <c r="G3220" s="241" t="s">
        <v>127</v>
      </c>
      <c r="H3220" s="241">
        <v>4400.0</v>
      </c>
      <c r="I3220" s="211" t="s">
        <v>110</v>
      </c>
      <c r="J3220" s="103" t="s">
        <v>3673</v>
      </c>
      <c r="K3220" s="241">
        <v>1.0</v>
      </c>
      <c r="L3220" s="124">
        <v>3.875327673E9</v>
      </c>
    </row>
    <row r="3221">
      <c r="A3221" s="33" t="s">
        <v>12721</v>
      </c>
      <c r="B3221" s="122">
        <v>46153.0</v>
      </c>
      <c r="C3221" s="240">
        <v>8.07000035957E11</v>
      </c>
      <c r="D3221" s="240" t="s">
        <v>12722</v>
      </c>
      <c r="E3221" s="240" t="s">
        <v>12723</v>
      </c>
      <c r="F3221" s="242" t="s">
        <v>12724</v>
      </c>
      <c r="G3221" s="242" t="s">
        <v>127</v>
      </c>
      <c r="H3221" s="242">
        <v>4400.0</v>
      </c>
      <c r="I3221" s="224" t="s">
        <v>758</v>
      </c>
      <c r="J3221" s="240" t="s">
        <v>3574</v>
      </c>
      <c r="K3221" s="242">
        <v>2.0</v>
      </c>
      <c r="L3221" s="124">
        <v>3.875327673E9</v>
      </c>
    </row>
    <row r="3222">
      <c r="A3222" s="33" t="s">
        <v>12727</v>
      </c>
      <c r="B3222" s="122">
        <v>46153.0</v>
      </c>
      <c r="C3222" s="103">
        <v>8.07000035949E11</v>
      </c>
      <c r="D3222" s="103" t="s">
        <v>12728</v>
      </c>
      <c r="E3222" s="103" t="s">
        <v>12729</v>
      </c>
      <c r="F3222" s="241" t="s">
        <v>12730</v>
      </c>
      <c r="G3222" s="241" t="s">
        <v>127</v>
      </c>
      <c r="H3222" s="241">
        <v>4400.0</v>
      </c>
      <c r="I3222" s="211" t="s">
        <v>3131</v>
      </c>
      <c r="J3222" s="103" t="s">
        <v>3416</v>
      </c>
      <c r="K3222" s="241">
        <v>1.0</v>
      </c>
      <c r="L3222" s="124">
        <v>3.875744405E9</v>
      </c>
    </row>
    <row r="3223">
      <c r="A3223" s="33" t="s">
        <v>12731</v>
      </c>
      <c r="B3223" s="122">
        <v>46153.0</v>
      </c>
      <c r="C3223" s="103">
        <v>8.07000035978E11</v>
      </c>
      <c r="D3223" s="103" t="s">
        <v>12732</v>
      </c>
      <c r="E3223" s="103" t="s">
        <v>12733</v>
      </c>
      <c r="F3223" s="242" t="s">
        <v>12734</v>
      </c>
      <c r="G3223" s="242" t="s">
        <v>127</v>
      </c>
      <c r="H3223" s="242">
        <v>4400.0</v>
      </c>
      <c r="I3223" s="309">
        <v>914751.0</v>
      </c>
      <c r="J3223" s="103" t="s">
        <v>7853</v>
      </c>
      <c r="K3223" s="241">
        <v>1.0</v>
      </c>
      <c r="L3223" s="124">
        <v>3.875820057E9</v>
      </c>
    </row>
    <row r="3224">
      <c r="A3224" s="33" t="s">
        <v>12731</v>
      </c>
      <c r="B3224" s="122">
        <v>46153.0</v>
      </c>
      <c r="C3224" s="240">
        <v>8.07000035979E11</v>
      </c>
      <c r="D3224" s="240" t="s">
        <v>12732</v>
      </c>
      <c r="E3224" s="240" t="s">
        <v>12733</v>
      </c>
      <c r="F3224" s="242" t="s">
        <v>12734</v>
      </c>
      <c r="G3224" s="241" t="s">
        <v>127</v>
      </c>
      <c r="H3224" s="241">
        <v>4400.0</v>
      </c>
      <c r="I3224" s="224" t="s">
        <v>25</v>
      </c>
      <c r="J3224" s="240" t="s">
        <v>3401</v>
      </c>
      <c r="K3224" s="242">
        <v>1.0</v>
      </c>
      <c r="L3224" s="124">
        <v>3.875820057E9</v>
      </c>
    </row>
    <row r="3225">
      <c r="A3225" s="33" t="s">
        <v>12735</v>
      </c>
      <c r="B3225" s="122">
        <v>46153.0</v>
      </c>
      <c r="C3225" s="103">
        <v>8.07000035984E11</v>
      </c>
      <c r="D3225" s="103" t="s">
        <v>6428</v>
      </c>
      <c r="E3225" s="103" t="s">
        <v>6429</v>
      </c>
      <c r="F3225" s="241" t="s">
        <v>12736</v>
      </c>
      <c r="G3225" s="241" t="s">
        <v>20</v>
      </c>
      <c r="H3225" s="241" t="s">
        <v>1878</v>
      </c>
      <c r="I3225" s="211">
        <v>208501.0</v>
      </c>
      <c r="J3225" s="103" t="s">
        <v>481</v>
      </c>
      <c r="K3225" s="241">
        <v>2.0</v>
      </c>
      <c r="L3225" s="124">
        <v>3.876022283E9</v>
      </c>
    </row>
    <row r="3226">
      <c r="A3226" s="33" t="s">
        <v>12735</v>
      </c>
      <c r="B3226" s="122">
        <v>46153.0</v>
      </c>
      <c r="C3226" s="240">
        <v>8.07000035985E11</v>
      </c>
      <c r="D3226" s="240" t="s">
        <v>6428</v>
      </c>
      <c r="E3226" s="240" t="s">
        <v>6429</v>
      </c>
      <c r="F3226" s="241" t="s">
        <v>12736</v>
      </c>
      <c r="G3226" s="242" t="s">
        <v>20</v>
      </c>
      <c r="H3226" s="242" t="s">
        <v>1878</v>
      </c>
      <c r="I3226" s="224" t="s">
        <v>5262</v>
      </c>
      <c r="J3226" s="240" t="s">
        <v>5263</v>
      </c>
      <c r="K3226" s="242">
        <v>1.0</v>
      </c>
      <c r="L3226" s="124">
        <v>3.876022283E9</v>
      </c>
    </row>
    <row r="3227">
      <c r="A3227" s="33" t="s">
        <v>12735</v>
      </c>
      <c r="B3227" s="122">
        <v>46153.0</v>
      </c>
      <c r="C3227" s="103">
        <v>8.07000035985E11</v>
      </c>
      <c r="D3227" s="103" t="s">
        <v>6428</v>
      </c>
      <c r="E3227" s="103" t="s">
        <v>6429</v>
      </c>
      <c r="F3227" s="241" t="s">
        <v>12736</v>
      </c>
      <c r="G3227" s="241" t="s">
        <v>20</v>
      </c>
      <c r="H3227" s="241" t="s">
        <v>1878</v>
      </c>
      <c r="I3227" s="211" t="s">
        <v>6113</v>
      </c>
      <c r="J3227" s="103" t="s">
        <v>6114</v>
      </c>
      <c r="K3227" s="241">
        <v>1.0</v>
      </c>
      <c r="L3227" s="124">
        <v>3.876022283E9</v>
      </c>
    </row>
    <row r="3228" ht="4.5" customHeight="1">
      <c r="A3228" s="100"/>
      <c r="B3228" s="230"/>
      <c r="C3228" s="251"/>
      <c r="D3228" s="251"/>
      <c r="E3228" s="251"/>
      <c r="F3228" s="253"/>
      <c r="G3228" s="253"/>
      <c r="H3228" s="253"/>
      <c r="I3228" s="310"/>
      <c r="J3228" s="251"/>
      <c r="K3228" s="253"/>
      <c r="L3228" s="232"/>
      <c r="M3228" s="233"/>
      <c r="N3228" s="233"/>
      <c r="O3228" s="233"/>
      <c r="P3228" s="233"/>
      <c r="Q3228" s="233"/>
      <c r="R3228" s="233"/>
      <c r="S3228" s="233"/>
      <c r="T3228" s="233"/>
      <c r="U3228" s="233"/>
      <c r="V3228" s="233"/>
      <c r="W3228" s="233"/>
      <c r="X3228" s="233"/>
      <c r="Y3228" s="233"/>
      <c r="Z3228" s="233"/>
      <c r="AA3228" s="233"/>
      <c r="AB3228" s="233"/>
      <c r="AC3228" s="233"/>
    </row>
    <row r="3229">
      <c r="A3229" s="33" t="s">
        <v>12737</v>
      </c>
      <c r="B3229" s="122">
        <v>46154.0</v>
      </c>
      <c r="C3229" s="240">
        <v>8.07000036E11</v>
      </c>
      <c r="D3229" s="240" t="s">
        <v>12738</v>
      </c>
      <c r="E3229" s="240" t="s">
        <v>12739</v>
      </c>
      <c r="F3229" s="242" t="s">
        <v>12740</v>
      </c>
      <c r="G3229" s="242" t="s">
        <v>127</v>
      </c>
      <c r="H3229" s="242">
        <v>4400.0</v>
      </c>
      <c r="I3229" s="311">
        <v>914751.0</v>
      </c>
      <c r="J3229" s="240" t="s">
        <v>7853</v>
      </c>
      <c r="K3229" s="242">
        <v>1.0</v>
      </c>
      <c r="L3229" s="124">
        <v>3.873077546E9</v>
      </c>
    </row>
    <row r="3230">
      <c r="A3230" s="33" t="s">
        <v>12741</v>
      </c>
      <c r="B3230" s="122">
        <v>46154.0</v>
      </c>
      <c r="C3230" s="103">
        <v>8.07000035989E11</v>
      </c>
      <c r="D3230" s="103" t="s">
        <v>12742</v>
      </c>
      <c r="E3230" s="103" t="s">
        <v>12743</v>
      </c>
      <c r="F3230" s="241" t="s">
        <v>12744</v>
      </c>
      <c r="G3230" s="241" t="s">
        <v>127</v>
      </c>
      <c r="H3230" s="241">
        <v>4400.0</v>
      </c>
      <c r="I3230" s="211">
        <v>125820.0</v>
      </c>
      <c r="J3230" s="103" t="s">
        <v>10252</v>
      </c>
      <c r="K3230" s="241">
        <v>2.0</v>
      </c>
      <c r="L3230" s="124">
        <v>3.874887788E9</v>
      </c>
    </row>
    <row r="3231">
      <c r="A3231" s="33" t="s">
        <v>12741</v>
      </c>
      <c r="B3231" s="122">
        <v>46154.0</v>
      </c>
      <c r="C3231" s="240">
        <v>8.07000035989E11</v>
      </c>
      <c r="D3231" s="240" t="s">
        <v>12742</v>
      </c>
      <c r="E3231" s="240" t="s">
        <v>12743</v>
      </c>
      <c r="F3231" s="242" t="s">
        <v>12744</v>
      </c>
      <c r="G3231" s="242" t="s">
        <v>127</v>
      </c>
      <c r="H3231" s="242">
        <v>4400.0</v>
      </c>
      <c r="I3231" s="311">
        <v>916212.0</v>
      </c>
      <c r="J3231" s="240" t="s">
        <v>9868</v>
      </c>
      <c r="K3231" s="242">
        <v>1.0</v>
      </c>
      <c r="L3231" s="124">
        <v>3.874887788E9</v>
      </c>
    </row>
    <row r="3232">
      <c r="A3232" s="33" t="s">
        <v>12741</v>
      </c>
      <c r="B3232" s="122">
        <v>46154.0</v>
      </c>
      <c r="C3232" s="103">
        <v>8.07000035989E11</v>
      </c>
      <c r="D3232" s="103" t="s">
        <v>12742</v>
      </c>
      <c r="E3232" s="103" t="s">
        <v>12743</v>
      </c>
      <c r="F3232" s="241" t="s">
        <v>12744</v>
      </c>
      <c r="G3232" s="241" t="s">
        <v>127</v>
      </c>
      <c r="H3232" s="241">
        <v>4400.0</v>
      </c>
      <c r="I3232" s="211">
        <v>87611.0</v>
      </c>
      <c r="J3232" s="103" t="s">
        <v>9869</v>
      </c>
      <c r="K3232" s="241">
        <v>2.0</v>
      </c>
      <c r="L3232" s="124">
        <v>3.874887788E9</v>
      </c>
    </row>
    <row r="3233">
      <c r="A3233" s="33" t="s">
        <v>12745</v>
      </c>
      <c r="B3233" s="122">
        <v>46154.0</v>
      </c>
      <c r="C3233" s="240">
        <v>8.07000035995E11</v>
      </c>
      <c r="D3233" s="240" t="s">
        <v>12746</v>
      </c>
      <c r="E3233" s="240" t="s">
        <v>12747</v>
      </c>
      <c r="F3233" s="242" t="s">
        <v>12748</v>
      </c>
      <c r="G3233" s="242" t="s">
        <v>127</v>
      </c>
      <c r="H3233" s="242">
        <v>4400.0</v>
      </c>
      <c r="I3233" s="224" t="s">
        <v>3679</v>
      </c>
      <c r="J3233" s="240" t="s">
        <v>3680</v>
      </c>
      <c r="K3233" s="242">
        <v>1.0</v>
      </c>
      <c r="L3233" s="124">
        <v>3.875769922E9</v>
      </c>
    </row>
    <row r="3234">
      <c r="A3234" s="33" t="s">
        <v>12745</v>
      </c>
      <c r="B3234" s="122">
        <v>46154.0</v>
      </c>
      <c r="C3234" s="103">
        <v>8.07000035995E11</v>
      </c>
      <c r="D3234" s="103" t="s">
        <v>12746</v>
      </c>
      <c r="E3234" s="103" t="s">
        <v>12747</v>
      </c>
      <c r="F3234" s="241" t="s">
        <v>12748</v>
      </c>
      <c r="G3234" s="241" t="s">
        <v>127</v>
      </c>
      <c r="H3234" s="241">
        <v>4400.0</v>
      </c>
      <c r="I3234" s="211" t="s">
        <v>512</v>
      </c>
      <c r="J3234" s="103" t="s">
        <v>513</v>
      </c>
      <c r="K3234" s="241">
        <v>12.0</v>
      </c>
      <c r="L3234" s="124">
        <v>3.875769922E9</v>
      </c>
    </row>
    <row r="3235">
      <c r="A3235" s="33" t="s">
        <v>12745</v>
      </c>
      <c r="B3235" s="122">
        <v>46154.0</v>
      </c>
      <c r="C3235" s="240">
        <v>8.07000035995E11</v>
      </c>
      <c r="D3235" s="240" t="s">
        <v>12746</v>
      </c>
      <c r="E3235" s="240" t="s">
        <v>12747</v>
      </c>
      <c r="F3235" s="242" t="s">
        <v>12748</v>
      </c>
      <c r="G3235" s="242" t="s">
        <v>127</v>
      </c>
      <c r="H3235" s="242">
        <v>4400.0</v>
      </c>
      <c r="I3235" s="224" t="s">
        <v>645</v>
      </c>
      <c r="J3235" s="240" t="s">
        <v>3253</v>
      </c>
      <c r="K3235" s="242">
        <v>2.0</v>
      </c>
      <c r="L3235" s="124">
        <v>3.875769922E9</v>
      </c>
    </row>
    <row r="3236">
      <c r="A3236" s="33" t="s">
        <v>12749</v>
      </c>
      <c r="B3236" s="122">
        <v>46154.0</v>
      </c>
      <c r="C3236" s="103">
        <v>8.07000035998E11</v>
      </c>
      <c r="D3236" s="103" t="s">
        <v>12484</v>
      </c>
      <c r="E3236" s="103" t="s">
        <v>12485</v>
      </c>
      <c r="F3236" s="241" t="s">
        <v>12750</v>
      </c>
      <c r="G3236" s="241" t="s">
        <v>104</v>
      </c>
      <c r="H3236" s="241">
        <v>4400.0</v>
      </c>
      <c r="I3236" s="211">
        <v>125801.0</v>
      </c>
      <c r="J3236" s="103" t="s">
        <v>5192</v>
      </c>
      <c r="K3236" s="241">
        <v>2.0</v>
      </c>
      <c r="L3236" s="124">
        <v>1.153201077E9</v>
      </c>
    </row>
    <row r="3237">
      <c r="A3237" s="33" t="s">
        <v>12749</v>
      </c>
      <c r="B3237" s="122">
        <v>46154.0</v>
      </c>
      <c r="C3237" s="240">
        <v>8.07000035998E11</v>
      </c>
      <c r="D3237" s="240" t="s">
        <v>12484</v>
      </c>
      <c r="E3237" s="240" t="s">
        <v>12485</v>
      </c>
      <c r="F3237" s="241" t="s">
        <v>12750</v>
      </c>
      <c r="G3237" s="242" t="s">
        <v>104</v>
      </c>
      <c r="H3237" s="242">
        <v>4400.0</v>
      </c>
      <c r="I3237" s="224" t="s">
        <v>512</v>
      </c>
      <c r="J3237" s="240" t="s">
        <v>513</v>
      </c>
      <c r="K3237" s="242">
        <v>6.0</v>
      </c>
      <c r="L3237" s="124">
        <v>1.153201077E9</v>
      </c>
    </row>
    <row r="3238">
      <c r="A3238" s="33" t="s">
        <v>12749</v>
      </c>
      <c r="B3238" s="122">
        <v>46154.0</v>
      </c>
      <c r="C3238" s="103">
        <v>8.07000035999E11</v>
      </c>
      <c r="D3238" s="103" t="s">
        <v>12484</v>
      </c>
      <c r="E3238" s="103" t="s">
        <v>12485</v>
      </c>
      <c r="F3238" s="241" t="s">
        <v>12750</v>
      </c>
      <c r="G3238" s="241" t="s">
        <v>104</v>
      </c>
      <c r="H3238" s="241">
        <v>4400.0</v>
      </c>
      <c r="I3238" s="211" t="s">
        <v>5551</v>
      </c>
      <c r="J3238" s="103" t="s">
        <v>5552</v>
      </c>
      <c r="K3238" s="241">
        <v>1.0</v>
      </c>
      <c r="L3238" s="124">
        <v>1.153201077E9</v>
      </c>
    </row>
    <row r="3239">
      <c r="A3239" s="33" t="s">
        <v>12749</v>
      </c>
      <c r="B3239" s="122">
        <v>46154.0</v>
      </c>
      <c r="C3239" s="240">
        <v>8.07000035999E11</v>
      </c>
      <c r="D3239" s="240" t="s">
        <v>12484</v>
      </c>
      <c r="E3239" s="240" t="s">
        <v>12485</v>
      </c>
      <c r="F3239" s="241" t="s">
        <v>12750</v>
      </c>
      <c r="G3239" s="242" t="s">
        <v>104</v>
      </c>
      <c r="H3239" s="242">
        <v>4400.0</v>
      </c>
      <c r="I3239" s="224" t="s">
        <v>25</v>
      </c>
      <c r="J3239" s="240" t="s">
        <v>3401</v>
      </c>
      <c r="K3239" s="242">
        <v>1.0</v>
      </c>
      <c r="L3239" s="124">
        <v>1.153201077E9</v>
      </c>
    </row>
    <row r="3240">
      <c r="A3240" s="33" t="s">
        <v>12751</v>
      </c>
      <c r="B3240" s="122">
        <v>46154.0</v>
      </c>
      <c r="C3240" s="103">
        <v>8.07000036006E11</v>
      </c>
      <c r="D3240" s="103" t="s">
        <v>12752</v>
      </c>
      <c r="E3240" s="103" t="s">
        <v>12753</v>
      </c>
      <c r="F3240" s="241" t="s">
        <v>12754</v>
      </c>
      <c r="G3240" s="241" t="s">
        <v>127</v>
      </c>
      <c r="H3240" s="241">
        <v>4400.0</v>
      </c>
      <c r="I3240" s="211" t="s">
        <v>512</v>
      </c>
      <c r="J3240" s="103" t="s">
        <v>513</v>
      </c>
      <c r="K3240" s="241">
        <v>6.0</v>
      </c>
      <c r="L3240" s="124">
        <v>3.874866148E9</v>
      </c>
    </row>
    <row r="3241">
      <c r="A3241" s="33" t="s">
        <v>12751</v>
      </c>
      <c r="B3241" s="122">
        <v>46154.0</v>
      </c>
      <c r="C3241" s="240">
        <v>8.07000036007E11</v>
      </c>
      <c r="D3241" s="240" t="s">
        <v>12752</v>
      </c>
      <c r="E3241" s="240" t="s">
        <v>12753</v>
      </c>
      <c r="F3241" s="242" t="s">
        <v>12754</v>
      </c>
      <c r="G3241" s="242" t="s">
        <v>127</v>
      </c>
      <c r="H3241" s="242">
        <v>4400.0</v>
      </c>
      <c r="I3241" s="224" t="s">
        <v>3285</v>
      </c>
      <c r="J3241" s="240" t="s">
        <v>3286</v>
      </c>
      <c r="K3241" s="242">
        <v>1.0</v>
      </c>
      <c r="L3241" s="124">
        <v>3.874866148E9</v>
      </c>
    </row>
    <row r="3242">
      <c r="A3242" s="33" t="s">
        <v>12751</v>
      </c>
      <c r="B3242" s="122">
        <v>46154.0</v>
      </c>
      <c r="C3242" s="103">
        <v>8.07000036007E11</v>
      </c>
      <c r="D3242" s="103" t="s">
        <v>12752</v>
      </c>
      <c r="E3242" s="103" t="s">
        <v>12753</v>
      </c>
      <c r="F3242" s="241" t="s">
        <v>12754</v>
      </c>
      <c r="G3242" s="241" t="s">
        <v>127</v>
      </c>
      <c r="H3242" s="241">
        <v>4400.0</v>
      </c>
      <c r="I3242" s="211" t="s">
        <v>670</v>
      </c>
      <c r="J3242" s="103" t="s">
        <v>3410</v>
      </c>
      <c r="K3242" s="241">
        <v>1.0</v>
      </c>
      <c r="L3242" s="124">
        <v>3.874866148E9</v>
      </c>
    </row>
    <row r="3243">
      <c r="A3243" s="33" t="s">
        <v>12755</v>
      </c>
      <c r="B3243" s="122">
        <v>46154.0</v>
      </c>
      <c r="C3243" s="240">
        <v>8.07000036012E11</v>
      </c>
      <c r="D3243" s="240" t="s">
        <v>12756</v>
      </c>
      <c r="E3243" s="240" t="s">
        <v>12757</v>
      </c>
      <c r="F3243" s="242" t="s">
        <v>12758</v>
      </c>
      <c r="G3243" s="242" t="s">
        <v>127</v>
      </c>
      <c r="H3243" s="242">
        <v>4400.0</v>
      </c>
      <c r="I3243" s="311">
        <v>841702.0</v>
      </c>
      <c r="J3243" s="240" t="s">
        <v>7685</v>
      </c>
      <c r="K3243" s="242">
        <v>1.0</v>
      </c>
      <c r="L3243" s="124"/>
    </row>
    <row r="3244">
      <c r="A3244" s="33" t="s">
        <v>12759</v>
      </c>
      <c r="B3244" s="122">
        <v>46154.0</v>
      </c>
      <c r="C3244" s="240">
        <v>8.07000036015E11</v>
      </c>
      <c r="D3244" s="240" t="s">
        <v>12760</v>
      </c>
      <c r="E3244" s="240" t="s">
        <v>12761</v>
      </c>
      <c r="F3244" s="242" t="s">
        <v>12762</v>
      </c>
      <c r="G3244" s="242" t="s">
        <v>4496</v>
      </c>
      <c r="H3244" s="242">
        <v>4401.0</v>
      </c>
      <c r="I3244" s="224">
        <v>125801.0</v>
      </c>
      <c r="J3244" s="240" t="s">
        <v>5192</v>
      </c>
      <c r="K3244" s="242">
        <v>4.0</v>
      </c>
      <c r="L3244" s="124">
        <v>3.875093923E9</v>
      </c>
    </row>
    <row r="3245">
      <c r="A3245" s="240" t="s">
        <v>12759</v>
      </c>
      <c r="B3245" s="122">
        <v>46154.0</v>
      </c>
      <c r="C3245" s="103">
        <v>8.07000036016E11</v>
      </c>
      <c r="D3245" s="103" t="s">
        <v>12760</v>
      </c>
      <c r="E3245" s="103" t="s">
        <v>12761</v>
      </c>
      <c r="F3245" s="241" t="s">
        <v>12762</v>
      </c>
      <c r="G3245" s="241" t="s">
        <v>4496</v>
      </c>
      <c r="H3245" s="241">
        <v>4401.0</v>
      </c>
      <c r="I3245" s="211" t="s">
        <v>6113</v>
      </c>
      <c r="J3245" s="103" t="s">
        <v>6114</v>
      </c>
      <c r="K3245" s="241">
        <v>1.0</v>
      </c>
      <c r="L3245" s="124">
        <v>3.875093923E9</v>
      </c>
    </row>
    <row r="3246">
      <c r="A3246" s="240" t="s">
        <v>12759</v>
      </c>
      <c r="B3246" s="122">
        <v>46154.0</v>
      </c>
      <c r="C3246" s="240">
        <v>8.07000036016E11</v>
      </c>
      <c r="D3246" s="240" t="s">
        <v>12760</v>
      </c>
      <c r="E3246" s="240" t="s">
        <v>12761</v>
      </c>
      <c r="F3246" s="242" t="s">
        <v>12762</v>
      </c>
      <c r="G3246" s="242" t="s">
        <v>4496</v>
      </c>
      <c r="H3246" s="242">
        <v>4401.0</v>
      </c>
      <c r="I3246" s="224" t="s">
        <v>3649</v>
      </c>
      <c r="J3246" s="240" t="s">
        <v>3650</v>
      </c>
      <c r="K3246" s="242">
        <v>1.0</v>
      </c>
      <c r="L3246" s="124">
        <v>3.875093923E9</v>
      </c>
    </row>
    <row r="3247">
      <c r="A3247" s="33" t="s">
        <v>12763</v>
      </c>
      <c r="B3247" s="122">
        <v>46154.0</v>
      </c>
      <c r="C3247" s="240">
        <v>8.0700003601E11</v>
      </c>
      <c r="D3247" s="240" t="s">
        <v>12764</v>
      </c>
      <c r="E3247" s="240" t="s">
        <v>12765</v>
      </c>
      <c r="F3247" s="242" t="s">
        <v>12766</v>
      </c>
      <c r="G3247" s="241" t="s">
        <v>127</v>
      </c>
      <c r="H3247" s="241">
        <v>4400.0</v>
      </c>
      <c r="I3247" s="311">
        <v>915481.0</v>
      </c>
      <c r="J3247" s="240" t="s">
        <v>8241</v>
      </c>
      <c r="K3247" s="242">
        <v>1.0</v>
      </c>
      <c r="L3247" s="124">
        <v>3.87441377E9</v>
      </c>
    </row>
    <row r="3248">
      <c r="A3248" s="33" t="s">
        <v>12763</v>
      </c>
      <c r="B3248" s="122">
        <v>46154.0</v>
      </c>
      <c r="C3248" s="103">
        <v>8.07000036011E11</v>
      </c>
      <c r="D3248" s="103" t="s">
        <v>12764</v>
      </c>
      <c r="E3248" s="103" t="s">
        <v>12765</v>
      </c>
      <c r="F3248" s="242" t="s">
        <v>12766</v>
      </c>
      <c r="G3248" s="242" t="s">
        <v>127</v>
      </c>
      <c r="H3248" s="242">
        <v>4400.0</v>
      </c>
      <c r="I3248" s="211" t="s">
        <v>758</v>
      </c>
      <c r="J3248" s="103" t="s">
        <v>3574</v>
      </c>
      <c r="K3248" s="241">
        <v>2.0</v>
      </c>
      <c r="L3248" s="124">
        <v>3.87441377E9</v>
      </c>
    </row>
    <row r="3249">
      <c r="A3249" s="33" t="s">
        <v>12767</v>
      </c>
      <c r="B3249" s="122">
        <v>46154.0</v>
      </c>
      <c r="C3249" s="240">
        <v>8.07000036017E11</v>
      </c>
      <c r="D3249" s="240" t="s">
        <v>12768</v>
      </c>
      <c r="E3249" s="240" t="s">
        <v>12769</v>
      </c>
      <c r="F3249" s="242" t="s">
        <v>12770</v>
      </c>
      <c r="G3249" s="241" t="s">
        <v>127</v>
      </c>
      <c r="H3249" s="241">
        <v>4400.0</v>
      </c>
      <c r="I3249" s="224">
        <v>125813.0</v>
      </c>
      <c r="J3249" s="240" t="s">
        <v>5703</v>
      </c>
      <c r="K3249" s="242">
        <v>2.0</v>
      </c>
      <c r="L3249" s="124">
        <v>3.874581453E9</v>
      </c>
    </row>
    <row r="3250">
      <c r="A3250" s="33" t="s">
        <v>12767</v>
      </c>
      <c r="B3250" s="122">
        <v>46154.0</v>
      </c>
      <c r="C3250" s="103">
        <v>8.07000036017E11</v>
      </c>
      <c r="D3250" s="103" t="s">
        <v>12768</v>
      </c>
      <c r="E3250" s="103" t="s">
        <v>12769</v>
      </c>
      <c r="F3250" s="242" t="s">
        <v>12770</v>
      </c>
      <c r="G3250" s="242" t="s">
        <v>127</v>
      </c>
      <c r="H3250" s="242">
        <v>4400.0</v>
      </c>
      <c r="I3250" s="211">
        <v>125818.0</v>
      </c>
      <c r="J3250" s="103" t="s">
        <v>4334</v>
      </c>
      <c r="K3250" s="241">
        <v>2.0</v>
      </c>
      <c r="L3250" s="124">
        <v>3.874581453E9</v>
      </c>
    </row>
    <row r="3251">
      <c r="A3251" s="33" t="s">
        <v>12767</v>
      </c>
      <c r="B3251" s="122">
        <v>46154.0</v>
      </c>
      <c r="C3251" s="240">
        <v>8.07000036017E11</v>
      </c>
      <c r="D3251" s="240" t="s">
        <v>12768</v>
      </c>
      <c r="E3251" s="240" t="s">
        <v>12769</v>
      </c>
      <c r="F3251" s="242" t="s">
        <v>12770</v>
      </c>
      <c r="G3251" s="241" t="s">
        <v>127</v>
      </c>
      <c r="H3251" s="241">
        <v>4400.0</v>
      </c>
      <c r="I3251" s="224" t="s">
        <v>7955</v>
      </c>
      <c r="J3251" s="240" t="s">
        <v>7956</v>
      </c>
      <c r="K3251" s="242">
        <v>1.0</v>
      </c>
      <c r="L3251" s="124">
        <v>3.874581453E9</v>
      </c>
    </row>
    <row r="3252">
      <c r="A3252" s="33" t="s">
        <v>12767</v>
      </c>
      <c r="B3252" s="122">
        <v>46154.0</v>
      </c>
      <c r="C3252" s="103">
        <v>8.07000036017E11</v>
      </c>
      <c r="D3252" s="103" t="s">
        <v>12768</v>
      </c>
      <c r="E3252" s="103" t="s">
        <v>12769</v>
      </c>
      <c r="F3252" s="242" t="s">
        <v>12770</v>
      </c>
      <c r="G3252" s="242" t="s">
        <v>127</v>
      </c>
      <c r="H3252" s="242">
        <v>4400.0</v>
      </c>
      <c r="I3252" s="211" t="s">
        <v>512</v>
      </c>
      <c r="J3252" s="103" t="s">
        <v>513</v>
      </c>
      <c r="K3252" s="241">
        <v>12.0</v>
      </c>
      <c r="L3252" s="124">
        <v>3.874581453E9</v>
      </c>
    </row>
    <row r="3253">
      <c r="A3253" s="33" t="s">
        <v>12767</v>
      </c>
      <c r="B3253" s="122">
        <v>46154.0</v>
      </c>
      <c r="C3253" s="240">
        <v>8.07000036017E11</v>
      </c>
      <c r="D3253" s="240" t="s">
        <v>12768</v>
      </c>
      <c r="E3253" s="240" t="s">
        <v>12769</v>
      </c>
      <c r="F3253" s="242" t="s">
        <v>12770</v>
      </c>
      <c r="G3253" s="241" t="s">
        <v>127</v>
      </c>
      <c r="H3253" s="241">
        <v>4400.0</v>
      </c>
      <c r="I3253" s="224" t="s">
        <v>12771</v>
      </c>
      <c r="J3253" s="240" t="s">
        <v>12772</v>
      </c>
      <c r="K3253" s="242">
        <v>1.0</v>
      </c>
      <c r="L3253" s="124">
        <v>3.874581453E9</v>
      </c>
    </row>
    <row r="3254">
      <c r="A3254" s="33" t="s">
        <v>12767</v>
      </c>
      <c r="B3254" s="122">
        <v>46154.0</v>
      </c>
      <c r="C3254" s="103">
        <v>8.07000036017E11</v>
      </c>
      <c r="D3254" s="103" t="s">
        <v>12768</v>
      </c>
      <c r="E3254" s="103" t="s">
        <v>12769</v>
      </c>
      <c r="F3254" s="242" t="s">
        <v>12770</v>
      </c>
      <c r="G3254" s="242" t="s">
        <v>127</v>
      </c>
      <c r="H3254" s="242">
        <v>4400.0</v>
      </c>
      <c r="I3254" s="211" t="s">
        <v>758</v>
      </c>
      <c r="J3254" s="103" t="s">
        <v>3574</v>
      </c>
      <c r="K3254" s="241">
        <v>2.0</v>
      </c>
      <c r="L3254" s="124">
        <v>3.874581453E9</v>
      </c>
    </row>
    <row r="3255">
      <c r="A3255" s="55" t="s">
        <v>12773</v>
      </c>
      <c r="B3255" s="312">
        <v>46154.0</v>
      </c>
      <c r="C3255" s="313">
        <v>8.07000036018E11</v>
      </c>
      <c r="D3255" s="313" t="s">
        <v>12774</v>
      </c>
      <c r="E3255" s="313" t="s">
        <v>12775</v>
      </c>
      <c r="F3255" s="279" t="s">
        <v>12776</v>
      </c>
      <c r="G3255" s="279" t="s">
        <v>127</v>
      </c>
      <c r="H3255" s="279">
        <v>4400.0</v>
      </c>
      <c r="I3255" s="314" t="s">
        <v>50</v>
      </c>
      <c r="J3255" s="313" t="s">
        <v>51</v>
      </c>
      <c r="K3255" s="279">
        <v>1.0</v>
      </c>
      <c r="L3255" s="210">
        <v>3.875923738E9</v>
      </c>
    </row>
    <row r="3256" ht="7.5" customHeight="1">
      <c r="A3256" s="100"/>
      <c r="B3256" s="230"/>
      <c r="C3256" s="251"/>
      <c r="D3256" s="251"/>
      <c r="E3256" s="251"/>
      <c r="F3256" s="253"/>
      <c r="G3256" s="253"/>
      <c r="H3256" s="253"/>
      <c r="I3256" s="252"/>
      <c r="J3256" s="251"/>
      <c r="K3256" s="253"/>
      <c r="L3256" s="232"/>
      <c r="M3256" s="233"/>
      <c r="N3256" s="233"/>
      <c r="O3256" s="233"/>
      <c r="P3256" s="233"/>
      <c r="Q3256" s="233"/>
      <c r="R3256" s="233"/>
      <c r="S3256" s="233"/>
      <c r="T3256" s="233"/>
      <c r="U3256" s="233"/>
      <c r="V3256" s="233"/>
      <c r="W3256" s="233"/>
      <c r="X3256" s="233"/>
      <c r="Y3256" s="233"/>
      <c r="Z3256" s="233"/>
      <c r="AA3256" s="233"/>
      <c r="AB3256" s="233"/>
      <c r="AC3256" s="233"/>
    </row>
    <row r="3257">
      <c r="A3257" s="33" t="s">
        <v>12777</v>
      </c>
      <c r="B3257" s="122">
        <v>46155.0</v>
      </c>
      <c r="C3257" s="103">
        <v>8.05011575217E11</v>
      </c>
      <c r="D3257" s="103" t="s">
        <v>11718</v>
      </c>
      <c r="E3257" s="103" t="s">
        <v>11719</v>
      </c>
      <c r="F3257" s="241" t="s">
        <v>12778</v>
      </c>
      <c r="G3257" s="241" t="s">
        <v>5139</v>
      </c>
      <c r="H3257" s="241">
        <v>4568.0</v>
      </c>
      <c r="I3257" s="211" t="s">
        <v>32</v>
      </c>
      <c r="J3257" s="103" t="s">
        <v>3225</v>
      </c>
      <c r="K3257" s="241">
        <v>2.0</v>
      </c>
      <c r="L3257" s="124">
        <v>3.873458711E9</v>
      </c>
    </row>
    <row r="3258">
      <c r="A3258" s="33" t="s">
        <v>12777</v>
      </c>
      <c r="B3258" s="122">
        <v>46155.0</v>
      </c>
      <c r="C3258" s="240">
        <v>8.05011575217E11</v>
      </c>
      <c r="D3258" s="240" t="s">
        <v>11718</v>
      </c>
      <c r="E3258" s="240" t="s">
        <v>11719</v>
      </c>
      <c r="F3258" s="242" t="s">
        <v>12778</v>
      </c>
      <c r="G3258" s="242" t="s">
        <v>5139</v>
      </c>
      <c r="H3258" s="242">
        <v>4568.0</v>
      </c>
      <c r="I3258" s="224" t="s">
        <v>512</v>
      </c>
      <c r="J3258" s="240" t="s">
        <v>513</v>
      </c>
      <c r="K3258" s="242">
        <v>12.0</v>
      </c>
      <c r="L3258" s="124">
        <v>3.873458711E9</v>
      </c>
    </row>
    <row r="3259">
      <c r="A3259" s="33" t="s">
        <v>12777</v>
      </c>
      <c r="B3259" s="122">
        <v>46155.0</v>
      </c>
      <c r="C3259" s="103">
        <v>8.05011575217E11</v>
      </c>
      <c r="D3259" s="103" t="s">
        <v>11718</v>
      </c>
      <c r="E3259" s="103" t="s">
        <v>11719</v>
      </c>
      <c r="F3259" s="241" t="s">
        <v>12778</v>
      </c>
      <c r="G3259" s="241" t="s">
        <v>5139</v>
      </c>
      <c r="H3259" s="241">
        <v>4568.0</v>
      </c>
      <c r="I3259" s="211" t="s">
        <v>670</v>
      </c>
      <c r="J3259" s="103" t="s">
        <v>3410</v>
      </c>
      <c r="K3259" s="241">
        <v>2.0</v>
      </c>
      <c r="L3259" s="124">
        <v>3.873458711E9</v>
      </c>
    </row>
    <row r="3260">
      <c r="A3260" s="33" t="s">
        <v>12779</v>
      </c>
      <c r="B3260" s="122">
        <v>46155.0</v>
      </c>
      <c r="C3260" s="103">
        <v>8.0700003602E11</v>
      </c>
      <c r="D3260" s="103" t="s">
        <v>12780</v>
      </c>
      <c r="E3260" s="103" t="s">
        <v>12781</v>
      </c>
      <c r="F3260" s="241" t="s">
        <v>12782</v>
      </c>
      <c r="G3260" s="241" t="s">
        <v>4645</v>
      </c>
      <c r="H3260" s="241">
        <v>4400.0</v>
      </c>
      <c r="I3260" s="211" t="s">
        <v>512</v>
      </c>
      <c r="J3260" s="103" t="s">
        <v>513</v>
      </c>
      <c r="K3260" s="241">
        <v>12.0</v>
      </c>
      <c r="L3260" s="124">
        <v>3.874876851E9</v>
      </c>
    </row>
    <row r="3261">
      <c r="A3261" s="33" t="s">
        <v>12779</v>
      </c>
      <c r="B3261" s="122">
        <v>46155.0</v>
      </c>
      <c r="C3261" s="240">
        <v>8.07000036021E11</v>
      </c>
      <c r="D3261" s="240" t="s">
        <v>12780</v>
      </c>
      <c r="E3261" s="240" t="s">
        <v>12781</v>
      </c>
      <c r="F3261" s="242" t="s">
        <v>12782</v>
      </c>
      <c r="G3261" s="242" t="s">
        <v>4645</v>
      </c>
      <c r="H3261" s="242">
        <v>4400.0</v>
      </c>
      <c r="I3261" s="224" t="s">
        <v>3979</v>
      </c>
      <c r="J3261" s="240" t="s">
        <v>3980</v>
      </c>
      <c r="K3261" s="242">
        <v>1.0</v>
      </c>
      <c r="L3261" s="124">
        <v>3.874876851E9</v>
      </c>
    </row>
    <row r="3262">
      <c r="A3262" s="33" t="s">
        <v>12779</v>
      </c>
      <c r="B3262" s="122">
        <v>46155.0</v>
      </c>
      <c r="C3262" s="103">
        <v>8.07000036021E11</v>
      </c>
      <c r="D3262" s="103" t="s">
        <v>12780</v>
      </c>
      <c r="E3262" s="103" t="s">
        <v>12781</v>
      </c>
      <c r="F3262" s="241" t="s">
        <v>12782</v>
      </c>
      <c r="G3262" s="241" t="s">
        <v>4645</v>
      </c>
      <c r="H3262" s="241">
        <v>4400.0</v>
      </c>
      <c r="I3262" s="211" t="s">
        <v>758</v>
      </c>
      <c r="J3262" s="103" t="s">
        <v>3574</v>
      </c>
      <c r="K3262" s="241">
        <v>2.0</v>
      </c>
      <c r="L3262" s="124">
        <v>3.874876851E9</v>
      </c>
    </row>
    <row r="3263">
      <c r="A3263" s="33" t="s">
        <v>12779</v>
      </c>
      <c r="B3263" s="122">
        <v>46155.0</v>
      </c>
      <c r="C3263" s="240">
        <v>8.0700003603E11</v>
      </c>
      <c r="D3263" s="240" t="s">
        <v>12783</v>
      </c>
      <c r="E3263" s="240" t="s">
        <v>12784</v>
      </c>
      <c r="F3263" s="242" t="s">
        <v>12785</v>
      </c>
      <c r="G3263" s="242" t="s">
        <v>127</v>
      </c>
      <c r="H3263" s="242">
        <v>4400.0</v>
      </c>
      <c r="I3263" s="224" t="s">
        <v>512</v>
      </c>
      <c r="J3263" s="240" t="s">
        <v>513</v>
      </c>
      <c r="K3263" s="242">
        <v>12.0</v>
      </c>
      <c r="L3263" s="124">
        <v>3.874623944E9</v>
      </c>
    </row>
    <row r="3264">
      <c r="A3264" s="33" t="s">
        <v>12779</v>
      </c>
      <c r="B3264" s="122">
        <v>46155.0</v>
      </c>
      <c r="C3264" s="103">
        <v>8.07000036031E11</v>
      </c>
      <c r="D3264" s="103" t="s">
        <v>12783</v>
      </c>
      <c r="E3264" s="103" t="s">
        <v>12784</v>
      </c>
      <c r="F3264" s="241" t="s">
        <v>12785</v>
      </c>
      <c r="G3264" s="241" t="s">
        <v>127</v>
      </c>
      <c r="H3264" s="241">
        <v>4400.0</v>
      </c>
      <c r="I3264" s="211" t="s">
        <v>6343</v>
      </c>
      <c r="J3264" s="103" t="s">
        <v>6435</v>
      </c>
      <c r="K3264" s="241">
        <v>1.0</v>
      </c>
      <c r="L3264" s="124">
        <v>3.874623944E9</v>
      </c>
    </row>
    <row r="3265">
      <c r="A3265" s="33" t="s">
        <v>12779</v>
      </c>
      <c r="B3265" s="122">
        <v>46155.0</v>
      </c>
      <c r="C3265" s="240">
        <v>8.07000036031E11</v>
      </c>
      <c r="D3265" s="240" t="s">
        <v>12783</v>
      </c>
      <c r="E3265" s="240" t="s">
        <v>12784</v>
      </c>
      <c r="F3265" s="242" t="s">
        <v>12785</v>
      </c>
      <c r="G3265" s="242" t="s">
        <v>127</v>
      </c>
      <c r="H3265" s="242">
        <v>4400.0</v>
      </c>
      <c r="I3265" s="224" t="s">
        <v>233</v>
      </c>
      <c r="J3265" s="240" t="s">
        <v>3459</v>
      </c>
      <c r="K3265" s="242">
        <v>2.0</v>
      </c>
      <c r="L3265" s="124">
        <v>3.874623944E9</v>
      </c>
    </row>
    <row r="3266">
      <c r="A3266" s="33" t="s">
        <v>12786</v>
      </c>
      <c r="B3266" s="122">
        <v>46155.0</v>
      </c>
      <c r="C3266" s="103">
        <v>8.07000036019E11</v>
      </c>
      <c r="D3266" s="103" t="s">
        <v>12787</v>
      </c>
      <c r="E3266" s="103" t="s">
        <v>12788</v>
      </c>
      <c r="F3266" s="241" t="s">
        <v>12789</v>
      </c>
      <c r="G3266" s="241" t="s">
        <v>8902</v>
      </c>
      <c r="H3266" s="241">
        <v>4421.0</v>
      </c>
      <c r="I3266" s="211" t="s">
        <v>12790</v>
      </c>
      <c r="J3266" s="103" t="s">
        <v>12791</v>
      </c>
      <c r="K3266" s="241">
        <v>1.0</v>
      </c>
      <c r="L3266" s="124">
        <v>3.87547394E9</v>
      </c>
    </row>
    <row r="3267">
      <c r="A3267" s="33" t="s">
        <v>12792</v>
      </c>
      <c r="B3267" s="122">
        <v>46155.0</v>
      </c>
      <c r="C3267" s="240">
        <v>8.07000036027E11</v>
      </c>
      <c r="D3267" s="240" t="s">
        <v>12793</v>
      </c>
      <c r="E3267" s="240" t="s">
        <v>12794</v>
      </c>
      <c r="F3267" s="242" t="s">
        <v>12795</v>
      </c>
      <c r="G3267" s="242" t="s">
        <v>3047</v>
      </c>
      <c r="H3267" s="242">
        <v>4400.0</v>
      </c>
      <c r="I3267" s="224" t="s">
        <v>512</v>
      </c>
      <c r="J3267" s="240" t="s">
        <v>513</v>
      </c>
      <c r="K3267" s="242">
        <v>6.0</v>
      </c>
      <c r="L3267" s="124">
        <v>3.874404547E9</v>
      </c>
    </row>
    <row r="3268">
      <c r="A3268" s="33" t="s">
        <v>12792</v>
      </c>
      <c r="B3268" s="122">
        <v>46155.0</v>
      </c>
      <c r="C3268" s="103">
        <v>8.07000036028E11</v>
      </c>
      <c r="D3268" s="103" t="s">
        <v>12793</v>
      </c>
      <c r="E3268" s="103" t="s">
        <v>12794</v>
      </c>
      <c r="F3268" s="241" t="s">
        <v>12795</v>
      </c>
      <c r="G3268" s="241" t="s">
        <v>3047</v>
      </c>
      <c r="H3268" s="241">
        <v>4400.0</v>
      </c>
      <c r="I3268" s="211">
        <v>125818.0</v>
      </c>
      <c r="J3268" s="103" t="s">
        <v>4334</v>
      </c>
      <c r="K3268" s="241">
        <v>2.0</v>
      </c>
      <c r="L3268" s="124">
        <v>3.874404547E9</v>
      </c>
    </row>
    <row r="3269">
      <c r="A3269" s="33" t="s">
        <v>12792</v>
      </c>
      <c r="B3269" s="122">
        <v>46155.0</v>
      </c>
      <c r="C3269" s="240">
        <v>8.07000036029E11</v>
      </c>
      <c r="D3269" s="240" t="s">
        <v>12793</v>
      </c>
      <c r="E3269" s="240" t="s">
        <v>12794</v>
      </c>
      <c r="F3269" s="242" t="s">
        <v>12795</v>
      </c>
      <c r="G3269" s="242" t="s">
        <v>3047</v>
      </c>
      <c r="H3269" s="242">
        <v>4400.0</v>
      </c>
      <c r="I3269" s="224" t="s">
        <v>6573</v>
      </c>
      <c r="J3269" s="240" t="s">
        <v>6574</v>
      </c>
      <c r="K3269" s="242">
        <v>1.0</v>
      </c>
      <c r="L3269" s="124">
        <v>3.874404547E9</v>
      </c>
    </row>
    <row r="3270">
      <c r="A3270" s="33" t="s">
        <v>12792</v>
      </c>
      <c r="B3270" s="122">
        <v>46155.0</v>
      </c>
      <c r="C3270" s="103">
        <v>8.07000036029E11</v>
      </c>
      <c r="D3270" s="103" t="s">
        <v>12793</v>
      </c>
      <c r="E3270" s="103" t="s">
        <v>12794</v>
      </c>
      <c r="F3270" s="241" t="s">
        <v>12795</v>
      </c>
      <c r="G3270" s="241" t="s">
        <v>3047</v>
      </c>
      <c r="H3270" s="241">
        <v>4400.0</v>
      </c>
      <c r="I3270" s="211" t="s">
        <v>35</v>
      </c>
      <c r="J3270" s="103" t="s">
        <v>3188</v>
      </c>
      <c r="K3270" s="241">
        <v>1.0</v>
      </c>
      <c r="L3270" s="124">
        <v>3.874404547E9</v>
      </c>
    </row>
    <row r="3271">
      <c r="A3271" s="33" t="s">
        <v>12796</v>
      </c>
      <c r="B3271" s="122">
        <v>46155.0</v>
      </c>
      <c r="C3271" s="240">
        <v>8.07000036033E11</v>
      </c>
      <c r="D3271" s="240" t="s">
        <v>11746</v>
      </c>
      <c r="E3271" s="240" t="s">
        <v>11747</v>
      </c>
      <c r="F3271" s="242" t="s">
        <v>12797</v>
      </c>
      <c r="G3271" s="242" t="s">
        <v>127</v>
      </c>
      <c r="H3271" s="242">
        <v>4400.0</v>
      </c>
      <c r="I3271" s="224" t="s">
        <v>512</v>
      </c>
      <c r="J3271" s="240" t="s">
        <v>513</v>
      </c>
      <c r="K3271" s="242">
        <v>6.0</v>
      </c>
      <c r="L3271" s="124">
        <v>3.876056887E9</v>
      </c>
    </row>
    <row r="3272">
      <c r="A3272" s="33" t="s">
        <v>12796</v>
      </c>
      <c r="B3272" s="122">
        <v>46155.0</v>
      </c>
      <c r="C3272" s="103">
        <v>8.07000036034E11</v>
      </c>
      <c r="D3272" s="103" t="s">
        <v>11746</v>
      </c>
      <c r="E3272" s="103" t="s">
        <v>11747</v>
      </c>
      <c r="F3272" s="241" t="s">
        <v>12797</v>
      </c>
      <c r="G3272" s="241" t="s">
        <v>127</v>
      </c>
      <c r="H3272" s="241">
        <v>4400.0</v>
      </c>
      <c r="I3272" s="211" t="s">
        <v>2372</v>
      </c>
      <c r="J3272" s="103" t="s">
        <v>8140</v>
      </c>
      <c r="K3272" s="241">
        <v>1.0</v>
      </c>
      <c r="L3272" s="124">
        <v>3.876056887E9</v>
      </c>
    </row>
    <row r="3273">
      <c r="A3273" s="33" t="s">
        <v>12798</v>
      </c>
      <c r="B3273" s="122">
        <v>46155.0</v>
      </c>
      <c r="C3273" s="240">
        <v>8.07000036035E11</v>
      </c>
      <c r="D3273" s="240" t="s">
        <v>11746</v>
      </c>
      <c r="E3273" s="240" t="s">
        <v>11747</v>
      </c>
      <c r="F3273" s="242" t="s">
        <v>12797</v>
      </c>
      <c r="G3273" s="242" t="s">
        <v>127</v>
      </c>
      <c r="H3273" s="242">
        <v>4400.0</v>
      </c>
      <c r="I3273" s="224" t="s">
        <v>35</v>
      </c>
      <c r="J3273" s="240" t="s">
        <v>3188</v>
      </c>
      <c r="K3273" s="242">
        <v>1.0</v>
      </c>
      <c r="L3273" s="124">
        <v>3.876056887E9</v>
      </c>
    </row>
    <row r="3274">
      <c r="A3274" s="33" t="s">
        <v>12799</v>
      </c>
      <c r="B3274" s="122">
        <v>46155.0</v>
      </c>
      <c r="C3274" s="103">
        <v>8.07000036037E11</v>
      </c>
      <c r="D3274" s="103" t="s">
        <v>12800</v>
      </c>
      <c r="E3274" s="103" t="s">
        <v>12801</v>
      </c>
      <c r="F3274" s="241" t="s">
        <v>12802</v>
      </c>
      <c r="G3274" s="241" t="s">
        <v>127</v>
      </c>
      <c r="H3274" s="241">
        <v>4400.0</v>
      </c>
      <c r="I3274" s="309">
        <v>841702.0</v>
      </c>
      <c r="J3274" s="103" t="s">
        <v>7685</v>
      </c>
      <c r="K3274" s="241">
        <v>1.0</v>
      </c>
      <c r="L3274" s="124">
        <v>3.874481949E9</v>
      </c>
    </row>
    <row r="3275">
      <c r="A3275" s="33" t="s">
        <v>12803</v>
      </c>
      <c r="B3275" s="122">
        <v>46156.0</v>
      </c>
      <c r="C3275" s="240">
        <v>8.07000036042E11</v>
      </c>
      <c r="D3275" s="240" t="s">
        <v>12804</v>
      </c>
      <c r="E3275" s="240" t="s">
        <v>12805</v>
      </c>
      <c r="F3275" s="242" t="s">
        <v>12806</v>
      </c>
      <c r="G3275" s="242" t="s">
        <v>127</v>
      </c>
      <c r="H3275" s="242">
        <v>4400.0</v>
      </c>
      <c r="I3275" s="224" t="s">
        <v>3979</v>
      </c>
      <c r="J3275" s="240" t="s">
        <v>3980</v>
      </c>
      <c r="K3275" s="242">
        <v>1.0</v>
      </c>
      <c r="L3275" s="124">
        <v>3.875098776E9</v>
      </c>
    </row>
    <row r="3276">
      <c r="A3276" s="33" t="s">
        <v>12803</v>
      </c>
      <c r="B3276" s="122">
        <v>46156.0</v>
      </c>
      <c r="C3276" s="103">
        <v>8.07000036042E11</v>
      </c>
      <c r="D3276" s="103" t="s">
        <v>12804</v>
      </c>
      <c r="E3276" s="103" t="s">
        <v>12805</v>
      </c>
      <c r="F3276" s="241" t="s">
        <v>12806</v>
      </c>
      <c r="G3276" s="241" t="s">
        <v>127</v>
      </c>
      <c r="H3276" s="241">
        <v>4400.0</v>
      </c>
      <c r="I3276" s="211" t="s">
        <v>512</v>
      </c>
      <c r="J3276" s="103" t="s">
        <v>513</v>
      </c>
      <c r="K3276" s="241">
        <v>12.0</v>
      </c>
      <c r="L3276" s="124">
        <v>3.875098776E9</v>
      </c>
    </row>
    <row r="3277">
      <c r="A3277" s="33" t="s">
        <v>12803</v>
      </c>
      <c r="B3277" s="122">
        <v>46156.0</v>
      </c>
      <c r="C3277" s="240">
        <v>8.07000036042E11</v>
      </c>
      <c r="D3277" s="240" t="s">
        <v>12804</v>
      </c>
      <c r="E3277" s="240" t="s">
        <v>12805</v>
      </c>
      <c r="F3277" s="242" t="s">
        <v>12806</v>
      </c>
      <c r="G3277" s="242" t="s">
        <v>127</v>
      </c>
      <c r="H3277" s="242">
        <v>4400.0</v>
      </c>
      <c r="I3277" s="224" t="s">
        <v>758</v>
      </c>
      <c r="J3277" s="240" t="s">
        <v>3574</v>
      </c>
      <c r="K3277" s="242">
        <v>2.0</v>
      </c>
      <c r="L3277" s="124">
        <v>3.875098776E9</v>
      </c>
    </row>
    <row r="3278">
      <c r="A3278" s="33" t="s">
        <v>12807</v>
      </c>
      <c r="B3278" s="122">
        <v>46156.0</v>
      </c>
      <c r="C3278" s="240">
        <v>8.07000036058E11</v>
      </c>
      <c r="D3278" s="240" t="s">
        <v>12808</v>
      </c>
      <c r="E3278" s="240" t="s">
        <v>12809</v>
      </c>
      <c r="F3278" s="242" t="s">
        <v>12810</v>
      </c>
      <c r="G3278" s="242" t="s">
        <v>127</v>
      </c>
      <c r="H3278" s="242">
        <v>4400.0</v>
      </c>
      <c r="I3278" s="224" t="s">
        <v>4070</v>
      </c>
      <c r="J3278" s="240" t="s">
        <v>6264</v>
      </c>
      <c r="K3278" s="242">
        <v>1.0</v>
      </c>
      <c r="L3278" s="124">
        <v>3.875439694E9</v>
      </c>
    </row>
    <row r="3279">
      <c r="A3279" s="33" t="s">
        <v>12807</v>
      </c>
      <c r="B3279" s="122">
        <v>46156.0</v>
      </c>
      <c r="C3279" s="103">
        <v>8.07000036059E11</v>
      </c>
      <c r="D3279" s="103" t="s">
        <v>12808</v>
      </c>
      <c r="E3279" s="103" t="s">
        <v>12809</v>
      </c>
      <c r="F3279" s="241" t="s">
        <v>12810</v>
      </c>
      <c r="G3279" s="241" t="s">
        <v>127</v>
      </c>
      <c r="H3279" s="241">
        <v>4400.0</v>
      </c>
      <c r="I3279" s="211" t="s">
        <v>512</v>
      </c>
      <c r="J3279" s="103" t="s">
        <v>513</v>
      </c>
      <c r="K3279" s="241">
        <v>6.0</v>
      </c>
      <c r="L3279" s="124">
        <v>3.875439694E9</v>
      </c>
    </row>
    <row r="3280">
      <c r="A3280" s="33" t="s">
        <v>12807</v>
      </c>
      <c r="B3280" s="122">
        <v>46156.0</v>
      </c>
      <c r="C3280" s="240">
        <v>8.0700003606E11</v>
      </c>
      <c r="D3280" s="240" t="s">
        <v>12808</v>
      </c>
      <c r="E3280" s="240" t="s">
        <v>12809</v>
      </c>
      <c r="F3280" s="242" t="s">
        <v>12810</v>
      </c>
      <c r="G3280" s="242" t="s">
        <v>127</v>
      </c>
      <c r="H3280" s="242">
        <v>4400.0</v>
      </c>
      <c r="I3280" s="224" t="s">
        <v>106</v>
      </c>
      <c r="J3280" s="240" t="s">
        <v>3670</v>
      </c>
      <c r="K3280" s="242">
        <v>1.0</v>
      </c>
      <c r="L3280" s="124">
        <v>3.875439694E9</v>
      </c>
    </row>
    <row r="3281">
      <c r="A3281" s="33" t="s">
        <v>12807</v>
      </c>
      <c r="B3281" s="122">
        <v>46156.0</v>
      </c>
      <c r="C3281" s="103">
        <v>8.0700003606E11</v>
      </c>
      <c r="D3281" s="103" t="s">
        <v>12808</v>
      </c>
      <c r="E3281" s="103" t="s">
        <v>12809</v>
      </c>
      <c r="F3281" s="241" t="s">
        <v>12810</v>
      </c>
      <c r="G3281" s="241" t="s">
        <v>127</v>
      </c>
      <c r="H3281" s="241">
        <v>4400.0</v>
      </c>
      <c r="I3281" s="211" t="s">
        <v>110</v>
      </c>
      <c r="J3281" s="103" t="s">
        <v>3673</v>
      </c>
      <c r="K3281" s="241">
        <v>1.0</v>
      </c>
      <c r="L3281" s="124">
        <v>3.875439694E9</v>
      </c>
    </row>
    <row r="3282">
      <c r="A3282" s="33" t="s">
        <v>12811</v>
      </c>
      <c r="B3282" s="122">
        <v>46156.0</v>
      </c>
      <c r="C3282" s="240">
        <v>8.0700003609E11</v>
      </c>
      <c r="D3282" s="240" t="s">
        <v>12812</v>
      </c>
      <c r="E3282" s="240" t="s">
        <v>12813</v>
      </c>
      <c r="F3282" s="242" t="s">
        <v>12814</v>
      </c>
      <c r="G3282" s="242" t="s">
        <v>2907</v>
      </c>
      <c r="H3282" s="242">
        <v>4400.0</v>
      </c>
      <c r="I3282" s="224">
        <v>125814.0</v>
      </c>
      <c r="J3282" s="240" t="s">
        <v>9798</v>
      </c>
      <c r="K3282" s="242">
        <v>2.0</v>
      </c>
      <c r="L3282" s="124">
        <v>3.875899797E9</v>
      </c>
    </row>
    <row r="3283">
      <c r="A3283" s="33" t="s">
        <v>12811</v>
      </c>
      <c r="B3283" s="122">
        <v>46156.0</v>
      </c>
      <c r="C3283" s="103">
        <v>8.0700003609E11</v>
      </c>
      <c r="D3283" s="103" t="s">
        <v>12812</v>
      </c>
      <c r="E3283" s="103" t="s">
        <v>12813</v>
      </c>
      <c r="F3283" s="241" t="s">
        <v>12814</v>
      </c>
      <c r="G3283" s="241" t="s">
        <v>2907</v>
      </c>
      <c r="H3283" s="241">
        <v>4400.0</v>
      </c>
      <c r="I3283" s="211" t="s">
        <v>512</v>
      </c>
      <c r="J3283" s="103" t="s">
        <v>513</v>
      </c>
      <c r="K3283" s="241">
        <v>12.0</v>
      </c>
      <c r="L3283" s="124">
        <v>3.875899797E9</v>
      </c>
    </row>
    <row r="3284">
      <c r="A3284" s="33" t="s">
        <v>12811</v>
      </c>
      <c r="B3284" s="122">
        <v>46156.0</v>
      </c>
      <c r="C3284" s="240">
        <v>8.0700003609E11</v>
      </c>
      <c r="D3284" s="240" t="s">
        <v>12812</v>
      </c>
      <c r="E3284" s="240" t="s">
        <v>12813</v>
      </c>
      <c r="F3284" s="242" t="s">
        <v>12814</v>
      </c>
      <c r="G3284" s="242" t="s">
        <v>2907</v>
      </c>
      <c r="H3284" s="242">
        <v>4400.0</v>
      </c>
      <c r="I3284" s="224" t="s">
        <v>12771</v>
      </c>
      <c r="J3284" s="240" t="s">
        <v>12772</v>
      </c>
      <c r="K3284" s="242">
        <v>1.0</v>
      </c>
      <c r="L3284" s="124">
        <v>3.875899797E9</v>
      </c>
    </row>
    <row r="3285">
      <c r="A3285" s="33" t="s">
        <v>12815</v>
      </c>
      <c r="B3285" s="122">
        <v>46156.0</v>
      </c>
      <c r="C3285" s="103">
        <v>8.07000036091E11</v>
      </c>
      <c r="D3285" s="103" t="s">
        <v>12812</v>
      </c>
      <c r="E3285" s="103" t="s">
        <v>12813</v>
      </c>
      <c r="F3285" s="241" t="s">
        <v>12814</v>
      </c>
      <c r="G3285" s="241" t="s">
        <v>2907</v>
      </c>
      <c r="H3285" s="241">
        <v>4400.0</v>
      </c>
      <c r="I3285" s="211" t="s">
        <v>7741</v>
      </c>
      <c r="J3285" s="103" t="s">
        <v>7742</v>
      </c>
      <c r="K3285" s="241">
        <v>1.0</v>
      </c>
      <c r="L3285" s="124">
        <v>3.875899797E9</v>
      </c>
    </row>
    <row r="3286">
      <c r="A3286" s="33" t="s">
        <v>12815</v>
      </c>
      <c r="B3286" s="122">
        <v>46156.0</v>
      </c>
      <c r="C3286" s="240">
        <v>8.07000036091E11</v>
      </c>
      <c r="D3286" s="240" t="s">
        <v>12812</v>
      </c>
      <c r="E3286" s="240" t="s">
        <v>12813</v>
      </c>
      <c r="F3286" s="242" t="s">
        <v>12814</v>
      </c>
      <c r="G3286" s="242" t="s">
        <v>2907</v>
      </c>
      <c r="H3286" s="242">
        <v>4400.0</v>
      </c>
      <c r="I3286" s="224" t="s">
        <v>772</v>
      </c>
      <c r="J3286" s="240" t="s">
        <v>3363</v>
      </c>
      <c r="K3286" s="242">
        <v>2.0</v>
      </c>
      <c r="L3286" s="124">
        <v>3.875899797E9</v>
      </c>
    </row>
    <row r="3287">
      <c r="A3287" s="33" t="s">
        <v>12816</v>
      </c>
      <c r="B3287" s="122">
        <v>46156.0</v>
      </c>
      <c r="C3287" s="240">
        <v>8.07000036047E11</v>
      </c>
      <c r="D3287" s="240" t="s">
        <v>12817</v>
      </c>
      <c r="E3287" s="240" t="s">
        <v>12818</v>
      </c>
      <c r="F3287" s="242" t="s">
        <v>12819</v>
      </c>
      <c r="G3287" s="242" t="s">
        <v>127</v>
      </c>
      <c r="H3287" s="242">
        <v>4400.0</v>
      </c>
      <c r="I3287" s="224" t="s">
        <v>512</v>
      </c>
      <c r="J3287" s="240" t="s">
        <v>513</v>
      </c>
      <c r="K3287" s="242">
        <v>12.0</v>
      </c>
      <c r="L3287" s="124">
        <v>3.87575949E9</v>
      </c>
    </row>
    <row r="3288">
      <c r="A3288" s="33" t="s">
        <v>12816</v>
      </c>
      <c r="B3288" s="122">
        <v>46156.0</v>
      </c>
      <c r="C3288" s="103">
        <v>8.07000036048E11</v>
      </c>
      <c r="D3288" s="103" t="s">
        <v>12817</v>
      </c>
      <c r="E3288" s="103" t="s">
        <v>12818</v>
      </c>
      <c r="F3288" s="241" t="s">
        <v>12819</v>
      </c>
      <c r="G3288" s="241" t="s">
        <v>127</v>
      </c>
      <c r="H3288" s="241">
        <v>4400.0</v>
      </c>
      <c r="I3288" s="211" t="s">
        <v>7955</v>
      </c>
      <c r="J3288" s="103" t="s">
        <v>7956</v>
      </c>
      <c r="K3288" s="241">
        <v>1.0</v>
      </c>
      <c r="L3288" s="124">
        <v>3.87575949E9</v>
      </c>
    </row>
    <row r="3289">
      <c r="A3289" s="33" t="s">
        <v>12820</v>
      </c>
      <c r="B3289" s="122">
        <v>46156.0</v>
      </c>
      <c r="C3289" s="240">
        <v>8.07000036049E11</v>
      </c>
      <c r="D3289" s="240" t="s">
        <v>12817</v>
      </c>
      <c r="E3289" s="240" t="s">
        <v>12818</v>
      </c>
      <c r="F3289" s="242" t="s">
        <v>12819</v>
      </c>
      <c r="G3289" s="242" t="s">
        <v>127</v>
      </c>
      <c r="H3289" s="242">
        <v>4400.0</v>
      </c>
      <c r="I3289" s="224" t="s">
        <v>758</v>
      </c>
      <c r="J3289" s="240" t="s">
        <v>3574</v>
      </c>
      <c r="K3289" s="242">
        <v>2.0</v>
      </c>
      <c r="L3289" s="124">
        <v>3.87575949E9</v>
      </c>
    </row>
    <row r="3290">
      <c r="A3290" s="33" t="s">
        <v>12821</v>
      </c>
      <c r="B3290" s="122">
        <v>46156.0</v>
      </c>
      <c r="C3290" s="240">
        <v>8.07000036057E11</v>
      </c>
      <c r="D3290" s="240" t="s">
        <v>12822</v>
      </c>
      <c r="E3290" s="240" t="s">
        <v>12823</v>
      </c>
      <c r="F3290" s="242" t="s">
        <v>12824</v>
      </c>
      <c r="G3290" s="242" t="s">
        <v>127</v>
      </c>
      <c r="H3290" s="242">
        <v>4400.0</v>
      </c>
      <c r="I3290" s="224" t="s">
        <v>298</v>
      </c>
      <c r="J3290" s="240" t="s">
        <v>6035</v>
      </c>
      <c r="K3290" s="242">
        <v>1.0</v>
      </c>
      <c r="L3290" s="124">
        <v>3.87605507E9</v>
      </c>
    </row>
    <row r="3291">
      <c r="A3291" s="33" t="s">
        <v>12825</v>
      </c>
      <c r="B3291" s="122">
        <v>46156.0</v>
      </c>
      <c r="C3291" s="103">
        <v>8.07000036061E11</v>
      </c>
      <c r="D3291" s="103" t="s">
        <v>12826</v>
      </c>
      <c r="E3291" s="103" t="s">
        <v>12827</v>
      </c>
      <c r="F3291" s="241" t="s">
        <v>12828</v>
      </c>
      <c r="G3291" s="241" t="s">
        <v>127</v>
      </c>
      <c r="H3291" s="241">
        <v>4400.0</v>
      </c>
      <c r="I3291" s="211">
        <v>125812.0</v>
      </c>
      <c r="J3291" s="103" t="s">
        <v>9317</v>
      </c>
      <c r="K3291" s="241">
        <v>2.0</v>
      </c>
      <c r="L3291" s="124">
        <v>3.875373115E9</v>
      </c>
    </row>
    <row r="3292">
      <c r="A3292" s="33" t="s">
        <v>12825</v>
      </c>
      <c r="B3292" s="122">
        <v>46156.0</v>
      </c>
      <c r="C3292" s="240">
        <v>8.07000036062E11</v>
      </c>
      <c r="D3292" s="240" t="s">
        <v>12826</v>
      </c>
      <c r="E3292" s="240" t="s">
        <v>12827</v>
      </c>
      <c r="F3292" s="242" t="s">
        <v>12828</v>
      </c>
      <c r="G3292" s="242" t="s">
        <v>127</v>
      </c>
      <c r="H3292" s="242">
        <v>4400.0</v>
      </c>
      <c r="I3292" s="224" t="s">
        <v>25</v>
      </c>
      <c r="J3292" s="240" t="s">
        <v>3401</v>
      </c>
      <c r="K3292" s="242">
        <v>1.0</v>
      </c>
      <c r="L3292" s="124">
        <v>3.875373115E9</v>
      </c>
    </row>
    <row r="3293">
      <c r="A3293" s="33" t="s">
        <v>12829</v>
      </c>
      <c r="B3293" s="122">
        <v>46156.0</v>
      </c>
      <c r="C3293" s="103">
        <v>8.07000036063E11</v>
      </c>
      <c r="D3293" s="103" t="s">
        <v>12826</v>
      </c>
      <c r="E3293" s="103" t="s">
        <v>12827</v>
      </c>
      <c r="F3293" s="241" t="s">
        <v>12828</v>
      </c>
      <c r="G3293" s="241" t="s">
        <v>127</v>
      </c>
      <c r="H3293" s="241">
        <v>4400.0</v>
      </c>
      <c r="I3293" s="211" t="s">
        <v>512</v>
      </c>
      <c r="J3293" s="103" t="s">
        <v>513</v>
      </c>
      <c r="K3293" s="241">
        <v>6.0</v>
      </c>
      <c r="L3293" s="124">
        <v>3.875373115E9</v>
      </c>
    </row>
    <row r="3294">
      <c r="A3294" s="33" t="s">
        <v>12829</v>
      </c>
      <c r="B3294" s="122">
        <v>46156.0</v>
      </c>
      <c r="C3294" s="240">
        <v>8.07000036064E11</v>
      </c>
      <c r="D3294" s="240" t="s">
        <v>12826</v>
      </c>
      <c r="E3294" s="240" t="s">
        <v>12827</v>
      </c>
      <c r="F3294" s="242" t="s">
        <v>12828</v>
      </c>
      <c r="G3294" s="242" t="s">
        <v>127</v>
      </c>
      <c r="H3294" s="242">
        <v>4400.0</v>
      </c>
      <c r="I3294" s="224" t="s">
        <v>50</v>
      </c>
      <c r="J3294" s="240" t="s">
        <v>51</v>
      </c>
      <c r="K3294" s="242">
        <v>1.0</v>
      </c>
      <c r="L3294" s="124">
        <v>3.875373115E9</v>
      </c>
    </row>
    <row r="3295">
      <c r="A3295" s="33" t="s">
        <v>12830</v>
      </c>
      <c r="B3295" s="122">
        <v>46156.0</v>
      </c>
      <c r="C3295" s="240">
        <v>8.07000036079E11</v>
      </c>
      <c r="D3295" s="240" t="s">
        <v>12831</v>
      </c>
      <c r="E3295" s="240" t="s">
        <v>12832</v>
      </c>
      <c r="F3295" s="242" t="s">
        <v>12833</v>
      </c>
      <c r="G3295" s="242" t="s">
        <v>127</v>
      </c>
      <c r="H3295" s="242">
        <v>4400.0</v>
      </c>
      <c r="I3295" s="224">
        <v>120.0</v>
      </c>
      <c r="J3295" s="240" t="s">
        <v>12834</v>
      </c>
      <c r="K3295" s="242">
        <v>1.0</v>
      </c>
      <c r="L3295" s="124">
        <v>3.875072721E9</v>
      </c>
    </row>
    <row r="3296">
      <c r="A3296" s="33" t="s">
        <v>12830</v>
      </c>
      <c r="B3296" s="122">
        <v>46156.0</v>
      </c>
      <c r="C3296" s="103">
        <v>8.07000036079E11</v>
      </c>
      <c r="D3296" s="103" t="s">
        <v>12831</v>
      </c>
      <c r="E3296" s="103" t="s">
        <v>12832</v>
      </c>
      <c r="F3296" s="241" t="s">
        <v>12833</v>
      </c>
      <c r="G3296" s="241" t="s">
        <v>127</v>
      </c>
      <c r="H3296" s="241">
        <v>4400.0</v>
      </c>
      <c r="I3296" s="211" t="s">
        <v>4070</v>
      </c>
      <c r="J3296" s="103" t="s">
        <v>6264</v>
      </c>
      <c r="K3296" s="241">
        <v>1.0</v>
      </c>
      <c r="L3296" s="124">
        <v>3.875072721E9</v>
      </c>
    </row>
    <row r="3297">
      <c r="A3297" s="33" t="s">
        <v>12830</v>
      </c>
      <c r="B3297" s="122">
        <v>46156.0</v>
      </c>
      <c r="C3297" s="240">
        <v>8.07000036079E11</v>
      </c>
      <c r="D3297" s="240" t="s">
        <v>12831</v>
      </c>
      <c r="E3297" s="240" t="s">
        <v>12832</v>
      </c>
      <c r="F3297" s="242" t="s">
        <v>12833</v>
      </c>
      <c r="G3297" s="242" t="s">
        <v>127</v>
      </c>
      <c r="H3297" s="242">
        <v>4400.0</v>
      </c>
      <c r="I3297" s="224" t="s">
        <v>6265</v>
      </c>
      <c r="J3297" s="240" t="s">
        <v>6266</v>
      </c>
      <c r="K3297" s="242">
        <v>1.0</v>
      </c>
      <c r="L3297" s="124">
        <v>3.875072721E9</v>
      </c>
    </row>
    <row r="3298">
      <c r="A3298" s="33" t="s">
        <v>12830</v>
      </c>
      <c r="B3298" s="122">
        <v>46156.0</v>
      </c>
      <c r="C3298" s="103">
        <v>8.0700003608E11</v>
      </c>
      <c r="D3298" s="103" t="s">
        <v>12831</v>
      </c>
      <c r="E3298" s="103" t="s">
        <v>12832</v>
      </c>
      <c r="F3298" s="241" t="s">
        <v>12833</v>
      </c>
      <c r="G3298" s="241" t="s">
        <v>127</v>
      </c>
      <c r="H3298" s="241">
        <v>4400.0</v>
      </c>
      <c r="I3298" s="211" t="s">
        <v>761</v>
      </c>
      <c r="J3298" s="103" t="s">
        <v>3761</v>
      </c>
      <c r="K3298" s="241">
        <v>1.0</v>
      </c>
      <c r="L3298" s="124">
        <v>3.875072721E9</v>
      </c>
    </row>
    <row r="3299">
      <c r="A3299" s="33" t="s">
        <v>12830</v>
      </c>
      <c r="B3299" s="122">
        <v>46156.0</v>
      </c>
      <c r="C3299" s="240">
        <v>8.07000036081E11</v>
      </c>
      <c r="D3299" s="240" t="s">
        <v>12831</v>
      </c>
      <c r="E3299" s="240" t="s">
        <v>12832</v>
      </c>
      <c r="F3299" s="242" t="s">
        <v>12833</v>
      </c>
      <c r="G3299" s="242" t="s">
        <v>127</v>
      </c>
      <c r="H3299" s="242">
        <v>4400.0</v>
      </c>
      <c r="I3299" s="224" t="s">
        <v>4695</v>
      </c>
      <c r="J3299" s="240" t="s">
        <v>4696</v>
      </c>
      <c r="K3299" s="242">
        <v>1.0</v>
      </c>
      <c r="L3299" s="124">
        <v>3.875072721E9</v>
      </c>
    </row>
    <row r="3300">
      <c r="A3300" s="33" t="s">
        <v>12835</v>
      </c>
      <c r="B3300" s="122">
        <v>46156.0</v>
      </c>
      <c r="C3300" s="240">
        <v>8.07000036074E11</v>
      </c>
      <c r="D3300" s="240" t="s">
        <v>12836</v>
      </c>
      <c r="E3300" s="240" t="s">
        <v>12837</v>
      </c>
      <c r="F3300" s="242" t="s">
        <v>12838</v>
      </c>
      <c r="G3300" s="242" t="s">
        <v>127</v>
      </c>
      <c r="H3300" s="242">
        <v>4400.0</v>
      </c>
      <c r="I3300" s="224" t="s">
        <v>512</v>
      </c>
      <c r="J3300" s="240" t="s">
        <v>513</v>
      </c>
      <c r="K3300" s="242">
        <v>12.0</v>
      </c>
      <c r="L3300" s="124">
        <v>3.875315146E9</v>
      </c>
    </row>
    <row r="3301">
      <c r="A3301" s="33" t="s">
        <v>12835</v>
      </c>
      <c r="B3301" s="122">
        <v>46156.0</v>
      </c>
      <c r="C3301" s="103">
        <v>8.07000036075E11</v>
      </c>
      <c r="D3301" s="103" t="s">
        <v>12836</v>
      </c>
      <c r="E3301" s="103" t="s">
        <v>12837</v>
      </c>
      <c r="F3301" s="241" t="s">
        <v>12838</v>
      </c>
      <c r="G3301" s="241" t="s">
        <v>127</v>
      </c>
      <c r="H3301" s="241">
        <v>4400.0</v>
      </c>
      <c r="I3301" s="211" t="s">
        <v>1115</v>
      </c>
      <c r="J3301" s="103" t="s">
        <v>8215</v>
      </c>
      <c r="K3301" s="241">
        <v>1.0</v>
      </c>
      <c r="L3301" s="124">
        <v>3.875315146E9</v>
      </c>
    </row>
    <row r="3302">
      <c r="A3302" s="33" t="s">
        <v>12835</v>
      </c>
      <c r="B3302" s="122">
        <v>46156.0</v>
      </c>
      <c r="C3302" s="240">
        <v>8.07000036075E11</v>
      </c>
      <c r="D3302" s="240" t="s">
        <v>12836</v>
      </c>
      <c r="E3302" s="240" t="s">
        <v>12837</v>
      </c>
      <c r="F3302" s="242" t="s">
        <v>12838</v>
      </c>
      <c r="G3302" s="242" t="s">
        <v>127</v>
      </c>
      <c r="H3302" s="242">
        <v>4400.0</v>
      </c>
      <c r="I3302" s="224" t="s">
        <v>340</v>
      </c>
      <c r="J3302" s="240" t="s">
        <v>3486</v>
      </c>
      <c r="K3302" s="242">
        <v>2.0</v>
      </c>
      <c r="L3302" s="124">
        <v>3.875315146E9</v>
      </c>
    </row>
    <row r="3303">
      <c r="A3303" s="33" t="s">
        <v>12839</v>
      </c>
      <c r="B3303" s="122">
        <v>46156.0</v>
      </c>
      <c r="C3303" s="240">
        <v>8.07000036025E11</v>
      </c>
      <c r="D3303" s="240" t="s">
        <v>12728</v>
      </c>
      <c r="E3303" s="240" t="s">
        <v>12729</v>
      </c>
      <c r="F3303" s="242" t="s">
        <v>12730</v>
      </c>
      <c r="G3303" s="242" t="s">
        <v>127</v>
      </c>
      <c r="H3303" s="242">
        <v>4400.0</v>
      </c>
      <c r="I3303" s="224" t="s">
        <v>4976</v>
      </c>
      <c r="J3303" s="240" t="s">
        <v>4977</v>
      </c>
      <c r="K3303" s="242">
        <v>1.0</v>
      </c>
      <c r="L3303" s="124">
        <v>3.875744405E9</v>
      </c>
    </row>
    <row r="3304">
      <c r="A3304" s="33" t="s">
        <v>12840</v>
      </c>
      <c r="B3304" s="122">
        <v>46156.0</v>
      </c>
      <c r="C3304" s="103">
        <v>8.07000035948E11</v>
      </c>
      <c r="D3304" s="103" t="s">
        <v>12728</v>
      </c>
      <c r="E3304" s="103" t="s">
        <v>12729</v>
      </c>
      <c r="F3304" s="241" t="s">
        <v>12730</v>
      </c>
      <c r="G3304" s="241" t="s">
        <v>127</v>
      </c>
      <c r="H3304" s="241">
        <v>4400.0</v>
      </c>
      <c r="I3304" s="211" t="s">
        <v>9389</v>
      </c>
      <c r="J3304" s="103" t="s">
        <v>9390</v>
      </c>
      <c r="K3304" s="241">
        <v>1.0</v>
      </c>
      <c r="L3304" s="124">
        <v>3.875744405E9</v>
      </c>
    </row>
    <row r="3305">
      <c r="A3305" s="33" t="s">
        <v>12841</v>
      </c>
      <c r="B3305" s="122">
        <v>46156.0</v>
      </c>
      <c r="C3305" s="240">
        <v>8.07000035982E11</v>
      </c>
      <c r="D3305" s="240" t="s">
        <v>12842</v>
      </c>
      <c r="E3305" s="240" t="s">
        <v>12843</v>
      </c>
      <c r="F3305" s="242"/>
      <c r="G3305" s="242" t="s">
        <v>127</v>
      </c>
      <c r="H3305" s="242">
        <v>4400.0</v>
      </c>
      <c r="I3305" s="224">
        <v>125811.0</v>
      </c>
      <c r="J3305" s="240" t="s">
        <v>6073</v>
      </c>
      <c r="K3305" s="242">
        <v>6.0</v>
      </c>
      <c r="L3305" s="124">
        <v>3.875712344E9</v>
      </c>
    </row>
    <row r="3306">
      <c r="A3306" s="33" t="s">
        <v>12841</v>
      </c>
      <c r="B3306" s="122">
        <v>46156.0</v>
      </c>
      <c r="C3306" s="103">
        <v>8.07000035982E11</v>
      </c>
      <c r="D3306" s="103" t="s">
        <v>12842</v>
      </c>
      <c r="E3306" s="103" t="s">
        <v>12843</v>
      </c>
      <c r="F3306" s="242"/>
      <c r="G3306" s="242" t="s">
        <v>127</v>
      </c>
      <c r="H3306" s="242">
        <v>4400.0</v>
      </c>
      <c r="I3306" s="211" t="s">
        <v>3162</v>
      </c>
      <c r="J3306" s="103" t="s">
        <v>3885</v>
      </c>
      <c r="K3306" s="241">
        <v>4.0</v>
      </c>
      <c r="L3306" s="124">
        <v>3.875712344E9</v>
      </c>
    </row>
    <row r="3307">
      <c r="A3307" s="33" t="s">
        <v>12841</v>
      </c>
      <c r="B3307" s="122">
        <v>46156.0</v>
      </c>
      <c r="C3307" s="240">
        <v>8.07000035982E11</v>
      </c>
      <c r="D3307" s="240" t="s">
        <v>12842</v>
      </c>
      <c r="E3307" s="240" t="s">
        <v>12843</v>
      </c>
      <c r="F3307" s="242"/>
      <c r="G3307" s="242" t="s">
        <v>127</v>
      </c>
      <c r="H3307" s="242">
        <v>4400.0</v>
      </c>
      <c r="I3307" s="224" t="s">
        <v>6343</v>
      </c>
      <c r="J3307" s="240" t="s">
        <v>6435</v>
      </c>
      <c r="K3307" s="242">
        <v>1.0</v>
      </c>
      <c r="L3307" s="124">
        <v>3.875712344E9</v>
      </c>
    </row>
    <row r="3308">
      <c r="A3308" s="33" t="s">
        <v>12841</v>
      </c>
      <c r="B3308" s="122">
        <v>46156.0</v>
      </c>
      <c r="C3308" s="103">
        <v>8.07000035982E11</v>
      </c>
      <c r="D3308" s="103" t="s">
        <v>12842</v>
      </c>
      <c r="E3308" s="103" t="s">
        <v>12843</v>
      </c>
      <c r="F3308" s="242"/>
      <c r="G3308" s="242" t="s">
        <v>127</v>
      </c>
      <c r="H3308" s="242">
        <v>4400.0</v>
      </c>
      <c r="I3308" s="211" t="s">
        <v>512</v>
      </c>
      <c r="J3308" s="103" t="s">
        <v>513</v>
      </c>
      <c r="K3308" s="241">
        <v>12.0</v>
      </c>
      <c r="L3308" s="124">
        <v>3.875712344E9</v>
      </c>
    </row>
    <row r="3309">
      <c r="A3309" s="33" t="s">
        <v>12841</v>
      </c>
      <c r="B3309" s="122">
        <v>46156.0</v>
      </c>
      <c r="C3309" s="240">
        <v>8.07000035982E11</v>
      </c>
      <c r="D3309" s="240" t="s">
        <v>12842</v>
      </c>
      <c r="E3309" s="240" t="s">
        <v>12843</v>
      </c>
      <c r="F3309" s="242"/>
      <c r="G3309" s="242" t="s">
        <v>127</v>
      </c>
      <c r="H3309" s="242">
        <v>4400.0</v>
      </c>
      <c r="I3309" s="224" t="s">
        <v>233</v>
      </c>
      <c r="J3309" s="240" t="s">
        <v>3459</v>
      </c>
      <c r="K3309" s="242">
        <v>2.0</v>
      </c>
      <c r="L3309" s="124">
        <v>3.875712344E9</v>
      </c>
    </row>
    <row r="3310">
      <c r="A3310" s="33" t="s">
        <v>12841</v>
      </c>
      <c r="B3310" s="122">
        <v>46156.0</v>
      </c>
      <c r="C3310" s="103">
        <v>8.07000035983E11</v>
      </c>
      <c r="D3310" s="103" t="s">
        <v>12842</v>
      </c>
      <c r="E3310" s="103" t="s">
        <v>12843</v>
      </c>
      <c r="F3310" s="242"/>
      <c r="G3310" s="242" t="s">
        <v>127</v>
      </c>
      <c r="H3310" s="242">
        <v>4400.0</v>
      </c>
      <c r="I3310" s="211" t="s">
        <v>969</v>
      </c>
      <c r="J3310" s="103" t="s">
        <v>3296</v>
      </c>
      <c r="K3310" s="241">
        <v>4.0</v>
      </c>
      <c r="L3310" s="124">
        <v>3.875712344E9</v>
      </c>
    </row>
    <row r="3311">
      <c r="A3311" s="33" t="s">
        <v>12844</v>
      </c>
      <c r="B3311" s="122">
        <v>46156.0</v>
      </c>
      <c r="C3311" s="240">
        <v>8.07000036084E11</v>
      </c>
      <c r="D3311" s="240" t="s">
        <v>12845</v>
      </c>
      <c r="E3311" s="240" t="s">
        <v>12846</v>
      </c>
      <c r="F3311" s="242" t="s">
        <v>12847</v>
      </c>
      <c r="G3311" s="242" t="s">
        <v>127</v>
      </c>
      <c r="H3311" s="242">
        <v>4400.0</v>
      </c>
      <c r="I3311" s="224" t="s">
        <v>659</v>
      </c>
      <c r="J3311" s="240" t="s">
        <v>3468</v>
      </c>
      <c r="K3311" s="242">
        <v>1.0</v>
      </c>
      <c r="L3311" s="124">
        <v>2.614609506E9</v>
      </c>
    </row>
    <row r="3312">
      <c r="A3312" s="33" t="s">
        <v>12844</v>
      </c>
      <c r="B3312" s="122">
        <v>46156.0</v>
      </c>
      <c r="C3312" s="103">
        <v>8.07000036084E11</v>
      </c>
      <c r="D3312" s="103" t="s">
        <v>12845</v>
      </c>
      <c r="E3312" s="103" t="s">
        <v>12846</v>
      </c>
      <c r="F3312" s="241" t="s">
        <v>12847</v>
      </c>
      <c r="G3312" s="241" t="s">
        <v>127</v>
      </c>
      <c r="H3312" s="241">
        <v>4400.0</v>
      </c>
      <c r="I3312" s="211" t="s">
        <v>512</v>
      </c>
      <c r="J3312" s="103" t="s">
        <v>513</v>
      </c>
      <c r="K3312" s="241">
        <v>6.0</v>
      </c>
      <c r="L3312" s="124">
        <v>2.614609506E9</v>
      </c>
    </row>
    <row r="3313">
      <c r="A3313" s="33" t="s">
        <v>12848</v>
      </c>
      <c r="B3313" s="122">
        <v>46156.0</v>
      </c>
      <c r="C3313" s="240">
        <v>8.07000036085E11</v>
      </c>
      <c r="D3313" s="240" t="s">
        <v>12845</v>
      </c>
      <c r="E3313" s="240" t="s">
        <v>12846</v>
      </c>
      <c r="F3313" s="242" t="s">
        <v>12847</v>
      </c>
      <c r="G3313" s="242" t="s">
        <v>127</v>
      </c>
      <c r="H3313" s="242">
        <v>4400.0</v>
      </c>
      <c r="I3313" s="224" t="s">
        <v>35</v>
      </c>
      <c r="J3313" s="240" t="s">
        <v>3188</v>
      </c>
      <c r="K3313" s="242">
        <v>1.0</v>
      </c>
      <c r="L3313" s="124">
        <v>2.614609506E9</v>
      </c>
    </row>
    <row r="3314">
      <c r="A3314" s="33" t="s">
        <v>12849</v>
      </c>
      <c r="B3314" s="122">
        <v>46156.0</v>
      </c>
      <c r="C3314" s="103">
        <v>8.07000036092E11</v>
      </c>
      <c r="D3314" s="103" t="s">
        <v>12850</v>
      </c>
      <c r="E3314" s="103" t="s">
        <v>12851</v>
      </c>
      <c r="F3314" s="241" t="s">
        <v>12852</v>
      </c>
      <c r="G3314" s="241" t="s">
        <v>127</v>
      </c>
      <c r="H3314" s="241">
        <v>4400.0</v>
      </c>
      <c r="I3314" s="211" t="s">
        <v>1044</v>
      </c>
      <c r="J3314" s="103" t="s">
        <v>8493</v>
      </c>
      <c r="K3314" s="241">
        <v>1.0</v>
      </c>
      <c r="L3314" s="124">
        <v>3.875348737E9</v>
      </c>
    </row>
    <row r="3315">
      <c r="A3315" s="33" t="s">
        <v>12853</v>
      </c>
      <c r="B3315" s="122">
        <v>46156.0</v>
      </c>
      <c r="C3315" s="240">
        <v>8.07000036087E11</v>
      </c>
      <c r="D3315" s="240" t="s">
        <v>12854</v>
      </c>
      <c r="E3315" s="240" t="s">
        <v>12855</v>
      </c>
      <c r="F3315" s="242" t="s">
        <v>12856</v>
      </c>
      <c r="G3315" s="242" t="s">
        <v>127</v>
      </c>
      <c r="H3315" s="242">
        <v>4400.0</v>
      </c>
      <c r="I3315" s="224">
        <v>125818.0</v>
      </c>
      <c r="J3315" s="240" t="s">
        <v>4334</v>
      </c>
      <c r="K3315" s="242">
        <v>2.0</v>
      </c>
      <c r="L3315" s="124">
        <v>3.875366391E9</v>
      </c>
    </row>
    <row r="3316">
      <c r="A3316" s="33" t="s">
        <v>12857</v>
      </c>
      <c r="B3316" s="122">
        <v>46156.0</v>
      </c>
      <c r="C3316" s="103">
        <v>8.07000036088E11</v>
      </c>
      <c r="D3316" s="103" t="s">
        <v>12854</v>
      </c>
      <c r="E3316" s="103" t="s">
        <v>12855</v>
      </c>
      <c r="F3316" s="241" t="s">
        <v>12856</v>
      </c>
      <c r="G3316" s="241" t="s">
        <v>127</v>
      </c>
      <c r="H3316" s="241">
        <v>4400.0</v>
      </c>
      <c r="I3316" s="211" t="s">
        <v>512</v>
      </c>
      <c r="J3316" s="103" t="s">
        <v>513</v>
      </c>
      <c r="K3316" s="241">
        <v>6.0</v>
      </c>
      <c r="L3316" s="124">
        <v>3.875366391E9</v>
      </c>
    </row>
    <row r="3317">
      <c r="A3317" s="33" t="s">
        <v>12857</v>
      </c>
      <c r="B3317" s="122">
        <v>46156.0</v>
      </c>
      <c r="C3317" s="240">
        <v>8.07000036089E11</v>
      </c>
      <c r="D3317" s="240" t="s">
        <v>12854</v>
      </c>
      <c r="E3317" s="240" t="s">
        <v>12855</v>
      </c>
      <c r="F3317" s="242" t="s">
        <v>12856</v>
      </c>
      <c r="G3317" s="242" t="s">
        <v>127</v>
      </c>
      <c r="H3317" s="242">
        <v>4400.0</v>
      </c>
      <c r="I3317" s="224" t="s">
        <v>32</v>
      </c>
      <c r="J3317" s="240" t="s">
        <v>3225</v>
      </c>
      <c r="K3317" s="242">
        <v>1.0</v>
      </c>
      <c r="L3317" s="124">
        <v>3.875366391E9</v>
      </c>
    </row>
    <row r="3318">
      <c r="A3318" s="33" t="s">
        <v>12857</v>
      </c>
      <c r="B3318" s="122">
        <v>46156.0</v>
      </c>
      <c r="C3318" s="103">
        <v>8.07000036089E11</v>
      </c>
      <c r="D3318" s="103" t="s">
        <v>12854</v>
      </c>
      <c r="E3318" s="103" t="s">
        <v>12855</v>
      </c>
      <c r="F3318" s="241" t="s">
        <v>12856</v>
      </c>
      <c r="G3318" s="241" t="s">
        <v>127</v>
      </c>
      <c r="H3318" s="241">
        <v>4400.0</v>
      </c>
      <c r="I3318" s="211" t="s">
        <v>670</v>
      </c>
      <c r="J3318" s="103" t="s">
        <v>3410</v>
      </c>
      <c r="K3318" s="241">
        <v>1.0</v>
      </c>
      <c r="L3318" s="124">
        <v>3.875366391E9</v>
      </c>
    </row>
    <row r="3319">
      <c r="A3319" s="33" t="s">
        <v>12858</v>
      </c>
      <c r="B3319" s="122">
        <v>46156.0</v>
      </c>
      <c r="C3319" s="103">
        <v>8.07000036098E11</v>
      </c>
      <c r="D3319" s="103" t="s">
        <v>12859</v>
      </c>
      <c r="E3319" s="103" t="s">
        <v>12860</v>
      </c>
      <c r="F3319" s="241" t="s">
        <v>12861</v>
      </c>
      <c r="G3319" s="241" t="s">
        <v>127</v>
      </c>
      <c r="H3319" s="241">
        <v>4400.0</v>
      </c>
      <c r="I3319" s="211" t="s">
        <v>512</v>
      </c>
      <c r="J3319" s="103" t="s">
        <v>513</v>
      </c>
      <c r="K3319" s="241">
        <v>12.0</v>
      </c>
      <c r="L3319" s="241">
        <v>3.872262776E9</v>
      </c>
    </row>
    <row r="3320">
      <c r="A3320" s="33" t="s">
        <v>12858</v>
      </c>
      <c r="B3320" s="122">
        <v>46156.0</v>
      </c>
      <c r="C3320" s="240">
        <v>8.07000036099E11</v>
      </c>
      <c r="D3320" s="240" t="s">
        <v>12859</v>
      </c>
      <c r="E3320" s="240" t="s">
        <v>12860</v>
      </c>
      <c r="F3320" s="242" t="s">
        <v>12861</v>
      </c>
      <c r="G3320" s="242" t="s">
        <v>127</v>
      </c>
      <c r="H3320" s="242">
        <v>4400.0</v>
      </c>
      <c r="I3320" s="224" t="s">
        <v>10484</v>
      </c>
      <c r="J3320" s="240" t="s">
        <v>10485</v>
      </c>
      <c r="K3320" s="242">
        <v>1.0</v>
      </c>
      <c r="L3320" s="241">
        <v>3.872262776E9</v>
      </c>
    </row>
    <row r="3321">
      <c r="A3321" s="33" t="s">
        <v>12858</v>
      </c>
      <c r="B3321" s="122">
        <v>46156.0</v>
      </c>
      <c r="C3321" s="103">
        <v>8.07000036099E11</v>
      </c>
      <c r="D3321" s="103" t="s">
        <v>12859</v>
      </c>
      <c r="E3321" s="103" t="s">
        <v>12860</v>
      </c>
      <c r="F3321" s="241" t="s">
        <v>12861</v>
      </c>
      <c r="G3321" s="241" t="s">
        <v>127</v>
      </c>
      <c r="H3321" s="241">
        <v>4400.0</v>
      </c>
      <c r="I3321" s="211" t="s">
        <v>121</v>
      </c>
      <c r="J3321" s="103" t="s">
        <v>3199</v>
      </c>
      <c r="K3321" s="241">
        <v>2.0</v>
      </c>
      <c r="L3321" s="241">
        <v>3.872262776E9</v>
      </c>
    </row>
    <row r="3322">
      <c r="A3322" s="33" t="s">
        <v>12862</v>
      </c>
      <c r="B3322" s="122">
        <v>46156.0</v>
      </c>
      <c r="C3322" s="240">
        <v>8.07000036101E11</v>
      </c>
      <c r="D3322" s="240" t="s">
        <v>12863</v>
      </c>
      <c r="E3322" s="240" t="s">
        <v>12864</v>
      </c>
      <c r="F3322" s="242" t="s">
        <v>12865</v>
      </c>
      <c r="G3322" s="242" t="s">
        <v>292</v>
      </c>
      <c r="H3322" s="242">
        <v>4400.0</v>
      </c>
      <c r="I3322" s="224" t="s">
        <v>3154</v>
      </c>
      <c r="J3322" s="240" t="s">
        <v>4564</v>
      </c>
      <c r="K3322" s="242">
        <v>2.0</v>
      </c>
      <c r="L3322" s="124">
        <v>3.875155763E9</v>
      </c>
    </row>
    <row r="3323">
      <c r="A3323" s="33" t="s">
        <v>12862</v>
      </c>
      <c r="B3323" s="122">
        <v>46156.0</v>
      </c>
      <c r="C3323" s="103">
        <v>8.07000036101E11</v>
      </c>
      <c r="D3323" s="103" t="s">
        <v>12863</v>
      </c>
      <c r="E3323" s="103" t="s">
        <v>12864</v>
      </c>
      <c r="F3323" s="241" t="s">
        <v>12865</v>
      </c>
      <c r="G3323" s="241" t="s">
        <v>292</v>
      </c>
      <c r="H3323" s="241">
        <v>4400.0</v>
      </c>
      <c r="I3323" s="211" t="s">
        <v>512</v>
      </c>
      <c r="J3323" s="103" t="s">
        <v>513</v>
      </c>
      <c r="K3323" s="241">
        <v>12.0</v>
      </c>
      <c r="L3323" s="124">
        <v>3.875155763E9</v>
      </c>
    </row>
    <row r="3324">
      <c r="A3324" s="33" t="s">
        <v>12862</v>
      </c>
      <c r="B3324" s="122">
        <v>46156.0</v>
      </c>
      <c r="C3324" s="240">
        <v>8.07000036101E11</v>
      </c>
      <c r="D3324" s="240" t="s">
        <v>12863</v>
      </c>
      <c r="E3324" s="240" t="s">
        <v>12864</v>
      </c>
      <c r="F3324" s="242" t="s">
        <v>12865</v>
      </c>
      <c r="G3324" s="242" t="s">
        <v>292</v>
      </c>
      <c r="H3324" s="242">
        <v>4400.0</v>
      </c>
      <c r="I3324" s="224" t="s">
        <v>2031</v>
      </c>
      <c r="J3324" s="240" t="s">
        <v>3348</v>
      </c>
      <c r="K3324" s="242">
        <v>2.0</v>
      </c>
      <c r="L3324" s="124">
        <v>3.875155763E9</v>
      </c>
    </row>
    <row r="3325">
      <c r="A3325" s="33" t="s">
        <v>12866</v>
      </c>
      <c r="B3325" s="122">
        <v>46157.0</v>
      </c>
      <c r="C3325" s="103">
        <v>8.07000035964E11</v>
      </c>
      <c r="D3325" s="103" t="s">
        <v>3528</v>
      </c>
      <c r="E3325" s="103" t="s">
        <v>3529</v>
      </c>
      <c r="F3325" s="241" t="s">
        <v>12867</v>
      </c>
      <c r="G3325" s="241" t="s">
        <v>1986</v>
      </c>
      <c r="H3325" s="241">
        <v>4400.0</v>
      </c>
      <c r="I3325" s="211" t="s">
        <v>512</v>
      </c>
      <c r="J3325" s="103" t="s">
        <v>513</v>
      </c>
      <c r="K3325" s="241">
        <v>6.0</v>
      </c>
      <c r="L3325" s="124">
        <v>3.875124813E9</v>
      </c>
    </row>
    <row r="3326">
      <c r="A3326" s="33" t="s">
        <v>12866</v>
      </c>
      <c r="B3326" s="122">
        <v>46157.0</v>
      </c>
      <c r="C3326" s="240">
        <v>8.07000035965E11</v>
      </c>
      <c r="D3326" s="240" t="s">
        <v>3528</v>
      </c>
      <c r="E3326" s="240" t="s">
        <v>3529</v>
      </c>
      <c r="F3326" s="242" t="s">
        <v>12867</v>
      </c>
      <c r="G3326" s="242" t="s">
        <v>1986</v>
      </c>
      <c r="H3326" s="242">
        <v>4400.0</v>
      </c>
      <c r="I3326" s="224" t="s">
        <v>4976</v>
      </c>
      <c r="J3326" s="240" t="s">
        <v>4977</v>
      </c>
      <c r="K3326" s="242">
        <v>1.0</v>
      </c>
      <c r="L3326" s="124">
        <v>3.875124813E9</v>
      </c>
    </row>
    <row r="3327">
      <c r="A3327" s="33" t="s">
        <v>12866</v>
      </c>
      <c r="B3327" s="122">
        <v>46157.0</v>
      </c>
      <c r="C3327" s="103">
        <v>8.07000035965E11</v>
      </c>
      <c r="D3327" s="103" t="s">
        <v>3528</v>
      </c>
      <c r="E3327" s="103" t="s">
        <v>3529</v>
      </c>
      <c r="F3327" s="241" t="s">
        <v>12867</v>
      </c>
      <c r="G3327" s="241" t="s">
        <v>1986</v>
      </c>
      <c r="H3327" s="241">
        <v>4400.0</v>
      </c>
      <c r="I3327" s="211" t="s">
        <v>35</v>
      </c>
      <c r="J3327" s="103" t="s">
        <v>3188</v>
      </c>
      <c r="K3327" s="241">
        <v>1.0</v>
      </c>
      <c r="L3327" s="124">
        <v>3.875124813E9</v>
      </c>
    </row>
    <row r="3328">
      <c r="A3328" s="33" t="s">
        <v>12868</v>
      </c>
      <c r="B3328" s="122">
        <v>46157.0</v>
      </c>
      <c r="C3328" s="240">
        <v>8.07000035966E11</v>
      </c>
      <c r="D3328" s="240" t="s">
        <v>3528</v>
      </c>
      <c r="E3328" s="240" t="s">
        <v>3529</v>
      </c>
      <c r="F3328" s="242" t="s">
        <v>12867</v>
      </c>
      <c r="G3328" s="242" t="s">
        <v>1986</v>
      </c>
      <c r="H3328" s="242">
        <v>4400.0</v>
      </c>
      <c r="I3328" s="224" t="s">
        <v>9389</v>
      </c>
      <c r="J3328" s="240" t="s">
        <v>9390</v>
      </c>
      <c r="K3328" s="242">
        <v>1.0</v>
      </c>
      <c r="L3328" s="124">
        <v>3.875124813E9</v>
      </c>
    </row>
    <row r="3329">
      <c r="A3329" s="33" t="s">
        <v>12869</v>
      </c>
      <c r="B3329" s="122">
        <v>46157.0</v>
      </c>
      <c r="C3329" s="103">
        <v>8.07000036106E11</v>
      </c>
      <c r="D3329" s="103" t="s">
        <v>12870</v>
      </c>
      <c r="E3329" s="103" t="s">
        <v>12871</v>
      </c>
      <c r="F3329" s="241" t="s">
        <v>12872</v>
      </c>
      <c r="G3329" s="241" t="s">
        <v>2943</v>
      </c>
      <c r="H3329" s="241">
        <v>4400.0</v>
      </c>
      <c r="I3329" s="211" t="s">
        <v>32</v>
      </c>
      <c r="J3329" s="103" t="s">
        <v>3225</v>
      </c>
      <c r="K3329" s="241">
        <v>1.0</v>
      </c>
      <c r="L3329" s="124">
        <v>3.874638826E9</v>
      </c>
    </row>
    <row r="3330">
      <c r="A3330" s="33" t="s">
        <v>12873</v>
      </c>
      <c r="B3330" s="122">
        <v>46157.0</v>
      </c>
      <c r="C3330" s="240">
        <v>8.07000036108E11</v>
      </c>
      <c r="D3330" s="240" t="s">
        <v>12870</v>
      </c>
      <c r="E3330" s="240" t="s">
        <v>12871</v>
      </c>
      <c r="F3330" s="242" t="s">
        <v>12872</v>
      </c>
      <c r="G3330" s="242" t="s">
        <v>2943</v>
      </c>
      <c r="H3330" s="242">
        <v>4400.0</v>
      </c>
      <c r="I3330" s="224">
        <v>125822.0</v>
      </c>
      <c r="J3330" s="240" t="s">
        <v>6030</v>
      </c>
      <c r="K3330" s="242">
        <v>2.0</v>
      </c>
      <c r="L3330" s="124">
        <v>3.874638826E9</v>
      </c>
    </row>
    <row r="3331">
      <c r="A3331" s="33" t="s">
        <v>12873</v>
      </c>
      <c r="B3331" s="122">
        <v>46157.0</v>
      </c>
      <c r="C3331" s="103">
        <v>8.07000036109E11</v>
      </c>
      <c r="D3331" s="103" t="s">
        <v>12870</v>
      </c>
      <c r="E3331" s="103" t="s">
        <v>12871</v>
      </c>
      <c r="F3331" s="241" t="s">
        <v>12872</v>
      </c>
      <c r="G3331" s="241" t="s">
        <v>2943</v>
      </c>
      <c r="H3331" s="241">
        <v>4400.0</v>
      </c>
      <c r="I3331" s="211" t="s">
        <v>5262</v>
      </c>
      <c r="J3331" s="103" t="s">
        <v>5263</v>
      </c>
      <c r="K3331" s="241">
        <v>1.0</v>
      </c>
      <c r="L3331" s="124">
        <v>3.874638826E9</v>
      </c>
    </row>
    <row r="3332">
      <c r="A3332" s="33" t="s">
        <v>12869</v>
      </c>
      <c r="B3332" s="122">
        <v>46157.0</v>
      </c>
      <c r="C3332" s="240">
        <v>8.0700003611E11</v>
      </c>
      <c r="D3332" s="240" t="s">
        <v>12870</v>
      </c>
      <c r="E3332" s="240" t="s">
        <v>12871</v>
      </c>
      <c r="F3332" s="242" t="s">
        <v>12872</v>
      </c>
      <c r="G3332" s="242" t="s">
        <v>2943</v>
      </c>
      <c r="H3332" s="242">
        <v>4400.0</v>
      </c>
      <c r="I3332" s="311">
        <v>841702.0</v>
      </c>
      <c r="J3332" s="240" t="s">
        <v>7685</v>
      </c>
      <c r="K3332" s="242">
        <v>1.0</v>
      </c>
      <c r="L3332" s="124">
        <v>3.874638826E9</v>
      </c>
    </row>
    <row r="3333">
      <c r="A3333" s="33" t="s">
        <v>12874</v>
      </c>
      <c r="B3333" s="122">
        <v>46157.0</v>
      </c>
      <c r="C3333" s="103">
        <v>8.07000036113E11</v>
      </c>
      <c r="D3333" s="103" t="s">
        <v>12875</v>
      </c>
      <c r="E3333" s="103" t="s">
        <v>12876</v>
      </c>
      <c r="F3333" s="241" t="s">
        <v>12877</v>
      </c>
      <c r="G3333" s="241" t="s">
        <v>4645</v>
      </c>
      <c r="H3333" s="241">
        <v>4400.0</v>
      </c>
      <c r="I3333" s="211">
        <v>125808.0</v>
      </c>
      <c r="J3333" s="103" t="s">
        <v>7199</v>
      </c>
      <c r="K3333" s="241">
        <v>1.0</v>
      </c>
      <c r="L3333" s="124">
        <v>3.875510161E9</v>
      </c>
    </row>
    <row r="3334">
      <c r="A3334" s="33" t="s">
        <v>12874</v>
      </c>
      <c r="B3334" s="122">
        <v>46157.0</v>
      </c>
      <c r="C3334" s="240">
        <v>8.07000036113E11</v>
      </c>
      <c r="D3334" s="240" t="s">
        <v>12875</v>
      </c>
      <c r="E3334" s="240" t="s">
        <v>12876</v>
      </c>
      <c r="F3334" s="242" t="s">
        <v>12877</v>
      </c>
      <c r="G3334" s="242" t="s">
        <v>4645</v>
      </c>
      <c r="H3334" s="242">
        <v>4400.0</v>
      </c>
      <c r="I3334" s="311">
        <v>914020.0</v>
      </c>
      <c r="J3334" s="240" t="s">
        <v>7880</v>
      </c>
      <c r="K3334" s="242">
        <v>1.0</v>
      </c>
      <c r="L3334" s="124">
        <v>3.875510161E9</v>
      </c>
    </row>
    <row r="3335">
      <c r="A3335" s="103" t="s">
        <v>12878</v>
      </c>
      <c r="B3335" s="122">
        <v>46157.0</v>
      </c>
      <c r="C3335" s="103">
        <v>8.07000036114E11</v>
      </c>
      <c r="D3335" s="103" t="s">
        <v>12879</v>
      </c>
      <c r="E3335" s="103" t="s">
        <v>12880</v>
      </c>
      <c r="F3335" s="241" t="s">
        <v>12881</v>
      </c>
      <c r="G3335" s="241" t="s">
        <v>20</v>
      </c>
      <c r="H3335" s="241" t="s">
        <v>4086</v>
      </c>
      <c r="I3335" s="211">
        <v>125822.0</v>
      </c>
      <c r="J3335" s="103" t="s">
        <v>6030</v>
      </c>
      <c r="K3335" s="241">
        <v>2.0</v>
      </c>
      <c r="L3335" s="124">
        <v>3.875508276E9</v>
      </c>
    </row>
    <row r="3336">
      <c r="A3336" s="103" t="s">
        <v>12878</v>
      </c>
      <c r="B3336" s="122">
        <v>46157.0</v>
      </c>
      <c r="C3336" s="240">
        <v>8.07000036115E11</v>
      </c>
      <c r="D3336" s="240" t="s">
        <v>12879</v>
      </c>
      <c r="E3336" s="240" t="s">
        <v>12880</v>
      </c>
      <c r="F3336" s="242" t="s">
        <v>12881</v>
      </c>
      <c r="G3336" s="242" t="s">
        <v>20</v>
      </c>
      <c r="H3336" s="242" t="s">
        <v>4086</v>
      </c>
      <c r="I3336" s="224" t="s">
        <v>110</v>
      </c>
      <c r="J3336" s="240" t="s">
        <v>3673</v>
      </c>
      <c r="K3336" s="242">
        <v>1.0</v>
      </c>
      <c r="L3336" s="124">
        <v>3.875508276E9</v>
      </c>
    </row>
    <row r="3337">
      <c r="A3337" s="103" t="s">
        <v>12882</v>
      </c>
      <c r="B3337" s="122">
        <v>46157.0</v>
      </c>
      <c r="C3337" s="103">
        <v>8.07000036116E11</v>
      </c>
      <c r="D3337" s="103" t="s">
        <v>12879</v>
      </c>
      <c r="E3337" s="103" t="s">
        <v>12880</v>
      </c>
      <c r="F3337" s="241" t="s">
        <v>12881</v>
      </c>
      <c r="G3337" s="241" t="s">
        <v>20</v>
      </c>
      <c r="H3337" s="241" t="s">
        <v>4086</v>
      </c>
      <c r="I3337" s="211" t="s">
        <v>32</v>
      </c>
      <c r="J3337" s="103" t="s">
        <v>3225</v>
      </c>
      <c r="K3337" s="241">
        <v>1.0</v>
      </c>
      <c r="L3337" s="124">
        <v>3.875508276E9</v>
      </c>
    </row>
    <row r="3338">
      <c r="A3338" s="33" t="s">
        <v>12883</v>
      </c>
      <c r="B3338" s="33" t="s">
        <v>12884</v>
      </c>
      <c r="C3338" s="240">
        <v>8.07000036117E11</v>
      </c>
      <c r="D3338" s="240" t="s">
        <v>12885</v>
      </c>
      <c r="E3338" s="240" t="s">
        <v>12886</v>
      </c>
      <c r="F3338" s="242" t="s">
        <v>12887</v>
      </c>
      <c r="G3338" s="242" t="s">
        <v>127</v>
      </c>
      <c r="H3338" s="242">
        <v>4400.0</v>
      </c>
      <c r="I3338" s="311">
        <v>914751.0</v>
      </c>
      <c r="J3338" s="240" t="s">
        <v>7853</v>
      </c>
      <c r="K3338" s="242">
        <v>1.0</v>
      </c>
      <c r="L3338" s="124">
        <v>3.875015629E9</v>
      </c>
    </row>
    <row r="3339">
      <c r="A3339" s="33" t="s">
        <v>12888</v>
      </c>
      <c r="B3339" s="33" t="s">
        <v>12884</v>
      </c>
      <c r="C3339" s="103">
        <v>8.07000036118E11</v>
      </c>
      <c r="D3339" s="103" t="s">
        <v>12889</v>
      </c>
      <c r="E3339" s="103" t="s">
        <v>12890</v>
      </c>
      <c r="F3339" s="241" t="s">
        <v>12891</v>
      </c>
      <c r="G3339" s="241" t="s">
        <v>425</v>
      </c>
      <c r="H3339" s="241">
        <v>4400.0</v>
      </c>
      <c r="I3339" s="211" t="s">
        <v>5262</v>
      </c>
      <c r="J3339" s="103" t="s">
        <v>5263</v>
      </c>
      <c r="K3339" s="241">
        <v>1.0</v>
      </c>
      <c r="L3339" s="124">
        <v>3.875207954E9</v>
      </c>
    </row>
    <row r="3340">
      <c r="A3340" s="33" t="s">
        <v>12892</v>
      </c>
      <c r="B3340" s="33" t="s">
        <v>12884</v>
      </c>
      <c r="C3340" s="240">
        <v>8.07000036118E11</v>
      </c>
      <c r="D3340" s="240" t="s">
        <v>12889</v>
      </c>
      <c r="E3340" s="240" t="s">
        <v>12890</v>
      </c>
      <c r="F3340" s="242" t="s">
        <v>12891</v>
      </c>
      <c r="G3340" s="242" t="s">
        <v>425</v>
      </c>
      <c r="H3340" s="242">
        <v>4400.0</v>
      </c>
      <c r="I3340" s="224" t="s">
        <v>98</v>
      </c>
      <c r="J3340" s="240" t="s">
        <v>3187</v>
      </c>
      <c r="K3340" s="242">
        <v>1.0</v>
      </c>
      <c r="L3340" s="124">
        <v>3.875207954E9</v>
      </c>
    </row>
    <row r="3341">
      <c r="A3341" s="33" t="s">
        <v>12893</v>
      </c>
      <c r="B3341" s="33" t="s">
        <v>12884</v>
      </c>
      <c r="C3341" s="103">
        <v>8.0700003612E11</v>
      </c>
      <c r="D3341" s="103" t="s">
        <v>12894</v>
      </c>
      <c r="E3341" s="103" t="s">
        <v>12895</v>
      </c>
      <c r="F3341" s="241" t="s">
        <v>12896</v>
      </c>
      <c r="G3341" s="241" t="s">
        <v>4496</v>
      </c>
      <c r="H3341" s="241">
        <v>4400.0</v>
      </c>
      <c r="I3341" s="211" t="s">
        <v>10974</v>
      </c>
      <c r="J3341" s="103" t="s">
        <v>10975</v>
      </c>
      <c r="K3341" s="241">
        <v>2.0</v>
      </c>
      <c r="L3341" s="124">
        <v>3.874032797E9</v>
      </c>
    </row>
    <row r="3342">
      <c r="A3342" s="33" t="s">
        <v>12897</v>
      </c>
      <c r="B3342" s="33" t="s">
        <v>12884</v>
      </c>
      <c r="C3342" s="240">
        <v>8.07000036121E11</v>
      </c>
      <c r="D3342" s="240" t="s">
        <v>12894</v>
      </c>
      <c r="E3342" s="240" t="s">
        <v>12895</v>
      </c>
      <c r="F3342" s="242" t="s">
        <v>12896</v>
      </c>
      <c r="G3342" s="242" t="s">
        <v>4496</v>
      </c>
      <c r="H3342" s="242">
        <v>4400.0</v>
      </c>
      <c r="I3342" s="224" t="s">
        <v>1533</v>
      </c>
      <c r="J3342" s="240" t="s">
        <v>8151</v>
      </c>
      <c r="K3342" s="242">
        <v>1.0</v>
      </c>
      <c r="L3342" s="124">
        <v>3.874032797E9</v>
      </c>
    </row>
    <row r="3343">
      <c r="A3343" s="33" t="s">
        <v>12898</v>
      </c>
      <c r="B3343" s="33" t="s">
        <v>12884</v>
      </c>
      <c r="C3343" s="103">
        <v>8.07000036122E11</v>
      </c>
      <c r="D3343" s="103" t="s">
        <v>12894</v>
      </c>
      <c r="E3343" s="103" t="s">
        <v>12895</v>
      </c>
      <c r="F3343" s="241" t="s">
        <v>12896</v>
      </c>
      <c r="G3343" s="241" t="s">
        <v>4496</v>
      </c>
      <c r="H3343" s="241">
        <v>4400.0</v>
      </c>
      <c r="I3343" s="211" t="s">
        <v>10959</v>
      </c>
      <c r="J3343" s="103" t="s">
        <v>10960</v>
      </c>
      <c r="K3343" s="241">
        <v>1.0</v>
      </c>
      <c r="L3343" s="124">
        <v>3.874032797E9</v>
      </c>
    </row>
    <row r="3344">
      <c r="A3344" s="33" t="s">
        <v>12899</v>
      </c>
      <c r="B3344" s="33" t="s">
        <v>12884</v>
      </c>
      <c r="C3344" s="240">
        <v>8.07000036125E11</v>
      </c>
      <c r="D3344" s="240" t="s">
        <v>12900</v>
      </c>
      <c r="E3344" s="240" t="s">
        <v>12901</v>
      </c>
      <c r="F3344" s="242" t="s">
        <v>12902</v>
      </c>
      <c r="G3344" s="242" t="s">
        <v>127</v>
      </c>
      <c r="H3344" s="242">
        <v>4400.0</v>
      </c>
      <c r="I3344" s="224" t="s">
        <v>512</v>
      </c>
      <c r="J3344" s="240" t="s">
        <v>513</v>
      </c>
      <c r="K3344" s="242">
        <v>12.0</v>
      </c>
      <c r="L3344" s="124">
        <v>3.874650953E9</v>
      </c>
    </row>
    <row r="3345">
      <c r="A3345" s="33" t="s">
        <v>12899</v>
      </c>
      <c r="B3345" s="33" t="s">
        <v>12884</v>
      </c>
      <c r="C3345" s="103">
        <v>8.07000036126E11</v>
      </c>
      <c r="D3345" s="103" t="s">
        <v>12900</v>
      </c>
      <c r="E3345" s="103" t="s">
        <v>12901</v>
      </c>
      <c r="F3345" s="241" t="s">
        <v>12902</v>
      </c>
      <c r="G3345" s="241" t="s">
        <v>127</v>
      </c>
      <c r="H3345" s="241">
        <v>4400.0</v>
      </c>
      <c r="I3345" s="211" t="s">
        <v>7955</v>
      </c>
      <c r="J3345" s="103" t="s">
        <v>7956</v>
      </c>
      <c r="K3345" s="241">
        <v>1.0</v>
      </c>
      <c r="L3345" s="124">
        <v>3.874650953E9</v>
      </c>
    </row>
    <row r="3346">
      <c r="A3346" s="33" t="s">
        <v>12899</v>
      </c>
      <c r="B3346" s="33" t="s">
        <v>12884</v>
      </c>
      <c r="C3346" s="240">
        <v>8.07000036126E11</v>
      </c>
      <c r="D3346" s="240" t="s">
        <v>12900</v>
      </c>
      <c r="E3346" s="240" t="s">
        <v>12901</v>
      </c>
      <c r="F3346" s="242" t="s">
        <v>12902</v>
      </c>
      <c r="G3346" s="242" t="s">
        <v>127</v>
      </c>
      <c r="H3346" s="242">
        <v>4400.0</v>
      </c>
      <c r="I3346" s="224" t="s">
        <v>758</v>
      </c>
      <c r="J3346" s="240" t="s">
        <v>3574</v>
      </c>
      <c r="K3346" s="242">
        <v>2.0</v>
      </c>
      <c r="L3346" s="124">
        <v>3.874650953E9</v>
      </c>
    </row>
    <row r="3347">
      <c r="A3347" s="33" t="s">
        <v>12903</v>
      </c>
      <c r="B3347" s="33" t="s">
        <v>12884</v>
      </c>
      <c r="C3347" s="103">
        <v>8.07000036128E11</v>
      </c>
      <c r="D3347" s="103" t="s">
        <v>12904</v>
      </c>
      <c r="E3347" s="103" t="s">
        <v>12905</v>
      </c>
      <c r="F3347" s="242" t="s">
        <v>12906</v>
      </c>
      <c r="G3347" s="242" t="s">
        <v>127</v>
      </c>
      <c r="H3347" s="242">
        <v>4400.0</v>
      </c>
      <c r="I3347" s="211">
        <v>125810.0</v>
      </c>
      <c r="J3347" s="103" t="s">
        <v>4672</v>
      </c>
      <c r="K3347" s="241">
        <v>2.0</v>
      </c>
      <c r="L3347" s="124">
        <v>3.874292929E9</v>
      </c>
    </row>
    <row r="3348">
      <c r="A3348" s="33" t="s">
        <v>12903</v>
      </c>
      <c r="B3348" s="33" t="s">
        <v>12884</v>
      </c>
      <c r="C3348" s="240">
        <v>8.07000036129E11</v>
      </c>
      <c r="D3348" s="240" t="s">
        <v>12904</v>
      </c>
      <c r="E3348" s="240" t="s">
        <v>12905</v>
      </c>
      <c r="F3348" s="242" t="s">
        <v>12906</v>
      </c>
      <c r="G3348" s="241" t="s">
        <v>127</v>
      </c>
      <c r="H3348" s="241">
        <v>4400.0</v>
      </c>
      <c r="I3348" s="224" t="s">
        <v>110</v>
      </c>
      <c r="J3348" s="240" t="s">
        <v>3673</v>
      </c>
      <c r="K3348" s="242">
        <v>1.0</v>
      </c>
      <c r="L3348" s="124">
        <v>3.874292929E9</v>
      </c>
    </row>
    <row r="3349">
      <c r="A3349" s="33" t="s">
        <v>12903</v>
      </c>
      <c r="B3349" s="33" t="s">
        <v>12884</v>
      </c>
      <c r="C3349" s="103">
        <v>8.0700003613E11</v>
      </c>
      <c r="D3349" s="103" t="s">
        <v>12904</v>
      </c>
      <c r="E3349" s="103" t="s">
        <v>12905</v>
      </c>
      <c r="F3349" s="242" t="s">
        <v>12906</v>
      </c>
      <c r="G3349" s="242" t="s">
        <v>127</v>
      </c>
      <c r="H3349" s="242">
        <v>4400.0</v>
      </c>
      <c r="I3349" s="211" t="s">
        <v>32</v>
      </c>
      <c r="J3349" s="103" t="s">
        <v>3225</v>
      </c>
      <c r="K3349" s="241">
        <v>1.0</v>
      </c>
      <c r="L3349" s="124">
        <v>3.874292929E9</v>
      </c>
    </row>
    <row r="3350" ht="7.5" customHeight="1">
      <c r="A3350" s="244"/>
      <c r="B3350" s="245"/>
      <c r="C3350" s="271"/>
      <c r="D3350" s="271"/>
      <c r="E3350" s="271"/>
      <c r="F3350" s="273"/>
      <c r="G3350" s="273"/>
      <c r="H3350" s="273"/>
      <c r="I3350" s="272"/>
      <c r="J3350" s="271"/>
      <c r="K3350" s="273"/>
      <c r="L3350" s="247"/>
      <c r="M3350" s="233"/>
      <c r="N3350" s="233"/>
      <c r="O3350" s="233"/>
      <c r="P3350" s="233"/>
      <c r="Q3350" s="233"/>
      <c r="R3350" s="233"/>
      <c r="S3350" s="233"/>
      <c r="T3350" s="233"/>
      <c r="U3350" s="233"/>
      <c r="V3350" s="233"/>
      <c r="W3350" s="233"/>
      <c r="X3350" s="233"/>
      <c r="Y3350" s="233"/>
      <c r="Z3350" s="233"/>
      <c r="AA3350" s="233"/>
      <c r="AB3350" s="233"/>
      <c r="AC3350" s="233"/>
    </row>
    <row r="3351">
      <c r="A3351" s="33" t="s">
        <v>12907</v>
      </c>
      <c r="B3351" s="122">
        <v>46161.0</v>
      </c>
      <c r="C3351" s="240">
        <v>8.07000036136E11</v>
      </c>
      <c r="D3351" s="240" t="s">
        <v>12908</v>
      </c>
      <c r="E3351" s="240" t="s">
        <v>12909</v>
      </c>
      <c r="F3351" s="242" t="s">
        <v>12910</v>
      </c>
      <c r="G3351" s="242" t="s">
        <v>127</v>
      </c>
      <c r="H3351" s="242">
        <v>4400.0</v>
      </c>
      <c r="I3351" s="224" t="s">
        <v>7329</v>
      </c>
      <c r="J3351" s="240" t="s">
        <v>9785</v>
      </c>
      <c r="K3351" s="242">
        <v>1.0</v>
      </c>
      <c r="L3351" s="124">
        <v>1.161835868E9</v>
      </c>
    </row>
    <row r="3352">
      <c r="A3352" s="33" t="s">
        <v>12911</v>
      </c>
      <c r="B3352" s="122">
        <v>46161.0</v>
      </c>
      <c r="C3352" s="103">
        <v>8.07000036137E11</v>
      </c>
      <c r="D3352" s="103" t="s">
        <v>12912</v>
      </c>
      <c r="E3352" s="103" t="s">
        <v>12913</v>
      </c>
      <c r="F3352" s="241" t="s">
        <v>12914</v>
      </c>
      <c r="G3352" s="241" t="s">
        <v>4645</v>
      </c>
      <c r="H3352" s="241">
        <v>4400.0</v>
      </c>
      <c r="I3352" s="211" t="s">
        <v>98</v>
      </c>
      <c r="J3352" s="103" t="s">
        <v>3187</v>
      </c>
      <c r="K3352" s="241">
        <v>1.0</v>
      </c>
      <c r="L3352" s="124">
        <v>3.874657598E9</v>
      </c>
    </row>
    <row r="3353">
      <c r="A3353" s="33" t="s">
        <v>12915</v>
      </c>
      <c r="B3353" s="122">
        <v>46161.0</v>
      </c>
      <c r="C3353" s="240">
        <v>8.07000036138E11</v>
      </c>
      <c r="D3353" s="240" t="s">
        <v>12912</v>
      </c>
      <c r="E3353" s="240" t="s">
        <v>12913</v>
      </c>
      <c r="F3353" s="242" t="s">
        <v>12914</v>
      </c>
      <c r="G3353" s="242" t="s">
        <v>4645</v>
      </c>
      <c r="H3353" s="242">
        <v>4400.0</v>
      </c>
      <c r="I3353" s="224" t="s">
        <v>5262</v>
      </c>
      <c r="J3353" s="240" t="s">
        <v>5263</v>
      </c>
      <c r="K3353" s="242">
        <v>1.0</v>
      </c>
      <c r="L3353" s="124">
        <v>3.874657598E9</v>
      </c>
    </row>
    <row r="3354">
      <c r="A3354" s="33" t="s">
        <v>12916</v>
      </c>
      <c r="B3354" s="122">
        <v>46161.0</v>
      </c>
      <c r="C3354" s="103">
        <v>8.07000036139E11</v>
      </c>
      <c r="D3354" s="103" t="s">
        <v>12917</v>
      </c>
      <c r="E3354" s="103" t="s">
        <v>12918</v>
      </c>
      <c r="F3354" s="241" t="s">
        <v>12919</v>
      </c>
      <c r="G3354" s="241" t="s">
        <v>127</v>
      </c>
      <c r="H3354" s="241">
        <v>4400.0</v>
      </c>
      <c r="I3354" s="211" t="s">
        <v>1241</v>
      </c>
      <c r="J3354" s="103" t="s">
        <v>3500</v>
      </c>
      <c r="K3354" s="241">
        <v>1.0</v>
      </c>
      <c r="L3354" s="124">
        <v>3.874450671E9</v>
      </c>
    </row>
    <row r="3355">
      <c r="A3355" s="33" t="s">
        <v>12920</v>
      </c>
      <c r="B3355" s="122">
        <v>46161.0</v>
      </c>
      <c r="C3355" s="240">
        <v>8.07000036151E11</v>
      </c>
      <c r="D3355" s="240" t="s">
        <v>12921</v>
      </c>
      <c r="E3355" s="240" t="s">
        <v>12922</v>
      </c>
      <c r="F3355" s="242" t="s">
        <v>12923</v>
      </c>
      <c r="G3355" s="242" t="s">
        <v>127</v>
      </c>
      <c r="H3355" s="242">
        <v>4400.0</v>
      </c>
      <c r="I3355" s="224" t="s">
        <v>512</v>
      </c>
      <c r="J3355" s="240" t="s">
        <v>513</v>
      </c>
      <c r="K3355" s="242">
        <v>6.0</v>
      </c>
      <c r="L3355" s="124">
        <v>3.872201939E9</v>
      </c>
    </row>
    <row r="3356">
      <c r="A3356" s="33" t="s">
        <v>12920</v>
      </c>
      <c r="B3356" s="122">
        <v>46161.0</v>
      </c>
      <c r="C3356" s="103">
        <v>8.07000036152E11</v>
      </c>
      <c r="D3356" s="103" t="s">
        <v>12921</v>
      </c>
      <c r="E3356" s="103" t="s">
        <v>12922</v>
      </c>
      <c r="F3356" s="241" t="s">
        <v>12923</v>
      </c>
      <c r="G3356" s="241" t="s">
        <v>127</v>
      </c>
      <c r="H3356" s="241">
        <v>4400.0</v>
      </c>
      <c r="I3356" s="211" t="s">
        <v>3154</v>
      </c>
      <c r="J3356" s="103" t="s">
        <v>4564</v>
      </c>
      <c r="K3356" s="241">
        <v>1.0</v>
      </c>
      <c r="L3356" s="124">
        <v>3.872201939E9</v>
      </c>
    </row>
    <row r="3357">
      <c r="A3357" s="33" t="s">
        <v>12920</v>
      </c>
      <c r="B3357" s="122">
        <v>46161.0</v>
      </c>
      <c r="C3357" s="240">
        <v>8.07000036152E11</v>
      </c>
      <c r="D3357" s="240" t="s">
        <v>12921</v>
      </c>
      <c r="E3357" s="240" t="s">
        <v>12922</v>
      </c>
      <c r="F3357" s="242" t="s">
        <v>12923</v>
      </c>
      <c r="G3357" s="242" t="s">
        <v>127</v>
      </c>
      <c r="H3357" s="242">
        <v>4400.0</v>
      </c>
      <c r="I3357" s="224" t="s">
        <v>2031</v>
      </c>
      <c r="J3357" s="240" t="s">
        <v>3348</v>
      </c>
      <c r="K3357" s="242">
        <v>1.0</v>
      </c>
      <c r="L3357" s="124">
        <v>3.872201939E9</v>
      </c>
    </row>
    <row r="3358">
      <c r="A3358" s="33" t="s">
        <v>12924</v>
      </c>
      <c r="B3358" s="122">
        <v>46161.0</v>
      </c>
      <c r="C3358" s="103">
        <v>8.07000036153E11</v>
      </c>
      <c r="D3358" s="103" t="s">
        <v>12925</v>
      </c>
      <c r="E3358" s="103" t="s">
        <v>12926</v>
      </c>
      <c r="F3358" s="241" t="s">
        <v>12927</v>
      </c>
      <c r="G3358" s="241" t="s">
        <v>127</v>
      </c>
      <c r="H3358" s="241">
        <v>4400.0</v>
      </c>
      <c r="I3358" s="211" t="s">
        <v>512</v>
      </c>
      <c r="J3358" s="103" t="s">
        <v>513</v>
      </c>
      <c r="K3358" s="241">
        <v>12.0</v>
      </c>
      <c r="L3358" s="124">
        <v>3.874405661E9</v>
      </c>
    </row>
    <row r="3359">
      <c r="A3359" s="33" t="s">
        <v>12924</v>
      </c>
      <c r="B3359" s="122">
        <v>46161.0</v>
      </c>
      <c r="C3359" s="103">
        <v>8.07000036154E11</v>
      </c>
      <c r="D3359" s="103" t="s">
        <v>12925</v>
      </c>
      <c r="E3359" s="103" t="s">
        <v>12926</v>
      </c>
      <c r="F3359" s="241" t="s">
        <v>12927</v>
      </c>
      <c r="G3359" s="241" t="s">
        <v>127</v>
      </c>
      <c r="H3359" s="241">
        <v>4400.0</v>
      </c>
      <c r="I3359" s="211" t="s">
        <v>1408</v>
      </c>
      <c r="J3359" s="103" t="s">
        <v>7680</v>
      </c>
      <c r="K3359" s="241">
        <v>1.0</v>
      </c>
      <c r="L3359" s="124">
        <v>3.874405661E9</v>
      </c>
    </row>
    <row r="3360">
      <c r="A3360" s="33" t="s">
        <v>12924</v>
      </c>
      <c r="B3360" s="122">
        <v>46161.0</v>
      </c>
      <c r="C3360" s="240">
        <v>8.07000036154E11</v>
      </c>
      <c r="D3360" s="240" t="s">
        <v>12925</v>
      </c>
      <c r="E3360" s="240" t="s">
        <v>12926</v>
      </c>
      <c r="F3360" s="242" t="s">
        <v>12927</v>
      </c>
      <c r="G3360" s="242" t="s">
        <v>127</v>
      </c>
      <c r="H3360" s="242">
        <v>4400.0</v>
      </c>
      <c r="I3360" s="224" t="s">
        <v>121</v>
      </c>
      <c r="J3360" s="240" t="s">
        <v>3199</v>
      </c>
      <c r="K3360" s="242">
        <v>2.0</v>
      </c>
      <c r="L3360" s="124">
        <v>3.874405661E9</v>
      </c>
    </row>
    <row r="3361">
      <c r="A3361" s="33" t="s">
        <v>12928</v>
      </c>
      <c r="B3361" s="122">
        <v>46161.0</v>
      </c>
      <c r="C3361" s="103">
        <v>8.07000036147E11</v>
      </c>
      <c r="D3361" s="103" t="s">
        <v>12929</v>
      </c>
      <c r="E3361" s="103" t="s">
        <v>12930</v>
      </c>
      <c r="F3361" s="241" t="s">
        <v>12931</v>
      </c>
      <c r="G3361" s="241" t="s">
        <v>127</v>
      </c>
      <c r="H3361" s="241">
        <v>4400.0</v>
      </c>
      <c r="I3361" s="211" t="s">
        <v>1533</v>
      </c>
      <c r="J3361" s="103" t="s">
        <v>8151</v>
      </c>
      <c r="K3361" s="241">
        <v>1.0</v>
      </c>
      <c r="L3361" s="124">
        <v>1.127652456E9</v>
      </c>
    </row>
    <row r="3362">
      <c r="A3362" s="33" t="s">
        <v>12928</v>
      </c>
      <c r="B3362" s="122">
        <v>46161.0</v>
      </c>
      <c r="C3362" s="240">
        <v>8.07000036147E11</v>
      </c>
      <c r="D3362" s="240" t="s">
        <v>12929</v>
      </c>
      <c r="E3362" s="240" t="s">
        <v>12930</v>
      </c>
      <c r="F3362" s="242" t="s">
        <v>12931</v>
      </c>
      <c r="G3362" s="242" t="s">
        <v>127</v>
      </c>
      <c r="H3362" s="242">
        <v>4400.0</v>
      </c>
      <c r="I3362" s="224" t="s">
        <v>512</v>
      </c>
      <c r="J3362" s="240" t="s">
        <v>513</v>
      </c>
      <c r="K3362" s="242">
        <v>12.0</v>
      </c>
      <c r="L3362" s="124">
        <v>1.127652456E9</v>
      </c>
    </row>
    <row r="3363">
      <c r="A3363" s="33" t="s">
        <v>12928</v>
      </c>
      <c r="B3363" s="122">
        <v>46161.0</v>
      </c>
      <c r="C3363" s="103">
        <v>8.07000036147E11</v>
      </c>
      <c r="D3363" s="103" t="s">
        <v>12929</v>
      </c>
      <c r="E3363" s="103" t="s">
        <v>12930</v>
      </c>
      <c r="F3363" s="241" t="s">
        <v>12931</v>
      </c>
      <c r="G3363" s="241" t="s">
        <v>127</v>
      </c>
      <c r="H3363" s="241">
        <v>4400.0</v>
      </c>
      <c r="I3363" s="211" t="s">
        <v>121</v>
      </c>
      <c r="J3363" s="103" t="s">
        <v>3199</v>
      </c>
      <c r="K3363" s="241">
        <v>2.0</v>
      </c>
      <c r="L3363" s="124">
        <v>1.127652456E9</v>
      </c>
    </row>
    <row r="3364">
      <c r="A3364" s="33" t="s">
        <v>12932</v>
      </c>
      <c r="B3364" s="122">
        <v>46161.0</v>
      </c>
      <c r="C3364" s="240">
        <v>8.07000036165E11</v>
      </c>
      <c r="D3364" s="240" t="s">
        <v>12933</v>
      </c>
      <c r="E3364" s="240" t="s">
        <v>12934</v>
      </c>
      <c r="F3364" s="242" t="s">
        <v>12935</v>
      </c>
      <c r="G3364" s="242" t="s">
        <v>1885</v>
      </c>
      <c r="H3364" s="242">
        <v>4400.0</v>
      </c>
      <c r="I3364" s="224">
        <v>87610.0</v>
      </c>
      <c r="J3364" s="240" t="s">
        <v>12683</v>
      </c>
      <c r="K3364" s="242">
        <v>2.0</v>
      </c>
      <c r="L3364" s="124">
        <v>3.875319022E9</v>
      </c>
    </row>
    <row r="3365">
      <c r="A3365" s="33" t="s">
        <v>12936</v>
      </c>
      <c r="B3365" s="122">
        <v>46161.0</v>
      </c>
      <c r="C3365" s="103">
        <v>8.07000036166E11</v>
      </c>
      <c r="D3365" s="103" t="s">
        <v>12933</v>
      </c>
      <c r="E3365" s="103" t="s">
        <v>12934</v>
      </c>
      <c r="F3365" s="241" t="s">
        <v>12935</v>
      </c>
      <c r="G3365" s="241" t="s">
        <v>1885</v>
      </c>
      <c r="H3365" s="241">
        <v>4400.0</v>
      </c>
      <c r="I3365" s="211" t="s">
        <v>768</v>
      </c>
      <c r="J3365" s="103" t="s">
        <v>3386</v>
      </c>
      <c r="K3365" s="241">
        <v>1.0</v>
      </c>
      <c r="L3365" s="124">
        <v>3.875319022E9</v>
      </c>
    </row>
    <row r="3366">
      <c r="A3366" s="33" t="s">
        <v>12937</v>
      </c>
      <c r="B3366" s="122">
        <v>46161.0</v>
      </c>
      <c r="C3366" s="240">
        <v>8.07000036167E11</v>
      </c>
      <c r="D3366" s="240" t="s">
        <v>12938</v>
      </c>
      <c r="E3366" s="240" t="s">
        <v>12939</v>
      </c>
      <c r="F3366" s="242" t="s">
        <v>12940</v>
      </c>
      <c r="G3366" s="242" t="s">
        <v>3047</v>
      </c>
      <c r="H3366" s="242">
        <v>4405.0</v>
      </c>
      <c r="I3366" s="224" t="s">
        <v>6265</v>
      </c>
      <c r="J3366" s="240" t="s">
        <v>6266</v>
      </c>
      <c r="K3366" s="242">
        <v>1.0</v>
      </c>
      <c r="L3366" s="124">
        <v>3.873036692E9</v>
      </c>
    </row>
    <row r="3367">
      <c r="A3367" s="33" t="s">
        <v>12937</v>
      </c>
      <c r="B3367" s="122">
        <v>46161.0</v>
      </c>
      <c r="C3367" s="103">
        <v>8.07000036168E11</v>
      </c>
      <c r="D3367" s="103" t="s">
        <v>12938</v>
      </c>
      <c r="E3367" s="103" t="s">
        <v>12939</v>
      </c>
      <c r="F3367" s="241" t="s">
        <v>12940</v>
      </c>
      <c r="G3367" s="241" t="s">
        <v>3047</v>
      </c>
      <c r="H3367" s="241">
        <v>4405.0</v>
      </c>
      <c r="I3367" s="211" t="s">
        <v>4695</v>
      </c>
      <c r="J3367" s="103" t="s">
        <v>4696</v>
      </c>
      <c r="K3367" s="241">
        <v>1.0</v>
      </c>
      <c r="L3367" s="124">
        <v>3.873036692E9</v>
      </c>
    </row>
    <row r="3368">
      <c r="A3368" s="33" t="s">
        <v>12937</v>
      </c>
      <c r="B3368" s="122">
        <v>46161.0</v>
      </c>
      <c r="C3368" s="240">
        <v>8.07000036168E11</v>
      </c>
      <c r="D3368" s="240" t="s">
        <v>12938</v>
      </c>
      <c r="E3368" s="240" t="s">
        <v>12939</v>
      </c>
      <c r="F3368" s="242" t="s">
        <v>12940</v>
      </c>
      <c r="G3368" s="242" t="s">
        <v>3047</v>
      </c>
      <c r="H3368" s="242">
        <v>4405.0</v>
      </c>
      <c r="I3368" s="224" t="s">
        <v>761</v>
      </c>
      <c r="J3368" s="240" t="s">
        <v>3761</v>
      </c>
      <c r="K3368" s="242">
        <v>1.0</v>
      </c>
      <c r="L3368" s="124">
        <v>3.873036692E9</v>
      </c>
    </row>
    <row r="3369">
      <c r="A3369" s="33" t="s">
        <v>12941</v>
      </c>
      <c r="B3369" s="122">
        <v>46161.0</v>
      </c>
      <c r="C3369" s="240">
        <v>8.0700003618E11</v>
      </c>
      <c r="D3369" s="240" t="s">
        <v>12942</v>
      </c>
      <c r="E3369" s="240" t="s">
        <v>12943</v>
      </c>
      <c r="F3369" s="242" t="s">
        <v>12944</v>
      </c>
      <c r="G3369" s="242" t="s">
        <v>4496</v>
      </c>
      <c r="H3369" s="242">
        <v>4400.0</v>
      </c>
      <c r="I3369" s="224">
        <v>125813.0</v>
      </c>
      <c r="J3369" s="240" t="s">
        <v>5703</v>
      </c>
      <c r="K3369" s="242">
        <v>2.0</v>
      </c>
      <c r="L3369" s="124">
        <v>3.8750009E9</v>
      </c>
    </row>
    <row r="3370">
      <c r="A3370" s="33" t="s">
        <v>12941</v>
      </c>
      <c r="B3370" s="122">
        <v>46161.0</v>
      </c>
      <c r="C3370" s="103">
        <v>8.07000036181E11</v>
      </c>
      <c r="D3370" s="103" t="s">
        <v>12942</v>
      </c>
      <c r="E3370" s="103" t="s">
        <v>12943</v>
      </c>
      <c r="F3370" s="241" t="s">
        <v>12944</v>
      </c>
      <c r="G3370" s="241" t="s">
        <v>4496</v>
      </c>
      <c r="H3370" s="241">
        <v>4400.0</v>
      </c>
      <c r="I3370" s="211" t="s">
        <v>512</v>
      </c>
      <c r="J3370" s="103" t="s">
        <v>513</v>
      </c>
      <c r="K3370" s="241">
        <v>12.0</v>
      </c>
      <c r="L3370" s="124">
        <v>3.8750009E9</v>
      </c>
    </row>
    <row r="3371">
      <c r="A3371" s="33" t="s">
        <v>12941</v>
      </c>
      <c r="B3371" s="122">
        <v>46161.0</v>
      </c>
      <c r="C3371" s="240">
        <v>8.07000036182E11</v>
      </c>
      <c r="D3371" s="240" t="s">
        <v>12942</v>
      </c>
      <c r="E3371" s="240" t="s">
        <v>12943</v>
      </c>
      <c r="F3371" s="242" t="s">
        <v>12944</v>
      </c>
      <c r="G3371" s="242" t="s">
        <v>4496</v>
      </c>
      <c r="H3371" s="242">
        <v>4400.0</v>
      </c>
      <c r="I3371" s="224" t="s">
        <v>8604</v>
      </c>
      <c r="J3371" s="240" t="s">
        <v>8605</v>
      </c>
      <c r="K3371" s="242">
        <v>2.0</v>
      </c>
      <c r="L3371" s="124">
        <v>3.8750009E9</v>
      </c>
    </row>
    <row r="3372">
      <c r="A3372" s="33" t="s">
        <v>12941</v>
      </c>
      <c r="B3372" s="122">
        <v>46161.0</v>
      </c>
      <c r="C3372" s="103">
        <v>8.07000036182E11</v>
      </c>
      <c r="D3372" s="103" t="s">
        <v>12942</v>
      </c>
      <c r="E3372" s="103" t="s">
        <v>12943</v>
      </c>
      <c r="F3372" s="241" t="s">
        <v>12944</v>
      </c>
      <c r="G3372" s="241" t="s">
        <v>4496</v>
      </c>
      <c r="H3372" s="241">
        <v>4400.0</v>
      </c>
      <c r="I3372" s="211" t="s">
        <v>1345</v>
      </c>
      <c r="J3372" s="103" t="s">
        <v>3639</v>
      </c>
      <c r="K3372" s="241">
        <v>2.0</v>
      </c>
      <c r="L3372" s="124">
        <v>3.8750009E9</v>
      </c>
    </row>
    <row r="3373">
      <c r="A3373" s="33" t="s">
        <v>12941</v>
      </c>
      <c r="B3373" s="122">
        <v>46161.0</v>
      </c>
      <c r="C3373" s="240">
        <v>8.07000036183E11</v>
      </c>
      <c r="D3373" s="240" t="s">
        <v>12942</v>
      </c>
      <c r="E3373" s="240" t="s">
        <v>12943</v>
      </c>
      <c r="F3373" s="242" t="s">
        <v>12944</v>
      </c>
      <c r="G3373" s="242" t="s">
        <v>4496</v>
      </c>
      <c r="H3373" s="242">
        <v>4400.0</v>
      </c>
      <c r="I3373" s="224" t="s">
        <v>5817</v>
      </c>
      <c r="J3373" s="240" t="s">
        <v>5417</v>
      </c>
      <c r="K3373" s="242">
        <v>1.0</v>
      </c>
      <c r="L3373" s="124">
        <v>3.8750009E9</v>
      </c>
    </row>
    <row r="3374">
      <c r="A3374" s="33" t="s">
        <v>12945</v>
      </c>
      <c r="B3374" s="122">
        <v>46161.0</v>
      </c>
      <c r="C3374" s="103">
        <v>8.07000036184E11</v>
      </c>
      <c r="D3374" s="103" t="s">
        <v>12942</v>
      </c>
      <c r="E3374" s="103" t="s">
        <v>12943</v>
      </c>
      <c r="F3374" s="241" t="s">
        <v>12944</v>
      </c>
      <c r="G3374" s="241" t="s">
        <v>4496</v>
      </c>
      <c r="H3374" s="241">
        <v>4400.0</v>
      </c>
      <c r="I3374" s="211" t="s">
        <v>2294</v>
      </c>
      <c r="J3374" s="103" t="s">
        <v>5415</v>
      </c>
      <c r="K3374" s="241">
        <v>1.0</v>
      </c>
      <c r="L3374" s="124">
        <v>3.8750009E9</v>
      </c>
    </row>
    <row r="3375">
      <c r="A3375" s="33" t="s">
        <v>12946</v>
      </c>
      <c r="B3375" s="122">
        <v>46161.0</v>
      </c>
      <c r="C3375" s="240">
        <v>8.07000036174E11</v>
      </c>
      <c r="D3375" s="240" t="s">
        <v>12947</v>
      </c>
      <c r="E3375" s="240" t="s">
        <v>12948</v>
      </c>
      <c r="F3375" s="242" t="s">
        <v>12949</v>
      </c>
      <c r="G3375" s="242" t="s">
        <v>127</v>
      </c>
      <c r="H3375" s="242">
        <v>4400.0</v>
      </c>
      <c r="I3375" s="311">
        <v>915481.0</v>
      </c>
      <c r="J3375" s="240" t="s">
        <v>8241</v>
      </c>
      <c r="K3375" s="242">
        <v>1.0</v>
      </c>
      <c r="L3375" s="124">
        <v>3.875353413E9</v>
      </c>
    </row>
    <row r="3376">
      <c r="A3376" s="33" t="s">
        <v>12946</v>
      </c>
      <c r="B3376" s="122">
        <v>46161.0</v>
      </c>
      <c r="C3376" s="103">
        <v>8.07000036175E11</v>
      </c>
      <c r="D3376" s="103" t="s">
        <v>12947</v>
      </c>
      <c r="E3376" s="103" t="s">
        <v>12948</v>
      </c>
      <c r="F3376" s="241" t="s">
        <v>12949</v>
      </c>
      <c r="G3376" s="241" t="s">
        <v>127</v>
      </c>
      <c r="H3376" s="241">
        <v>4400.0</v>
      </c>
      <c r="I3376" s="211" t="s">
        <v>10560</v>
      </c>
      <c r="J3376" s="103" t="s">
        <v>10561</v>
      </c>
      <c r="K3376" s="241">
        <v>2.0</v>
      </c>
      <c r="L3376" s="124">
        <v>3.875353413E9</v>
      </c>
    </row>
    <row r="3377">
      <c r="A3377" s="33" t="s">
        <v>12950</v>
      </c>
      <c r="B3377" s="122">
        <v>46161.0</v>
      </c>
      <c r="C3377" s="103">
        <v>8.07000036185E11</v>
      </c>
      <c r="D3377" s="103" t="s">
        <v>12951</v>
      </c>
      <c r="E3377" s="103" t="s">
        <v>12952</v>
      </c>
      <c r="F3377" s="241" t="s">
        <v>12953</v>
      </c>
      <c r="G3377" s="241" t="s">
        <v>127</v>
      </c>
      <c r="H3377" s="241">
        <v>4400.0</v>
      </c>
      <c r="I3377" s="211">
        <v>125818.0</v>
      </c>
      <c r="J3377" s="103" t="s">
        <v>4334</v>
      </c>
      <c r="K3377" s="241">
        <v>2.0</v>
      </c>
      <c r="L3377" s="124">
        <v>3.872182908E9</v>
      </c>
    </row>
    <row r="3378">
      <c r="A3378" s="33" t="s">
        <v>12950</v>
      </c>
      <c r="B3378" s="122">
        <v>46161.0</v>
      </c>
      <c r="C3378" s="240">
        <v>8.07000036186E11</v>
      </c>
      <c r="D3378" s="240" t="s">
        <v>12951</v>
      </c>
      <c r="E3378" s="240" t="s">
        <v>12952</v>
      </c>
      <c r="F3378" s="242" t="s">
        <v>12953</v>
      </c>
      <c r="G3378" s="242" t="s">
        <v>127</v>
      </c>
      <c r="H3378" s="242">
        <v>4400.0</v>
      </c>
      <c r="I3378" s="224">
        <v>237408.0</v>
      </c>
      <c r="J3378" s="240" t="s">
        <v>12954</v>
      </c>
      <c r="K3378" s="242">
        <v>1.0</v>
      </c>
      <c r="L3378" s="124">
        <v>3.872182908E9</v>
      </c>
    </row>
    <row r="3379">
      <c r="A3379" s="33" t="s">
        <v>12955</v>
      </c>
      <c r="B3379" s="122">
        <v>46161.0</v>
      </c>
      <c r="C3379" s="103">
        <v>8.07000036187E11</v>
      </c>
      <c r="D3379" s="103" t="s">
        <v>12951</v>
      </c>
      <c r="E3379" s="103" t="s">
        <v>12952</v>
      </c>
      <c r="F3379" s="241" t="s">
        <v>12953</v>
      </c>
      <c r="G3379" s="241" t="s">
        <v>127</v>
      </c>
      <c r="H3379" s="241">
        <v>4400.0</v>
      </c>
      <c r="I3379" s="211" t="s">
        <v>258</v>
      </c>
      <c r="J3379" s="103" t="s">
        <v>259</v>
      </c>
      <c r="K3379" s="241">
        <v>2.0</v>
      </c>
      <c r="L3379" s="124">
        <v>3.872182908E9</v>
      </c>
    </row>
    <row r="3380">
      <c r="A3380" s="33" t="s">
        <v>12956</v>
      </c>
      <c r="B3380" s="122">
        <v>46162.0</v>
      </c>
      <c r="C3380" s="240">
        <v>8.0700003619E11</v>
      </c>
      <c r="D3380" s="240" t="s">
        <v>12957</v>
      </c>
      <c r="E3380" s="240" t="s">
        <v>12958</v>
      </c>
      <c r="F3380" s="242" t="s">
        <v>12959</v>
      </c>
      <c r="G3380" s="242" t="s">
        <v>4645</v>
      </c>
      <c r="H3380" s="242">
        <v>4400.0</v>
      </c>
      <c r="I3380" s="224" t="s">
        <v>512</v>
      </c>
      <c r="J3380" s="240" t="s">
        <v>513</v>
      </c>
      <c r="K3380" s="242">
        <v>12.0</v>
      </c>
      <c r="L3380" s="124">
        <v>3.876053334E9</v>
      </c>
    </row>
    <row r="3381">
      <c r="A3381" s="33" t="s">
        <v>12956</v>
      </c>
      <c r="B3381" s="122">
        <v>46162.0</v>
      </c>
      <c r="C3381" s="103">
        <v>8.07000036191E11</v>
      </c>
      <c r="D3381" s="103" t="s">
        <v>12957</v>
      </c>
      <c r="E3381" s="103" t="s">
        <v>12958</v>
      </c>
      <c r="F3381" s="241" t="s">
        <v>12959</v>
      </c>
      <c r="G3381" s="241" t="s">
        <v>4645</v>
      </c>
      <c r="H3381" s="241">
        <v>4400.0</v>
      </c>
      <c r="I3381" s="211">
        <v>125813.0</v>
      </c>
      <c r="J3381" s="103" t="s">
        <v>5703</v>
      </c>
      <c r="K3381" s="241">
        <v>2.0</v>
      </c>
      <c r="L3381" s="124">
        <v>3.876053334E9</v>
      </c>
    </row>
    <row r="3382">
      <c r="A3382" s="33" t="s">
        <v>12956</v>
      </c>
      <c r="B3382" s="122">
        <v>46162.0</v>
      </c>
      <c r="C3382" s="240">
        <v>8.07000036192E11</v>
      </c>
      <c r="D3382" s="240" t="s">
        <v>12957</v>
      </c>
      <c r="E3382" s="240" t="s">
        <v>12958</v>
      </c>
      <c r="F3382" s="242" t="s">
        <v>12959</v>
      </c>
      <c r="G3382" s="242" t="s">
        <v>4645</v>
      </c>
      <c r="H3382" s="242">
        <v>4400.0</v>
      </c>
      <c r="I3382" s="224" t="s">
        <v>758</v>
      </c>
      <c r="J3382" s="240" t="s">
        <v>3574</v>
      </c>
      <c r="K3382" s="242">
        <v>2.0</v>
      </c>
      <c r="L3382" s="124">
        <v>3.876053334E9</v>
      </c>
    </row>
    <row r="3383">
      <c r="A3383" s="33" t="s">
        <v>12960</v>
      </c>
      <c r="B3383" s="122">
        <v>46162.0</v>
      </c>
      <c r="C3383" s="103">
        <v>8.07000036193E11</v>
      </c>
      <c r="D3383" s="103" t="s">
        <v>12957</v>
      </c>
      <c r="E3383" s="103" t="s">
        <v>12958</v>
      </c>
      <c r="F3383" s="241" t="s">
        <v>12959</v>
      </c>
      <c r="G3383" s="241" t="s">
        <v>4645</v>
      </c>
      <c r="H3383" s="241">
        <v>4400.0</v>
      </c>
      <c r="I3383" s="211" t="s">
        <v>761</v>
      </c>
      <c r="J3383" s="103" t="s">
        <v>3761</v>
      </c>
      <c r="K3383" s="241">
        <v>1.0</v>
      </c>
      <c r="L3383" s="124">
        <v>3.876053334E9</v>
      </c>
    </row>
    <row r="3384">
      <c r="A3384" s="33" t="s">
        <v>12961</v>
      </c>
      <c r="B3384" s="122">
        <v>46163.0</v>
      </c>
      <c r="C3384" s="240">
        <v>8.07000036195E11</v>
      </c>
      <c r="D3384" s="240" t="s">
        <v>12962</v>
      </c>
      <c r="E3384" s="240" t="s">
        <v>12963</v>
      </c>
      <c r="F3384" s="242" t="s">
        <v>12964</v>
      </c>
      <c r="G3384" s="242" t="s">
        <v>20</v>
      </c>
      <c r="H3384" s="242" t="s">
        <v>5840</v>
      </c>
      <c r="I3384" s="224" t="s">
        <v>12965</v>
      </c>
      <c r="J3384" s="240" t="s">
        <v>12966</v>
      </c>
      <c r="K3384" s="242">
        <v>1.0</v>
      </c>
      <c r="L3384" s="124">
        <v>3.87520959E9</v>
      </c>
    </row>
    <row r="3385">
      <c r="A3385" s="33" t="s">
        <v>12967</v>
      </c>
      <c r="B3385" s="122">
        <v>46163.0</v>
      </c>
      <c r="C3385" s="103">
        <v>8.07000036207E11</v>
      </c>
      <c r="D3385" s="103" t="s">
        <v>12917</v>
      </c>
      <c r="E3385" s="103" t="s">
        <v>12918</v>
      </c>
      <c r="F3385" s="241" t="s">
        <v>12919</v>
      </c>
      <c r="G3385" s="241" t="s">
        <v>127</v>
      </c>
      <c r="H3385" s="241">
        <v>4400.0</v>
      </c>
      <c r="I3385" s="211" t="s">
        <v>1747</v>
      </c>
      <c r="J3385" s="103" t="s">
        <v>4208</v>
      </c>
      <c r="K3385" s="241">
        <v>1.0</v>
      </c>
      <c r="L3385" s="124">
        <v>3.874450671E9</v>
      </c>
    </row>
    <row r="3386">
      <c r="A3386" s="33" t="s">
        <v>12968</v>
      </c>
      <c r="B3386" s="122">
        <v>46163.0</v>
      </c>
      <c r="C3386" s="240">
        <v>8.07000036211E11</v>
      </c>
      <c r="D3386" s="240" t="s">
        <v>12969</v>
      </c>
      <c r="E3386" s="240" t="s">
        <v>12970</v>
      </c>
      <c r="F3386" s="242" t="s">
        <v>12971</v>
      </c>
      <c r="G3386" s="242" t="s">
        <v>127</v>
      </c>
      <c r="H3386" s="242">
        <v>4400.0</v>
      </c>
      <c r="I3386" s="224">
        <v>125823.0</v>
      </c>
      <c r="J3386" s="240" t="s">
        <v>11232</v>
      </c>
      <c r="K3386" s="242">
        <v>2.0</v>
      </c>
      <c r="L3386" s="124">
        <v>3.874539157E9</v>
      </c>
    </row>
    <row r="3387">
      <c r="A3387" s="33" t="s">
        <v>12968</v>
      </c>
      <c r="B3387" s="122">
        <v>46163.0</v>
      </c>
      <c r="C3387" s="103">
        <v>8.07000036212E11</v>
      </c>
      <c r="D3387" s="103" t="s">
        <v>12969</v>
      </c>
      <c r="E3387" s="103" t="s">
        <v>12970</v>
      </c>
      <c r="F3387" s="241" t="s">
        <v>12971</v>
      </c>
      <c r="G3387" s="241" t="s">
        <v>127</v>
      </c>
      <c r="H3387" s="241">
        <v>4400.0</v>
      </c>
      <c r="I3387" s="211" t="s">
        <v>5842</v>
      </c>
      <c r="J3387" s="103" t="s">
        <v>5843</v>
      </c>
      <c r="K3387" s="241">
        <v>1.0</v>
      </c>
      <c r="L3387" s="124">
        <v>3.874539157E9</v>
      </c>
    </row>
    <row r="3388">
      <c r="A3388" s="33" t="s">
        <v>12968</v>
      </c>
      <c r="B3388" s="122">
        <v>46163.0</v>
      </c>
      <c r="C3388" s="240">
        <v>8.07000036212E11</v>
      </c>
      <c r="D3388" s="240" t="s">
        <v>12969</v>
      </c>
      <c r="E3388" s="240" t="s">
        <v>12970</v>
      </c>
      <c r="F3388" s="242" t="s">
        <v>12971</v>
      </c>
      <c r="G3388" s="242" t="s">
        <v>127</v>
      </c>
      <c r="H3388" s="242">
        <v>4400.0</v>
      </c>
      <c r="I3388" s="224" t="s">
        <v>812</v>
      </c>
      <c r="J3388" s="240" t="s">
        <v>3564</v>
      </c>
      <c r="K3388" s="242">
        <v>1.0</v>
      </c>
      <c r="L3388" s="124">
        <v>3.874539157E9</v>
      </c>
    </row>
    <row r="3389" ht="7.5" customHeight="1">
      <c r="A3389" s="244"/>
      <c r="B3389" s="245"/>
      <c r="C3389" s="271"/>
      <c r="D3389" s="271"/>
      <c r="E3389" s="271"/>
      <c r="F3389" s="273"/>
      <c r="G3389" s="273"/>
      <c r="H3389" s="273"/>
      <c r="I3389" s="272"/>
      <c r="J3389" s="271"/>
      <c r="K3389" s="273"/>
      <c r="L3389" s="247"/>
    </row>
    <row r="3390">
      <c r="A3390" s="240" t="s">
        <v>12972</v>
      </c>
      <c r="B3390" s="315">
        <v>46165.0</v>
      </c>
      <c r="C3390" s="240">
        <v>8.07000036221E11</v>
      </c>
      <c r="D3390" s="240" t="s">
        <v>12973</v>
      </c>
      <c r="E3390" s="240" t="s">
        <v>12974</v>
      </c>
      <c r="F3390" s="242" t="s">
        <v>12975</v>
      </c>
      <c r="G3390" s="241" t="s">
        <v>127</v>
      </c>
      <c r="H3390" s="241">
        <v>4400.0</v>
      </c>
      <c r="I3390" s="224" t="s">
        <v>11439</v>
      </c>
      <c r="J3390" s="240" t="s">
        <v>11440</v>
      </c>
      <c r="K3390" s="242">
        <v>1.0</v>
      </c>
      <c r="L3390" s="124">
        <v>3.804222025E9</v>
      </c>
    </row>
    <row r="3391">
      <c r="A3391" s="240" t="s">
        <v>12972</v>
      </c>
      <c r="B3391" s="315">
        <v>46165.0</v>
      </c>
      <c r="C3391" s="103">
        <v>8.07000036221E11</v>
      </c>
      <c r="D3391" s="103" t="s">
        <v>12973</v>
      </c>
      <c r="E3391" s="103" t="s">
        <v>12974</v>
      </c>
      <c r="F3391" s="242" t="s">
        <v>12975</v>
      </c>
      <c r="G3391" s="242" t="s">
        <v>127</v>
      </c>
      <c r="H3391" s="242">
        <v>4400.0</v>
      </c>
      <c r="I3391" s="211" t="s">
        <v>280</v>
      </c>
      <c r="J3391" s="103" t="s">
        <v>5669</v>
      </c>
      <c r="K3391" s="241">
        <v>1.0</v>
      </c>
      <c r="L3391" s="124">
        <v>3.804222025E9</v>
      </c>
    </row>
    <row r="3392">
      <c r="A3392" s="240" t="s">
        <v>12976</v>
      </c>
      <c r="B3392" s="315">
        <v>46165.0</v>
      </c>
      <c r="C3392" s="240">
        <v>8.07000036222E11</v>
      </c>
      <c r="D3392" s="240" t="s">
        <v>12973</v>
      </c>
      <c r="E3392" s="240" t="s">
        <v>12974</v>
      </c>
      <c r="F3392" s="242" t="s">
        <v>12975</v>
      </c>
      <c r="G3392" s="241" t="s">
        <v>127</v>
      </c>
      <c r="H3392" s="241">
        <v>4400.0</v>
      </c>
      <c r="I3392" s="224">
        <v>125823.0</v>
      </c>
      <c r="J3392" s="240" t="s">
        <v>11232</v>
      </c>
      <c r="K3392" s="242">
        <v>2.0</v>
      </c>
      <c r="L3392" s="124">
        <v>3.804222025E9</v>
      </c>
    </row>
    <row r="3393">
      <c r="A3393" s="33" t="s">
        <v>12967</v>
      </c>
      <c r="B3393" s="122">
        <v>46163.0</v>
      </c>
      <c r="C3393" s="103">
        <v>8.07000036207E11</v>
      </c>
      <c r="D3393" s="103" t="s">
        <v>12917</v>
      </c>
      <c r="E3393" s="103" t="s">
        <v>12918</v>
      </c>
      <c r="F3393" s="241" t="s">
        <v>12919</v>
      </c>
      <c r="G3393" s="241" t="s">
        <v>127</v>
      </c>
      <c r="H3393" s="241">
        <v>4400.0</v>
      </c>
      <c r="I3393" s="211" t="s">
        <v>1747</v>
      </c>
      <c r="J3393" s="103" t="s">
        <v>4208</v>
      </c>
      <c r="K3393" s="241">
        <v>1.0</v>
      </c>
      <c r="L3393" s="124">
        <v>3.874450671E9</v>
      </c>
      <c r="M3393" s="54" t="s">
        <v>11822</v>
      </c>
    </row>
    <row r="3394" ht="1.5" customHeight="1">
      <c r="A3394" s="100"/>
      <c r="B3394" s="230"/>
      <c r="C3394" s="251"/>
      <c r="D3394" s="251"/>
      <c r="E3394" s="251"/>
      <c r="F3394" s="253"/>
      <c r="G3394" s="253"/>
      <c r="H3394" s="253"/>
      <c r="I3394" s="252"/>
      <c r="J3394" s="251"/>
      <c r="K3394" s="253"/>
      <c r="L3394" s="232"/>
      <c r="M3394" s="233"/>
      <c r="N3394" s="233"/>
      <c r="O3394" s="233"/>
      <c r="P3394" s="233"/>
      <c r="Q3394" s="233"/>
      <c r="R3394" s="233"/>
      <c r="S3394" s="233"/>
      <c r="T3394" s="233"/>
      <c r="U3394" s="233"/>
      <c r="V3394" s="233"/>
      <c r="W3394" s="233"/>
      <c r="X3394" s="233"/>
      <c r="Y3394" s="233"/>
      <c r="Z3394" s="233"/>
      <c r="AA3394" s="233"/>
      <c r="AB3394" s="233"/>
      <c r="AC3394" s="233"/>
    </row>
    <row r="3395">
      <c r="A3395" s="33" t="s">
        <v>12977</v>
      </c>
      <c r="B3395" s="122">
        <v>46167.0</v>
      </c>
      <c r="C3395" s="240">
        <v>8.07000036249E11</v>
      </c>
      <c r="D3395" s="240" t="s">
        <v>12978</v>
      </c>
      <c r="E3395" s="240" t="s">
        <v>12979</v>
      </c>
      <c r="F3395" s="242" t="s">
        <v>12980</v>
      </c>
      <c r="G3395" s="242" t="s">
        <v>127</v>
      </c>
      <c r="H3395" s="242">
        <v>4400.0</v>
      </c>
      <c r="I3395" s="224" t="s">
        <v>512</v>
      </c>
      <c r="J3395" s="240" t="s">
        <v>513</v>
      </c>
      <c r="K3395" s="242">
        <v>12.0</v>
      </c>
      <c r="L3395" s="124">
        <v>3.8751502E9</v>
      </c>
    </row>
    <row r="3396">
      <c r="A3396" s="33" t="s">
        <v>12977</v>
      </c>
      <c r="B3396" s="122">
        <v>46167.0</v>
      </c>
      <c r="C3396" s="103">
        <v>8.0700003625E11</v>
      </c>
      <c r="D3396" s="103" t="s">
        <v>12978</v>
      </c>
      <c r="E3396" s="103" t="s">
        <v>12979</v>
      </c>
      <c r="F3396" s="241" t="s">
        <v>12980</v>
      </c>
      <c r="G3396" s="241" t="s">
        <v>127</v>
      </c>
      <c r="H3396" s="241">
        <v>4400.0</v>
      </c>
      <c r="I3396" s="211" t="s">
        <v>1766</v>
      </c>
      <c r="J3396" s="103" t="s">
        <v>8008</v>
      </c>
      <c r="K3396" s="241">
        <v>1.0</v>
      </c>
      <c r="L3396" s="124">
        <v>3.8751502E9</v>
      </c>
    </row>
    <row r="3397">
      <c r="A3397" s="33" t="s">
        <v>12977</v>
      </c>
      <c r="B3397" s="122">
        <v>46167.0</v>
      </c>
      <c r="C3397" s="240">
        <v>8.0700003625E11</v>
      </c>
      <c r="D3397" s="240" t="s">
        <v>12978</v>
      </c>
      <c r="E3397" s="240" t="s">
        <v>12979</v>
      </c>
      <c r="F3397" s="242" t="s">
        <v>12980</v>
      </c>
      <c r="G3397" s="242" t="s">
        <v>127</v>
      </c>
      <c r="H3397" s="242">
        <v>4400.0</v>
      </c>
      <c r="I3397" s="224" t="s">
        <v>233</v>
      </c>
      <c r="J3397" s="240" t="s">
        <v>3459</v>
      </c>
      <c r="K3397" s="242">
        <v>2.0</v>
      </c>
      <c r="L3397" s="124">
        <v>3.8751502E9</v>
      </c>
    </row>
    <row r="3398">
      <c r="A3398" s="33" t="s">
        <v>12981</v>
      </c>
      <c r="B3398" s="122">
        <v>46167.0</v>
      </c>
      <c r="C3398" s="103">
        <v>8.07000036253E11</v>
      </c>
      <c r="D3398" s="103" t="s">
        <v>6472</v>
      </c>
      <c r="E3398" s="103" t="s">
        <v>6473</v>
      </c>
      <c r="F3398" s="241" t="s">
        <v>6474</v>
      </c>
      <c r="G3398" s="241" t="s">
        <v>127</v>
      </c>
      <c r="H3398" s="241">
        <v>4400.0</v>
      </c>
      <c r="I3398" s="211" t="s">
        <v>12965</v>
      </c>
      <c r="J3398" s="103" t="s">
        <v>12966</v>
      </c>
      <c r="K3398" s="241">
        <v>1.0</v>
      </c>
      <c r="L3398" s="124">
        <v>3.875737109E9</v>
      </c>
    </row>
    <row r="3399">
      <c r="A3399" s="33" t="s">
        <v>12981</v>
      </c>
      <c r="B3399" s="122">
        <v>46167.0</v>
      </c>
      <c r="C3399" s="240">
        <v>8.07000036254E11</v>
      </c>
      <c r="D3399" s="240" t="s">
        <v>6472</v>
      </c>
      <c r="E3399" s="240" t="s">
        <v>6473</v>
      </c>
      <c r="F3399" s="242" t="s">
        <v>6474</v>
      </c>
      <c r="G3399" s="242" t="s">
        <v>127</v>
      </c>
      <c r="H3399" s="242">
        <v>4400.0</v>
      </c>
      <c r="I3399" s="224" t="s">
        <v>64</v>
      </c>
      <c r="J3399" s="240" t="s">
        <v>3708</v>
      </c>
      <c r="K3399" s="242">
        <v>1.0</v>
      </c>
      <c r="L3399" s="124">
        <v>3.875737109E9</v>
      </c>
    </row>
    <row r="3400">
      <c r="A3400" s="33" t="s">
        <v>12982</v>
      </c>
      <c r="B3400" s="122">
        <v>46167.0</v>
      </c>
      <c r="C3400" s="240">
        <v>8.07000036214E11</v>
      </c>
      <c r="D3400" s="240" t="s">
        <v>12983</v>
      </c>
      <c r="E3400" s="240" t="s">
        <v>12984</v>
      </c>
      <c r="F3400" s="242" t="s">
        <v>12985</v>
      </c>
      <c r="G3400" s="242" t="s">
        <v>4611</v>
      </c>
      <c r="H3400" s="242">
        <v>4400.0</v>
      </c>
      <c r="I3400" s="224">
        <v>208501.0</v>
      </c>
      <c r="J3400" s="240" t="s">
        <v>481</v>
      </c>
      <c r="K3400" s="242">
        <v>3.0</v>
      </c>
      <c r="L3400" s="124">
        <v>3.876141149E9</v>
      </c>
    </row>
    <row r="3401">
      <c r="A3401" s="33" t="s">
        <v>12982</v>
      </c>
      <c r="B3401" s="122">
        <v>46167.0</v>
      </c>
      <c r="C3401" s="103">
        <v>8.07000036215E11</v>
      </c>
      <c r="D3401" s="103" t="s">
        <v>12983</v>
      </c>
      <c r="E3401" s="103" t="s">
        <v>12984</v>
      </c>
      <c r="F3401" s="241" t="s">
        <v>12985</v>
      </c>
      <c r="G3401" s="241" t="s">
        <v>4611</v>
      </c>
      <c r="H3401" s="241">
        <v>4400.0</v>
      </c>
      <c r="I3401" s="211" t="s">
        <v>10687</v>
      </c>
      <c r="J3401" s="103" t="s">
        <v>10688</v>
      </c>
      <c r="K3401" s="241">
        <v>3.0</v>
      </c>
      <c r="L3401" s="124">
        <v>3.876141149E9</v>
      </c>
    </row>
    <row r="3402">
      <c r="A3402" s="33" t="s">
        <v>12986</v>
      </c>
      <c r="B3402" s="122">
        <v>46167.0</v>
      </c>
      <c r="C3402" s="240">
        <v>8.07000036219E11</v>
      </c>
      <c r="D3402" s="240" t="s">
        <v>12987</v>
      </c>
      <c r="E3402" s="240" t="s">
        <v>12988</v>
      </c>
      <c r="F3402" s="242" t="s">
        <v>12989</v>
      </c>
      <c r="G3402" s="242" t="s">
        <v>4611</v>
      </c>
      <c r="H3402" s="242">
        <v>4530.0</v>
      </c>
      <c r="I3402" s="224">
        <v>125818.0</v>
      </c>
      <c r="J3402" s="240" t="s">
        <v>4334</v>
      </c>
      <c r="K3402" s="242">
        <v>2.0</v>
      </c>
      <c r="L3402" s="124">
        <v>3.878502462E9</v>
      </c>
    </row>
    <row r="3403">
      <c r="A3403" s="33" t="s">
        <v>12986</v>
      </c>
      <c r="B3403" s="122">
        <v>46167.0</v>
      </c>
      <c r="C3403" s="103">
        <v>8.07000036219E11</v>
      </c>
      <c r="D3403" s="103" t="s">
        <v>12987</v>
      </c>
      <c r="E3403" s="103" t="s">
        <v>12988</v>
      </c>
      <c r="F3403" s="241" t="s">
        <v>12989</v>
      </c>
      <c r="G3403" s="241" t="s">
        <v>4611</v>
      </c>
      <c r="H3403" s="241">
        <v>4530.0</v>
      </c>
      <c r="I3403" s="211" t="s">
        <v>3205</v>
      </c>
      <c r="J3403" s="103" t="s">
        <v>3206</v>
      </c>
      <c r="K3403" s="241">
        <v>2.0</v>
      </c>
      <c r="L3403" s="124">
        <v>3.878502462E9</v>
      </c>
    </row>
    <row r="3404">
      <c r="A3404" s="33" t="s">
        <v>12986</v>
      </c>
      <c r="B3404" s="122">
        <v>46167.0</v>
      </c>
      <c r="C3404" s="240">
        <v>8.07000036219E11</v>
      </c>
      <c r="D3404" s="240" t="s">
        <v>12987</v>
      </c>
      <c r="E3404" s="240" t="s">
        <v>12988</v>
      </c>
      <c r="F3404" s="242" t="s">
        <v>12989</v>
      </c>
      <c r="G3404" s="242" t="s">
        <v>4611</v>
      </c>
      <c r="H3404" s="242">
        <v>4530.0</v>
      </c>
      <c r="I3404" s="224" t="s">
        <v>1897</v>
      </c>
      <c r="J3404" s="240" t="s">
        <v>12990</v>
      </c>
      <c r="K3404" s="242">
        <v>2.0</v>
      </c>
      <c r="L3404" s="124">
        <v>3.878502462E9</v>
      </c>
    </row>
    <row r="3405">
      <c r="A3405" s="33" t="s">
        <v>12991</v>
      </c>
      <c r="B3405" s="122">
        <v>46167.0</v>
      </c>
      <c r="C3405" s="103">
        <v>8.07000036245E11</v>
      </c>
      <c r="D3405" s="103" t="s">
        <v>12992</v>
      </c>
      <c r="E3405" s="103" t="s">
        <v>12993</v>
      </c>
      <c r="F3405" s="241" t="s">
        <v>12994</v>
      </c>
      <c r="G3405" s="241" t="s">
        <v>2177</v>
      </c>
      <c r="H3405" s="241">
        <v>4432.0</v>
      </c>
      <c r="I3405" s="211" t="s">
        <v>3649</v>
      </c>
      <c r="J3405" s="103" t="s">
        <v>3650</v>
      </c>
      <c r="K3405" s="241">
        <v>1.0</v>
      </c>
      <c r="L3405" s="124">
        <v>3.874820873E9</v>
      </c>
    </row>
    <row r="3406">
      <c r="A3406" s="33" t="s">
        <v>12991</v>
      </c>
      <c r="B3406" s="122">
        <v>46167.0</v>
      </c>
      <c r="C3406" s="240">
        <v>8.07000036245E11</v>
      </c>
      <c r="D3406" s="240" t="s">
        <v>12992</v>
      </c>
      <c r="E3406" s="240" t="s">
        <v>12993</v>
      </c>
      <c r="F3406" s="242" t="s">
        <v>12994</v>
      </c>
      <c r="G3406" s="242" t="s">
        <v>2177</v>
      </c>
      <c r="H3406" s="242">
        <v>4432.0</v>
      </c>
      <c r="I3406" s="224" t="s">
        <v>512</v>
      </c>
      <c r="J3406" s="240" t="s">
        <v>513</v>
      </c>
      <c r="K3406" s="242">
        <v>6.0</v>
      </c>
      <c r="L3406" s="124">
        <v>3.874820873E9</v>
      </c>
    </row>
    <row r="3407">
      <c r="A3407" s="33" t="s">
        <v>12991</v>
      </c>
      <c r="B3407" s="122">
        <v>46167.0</v>
      </c>
      <c r="C3407" s="103">
        <v>8.07000036245E11</v>
      </c>
      <c r="D3407" s="103" t="s">
        <v>12992</v>
      </c>
      <c r="E3407" s="103" t="s">
        <v>12993</v>
      </c>
      <c r="F3407" s="241" t="s">
        <v>12994</v>
      </c>
      <c r="G3407" s="241" t="s">
        <v>2177</v>
      </c>
      <c r="H3407" s="241">
        <v>4432.0</v>
      </c>
      <c r="I3407" s="211" t="s">
        <v>670</v>
      </c>
      <c r="J3407" s="103" t="s">
        <v>3410</v>
      </c>
      <c r="K3407" s="241">
        <v>1.0</v>
      </c>
      <c r="L3407" s="124">
        <v>3.874820873E9</v>
      </c>
    </row>
    <row r="3408">
      <c r="A3408" s="33" t="s">
        <v>12995</v>
      </c>
      <c r="B3408" s="122">
        <v>46167.0</v>
      </c>
      <c r="C3408" s="240">
        <v>8.0700003626E11</v>
      </c>
      <c r="D3408" s="240" t="s">
        <v>12996</v>
      </c>
      <c r="E3408" s="240" t="s">
        <v>12997</v>
      </c>
      <c r="F3408" s="241" t="s">
        <v>12998</v>
      </c>
      <c r="G3408" s="241" t="s">
        <v>12999</v>
      </c>
      <c r="H3408" s="241">
        <v>4430.0</v>
      </c>
      <c r="I3408" s="224" t="s">
        <v>12654</v>
      </c>
      <c r="J3408" s="240" t="s">
        <v>12655</v>
      </c>
      <c r="K3408" s="242">
        <v>1.0</v>
      </c>
      <c r="L3408" s="124">
        <v>3.875321496E9</v>
      </c>
    </row>
    <row r="3409" ht="3.75" customHeight="1">
      <c r="A3409" s="100"/>
      <c r="B3409" s="230"/>
      <c r="C3409" s="251"/>
      <c r="D3409" s="251"/>
      <c r="E3409" s="251"/>
      <c r="F3409" s="253"/>
      <c r="G3409" s="253"/>
      <c r="H3409" s="253"/>
      <c r="I3409" s="252"/>
      <c r="J3409" s="251"/>
      <c r="K3409" s="253"/>
      <c r="L3409" s="232"/>
      <c r="M3409" s="233"/>
      <c r="N3409" s="233"/>
      <c r="O3409" s="233"/>
      <c r="P3409" s="233"/>
      <c r="Q3409" s="233"/>
      <c r="R3409" s="233"/>
      <c r="S3409" s="233"/>
      <c r="T3409" s="233"/>
      <c r="U3409" s="233"/>
      <c r="V3409" s="233"/>
      <c r="W3409" s="233"/>
      <c r="X3409" s="233"/>
      <c r="Y3409" s="233"/>
      <c r="Z3409" s="233"/>
      <c r="AA3409" s="233"/>
      <c r="AB3409" s="233"/>
      <c r="AC3409" s="233"/>
    </row>
    <row r="3410">
      <c r="A3410" s="33" t="s">
        <v>13000</v>
      </c>
      <c r="B3410" s="122">
        <v>46169.0</v>
      </c>
      <c r="C3410" s="103">
        <v>8.07000036263E11</v>
      </c>
      <c r="D3410" s="103" t="s">
        <v>7745</v>
      </c>
      <c r="E3410" s="103" t="s">
        <v>7746</v>
      </c>
      <c r="F3410" s="241" t="s">
        <v>13001</v>
      </c>
      <c r="G3410" s="241" t="s">
        <v>127</v>
      </c>
      <c r="H3410" s="241">
        <v>4400.0</v>
      </c>
      <c r="I3410" s="211" t="s">
        <v>3054</v>
      </c>
      <c r="J3410" s="103" t="s">
        <v>3346</v>
      </c>
      <c r="K3410" s="241">
        <v>1.0</v>
      </c>
      <c r="L3410" s="124">
        <v>3.874890128E9</v>
      </c>
    </row>
    <row r="3411">
      <c r="A3411" s="33" t="s">
        <v>13000</v>
      </c>
      <c r="B3411" s="122">
        <v>46169.0</v>
      </c>
      <c r="C3411" s="240">
        <v>8.07000036263E11</v>
      </c>
      <c r="D3411" s="240" t="s">
        <v>7745</v>
      </c>
      <c r="E3411" s="240" t="s">
        <v>7746</v>
      </c>
      <c r="F3411" s="242" t="s">
        <v>13001</v>
      </c>
      <c r="G3411" s="242" t="s">
        <v>127</v>
      </c>
      <c r="H3411" s="242">
        <v>4400.0</v>
      </c>
      <c r="I3411" s="224" t="s">
        <v>512</v>
      </c>
      <c r="J3411" s="240" t="s">
        <v>513</v>
      </c>
      <c r="K3411" s="242">
        <v>6.0</v>
      </c>
      <c r="L3411" s="124">
        <v>3.874890128E9</v>
      </c>
    </row>
    <row r="3412">
      <c r="A3412" s="33" t="s">
        <v>13000</v>
      </c>
      <c r="B3412" s="122">
        <v>46169.0</v>
      </c>
      <c r="C3412" s="103">
        <v>8.07000036263E11</v>
      </c>
      <c r="D3412" s="103" t="s">
        <v>7745</v>
      </c>
      <c r="E3412" s="103" t="s">
        <v>7746</v>
      </c>
      <c r="F3412" s="241" t="s">
        <v>13001</v>
      </c>
      <c r="G3412" s="241" t="s">
        <v>127</v>
      </c>
      <c r="H3412" s="241">
        <v>4400.0</v>
      </c>
      <c r="I3412" s="211" t="s">
        <v>2031</v>
      </c>
      <c r="J3412" s="103" t="s">
        <v>3348</v>
      </c>
      <c r="K3412" s="241">
        <v>1.0</v>
      </c>
      <c r="L3412" s="124">
        <v>3.874890128E9</v>
      </c>
    </row>
    <row r="3413">
      <c r="A3413" s="33" t="s">
        <v>13002</v>
      </c>
      <c r="B3413" s="122">
        <v>46169.0</v>
      </c>
      <c r="C3413" s="103">
        <v>8.07000036278E11</v>
      </c>
      <c r="D3413" s="103" t="s">
        <v>13003</v>
      </c>
      <c r="E3413" s="103" t="s">
        <v>13004</v>
      </c>
      <c r="F3413" s="241" t="s">
        <v>13005</v>
      </c>
      <c r="G3413" s="241" t="s">
        <v>127</v>
      </c>
      <c r="H3413" s="241">
        <v>4400.0</v>
      </c>
      <c r="I3413" s="211" t="s">
        <v>512</v>
      </c>
      <c r="J3413" s="103" t="s">
        <v>513</v>
      </c>
      <c r="K3413" s="241">
        <v>12.0</v>
      </c>
      <c r="L3413" s="124">
        <v>3.874156444E9</v>
      </c>
    </row>
    <row r="3414">
      <c r="A3414" s="33" t="s">
        <v>13002</v>
      </c>
      <c r="B3414" s="122">
        <v>46169.0</v>
      </c>
      <c r="C3414" s="103">
        <v>8.07000036279E11</v>
      </c>
      <c r="D3414" s="103" t="s">
        <v>13003</v>
      </c>
      <c r="E3414" s="103" t="s">
        <v>13004</v>
      </c>
      <c r="F3414" s="241" t="s">
        <v>13005</v>
      </c>
      <c r="G3414" s="241" t="s">
        <v>127</v>
      </c>
      <c r="H3414" s="241">
        <v>4400.0</v>
      </c>
      <c r="I3414" s="211" t="s">
        <v>3679</v>
      </c>
      <c r="J3414" s="103" t="s">
        <v>3680</v>
      </c>
      <c r="K3414" s="241">
        <v>1.0</v>
      </c>
      <c r="L3414" s="124">
        <v>3.874156444E9</v>
      </c>
    </row>
    <row r="3415">
      <c r="A3415" s="33" t="s">
        <v>13002</v>
      </c>
      <c r="B3415" s="122">
        <v>46169.0</v>
      </c>
      <c r="C3415" s="240">
        <v>8.07000036279E11</v>
      </c>
      <c r="D3415" s="240" t="s">
        <v>13003</v>
      </c>
      <c r="E3415" s="240" t="s">
        <v>13004</v>
      </c>
      <c r="F3415" s="242" t="s">
        <v>13005</v>
      </c>
      <c r="G3415" s="242" t="s">
        <v>127</v>
      </c>
      <c r="H3415" s="242">
        <v>4400.0</v>
      </c>
      <c r="I3415" s="224" t="s">
        <v>645</v>
      </c>
      <c r="J3415" s="240" t="s">
        <v>3253</v>
      </c>
      <c r="K3415" s="242">
        <v>2.0</v>
      </c>
      <c r="L3415" s="124">
        <v>3.874156444E9</v>
      </c>
    </row>
    <row r="3416">
      <c r="A3416" s="33" t="s">
        <v>13006</v>
      </c>
      <c r="B3416" s="122">
        <v>46169.0</v>
      </c>
      <c r="C3416" s="240">
        <v>8.07000036282E11</v>
      </c>
      <c r="D3416" s="240" t="s">
        <v>13007</v>
      </c>
      <c r="E3416" s="240" t="s">
        <v>13008</v>
      </c>
      <c r="F3416" s="242" t="s">
        <v>13009</v>
      </c>
      <c r="G3416" s="242" t="s">
        <v>12632</v>
      </c>
      <c r="H3416" s="242">
        <v>4421.0</v>
      </c>
      <c r="I3416" s="224" t="s">
        <v>512</v>
      </c>
      <c r="J3416" s="240" t="s">
        <v>513</v>
      </c>
      <c r="K3416" s="242">
        <v>12.0</v>
      </c>
      <c r="L3416" s="124">
        <v>3.874840029E9</v>
      </c>
    </row>
    <row r="3417">
      <c r="A3417" s="33" t="s">
        <v>13006</v>
      </c>
      <c r="B3417" s="122">
        <v>46169.0</v>
      </c>
      <c r="C3417" s="103">
        <v>8.07000036283E11</v>
      </c>
      <c r="D3417" s="103" t="s">
        <v>13007</v>
      </c>
      <c r="E3417" s="103" t="s">
        <v>13008</v>
      </c>
      <c r="F3417" s="241" t="s">
        <v>13009</v>
      </c>
      <c r="G3417" s="241" t="s">
        <v>12632</v>
      </c>
      <c r="H3417" s="241">
        <v>4421.0</v>
      </c>
      <c r="I3417" s="211" t="s">
        <v>298</v>
      </c>
      <c r="J3417" s="103" t="s">
        <v>6035</v>
      </c>
      <c r="K3417" s="241">
        <v>1.0</v>
      </c>
      <c r="L3417" s="124">
        <v>3.874840029E9</v>
      </c>
    </row>
    <row r="3418">
      <c r="A3418" s="33" t="s">
        <v>13006</v>
      </c>
      <c r="B3418" s="122">
        <v>46169.0</v>
      </c>
      <c r="C3418" s="240">
        <v>8.07000036284E11</v>
      </c>
      <c r="D3418" s="240" t="s">
        <v>13007</v>
      </c>
      <c r="E3418" s="240" t="s">
        <v>13008</v>
      </c>
      <c r="F3418" s="242" t="s">
        <v>13009</v>
      </c>
      <c r="G3418" s="242" t="s">
        <v>12632</v>
      </c>
      <c r="H3418" s="242">
        <v>4421.0</v>
      </c>
      <c r="I3418" s="224" t="s">
        <v>340</v>
      </c>
      <c r="J3418" s="240" t="s">
        <v>3486</v>
      </c>
      <c r="K3418" s="242">
        <v>2.0</v>
      </c>
      <c r="L3418" s="124">
        <v>3.874840029E9</v>
      </c>
    </row>
    <row r="3419">
      <c r="A3419" s="241" t="s">
        <v>13010</v>
      </c>
      <c r="B3419" s="122">
        <v>46169.0</v>
      </c>
      <c r="C3419" s="103">
        <v>8.07000036292E11</v>
      </c>
      <c r="D3419" s="103" t="s">
        <v>13011</v>
      </c>
      <c r="E3419" s="103" t="s">
        <v>13012</v>
      </c>
      <c r="F3419" s="241" t="s">
        <v>13013</v>
      </c>
      <c r="G3419" s="242" t="s">
        <v>127</v>
      </c>
      <c r="H3419" s="242">
        <v>4400.0</v>
      </c>
      <c r="I3419" s="211">
        <v>125822.0</v>
      </c>
      <c r="J3419" s="103" t="s">
        <v>6030</v>
      </c>
      <c r="K3419" s="242">
        <v>2.0</v>
      </c>
      <c r="L3419" s="174">
        <v>3.874631808E9</v>
      </c>
    </row>
    <row r="3420">
      <c r="A3420" s="241" t="s">
        <v>13010</v>
      </c>
      <c r="B3420" s="122">
        <v>46169.0</v>
      </c>
      <c r="C3420" s="103">
        <v>8.07000036292E11</v>
      </c>
      <c r="D3420" s="103" t="s">
        <v>13011</v>
      </c>
      <c r="E3420" s="103" t="s">
        <v>13012</v>
      </c>
      <c r="F3420" s="241" t="s">
        <v>13013</v>
      </c>
      <c r="G3420" s="242" t="s">
        <v>127</v>
      </c>
      <c r="H3420" s="242">
        <v>4400.0</v>
      </c>
      <c r="I3420" s="224" t="s">
        <v>659</v>
      </c>
      <c r="J3420" s="240" t="s">
        <v>3468</v>
      </c>
      <c r="K3420" s="242">
        <v>1.0</v>
      </c>
      <c r="L3420" s="174">
        <v>3.874631808E9</v>
      </c>
    </row>
    <row r="3421">
      <c r="A3421" s="33" t="s">
        <v>13014</v>
      </c>
      <c r="B3421" s="122">
        <v>46170.0</v>
      </c>
      <c r="C3421" s="103">
        <v>8.07000036232E11</v>
      </c>
      <c r="D3421" s="103" t="s">
        <v>6339</v>
      </c>
      <c r="E3421" s="103" t="s">
        <v>6340</v>
      </c>
      <c r="F3421" s="241" t="s">
        <v>6341</v>
      </c>
      <c r="G3421" s="241" t="s">
        <v>127</v>
      </c>
      <c r="H3421" s="241">
        <v>4400.0</v>
      </c>
      <c r="I3421" s="211">
        <v>208502.0</v>
      </c>
      <c r="J3421" s="103" t="s">
        <v>4551</v>
      </c>
      <c r="K3421" s="241">
        <v>2.0</v>
      </c>
      <c r="L3421" s="124">
        <v>3.874835385E9</v>
      </c>
      <c r="M3421" s="54" t="s">
        <v>13015</v>
      </c>
    </row>
    <row r="3422">
      <c r="A3422" s="33" t="s">
        <v>13016</v>
      </c>
      <c r="B3422" s="122">
        <v>46170.0</v>
      </c>
      <c r="C3422" s="103">
        <v>8.07000036274E11</v>
      </c>
      <c r="D3422" s="103" t="s">
        <v>13017</v>
      </c>
      <c r="E3422" s="103" t="s">
        <v>13018</v>
      </c>
      <c r="F3422" s="241" t="s">
        <v>13019</v>
      </c>
      <c r="G3422" s="241" t="s">
        <v>127</v>
      </c>
      <c r="H3422" s="241">
        <v>4400.0</v>
      </c>
      <c r="I3422" s="211" t="s">
        <v>3334</v>
      </c>
      <c r="J3422" s="103" t="s">
        <v>3575</v>
      </c>
      <c r="K3422" s="241">
        <v>1.0</v>
      </c>
      <c r="L3422" s="124">
        <v>3.87456886E9</v>
      </c>
    </row>
    <row r="3423">
      <c r="A3423" s="33" t="s">
        <v>13016</v>
      </c>
      <c r="B3423" s="122">
        <v>46170.0</v>
      </c>
      <c r="C3423" s="240">
        <v>8.07000036274E11</v>
      </c>
      <c r="D3423" s="240" t="s">
        <v>13017</v>
      </c>
      <c r="E3423" s="240" t="s">
        <v>13018</v>
      </c>
      <c r="F3423" s="242" t="s">
        <v>13019</v>
      </c>
      <c r="G3423" s="242" t="s">
        <v>127</v>
      </c>
      <c r="H3423" s="242">
        <v>4400.0</v>
      </c>
      <c r="I3423" s="224" t="s">
        <v>512</v>
      </c>
      <c r="J3423" s="240" t="s">
        <v>513</v>
      </c>
      <c r="K3423" s="242">
        <v>12.0</v>
      </c>
      <c r="L3423" s="124">
        <v>3.87456886E9</v>
      </c>
    </row>
    <row r="3424">
      <c r="A3424" s="33" t="s">
        <v>13016</v>
      </c>
      <c r="B3424" s="122">
        <v>46170.0</v>
      </c>
      <c r="C3424" s="103">
        <v>8.07000036274E11</v>
      </c>
      <c r="D3424" s="103" t="s">
        <v>13017</v>
      </c>
      <c r="E3424" s="103" t="s">
        <v>13018</v>
      </c>
      <c r="F3424" s="241" t="s">
        <v>13019</v>
      </c>
      <c r="G3424" s="241" t="s">
        <v>127</v>
      </c>
      <c r="H3424" s="241">
        <v>4400.0</v>
      </c>
      <c r="I3424" s="211" t="s">
        <v>758</v>
      </c>
      <c r="J3424" s="103" t="s">
        <v>3574</v>
      </c>
      <c r="K3424" s="241">
        <v>2.0</v>
      </c>
      <c r="L3424" s="124">
        <v>3.87456886E9</v>
      </c>
    </row>
    <row r="3425">
      <c r="A3425" s="33" t="s">
        <v>13016</v>
      </c>
      <c r="B3425" s="122">
        <v>46170.0</v>
      </c>
      <c r="C3425" s="240">
        <v>8.07000036275E11</v>
      </c>
      <c r="D3425" s="240" t="s">
        <v>13017</v>
      </c>
      <c r="E3425" s="240" t="s">
        <v>13018</v>
      </c>
      <c r="F3425" s="242" t="s">
        <v>13019</v>
      </c>
      <c r="G3425" s="242" t="s">
        <v>127</v>
      </c>
      <c r="H3425" s="242">
        <v>4400.0</v>
      </c>
      <c r="I3425" s="224">
        <v>121.0</v>
      </c>
      <c r="J3425" s="240" t="s">
        <v>8028</v>
      </c>
      <c r="K3425" s="242">
        <v>1.0</v>
      </c>
      <c r="L3425" s="124">
        <v>3.87456886E9</v>
      </c>
    </row>
    <row r="3426">
      <c r="A3426" s="33" t="s">
        <v>13016</v>
      </c>
      <c r="B3426" s="122">
        <v>46170.0</v>
      </c>
      <c r="C3426" s="103">
        <v>8.07000036276E11</v>
      </c>
      <c r="D3426" s="103" t="s">
        <v>13017</v>
      </c>
      <c r="E3426" s="103" t="s">
        <v>13018</v>
      </c>
      <c r="F3426" s="241" t="s">
        <v>13019</v>
      </c>
      <c r="G3426" s="241" t="s">
        <v>127</v>
      </c>
      <c r="H3426" s="241">
        <v>4400.0</v>
      </c>
      <c r="I3426" s="211">
        <v>125817.0</v>
      </c>
      <c r="J3426" s="103" t="s">
        <v>10650</v>
      </c>
      <c r="K3426" s="241">
        <v>2.0</v>
      </c>
      <c r="L3426" s="124">
        <v>3.87456886E9</v>
      </c>
    </row>
    <row r="3427">
      <c r="A3427" s="33" t="s">
        <v>13020</v>
      </c>
      <c r="B3427" s="122">
        <v>46170.0</v>
      </c>
      <c r="C3427" s="240">
        <v>8.07000036293E11</v>
      </c>
      <c r="D3427" s="240" t="s">
        <v>13011</v>
      </c>
      <c r="E3427" s="240" t="s">
        <v>13012</v>
      </c>
      <c r="F3427" s="242" t="s">
        <v>13021</v>
      </c>
      <c r="G3427" s="242" t="s">
        <v>127</v>
      </c>
      <c r="H3427" s="242">
        <v>4400.0</v>
      </c>
      <c r="I3427" s="224" t="s">
        <v>5262</v>
      </c>
      <c r="J3427" s="240" t="s">
        <v>5263</v>
      </c>
      <c r="K3427" s="242">
        <v>1.0</v>
      </c>
      <c r="L3427" s="124">
        <v>3.874631808E9</v>
      </c>
    </row>
    <row r="3428">
      <c r="A3428" s="33" t="s">
        <v>13022</v>
      </c>
      <c r="B3428" s="122">
        <v>46170.0</v>
      </c>
      <c r="C3428" s="240">
        <v>8.07000036297E11</v>
      </c>
      <c r="D3428" s="240" t="s">
        <v>6335</v>
      </c>
      <c r="E3428" s="240" t="s">
        <v>6336</v>
      </c>
      <c r="F3428" s="242" t="s">
        <v>6337</v>
      </c>
      <c r="G3428" s="242" t="s">
        <v>127</v>
      </c>
      <c r="H3428" s="242">
        <v>4400.0</v>
      </c>
      <c r="I3428" s="224" t="s">
        <v>4070</v>
      </c>
      <c r="J3428" s="240" t="s">
        <v>6264</v>
      </c>
      <c r="K3428" s="242">
        <v>1.0</v>
      </c>
      <c r="L3428" s="124">
        <v>3.874493285E9</v>
      </c>
    </row>
    <row r="3429">
      <c r="A3429" s="33" t="s">
        <v>13023</v>
      </c>
      <c r="B3429" s="122">
        <v>46170.0</v>
      </c>
      <c r="C3429" s="103">
        <v>8.07000036312E11</v>
      </c>
      <c r="D3429" s="103" t="s">
        <v>13024</v>
      </c>
      <c r="E3429" s="103" t="s">
        <v>13025</v>
      </c>
      <c r="F3429" s="241" t="s">
        <v>13026</v>
      </c>
      <c r="G3429" s="241" t="s">
        <v>4645</v>
      </c>
      <c r="H3429" s="241">
        <v>4400.0</v>
      </c>
      <c r="I3429" s="211" t="s">
        <v>768</v>
      </c>
      <c r="J3429" s="103" t="s">
        <v>3386</v>
      </c>
      <c r="K3429" s="241">
        <v>1.0</v>
      </c>
      <c r="L3429" s="124">
        <v>3.874181223E9</v>
      </c>
    </row>
    <row r="3430">
      <c r="A3430" s="33" t="s">
        <v>13023</v>
      </c>
      <c r="B3430" s="122">
        <v>46170.0</v>
      </c>
      <c r="C3430" s="240">
        <v>8.07000036313E11</v>
      </c>
      <c r="D3430" s="240" t="s">
        <v>13024</v>
      </c>
      <c r="E3430" s="240" t="s">
        <v>13025</v>
      </c>
      <c r="F3430" s="242" t="s">
        <v>13026</v>
      </c>
      <c r="G3430" s="242" t="s">
        <v>4645</v>
      </c>
      <c r="H3430" s="242">
        <v>4400.0</v>
      </c>
      <c r="I3430" s="224">
        <v>87610.0</v>
      </c>
      <c r="J3430" s="240" t="s">
        <v>12683</v>
      </c>
      <c r="K3430" s="242">
        <v>2.0</v>
      </c>
      <c r="L3430" s="124">
        <v>3.874181223E9</v>
      </c>
    </row>
    <row r="3431">
      <c r="A3431" s="33" t="s">
        <v>13027</v>
      </c>
      <c r="B3431" s="122">
        <v>46171.0</v>
      </c>
      <c r="C3431" s="240">
        <v>8.07000036314E11</v>
      </c>
      <c r="D3431" s="240" t="s">
        <v>13028</v>
      </c>
      <c r="E3431" s="240" t="s">
        <v>13029</v>
      </c>
      <c r="F3431" s="242" t="s">
        <v>13030</v>
      </c>
      <c r="G3431" s="242" t="s">
        <v>127</v>
      </c>
      <c r="H3431" s="242">
        <v>4400.0</v>
      </c>
      <c r="I3431" s="224" t="s">
        <v>5551</v>
      </c>
      <c r="J3431" s="240" t="s">
        <v>5552</v>
      </c>
      <c r="K3431" s="242">
        <v>1.0</v>
      </c>
      <c r="L3431" s="124">
        <v>3.874855936E9</v>
      </c>
    </row>
    <row r="3432">
      <c r="A3432" s="33" t="s">
        <v>13027</v>
      </c>
      <c r="B3432" s="122">
        <v>46171.0</v>
      </c>
      <c r="C3432" s="103">
        <v>8.07000036314E11</v>
      </c>
      <c r="D3432" s="103" t="s">
        <v>13028</v>
      </c>
      <c r="E3432" s="103" t="s">
        <v>13029</v>
      </c>
      <c r="F3432" s="241" t="s">
        <v>13030</v>
      </c>
      <c r="G3432" s="241" t="s">
        <v>127</v>
      </c>
      <c r="H3432" s="241">
        <v>4400.0</v>
      </c>
      <c r="I3432" s="211" t="s">
        <v>110</v>
      </c>
      <c r="J3432" s="103" t="s">
        <v>3673</v>
      </c>
      <c r="K3432" s="241">
        <v>1.0</v>
      </c>
      <c r="L3432" s="124">
        <v>3.874855936E9</v>
      </c>
    </row>
    <row r="3433">
      <c r="A3433" s="33" t="s">
        <v>13031</v>
      </c>
      <c r="B3433" s="122">
        <v>46171.0</v>
      </c>
      <c r="C3433" s="240">
        <v>8.07000036319E11</v>
      </c>
      <c r="D3433" s="240" t="s">
        <v>13032</v>
      </c>
      <c r="E3433" s="240" t="s">
        <v>13033</v>
      </c>
      <c r="F3433" s="242" t="s">
        <v>13034</v>
      </c>
      <c r="G3433" s="242" t="s">
        <v>4645</v>
      </c>
      <c r="H3433" s="242">
        <v>4400.0</v>
      </c>
      <c r="I3433" s="224" t="s">
        <v>5034</v>
      </c>
      <c r="J3433" s="240" t="s">
        <v>5035</v>
      </c>
      <c r="K3433" s="242">
        <v>1.0</v>
      </c>
      <c r="L3433" s="124">
        <v>3.875918808E9</v>
      </c>
    </row>
    <row r="3434">
      <c r="A3434" s="33" t="s">
        <v>13031</v>
      </c>
      <c r="B3434" s="122">
        <v>46171.0</v>
      </c>
      <c r="C3434" s="103">
        <v>8.07000036319E11</v>
      </c>
      <c r="D3434" s="103" t="s">
        <v>13032</v>
      </c>
      <c r="E3434" s="103" t="s">
        <v>13033</v>
      </c>
      <c r="F3434" s="241" t="s">
        <v>13034</v>
      </c>
      <c r="G3434" s="241" t="s">
        <v>4645</v>
      </c>
      <c r="H3434" s="241">
        <v>4400.0</v>
      </c>
      <c r="I3434" s="211" t="s">
        <v>110</v>
      </c>
      <c r="J3434" s="103" t="s">
        <v>3673</v>
      </c>
      <c r="K3434" s="241">
        <v>1.0</v>
      </c>
      <c r="L3434" s="124">
        <v>3.875918808E9</v>
      </c>
    </row>
    <row r="3435">
      <c r="A3435" s="33" t="s">
        <v>13035</v>
      </c>
      <c r="B3435" s="122">
        <v>46171.0</v>
      </c>
      <c r="C3435" s="103">
        <v>8.07000036309E11</v>
      </c>
      <c r="D3435" s="103" t="s">
        <v>13036</v>
      </c>
      <c r="E3435" s="103" t="s">
        <v>13037</v>
      </c>
      <c r="F3435" s="241" t="s">
        <v>13038</v>
      </c>
      <c r="G3435" s="241" t="s">
        <v>127</v>
      </c>
      <c r="H3435" s="241">
        <v>4400.0</v>
      </c>
      <c r="I3435" s="211">
        <v>208501.0</v>
      </c>
      <c r="J3435" s="103" t="s">
        <v>481</v>
      </c>
      <c r="K3435" s="241">
        <v>2.0</v>
      </c>
      <c r="L3435" s="124">
        <v>3.874843001E9</v>
      </c>
    </row>
    <row r="3436">
      <c r="A3436" s="33" t="s">
        <v>13035</v>
      </c>
      <c r="B3436" s="122">
        <v>46171.0</v>
      </c>
      <c r="C3436" s="240">
        <v>8.0700003631E11</v>
      </c>
      <c r="D3436" s="240" t="s">
        <v>13036</v>
      </c>
      <c r="E3436" s="240" t="s">
        <v>13037</v>
      </c>
      <c r="F3436" s="242" t="s">
        <v>13038</v>
      </c>
      <c r="G3436" s="242" t="s">
        <v>127</v>
      </c>
      <c r="H3436" s="242">
        <v>4400.0</v>
      </c>
      <c r="I3436" s="224" t="s">
        <v>110</v>
      </c>
      <c r="J3436" s="240" t="s">
        <v>3673</v>
      </c>
      <c r="K3436" s="242">
        <v>1.0</v>
      </c>
      <c r="L3436" s="124">
        <v>3.874843001E9</v>
      </c>
    </row>
    <row r="3437">
      <c r="A3437" s="33" t="s">
        <v>13035</v>
      </c>
      <c r="B3437" s="122">
        <v>46171.0</v>
      </c>
      <c r="C3437" s="103">
        <v>8.07000036324E11</v>
      </c>
      <c r="D3437" s="103" t="s">
        <v>13036</v>
      </c>
      <c r="E3437" s="103" t="s">
        <v>13037</v>
      </c>
      <c r="F3437" s="241" t="s">
        <v>13038</v>
      </c>
      <c r="G3437" s="241" t="s">
        <v>127</v>
      </c>
      <c r="H3437" s="241">
        <v>4400.0</v>
      </c>
      <c r="I3437" s="211" t="s">
        <v>5034</v>
      </c>
      <c r="J3437" s="103" t="s">
        <v>5035</v>
      </c>
      <c r="K3437" s="241">
        <v>1.0</v>
      </c>
      <c r="L3437" s="124">
        <v>3.874843001E9</v>
      </c>
    </row>
    <row r="3438" ht="6.0" customHeight="1">
      <c r="A3438" s="100"/>
      <c r="B3438" s="230"/>
      <c r="C3438" s="251"/>
      <c r="D3438" s="251"/>
      <c r="E3438" s="251"/>
      <c r="F3438" s="253"/>
      <c r="G3438" s="253"/>
      <c r="H3438" s="253"/>
      <c r="I3438" s="252"/>
      <c r="J3438" s="251"/>
      <c r="K3438" s="253"/>
      <c r="L3438" s="232"/>
      <c r="M3438" s="233"/>
      <c r="N3438" s="233"/>
      <c r="O3438" s="233"/>
      <c r="P3438" s="233"/>
      <c r="Q3438" s="233"/>
      <c r="R3438" s="233"/>
      <c r="S3438" s="233"/>
      <c r="T3438" s="233"/>
      <c r="U3438" s="233"/>
      <c r="V3438" s="233"/>
      <c r="W3438" s="233"/>
      <c r="X3438" s="233"/>
      <c r="Y3438" s="233"/>
      <c r="Z3438" s="233"/>
      <c r="AA3438" s="233"/>
      <c r="AB3438" s="233"/>
      <c r="AC3438" s="233"/>
    </row>
    <row r="3439">
      <c r="A3439" s="33" t="s">
        <v>13039</v>
      </c>
      <c r="B3439" s="122">
        <v>46174.0</v>
      </c>
      <c r="C3439" s="240">
        <v>8.07000036359E11</v>
      </c>
      <c r="D3439" s="240" t="s">
        <v>13040</v>
      </c>
      <c r="E3439" s="240" t="s">
        <v>13041</v>
      </c>
      <c r="F3439" s="242" t="s">
        <v>13042</v>
      </c>
      <c r="G3439" s="242" t="s">
        <v>127</v>
      </c>
      <c r="H3439" s="242">
        <v>4400.0</v>
      </c>
      <c r="I3439" s="224" t="s">
        <v>3154</v>
      </c>
      <c r="J3439" s="240" t="s">
        <v>4564</v>
      </c>
      <c r="K3439" s="242">
        <v>1.0</v>
      </c>
      <c r="L3439" s="124">
        <v>3.874811687E9</v>
      </c>
    </row>
    <row r="3440">
      <c r="A3440" s="33" t="s">
        <v>13043</v>
      </c>
      <c r="B3440" s="122">
        <v>46174.0</v>
      </c>
      <c r="C3440" s="103">
        <v>8.07000036361E11</v>
      </c>
      <c r="D3440" s="103" t="s">
        <v>13044</v>
      </c>
      <c r="E3440" s="103" t="s">
        <v>13045</v>
      </c>
      <c r="F3440" s="241" t="s">
        <v>13046</v>
      </c>
      <c r="G3440" s="241" t="s">
        <v>104</v>
      </c>
      <c r="H3440" s="241">
        <v>4400.0</v>
      </c>
      <c r="I3440" s="211" t="s">
        <v>512</v>
      </c>
      <c r="J3440" s="103" t="s">
        <v>513</v>
      </c>
      <c r="K3440" s="241">
        <v>12.0</v>
      </c>
      <c r="L3440" s="124">
        <v>3.8761308E9</v>
      </c>
    </row>
    <row r="3441">
      <c r="A3441" s="33" t="s">
        <v>13043</v>
      </c>
      <c r="B3441" s="122">
        <v>46174.0</v>
      </c>
      <c r="C3441" s="240">
        <v>8.07000036362E11</v>
      </c>
      <c r="D3441" s="240" t="s">
        <v>13044</v>
      </c>
      <c r="E3441" s="240" t="s">
        <v>13045</v>
      </c>
      <c r="F3441" s="242" t="s">
        <v>13046</v>
      </c>
      <c r="G3441" s="242" t="s">
        <v>104</v>
      </c>
      <c r="H3441" s="242">
        <v>4400.0</v>
      </c>
      <c r="I3441" s="224" t="s">
        <v>1115</v>
      </c>
      <c r="J3441" s="240" t="s">
        <v>8215</v>
      </c>
      <c r="K3441" s="242">
        <v>1.0</v>
      </c>
      <c r="L3441" s="124">
        <v>3.8761308E9</v>
      </c>
    </row>
    <row r="3442">
      <c r="A3442" s="33" t="s">
        <v>13043</v>
      </c>
      <c r="B3442" s="122">
        <v>46174.0</v>
      </c>
      <c r="C3442" s="103">
        <v>8.07000036362E11</v>
      </c>
      <c r="D3442" s="103" t="s">
        <v>13044</v>
      </c>
      <c r="E3442" s="103" t="s">
        <v>13045</v>
      </c>
      <c r="F3442" s="241" t="s">
        <v>13046</v>
      </c>
      <c r="G3442" s="241" t="s">
        <v>104</v>
      </c>
      <c r="H3442" s="241">
        <v>4400.0</v>
      </c>
      <c r="I3442" s="211" t="s">
        <v>340</v>
      </c>
      <c r="J3442" s="103" t="s">
        <v>3486</v>
      </c>
      <c r="K3442" s="241">
        <v>2.0</v>
      </c>
      <c r="L3442" s="124">
        <v>3.8761308E9</v>
      </c>
    </row>
    <row r="3443">
      <c r="A3443" s="33" t="s">
        <v>13047</v>
      </c>
      <c r="B3443" s="122">
        <v>46174.0</v>
      </c>
      <c r="C3443" s="103">
        <v>8.07000036346E11</v>
      </c>
      <c r="D3443" s="103" t="s">
        <v>13048</v>
      </c>
      <c r="E3443" s="103" t="s">
        <v>13049</v>
      </c>
      <c r="F3443" s="241" t="s">
        <v>13050</v>
      </c>
      <c r="G3443" s="241" t="s">
        <v>127</v>
      </c>
      <c r="H3443" s="241">
        <v>4400.0</v>
      </c>
      <c r="I3443" s="211" t="s">
        <v>512</v>
      </c>
      <c r="J3443" s="103" t="s">
        <v>513</v>
      </c>
      <c r="K3443" s="241">
        <v>6.0</v>
      </c>
      <c r="L3443" s="124">
        <v>3.876234288E9</v>
      </c>
    </row>
    <row r="3444">
      <c r="A3444" s="33" t="s">
        <v>13047</v>
      </c>
      <c r="B3444" s="122">
        <v>46174.0</v>
      </c>
      <c r="C3444" s="240">
        <v>8.07000036347E11</v>
      </c>
      <c r="D3444" s="240" t="s">
        <v>13048</v>
      </c>
      <c r="E3444" s="240" t="s">
        <v>13049</v>
      </c>
      <c r="F3444" s="242" t="s">
        <v>13050</v>
      </c>
      <c r="G3444" s="242" t="s">
        <v>127</v>
      </c>
      <c r="H3444" s="242">
        <v>4400.0</v>
      </c>
      <c r="I3444" s="224" t="s">
        <v>6246</v>
      </c>
      <c r="J3444" s="240" t="s">
        <v>6247</v>
      </c>
      <c r="K3444" s="242">
        <v>1.0</v>
      </c>
      <c r="L3444" s="124">
        <v>3.876234288E9</v>
      </c>
    </row>
    <row r="3445">
      <c r="A3445" s="33" t="s">
        <v>13047</v>
      </c>
      <c r="B3445" s="122">
        <v>46174.0</v>
      </c>
      <c r="C3445" s="103">
        <v>8.07000036347E11</v>
      </c>
      <c r="D3445" s="103" t="s">
        <v>13048</v>
      </c>
      <c r="E3445" s="103" t="s">
        <v>13049</v>
      </c>
      <c r="F3445" s="241" t="s">
        <v>13050</v>
      </c>
      <c r="G3445" s="241" t="s">
        <v>127</v>
      </c>
      <c r="H3445" s="241">
        <v>4400.0</v>
      </c>
      <c r="I3445" s="211" t="s">
        <v>1345</v>
      </c>
      <c r="J3445" s="103" t="s">
        <v>3639</v>
      </c>
      <c r="K3445" s="241">
        <v>1.0</v>
      </c>
      <c r="L3445" s="124">
        <v>3.876234288E9</v>
      </c>
    </row>
    <row r="3446">
      <c r="A3446" s="33" t="s">
        <v>13051</v>
      </c>
      <c r="B3446" s="122">
        <v>46174.0</v>
      </c>
      <c r="C3446" s="240">
        <v>8.07000036352E11</v>
      </c>
      <c r="D3446" s="240" t="s">
        <v>13052</v>
      </c>
      <c r="E3446" s="240" t="s">
        <v>13053</v>
      </c>
      <c r="F3446" s="242" t="s">
        <v>13054</v>
      </c>
      <c r="G3446" s="242" t="s">
        <v>4645</v>
      </c>
      <c r="H3446" s="242">
        <v>4400.0</v>
      </c>
      <c r="I3446" s="224" t="s">
        <v>4070</v>
      </c>
      <c r="J3446" s="240" t="s">
        <v>6264</v>
      </c>
      <c r="K3446" s="242">
        <v>1.0</v>
      </c>
      <c r="L3446" s="124">
        <v>3.875409493E9</v>
      </c>
    </row>
    <row r="3447">
      <c r="A3447" s="33" t="s">
        <v>13051</v>
      </c>
      <c r="B3447" s="122">
        <v>46174.0</v>
      </c>
      <c r="C3447" s="103">
        <v>8.07000036352E11</v>
      </c>
      <c r="D3447" s="103" t="s">
        <v>13052</v>
      </c>
      <c r="E3447" s="103" t="s">
        <v>13053</v>
      </c>
      <c r="F3447" s="241" t="s">
        <v>13054</v>
      </c>
      <c r="G3447" s="241" t="s">
        <v>4645</v>
      </c>
      <c r="H3447" s="241">
        <v>4400.0</v>
      </c>
      <c r="I3447" s="211" t="s">
        <v>5551</v>
      </c>
      <c r="J3447" s="103" t="s">
        <v>5552</v>
      </c>
      <c r="K3447" s="241">
        <v>1.0</v>
      </c>
      <c r="L3447" s="124">
        <v>3.875409493E9</v>
      </c>
    </row>
    <row r="3448">
      <c r="A3448" s="33" t="s">
        <v>13055</v>
      </c>
      <c r="B3448" s="122">
        <v>46174.0</v>
      </c>
      <c r="C3448" s="240">
        <v>8.07000036353E11</v>
      </c>
      <c r="D3448" s="240" t="s">
        <v>13052</v>
      </c>
      <c r="E3448" s="240" t="s">
        <v>13053</v>
      </c>
      <c r="F3448" s="242" t="s">
        <v>13054</v>
      </c>
      <c r="G3448" s="242" t="s">
        <v>4645</v>
      </c>
      <c r="H3448" s="242">
        <v>4400.0</v>
      </c>
      <c r="I3448" s="224" t="s">
        <v>110</v>
      </c>
      <c r="J3448" s="240" t="s">
        <v>3673</v>
      </c>
      <c r="K3448" s="242">
        <v>1.0</v>
      </c>
      <c r="L3448" s="124">
        <v>3.875409493E9</v>
      </c>
    </row>
    <row r="3449">
      <c r="A3449" s="33" t="s">
        <v>13056</v>
      </c>
      <c r="B3449" s="122">
        <v>46174.0</v>
      </c>
      <c r="C3449" s="103">
        <v>8.07000036354E11</v>
      </c>
      <c r="D3449" s="103" t="s">
        <v>13057</v>
      </c>
      <c r="E3449" s="103" t="s">
        <v>13058</v>
      </c>
      <c r="F3449" s="241" t="s">
        <v>13059</v>
      </c>
      <c r="G3449" s="241" t="s">
        <v>127</v>
      </c>
      <c r="H3449" s="241">
        <v>4400.0</v>
      </c>
      <c r="I3449" s="211" t="s">
        <v>110</v>
      </c>
      <c r="J3449" s="103" t="s">
        <v>3673</v>
      </c>
      <c r="K3449" s="241">
        <v>1.0</v>
      </c>
      <c r="L3449" s="124">
        <v>3.874069601E9</v>
      </c>
    </row>
    <row r="3450">
      <c r="A3450" s="33" t="s">
        <v>13060</v>
      </c>
      <c r="B3450" s="122">
        <v>46174.0</v>
      </c>
      <c r="C3450" s="240">
        <v>8.07000036355E11</v>
      </c>
      <c r="D3450" s="240" t="s">
        <v>13057</v>
      </c>
      <c r="E3450" s="240" t="s">
        <v>13058</v>
      </c>
      <c r="F3450" s="242" t="s">
        <v>13059</v>
      </c>
      <c r="G3450" s="242" t="s">
        <v>127</v>
      </c>
      <c r="H3450" s="242">
        <v>4400.0</v>
      </c>
      <c r="I3450" s="224" t="s">
        <v>11890</v>
      </c>
      <c r="J3450" s="240" t="s">
        <v>11891</v>
      </c>
      <c r="K3450" s="242">
        <v>2.0</v>
      </c>
      <c r="L3450" s="124">
        <v>3.874069601E9</v>
      </c>
    </row>
    <row r="3451">
      <c r="A3451" s="33" t="s">
        <v>13061</v>
      </c>
      <c r="B3451" s="122">
        <v>46174.0</v>
      </c>
      <c r="C3451" s="103">
        <v>8.07000036356E11</v>
      </c>
      <c r="D3451" s="103" t="s">
        <v>13057</v>
      </c>
      <c r="E3451" s="103" t="s">
        <v>13058</v>
      </c>
      <c r="F3451" s="241" t="s">
        <v>13059</v>
      </c>
      <c r="G3451" s="241" t="s">
        <v>127</v>
      </c>
      <c r="H3451" s="241">
        <v>4400.0</v>
      </c>
      <c r="I3451" s="211" t="s">
        <v>32</v>
      </c>
      <c r="J3451" s="103" t="s">
        <v>3225</v>
      </c>
      <c r="K3451" s="241">
        <v>1.0</v>
      </c>
      <c r="L3451" s="124">
        <v>3.874069601E9</v>
      </c>
    </row>
    <row r="3452">
      <c r="A3452" s="33" t="s">
        <v>13062</v>
      </c>
      <c r="B3452" s="122">
        <v>46174.0</v>
      </c>
      <c r="C3452" s="240">
        <v>8.07000036337E11</v>
      </c>
      <c r="D3452" s="240" t="s">
        <v>13063</v>
      </c>
      <c r="E3452" s="240" t="s">
        <v>13064</v>
      </c>
      <c r="F3452" s="242" t="s">
        <v>13065</v>
      </c>
      <c r="G3452" s="242" t="s">
        <v>13066</v>
      </c>
      <c r="H3452" s="242">
        <v>4407.0</v>
      </c>
      <c r="I3452" s="224" t="s">
        <v>3679</v>
      </c>
      <c r="J3452" s="240" t="s">
        <v>3680</v>
      </c>
      <c r="K3452" s="242">
        <v>1.0</v>
      </c>
      <c r="L3452" s="124">
        <v>2.314405438E9</v>
      </c>
    </row>
    <row r="3453">
      <c r="A3453" s="33" t="s">
        <v>13067</v>
      </c>
      <c r="B3453" s="122">
        <v>46174.0</v>
      </c>
      <c r="C3453" s="103">
        <v>8.07000036349E11</v>
      </c>
      <c r="D3453" s="103" t="s">
        <v>13063</v>
      </c>
      <c r="E3453" s="103" t="s">
        <v>13064</v>
      </c>
      <c r="F3453" s="241" t="s">
        <v>13065</v>
      </c>
      <c r="G3453" s="241" t="s">
        <v>13066</v>
      </c>
      <c r="H3453" s="242">
        <v>4407.0</v>
      </c>
      <c r="I3453" s="211" t="s">
        <v>13068</v>
      </c>
      <c r="J3453" s="103" t="s">
        <v>13069</v>
      </c>
      <c r="K3453" s="241">
        <v>2.0</v>
      </c>
      <c r="L3453" s="124">
        <v>2.314405438E9</v>
      </c>
    </row>
    <row r="3454" ht="3.75" customHeight="1">
      <c r="A3454" s="112"/>
      <c r="B3454" s="316"/>
      <c r="C3454" s="317"/>
      <c r="D3454" s="317"/>
      <c r="E3454" s="317"/>
      <c r="F3454" s="318"/>
      <c r="G3454" s="318"/>
      <c r="H3454" s="318"/>
      <c r="I3454" s="319"/>
      <c r="J3454" s="317"/>
      <c r="K3454" s="318"/>
      <c r="L3454" s="320"/>
      <c r="M3454" s="321"/>
      <c r="N3454" s="321"/>
      <c r="O3454" s="321"/>
      <c r="P3454" s="321"/>
      <c r="Q3454" s="321"/>
      <c r="R3454" s="321"/>
      <c r="S3454" s="321"/>
      <c r="T3454" s="321"/>
      <c r="U3454" s="321"/>
      <c r="V3454" s="321"/>
      <c r="W3454" s="321"/>
      <c r="X3454" s="321"/>
      <c r="Y3454" s="321"/>
      <c r="Z3454" s="321"/>
      <c r="AA3454" s="321"/>
      <c r="AB3454" s="321"/>
      <c r="AC3454" s="321"/>
    </row>
    <row r="3455">
      <c r="A3455" s="33" t="s">
        <v>13070</v>
      </c>
      <c r="B3455" s="122">
        <v>46176.0</v>
      </c>
      <c r="C3455" s="240">
        <v>8.07000035939E11</v>
      </c>
      <c r="D3455" s="240" t="s">
        <v>13071</v>
      </c>
      <c r="E3455" s="240" t="s">
        <v>13072</v>
      </c>
      <c r="F3455" s="242" t="s">
        <v>13073</v>
      </c>
      <c r="G3455" s="242" t="s">
        <v>127</v>
      </c>
      <c r="H3455" s="242">
        <v>4400.0</v>
      </c>
      <c r="I3455" s="224" t="s">
        <v>2956</v>
      </c>
      <c r="J3455" s="240" t="s">
        <v>3327</v>
      </c>
      <c r="K3455" s="242">
        <v>1.0</v>
      </c>
      <c r="L3455" s="124">
        <v>3.872159859E9</v>
      </c>
    </row>
    <row r="3456">
      <c r="A3456" s="33" t="s">
        <v>13074</v>
      </c>
      <c r="B3456" s="122">
        <v>46176.0</v>
      </c>
      <c r="C3456" s="240">
        <v>8.0700003635E11</v>
      </c>
      <c r="D3456" s="240" t="s">
        <v>13075</v>
      </c>
      <c r="E3456" s="240" t="s">
        <v>13076</v>
      </c>
      <c r="F3456" s="242" t="s">
        <v>13050</v>
      </c>
      <c r="G3456" s="242" t="s">
        <v>127</v>
      </c>
      <c r="H3456" s="242">
        <v>4400.0</v>
      </c>
      <c r="I3456" s="224" t="s">
        <v>9389</v>
      </c>
      <c r="J3456" s="240" t="s">
        <v>9390</v>
      </c>
      <c r="K3456" s="242">
        <v>1.0</v>
      </c>
      <c r="L3456" s="124">
        <v>3.874811429E9</v>
      </c>
    </row>
    <row r="3457">
      <c r="A3457" s="33" t="s">
        <v>13077</v>
      </c>
      <c r="B3457" s="122">
        <v>46176.0</v>
      </c>
      <c r="C3457" s="103">
        <v>8.07000036351E11</v>
      </c>
      <c r="D3457" s="103" t="s">
        <v>13075</v>
      </c>
      <c r="E3457" s="103" t="s">
        <v>13076</v>
      </c>
      <c r="F3457" s="241" t="s">
        <v>13050</v>
      </c>
      <c r="G3457" s="241" t="s">
        <v>127</v>
      </c>
      <c r="H3457" s="241">
        <v>4400.0</v>
      </c>
      <c r="I3457" s="211" t="s">
        <v>5262</v>
      </c>
      <c r="J3457" s="103" t="s">
        <v>5263</v>
      </c>
      <c r="K3457" s="241">
        <v>1.0</v>
      </c>
      <c r="L3457" s="124">
        <v>3.874811429E9</v>
      </c>
    </row>
    <row r="3458">
      <c r="A3458" s="33" t="s">
        <v>13077</v>
      </c>
      <c r="B3458" s="122">
        <v>46176.0</v>
      </c>
      <c r="C3458" s="240">
        <v>8.07000036351E11</v>
      </c>
      <c r="D3458" s="240" t="s">
        <v>13075</v>
      </c>
      <c r="E3458" s="240" t="s">
        <v>13076</v>
      </c>
      <c r="F3458" s="242" t="s">
        <v>13050</v>
      </c>
      <c r="G3458" s="242" t="s">
        <v>127</v>
      </c>
      <c r="H3458" s="242">
        <v>4400.0</v>
      </c>
      <c r="I3458" s="224" t="s">
        <v>6216</v>
      </c>
      <c r="J3458" s="240" t="s">
        <v>6217</v>
      </c>
      <c r="K3458" s="242">
        <v>1.0</v>
      </c>
      <c r="L3458" s="124">
        <v>3.874811429E9</v>
      </c>
    </row>
    <row r="3459">
      <c r="A3459" s="33" t="s">
        <v>13078</v>
      </c>
      <c r="B3459" s="122">
        <v>46176.0</v>
      </c>
      <c r="C3459" s="103">
        <v>8.07000036371E11</v>
      </c>
      <c r="D3459" s="103" t="s">
        <v>13079</v>
      </c>
      <c r="E3459" s="103" t="s">
        <v>13080</v>
      </c>
      <c r="F3459" s="241" t="s">
        <v>13081</v>
      </c>
      <c r="G3459" s="241" t="s">
        <v>127</v>
      </c>
      <c r="H3459" s="241">
        <v>4400.0</v>
      </c>
      <c r="I3459" s="211" t="s">
        <v>110</v>
      </c>
      <c r="J3459" s="103" t="s">
        <v>3673</v>
      </c>
      <c r="K3459" s="241">
        <v>1.0</v>
      </c>
      <c r="L3459" s="124">
        <v>3.875760419E9</v>
      </c>
    </row>
    <row r="3460">
      <c r="A3460" s="33" t="s">
        <v>13078</v>
      </c>
      <c r="B3460" s="122">
        <v>46176.0</v>
      </c>
      <c r="C3460" s="240">
        <v>8.07000036372E11</v>
      </c>
      <c r="D3460" s="240" t="s">
        <v>13079</v>
      </c>
      <c r="E3460" s="240" t="s">
        <v>13080</v>
      </c>
      <c r="F3460" s="242" t="s">
        <v>13081</v>
      </c>
      <c r="G3460" s="242" t="s">
        <v>127</v>
      </c>
      <c r="H3460" s="242">
        <v>4400.0</v>
      </c>
      <c r="I3460" s="224" t="s">
        <v>6216</v>
      </c>
      <c r="J3460" s="240" t="s">
        <v>6217</v>
      </c>
      <c r="K3460" s="242">
        <v>1.0</v>
      </c>
      <c r="L3460" s="124">
        <v>3.875760419E9</v>
      </c>
    </row>
    <row r="3461">
      <c r="A3461" s="33" t="s">
        <v>13082</v>
      </c>
      <c r="B3461" s="122">
        <v>46176.0</v>
      </c>
      <c r="C3461" s="103">
        <v>8.07000036373E11</v>
      </c>
      <c r="D3461" s="103" t="s">
        <v>5151</v>
      </c>
      <c r="E3461" s="103" t="s">
        <v>5152</v>
      </c>
      <c r="F3461" s="241" t="s">
        <v>13083</v>
      </c>
      <c r="G3461" s="241" t="s">
        <v>13084</v>
      </c>
      <c r="H3461" s="241">
        <v>4400.0</v>
      </c>
      <c r="I3461" s="211" t="s">
        <v>3154</v>
      </c>
      <c r="J3461" s="103" t="s">
        <v>4564</v>
      </c>
      <c r="K3461" s="241">
        <v>1.0</v>
      </c>
      <c r="L3461" s="124">
        <v>3.874031142E9</v>
      </c>
    </row>
    <row r="3462">
      <c r="A3462" s="33" t="s">
        <v>13085</v>
      </c>
      <c r="B3462" s="122">
        <v>46176.0</v>
      </c>
      <c r="C3462" s="240">
        <v>8.07000036381E11</v>
      </c>
      <c r="D3462" s="240" t="s">
        <v>13086</v>
      </c>
      <c r="E3462" s="240" t="s">
        <v>13087</v>
      </c>
      <c r="F3462" s="242" t="s">
        <v>13088</v>
      </c>
      <c r="G3462" s="242" t="s">
        <v>127</v>
      </c>
      <c r="H3462" s="242">
        <v>4400.0</v>
      </c>
      <c r="I3462" s="224" t="s">
        <v>3131</v>
      </c>
      <c r="J3462" s="240" t="s">
        <v>3416</v>
      </c>
      <c r="K3462" s="242">
        <v>1.0</v>
      </c>
      <c r="L3462" s="124">
        <v>3.87482579E9</v>
      </c>
    </row>
    <row r="3463">
      <c r="A3463" s="33" t="s">
        <v>13089</v>
      </c>
      <c r="B3463" s="122">
        <v>46176.0</v>
      </c>
      <c r="C3463" s="103">
        <v>8.07000036387E11</v>
      </c>
      <c r="D3463" s="103" t="s">
        <v>13090</v>
      </c>
      <c r="E3463" s="103" t="s">
        <v>13091</v>
      </c>
      <c r="F3463" s="241" t="s">
        <v>13092</v>
      </c>
      <c r="G3463" s="241" t="s">
        <v>127</v>
      </c>
      <c r="H3463" s="241">
        <v>4400.0</v>
      </c>
      <c r="I3463" s="211" t="s">
        <v>3692</v>
      </c>
      <c r="J3463" s="103" t="s">
        <v>3693</v>
      </c>
      <c r="K3463" s="241">
        <v>1.0</v>
      </c>
      <c r="L3463" s="124">
        <v>3.875852313E9</v>
      </c>
    </row>
    <row r="3464">
      <c r="A3464" s="33" t="s">
        <v>13093</v>
      </c>
      <c r="B3464" s="122">
        <v>46176.0</v>
      </c>
      <c r="C3464" s="240">
        <v>8.07000036388E11</v>
      </c>
      <c r="D3464" s="240" t="s">
        <v>13094</v>
      </c>
      <c r="E3464" s="240" t="s">
        <v>13095</v>
      </c>
      <c r="F3464" s="242" t="s">
        <v>13096</v>
      </c>
      <c r="G3464" s="242" t="s">
        <v>2907</v>
      </c>
      <c r="H3464" s="242">
        <v>4400.0</v>
      </c>
      <c r="I3464" s="224" t="s">
        <v>6216</v>
      </c>
      <c r="J3464" s="240" t="s">
        <v>6217</v>
      </c>
      <c r="K3464" s="242">
        <v>1.0</v>
      </c>
      <c r="L3464" s="124">
        <v>3.51264085E9</v>
      </c>
    </row>
    <row r="3465">
      <c r="A3465" s="33" t="s">
        <v>13097</v>
      </c>
      <c r="B3465" s="122">
        <v>46176.0</v>
      </c>
      <c r="C3465" s="240">
        <v>8.07000036405E11</v>
      </c>
      <c r="D3465" s="240" t="s">
        <v>13071</v>
      </c>
      <c r="E3465" s="240" t="s">
        <v>13072</v>
      </c>
      <c r="F3465" s="242" t="s">
        <v>13073</v>
      </c>
      <c r="G3465" s="242" t="s">
        <v>127</v>
      </c>
      <c r="H3465" s="242">
        <v>4400.0</v>
      </c>
      <c r="I3465" s="224" t="s">
        <v>4070</v>
      </c>
      <c r="J3465" s="240" t="s">
        <v>6264</v>
      </c>
      <c r="K3465" s="242">
        <v>1.0</v>
      </c>
      <c r="L3465" s="124">
        <v>3.872159859E9</v>
      </c>
    </row>
    <row r="3466">
      <c r="A3466" s="33" t="s">
        <v>13098</v>
      </c>
      <c r="B3466" s="122">
        <v>46176.0</v>
      </c>
      <c r="C3466" s="240">
        <v>8.07000036413E11</v>
      </c>
      <c r="D3466" s="240" t="s">
        <v>13099</v>
      </c>
      <c r="E3466" s="240" t="s">
        <v>13100</v>
      </c>
      <c r="F3466" s="242" t="s">
        <v>13101</v>
      </c>
      <c r="G3466" s="242" t="s">
        <v>127</v>
      </c>
      <c r="H3466" s="242">
        <v>4400.0</v>
      </c>
      <c r="I3466" s="224">
        <v>125802.0</v>
      </c>
      <c r="J3466" s="240" t="s">
        <v>7943</v>
      </c>
      <c r="K3466" s="242">
        <v>2.0</v>
      </c>
      <c r="L3466" s="124">
        <v>3.874086992E9</v>
      </c>
    </row>
    <row r="3467">
      <c r="A3467" s="33" t="s">
        <v>13102</v>
      </c>
      <c r="B3467" s="122">
        <v>46176.0</v>
      </c>
      <c r="C3467" s="103">
        <v>8.07000036413E11</v>
      </c>
      <c r="D3467" s="103" t="s">
        <v>13099</v>
      </c>
      <c r="E3467" s="103" t="s">
        <v>13100</v>
      </c>
      <c r="F3467" s="241" t="s">
        <v>13101</v>
      </c>
      <c r="G3467" s="241" t="s">
        <v>127</v>
      </c>
      <c r="H3467" s="241">
        <v>4400.0</v>
      </c>
      <c r="I3467" s="211" t="s">
        <v>512</v>
      </c>
      <c r="J3467" s="103" t="s">
        <v>513</v>
      </c>
      <c r="K3467" s="241">
        <v>12.0</v>
      </c>
      <c r="L3467" s="124">
        <v>3.874086992E9</v>
      </c>
    </row>
    <row r="3468">
      <c r="A3468" s="33" t="s">
        <v>13102</v>
      </c>
      <c r="B3468" s="122">
        <v>46176.0</v>
      </c>
      <c r="C3468" s="240">
        <v>8.07000036414E11</v>
      </c>
      <c r="D3468" s="240" t="s">
        <v>13099</v>
      </c>
      <c r="E3468" s="240" t="s">
        <v>13100</v>
      </c>
      <c r="F3468" s="242" t="s">
        <v>13101</v>
      </c>
      <c r="G3468" s="242" t="s">
        <v>127</v>
      </c>
      <c r="H3468" s="242">
        <v>4400.0</v>
      </c>
      <c r="I3468" s="224" t="s">
        <v>761</v>
      </c>
      <c r="J3468" s="240" t="s">
        <v>3761</v>
      </c>
      <c r="K3468" s="242">
        <v>1.0</v>
      </c>
      <c r="L3468" s="124">
        <v>3.874086992E9</v>
      </c>
    </row>
    <row r="3469">
      <c r="A3469" s="33" t="s">
        <v>13102</v>
      </c>
      <c r="B3469" s="122">
        <v>46176.0</v>
      </c>
      <c r="C3469" s="103">
        <v>8.07000036414E11</v>
      </c>
      <c r="D3469" s="103" t="s">
        <v>13099</v>
      </c>
      <c r="E3469" s="103" t="s">
        <v>13100</v>
      </c>
      <c r="F3469" s="241" t="s">
        <v>13101</v>
      </c>
      <c r="G3469" s="241" t="s">
        <v>127</v>
      </c>
      <c r="H3469" s="241">
        <v>4400.0</v>
      </c>
      <c r="I3469" s="211" t="s">
        <v>758</v>
      </c>
      <c r="J3469" s="103" t="s">
        <v>3574</v>
      </c>
      <c r="K3469" s="241">
        <v>2.0</v>
      </c>
      <c r="L3469" s="124">
        <v>3.874086992E9</v>
      </c>
    </row>
    <row r="3470">
      <c r="A3470" s="33" t="s">
        <v>13103</v>
      </c>
      <c r="B3470" s="122">
        <v>46176.0</v>
      </c>
      <c r="C3470" s="240">
        <v>8.07000036418E11</v>
      </c>
      <c r="D3470" s="240" t="s">
        <v>13104</v>
      </c>
      <c r="E3470" s="240" t="s">
        <v>13105</v>
      </c>
      <c r="F3470" s="242" t="s">
        <v>13106</v>
      </c>
      <c r="G3470" s="242" t="s">
        <v>58</v>
      </c>
      <c r="H3470" s="242">
        <v>4400.0</v>
      </c>
      <c r="I3470" s="224" t="s">
        <v>7955</v>
      </c>
      <c r="J3470" s="240" t="s">
        <v>7956</v>
      </c>
      <c r="K3470" s="242">
        <v>1.0</v>
      </c>
      <c r="L3470" s="124">
        <v>3.874641501E9</v>
      </c>
    </row>
    <row r="3471">
      <c r="A3471" s="33" t="s">
        <v>13103</v>
      </c>
      <c r="B3471" s="122">
        <v>46176.0</v>
      </c>
      <c r="C3471" s="103">
        <v>8.07000036419E11</v>
      </c>
      <c r="D3471" s="103" t="s">
        <v>13104</v>
      </c>
      <c r="E3471" s="103" t="s">
        <v>13105</v>
      </c>
      <c r="F3471" s="241" t="s">
        <v>13106</v>
      </c>
      <c r="G3471" s="241" t="s">
        <v>58</v>
      </c>
      <c r="H3471" s="241">
        <v>4400.0</v>
      </c>
      <c r="I3471" s="211" t="s">
        <v>4695</v>
      </c>
      <c r="J3471" s="103" t="s">
        <v>4696</v>
      </c>
      <c r="K3471" s="241">
        <v>1.0</v>
      </c>
      <c r="L3471" s="124">
        <v>3.874641501E9</v>
      </c>
    </row>
    <row r="3472">
      <c r="A3472" s="33" t="s">
        <v>13107</v>
      </c>
      <c r="B3472" s="122">
        <v>46176.0</v>
      </c>
      <c r="C3472" s="240">
        <v>8.05011578538E11</v>
      </c>
      <c r="D3472" s="240" t="s">
        <v>13108</v>
      </c>
      <c r="E3472" s="240" t="s">
        <v>13109</v>
      </c>
      <c r="F3472" s="242" t="s">
        <v>13110</v>
      </c>
      <c r="G3472" s="242" t="s">
        <v>247</v>
      </c>
      <c r="H3472" s="242">
        <v>4400.0</v>
      </c>
      <c r="I3472" s="224" t="s">
        <v>32</v>
      </c>
      <c r="J3472" s="240" t="s">
        <v>3225</v>
      </c>
      <c r="K3472" s="242">
        <v>1.0</v>
      </c>
      <c r="L3472" s="124">
        <v>3.875745095E9</v>
      </c>
    </row>
    <row r="3473">
      <c r="A3473" s="33" t="s">
        <v>13107</v>
      </c>
      <c r="B3473" s="122">
        <v>46176.0</v>
      </c>
      <c r="C3473" s="103">
        <v>8.05011578538E11</v>
      </c>
      <c r="D3473" s="103" t="s">
        <v>13108</v>
      </c>
      <c r="E3473" s="103" t="s">
        <v>13109</v>
      </c>
      <c r="F3473" s="241" t="s">
        <v>13110</v>
      </c>
      <c r="G3473" s="241" t="s">
        <v>247</v>
      </c>
      <c r="H3473" s="241">
        <v>4400.0</v>
      </c>
      <c r="I3473" s="211" t="s">
        <v>512</v>
      </c>
      <c r="J3473" s="103" t="s">
        <v>513</v>
      </c>
      <c r="K3473" s="241">
        <v>6.0</v>
      </c>
      <c r="L3473" s="124">
        <v>3.875745095E9</v>
      </c>
    </row>
    <row r="3474">
      <c r="A3474" s="33" t="s">
        <v>13107</v>
      </c>
      <c r="B3474" s="122">
        <v>46176.0</v>
      </c>
      <c r="C3474" s="240">
        <v>8.05011578538E11</v>
      </c>
      <c r="D3474" s="240" t="s">
        <v>13108</v>
      </c>
      <c r="E3474" s="240" t="s">
        <v>13109</v>
      </c>
      <c r="F3474" s="242" t="s">
        <v>13110</v>
      </c>
      <c r="G3474" s="242" t="s">
        <v>247</v>
      </c>
      <c r="H3474" s="242">
        <v>4400.0</v>
      </c>
      <c r="I3474" s="224" t="s">
        <v>670</v>
      </c>
      <c r="J3474" s="240" t="s">
        <v>3410</v>
      </c>
      <c r="K3474" s="242">
        <v>1.0</v>
      </c>
      <c r="L3474" s="124">
        <v>3.875745095E9</v>
      </c>
    </row>
    <row r="3475">
      <c r="A3475" s="322"/>
      <c r="B3475" s="323"/>
      <c r="C3475" s="251"/>
      <c r="D3475" s="251"/>
      <c r="E3475" s="251"/>
      <c r="F3475" s="253"/>
      <c r="G3475" s="253"/>
      <c r="H3475" s="253"/>
      <c r="I3475" s="252"/>
      <c r="J3475" s="251"/>
      <c r="K3475" s="253"/>
      <c r="L3475" s="324"/>
    </row>
    <row r="3476">
      <c r="A3476" s="33" t="s">
        <v>13111</v>
      </c>
      <c r="B3476" s="122">
        <v>46179.0</v>
      </c>
      <c r="C3476" s="103">
        <v>8.07000036422E11</v>
      </c>
      <c r="D3476" s="103" t="s">
        <v>13112</v>
      </c>
      <c r="E3476" s="103" t="s">
        <v>11110</v>
      </c>
      <c r="F3476" s="241" t="s">
        <v>11111</v>
      </c>
      <c r="G3476" s="241" t="s">
        <v>127</v>
      </c>
      <c r="H3476" s="241">
        <v>4400.0</v>
      </c>
      <c r="I3476" s="211" t="s">
        <v>6119</v>
      </c>
      <c r="J3476" s="103" t="s">
        <v>6120</v>
      </c>
      <c r="K3476" s="241">
        <v>1.0</v>
      </c>
      <c r="L3476" s="124">
        <v>3.876055847E9</v>
      </c>
    </row>
    <row r="3477">
      <c r="A3477" s="33" t="s">
        <v>13111</v>
      </c>
      <c r="B3477" s="122">
        <v>46179.0</v>
      </c>
      <c r="C3477" s="240">
        <v>8.07000036422E11</v>
      </c>
      <c r="D3477" s="240" t="s">
        <v>13112</v>
      </c>
      <c r="E3477" s="240" t="s">
        <v>11110</v>
      </c>
      <c r="F3477" s="242" t="s">
        <v>11111</v>
      </c>
      <c r="G3477" s="242" t="s">
        <v>127</v>
      </c>
      <c r="H3477" s="242">
        <v>4400.0</v>
      </c>
      <c r="I3477" s="224" t="s">
        <v>512</v>
      </c>
      <c r="J3477" s="240" t="s">
        <v>513</v>
      </c>
      <c r="K3477" s="242">
        <v>12.0</v>
      </c>
      <c r="L3477" s="124">
        <v>3.876055847E9</v>
      </c>
    </row>
    <row r="3478">
      <c r="A3478" s="33" t="s">
        <v>13111</v>
      </c>
      <c r="B3478" s="122">
        <v>46179.0</v>
      </c>
      <c r="C3478" s="103">
        <v>8.07000036422E11</v>
      </c>
      <c r="D3478" s="103" t="s">
        <v>13112</v>
      </c>
      <c r="E3478" s="103" t="s">
        <v>11110</v>
      </c>
      <c r="F3478" s="241" t="s">
        <v>11111</v>
      </c>
      <c r="G3478" s="241" t="s">
        <v>127</v>
      </c>
      <c r="H3478" s="241">
        <v>4400.0</v>
      </c>
      <c r="I3478" s="211" t="s">
        <v>772</v>
      </c>
      <c r="J3478" s="103" t="s">
        <v>3363</v>
      </c>
      <c r="K3478" s="241">
        <v>2.0</v>
      </c>
      <c r="L3478" s="124">
        <v>3.876055847E9</v>
      </c>
    </row>
    <row r="3479">
      <c r="A3479" s="33" t="s">
        <v>13111</v>
      </c>
      <c r="B3479" s="122">
        <v>46179.0</v>
      </c>
      <c r="C3479" s="240">
        <v>5.310000007E10</v>
      </c>
      <c r="D3479" s="240" t="s">
        <v>13112</v>
      </c>
      <c r="E3479" s="240" t="s">
        <v>11110</v>
      </c>
      <c r="F3479" s="242" t="s">
        <v>11111</v>
      </c>
      <c r="G3479" s="242" t="s">
        <v>127</v>
      </c>
      <c r="H3479" s="242">
        <v>4400.0</v>
      </c>
      <c r="I3479" s="224" t="s">
        <v>4070</v>
      </c>
      <c r="J3479" s="240" t="s">
        <v>6264</v>
      </c>
      <c r="K3479" s="242">
        <v>1.0</v>
      </c>
      <c r="L3479" s="124">
        <v>3.876055847E9</v>
      </c>
    </row>
    <row r="3480">
      <c r="A3480" s="33" t="s">
        <v>13113</v>
      </c>
      <c r="B3480" s="122">
        <v>46179.0</v>
      </c>
      <c r="C3480" s="103">
        <v>8.07000036425E11</v>
      </c>
      <c r="D3480" s="103" t="s">
        <v>13114</v>
      </c>
      <c r="E3480" s="103" t="s">
        <v>13115</v>
      </c>
      <c r="F3480" s="242" t="s">
        <v>13116</v>
      </c>
      <c r="G3480" s="241" t="s">
        <v>127</v>
      </c>
      <c r="H3480" s="241">
        <v>4400.0</v>
      </c>
      <c r="I3480" s="211" t="s">
        <v>1435</v>
      </c>
      <c r="J3480" s="103" t="s">
        <v>1436</v>
      </c>
      <c r="K3480" s="241">
        <v>1.0</v>
      </c>
      <c r="L3480" s="124">
        <v>3.872132847E9</v>
      </c>
    </row>
    <row r="3481">
      <c r="A3481" s="33" t="s">
        <v>13117</v>
      </c>
      <c r="B3481" s="122">
        <v>46179.0</v>
      </c>
      <c r="C3481" s="240">
        <v>8.07000036426E11</v>
      </c>
      <c r="D3481" s="240" t="s">
        <v>13114</v>
      </c>
      <c r="E3481" s="240" t="s">
        <v>13115</v>
      </c>
      <c r="F3481" s="242" t="s">
        <v>13116</v>
      </c>
      <c r="G3481" s="242" t="s">
        <v>127</v>
      </c>
      <c r="H3481" s="242">
        <v>4400.0</v>
      </c>
      <c r="I3481" s="224" t="s">
        <v>32</v>
      </c>
      <c r="J3481" s="240" t="s">
        <v>3225</v>
      </c>
      <c r="K3481" s="242">
        <v>1.0</v>
      </c>
      <c r="L3481" s="124">
        <v>3.872132847E9</v>
      </c>
    </row>
    <row r="3482">
      <c r="A3482" s="33" t="s">
        <v>13118</v>
      </c>
      <c r="B3482" s="122">
        <v>46179.0</v>
      </c>
      <c r="C3482" s="240">
        <v>8.07000036438E11</v>
      </c>
      <c r="D3482" s="240" t="s">
        <v>13119</v>
      </c>
      <c r="E3482" s="240" t="s">
        <v>13120</v>
      </c>
      <c r="F3482" s="242" t="s">
        <v>13121</v>
      </c>
      <c r="G3482" s="241" t="s">
        <v>127</v>
      </c>
      <c r="H3482" s="241">
        <v>4400.0</v>
      </c>
      <c r="I3482" s="224" t="s">
        <v>5817</v>
      </c>
      <c r="J3482" s="240" t="s">
        <v>5417</v>
      </c>
      <c r="K3482" s="242">
        <v>1.0</v>
      </c>
      <c r="L3482" s="124">
        <v>3.876124044E9</v>
      </c>
    </row>
    <row r="3483">
      <c r="A3483" s="33" t="s">
        <v>13118</v>
      </c>
      <c r="B3483" s="122">
        <v>46179.0</v>
      </c>
      <c r="C3483" s="103">
        <v>8.07000036438E11</v>
      </c>
      <c r="D3483" s="103" t="s">
        <v>13119</v>
      </c>
      <c r="E3483" s="103" t="s">
        <v>13120</v>
      </c>
      <c r="F3483" s="242" t="s">
        <v>13121</v>
      </c>
      <c r="G3483" s="242" t="s">
        <v>127</v>
      </c>
      <c r="H3483" s="242">
        <v>4400.0</v>
      </c>
      <c r="I3483" s="211" t="s">
        <v>2294</v>
      </c>
      <c r="J3483" s="103" t="s">
        <v>5415</v>
      </c>
      <c r="K3483" s="241">
        <v>1.0</v>
      </c>
      <c r="L3483" s="124">
        <v>3.876124044E9</v>
      </c>
    </row>
    <row r="3484">
      <c r="A3484" s="33" t="s">
        <v>13122</v>
      </c>
      <c r="B3484" s="122">
        <v>46179.0</v>
      </c>
      <c r="C3484" s="240">
        <v>8.07000036433E11</v>
      </c>
      <c r="D3484" s="240" t="s">
        <v>13123</v>
      </c>
      <c r="E3484" s="240" t="s">
        <v>13124</v>
      </c>
      <c r="F3484" s="242" t="s">
        <v>13125</v>
      </c>
      <c r="G3484" s="242" t="s">
        <v>127</v>
      </c>
      <c r="H3484" s="242">
        <v>4400.0</v>
      </c>
      <c r="I3484" s="224" t="s">
        <v>4070</v>
      </c>
      <c r="J3484" s="240" t="s">
        <v>6264</v>
      </c>
      <c r="K3484" s="242">
        <v>2.0</v>
      </c>
      <c r="L3484" s="124">
        <v>3.875362918E9</v>
      </c>
    </row>
    <row r="3485">
      <c r="A3485" s="33" t="s">
        <v>13122</v>
      </c>
      <c r="B3485" s="122">
        <v>46179.0</v>
      </c>
      <c r="C3485" s="103">
        <v>8.07000036433E11</v>
      </c>
      <c r="D3485" s="103" t="s">
        <v>13123</v>
      </c>
      <c r="E3485" s="103" t="s">
        <v>13124</v>
      </c>
      <c r="F3485" s="242" t="s">
        <v>13125</v>
      </c>
      <c r="G3485" s="241" t="s">
        <v>127</v>
      </c>
      <c r="H3485" s="241">
        <v>4400.0</v>
      </c>
      <c r="I3485" s="211" t="s">
        <v>3790</v>
      </c>
      <c r="J3485" s="103" t="s">
        <v>3791</v>
      </c>
      <c r="K3485" s="241">
        <v>1.0</v>
      </c>
      <c r="L3485" s="124">
        <v>3.875362918E9</v>
      </c>
    </row>
    <row r="3486">
      <c r="A3486" s="33" t="s">
        <v>13122</v>
      </c>
      <c r="B3486" s="122">
        <v>46179.0</v>
      </c>
      <c r="C3486" s="240">
        <v>8.07000036433E11</v>
      </c>
      <c r="D3486" s="240" t="s">
        <v>13123</v>
      </c>
      <c r="E3486" s="240" t="s">
        <v>13124</v>
      </c>
      <c r="F3486" s="242" t="s">
        <v>13125</v>
      </c>
      <c r="G3486" s="242" t="s">
        <v>127</v>
      </c>
      <c r="H3486" s="242">
        <v>4400.0</v>
      </c>
      <c r="I3486" s="224" t="s">
        <v>512</v>
      </c>
      <c r="J3486" s="240" t="s">
        <v>513</v>
      </c>
      <c r="K3486" s="242">
        <v>6.0</v>
      </c>
      <c r="L3486" s="124">
        <v>3.875362918E9</v>
      </c>
    </row>
    <row r="3487">
      <c r="A3487" s="33" t="s">
        <v>13122</v>
      </c>
      <c r="B3487" s="122">
        <v>46179.0</v>
      </c>
      <c r="C3487" s="103">
        <v>8.07000036433E11</v>
      </c>
      <c r="D3487" s="103" t="s">
        <v>13123</v>
      </c>
      <c r="E3487" s="103" t="s">
        <v>13124</v>
      </c>
      <c r="F3487" s="242" t="s">
        <v>13125</v>
      </c>
      <c r="G3487" s="241" t="s">
        <v>127</v>
      </c>
      <c r="H3487" s="241">
        <v>4400.0</v>
      </c>
      <c r="I3487" s="211" t="s">
        <v>1914</v>
      </c>
      <c r="J3487" s="103" t="s">
        <v>9825</v>
      </c>
      <c r="K3487" s="241">
        <v>1.0</v>
      </c>
      <c r="L3487" s="124">
        <v>3.875362918E9</v>
      </c>
    </row>
    <row r="3488">
      <c r="A3488" s="33" t="s">
        <v>13126</v>
      </c>
      <c r="B3488" s="122">
        <v>46179.0</v>
      </c>
      <c r="C3488" s="240">
        <v>8.07000036434E11</v>
      </c>
      <c r="D3488" s="240" t="s">
        <v>13123</v>
      </c>
      <c r="E3488" s="240" t="s">
        <v>13124</v>
      </c>
      <c r="F3488" s="242" t="s">
        <v>13125</v>
      </c>
      <c r="G3488" s="242" t="s">
        <v>127</v>
      </c>
      <c r="H3488" s="242">
        <v>4400.0</v>
      </c>
      <c r="I3488" s="224" t="s">
        <v>3790</v>
      </c>
      <c r="J3488" s="240" t="s">
        <v>3791</v>
      </c>
      <c r="K3488" s="242">
        <v>1.0</v>
      </c>
      <c r="L3488" s="124">
        <v>3.875362918E9</v>
      </c>
    </row>
    <row r="3489">
      <c r="A3489" s="33" t="s">
        <v>13126</v>
      </c>
      <c r="B3489" s="122">
        <v>46179.0</v>
      </c>
      <c r="C3489" s="103">
        <v>8.07000036434E11</v>
      </c>
      <c r="D3489" s="103" t="s">
        <v>13123</v>
      </c>
      <c r="E3489" s="103" t="s">
        <v>13124</v>
      </c>
      <c r="F3489" s="242" t="s">
        <v>13125</v>
      </c>
      <c r="G3489" s="241" t="s">
        <v>127</v>
      </c>
      <c r="H3489" s="241">
        <v>4400.0</v>
      </c>
      <c r="I3489" s="211" t="s">
        <v>512</v>
      </c>
      <c r="J3489" s="103" t="s">
        <v>513</v>
      </c>
      <c r="K3489" s="241">
        <v>6.0</v>
      </c>
      <c r="L3489" s="124">
        <v>3.875362918E9</v>
      </c>
    </row>
    <row r="3490">
      <c r="A3490" s="33" t="s">
        <v>13126</v>
      </c>
      <c r="B3490" s="122">
        <v>46179.0</v>
      </c>
      <c r="C3490" s="240">
        <v>8.07000036434E11</v>
      </c>
      <c r="D3490" s="240" t="s">
        <v>13123</v>
      </c>
      <c r="E3490" s="240" t="s">
        <v>13124</v>
      </c>
      <c r="F3490" s="242" t="s">
        <v>13125</v>
      </c>
      <c r="G3490" s="242" t="s">
        <v>127</v>
      </c>
      <c r="H3490" s="242">
        <v>4400.0</v>
      </c>
      <c r="I3490" s="224" t="s">
        <v>1914</v>
      </c>
      <c r="J3490" s="240" t="s">
        <v>9825</v>
      </c>
      <c r="K3490" s="242">
        <v>1.0</v>
      </c>
      <c r="L3490" s="124">
        <v>3.875362918E9</v>
      </c>
    </row>
    <row r="3491">
      <c r="A3491" s="33" t="s">
        <v>13127</v>
      </c>
      <c r="B3491" s="122">
        <v>46179.0</v>
      </c>
      <c r="C3491" s="240">
        <v>8.07000036382E11</v>
      </c>
      <c r="D3491" s="240" t="s">
        <v>13128</v>
      </c>
      <c r="E3491" s="240" t="s">
        <v>13129</v>
      </c>
      <c r="F3491" s="242" t="s">
        <v>13130</v>
      </c>
      <c r="G3491" s="242" t="s">
        <v>1885</v>
      </c>
      <c r="H3491" s="241">
        <v>4400.0</v>
      </c>
      <c r="I3491" s="224" t="s">
        <v>512</v>
      </c>
      <c r="J3491" s="240" t="s">
        <v>513</v>
      </c>
      <c r="K3491" s="242">
        <v>6.0</v>
      </c>
      <c r="L3491" s="124">
        <v>3.875142009E9</v>
      </c>
    </row>
    <row r="3492">
      <c r="A3492" s="33" t="s">
        <v>13127</v>
      </c>
      <c r="B3492" s="122">
        <v>46179.0</v>
      </c>
      <c r="C3492" s="103">
        <v>8.07000036382E11</v>
      </c>
      <c r="D3492" s="103" t="s">
        <v>13128</v>
      </c>
      <c r="E3492" s="103" t="s">
        <v>13129</v>
      </c>
      <c r="F3492" s="242" t="s">
        <v>13130</v>
      </c>
      <c r="G3492" s="242" t="s">
        <v>1885</v>
      </c>
      <c r="H3492" s="242">
        <v>4400.0</v>
      </c>
      <c r="I3492" s="211" t="s">
        <v>12771</v>
      </c>
      <c r="J3492" s="103" t="s">
        <v>12772</v>
      </c>
      <c r="K3492" s="241">
        <v>1.0</v>
      </c>
      <c r="L3492" s="124">
        <v>3.875142009E9</v>
      </c>
    </row>
    <row r="3493">
      <c r="A3493" s="33" t="s">
        <v>13127</v>
      </c>
      <c r="B3493" s="122">
        <v>46179.0</v>
      </c>
      <c r="C3493" s="240">
        <v>8.07000036383E11</v>
      </c>
      <c r="D3493" s="240" t="s">
        <v>13128</v>
      </c>
      <c r="E3493" s="240" t="s">
        <v>13129</v>
      </c>
      <c r="F3493" s="242" t="s">
        <v>13130</v>
      </c>
      <c r="G3493" s="242" t="s">
        <v>1885</v>
      </c>
      <c r="H3493" s="241">
        <v>4400.0</v>
      </c>
      <c r="I3493" s="224" t="s">
        <v>659</v>
      </c>
      <c r="J3493" s="240" t="s">
        <v>3468</v>
      </c>
      <c r="K3493" s="242">
        <v>1.0</v>
      </c>
      <c r="L3493" s="124">
        <v>3.875142009E9</v>
      </c>
    </row>
    <row r="3494">
      <c r="A3494" s="33" t="s">
        <v>13127</v>
      </c>
      <c r="B3494" s="122">
        <v>46179.0</v>
      </c>
      <c r="C3494" s="103">
        <v>8.07000036383E11</v>
      </c>
      <c r="D3494" s="103" t="s">
        <v>13128</v>
      </c>
      <c r="E3494" s="103" t="s">
        <v>13129</v>
      </c>
      <c r="F3494" s="242" t="s">
        <v>13130</v>
      </c>
      <c r="G3494" s="242" t="s">
        <v>1885</v>
      </c>
      <c r="H3494" s="242">
        <v>4400.0</v>
      </c>
      <c r="I3494" s="211" t="s">
        <v>35</v>
      </c>
      <c r="J3494" s="103" t="s">
        <v>3188</v>
      </c>
      <c r="K3494" s="241">
        <v>1.0</v>
      </c>
      <c r="L3494" s="124">
        <v>3.875142009E9</v>
      </c>
    </row>
    <row r="3495">
      <c r="A3495" s="33" t="s">
        <v>13131</v>
      </c>
      <c r="B3495" s="122">
        <v>46179.0</v>
      </c>
      <c r="C3495" s="240">
        <v>8.0700003644E11</v>
      </c>
      <c r="D3495" s="240" t="s">
        <v>13132</v>
      </c>
      <c r="E3495" s="240" t="s">
        <v>13133</v>
      </c>
      <c r="F3495" s="242" t="s">
        <v>13134</v>
      </c>
      <c r="G3495" s="241" t="s">
        <v>127</v>
      </c>
      <c r="H3495" s="241">
        <v>4400.0</v>
      </c>
      <c r="I3495" s="211" t="s">
        <v>6119</v>
      </c>
      <c r="J3495" s="103" t="s">
        <v>6120</v>
      </c>
      <c r="K3495" s="241">
        <v>1.0</v>
      </c>
      <c r="L3495" s="124">
        <v>3.874420452E9</v>
      </c>
    </row>
    <row r="3496">
      <c r="A3496" s="33" t="s">
        <v>13135</v>
      </c>
      <c r="B3496" s="122">
        <v>46179.0</v>
      </c>
      <c r="C3496" s="325">
        <v>8.07000036036E11</v>
      </c>
      <c r="D3496" s="325" t="s">
        <v>13132</v>
      </c>
      <c r="E3496" s="325" t="s">
        <v>13133</v>
      </c>
      <c r="F3496" s="242" t="s">
        <v>13134</v>
      </c>
      <c r="G3496" s="242" t="s">
        <v>127</v>
      </c>
      <c r="H3496" s="242">
        <v>4400.0</v>
      </c>
      <c r="I3496" s="224">
        <v>208502.0</v>
      </c>
      <c r="J3496" s="240" t="s">
        <v>4551</v>
      </c>
      <c r="K3496" s="242">
        <v>2.0</v>
      </c>
      <c r="L3496" s="124">
        <v>3.874420452E9</v>
      </c>
    </row>
    <row r="3497">
      <c r="A3497" s="33" t="s">
        <v>13136</v>
      </c>
      <c r="B3497" s="122">
        <v>46179.0</v>
      </c>
      <c r="C3497" s="240">
        <v>8.07000036444E11</v>
      </c>
      <c r="D3497" s="240" t="s">
        <v>13137</v>
      </c>
      <c r="E3497" s="240" t="s">
        <v>13138</v>
      </c>
      <c r="F3497" s="242" t="s">
        <v>13139</v>
      </c>
      <c r="G3497" s="242" t="s">
        <v>13140</v>
      </c>
      <c r="H3497" s="242">
        <v>4400.0</v>
      </c>
      <c r="I3497" s="224" t="s">
        <v>5262</v>
      </c>
      <c r="J3497" s="240" t="s">
        <v>5263</v>
      </c>
      <c r="K3497" s="242">
        <v>1.0</v>
      </c>
      <c r="L3497" s="124">
        <v>3.875020493E9</v>
      </c>
    </row>
    <row r="3498">
      <c r="A3498" s="33" t="s">
        <v>13136</v>
      </c>
      <c r="B3498" s="122">
        <v>46179.0</v>
      </c>
      <c r="C3498" s="103">
        <v>8.07000036445E11</v>
      </c>
      <c r="D3498" s="103" t="s">
        <v>13137</v>
      </c>
      <c r="E3498" s="103" t="s">
        <v>13138</v>
      </c>
      <c r="F3498" s="242" t="s">
        <v>13139</v>
      </c>
      <c r="G3498" s="242" t="s">
        <v>13140</v>
      </c>
      <c r="H3498" s="242">
        <v>4400.0</v>
      </c>
      <c r="I3498" s="211" t="s">
        <v>6216</v>
      </c>
      <c r="J3498" s="103" t="s">
        <v>6217</v>
      </c>
      <c r="K3498" s="241">
        <v>1.0</v>
      </c>
      <c r="L3498" s="124">
        <v>3.875020493E9</v>
      </c>
    </row>
    <row r="3499">
      <c r="A3499" s="33" t="s">
        <v>13136</v>
      </c>
      <c r="B3499" s="122">
        <v>46179.0</v>
      </c>
      <c r="C3499" s="240">
        <v>8.07000036446E11</v>
      </c>
      <c r="D3499" s="240" t="s">
        <v>13137</v>
      </c>
      <c r="E3499" s="240" t="s">
        <v>13138</v>
      </c>
      <c r="F3499" s="242" t="s">
        <v>13139</v>
      </c>
      <c r="G3499" s="242" t="s">
        <v>13140</v>
      </c>
      <c r="H3499" s="242">
        <v>4400.0</v>
      </c>
      <c r="I3499" s="224">
        <v>208501.0</v>
      </c>
      <c r="J3499" s="240" t="s">
        <v>481</v>
      </c>
      <c r="K3499" s="242">
        <v>2.0</v>
      </c>
      <c r="L3499" s="124">
        <v>3.875020493E9</v>
      </c>
    </row>
    <row r="3500">
      <c r="A3500" s="33" t="s">
        <v>13141</v>
      </c>
      <c r="B3500" s="122">
        <v>46179.0</v>
      </c>
      <c r="C3500" s="240">
        <v>8.07000036447E11</v>
      </c>
      <c r="D3500" s="240" t="s">
        <v>13142</v>
      </c>
      <c r="E3500" s="240" t="s">
        <v>13143</v>
      </c>
      <c r="F3500" s="242" t="s">
        <v>13144</v>
      </c>
      <c r="G3500" s="242" t="s">
        <v>127</v>
      </c>
      <c r="H3500" s="242">
        <v>4400.0</v>
      </c>
      <c r="I3500" s="224">
        <v>125810.0</v>
      </c>
      <c r="J3500" s="240" t="s">
        <v>4672</v>
      </c>
      <c r="K3500" s="242">
        <v>2.0</v>
      </c>
      <c r="L3500" s="124">
        <v>3.876341998E9</v>
      </c>
    </row>
    <row r="3501">
      <c r="A3501" s="33" t="s">
        <v>13141</v>
      </c>
      <c r="B3501" s="122">
        <v>46179.0</v>
      </c>
      <c r="C3501" s="103">
        <v>8.07000036447E11</v>
      </c>
      <c r="D3501" s="103" t="s">
        <v>13142</v>
      </c>
      <c r="E3501" s="103" t="s">
        <v>13143</v>
      </c>
      <c r="F3501" s="242" t="s">
        <v>13144</v>
      </c>
      <c r="G3501" s="241" t="s">
        <v>127</v>
      </c>
      <c r="H3501" s="241">
        <v>4400.0</v>
      </c>
      <c r="I3501" s="211" t="s">
        <v>512</v>
      </c>
      <c r="J3501" s="103" t="s">
        <v>513</v>
      </c>
      <c r="K3501" s="241">
        <v>12.0</v>
      </c>
      <c r="L3501" s="124">
        <v>3.876341998E9</v>
      </c>
    </row>
    <row r="3502">
      <c r="A3502" s="33" t="s">
        <v>13141</v>
      </c>
      <c r="B3502" s="122">
        <v>46179.0</v>
      </c>
      <c r="C3502" s="240">
        <v>8.07000036447E11</v>
      </c>
      <c r="D3502" s="240" t="s">
        <v>13142</v>
      </c>
      <c r="E3502" s="240" t="s">
        <v>13143</v>
      </c>
      <c r="F3502" s="242" t="s">
        <v>13144</v>
      </c>
      <c r="G3502" s="242" t="s">
        <v>127</v>
      </c>
      <c r="H3502" s="242">
        <v>4400.0</v>
      </c>
      <c r="I3502" s="224" t="s">
        <v>12771</v>
      </c>
      <c r="J3502" s="240" t="s">
        <v>12772</v>
      </c>
      <c r="K3502" s="242">
        <v>1.0</v>
      </c>
      <c r="L3502" s="124">
        <v>3.876341998E9</v>
      </c>
    </row>
    <row r="3503">
      <c r="A3503" s="33" t="s">
        <v>13141</v>
      </c>
      <c r="B3503" s="122">
        <v>46179.0</v>
      </c>
      <c r="C3503" s="103">
        <v>8.07000036448E11</v>
      </c>
      <c r="D3503" s="103" t="s">
        <v>13142</v>
      </c>
      <c r="E3503" s="103" t="s">
        <v>13143</v>
      </c>
      <c r="F3503" s="242" t="s">
        <v>13144</v>
      </c>
      <c r="G3503" s="241" t="s">
        <v>127</v>
      </c>
      <c r="H3503" s="241">
        <v>4400.0</v>
      </c>
      <c r="I3503" s="211" t="s">
        <v>1115</v>
      </c>
      <c r="J3503" s="103" t="s">
        <v>8215</v>
      </c>
      <c r="K3503" s="241">
        <v>1.0</v>
      </c>
      <c r="L3503" s="124">
        <v>3.876341998E9</v>
      </c>
    </row>
    <row r="3504">
      <c r="A3504" s="33" t="s">
        <v>13141</v>
      </c>
      <c r="B3504" s="122">
        <v>46179.0</v>
      </c>
      <c r="C3504" s="240">
        <v>8.07000036448E11</v>
      </c>
      <c r="D3504" s="240" t="s">
        <v>13142</v>
      </c>
      <c r="E3504" s="240" t="s">
        <v>13143</v>
      </c>
      <c r="F3504" s="242" t="s">
        <v>13144</v>
      </c>
      <c r="G3504" s="242" t="s">
        <v>127</v>
      </c>
      <c r="H3504" s="242">
        <v>4400.0</v>
      </c>
      <c r="I3504" s="224" t="s">
        <v>340</v>
      </c>
      <c r="J3504" s="240" t="s">
        <v>3486</v>
      </c>
      <c r="K3504" s="242">
        <v>2.0</v>
      </c>
      <c r="L3504" s="124">
        <v>3.876341998E9</v>
      </c>
    </row>
    <row r="3505" ht="9.75" customHeight="1">
      <c r="A3505" s="244"/>
      <c r="B3505" s="245"/>
      <c r="C3505" s="271"/>
      <c r="D3505" s="271"/>
      <c r="E3505" s="271"/>
      <c r="F3505" s="273"/>
      <c r="G3505" s="273"/>
      <c r="H3505" s="273"/>
      <c r="I3505" s="272"/>
      <c r="J3505" s="271"/>
      <c r="K3505" s="273"/>
      <c r="L3505" s="247"/>
      <c r="M3505" s="233"/>
      <c r="N3505" s="233"/>
      <c r="O3505" s="233"/>
      <c r="P3505" s="233"/>
      <c r="Q3505" s="233"/>
      <c r="R3505" s="233"/>
      <c r="S3505" s="233"/>
      <c r="T3505" s="233"/>
      <c r="U3505" s="233"/>
      <c r="V3505" s="233"/>
      <c r="W3505" s="233"/>
      <c r="X3505" s="233"/>
      <c r="Y3505" s="233"/>
      <c r="Z3505" s="233"/>
      <c r="AA3505" s="233"/>
      <c r="AB3505" s="233"/>
      <c r="AC3505" s="233"/>
    </row>
    <row r="3506">
      <c r="A3506" s="33" t="s">
        <v>13145</v>
      </c>
      <c r="B3506" s="326">
        <v>46182.0</v>
      </c>
      <c r="C3506" s="240">
        <v>8.07000036461E11</v>
      </c>
      <c r="D3506" s="240" t="s">
        <v>13146</v>
      </c>
      <c r="E3506" s="240" t="s">
        <v>13147</v>
      </c>
      <c r="F3506" s="242" t="s">
        <v>13148</v>
      </c>
      <c r="G3506" s="242" t="s">
        <v>127</v>
      </c>
      <c r="H3506" s="242">
        <v>4400.0</v>
      </c>
      <c r="I3506" s="224" t="s">
        <v>512</v>
      </c>
      <c r="J3506" s="240" t="s">
        <v>513</v>
      </c>
      <c r="K3506" s="242">
        <v>6.0</v>
      </c>
      <c r="L3506" s="124">
        <v>3.87513708E9</v>
      </c>
    </row>
    <row r="3507">
      <c r="A3507" s="33" t="s">
        <v>13145</v>
      </c>
      <c r="B3507" s="326">
        <v>46182.0</v>
      </c>
      <c r="C3507" s="103">
        <v>8.07000036462E11</v>
      </c>
      <c r="D3507" s="103" t="s">
        <v>13146</v>
      </c>
      <c r="E3507" s="103" t="s">
        <v>13147</v>
      </c>
      <c r="F3507" s="241" t="s">
        <v>13148</v>
      </c>
      <c r="G3507" s="241" t="s">
        <v>127</v>
      </c>
      <c r="H3507" s="241">
        <v>4400.0</v>
      </c>
      <c r="I3507" s="211" t="s">
        <v>6420</v>
      </c>
      <c r="J3507" s="103" t="s">
        <v>6421</v>
      </c>
      <c r="K3507" s="241">
        <v>1.0</v>
      </c>
      <c r="L3507" s="124">
        <v>3.87513708E9</v>
      </c>
    </row>
    <row r="3508">
      <c r="A3508" s="33" t="s">
        <v>13145</v>
      </c>
      <c r="B3508" s="326">
        <v>46182.0</v>
      </c>
      <c r="C3508" s="240">
        <v>8.07000036462E11</v>
      </c>
      <c r="D3508" s="240" t="s">
        <v>13146</v>
      </c>
      <c r="E3508" s="240" t="s">
        <v>13147</v>
      </c>
      <c r="F3508" s="242" t="s">
        <v>13148</v>
      </c>
      <c r="G3508" s="242" t="s">
        <v>127</v>
      </c>
      <c r="H3508" s="242">
        <v>4400.0</v>
      </c>
      <c r="I3508" s="224" t="s">
        <v>2031</v>
      </c>
      <c r="J3508" s="240" t="s">
        <v>3348</v>
      </c>
      <c r="K3508" s="242">
        <v>1.0</v>
      </c>
      <c r="L3508" s="124">
        <v>3.87513708E9</v>
      </c>
    </row>
    <row r="3509">
      <c r="A3509" s="33" t="s">
        <v>13149</v>
      </c>
      <c r="B3509" s="326">
        <v>46182.0</v>
      </c>
      <c r="C3509" s="103">
        <v>8.07000036477E11</v>
      </c>
      <c r="D3509" s="103" t="s">
        <v>13150</v>
      </c>
      <c r="E3509" s="103" t="s">
        <v>13151</v>
      </c>
      <c r="F3509" s="241" t="s">
        <v>13152</v>
      </c>
      <c r="G3509" s="241" t="s">
        <v>127</v>
      </c>
      <c r="H3509" s="241">
        <v>4400.0</v>
      </c>
      <c r="I3509" s="211">
        <v>208502.0</v>
      </c>
      <c r="J3509" s="103" t="s">
        <v>4551</v>
      </c>
      <c r="K3509" s="241">
        <v>2.0</v>
      </c>
      <c r="L3509" s="124">
        <v>3.876841989E9</v>
      </c>
    </row>
    <row r="3510">
      <c r="A3510" s="33" t="s">
        <v>13149</v>
      </c>
      <c r="B3510" s="326">
        <v>46182.0</v>
      </c>
      <c r="C3510" s="240">
        <v>8.07000036478E11</v>
      </c>
      <c r="D3510" s="240" t="s">
        <v>13150</v>
      </c>
      <c r="E3510" s="240" t="s">
        <v>13151</v>
      </c>
      <c r="F3510" s="242" t="s">
        <v>13152</v>
      </c>
      <c r="G3510" s="242" t="s">
        <v>127</v>
      </c>
      <c r="H3510" s="242">
        <v>4400.0</v>
      </c>
      <c r="I3510" s="224">
        <v>87610.0</v>
      </c>
      <c r="J3510" s="240" t="s">
        <v>12683</v>
      </c>
      <c r="K3510" s="242">
        <v>2.0</v>
      </c>
      <c r="L3510" s="124">
        <v>3.876841989E9</v>
      </c>
    </row>
    <row r="3511">
      <c r="A3511" s="33" t="s">
        <v>13153</v>
      </c>
      <c r="B3511" s="326">
        <v>46182.0</v>
      </c>
      <c r="C3511" s="103">
        <v>8.07000036479E11</v>
      </c>
      <c r="D3511" s="103" t="s">
        <v>13150</v>
      </c>
      <c r="E3511" s="103" t="s">
        <v>13151</v>
      </c>
      <c r="F3511" s="241" t="s">
        <v>13152</v>
      </c>
      <c r="G3511" s="241" t="s">
        <v>127</v>
      </c>
      <c r="H3511" s="241">
        <v>4400.0</v>
      </c>
      <c r="I3511" s="211" t="s">
        <v>768</v>
      </c>
      <c r="J3511" s="103" t="s">
        <v>3386</v>
      </c>
      <c r="K3511" s="241">
        <v>1.0</v>
      </c>
      <c r="L3511" s="124">
        <v>3.876841989E9</v>
      </c>
    </row>
    <row r="3512">
      <c r="A3512" s="33" t="s">
        <v>13154</v>
      </c>
      <c r="B3512" s="326">
        <v>46182.0</v>
      </c>
      <c r="C3512" s="240">
        <v>8.07000036489E11</v>
      </c>
      <c r="D3512" s="240" t="s">
        <v>13155</v>
      </c>
      <c r="E3512" s="240" t="s">
        <v>13156</v>
      </c>
      <c r="F3512" s="242" t="s">
        <v>13157</v>
      </c>
      <c r="G3512" s="242" t="s">
        <v>4645</v>
      </c>
      <c r="H3512" s="242">
        <v>4400.0</v>
      </c>
      <c r="I3512" s="224">
        <v>125814.0</v>
      </c>
      <c r="J3512" s="240" t="s">
        <v>9798</v>
      </c>
      <c r="K3512" s="242">
        <v>2.0</v>
      </c>
      <c r="L3512" s="124">
        <v>3.875324605E9</v>
      </c>
    </row>
    <row r="3513">
      <c r="A3513" s="33" t="s">
        <v>13154</v>
      </c>
      <c r="B3513" s="326">
        <v>46182.0</v>
      </c>
      <c r="C3513" s="103">
        <v>8.0700003649E11</v>
      </c>
      <c r="D3513" s="103" t="s">
        <v>13155</v>
      </c>
      <c r="E3513" s="103" t="s">
        <v>13156</v>
      </c>
      <c r="F3513" s="241" t="s">
        <v>13157</v>
      </c>
      <c r="G3513" s="241" t="s">
        <v>4645</v>
      </c>
      <c r="H3513" s="241">
        <v>4400.0</v>
      </c>
      <c r="I3513" s="211" t="s">
        <v>258</v>
      </c>
      <c r="J3513" s="103" t="s">
        <v>259</v>
      </c>
      <c r="K3513" s="241">
        <v>2.0</v>
      </c>
      <c r="L3513" s="124">
        <v>3.875324605E9</v>
      </c>
    </row>
    <row r="3514">
      <c r="A3514" s="33" t="s">
        <v>13158</v>
      </c>
      <c r="B3514" s="326">
        <v>46182.0</v>
      </c>
      <c r="C3514" s="240">
        <v>8.07000036491E11</v>
      </c>
      <c r="D3514" s="240" t="s">
        <v>13155</v>
      </c>
      <c r="E3514" s="240" t="s">
        <v>13156</v>
      </c>
      <c r="F3514" s="242" t="s">
        <v>13157</v>
      </c>
      <c r="G3514" s="242" t="s">
        <v>4645</v>
      </c>
      <c r="H3514" s="242">
        <v>4400.0</v>
      </c>
      <c r="I3514" s="224" t="s">
        <v>617</v>
      </c>
      <c r="J3514" s="240" t="s">
        <v>3867</v>
      </c>
      <c r="K3514" s="242">
        <v>1.0</v>
      </c>
      <c r="L3514" s="124">
        <v>3.875324605E9</v>
      </c>
    </row>
    <row r="3515">
      <c r="A3515" s="33" t="s">
        <v>13159</v>
      </c>
      <c r="B3515" s="122">
        <v>46183.0</v>
      </c>
      <c r="C3515" s="240">
        <v>8.07000036457E11</v>
      </c>
      <c r="D3515" s="240" t="s">
        <v>13160</v>
      </c>
      <c r="E3515" s="240" t="s">
        <v>13161</v>
      </c>
      <c r="F3515" s="242" t="s">
        <v>13162</v>
      </c>
      <c r="G3515" s="242" t="s">
        <v>104</v>
      </c>
      <c r="H3515" s="242">
        <v>4400.0</v>
      </c>
      <c r="I3515" s="224">
        <v>125818.0</v>
      </c>
      <c r="J3515" s="240" t="s">
        <v>4334</v>
      </c>
      <c r="K3515" s="242">
        <v>2.0</v>
      </c>
      <c r="L3515" s="124">
        <v>3.876630006E9</v>
      </c>
    </row>
    <row r="3516">
      <c r="A3516" s="33" t="s">
        <v>13163</v>
      </c>
      <c r="B3516" s="122">
        <v>46183.0</v>
      </c>
      <c r="C3516" s="103">
        <v>8.07000036458E11</v>
      </c>
      <c r="D3516" s="103" t="s">
        <v>13160</v>
      </c>
      <c r="E3516" s="103" t="s">
        <v>13161</v>
      </c>
      <c r="F3516" s="241" t="s">
        <v>13162</v>
      </c>
      <c r="G3516" s="241" t="s">
        <v>104</v>
      </c>
      <c r="H3516" s="241">
        <v>4400.0</v>
      </c>
      <c r="I3516" s="211" t="s">
        <v>659</v>
      </c>
      <c r="J3516" s="103" t="s">
        <v>3468</v>
      </c>
      <c r="K3516" s="241">
        <v>1.0</v>
      </c>
      <c r="L3516" s="124">
        <v>3.876630006E9</v>
      </c>
    </row>
    <row r="3517">
      <c r="A3517" s="33" t="s">
        <v>13164</v>
      </c>
      <c r="B3517" s="122">
        <v>46183.0</v>
      </c>
      <c r="C3517" s="240">
        <v>8.07000036467E11</v>
      </c>
      <c r="D3517" s="240" t="s">
        <v>11893</v>
      </c>
      <c r="E3517" s="240" t="s">
        <v>11894</v>
      </c>
      <c r="F3517" s="242" t="s">
        <v>13165</v>
      </c>
      <c r="G3517" s="242" t="s">
        <v>11896</v>
      </c>
      <c r="H3517" s="242">
        <v>4400.0</v>
      </c>
      <c r="I3517" s="224" t="s">
        <v>4070</v>
      </c>
      <c r="J3517" s="240" t="s">
        <v>6264</v>
      </c>
      <c r="K3517" s="242">
        <v>1.0</v>
      </c>
      <c r="L3517" s="124">
        <v>1.130445899E9</v>
      </c>
    </row>
    <row r="3518">
      <c r="A3518" s="33" t="s">
        <v>13164</v>
      </c>
      <c r="B3518" s="122">
        <v>46183.0</v>
      </c>
      <c r="C3518" s="103">
        <v>8.07000036468E11</v>
      </c>
      <c r="D3518" s="103" t="s">
        <v>11893</v>
      </c>
      <c r="E3518" s="103" t="s">
        <v>11894</v>
      </c>
      <c r="F3518" s="241" t="s">
        <v>13165</v>
      </c>
      <c r="G3518" s="241" t="s">
        <v>11896</v>
      </c>
      <c r="H3518" s="241">
        <v>4400.0</v>
      </c>
      <c r="I3518" s="309">
        <v>914751.0</v>
      </c>
      <c r="J3518" s="103" t="s">
        <v>7853</v>
      </c>
      <c r="K3518" s="241">
        <v>1.0</v>
      </c>
      <c r="L3518" s="124">
        <v>1.130445899E9</v>
      </c>
    </row>
    <row r="3519">
      <c r="A3519" s="33" t="s">
        <v>13166</v>
      </c>
      <c r="B3519" s="122">
        <v>46183.0</v>
      </c>
      <c r="C3519" s="103">
        <v>8.07000036475E11</v>
      </c>
      <c r="D3519" s="103" t="s">
        <v>13167</v>
      </c>
      <c r="E3519" s="103" t="s">
        <v>13168</v>
      </c>
      <c r="F3519" s="241" t="s">
        <v>13169</v>
      </c>
      <c r="G3519" s="241" t="s">
        <v>4065</v>
      </c>
      <c r="H3519" s="241">
        <v>4400.0</v>
      </c>
      <c r="I3519" s="211" t="s">
        <v>12700</v>
      </c>
      <c r="J3519" s="103" t="s">
        <v>12701</v>
      </c>
      <c r="K3519" s="241">
        <v>2.0</v>
      </c>
      <c r="L3519" s="124">
        <v>3.872216768E9</v>
      </c>
    </row>
    <row r="3520">
      <c r="A3520" s="33" t="s">
        <v>13166</v>
      </c>
      <c r="B3520" s="122">
        <v>46183.0</v>
      </c>
      <c r="C3520" s="240">
        <v>8.07000036475E11</v>
      </c>
      <c r="D3520" s="240" t="s">
        <v>13167</v>
      </c>
      <c r="E3520" s="240" t="s">
        <v>13168</v>
      </c>
      <c r="F3520" s="242" t="s">
        <v>13169</v>
      </c>
      <c r="G3520" s="242" t="s">
        <v>4065</v>
      </c>
      <c r="H3520" s="242">
        <v>4400.0</v>
      </c>
      <c r="I3520" s="224" t="s">
        <v>3979</v>
      </c>
      <c r="J3520" s="240" t="s">
        <v>3980</v>
      </c>
      <c r="K3520" s="242">
        <v>1.0</v>
      </c>
      <c r="L3520" s="124">
        <v>3.872216768E9</v>
      </c>
    </row>
    <row r="3521">
      <c r="A3521" s="33" t="s">
        <v>13170</v>
      </c>
      <c r="B3521" s="122">
        <v>46183.0</v>
      </c>
      <c r="C3521" s="240">
        <v>8.07000036486E11</v>
      </c>
      <c r="D3521" s="240" t="s">
        <v>13171</v>
      </c>
      <c r="E3521" s="240" t="s">
        <v>13172</v>
      </c>
      <c r="F3521" s="242" t="s">
        <v>13173</v>
      </c>
      <c r="G3521" s="242" t="s">
        <v>4645</v>
      </c>
      <c r="H3521" s="242">
        <v>4400.0</v>
      </c>
      <c r="I3521" s="224">
        <v>125818.0</v>
      </c>
      <c r="J3521" s="240" t="s">
        <v>4334</v>
      </c>
      <c r="K3521" s="242">
        <v>2.0</v>
      </c>
      <c r="L3521" s="124">
        <v>3.873659469E9</v>
      </c>
    </row>
    <row r="3522">
      <c r="A3522" s="33" t="s">
        <v>13170</v>
      </c>
      <c r="B3522" s="122">
        <v>46183.0</v>
      </c>
      <c r="C3522" s="103">
        <v>8.07000036485E11</v>
      </c>
      <c r="D3522" s="103" t="s">
        <v>13171</v>
      </c>
      <c r="E3522" s="103" t="s">
        <v>13172</v>
      </c>
      <c r="F3522" s="241" t="s">
        <v>13173</v>
      </c>
      <c r="G3522" s="241" t="s">
        <v>4645</v>
      </c>
      <c r="H3522" s="241">
        <v>4400.0</v>
      </c>
      <c r="I3522" s="211" t="s">
        <v>3451</v>
      </c>
      <c r="J3522" s="103" t="s">
        <v>3452</v>
      </c>
      <c r="K3522" s="241">
        <v>1.0</v>
      </c>
      <c r="L3522" s="124">
        <v>3.873659469E9</v>
      </c>
    </row>
    <row r="3523">
      <c r="A3523" s="33" t="s">
        <v>13170</v>
      </c>
      <c r="B3523" s="122">
        <v>46183.0</v>
      </c>
      <c r="C3523" s="240">
        <v>8.07000036485E11</v>
      </c>
      <c r="D3523" s="240" t="s">
        <v>13171</v>
      </c>
      <c r="E3523" s="240" t="s">
        <v>13172</v>
      </c>
      <c r="F3523" s="242" t="s">
        <v>13173</v>
      </c>
      <c r="G3523" s="242" t="s">
        <v>4645</v>
      </c>
      <c r="H3523" s="242">
        <v>4400.0</v>
      </c>
      <c r="I3523" s="224" t="s">
        <v>512</v>
      </c>
      <c r="J3523" s="240" t="s">
        <v>513</v>
      </c>
      <c r="K3523" s="242">
        <v>6.0</v>
      </c>
      <c r="L3523" s="124">
        <v>3.873659469E9</v>
      </c>
    </row>
    <row r="3524">
      <c r="A3524" s="33" t="s">
        <v>13170</v>
      </c>
      <c r="B3524" s="122">
        <v>46183.0</v>
      </c>
      <c r="C3524" s="103">
        <v>8.07000036485E11</v>
      </c>
      <c r="D3524" s="103" t="s">
        <v>13171</v>
      </c>
      <c r="E3524" s="103" t="s">
        <v>13172</v>
      </c>
      <c r="F3524" s="241" t="s">
        <v>13173</v>
      </c>
      <c r="G3524" s="241" t="s">
        <v>4645</v>
      </c>
      <c r="H3524" s="241">
        <v>4400.0</v>
      </c>
      <c r="I3524" s="211" t="s">
        <v>670</v>
      </c>
      <c r="J3524" s="103" t="s">
        <v>3410</v>
      </c>
      <c r="K3524" s="241">
        <v>1.0</v>
      </c>
      <c r="L3524" s="124">
        <v>3.873659469E9</v>
      </c>
    </row>
    <row r="3525">
      <c r="A3525" s="33" t="s">
        <v>13174</v>
      </c>
      <c r="B3525" s="122">
        <v>46184.0</v>
      </c>
      <c r="C3525" s="103">
        <v>8.07000036238E11</v>
      </c>
      <c r="D3525" s="103" t="s">
        <v>6467</v>
      </c>
      <c r="E3525" s="103" t="s">
        <v>6468</v>
      </c>
      <c r="F3525" s="241" t="s">
        <v>6469</v>
      </c>
      <c r="G3525" s="241" t="s">
        <v>1567</v>
      </c>
      <c r="H3525" s="241">
        <v>4400.0</v>
      </c>
      <c r="I3525" s="211" t="s">
        <v>3641</v>
      </c>
      <c r="J3525" s="103" t="s">
        <v>3642</v>
      </c>
      <c r="K3525" s="241">
        <v>2.0</v>
      </c>
      <c r="L3525" s="124">
        <v>3.873575474E9</v>
      </c>
    </row>
    <row r="3526">
      <c r="A3526" s="33" t="s">
        <v>13175</v>
      </c>
      <c r="B3526" s="122">
        <v>46184.0</v>
      </c>
      <c r="C3526" s="240">
        <v>8.07000036503E11</v>
      </c>
      <c r="D3526" s="240" t="s">
        <v>10919</v>
      </c>
      <c r="E3526" s="240" t="s">
        <v>10920</v>
      </c>
      <c r="F3526" s="242" t="s">
        <v>10921</v>
      </c>
      <c r="G3526" s="242" t="s">
        <v>127</v>
      </c>
      <c r="H3526" s="242">
        <v>4400.0</v>
      </c>
      <c r="I3526" s="224" t="s">
        <v>2372</v>
      </c>
      <c r="J3526" s="240" t="s">
        <v>8140</v>
      </c>
      <c r="K3526" s="242">
        <v>1.0</v>
      </c>
      <c r="L3526" s="124">
        <v>3.8768457E9</v>
      </c>
    </row>
    <row r="3527">
      <c r="A3527" s="33" t="s">
        <v>13176</v>
      </c>
      <c r="B3527" s="122">
        <v>46184.0</v>
      </c>
      <c r="C3527" s="103">
        <v>8.07000036504E11</v>
      </c>
      <c r="D3527" s="103" t="s">
        <v>6289</v>
      </c>
      <c r="E3527" s="103" t="s">
        <v>6290</v>
      </c>
      <c r="F3527" s="241" t="s">
        <v>6291</v>
      </c>
      <c r="G3527" s="241" t="s">
        <v>104</v>
      </c>
      <c r="H3527" s="241">
        <v>4400.0</v>
      </c>
      <c r="I3527" s="211" t="s">
        <v>6292</v>
      </c>
      <c r="J3527" s="103" t="s">
        <v>6293</v>
      </c>
      <c r="K3527" s="241">
        <v>3.0</v>
      </c>
      <c r="L3527" s="124">
        <v>3.874489882E9</v>
      </c>
    </row>
    <row r="3528">
      <c r="A3528" s="33" t="s">
        <v>13177</v>
      </c>
      <c r="B3528" s="122">
        <v>46185.0</v>
      </c>
      <c r="C3528" s="240">
        <v>8.07000036472E11</v>
      </c>
      <c r="D3528" s="240" t="s">
        <v>4724</v>
      </c>
      <c r="E3528" s="240" t="s">
        <v>4725</v>
      </c>
      <c r="F3528" s="242" t="s">
        <v>13178</v>
      </c>
      <c r="G3528" s="242" t="s">
        <v>13179</v>
      </c>
      <c r="H3528" s="242">
        <v>4400.0</v>
      </c>
      <c r="I3528" s="224" t="s">
        <v>7955</v>
      </c>
      <c r="J3528" s="240" t="s">
        <v>7956</v>
      </c>
      <c r="K3528" s="242">
        <v>1.0</v>
      </c>
      <c r="L3528" s="124">
        <v>3.8758587E7</v>
      </c>
    </row>
    <row r="3529">
      <c r="A3529" s="33" t="s">
        <v>13180</v>
      </c>
      <c r="B3529" s="122">
        <v>46185.0</v>
      </c>
      <c r="C3529" s="240">
        <v>8.07000036509E11</v>
      </c>
      <c r="D3529" s="240" t="s">
        <v>13181</v>
      </c>
      <c r="E3529" s="240" t="s">
        <v>13182</v>
      </c>
      <c r="F3529" s="242" t="s">
        <v>13183</v>
      </c>
      <c r="G3529" s="242" t="s">
        <v>104</v>
      </c>
      <c r="H3529" s="242">
        <v>4400.0</v>
      </c>
      <c r="I3529" s="224" t="s">
        <v>512</v>
      </c>
      <c r="J3529" s="240" t="s">
        <v>513</v>
      </c>
      <c r="K3529" s="242">
        <v>12.0</v>
      </c>
      <c r="L3529" s="124">
        <v>3.87527329E9</v>
      </c>
    </row>
    <row r="3530">
      <c r="A3530" s="33" t="s">
        <v>13180</v>
      </c>
      <c r="B3530" s="122">
        <v>46185.0</v>
      </c>
      <c r="C3530" s="103">
        <v>8.0700003651E11</v>
      </c>
      <c r="D3530" s="103" t="s">
        <v>13181</v>
      </c>
      <c r="E3530" s="103" t="s">
        <v>13182</v>
      </c>
      <c r="F3530" s="242" t="s">
        <v>13183</v>
      </c>
      <c r="G3530" s="242" t="s">
        <v>104</v>
      </c>
      <c r="H3530" s="242">
        <v>4400.0</v>
      </c>
      <c r="I3530" s="211" t="s">
        <v>2537</v>
      </c>
      <c r="J3530" s="103" t="s">
        <v>3955</v>
      </c>
      <c r="K3530" s="241">
        <v>1.0</v>
      </c>
      <c r="L3530" s="124">
        <v>3.87527329E9</v>
      </c>
    </row>
    <row r="3531">
      <c r="A3531" s="33" t="s">
        <v>13180</v>
      </c>
      <c r="B3531" s="122">
        <v>46185.0</v>
      </c>
      <c r="C3531" s="240">
        <v>8.0700003651E11</v>
      </c>
      <c r="D3531" s="240" t="s">
        <v>13181</v>
      </c>
      <c r="E3531" s="240" t="s">
        <v>13182</v>
      </c>
      <c r="F3531" s="242" t="s">
        <v>13183</v>
      </c>
      <c r="G3531" s="242" t="s">
        <v>104</v>
      </c>
      <c r="H3531" s="242">
        <v>4400.0</v>
      </c>
      <c r="I3531" s="224" t="s">
        <v>340</v>
      </c>
      <c r="J3531" s="240" t="s">
        <v>3486</v>
      </c>
      <c r="K3531" s="242">
        <v>2.0</v>
      </c>
      <c r="L3531" s="124">
        <v>3.87527329E9</v>
      </c>
    </row>
    <row r="3532">
      <c r="A3532" s="33" t="s">
        <v>13184</v>
      </c>
      <c r="B3532" s="122">
        <v>46185.0</v>
      </c>
      <c r="C3532" s="103">
        <v>8.07000036511E11</v>
      </c>
      <c r="D3532" s="103" t="s">
        <v>13181</v>
      </c>
      <c r="E3532" s="103" t="s">
        <v>13182</v>
      </c>
      <c r="F3532" s="242" t="s">
        <v>13183</v>
      </c>
      <c r="G3532" s="242" t="s">
        <v>104</v>
      </c>
      <c r="H3532" s="242">
        <v>4400.0</v>
      </c>
      <c r="I3532" s="211">
        <v>125813.0</v>
      </c>
      <c r="J3532" s="103" t="s">
        <v>5703</v>
      </c>
      <c r="K3532" s="241">
        <v>2.0</v>
      </c>
      <c r="L3532" s="124">
        <v>3.87527329E9</v>
      </c>
    </row>
    <row r="3533">
      <c r="A3533" s="33" t="s">
        <v>13184</v>
      </c>
      <c r="B3533" s="122">
        <v>46185.0</v>
      </c>
      <c r="C3533" s="240">
        <v>8.07000036511E11</v>
      </c>
      <c r="D3533" s="240" t="s">
        <v>13181</v>
      </c>
      <c r="E3533" s="240" t="s">
        <v>13182</v>
      </c>
      <c r="F3533" s="242" t="s">
        <v>13183</v>
      </c>
      <c r="G3533" s="242" t="s">
        <v>104</v>
      </c>
      <c r="H3533" s="242">
        <v>4400.0</v>
      </c>
      <c r="I3533" s="224">
        <v>208501.0</v>
      </c>
      <c r="J3533" s="240" t="s">
        <v>481</v>
      </c>
      <c r="K3533" s="242">
        <v>2.0</v>
      </c>
      <c r="L3533" s="124">
        <v>3.87527329E9</v>
      </c>
    </row>
    <row r="3534">
      <c r="A3534" s="100"/>
      <c r="B3534" s="230"/>
      <c r="C3534" s="251"/>
      <c r="D3534" s="251"/>
      <c r="E3534" s="251"/>
      <c r="F3534" s="253"/>
      <c r="G3534" s="253"/>
      <c r="H3534" s="253"/>
      <c r="I3534" s="252"/>
      <c r="J3534" s="251"/>
      <c r="K3534" s="253"/>
      <c r="L3534" s="232"/>
    </row>
    <row r="3535">
      <c r="A3535" s="33" t="s">
        <v>13185</v>
      </c>
      <c r="B3535" s="122">
        <v>46186.0</v>
      </c>
      <c r="C3535" s="103">
        <v>8.07000036288E11</v>
      </c>
      <c r="D3535" s="103" t="s">
        <v>6580</v>
      </c>
      <c r="E3535" s="103" t="s">
        <v>6581</v>
      </c>
      <c r="F3535" s="242" t="s">
        <v>13186</v>
      </c>
      <c r="G3535" s="242" t="s">
        <v>104</v>
      </c>
      <c r="H3535" s="242">
        <v>4400.0</v>
      </c>
      <c r="I3535" s="211">
        <v>120.0</v>
      </c>
      <c r="J3535" s="103" t="s">
        <v>12834</v>
      </c>
      <c r="K3535" s="241">
        <v>1.0</v>
      </c>
      <c r="L3535" s="124">
        <v>3.874825024E9</v>
      </c>
    </row>
    <row r="3536">
      <c r="A3536" s="33" t="s">
        <v>13185</v>
      </c>
      <c r="B3536" s="122">
        <v>46186.0</v>
      </c>
      <c r="C3536" s="240">
        <v>8.07000036288E11</v>
      </c>
      <c r="D3536" s="240" t="s">
        <v>6580</v>
      </c>
      <c r="E3536" s="240" t="s">
        <v>6581</v>
      </c>
      <c r="F3536" s="242" t="s">
        <v>13186</v>
      </c>
      <c r="G3536" s="242" t="s">
        <v>104</v>
      </c>
      <c r="H3536" s="242">
        <v>4400.0</v>
      </c>
      <c r="I3536" s="224" t="s">
        <v>4070</v>
      </c>
      <c r="J3536" s="240" t="s">
        <v>6264</v>
      </c>
      <c r="K3536" s="242">
        <v>1.0</v>
      </c>
      <c r="L3536" s="124">
        <v>3.874825024E9</v>
      </c>
    </row>
    <row r="3537">
      <c r="A3537" s="33" t="s">
        <v>13185</v>
      </c>
      <c r="B3537" s="122">
        <v>46186.0</v>
      </c>
      <c r="C3537" s="103">
        <v>8.07000036288E11</v>
      </c>
      <c r="D3537" s="103" t="s">
        <v>6580</v>
      </c>
      <c r="E3537" s="103" t="s">
        <v>6581</v>
      </c>
      <c r="F3537" s="242" t="s">
        <v>13186</v>
      </c>
      <c r="G3537" s="242" t="s">
        <v>104</v>
      </c>
      <c r="H3537" s="242">
        <v>4400.0</v>
      </c>
      <c r="I3537" s="211" t="s">
        <v>6265</v>
      </c>
      <c r="J3537" s="103" t="s">
        <v>6266</v>
      </c>
      <c r="K3537" s="241">
        <v>1.0</v>
      </c>
      <c r="L3537" s="124">
        <v>3.874825024E9</v>
      </c>
    </row>
    <row r="3538">
      <c r="A3538" s="33" t="s">
        <v>13187</v>
      </c>
      <c r="B3538" s="122">
        <v>46186.0</v>
      </c>
      <c r="C3538" s="240">
        <v>8.07000036518E11</v>
      </c>
      <c r="D3538" s="240" t="s">
        <v>13188</v>
      </c>
      <c r="E3538" s="240" t="s">
        <v>13189</v>
      </c>
      <c r="F3538" s="242" t="s">
        <v>13190</v>
      </c>
      <c r="G3538" s="242" t="s">
        <v>104</v>
      </c>
      <c r="H3538" s="242">
        <v>4400.0</v>
      </c>
      <c r="I3538" s="224">
        <v>208501.0</v>
      </c>
      <c r="J3538" s="240" t="s">
        <v>481</v>
      </c>
      <c r="K3538" s="242">
        <v>2.0</v>
      </c>
      <c r="L3538" s="124">
        <v>3.874573311E9</v>
      </c>
    </row>
    <row r="3539">
      <c r="A3539" s="33" t="s">
        <v>13187</v>
      </c>
      <c r="B3539" s="122">
        <v>46186.0</v>
      </c>
      <c r="C3539" s="103">
        <v>8.07000036518E11</v>
      </c>
      <c r="D3539" s="103" t="s">
        <v>13188</v>
      </c>
      <c r="E3539" s="103" t="s">
        <v>13189</v>
      </c>
      <c r="F3539" s="242" t="s">
        <v>13190</v>
      </c>
      <c r="G3539" s="242" t="s">
        <v>104</v>
      </c>
      <c r="H3539" s="242">
        <v>4400.0</v>
      </c>
      <c r="I3539" s="211" t="s">
        <v>512</v>
      </c>
      <c r="J3539" s="103" t="s">
        <v>513</v>
      </c>
      <c r="K3539" s="241">
        <v>6.0</v>
      </c>
      <c r="L3539" s="124">
        <v>3.874573311E9</v>
      </c>
    </row>
    <row r="3540">
      <c r="A3540" s="33" t="s">
        <v>13191</v>
      </c>
      <c r="B3540" s="122">
        <v>46186.0</v>
      </c>
      <c r="C3540" s="240">
        <v>8.07000036519E11</v>
      </c>
      <c r="D3540" s="240" t="s">
        <v>13188</v>
      </c>
      <c r="E3540" s="240" t="s">
        <v>13189</v>
      </c>
      <c r="F3540" s="242" t="s">
        <v>13190</v>
      </c>
      <c r="G3540" s="242" t="s">
        <v>104</v>
      </c>
      <c r="H3540" s="242">
        <v>4400.0</v>
      </c>
      <c r="I3540" s="224" t="s">
        <v>2372</v>
      </c>
      <c r="J3540" s="240" t="s">
        <v>8140</v>
      </c>
      <c r="K3540" s="242">
        <v>1.0</v>
      </c>
      <c r="L3540" s="124">
        <v>3.874573311E9</v>
      </c>
    </row>
    <row r="3541">
      <c r="A3541" s="33" t="s">
        <v>13191</v>
      </c>
      <c r="B3541" s="122">
        <v>46186.0</v>
      </c>
      <c r="C3541" s="103">
        <v>8.07000036519E11</v>
      </c>
      <c r="D3541" s="103" t="s">
        <v>13188</v>
      </c>
      <c r="E3541" s="103" t="s">
        <v>13189</v>
      </c>
      <c r="F3541" s="242" t="s">
        <v>13190</v>
      </c>
      <c r="G3541" s="242" t="s">
        <v>104</v>
      </c>
      <c r="H3541" s="242">
        <v>4400.0</v>
      </c>
      <c r="I3541" s="211" t="s">
        <v>35</v>
      </c>
      <c r="J3541" s="103" t="s">
        <v>3188</v>
      </c>
      <c r="K3541" s="241">
        <v>1.0</v>
      </c>
      <c r="L3541" s="124">
        <v>3.874573311E9</v>
      </c>
    </row>
    <row r="3542">
      <c r="A3542" s="33" t="s">
        <v>13192</v>
      </c>
      <c r="B3542" s="122">
        <v>46186.0</v>
      </c>
      <c r="C3542" s="240">
        <v>8.07000036521E11</v>
      </c>
      <c r="D3542" s="240" t="s">
        <v>13193</v>
      </c>
      <c r="E3542" s="240" t="s">
        <v>13194</v>
      </c>
      <c r="F3542" s="242" t="s">
        <v>13195</v>
      </c>
      <c r="G3542" s="242" t="s">
        <v>104</v>
      </c>
      <c r="H3542" s="242">
        <v>4400.0</v>
      </c>
      <c r="I3542" s="224">
        <v>125811.0</v>
      </c>
      <c r="J3542" s="240" t="s">
        <v>6073</v>
      </c>
      <c r="K3542" s="242">
        <v>2.0</v>
      </c>
      <c r="L3542" s="124">
        <v>3.874143376E9</v>
      </c>
    </row>
    <row r="3543">
      <c r="A3543" s="33" t="s">
        <v>13192</v>
      </c>
      <c r="B3543" s="122">
        <v>46186.0</v>
      </c>
      <c r="C3543" s="103">
        <v>8.07000036521E11</v>
      </c>
      <c r="D3543" s="103" t="s">
        <v>13193</v>
      </c>
      <c r="E3543" s="103" t="s">
        <v>13194</v>
      </c>
      <c r="F3543" s="242" t="s">
        <v>13195</v>
      </c>
      <c r="G3543" s="242" t="s">
        <v>104</v>
      </c>
      <c r="H3543" s="242">
        <v>4400.0</v>
      </c>
      <c r="I3543" s="211" t="s">
        <v>512</v>
      </c>
      <c r="J3543" s="103" t="s">
        <v>513</v>
      </c>
      <c r="K3543" s="241">
        <v>12.0</v>
      </c>
      <c r="L3543" s="124">
        <v>3.874143376E9</v>
      </c>
    </row>
    <row r="3544">
      <c r="A3544" s="33" t="s">
        <v>13192</v>
      </c>
      <c r="B3544" s="122">
        <v>46186.0</v>
      </c>
      <c r="C3544" s="240">
        <v>8.07000036521E11</v>
      </c>
      <c r="D3544" s="240" t="s">
        <v>13193</v>
      </c>
      <c r="E3544" s="240" t="s">
        <v>13194</v>
      </c>
      <c r="F3544" s="242" t="s">
        <v>13195</v>
      </c>
      <c r="G3544" s="242" t="s">
        <v>104</v>
      </c>
      <c r="H3544" s="242">
        <v>4400.0</v>
      </c>
      <c r="I3544" s="224" t="s">
        <v>12771</v>
      </c>
      <c r="J3544" s="240" t="s">
        <v>12772</v>
      </c>
      <c r="K3544" s="242">
        <v>1.0</v>
      </c>
      <c r="L3544" s="124">
        <v>3.874143376E9</v>
      </c>
    </row>
    <row r="3545">
      <c r="A3545" s="33" t="s">
        <v>13192</v>
      </c>
      <c r="B3545" s="122">
        <v>46186.0</v>
      </c>
      <c r="C3545" s="103">
        <v>8.07000036522E11</v>
      </c>
      <c r="D3545" s="103" t="s">
        <v>13193</v>
      </c>
      <c r="E3545" s="103" t="s">
        <v>13194</v>
      </c>
      <c r="F3545" s="242" t="s">
        <v>13195</v>
      </c>
      <c r="G3545" s="242" t="s">
        <v>104</v>
      </c>
      <c r="H3545" s="242">
        <v>4400.0</v>
      </c>
      <c r="I3545" s="211" t="s">
        <v>1533</v>
      </c>
      <c r="J3545" s="103" t="s">
        <v>8151</v>
      </c>
      <c r="K3545" s="241">
        <v>1.0</v>
      </c>
      <c r="L3545" s="124">
        <v>3.874143376E9</v>
      </c>
    </row>
    <row r="3546">
      <c r="A3546" s="33" t="s">
        <v>13192</v>
      </c>
      <c r="B3546" s="122">
        <v>46186.0</v>
      </c>
      <c r="C3546" s="240">
        <v>8.07000036522E11</v>
      </c>
      <c r="D3546" s="240" t="s">
        <v>13193</v>
      </c>
      <c r="E3546" s="240" t="s">
        <v>13194</v>
      </c>
      <c r="F3546" s="242" t="s">
        <v>13195</v>
      </c>
      <c r="G3546" s="242" t="s">
        <v>104</v>
      </c>
      <c r="H3546" s="242">
        <v>4400.0</v>
      </c>
      <c r="I3546" s="224" t="s">
        <v>121</v>
      </c>
      <c r="J3546" s="240" t="s">
        <v>3199</v>
      </c>
      <c r="K3546" s="242">
        <v>2.0</v>
      </c>
      <c r="L3546" s="124">
        <v>3.874143376E9</v>
      </c>
    </row>
    <row r="3547">
      <c r="A3547" s="33" t="s">
        <v>13196</v>
      </c>
      <c r="B3547" s="122">
        <v>46186.0</v>
      </c>
      <c r="C3547" s="240">
        <v>8.07000036526E11</v>
      </c>
      <c r="D3547" s="240" t="s">
        <v>13197</v>
      </c>
      <c r="E3547" s="240" t="s">
        <v>13198</v>
      </c>
      <c r="F3547" s="242" t="s">
        <v>13199</v>
      </c>
      <c r="G3547" s="242" t="s">
        <v>104</v>
      </c>
      <c r="H3547" s="242">
        <v>4400.0</v>
      </c>
      <c r="I3547" s="224">
        <v>125812.0</v>
      </c>
      <c r="J3547" s="240" t="s">
        <v>9317</v>
      </c>
      <c r="K3547" s="242">
        <v>2.0</v>
      </c>
      <c r="L3547" s="124">
        <v>3.874194044E9</v>
      </c>
    </row>
    <row r="3548">
      <c r="A3548" s="33" t="s">
        <v>13196</v>
      </c>
      <c r="B3548" s="122">
        <v>46186.0</v>
      </c>
      <c r="C3548" s="103">
        <v>8.07000036527E11</v>
      </c>
      <c r="D3548" s="103" t="s">
        <v>13197</v>
      </c>
      <c r="E3548" s="103" t="s">
        <v>13198</v>
      </c>
      <c r="F3548" s="242" t="s">
        <v>13199</v>
      </c>
      <c r="G3548" s="242" t="s">
        <v>104</v>
      </c>
      <c r="H3548" s="242">
        <v>4400.0</v>
      </c>
      <c r="I3548" s="211" t="s">
        <v>6292</v>
      </c>
      <c r="J3548" s="103" t="s">
        <v>6293</v>
      </c>
      <c r="K3548" s="241">
        <v>1.0</v>
      </c>
      <c r="L3548" s="124">
        <v>3.874194044E9</v>
      </c>
    </row>
    <row r="3549">
      <c r="A3549" s="33" t="s">
        <v>13200</v>
      </c>
      <c r="B3549" s="122">
        <v>46186.0</v>
      </c>
      <c r="C3549" s="103">
        <v>8.07000036531E11</v>
      </c>
      <c r="D3549" s="103" t="s">
        <v>13201</v>
      </c>
      <c r="E3549" s="103" t="s">
        <v>13202</v>
      </c>
      <c r="F3549" s="242" t="s">
        <v>13203</v>
      </c>
      <c r="G3549" s="242" t="s">
        <v>104</v>
      </c>
      <c r="H3549" s="242">
        <v>4400.0</v>
      </c>
      <c r="I3549" s="103" t="s">
        <v>5262</v>
      </c>
      <c r="J3549" s="103" t="s">
        <v>5263</v>
      </c>
      <c r="K3549" s="241">
        <v>1.0</v>
      </c>
      <c r="L3549" s="124">
        <v>3.87485445E9</v>
      </c>
    </row>
    <row r="3550">
      <c r="A3550" s="33"/>
      <c r="B3550" s="122"/>
      <c r="C3550" s="240"/>
      <c r="D3550" s="240"/>
      <c r="E3550" s="240"/>
      <c r="F3550" s="242"/>
      <c r="G3550" s="242"/>
      <c r="H3550" s="242"/>
      <c r="I3550" s="224"/>
      <c r="J3550" s="240"/>
      <c r="K3550" s="242"/>
      <c r="L3550" s="124"/>
    </row>
    <row r="3551">
      <c r="A3551" s="33"/>
      <c r="B3551" s="122"/>
      <c r="C3551" s="240"/>
      <c r="D3551" s="240"/>
      <c r="E3551" s="240"/>
      <c r="F3551" s="242"/>
      <c r="G3551" s="242"/>
      <c r="H3551" s="242"/>
      <c r="I3551" s="224"/>
      <c r="J3551" s="240"/>
      <c r="K3551" s="242"/>
      <c r="L3551" s="124"/>
    </row>
    <row r="3552">
      <c r="A3552" s="33"/>
      <c r="B3552" s="122"/>
      <c r="C3552" s="240"/>
      <c r="D3552" s="240"/>
      <c r="E3552" s="240"/>
      <c r="F3552" s="242"/>
      <c r="G3552" s="242"/>
      <c r="H3552" s="242"/>
      <c r="I3552" s="224"/>
      <c r="J3552" s="240"/>
      <c r="K3552" s="242"/>
      <c r="L3552" s="124"/>
    </row>
    <row r="3553">
      <c r="A3553" s="33"/>
      <c r="B3553" s="122"/>
      <c r="C3553" s="240"/>
      <c r="D3553" s="240"/>
      <c r="E3553" s="240"/>
      <c r="F3553" s="242"/>
      <c r="G3553" s="242"/>
      <c r="H3553" s="242"/>
      <c r="I3553" s="224"/>
      <c r="J3553" s="240"/>
      <c r="K3553" s="242"/>
      <c r="L3553" s="124"/>
    </row>
    <row r="3554">
      <c r="A3554" s="33"/>
      <c r="B3554" s="122"/>
      <c r="C3554" s="240"/>
      <c r="D3554" s="240"/>
      <c r="E3554" s="240"/>
      <c r="F3554" s="242"/>
      <c r="G3554" s="242"/>
      <c r="H3554" s="242"/>
      <c r="I3554" s="224"/>
      <c r="J3554" s="240"/>
      <c r="K3554" s="242"/>
      <c r="L3554" s="124"/>
    </row>
    <row r="3555">
      <c r="A3555" s="33"/>
      <c r="B3555" s="122"/>
      <c r="C3555" s="240"/>
      <c r="D3555" s="240"/>
      <c r="E3555" s="240"/>
      <c r="F3555" s="242"/>
      <c r="G3555" s="242"/>
      <c r="H3555" s="242"/>
      <c r="I3555" s="224"/>
      <c r="J3555" s="240"/>
      <c r="K3555" s="242"/>
      <c r="L3555" s="124"/>
    </row>
    <row r="3556">
      <c r="A3556" s="33"/>
      <c r="B3556" s="122"/>
      <c r="C3556" s="240"/>
      <c r="D3556" s="240"/>
      <c r="E3556" s="240"/>
      <c r="F3556" s="242"/>
      <c r="G3556" s="242"/>
      <c r="H3556" s="242"/>
      <c r="I3556" s="224"/>
      <c r="J3556" s="240"/>
      <c r="K3556" s="242"/>
      <c r="L3556" s="124"/>
    </row>
    <row r="3557">
      <c r="A3557" s="33"/>
      <c r="B3557" s="122"/>
      <c r="C3557" s="240"/>
      <c r="D3557" s="240"/>
      <c r="E3557" s="240"/>
      <c r="F3557" s="242"/>
      <c r="G3557" s="242"/>
      <c r="H3557" s="242"/>
      <c r="I3557" s="224"/>
      <c r="J3557" s="240"/>
      <c r="K3557" s="242"/>
      <c r="L3557" s="124"/>
    </row>
    <row r="3558">
      <c r="A3558" s="33"/>
      <c r="B3558" s="122"/>
      <c r="C3558" s="240"/>
      <c r="D3558" s="240"/>
      <c r="E3558" s="240"/>
      <c r="F3558" s="242"/>
      <c r="G3558" s="242"/>
      <c r="H3558" s="242"/>
      <c r="I3558" s="224"/>
      <c r="J3558" s="240"/>
      <c r="K3558" s="242"/>
      <c r="L3558" s="124"/>
    </row>
    <row r="3559">
      <c r="A3559" s="33"/>
      <c r="B3559" s="122"/>
      <c r="C3559" s="240"/>
      <c r="D3559" s="240"/>
      <c r="E3559" s="240"/>
      <c r="F3559" s="242"/>
      <c r="G3559" s="242"/>
      <c r="H3559" s="242"/>
      <c r="I3559" s="224"/>
      <c r="J3559" s="240"/>
      <c r="K3559" s="242"/>
      <c r="L3559" s="124"/>
    </row>
    <row r="3560">
      <c r="A3560" s="33"/>
      <c r="B3560" s="122"/>
      <c r="C3560" s="240"/>
      <c r="D3560" s="240"/>
      <c r="E3560" s="240"/>
      <c r="F3560" s="242"/>
      <c r="G3560" s="242"/>
      <c r="H3560" s="242"/>
      <c r="I3560" s="224"/>
      <c r="J3560" s="240"/>
      <c r="K3560" s="242"/>
      <c r="L3560" s="124"/>
    </row>
    <row r="3561">
      <c r="A3561" s="33"/>
      <c r="B3561" s="122"/>
      <c r="C3561" s="240"/>
      <c r="D3561" s="240"/>
      <c r="E3561" s="240"/>
      <c r="F3561" s="242"/>
      <c r="G3561" s="242"/>
      <c r="H3561" s="242"/>
      <c r="I3561" s="224"/>
      <c r="J3561" s="240"/>
      <c r="K3561" s="242"/>
      <c r="L3561" s="124"/>
    </row>
    <row r="3562">
      <c r="A3562" s="33"/>
      <c r="B3562" s="122"/>
      <c r="C3562" s="240"/>
      <c r="D3562" s="240"/>
      <c r="E3562" s="240"/>
      <c r="F3562" s="242"/>
      <c r="G3562" s="242"/>
      <c r="H3562" s="242"/>
      <c r="I3562" s="224"/>
      <c r="J3562" s="240"/>
      <c r="K3562" s="242"/>
      <c r="L3562" s="124"/>
    </row>
    <row r="3563">
      <c r="A3563" s="33"/>
      <c r="B3563" s="122"/>
      <c r="C3563" s="240"/>
      <c r="D3563" s="240"/>
      <c r="E3563" s="240"/>
      <c r="F3563" s="242"/>
      <c r="G3563" s="242"/>
      <c r="H3563" s="242"/>
      <c r="I3563" s="224"/>
      <c r="J3563" s="240"/>
      <c r="K3563" s="242"/>
      <c r="L3563" s="124"/>
    </row>
    <row r="3564">
      <c r="A3564" s="33"/>
      <c r="B3564" s="122"/>
      <c r="C3564" s="240"/>
      <c r="D3564" s="240"/>
      <c r="E3564" s="240"/>
      <c r="F3564" s="242"/>
      <c r="G3564" s="242"/>
      <c r="H3564" s="242"/>
      <c r="I3564" s="224"/>
      <c r="J3564" s="240"/>
      <c r="K3564" s="242"/>
      <c r="L3564" s="124"/>
    </row>
    <row r="3565">
      <c r="A3565" s="33"/>
      <c r="B3565" s="122"/>
      <c r="C3565" s="240"/>
      <c r="D3565" s="240"/>
      <c r="E3565" s="240"/>
      <c r="F3565" s="242"/>
      <c r="G3565" s="242"/>
      <c r="H3565" s="242"/>
      <c r="I3565" s="224"/>
      <c r="J3565" s="240"/>
      <c r="K3565" s="242"/>
      <c r="L3565" s="124"/>
    </row>
    <row r="3566">
      <c r="A3566" s="33"/>
      <c r="B3566" s="122"/>
      <c r="C3566" s="240"/>
      <c r="D3566" s="240"/>
      <c r="E3566" s="240"/>
      <c r="F3566" s="242"/>
      <c r="G3566" s="242"/>
      <c r="H3566" s="242"/>
      <c r="I3566" s="224"/>
      <c r="J3566" s="240"/>
      <c r="K3566" s="242"/>
      <c r="L3566" s="124"/>
    </row>
    <row r="3567">
      <c r="A3567" s="33"/>
      <c r="B3567" s="122"/>
      <c r="C3567" s="240"/>
      <c r="D3567" s="240"/>
      <c r="E3567" s="240"/>
      <c r="F3567" s="242"/>
      <c r="G3567" s="242"/>
      <c r="H3567" s="242"/>
      <c r="I3567" s="224"/>
      <c r="J3567" s="240"/>
      <c r="K3567" s="242"/>
      <c r="L3567" s="124"/>
    </row>
    <row r="3568">
      <c r="A3568" s="33"/>
      <c r="B3568" s="122"/>
      <c r="C3568" s="240"/>
      <c r="D3568" s="240"/>
      <c r="E3568" s="240"/>
      <c r="F3568" s="242"/>
      <c r="G3568" s="242"/>
      <c r="H3568" s="242"/>
      <c r="I3568" s="224"/>
      <c r="J3568" s="240"/>
      <c r="K3568" s="242"/>
      <c r="L3568" s="124"/>
    </row>
    <row r="3569">
      <c r="A3569" s="33"/>
      <c r="B3569" s="122"/>
      <c r="C3569" s="240"/>
      <c r="D3569" s="240"/>
      <c r="E3569" s="240"/>
      <c r="F3569" s="242"/>
      <c r="G3569" s="242"/>
      <c r="H3569" s="242"/>
      <c r="I3569" s="224"/>
      <c r="J3569" s="240"/>
      <c r="K3569" s="242"/>
      <c r="L3569" s="124"/>
    </row>
    <row r="3570">
      <c r="A3570" s="33"/>
      <c r="B3570" s="122"/>
      <c r="C3570" s="240"/>
      <c r="D3570" s="240"/>
      <c r="E3570" s="240"/>
      <c r="F3570" s="242"/>
      <c r="G3570" s="242"/>
      <c r="H3570" s="242"/>
      <c r="I3570" s="224"/>
      <c r="J3570" s="240"/>
      <c r="K3570" s="242"/>
      <c r="L3570" s="124"/>
    </row>
    <row r="3571">
      <c r="A3571" s="33"/>
      <c r="B3571" s="122"/>
      <c r="C3571" s="240"/>
      <c r="D3571" s="240"/>
      <c r="E3571" s="240"/>
      <c r="F3571" s="242"/>
      <c r="G3571" s="242"/>
      <c r="H3571" s="242"/>
      <c r="I3571" s="224"/>
      <c r="J3571" s="240"/>
      <c r="K3571" s="242"/>
      <c r="L3571" s="124"/>
    </row>
    <row r="3572">
      <c r="A3572" s="33"/>
      <c r="B3572" s="122"/>
      <c r="C3572" s="240"/>
      <c r="D3572" s="240"/>
      <c r="E3572" s="240"/>
      <c r="F3572" s="242"/>
      <c r="G3572" s="242"/>
      <c r="H3572" s="242"/>
      <c r="I3572" s="224"/>
      <c r="J3572" s="240"/>
      <c r="K3572" s="242"/>
      <c r="L3572" s="124"/>
    </row>
    <row r="3573">
      <c r="A3573" s="33"/>
      <c r="B3573" s="122"/>
      <c r="C3573" s="240"/>
      <c r="D3573" s="240"/>
      <c r="E3573" s="240"/>
      <c r="F3573" s="242"/>
      <c r="G3573" s="242"/>
      <c r="H3573" s="242"/>
      <c r="I3573" s="224"/>
      <c r="J3573" s="240"/>
      <c r="K3573" s="242"/>
      <c r="L3573" s="124"/>
    </row>
    <row r="3574">
      <c r="A3574" s="33"/>
      <c r="B3574" s="122"/>
      <c r="C3574" s="240"/>
      <c r="D3574" s="240"/>
      <c r="E3574" s="240"/>
      <c r="F3574" s="242"/>
      <c r="G3574" s="242"/>
      <c r="H3574" s="242"/>
      <c r="I3574" s="224"/>
      <c r="J3574" s="240"/>
      <c r="K3574" s="242"/>
      <c r="L3574" s="124"/>
    </row>
    <row r="3575">
      <c r="A3575" s="33"/>
      <c r="B3575" s="122"/>
      <c r="C3575" s="240"/>
      <c r="D3575" s="240"/>
      <c r="E3575" s="240"/>
      <c r="F3575" s="242"/>
      <c r="G3575" s="242"/>
      <c r="H3575" s="242"/>
      <c r="I3575" s="224"/>
      <c r="J3575" s="240"/>
      <c r="K3575" s="242"/>
      <c r="L3575" s="124"/>
    </row>
    <row r="3576">
      <c r="A3576" s="33"/>
      <c r="B3576" s="122"/>
      <c r="C3576" s="240"/>
      <c r="D3576" s="240"/>
      <c r="E3576" s="240"/>
      <c r="F3576" s="242"/>
      <c r="G3576" s="242"/>
      <c r="H3576" s="242"/>
      <c r="I3576" s="224"/>
      <c r="J3576" s="240"/>
      <c r="K3576" s="242"/>
      <c r="L3576" s="124"/>
    </row>
    <row r="3577">
      <c r="A3577" s="33"/>
      <c r="B3577" s="122"/>
      <c r="C3577" s="240"/>
      <c r="D3577" s="240"/>
      <c r="E3577" s="240"/>
      <c r="F3577" s="242"/>
      <c r="G3577" s="242"/>
      <c r="H3577" s="242"/>
      <c r="I3577" s="224"/>
      <c r="J3577" s="240"/>
      <c r="K3577" s="242"/>
      <c r="L3577" s="124"/>
    </row>
    <row r="3578">
      <c r="A3578" s="33"/>
      <c r="B3578" s="122"/>
      <c r="C3578" s="240"/>
      <c r="D3578" s="240"/>
      <c r="E3578" s="240"/>
      <c r="F3578" s="242"/>
      <c r="G3578" s="242"/>
      <c r="H3578" s="242"/>
      <c r="I3578" s="224"/>
      <c r="J3578" s="240"/>
      <c r="K3578" s="242"/>
      <c r="L3578" s="124"/>
    </row>
    <row r="3579">
      <c r="A3579" s="33"/>
      <c r="B3579" s="122"/>
      <c r="C3579" s="240"/>
      <c r="D3579" s="240"/>
      <c r="E3579" s="240"/>
      <c r="F3579" s="242"/>
      <c r="G3579" s="242"/>
      <c r="H3579" s="242"/>
      <c r="I3579" s="224"/>
      <c r="J3579" s="240"/>
      <c r="K3579" s="242"/>
      <c r="L3579" s="124"/>
    </row>
    <row r="3580">
      <c r="A3580" s="55"/>
      <c r="B3580" s="312"/>
      <c r="C3580" s="308"/>
      <c r="D3580" s="308"/>
      <c r="E3580" s="308"/>
      <c r="F3580" s="327"/>
      <c r="G3580" s="327"/>
      <c r="H3580" s="327"/>
      <c r="I3580" s="328"/>
      <c r="J3580" s="308"/>
      <c r="K3580" s="327"/>
      <c r="L3580" s="210"/>
    </row>
    <row r="3581">
      <c r="A3581" s="55"/>
      <c r="B3581" s="312"/>
      <c r="C3581" s="308"/>
      <c r="D3581" s="308"/>
      <c r="E3581" s="308"/>
      <c r="F3581" s="327"/>
      <c r="G3581" s="327"/>
      <c r="H3581" s="327"/>
      <c r="I3581" s="328"/>
      <c r="J3581" s="308"/>
      <c r="K3581" s="327"/>
      <c r="L3581" s="210"/>
    </row>
    <row r="3582">
      <c r="A3582" s="55"/>
      <c r="B3582" s="312"/>
      <c r="C3582" s="308"/>
      <c r="D3582" s="308"/>
      <c r="E3582" s="308"/>
      <c r="F3582" s="327"/>
      <c r="G3582" s="327"/>
      <c r="H3582" s="327"/>
      <c r="I3582" s="328"/>
      <c r="J3582" s="308"/>
      <c r="K3582" s="327"/>
      <c r="L3582" s="210"/>
    </row>
    <row r="3583">
      <c r="A3583" s="55"/>
      <c r="B3583" s="312"/>
      <c r="C3583" s="308"/>
      <c r="D3583" s="308"/>
      <c r="E3583" s="308"/>
      <c r="F3583" s="327"/>
      <c r="G3583" s="327"/>
      <c r="H3583" s="327"/>
      <c r="I3583" s="328"/>
      <c r="J3583" s="308"/>
      <c r="K3583" s="327"/>
      <c r="L3583" s="210"/>
    </row>
    <row r="3584">
      <c r="A3584" s="55"/>
      <c r="B3584" s="312"/>
      <c r="C3584" s="308"/>
      <c r="D3584" s="308"/>
      <c r="E3584" s="308"/>
      <c r="F3584" s="327"/>
      <c r="G3584" s="327"/>
      <c r="H3584" s="327"/>
      <c r="I3584" s="328"/>
      <c r="J3584" s="308"/>
      <c r="K3584" s="327"/>
      <c r="L3584" s="210"/>
    </row>
    <row r="3585">
      <c r="A3585" s="55"/>
      <c r="B3585" s="312"/>
      <c r="C3585" s="308"/>
      <c r="D3585" s="308"/>
      <c r="E3585" s="308"/>
      <c r="F3585" s="327"/>
      <c r="G3585" s="327"/>
      <c r="H3585" s="327"/>
      <c r="I3585" s="328"/>
      <c r="J3585" s="308"/>
      <c r="K3585" s="327"/>
      <c r="L3585" s="210"/>
    </row>
    <row r="3586">
      <c r="A3586" s="55"/>
      <c r="B3586" s="312"/>
      <c r="C3586" s="308"/>
      <c r="D3586" s="308"/>
      <c r="E3586" s="308"/>
      <c r="F3586" s="327"/>
      <c r="G3586" s="327"/>
      <c r="H3586" s="327"/>
      <c r="I3586" s="328"/>
      <c r="J3586" s="308"/>
      <c r="K3586" s="327"/>
      <c r="L3586" s="210"/>
    </row>
    <row r="3587">
      <c r="A3587" s="55"/>
      <c r="B3587" s="312"/>
      <c r="C3587" s="308"/>
      <c r="D3587" s="308"/>
      <c r="E3587" s="308"/>
      <c r="F3587" s="327"/>
      <c r="G3587" s="327"/>
      <c r="H3587" s="327"/>
      <c r="I3587" s="328"/>
      <c r="J3587" s="308"/>
      <c r="K3587" s="327"/>
      <c r="L3587" s="210"/>
    </row>
    <row r="3588">
      <c r="A3588" s="55"/>
      <c r="B3588" s="312"/>
      <c r="C3588" s="308"/>
      <c r="D3588" s="308"/>
      <c r="E3588" s="308"/>
      <c r="F3588" s="327"/>
      <c r="G3588" s="327"/>
      <c r="H3588" s="327"/>
      <c r="I3588" s="328"/>
      <c r="J3588" s="308"/>
      <c r="K3588" s="327"/>
      <c r="L3588" s="210"/>
    </row>
    <row r="3589">
      <c r="A3589" s="55"/>
      <c r="B3589" s="312"/>
      <c r="C3589" s="308"/>
      <c r="D3589" s="308"/>
      <c r="E3589" s="308"/>
      <c r="F3589" s="327"/>
      <c r="G3589" s="327"/>
      <c r="H3589" s="327"/>
      <c r="I3589" s="328"/>
      <c r="J3589" s="308"/>
      <c r="K3589" s="327"/>
      <c r="L3589" s="210"/>
    </row>
    <row r="3590">
      <c r="A3590" s="55"/>
      <c r="B3590" s="312"/>
      <c r="C3590" s="308"/>
      <c r="D3590" s="308"/>
      <c r="E3590" s="308"/>
      <c r="F3590" s="327"/>
      <c r="G3590" s="327"/>
      <c r="H3590" s="327"/>
      <c r="I3590" s="328"/>
      <c r="J3590" s="308"/>
      <c r="K3590" s="327"/>
      <c r="L3590" s="210"/>
    </row>
    <row r="3591">
      <c r="A3591" s="55"/>
      <c r="B3591" s="312"/>
      <c r="C3591" s="308"/>
      <c r="D3591" s="308"/>
      <c r="E3591" s="308"/>
      <c r="F3591" s="327"/>
      <c r="G3591" s="327"/>
      <c r="H3591" s="327"/>
      <c r="I3591" s="328"/>
      <c r="J3591" s="308"/>
      <c r="K3591" s="327"/>
      <c r="L3591" s="210"/>
    </row>
    <row r="3592">
      <c r="A3592" s="55"/>
      <c r="B3592" s="312"/>
      <c r="C3592" s="308"/>
      <c r="D3592" s="308"/>
      <c r="E3592" s="308"/>
      <c r="F3592" s="327"/>
      <c r="G3592" s="327"/>
      <c r="H3592" s="327"/>
      <c r="I3592" s="328"/>
      <c r="J3592" s="308"/>
      <c r="K3592" s="327"/>
      <c r="L3592" s="210"/>
    </row>
    <row r="3593">
      <c r="A3593" s="55"/>
      <c r="B3593" s="312"/>
      <c r="C3593" s="308"/>
      <c r="D3593" s="308"/>
      <c r="E3593" s="308"/>
      <c r="F3593" s="327"/>
      <c r="G3593" s="327"/>
      <c r="H3593" s="327"/>
      <c r="I3593" s="328"/>
      <c r="J3593" s="308"/>
      <c r="K3593" s="327"/>
      <c r="L3593" s="210"/>
    </row>
    <row r="3594">
      <c r="A3594" s="55"/>
      <c r="B3594" s="312"/>
      <c r="C3594" s="308"/>
      <c r="D3594" s="308"/>
      <c r="E3594" s="308"/>
      <c r="F3594" s="327"/>
      <c r="G3594" s="327"/>
      <c r="H3594" s="327"/>
      <c r="I3594" s="328"/>
      <c r="J3594" s="308"/>
      <c r="K3594" s="327"/>
      <c r="L3594" s="210"/>
    </row>
    <row r="3595">
      <c r="A3595" s="55"/>
      <c r="B3595" s="312"/>
      <c r="C3595" s="308"/>
      <c r="D3595" s="308"/>
      <c r="E3595" s="308"/>
      <c r="F3595" s="327"/>
      <c r="G3595" s="327"/>
      <c r="H3595" s="327"/>
      <c r="I3595" s="328"/>
      <c r="J3595" s="308"/>
      <c r="K3595" s="327"/>
      <c r="L3595" s="210"/>
    </row>
    <row r="3596">
      <c r="A3596" s="55"/>
      <c r="B3596" s="312"/>
      <c r="C3596" s="308"/>
      <c r="D3596" s="308"/>
      <c r="E3596" s="308"/>
      <c r="F3596" s="327"/>
      <c r="G3596" s="327"/>
      <c r="H3596" s="327"/>
      <c r="I3596" s="328"/>
      <c r="J3596" s="308"/>
      <c r="K3596" s="327"/>
      <c r="L3596" s="210"/>
    </row>
    <row r="3597">
      <c r="A3597" s="55"/>
      <c r="B3597" s="312"/>
      <c r="C3597" s="308"/>
      <c r="D3597" s="308"/>
      <c r="E3597" s="308"/>
      <c r="F3597" s="327"/>
      <c r="G3597" s="327"/>
      <c r="H3597" s="327"/>
      <c r="I3597" s="328"/>
      <c r="J3597" s="308"/>
      <c r="K3597" s="327"/>
      <c r="L3597" s="210"/>
    </row>
    <row r="3598">
      <c r="A3598" s="55"/>
      <c r="B3598" s="312"/>
      <c r="C3598" s="308"/>
      <c r="D3598" s="308"/>
      <c r="E3598" s="308"/>
      <c r="F3598" s="327"/>
      <c r="G3598" s="327"/>
      <c r="H3598" s="327"/>
      <c r="I3598" s="328"/>
      <c r="J3598" s="308"/>
      <c r="K3598" s="327"/>
      <c r="L3598" s="210"/>
    </row>
    <row r="3599">
      <c r="A3599" s="55"/>
      <c r="B3599" s="312"/>
      <c r="C3599" s="308"/>
      <c r="D3599" s="308"/>
      <c r="E3599" s="308"/>
      <c r="F3599" s="327"/>
      <c r="G3599" s="327"/>
      <c r="H3599" s="327"/>
      <c r="I3599" s="328"/>
      <c r="J3599" s="308"/>
      <c r="K3599" s="327"/>
      <c r="L3599" s="210"/>
    </row>
    <row r="3600">
      <c r="A3600" s="55"/>
      <c r="B3600" s="312"/>
      <c r="C3600" s="308"/>
      <c r="D3600" s="308"/>
      <c r="E3600" s="308"/>
      <c r="F3600" s="327"/>
      <c r="G3600" s="327"/>
      <c r="H3600" s="327"/>
      <c r="I3600" s="328"/>
      <c r="J3600" s="308"/>
      <c r="K3600" s="327"/>
      <c r="L3600" s="210"/>
    </row>
    <row r="3601">
      <c r="A3601" s="55"/>
      <c r="B3601" s="312"/>
      <c r="C3601" s="308"/>
      <c r="D3601" s="308"/>
      <c r="E3601" s="308"/>
      <c r="F3601" s="327"/>
      <c r="G3601" s="327"/>
      <c r="H3601" s="327"/>
      <c r="I3601" s="328"/>
      <c r="J3601" s="308"/>
      <c r="K3601" s="327"/>
      <c r="L3601" s="210"/>
    </row>
    <row r="3602">
      <c r="A3602" s="55"/>
      <c r="B3602" s="312"/>
      <c r="C3602" s="308"/>
      <c r="D3602" s="308"/>
      <c r="E3602" s="308"/>
      <c r="F3602" s="327"/>
      <c r="G3602" s="327"/>
      <c r="H3602" s="327"/>
      <c r="I3602" s="328"/>
      <c r="J3602" s="308"/>
      <c r="K3602" s="327"/>
      <c r="L3602" s="210"/>
    </row>
    <row r="3603">
      <c r="A3603" s="55"/>
      <c r="B3603" s="312"/>
      <c r="C3603" s="308"/>
      <c r="D3603" s="308"/>
      <c r="E3603" s="308"/>
      <c r="F3603" s="327"/>
      <c r="G3603" s="327"/>
      <c r="H3603" s="327"/>
      <c r="I3603" s="328"/>
      <c r="J3603" s="308"/>
      <c r="K3603" s="327"/>
      <c r="L3603" s="210"/>
    </row>
    <row r="3604">
      <c r="A3604" s="55"/>
      <c r="B3604" s="312"/>
      <c r="C3604" s="308"/>
      <c r="D3604" s="308"/>
      <c r="E3604" s="308"/>
      <c r="F3604" s="327"/>
      <c r="G3604" s="327"/>
      <c r="H3604" s="327"/>
      <c r="I3604" s="328"/>
      <c r="J3604" s="308"/>
      <c r="K3604" s="327"/>
      <c r="L3604" s="210"/>
    </row>
    <row r="3605">
      <c r="A3605" s="55"/>
      <c r="B3605" s="312"/>
      <c r="C3605" s="308"/>
      <c r="D3605" s="308"/>
      <c r="E3605" s="308"/>
      <c r="F3605" s="327"/>
      <c r="G3605" s="327"/>
      <c r="H3605" s="327"/>
      <c r="I3605" s="328"/>
      <c r="J3605" s="308"/>
      <c r="K3605" s="327"/>
      <c r="L3605" s="210"/>
    </row>
    <row r="3606">
      <c r="A3606" s="55"/>
      <c r="B3606" s="312"/>
      <c r="C3606" s="308"/>
      <c r="D3606" s="308"/>
      <c r="E3606" s="308"/>
      <c r="F3606" s="327"/>
      <c r="G3606" s="327"/>
      <c r="H3606" s="327"/>
      <c r="I3606" s="328"/>
      <c r="J3606" s="308"/>
      <c r="K3606" s="327"/>
      <c r="L3606" s="210"/>
    </row>
    <row r="3607">
      <c r="A3607" s="55"/>
      <c r="B3607" s="312"/>
      <c r="C3607" s="308"/>
      <c r="D3607" s="308"/>
      <c r="E3607" s="308"/>
      <c r="F3607" s="327"/>
      <c r="G3607" s="327"/>
      <c r="H3607" s="327"/>
      <c r="I3607" s="328"/>
      <c r="J3607" s="308"/>
      <c r="K3607" s="327"/>
      <c r="L3607" s="210"/>
    </row>
    <row r="3608">
      <c r="A3608" s="55"/>
      <c r="B3608" s="312"/>
      <c r="C3608" s="308"/>
      <c r="D3608" s="308"/>
      <c r="E3608" s="308"/>
      <c r="F3608" s="327"/>
      <c r="G3608" s="327"/>
      <c r="H3608" s="327"/>
      <c r="I3608" s="328"/>
      <c r="J3608" s="308"/>
      <c r="K3608" s="327"/>
      <c r="L3608" s="210"/>
    </row>
    <row r="3609">
      <c r="A3609" s="55"/>
      <c r="B3609" s="312"/>
      <c r="C3609" s="308"/>
      <c r="D3609" s="308"/>
      <c r="E3609" s="308"/>
      <c r="F3609" s="327"/>
      <c r="G3609" s="327"/>
      <c r="H3609" s="327"/>
      <c r="I3609" s="328"/>
      <c r="J3609" s="308"/>
      <c r="K3609" s="327"/>
      <c r="L3609" s="210"/>
    </row>
    <row r="3610">
      <c r="A3610" s="55"/>
      <c r="B3610" s="312"/>
      <c r="C3610" s="308"/>
      <c r="D3610" s="308"/>
      <c r="E3610" s="308"/>
      <c r="F3610" s="327"/>
      <c r="G3610" s="327"/>
      <c r="H3610" s="327"/>
      <c r="I3610" s="328"/>
      <c r="J3610" s="308"/>
      <c r="K3610" s="327"/>
      <c r="L3610" s="210"/>
    </row>
    <row r="3611">
      <c r="A3611" s="55"/>
      <c r="B3611" s="312"/>
      <c r="C3611" s="308"/>
      <c r="D3611" s="308"/>
      <c r="E3611" s="308"/>
      <c r="F3611" s="327"/>
      <c r="G3611" s="327"/>
      <c r="H3611" s="327"/>
      <c r="I3611" s="328"/>
      <c r="J3611" s="308"/>
      <c r="K3611" s="327"/>
      <c r="L3611" s="210"/>
    </row>
    <row r="3612">
      <c r="A3612" s="55"/>
      <c r="B3612" s="312"/>
      <c r="C3612" s="308"/>
      <c r="D3612" s="308"/>
      <c r="E3612" s="308"/>
      <c r="F3612" s="327"/>
      <c r="G3612" s="327"/>
      <c r="H3612" s="327"/>
      <c r="I3612" s="328"/>
      <c r="J3612" s="308"/>
      <c r="K3612" s="327"/>
      <c r="L3612" s="210"/>
    </row>
    <row r="3613">
      <c r="A3613" s="55"/>
      <c r="B3613" s="312"/>
      <c r="C3613" s="308"/>
      <c r="D3613" s="308"/>
      <c r="E3613" s="308"/>
      <c r="F3613" s="327"/>
      <c r="G3613" s="327"/>
      <c r="H3613" s="327"/>
      <c r="I3613" s="328"/>
      <c r="J3613" s="308"/>
      <c r="K3613" s="327"/>
      <c r="L3613" s="210"/>
    </row>
    <row r="3614">
      <c r="A3614" s="55"/>
      <c r="B3614" s="312"/>
      <c r="C3614" s="308"/>
      <c r="D3614" s="308"/>
      <c r="E3614" s="308"/>
      <c r="F3614" s="327"/>
      <c r="G3614" s="327"/>
      <c r="H3614" s="327"/>
      <c r="I3614" s="328"/>
      <c r="J3614" s="308"/>
      <c r="K3614" s="327"/>
      <c r="L3614" s="210"/>
    </row>
    <row r="3615">
      <c r="A3615" s="55"/>
      <c r="B3615" s="312"/>
      <c r="C3615" s="308"/>
      <c r="D3615" s="308"/>
      <c r="E3615" s="308"/>
      <c r="F3615" s="327"/>
      <c r="G3615" s="327"/>
      <c r="H3615" s="327"/>
      <c r="I3615" s="328"/>
      <c r="J3615" s="308"/>
      <c r="K3615" s="327"/>
      <c r="L3615" s="210"/>
    </row>
    <row r="3616">
      <c r="A3616" s="55"/>
      <c r="B3616" s="312"/>
      <c r="C3616" s="308"/>
      <c r="D3616" s="308"/>
      <c r="E3616" s="308"/>
      <c r="F3616" s="327"/>
      <c r="G3616" s="327"/>
      <c r="H3616" s="327"/>
      <c r="I3616" s="328"/>
      <c r="J3616" s="308"/>
      <c r="K3616" s="327"/>
      <c r="L3616" s="210"/>
    </row>
    <row r="3617">
      <c r="A3617" s="55"/>
      <c r="B3617" s="312"/>
      <c r="C3617" s="308"/>
      <c r="D3617" s="308"/>
      <c r="E3617" s="308"/>
      <c r="F3617" s="327"/>
      <c r="G3617" s="327"/>
      <c r="H3617" s="327"/>
      <c r="I3617" s="328"/>
      <c r="J3617" s="308"/>
      <c r="K3617" s="327"/>
      <c r="L3617" s="210"/>
    </row>
    <row r="3618">
      <c r="A3618" s="55"/>
      <c r="B3618" s="312"/>
      <c r="C3618" s="308"/>
      <c r="D3618" s="308"/>
      <c r="E3618" s="308"/>
      <c r="F3618" s="327"/>
      <c r="G3618" s="327"/>
      <c r="H3618" s="327"/>
      <c r="I3618" s="328"/>
      <c r="J3618" s="308"/>
      <c r="K3618" s="327"/>
      <c r="L3618" s="210"/>
    </row>
    <row r="3619">
      <c r="A3619" s="55"/>
      <c r="B3619" s="312"/>
      <c r="C3619" s="308"/>
      <c r="D3619" s="308"/>
      <c r="E3619" s="308"/>
      <c r="F3619" s="327"/>
      <c r="G3619" s="327"/>
      <c r="H3619" s="327"/>
      <c r="I3619" s="328"/>
      <c r="J3619" s="308"/>
      <c r="K3619" s="327"/>
      <c r="L3619" s="210"/>
    </row>
    <row r="3620">
      <c r="A3620" s="55"/>
      <c r="B3620" s="312"/>
      <c r="C3620" s="308"/>
      <c r="D3620" s="308"/>
      <c r="E3620" s="308"/>
      <c r="F3620" s="327"/>
      <c r="G3620" s="327"/>
      <c r="H3620" s="327"/>
      <c r="I3620" s="328"/>
      <c r="J3620" s="308"/>
      <c r="K3620" s="327"/>
      <c r="L3620" s="210"/>
    </row>
    <row r="3621">
      <c r="A3621" s="55"/>
      <c r="B3621" s="312"/>
      <c r="C3621" s="308"/>
      <c r="D3621" s="308"/>
      <c r="E3621" s="308"/>
      <c r="F3621" s="327"/>
      <c r="G3621" s="327"/>
      <c r="H3621" s="327"/>
      <c r="I3621" s="328"/>
      <c r="J3621" s="308"/>
      <c r="K3621" s="327"/>
      <c r="L3621" s="210"/>
    </row>
    <row r="3622">
      <c r="A3622" s="55"/>
      <c r="B3622" s="312"/>
      <c r="C3622" s="308"/>
      <c r="D3622" s="308"/>
      <c r="E3622" s="308"/>
      <c r="F3622" s="327"/>
      <c r="G3622" s="327"/>
      <c r="H3622" s="327"/>
      <c r="I3622" s="328"/>
      <c r="J3622" s="308"/>
      <c r="K3622" s="327"/>
      <c r="L3622" s="210"/>
    </row>
    <row r="3623">
      <c r="A3623" s="55"/>
      <c r="B3623" s="312"/>
      <c r="C3623" s="308"/>
      <c r="D3623" s="308"/>
      <c r="E3623" s="308"/>
      <c r="F3623" s="327"/>
      <c r="G3623" s="327"/>
      <c r="H3623" s="327"/>
      <c r="I3623" s="328"/>
      <c r="J3623" s="308"/>
      <c r="K3623" s="327"/>
      <c r="L3623" s="210"/>
    </row>
    <row r="3624">
      <c r="A3624" s="55"/>
      <c r="B3624" s="312"/>
      <c r="C3624" s="308"/>
      <c r="D3624" s="308"/>
      <c r="E3624" s="308"/>
      <c r="F3624" s="327"/>
      <c r="G3624" s="327"/>
      <c r="H3624" s="327"/>
      <c r="I3624" s="328"/>
      <c r="J3624" s="308"/>
      <c r="K3624" s="327"/>
      <c r="L3624" s="210"/>
    </row>
    <row r="3625">
      <c r="A3625" s="55"/>
      <c r="B3625" s="312"/>
      <c r="C3625" s="308"/>
      <c r="D3625" s="308"/>
      <c r="E3625" s="308"/>
      <c r="F3625" s="327"/>
      <c r="G3625" s="327"/>
      <c r="H3625" s="327"/>
      <c r="I3625" s="328"/>
      <c r="J3625" s="308"/>
      <c r="K3625" s="327"/>
      <c r="L3625" s="210"/>
    </row>
    <row r="3626">
      <c r="A3626" s="55"/>
      <c r="B3626" s="312"/>
      <c r="C3626" s="308"/>
      <c r="D3626" s="308"/>
      <c r="E3626" s="308"/>
      <c r="F3626" s="327"/>
      <c r="G3626" s="327"/>
      <c r="H3626" s="327"/>
      <c r="I3626" s="328"/>
      <c r="J3626" s="308"/>
      <c r="K3626" s="327"/>
      <c r="L3626" s="210"/>
    </row>
    <row r="3627">
      <c r="A3627" s="55"/>
      <c r="B3627" s="312"/>
      <c r="C3627" s="308"/>
      <c r="D3627" s="308"/>
      <c r="E3627" s="308"/>
      <c r="F3627" s="327"/>
      <c r="G3627" s="327"/>
      <c r="H3627" s="327"/>
      <c r="I3627" s="328"/>
      <c r="J3627" s="308"/>
      <c r="K3627" s="327"/>
      <c r="L3627" s="210"/>
    </row>
    <row r="3628">
      <c r="A3628" s="55"/>
      <c r="B3628" s="312"/>
      <c r="C3628" s="308"/>
      <c r="D3628" s="308"/>
      <c r="E3628" s="308"/>
      <c r="F3628" s="327"/>
      <c r="G3628" s="327"/>
      <c r="H3628" s="327"/>
      <c r="I3628" s="328"/>
      <c r="J3628" s="308"/>
      <c r="K3628" s="327"/>
      <c r="L3628" s="210"/>
    </row>
    <row r="3629">
      <c r="A3629" s="55"/>
      <c r="B3629" s="312"/>
      <c r="C3629" s="308"/>
      <c r="D3629" s="308"/>
      <c r="E3629" s="308"/>
      <c r="F3629" s="327"/>
      <c r="G3629" s="327"/>
      <c r="H3629" s="327"/>
      <c r="I3629" s="328"/>
      <c r="J3629" s="308"/>
      <c r="K3629" s="327"/>
      <c r="L3629" s="210"/>
    </row>
    <row r="3630">
      <c r="A3630" s="55"/>
      <c r="B3630" s="312"/>
      <c r="C3630" s="308"/>
      <c r="D3630" s="308"/>
      <c r="E3630" s="308"/>
      <c r="F3630" s="327"/>
      <c r="G3630" s="327"/>
      <c r="H3630" s="327"/>
      <c r="I3630" s="328"/>
      <c r="J3630" s="308"/>
      <c r="K3630" s="327"/>
      <c r="L3630" s="210"/>
    </row>
    <row r="3631">
      <c r="A3631" s="55"/>
      <c r="B3631" s="312"/>
      <c r="C3631" s="308"/>
      <c r="D3631" s="308"/>
      <c r="E3631" s="308"/>
      <c r="F3631" s="327"/>
      <c r="G3631" s="327"/>
      <c r="H3631" s="327"/>
      <c r="I3631" s="328"/>
      <c r="J3631" s="308"/>
      <c r="K3631" s="327"/>
      <c r="L3631" s="210"/>
    </row>
    <row r="3632">
      <c r="A3632" s="55"/>
      <c r="B3632" s="312"/>
      <c r="C3632" s="308"/>
      <c r="D3632" s="308"/>
      <c r="E3632" s="308"/>
      <c r="F3632" s="327"/>
      <c r="G3632" s="327"/>
      <c r="H3632" s="327"/>
      <c r="I3632" s="328"/>
      <c r="J3632" s="308"/>
      <c r="K3632" s="327"/>
      <c r="L3632" s="210"/>
    </row>
    <row r="3633">
      <c r="A3633" s="55"/>
      <c r="B3633" s="312"/>
      <c r="C3633" s="308"/>
      <c r="D3633" s="308"/>
      <c r="E3633" s="308"/>
      <c r="F3633" s="327"/>
      <c r="G3633" s="327"/>
      <c r="H3633" s="327"/>
      <c r="I3633" s="328"/>
      <c r="J3633" s="308"/>
      <c r="K3633" s="327"/>
      <c r="L3633" s="210"/>
    </row>
    <row r="3634">
      <c r="A3634" s="55"/>
      <c r="B3634" s="312"/>
      <c r="C3634" s="308"/>
      <c r="D3634" s="308"/>
      <c r="E3634" s="308"/>
      <c r="F3634" s="327"/>
      <c r="G3634" s="327"/>
      <c r="H3634" s="327"/>
      <c r="I3634" s="328"/>
      <c r="J3634" s="308"/>
      <c r="K3634" s="327"/>
      <c r="L3634" s="210"/>
    </row>
    <row r="3635">
      <c r="A3635" s="55"/>
      <c r="B3635" s="312"/>
      <c r="C3635" s="308"/>
      <c r="D3635" s="308"/>
      <c r="E3635" s="308"/>
      <c r="F3635" s="327"/>
      <c r="G3635" s="327"/>
      <c r="H3635" s="327"/>
      <c r="I3635" s="328"/>
      <c r="J3635" s="308"/>
      <c r="K3635" s="327"/>
      <c r="L3635" s="210"/>
    </row>
    <row r="3636">
      <c r="A3636" s="55"/>
      <c r="B3636" s="312"/>
      <c r="C3636" s="308"/>
      <c r="D3636" s="308"/>
      <c r="E3636" s="308"/>
      <c r="F3636" s="327"/>
      <c r="G3636" s="327"/>
      <c r="H3636" s="327"/>
      <c r="I3636" s="328"/>
      <c r="J3636" s="308"/>
      <c r="K3636" s="327"/>
      <c r="L3636" s="210"/>
    </row>
    <row r="3637">
      <c r="A3637" s="55"/>
      <c r="B3637" s="312"/>
      <c r="C3637" s="308"/>
      <c r="D3637" s="308"/>
      <c r="E3637" s="308"/>
      <c r="F3637" s="327"/>
      <c r="G3637" s="327"/>
      <c r="H3637" s="327"/>
      <c r="I3637" s="328"/>
      <c r="J3637" s="308"/>
      <c r="K3637" s="327"/>
      <c r="L3637" s="210"/>
    </row>
    <row r="3638">
      <c r="A3638" s="55"/>
      <c r="B3638" s="312"/>
      <c r="C3638" s="308"/>
      <c r="D3638" s="308"/>
      <c r="E3638" s="308"/>
      <c r="F3638" s="327"/>
      <c r="G3638" s="327"/>
      <c r="H3638" s="327"/>
      <c r="I3638" s="328"/>
      <c r="J3638" s="308"/>
      <c r="K3638" s="327"/>
      <c r="L3638" s="210"/>
    </row>
    <row r="3639">
      <c r="A3639" s="55"/>
      <c r="B3639" s="312"/>
      <c r="C3639" s="308"/>
      <c r="D3639" s="308"/>
      <c r="E3639" s="308"/>
      <c r="F3639" s="327"/>
      <c r="G3639" s="327"/>
      <c r="H3639" s="327"/>
      <c r="I3639" s="328"/>
      <c r="J3639" s="308"/>
      <c r="K3639" s="327"/>
      <c r="L3639" s="210"/>
    </row>
    <row r="3640">
      <c r="A3640" s="55"/>
      <c r="B3640" s="312"/>
      <c r="C3640" s="308"/>
      <c r="D3640" s="308"/>
      <c r="E3640" s="308"/>
      <c r="F3640" s="327"/>
      <c r="G3640" s="327"/>
      <c r="H3640" s="327"/>
      <c r="I3640" s="328"/>
      <c r="J3640" s="308"/>
      <c r="K3640" s="327"/>
      <c r="L3640" s="210"/>
    </row>
    <row r="3641">
      <c r="A3641" s="55"/>
      <c r="B3641" s="312"/>
      <c r="C3641" s="308"/>
      <c r="D3641" s="308"/>
      <c r="E3641" s="308"/>
      <c r="F3641" s="327"/>
      <c r="G3641" s="327"/>
      <c r="H3641" s="327"/>
      <c r="I3641" s="328"/>
      <c r="J3641" s="308"/>
      <c r="K3641" s="327"/>
      <c r="L3641" s="210"/>
    </row>
    <row r="3642">
      <c r="A3642" s="55"/>
      <c r="B3642" s="312"/>
      <c r="C3642" s="308"/>
      <c r="D3642" s="308"/>
      <c r="E3642" s="308"/>
      <c r="F3642" s="327"/>
      <c r="G3642" s="327"/>
      <c r="H3642" s="327"/>
      <c r="I3642" s="328"/>
      <c r="J3642" s="308"/>
      <c r="K3642" s="327"/>
      <c r="L3642" s="210"/>
    </row>
    <row r="3643">
      <c r="A3643" s="55"/>
      <c r="B3643" s="312"/>
      <c r="C3643" s="308"/>
      <c r="D3643" s="308"/>
      <c r="E3643" s="308"/>
      <c r="F3643" s="327"/>
      <c r="G3643" s="327"/>
      <c r="H3643" s="327"/>
      <c r="I3643" s="328"/>
      <c r="J3643" s="308"/>
      <c r="K3643" s="327"/>
      <c r="L3643" s="210"/>
    </row>
    <row r="3644">
      <c r="A3644" s="55"/>
      <c r="B3644" s="312"/>
      <c r="C3644" s="308"/>
      <c r="D3644" s="308"/>
      <c r="E3644" s="308"/>
      <c r="F3644" s="327"/>
      <c r="G3644" s="327"/>
      <c r="H3644" s="327"/>
      <c r="I3644" s="328"/>
      <c r="J3644" s="308"/>
      <c r="K3644" s="327"/>
      <c r="L3644" s="210"/>
    </row>
    <row r="3645">
      <c r="A3645" s="55"/>
      <c r="B3645" s="312"/>
      <c r="C3645" s="308"/>
      <c r="D3645" s="308"/>
      <c r="E3645" s="308"/>
      <c r="F3645" s="327"/>
      <c r="G3645" s="327"/>
      <c r="H3645" s="327"/>
      <c r="I3645" s="328"/>
      <c r="J3645" s="308"/>
      <c r="K3645" s="327"/>
      <c r="L3645" s="210"/>
    </row>
    <row r="3646">
      <c r="A3646" s="55"/>
      <c r="B3646" s="312"/>
      <c r="C3646" s="308"/>
      <c r="D3646" s="308"/>
      <c r="E3646" s="308"/>
      <c r="F3646" s="327"/>
      <c r="G3646" s="327"/>
      <c r="H3646" s="327"/>
      <c r="I3646" s="328"/>
      <c r="J3646" s="308"/>
      <c r="K3646" s="327"/>
      <c r="L3646" s="210"/>
    </row>
    <row r="3647">
      <c r="A3647" s="55"/>
      <c r="B3647" s="312"/>
      <c r="C3647" s="308"/>
      <c r="D3647" s="308"/>
      <c r="E3647" s="308"/>
      <c r="F3647" s="327"/>
      <c r="G3647" s="327"/>
      <c r="H3647" s="327"/>
      <c r="I3647" s="328"/>
      <c r="J3647" s="308"/>
      <c r="K3647" s="327"/>
      <c r="L3647" s="210"/>
    </row>
    <row r="3648">
      <c r="A3648" s="55"/>
      <c r="B3648" s="312"/>
      <c r="C3648" s="308"/>
      <c r="D3648" s="308"/>
      <c r="E3648" s="308"/>
      <c r="F3648" s="327"/>
      <c r="G3648" s="327"/>
      <c r="H3648" s="327"/>
      <c r="I3648" s="328"/>
      <c r="J3648" s="308"/>
      <c r="K3648" s="327"/>
      <c r="L3648" s="210"/>
    </row>
    <row r="3649">
      <c r="A3649" s="55"/>
      <c r="B3649" s="312"/>
      <c r="C3649" s="308"/>
      <c r="D3649" s="308"/>
      <c r="E3649" s="308"/>
      <c r="F3649" s="327"/>
      <c r="G3649" s="327"/>
      <c r="H3649" s="327"/>
      <c r="I3649" s="328"/>
      <c r="J3649" s="308"/>
      <c r="K3649" s="327"/>
      <c r="L3649" s="210"/>
    </row>
    <row r="3650">
      <c r="A3650" s="55"/>
      <c r="B3650" s="312"/>
      <c r="C3650" s="308"/>
      <c r="D3650" s="308"/>
      <c r="E3650" s="308"/>
      <c r="F3650" s="327"/>
      <c r="G3650" s="327"/>
      <c r="H3650" s="327"/>
      <c r="I3650" s="328"/>
      <c r="J3650" s="308"/>
      <c r="K3650" s="327"/>
      <c r="L3650" s="210"/>
    </row>
    <row r="3651">
      <c r="A3651" s="55"/>
      <c r="B3651" s="312"/>
      <c r="C3651" s="308"/>
      <c r="D3651" s="308"/>
      <c r="E3651" s="308"/>
      <c r="F3651" s="327"/>
      <c r="G3651" s="327"/>
      <c r="H3651" s="327"/>
      <c r="I3651" s="328"/>
      <c r="J3651" s="308"/>
      <c r="K3651" s="327"/>
      <c r="L3651" s="210"/>
    </row>
    <row r="3652">
      <c r="A3652" s="55"/>
      <c r="B3652" s="312"/>
      <c r="C3652" s="308"/>
      <c r="D3652" s="308"/>
      <c r="E3652" s="308"/>
      <c r="F3652" s="327"/>
      <c r="G3652" s="327"/>
      <c r="H3652" s="327"/>
      <c r="I3652" s="328"/>
      <c r="J3652" s="308"/>
      <c r="K3652" s="327"/>
      <c r="L3652" s="210"/>
    </row>
    <row r="3653">
      <c r="A3653" s="55"/>
      <c r="B3653" s="312"/>
      <c r="C3653" s="308"/>
      <c r="D3653" s="308"/>
      <c r="E3653" s="308"/>
      <c r="F3653" s="327"/>
      <c r="G3653" s="327"/>
      <c r="H3653" s="327"/>
      <c r="I3653" s="328"/>
      <c r="J3653" s="308"/>
      <c r="K3653" s="327"/>
      <c r="L3653" s="210"/>
    </row>
    <row r="3654">
      <c r="A3654" s="55"/>
      <c r="B3654" s="312"/>
      <c r="C3654" s="308"/>
      <c r="D3654" s="308"/>
      <c r="E3654" s="308"/>
      <c r="F3654" s="327"/>
      <c r="G3654" s="327"/>
      <c r="H3654" s="327"/>
      <c r="I3654" s="328"/>
      <c r="J3654" s="308"/>
      <c r="K3654" s="327"/>
      <c r="L3654" s="210"/>
    </row>
    <row r="3655">
      <c r="A3655" s="55"/>
      <c r="B3655" s="312"/>
      <c r="C3655" s="308"/>
      <c r="D3655" s="308"/>
      <c r="E3655" s="308"/>
      <c r="F3655" s="327"/>
      <c r="G3655" s="327"/>
      <c r="H3655" s="327"/>
      <c r="I3655" s="328"/>
      <c r="J3655" s="308"/>
      <c r="K3655" s="327"/>
      <c r="L3655" s="210"/>
    </row>
    <row r="3656">
      <c r="A3656" s="55"/>
      <c r="B3656" s="312"/>
      <c r="C3656" s="308"/>
      <c r="D3656" s="308"/>
      <c r="E3656" s="308"/>
      <c r="F3656" s="327"/>
      <c r="G3656" s="327"/>
      <c r="H3656" s="327"/>
      <c r="I3656" s="328"/>
      <c r="J3656" s="308"/>
      <c r="K3656" s="327"/>
      <c r="L3656" s="210"/>
    </row>
    <row r="3657">
      <c r="A3657" s="55"/>
      <c r="B3657" s="312"/>
      <c r="C3657" s="308"/>
      <c r="D3657" s="308"/>
      <c r="E3657" s="308"/>
      <c r="F3657" s="327"/>
      <c r="G3657" s="327"/>
      <c r="H3657" s="327"/>
      <c r="I3657" s="328"/>
      <c r="J3657" s="308"/>
      <c r="K3657" s="327"/>
      <c r="L3657" s="210"/>
    </row>
    <row r="3658">
      <c r="A3658" s="55"/>
      <c r="B3658" s="312"/>
      <c r="C3658" s="308"/>
      <c r="D3658" s="308"/>
      <c r="E3658" s="308"/>
      <c r="F3658" s="327"/>
      <c r="G3658" s="327"/>
      <c r="H3658" s="327"/>
      <c r="I3658" s="328"/>
      <c r="J3658" s="308"/>
      <c r="K3658" s="327"/>
      <c r="L3658" s="210"/>
    </row>
    <row r="3659">
      <c r="A3659" s="55"/>
      <c r="B3659" s="312"/>
      <c r="C3659" s="308"/>
      <c r="D3659" s="308"/>
      <c r="E3659" s="308"/>
      <c r="F3659" s="327"/>
      <c r="G3659" s="327"/>
      <c r="H3659" s="327"/>
      <c r="I3659" s="328"/>
      <c r="J3659" s="308"/>
      <c r="K3659" s="327"/>
      <c r="L3659" s="210"/>
    </row>
    <row r="3660">
      <c r="A3660" s="55"/>
      <c r="B3660" s="312"/>
      <c r="C3660" s="308"/>
      <c r="D3660" s="308"/>
      <c r="E3660" s="308"/>
      <c r="F3660" s="327"/>
      <c r="G3660" s="327"/>
      <c r="H3660" s="327"/>
      <c r="I3660" s="328"/>
      <c r="J3660" s="308"/>
      <c r="K3660" s="327"/>
      <c r="L3660" s="210"/>
    </row>
    <row r="3661">
      <c r="A3661" s="55"/>
      <c r="B3661" s="312"/>
      <c r="C3661" s="308"/>
      <c r="D3661" s="308"/>
      <c r="E3661" s="308"/>
      <c r="F3661" s="327"/>
      <c r="G3661" s="327"/>
      <c r="H3661" s="327"/>
      <c r="I3661" s="328"/>
      <c r="J3661" s="308"/>
      <c r="K3661" s="327"/>
      <c r="L3661" s="210"/>
    </row>
    <row r="3662">
      <c r="A3662" s="55"/>
      <c r="B3662" s="312"/>
      <c r="C3662" s="308"/>
      <c r="D3662" s="308"/>
      <c r="E3662" s="308"/>
      <c r="F3662" s="327"/>
      <c r="G3662" s="327"/>
      <c r="H3662" s="327"/>
      <c r="I3662" s="328"/>
      <c r="J3662" s="308"/>
      <c r="K3662" s="327"/>
      <c r="L3662" s="210"/>
    </row>
    <row r="3663">
      <c r="A3663" s="55"/>
      <c r="B3663" s="312"/>
      <c r="C3663" s="308"/>
      <c r="D3663" s="308"/>
      <c r="E3663" s="308"/>
      <c r="F3663" s="327"/>
      <c r="G3663" s="327"/>
      <c r="H3663" s="327"/>
      <c r="I3663" s="328"/>
      <c r="J3663" s="308"/>
      <c r="K3663" s="327"/>
      <c r="L3663" s="210"/>
    </row>
    <row r="3664">
      <c r="A3664" s="55"/>
      <c r="B3664" s="312"/>
      <c r="C3664" s="308"/>
      <c r="D3664" s="308"/>
      <c r="E3664" s="308"/>
      <c r="F3664" s="327"/>
      <c r="G3664" s="327"/>
      <c r="H3664" s="327"/>
      <c r="I3664" s="328"/>
      <c r="J3664" s="308"/>
      <c r="K3664" s="327"/>
      <c r="L3664" s="210"/>
    </row>
    <row r="3665">
      <c r="A3665" s="55"/>
      <c r="B3665" s="312"/>
      <c r="C3665" s="308"/>
      <c r="D3665" s="308"/>
      <c r="E3665" s="308"/>
      <c r="F3665" s="327"/>
      <c r="G3665" s="327"/>
      <c r="H3665" s="327"/>
      <c r="I3665" s="328"/>
      <c r="J3665" s="308"/>
      <c r="K3665" s="327"/>
      <c r="L3665" s="210"/>
    </row>
    <row r="3666">
      <c r="A3666" s="55"/>
      <c r="B3666" s="312"/>
      <c r="C3666" s="308"/>
      <c r="D3666" s="308"/>
      <c r="E3666" s="308"/>
      <c r="F3666" s="327"/>
      <c r="G3666" s="327"/>
      <c r="H3666" s="327"/>
      <c r="I3666" s="328"/>
      <c r="J3666" s="308"/>
      <c r="K3666" s="327"/>
      <c r="L3666" s="210"/>
    </row>
    <row r="3667">
      <c r="A3667" s="55"/>
      <c r="B3667" s="312"/>
      <c r="C3667" s="308"/>
      <c r="D3667" s="308"/>
      <c r="E3667" s="308"/>
      <c r="F3667" s="327"/>
      <c r="G3667" s="327"/>
      <c r="H3667" s="327"/>
      <c r="I3667" s="328"/>
      <c r="J3667" s="308"/>
      <c r="K3667" s="327"/>
      <c r="L3667" s="210"/>
    </row>
    <row r="3668">
      <c r="A3668" s="55"/>
      <c r="B3668" s="312"/>
      <c r="C3668" s="308"/>
      <c r="D3668" s="308"/>
      <c r="E3668" s="308"/>
      <c r="F3668" s="327"/>
      <c r="G3668" s="327"/>
      <c r="H3668" s="327"/>
      <c r="I3668" s="328"/>
      <c r="J3668" s="308"/>
      <c r="K3668" s="327"/>
      <c r="L3668" s="210"/>
    </row>
    <row r="3669">
      <c r="A3669" s="55"/>
      <c r="B3669" s="312"/>
      <c r="C3669" s="308"/>
      <c r="D3669" s="308"/>
      <c r="E3669" s="308"/>
      <c r="F3669" s="327"/>
      <c r="G3669" s="327"/>
      <c r="H3669" s="327"/>
      <c r="I3669" s="328"/>
      <c r="J3669" s="308"/>
      <c r="K3669" s="327"/>
      <c r="L3669" s="210"/>
    </row>
    <row r="3670">
      <c r="A3670" s="55"/>
      <c r="B3670" s="312"/>
      <c r="C3670" s="308"/>
      <c r="D3670" s="308"/>
      <c r="E3670" s="308"/>
      <c r="F3670" s="327"/>
      <c r="G3670" s="327"/>
      <c r="H3670" s="327"/>
      <c r="I3670" s="328"/>
      <c r="J3670" s="308"/>
      <c r="K3670" s="327"/>
      <c r="L3670" s="210"/>
    </row>
    <row r="3671">
      <c r="A3671" s="55"/>
      <c r="B3671" s="312"/>
      <c r="C3671" s="308"/>
      <c r="D3671" s="308"/>
      <c r="E3671" s="308"/>
      <c r="F3671" s="327"/>
      <c r="G3671" s="327"/>
      <c r="H3671" s="327"/>
      <c r="I3671" s="328"/>
      <c r="J3671" s="308"/>
      <c r="K3671" s="327"/>
      <c r="L3671" s="210"/>
    </row>
    <row r="3672">
      <c r="A3672" s="55"/>
      <c r="B3672" s="312"/>
      <c r="C3672" s="308"/>
      <c r="D3672" s="308"/>
      <c r="E3672" s="308"/>
      <c r="F3672" s="327"/>
      <c r="G3672" s="327"/>
      <c r="H3672" s="327"/>
      <c r="I3672" s="328"/>
      <c r="J3672" s="308"/>
      <c r="K3672" s="327"/>
      <c r="L3672" s="210"/>
    </row>
    <row r="3673">
      <c r="A3673" s="55"/>
      <c r="B3673" s="312"/>
      <c r="C3673" s="308"/>
      <c r="D3673" s="308"/>
      <c r="E3673" s="308"/>
      <c r="F3673" s="327"/>
      <c r="G3673" s="327"/>
      <c r="H3673" s="327"/>
      <c r="I3673" s="328"/>
      <c r="J3673" s="308"/>
      <c r="K3673" s="327"/>
      <c r="L3673" s="210"/>
    </row>
    <row r="3674">
      <c r="A3674" s="55"/>
      <c r="B3674" s="312"/>
      <c r="C3674" s="308"/>
      <c r="D3674" s="308"/>
      <c r="E3674" s="308"/>
      <c r="F3674" s="327"/>
      <c r="G3674" s="327"/>
      <c r="H3674" s="327"/>
      <c r="I3674" s="328"/>
      <c r="J3674" s="308"/>
      <c r="K3674" s="327"/>
      <c r="L3674" s="210"/>
    </row>
    <row r="3675">
      <c r="A3675" s="55"/>
      <c r="B3675" s="312"/>
      <c r="C3675" s="308"/>
      <c r="D3675" s="308"/>
      <c r="E3675" s="308"/>
      <c r="F3675" s="327"/>
      <c r="G3675" s="327"/>
      <c r="H3675" s="327"/>
      <c r="I3675" s="328"/>
      <c r="J3675" s="308"/>
      <c r="K3675" s="327"/>
      <c r="L3675" s="210"/>
    </row>
    <row r="3676">
      <c r="A3676" s="55"/>
      <c r="B3676" s="312"/>
      <c r="C3676" s="308"/>
      <c r="D3676" s="308"/>
      <c r="E3676" s="308"/>
      <c r="F3676" s="327"/>
      <c r="G3676" s="327"/>
      <c r="H3676" s="327"/>
      <c r="I3676" s="328"/>
      <c r="J3676" s="308"/>
      <c r="K3676" s="327"/>
      <c r="L3676" s="210"/>
    </row>
    <row r="3677">
      <c r="A3677" s="55"/>
      <c r="B3677" s="312"/>
      <c r="C3677" s="308"/>
      <c r="D3677" s="308"/>
      <c r="E3677" s="308"/>
      <c r="F3677" s="327"/>
      <c r="G3677" s="327"/>
      <c r="H3677" s="327"/>
      <c r="I3677" s="328"/>
      <c r="J3677" s="308"/>
      <c r="K3677" s="327"/>
      <c r="L3677" s="210"/>
    </row>
    <row r="3678">
      <c r="A3678" s="55"/>
      <c r="B3678" s="312"/>
      <c r="C3678" s="308"/>
      <c r="D3678" s="308"/>
      <c r="E3678" s="308"/>
      <c r="F3678" s="327"/>
      <c r="G3678" s="327"/>
      <c r="H3678" s="327"/>
      <c r="I3678" s="328"/>
      <c r="J3678" s="308"/>
      <c r="K3678" s="327"/>
      <c r="L3678" s="210"/>
    </row>
    <row r="3679">
      <c r="A3679" s="55"/>
      <c r="B3679" s="312"/>
      <c r="C3679" s="308"/>
      <c r="D3679" s="308"/>
      <c r="E3679" s="308"/>
      <c r="F3679" s="327"/>
      <c r="G3679" s="327"/>
      <c r="H3679" s="327"/>
      <c r="I3679" s="328"/>
      <c r="J3679" s="308"/>
      <c r="K3679" s="327"/>
      <c r="L3679" s="210"/>
    </row>
    <row r="3680">
      <c r="A3680" s="55"/>
      <c r="B3680" s="312"/>
      <c r="C3680" s="308"/>
      <c r="D3680" s="308"/>
      <c r="E3680" s="308"/>
      <c r="F3680" s="327"/>
      <c r="G3680" s="327"/>
      <c r="H3680" s="327"/>
      <c r="I3680" s="328"/>
      <c r="J3680" s="308"/>
      <c r="K3680" s="327"/>
      <c r="L3680" s="210"/>
    </row>
    <row r="3681">
      <c r="A3681" s="55"/>
      <c r="B3681" s="312"/>
      <c r="C3681" s="308"/>
      <c r="D3681" s="308"/>
      <c r="E3681" s="308"/>
      <c r="F3681" s="327"/>
      <c r="G3681" s="327"/>
      <c r="H3681" s="327"/>
      <c r="I3681" s="328"/>
      <c r="J3681" s="308"/>
      <c r="K3681" s="327"/>
      <c r="L3681" s="210"/>
    </row>
    <row r="3682">
      <c r="A3682" s="55"/>
      <c r="B3682" s="312"/>
      <c r="C3682" s="308"/>
      <c r="D3682" s="308"/>
      <c r="E3682" s="308"/>
      <c r="F3682" s="327"/>
      <c r="G3682" s="327"/>
      <c r="H3682" s="327"/>
      <c r="I3682" s="328"/>
      <c r="J3682" s="308"/>
      <c r="K3682" s="327"/>
      <c r="L3682" s="210"/>
    </row>
    <row r="3683">
      <c r="A3683" s="55"/>
      <c r="B3683" s="312"/>
      <c r="C3683" s="308"/>
      <c r="D3683" s="308"/>
      <c r="E3683" s="308"/>
      <c r="F3683" s="327"/>
      <c r="G3683" s="327"/>
      <c r="H3683" s="327"/>
      <c r="I3683" s="328"/>
      <c r="J3683" s="308"/>
      <c r="K3683" s="327"/>
      <c r="L3683" s="210"/>
    </row>
    <row r="3684">
      <c r="A3684" s="55"/>
      <c r="B3684" s="312"/>
      <c r="C3684" s="308"/>
      <c r="D3684" s="308"/>
      <c r="E3684" s="308"/>
      <c r="F3684" s="327"/>
      <c r="G3684" s="327"/>
      <c r="H3684" s="327"/>
      <c r="I3684" s="328"/>
      <c r="J3684" s="308"/>
      <c r="K3684" s="327"/>
      <c r="L3684" s="210"/>
    </row>
    <row r="3685">
      <c r="A3685" s="55"/>
      <c r="B3685" s="312"/>
      <c r="C3685" s="308"/>
      <c r="D3685" s="308"/>
      <c r="E3685" s="308"/>
      <c r="F3685" s="327"/>
      <c r="G3685" s="327"/>
      <c r="H3685" s="327"/>
      <c r="I3685" s="328"/>
      <c r="J3685" s="308"/>
      <c r="K3685" s="327"/>
      <c r="L3685" s="210"/>
    </row>
    <row r="3686">
      <c r="A3686" s="55"/>
      <c r="B3686" s="312"/>
      <c r="C3686" s="308"/>
      <c r="D3686" s="308"/>
      <c r="E3686" s="308"/>
      <c r="F3686" s="327"/>
      <c r="G3686" s="327"/>
      <c r="H3686" s="327"/>
      <c r="I3686" s="328"/>
      <c r="J3686" s="308"/>
      <c r="K3686" s="327"/>
      <c r="L3686" s="210"/>
    </row>
    <row r="3687">
      <c r="A3687" s="55"/>
      <c r="B3687" s="312"/>
      <c r="C3687" s="308"/>
      <c r="D3687" s="308"/>
      <c r="E3687" s="308"/>
      <c r="F3687" s="327"/>
      <c r="G3687" s="327"/>
      <c r="H3687" s="327"/>
      <c r="I3687" s="328"/>
      <c r="J3687" s="308"/>
      <c r="K3687" s="327"/>
      <c r="L3687" s="210"/>
    </row>
    <row r="3688">
      <c r="A3688" s="55"/>
      <c r="B3688" s="312"/>
      <c r="C3688" s="308"/>
      <c r="D3688" s="308"/>
      <c r="E3688" s="308"/>
      <c r="F3688" s="327"/>
      <c r="G3688" s="327"/>
      <c r="H3688" s="327"/>
      <c r="I3688" s="328"/>
      <c r="J3688" s="308"/>
      <c r="K3688" s="327"/>
      <c r="L3688" s="210"/>
    </row>
    <row r="3689">
      <c r="A3689" s="55"/>
      <c r="B3689" s="312"/>
      <c r="C3689" s="308"/>
      <c r="D3689" s="308"/>
      <c r="E3689" s="308"/>
      <c r="F3689" s="327"/>
      <c r="G3689" s="327"/>
      <c r="H3689" s="327"/>
      <c r="I3689" s="328"/>
      <c r="J3689" s="308"/>
      <c r="K3689" s="327"/>
      <c r="L3689" s="210"/>
    </row>
    <row r="3690">
      <c r="A3690" s="55"/>
      <c r="B3690" s="312"/>
      <c r="C3690" s="308"/>
      <c r="D3690" s="308"/>
      <c r="E3690" s="308"/>
      <c r="F3690" s="327"/>
      <c r="G3690" s="327"/>
      <c r="H3690" s="327"/>
      <c r="I3690" s="328"/>
      <c r="J3690" s="308"/>
      <c r="K3690" s="327"/>
      <c r="L3690" s="210"/>
    </row>
    <row r="3691">
      <c r="A3691" s="55"/>
      <c r="B3691" s="312"/>
      <c r="C3691" s="308"/>
      <c r="D3691" s="308"/>
      <c r="E3691" s="308"/>
      <c r="F3691" s="327"/>
      <c r="G3691" s="327"/>
      <c r="H3691" s="327"/>
      <c r="I3691" s="328"/>
      <c r="J3691" s="308"/>
      <c r="K3691" s="327"/>
      <c r="L3691" s="210"/>
    </row>
    <row r="3692">
      <c r="A3692" s="55"/>
      <c r="B3692" s="312"/>
      <c r="C3692" s="308"/>
      <c r="D3692" s="308"/>
      <c r="E3692" s="308"/>
      <c r="F3692" s="327"/>
      <c r="G3692" s="327"/>
      <c r="H3692" s="327"/>
      <c r="I3692" s="328"/>
      <c r="J3692" s="308"/>
      <c r="K3692" s="327"/>
      <c r="L3692" s="210"/>
    </row>
    <row r="3693">
      <c r="A3693" s="55"/>
      <c r="B3693" s="312"/>
      <c r="C3693" s="308"/>
      <c r="D3693" s="308"/>
      <c r="E3693" s="308"/>
      <c r="F3693" s="327"/>
      <c r="G3693" s="327"/>
      <c r="H3693" s="327"/>
      <c r="I3693" s="328"/>
      <c r="J3693" s="308"/>
      <c r="K3693" s="327"/>
      <c r="L3693" s="210"/>
    </row>
    <row r="3694">
      <c r="A3694" s="55"/>
      <c r="B3694" s="312"/>
      <c r="C3694" s="308"/>
      <c r="D3694" s="308"/>
      <c r="E3694" s="308"/>
      <c r="F3694" s="327"/>
      <c r="G3694" s="327"/>
      <c r="H3694" s="327"/>
      <c r="I3694" s="328"/>
      <c r="J3694" s="308"/>
      <c r="K3694" s="327"/>
      <c r="L3694" s="210"/>
    </row>
    <row r="3695">
      <c r="A3695" s="55"/>
      <c r="B3695" s="312"/>
      <c r="C3695" s="308"/>
      <c r="D3695" s="308"/>
      <c r="E3695" s="308"/>
      <c r="F3695" s="327"/>
      <c r="G3695" s="327"/>
      <c r="H3695" s="327"/>
      <c r="I3695" s="328"/>
      <c r="J3695" s="308"/>
      <c r="K3695" s="327"/>
      <c r="L3695" s="210"/>
    </row>
    <row r="3696">
      <c r="A3696" s="55"/>
      <c r="B3696" s="312"/>
      <c r="C3696" s="308"/>
      <c r="D3696" s="308"/>
      <c r="E3696" s="308"/>
      <c r="F3696" s="327"/>
      <c r="G3696" s="327"/>
      <c r="H3696" s="327"/>
      <c r="I3696" s="328"/>
      <c r="J3696" s="308"/>
      <c r="K3696" s="327"/>
      <c r="L3696" s="210"/>
    </row>
    <row r="3697">
      <c r="A3697" s="55"/>
      <c r="B3697" s="312"/>
      <c r="C3697" s="308"/>
      <c r="D3697" s="308"/>
      <c r="E3697" s="308"/>
      <c r="F3697" s="327"/>
      <c r="G3697" s="327"/>
      <c r="H3697" s="327"/>
      <c r="I3697" s="328"/>
      <c r="J3697" s="308"/>
      <c r="K3697" s="327"/>
      <c r="L3697" s="210"/>
    </row>
    <row r="3698">
      <c r="A3698" s="55"/>
      <c r="B3698" s="312"/>
      <c r="C3698" s="308"/>
      <c r="D3698" s="308"/>
      <c r="E3698" s="308"/>
      <c r="F3698" s="327"/>
      <c r="G3698" s="327"/>
      <c r="H3698" s="327"/>
      <c r="I3698" s="328"/>
      <c r="J3698" s="308"/>
      <c r="K3698" s="327"/>
      <c r="L3698" s="210"/>
    </row>
    <row r="3699">
      <c r="A3699" s="55"/>
      <c r="B3699" s="312"/>
      <c r="C3699" s="308"/>
      <c r="D3699" s="308"/>
      <c r="E3699" s="308"/>
      <c r="F3699" s="327"/>
      <c r="G3699" s="327"/>
      <c r="H3699" s="327"/>
      <c r="I3699" s="328"/>
      <c r="J3699" s="308"/>
      <c r="K3699" s="327"/>
      <c r="L3699" s="210"/>
    </row>
    <row r="3700">
      <c r="A3700" s="55"/>
      <c r="B3700" s="312"/>
      <c r="C3700" s="308"/>
      <c r="D3700" s="308"/>
      <c r="E3700" s="308"/>
      <c r="F3700" s="327"/>
      <c r="G3700" s="327"/>
      <c r="H3700" s="327"/>
      <c r="I3700" s="328"/>
      <c r="J3700" s="308"/>
      <c r="K3700" s="327"/>
      <c r="L3700" s="210"/>
    </row>
    <row r="3701">
      <c r="A3701" s="55"/>
      <c r="B3701" s="312"/>
      <c r="C3701" s="308"/>
      <c r="D3701" s="308"/>
      <c r="E3701" s="308"/>
      <c r="F3701" s="327"/>
      <c r="G3701" s="327"/>
      <c r="H3701" s="327"/>
      <c r="I3701" s="328"/>
      <c r="J3701" s="308"/>
      <c r="K3701" s="327"/>
      <c r="L3701" s="210"/>
    </row>
    <row r="3702">
      <c r="A3702" s="55"/>
      <c r="B3702" s="312"/>
      <c r="C3702" s="308"/>
      <c r="D3702" s="308"/>
      <c r="E3702" s="308"/>
      <c r="F3702" s="327"/>
      <c r="G3702" s="327"/>
      <c r="H3702" s="327"/>
      <c r="I3702" s="328"/>
      <c r="J3702" s="308"/>
      <c r="K3702" s="327"/>
      <c r="L3702" s="210"/>
    </row>
    <row r="3703">
      <c r="A3703" s="55"/>
      <c r="B3703" s="312"/>
      <c r="C3703" s="308"/>
      <c r="D3703" s="308"/>
      <c r="E3703" s="308"/>
      <c r="F3703" s="327"/>
      <c r="G3703" s="327"/>
      <c r="H3703" s="327"/>
      <c r="I3703" s="328"/>
      <c r="J3703" s="308"/>
      <c r="K3703" s="327"/>
      <c r="L3703" s="210"/>
    </row>
    <row r="3704">
      <c r="A3704" s="55"/>
      <c r="B3704" s="312"/>
      <c r="C3704" s="308"/>
      <c r="D3704" s="308"/>
      <c r="E3704" s="308"/>
      <c r="F3704" s="327"/>
      <c r="G3704" s="327"/>
      <c r="H3704" s="327"/>
      <c r="I3704" s="328"/>
      <c r="J3704" s="308"/>
      <c r="K3704" s="327"/>
      <c r="L3704" s="210"/>
    </row>
    <row r="3705">
      <c r="A3705" s="55"/>
      <c r="B3705" s="312"/>
      <c r="C3705" s="308"/>
      <c r="D3705" s="308"/>
      <c r="E3705" s="308"/>
      <c r="F3705" s="327"/>
      <c r="G3705" s="327"/>
      <c r="H3705" s="327"/>
      <c r="I3705" s="328"/>
      <c r="J3705" s="308"/>
      <c r="K3705" s="327"/>
      <c r="L3705" s="210"/>
    </row>
    <row r="3706">
      <c r="A3706" s="55"/>
      <c r="B3706" s="312"/>
      <c r="C3706" s="308"/>
      <c r="D3706" s="308"/>
      <c r="E3706" s="308"/>
      <c r="F3706" s="327"/>
      <c r="G3706" s="327"/>
      <c r="H3706" s="327"/>
      <c r="I3706" s="328"/>
      <c r="J3706" s="308"/>
      <c r="K3706" s="327"/>
      <c r="L3706" s="210"/>
    </row>
    <row r="3707">
      <c r="A3707" s="55"/>
      <c r="B3707" s="312"/>
      <c r="C3707" s="308"/>
      <c r="D3707" s="308"/>
      <c r="E3707" s="308"/>
      <c r="F3707" s="327"/>
      <c r="G3707" s="327"/>
      <c r="H3707" s="327"/>
      <c r="I3707" s="328"/>
      <c r="J3707" s="308"/>
      <c r="K3707" s="327"/>
      <c r="L3707" s="210"/>
    </row>
    <row r="3708">
      <c r="A3708" s="55"/>
      <c r="B3708" s="312"/>
      <c r="C3708" s="308"/>
      <c r="D3708" s="308"/>
      <c r="E3708" s="308"/>
      <c r="F3708" s="327"/>
      <c r="G3708" s="327"/>
      <c r="H3708" s="327"/>
      <c r="I3708" s="328"/>
      <c r="J3708" s="308"/>
      <c r="K3708" s="327"/>
      <c r="L3708" s="210"/>
    </row>
    <row r="3709">
      <c r="A3709" s="55"/>
      <c r="B3709" s="312"/>
      <c r="C3709" s="308"/>
      <c r="D3709" s="308"/>
      <c r="E3709" s="308"/>
      <c r="F3709" s="327"/>
      <c r="G3709" s="327"/>
      <c r="H3709" s="327"/>
      <c r="I3709" s="328"/>
      <c r="J3709" s="308"/>
      <c r="K3709" s="327"/>
      <c r="L3709" s="210"/>
    </row>
    <row r="3710">
      <c r="A3710" s="55"/>
      <c r="B3710" s="312"/>
      <c r="C3710" s="308"/>
      <c r="D3710" s="308"/>
      <c r="E3710" s="308"/>
      <c r="F3710" s="327"/>
      <c r="G3710" s="327"/>
      <c r="H3710" s="327"/>
      <c r="I3710" s="328"/>
      <c r="J3710" s="308"/>
      <c r="K3710" s="327"/>
      <c r="L3710" s="210"/>
    </row>
    <row r="3711">
      <c r="A3711" s="55"/>
      <c r="B3711" s="312"/>
      <c r="C3711" s="308"/>
      <c r="D3711" s="308"/>
      <c r="E3711" s="308"/>
      <c r="F3711" s="327"/>
      <c r="G3711" s="327"/>
      <c r="H3711" s="327"/>
      <c r="I3711" s="328"/>
      <c r="J3711" s="308"/>
      <c r="K3711" s="327"/>
      <c r="L3711" s="210"/>
    </row>
    <row r="3712">
      <c r="A3712" s="55"/>
      <c r="B3712" s="312"/>
      <c r="C3712" s="308"/>
      <c r="D3712" s="308"/>
      <c r="E3712" s="308"/>
      <c r="F3712" s="327"/>
      <c r="G3712" s="327"/>
      <c r="H3712" s="327"/>
      <c r="I3712" s="328"/>
      <c r="J3712" s="308"/>
      <c r="K3712" s="327"/>
      <c r="L3712" s="210"/>
    </row>
    <row r="3713">
      <c r="A3713" s="55"/>
      <c r="B3713" s="312"/>
      <c r="C3713" s="308"/>
      <c r="D3713" s="308"/>
      <c r="E3713" s="308"/>
      <c r="F3713" s="327"/>
      <c r="G3713" s="327"/>
      <c r="H3713" s="327"/>
      <c r="I3713" s="328"/>
      <c r="J3713" s="308"/>
      <c r="K3713" s="327"/>
      <c r="L3713" s="210"/>
    </row>
    <row r="3714">
      <c r="A3714" s="55"/>
      <c r="B3714" s="312"/>
      <c r="C3714" s="308"/>
      <c r="D3714" s="308"/>
      <c r="E3714" s="308"/>
      <c r="F3714" s="327"/>
      <c r="G3714" s="327"/>
      <c r="H3714" s="327"/>
      <c r="I3714" s="328"/>
      <c r="J3714" s="308"/>
      <c r="K3714" s="327"/>
      <c r="L3714" s="210"/>
    </row>
    <row r="3715">
      <c r="A3715" s="55"/>
      <c r="B3715" s="312"/>
      <c r="C3715" s="308"/>
      <c r="D3715" s="308"/>
      <c r="E3715" s="308"/>
      <c r="F3715" s="327"/>
      <c r="G3715" s="327"/>
      <c r="H3715" s="327"/>
      <c r="I3715" s="328"/>
      <c r="J3715" s="308"/>
      <c r="K3715" s="327"/>
      <c r="L3715" s="210"/>
    </row>
    <row r="3716">
      <c r="A3716" s="55"/>
      <c r="B3716" s="312"/>
      <c r="C3716" s="308"/>
      <c r="D3716" s="308"/>
      <c r="E3716" s="308"/>
      <c r="F3716" s="327"/>
      <c r="G3716" s="327"/>
      <c r="H3716" s="327"/>
      <c r="I3716" s="328"/>
      <c r="J3716" s="308"/>
      <c r="K3716" s="327"/>
      <c r="L3716" s="210"/>
    </row>
    <row r="3717">
      <c r="A3717" s="55"/>
      <c r="B3717" s="312"/>
      <c r="C3717" s="308"/>
      <c r="D3717" s="308"/>
      <c r="E3717" s="308"/>
      <c r="F3717" s="327"/>
      <c r="G3717" s="327"/>
      <c r="H3717" s="327"/>
      <c r="I3717" s="328"/>
      <c r="J3717" s="308"/>
      <c r="K3717" s="327"/>
      <c r="L3717" s="210"/>
    </row>
    <row r="3718">
      <c r="A3718" s="55"/>
      <c r="B3718" s="312"/>
      <c r="C3718" s="308"/>
      <c r="D3718" s="308"/>
      <c r="E3718" s="308"/>
      <c r="F3718" s="327"/>
      <c r="G3718" s="327"/>
      <c r="H3718" s="327"/>
      <c r="I3718" s="328"/>
      <c r="J3718" s="308"/>
      <c r="K3718" s="327"/>
      <c r="L3718" s="210"/>
    </row>
    <row r="3719">
      <c r="A3719" s="55"/>
      <c r="B3719" s="312"/>
      <c r="C3719" s="308"/>
      <c r="D3719" s="308"/>
      <c r="E3719" s="308"/>
      <c r="F3719" s="327"/>
      <c r="G3719" s="327"/>
      <c r="H3719" s="327"/>
      <c r="I3719" s="328"/>
      <c r="J3719" s="308"/>
      <c r="K3719" s="327"/>
      <c r="L3719" s="210"/>
    </row>
    <row r="3720">
      <c r="A3720" s="55"/>
      <c r="B3720" s="312"/>
      <c r="C3720" s="308"/>
      <c r="D3720" s="308"/>
      <c r="E3720" s="308"/>
      <c r="F3720" s="327"/>
      <c r="G3720" s="327"/>
      <c r="H3720" s="327"/>
      <c r="I3720" s="328"/>
      <c r="J3720" s="308"/>
      <c r="K3720" s="327"/>
      <c r="L3720" s="210"/>
    </row>
    <row r="3721">
      <c r="A3721" s="55"/>
      <c r="B3721" s="312"/>
      <c r="C3721" s="308"/>
      <c r="D3721" s="308"/>
      <c r="E3721" s="308"/>
      <c r="F3721" s="327"/>
      <c r="G3721" s="327"/>
      <c r="H3721" s="327"/>
      <c r="I3721" s="328"/>
      <c r="J3721" s="308"/>
      <c r="K3721" s="327"/>
      <c r="L3721" s="210"/>
    </row>
    <row r="3722">
      <c r="A3722" s="55"/>
      <c r="B3722" s="312"/>
      <c r="C3722" s="308"/>
      <c r="D3722" s="308"/>
      <c r="E3722" s="308"/>
      <c r="F3722" s="327"/>
      <c r="G3722" s="327"/>
      <c r="H3722" s="327"/>
      <c r="I3722" s="328"/>
      <c r="J3722" s="308"/>
      <c r="K3722" s="327"/>
      <c r="L3722" s="210"/>
    </row>
    <row r="3723">
      <c r="A3723" s="55"/>
      <c r="B3723" s="312"/>
      <c r="C3723" s="308"/>
      <c r="D3723" s="308"/>
      <c r="E3723" s="308"/>
      <c r="F3723" s="327"/>
      <c r="G3723" s="327"/>
      <c r="H3723" s="327"/>
      <c r="I3723" s="328"/>
      <c r="J3723" s="308"/>
      <c r="K3723" s="327"/>
      <c r="L3723" s="210"/>
    </row>
    <row r="3724">
      <c r="A3724" s="55"/>
      <c r="B3724" s="312"/>
      <c r="C3724" s="308"/>
      <c r="D3724" s="308"/>
      <c r="E3724" s="308"/>
      <c r="F3724" s="327"/>
      <c r="G3724" s="327"/>
      <c r="H3724" s="327"/>
      <c r="I3724" s="328"/>
      <c r="J3724" s="308"/>
      <c r="K3724" s="327"/>
      <c r="L3724" s="210"/>
    </row>
    <row r="3725">
      <c r="A3725" s="55"/>
      <c r="B3725" s="312"/>
      <c r="C3725" s="308"/>
      <c r="D3725" s="308"/>
      <c r="E3725" s="308"/>
      <c r="F3725" s="327"/>
      <c r="G3725" s="327"/>
      <c r="H3725" s="327"/>
      <c r="I3725" s="328"/>
      <c r="J3725" s="308"/>
      <c r="K3725" s="327"/>
      <c r="L3725" s="210"/>
    </row>
    <row r="3726">
      <c r="A3726" s="55"/>
      <c r="B3726" s="312"/>
      <c r="C3726" s="308"/>
      <c r="D3726" s="308"/>
      <c r="E3726" s="308"/>
      <c r="F3726" s="327"/>
      <c r="G3726" s="327"/>
      <c r="H3726" s="327"/>
      <c r="I3726" s="328"/>
      <c r="J3726" s="308"/>
      <c r="K3726" s="327"/>
      <c r="L3726" s="210"/>
    </row>
    <row r="3727">
      <c r="A3727" s="55"/>
      <c r="B3727" s="312"/>
      <c r="C3727" s="308"/>
      <c r="D3727" s="308"/>
      <c r="E3727" s="308"/>
      <c r="F3727" s="327"/>
      <c r="G3727" s="327"/>
      <c r="H3727" s="327"/>
      <c r="I3727" s="328"/>
      <c r="J3727" s="308"/>
      <c r="K3727" s="327"/>
      <c r="L3727" s="210"/>
    </row>
    <row r="3728">
      <c r="A3728" s="55"/>
      <c r="B3728" s="312"/>
      <c r="C3728" s="308"/>
      <c r="D3728" s="308"/>
      <c r="E3728" s="308"/>
      <c r="F3728" s="327"/>
      <c r="G3728" s="327"/>
      <c r="H3728" s="327"/>
      <c r="I3728" s="328"/>
      <c r="J3728" s="308"/>
      <c r="K3728" s="327"/>
      <c r="L3728" s="210"/>
    </row>
    <row r="3729">
      <c r="A3729" s="55"/>
      <c r="B3729" s="312"/>
      <c r="C3729" s="308"/>
      <c r="D3729" s="308"/>
      <c r="E3729" s="308"/>
      <c r="F3729" s="327"/>
      <c r="G3729" s="327"/>
      <c r="H3729" s="327"/>
      <c r="I3729" s="328"/>
      <c r="J3729" s="308"/>
      <c r="K3729" s="327"/>
      <c r="L3729" s="210"/>
    </row>
    <row r="3730">
      <c r="A3730" s="55"/>
      <c r="B3730" s="312"/>
      <c r="C3730" s="308"/>
      <c r="D3730" s="308"/>
      <c r="E3730" s="308"/>
      <c r="F3730" s="327"/>
      <c r="G3730" s="327"/>
      <c r="H3730" s="327"/>
      <c r="I3730" s="328"/>
      <c r="J3730" s="308"/>
      <c r="K3730" s="327"/>
      <c r="L3730" s="210"/>
    </row>
    <row r="3731">
      <c r="A3731" s="55"/>
      <c r="B3731" s="312"/>
      <c r="C3731" s="308"/>
      <c r="D3731" s="308"/>
      <c r="E3731" s="308"/>
      <c r="F3731" s="327"/>
      <c r="G3731" s="327"/>
      <c r="H3731" s="327"/>
      <c r="I3731" s="328"/>
      <c r="J3731" s="308"/>
      <c r="K3731" s="327"/>
      <c r="L3731" s="210"/>
    </row>
    <row r="3732">
      <c r="A3732" s="55"/>
      <c r="B3732" s="312"/>
      <c r="C3732" s="308"/>
      <c r="D3732" s="308"/>
      <c r="E3732" s="308"/>
      <c r="F3732" s="327"/>
      <c r="G3732" s="327"/>
      <c r="H3732" s="327"/>
      <c r="I3732" s="328"/>
      <c r="J3732" s="308"/>
      <c r="K3732" s="327"/>
      <c r="L3732" s="210"/>
    </row>
    <row r="3733">
      <c r="A3733" s="55"/>
      <c r="B3733" s="312"/>
      <c r="C3733" s="308"/>
      <c r="D3733" s="308"/>
      <c r="E3733" s="308"/>
      <c r="F3733" s="327"/>
      <c r="G3733" s="327"/>
      <c r="H3733" s="327"/>
      <c r="I3733" s="328"/>
      <c r="J3733" s="308"/>
      <c r="K3733" s="327"/>
      <c r="L3733" s="210"/>
    </row>
    <row r="3734">
      <c r="A3734" s="55"/>
      <c r="B3734" s="312"/>
      <c r="C3734" s="308"/>
      <c r="D3734" s="308"/>
      <c r="E3734" s="308"/>
      <c r="F3734" s="327"/>
      <c r="G3734" s="327"/>
      <c r="H3734" s="327"/>
      <c r="I3734" s="328"/>
      <c r="J3734" s="308"/>
      <c r="K3734" s="327"/>
      <c r="L3734" s="210"/>
    </row>
    <row r="3735">
      <c r="A3735" s="55"/>
      <c r="B3735" s="312"/>
      <c r="C3735" s="308"/>
      <c r="D3735" s="308"/>
      <c r="E3735" s="308"/>
      <c r="F3735" s="327"/>
      <c r="G3735" s="327"/>
      <c r="H3735" s="327"/>
      <c r="I3735" s="328"/>
      <c r="J3735" s="308"/>
      <c r="K3735" s="327"/>
      <c r="L3735" s="210"/>
    </row>
    <row r="3736">
      <c r="A3736" s="55"/>
      <c r="B3736" s="312"/>
      <c r="C3736" s="308"/>
      <c r="D3736" s="308"/>
      <c r="E3736" s="308"/>
      <c r="F3736" s="327"/>
      <c r="G3736" s="327"/>
      <c r="H3736" s="327"/>
      <c r="I3736" s="328"/>
      <c r="J3736" s="308"/>
      <c r="K3736" s="327"/>
      <c r="L3736" s="210"/>
    </row>
    <row r="3737">
      <c r="A3737" s="55"/>
      <c r="B3737" s="312"/>
      <c r="C3737" s="308"/>
      <c r="D3737" s="308"/>
      <c r="E3737" s="308"/>
      <c r="F3737" s="327"/>
      <c r="G3737" s="327"/>
      <c r="H3737" s="327"/>
      <c r="I3737" s="328"/>
      <c r="J3737" s="308"/>
      <c r="K3737" s="327"/>
      <c r="L3737" s="210"/>
    </row>
    <row r="3738">
      <c r="A3738" s="55"/>
      <c r="B3738" s="312"/>
      <c r="C3738" s="308"/>
      <c r="D3738" s="308"/>
      <c r="E3738" s="308"/>
      <c r="F3738" s="327"/>
      <c r="G3738" s="327"/>
      <c r="H3738" s="327"/>
      <c r="I3738" s="328"/>
      <c r="J3738" s="308"/>
      <c r="K3738" s="327"/>
      <c r="L3738" s="210"/>
    </row>
    <row r="3739">
      <c r="A3739" s="55"/>
      <c r="B3739" s="312"/>
      <c r="C3739" s="308"/>
      <c r="D3739" s="308"/>
      <c r="E3739" s="308"/>
      <c r="F3739" s="327"/>
      <c r="G3739" s="327"/>
      <c r="H3739" s="327"/>
      <c r="I3739" s="328"/>
      <c r="J3739" s="308"/>
      <c r="K3739" s="327"/>
      <c r="L3739" s="210"/>
    </row>
    <row r="3740">
      <c r="A3740" s="55"/>
      <c r="B3740" s="312"/>
      <c r="C3740" s="308"/>
      <c r="D3740" s="308"/>
      <c r="E3740" s="308"/>
      <c r="F3740" s="327"/>
      <c r="G3740" s="327"/>
      <c r="H3740" s="327"/>
      <c r="I3740" s="328"/>
      <c r="J3740" s="308"/>
      <c r="K3740" s="327"/>
      <c r="L3740" s="210"/>
    </row>
    <row r="3741">
      <c r="A3741" s="55"/>
      <c r="B3741" s="312"/>
      <c r="C3741" s="308"/>
      <c r="D3741" s="308"/>
      <c r="E3741" s="308"/>
      <c r="F3741" s="327"/>
      <c r="G3741" s="327"/>
      <c r="H3741" s="327"/>
      <c r="I3741" s="328"/>
      <c r="J3741" s="308"/>
      <c r="K3741" s="327"/>
      <c r="L3741" s="210"/>
    </row>
    <row r="3742">
      <c r="A3742" s="55"/>
      <c r="B3742" s="312"/>
      <c r="C3742" s="308"/>
      <c r="D3742" s="308"/>
      <c r="E3742" s="308"/>
      <c r="F3742" s="327"/>
      <c r="G3742" s="327"/>
      <c r="H3742" s="327"/>
      <c r="I3742" s="328"/>
      <c r="J3742" s="308"/>
      <c r="K3742" s="327"/>
      <c r="L3742" s="210"/>
    </row>
    <row r="3743">
      <c r="A3743" s="55"/>
      <c r="B3743" s="312"/>
      <c r="C3743" s="308"/>
      <c r="D3743" s="308"/>
      <c r="E3743" s="308"/>
      <c r="F3743" s="327"/>
      <c r="G3743" s="327"/>
      <c r="H3743" s="327"/>
      <c r="I3743" s="328"/>
      <c r="J3743" s="308"/>
      <c r="K3743" s="327"/>
      <c r="L3743" s="210"/>
    </row>
    <row r="3744">
      <c r="A3744" s="55"/>
      <c r="B3744" s="312"/>
      <c r="C3744" s="308"/>
      <c r="D3744" s="308"/>
      <c r="E3744" s="308"/>
      <c r="F3744" s="327"/>
      <c r="G3744" s="327"/>
      <c r="H3744" s="327"/>
      <c r="I3744" s="328"/>
      <c r="J3744" s="308"/>
      <c r="K3744" s="327"/>
      <c r="L3744" s="210"/>
    </row>
    <row r="3745">
      <c r="A3745" s="55"/>
      <c r="B3745" s="312"/>
      <c r="C3745" s="308"/>
      <c r="D3745" s="308"/>
      <c r="E3745" s="308"/>
      <c r="F3745" s="327"/>
      <c r="G3745" s="327"/>
      <c r="H3745" s="327"/>
      <c r="I3745" s="328"/>
      <c r="J3745" s="308"/>
      <c r="K3745" s="327"/>
      <c r="L3745" s="210"/>
    </row>
    <row r="3746">
      <c r="A3746" s="55"/>
      <c r="B3746" s="312"/>
      <c r="C3746" s="308"/>
      <c r="D3746" s="308"/>
      <c r="E3746" s="308"/>
      <c r="F3746" s="327"/>
      <c r="G3746" s="327"/>
      <c r="H3746" s="327"/>
      <c r="I3746" s="328"/>
      <c r="J3746" s="308"/>
      <c r="K3746" s="327"/>
      <c r="L3746" s="210"/>
    </row>
    <row r="3747">
      <c r="A3747" s="55"/>
      <c r="B3747" s="312"/>
      <c r="C3747" s="308"/>
      <c r="D3747" s="308"/>
      <c r="E3747" s="308"/>
      <c r="F3747" s="327"/>
      <c r="G3747" s="327"/>
      <c r="H3747" s="327"/>
      <c r="I3747" s="328"/>
      <c r="J3747" s="308"/>
      <c r="K3747" s="327"/>
      <c r="L3747" s="210"/>
    </row>
    <row r="3748">
      <c r="A3748" s="55"/>
      <c r="B3748" s="312"/>
      <c r="C3748" s="308"/>
      <c r="D3748" s="308"/>
      <c r="E3748" s="308"/>
      <c r="F3748" s="327"/>
      <c r="G3748" s="327"/>
      <c r="H3748" s="327"/>
      <c r="I3748" s="328"/>
      <c r="J3748" s="308"/>
      <c r="K3748" s="327"/>
      <c r="L3748" s="210"/>
    </row>
    <row r="3749">
      <c r="A3749" s="55"/>
      <c r="B3749" s="312"/>
      <c r="C3749" s="308"/>
      <c r="D3749" s="308"/>
      <c r="E3749" s="308"/>
      <c r="F3749" s="327"/>
      <c r="G3749" s="327"/>
      <c r="H3749" s="327"/>
      <c r="I3749" s="328"/>
      <c r="J3749" s="308"/>
      <c r="K3749" s="327"/>
      <c r="L3749" s="210"/>
    </row>
    <row r="3750">
      <c r="A3750" s="55"/>
      <c r="B3750" s="312"/>
      <c r="C3750" s="308"/>
      <c r="D3750" s="308"/>
      <c r="E3750" s="308"/>
      <c r="F3750" s="327"/>
      <c r="G3750" s="327"/>
      <c r="H3750" s="327"/>
      <c r="I3750" s="328"/>
      <c r="J3750" s="308"/>
      <c r="K3750" s="327"/>
      <c r="L3750" s="210"/>
    </row>
    <row r="3751">
      <c r="A3751" s="55"/>
      <c r="B3751" s="312"/>
      <c r="C3751" s="308"/>
      <c r="D3751" s="308"/>
      <c r="E3751" s="308"/>
      <c r="F3751" s="327"/>
      <c r="G3751" s="327"/>
      <c r="H3751" s="327"/>
      <c r="I3751" s="328"/>
      <c r="J3751" s="308"/>
      <c r="K3751" s="327"/>
      <c r="L3751" s="210"/>
    </row>
    <row r="3752">
      <c r="A3752" s="55"/>
      <c r="B3752" s="312"/>
      <c r="C3752" s="308"/>
      <c r="D3752" s="308"/>
      <c r="E3752" s="308"/>
      <c r="F3752" s="327"/>
      <c r="G3752" s="327"/>
      <c r="H3752" s="327"/>
      <c r="I3752" s="328"/>
      <c r="J3752" s="308"/>
      <c r="K3752" s="327"/>
      <c r="L3752" s="210"/>
    </row>
    <row r="3753">
      <c r="A3753" s="55"/>
      <c r="B3753" s="312"/>
      <c r="C3753" s="308"/>
      <c r="D3753" s="308"/>
      <c r="E3753" s="308"/>
      <c r="F3753" s="327"/>
      <c r="G3753" s="327"/>
      <c r="H3753" s="327"/>
      <c r="I3753" s="328"/>
      <c r="J3753" s="308"/>
      <c r="K3753" s="327"/>
      <c r="L3753" s="210"/>
    </row>
    <row r="3754">
      <c r="A3754" s="55"/>
      <c r="B3754" s="312"/>
      <c r="C3754" s="308"/>
      <c r="D3754" s="308"/>
      <c r="E3754" s="308"/>
      <c r="F3754" s="327"/>
      <c r="G3754" s="327"/>
      <c r="H3754" s="327"/>
      <c r="I3754" s="328"/>
      <c r="J3754" s="308"/>
      <c r="K3754" s="327"/>
      <c r="L3754" s="210"/>
    </row>
    <row r="3755">
      <c r="A3755" s="55"/>
      <c r="B3755" s="312"/>
      <c r="C3755" s="308"/>
      <c r="D3755" s="308"/>
      <c r="E3755" s="308"/>
      <c r="F3755" s="327"/>
      <c r="G3755" s="327"/>
      <c r="H3755" s="327"/>
      <c r="I3755" s="328"/>
      <c r="J3755" s="308"/>
      <c r="K3755" s="327"/>
      <c r="L3755" s="210"/>
    </row>
    <row r="3756">
      <c r="A3756" s="55"/>
      <c r="B3756" s="312"/>
      <c r="C3756" s="308"/>
      <c r="D3756" s="308"/>
      <c r="E3756" s="308"/>
      <c r="F3756" s="327"/>
      <c r="G3756" s="327"/>
      <c r="H3756" s="327"/>
      <c r="I3756" s="328"/>
      <c r="J3756" s="308"/>
      <c r="K3756" s="327"/>
      <c r="L3756" s="210"/>
    </row>
    <row r="3757">
      <c r="A3757" s="55"/>
      <c r="B3757" s="312"/>
      <c r="C3757" s="308"/>
      <c r="D3757" s="308"/>
      <c r="E3757" s="308"/>
      <c r="F3757" s="327"/>
      <c r="G3757" s="327"/>
      <c r="H3757" s="327"/>
      <c r="I3757" s="328"/>
      <c r="J3757" s="308"/>
      <c r="K3757" s="327"/>
      <c r="L3757" s="210"/>
    </row>
    <row r="3758">
      <c r="A3758" s="55"/>
      <c r="B3758" s="312"/>
      <c r="C3758" s="308"/>
      <c r="D3758" s="308"/>
      <c r="E3758" s="308"/>
      <c r="F3758" s="327"/>
      <c r="G3758" s="327"/>
      <c r="H3758" s="327"/>
      <c r="I3758" s="328"/>
      <c r="J3758" s="308"/>
      <c r="K3758" s="327"/>
      <c r="L3758" s="210"/>
    </row>
    <row r="3759">
      <c r="A3759" s="55"/>
      <c r="B3759" s="312"/>
      <c r="C3759" s="308"/>
      <c r="D3759" s="308"/>
      <c r="E3759" s="308"/>
      <c r="F3759" s="327"/>
      <c r="G3759" s="327"/>
      <c r="H3759" s="327"/>
      <c r="I3759" s="328"/>
      <c r="J3759" s="308"/>
      <c r="K3759" s="327"/>
      <c r="L3759" s="210"/>
    </row>
    <row r="3760">
      <c r="A3760" s="55"/>
      <c r="B3760" s="312"/>
      <c r="C3760" s="308"/>
      <c r="D3760" s="308"/>
      <c r="E3760" s="308"/>
      <c r="F3760" s="327"/>
      <c r="G3760" s="327"/>
      <c r="H3760" s="327"/>
      <c r="I3760" s="328"/>
      <c r="J3760" s="308"/>
      <c r="K3760" s="327"/>
      <c r="L3760" s="210"/>
    </row>
    <row r="3761">
      <c r="A3761" s="55"/>
      <c r="B3761" s="312"/>
      <c r="C3761" s="308"/>
      <c r="D3761" s="308"/>
      <c r="E3761" s="308"/>
      <c r="F3761" s="327"/>
      <c r="G3761" s="327"/>
      <c r="H3761" s="327"/>
      <c r="I3761" s="328"/>
      <c r="J3761" s="308"/>
      <c r="K3761" s="327"/>
      <c r="L3761" s="210"/>
    </row>
    <row r="3762">
      <c r="A3762" s="55"/>
      <c r="B3762" s="312"/>
      <c r="C3762" s="308"/>
      <c r="D3762" s="308"/>
      <c r="E3762" s="308"/>
      <c r="F3762" s="327"/>
      <c r="G3762" s="327"/>
      <c r="H3762" s="327"/>
      <c r="I3762" s="328"/>
      <c r="J3762" s="308"/>
      <c r="K3762" s="327"/>
      <c r="L3762" s="210"/>
    </row>
    <row r="3763">
      <c r="A3763" s="55"/>
      <c r="B3763" s="312"/>
      <c r="C3763" s="308"/>
      <c r="D3763" s="308"/>
      <c r="E3763" s="308"/>
      <c r="F3763" s="327"/>
      <c r="G3763" s="327"/>
      <c r="H3763" s="327"/>
      <c r="I3763" s="328"/>
      <c r="J3763" s="308"/>
      <c r="K3763" s="327"/>
      <c r="L3763" s="210"/>
    </row>
    <row r="3764">
      <c r="A3764" s="55"/>
      <c r="B3764" s="312"/>
      <c r="C3764" s="308"/>
      <c r="D3764" s="308"/>
      <c r="E3764" s="308"/>
      <c r="F3764" s="327"/>
      <c r="G3764" s="327"/>
      <c r="H3764" s="327"/>
      <c r="I3764" s="328"/>
      <c r="J3764" s="308"/>
      <c r="K3764" s="327"/>
      <c r="L3764" s="210"/>
    </row>
    <row r="3765">
      <c r="A3765" s="55"/>
      <c r="B3765" s="312"/>
      <c r="C3765" s="308"/>
      <c r="D3765" s="308"/>
      <c r="E3765" s="308"/>
      <c r="F3765" s="327"/>
      <c r="G3765" s="327"/>
      <c r="H3765" s="327"/>
      <c r="I3765" s="328"/>
      <c r="J3765" s="308"/>
      <c r="K3765" s="327"/>
      <c r="L3765" s="210"/>
    </row>
    <row r="3766">
      <c r="A3766" s="55"/>
      <c r="B3766" s="312"/>
      <c r="C3766" s="308"/>
      <c r="D3766" s="308"/>
      <c r="E3766" s="308"/>
      <c r="F3766" s="327"/>
      <c r="G3766" s="327"/>
      <c r="H3766" s="327"/>
      <c r="I3766" s="328"/>
      <c r="J3766" s="308"/>
      <c r="K3766" s="327"/>
      <c r="L3766" s="210"/>
    </row>
    <row r="3767">
      <c r="A3767" s="55"/>
      <c r="B3767" s="312"/>
      <c r="C3767" s="308"/>
      <c r="D3767" s="308"/>
      <c r="E3767" s="308"/>
      <c r="F3767" s="327"/>
      <c r="G3767" s="327"/>
      <c r="H3767" s="327"/>
      <c r="I3767" s="328"/>
      <c r="J3767" s="308"/>
      <c r="K3767" s="327"/>
      <c r="L3767" s="210"/>
    </row>
    <row r="3768">
      <c r="A3768" s="55"/>
      <c r="B3768" s="312"/>
      <c r="C3768" s="308"/>
      <c r="D3768" s="308"/>
      <c r="E3768" s="308"/>
      <c r="F3768" s="327"/>
      <c r="G3768" s="327"/>
      <c r="H3768" s="327"/>
      <c r="I3768" s="328"/>
      <c r="J3768" s="308"/>
      <c r="K3768" s="327"/>
      <c r="L3768" s="210"/>
    </row>
    <row r="3769">
      <c r="A3769" s="55"/>
      <c r="B3769" s="312"/>
      <c r="C3769" s="308"/>
      <c r="D3769" s="308"/>
      <c r="E3769" s="308"/>
      <c r="F3769" s="327"/>
      <c r="G3769" s="327"/>
      <c r="H3769" s="327"/>
      <c r="I3769" s="328"/>
      <c r="J3769" s="308"/>
      <c r="K3769" s="327"/>
      <c r="L3769" s="210"/>
    </row>
    <row r="3770">
      <c r="A3770" s="55"/>
      <c r="B3770" s="312"/>
      <c r="C3770" s="308"/>
      <c r="D3770" s="308"/>
      <c r="E3770" s="308"/>
      <c r="F3770" s="327"/>
      <c r="G3770" s="327"/>
      <c r="H3770" s="327"/>
      <c r="I3770" s="328"/>
      <c r="J3770" s="308"/>
      <c r="K3770" s="327"/>
      <c r="L3770" s="210"/>
    </row>
    <row r="3771">
      <c r="A3771" s="55"/>
      <c r="B3771" s="312"/>
      <c r="C3771" s="308"/>
      <c r="D3771" s="308"/>
      <c r="E3771" s="308"/>
      <c r="F3771" s="327"/>
      <c r="G3771" s="327"/>
      <c r="H3771" s="327"/>
      <c r="I3771" s="328"/>
      <c r="J3771" s="308"/>
      <c r="K3771" s="327"/>
      <c r="L3771" s="210"/>
    </row>
    <row r="3772">
      <c r="A3772" s="55"/>
      <c r="B3772" s="312"/>
      <c r="C3772" s="308"/>
      <c r="D3772" s="308"/>
      <c r="E3772" s="308"/>
      <c r="F3772" s="327"/>
      <c r="G3772" s="327"/>
      <c r="H3772" s="327"/>
      <c r="I3772" s="328"/>
      <c r="J3772" s="308"/>
      <c r="K3772" s="327"/>
      <c r="L3772" s="210"/>
    </row>
    <row r="3773">
      <c r="A3773" s="55"/>
      <c r="B3773" s="312"/>
      <c r="C3773" s="308"/>
      <c r="D3773" s="308"/>
      <c r="E3773" s="308"/>
      <c r="F3773" s="327"/>
      <c r="G3773" s="327"/>
      <c r="H3773" s="327"/>
      <c r="I3773" s="328"/>
      <c r="J3773" s="308"/>
      <c r="K3773" s="327"/>
      <c r="L3773" s="210"/>
    </row>
    <row r="3774">
      <c r="A3774" s="55"/>
      <c r="B3774" s="312"/>
      <c r="C3774" s="308"/>
      <c r="D3774" s="308"/>
      <c r="E3774" s="308"/>
      <c r="F3774" s="327"/>
      <c r="G3774" s="327"/>
      <c r="H3774" s="327"/>
      <c r="I3774" s="328"/>
      <c r="J3774" s="308"/>
      <c r="K3774" s="327"/>
      <c r="L3774" s="210"/>
    </row>
    <row r="3775">
      <c r="A3775" s="55"/>
      <c r="B3775" s="312"/>
      <c r="C3775" s="308"/>
      <c r="D3775" s="308"/>
      <c r="E3775" s="308"/>
      <c r="F3775" s="327"/>
      <c r="G3775" s="327"/>
      <c r="H3775" s="327"/>
      <c r="I3775" s="328"/>
      <c r="J3775" s="308"/>
      <c r="K3775" s="327"/>
      <c r="L3775" s="210"/>
    </row>
    <row r="3776">
      <c r="A3776" s="55"/>
      <c r="B3776" s="312"/>
      <c r="C3776" s="308"/>
      <c r="D3776" s="308"/>
      <c r="E3776" s="308"/>
      <c r="F3776" s="327"/>
      <c r="G3776" s="327"/>
      <c r="H3776" s="327"/>
      <c r="I3776" s="328"/>
      <c r="J3776" s="308"/>
      <c r="K3776" s="327"/>
      <c r="L3776" s="210"/>
    </row>
    <row r="3777">
      <c r="A3777" s="55"/>
      <c r="B3777" s="312"/>
      <c r="C3777" s="308"/>
      <c r="D3777" s="308"/>
      <c r="E3777" s="308"/>
      <c r="F3777" s="327"/>
      <c r="G3777" s="327"/>
      <c r="H3777" s="327"/>
      <c r="I3777" s="328"/>
      <c r="J3777" s="308"/>
      <c r="K3777" s="327"/>
      <c r="L3777" s="210"/>
    </row>
    <row r="3778">
      <c r="A3778" s="55"/>
      <c r="B3778" s="312"/>
      <c r="C3778" s="308"/>
      <c r="D3778" s="308"/>
      <c r="E3778" s="308"/>
      <c r="F3778" s="327"/>
      <c r="G3778" s="327"/>
      <c r="H3778" s="327"/>
      <c r="I3778" s="328"/>
      <c r="J3778" s="308"/>
      <c r="K3778" s="327"/>
      <c r="L3778" s="210"/>
    </row>
    <row r="3779">
      <c r="A3779" s="55"/>
      <c r="B3779" s="312"/>
      <c r="C3779" s="308"/>
      <c r="D3779" s="308"/>
      <c r="E3779" s="308"/>
      <c r="F3779" s="327"/>
      <c r="G3779" s="327"/>
      <c r="H3779" s="327"/>
      <c r="I3779" s="328"/>
      <c r="J3779" s="308"/>
      <c r="K3779" s="327"/>
      <c r="L3779" s="210"/>
    </row>
    <row r="3780">
      <c r="A3780" s="55"/>
      <c r="B3780" s="312"/>
      <c r="C3780" s="308"/>
      <c r="D3780" s="308"/>
      <c r="E3780" s="308"/>
      <c r="F3780" s="327"/>
      <c r="G3780" s="327"/>
      <c r="H3780" s="327"/>
      <c r="I3780" s="328"/>
      <c r="J3780" s="308"/>
      <c r="K3780" s="327"/>
      <c r="L3780" s="210"/>
    </row>
    <row r="3781">
      <c r="A3781" s="55"/>
      <c r="B3781" s="312"/>
      <c r="C3781" s="308"/>
      <c r="D3781" s="308"/>
      <c r="E3781" s="308"/>
      <c r="F3781" s="327"/>
      <c r="G3781" s="327"/>
      <c r="H3781" s="327"/>
      <c r="I3781" s="328"/>
      <c r="J3781" s="308"/>
      <c r="K3781" s="327"/>
      <c r="L3781" s="210"/>
    </row>
    <row r="3782">
      <c r="A3782" s="55"/>
      <c r="B3782" s="312"/>
      <c r="C3782" s="308"/>
      <c r="D3782" s="308"/>
      <c r="E3782" s="308"/>
      <c r="F3782" s="327"/>
      <c r="G3782" s="327"/>
      <c r="H3782" s="327"/>
      <c r="I3782" s="328"/>
      <c r="J3782" s="308"/>
      <c r="K3782" s="327"/>
      <c r="L3782" s="210"/>
    </row>
    <row r="3783">
      <c r="A3783" s="55"/>
      <c r="B3783" s="312"/>
      <c r="C3783" s="308"/>
      <c r="D3783" s="308"/>
      <c r="E3783" s="308"/>
      <c r="F3783" s="327"/>
      <c r="G3783" s="327"/>
      <c r="H3783" s="327"/>
      <c r="I3783" s="328"/>
      <c r="J3783" s="308"/>
      <c r="K3783" s="327"/>
      <c r="L3783" s="210"/>
    </row>
    <row r="3784">
      <c r="A3784" s="55"/>
      <c r="B3784" s="312"/>
      <c r="C3784" s="308"/>
      <c r="D3784" s="308"/>
      <c r="E3784" s="308"/>
      <c r="F3784" s="327"/>
      <c r="G3784" s="327"/>
      <c r="H3784" s="327"/>
      <c r="I3784" s="328"/>
      <c r="J3784" s="308"/>
      <c r="K3784" s="327"/>
      <c r="L3784" s="210"/>
    </row>
    <row r="3785">
      <c r="A3785" s="55"/>
      <c r="B3785" s="312"/>
      <c r="C3785" s="308"/>
      <c r="D3785" s="308"/>
      <c r="E3785" s="308"/>
      <c r="F3785" s="327"/>
      <c r="G3785" s="327"/>
      <c r="H3785" s="327"/>
      <c r="I3785" s="328"/>
      <c r="J3785" s="308"/>
      <c r="K3785" s="327"/>
      <c r="L3785" s="210"/>
    </row>
    <row r="3786">
      <c r="A3786" s="55"/>
      <c r="B3786" s="312"/>
      <c r="C3786" s="308"/>
      <c r="D3786" s="308"/>
      <c r="E3786" s="308"/>
      <c r="F3786" s="327"/>
      <c r="G3786" s="327"/>
      <c r="H3786" s="327"/>
      <c r="I3786" s="328"/>
      <c r="J3786" s="308"/>
      <c r="K3786" s="327"/>
      <c r="L3786" s="210"/>
    </row>
    <row r="3787">
      <c r="A3787" s="55"/>
      <c r="B3787" s="312"/>
      <c r="C3787" s="308"/>
      <c r="D3787" s="308"/>
      <c r="E3787" s="308"/>
      <c r="F3787" s="327"/>
      <c r="G3787" s="327"/>
      <c r="H3787" s="327"/>
      <c r="I3787" s="328"/>
      <c r="J3787" s="308"/>
      <c r="K3787" s="327"/>
      <c r="L3787" s="210"/>
    </row>
    <row r="3788">
      <c r="A3788" s="55"/>
      <c r="B3788" s="312"/>
      <c r="C3788" s="308"/>
      <c r="D3788" s="308"/>
      <c r="E3788" s="308"/>
      <c r="F3788" s="327"/>
      <c r="G3788" s="327"/>
      <c r="H3788" s="327"/>
      <c r="I3788" s="328"/>
      <c r="J3788" s="308"/>
      <c r="K3788" s="327"/>
      <c r="L3788" s="210"/>
    </row>
    <row r="3789">
      <c r="A3789" s="55"/>
      <c r="B3789" s="312"/>
      <c r="C3789" s="308"/>
      <c r="D3789" s="308"/>
      <c r="E3789" s="308"/>
      <c r="F3789" s="327"/>
      <c r="G3789" s="327"/>
      <c r="H3789" s="327"/>
      <c r="I3789" s="328"/>
      <c r="J3789" s="308"/>
      <c r="K3789" s="327"/>
      <c r="L3789" s="210"/>
    </row>
    <row r="3790">
      <c r="A3790" s="55"/>
      <c r="B3790" s="312"/>
      <c r="C3790" s="308"/>
      <c r="D3790" s="308"/>
      <c r="E3790" s="308"/>
      <c r="F3790" s="327"/>
      <c r="G3790" s="327"/>
      <c r="H3790" s="327"/>
      <c r="I3790" s="328"/>
      <c r="J3790" s="308"/>
      <c r="K3790" s="327"/>
      <c r="L3790" s="210"/>
    </row>
    <row r="3791">
      <c r="A3791" s="55"/>
      <c r="B3791" s="312"/>
      <c r="C3791" s="308"/>
      <c r="D3791" s="308"/>
      <c r="E3791" s="308"/>
      <c r="F3791" s="327"/>
      <c r="G3791" s="327"/>
      <c r="H3791" s="327"/>
      <c r="I3791" s="328"/>
      <c r="J3791" s="308"/>
      <c r="K3791" s="327"/>
      <c r="L3791" s="210"/>
    </row>
    <row r="3792">
      <c r="A3792" s="55"/>
      <c r="B3792" s="312"/>
      <c r="C3792" s="308"/>
      <c r="D3792" s="308"/>
      <c r="E3792" s="308"/>
      <c r="F3792" s="327"/>
      <c r="G3792" s="327"/>
      <c r="H3792" s="327"/>
      <c r="I3792" s="328"/>
      <c r="J3792" s="308"/>
      <c r="K3792" s="327"/>
      <c r="L3792" s="210"/>
    </row>
    <row r="3793">
      <c r="A3793" s="55"/>
      <c r="B3793" s="312"/>
      <c r="C3793" s="308"/>
      <c r="D3793" s="308"/>
      <c r="E3793" s="308"/>
      <c r="F3793" s="327"/>
      <c r="G3793" s="327"/>
      <c r="H3793" s="327"/>
      <c r="I3793" s="328"/>
      <c r="J3793" s="308"/>
      <c r="K3793" s="327"/>
      <c r="L3793" s="210"/>
    </row>
    <row r="3794">
      <c r="A3794" s="55"/>
      <c r="B3794" s="312"/>
      <c r="C3794" s="308"/>
      <c r="D3794" s="308"/>
      <c r="E3794" s="308"/>
      <c r="F3794" s="327"/>
      <c r="G3794" s="327"/>
      <c r="H3794" s="327"/>
      <c r="I3794" s="328"/>
      <c r="J3794" s="308"/>
      <c r="K3794" s="327"/>
      <c r="L3794" s="210"/>
    </row>
    <row r="3795">
      <c r="A3795" s="55"/>
      <c r="B3795" s="312"/>
      <c r="C3795" s="308"/>
      <c r="D3795" s="308"/>
      <c r="E3795" s="308"/>
      <c r="F3795" s="327"/>
      <c r="G3795" s="327"/>
      <c r="H3795" s="327"/>
      <c r="I3795" s="328"/>
      <c r="J3795" s="308"/>
      <c r="K3795" s="327"/>
      <c r="L3795" s="210"/>
    </row>
    <row r="3796">
      <c r="A3796" s="55"/>
      <c r="B3796" s="312"/>
      <c r="C3796" s="308"/>
      <c r="D3796" s="308"/>
      <c r="E3796" s="308"/>
      <c r="F3796" s="327"/>
      <c r="G3796" s="327"/>
      <c r="H3796" s="327"/>
      <c r="I3796" s="328"/>
      <c r="J3796" s="308"/>
      <c r="K3796" s="327"/>
      <c r="L3796" s="210"/>
    </row>
    <row r="3797">
      <c r="A3797" s="55"/>
      <c r="B3797" s="312"/>
      <c r="C3797" s="308"/>
      <c r="D3797" s="308"/>
      <c r="E3797" s="308"/>
      <c r="F3797" s="327"/>
      <c r="G3797" s="327"/>
      <c r="H3797" s="327"/>
      <c r="I3797" s="328"/>
      <c r="J3797" s="308"/>
      <c r="K3797" s="327"/>
      <c r="L3797" s="210"/>
    </row>
    <row r="3798">
      <c r="A3798" s="55"/>
      <c r="B3798" s="312"/>
      <c r="C3798" s="308"/>
      <c r="D3798" s="308"/>
      <c r="E3798" s="308"/>
      <c r="F3798" s="327"/>
      <c r="G3798" s="327"/>
      <c r="H3798" s="327"/>
      <c r="I3798" s="328"/>
      <c r="J3798" s="308"/>
      <c r="K3798" s="327"/>
      <c r="L3798" s="210"/>
    </row>
    <row r="3799">
      <c r="A3799" s="55"/>
      <c r="B3799" s="312"/>
      <c r="C3799" s="308"/>
      <c r="D3799" s="308"/>
      <c r="E3799" s="308"/>
      <c r="F3799" s="327"/>
      <c r="G3799" s="327"/>
      <c r="H3799" s="327"/>
      <c r="I3799" s="328"/>
      <c r="J3799" s="308"/>
      <c r="K3799" s="327"/>
      <c r="L3799" s="210"/>
    </row>
    <row r="3800">
      <c r="A3800" s="55"/>
      <c r="B3800" s="312"/>
      <c r="C3800" s="308"/>
      <c r="D3800" s="308"/>
      <c r="E3800" s="308"/>
      <c r="F3800" s="327"/>
      <c r="G3800" s="327"/>
      <c r="H3800" s="327"/>
      <c r="I3800" s="328"/>
      <c r="J3800" s="308"/>
      <c r="K3800" s="327"/>
      <c r="L3800" s="210"/>
    </row>
    <row r="3801">
      <c r="A3801" s="55"/>
      <c r="B3801" s="312"/>
      <c r="C3801" s="308"/>
      <c r="D3801" s="308"/>
      <c r="E3801" s="308"/>
      <c r="F3801" s="327"/>
      <c r="G3801" s="327"/>
      <c r="H3801" s="327"/>
      <c r="I3801" s="328"/>
      <c r="J3801" s="308"/>
      <c r="K3801" s="327"/>
      <c r="L3801" s="210"/>
    </row>
    <row r="3802">
      <c r="A3802" s="55"/>
      <c r="B3802" s="312"/>
      <c r="C3802" s="308"/>
      <c r="D3802" s="308"/>
      <c r="E3802" s="308"/>
      <c r="F3802" s="327"/>
      <c r="G3802" s="327"/>
      <c r="H3802" s="327"/>
      <c r="I3802" s="328"/>
      <c r="J3802" s="308"/>
      <c r="K3802" s="327"/>
      <c r="L3802" s="210"/>
    </row>
    <row r="3803">
      <c r="A3803" s="55"/>
      <c r="B3803" s="312"/>
      <c r="C3803" s="308"/>
      <c r="D3803" s="308"/>
      <c r="E3803" s="308"/>
      <c r="F3803" s="327"/>
      <c r="G3803" s="327"/>
      <c r="H3803" s="327"/>
      <c r="I3803" s="328"/>
      <c r="J3803" s="308"/>
      <c r="K3803" s="327"/>
      <c r="L3803" s="210"/>
    </row>
    <row r="3804">
      <c r="A3804" s="55"/>
      <c r="B3804" s="312"/>
      <c r="C3804" s="308"/>
      <c r="D3804" s="308"/>
      <c r="E3804" s="308"/>
      <c r="F3804" s="327"/>
      <c r="G3804" s="327"/>
      <c r="H3804" s="327"/>
      <c r="I3804" s="328"/>
      <c r="J3804" s="308"/>
      <c r="K3804" s="327"/>
      <c r="L3804" s="210"/>
    </row>
    <row r="3805">
      <c r="A3805" s="55"/>
      <c r="B3805" s="312"/>
      <c r="C3805" s="308"/>
      <c r="D3805" s="308"/>
      <c r="E3805" s="308"/>
      <c r="F3805" s="327"/>
      <c r="G3805" s="327"/>
      <c r="H3805" s="327"/>
      <c r="I3805" s="328"/>
      <c r="J3805" s="308"/>
      <c r="K3805" s="327"/>
      <c r="L3805" s="210"/>
    </row>
    <row r="3806">
      <c r="A3806" s="55"/>
      <c r="B3806" s="312"/>
      <c r="C3806" s="308"/>
      <c r="D3806" s="308"/>
      <c r="E3806" s="308"/>
      <c r="F3806" s="327"/>
      <c r="G3806" s="327"/>
      <c r="H3806" s="327"/>
      <c r="I3806" s="328"/>
      <c r="J3806" s="308"/>
      <c r="K3806" s="327"/>
      <c r="L3806" s="210"/>
    </row>
    <row r="3807">
      <c r="A3807" s="55"/>
      <c r="B3807" s="312"/>
      <c r="C3807" s="308"/>
      <c r="D3807" s="308"/>
      <c r="E3807" s="308"/>
      <c r="F3807" s="327"/>
      <c r="G3807" s="327"/>
      <c r="H3807" s="327"/>
      <c r="I3807" s="328"/>
      <c r="J3807" s="308"/>
      <c r="K3807" s="327"/>
      <c r="L3807" s="210"/>
    </row>
    <row r="3808">
      <c r="A3808" s="55"/>
      <c r="B3808" s="312"/>
      <c r="C3808" s="308"/>
      <c r="D3808" s="308"/>
      <c r="E3808" s="308"/>
      <c r="F3808" s="327"/>
      <c r="G3808" s="327"/>
      <c r="H3808" s="327"/>
      <c r="I3808" s="328"/>
      <c r="J3808" s="308"/>
      <c r="K3808" s="327"/>
      <c r="L3808" s="210"/>
    </row>
    <row r="3809">
      <c r="A3809" s="55"/>
      <c r="B3809" s="312"/>
      <c r="C3809" s="308"/>
      <c r="D3809" s="308"/>
      <c r="E3809" s="308"/>
      <c r="F3809" s="327"/>
      <c r="G3809" s="327"/>
      <c r="H3809" s="327"/>
      <c r="I3809" s="328"/>
      <c r="J3809" s="308"/>
      <c r="K3809" s="327"/>
      <c r="L3809" s="210"/>
    </row>
    <row r="3810">
      <c r="A3810" s="55"/>
      <c r="B3810" s="312"/>
      <c r="C3810" s="308"/>
      <c r="D3810" s="308"/>
      <c r="E3810" s="308"/>
      <c r="F3810" s="327"/>
      <c r="G3810" s="327"/>
      <c r="H3810" s="327"/>
      <c r="I3810" s="328"/>
      <c r="J3810" s="308"/>
      <c r="K3810" s="327"/>
      <c r="L3810" s="210"/>
    </row>
    <row r="3811">
      <c r="A3811" s="55"/>
      <c r="B3811" s="312"/>
      <c r="C3811" s="308"/>
      <c r="D3811" s="308"/>
      <c r="E3811" s="308"/>
      <c r="F3811" s="327"/>
      <c r="G3811" s="327"/>
      <c r="H3811" s="327"/>
      <c r="I3811" s="328"/>
      <c r="J3811" s="308"/>
      <c r="K3811" s="327"/>
      <c r="L3811" s="210"/>
    </row>
    <row r="3812">
      <c r="A3812" s="55"/>
      <c r="B3812" s="312"/>
      <c r="C3812" s="308"/>
      <c r="D3812" s="308"/>
      <c r="E3812" s="308"/>
      <c r="F3812" s="327"/>
      <c r="G3812" s="327"/>
      <c r="H3812" s="327"/>
      <c r="I3812" s="328"/>
      <c r="J3812" s="308"/>
      <c r="K3812" s="327"/>
      <c r="L3812" s="210"/>
    </row>
    <row r="3813">
      <c r="A3813" s="55"/>
      <c r="B3813" s="312"/>
      <c r="C3813" s="308"/>
      <c r="D3813" s="308"/>
      <c r="E3813" s="308"/>
      <c r="F3813" s="327"/>
      <c r="G3813" s="327"/>
      <c r="H3813" s="327"/>
      <c r="I3813" s="328"/>
      <c r="J3813" s="308"/>
      <c r="K3813" s="327"/>
      <c r="L3813" s="210"/>
    </row>
    <row r="3814">
      <c r="A3814" s="55"/>
      <c r="B3814" s="312"/>
      <c r="C3814" s="308"/>
      <c r="D3814" s="308"/>
      <c r="E3814" s="308"/>
      <c r="F3814" s="327"/>
      <c r="G3814" s="327"/>
      <c r="H3814" s="327"/>
      <c r="I3814" s="328"/>
      <c r="J3814" s="308"/>
      <c r="K3814" s="327"/>
      <c r="L3814" s="210"/>
    </row>
    <row r="3815">
      <c r="A3815" s="55"/>
      <c r="B3815" s="312"/>
      <c r="C3815" s="308"/>
      <c r="D3815" s="308"/>
      <c r="E3815" s="308"/>
      <c r="F3815" s="327"/>
      <c r="G3815" s="327"/>
      <c r="H3815" s="327"/>
      <c r="I3815" s="328"/>
      <c r="J3815" s="308"/>
      <c r="K3815" s="327"/>
      <c r="L3815" s="210"/>
    </row>
    <row r="3816">
      <c r="A3816" s="55"/>
      <c r="B3816" s="312"/>
      <c r="C3816" s="308"/>
      <c r="D3816" s="308"/>
      <c r="E3816" s="308"/>
      <c r="F3816" s="327"/>
      <c r="G3816" s="327"/>
      <c r="H3816" s="327"/>
      <c r="I3816" s="328"/>
      <c r="J3816" s="308"/>
      <c r="K3816" s="327"/>
      <c r="L3816" s="210"/>
    </row>
    <row r="3817">
      <c r="A3817" s="55"/>
      <c r="B3817" s="312"/>
      <c r="C3817" s="308"/>
      <c r="D3817" s="308"/>
      <c r="E3817" s="308"/>
      <c r="F3817" s="327"/>
      <c r="G3817" s="327"/>
      <c r="H3817" s="327"/>
      <c r="I3817" s="328"/>
      <c r="J3817" s="308"/>
      <c r="K3817" s="327"/>
      <c r="L3817" s="210"/>
    </row>
    <row r="3818">
      <c r="A3818" s="55"/>
      <c r="B3818" s="312"/>
      <c r="C3818" s="308"/>
      <c r="D3818" s="308"/>
      <c r="E3818" s="308"/>
      <c r="F3818" s="327"/>
      <c r="G3818" s="327"/>
      <c r="H3818" s="327"/>
      <c r="I3818" s="328"/>
      <c r="J3818" s="308"/>
      <c r="K3818" s="327"/>
      <c r="L3818" s="210"/>
    </row>
    <row r="3819">
      <c r="A3819" s="55"/>
      <c r="B3819" s="312"/>
      <c r="C3819" s="308"/>
      <c r="D3819" s="308"/>
      <c r="E3819" s="308"/>
      <c r="F3819" s="327"/>
      <c r="G3819" s="327"/>
      <c r="H3819" s="327"/>
      <c r="I3819" s="328"/>
      <c r="J3819" s="308"/>
      <c r="K3819" s="327"/>
      <c r="L3819" s="210"/>
    </row>
    <row r="3820">
      <c r="A3820" s="55"/>
      <c r="B3820" s="312"/>
      <c r="C3820" s="308"/>
      <c r="D3820" s="308"/>
      <c r="E3820" s="308"/>
      <c r="F3820" s="327"/>
      <c r="G3820" s="327"/>
      <c r="H3820" s="327"/>
      <c r="I3820" s="328"/>
      <c r="J3820" s="308"/>
      <c r="K3820" s="327"/>
      <c r="L3820" s="210"/>
    </row>
    <row r="3821">
      <c r="A3821" s="55"/>
      <c r="B3821" s="312"/>
      <c r="C3821" s="308"/>
      <c r="D3821" s="308"/>
      <c r="E3821" s="308"/>
      <c r="F3821" s="327"/>
      <c r="G3821" s="327"/>
      <c r="H3821" s="327"/>
      <c r="I3821" s="328"/>
      <c r="J3821" s="308"/>
      <c r="K3821" s="327"/>
      <c r="L3821" s="210"/>
    </row>
    <row r="3822">
      <c r="A3822" s="55"/>
      <c r="B3822" s="312"/>
      <c r="C3822" s="308"/>
      <c r="D3822" s="308"/>
      <c r="E3822" s="308"/>
      <c r="F3822" s="327"/>
      <c r="G3822" s="327"/>
      <c r="H3822" s="327"/>
      <c r="I3822" s="328"/>
      <c r="J3822" s="308"/>
      <c r="K3822" s="327"/>
      <c r="L3822" s="210"/>
    </row>
    <row r="3823">
      <c r="A3823" s="55"/>
      <c r="B3823" s="312"/>
      <c r="C3823" s="308"/>
      <c r="D3823" s="308"/>
      <c r="E3823" s="308"/>
      <c r="F3823" s="327"/>
      <c r="G3823" s="327"/>
      <c r="H3823" s="327"/>
      <c r="I3823" s="328"/>
      <c r="J3823" s="308"/>
      <c r="K3823" s="327"/>
      <c r="L3823" s="210"/>
    </row>
    <row r="3824">
      <c r="A3824" s="55"/>
      <c r="B3824" s="312"/>
      <c r="C3824" s="308"/>
      <c r="D3824" s="308"/>
      <c r="E3824" s="308"/>
      <c r="F3824" s="327"/>
      <c r="G3824" s="327"/>
      <c r="H3824" s="327"/>
      <c r="I3824" s="328"/>
      <c r="J3824" s="308"/>
      <c r="K3824" s="327"/>
      <c r="L3824" s="210"/>
    </row>
    <row r="3825">
      <c r="A3825" s="55"/>
      <c r="B3825" s="312"/>
      <c r="C3825" s="308"/>
      <c r="D3825" s="308"/>
      <c r="E3825" s="308"/>
      <c r="F3825" s="327"/>
      <c r="G3825" s="327"/>
      <c r="H3825" s="327"/>
      <c r="I3825" s="328"/>
      <c r="J3825" s="308"/>
      <c r="K3825" s="327"/>
      <c r="L3825" s="210"/>
    </row>
    <row r="3826">
      <c r="A3826" s="55"/>
      <c r="B3826" s="312"/>
      <c r="C3826" s="308"/>
      <c r="D3826" s="308"/>
      <c r="E3826" s="308"/>
      <c r="F3826" s="327"/>
      <c r="G3826" s="327"/>
      <c r="H3826" s="327"/>
      <c r="I3826" s="328"/>
      <c r="J3826" s="308"/>
      <c r="K3826" s="327"/>
      <c r="L3826" s="210"/>
    </row>
    <row r="3827">
      <c r="A3827" s="55"/>
      <c r="B3827" s="312"/>
      <c r="C3827" s="308"/>
      <c r="D3827" s="308"/>
      <c r="E3827" s="308"/>
      <c r="F3827" s="327"/>
      <c r="G3827" s="327"/>
      <c r="H3827" s="327"/>
      <c r="I3827" s="328"/>
      <c r="J3827" s="308"/>
      <c r="K3827" s="327"/>
      <c r="L3827" s="210"/>
    </row>
    <row r="3828">
      <c r="A3828" s="55"/>
      <c r="B3828" s="312"/>
      <c r="C3828" s="308"/>
      <c r="D3828" s="308"/>
      <c r="E3828" s="308"/>
      <c r="F3828" s="327"/>
      <c r="G3828" s="327"/>
      <c r="H3828" s="327"/>
      <c r="I3828" s="328"/>
      <c r="J3828" s="308"/>
      <c r="K3828" s="327"/>
      <c r="L3828" s="210"/>
    </row>
    <row r="3829">
      <c r="A3829" s="55"/>
      <c r="B3829" s="312"/>
      <c r="C3829" s="308"/>
      <c r="D3829" s="308"/>
      <c r="E3829" s="308"/>
      <c r="F3829" s="327"/>
      <c r="G3829" s="327"/>
      <c r="H3829" s="327"/>
      <c r="I3829" s="328"/>
      <c r="J3829" s="308"/>
      <c r="K3829" s="327"/>
      <c r="L3829" s="210"/>
    </row>
    <row r="3830">
      <c r="A3830" s="55"/>
      <c r="B3830" s="312"/>
      <c r="C3830" s="308"/>
      <c r="D3830" s="308"/>
      <c r="E3830" s="308"/>
      <c r="F3830" s="327"/>
      <c r="G3830" s="327"/>
      <c r="H3830" s="327"/>
      <c r="I3830" s="328"/>
      <c r="J3830" s="308"/>
      <c r="K3830" s="327"/>
      <c r="L3830" s="210"/>
    </row>
    <row r="3831">
      <c r="A3831" s="55"/>
      <c r="B3831" s="312"/>
      <c r="C3831" s="308"/>
      <c r="D3831" s="308"/>
      <c r="E3831" s="308"/>
      <c r="F3831" s="327"/>
      <c r="G3831" s="327"/>
      <c r="H3831" s="327"/>
      <c r="I3831" s="328"/>
      <c r="J3831" s="308"/>
      <c r="K3831" s="327"/>
      <c r="L3831" s="210"/>
    </row>
    <row r="3832">
      <c r="A3832" s="55"/>
      <c r="B3832" s="312"/>
      <c r="C3832" s="308"/>
      <c r="D3832" s="308"/>
      <c r="E3832" s="308"/>
      <c r="F3832" s="327"/>
      <c r="G3832" s="327"/>
      <c r="H3832" s="327"/>
      <c r="I3832" s="328"/>
      <c r="J3832" s="308"/>
      <c r="K3832" s="327"/>
      <c r="L3832" s="210"/>
    </row>
    <row r="3833">
      <c r="A3833" s="55"/>
      <c r="B3833" s="312"/>
      <c r="C3833" s="308"/>
      <c r="D3833" s="308"/>
      <c r="E3833" s="308"/>
      <c r="F3833" s="327"/>
      <c r="G3833" s="327"/>
      <c r="H3833" s="327"/>
      <c r="I3833" s="328"/>
      <c r="J3833" s="308"/>
      <c r="K3833" s="327"/>
      <c r="L3833" s="210"/>
    </row>
    <row r="3834">
      <c r="A3834" s="55"/>
      <c r="B3834" s="312"/>
      <c r="C3834" s="308"/>
      <c r="D3834" s="308"/>
      <c r="E3834" s="308"/>
      <c r="F3834" s="327"/>
      <c r="G3834" s="327"/>
      <c r="H3834" s="327"/>
      <c r="I3834" s="328"/>
      <c r="J3834" s="308"/>
      <c r="K3834" s="327"/>
      <c r="L3834" s="210"/>
    </row>
    <row r="3835">
      <c r="A3835" s="55"/>
      <c r="B3835" s="312"/>
      <c r="C3835" s="308"/>
      <c r="D3835" s="308"/>
      <c r="E3835" s="308"/>
      <c r="F3835" s="327"/>
      <c r="G3835" s="327"/>
      <c r="H3835" s="327"/>
      <c r="I3835" s="328"/>
      <c r="J3835" s="308"/>
      <c r="K3835" s="327"/>
      <c r="L3835" s="210"/>
    </row>
    <row r="3836">
      <c r="A3836" s="55"/>
      <c r="B3836" s="312"/>
      <c r="C3836" s="308"/>
      <c r="D3836" s="308"/>
      <c r="E3836" s="308"/>
      <c r="F3836" s="327"/>
      <c r="G3836" s="327"/>
      <c r="H3836" s="327"/>
      <c r="I3836" s="328"/>
      <c r="J3836" s="308"/>
      <c r="K3836" s="327"/>
      <c r="L3836" s="210"/>
    </row>
    <row r="3837">
      <c r="A3837" s="55"/>
      <c r="B3837" s="312"/>
      <c r="C3837" s="308"/>
      <c r="D3837" s="308"/>
      <c r="E3837" s="308"/>
      <c r="F3837" s="327"/>
      <c r="G3837" s="327"/>
      <c r="H3837" s="327"/>
      <c r="I3837" s="328"/>
      <c r="J3837" s="308"/>
      <c r="K3837" s="327"/>
      <c r="L3837" s="210"/>
    </row>
    <row r="3838">
      <c r="A3838" s="55"/>
      <c r="B3838" s="312"/>
      <c r="C3838" s="308"/>
      <c r="D3838" s="308"/>
      <c r="E3838" s="308"/>
      <c r="F3838" s="327"/>
      <c r="G3838" s="327"/>
      <c r="H3838" s="327"/>
      <c r="I3838" s="328"/>
      <c r="J3838" s="308"/>
      <c r="K3838" s="327"/>
      <c r="L3838" s="210"/>
    </row>
    <row r="3839">
      <c r="A3839" s="55"/>
      <c r="B3839" s="312"/>
      <c r="C3839" s="308"/>
      <c r="D3839" s="308"/>
      <c r="E3839" s="308"/>
      <c r="F3839" s="327"/>
      <c r="G3839" s="327"/>
      <c r="H3839" s="327"/>
      <c r="I3839" s="328"/>
      <c r="J3839" s="308"/>
      <c r="K3839" s="327"/>
      <c r="L3839" s="210"/>
    </row>
    <row r="3840">
      <c r="A3840" s="55"/>
      <c r="B3840" s="312"/>
      <c r="C3840" s="308"/>
      <c r="D3840" s="308"/>
      <c r="E3840" s="308"/>
      <c r="F3840" s="327"/>
      <c r="G3840" s="327"/>
      <c r="H3840" s="327"/>
      <c r="I3840" s="328"/>
      <c r="J3840" s="308"/>
      <c r="K3840" s="327"/>
      <c r="L3840" s="210"/>
    </row>
    <row r="3841">
      <c r="A3841" s="55"/>
      <c r="B3841" s="312"/>
      <c r="C3841" s="308"/>
      <c r="D3841" s="308"/>
      <c r="E3841" s="308"/>
      <c r="F3841" s="327"/>
      <c r="G3841" s="327"/>
      <c r="H3841" s="327"/>
      <c r="I3841" s="328"/>
      <c r="J3841" s="308"/>
      <c r="K3841" s="327"/>
      <c r="L3841" s="210"/>
    </row>
    <row r="3842">
      <c r="A3842" s="55"/>
      <c r="B3842" s="312"/>
      <c r="C3842" s="308"/>
      <c r="D3842" s="308"/>
      <c r="E3842" s="308"/>
      <c r="F3842" s="327"/>
      <c r="G3842" s="327"/>
      <c r="H3842" s="327"/>
      <c r="I3842" s="328"/>
      <c r="J3842" s="308"/>
      <c r="K3842" s="327"/>
      <c r="L3842" s="210"/>
    </row>
    <row r="3843">
      <c r="A3843" s="55"/>
      <c r="B3843" s="312"/>
      <c r="C3843" s="308"/>
      <c r="D3843" s="308"/>
      <c r="E3843" s="308"/>
      <c r="F3843" s="327"/>
      <c r="G3843" s="327"/>
      <c r="H3843" s="327"/>
      <c r="I3843" s="328"/>
      <c r="J3843" s="308"/>
      <c r="K3843" s="327"/>
      <c r="L3843" s="210"/>
    </row>
    <row r="3844">
      <c r="A3844" s="55"/>
      <c r="B3844" s="312"/>
      <c r="C3844" s="308"/>
      <c r="D3844" s="308"/>
      <c r="E3844" s="308"/>
      <c r="F3844" s="327"/>
      <c r="G3844" s="327"/>
      <c r="H3844" s="327"/>
      <c r="I3844" s="328"/>
      <c r="J3844" s="308"/>
      <c r="K3844" s="327"/>
      <c r="L3844" s="210"/>
    </row>
    <row r="3845">
      <c r="A3845" s="55"/>
      <c r="B3845" s="312"/>
      <c r="C3845" s="308"/>
      <c r="D3845" s="308"/>
      <c r="E3845" s="308"/>
      <c r="F3845" s="327"/>
      <c r="G3845" s="327"/>
      <c r="H3845" s="327"/>
      <c r="I3845" s="328"/>
      <c r="J3845" s="308"/>
      <c r="K3845" s="327"/>
      <c r="L3845" s="210"/>
    </row>
    <row r="3846">
      <c r="A3846" s="55"/>
      <c r="B3846" s="312"/>
      <c r="C3846" s="308"/>
      <c r="D3846" s="308"/>
      <c r="E3846" s="308"/>
      <c r="F3846" s="327"/>
      <c r="G3846" s="327"/>
      <c r="H3846" s="327"/>
      <c r="I3846" s="328"/>
      <c r="J3846" s="308"/>
      <c r="K3846" s="327"/>
      <c r="L3846" s="210"/>
    </row>
    <row r="3847">
      <c r="A3847" s="55"/>
      <c r="B3847" s="312"/>
      <c r="C3847" s="308"/>
      <c r="D3847" s="308"/>
      <c r="E3847" s="308"/>
      <c r="F3847" s="327"/>
      <c r="G3847" s="327"/>
      <c r="H3847" s="327"/>
      <c r="I3847" s="328"/>
      <c r="J3847" s="308"/>
      <c r="K3847" s="327"/>
      <c r="L3847" s="210"/>
    </row>
    <row r="3848">
      <c r="A3848" s="55"/>
      <c r="B3848" s="312"/>
      <c r="C3848" s="308"/>
      <c r="D3848" s="308"/>
      <c r="E3848" s="308"/>
      <c r="F3848" s="327"/>
      <c r="G3848" s="327"/>
      <c r="H3848" s="327"/>
      <c r="I3848" s="328"/>
      <c r="J3848" s="308"/>
      <c r="K3848" s="327"/>
      <c r="L3848" s="210"/>
    </row>
    <row r="3849">
      <c r="A3849" s="55"/>
      <c r="B3849" s="312"/>
      <c r="C3849" s="308"/>
      <c r="D3849" s="308"/>
      <c r="E3849" s="308"/>
      <c r="F3849" s="327"/>
      <c r="G3849" s="327"/>
      <c r="H3849" s="327"/>
      <c r="I3849" s="328"/>
      <c r="J3849" s="308"/>
      <c r="K3849" s="327"/>
      <c r="L3849" s="210"/>
    </row>
    <row r="3850">
      <c r="A3850" s="55"/>
      <c r="B3850" s="312"/>
      <c r="C3850" s="308"/>
      <c r="D3850" s="308"/>
      <c r="E3850" s="308"/>
      <c r="F3850" s="327"/>
      <c r="G3850" s="327"/>
      <c r="H3850" s="327"/>
      <c r="I3850" s="328"/>
      <c r="J3850" s="308"/>
      <c r="K3850" s="327"/>
      <c r="L3850" s="210"/>
    </row>
    <row r="3851">
      <c r="A3851" s="55"/>
      <c r="B3851" s="312"/>
      <c r="C3851" s="308"/>
      <c r="D3851" s="308"/>
      <c r="E3851" s="308"/>
      <c r="F3851" s="327"/>
      <c r="G3851" s="327"/>
      <c r="H3851" s="327"/>
      <c r="I3851" s="328"/>
      <c r="J3851" s="308"/>
      <c r="K3851" s="327"/>
      <c r="L3851" s="210"/>
    </row>
    <row r="3852">
      <c r="A3852" s="55"/>
      <c r="B3852" s="312"/>
      <c r="C3852" s="308"/>
      <c r="D3852" s="308"/>
      <c r="E3852" s="308"/>
      <c r="F3852" s="327"/>
      <c r="G3852" s="327"/>
      <c r="H3852" s="327"/>
      <c r="I3852" s="328"/>
      <c r="J3852" s="308"/>
      <c r="K3852" s="327"/>
      <c r="L3852" s="210"/>
    </row>
    <row r="3853">
      <c r="A3853" s="55"/>
      <c r="B3853" s="312"/>
      <c r="C3853" s="308"/>
      <c r="D3853" s="308"/>
      <c r="E3853" s="308"/>
      <c r="F3853" s="327"/>
      <c r="G3853" s="327"/>
      <c r="H3853" s="327"/>
      <c r="I3853" s="328"/>
      <c r="J3853" s="308"/>
      <c r="K3853" s="327"/>
      <c r="L3853" s="210"/>
    </row>
    <row r="3854">
      <c r="A3854" s="55"/>
      <c r="B3854" s="312"/>
      <c r="C3854" s="308"/>
      <c r="D3854" s="308"/>
      <c r="E3854" s="308"/>
      <c r="F3854" s="327"/>
      <c r="G3854" s="327"/>
      <c r="H3854" s="327"/>
      <c r="I3854" s="328"/>
      <c r="J3854" s="308"/>
      <c r="K3854" s="327"/>
      <c r="L3854" s="210"/>
    </row>
    <row r="3855">
      <c r="A3855" s="55"/>
      <c r="B3855" s="312"/>
      <c r="C3855" s="308"/>
      <c r="D3855" s="308"/>
      <c r="E3855" s="308"/>
      <c r="F3855" s="327"/>
      <c r="G3855" s="327"/>
      <c r="H3855" s="327"/>
      <c r="I3855" s="328"/>
      <c r="J3855" s="308"/>
      <c r="K3855" s="327"/>
      <c r="L3855" s="210"/>
    </row>
    <row r="3856">
      <c r="A3856" s="55"/>
      <c r="B3856" s="312"/>
      <c r="C3856" s="308"/>
      <c r="D3856" s="308"/>
      <c r="E3856" s="308"/>
      <c r="F3856" s="327"/>
      <c r="G3856" s="327"/>
      <c r="H3856" s="327"/>
      <c r="I3856" s="328"/>
      <c r="J3856" s="308"/>
      <c r="K3856" s="327"/>
      <c r="L3856" s="210"/>
    </row>
    <row r="3857">
      <c r="A3857" s="55"/>
      <c r="B3857" s="312"/>
      <c r="C3857" s="308"/>
      <c r="D3857" s="308"/>
      <c r="E3857" s="308"/>
      <c r="F3857" s="327"/>
      <c r="G3857" s="327"/>
      <c r="H3857" s="327"/>
      <c r="I3857" s="328"/>
      <c r="J3857" s="308"/>
      <c r="K3857" s="327"/>
      <c r="L3857" s="210"/>
    </row>
    <row r="3858">
      <c r="A3858" s="55"/>
      <c r="B3858" s="312"/>
      <c r="C3858" s="308"/>
      <c r="D3858" s="308"/>
      <c r="E3858" s="308"/>
      <c r="F3858" s="327"/>
      <c r="G3858" s="327"/>
      <c r="H3858" s="327"/>
      <c r="I3858" s="328"/>
      <c r="J3858" s="308"/>
      <c r="K3858" s="327"/>
      <c r="L3858" s="210"/>
    </row>
    <row r="3859">
      <c r="A3859" s="55"/>
      <c r="B3859" s="312"/>
      <c r="C3859" s="308"/>
      <c r="D3859" s="308"/>
      <c r="E3859" s="308"/>
      <c r="F3859" s="327"/>
      <c r="G3859" s="327"/>
      <c r="H3859" s="327"/>
      <c r="I3859" s="328"/>
      <c r="J3859" s="308"/>
      <c r="K3859" s="327"/>
      <c r="L3859" s="210"/>
    </row>
    <row r="3860">
      <c r="A3860" s="55"/>
      <c r="B3860" s="312"/>
      <c r="C3860" s="308"/>
      <c r="D3860" s="308"/>
      <c r="E3860" s="308"/>
      <c r="F3860" s="327"/>
      <c r="G3860" s="327"/>
      <c r="H3860" s="327"/>
      <c r="I3860" s="328"/>
      <c r="J3860" s="308"/>
      <c r="K3860" s="327"/>
      <c r="L3860" s="210"/>
    </row>
    <row r="3861">
      <c r="A3861" s="55"/>
      <c r="B3861" s="312"/>
      <c r="C3861" s="308"/>
      <c r="D3861" s="308"/>
      <c r="E3861" s="308"/>
      <c r="F3861" s="327"/>
      <c r="G3861" s="327"/>
      <c r="H3861" s="327"/>
      <c r="I3861" s="328"/>
      <c r="J3861" s="308"/>
      <c r="K3861" s="327"/>
      <c r="L3861" s="210"/>
    </row>
    <row r="3862">
      <c r="A3862" s="55"/>
      <c r="B3862" s="312"/>
      <c r="C3862" s="308"/>
      <c r="D3862" s="308"/>
      <c r="E3862" s="308"/>
      <c r="F3862" s="327"/>
      <c r="G3862" s="327"/>
      <c r="H3862" s="327"/>
      <c r="I3862" s="328"/>
      <c r="J3862" s="308"/>
      <c r="K3862" s="327"/>
      <c r="L3862" s="210"/>
    </row>
    <row r="3863">
      <c r="A3863" s="55"/>
      <c r="B3863" s="312"/>
      <c r="C3863" s="308"/>
      <c r="D3863" s="308"/>
      <c r="E3863" s="308"/>
      <c r="F3863" s="327"/>
      <c r="G3863" s="327"/>
      <c r="H3863" s="327"/>
      <c r="I3863" s="328"/>
      <c r="J3863" s="308"/>
      <c r="K3863" s="327"/>
      <c r="L3863" s="210"/>
    </row>
    <row r="3864">
      <c r="A3864" s="55"/>
      <c r="B3864" s="312"/>
      <c r="C3864" s="308"/>
      <c r="D3864" s="308"/>
      <c r="E3864" s="308"/>
      <c r="F3864" s="327"/>
      <c r="G3864" s="327"/>
      <c r="H3864" s="327"/>
      <c r="I3864" s="328"/>
      <c r="J3864" s="308"/>
      <c r="K3864" s="327"/>
      <c r="L3864" s="210"/>
    </row>
    <row r="3865">
      <c r="A3865" s="55"/>
      <c r="B3865" s="312"/>
      <c r="C3865" s="308"/>
      <c r="D3865" s="308"/>
      <c r="E3865" s="308"/>
      <c r="F3865" s="327"/>
      <c r="G3865" s="327"/>
      <c r="H3865" s="327"/>
      <c r="I3865" s="328"/>
      <c r="J3865" s="308"/>
      <c r="K3865" s="327"/>
      <c r="L3865" s="210"/>
    </row>
    <row r="3866">
      <c r="A3866" s="55"/>
      <c r="B3866" s="312"/>
      <c r="C3866" s="308"/>
      <c r="D3866" s="308"/>
      <c r="E3866" s="308"/>
      <c r="F3866" s="327"/>
      <c r="G3866" s="327"/>
      <c r="H3866" s="327"/>
      <c r="I3866" s="328"/>
      <c r="J3866" s="308"/>
      <c r="K3866" s="327"/>
      <c r="L3866" s="210"/>
    </row>
    <row r="3867">
      <c r="A3867" s="55"/>
      <c r="B3867" s="312"/>
      <c r="C3867" s="308"/>
      <c r="D3867" s="308"/>
      <c r="E3867" s="308"/>
      <c r="F3867" s="327"/>
      <c r="G3867" s="327"/>
      <c r="H3867" s="327"/>
      <c r="I3867" s="328"/>
      <c r="J3867" s="308"/>
      <c r="K3867" s="327"/>
      <c r="L3867" s="210"/>
    </row>
    <row r="3868">
      <c r="A3868" s="55"/>
      <c r="B3868" s="312"/>
      <c r="C3868" s="308"/>
      <c r="D3868" s="308"/>
      <c r="E3868" s="308"/>
      <c r="F3868" s="327"/>
      <c r="G3868" s="327"/>
      <c r="H3868" s="327"/>
      <c r="I3868" s="328"/>
      <c r="J3868" s="308"/>
      <c r="K3868" s="327"/>
      <c r="L3868" s="210"/>
    </row>
    <row r="3869">
      <c r="A3869" s="55"/>
      <c r="B3869" s="312"/>
      <c r="C3869" s="308"/>
      <c r="D3869" s="308"/>
      <c r="E3869" s="308"/>
      <c r="F3869" s="327"/>
      <c r="G3869" s="327"/>
      <c r="H3869" s="327"/>
      <c r="I3869" s="328"/>
      <c r="J3869" s="308"/>
      <c r="K3869" s="327"/>
      <c r="L3869" s="210"/>
    </row>
    <row r="3870">
      <c r="A3870" s="55"/>
      <c r="B3870" s="312"/>
      <c r="C3870" s="308"/>
      <c r="D3870" s="308"/>
      <c r="E3870" s="308"/>
      <c r="F3870" s="327"/>
      <c r="G3870" s="327"/>
      <c r="H3870" s="327"/>
      <c r="I3870" s="328"/>
      <c r="J3870" s="308"/>
      <c r="K3870" s="327"/>
      <c r="L3870" s="210"/>
    </row>
    <row r="3871">
      <c r="A3871" s="55"/>
      <c r="B3871" s="312"/>
      <c r="C3871" s="308"/>
      <c r="D3871" s="308"/>
      <c r="E3871" s="308"/>
      <c r="F3871" s="327"/>
      <c r="G3871" s="327"/>
      <c r="H3871" s="327"/>
      <c r="I3871" s="328"/>
      <c r="J3871" s="308"/>
      <c r="K3871" s="327"/>
      <c r="L3871" s="210"/>
    </row>
    <row r="3872">
      <c r="A3872" s="55"/>
      <c r="B3872" s="312"/>
      <c r="C3872" s="308"/>
      <c r="D3872" s="308"/>
      <c r="E3872" s="308"/>
      <c r="F3872" s="327"/>
      <c r="G3872" s="327"/>
      <c r="H3872" s="327"/>
      <c r="I3872" s="328"/>
      <c r="J3872" s="308"/>
      <c r="K3872" s="327"/>
      <c r="L3872" s="210"/>
    </row>
    <row r="3873">
      <c r="A3873" s="55"/>
      <c r="B3873" s="312"/>
      <c r="C3873" s="308"/>
      <c r="D3873" s="308"/>
      <c r="E3873" s="308"/>
      <c r="F3873" s="327"/>
      <c r="G3873" s="327"/>
      <c r="H3873" s="327"/>
      <c r="I3873" s="328"/>
      <c r="J3873" s="308"/>
      <c r="K3873" s="327"/>
      <c r="L3873" s="210"/>
    </row>
    <row r="3874">
      <c r="A3874" s="55"/>
      <c r="B3874" s="312"/>
      <c r="C3874" s="308"/>
      <c r="D3874" s="308"/>
      <c r="E3874" s="308"/>
      <c r="F3874" s="327"/>
      <c r="G3874" s="327"/>
      <c r="H3874" s="327"/>
      <c r="I3874" s="328"/>
      <c r="J3874" s="308"/>
      <c r="K3874" s="327"/>
      <c r="L3874" s="210"/>
    </row>
    <row r="3875">
      <c r="A3875" s="55"/>
      <c r="B3875" s="312"/>
      <c r="C3875" s="308"/>
      <c r="D3875" s="308"/>
      <c r="E3875" s="308"/>
      <c r="F3875" s="327"/>
      <c r="G3875" s="327"/>
      <c r="H3875" s="327"/>
      <c r="I3875" s="328"/>
      <c r="J3875" s="308"/>
      <c r="K3875" s="327"/>
      <c r="L3875" s="210"/>
    </row>
    <row r="3876">
      <c r="A3876" s="55"/>
      <c r="B3876" s="312"/>
      <c r="C3876" s="308"/>
      <c r="D3876" s="308"/>
      <c r="E3876" s="308"/>
      <c r="F3876" s="327"/>
      <c r="G3876" s="327"/>
      <c r="H3876" s="327"/>
      <c r="I3876" s="328"/>
      <c r="J3876" s="308"/>
      <c r="K3876" s="327"/>
      <c r="L3876" s="210"/>
    </row>
    <row r="3877">
      <c r="A3877" s="55"/>
      <c r="B3877" s="312"/>
      <c r="C3877" s="308"/>
      <c r="D3877" s="308"/>
      <c r="E3877" s="308"/>
      <c r="F3877" s="327"/>
      <c r="G3877" s="327"/>
      <c r="H3877" s="327"/>
      <c r="I3877" s="328"/>
      <c r="J3877" s="308"/>
      <c r="K3877" s="327"/>
      <c r="L3877" s="210"/>
    </row>
    <row r="3878">
      <c r="A3878" s="55"/>
      <c r="B3878" s="312"/>
      <c r="C3878" s="308"/>
      <c r="D3878" s="308"/>
      <c r="E3878" s="308"/>
      <c r="F3878" s="327"/>
      <c r="G3878" s="327"/>
      <c r="H3878" s="327"/>
      <c r="I3878" s="328"/>
      <c r="J3878" s="308"/>
      <c r="K3878" s="327"/>
      <c r="L3878" s="210"/>
    </row>
    <row r="3879">
      <c r="A3879" s="55"/>
      <c r="B3879" s="312"/>
      <c r="C3879" s="308"/>
      <c r="D3879" s="308"/>
      <c r="E3879" s="308"/>
      <c r="F3879" s="327"/>
      <c r="G3879" s="327"/>
      <c r="H3879" s="327"/>
      <c r="I3879" s="328"/>
      <c r="J3879" s="308"/>
      <c r="K3879" s="327"/>
      <c r="L3879" s="210"/>
    </row>
    <row r="3880">
      <c r="A3880" s="55"/>
      <c r="B3880" s="312"/>
      <c r="C3880" s="308"/>
      <c r="D3880" s="308"/>
      <c r="E3880" s="308"/>
      <c r="F3880" s="327"/>
      <c r="G3880" s="327"/>
      <c r="H3880" s="327"/>
      <c r="I3880" s="328"/>
      <c r="J3880" s="308"/>
      <c r="K3880" s="327"/>
      <c r="L3880" s="210"/>
    </row>
    <row r="3881">
      <c r="A3881" s="55"/>
      <c r="B3881" s="312"/>
      <c r="C3881" s="308"/>
      <c r="D3881" s="308"/>
      <c r="E3881" s="308"/>
      <c r="F3881" s="327"/>
      <c r="G3881" s="327"/>
      <c r="H3881" s="327"/>
      <c r="I3881" s="328"/>
      <c r="J3881" s="308"/>
      <c r="K3881" s="327"/>
      <c r="L3881" s="210"/>
    </row>
    <row r="3882">
      <c r="A3882" s="55"/>
      <c r="B3882" s="312"/>
      <c r="C3882" s="308"/>
      <c r="D3882" s="308"/>
      <c r="E3882" s="308"/>
      <c r="F3882" s="327"/>
      <c r="G3882" s="327"/>
      <c r="H3882" s="327"/>
      <c r="I3882" s="328"/>
      <c r="J3882" s="308"/>
      <c r="K3882" s="327"/>
      <c r="L3882" s="210"/>
    </row>
    <row r="3883">
      <c r="A3883" s="55"/>
      <c r="B3883" s="312"/>
      <c r="C3883" s="308"/>
      <c r="D3883" s="308"/>
      <c r="E3883" s="308"/>
      <c r="F3883" s="327"/>
      <c r="G3883" s="327"/>
      <c r="H3883" s="327"/>
      <c r="I3883" s="328"/>
      <c r="J3883" s="308"/>
      <c r="K3883" s="327"/>
      <c r="L3883" s="210"/>
    </row>
    <row r="3884">
      <c r="A3884" s="55"/>
      <c r="B3884" s="312"/>
      <c r="C3884" s="308"/>
      <c r="D3884" s="308"/>
      <c r="E3884" s="308"/>
      <c r="F3884" s="327"/>
      <c r="G3884" s="327"/>
      <c r="H3884" s="327"/>
      <c r="I3884" s="328"/>
      <c r="J3884" s="308"/>
      <c r="K3884" s="327"/>
      <c r="L3884" s="210"/>
    </row>
    <row r="3885">
      <c r="A3885" s="55"/>
      <c r="B3885" s="312"/>
      <c r="C3885" s="308"/>
      <c r="D3885" s="308"/>
      <c r="E3885" s="308"/>
      <c r="F3885" s="327"/>
      <c r="G3885" s="327"/>
      <c r="H3885" s="327"/>
      <c r="I3885" s="328"/>
      <c r="J3885" s="308"/>
      <c r="K3885" s="327"/>
      <c r="L3885" s="210"/>
    </row>
    <row r="3886">
      <c r="A3886" s="55"/>
      <c r="B3886" s="312"/>
      <c r="C3886" s="308"/>
      <c r="D3886" s="308"/>
      <c r="E3886" s="308"/>
      <c r="F3886" s="327"/>
      <c r="G3886" s="327"/>
      <c r="H3886" s="327"/>
      <c r="I3886" s="328"/>
      <c r="J3886" s="308"/>
      <c r="K3886" s="327"/>
      <c r="L3886" s="210"/>
    </row>
    <row r="3887">
      <c r="A3887" s="55"/>
      <c r="B3887" s="312"/>
      <c r="C3887" s="308"/>
      <c r="D3887" s="308"/>
      <c r="E3887" s="308"/>
      <c r="F3887" s="327"/>
      <c r="G3887" s="327"/>
      <c r="H3887" s="327"/>
      <c r="I3887" s="328"/>
      <c r="J3887" s="308"/>
      <c r="K3887" s="327"/>
      <c r="L3887" s="210"/>
    </row>
    <row r="3888">
      <c r="A3888" s="55"/>
      <c r="B3888" s="312"/>
      <c r="C3888" s="308"/>
      <c r="D3888" s="308"/>
      <c r="E3888" s="308"/>
      <c r="F3888" s="327"/>
      <c r="G3888" s="327"/>
      <c r="H3888" s="327"/>
      <c r="I3888" s="328"/>
      <c r="J3888" s="308"/>
      <c r="K3888" s="327"/>
      <c r="L3888" s="210"/>
    </row>
    <row r="3889">
      <c r="A3889" s="55"/>
      <c r="B3889" s="312"/>
      <c r="C3889" s="308"/>
      <c r="D3889" s="308"/>
      <c r="E3889" s="308"/>
      <c r="F3889" s="327"/>
      <c r="G3889" s="327"/>
      <c r="H3889" s="327"/>
      <c r="I3889" s="328"/>
      <c r="J3889" s="308"/>
      <c r="K3889" s="327"/>
      <c r="L3889" s="210"/>
    </row>
    <row r="3890">
      <c r="A3890" s="55"/>
      <c r="B3890" s="312"/>
      <c r="C3890" s="308"/>
      <c r="D3890" s="308"/>
      <c r="E3890" s="308"/>
      <c r="F3890" s="327"/>
      <c r="G3890" s="327"/>
      <c r="H3890" s="327"/>
      <c r="I3890" s="328"/>
      <c r="J3890" s="308"/>
      <c r="K3890" s="327"/>
      <c r="L3890" s="210"/>
    </row>
    <row r="3891">
      <c r="A3891" s="55"/>
      <c r="B3891" s="312"/>
      <c r="C3891" s="308"/>
      <c r="D3891" s="308"/>
      <c r="E3891" s="308"/>
      <c r="F3891" s="327"/>
      <c r="G3891" s="327"/>
      <c r="H3891" s="327"/>
      <c r="I3891" s="328"/>
      <c r="J3891" s="308"/>
      <c r="K3891" s="327"/>
      <c r="L3891" s="210"/>
    </row>
    <row r="3892">
      <c r="A3892" s="55"/>
      <c r="B3892" s="312"/>
      <c r="C3892" s="308"/>
      <c r="D3892" s="308"/>
      <c r="E3892" s="308"/>
      <c r="F3892" s="327"/>
      <c r="G3892" s="327"/>
      <c r="H3892" s="327"/>
      <c r="I3892" s="328"/>
      <c r="J3892" s="308"/>
      <c r="K3892" s="327"/>
      <c r="L3892" s="210"/>
    </row>
    <row r="3893">
      <c r="A3893" s="55"/>
      <c r="B3893" s="312"/>
      <c r="C3893" s="308"/>
      <c r="D3893" s="308"/>
      <c r="E3893" s="308"/>
      <c r="F3893" s="327"/>
      <c r="G3893" s="327"/>
      <c r="H3893" s="327"/>
      <c r="I3893" s="328"/>
      <c r="J3893" s="308"/>
      <c r="K3893" s="327"/>
      <c r="L3893" s="210"/>
    </row>
    <row r="3894">
      <c r="A3894" s="55"/>
      <c r="B3894" s="312"/>
      <c r="C3894" s="308"/>
      <c r="D3894" s="308"/>
      <c r="E3894" s="308"/>
      <c r="F3894" s="327"/>
      <c r="G3894" s="327"/>
      <c r="H3894" s="327"/>
      <c r="I3894" s="328"/>
      <c r="J3894" s="308"/>
      <c r="K3894" s="327"/>
      <c r="L3894" s="210"/>
    </row>
    <row r="3895">
      <c r="A3895" s="55"/>
      <c r="B3895" s="312"/>
      <c r="C3895" s="308"/>
      <c r="D3895" s="308"/>
      <c r="E3895" s="308"/>
      <c r="F3895" s="327"/>
      <c r="G3895" s="327"/>
      <c r="H3895" s="327"/>
      <c r="I3895" s="328"/>
      <c r="J3895" s="308"/>
      <c r="K3895" s="327"/>
      <c r="L3895" s="210"/>
    </row>
    <row r="3896">
      <c r="A3896" s="55"/>
      <c r="B3896" s="312"/>
      <c r="C3896" s="308"/>
      <c r="D3896" s="308"/>
      <c r="E3896" s="308"/>
      <c r="F3896" s="327"/>
      <c r="G3896" s="327"/>
      <c r="H3896" s="327"/>
      <c r="I3896" s="328"/>
      <c r="J3896" s="308"/>
      <c r="K3896" s="327"/>
      <c r="L3896" s="210"/>
    </row>
    <row r="3897">
      <c r="A3897" s="55"/>
      <c r="B3897" s="312"/>
      <c r="C3897" s="308"/>
      <c r="D3897" s="308"/>
      <c r="E3897" s="308"/>
      <c r="F3897" s="327"/>
      <c r="G3897" s="327"/>
      <c r="H3897" s="327"/>
      <c r="I3897" s="328"/>
      <c r="J3897" s="308"/>
      <c r="K3897" s="327"/>
      <c r="L3897" s="210"/>
    </row>
    <row r="3898">
      <c r="A3898" s="55"/>
      <c r="B3898" s="312"/>
      <c r="C3898" s="308"/>
      <c r="D3898" s="308"/>
      <c r="E3898" s="308"/>
      <c r="F3898" s="327"/>
      <c r="G3898" s="327"/>
      <c r="H3898" s="327"/>
      <c r="I3898" s="328"/>
      <c r="J3898" s="308"/>
      <c r="K3898" s="327"/>
      <c r="L3898" s="210"/>
    </row>
    <row r="3899">
      <c r="A3899" s="55"/>
      <c r="B3899" s="312"/>
      <c r="C3899" s="308"/>
      <c r="D3899" s="308"/>
      <c r="E3899" s="308"/>
      <c r="F3899" s="327"/>
      <c r="G3899" s="327"/>
      <c r="H3899" s="327"/>
      <c r="I3899" s="328"/>
      <c r="J3899" s="308"/>
      <c r="K3899" s="327"/>
      <c r="L3899" s="210"/>
    </row>
    <row r="3900">
      <c r="A3900" s="55"/>
      <c r="B3900" s="312"/>
      <c r="C3900" s="308"/>
      <c r="D3900" s="308"/>
      <c r="E3900" s="308"/>
      <c r="F3900" s="327"/>
      <c r="G3900" s="327"/>
      <c r="H3900" s="327"/>
      <c r="I3900" s="328"/>
      <c r="J3900" s="308"/>
      <c r="K3900" s="327"/>
      <c r="L3900" s="210"/>
    </row>
    <row r="3901">
      <c r="A3901" s="55"/>
      <c r="B3901" s="312"/>
      <c r="C3901" s="308"/>
      <c r="D3901" s="308"/>
      <c r="E3901" s="308"/>
      <c r="F3901" s="327"/>
      <c r="G3901" s="327"/>
      <c r="H3901" s="327"/>
      <c r="I3901" s="328"/>
      <c r="J3901" s="308"/>
      <c r="K3901" s="327"/>
      <c r="L3901" s="210"/>
    </row>
    <row r="3902">
      <c r="A3902" s="55"/>
      <c r="B3902" s="312"/>
      <c r="C3902" s="308"/>
      <c r="D3902" s="308"/>
      <c r="E3902" s="308"/>
      <c r="F3902" s="327"/>
      <c r="G3902" s="327"/>
      <c r="H3902" s="327"/>
      <c r="I3902" s="328"/>
      <c r="J3902" s="308"/>
      <c r="K3902" s="327"/>
      <c r="L3902" s="210"/>
    </row>
    <row r="3903">
      <c r="A3903" s="55"/>
      <c r="B3903" s="312"/>
      <c r="C3903" s="308"/>
      <c r="D3903" s="308"/>
      <c r="E3903" s="308"/>
      <c r="F3903" s="327"/>
      <c r="G3903" s="327"/>
      <c r="H3903" s="327"/>
      <c r="I3903" s="328"/>
      <c r="J3903" s="308"/>
      <c r="K3903" s="327"/>
      <c r="L3903" s="210"/>
    </row>
    <row r="3904">
      <c r="A3904" s="55"/>
      <c r="B3904" s="312"/>
      <c r="C3904" s="308"/>
      <c r="D3904" s="308"/>
      <c r="E3904" s="308"/>
      <c r="F3904" s="327"/>
      <c r="G3904" s="327"/>
      <c r="H3904" s="327"/>
      <c r="I3904" s="328"/>
      <c r="J3904" s="308"/>
      <c r="K3904" s="327"/>
      <c r="L3904" s="210"/>
    </row>
    <row r="3905">
      <c r="A3905" s="55"/>
      <c r="B3905" s="312"/>
      <c r="C3905" s="308"/>
      <c r="D3905" s="308"/>
      <c r="E3905" s="308"/>
      <c r="F3905" s="327"/>
      <c r="G3905" s="327"/>
      <c r="H3905" s="327"/>
      <c r="I3905" s="328"/>
      <c r="J3905" s="308"/>
      <c r="K3905" s="327"/>
      <c r="L3905" s="210"/>
    </row>
    <row r="3906">
      <c r="A3906" s="55"/>
      <c r="B3906" s="312"/>
      <c r="C3906" s="308"/>
      <c r="D3906" s="308"/>
      <c r="E3906" s="308"/>
      <c r="F3906" s="327"/>
      <c r="G3906" s="327"/>
      <c r="H3906" s="327"/>
      <c r="I3906" s="328"/>
      <c r="J3906" s="308"/>
      <c r="K3906" s="327"/>
      <c r="L3906" s="210"/>
    </row>
    <row r="3907">
      <c r="A3907" s="55"/>
      <c r="B3907" s="312"/>
      <c r="C3907" s="308"/>
      <c r="D3907" s="308"/>
      <c r="E3907" s="308"/>
      <c r="F3907" s="327"/>
      <c r="G3907" s="327"/>
      <c r="H3907" s="327"/>
      <c r="I3907" s="328"/>
      <c r="J3907" s="308"/>
      <c r="K3907" s="327"/>
      <c r="L3907" s="210"/>
    </row>
    <row r="3908">
      <c r="A3908" s="55"/>
      <c r="B3908" s="312"/>
      <c r="C3908" s="308"/>
      <c r="D3908" s="308"/>
      <c r="E3908" s="308"/>
      <c r="F3908" s="327"/>
      <c r="G3908" s="327"/>
      <c r="H3908" s="327"/>
      <c r="I3908" s="328"/>
      <c r="J3908" s="308"/>
      <c r="K3908" s="327"/>
      <c r="L3908" s="210"/>
    </row>
    <row r="3909">
      <c r="A3909" s="55"/>
      <c r="B3909" s="312"/>
      <c r="C3909" s="308"/>
      <c r="D3909" s="308"/>
      <c r="E3909" s="308"/>
      <c r="F3909" s="327"/>
      <c r="G3909" s="327"/>
      <c r="H3909" s="327"/>
      <c r="I3909" s="328"/>
      <c r="J3909" s="308"/>
      <c r="K3909" s="327"/>
      <c r="L3909" s="210"/>
    </row>
    <row r="3910">
      <c r="A3910" s="55"/>
      <c r="B3910" s="312"/>
      <c r="C3910" s="308"/>
      <c r="D3910" s="308"/>
      <c r="E3910" s="308"/>
      <c r="F3910" s="327"/>
      <c r="G3910" s="327"/>
      <c r="H3910" s="327"/>
      <c r="I3910" s="328"/>
      <c r="J3910" s="308"/>
      <c r="K3910" s="327"/>
      <c r="L3910" s="210"/>
    </row>
    <row r="3911">
      <c r="A3911" s="55"/>
      <c r="B3911" s="312"/>
      <c r="C3911" s="308"/>
      <c r="D3911" s="308"/>
      <c r="E3911" s="308"/>
      <c r="F3911" s="327"/>
      <c r="G3911" s="327"/>
      <c r="H3911" s="327"/>
      <c r="I3911" s="328"/>
      <c r="J3911" s="308"/>
      <c r="K3911" s="327"/>
      <c r="L3911" s="210"/>
    </row>
    <row r="3912">
      <c r="A3912" s="55"/>
      <c r="B3912" s="312"/>
      <c r="C3912" s="308"/>
      <c r="D3912" s="308"/>
      <c r="E3912" s="308"/>
      <c r="F3912" s="327"/>
      <c r="G3912" s="327"/>
      <c r="H3912" s="327"/>
      <c r="I3912" s="328"/>
      <c r="J3912" s="308"/>
      <c r="K3912" s="327"/>
      <c r="L3912" s="210"/>
    </row>
    <row r="3913">
      <c r="A3913" s="55"/>
      <c r="B3913" s="312"/>
      <c r="C3913" s="308"/>
      <c r="D3913" s="308"/>
      <c r="E3913" s="308"/>
      <c r="F3913" s="327"/>
      <c r="G3913" s="327"/>
      <c r="H3913" s="327"/>
      <c r="I3913" s="328"/>
      <c r="J3913" s="308"/>
      <c r="K3913" s="327"/>
      <c r="L3913" s="210"/>
    </row>
    <row r="3914">
      <c r="A3914" s="55"/>
      <c r="B3914" s="312"/>
      <c r="C3914" s="308"/>
      <c r="D3914" s="308"/>
      <c r="E3914" s="308"/>
      <c r="F3914" s="327"/>
      <c r="G3914" s="327"/>
      <c r="H3914" s="327"/>
      <c r="I3914" s="328"/>
      <c r="J3914" s="308"/>
      <c r="K3914" s="327"/>
      <c r="L3914" s="210"/>
    </row>
    <row r="3915">
      <c r="A3915" s="55"/>
      <c r="B3915" s="312"/>
      <c r="C3915" s="308"/>
      <c r="D3915" s="308"/>
      <c r="E3915" s="308"/>
      <c r="F3915" s="327"/>
      <c r="G3915" s="327"/>
      <c r="H3915" s="327"/>
      <c r="I3915" s="328"/>
      <c r="J3915" s="308"/>
      <c r="K3915" s="327"/>
      <c r="L3915" s="210"/>
    </row>
    <row r="3916">
      <c r="A3916" s="55"/>
      <c r="B3916" s="312"/>
      <c r="C3916" s="308"/>
      <c r="D3916" s="308"/>
      <c r="E3916" s="308"/>
      <c r="F3916" s="327"/>
      <c r="G3916" s="327"/>
      <c r="H3916" s="327"/>
      <c r="I3916" s="328"/>
      <c r="J3916" s="308"/>
      <c r="K3916" s="327"/>
      <c r="L3916" s="210"/>
    </row>
    <row r="3917">
      <c r="A3917" s="55"/>
      <c r="B3917" s="312"/>
      <c r="C3917" s="308"/>
      <c r="D3917" s="308"/>
      <c r="E3917" s="308"/>
      <c r="F3917" s="327"/>
      <c r="G3917" s="327"/>
      <c r="H3917" s="327"/>
      <c r="I3917" s="328"/>
      <c r="J3917" s="308"/>
      <c r="K3917" s="327"/>
      <c r="L3917" s="210"/>
    </row>
    <row r="3918">
      <c r="A3918" s="55"/>
      <c r="B3918" s="312"/>
      <c r="C3918" s="308"/>
      <c r="D3918" s="308"/>
      <c r="E3918" s="308"/>
      <c r="F3918" s="327"/>
      <c r="G3918" s="327"/>
      <c r="H3918" s="327"/>
      <c r="I3918" s="328"/>
      <c r="J3918" s="308"/>
      <c r="K3918" s="327"/>
      <c r="L3918" s="210"/>
    </row>
    <row r="3919">
      <c r="A3919" s="55"/>
      <c r="B3919" s="312"/>
      <c r="C3919" s="308"/>
      <c r="D3919" s="308"/>
      <c r="E3919" s="308"/>
      <c r="F3919" s="327"/>
      <c r="G3919" s="327"/>
      <c r="H3919" s="327"/>
      <c r="I3919" s="328"/>
      <c r="J3919" s="308"/>
      <c r="K3919" s="327"/>
      <c r="L3919" s="210"/>
    </row>
    <row r="3920">
      <c r="A3920" s="55"/>
      <c r="B3920" s="312"/>
      <c r="C3920" s="308"/>
      <c r="D3920" s="308"/>
      <c r="E3920" s="308"/>
      <c r="F3920" s="327"/>
      <c r="G3920" s="327"/>
      <c r="H3920" s="327"/>
      <c r="I3920" s="328"/>
      <c r="J3920" s="308"/>
      <c r="K3920" s="327"/>
      <c r="L3920" s="210"/>
    </row>
    <row r="3921">
      <c r="A3921" s="55"/>
      <c r="B3921" s="312"/>
      <c r="C3921" s="308"/>
      <c r="D3921" s="308"/>
      <c r="E3921" s="308"/>
      <c r="F3921" s="327"/>
      <c r="G3921" s="327"/>
      <c r="H3921" s="327"/>
      <c r="I3921" s="328"/>
      <c r="J3921" s="308"/>
      <c r="K3921" s="327"/>
      <c r="L3921" s="210"/>
    </row>
    <row r="3922">
      <c r="A3922" s="55"/>
      <c r="B3922" s="312"/>
      <c r="C3922" s="308"/>
      <c r="D3922" s="308"/>
      <c r="E3922" s="308"/>
      <c r="F3922" s="327"/>
      <c r="G3922" s="327"/>
      <c r="H3922" s="327"/>
      <c r="I3922" s="328"/>
      <c r="J3922" s="308"/>
      <c r="K3922" s="327"/>
      <c r="L3922" s="210"/>
    </row>
    <row r="3923">
      <c r="A3923" s="55"/>
      <c r="B3923" s="312"/>
      <c r="C3923" s="308"/>
      <c r="D3923" s="308"/>
      <c r="E3923" s="308"/>
      <c r="F3923" s="327"/>
      <c r="G3923" s="327"/>
      <c r="H3923" s="327"/>
      <c r="I3923" s="328"/>
      <c r="J3923" s="308"/>
      <c r="K3923" s="327"/>
      <c r="L3923" s="210"/>
    </row>
    <row r="3924">
      <c r="A3924" s="55"/>
      <c r="B3924" s="312"/>
      <c r="C3924" s="308"/>
      <c r="D3924" s="308"/>
      <c r="E3924" s="308"/>
      <c r="F3924" s="327"/>
      <c r="G3924" s="327"/>
      <c r="H3924" s="327"/>
      <c r="I3924" s="328"/>
      <c r="J3924" s="308"/>
      <c r="K3924" s="327"/>
      <c r="L3924" s="210"/>
    </row>
    <row r="3925">
      <c r="A3925" s="55"/>
      <c r="B3925" s="312"/>
      <c r="C3925" s="308"/>
      <c r="D3925" s="308"/>
      <c r="E3925" s="308"/>
      <c r="F3925" s="327"/>
      <c r="G3925" s="327"/>
      <c r="H3925" s="327"/>
      <c r="I3925" s="328"/>
      <c r="J3925" s="308"/>
      <c r="K3925" s="327"/>
      <c r="L3925" s="210"/>
    </row>
    <row r="3926">
      <c r="A3926" s="55"/>
      <c r="B3926" s="312"/>
      <c r="C3926" s="308"/>
      <c r="D3926" s="308"/>
      <c r="E3926" s="308"/>
      <c r="F3926" s="327"/>
      <c r="G3926" s="327"/>
      <c r="H3926" s="327"/>
      <c r="I3926" s="328"/>
      <c r="J3926" s="308"/>
      <c r="K3926" s="327"/>
      <c r="L3926" s="210"/>
    </row>
    <row r="3927">
      <c r="A3927" s="55"/>
      <c r="B3927" s="312"/>
      <c r="C3927" s="308"/>
      <c r="D3927" s="308"/>
      <c r="E3927" s="308"/>
      <c r="F3927" s="327"/>
      <c r="G3927" s="327"/>
      <c r="H3927" s="327"/>
      <c r="I3927" s="328"/>
      <c r="J3927" s="308"/>
      <c r="K3927" s="327"/>
      <c r="L3927" s="210"/>
    </row>
    <row r="3928">
      <c r="A3928" s="55"/>
      <c r="B3928" s="312"/>
      <c r="C3928" s="308"/>
      <c r="D3928" s="308"/>
      <c r="E3928" s="308"/>
      <c r="F3928" s="327"/>
      <c r="G3928" s="327"/>
      <c r="H3928" s="327"/>
      <c r="I3928" s="328"/>
      <c r="J3928" s="308"/>
      <c r="K3928" s="327"/>
      <c r="L3928" s="210"/>
    </row>
    <row r="3929">
      <c r="A3929" s="55"/>
      <c r="B3929" s="312"/>
      <c r="C3929" s="308"/>
      <c r="D3929" s="308"/>
      <c r="E3929" s="308"/>
      <c r="F3929" s="327"/>
      <c r="G3929" s="327"/>
      <c r="H3929" s="327"/>
      <c r="I3929" s="328"/>
      <c r="J3929" s="308"/>
      <c r="K3929" s="327"/>
      <c r="L3929" s="210"/>
    </row>
    <row r="3930">
      <c r="A3930" s="55"/>
      <c r="B3930" s="312"/>
      <c r="C3930" s="308"/>
      <c r="D3930" s="308"/>
      <c r="E3930" s="308"/>
      <c r="F3930" s="327"/>
      <c r="G3930" s="327"/>
      <c r="H3930" s="327"/>
      <c r="I3930" s="328"/>
      <c r="J3930" s="308"/>
      <c r="K3930" s="327"/>
      <c r="L3930" s="210"/>
    </row>
    <row r="3931">
      <c r="A3931" s="55"/>
      <c r="B3931" s="312"/>
      <c r="C3931" s="308"/>
      <c r="D3931" s="308"/>
      <c r="E3931" s="308"/>
      <c r="F3931" s="327"/>
      <c r="G3931" s="327"/>
      <c r="H3931" s="327"/>
      <c r="I3931" s="328"/>
      <c r="J3931" s="308"/>
      <c r="K3931" s="327"/>
      <c r="L3931" s="210"/>
    </row>
    <row r="3932">
      <c r="A3932" s="55"/>
      <c r="B3932" s="312"/>
      <c r="C3932" s="308"/>
      <c r="D3932" s="308"/>
      <c r="E3932" s="308"/>
      <c r="F3932" s="327"/>
      <c r="G3932" s="327"/>
      <c r="H3932" s="327"/>
      <c r="I3932" s="328"/>
      <c r="J3932" s="308"/>
      <c r="K3932" s="327"/>
      <c r="L3932" s="210"/>
    </row>
    <row r="3933">
      <c r="A3933" s="55"/>
      <c r="B3933" s="312"/>
      <c r="C3933" s="308"/>
      <c r="D3933" s="308"/>
      <c r="E3933" s="308"/>
      <c r="F3933" s="327"/>
      <c r="G3933" s="327"/>
      <c r="H3933" s="327"/>
      <c r="I3933" s="328"/>
      <c r="J3933" s="308"/>
      <c r="K3933" s="327"/>
      <c r="L3933" s="210"/>
    </row>
    <row r="3934">
      <c r="A3934" s="55"/>
      <c r="B3934" s="312"/>
      <c r="C3934" s="308"/>
      <c r="D3934" s="308"/>
      <c r="E3934" s="308"/>
      <c r="F3934" s="327"/>
      <c r="G3934" s="327"/>
      <c r="H3934" s="327"/>
      <c r="I3934" s="328"/>
      <c r="J3934" s="308"/>
      <c r="K3934" s="327"/>
      <c r="L3934" s="210"/>
    </row>
    <row r="3935">
      <c r="A3935" s="55"/>
      <c r="B3935" s="312"/>
      <c r="C3935" s="308"/>
      <c r="D3935" s="308"/>
      <c r="E3935" s="308"/>
      <c r="F3935" s="327"/>
      <c r="G3935" s="327"/>
      <c r="H3935" s="327"/>
      <c r="I3935" s="328"/>
      <c r="J3935" s="308"/>
      <c r="K3935" s="327"/>
      <c r="L3935" s="210"/>
    </row>
    <row r="3936">
      <c r="A3936" s="55"/>
      <c r="B3936" s="312"/>
      <c r="C3936" s="308"/>
      <c r="D3936" s="308"/>
      <c r="E3936" s="308"/>
      <c r="F3936" s="327"/>
      <c r="G3936" s="327"/>
      <c r="H3936" s="327"/>
      <c r="I3936" s="328"/>
      <c r="J3936" s="308"/>
      <c r="K3936" s="327"/>
      <c r="L3936" s="210"/>
    </row>
    <row r="3937">
      <c r="A3937" s="55"/>
      <c r="B3937" s="312"/>
      <c r="C3937" s="308"/>
      <c r="D3937" s="308"/>
      <c r="E3937" s="308"/>
      <c r="F3937" s="327"/>
      <c r="G3937" s="327"/>
      <c r="H3937" s="327"/>
      <c r="I3937" s="328"/>
      <c r="J3937" s="308"/>
      <c r="K3937" s="327"/>
      <c r="L3937" s="210"/>
    </row>
    <row r="3938">
      <c r="A3938" s="55"/>
      <c r="B3938" s="312"/>
      <c r="C3938" s="308"/>
      <c r="D3938" s="308"/>
      <c r="E3938" s="308"/>
      <c r="F3938" s="327"/>
      <c r="G3938" s="327"/>
      <c r="H3938" s="327"/>
      <c r="I3938" s="328"/>
      <c r="J3938" s="308"/>
      <c r="K3938" s="327"/>
      <c r="L3938" s="210"/>
    </row>
    <row r="3939">
      <c r="A3939" s="55"/>
      <c r="B3939" s="312"/>
      <c r="C3939" s="308"/>
      <c r="D3939" s="308"/>
      <c r="E3939" s="308"/>
      <c r="F3939" s="327"/>
      <c r="G3939" s="327"/>
      <c r="H3939" s="327"/>
      <c r="I3939" s="328"/>
      <c r="J3939" s="308"/>
      <c r="K3939" s="327"/>
      <c r="L3939" s="210"/>
    </row>
    <row r="3940">
      <c r="A3940" s="55"/>
      <c r="B3940" s="312"/>
      <c r="C3940" s="308"/>
      <c r="D3940" s="308"/>
      <c r="E3940" s="308"/>
      <c r="F3940" s="327"/>
      <c r="G3940" s="327"/>
      <c r="H3940" s="327"/>
      <c r="I3940" s="328"/>
      <c r="J3940" s="308"/>
      <c r="K3940" s="327"/>
      <c r="L3940" s="210"/>
    </row>
    <row r="3941">
      <c r="A3941" s="55"/>
      <c r="B3941" s="312"/>
      <c r="C3941" s="308"/>
      <c r="D3941" s="308"/>
      <c r="E3941" s="308"/>
      <c r="F3941" s="327"/>
      <c r="G3941" s="327"/>
      <c r="H3941" s="327"/>
      <c r="I3941" s="328"/>
      <c r="J3941" s="308"/>
      <c r="K3941" s="327"/>
      <c r="L3941" s="210"/>
    </row>
    <row r="3942">
      <c r="A3942" s="55"/>
      <c r="B3942" s="312"/>
      <c r="C3942" s="308"/>
      <c r="D3942" s="308"/>
      <c r="E3942" s="308"/>
      <c r="F3942" s="327"/>
      <c r="G3942" s="327"/>
      <c r="H3942" s="327"/>
      <c r="I3942" s="328"/>
      <c r="J3942" s="308"/>
      <c r="K3942" s="327"/>
      <c r="L3942" s="210"/>
    </row>
    <row r="3943">
      <c r="A3943" s="55"/>
      <c r="B3943" s="312"/>
      <c r="C3943" s="308"/>
      <c r="D3943" s="308"/>
      <c r="E3943" s="308"/>
      <c r="F3943" s="327"/>
      <c r="G3943" s="327"/>
      <c r="H3943" s="327"/>
      <c r="I3943" s="328"/>
      <c r="J3943" s="308"/>
      <c r="K3943" s="327"/>
      <c r="L3943" s="210"/>
    </row>
    <row r="3944">
      <c r="A3944" s="55"/>
      <c r="B3944" s="312"/>
      <c r="C3944" s="308"/>
      <c r="D3944" s="308"/>
      <c r="E3944" s="308"/>
      <c r="F3944" s="327"/>
      <c r="G3944" s="327"/>
      <c r="H3944" s="327"/>
      <c r="I3944" s="328"/>
      <c r="J3944" s="308"/>
      <c r="K3944" s="327"/>
      <c r="L3944" s="210"/>
    </row>
    <row r="3945">
      <c r="A3945" s="55"/>
      <c r="B3945" s="312"/>
      <c r="C3945" s="308"/>
      <c r="D3945" s="308"/>
      <c r="E3945" s="308"/>
      <c r="F3945" s="327"/>
      <c r="G3945" s="327"/>
      <c r="H3945" s="327"/>
      <c r="I3945" s="328"/>
      <c r="J3945" s="308"/>
      <c r="K3945" s="327"/>
      <c r="L3945" s="210"/>
    </row>
    <row r="3946">
      <c r="A3946" s="55"/>
      <c r="B3946" s="312"/>
      <c r="C3946" s="308"/>
      <c r="D3946" s="308"/>
      <c r="E3946" s="308"/>
      <c r="F3946" s="327"/>
      <c r="G3946" s="327"/>
      <c r="H3946" s="327"/>
      <c r="I3946" s="328"/>
      <c r="J3946" s="308"/>
      <c r="K3946" s="327"/>
      <c r="L3946" s="210"/>
    </row>
    <row r="3947">
      <c r="A3947" s="55"/>
      <c r="B3947" s="312"/>
      <c r="C3947" s="308"/>
      <c r="D3947" s="308"/>
      <c r="E3947" s="308"/>
      <c r="F3947" s="327"/>
      <c r="G3947" s="327"/>
      <c r="H3947" s="327"/>
      <c r="I3947" s="328"/>
      <c r="J3947" s="308"/>
      <c r="K3947" s="327"/>
      <c r="L3947" s="210"/>
    </row>
    <row r="3948">
      <c r="A3948" s="55"/>
      <c r="B3948" s="312"/>
      <c r="C3948" s="308"/>
      <c r="D3948" s="308"/>
      <c r="E3948" s="308"/>
      <c r="F3948" s="327"/>
      <c r="G3948" s="327"/>
      <c r="H3948" s="327"/>
      <c r="I3948" s="328"/>
      <c r="J3948" s="308"/>
      <c r="K3948" s="327"/>
      <c r="L3948" s="210"/>
    </row>
    <row r="3949">
      <c r="A3949" s="55"/>
      <c r="B3949" s="312"/>
      <c r="C3949" s="308"/>
      <c r="D3949" s="308"/>
      <c r="E3949" s="308"/>
      <c r="F3949" s="327"/>
      <c r="G3949" s="327"/>
      <c r="H3949" s="327"/>
      <c r="I3949" s="328"/>
      <c r="J3949" s="308"/>
      <c r="K3949" s="327"/>
      <c r="L3949" s="210"/>
    </row>
    <row r="3950">
      <c r="A3950" s="55"/>
      <c r="B3950" s="312"/>
      <c r="C3950" s="308"/>
      <c r="D3950" s="308"/>
      <c r="E3950" s="308"/>
      <c r="F3950" s="327"/>
      <c r="G3950" s="327"/>
      <c r="H3950" s="327"/>
      <c r="I3950" s="328"/>
      <c r="J3950" s="308"/>
      <c r="K3950" s="327"/>
      <c r="L3950" s="210"/>
    </row>
    <row r="3951">
      <c r="A3951" s="55"/>
      <c r="B3951" s="312"/>
      <c r="C3951" s="308"/>
      <c r="D3951" s="308"/>
      <c r="E3951" s="308"/>
      <c r="F3951" s="327"/>
      <c r="G3951" s="327"/>
      <c r="H3951" s="327"/>
      <c r="I3951" s="328"/>
      <c r="J3951" s="308"/>
      <c r="K3951" s="327"/>
      <c r="L3951" s="210"/>
    </row>
    <row r="3952">
      <c r="A3952" s="55"/>
      <c r="B3952" s="312"/>
      <c r="C3952" s="308"/>
      <c r="D3952" s="308"/>
      <c r="E3952" s="308"/>
      <c r="F3952" s="327"/>
      <c r="G3952" s="327"/>
      <c r="H3952" s="327"/>
      <c r="I3952" s="328"/>
      <c r="J3952" s="308"/>
      <c r="K3952" s="327"/>
      <c r="L3952" s="210"/>
    </row>
    <row r="3953">
      <c r="A3953" s="55"/>
      <c r="B3953" s="312"/>
      <c r="C3953" s="308"/>
      <c r="D3953" s="308"/>
      <c r="E3953" s="308"/>
      <c r="F3953" s="327"/>
      <c r="G3953" s="327"/>
      <c r="H3953" s="327"/>
      <c r="I3953" s="328"/>
      <c r="J3953" s="308"/>
      <c r="K3953" s="327"/>
      <c r="L3953" s="210"/>
    </row>
    <row r="3954">
      <c r="A3954" s="55"/>
      <c r="B3954" s="312"/>
      <c r="C3954" s="308"/>
      <c r="D3954" s="308"/>
      <c r="E3954" s="308"/>
      <c r="F3954" s="327"/>
      <c r="G3954" s="327"/>
      <c r="H3954" s="327"/>
      <c r="I3954" s="328"/>
      <c r="J3954" s="308"/>
      <c r="K3954" s="327"/>
      <c r="L3954" s="210"/>
    </row>
    <row r="3955">
      <c r="A3955" s="55"/>
      <c r="B3955" s="312"/>
      <c r="C3955" s="308"/>
      <c r="D3955" s="308"/>
      <c r="E3955" s="308"/>
      <c r="F3955" s="327"/>
      <c r="G3955" s="327"/>
      <c r="H3955" s="327"/>
      <c r="I3955" s="328"/>
      <c r="J3955" s="308"/>
      <c r="K3955" s="327"/>
      <c r="L3955" s="210"/>
    </row>
    <row r="3956">
      <c r="A3956" s="55"/>
      <c r="B3956" s="312"/>
      <c r="C3956" s="308"/>
      <c r="D3956" s="308"/>
      <c r="E3956" s="308"/>
      <c r="F3956" s="327"/>
      <c r="G3956" s="327"/>
      <c r="H3956" s="327"/>
      <c r="I3956" s="328"/>
      <c r="J3956" s="308"/>
      <c r="K3956" s="327"/>
      <c r="L3956" s="210"/>
    </row>
    <row r="3957">
      <c r="A3957" s="55"/>
      <c r="B3957" s="312"/>
      <c r="C3957" s="308"/>
      <c r="D3957" s="308"/>
      <c r="E3957" s="308"/>
      <c r="F3957" s="327"/>
      <c r="G3957" s="327"/>
      <c r="H3957" s="327"/>
      <c r="I3957" s="328"/>
      <c r="J3957" s="308"/>
      <c r="K3957" s="327"/>
      <c r="L3957" s="210"/>
    </row>
    <row r="3958">
      <c r="A3958" s="55"/>
      <c r="B3958" s="312"/>
      <c r="C3958" s="308"/>
      <c r="D3958" s="308"/>
      <c r="E3958" s="308"/>
      <c r="F3958" s="327"/>
      <c r="G3958" s="327"/>
      <c r="H3958" s="327"/>
      <c r="I3958" s="328"/>
      <c r="J3958" s="308"/>
      <c r="K3958" s="327"/>
      <c r="L3958" s="210"/>
    </row>
    <row r="3959">
      <c r="A3959" s="55"/>
      <c r="B3959" s="312"/>
      <c r="C3959" s="308"/>
      <c r="D3959" s="308"/>
      <c r="E3959" s="308"/>
      <c r="F3959" s="327"/>
      <c r="G3959" s="327"/>
      <c r="H3959" s="327"/>
      <c r="I3959" s="328"/>
      <c r="J3959" s="308"/>
      <c r="K3959" s="327"/>
      <c r="L3959" s="210"/>
    </row>
    <row r="3960">
      <c r="A3960" s="55"/>
      <c r="B3960" s="312"/>
      <c r="C3960" s="308"/>
      <c r="D3960" s="308"/>
      <c r="E3960" s="308"/>
      <c r="F3960" s="327"/>
      <c r="G3960" s="327"/>
      <c r="H3960" s="327"/>
      <c r="I3960" s="328"/>
      <c r="J3960" s="308"/>
      <c r="K3960" s="327"/>
      <c r="L3960" s="210"/>
    </row>
    <row r="3961">
      <c r="A3961" s="55"/>
      <c r="B3961" s="312"/>
      <c r="C3961" s="308"/>
      <c r="D3961" s="308"/>
      <c r="E3961" s="308"/>
      <c r="F3961" s="327"/>
      <c r="G3961" s="327"/>
      <c r="H3961" s="327"/>
      <c r="I3961" s="328"/>
      <c r="J3961" s="308"/>
      <c r="K3961" s="327"/>
      <c r="L3961" s="210"/>
    </row>
    <row r="3962">
      <c r="A3962" s="55"/>
      <c r="B3962" s="312"/>
      <c r="C3962" s="308"/>
      <c r="D3962" s="308"/>
      <c r="E3962" s="308"/>
      <c r="F3962" s="327"/>
      <c r="G3962" s="327"/>
      <c r="H3962" s="327"/>
      <c r="I3962" s="328"/>
      <c r="J3962" s="308"/>
      <c r="K3962" s="327"/>
      <c r="L3962" s="210"/>
    </row>
    <row r="3963">
      <c r="A3963" s="55"/>
      <c r="B3963" s="312"/>
      <c r="C3963" s="308"/>
      <c r="D3963" s="308"/>
      <c r="E3963" s="308"/>
      <c r="F3963" s="327"/>
      <c r="G3963" s="327"/>
      <c r="H3963" s="327"/>
      <c r="I3963" s="328"/>
      <c r="J3963" s="308"/>
      <c r="K3963" s="327"/>
      <c r="L3963" s="210"/>
    </row>
    <row r="3964">
      <c r="A3964" s="55"/>
      <c r="B3964" s="312"/>
      <c r="C3964" s="308"/>
      <c r="D3964" s="308"/>
      <c r="E3964" s="308"/>
      <c r="F3964" s="327"/>
      <c r="G3964" s="327"/>
      <c r="H3964" s="327"/>
      <c r="I3964" s="328"/>
      <c r="J3964" s="308"/>
      <c r="K3964" s="327"/>
      <c r="L3964" s="210"/>
    </row>
    <row r="3965">
      <c r="A3965" s="55"/>
      <c r="B3965" s="312"/>
      <c r="C3965" s="308"/>
      <c r="D3965" s="308"/>
      <c r="E3965" s="308"/>
      <c r="F3965" s="327"/>
      <c r="G3965" s="327"/>
      <c r="H3965" s="327"/>
      <c r="I3965" s="328"/>
      <c r="J3965" s="308"/>
      <c r="K3965" s="327"/>
      <c r="L3965" s="210"/>
    </row>
    <row r="3966">
      <c r="A3966" s="55"/>
      <c r="B3966" s="312"/>
      <c r="C3966" s="308"/>
      <c r="D3966" s="308"/>
      <c r="E3966" s="308"/>
      <c r="F3966" s="327"/>
      <c r="G3966" s="327"/>
      <c r="H3966" s="327"/>
      <c r="I3966" s="328"/>
      <c r="J3966" s="308"/>
      <c r="K3966" s="327"/>
      <c r="L3966" s="210"/>
    </row>
    <row r="3967">
      <c r="A3967" s="55"/>
      <c r="B3967" s="312"/>
      <c r="C3967" s="308"/>
      <c r="D3967" s="308"/>
      <c r="E3967" s="308"/>
      <c r="F3967" s="327"/>
      <c r="G3967" s="327"/>
      <c r="H3967" s="327"/>
      <c r="I3967" s="328"/>
      <c r="J3967" s="308"/>
      <c r="K3967" s="327"/>
      <c r="L3967" s="210"/>
    </row>
    <row r="3968">
      <c r="A3968" s="55"/>
      <c r="B3968" s="312"/>
      <c r="C3968" s="308"/>
      <c r="D3968" s="308"/>
      <c r="E3968" s="308"/>
      <c r="F3968" s="327"/>
      <c r="G3968" s="327"/>
      <c r="H3968" s="327"/>
      <c r="I3968" s="328"/>
      <c r="J3968" s="308"/>
      <c r="K3968" s="327"/>
      <c r="L3968" s="210"/>
    </row>
    <row r="3969">
      <c r="A3969" s="55"/>
      <c r="B3969" s="312"/>
      <c r="C3969" s="308"/>
      <c r="D3969" s="308"/>
      <c r="E3969" s="308"/>
      <c r="F3969" s="327"/>
      <c r="G3969" s="327"/>
      <c r="H3969" s="327"/>
      <c r="I3969" s="328"/>
      <c r="J3969" s="308"/>
      <c r="K3969" s="327"/>
      <c r="L3969" s="210"/>
    </row>
    <row r="3970">
      <c r="A3970" s="55"/>
      <c r="B3970" s="312"/>
      <c r="C3970" s="308"/>
      <c r="D3970" s="308"/>
      <c r="E3970" s="308"/>
      <c r="F3970" s="327"/>
      <c r="G3970" s="327"/>
      <c r="H3970" s="327"/>
      <c r="I3970" s="328"/>
      <c r="J3970" s="308"/>
      <c r="K3970" s="327"/>
      <c r="L3970" s="210"/>
    </row>
    <row r="3971">
      <c r="A3971" s="55"/>
      <c r="B3971" s="312"/>
      <c r="C3971" s="308"/>
      <c r="D3971" s="308"/>
      <c r="E3971" s="308"/>
      <c r="F3971" s="327"/>
      <c r="G3971" s="327"/>
      <c r="H3971" s="327"/>
      <c r="I3971" s="328"/>
      <c r="J3971" s="308"/>
      <c r="K3971" s="327"/>
      <c r="L3971" s="210"/>
    </row>
    <row r="3972">
      <c r="A3972" s="55"/>
      <c r="B3972" s="312"/>
      <c r="C3972" s="308"/>
      <c r="D3972" s="308"/>
      <c r="E3972" s="308"/>
      <c r="F3972" s="327"/>
      <c r="G3972" s="327"/>
      <c r="H3972" s="327"/>
      <c r="I3972" s="328"/>
      <c r="J3972" s="308"/>
      <c r="K3972" s="327"/>
      <c r="L3972" s="210"/>
    </row>
    <row r="3973">
      <c r="A3973" s="55"/>
      <c r="B3973" s="312"/>
      <c r="C3973" s="308"/>
      <c r="D3973" s="308"/>
      <c r="E3973" s="308"/>
      <c r="F3973" s="327"/>
      <c r="G3973" s="327"/>
      <c r="H3973" s="327"/>
      <c r="I3973" s="328"/>
      <c r="J3973" s="308"/>
      <c r="K3973" s="327"/>
      <c r="L3973" s="210"/>
    </row>
    <row r="3974">
      <c r="A3974" s="55"/>
      <c r="B3974" s="312"/>
      <c r="C3974" s="308"/>
      <c r="D3974" s="308"/>
      <c r="E3974" s="308"/>
      <c r="F3974" s="327"/>
      <c r="G3974" s="327"/>
      <c r="H3974" s="327"/>
      <c r="I3974" s="328"/>
      <c r="J3974" s="308"/>
      <c r="K3974" s="327"/>
      <c r="L3974" s="210"/>
    </row>
    <row r="3975">
      <c r="A3975" s="55"/>
      <c r="B3975" s="312"/>
      <c r="C3975" s="308"/>
      <c r="D3975" s="308"/>
      <c r="E3975" s="308"/>
      <c r="F3975" s="327"/>
      <c r="G3975" s="327"/>
      <c r="H3975" s="327"/>
      <c r="I3975" s="328"/>
      <c r="J3975" s="308"/>
      <c r="K3975" s="327"/>
      <c r="L3975" s="210"/>
    </row>
    <row r="3976">
      <c r="A3976" s="55"/>
      <c r="B3976" s="312"/>
      <c r="C3976" s="308"/>
      <c r="D3976" s="308"/>
      <c r="E3976" s="308"/>
      <c r="F3976" s="327"/>
      <c r="G3976" s="327"/>
      <c r="H3976" s="327"/>
      <c r="I3976" s="328"/>
      <c r="J3976" s="308"/>
      <c r="K3976" s="327"/>
      <c r="L3976" s="210"/>
    </row>
    <row r="3977">
      <c r="A3977" s="55"/>
      <c r="B3977" s="312"/>
      <c r="C3977" s="308"/>
      <c r="D3977" s="308"/>
      <c r="E3977" s="308"/>
      <c r="F3977" s="327"/>
      <c r="G3977" s="327"/>
      <c r="H3977" s="327"/>
      <c r="I3977" s="328"/>
      <c r="J3977" s="308"/>
      <c r="K3977" s="327"/>
      <c r="L3977" s="210"/>
    </row>
    <row r="3978">
      <c r="A3978" s="55"/>
      <c r="B3978" s="312"/>
      <c r="C3978" s="308"/>
      <c r="D3978" s="308"/>
      <c r="E3978" s="308"/>
      <c r="F3978" s="327"/>
      <c r="G3978" s="327"/>
      <c r="H3978" s="327"/>
      <c r="I3978" s="328"/>
      <c r="J3978" s="308"/>
      <c r="K3978" s="327"/>
      <c r="L3978" s="210"/>
    </row>
    <row r="3979">
      <c r="A3979" s="55"/>
      <c r="B3979" s="312"/>
      <c r="C3979" s="308"/>
      <c r="D3979" s="308"/>
      <c r="E3979" s="308"/>
      <c r="F3979" s="327"/>
      <c r="G3979" s="327"/>
      <c r="H3979" s="327"/>
      <c r="I3979" s="328"/>
      <c r="J3979" s="308"/>
      <c r="K3979" s="327"/>
      <c r="L3979" s="210"/>
    </row>
    <row r="3980">
      <c r="A3980" s="55"/>
      <c r="B3980" s="312"/>
      <c r="C3980" s="308"/>
      <c r="D3980" s="308"/>
      <c r="E3980" s="308"/>
      <c r="F3980" s="327"/>
      <c r="G3980" s="327"/>
      <c r="H3980" s="327"/>
      <c r="I3980" s="328"/>
      <c r="J3980" s="308"/>
      <c r="K3980" s="327"/>
      <c r="L3980" s="210"/>
    </row>
    <row r="3981">
      <c r="A3981" s="55"/>
      <c r="B3981" s="312"/>
      <c r="C3981" s="308"/>
      <c r="D3981" s="308"/>
      <c r="E3981" s="308"/>
      <c r="F3981" s="327"/>
      <c r="G3981" s="327"/>
      <c r="H3981" s="327"/>
      <c r="I3981" s="328"/>
      <c r="J3981" s="308"/>
      <c r="K3981" s="327"/>
      <c r="L3981" s="210"/>
    </row>
    <row r="3982">
      <c r="A3982" s="55"/>
      <c r="B3982" s="312"/>
      <c r="C3982" s="308"/>
      <c r="D3982" s="308"/>
      <c r="E3982" s="308"/>
      <c r="F3982" s="327"/>
      <c r="G3982" s="327"/>
      <c r="H3982" s="327"/>
      <c r="I3982" s="328"/>
      <c r="J3982" s="308"/>
      <c r="K3982" s="327"/>
      <c r="L3982" s="210"/>
    </row>
    <row r="3983">
      <c r="A3983" s="55"/>
      <c r="B3983" s="312"/>
      <c r="C3983" s="308"/>
      <c r="D3983" s="308"/>
      <c r="E3983" s="308"/>
      <c r="F3983" s="327"/>
      <c r="G3983" s="327"/>
      <c r="H3983" s="327"/>
      <c r="I3983" s="328"/>
      <c r="J3983" s="308"/>
      <c r="K3983" s="327"/>
      <c r="L3983" s="210"/>
    </row>
    <row r="3984">
      <c r="A3984" s="55"/>
      <c r="B3984" s="312"/>
      <c r="C3984" s="308"/>
      <c r="D3984" s="308"/>
      <c r="E3984" s="308"/>
      <c r="F3984" s="327"/>
      <c r="G3984" s="327"/>
      <c r="H3984" s="327"/>
      <c r="I3984" s="328"/>
      <c r="J3984" s="308"/>
      <c r="K3984" s="327"/>
      <c r="L3984" s="210"/>
    </row>
    <row r="3985">
      <c r="A3985" s="55"/>
      <c r="B3985" s="312"/>
      <c r="C3985" s="308"/>
      <c r="D3985" s="308"/>
      <c r="E3985" s="308"/>
      <c r="F3985" s="327"/>
      <c r="G3985" s="327"/>
      <c r="H3985" s="327"/>
      <c r="I3985" s="328"/>
      <c r="J3985" s="308"/>
      <c r="K3985" s="327"/>
      <c r="L3985" s="210"/>
    </row>
    <row r="3986">
      <c r="A3986" s="55"/>
      <c r="B3986" s="312"/>
      <c r="C3986" s="308"/>
      <c r="D3986" s="308"/>
      <c r="E3986" s="308"/>
      <c r="F3986" s="327"/>
      <c r="G3986" s="327"/>
      <c r="H3986" s="327"/>
      <c r="I3986" s="328"/>
      <c r="J3986" s="308"/>
      <c r="K3986" s="327"/>
      <c r="L3986" s="210"/>
    </row>
    <row r="3987">
      <c r="A3987" s="55"/>
      <c r="B3987" s="312"/>
      <c r="C3987" s="308"/>
      <c r="D3987" s="308"/>
      <c r="E3987" s="308"/>
      <c r="F3987" s="327"/>
      <c r="G3987" s="327"/>
      <c r="H3987" s="327"/>
      <c r="I3987" s="328"/>
      <c r="J3987" s="308"/>
      <c r="K3987" s="327"/>
      <c r="L3987" s="210"/>
    </row>
    <row r="3988">
      <c r="A3988" s="55"/>
      <c r="B3988" s="312"/>
      <c r="C3988" s="308"/>
      <c r="D3988" s="308"/>
      <c r="E3988" s="308"/>
      <c r="F3988" s="327"/>
      <c r="G3988" s="327"/>
      <c r="H3988" s="327"/>
      <c r="I3988" s="328"/>
      <c r="J3988" s="308"/>
      <c r="K3988" s="327"/>
      <c r="L3988" s="210"/>
    </row>
    <row r="3989">
      <c r="A3989" s="55"/>
      <c r="B3989" s="312"/>
      <c r="C3989" s="308"/>
      <c r="D3989" s="308"/>
      <c r="E3989" s="308"/>
      <c r="F3989" s="327"/>
      <c r="G3989" s="327"/>
      <c r="H3989" s="327"/>
      <c r="I3989" s="328"/>
      <c r="J3989" s="308"/>
      <c r="K3989" s="327"/>
      <c r="L3989" s="210"/>
    </row>
    <row r="3990">
      <c r="A3990" s="55"/>
      <c r="B3990" s="312"/>
      <c r="C3990" s="308"/>
      <c r="D3990" s="308"/>
      <c r="E3990" s="308"/>
      <c r="F3990" s="327"/>
      <c r="G3990" s="327"/>
      <c r="H3990" s="327"/>
      <c r="I3990" s="328"/>
      <c r="J3990" s="308"/>
      <c r="K3990" s="327"/>
      <c r="L3990" s="210"/>
    </row>
    <row r="3991">
      <c r="A3991" s="55"/>
      <c r="B3991" s="312"/>
      <c r="C3991" s="308"/>
      <c r="D3991" s="308"/>
      <c r="E3991" s="308"/>
      <c r="F3991" s="327"/>
      <c r="G3991" s="327"/>
      <c r="H3991" s="327"/>
      <c r="I3991" s="328"/>
      <c r="J3991" s="308"/>
      <c r="K3991" s="327"/>
      <c r="L3991" s="210"/>
    </row>
    <row r="3992">
      <c r="A3992" s="55"/>
      <c r="B3992" s="312"/>
      <c r="C3992" s="308"/>
      <c r="D3992" s="308"/>
      <c r="E3992" s="308"/>
      <c r="F3992" s="327"/>
      <c r="G3992" s="327"/>
      <c r="H3992" s="327"/>
      <c r="I3992" s="328"/>
      <c r="J3992" s="308"/>
      <c r="K3992" s="327"/>
      <c r="L3992" s="210"/>
    </row>
    <row r="3993">
      <c r="A3993" s="55"/>
      <c r="B3993" s="312"/>
      <c r="C3993" s="308"/>
      <c r="D3993" s="308"/>
      <c r="E3993" s="308"/>
      <c r="F3993" s="327"/>
      <c r="G3993" s="327"/>
      <c r="H3993" s="327"/>
      <c r="I3993" s="328"/>
      <c r="J3993" s="308"/>
      <c r="K3993" s="327"/>
      <c r="L3993" s="210"/>
    </row>
    <row r="3994">
      <c r="A3994" s="55"/>
      <c r="B3994" s="312"/>
      <c r="C3994" s="308"/>
      <c r="D3994" s="308"/>
      <c r="E3994" s="308"/>
      <c r="F3994" s="327"/>
      <c r="G3994" s="327"/>
      <c r="H3994" s="327"/>
      <c r="I3994" s="328"/>
      <c r="J3994" s="308"/>
      <c r="K3994" s="327"/>
      <c r="L3994" s="210"/>
    </row>
    <row r="3995">
      <c r="A3995" s="55"/>
      <c r="B3995" s="312"/>
      <c r="C3995" s="308"/>
      <c r="D3995" s="308"/>
      <c r="E3995" s="308"/>
      <c r="F3995" s="327"/>
      <c r="G3995" s="327"/>
      <c r="H3995" s="327"/>
      <c r="I3995" s="328"/>
      <c r="J3995" s="308"/>
      <c r="K3995" s="327"/>
      <c r="L3995" s="210"/>
    </row>
    <row r="3996">
      <c r="A3996" s="55"/>
      <c r="B3996" s="312"/>
      <c r="C3996" s="308"/>
      <c r="D3996" s="308"/>
      <c r="E3996" s="308"/>
      <c r="F3996" s="327"/>
      <c r="G3996" s="327"/>
      <c r="H3996" s="327"/>
      <c r="I3996" s="328"/>
      <c r="J3996" s="308"/>
      <c r="K3996" s="327"/>
      <c r="L3996" s="210"/>
    </row>
    <row r="3997">
      <c r="A3997" s="55"/>
      <c r="B3997" s="312"/>
      <c r="C3997" s="308"/>
      <c r="D3997" s="308"/>
      <c r="E3997" s="308"/>
      <c r="F3997" s="327"/>
      <c r="G3997" s="327"/>
      <c r="H3997" s="327"/>
      <c r="I3997" s="328"/>
      <c r="J3997" s="308"/>
      <c r="K3997" s="327"/>
      <c r="L3997" s="210"/>
    </row>
    <row r="3998">
      <c r="A3998" s="55"/>
      <c r="B3998" s="312"/>
      <c r="C3998" s="308"/>
      <c r="D3998" s="308"/>
      <c r="E3998" s="308"/>
      <c r="F3998" s="327"/>
      <c r="G3998" s="327"/>
      <c r="H3998" s="327"/>
      <c r="I3998" s="328"/>
      <c r="J3998" s="308"/>
      <c r="K3998" s="327"/>
      <c r="L3998" s="210"/>
    </row>
    <row r="3999">
      <c r="A3999" s="55"/>
      <c r="B3999" s="312"/>
      <c r="C3999" s="308"/>
      <c r="D3999" s="308"/>
      <c r="E3999" s="308"/>
      <c r="F3999" s="327"/>
      <c r="G3999" s="327"/>
      <c r="H3999" s="327"/>
      <c r="I3999" s="328"/>
      <c r="J3999" s="308"/>
      <c r="K3999" s="327"/>
      <c r="L3999" s="210"/>
    </row>
    <row r="4000">
      <c r="A4000" s="55"/>
      <c r="B4000" s="312"/>
      <c r="C4000" s="308"/>
      <c r="D4000" s="308"/>
      <c r="E4000" s="308"/>
      <c r="F4000" s="327"/>
      <c r="G4000" s="327"/>
      <c r="H4000" s="327"/>
      <c r="I4000" s="328"/>
      <c r="J4000" s="308"/>
      <c r="K4000" s="327"/>
      <c r="L4000" s="210"/>
    </row>
    <row r="4001">
      <c r="A4001" s="55"/>
      <c r="B4001" s="312"/>
      <c r="C4001" s="308"/>
      <c r="D4001" s="308"/>
      <c r="E4001" s="308"/>
      <c r="F4001" s="327"/>
      <c r="G4001" s="327"/>
      <c r="H4001" s="327"/>
      <c r="I4001" s="328"/>
      <c r="J4001" s="308"/>
      <c r="K4001" s="327"/>
      <c r="L4001" s="210"/>
    </row>
    <row r="4002">
      <c r="A4002" s="55"/>
      <c r="B4002" s="312"/>
      <c r="C4002" s="308"/>
      <c r="D4002" s="308"/>
      <c r="E4002" s="308"/>
      <c r="F4002" s="327"/>
      <c r="G4002" s="327"/>
      <c r="H4002" s="327"/>
      <c r="I4002" s="328"/>
      <c r="J4002" s="308"/>
      <c r="K4002" s="327"/>
      <c r="L4002" s="210"/>
    </row>
    <row r="4003">
      <c r="A4003" s="55"/>
      <c r="B4003" s="312"/>
      <c r="C4003" s="308"/>
      <c r="D4003" s="308"/>
      <c r="E4003" s="308"/>
      <c r="F4003" s="327"/>
      <c r="G4003" s="327"/>
      <c r="H4003" s="327"/>
      <c r="I4003" s="328"/>
      <c r="J4003" s="308"/>
      <c r="K4003" s="327"/>
      <c r="L4003" s="210"/>
    </row>
    <row r="4004">
      <c r="A4004" s="55"/>
      <c r="B4004" s="312"/>
      <c r="C4004" s="308"/>
      <c r="D4004" s="308"/>
      <c r="E4004" s="308"/>
      <c r="F4004" s="327"/>
      <c r="G4004" s="327"/>
      <c r="H4004" s="327"/>
      <c r="I4004" s="328"/>
      <c r="J4004" s="308"/>
      <c r="K4004" s="327"/>
      <c r="L4004" s="210"/>
    </row>
    <row r="4005">
      <c r="A4005" s="55" t="s">
        <v>4529</v>
      </c>
      <c r="B4005" s="55" t="s">
        <v>4529</v>
      </c>
      <c r="C4005" s="308"/>
      <c r="D4005" s="308"/>
      <c r="E4005" s="308"/>
      <c r="F4005" s="327" t="s">
        <v>4529</v>
      </c>
      <c r="G4005" s="327"/>
      <c r="H4005" s="327"/>
      <c r="I4005" s="328"/>
      <c r="J4005" s="308"/>
      <c r="K4005" s="327"/>
      <c r="L4005" s="210" t="s">
        <v>4529</v>
      </c>
    </row>
  </sheetData>
  <mergeCells count="29">
    <mergeCell ref="N1087:N1089"/>
    <mergeCell ref="O1087:O1089"/>
    <mergeCell ref="Q1087:Q1089"/>
    <mergeCell ref="R1087:R1089"/>
    <mergeCell ref="O1118:O1119"/>
    <mergeCell ref="Q1118:Q1119"/>
    <mergeCell ref="R1118:R1119"/>
    <mergeCell ref="Q1123:Q1125"/>
    <mergeCell ref="R1123:R1125"/>
    <mergeCell ref="N1126:N1130"/>
    <mergeCell ref="O1126:O1130"/>
    <mergeCell ref="Q1126:Q1130"/>
    <mergeCell ref="R1126:R1130"/>
    <mergeCell ref="B1492:N1492"/>
    <mergeCell ref="N1701:N1703"/>
    <mergeCell ref="O1701:O1703"/>
    <mergeCell ref="Q1701:Q1703"/>
    <mergeCell ref="R1701:R1703"/>
    <mergeCell ref="N1742:N1745"/>
    <mergeCell ref="O1742:O1745"/>
    <mergeCell ref="Q1742:Q1745"/>
    <mergeCell ref="R1742:R1745"/>
    <mergeCell ref="N1118:N1119"/>
    <mergeCell ref="N1120:N1121"/>
    <mergeCell ref="O1120:O1121"/>
    <mergeCell ref="Q1120:Q1121"/>
    <mergeCell ref="R1120:R1121"/>
    <mergeCell ref="N1123:N1125"/>
    <mergeCell ref="O1123:O1125"/>
  </mergeCells>
  <hyperlinks>
    <hyperlink r:id="rId1" ref="R1087"/>
    <hyperlink r:id="rId2" ref="R1118"/>
    <hyperlink r:id="rId3" ref="R1120"/>
    <hyperlink r:id="rId4" ref="R1122"/>
    <hyperlink r:id="rId5" ref="R1123"/>
    <hyperlink r:id="rId6" ref="R1126"/>
    <hyperlink r:id="rId7" ref="R1701"/>
    <hyperlink r:id="rId8" ref="R1742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5.0"/>
    <col customWidth="1" min="3" max="3" width="12.13"/>
    <col customWidth="1" min="4" max="4" width="8.38"/>
    <col customWidth="1" min="5" max="5" width="28.0"/>
    <col customWidth="1" min="6" max="6" width="39.63"/>
    <col customWidth="1" min="7" max="7" width="26.63"/>
    <col customWidth="1" min="8" max="8" width="9.25"/>
    <col customWidth="1" min="9" max="9" width="16.25"/>
    <col customWidth="1" min="10" max="10" width="27.88"/>
    <col customWidth="1" min="11" max="11" width="6.38"/>
    <col customWidth="1" min="12" max="12" width="30.38"/>
    <col customWidth="1" min="13" max="13" width="4.5"/>
    <col customWidth="1" min="16" max="16" width="11.63"/>
    <col customWidth="1" min="17" max="17" width="54.5"/>
    <col customWidth="1" min="18" max="18" width="27.38"/>
    <col customWidth="1" min="19" max="19" width="14.38"/>
    <col customWidth="1" min="20" max="20" width="77.63"/>
    <col customWidth="1" min="21" max="29" width="14.38"/>
  </cols>
  <sheetData>
    <row r="1" ht="18.0" customHeight="1">
      <c r="A1" s="329" t="s">
        <v>4529</v>
      </c>
      <c r="B1" s="330"/>
      <c r="C1" s="331"/>
      <c r="D1" s="331"/>
      <c r="E1" s="332"/>
      <c r="F1" s="332"/>
      <c r="G1" s="332"/>
      <c r="H1" s="331"/>
      <c r="I1" s="332"/>
      <c r="J1" s="333"/>
      <c r="K1" s="334"/>
      <c r="L1" s="333"/>
      <c r="M1" s="335"/>
      <c r="N1" s="336" t="s">
        <v>13204</v>
      </c>
      <c r="O1" s="216"/>
      <c r="P1" s="216"/>
      <c r="Q1" s="216"/>
      <c r="R1" s="21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</row>
    <row r="2" ht="65.25" customHeight="1">
      <c r="A2" s="338" t="s">
        <v>2</v>
      </c>
      <c r="B2" s="339" t="s">
        <v>13205</v>
      </c>
      <c r="C2" s="338" t="s">
        <v>3</v>
      </c>
      <c r="D2" s="340" t="s">
        <v>13206</v>
      </c>
      <c r="E2" s="341" t="s">
        <v>13207</v>
      </c>
      <c r="F2" s="341" t="s">
        <v>6</v>
      </c>
      <c r="G2" s="341" t="s">
        <v>7</v>
      </c>
      <c r="H2" s="338" t="s">
        <v>9</v>
      </c>
      <c r="I2" s="341" t="s">
        <v>11</v>
      </c>
      <c r="J2" s="342" t="s">
        <v>12</v>
      </c>
      <c r="K2" s="343" t="s">
        <v>13208</v>
      </c>
      <c r="L2" s="344" t="s">
        <v>13209</v>
      </c>
      <c r="M2" s="345" t="s">
        <v>15</v>
      </c>
      <c r="N2" s="346" t="s">
        <v>13210</v>
      </c>
      <c r="O2" s="347" t="s">
        <v>13211</v>
      </c>
      <c r="P2" s="347" t="s">
        <v>13212</v>
      </c>
      <c r="Q2" s="348" t="s">
        <v>13213</v>
      </c>
      <c r="R2" s="347" t="s">
        <v>13214</v>
      </c>
      <c r="S2" s="337" t="s">
        <v>13215</v>
      </c>
      <c r="T2" s="337"/>
      <c r="U2" s="337"/>
      <c r="V2" s="337"/>
      <c r="W2" s="337"/>
      <c r="X2" s="337"/>
      <c r="Y2" s="337"/>
      <c r="Z2" s="337"/>
      <c r="AA2" s="337"/>
      <c r="AB2" s="337"/>
      <c r="AC2" s="337"/>
    </row>
    <row r="3" ht="1.5" customHeight="1">
      <c r="A3" s="349"/>
      <c r="B3" s="350"/>
      <c r="C3" s="349"/>
      <c r="D3" s="349"/>
      <c r="E3" s="351"/>
      <c r="F3" s="351"/>
      <c r="G3" s="351"/>
      <c r="H3" s="349"/>
      <c r="I3" s="351"/>
      <c r="J3" s="352"/>
      <c r="K3" s="353"/>
      <c r="L3" s="352"/>
      <c r="M3" s="354"/>
      <c r="N3" s="274">
        <v>45975.0</v>
      </c>
      <c r="O3" s="353"/>
      <c r="P3" s="355"/>
      <c r="Q3" s="353"/>
      <c r="R3" s="356"/>
      <c r="S3" s="357"/>
      <c r="T3" s="355"/>
      <c r="U3" s="355"/>
      <c r="V3" s="355"/>
      <c r="W3" s="355"/>
      <c r="X3" s="355"/>
      <c r="Y3" s="355"/>
      <c r="Z3" s="355"/>
      <c r="AA3" s="355"/>
      <c r="AB3" s="355"/>
      <c r="AC3" s="355"/>
    </row>
    <row r="4">
      <c r="A4" s="107" t="s">
        <v>5071</v>
      </c>
      <c r="B4" s="358">
        <v>45973.0</v>
      </c>
      <c r="C4" s="107">
        <v>8.05011555018E11</v>
      </c>
      <c r="D4" s="107" t="s">
        <v>5072</v>
      </c>
      <c r="E4" s="107" t="s">
        <v>5073</v>
      </c>
      <c r="F4" s="107" t="s">
        <v>5074</v>
      </c>
      <c r="G4" s="107" t="s">
        <v>20</v>
      </c>
      <c r="H4" s="107">
        <v>4400.0</v>
      </c>
      <c r="I4" s="107" t="s">
        <v>512</v>
      </c>
      <c r="J4" s="31" t="s">
        <v>513</v>
      </c>
      <c r="K4" s="33">
        <v>6.0</v>
      </c>
      <c r="L4" s="31">
        <v>3.872180235E9</v>
      </c>
      <c r="M4" s="31" t="s">
        <v>5075</v>
      </c>
      <c r="O4" s="275" t="s">
        <v>9011</v>
      </c>
      <c r="P4" s="276"/>
      <c r="Q4" s="275" t="s">
        <v>9012</v>
      </c>
      <c r="R4" s="359" t="s">
        <v>13216</v>
      </c>
      <c r="S4" s="360"/>
      <c r="T4" s="276"/>
      <c r="U4" s="276"/>
      <c r="V4" s="276"/>
      <c r="W4" s="276"/>
      <c r="X4" s="276"/>
      <c r="Y4" s="276"/>
      <c r="Z4" s="276"/>
      <c r="AA4" s="276"/>
      <c r="AB4" s="276"/>
      <c r="AC4" s="276"/>
    </row>
    <row r="5">
      <c r="A5" s="107" t="s">
        <v>5076</v>
      </c>
      <c r="B5" s="358">
        <v>45973.0</v>
      </c>
      <c r="C5" s="107">
        <v>8.05011555019E11</v>
      </c>
      <c r="D5" s="107" t="s">
        <v>5072</v>
      </c>
      <c r="E5" s="107" t="s">
        <v>5073</v>
      </c>
      <c r="F5" s="107" t="s">
        <v>5074</v>
      </c>
      <c r="G5" s="107" t="s">
        <v>20</v>
      </c>
      <c r="H5" s="107">
        <v>4400.0</v>
      </c>
      <c r="I5" s="107" t="s">
        <v>32</v>
      </c>
      <c r="J5" s="31" t="s">
        <v>3225</v>
      </c>
      <c r="K5" s="33">
        <v>1.0</v>
      </c>
      <c r="L5" s="31">
        <v>3.872180235E9</v>
      </c>
      <c r="M5" s="31" t="s">
        <v>5075</v>
      </c>
      <c r="P5" s="276"/>
      <c r="S5" s="360"/>
      <c r="T5" s="276"/>
      <c r="U5" s="276"/>
      <c r="V5" s="276"/>
      <c r="W5" s="276"/>
      <c r="X5" s="276"/>
      <c r="Y5" s="276"/>
      <c r="Z5" s="276"/>
      <c r="AA5" s="276"/>
      <c r="AB5" s="276"/>
      <c r="AC5" s="276"/>
    </row>
    <row r="6">
      <c r="A6" s="107" t="s">
        <v>5076</v>
      </c>
      <c r="B6" s="358">
        <v>45973.0</v>
      </c>
      <c r="C6" s="107">
        <v>8.05011555019E11</v>
      </c>
      <c r="D6" s="107" t="s">
        <v>5072</v>
      </c>
      <c r="E6" s="107" t="s">
        <v>5073</v>
      </c>
      <c r="F6" s="107" t="s">
        <v>5074</v>
      </c>
      <c r="G6" s="107" t="s">
        <v>20</v>
      </c>
      <c r="H6" s="107">
        <v>4400.0</v>
      </c>
      <c r="I6" s="107" t="s">
        <v>670</v>
      </c>
      <c r="J6" s="31" t="s">
        <v>3410</v>
      </c>
      <c r="K6" s="33">
        <v>1.0</v>
      </c>
      <c r="L6" s="31">
        <v>3.872180235E9</v>
      </c>
      <c r="M6" s="31" t="s">
        <v>5075</v>
      </c>
      <c r="P6" s="276"/>
      <c r="S6" s="361"/>
      <c r="T6" s="276"/>
      <c r="U6" s="276"/>
      <c r="V6" s="276"/>
      <c r="W6" s="276"/>
      <c r="X6" s="276"/>
      <c r="Y6" s="276"/>
      <c r="Z6" s="276"/>
      <c r="AA6" s="276"/>
      <c r="AB6" s="276"/>
      <c r="AC6" s="276"/>
    </row>
    <row r="7">
      <c r="A7" s="107" t="s">
        <v>5077</v>
      </c>
      <c r="B7" s="358">
        <v>45973.0</v>
      </c>
      <c r="C7" s="107">
        <v>8.05011555689E11</v>
      </c>
      <c r="D7" s="107" t="s">
        <v>5078</v>
      </c>
      <c r="E7" s="107" t="s">
        <v>5079</v>
      </c>
      <c r="F7" s="107" t="s">
        <v>5080</v>
      </c>
      <c r="G7" s="107" t="s">
        <v>4025</v>
      </c>
      <c r="H7" s="107">
        <v>4401.0</v>
      </c>
      <c r="I7" s="107" t="s">
        <v>60</v>
      </c>
      <c r="J7" s="31" t="s">
        <v>3706</v>
      </c>
      <c r="K7" s="33">
        <v>1.0</v>
      </c>
      <c r="L7" s="124" t="s">
        <v>13217</v>
      </c>
      <c r="M7" s="31" t="s">
        <v>5081</v>
      </c>
      <c r="N7" s="274">
        <v>45980.0</v>
      </c>
      <c r="O7" s="275" t="s">
        <v>9011</v>
      </c>
      <c r="P7" s="276"/>
      <c r="Q7" s="275" t="s">
        <v>9012</v>
      </c>
      <c r="R7" s="359" t="s">
        <v>13218</v>
      </c>
      <c r="S7" s="360"/>
      <c r="T7" s="276"/>
      <c r="U7" s="276"/>
      <c r="V7" s="276"/>
      <c r="W7" s="276"/>
      <c r="X7" s="276"/>
      <c r="Y7" s="276"/>
      <c r="Z7" s="276"/>
      <c r="AA7" s="276"/>
      <c r="AB7" s="276"/>
      <c r="AC7" s="276"/>
    </row>
    <row r="8">
      <c r="A8" s="107" t="s">
        <v>5077</v>
      </c>
      <c r="B8" s="358">
        <v>45973.0</v>
      </c>
      <c r="C8" s="107">
        <v>8.05011555689E11</v>
      </c>
      <c r="D8" s="107" t="s">
        <v>5078</v>
      </c>
      <c r="E8" s="107" t="s">
        <v>5079</v>
      </c>
      <c r="F8" s="107" t="s">
        <v>5080</v>
      </c>
      <c r="G8" s="107" t="s">
        <v>4025</v>
      </c>
      <c r="H8" s="107">
        <v>4401.0</v>
      </c>
      <c r="I8" s="107" t="s">
        <v>512</v>
      </c>
      <c r="J8" s="31" t="s">
        <v>513</v>
      </c>
      <c r="K8" s="33">
        <v>6.0</v>
      </c>
      <c r="L8" s="124" t="s">
        <v>13217</v>
      </c>
      <c r="M8" s="31" t="s">
        <v>5081</v>
      </c>
      <c r="P8" s="276"/>
      <c r="S8" s="360"/>
      <c r="T8" s="276"/>
      <c r="U8" s="276"/>
      <c r="V8" s="276"/>
      <c r="W8" s="276"/>
      <c r="X8" s="276"/>
      <c r="Y8" s="276"/>
      <c r="Z8" s="276"/>
      <c r="AA8" s="276"/>
      <c r="AB8" s="276"/>
      <c r="AC8" s="276"/>
    </row>
    <row r="9">
      <c r="A9" s="107" t="s">
        <v>5077</v>
      </c>
      <c r="B9" s="358">
        <v>45973.0</v>
      </c>
      <c r="C9" s="107">
        <v>8.05011555689E11</v>
      </c>
      <c r="D9" s="107" t="s">
        <v>5078</v>
      </c>
      <c r="E9" s="107" t="s">
        <v>5079</v>
      </c>
      <c r="F9" s="107" t="s">
        <v>5080</v>
      </c>
      <c r="G9" s="107" t="s">
        <v>4025</v>
      </c>
      <c r="H9" s="107">
        <v>4401.0</v>
      </c>
      <c r="I9" s="107" t="s">
        <v>64</v>
      </c>
      <c r="J9" s="31" t="s">
        <v>3708</v>
      </c>
      <c r="K9" s="33">
        <v>1.0</v>
      </c>
      <c r="L9" s="124" t="s">
        <v>13217</v>
      </c>
      <c r="M9" s="31" t="s">
        <v>5081</v>
      </c>
      <c r="P9" s="276"/>
      <c r="S9" s="361"/>
      <c r="T9" s="275"/>
      <c r="U9" s="276"/>
      <c r="V9" s="276"/>
      <c r="W9" s="276"/>
      <c r="X9" s="276"/>
      <c r="Y9" s="276"/>
      <c r="Z9" s="276"/>
      <c r="AA9" s="276"/>
      <c r="AB9" s="276"/>
      <c r="AC9" s="276"/>
    </row>
    <row r="10">
      <c r="A10" s="107" t="s">
        <v>5082</v>
      </c>
      <c r="B10" s="358">
        <v>45973.0</v>
      </c>
      <c r="C10" s="107">
        <v>8.05011555746E11</v>
      </c>
      <c r="D10" s="107" t="s">
        <v>5083</v>
      </c>
      <c r="E10" s="107" t="s">
        <v>5084</v>
      </c>
      <c r="F10" s="107" t="s">
        <v>5085</v>
      </c>
      <c r="G10" s="107" t="s">
        <v>5086</v>
      </c>
      <c r="H10" s="107">
        <v>4401.0</v>
      </c>
      <c r="I10" s="107" t="s">
        <v>5087</v>
      </c>
      <c r="J10" s="31" t="s">
        <v>5088</v>
      </c>
      <c r="K10" s="33">
        <v>1.0</v>
      </c>
      <c r="L10" s="31">
        <v>3.876444463E9</v>
      </c>
      <c r="M10" s="31" t="s">
        <v>5089</v>
      </c>
      <c r="N10" s="274">
        <v>45975.0</v>
      </c>
      <c r="O10" s="275" t="s">
        <v>9011</v>
      </c>
      <c r="P10" s="276"/>
      <c r="Q10" s="275" t="s">
        <v>9012</v>
      </c>
      <c r="R10" s="359" t="s">
        <v>13219</v>
      </c>
      <c r="S10" s="361"/>
      <c r="T10" s="275"/>
      <c r="U10" s="276"/>
      <c r="V10" s="276"/>
      <c r="W10" s="276"/>
      <c r="X10" s="276"/>
      <c r="Y10" s="276"/>
      <c r="Z10" s="276"/>
      <c r="AA10" s="276"/>
      <c r="AB10" s="276"/>
      <c r="AC10" s="276"/>
    </row>
    <row r="11">
      <c r="A11" s="107" t="s">
        <v>5090</v>
      </c>
      <c r="B11" s="358">
        <v>45973.0</v>
      </c>
      <c r="C11" s="107">
        <v>8.05011556221E11</v>
      </c>
      <c r="D11" s="107" t="s">
        <v>5091</v>
      </c>
      <c r="E11" s="107" t="s">
        <v>5092</v>
      </c>
      <c r="F11" s="107" t="s">
        <v>5093</v>
      </c>
      <c r="G11" s="107" t="s">
        <v>20</v>
      </c>
      <c r="H11" s="107">
        <v>4400.0</v>
      </c>
      <c r="I11" s="107" t="s">
        <v>289</v>
      </c>
      <c r="J11" s="31" t="s">
        <v>290</v>
      </c>
      <c r="K11" s="33">
        <v>1.0</v>
      </c>
      <c r="L11" s="31">
        <v>3.875347799E9</v>
      </c>
      <c r="M11" s="34"/>
      <c r="N11" s="274">
        <v>45975.0</v>
      </c>
      <c r="O11" s="275" t="s">
        <v>13220</v>
      </c>
      <c r="P11" s="276"/>
      <c r="Q11" s="275" t="s">
        <v>9012</v>
      </c>
      <c r="R11" s="359" t="s">
        <v>13221</v>
      </c>
      <c r="S11" s="360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</row>
    <row r="12">
      <c r="A12" s="107" t="s">
        <v>5090</v>
      </c>
      <c r="B12" s="358">
        <v>45973.0</v>
      </c>
      <c r="C12" s="107">
        <v>8.05011556221E11</v>
      </c>
      <c r="D12" s="107" t="s">
        <v>5091</v>
      </c>
      <c r="E12" s="107" t="s">
        <v>5092</v>
      </c>
      <c r="F12" s="107" t="s">
        <v>5093</v>
      </c>
      <c r="G12" s="107" t="s">
        <v>20</v>
      </c>
      <c r="H12" s="107">
        <v>4400.0</v>
      </c>
      <c r="I12" s="107" t="s">
        <v>2135</v>
      </c>
      <c r="J12" s="31" t="s">
        <v>5094</v>
      </c>
      <c r="K12" s="33">
        <v>2.0</v>
      </c>
      <c r="L12" s="31">
        <v>3.875347799E9</v>
      </c>
      <c r="M12" s="34"/>
      <c r="P12" s="276"/>
      <c r="S12" s="361"/>
      <c r="T12" s="276"/>
      <c r="U12" s="276"/>
      <c r="V12" s="276"/>
      <c r="W12" s="276"/>
      <c r="X12" s="276"/>
      <c r="Y12" s="276"/>
      <c r="Z12" s="276"/>
      <c r="AA12" s="276"/>
      <c r="AB12" s="276"/>
      <c r="AC12" s="276"/>
    </row>
    <row r="13">
      <c r="A13" s="107" t="s">
        <v>5095</v>
      </c>
      <c r="B13" s="358">
        <v>45973.0</v>
      </c>
      <c r="C13" s="107">
        <v>8.05011555861E11</v>
      </c>
      <c r="D13" s="107" t="s">
        <v>5096</v>
      </c>
      <c r="E13" s="107" t="s">
        <v>5097</v>
      </c>
      <c r="F13" s="107" t="s">
        <v>5098</v>
      </c>
      <c r="G13" s="107" t="s">
        <v>20</v>
      </c>
      <c r="H13" s="107" t="s">
        <v>4086</v>
      </c>
      <c r="I13" s="107" t="s">
        <v>5034</v>
      </c>
      <c r="J13" s="31" t="s">
        <v>5035</v>
      </c>
      <c r="K13" s="33">
        <v>1.0</v>
      </c>
      <c r="L13" s="31">
        <v>3.874890902E9</v>
      </c>
      <c r="M13" s="34"/>
      <c r="N13" s="274">
        <v>45975.0</v>
      </c>
      <c r="O13" s="275" t="s">
        <v>9011</v>
      </c>
      <c r="P13" s="276"/>
      <c r="Q13" s="275" t="s">
        <v>9012</v>
      </c>
      <c r="R13" s="359" t="s">
        <v>13222</v>
      </c>
      <c r="S13" s="361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</row>
    <row r="14">
      <c r="A14" s="107" t="s">
        <v>5099</v>
      </c>
      <c r="B14" s="358">
        <v>45973.0</v>
      </c>
      <c r="C14" s="107">
        <v>8.05011556352E11</v>
      </c>
      <c r="D14" s="107" t="s">
        <v>5100</v>
      </c>
      <c r="E14" s="107" t="s">
        <v>5101</v>
      </c>
      <c r="F14" s="362" t="s">
        <v>5102</v>
      </c>
      <c r="G14" s="107" t="s">
        <v>3850</v>
      </c>
      <c r="H14" s="107">
        <v>4421.0</v>
      </c>
      <c r="I14" s="107" t="s">
        <v>2171</v>
      </c>
      <c r="J14" s="31" t="s">
        <v>3446</v>
      </c>
      <c r="K14" s="33">
        <v>1.0</v>
      </c>
      <c r="L14" s="31">
        <v>3.874826617E9</v>
      </c>
      <c r="M14" s="31" t="s">
        <v>5103</v>
      </c>
      <c r="N14" s="274">
        <v>45975.0</v>
      </c>
      <c r="O14" s="275" t="s">
        <v>9011</v>
      </c>
      <c r="P14" s="276"/>
      <c r="Q14" s="275" t="s">
        <v>9012</v>
      </c>
      <c r="R14" s="359" t="s">
        <v>13223</v>
      </c>
      <c r="S14" s="360"/>
      <c r="T14" s="276"/>
      <c r="U14" s="276"/>
      <c r="V14" s="276"/>
      <c r="W14" s="276"/>
      <c r="X14" s="276"/>
      <c r="Y14" s="276"/>
      <c r="Z14" s="276"/>
      <c r="AA14" s="276"/>
      <c r="AB14" s="276"/>
      <c r="AC14" s="276"/>
    </row>
    <row r="15">
      <c r="A15" s="107" t="s">
        <v>5099</v>
      </c>
      <c r="B15" s="358">
        <v>45973.0</v>
      </c>
      <c r="C15" s="107">
        <v>8.05011556352E11</v>
      </c>
      <c r="D15" s="107" t="s">
        <v>5100</v>
      </c>
      <c r="E15" s="107" t="s">
        <v>5101</v>
      </c>
      <c r="F15" s="362" t="s">
        <v>5102</v>
      </c>
      <c r="G15" s="107" t="s">
        <v>3850</v>
      </c>
      <c r="H15" s="107">
        <v>4421.0</v>
      </c>
      <c r="I15" s="107" t="s">
        <v>512</v>
      </c>
      <c r="J15" s="31" t="s">
        <v>513</v>
      </c>
      <c r="K15" s="33">
        <v>6.0</v>
      </c>
      <c r="L15" s="31">
        <v>3.874826617E9</v>
      </c>
      <c r="M15" s="31" t="s">
        <v>5103</v>
      </c>
      <c r="P15" s="276"/>
      <c r="S15" s="360"/>
      <c r="T15" s="276"/>
      <c r="U15" s="276"/>
      <c r="V15" s="276"/>
      <c r="W15" s="276"/>
      <c r="X15" s="276"/>
      <c r="Y15" s="276"/>
      <c r="Z15" s="276"/>
      <c r="AA15" s="276"/>
      <c r="AB15" s="276"/>
      <c r="AC15" s="276"/>
    </row>
    <row r="16">
      <c r="A16" s="107" t="s">
        <v>5099</v>
      </c>
      <c r="B16" s="358">
        <v>45973.0</v>
      </c>
      <c r="C16" s="107">
        <v>8.05011556352E11</v>
      </c>
      <c r="D16" s="107" t="s">
        <v>5100</v>
      </c>
      <c r="E16" s="107" t="s">
        <v>5101</v>
      </c>
      <c r="F16" s="362" t="s">
        <v>5102</v>
      </c>
      <c r="G16" s="107" t="s">
        <v>13224</v>
      </c>
      <c r="H16" s="107">
        <v>4421.0</v>
      </c>
      <c r="I16" s="107" t="s">
        <v>3447</v>
      </c>
      <c r="J16" s="31" t="s">
        <v>3448</v>
      </c>
      <c r="K16" s="33">
        <v>1.0</v>
      </c>
      <c r="L16" s="31">
        <v>3.874826617E9</v>
      </c>
      <c r="M16" s="31" t="s">
        <v>5103</v>
      </c>
      <c r="P16" s="276"/>
      <c r="S16" s="361"/>
      <c r="T16" s="276"/>
      <c r="U16" s="276"/>
      <c r="V16" s="276"/>
      <c r="W16" s="276"/>
      <c r="X16" s="276"/>
      <c r="Y16" s="276"/>
      <c r="Z16" s="276"/>
      <c r="AA16" s="276"/>
      <c r="AB16" s="276"/>
      <c r="AC16" s="276"/>
    </row>
    <row r="17">
      <c r="A17" s="107" t="s">
        <v>5104</v>
      </c>
      <c r="B17" s="358">
        <v>45973.0</v>
      </c>
      <c r="C17" s="107">
        <v>8.05011556333E11</v>
      </c>
      <c r="D17" s="107" t="s">
        <v>5105</v>
      </c>
      <c r="E17" s="107" t="s">
        <v>5106</v>
      </c>
      <c r="F17" s="107" t="s">
        <v>5107</v>
      </c>
      <c r="G17" s="107" t="s">
        <v>20</v>
      </c>
      <c r="H17" s="107">
        <v>4400.0</v>
      </c>
      <c r="I17" s="107" t="s">
        <v>106</v>
      </c>
      <c r="J17" s="31" t="s">
        <v>3670</v>
      </c>
      <c r="K17" s="33">
        <v>2.0</v>
      </c>
      <c r="L17" s="31">
        <v>3.875161215E9</v>
      </c>
      <c r="M17" s="31" t="s">
        <v>5108</v>
      </c>
      <c r="N17" s="274">
        <v>45975.0</v>
      </c>
      <c r="O17" s="275" t="s">
        <v>9011</v>
      </c>
      <c r="P17" s="276"/>
      <c r="Q17" s="275" t="s">
        <v>13225</v>
      </c>
      <c r="R17" s="359" t="s">
        <v>13226</v>
      </c>
      <c r="S17" s="361"/>
      <c r="T17" s="276"/>
      <c r="U17" s="276"/>
      <c r="V17" s="276"/>
      <c r="W17" s="276"/>
      <c r="X17" s="276"/>
      <c r="Y17" s="276"/>
      <c r="Z17" s="276"/>
      <c r="AA17" s="276"/>
      <c r="AB17" s="276"/>
      <c r="AC17" s="276"/>
    </row>
    <row r="18">
      <c r="A18" s="107" t="s">
        <v>5109</v>
      </c>
      <c r="B18" s="358">
        <v>45973.0</v>
      </c>
      <c r="C18" s="107">
        <v>8.05011556387E11</v>
      </c>
      <c r="D18" s="107" t="s">
        <v>5110</v>
      </c>
      <c r="E18" s="107" t="s">
        <v>5111</v>
      </c>
      <c r="F18" s="107" t="s">
        <v>5112</v>
      </c>
      <c r="G18" s="107" t="s">
        <v>20</v>
      </c>
      <c r="H18" s="107">
        <v>4400.0</v>
      </c>
      <c r="I18" s="107" t="s">
        <v>106</v>
      </c>
      <c r="J18" s="31" t="s">
        <v>3670</v>
      </c>
      <c r="K18" s="33">
        <v>1.0</v>
      </c>
      <c r="L18" s="31">
        <v>3.874416451E9</v>
      </c>
      <c r="M18" s="31" t="s">
        <v>5113</v>
      </c>
      <c r="N18" s="274">
        <v>45975.0</v>
      </c>
      <c r="O18" s="275" t="s">
        <v>9011</v>
      </c>
      <c r="P18" s="276"/>
      <c r="Q18" s="275" t="s">
        <v>13227</v>
      </c>
      <c r="R18" s="359" t="s">
        <v>13228</v>
      </c>
      <c r="S18" s="360"/>
      <c r="T18" s="276"/>
      <c r="U18" s="276"/>
      <c r="V18" s="276"/>
      <c r="W18" s="276"/>
      <c r="X18" s="276"/>
      <c r="Y18" s="276"/>
      <c r="Z18" s="276"/>
      <c r="AA18" s="276"/>
      <c r="AB18" s="276"/>
      <c r="AC18" s="276"/>
    </row>
    <row r="19">
      <c r="A19" s="107" t="s">
        <v>5109</v>
      </c>
      <c r="B19" s="358">
        <v>45973.0</v>
      </c>
      <c r="C19" s="107">
        <v>8.05011556387E11</v>
      </c>
      <c r="D19" s="107" t="s">
        <v>5110</v>
      </c>
      <c r="E19" s="107" t="s">
        <v>5111</v>
      </c>
      <c r="F19" s="107" t="s">
        <v>5112</v>
      </c>
      <c r="G19" s="107" t="s">
        <v>20</v>
      </c>
      <c r="H19" s="107">
        <v>4400.0</v>
      </c>
      <c r="I19" s="107" t="s">
        <v>512</v>
      </c>
      <c r="J19" s="31" t="s">
        <v>513</v>
      </c>
      <c r="K19" s="33">
        <v>6.0</v>
      </c>
      <c r="L19" s="31">
        <v>3.874416451E9</v>
      </c>
      <c r="M19" s="31" t="s">
        <v>5113</v>
      </c>
      <c r="P19" s="276"/>
      <c r="S19" s="360"/>
      <c r="T19" s="276"/>
      <c r="U19" s="276"/>
      <c r="V19" s="276"/>
      <c r="W19" s="276"/>
      <c r="X19" s="276"/>
      <c r="Y19" s="276"/>
      <c r="Z19" s="276"/>
      <c r="AA19" s="276"/>
      <c r="AB19" s="276"/>
      <c r="AC19" s="276"/>
    </row>
    <row r="20">
      <c r="A20" s="107" t="s">
        <v>5109</v>
      </c>
      <c r="B20" s="358">
        <v>45973.0</v>
      </c>
      <c r="C20" s="107">
        <v>8.05011556387E11</v>
      </c>
      <c r="D20" s="107" t="s">
        <v>5110</v>
      </c>
      <c r="E20" s="107" t="s">
        <v>5111</v>
      </c>
      <c r="F20" s="107" t="s">
        <v>5112</v>
      </c>
      <c r="G20" s="107" t="s">
        <v>20</v>
      </c>
      <c r="H20" s="107">
        <v>4400.0</v>
      </c>
      <c r="I20" s="107" t="s">
        <v>110</v>
      </c>
      <c r="J20" s="31" t="s">
        <v>3673</v>
      </c>
      <c r="K20" s="33">
        <v>1.0</v>
      </c>
      <c r="L20" s="31">
        <v>3.874416451E9</v>
      </c>
      <c r="M20" s="31" t="s">
        <v>5113</v>
      </c>
      <c r="P20" s="276"/>
      <c r="S20" s="361"/>
      <c r="T20" s="276"/>
      <c r="U20" s="276"/>
      <c r="V20" s="276"/>
      <c r="W20" s="276"/>
      <c r="X20" s="276"/>
      <c r="Y20" s="276"/>
      <c r="Z20" s="276"/>
      <c r="AA20" s="276"/>
      <c r="AB20" s="276"/>
      <c r="AC20" s="276"/>
    </row>
    <row r="21">
      <c r="A21" s="107" t="s">
        <v>5114</v>
      </c>
      <c r="B21" s="358">
        <v>45973.0</v>
      </c>
      <c r="C21" s="107">
        <v>8.05011557148E11</v>
      </c>
      <c r="D21" s="107" t="s">
        <v>5115</v>
      </c>
      <c r="E21" s="107" t="s">
        <v>5116</v>
      </c>
      <c r="F21" s="107" t="s">
        <v>5117</v>
      </c>
      <c r="G21" s="107" t="s">
        <v>3383</v>
      </c>
      <c r="H21" s="107">
        <v>4449.0</v>
      </c>
      <c r="I21" s="107" t="s">
        <v>698</v>
      </c>
      <c r="J21" s="31" t="s">
        <v>699</v>
      </c>
      <c r="K21" s="33">
        <v>2.0</v>
      </c>
      <c r="L21" s="31">
        <v>3.877401053E9</v>
      </c>
      <c r="M21" s="34"/>
      <c r="N21" s="363">
        <v>45986.0</v>
      </c>
      <c r="O21" s="275" t="s">
        <v>9011</v>
      </c>
      <c r="P21" s="276"/>
      <c r="Q21" s="275" t="s">
        <v>13229</v>
      </c>
      <c r="R21" s="359" t="s">
        <v>13230</v>
      </c>
      <c r="S21" s="361"/>
      <c r="T21" s="276"/>
      <c r="U21" s="276"/>
      <c r="V21" s="276"/>
      <c r="W21" s="276"/>
      <c r="X21" s="276"/>
      <c r="Y21" s="276"/>
      <c r="Z21" s="276"/>
      <c r="AA21" s="276"/>
      <c r="AB21" s="276"/>
      <c r="AC21" s="276"/>
    </row>
    <row r="22">
      <c r="A22" s="107" t="s">
        <v>5118</v>
      </c>
      <c r="B22" s="358">
        <v>45973.0</v>
      </c>
      <c r="C22" s="107">
        <v>8.05011557279E11</v>
      </c>
      <c r="D22" s="107" t="s">
        <v>5119</v>
      </c>
      <c r="E22" s="107" t="s">
        <v>5120</v>
      </c>
      <c r="F22" s="107" t="s">
        <v>5121</v>
      </c>
      <c r="G22" s="107" t="s">
        <v>20</v>
      </c>
      <c r="H22" s="107">
        <v>4400.0</v>
      </c>
      <c r="I22" s="107" t="s">
        <v>1747</v>
      </c>
      <c r="J22" s="31" t="s">
        <v>4208</v>
      </c>
      <c r="K22" s="33">
        <v>1.0</v>
      </c>
      <c r="L22" s="31">
        <v>3.874047738E9</v>
      </c>
      <c r="M22" s="31" t="s">
        <v>5122</v>
      </c>
      <c r="N22" s="274">
        <v>45975.0</v>
      </c>
      <c r="O22" s="275" t="s">
        <v>9011</v>
      </c>
      <c r="P22" s="276"/>
      <c r="Q22" s="275" t="s">
        <v>13231</v>
      </c>
      <c r="R22" s="359" t="s">
        <v>13232</v>
      </c>
      <c r="S22" s="361"/>
      <c r="T22" s="276"/>
      <c r="U22" s="276"/>
      <c r="V22" s="276"/>
      <c r="W22" s="276"/>
      <c r="X22" s="276"/>
      <c r="Y22" s="276"/>
      <c r="Z22" s="276"/>
      <c r="AA22" s="276"/>
      <c r="AB22" s="276"/>
      <c r="AC22" s="276"/>
    </row>
    <row r="23">
      <c r="A23" s="107" t="s">
        <v>5118</v>
      </c>
      <c r="B23" s="358">
        <v>45973.0</v>
      </c>
      <c r="C23" s="107">
        <v>8.05011557279E11</v>
      </c>
      <c r="D23" s="107" t="s">
        <v>5119</v>
      </c>
      <c r="E23" s="107" t="s">
        <v>5120</v>
      </c>
      <c r="F23" s="107" t="s">
        <v>5121</v>
      </c>
      <c r="G23" s="107" t="s">
        <v>20</v>
      </c>
      <c r="H23" s="107">
        <v>4400.0</v>
      </c>
      <c r="I23" s="107" t="s">
        <v>2956</v>
      </c>
      <c r="J23" s="31" t="s">
        <v>3327</v>
      </c>
      <c r="K23" s="33">
        <v>1.0</v>
      </c>
      <c r="L23" s="31">
        <v>3.874047738E9</v>
      </c>
      <c r="M23" s="31" t="s">
        <v>5122</v>
      </c>
      <c r="P23" s="276"/>
      <c r="S23" s="360"/>
      <c r="T23" s="276"/>
      <c r="U23" s="276"/>
      <c r="V23" s="276"/>
      <c r="W23" s="276"/>
      <c r="X23" s="276"/>
      <c r="Y23" s="276"/>
      <c r="Z23" s="276"/>
      <c r="AA23" s="276"/>
      <c r="AB23" s="276"/>
      <c r="AC23" s="276"/>
    </row>
    <row r="24">
      <c r="A24" s="107" t="s">
        <v>5118</v>
      </c>
      <c r="B24" s="358">
        <v>45973.0</v>
      </c>
      <c r="C24" s="107">
        <v>8.05011557279E11</v>
      </c>
      <c r="D24" s="107" t="s">
        <v>5119</v>
      </c>
      <c r="E24" s="107" t="s">
        <v>5120</v>
      </c>
      <c r="F24" s="107" t="s">
        <v>5121</v>
      </c>
      <c r="G24" s="107" t="s">
        <v>20</v>
      </c>
      <c r="H24" s="107">
        <v>4400.0</v>
      </c>
      <c r="I24" s="107" t="s">
        <v>512</v>
      </c>
      <c r="J24" s="31" t="s">
        <v>513</v>
      </c>
      <c r="K24" s="33">
        <v>6.0</v>
      </c>
      <c r="L24" s="31">
        <v>3.874047738E9</v>
      </c>
      <c r="M24" s="31" t="s">
        <v>5122</v>
      </c>
      <c r="P24" s="276"/>
      <c r="S24" s="360"/>
      <c r="T24" s="276"/>
      <c r="U24" s="276"/>
      <c r="V24" s="276"/>
      <c r="W24" s="276"/>
      <c r="X24" s="276"/>
      <c r="Y24" s="276"/>
      <c r="Z24" s="276"/>
      <c r="AA24" s="276"/>
      <c r="AB24" s="276"/>
      <c r="AC24" s="276"/>
    </row>
    <row r="25">
      <c r="A25" s="107" t="s">
        <v>5118</v>
      </c>
      <c r="B25" s="358">
        <v>45973.0</v>
      </c>
      <c r="C25" s="107">
        <v>8.05011557279E11</v>
      </c>
      <c r="D25" s="107" t="s">
        <v>5119</v>
      </c>
      <c r="E25" s="107" t="s">
        <v>5120</v>
      </c>
      <c r="F25" s="107" t="s">
        <v>5121</v>
      </c>
      <c r="G25" s="107" t="s">
        <v>20</v>
      </c>
      <c r="H25" s="107">
        <v>4400.0</v>
      </c>
      <c r="I25" s="107" t="s">
        <v>670</v>
      </c>
      <c r="J25" s="31" t="s">
        <v>3410</v>
      </c>
      <c r="K25" s="33">
        <v>1.0</v>
      </c>
      <c r="L25" s="31">
        <v>3.874047738E9</v>
      </c>
      <c r="M25" s="31" t="s">
        <v>5122</v>
      </c>
      <c r="P25" s="276"/>
      <c r="S25" s="361"/>
      <c r="T25" s="276"/>
      <c r="U25" s="276"/>
      <c r="V25" s="276"/>
      <c r="W25" s="276"/>
      <c r="X25" s="276"/>
      <c r="Y25" s="276"/>
      <c r="Z25" s="276"/>
      <c r="AA25" s="276"/>
      <c r="AB25" s="276"/>
      <c r="AC25" s="276"/>
    </row>
    <row r="26">
      <c r="A26" s="107" t="s">
        <v>5123</v>
      </c>
      <c r="B26" s="358">
        <v>45973.0</v>
      </c>
      <c r="C26" s="107">
        <v>8.05011556978E11</v>
      </c>
      <c r="D26" s="107" t="s">
        <v>5124</v>
      </c>
      <c r="E26" s="107" t="s">
        <v>5125</v>
      </c>
      <c r="F26" s="107" t="s">
        <v>5126</v>
      </c>
      <c r="G26" s="107" t="s">
        <v>983</v>
      </c>
      <c r="H26" s="107">
        <v>4400.0</v>
      </c>
      <c r="I26" s="107" t="s">
        <v>634</v>
      </c>
      <c r="J26" s="31" t="s">
        <v>635</v>
      </c>
      <c r="K26" s="33">
        <v>1.0</v>
      </c>
      <c r="L26" s="31">
        <v>3.876006016E9</v>
      </c>
      <c r="M26" s="34"/>
      <c r="N26" s="274">
        <v>45975.0</v>
      </c>
      <c r="O26" s="275" t="s">
        <v>9011</v>
      </c>
      <c r="P26" s="276"/>
      <c r="Q26" s="275" t="s">
        <v>9012</v>
      </c>
      <c r="R26" s="359" t="s">
        <v>13233</v>
      </c>
      <c r="S26" s="361"/>
      <c r="T26" s="276"/>
      <c r="U26" s="276"/>
      <c r="V26" s="276"/>
      <c r="W26" s="276"/>
      <c r="X26" s="276"/>
      <c r="Y26" s="276"/>
      <c r="Z26" s="276"/>
      <c r="AA26" s="276"/>
      <c r="AB26" s="276"/>
      <c r="AC26" s="276"/>
    </row>
    <row r="27">
      <c r="A27" s="107" t="s">
        <v>5127</v>
      </c>
      <c r="B27" s="358">
        <v>45973.0</v>
      </c>
      <c r="C27" s="107">
        <v>8.05011557073E11</v>
      </c>
      <c r="D27" s="107" t="s">
        <v>5128</v>
      </c>
      <c r="E27" s="107" t="s">
        <v>5129</v>
      </c>
      <c r="F27" s="107" t="s">
        <v>5130</v>
      </c>
      <c r="G27" s="107" t="s">
        <v>155</v>
      </c>
      <c r="H27" s="107">
        <v>4405.0</v>
      </c>
      <c r="I27" s="107" t="s">
        <v>3641</v>
      </c>
      <c r="J27" s="31" t="s">
        <v>3642</v>
      </c>
      <c r="K27" s="33">
        <v>1.0</v>
      </c>
      <c r="L27" s="31">
        <f t="shared" ref="L27:L29" si="1">+5492901418278</f>
        <v>5492901418278</v>
      </c>
      <c r="M27" s="34"/>
      <c r="N27" s="274">
        <v>45975.0</v>
      </c>
      <c r="O27" s="275" t="s">
        <v>9011</v>
      </c>
      <c r="P27" s="276"/>
      <c r="Q27" s="275" t="s">
        <v>13234</v>
      </c>
      <c r="R27" s="359" t="s">
        <v>13235</v>
      </c>
      <c r="S27" s="360"/>
      <c r="T27" s="276"/>
      <c r="U27" s="276"/>
      <c r="V27" s="276"/>
      <c r="W27" s="276"/>
      <c r="X27" s="276"/>
      <c r="Y27" s="276"/>
      <c r="Z27" s="276"/>
      <c r="AA27" s="276"/>
      <c r="AB27" s="276"/>
      <c r="AC27" s="276"/>
    </row>
    <row r="28">
      <c r="A28" s="107" t="s">
        <v>5127</v>
      </c>
      <c r="B28" s="358">
        <v>45973.0</v>
      </c>
      <c r="C28" s="107">
        <v>8.05011557073E11</v>
      </c>
      <c r="D28" s="107" t="s">
        <v>5128</v>
      </c>
      <c r="E28" s="107" t="s">
        <v>5129</v>
      </c>
      <c r="F28" s="107" t="s">
        <v>5130</v>
      </c>
      <c r="G28" s="107" t="s">
        <v>155</v>
      </c>
      <c r="H28" s="107">
        <v>4405.0</v>
      </c>
      <c r="I28" s="107" t="s">
        <v>512</v>
      </c>
      <c r="J28" s="31" t="s">
        <v>513</v>
      </c>
      <c r="K28" s="33">
        <v>6.0</v>
      </c>
      <c r="L28" s="31">
        <f t="shared" si="1"/>
        <v>5492901418278</v>
      </c>
      <c r="M28" s="34"/>
      <c r="P28" s="276"/>
      <c r="S28" s="360"/>
      <c r="T28" s="276"/>
      <c r="U28" s="276"/>
      <c r="V28" s="276"/>
      <c r="W28" s="276"/>
      <c r="X28" s="276"/>
      <c r="Y28" s="276"/>
      <c r="Z28" s="276"/>
      <c r="AA28" s="276"/>
      <c r="AB28" s="276"/>
      <c r="AC28" s="276"/>
    </row>
    <row r="29">
      <c r="A29" s="107" t="s">
        <v>5127</v>
      </c>
      <c r="B29" s="358">
        <v>45973.0</v>
      </c>
      <c r="C29" s="107">
        <v>8.05011557073E11</v>
      </c>
      <c r="D29" s="107" t="s">
        <v>5128</v>
      </c>
      <c r="E29" s="107" t="s">
        <v>5129</v>
      </c>
      <c r="F29" s="107" t="s">
        <v>5130</v>
      </c>
      <c r="G29" s="107" t="s">
        <v>155</v>
      </c>
      <c r="H29" s="107">
        <v>4405.0</v>
      </c>
      <c r="I29" s="107" t="s">
        <v>1345</v>
      </c>
      <c r="J29" s="31" t="s">
        <v>3639</v>
      </c>
      <c r="K29" s="33">
        <v>1.0</v>
      </c>
      <c r="L29" s="31">
        <f t="shared" si="1"/>
        <v>5492901418278</v>
      </c>
      <c r="M29" s="34"/>
      <c r="P29" s="276"/>
      <c r="S29" s="361"/>
      <c r="T29" s="276"/>
      <c r="U29" s="276"/>
      <c r="V29" s="276"/>
      <c r="W29" s="276"/>
      <c r="X29" s="276"/>
      <c r="Y29" s="276"/>
      <c r="Z29" s="276"/>
      <c r="AA29" s="276"/>
      <c r="AB29" s="276"/>
      <c r="AC29" s="276"/>
    </row>
    <row r="30">
      <c r="A30" s="107" t="s">
        <v>5131</v>
      </c>
      <c r="B30" s="358">
        <v>45973.0</v>
      </c>
      <c r="C30" s="107">
        <v>8.05011556935E11</v>
      </c>
      <c r="D30" s="107" t="s">
        <v>5132</v>
      </c>
      <c r="E30" s="107" t="s">
        <v>5133</v>
      </c>
      <c r="F30" s="107" t="s">
        <v>5134</v>
      </c>
      <c r="G30" s="107" t="s">
        <v>624</v>
      </c>
      <c r="H30" s="107">
        <v>4403.0</v>
      </c>
      <c r="I30" s="107" t="s">
        <v>1747</v>
      </c>
      <c r="J30" s="31" t="s">
        <v>4208</v>
      </c>
      <c r="K30" s="33">
        <v>1.0</v>
      </c>
      <c r="L30" s="31">
        <v>3.87683169E9</v>
      </c>
      <c r="M30" s="34"/>
      <c r="N30" s="274">
        <v>45975.0</v>
      </c>
      <c r="O30" s="275" t="s">
        <v>9011</v>
      </c>
      <c r="P30" s="276"/>
      <c r="Q30" s="275" t="s">
        <v>13236</v>
      </c>
      <c r="R30" s="359" t="s">
        <v>13237</v>
      </c>
      <c r="S30" s="361"/>
      <c r="T30" s="275"/>
      <c r="U30" s="276"/>
      <c r="V30" s="276"/>
      <c r="W30" s="276"/>
      <c r="X30" s="276"/>
      <c r="Y30" s="276"/>
      <c r="Z30" s="276"/>
      <c r="AA30" s="276"/>
      <c r="AB30" s="276"/>
      <c r="AC30" s="276"/>
    </row>
    <row r="31">
      <c r="A31" s="107" t="s">
        <v>5135</v>
      </c>
      <c r="B31" s="358">
        <v>45973.0</v>
      </c>
      <c r="C31" s="107">
        <v>8.05011557683E11</v>
      </c>
      <c r="D31" s="107" t="s">
        <v>5136</v>
      </c>
      <c r="E31" s="107" t="s">
        <v>5137</v>
      </c>
      <c r="F31" s="107" t="s">
        <v>5138</v>
      </c>
      <c r="G31" s="107" t="s">
        <v>5139</v>
      </c>
      <c r="H31" s="107">
        <v>4568.0</v>
      </c>
      <c r="I31" s="107" t="s">
        <v>985</v>
      </c>
      <c r="J31" s="31" t="s">
        <v>3600</v>
      </c>
      <c r="K31" s="33">
        <v>1.0</v>
      </c>
      <c r="L31" s="31">
        <v>3.873506563E9</v>
      </c>
      <c r="M31" s="31" t="s">
        <v>5140</v>
      </c>
      <c r="N31" s="363">
        <v>45986.0</v>
      </c>
      <c r="O31" s="275" t="s">
        <v>9011</v>
      </c>
      <c r="P31" s="276"/>
      <c r="Q31" s="275" t="s">
        <v>9012</v>
      </c>
      <c r="R31" s="359" t="s">
        <v>13238</v>
      </c>
      <c r="S31" s="360"/>
      <c r="T31" s="276"/>
      <c r="U31" s="276"/>
      <c r="V31" s="276"/>
      <c r="W31" s="276"/>
      <c r="X31" s="276"/>
      <c r="Y31" s="276"/>
      <c r="Z31" s="276"/>
      <c r="AA31" s="276"/>
      <c r="AB31" s="276"/>
      <c r="AC31" s="276"/>
    </row>
    <row r="32">
      <c r="A32" s="107" t="s">
        <v>5135</v>
      </c>
      <c r="B32" s="358">
        <v>45973.0</v>
      </c>
      <c r="C32" s="107">
        <v>8.05011557683E11</v>
      </c>
      <c r="D32" s="107" t="s">
        <v>5136</v>
      </c>
      <c r="E32" s="107" t="s">
        <v>5137</v>
      </c>
      <c r="F32" s="107" t="s">
        <v>5138</v>
      </c>
      <c r="G32" s="107" t="s">
        <v>5139</v>
      </c>
      <c r="H32" s="107">
        <v>4568.0</v>
      </c>
      <c r="I32" s="107" t="s">
        <v>512</v>
      </c>
      <c r="J32" s="31" t="s">
        <v>513</v>
      </c>
      <c r="K32" s="33">
        <v>6.0</v>
      </c>
      <c r="L32" s="31">
        <v>3.873506563E9</v>
      </c>
      <c r="M32" s="31" t="s">
        <v>5140</v>
      </c>
      <c r="P32" s="276"/>
      <c r="S32" s="360"/>
      <c r="T32" s="276"/>
      <c r="U32" s="276"/>
      <c r="V32" s="276"/>
      <c r="W32" s="276"/>
      <c r="X32" s="276"/>
      <c r="Y32" s="276"/>
      <c r="Z32" s="276"/>
      <c r="AA32" s="276"/>
      <c r="AB32" s="276"/>
      <c r="AC32" s="276"/>
    </row>
    <row r="33">
      <c r="A33" s="107" t="s">
        <v>5135</v>
      </c>
      <c r="B33" s="358">
        <v>45973.0</v>
      </c>
      <c r="C33" s="107">
        <v>8.05011557683E11</v>
      </c>
      <c r="D33" s="107" t="s">
        <v>5136</v>
      </c>
      <c r="E33" s="107" t="s">
        <v>5137</v>
      </c>
      <c r="F33" s="107" t="s">
        <v>5138</v>
      </c>
      <c r="G33" s="107" t="s">
        <v>5139</v>
      </c>
      <c r="H33" s="107">
        <v>4568.0</v>
      </c>
      <c r="I33" s="107" t="s">
        <v>35</v>
      </c>
      <c r="J33" s="31" t="s">
        <v>3188</v>
      </c>
      <c r="K33" s="33">
        <v>1.0</v>
      </c>
      <c r="L33" s="31">
        <v>3.873506563E9</v>
      </c>
      <c r="M33" s="31" t="s">
        <v>5140</v>
      </c>
      <c r="P33" s="276"/>
      <c r="S33" s="361"/>
      <c r="T33" s="276"/>
      <c r="U33" s="276"/>
      <c r="V33" s="276"/>
      <c r="W33" s="276"/>
      <c r="X33" s="276"/>
      <c r="Y33" s="276"/>
      <c r="Z33" s="276"/>
      <c r="AA33" s="276"/>
      <c r="AB33" s="276"/>
      <c r="AC33" s="276"/>
    </row>
    <row r="34">
      <c r="A34" s="107" t="s">
        <v>5141</v>
      </c>
      <c r="B34" s="358">
        <v>45973.0</v>
      </c>
      <c r="C34" s="107">
        <v>8.0501155762E11</v>
      </c>
      <c r="D34" s="107" t="s">
        <v>5142</v>
      </c>
      <c r="E34" s="107" t="s">
        <v>5143</v>
      </c>
      <c r="F34" s="107" t="s">
        <v>5144</v>
      </c>
      <c r="G34" s="107" t="s">
        <v>1142</v>
      </c>
      <c r="H34" s="107">
        <v>4430.0</v>
      </c>
      <c r="I34" s="107" t="s">
        <v>617</v>
      </c>
      <c r="J34" s="31" t="s">
        <v>3867</v>
      </c>
      <c r="K34" s="33">
        <v>1.0</v>
      </c>
      <c r="L34" s="31" t="s">
        <v>5145</v>
      </c>
      <c r="M34" s="34"/>
      <c r="N34" s="363">
        <v>45980.0</v>
      </c>
      <c r="O34" s="275" t="s">
        <v>9011</v>
      </c>
      <c r="P34" s="276"/>
      <c r="Q34" s="275" t="s">
        <v>9012</v>
      </c>
      <c r="R34" s="359" t="s">
        <v>13239</v>
      </c>
      <c r="S34" s="361"/>
      <c r="T34" s="276"/>
      <c r="U34" s="276"/>
      <c r="V34" s="276"/>
      <c r="W34" s="276"/>
      <c r="X34" s="276"/>
      <c r="Y34" s="276"/>
      <c r="Z34" s="276"/>
      <c r="AA34" s="276"/>
      <c r="AB34" s="276"/>
      <c r="AC34" s="276"/>
    </row>
    <row r="35">
      <c r="A35" s="107" t="s">
        <v>5146</v>
      </c>
      <c r="B35" s="358">
        <v>45973.0</v>
      </c>
      <c r="C35" s="107">
        <v>8.0501155789E11</v>
      </c>
      <c r="D35" s="107" t="s">
        <v>5147</v>
      </c>
      <c r="E35" s="107" t="s">
        <v>5148</v>
      </c>
      <c r="F35" s="107" t="s">
        <v>5149</v>
      </c>
      <c r="G35" s="107" t="s">
        <v>20</v>
      </c>
      <c r="H35" s="107">
        <v>4400.0</v>
      </c>
      <c r="I35" s="107" t="s">
        <v>698</v>
      </c>
      <c r="J35" s="31" t="s">
        <v>699</v>
      </c>
      <c r="K35" s="33">
        <v>2.0</v>
      </c>
      <c r="L35" s="31">
        <v>3.875147383E9</v>
      </c>
      <c r="M35" s="34"/>
      <c r="N35" s="274">
        <v>45975.0</v>
      </c>
      <c r="O35" s="275" t="s">
        <v>9011</v>
      </c>
      <c r="P35" s="276"/>
      <c r="Q35" s="275" t="s">
        <v>13240</v>
      </c>
      <c r="R35" s="359" t="s">
        <v>13241</v>
      </c>
      <c r="S35" s="360"/>
      <c r="T35" s="276"/>
      <c r="U35" s="276"/>
      <c r="V35" s="276"/>
      <c r="W35" s="276"/>
      <c r="X35" s="276"/>
      <c r="Y35" s="276"/>
      <c r="Z35" s="276"/>
      <c r="AA35" s="276"/>
      <c r="AB35" s="276"/>
      <c r="AC35" s="276"/>
    </row>
    <row r="36">
      <c r="A36" s="107" t="s">
        <v>5146</v>
      </c>
      <c r="B36" s="358">
        <v>45973.0</v>
      </c>
      <c r="C36" s="107">
        <v>8.0501155789E11</v>
      </c>
      <c r="D36" s="107" t="s">
        <v>5147</v>
      </c>
      <c r="E36" s="107" t="s">
        <v>5148</v>
      </c>
      <c r="F36" s="107" t="s">
        <v>5149</v>
      </c>
      <c r="G36" s="107" t="s">
        <v>20</v>
      </c>
      <c r="H36" s="107">
        <v>4400.0</v>
      </c>
      <c r="I36" s="107" t="s">
        <v>512</v>
      </c>
      <c r="J36" s="31" t="s">
        <v>513</v>
      </c>
      <c r="K36" s="33">
        <v>12.0</v>
      </c>
      <c r="L36" s="31">
        <v>3.875147383E9</v>
      </c>
      <c r="M36" s="34"/>
      <c r="P36" s="276"/>
      <c r="S36" s="360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</row>
    <row r="37">
      <c r="A37" s="107" t="s">
        <v>5146</v>
      </c>
      <c r="B37" s="358">
        <v>45973.0</v>
      </c>
      <c r="C37" s="107">
        <v>8.0501155789E11</v>
      </c>
      <c r="D37" s="107" t="s">
        <v>5147</v>
      </c>
      <c r="E37" s="107" t="s">
        <v>5148</v>
      </c>
      <c r="F37" s="107" t="s">
        <v>5149</v>
      </c>
      <c r="G37" s="107" t="s">
        <v>20</v>
      </c>
      <c r="H37" s="107">
        <v>4400.0</v>
      </c>
      <c r="I37" s="107" t="s">
        <v>64</v>
      </c>
      <c r="J37" s="31" t="s">
        <v>3708</v>
      </c>
      <c r="K37" s="33">
        <v>2.0</v>
      </c>
      <c r="L37" s="31">
        <v>3.875147383E9</v>
      </c>
      <c r="M37" s="34"/>
      <c r="P37" s="276"/>
      <c r="S37" s="361"/>
      <c r="T37" s="276"/>
      <c r="U37" s="276"/>
      <c r="V37" s="276"/>
      <c r="W37" s="276"/>
      <c r="X37" s="276"/>
      <c r="Y37" s="276"/>
      <c r="Z37" s="276"/>
      <c r="AA37" s="276"/>
      <c r="AB37" s="276"/>
      <c r="AC37" s="276"/>
    </row>
    <row r="38">
      <c r="A38" s="107" t="s">
        <v>5150</v>
      </c>
      <c r="B38" s="358">
        <v>45973.0</v>
      </c>
      <c r="C38" s="107">
        <v>8.07025033781E11</v>
      </c>
      <c r="D38" s="107" t="s">
        <v>5151</v>
      </c>
      <c r="E38" s="107" t="s">
        <v>5152</v>
      </c>
      <c r="F38" s="107" t="s">
        <v>5153</v>
      </c>
      <c r="G38" s="107" t="s">
        <v>127</v>
      </c>
      <c r="H38" s="107">
        <v>4400.0</v>
      </c>
      <c r="I38" s="107" t="s">
        <v>5154</v>
      </c>
      <c r="J38" s="31" t="s">
        <v>5155</v>
      </c>
      <c r="K38" s="33">
        <v>1.0</v>
      </c>
      <c r="L38" s="31">
        <v>3.874031142E9</v>
      </c>
      <c r="M38" s="31" t="s">
        <v>5156</v>
      </c>
      <c r="N38" s="274">
        <v>45975.0</v>
      </c>
      <c r="O38" s="275" t="s">
        <v>9011</v>
      </c>
      <c r="P38" s="276"/>
      <c r="Q38" s="275" t="s">
        <v>13242</v>
      </c>
      <c r="R38" s="359" t="s">
        <v>13243</v>
      </c>
      <c r="S38" s="360"/>
      <c r="T38" s="276"/>
      <c r="U38" s="276"/>
      <c r="V38" s="276"/>
      <c r="W38" s="276"/>
      <c r="X38" s="276"/>
      <c r="Y38" s="276"/>
      <c r="Z38" s="276"/>
      <c r="AA38" s="276"/>
      <c r="AB38" s="276"/>
      <c r="AC38" s="276"/>
    </row>
    <row r="39">
      <c r="A39" s="107" t="s">
        <v>5150</v>
      </c>
      <c r="B39" s="358">
        <v>45973.0</v>
      </c>
      <c r="C39" s="107">
        <v>8.07025033781E11</v>
      </c>
      <c r="D39" s="107" t="s">
        <v>5151</v>
      </c>
      <c r="E39" s="107" t="s">
        <v>5152</v>
      </c>
      <c r="F39" s="107" t="s">
        <v>5153</v>
      </c>
      <c r="G39" s="107" t="s">
        <v>127</v>
      </c>
      <c r="H39" s="107">
        <v>4400.0</v>
      </c>
      <c r="I39" s="107" t="s">
        <v>3512</v>
      </c>
      <c r="J39" s="31" t="s">
        <v>3513</v>
      </c>
      <c r="K39" s="33">
        <v>12.0</v>
      </c>
      <c r="L39" s="31">
        <v>3.874031142E9</v>
      </c>
      <c r="M39" s="31" t="s">
        <v>5156</v>
      </c>
      <c r="P39" s="276"/>
      <c r="S39" s="360"/>
      <c r="T39" s="276"/>
      <c r="U39" s="276"/>
      <c r="V39" s="276"/>
      <c r="W39" s="276"/>
      <c r="X39" s="276"/>
      <c r="Y39" s="276"/>
      <c r="Z39" s="276"/>
      <c r="AA39" s="276"/>
      <c r="AB39" s="276"/>
      <c r="AC39" s="276"/>
    </row>
    <row r="40">
      <c r="A40" s="107" t="s">
        <v>5150</v>
      </c>
      <c r="B40" s="358">
        <v>45973.0</v>
      </c>
      <c r="C40" s="107">
        <v>8.07025033781E11</v>
      </c>
      <c r="D40" s="107" t="s">
        <v>5151</v>
      </c>
      <c r="E40" s="107" t="s">
        <v>5152</v>
      </c>
      <c r="F40" s="107" t="s">
        <v>5153</v>
      </c>
      <c r="G40" s="107" t="s">
        <v>127</v>
      </c>
      <c r="H40" s="107">
        <v>4400.0</v>
      </c>
      <c r="I40" s="107" t="s">
        <v>4250</v>
      </c>
      <c r="J40" s="31" t="s">
        <v>4251</v>
      </c>
      <c r="K40" s="33">
        <v>2.0</v>
      </c>
      <c r="L40" s="31">
        <v>3.874031142E9</v>
      </c>
      <c r="M40" s="31" t="s">
        <v>5156</v>
      </c>
      <c r="P40" s="276"/>
      <c r="S40" s="361"/>
      <c r="T40" s="276"/>
      <c r="U40" s="276"/>
      <c r="V40" s="276"/>
      <c r="W40" s="276"/>
      <c r="X40" s="276"/>
      <c r="Y40" s="276"/>
      <c r="Z40" s="276"/>
      <c r="AA40" s="276"/>
      <c r="AB40" s="276"/>
      <c r="AC40" s="276"/>
    </row>
    <row r="41">
      <c r="A41" s="107" t="s">
        <v>5157</v>
      </c>
      <c r="B41" s="358">
        <v>45973.0</v>
      </c>
      <c r="C41" s="107">
        <v>8.05011558062E11</v>
      </c>
      <c r="D41" s="107" t="s">
        <v>5158</v>
      </c>
      <c r="E41" s="107" t="s">
        <v>5159</v>
      </c>
      <c r="F41" s="107" t="s">
        <v>5160</v>
      </c>
      <c r="G41" s="107" t="s">
        <v>20</v>
      </c>
      <c r="H41" s="107">
        <v>4400.0</v>
      </c>
      <c r="I41" s="107" t="s">
        <v>3451</v>
      </c>
      <c r="J41" s="31" t="s">
        <v>3452</v>
      </c>
      <c r="K41" s="33">
        <v>1.0</v>
      </c>
      <c r="L41" s="31">
        <v>3.875207306E9</v>
      </c>
      <c r="M41" s="31" t="s">
        <v>5161</v>
      </c>
      <c r="N41" s="274">
        <v>45975.0</v>
      </c>
      <c r="O41" s="275" t="s">
        <v>9011</v>
      </c>
      <c r="P41" s="276"/>
      <c r="Q41" s="275" t="s">
        <v>9012</v>
      </c>
      <c r="R41" s="359" t="s">
        <v>13244</v>
      </c>
      <c r="S41" s="361"/>
      <c r="T41" s="276"/>
      <c r="U41" s="276"/>
      <c r="V41" s="276"/>
      <c r="W41" s="276"/>
      <c r="X41" s="276"/>
      <c r="Y41" s="276"/>
      <c r="Z41" s="276"/>
      <c r="AA41" s="276"/>
      <c r="AB41" s="276"/>
      <c r="AC41" s="276"/>
    </row>
    <row r="42">
      <c r="A42" s="172" t="s">
        <v>11060</v>
      </c>
      <c r="B42" s="364">
        <v>45978.0</v>
      </c>
      <c r="C42" s="365">
        <v>8.05011560333E11</v>
      </c>
      <c r="D42" s="365" t="s">
        <v>11061</v>
      </c>
      <c r="E42" s="365" t="s">
        <v>11062</v>
      </c>
      <c r="F42" s="172" t="s">
        <v>11063</v>
      </c>
      <c r="G42" s="172" t="s">
        <v>127</v>
      </c>
      <c r="H42" s="172">
        <v>4400.0</v>
      </c>
      <c r="I42" s="365" t="s">
        <v>22</v>
      </c>
      <c r="J42" s="366" t="s">
        <v>4013</v>
      </c>
      <c r="K42" s="259">
        <v>1.0</v>
      </c>
      <c r="L42" s="54">
        <v>3.874250952E9</v>
      </c>
      <c r="M42" s="367"/>
      <c r="N42" s="274">
        <v>45978.0</v>
      </c>
      <c r="O42" s="275" t="s">
        <v>9011</v>
      </c>
      <c r="P42" s="276"/>
      <c r="Q42" s="275" t="s">
        <v>13245</v>
      </c>
      <c r="R42" s="359" t="s">
        <v>13246</v>
      </c>
      <c r="S42" s="361"/>
      <c r="T42" s="276"/>
      <c r="U42" s="276"/>
      <c r="V42" s="276"/>
      <c r="W42" s="276"/>
      <c r="X42" s="276"/>
      <c r="Y42" s="276"/>
      <c r="Z42" s="276"/>
      <c r="AA42" s="276"/>
      <c r="AB42" s="276"/>
      <c r="AC42" s="276"/>
    </row>
    <row r="43">
      <c r="A43" s="172" t="s">
        <v>11064</v>
      </c>
      <c r="B43" s="364">
        <v>45978.0</v>
      </c>
      <c r="C43" s="365">
        <v>8.07000033905E11</v>
      </c>
      <c r="D43" s="365" t="s">
        <v>11065</v>
      </c>
      <c r="E43" s="365" t="s">
        <v>11066</v>
      </c>
      <c r="F43" s="365" t="s">
        <v>11067</v>
      </c>
      <c r="G43" s="172" t="s">
        <v>127</v>
      </c>
      <c r="H43" s="172">
        <v>4400.0</v>
      </c>
      <c r="I43" s="365" t="s">
        <v>5842</v>
      </c>
      <c r="J43" s="366" t="s">
        <v>5843</v>
      </c>
      <c r="K43" s="259">
        <v>1.0</v>
      </c>
      <c r="L43" s="54">
        <v>3.877504613E9</v>
      </c>
      <c r="M43" s="367"/>
      <c r="N43" s="274">
        <v>45978.0</v>
      </c>
      <c r="O43" s="275" t="s">
        <v>9011</v>
      </c>
      <c r="P43" s="276"/>
      <c r="Q43" s="275" t="s">
        <v>9012</v>
      </c>
      <c r="R43" s="359" t="s">
        <v>13247</v>
      </c>
      <c r="S43" s="361"/>
      <c r="T43" s="275"/>
      <c r="U43" s="276"/>
      <c r="V43" s="276"/>
      <c r="W43" s="276"/>
      <c r="X43" s="276"/>
      <c r="Y43" s="276"/>
      <c r="Z43" s="276"/>
      <c r="AA43" s="276"/>
      <c r="AB43" s="276"/>
      <c r="AC43" s="276"/>
    </row>
    <row r="44">
      <c r="A44" s="172" t="s">
        <v>11064</v>
      </c>
      <c r="B44" s="364">
        <v>45978.0</v>
      </c>
      <c r="C44" s="365">
        <v>8.07000033905E11</v>
      </c>
      <c r="D44" s="365" t="s">
        <v>11065</v>
      </c>
      <c r="E44" s="368" t="s">
        <v>11066</v>
      </c>
      <c r="F44" s="365" t="s">
        <v>11067</v>
      </c>
      <c r="G44" s="172" t="s">
        <v>127</v>
      </c>
      <c r="H44" s="172">
        <v>4400.0</v>
      </c>
      <c r="I44" s="365" t="s">
        <v>659</v>
      </c>
      <c r="J44" s="325" t="s">
        <v>3468</v>
      </c>
      <c r="K44" s="278">
        <v>1.0</v>
      </c>
      <c r="L44" s="54">
        <v>3.877504613E9</v>
      </c>
      <c r="M44" s="367"/>
      <c r="P44" s="276"/>
      <c r="S44" s="361"/>
      <c r="T44" s="276"/>
      <c r="U44" s="276"/>
      <c r="V44" s="276"/>
      <c r="W44" s="276"/>
      <c r="X44" s="276"/>
      <c r="Y44" s="276"/>
      <c r="Z44" s="276"/>
      <c r="AA44" s="276"/>
      <c r="AB44" s="276"/>
      <c r="AC44" s="276"/>
    </row>
    <row r="45">
      <c r="A45" s="172" t="s">
        <v>11068</v>
      </c>
      <c r="B45" s="364">
        <v>45978.0</v>
      </c>
      <c r="C45" s="365">
        <v>8.07000033899E11</v>
      </c>
      <c r="D45" s="365" t="s">
        <v>11069</v>
      </c>
      <c r="E45" s="365" t="s">
        <v>11070</v>
      </c>
      <c r="F45" s="172" t="s">
        <v>11071</v>
      </c>
      <c r="G45" s="172" t="s">
        <v>127</v>
      </c>
      <c r="H45" s="172">
        <v>4400.0</v>
      </c>
      <c r="I45" s="365" t="s">
        <v>761</v>
      </c>
      <c r="J45" s="325" t="s">
        <v>3761</v>
      </c>
      <c r="K45" s="278">
        <v>1.0</v>
      </c>
      <c r="L45" s="54">
        <v>3.875740071E9</v>
      </c>
      <c r="M45" s="367"/>
      <c r="N45" s="274">
        <v>45978.0</v>
      </c>
      <c r="O45" s="275" t="s">
        <v>9011</v>
      </c>
      <c r="P45" s="276"/>
      <c r="Q45" s="275" t="s">
        <v>9012</v>
      </c>
      <c r="R45" s="359" t="s">
        <v>13248</v>
      </c>
      <c r="S45" s="360"/>
      <c r="T45" s="276"/>
      <c r="U45" s="276"/>
      <c r="V45" s="276"/>
      <c r="W45" s="276"/>
      <c r="X45" s="276"/>
      <c r="Y45" s="276"/>
      <c r="Z45" s="276"/>
      <c r="AA45" s="276"/>
      <c r="AB45" s="276"/>
      <c r="AC45" s="276"/>
    </row>
    <row r="46">
      <c r="A46" s="172" t="s">
        <v>11068</v>
      </c>
      <c r="B46" s="364">
        <v>45978.0</v>
      </c>
      <c r="C46" s="365">
        <v>8.07000033899E11</v>
      </c>
      <c r="D46" s="365" t="s">
        <v>11069</v>
      </c>
      <c r="E46" s="365" t="s">
        <v>11070</v>
      </c>
      <c r="F46" s="172" t="s">
        <v>11071</v>
      </c>
      <c r="G46" s="172" t="s">
        <v>127</v>
      </c>
      <c r="H46" s="172">
        <v>4400.0</v>
      </c>
      <c r="I46" s="365" t="s">
        <v>512</v>
      </c>
      <c r="J46" s="366" t="s">
        <v>513</v>
      </c>
      <c r="K46" s="259">
        <v>12.0</v>
      </c>
      <c r="L46" s="54">
        <v>3.875740071E9</v>
      </c>
      <c r="M46" s="367"/>
      <c r="P46" s="276"/>
      <c r="S46" s="360"/>
      <c r="T46" s="276"/>
      <c r="U46" s="276"/>
      <c r="V46" s="276"/>
      <c r="W46" s="276"/>
      <c r="X46" s="276"/>
      <c r="Y46" s="276"/>
      <c r="Z46" s="276"/>
      <c r="AA46" s="276"/>
      <c r="AB46" s="276"/>
      <c r="AC46" s="276"/>
    </row>
    <row r="47">
      <c r="A47" s="172" t="s">
        <v>11068</v>
      </c>
      <c r="B47" s="364">
        <v>45978.0</v>
      </c>
      <c r="C47" s="365">
        <v>8.07000033899E11</v>
      </c>
      <c r="D47" s="365" t="s">
        <v>11069</v>
      </c>
      <c r="E47" s="365" t="s">
        <v>11070</v>
      </c>
      <c r="F47" s="172" t="s">
        <v>11071</v>
      </c>
      <c r="G47" s="172" t="s">
        <v>127</v>
      </c>
      <c r="H47" s="172">
        <v>4400.0</v>
      </c>
      <c r="I47" s="365" t="s">
        <v>758</v>
      </c>
      <c r="J47" s="325" t="s">
        <v>3574</v>
      </c>
      <c r="K47" s="278">
        <v>2.0</v>
      </c>
      <c r="L47" s="54">
        <v>3.875740071E9</v>
      </c>
      <c r="M47" s="367"/>
      <c r="P47" s="276"/>
      <c r="S47" s="361"/>
      <c r="T47" s="276"/>
      <c r="U47" s="276"/>
      <c r="V47" s="276"/>
      <c r="W47" s="276"/>
      <c r="X47" s="276"/>
      <c r="Y47" s="276"/>
      <c r="Z47" s="276"/>
      <c r="AA47" s="276"/>
      <c r="AB47" s="276"/>
      <c r="AC47" s="276"/>
    </row>
    <row r="48">
      <c r="A48" s="172" t="s">
        <v>11072</v>
      </c>
      <c r="B48" s="364">
        <v>45978.0</v>
      </c>
      <c r="C48" s="365">
        <v>8.0700003388E11</v>
      </c>
      <c r="D48" s="365" t="s">
        <v>11073</v>
      </c>
      <c r="E48" s="365" t="s">
        <v>11074</v>
      </c>
      <c r="F48" s="172" t="s">
        <v>11075</v>
      </c>
      <c r="G48" s="172" t="s">
        <v>11076</v>
      </c>
      <c r="H48" s="172">
        <v>4449.0</v>
      </c>
      <c r="I48" s="365" t="s">
        <v>512</v>
      </c>
      <c r="J48" s="325" t="s">
        <v>513</v>
      </c>
      <c r="K48" s="278">
        <v>12.0</v>
      </c>
      <c r="L48" s="54">
        <v>3.877667704E9</v>
      </c>
      <c r="M48" s="367"/>
      <c r="N48" s="363">
        <v>45986.0</v>
      </c>
      <c r="O48" s="275" t="s">
        <v>9011</v>
      </c>
      <c r="P48" s="276"/>
      <c r="Q48" s="275" t="s">
        <v>13249</v>
      </c>
      <c r="R48" s="359" t="s">
        <v>13250</v>
      </c>
      <c r="S48" s="360"/>
      <c r="T48" s="276"/>
      <c r="U48" s="276"/>
      <c r="V48" s="276"/>
      <c r="W48" s="276"/>
      <c r="X48" s="276"/>
      <c r="Y48" s="276"/>
      <c r="Z48" s="276"/>
      <c r="AA48" s="276"/>
      <c r="AB48" s="276"/>
      <c r="AC48" s="276"/>
    </row>
    <row r="49">
      <c r="A49" s="172" t="s">
        <v>11072</v>
      </c>
      <c r="B49" s="364">
        <v>45978.0</v>
      </c>
      <c r="C49" s="365">
        <v>8.07000033881E11</v>
      </c>
      <c r="D49" s="365" t="s">
        <v>11073</v>
      </c>
      <c r="E49" s="365" t="s">
        <v>11074</v>
      </c>
      <c r="F49" s="172" t="s">
        <v>11075</v>
      </c>
      <c r="G49" s="172" t="s">
        <v>11076</v>
      </c>
      <c r="H49" s="172">
        <v>4449.0</v>
      </c>
      <c r="I49" s="365" t="s">
        <v>1533</v>
      </c>
      <c r="J49" s="366" t="s">
        <v>8151</v>
      </c>
      <c r="K49" s="259">
        <v>1.0</v>
      </c>
      <c r="L49" s="54">
        <v>3.877667704E9</v>
      </c>
      <c r="M49" s="367"/>
      <c r="P49" s="276"/>
      <c r="S49" s="360"/>
      <c r="T49" s="276"/>
      <c r="U49" s="276"/>
      <c r="V49" s="276"/>
      <c r="W49" s="276"/>
      <c r="X49" s="276"/>
      <c r="Y49" s="276"/>
      <c r="Z49" s="276"/>
      <c r="AA49" s="276"/>
      <c r="AB49" s="276"/>
      <c r="AC49" s="276"/>
    </row>
    <row r="50">
      <c r="A50" s="172" t="s">
        <v>11072</v>
      </c>
      <c r="B50" s="364">
        <v>45978.0</v>
      </c>
      <c r="C50" s="365">
        <v>8.07000033881E11</v>
      </c>
      <c r="D50" s="365" t="s">
        <v>11073</v>
      </c>
      <c r="E50" s="365" t="s">
        <v>11074</v>
      </c>
      <c r="F50" s="172" t="s">
        <v>11075</v>
      </c>
      <c r="G50" s="172" t="s">
        <v>11076</v>
      </c>
      <c r="H50" s="172">
        <v>4449.0</v>
      </c>
      <c r="I50" s="365" t="s">
        <v>121</v>
      </c>
      <c r="J50" s="325" t="s">
        <v>3199</v>
      </c>
      <c r="K50" s="278">
        <v>2.0</v>
      </c>
      <c r="L50" s="54">
        <v>3.877667704E9</v>
      </c>
      <c r="M50" s="367"/>
      <c r="P50" s="276"/>
      <c r="S50" s="361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</row>
    <row r="51">
      <c r="A51" s="349" t="s">
        <v>11077</v>
      </c>
      <c r="B51" s="350">
        <v>45978.0</v>
      </c>
      <c r="C51" s="349">
        <v>8.07000033909E11</v>
      </c>
      <c r="D51" s="349" t="s">
        <v>11078</v>
      </c>
      <c r="E51" s="351" t="s">
        <v>11079</v>
      </c>
      <c r="F51" s="351" t="s">
        <v>11080</v>
      </c>
      <c r="G51" s="351" t="s">
        <v>127</v>
      </c>
      <c r="H51" s="349">
        <v>4400.0</v>
      </c>
      <c r="I51" s="351">
        <v>125813.0</v>
      </c>
      <c r="J51" s="369" t="s">
        <v>11081</v>
      </c>
      <c r="K51" s="275">
        <v>4.0</v>
      </c>
      <c r="L51" s="369">
        <v>3.875727339E10</v>
      </c>
      <c r="N51" s="274">
        <v>45981.0</v>
      </c>
      <c r="O51" s="275" t="s">
        <v>9011</v>
      </c>
      <c r="P51" s="276"/>
      <c r="Q51" s="275" t="s">
        <v>9012</v>
      </c>
      <c r="R51" s="359" t="s">
        <v>13251</v>
      </c>
      <c r="S51" s="361"/>
      <c r="T51" s="276"/>
      <c r="U51" s="276"/>
      <c r="V51" s="276"/>
      <c r="W51" s="276"/>
      <c r="X51" s="276"/>
      <c r="Y51" s="276"/>
      <c r="Z51" s="276"/>
      <c r="AA51" s="276"/>
      <c r="AB51" s="276"/>
      <c r="AC51" s="276"/>
    </row>
    <row r="52">
      <c r="A52" s="349" t="s">
        <v>11077</v>
      </c>
      <c r="B52" s="350">
        <v>45978.0</v>
      </c>
      <c r="C52" s="349">
        <v>8.07000033909E11</v>
      </c>
      <c r="D52" s="349" t="s">
        <v>11078</v>
      </c>
      <c r="E52" s="351" t="s">
        <v>11079</v>
      </c>
      <c r="F52" s="351" t="s">
        <v>11080</v>
      </c>
      <c r="G52" s="351" t="s">
        <v>127</v>
      </c>
      <c r="H52" s="349">
        <v>4400.0</v>
      </c>
      <c r="I52" s="351">
        <v>125814.0</v>
      </c>
      <c r="J52" s="369" t="s">
        <v>11082</v>
      </c>
      <c r="K52" s="275">
        <v>2.0</v>
      </c>
      <c r="L52" s="369">
        <v>3.875727339E10</v>
      </c>
      <c r="P52" s="276"/>
      <c r="S52" s="361"/>
      <c r="T52" s="276"/>
      <c r="U52" s="276"/>
      <c r="V52" s="276"/>
      <c r="W52" s="276"/>
      <c r="X52" s="276"/>
      <c r="Y52" s="276"/>
      <c r="Z52" s="276"/>
      <c r="AA52" s="276"/>
      <c r="AB52" s="276"/>
      <c r="AC52" s="276"/>
    </row>
    <row r="53">
      <c r="A53" s="349" t="s">
        <v>11077</v>
      </c>
      <c r="B53" s="350">
        <v>45978.0</v>
      </c>
      <c r="C53" s="349">
        <v>8.07000033909E11</v>
      </c>
      <c r="D53" s="349" t="s">
        <v>11078</v>
      </c>
      <c r="E53" s="351" t="s">
        <v>11079</v>
      </c>
      <c r="F53" s="351" t="s">
        <v>11080</v>
      </c>
      <c r="G53" s="351" t="s">
        <v>127</v>
      </c>
      <c r="H53" s="349">
        <v>4400.0</v>
      </c>
      <c r="I53" s="351" t="s">
        <v>11083</v>
      </c>
      <c r="J53" s="369" t="s">
        <v>11084</v>
      </c>
      <c r="K53" s="275">
        <v>1.0</v>
      </c>
      <c r="L53" s="369">
        <v>3.875727339E10</v>
      </c>
      <c r="P53" s="276"/>
      <c r="S53" s="360"/>
      <c r="T53" s="276"/>
      <c r="U53" s="276"/>
      <c r="V53" s="276"/>
      <c r="W53" s="276"/>
      <c r="X53" s="276"/>
      <c r="Y53" s="276"/>
      <c r="Z53" s="276"/>
      <c r="AA53" s="276"/>
      <c r="AB53" s="276"/>
      <c r="AC53" s="276"/>
    </row>
    <row r="54">
      <c r="A54" s="349" t="s">
        <v>11085</v>
      </c>
      <c r="B54" s="350">
        <v>45978.0</v>
      </c>
      <c r="C54" s="349">
        <v>8.07000033911E11</v>
      </c>
      <c r="D54" s="349" t="s">
        <v>11078</v>
      </c>
      <c r="E54" s="351" t="s">
        <v>11079</v>
      </c>
      <c r="F54" s="351" t="s">
        <v>11080</v>
      </c>
      <c r="G54" s="351" t="s">
        <v>127</v>
      </c>
      <c r="H54" s="349">
        <v>4400.0</v>
      </c>
      <c r="I54" s="351" t="s">
        <v>1337</v>
      </c>
      <c r="J54" s="369" t="s">
        <v>11086</v>
      </c>
      <c r="K54" s="275">
        <v>1.0</v>
      </c>
      <c r="L54" s="369">
        <v>3.875727339E10</v>
      </c>
      <c r="P54" s="276"/>
      <c r="S54" s="360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</row>
    <row r="55">
      <c r="A55" s="349" t="s">
        <v>11085</v>
      </c>
      <c r="B55" s="350">
        <v>45978.0</v>
      </c>
      <c r="C55" s="349">
        <v>8.07000033911E11</v>
      </c>
      <c r="D55" s="349" t="s">
        <v>11078</v>
      </c>
      <c r="E55" s="351" t="s">
        <v>11079</v>
      </c>
      <c r="F55" s="351" t="s">
        <v>11080</v>
      </c>
      <c r="G55" s="351" t="s">
        <v>127</v>
      </c>
      <c r="H55" s="349">
        <v>4400.0</v>
      </c>
      <c r="I55" s="351" t="s">
        <v>11087</v>
      </c>
      <c r="J55" s="369" t="s">
        <v>11088</v>
      </c>
      <c r="K55" s="275">
        <v>2.0</v>
      </c>
      <c r="L55" s="369">
        <v>3.875727339E10</v>
      </c>
      <c r="P55" s="276"/>
      <c r="S55" s="361"/>
      <c r="T55" s="276"/>
      <c r="U55" s="276"/>
      <c r="V55" s="276"/>
      <c r="W55" s="276"/>
      <c r="X55" s="276"/>
      <c r="Y55" s="276"/>
      <c r="Z55" s="276"/>
      <c r="AA55" s="276"/>
      <c r="AB55" s="276"/>
      <c r="AC55" s="276"/>
    </row>
    <row r="56">
      <c r="A56" s="370" t="s">
        <v>11089</v>
      </c>
      <c r="B56" s="371">
        <v>45979.0</v>
      </c>
      <c r="C56" s="365">
        <v>8.07000033912E11</v>
      </c>
      <c r="D56" s="365" t="s">
        <v>11090</v>
      </c>
      <c r="E56" s="365" t="s">
        <v>11091</v>
      </c>
      <c r="F56" s="370" t="s">
        <v>11092</v>
      </c>
      <c r="G56" s="370" t="s">
        <v>104</v>
      </c>
      <c r="H56" s="370">
        <v>4400.0</v>
      </c>
      <c r="I56" s="365" t="s">
        <v>11093</v>
      </c>
      <c r="J56" s="366" t="s">
        <v>11094</v>
      </c>
      <c r="K56" s="259">
        <v>1.0</v>
      </c>
      <c r="L56" s="210">
        <v>1.126396404E9</v>
      </c>
      <c r="N56" s="274">
        <v>45981.0</v>
      </c>
      <c r="O56" s="275" t="s">
        <v>9011</v>
      </c>
      <c r="P56" s="276"/>
      <c r="Q56" s="275" t="s">
        <v>13252</v>
      </c>
      <c r="R56" s="359" t="s">
        <v>13253</v>
      </c>
      <c r="S56" s="360"/>
      <c r="T56" s="276"/>
      <c r="U56" s="276"/>
      <c r="V56" s="276"/>
      <c r="W56" s="276"/>
      <c r="X56" s="276"/>
      <c r="Y56" s="276"/>
      <c r="Z56" s="276"/>
      <c r="AA56" s="276"/>
      <c r="AB56" s="276"/>
      <c r="AC56" s="276"/>
    </row>
    <row r="57">
      <c r="A57" s="370" t="s">
        <v>11089</v>
      </c>
      <c r="B57" s="371">
        <v>45979.0</v>
      </c>
      <c r="C57" s="365">
        <v>8.07000033913E11</v>
      </c>
      <c r="D57" s="365" t="s">
        <v>11090</v>
      </c>
      <c r="E57" s="365" t="s">
        <v>11091</v>
      </c>
      <c r="F57" s="370" t="s">
        <v>11092</v>
      </c>
      <c r="G57" s="370" t="s">
        <v>104</v>
      </c>
      <c r="H57" s="370">
        <v>4400.0</v>
      </c>
      <c r="I57" s="365" t="s">
        <v>3512</v>
      </c>
      <c r="J57" s="325" t="s">
        <v>3513</v>
      </c>
      <c r="K57" s="278">
        <v>12.0</v>
      </c>
      <c r="L57" s="210">
        <v>1.126396404E9</v>
      </c>
      <c r="P57" s="276"/>
      <c r="S57" s="360"/>
      <c r="T57" s="276"/>
      <c r="U57" s="276"/>
      <c r="V57" s="276"/>
      <c r="W57" s="276"/>
      <c r="X57" s="276"/>
      <c r="Y57" s="276"/>
      <c r="Z57" s="276"/>
      <c r="AA57" s="276"/>
      <c r="AB57" s="276"/>
      <c r="AC57" s="276"/>
    </row>
    <row r="58">
      <c r="A58" s="370" t="s">
        <v>11089</v>
      </c>
      <c r="B58" s="371">
        <v>45979.0</v>
      </c>
      <c r="C58" s="365">
        <v>8.07000033914E11</v>
      </c>
      <c r="D58" s="365" t="s">
        <v>11090</v>
      </c>
      <c r="E58" s="365" t="s">
        <v>11091</v>
      </c>
      <c r="F58" s="370" t="s">
        <v>11092</v>
      </c>
      <c r="G58" s="370" t="s">
        <v>104</v>
      </c>
      <c r="H58" s="370">
        <v>4400.0</v>
      </c>
      <c r="I58" s="365" t="s">
        <v>6665</v>
      </c>
      <c r="J58" s="366" t="s">
        <v>11095</v>
      </c>
      <c r="K58" s="259">
        <v>1.0</v>
      </c>
      <c r="L58" s="210">
        <v>1.126396404E9</v>
      </c>
      <c r="P58" s="276"/>
      <c r="S58" s="360"/>
      <c r="T58" s="276"/>
      <c r="U58" s="276"/>
      <c r="V58" s="276"/>
      <c r="W58" s="276"/>
      <c r="X58" s="276"/>
      <c r="Y58" s="276"/>
      <c r="Z58" s="276"/>
      <c r="AA58" s="276"/>
      <c r="AB58" s="276"/>
      <c r="AC58" s="276"/>
    </row>
    <row r="59">
      <c r="A59" s="370" t="s">
        <v>11089</v>
      </c>
      <c r="B59" s="371">
        <v>45979.0</v>
      </c>
      <c r="C59" s="365">
        <v>8.07000033914E11</v>
      </c>
      <c r="D59" s="365" t="s">
        <v>11090</v>
      </c>
      <c r="E59" s="365" t="s">
        <v>11091</v>
      </c>
      <c r="F59" s="370" t="s">
        <v>11092</v>
      </c>
      <c r="G59" s="370" t="s">
        <v>104</v>
      </c>
      <c r="H59" s="370">
        <v>4400.0</v>
      </c>
      <c r="I59" s="365" t="s">
        <v>4250</v>
      </c>
      <c r="J59" s="325" t="s">
        <v>4251</v>
      </c>
      <c r="K59" s="278">
        <v>2.0</v>
      </c>
      <c r="L59" s="210">
        <v>1.126396404E9</v>
      </c>
      <c r="P59" s="276"/>
      <c r="S59" s="361"/>
      <c r="T59" s="276"/>
      <c r="U59" s="276"/>
      <c r="V59" s="276"/>
      <c r="W59" s="276"/>
      <c r="X59" s="276"/>
      <c r="Y59" s="276"/>
      <c r="Z59" s="276"/>
      <c r="AA59" s="276"/>
      <c r="AB59" s="276"/>
      <c r="AC59" s="276"/>
    </row>
    <row r="60">
      <c r="A60" s="370" t="s">
        <v>11089</v>
      </c>
      <c r="B60" s="371">
        <v>45979.0</v>
      </c>
      <c r="C60" s="365">
        <v>8.07000033912E11</v>
      </c>
      <c r="D60" s="365" t="s">
        <v>11090</v>
      </c>
      <c r="E60" s="365" t="s">
        <v>11091</v>
      </c>
      <c r="F60" s="370" t="s">
        <v>11092</v>
      </c>
      <c r="G60" s="370" t="s">
        <v>104</v>
      </c>
      <c r="H60" s="370">
        <v>4400.0</v>
      </c>
      <c r="I60" s="365">
        <v>125820.0</v>
      </c>
      <c r="J60" s="325" t="s">
        <v>10252</v>
      </c>
      <c r="K60" s="278">
        <v>2.0</v>
      </c>
      <c r="L60" s="210">
        <v>1.126396404E9</v>
      </c>
      <c r="P60" s="276"/>
      <c r="S60" s="361"/>
      <c r="T60" s="276"/>
      <c r="U60" s="276"/>
      <c r="V60" s="276"/>
      <c r="W60" s="276"/>
      <c r="X60" s="276"/>
      <c r="Y60" s="276"/>
      <c r="Z60" s="276"/>
      <c r="AA60" s="276"/>
      <c r="AB60" s="276"/>
      <c r="AC60" s="276"/>
    </row>
    <row r="61">
      <c r="A61" s="370"/>
      <c r="B61" s="371"/>
      <c r="C61" s="365"/>
      <c r="D61" s="365"/>
      <c r="E61" s="365"/>
      <c r="F61" s="370"/>
      <c r="G61" s="370"/>
      <c r="H61" s="370"/>
      <c r="I61" s="365"/>
      <c r="J61" s="372"/>
      <c r="K61" s="373"/>
      <c r="L61" s="247"/>
      <c r="M61" s="233"/>
      <c r="N61" s="274"/>
      <c r="O61" s="275"/>
      <c r="P61" s="276"/>
      <c r="Q61" s="275"/>
      <c r="R61" s="277"/>
      <c r="S61" s="360"/>
      <c r="T61" s="276"/>
      <c r="U61" s="276"/>
      <c r="V61" s="276"/>
      <c r="W61" s="276"/>
      <c r="X61" s="276"/>
      <c r="Y61" s="276"/>
      <c r="Z61" s="276"/>
      <c r="AA61" s="276"/>
      <c r="AB61" s="276"/>
      <c r="AC61" s="276"/>
    </row>
    <row r="62">
      <c r="A62" s="370" t="s">
        <v>11096</v>
      </c>
      <c r="B62" s="371">
        <v>45980.0</v>
      </c>
      <c r="C62" s="365">
        <v>8.07000033916E11</v>
      </c>
      <c r="D62" s="365" t="s">
        <v>11097</v>
      </c>
      <c r="E62" s="365" t="s">
        <v>11098</v>
      </c>
      <c r="F62" s="370" t="s">
        <v>11099</v>
      </c>
      <c r="G62" s="370" t="s">
        <v>127</v>
      </c>
      <c r="H62" s="370">
        <v>4400.0</v>
      </c>
      <c r="I62" s="365" t="s">
        <v>512</v>
      </c>
      <c r="J62" s="325" t="s">
        <v>513</v>
      </c>
      <c r="K62" s="278">
        <v>6.0</v>
      </c>
      <c r="L62" s="210">
        <v>3.875791981E9</v>
      </c>
      <c r="N62" s="274">
        <v>45980.0</v>
      </c>
      <c r="O62" s="275" t="s">
        <v>9011</v>
      </c>
      <c r="P62" s="276"/>
      <c r="Q62" s="275" t="s">
        <v>13254</v>
      </c>
      <c r="R62" s="359" t="s">
        <v>13255</v>
      </c>
      <c r="S62" s="360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</row>
    <row r="63">
      <c r="A63" s="370" t="s">
        <v>11096</v>
      </c>
      <c r="B63" s="371">
        <v>45980.0</v>
      </c>
      <c r="C63" s="365">
        <v>8.07000033917E11</v>
      </c>
      <c r="D63" s="365" t="s">
        <v>11097</v>
      </c>
      <c r="E63" s="365" t="s">
        <v>11098</v>
      </c>
      <c r="F63" s="370" t="s">
        <v>11099</v>
      </c>
      <c r="G63" s="370" t="s">
        <v>127</v>
      </c>
      <c r="H63" s="370">
        <v>4400.0</v>
      </c>
      <c r="I63" s="365" t="s">
        <v>9359</v>
      </c>
      <c r="J63" s="366" t="s">
        <v>9360</v>
      </c>
      <c r="K63" s="259">
        <v>1.0</v>
      </c>
      <c r="L63" s="210">
        <v>3.875791981E9</v>
      </c>
      <c r="P63" s="276"/>
      <c r="S63" s="360"/>
      <c r="T63" s="276"/>
      <c r="U63" s="276"/>
      <c r="V63" s="276"/>
      <c r="W63" s="276"/>
      <c r="X63" s="276"/>
      <c r="Y63" s="276"/>
      <c r="Z63" s="276"/>
      <c r="AA63" s="276"/>
      <c r="AB63" s="276"/>
      <c r="AC63" s="276"/>
    </row>
    <row r="64">
      <c r="A64" s="370" t="s">
        <v>11096</v>
      </c>
      <c r="B64" s="371">
        <v>45980.0</v>
      </c>
      <c r="C64" s="365">
        <v>8.07000033917E11</v>
      </c>
      <c r="D64" s="365" t="s">
        <v>11097</v>
      </c>
      <c r="E64" s="365" t="s">
        <v>11098</v>
      </c>
      <c r="F64" s="370" t="s">
        <v>11099</v>
      </c>
      <c r="G64" s="370" t="s">
        <v>127</v>
      </c>
      <c r="H64" s="370">
        <v>4400.0</v>
      </c>
      <c r="I64" s="365" t="s">
        <v>969</v>
      </c>
      <c r="J64" s="325" t="s">
        <v>3296</v>
      </c>
      <c r="K64" s="278">
        <v>1.0</v>
      </c>
      <c r="L64" s="210">
        <v>3.875791981E9</v>
      </c>
      <c r="P64" s="276"/>
      <c r="S64" s="361"/>
      <c r="T64" s="276"/>
      <c r="U64" s="276"/>
      <c r="V64" s="276"/>
      <c r="W64" s="276"/>
      <c r="X64" s="276"/>
      <c r="Y64" s="276"/>
      <c r="Z64" s="276"/>
      <c r="AA64" s="276"/>
      <c r="AB64" s="276"/>
      <c r="AC64" s="276"/>
    </row>
    <row r="65">
      <c r="A65" s="370" t="s">
        <v>11100</v>
      </c>
      <c r="B65" s="371">
        <v>45980.0</v>
      </c>
      <c r="C65" s="365">
        <v>8.07000033919E11</v>
      </c>
      <c r="D65" s="365" t="s">
        <v>6545</v>
      </c>
      <c r="E65" s="365" t="s">
        <v>6546</v>
      </c>
      <c r="F65" s="370" t="s">
        <v>11101</v>
      </c>
      <c r="G65" s="370" t="s">
        <v>3599</v>
      </c>
      <c r="H65" s="370">
        <v>4554.0</v>
      </c>
      <c r="I65" s="365" t="s">
        <v>512</v>
      </c>
      <c r="J65" s="366" t="s">
        <v>513</v>
      </c>
      <c r="K65" s="259">
        <v>6.0</v>
      </c>
      <c r="L65" s="210">
        <v>3.875287662E9</v>
      </c>
      <c r="N65" s="363">
        <v>45986.0</v>
      </c>
      <c r="O65" s="275" t="s">
        <v>9011</v>
      </c>
      <c r="P65" s="276"/>
      <c r="Q65" s="275" t="s">
        <v>13256</v>
      </c>
      <c r="R65" s="359" t="s">
        <v>13257</v>
      </c>
      <c r="S65" s="360"/>
      <c r="T65" s="276"/>
      <c r="U65" s="276"/>
      <c r="V65" s="276"/>
      <c r="W65" s="276"/>
      <c r="X65" s="276"/>
      <c r="Y65" s="276"/>
      <c r="Z65" s="276"/>
      <c r="AA65" s="276"/>
      <c r="AB65" s="276"/>
      <c r="AC65" s="276"/>
    </row>
    <row r="66">
      <c r="A66" s="370" t="s">
        <v>11100</v>
      </c>
      <c r="B66" s="371">
        <v>45980.0</v>
      </c>
      <c r="C66" s="365">
        <v>8.0700003392E11</v>
      </c>
      <c r="D66" s="365" t="s">
        <v>6545</v>
      </c>
      <c r="E66" s="365" t="s">
        <v>6546</v>
      </c>
      <c r="F66" s="370" t="s">
        <v>11101</v>
      </c>
      <c r="G66" s="370" t="s">
        <v>3599</v>
      </c>
      <c r="H66" s="370">
        <v>4554.0</v>
      </c>
      <c r="I66" s="365" t="s">
        <v>812</v>
      </c>
      <c r="J66" s="325" t="s">
        <v>3564</v>
      </c>
      <c r="K66" s="278">
        <v>1.0</v>
      </c>
      <c r="L66" s="210">
        <v>3.875287662E9</v>
      </c>
      <c r="P66" s="276"/>
      <c r="S66" s="360"/>
      <c r="T66" s="276"/>
      <c r="U66" s="276"/>
      <c r="V66" s="276"/>
      <c r="W66" s="276"/>
      <c r="X66" s="276"/>
      <c r="Y66" s="276"/>
      <c r="Z66" s="276"/>
      <c r="AA66" s="276"/>
      <c r="AB66" s="276"/>
      <c r="AC66" s="276"/>
    </row>
    <row r="67">
      <c r="A67" s="370" t="s">
        <v>11100</v>
      </c>
      <c r="B67" s="371">
        <v>45980.0</v>
      </c>
      <c r="C67" s="365">
        <v>8.0700003392E11</v>
      </c>
      <c r="D67" s="365" t="s">
        <v>6545</v>
      </c>
      <c r="E67" s="365" t="s">
        <v>6546</v>
      </c>
      <c r="F67" s="370" t="s">
        <v>11101</v>
      </c>
      <c r="G67" s="370" t="s">
        <v>3599</v>
      </c>
      <c r="H67" s="370">
        <v>4554.0</v>
      </c>
      <c r="I67" s="365" t="s">
        <v>35</v>
      </c>
      <c r="J67" s="366" t="s">
        <v>3188</v>
      </c>
      <c r="K67" s="259">
        <v>1.0</v>
      </c>
      <c r="L67" s="210">
        <v>3.875287662E9</v>
      </c>
      <c r="P67" s="276"/>
      <c r="S67" s="361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</row>
    <row r="68">
      <c r="A68" s="370" t="s">
        <v>11102</v>
      </c>
      <c r="B68" s="371">
        <v>45980.0</v>
      </c>
      <c r="C68" s="365">
        <v>8.07000033895E11</v>
      </c>
      <c r="D68" s="365" t="s">
        <v>11103</v>
      </c>
      <c r="E68" s="365" t="s">
        <v>11104</v>
      </c>
      <c r="F68" s="370" t="s">
        <v>11105</v>
      </c>
      <c r="G68" s="370" t="s">
        <v>127</v>
      </c>
      <c r="H68" s="370">
        <v>4400.0</v>
      </c>
      <c r="I68" s="365">
        <v>125814.0</v>
      </c>
      <c r="J68" s="366" t="s">
        <v>9798</v>
      </c>
      <c r="K68" s="259">
        <v>2.0</v>
      </c>
      <c r="L68" s="210">
        <v>3.877409303E9</v>
      </c>
      <c r="N68" s="274">
        <v>45980.0</v>
      </c>
      <c r="O68" s="275" t="s">
        <v>9011</v>
      </c>
      <c r="P68" s="276"/>
      <c r="Q68" s="275" t="s">
        <v>13258</v>
      </c>
      <c r="R68" s="359" t="s">
        <v>13259</v>
      </c>
      <c r="S68" s="361"/>
      <c r="T68" s="276"/>
      <c r="U68" s="276"/>
      <c r="V68" s="276"/>
      <c r="W68" s="276"/>
      <c r="X68" s="276"/>
      <c r="Y68" s="276"/>
      <c r="Z68" s="276"/>
      <c r="AA68" s="276"/>
      <c r="AB68" s="276"/>
      <c r="AC68" s="276"/>
    </row>
    <row r="69">
      <c r="A69" s="370" t="s">
        <v>11102</v>
      </c>
      <c r="B69" s="371">
        <v>45980.0</v>
      </c>
      <c r="C69" s="365">
        <v>8.07000033895E11</v>
      </c>
      <c r="D69" s="365" t="s">
        <v>11103</v>
      </c>
      <c r="E69" s="365" t="s">
        <v>11104</v>
      </c>
      <c r="F69" s="370" t="s">
        <v>11105</v>
      </c>
      <c r="G69" s="370" t="s">
        <v>127</v>
      </c>
      <c r="H69" s="370">
        <v>4400.0</v>
      </c>
      <c r="I69" s="365" t="s">
        <v>11093</v>
      </c>
      <c r="J69" s="325" t="s">
        <v>11094</v>
      </c>
      <c r="K69" s="278">
        <v>1.0</v>
      </c>
      <c r="L69" s="210">
        <v>3.877409303E9</v>
      </c>
      <c r="P69" s="276"/>
      <c r="S69" s="360"/>
      <c r="T69" s="276"/>
      <c r="U69" s="276"/>
      <c r="V69" s="276"/>
      <c r="W69" s="276"/>
      <c r="X69" s="276"/>
      <c r="Y69" s="276"/>
      <c r="Z69" s="276"/>
      <c r="AA69" s="276"/>
      <c r="AB69" s="276"/>
      <c r="AC69" s="276"/>
    </row>
    <row r="70">
      <c r="A70" s="370" t="s">
        <v>11106</v>
      </c>
      <c r="B70" s="371">
        <v>45980.0</v>
      </c>
      <c r="C70" s="365">
        <v>8.07000033896E11</v>
      </c>
      <c r="D70" s="365" t="s">
        <v>11103</v>
      </c>
      <c r="E70" s="365" t="s">
        <v>11104</v>
      </c>
      <c r="F70" s="370" t="s">
        <v>11105</v>
      </c>
      <c r="G70" s="370" t="s">
        <v>127</v>
      </c>
      <c r="H70" s="370">
        <v>4400.0</v>
      </c>
      <c r="I70" s="365" t="s">
        <v>6833</v>
      </c>
      <c r="J70" s="366" t="s">
        <v>11006</v>
      </c>
      <c r="K70" s="259">
        <v>1.0</v>
      </c>
      <c r="L70" s="210">
        <v>3.877409303E9</v>
      </c>
      <c r="P70" s="276"/>
      <c r="S70" s="360"/>
      <c r="T70" s="276"/>
      <c r="U70" s="276"/>
      <c r="V70" s="276"/>
      <c r="W70" s="276"/>
      <c r="X70" s="276"/>
      <c r="Y70" s="276"/>
      <c r="Z70" s="276"/>
      <c r="AA70" s="276"/>
      <c r="AB70" s="276"/>
      <c r="AC70" s="276"/>
    </row>
    <row r="71">
      <c r="A71" s="370" t="s">
        <v>11107</v>
      </c>
      <c r="B71" s="371">
        <v>45980.0</v>
      </c>
      <c r="C71" s="365">
        <v>8.07000033897E11</v>
      </c>
      <c r="D71" s="365" t="s">
        <v>11103</v>
      </c>
      <c r="E71" s="365" t="s">
        <v>11104</v>
      </c>
      <c r="F71" s="370" t="s">
        <v>11105</v>
      </c>
      <c r="G71" s="370" t="s">
        <v>127</v>
      </c>
      <c r="H71" s="370">
        <v>4400.0</v>
      </c>
      <c r="I71" s="365" t="s">
        <v>6835</v>
      </c>
      <c r="J71" s="325" t="s">
        <v>8150</v>
      </c>
      <c r="K71" s="278">
        <v>2.0</v>
      </c>
      <c r="L71" s="210">
        <v>3.877409303E9</v>
      </c>
      <c r="P71" s="276"/>
      <c r="S71" s="361"/>
      <c r="T71" s="276"/>
      <c r="U71" s="276"/>
      <c r="V71" s="276"/>
      <c r="W71" s="276"/>
      <c r="X71" s="276"/>
      <c r="Y71" s="276"/>
      <c r="Z71" s="276"/>
      <c r="AA71" s="276"/>
      <c r="AB71" s="276"/>
      <c r="AC71" s="276"/>
    </row>
    <row r="72">
      <c r="A72" s="370" t="s">
        <v>11108</v>
      </c>
      <c r="B72" s="371">
        <v>45980.0</v>
      </c>
      <c r="C72" s="365">
        <v>8.07000033928E11</v>
      </c>
      <c r="D72" s="365" t="s">
        <v>11109</v>
      </c>
      <c r="E72" s="365" t="s">
        <v>11110</v>
      </c>
      <c r="F72" s="370" t="s">
        <v>11111</v>
      </c>
      <c r="G72" s="370" t="s">
        <v>127</v>
      </c>
      <c r="H72" s="370">
        <v>4400.0</v>
      </c>
      <c r="I72" s="365">
        <v>125813.0</v>
      </c>
      <c r="J72" s="325" t="s">
        <v>5703</v>
      </c>
      <c r="K72" s="278">
        <v>2.0</v>
      </c>
      <c r="L72" s="210">
        <v>3.874244414E9</v>
      </c>
      <c r="N72" s="274">
        <v>45980.0</v>
      </c>
      <c r="O72" s="275" t="s">
        <v>9011</v>
      </c>
      <c r="P72" s="276"/>
      <c r="Q72" s="275" t="s">
        <v>9012</v>
      </c>
      <c r="R72" s="359" t="s">
        <v>13260</v>
      </c>
      <c r="S72" s="361"/>
      <c r="T72" s="276"/>
      <c r="U72" s="276"/>
      <c r="V72" s="276"/>
      <c r="W72" s="276"/>
      <c r="X72" s="276"/>
      <c r="Y72" s="276"/>
      <c r="Z72" s="276"/>
      <c r="AA72" s="276"/>
      <c r="AB72" s="276"/>
      <c r="AC72" s="276"/>
    </row>
    <row r="73">
      <c r="A73" s="370" t="s">
        <v>11108</v>
      </c>
      <c r="B73" s="371">
        <v>45980.0</v>
      </c>
      <c r="C73" s="365">
        <v>8.07000033928E11</v>
      </c>
      <c r="D73" s="365" t="s">
        <v>11109</v>
      </c>
      <c r="E73" s="365" t="s">
        <v>11110</v>
      </c>
      <c r="F73" s="370" t="s">
        <v>11111</v>
      </c>
      <c r="G73" s="370" t="s">
        <v>127</v>
      </c>
      <c r="H73" s="370">
        <v>4400.0</v>
      </c>
      <c r="I73" s="365" t="s">
        <v>3205</v>
      </c>
      <c r="J73" s="366" t="s">
        <v>3206</v>
      </c>
      <c r="K73" s="259">
        <v>1.0</v>
      </c>
      <c r="L73" s="210">
        <v>3.874244414E9</v>
      </c>
      <c r="P73" s="276"/>
      <c r="S73" s="361"/>
      <c r="T73" s="276"/>
      <c r="U73" s="276"/>
      <c r="V73" s="276"/>
      <c r="W73" s="276"/>
      <c r="X73" s="276"/>
      <c r="Y73" s="276"/>
      <c r="Z73" s="276"/>
      <c r="AA73" s="276"/>
      <c r="AB73" s="276"/>
      <c r="AC73" s="276"/>
    </row>
    <row r="74">
      <c r="A74" s="370" t="s">
        <v>11108</v>
      </c>
      <c r="B74" s="371">
        <v>45980.0</v>
      </c>
      <c r="C74" s="365">
        <v>8.07000033928E11</v>
      </c>
      <c r="D74" s="365" t="s">
        <v>11109</v>
      </c>
      <c r="E74" s="365" t="s">
        <v>11110</v>
      </c>
      <c r="F74" s="370" t="s">
        <v>11111</v>
      </c>
      <c r="G74" s="370" t="s">
        <v>127</v>
      </c>
      <c r="H74" s="370">
        <v>4400.0</v>
      </c>
      <c r="I74" s="365" t="s">
        <v>11112</v>
      </c>
      <c r="J74" s="325" t="s">
        <v>11113</v>
      </c>
      <c r="K74" s="278">
        <v>1.0</v>
      </c>
      <c r="L74" s="210">
        <v>3.874244414E9</v>
      </c>
      <c r="P74" s="276"/>
      <c r="S74" s="360"/>
      <c r="T74" s="276"/>
      <c r="U74" s="276"/>
      <c r="V74" s="276"/>
      <c r="W74" s="276"/>
      <c r="X74" s="276"/>
      <c r="Y74" s="276"/>
      <c r="Z74" s="276"/>
      <c r="AA74" s="276"/>
      <c r="AB74" s="276"/>
      <c r="AC74" s="276"/>
    </row>
    <row r="75">
      <c r="A75" s="370" t="s">
        <v>11114</v>
      </c>
      <c r="B75" s="371">
        <v>45981.0</v>
      </c>
      <c r="C75" s="365">
        <v>8.07000033932E11</v>
      </c>
      <c r="D75" s="365" t="s">
        <v>11115</v>
      </c>
      <c r="E75" s="365" t="s">
        <v>11116</v>
      </c>
      <c r="F75" s="370" t="s">
        <v>11117</v>
      </c>
      <c r="G75" s="370" t="s">
        <v>127</v>
      </c>
      <c r="H75" s="370">
        <v>4400.0</v>
      </c>
      <c r="I75" s="365">
        <v>125814.0</v>
      </c>
      <c r="J75" s="366" t="s">
        <v>9798</v>
      </c>
      <c r="K75" s="259">
        <v>2.0</v>
      </c>
      <c r="L75" s="210">
        <v>3.874155375E9</v>
      </c>
      <c r="N75" s="274">
        <v>45981.0</v>
      </c>
      <c r="O75" s="275" t="s">
        <v>9011</v>
      </c>
      <c r="P75" s="276"/>
      <c r="Q75" s="275" t="s">
        <v>13261</v>
      </c>
      <c r="R75" s="359" t="s">
        <v>13262</v>
      </c>
      <c r="S75" s="361"/>
      <c r="T75" s="276"/>
      <c r="U75" s="276"/>
      <c r="V75" s="276"/>
      <c r="W75" s="276"/>
      <c r="X75" s="276"/>
      <c r="Y75" s="276"/>
      <c r="Z75" s="276"/>
      <c r="AA75" s="276"/>
      <c r="AB75" s="276"/>
      <c r="AC75" s="276"/>
    </row>
    <row r="76">
      <c r="A76" s="370" t="s">
        <v>11114</v>
      </c>
      <c r="B76" s="371">
        <v>45981.0</v>
      </c>
      <c r="C76" s="365">
        <v>8.07000033933E11</v>
      </c>
      <c r="D76" s="365" t="s">
        <v>11115</v>
      </c>
      <c r="E76" s="365" t="s">
        <v>11116</v>
      </c>
      <c r="F76" s="370" t="s">
        <v>11117</v>
      </c>
      <c r="G76" s="370" t="s">
        <v>127</v>
      </c>
      <c r="H76" s="370">
        <v>4400.0</v>
      </c>
      <c r="I76" s="365" t="s">
        <v>4133</v>
      </c>
      <c r="J76" s="325" t="s">
        <v>4134</v>
      </c>
      <c r="K76" s="278">
        <v>1.0</v>
      </c>
      <c r="L76" s="210">
        <v>3.874155375E9</v>
      </c>
      <c r="P76" s="276"/>
      <c r="S76" s="361"/>
      <c r="T76" s="276"/>
      <c r="U76" s="276"/>
      <c r="V76" s="276"/>
      <c r="W76" s="276"/>
      <c r="X76" s="276"/>
      <c r="Y76" s="276"/>
      <c r="Z76" s="276"/>
      <c r="AA76" s="276"/>
      <c r="AB76" s="276"/>
      <c r="AC76" s="276"/>
    </row>
    <row r="77">
      <c r="A77" s="370" t="s">
        <v>11119</v>
      </c>
      <c r="B77" s="371">
        <v>45981.0</v>
      </c>
      <c r="C77" s="365">
        <v>8.07000033934E11</v>
      </c>
      <c r="D77" s="365" t="s">
        <v>11115</v>
      </c>
      <c r="E77" s="365" t="s">
        <v>11116</v>
      </c>
      <c r="F77" s="370" t="s">
        <v>11117</v>
      </c>
      <c r="G77" s="370" t="s">
        <v>127</v>
      </c>
      <c r="H77" s="370">
        <v>4400.0</v>
      </c>
      <c r="I77" s="365" t="s">
        <v>11120</v>
      </c>
      <c r="J77" s="366" t="s">
        <v>11121</v>
      </c>
      <c r="K77" s="259">
        <v>1.0</v>
      </c>
      <c r="L77" s="210">
        <v>3.874155375E9</v>
      </c>
      <c r="P77" s="276"/>
      <c r="S77" s="361"/>
      <c r="T77" s="276"/>
      <c r="U77" s="276"/>
      <c r="V77" s="276"/>
      <c r="W77" s="276"/>
      <c r="X77" s="276"/>
      <c r="Y77" s="276"/>
      <c r="Z77" s="276"/>
      <c r="AA77" s="276"/>
      <c r="AB77" s="276"/>
      <c r="AC77" s="276"/>
    </row>
    <row r="78">
      <c r="A78" s="374" t="s">
        <v>5162</v>
      </c>
      <c r="B78" s="375">
        <v>45980.0</v>
      </c>
      <c r="C78" s="376">
        <v>8.05011556167E11</v>
      </c>
      <c r="D78" s="374" t="s">
        <v>5163</v>
      </c>
      <c r="E78" s="374" t="s">
        <v>5164</v>
      </c>
      <c r="F78" s="374" t="s">
        <v>5165</v>
      </c>
      <c r="G78" s="374" t="s">
        <v>127</v>
      </c>
      <c r="H78" s="176">
        <v>4400.0</v>
      </c>
      <c r="I78" s="374" t="s">
        <v>98</v>
      </c>
      <c r="J78" s="103" t="s">
        <v>3187</v>
      </c>
      <c r="K78" s="104">
        <v>1.0</v>
      </c>
      <c r="L78" s="103" t="s">
        <v>5166</v>
      </c>
      <c r="M78" s="105"/>
      <c r="N78" s="274">
        <v>45981.0</v>
      </c>
      <c r="O78" s="275" t="s">
        <v>9011</v>
      </c>
      <c r="P78" s="276"/>
      <c r="Q78" s="275" t="s">
        <v>9012</v>
      </c>
      <c r="R78" s="359" t="s">
        <v>13263</v>
      </c>
      <c r="S78" s="360"/>
      <c r="T78" s="276"/>
      <c r="U78" s="276"/>
      <c r="V78" s="276"/>
      <c r="W78" s="276"/>
      <c r="X78" s="276"/>
      <c r="Y78" s="276"/>
      <c r="Z78" s="276"/>
      <c r="AA78" s="276"/>
      <c r="AB78" s="276"/>
      <c r="AC78" s="276"/>
    </row>
    <row r="79">
      <c r="A79" s="374" t="s">
        <v>5162</v>
      </c>
      <c r="B79" s="375">
        <v>45980.0</v>
      </c>
      <c r="C79" s="376">
        <v>8.05011556167E11</v>
      </c>
      <c r="D79" s="374" t="s">
        <v>5163</v>
      </c>
      <c r="E79" s="374" t="s">
        <v>5164</v>
      </c>
      <c r="F79" s="374" t="s">
        <v>5165</v>
      </c>
      <c r="G79" s="374" t="s">
        <v>127</v>
      </c>
      <c r="H79" s="176">
        <v>4400.0</v>
      </c>
      <c r="I79" s="374" t="s">
        <v>512</v>
      </c>
      <c r="J79" s="103" t="s">
        <v>513</v>
      </c>
      <c r="K79" s="104">
        <v>6.0</v>
      </c>
      <c r="L79" s="103" t="s">
        <v>5166</v>
      </c>
      <c r="M79" s="105"/>
      <c r="P79" s="276"/>
      <c r="S79" s="360"/>
      <c r="T79" s="276"/>
      <c r="U79" s="276"/>
      <c r="V79" s="276"/>
      <c r="W79" s="276"/>
      <c r="X79" s="276"/>
      <c r="Y79" s="276"/>
      <c r="Z79" s="276"/>
      <c r="AA79" s="276"/>
      <c r="AB79" s="276"/>
      <c r="AC79" s="276"/>
    </row>
    <row r="80">
      <c r="A80" s="374" t="s">
        <v>5162</v>
      </c>
      <c r="B80" s="375">
        <v>45980.0</v>
      </c>
      <c r="C80" s="376">
        <v>8.05011556167E11</v>
      </c>
      <c r="D80" s="374" t="s">
        <v>5163</v>
      </c>
      <c r="E80" s="374" t="s">
        <v>5164</v>
      </c>
      <c r="F80" s="374" t="s">
        <v>5165</v>
      </c>
      <c r="G80" s="374" t="s">
        <v>127</v>
      </c>
      <c r="H80" s="176">
        <v>4400.0</v>
      </c>
      <c r="I80" s="374" t="s">
        <v>670</v>
      </c>
      <c r="J80" s="103" t="s">
        <v>3410</v>
      </c>
      <c r="K80" s="104">
        <v>1.0</v>
      </c>
      <c r="L80" s="103" t="s">
        <v>5166</v>
      </c>
      <c r="M80" s="105"/>
      <c r="P80" s="276"/>
      <c r="S80" s="361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</row>
    <row r="81">
      <c r="A81" s="374" t="s">
        <v>5167</v>
      </c>
      <c r="B81" s="375">
        <v>45980.0</v>
      </c>
      <c r="C81" s="376">
        <v>8.05011556361E11</v>
      </c>
      <c r="D81" s="374" t="s">
        <v>5168</v>
      </c>
      <c r="E81" s="374" t="s">
        <v>5169</v>
      </c>
      <c r="F81" s="374" t="s">
        <v>5170</v>
      </c>
      <c r="G81" s="374" t="s">
        <v>486</v>
      </c>
      <c r="H81" s="176">
        <v>4440.0</v>
      </c>
      <c r="I81" s="374" t="s">
        <v>32</v>
      </c>
      <c r="J81" s="103" t="s">
        <v>3225</v>
      </c>
      <c r="K81" s="104">
        <v>1.0</v>
      </c>
      <c r="L81" s="104">
        <v>3.876470718E9</v>
      </c>
      <c r="M81" s="105"/>
      <c r="N81" s="363">
        <v>45986.0</v>
      </c>
      <c r="O81" s="275" t="s">
        <v>9011</v>
      </c>
      <c r="P81" s="276"/>
      <c r="Q81" s="275" t="s">
        <v>13264</v>
      </c>
      <c r="R81" s="359" t="s">
        <v>13265</v>
      </c>
      <c r="S81" s="360"/>
      <c r="T81" s="276"/>
      <c r="U81" s="276"/>
      <c r="V81" s="276"/>
      <c r="W81" s="276"/>
      <c r="X81" s="276"/>
      <c r="Y81" s="276"/>
      <c r="Z81" s="276"/>
      <c r="AA81" s="276"/>
      <c r="AB81" s="276"/>
      <c r="AC81" s="276"/>
    </row>
    <row r="82">
      <c r="A82" s="374" t="s">
        <v>5167</v>
      </c>
      <c r="B82" s="375">
        <v>45980.0</v>
      </c>
      <c r="C82" s="376">
        <v>8.05011556361E11</v>
      </c>
      <c r="D82" s="374" t="s">
        <v>5168</v>
      </c>
      <c r="E82" s="374" t="s">
        <v>5169</v>
      </c>
      <c r="F82" s="374" t="s">
        <v>5170</v>
      </c>
      <c r="G82" s="374" t="s">
        <v>486</v>
      </c>
      <c r="H82" s="176">
        <v>4440.0</v>
      </c>
      <c r="I82" s="374" t="s">
        <v>512</v>
      </c>
      <c r="J82" s="103" t="s">
        <v>513</v>
      </c>
      <c r="K82" s="104">
        <v>6.0</v>
      </c>
      <c r="L82" s="104">
        <v>3.876470718E9</v>
      </c>
      <c r="M82" s="105"/>
      <c r="P82" s="276"/>
      <c r="S82" s="360"/>
      <c r="T82" s="276"/>
      <c r="U82" s="276"/>
      <c r="V82" s="276"/>
      <c r="W82" s="276"/>
      <c r="X82" s="276"/>
      <c r="Y82" s="276"/>
      <c r="Z82" s="276"/>
      <c r="AA82" s="276"/>
      <c r="AB82" s="276"/>
      <c r="AC82" s="276"/>
    </row>
    <row r="83">
      <c r="A83" s="374" t="s">
        <v>5167</v>
      </c>
      <c r="B83" s="375">
        <v>45980.0</v>
      </c>
      <c r="C83" s="376">
        <v>8.05011556361E11</v>
      </c>
      <c r="D83" s="374" t="s">
        <v>5168</v>
      </c>
      <c r="E83" s="374" t="s">
        <v>5169</v>
      </c>
      <c r="F83" s="374" t="s">
        <v>5170</v>
      </c>
      <c r="G83" s="374" t="s">
        <v>486</v>
      </c>
      <c r="H83" s="176">
        <v>4440.0</v>
      </c>
      <c r="I83" s="374" t="s">
        <v>35</v>
      </c>
      <c r="J83" s="103" t="s">
        <v>3188</v>
      </c>
      <c r="K83" s="104">
        <v>1.0</v>
      </c>
      <c r="L83" s="104">
        <v>3.876470718E9</v>
      </c>
      <c r="M83" s="105"/>
      <c r="P83" s="276"/>
      <c r="S83" s="361"/>
      <c r="T83" s="276"/>
      <c r="U83" s="276"/>
      <c r="V83" s="276"/>
      <c r="W83" s="276"/>
      <c r="X83" s="276"/>
      <c r="Y83" s="276"/>
      <c r="Z83" s="276"/>
      <c r="AA83" s="276"/>
      <c r="AB83" s="276"/>
      <c r="AC83" s="276"/>
    </row>
    <row r="84">
      <c r="A84" s="374" t="s">
        <v>5171</v>
      </c>
      <c r="B84" s="375">
        <v>45980.0</v>
      </c>
      <c r="C84" s="376">
        <v>8.05011557528E11</v>
      </c>
      <c r="D84" s="374" t="s">
        <v>5172</v>
      </c>
      <c r="E84" s="374" t="s">
        <v>5173</v>
      </c>
      <c r="F84" s="374" t="s">
        <v>5174</v>
      </c>
      <c r="G84" s="374" t="s">
        <v>20</v>
      </c>
      <c r="H84" s="176">
        <v>4400.0</v>
      </c>
      <c r="I84" s="374" t="s">
        <v>98</v>
      </c>
      <c r="J84" s="103" t="s">
        <v>3187</v>
      </c>
      <c r="K84" s="104">
        <v>1.0</v>
      </c>
      <c r="L84" s="104">
        <v>3.875455E9</v>
      </c>
      <c r="M84" s="103" t="s">
        <v>5175</v>
      </c>
      <c r="N84" s="274">
        <v>45982.0</v>
      </c>
      <c r="O84" s="275" t="s">
        <v>9011</v>
      </c>
      <c r="P84" s="276"/>
      <c r="Q84" s="275" t="s">
        <v>13266</v>
      </c>
      <c r="R84" s="359" t="s">
        <v>13267</v>
      </c>
      <c r="S84" s="361"/>
      <c r="T84" s="276"/>
      <c r="U84" s="276"/>
      <c r="V84" s="276"/>
      <c r="W84" s="276"/>
      <c r="X84" s="276"/>
      <c r="Y84" s="276"/>
      <c r="Z84" s="276"/>
      <c r="AA84" s="276"/>
      <c r="AB84" s="276"/>
      <c r="AC84" s="276"/>
    </row>
    <row r="85">
      <c r="A85" s="374" t="s">
        <v>5176</v>
      </c>
      <c r="B85" s="375">
        <v>45980.0</v>
      </c>
      <c r="C85" s="376">
        <v>8.07025033796E11</v>
      </c>
      <c r="D85" s="374" t="s">
        <v>5177</v>
      </c>
      <c r="E85" s="374" t="s">
        <v>5178</v>
      </c>
      <c r="F85" s="374" t="s">
        <v>5179</v>
      </c>
      <c r="G85" s="374" t="s">
        <v>127</v>
      </c>
      <c r="H85" s="176">
        <v>4400.0</v>
      </c>
      <c r="I85" s="374" t="s">
        <v>5010</v>
      </c>
      <c r="J85" s="103" t="s">
        <v>5011</v>
      </c>
      <c r="K85" s="104">
        <v>1.0</v>
      </c>
      <c r="L85" s="104">
        <v>3.875010062E9</v>
      </c>
      <c r="M85" s="103" t="s">
        <v>5180</v>
      </c>
      <c r="N85" s="274">
        <v>45982.0</v>
      </c>
      <c r="O85" s="275" t="s">
        <v>9011</v>
      </c>
      <c r="P85" s="276"/>
      <c r="Q85" s="275" t="s">
        <v>9012</v>
      </c>
      <c r="R85" s="359" t="s">
        <v>13268</v>
      </c>
      <c r="S85" s="361"/>
      <c r="T85" s="275"/>
      <c r="U85" s="276"/>
      <c r="V85" s="276"/>
      <c r="W85" s="276"/>
      <c r="X85" s="276"/>
      <c r="Y85" s="276"/>
      <c r="Z85" s="276"/>
      <c r="AA85" s="276"/>
      <c r="AB85" s="276"/>
      <c r="AC85" s="276"/>
    </row>
    <row r="86">
      <c r="A86" s="374" t="s">
        <v>5181</v>
      </c>
      <c r="B86" s="375">
        <v>45980.0</v>
      </c>
      <c r="C86" s="376">
        <v>8.050115572E11</v>
      </c>
      <c r="D86" s="374" t="s">
        <v>5182</v>
      </c>
      <c r="E86" s="374" t="s">
        <v>5183</v>
      </c>
      <c r="F86" s="374" t="s">
        <v>5184</v>
      </c>
      <c r="G86" s="374" t="s">
        <v>20</v>
      </c>
      <c r="H86" s="176">
        <v>4400.0</v>
      </c>
      <c r="I86" s="374" t="s">
        <v>5185</v>
      </c>
      <c r="J86" s="103" t="s">
        <v>5186</v>
      </c>
      <c r="K86" s="104">
        <v>2.0</v>
      </c>
      <c r="L86" s="104">
        <v>3.875408833E9</v>
      </c>
      <c r="M86" s="103" t="s">
        <v>5187</v>
      </c>
      <c r="N86" s="274">
        <v>45982.0</v>
      </c>
      <c r="O86" s="275" t="s">
        <v>9011</v>
      </c>
      <c r="P86" s="276"/>
      <c r="Q86" s="275" t="s">
        <v>13269</v>
      </c>
      <c r="R86" s="359" t="s">
        <v>13270</v>
      </c>
      <c r="S86" s="361"/>
      <c r="T86" s="276"/>
      <c r="U86" s="276"/>
      <c r="V86" s="276"/>
      <c r="W86" s="276"/>
      <c r="X86" s="276"/>
      <c r="Y86" s="276"/>
      <c r="Z86" s="276"/>
      <c r="AA86" s="276"/>
      <c r="AB86" s="276"/>
      <c r="AC86" s="276"/>
    </row>
    <row r="87">
      <c r="A87" s="374" t="s">
        <v>5188</v>
      </c>
      <c r="B87" s="375">
        <v>45980.0</v>
      </c>
      <c r="C87" s="376">
        <v>8.07025033801E11</v>
      </c>
      <c r="D87" s="374" t="s">
        <v>5189</v>
      </c>
      <c r="E87" s="374" t="s">
        <v>5190</v>
      </c>
      <c r="F87" s="374" t="s">
        <v>5191</v>
      </c>
      <c r="G87" s="374" t="s">
        <v>127</v>
      </c>
      <c r="H87" s="176">
        <v>4400.0</v>
      </c>
      <c r="I87" s="376">
        <v>125801.0</v>
      </c>
      <c r="J87" s="103" t="s">
        <v>5192</v>
      </c>
      <c r="K87" s="104">
        <v>2.0</v>
      </c>
      <c r="L87" s="104">
        <v>3.885058941E9</v>
      </c>
      <c r="M87" s="103" t="s">
        <v>1734</v>
      </c>
      <c r="N87" s="274">
        <v>45981.0</v>
      </c>
      <c r="O87" s="275" t="s">
        <v>9011</v>
      </c>
      <c r="P87" s="276"/>
      <c r="Q87" s="275" t="s">
        <v>9012</v>
      </c>
      <c r="R87" s="359" t="s">
        <v>13271</v>
      </c>
      <c r="S87" s="361"/>
      <c r="T87" s="276"/>
      <c r="U87" s="276"/>
      <c r="V87" s="276"/>
      <c r="W87" s="276"/>
      <c r="X87" s="276"/>
      <c r="Y87" s="276"/>
      <c r="Z87" s="276"/>
      <c r="AA87" s="276"/>
      <c r="AB87" s="276"/>
      <c r="AC87" s="276"/>
    </row>
    <row r="88">
      <c r="A88" s="374" t="s">
        <v>5188</v>
      </c>
      <c r="B88" s="375">
        <v>45980.0</v>
      </c>
      <c r="C88" s="376">
        <v>8.07025033801E11</v>
      </c>
      <c r="D88" s="374" t="s">
        <v>5189</v>
      </c>
      <c r="E88" s="374" t="s">
        <v>5190</v>
      </c>
      <c r="F88" s="374" t="s">
        <v>5191</v>
      </c>
      <c r="G88" s="374" t="s">
        <v>127</v>
      </c>
      <c r="H88" s="176">
        <v>4400.0</v>
      </c>
      <c r="I88" s="374" t="s">
        <v>32</v>
      </c>
      <c r="J88" s="103" t="s">
        <v>3225</v>
      </c>
      <c r="K88" s="104">
        <v>1.0</v>
      </c>
      <c r="L88" s="104">
        <v>3.885058941E9</v>
      </c>
      <c r="M88" s="103" t="s">
        <v>1734</v>
      </c>
      <c r="P88" s="276"/>
      <c r="S88" s="360"/>
      <c r="T88" s="276"/>
      <c r="U88" s="276"/>
      <c r="V88" s="276"/>
      <c r="W88" s="276"/>
      <c r="X88" s="276"/>
      <c r="Y88" s="276"/>
      <c r="Z88" s="276"/>
      <c r="AA88" s="276"/>
      <c r="AB88" s="276"/>
      <c r="AC88" s="276"/>
    </row>
    <row r="89">
      <c r="A89" s="374" t="s">
        <v>5188</v>
      </c>
      <c r="B89" s="375">
        <v>45980.0</v>
      </c>
      <c r="C89" s="376">
        <v>8.07025033801E11</v>
      </c>
      <c r="D89" s="374" t="s">
        <v>5189</v>
      </c>
      <c r="E89" s="374" t="s">
        <v>5190</v>
      </c>
      <c r="F89" s="374" t="s">
        <v>5191</v>
      </c>
      <c r="G89" s="374" t="s">
        <v>127</v>
      </c>
      <c r="H89" s="176">
        <v>4400.0</v>
      </c>
      <c r="I89" s="374" t="s">
        <v>512</v>
      </c>
      <c r="J89" s="103" t="s">
        <v>513</v>
      </c>
      <c r="K89" s="104">
        <v>6.0</v>
      </c>
      <c r="L89" s="104">
        <v>3.885058941E9</v>
      </c>
      <c r="M89" s="103" t="s">
        <v>1734</v>
      </c>
      <c r="P89" s="276"/>
      <c r="S89" s="360"/>
      <c r="T89" s="276"/>
      <c r="U89" s="276"/>
      <c r="V89" s="276"/>
      <c r="W89" s="276"/>
      <c r="X89" s="276"/>
      <c r="Y89" s="276"/>
      <c r="Z89" s="276"/>
      <c r="AA89" s="276"/>
      <c r="AB89" s="276"/>
      <c r="AC89" s="276"/>
    </row>
    <row r="90">
      <c r="A90" s="374" t="s">
        <v>5188</v>
      </c>
      <c r="B90" s="375">
        <v>45980.0</v>
      </c>
      <c r="C90" s="376">
        <v>8.07025033801E11</v>
      </c>
      <c r="D90" s="374" t="s">
        <v>5189</v>
      </c>
      <c r="E90" s="374" t="s">
        <v>5190</v>
      </c>
      <c r="F90" s="374" t="s">
        <v>5191</v>
      </c>
      <c r="G90" s="374" t="s">
        <v>127</v>
      </c>
      <c r="H90" s="176">
        <v>4400.0</v>
      </c>
      <c r="I90" s="374" t="s">
        <v>670</v>
      </c>
      <c r="J90" s="103" t="s">
        <v>3410</v>
      </c>
      <c r="K90" s="104">
        <v>1.0</v>
      </c>
      <c r="L90" s="104">
        <v>3.885058941E9</v>
      </c>
      <c r="M90" s="103" t="s">
        <v>1734</v>
      </c>
      <c r="P90" s="276"/>
      <c r="S90" s="361"/>
      <c r="T90" s="276"/>
      <c r="U90" s="276"/>
      <c r="V90" s="276"/>
      <c r="W90" s="276"/>
      <c r="X90" s="276"/>
      <c r="Y90" s="276"/>
      <c r="Z90" s="276"/>
      <c r="AA90" s="276"/>
      <c r="AB90" s="276"/>
      <c r="AC90" s="276"/>
    </row>
    <row r="91">
      <c r="A91" s="374" t="s">
        <v>5193</v>
      </c>
      <c r="B91" s="375">
        <v>45980.0</v>
      </c>
      <c r="C91" s="376">
        <v>8.06217067871E11</v>
      </c>
      <c r="D91" s="374" t="s">
        <v>5194</v>
      </c>
      <c r="E91" s="374" t="s">
        <v>5195</v>
      </c>
      <c r="F91" s="374" t="s">
        <v>5196</v>
      </c>
      <c r="G91" s="374" t="s">
        <v>4056</v>
      </c>
      <c r="H91" s="176">
        <v>4423.0</v>
      </c>
      <c r="I91" s="376">
        <v>125801.0</v>
      </c>
      <c r="J91" s="103" t="s">
        <v>5192</v>
      </c>
      <c r="K91" s="104">
        <v>2.0</v>
      </c>
      <c r="L91" s="104">
        <v>3.874073497E9</v>
      </c>
      <c r="M91" s="105"/>
      <c r="N91" s="274">
        <v>45981.0</v>
      </c>
      <c r="O91" s="275" t="s">
        <v>9011</v>
      </c>
      <c r="P91" s="276"/>
      <c r="Q91" s="275" t="s">
        <v>9012</v>
      </c>
      <c r="R91" s="359" t="s">
        <v>13272</v>
      </c>
      <c r="S91" s="361"/>
      <c r="T91" s="276"/>
      <c r="U91" s="276"/>
      <c r="V91" s="276"/>
      <c r="W91" s="276"/>
      <c r="X91" s="276"/>
      <c r="Y91" s="276"/>
      <c r="Z91" s="276"/>
      <c r="AA91" s="276"/>
      <c r="AB91" s="276"/>
      <c r="AC91" s="276"/>
    </row>
    <row r="92">
      <c r="A92" s="374" t="s">
        <v>5197</v>
      </c>
      <c r="B92" s="375">
        <v>45980.0</v>
      </c>
      <c r="C92" s="376">
        <v>8.06217067872E11</v>
      </c>
      <c r="D92" s="374" t="s">
        <v>5194</v>
      </c>
      <c r="E92" s="374" t="s">
        <v>5195</v>
      </c>
      <c r="F92" s="374" t="s">
        <v>5196</v>
      </c>
      <c r="G92" s="374" t="s">
        <v>4056</v>
      </c>
      <c r="H92" s="176">
        <v>4423.0</v>
      </c>
      <c r="I92" s="374" t="s">
        <v>32</v>
      </c>
      <c r="J92" s="103" t="s">
        <v>3225</v>
      </c>
      <c r="K92" s="104">
        <v>1.0</v>
      </c>
      <c r="L92" s="104">
        <v>3.874073497E9</v>
      </c>
      <c r="M92" s="105"/>
      <c r="P92" s="276"/>
      <c r="S92" s="360"/>
      <c r="T92" s="276"/>
      <c r="U92" s="276"/>
      <c r="V92" s="276"/>
      <c r="W92" s="276"/>
      <c r="X92" s="276"/>
      <c r="Y92" s="276"/>
      <c r="Z92" s="276"/>
      <c r="AA92" s="276"/>
      <c r="AB92" s="276"/>
      <c r="AC92" s="276"/>
    </row>
    <row r="93">
      <c r="A93" s="374" t="s">
        <v>5197</v>
      </c>
      <c r="B93" s="375">
        <v>45980.0</v>
      </c>
      <c r="C93" s="376">
        <v>8.06217067872E11</v>
      </c>
      <c r="D93" s="374" t="s">
        <v>5194</v>
      </c>
      <c r="E93" s="374" t="s">
        <v>5195</v>
      </c>
      <c r="F93" s="374" t="s">
        <v>5196</v>
      </c>
      <c r="G93" s="374" t="s">
        <v>4056</v>
      </c>
      <c r="H93" s="176">
        <v>4423.0</v>
      </c>
      <c r="I93" s="374" t="s">
        <v>512</v>
      </c>
      <c r="J93" s="103" t="s">
        <v>513</v>
      </c>
      <c r="K93" s="104">
        <v>6.0</v>
      </c>
      <c r="L93" s="104">
        <v>3.874073497E9</v>
      </c>
      <c r="M93" s="105"/>
      <c r="P93" s="276"/>
      <c r="S93" s="360"/>
      <c r="T93" s="276"/>
      <c r="U93" s="276"/>
      <c r="V93" s="276"/>
      <c r="W93" s="276"/>
      <c r="X93" s="276"/>
      <c r="Y93" s="276"/>
      <c r="Z93" s="276"/>
      <c r="AA93" s="276"/>
      <c r="AB93" s="276"/>
      <c r="AC93" s="276"/>
    </row>
    <row r="94">
      <c r="A94" s="374" t="s">
        <v>5197</v>
      </c>
      <c r="B94" s="375">
        <v>45980.0</v>
      </c>
      <c r="C94" s="376">
        <v>8.06217067872E11</v>
      </c>
      <c r="D94" s="374" t="s">
        <v>5194</v>
      </c>
      <c r="E94" s="374" t="s">
        <v>5195</v>
      </c>
      <c r="F94" s="374" t="s">
        <v>5196</v>
      </c>
      <c r="G94" s="374" t="s">
        <v>4056</v>
      </c>
      <c r="H94" s="176">
        <v>4423.0</v>
      </c>
      <c r="I94" s="374" t="s">
        <v>670</v>
      </c>
      <c r="J94" s="103" t="s">
        <v>3410</v>
      </c>
      <c r="K94" s="104">
        <v>1.0</v>
      </c>
      <c r="L94" s="104">
        <v>3.874073497E9</v>
      </c>
      <c r="M94" s="105"/>
      <c r="P94" s="276"/>
      <c r="S94" s="361"/>
      <c r="T94" s="276"/>
      <c r="U94" s="276"/>
      <c r="V94" s="276"/>
      <c r="W94" s="276"/>
      <c r="X94" s="276"/>
      <c r="Y94" s="276"/>
      <c r="Z94" s="276"/>
      <c r="AA94" s="276"/>
      <c r="AB94" s="276"/>
      <c r="AC94" s="276"/>
    </row>
    <row r="95">
      <c r="A95" s="374" t="s">
        <v>13273</v>
      </c>
      <c r="B95" s="375">
        <v>45980.0</v>
      </c>
      <c r="C95" s="376">
        <v>8.05011558505E11</v>
      </c>
      <c r="D95" s="374" t="s">
        <v>11167</v>
      </c>
      <c r="E95" s="374" t="s">
        <v>11168</v>
      </c>
      <c r="F95" s="374" t="s">
        <v>13274</v>
      </c>
      <c r="G95" s="374" t="s">
        <v>20</v>
      </c>
      <c r="H95" s="176">
        <v>4400.0</v>
      </c>
      <c r="I95" s="374" t="s">
        <v>6998</v>
      </c>
      <c r="J95" s="251" t="s">
        <v>5352</v>
      </c>
      <c r="K95" s="377">
        <v>1.0</v>
      </c>
      <c r="L95" s="377">
        <v>3.874538659E9</v>
      </c>
      <c r="M95" s="251" t="s">
        <v>13275</v>
      </c>
      <c r="N95" s="274">
        <v>45986.0</v>
      </c>
      <c r="O95" s="275" t="s">
        <v>9011</v>
      </c>
      <c r="P95" s="276"/>
      <c r="Q95" s="275" t="s">
        <v>9012</v>
      </c>
      <c r="R95" s="359" t="s">
        <v>13276</v>
      </c>
      <c r="S95" s="361"/>
      <c r="T95" s="276"/>
      <c r="U95" s="276"/>
      <c r="V95" s="276"/>
      <c r="W95" s="276"/>
      <c r="X95" s="276"/>
      <c r="Y95" s="276"/>
      <c r="Z95" s="276"/>
      <c r="AA95" s="276"/>
      <c r="AB95" s="276"/>
      <c r="AC95" s="276"/>
    </row>
    <row r="96">
      <c r="A96" s="374" t="s">
        <v>5198</v>
      </c>
      <c r="B96" s="375">
        <v>45980.0</v>
      </c>
      <c r="C96" s="376">
        <v>8.05011558517E11</v>
      </c>
      <c r="D96" s="374" t="s">
        <v>5199</v>
      </c>
      <c r="E96" s="374" t="s">
        <v>5200</v>
      </c>
      <c r="F96" s="374" t="s">
        <v>5201</v>
      </c>
      <c r="G96" s="374" t="s">
        <v>41</v>
      </c>
      <c r="H96" s="176">
        <v>4560.0</v>
      </c>
      <c r="I96" s="374" t="s">
        <v>32</v>
      </c>
      <c r="J96" s="103" t="s">
        <v>3225</v>
      </c>
      <c r="K96" s="104">
        <v>1.0</v>
      </c>
      <c r="L96" s="106">
        <v>5.4939E12</v>
      </c>
      <c r="M96" s="105"/>
      <c r="N96" s="363">
        <v>45986.0</v>
      </c>
      <c r="O96" s="275" t="s">
        <v>9011</v>
      </c>
      <c r="P96" s="276"/>
      <c r="Q96" s="275" t="s">
        <v>9012</v>
      </c>
      <c r="R96" s="359" t="s">
        <v>13277</v>
      </c>
      <c r="S96" s="360"/>
      <c r="T96" s="276"/>
      <c r="U96" s="276"/>
      <c r="V96" s="276"/>
      <c r="W96" s="276"/>
      <c r="X96" s="276"/>
      <c r="Y96" s="276"/>
      <c r="Z96" s="276"/>
      <c r="AA96" s="276"/>
      <c r="AB96" s="276"/>
      <c r="AC96" s="276"/>
    </row>
    <row r="97">
      <c r="A97" s="374" t="s">
        <v>5198</v>
      </c>
      <c r="B97" s="375">
        <v>45980.0</v>
      </c>
      <c r="C97" s="376">
        <v>8.05011558517E11</v>
      </c>
      <c r="D97" s="374" t="s">
        <v>5199</v>
      </c>
      <c r="E97" s="374" t="s">
        <v>5200</v>
      </c>
      <c r="F97" s="374" t="s">
        <v>5201</v>
      </c>
      <c r="G97" s="374" t="s">
        <v>41</v>
      </c>
      <c r="H97" s="176">
        <v>4560.0</v>
      </c>
      <c r="I97" s="374" t="s">
        <v>512</v>
      </c>
      <c r="J97" s="103" t="s">
        <v>513</v>
      </c>
      <c r="K97" s="104">
        <v>6.0</v>
      </c>
      <c r="L97" s="106">
        <v>5.4939E12</v>
      </c>
      <c r="M97" s="105"/>
      <c r="P97" s="276"/>
      <c r="S97" s="360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</row>
    <row r="98">
      <c r="A98" s="374" t="s">
        <v>5198</v>
      </c>
      <c r="B98" s="375">
        <v>45980.0</v>
      </c>
      <c r="C98" s="376">
        <v>8.05011558517E11</v>
      </c>
      <c r="D98" s="374" t="s">
        <v>5199</v>
      </c>
      <c r="E98" s="374" t="s">
        <v>5200</v>
      </c>
      <c r="F98" s="374" t="s">
        <v>5201</v>
      </c>
      <c r="G98" s="374" t="s">
        <v>41</v>
      </c>
      <c r="H98" s="176">
        <v>4560.0</v>
      </c>
      <c r="I98" s="374" t="s">
        <v>670</v>
      </c>
      <c r="J98" s="103" t="s">
        <v>3410</v>
      </c>
      <c r="K98" s="104">
        <v>1.0</v>
      </c>
      <c r="L98" s="106">
        <v>5.4939E12</v>
      </c>
      <c r="M98" s="105"/>
      <c r="P98" s="276"/>
      <c r="S98" s="361"/>
      <c r="T98" s="276"/>
      <c r="U98" s="276"/>
      <c r="V98" s="276"/>
      <c r="W98" s="276"/>
      <c r="X98" s="276"/>
      <c r="Y98" s="276"/>
      <c r="Z98" s="276"/>
      <c r="AA98" s="276"/>
      <c r="AB98" s="276"/>
      <c r="AC98" s="276"/>
    </row>
    <row r="99">
      <c r="A99" s="374" t="s">
        <v>5202</v>
      </c>
      <c r="B99" s="375">
        <v>45980.0</v>
      </c>
      <c r="C99" s="376">
        <v>8.07025033814E11</v>
      </c>
      <c r="D99" s="374" t="s">
        <v>5203</v>
      </c>
      <c r="E99" s="374" t="s">
        <v>5204</v>
      </c>
      <c r="F99" s="374" t="s">
        <v>5205</v>
      </c>
      <c r="G99" s="374" t="s">
        <v>127</v>
      </c>
      <c r="H99" s="176">
        <v>4400.0</v>
      </c>
      <c r="I99" s="374" t="s">
        <v>2956</v>
      </c>
      <c r="J99" s="103" t="s">
        <v>3327</v>
      </c>
      <c r="K99" s="104">
        <v>1.0</v>
      </c>
      <c r="L99" s="104">
        <v>3.874090971E9</v>
      </c>
      <c r="M99" s="105"/>
      <c r="N99" s="363">
        <v>45981.0</v>
      </c>
      <c r="O99" s="275" t="s">
        <v>9011</v>
      </c>
      <c r="P99" s="276"/>
      <c r="Q99" s="275" t="s">
        <v>13278</v>
      </c>
      <c r="R99" s="359" t="s">
        <v>13279</v>
      </c>
      <c r="S99" s="361"/>
      <c r="T99" s="276"/>
      <c r="U99" s="276"/>
      <c r="V99" s="276"/>
      <c r="W99" s="276"/>
      <c r="X99" s="276"/>
      <c r="Y99" s="276"/>
      <c r="Z99" s="276"/>
      <c r="AA99" s="276"/>
      <c r="AB99" s="276"/>
      <c r="AC99" s="276"/>
    </row>
    <row r="100">
      <c r="A100" s="374" t="s">
        <v>5206</v>
      </c>
      <c r="B100" s="375">
        <v>45980.0</v>
      </c>
      <c r="C100" s="376">
        <v>8.0702503381E11</v>
      </c>
      <c r="D100" s="374" t="s">
        <v>5207</v>
      </c>
      <c r="E100" s="374" t="s">
        <v>5208</v>
      </c>
      <c r="F100" s="374" t="s">
        <v>5209</v>
      </c>
      <c r="G100" s="374" t="s">
        <v>2177</v>
      </c>
      <c r="H100" s="176">
        <v>4430.0</v>
      </c>
      <c r="I100" s="374" t="s">
        <v>2956</v>
      </c>
      <c r="J100" s="103" t="s">
        <v>3327</v>
      </c>
      <c r="K100" s="104">
        <v>1.0</v>
      </c>
      <c r="L100" s="104">
        <v>3.875377521E9</v>
      </c>
      <c r="M100" s="103" t="s">
        <v>5210</v>
      </c>
      <c r="N100" s="363">
        <v>45986.0</v>
      </c>
      <c r="O100" s="275" t="s">
        <v>9011</v>
      </c>
      <c r="P100" s="276"/>
      <c r="Q100" s="275" t="s">
        <v>9012</v>
      </c>
      <c r="R100" s="359" t="s">
        <v>13280</v>
      </c>
      <c r="S100" s="361"/>
      <c r="T100" s="276"/>
      <c r="U100" s="276"/>
      <c r="V100" s="276"/>
      <c r="W100" s="276"/>
      <c r="X100" s="276"/>
      <c r="Y100" s="276"/>
      <c r="Z100" s="276"/>
      <c r="AA100" s="276"/>
      <c r="AB100" s="276"/>
      <c r="AC100" s="276"/>
    </row>
    <row r="101">
      <c r="A101" s="374" t="s">
        <v>5211</v>
      </c>
      <c r="B101" s="375">
        <v>45980.0</v>
      </c>
      <c r="C101" s="376">
        <v>8.05011559E11</v>
      </c>
      <c r="D101" s="374" t="s">
        <v>5212</v>
      </c>
      <c r="E101" s="374" t="s">
        <v>5213</v>
      </c>
      <c r="F101" s="374" t="s">
        <v>5214</v>
      </c>
      <c r="G101" s="374" t="s">
        <v>5215</v>
      </c>
      <c r="H101" s="176">
        <v>4421.0</v>
      </c>
      <c r="I101" s="374" t="s">
        <v>5034</v>
      </c>
      <c r="J101" s="103" t="s">
        <v>5035</v>
      </c>
      <c r="K101" s="104">
        <v>1.0</v>
      </c>
      <c r="L101" s="106">
        <v>5.4388E11</v>
      </c>
      <c r="M101" s="103" t="s">
        <v>5216</v>
      </c>
      <c r="N101" s="274">
        <v>45981.0</v>
      </c>
      <c r="O101" s="275" t="s">
        <v>9011</v>
      </c>
      <c r="P101" s="276"/>
      <c r="Q101" s="275" t="s">
        <v>9012</v>
      </c>
      <c r="R101" s="359" t="s">
        <v>13281</v>
      </c>
      <c r="S101" s="360"/>
      <c r="T101" s="276"/>
      <c r="U101" s="276"/>
      <c r="V101" s="276"/>
      <c r="W101" s="276"/>
      <c r="X101" s="276"/>
      <c r="Y101" s="276"/>
      <c r="Z101" s="276"/>
      <c r="AA101" s="276"/>
      <c r="AB101" s="276"/>
      <c r="AC101" s="276"/>
    </row>
    <row r="102">
      <c r="A102" s="374" t="s">
        <v>5211</v>
      </c>
      <c r="B102" s="375">
        <v>45980.0</v>
      </c>
      <c r="C102" s="376">
        <v>8.05011559E11</v>
      </c>
      <c r="D102" s="374" t="s">
        <v>5212</v>
      </c>
      <c r="E102" s="374" t="s">
        <v>5213</v>
      </c>
      <c r="F102" s="374" t="s">
        <v>5214</v>
      </c>
      <c r="G102" s="374" t="s">
        <v>5215</v>
      </c>
      <c r="H102" s="176">
        <v>4421.0</v>
      </c>
      <c r="I102" s="374" t="s">
        <v>512</v>
      </c>
      <c r="J102" s="103" t="s">
        <v>513</v>
      </c>
      <c r="K102" s="104">
        <v>6.0</v>
      </c>
      <c r="L102" s="106">
        <v>5.4388E11</v>
      </c>
      <c r="M102" s="103" t="s">
        <v>5216</v>
      </c>
      <c r="P102" s="276"/>
      <c r="S102" s="360"/>
      <c r="T102" s="276"/>
      <c r="U102" s="276"/>
      <c r="V102" s="276"/>
      <c r="W102" s="276"/>
      <c r="X102" s="276"/>
      <c r="Y102" s="276"/>
      <c r="Z102" s="276"/>
      <c r="AA102" s="276"/>
      <c r="AB102" s="276"/>
      <c r="AC102" s="276"/>
    </row>
    <row r="103">
      <c r="A103" s="374" t="s">
        <v>5211</v>
      </c>
      <c r="B103" s="375">
        <v>45980.0</v>
      </c>
      <c r="C103" s="376">
        <v>8.05011559E11</v>
      </c>
      <c r="D103" s="374" t="s">
        <v>5212</v>
      </c>
      <c r="E103" s="374" t="s">
        <v>5213</v>
      </c>
      <c r="F103" s="374" t="s">
        <v>5214</v>
      </c>
      <c r="G103" s="374" t="s">
        <v>5215</v>
      </c>
      <c r="H103" s="176">
        <v>4421.0</v>
      </c>
      <c r="I103" s="374" t="s">
        <v>670</v>
      </c>
      <c r="J103" s="103" t="s">
        <v>3410</v>
      </c>
      <c r="K103" s="104">
        <v>1.0</v>
      </c>
      <c r="L103" s="106">
        <v>5.4388E11</v>
      </c>
      <c r="M103" s="103" t="s">
        <v>5216</v>
      </c>
      <c r="P103" s="276"/>
      <c r="S103" s="361"/>
      <c r="T103" s="276"/>
      <c r="U103" s="276"/>
      <c r="V103" s="276"/>
      <c r="W103" s="276"/>
      <c r="X103" s="276"/>
      <c r="Y103" s="276"/>
      <c r="Z103" s="276"/>
      <c r="AA103" s="276"/>
      <c r="AB103" s="276"/>
      <c r="AC103" s="276"/>
    </row>
    <row r="104">
      <c r="A104" s="374" t="s">
        <v>5217</v>
      </c>
      <c r="B104" s="375">
        <v>45980.0</v>
      </c>
      <c r="C104" s="376">
        <v>8.07025033847E11</v>
      </c>
      <c r="D104" s="374" t="s">
        <v>5218</v>
      </c>
      <c r="E104" s="374" t="s">
        <v>5219</v>
      </c>
      <c r="F104" s="374" t="s">
        <v>5220</v>
      </c>
      <c r="G104" s="374" t="s">
        <v>127</v>
      </c>
      <c r="H104" s="176">
        <v>4400.0</v>
      </c>
      <c r="I104" s="374" t="s">
        <v>4938</v>
      </c>
      <c r="J104" s="103" t="s">
        <v>4939</v>
      </c>
      <c r="K104" s="104">
        <v>1.0</v>
      </c>
      <c r="L104" s="104">
        <v>3.874414446E9</v>
      </c>
      <c r="M104" s="103" t="s">
        <v>13282</v>
      </c>
      <c r="N104" s="274">
        <v>45981.0</v>
      </c>
      <c r="O104" s="275" t="s">
        <v>13283</v>
      </c>
      <c r="P104" s="276"/>
      <c r="Q104" s="275" t="s">
        <v>13284</v>
      </c>
      <c r="R104" s="359" t="s">
        <v>13285</v>
      </c>
      <c r="S104" s="361"/>
      <c r="T104" s="275"/>
      <c r="U104" s="276"/>
      <c r="V104" s="276"/>
      <c r="W104" s="276"/>
      <c r="X104" s="276"/>
      <c r="Y104" s="276"/>
      <c r="Z104" s="276"/>
      <c r="AA104" s="276"/>
      <c r="AB104" s="276"/>
      <c r="AC104" s="276"/>
    </row>
    <row r="105">
      <c r="A105" s="374" t="s">
        <v>5221</v>
      </c>
      <c r="B105" s="375">
        <v>45980.0</v>
      </c>
      <c r="C105" s="376">
        <v>8.05011559435E11</v>
      </c>
      <c r="D105" s="374" t="s">
        <v>5222</v>
      </c>
      <c r="E105" s="374" t="s">
        <v>5223</v>
      </c>
      <c r="F105" s="374" t="s">
        <v>5224</v>
      </c>
      <c r="G105" s="374" t="s">
        <v>104</v>
      </c>
      <c r="H105" s="176">
        <v>4400.0</v>
      </c>
      <c r="I105" s="374" t="s">
        <v>5185</v>
      </c>
      <c r="J105" s="103" t="s">
        <v>5186</v>
      </c>
      <c r="K105" s="104">
        <v>1.0</v>
      </c>
      <c r="L105" s="104">
        <v>1.133234536E9</v>
      </c>
      <c r="M105" s="103" t="s">
        <v>5225</v>
      </c>
      <c r="N105" s="274">
        <v>45982.0</v>
      </c>
      <c r="O105" s="275" t="s">
        <v>9011</v>
      </c>
      <c r="P105" s="276"/>
      <c r="Q105" s="275" t="s">
        <v>13286</v>
      </c>
      <c r="R105" s="359" t="s">
        <v>13287</v>
      </c>
      <c r="S105" s="361"/>
      <c r="T105" s="276"/>
      <c r="U105" s="276"/>
      <c r="V105" s="276"/>
      <c r="W105" s="276"/>
      <c r="X105" s="276"/>
      <c r="Y105" s="276"/>
      <c r="Z105" s="276"/>
      <c r="AA105" s="276"/>
      <c r="AB105" s="276"/>
      <c r="AC105" s="276"/>
    </row>
    <row r="106">
      <c r="A106" s="374" t="s">
        <v>5226</v>
      </c>
      <c r="B106" s="375">
        <v>45980.0</v>
      </c>
      <c r="C106" s="376">
        <v>8.07025033858E11</v>
      </c>
      <c r="D106" s="374" t="s">
        <v>5227</v>
      </c>
      <c r="E106" s="374" t="s">
        <v>5228</v>
      </c>
      <c r="F106" s="374" t="s">
        <v>5229</v>
      </c>
      <c r="G106" s="374" t="s">
        <v>127</v>
      </c>
      <c r="H106" s="176">
        <v>4400.0</v>
      </c>
      <c r="I106" s="374" t="s">
        <v>2171</v>
      </c>
      <c r="J106" s="103" t="s">
        <v>3446</v>
      </c>
      <c r="K106" s="104">
        <v>2.0</v>
      </c>
      <c r="L106" s="104">
        <v>3.875470901E9</v>
      </c>
      <c r="M106" s="103" t="s">
        <v>5230</v>
      </c>
      <c r="N106" s="274">
        <v>45986.0</v>
      </c>
      <c r="O106" s="275" t="s">
        <v>9011</v>
      </c>
      <c r="P106" s="276"/>
      <c r="Q106" s="275" t="s">
        <v>9012</v>
      </c>
      <c r="R106" s="359" t="s">
        <v>13288</v>
      </c>
      <c r="S106" s="361"/>
      <c r="T106" s="276"/>
      <c r="U106" s="276"/>
      <c r="V106" s="276"/>
      <c r="W106" s="276"/>
      <c r="X106" s="276"/>
      <c r="Y106" s="276"/>
      <c r="Z106" s="276"/>
      <c r="AA106" s="276"/>
      <c r="AB106" s="276"/>
      <c r="AC106" s="276"/>
    </row>
    <row r="107">
      <c r="A107" s="374" t="s">
        <v>5231</v>
      </c>
      <c r="B107" s="375">
        <v>45980.0</v>
      </c>
      <c r="C107" s="376">
        <v>8.05011559336E11</v>
      </c>
      <c r="D107" s="374" t="s">
        <v>5232</v>
      </c>
      <c r="E107" s="374" t="s">
        <v>5233</v>
      </c>
      <c r="F107" s="374" t="s">
        <v>5234</v>
      </c>
      <c r="G107" s="374" t="s">
        <v>20</v>
      </c>
      <c r="H107" s="176">
        <v>4400.0</v>
      </c>
      <c r="I107" s="374" t="s">
        <v>634</v>
      </c>
      <c r="J107" s="103" t="s">
        <v>635</v>
      </c>
      <c r="K107" s="104">
        <v>1.0</v>
      </c>
      <c r="L107" s="104">
        <v>1.134238105E9</v>
      </c>
      <c r="M107" s="105"/>
      <c r="N107" s="274">
        <v>45981.0</v>
      </c>
      <c r="O107" s="275" t="s">
        <v>9011</v>
      </c>
      <c r="P107" s="276"/>
      <c r="Q107" s="275" t="s">
        <v>9012</v>
      </c>
      <c r="R107" s="359" t="s">
        <v>13289</v>
      </c>
      <c r="S107" s="361"/>
      <c r="T107" s="276"/>
      <c r="U107" s="276"/>
      <c r="V107" s="276"/>
      <c r="W107" s="276"/>
      <c r="X107" s="276"/>
      <c r="Y107" s="276"/>
      <c r="Z107" s="276"/>
      <c r="AA107" s="276"/>
      <c r="AB107" s="276"/>
      <c r="AC107" s="276"/>
    </row>
    <row r="108">
      <c r="A108" s="374" t="s">
        <v>5235</v>
      </c>
      <c r="B108" s="375">
        <v>45980.0</v>
      </c>
      <c r="C108" s="376">
        <v>8.05011559612E11</v>
      </c>
      <c r="D108" s="374" t="s">
        <v>5236</v>
      </c>
      <c r="E108" s="374" t="s">
        <v>5237</v>
      </c>
      <c r="F108" s="374" t="s">
        <v>5238</v>
      </c>
      <c r="G108" s="374" t="s">
        <v>20</v>
      </c>
      <c r="H108" s="176">
        <v>4400.0</v>
      </c>
      <c r="I108" s="374" t="s">
        <v>2909</v>
      </c>
      <c r="J108" s="103" t="s">
        <v>5239</v>
      </c>
      <c r="K108" s="104">
        <v>2.0</v>
      </c>
      <c r="L108" s="104">
        <v>1.161024648E9</v>
      </c>
      <c r="M108" s="103" t="s">
        <v>5240</v>
      </c>
      <c r="N108" s="274">
        <v>45981.0</v>
      </c>
      <c r="O108" s="275" t="s">
        <v>9011</v>
      </c>
      <c r="P108" s="276"/>
      <c r="Q108" s="275" t="s">
        <v>13290</v>
      </c>
      <c r="R108" s="359" t="s">
        <v>13291</v>
      </c>
      <c r="S108" s="361"/>
      <c r="T108" s="276"/>
      <c r="U108" s="276"/>
      <c r="V108" s="276"/>
      <c r="W108" s="276"/>
      <c r="X108" s="276"/>
      <c r="Y108" s="276"/>
      <c r="Z108" s="276"/>
      <c r="AA108" s="276"/>
      <c r="AB108" s="276"/>
      <c r="AC108" s="276"/>
    </row>
    <row r="109">
      <c r="A109" s="374" t="s">
        <v>5241</v>
      </c>
      <c r="B109" s="375">
        <v>45980.0</v>
      </c>
      <c r="C109" s="376">
        <v>8.05011559068E11</v>
      </c>
      <c r="D109" s="374" t="s">
        <v>5242</v>
      </c>
      <c r="E109" s="374" t="s">
        <v>5243</v>
      </c>
      <c r="F109" s="374" t="s">
        <v>5244</v>
      </c>
      <c r="G109" s="374" t="s">
        <v>20</v>
      </c>
      <c r="H109" s="176">
        <v>4400.0</v>
      </c>
      <c r="I109" s="374" t="s">
        <v>2135</v>
      </c>
      <c r="J109" s="103" t="s">
        <v>5094</v>
      </c>
      <c r="K109" s="104">
        <v>1.0</v>
      </c>
      <c r="L109" s="104">
        <v>3.456028546E9</v>
      </c>
      <c r="M109" s="103" t="s">
        <v>5245</v>
      </c>
      <c r="N109" s="274">
        <v>45983.0</v>
      </c>
      <c r="O109" s="275" t="s">
        <v>9011</v>
      </c>
      <c r="P109" s="276"/>
      <c r="Q109" s="275" t="s">
        <v>9012</v>
      </c>
      <c r="R109" s="359" t="s">
        <v>13292</v>
      </c>
      <c r="S109" s="361"/>
      <c r="T109" s="276"/>
      <c r="U109" s="276"/>
      <c r="V109" s="276"/>
      <c r="W109" s="276"/>
      <c r="X109" s="276"/>
      <c r="Y109" s="276"/>
      <c r="Z109" s="276"/>
      <c r="AA109" s="276"/>
      <c r="AB109" s="276"/>
      <c r="AC109" s="276"/>
    </row>
    <row r="110">
      <c r="A110" s="374" t="s">
        <v>5246</v>
      </c>
      <c r="B110" s="375">
        <v>45980.0</v>
      </c>
      <c r="C110" s="376">
        <v>8.0501155949E11</v>
      </c>
      <c r="D110" s="374" t="s">
        <v>5247</v>
      </c>
      <c r="E110" s="374" t="s">
        <v>5248</v>
      </c>
      <c r="F110" s="374" t="s">
        <v>5249</v>
      </c>
      <c r="G110" s="374" t="s">
        <v>368</v>
      </c>
      <c r="H110" s="176">
        <v>4530.0</v>
      </c>
      <c r="I110" s="374" t="s">
        <v>32</v>
      </c>
      <c r="J110" s="103" t="s">
        <v>3225</v>
      </c>
      <c r="K110" s="104">
        <v>1.0</v>
      </c>
      <c r="L110" s="103" t="s">
        <v>5250</v>
      </c>
      <c r="M110" s="103" t="s">
        <v>5251</v>
      </c>
      <c r="N110" s="363">
        <v>45986.0</v>
      </c>
      <c r="O110" s="275" t="s">
        <v>9011</v>
      </c>
      <c r="P110" s="276"/>
      <c r="Q110" s="275" t="s">
        <v>13293</v>
      </c>
      <c r="R110" s="359" t="s">
        <v>13294</v>
      </c>
      <c r="S110" s="360"/>
      <c r="T110" s="276"/>
      <c r="U110" s="276"/>
      <c r="V110" s="276"/>
      <c r="W110" s="276"/>
      <c r="X110" s="276"/>
      <c r="Y110" s="276"/>
      <c r="Z110" s="276"/>
      <c r="AA110" s="276"/>
      <c r="AB110" s="276"/>
      <c r="AC110" s="276"/>
    </row>
    <row r="111">
      <c r="A111" s="374" t="s">
        <v>5246</v>
      </c>
      <c r="B111" s="375">
        <v>45980.0</v>
      </c>
      <c r="C111" s="376">
        <v>8.0501155949E11</v>
      </c>
      <c r="D111" s="374" t="s">
        <v>5247</v>
      </c>
      <c r="E111" s="374" t="s">
        <v>5248</v>
      </c>
      <c r="F111" s="374" t="s">
        <v>5249</v>
      </c>
      <c r="G111" s="374" t="s">
        <v>368</v>
      </c>
      <c r="H111" s="176">
        <v>4530.0</v>
      </c>
      <c r="I111" s="374" t="s">
        <v>512</v>
      </c>
      <c r="J111" s="103" t="s">
        <v>513</v>
      </c>
      <c r="K111" s="104">
        <v>6.0</v>
      </c>
      <c r="L111" s="103" t="s">
        <v>5250</v>
      </c>
      <c r="M111" s="103" t="s">
        <v>5251</v>
      </c>
      <c r="P111" s="276"/>
      <c r="S111" s="360"/>
      <c r="T111" s="276"/>
      <c r="U111" s="276"/>
      <c r="V111" s="276"/>
      <c r="W111" s="276"/>
      <c r="X111" s="276"/>
      <c r="Y111" s="276"/>
      <c r="Z111" s="276"/>
      <c r="AA111" s="276"/>
      <c r="AB111" s="276"/>
      <c r="AC111" s="276"/>
    </row>
    <row r="112">
      <c r="A112" s="374" t="s">
        <v>5246</v>
      </c>
      <c r="B112" s="375">
        <v>45980.0</v>
      </c>
      <c r="C112" s="376">
        <v>8.0501155949E11</v>
      </c>
      <c r="D112" s="374" t="s">
        <v>5247</v>
      </c>
      <c r="E112" s="374" t="s">
        <v>5248</v>
      </c>
      <c r="F112" s="374" t="s">
        <v>5249</v>
      </c>
      <c r="G112" s="374" t="s">
        <v>368</v>
      </c>
      <c r="H112" s="176">
        <v>4530.0</v>
      </c>
      <c r="I112" s="374" t="s">
        <v>670</v>
      </c>
      <c r="J112" s="103" t="s">
        <v>3410</v>
      </c>
      <c r="K112" s="104">
        <v>1.0</v>
      </c>
      <c r="L112" s="103" t="s">
        <v>5250</v>
      </c>
      <c r="M112" s="103" t="s">
        <v>5251</v>
      </c>
      <c r="P112" s="276"/>
      <c r="S112" s="361"/>
      <c r="T112" s="276"/>
      <c r="U112" s="276"/>
      <c r="V112" s="276"/>
      <c r="W112" s="276"/>
      <c r="X112" s="276"/>
      <c r="Y112" s="276"/>
      <c r="Z112" s="276"/>
      <c r="AA112" s="276"/>
      <c r="AB112" s="276"/>
      <c r="AC112" s="276"/>
    </row>
    <row r="113">
      <c r="A113" s="374" t="s">
        <v>5252</v>
      </c>
      <c r="B113" s="375">
        <v>45980.0</v>
      </c>
      <c r="C113" s="376">
        <v>8.05011560034E11</v>
      </c>
      <c r="D113" s="374" t="s">
        <v>5253</v>
      </c>
      <c r="E113" s="374" t="s">
        <v>5254</v>
      </c>
      <c r="F113" s="374" t="s">
        <v>5255</v>
      </c>
      <c r="G113" s="374" t="s">
        <v>5256</v>
      </c>
      <c r="H113" s="176">
        <v>4530.0</v>
      </c>
      <c r="I113" s="374" t="s">
        <v>5185</v>
      </c>
      <c r="J113" s="103" t="s">
        <v>5186</v>
      </c>
      <c r="K113" s="104">
        <v>1.0</v>
      </c>
      <c r="L113" s="104">
        <v>3.875636977E9</v>
      </c>
      <c r="M113" s="103" t="s">
        <v>5257</v>
      </c>
      <c r="N113" s="363">
        <v>45986.0</v>
      </c>
      <c r="O113" s="275" t="s">
        <v>9011</v>
      </c>
      <c r="P113" s="276"/>
      <c r="Q113" s="275" t="s">
        <v>9012</v>
      </c>
      <c r="R113" s="359" t="s">
        <v>13295</v>
      </c>
      <c r="S113" s="360"/>
      <c r="T113" s="276"/>
      <c r="U113" s="276"/>
      <c r="V113" s="276"/>
      <c r="W113" s="276"/>
      <c r="X113" s="276"/>
      <c r="Y113" s="276"/>
      <c r="Z113" s="276"/>
      <c r="AA113" s="276"/>
      <c r="AB113" s="276"/>
      <c r="AC113" s="276"/>
    </row>
    <row r="114">
      <c r="A114" s="374" t="s">
        <v>5252</v>
      </c>
      <c r="B114" s="375">
        <v>45980.0</v>
      </c>
      <c r="C114" s="376">
        <v>8.05011560034E11</v>
      </c>
      <c r="D114" s="374" t="s">
        <v>5253</v>
      </c>
      <c r="E114" s="374" t="s">
        <v>5254</v>
      </c>
      <c r="F114" s="374" t="s">
        <v>5255</v>
      </c>
      <c r="G114" s="374" t="s">
        <v>5256</v>
      </c>
      <c r="H114" s="176">
        <v>4530.0</v>
      </c>
      <c r="I114" s="374" t="s">
        <v>5034</v>
      </c>
      <c r="J114" s="103" t="s">
        <v>5035</v>
      </c>
      <c r="K114" s="104">
        <v>1.0</v>
      </c>
      <c r="L114" s="104">
        <v>3.875636977E9</v>
      </c>
      <c r="M114" s="103" t="s">
        <v>5257</v>
      </c>
      <c r="P114" s="276"/>
      <c r="S114" s="361"/>
      <c r="T114" s="276"/>
      <c r="U114" s="276"/>
      <c r="V114" s="276"/>
      <c r="W114" s="276"/>
      <c r="X114" s="276"/>
      <c r="Y114" s="276"/>
      <c r="Z114" s="276"/>
      <c r="AA114" s="276"/>
      <c r="AB114" s="276"/>
      <c r="AC114" s="276"/>
    </row>
    <row r="115">
      <c r="A115" s="374" t="s">
        <v>5252</v>
      </c>
      <c r="B115" s="375">
        <v>45980.0</v>
      </c>
      <c r="C115" s="376">
        <v>8.05011560034E11</v>
      </c>
      <c r="D115" s="374" t="s">
        <v>5253</v>
      </c>
      <c r="E115" s="374" t="s">
        <v>5254</v>
      </c>
      <c r="F115" s="374" t="s">
        <v>5255</v>
      </c>
      <c r="G115" s="374" t="s">
        <v>5256</v>
      </c>
      <c r="H115" s="176">
        <v>4530.0</v>
      </c>
      <c r="I115" s="374" t="s">
        <v>512</v>
      </c>
      <c r="J115" s="103" t="s">
        <v>513</v>
      </c>
      <c r="K115" s="104">
        <v>6.0</v>
      </c>
      <c r="L115" s="104">
        <v>3.875636977E9</v>
      </c>
      <c r="M115" s="103" t="s">
        <v>5257</v>
      </c>
      <c r="P115" s="276"/>
      <c r="S115" s="360"/>
      <c r="T115" s="276"/>
      <c r="U115" s="276"/>
      <c r="V115" s="276"/>
      <c r="W115" s="276"/>
      <c r="X115" s="276"/>
      <c r="Y115" s="276"/>
      <c r="Z115" s="276"/>
      <c r="AA115" s="276"/>
      <c r="AB115" s="276"/>
      <c r="AC115" s="276"/>
    </row>
    <row r="116">
      <c r="A116" s="374" t="s">
        <v>5252</v>
      </c>
      <c r="B116" s="375">
        <v>45980.0</v>
      </c>
      <c r="C116" s="376">
        <v>8.05011560034E11</v>
      </c>
      <c r="D116" s="374" t="s">
        <v>5253</v>
      </c>
      <c r="E116" s="374" t="s">
        <v>5254</v>
      </c>
      <c r="F116" s="374" t="s">
        <v>5255</v>
      </c>
      <c r="G116" s="374" t="s">
        <v>5256</v>
      </c>
      <c r="H116" s="176">
        <v>4530.0</v>
      </c>
      <c r="I116" s="374" t="s">
        <v>2031</v>
      </c>
      <c r="J116" s="103" t="s">
        <v>3348</v>
      </c>
      <c r="K116" s="104">
        <v>1.0</v>
      </c>
      <c r="L116" s="104">
        <v>3.875636977E9</v>
      </c>
      <c r="M116" s="103" t="s">
        <v>5257</v>
      </c>
      <c r="P116" s="276"/>
      <c r="S116" s="361"/>
      <c r="T116" s="276"/>
      <c r="U116" s="276"/>
      <c r="V116" s="276"/>
      <c r="W116" s="276"/>
      <c r="X116" s="276"/>
      <c r="Y116" s="276"/>
      <c r="Z116" s="276"/>
      <c r="AA116" s="276"/>
      <c r="AB116" s="276"/>
      <c r="AC116" s="276"/>
    </row>
    <row r="117">
      <c r="A117" s="374" t="s">
        <v>5258</v>
      </c>
      <c r="B117" s="375">
        <v>45980.0</v>
      </c>
      <c r="C117" s="376">
        <v>8.05011560328E11</v>
      </c>
      <c r="D117" s="374" t="s">
        <v>5259</v>
      </c>
      <c r="E117" s="374" t="s">
        <v>5260</v>
      </c>
      <c r="F117" s="374" t="s">
        <v>5261</v>
      </c>
      <c r="G117" s="374" t="s">
        <v>1986</v>
      </c>
      <c r="H117" s="176">
        <v>4403.0</v>
      </c>
      <c r="I117" s="374" t="s">
        <v>5262</v>
      </c>
      <c r="J117" s="103" t="s">
        <v>5263</v>
      </c>
      <c r="K117" s="104">
        <v>1.0</v>
      </c>
      <c r="L117" s="106">
        <v>5.4388E11</v>
      </c>
      <c r="M117" s="105"/>
      <c r="N117" s="274">
        <v>45982.0</v>
      </c>
      <c r="O117" s="275" t="s">
        <v>9011</v>
      </c>
      <c r="P117" s="276"/>
      <c r="Q117" s="275" t="s">
        <v>13296</v>
      </c>
      <c r="R117" s="359" t="s">
        <v>13297</v>
      </c>
      <c r="S117" s="361"/>
      <c r="T117" s="275"/>
      <c r="U117" s="276"/>
      <c r="V117" s="276"/>
      <c r="W117" s="276"/>
      <c r="X117" s="276"/>
      <c r="Y117" s="276"/>
      <c r="Z117" s="276"/>
      <c r="AA117" s="276"/>
      <c r="AB117" s="276"/>
      <c r="AC117" s="276"/>
    </row>
    <row r="118">
      <c r="A118" s="374" t="s">
        <v>5258</v>
      </c>
      <c r="B118" s="375">
        <v>45980.0</v>
      </c>
      <c r="C118" s="376">
        <v>8.05011560328E11</v>
      </c>
      <c r="D118" s="374" t="s">
        <v>5259</v>
      </c>
      <c r="E118" s="374" t="s">
        <v>5260</v>
      </c>
      <c r="F118" s="374" t="s">
        <v>5261</v>
      </c>
      <c r="G118" s="374" t="s">
        <v>1986</v>
      </c>
      <c r="H118" s="176">
        <v>4403.0</v>
      </c>
      <c r="I118" s="374" t="s">
        <v>50</v>
      </c>
      <c r="J118" s="103" t="s">
        <v>51</v>
      </c>
      <c r="K118" s="104">
        <v>1.0</v>
      </c>
      <c r="L118" s="106">
        <v>5.4388E11</v>
      </c>
      <c r="M118" s="105"/>
      <c r="P118" s="276"/>
      <c r="S118" s="361"/>
      <c r="T118" s="276"/>
      <c r="U118" s="276"/>
      <c r="V118" s="276"/>
      <c r="W118" s="276"/>
      <c r="X118" s="276"/>
      <c r="Y118" s="276"/>
      <c r="Z118" s="276"/>
      <c r="AA118" s="276"/>
      <c r="AB118" s="276"/>
      <c r="AC118" s="276"/>
    </row>
    <row r="119">
      <c r="A119" s="374" t="s">
        <v>5264</v>
      </c>
      <c r="B119" s="375">
        <v>45980.0</v>
      </c>
      <c r="C119" s="376">
        <v>8.05011560305E11</v>
      </c>
      <c r="D119" s="374" t="s">
        <v>5265</v>
      </c>
      <c r="E119" s="374" t="s">
        <v>5266</v>
      </c>
      <c r="F119" s="374" t="s">
        <v>5267</v>
      </c>
      <c r="G119" s="374" t="s">
        <v>5046</v>
      </c>
      <c r="H119" s="176">
        <v>4531.0</v>
      </c>
      <c r="I119" s="374" t="s">
        <v>32</v>
      </c>
      <c r="J119" s="103" t="s">
        <v>3225</v>
      </c>
      <c r="K119" s="104">
        <v>1.0</v>
      </c>
      <c r="L119" s="104">
        <v>3.878505279E9</v>
      </c>
      <c r="M119" s="105"/>
      <c r="N119" s="274">
        <v>45986.0</v>
      </c>
      <c r="O119" s="275" t="s">
        <v>9011</v>
      </c>
      <c r="P119" s="276"/>
      <c r="Q119" s="275" t="s">
        <v>13298</v>
      </c>
      <c r="R119" s="359" t="s">
        <v>13299</v>
      </c>
      <c r="S119" s="360"/>
      <c r="T119" s="276"/>
      <c r="U119" s="276"/>
      <c r="V119" s="276"/>
      <c r="W119" s="276"/>
      <c r="X119" s="276"/>
      <c r="Y119" s="276"/>
      <c r="Z119" s="276"/>
      <c r="AA119" s="276"/>
      <c r="AB119" s="276"/>
      <c r="AC119" s="276"/>
    </row>
    <row r="120">
      <c r="A120" s="374" t="s">
        <v>5264</v>
      </c>
      <c r="B120" s="375">
        <v>45980.0</v>
      </c>
      <c r="C120" s="376">
        <v>8.05011560305E11</v>
      </c>
      <c r="D120" s="374" t="s">
        <v>5265</v>
      </c>
      <c r="E120" s="374" t="s">
        <v>5266</v>
      </c>
      <c r="F120" s="374" t="s">
        <v>5267</v>
      </c>
      <c r="G120" s="374" t="s">
        <v>5046</v>
      </c>
      <c r="H120" s="176">
        <v>4531.0</v>
      </c>
      <c r="I120" s="374" t="s">
        <v>670</v>
      </c>
      <c r="J120" s="103" t="s">
        <v>3410</v>
      </c>
      <c r="K120" s="104">
        <v>1.0</v>
      </c>
      <c r="L120" s="104">
        <v>3.878505279E9</v>
      </c>
      <c r="M120" s="105"/>
      <c r="P120" s="276"/>
      <c r="S120" s="360"/>
      <c r="T120" s="276"/>
      <c r="U120" s="276"/>
      <c r="V120" s="276"/>
      <c r="W120" s="276"/>
      <c r="X120" s="276"/>
      <c r="Y120" s="276"/>
      <c r="Z120" s="276"/>
      <c r="AA120" s="276"/>
      <c r="AB120" s="276"/>
      <c r="AC120" s="276"/>
    </row>
    <row r="121">
      <c r="A121" s="374" t="s">
        <v>5264</v>
      </c>
      <c r="B121" s="375">
        <v>45980.0</v>
      </c>
      <c r="C121" s="376">
        <v>8.05011560305E11</v>
      </c>
      <c r="D121" s="374" t="s">
        <v>5265</v>
      </c>
      <c r="E121" s="374" t="s">
        <v>5266</v>
      </c>
      <c r="F121" s="374" t="s">
        <v>5267</v>
      </c>
      <c r="G121" s="374" t="s">
        <v>5046</v>
      </c>
      <c r="H121" s="176">
        <v>4531.0</v>
      </c>
      <c r="I121" s="374" t="s">
        <v>512</v>
      </c>
      <c r="J121" s="103" t="s">
        <v>513</v>
      </c>
      <c r="K121" s="104">
        <v>6.0</v>
      </c>
      <c r="L121" s="104">
        <v>3.878505279E9</v>
      </c>
      <c r="M121" s="105"/>
      <c r="P121" s="276"/>
      <c r="S121" s="361"/>
      <c r="T121" s="276"/>
      <c r="U121" s="276"/>
      <c r="V121" s="276"/>
      <c r="W121" s="276"/>
      <c r="X121" s="276"/>
      <c r="Y121" s="276"/>
      <c r="Z121" s="276"/>
      <c r="AA121" s="276"/>
      <c r="AB121" s="276"/>
      <c r="AC121" s="276"/>
    </row>
    <row r="122">
      <c r="A122" s="374" t="s">
        <v>5268</v>
      </c>
      <c r="B122" s="375">
        <v>45980.0</v>
      </c>
      <c r="C122" s="376">
        <v>8.05011560199E11</v>
      </c>
      <c r="D122" s="374" t="s">
        <v>5269</v>
      </c>
      <c r="E122" s="374" t="s">
        <v>5270</v>
      </c>
      <c r="F122" s="374" t="s">
        <v>5271</v>
      </c>
      <c r="G122" s="374" t="s">
        <v>5272</v>
      </c>
      <c r="H122" s="176">
        <v>4411.0</v>
      </c>
      <c r="I122" s="374" t="s">
        <v>512</v>
      </c>
      <c r="J122" s="103" t="s">
        <v>513</v>
      </c>
      <c r="K122" s="104">
        <v>12.0</v>
      </c>
      <c r="L122" s="103" t="s">
        <v>5273</v>
      </c>
      <c r="M122" s="105"/>
      <c r="N122" s="363">
        <v>45988.0</v>
      </c>
      <c r="O122" s="275" t="s">
        <v>9011</v>
      </c>
      <c r="P122" s="276"/>
      <c r="Q122" s="275" t="s">
        <v>13300</v>
      </c>
      <c r="R122" s="359" t="s">
        <v>13301</v>
      </c>
      <c r="S122" s="360"/>
      <c r="T122" s="276"/>
      <c r="U122" s="276"/>
      <c r="V122" s="276"/>
      <c r="W122" s="276"/>
      <c r="X122" s="276"/>
      <c r="Y122" s="276"/>
      <c r="Z122" s="276"/>
      <c r="AA122" s="276"/>
      <c r="AB122" s="276"/>
      <c r="AC122" s="276"/>
    </row>
    <row r="123">
      <c r="A123" s="374" t="s">
        <v>5268</v>
      </c>
      <c r="B123" s="375">
        <v>45980.0</v>
      </c>
      <c r="C123" s="376">
        <v>8.05011560199E11</v>
      </c>
      <c r="D123" s="374" t="s">
        <v>5269</v>
      </c>
      <c r="E123" s="374" t="s">
        <v>5270</v>
      </c>
      <c r="F123" s="374" t="s">
        <v>5271</v>
      </c>
      <c r="G123" s="374" t="s">
        <v>5272</v>
      </c>
      <c r="H123" s="176">
        <v>4411.0</v>
      </c>
      <c r="I123" s="374" t="s">
        <v>645</v>
      </c>
      <c r="J123" s="103" t="s">
        <v>3253</v>
      </c>
      <c r="K123" s="104">
        <v>2.0</v>
      </c>
      <c r="L123" s="103" t="s">
        <v>5273</v>
      </c>
      <c r="M123" s="105"/>
      <c r="P123" s="276"/>
      <c r="S123" s="360"/>
      <c r="T123" s="276"/>
      <c r="U123" s="276"/>
      <c r="V123" s="276"/>
      <c r="W123" s="276"/>
      <c r="X123" s="276"/>
      <c r="Y123" s="276"/>
      <c r="Z123" s="276"/>
      <c r="AA123" s="276"/>
      <c r="AB123" s="276"/>
      <c r="AC123" s="276"/>
    </row>
    <row r="124">
      <c r="A124" s="374" t="s">
        <v>5268</v>
      </c>
      <c r="B124" s="375">
        <v>45980.0</v>
      </c>
      <c r="C124" s="376">
        <v>8.05011560199E11</v>
      </c>
      <c r="D124" s="374" t="s">
        <v>5269</v>
      </c>
      <c r="E124" s="374" t="s">
        <v>5270</v>
      </c>
      <c r="F124" s="374" t="s">
        <v>5271</v>
      </c>
      <c r="G124" s="374" t="s">
        <v>5272</v>
      </c>
      <c r="H124" s="176">
        <v>4411.0</v>
      </c>
      <c r="I124" s="374" t="s">
        <v>617</v>
      </c>
      <c r="J124" s="103" t="s">
        <v>3867</v>
      </c>
      <c r="K124" s="104">
        <v>1.0</v>
      </c>
      <c r="L124" s="103" t="s">
        <v>5273</v>
      </c>
      <c r="M124" s="105"/>
      <c r="P124" s="276"/>
      <c r="S124" s="361"/>
      <c r="T124" s="276"/>
      <c r="U124" s="276"/>
      <c r="V124" s="276"/>
      <c r="W124" s="276"/>
      <c r="X124" s="276"/>
      <c r="Y124" s="276"/>
      <c r="Z124" s="276"/>
      <c r="AA124" s="276"/>
      <c r="AB124" s="276"/>
      <c r="AC124" s="276"/>
    </row>
    <row r="125">
      <c r="A125" s="108" t="s">
        <v>11122</v>
      </c>
      <c r="B125" s="378">
        <v>45983.0</v>
      </c>
      <c r="C125" s="374">
        <v>8.07000033956E11</v>
      </c>
      <c r="D125" s="374" t="s">
        <v>11123</v>
      </c>
      <c r="E125" s="374" t="s">
        <v>11124</v>
      </c>
      <c r="F125" s="108" t="s">
        <v>11125</v>
      </c>
      <c r="G125" s="108" t="s">
        <v>127</v>
      </c>
      <c r="H125" s="108">
        <v>4400.0</v>
      </c>
      <c r="I125" s="176" t="s">
        <v>2397</v>
      </c>
      <c r="J125" s="240" t="s">
        <v>5040</v>
      </c>
      <c r="K125" s="242">
        <v>1.0</v>
      </c>
      <c r="L125" s="124">
        <v>3.875170652E9</v>
      </c>
      <c r="M125" s="367"/>
      <c r="N125" s="274">
        <v>45984.0</v>
      </c>
      <c r="O125" s="275" t="s">
        <v>9011</v>
      </c>
      <c r="P125" s="276"/>
      <c r="Q125" s="275" t="s">
        <v>13302</v>
      </c>
      <c r="R125" s="359" t="s">
        <v>13303</v>
      </c>
      <c r="S125" s="360"/>
      <c r="T125" s="276"/>
      <c r="U125" s="276"/>
      <c r="V125" s="276"/>
      <c r="W125" s="276"/>
      <c r="X125" s="276"/>
      <c r="Y125" s="276"/>
      <c r="Z125" s="276"/>
      <c r="AA125" s="276"/>
      <c r="AB125" s="276"/>
      <c r="AC125" s="276"/>
    </row>
    <row r="126">
      <c r="A126" s="108" t="s">
        <v>11122</v>
      </c>
      <c r="B126" s="378">
        <v>45983.0</v>
      </c>
      <c r="C126" s="374">
        <v>8.07000033956E11</v>
      </c>
      <c r="D126" s="374" t="s">
        <v>11123</v>
      </c>
      <c r="E126" s="374" t="s">
        <v>11124</v>
      </c>
      <c r="F126" s="108" t="s">
        <v>11125</v>
      </c>
      <c r="G126" s="108" t="s">
        <v>127</v>
      </c>
      <c r="H126" s="108">
        <v>4400.0</v>
      </c>
      <c r="I126" s="176" t="s">
        <v>512</v>
      </c>
      <c r="J126" s="103" t="s">
        <v>513</v>
      </c>
      <c r="K126" s="241">
        <v>6.0</v>
      </c>
      <c r="L126" s="124">
        <v>3.875170652E9</v>
      </c>
      <c r="M126" s="367"/>
      <c r="P126" s="276"/>
      <c r="S126" s="360"/>
      <c r="T126" s="276"/>
      <c r="U126" s="276"/>
      <c r="V126" s="276"/>
      <c r="W126" s="276"/>
      <c r="X126" s="276"/>
      <c r="Y126" s="276"/>
      <c r="Z126" s="276"/>
      <c r="AA126" s="276"/>
      <c r="AB126" s="276"/>
      <c r="AC126" s="276"/>
    </row>
    <row r="127">
      <c r="A127" s="108" t="s">
        <v>11122</v>
      </c>
      <c r="B127" s="378">
        <v>45983.0</v>
      </c>
      <c r="C127" s="374">
        <v>8.07000033956E11</v>
      </c>
      <c r="D127" s="374" t="s">
        <v>11123</v>
      </c>
      <c r="E127" s="374" t="s">
        <v>11124</v>
      </c>
      <c r="F127" s="108" t="s">
        <v>11125</v>
      </c>
      <c r="G127" s="108" t="s">
        <v>127</v>
      </c>
      <c r="H127" s="108">
        <v>4400.0</v>
      </c>
      <c r="I127" s="176" t="s">
        <v>969</v>
      </c>
      <c r="J127" s="240" t="s">
        <v>3296</v>
      </c>
      <c r="K127" s="242">
        <v>1.0</v>
      </c>
      <c r="L127" s="124">
        <v>3.875170652E9</v>
      </c>
      <c r="M127" s="367"/>
      <c r="P127" s="276"/>
      <c r="S127" s="361"/>
      <c r="T127" s="276"/>
      <c r="U127" s="276"/>
      <c r="V127" s="276"/>
      <c r="W127" s="276"/>
      <c r="X127" s="276"/>
      <c r="Y127" s="276"/>
      <c r="Z127" s="276"/>
      <c r="AA127" s="276"/>
      <c r="AB127" s="276"/>
      <c r="AC127" s="276"/>
    </row>
    <row r="128">
      <c r="A128" s="108" t="s">
        <v>11126</v>
      </c>
      <c r="B128" s="378">
        <v>45983.0</v>
      </c>
      <c r="C128" s="374">
        <v>8.07000033957E11</v>
      </c>
      <c r="D128" s="374" t="s">
        <v>11123</v>
      </c>
      <c r="E128" s="374" t="s">
        <v>11124</v>
      </c>
      <c r="F128" s="108" t="s">
        <v>11125</v>
      </c>
      <c r="G128" s="108" t="s">
        <v>127</v>
      </c>
      <c r="H128" s="108">
        <v>4400.0</v>
      </c>
      <c r="I128" s="176" t="s">
        <v>512</v>
      </c>
      <c r="J128" s="103" t="s">
        <v>513</v>
      </c>
      <c r="K128" s="241">
        <v>6.0</v>
      </c>
      <c r="L128" s="124">
        <v>3.875170652E9</v>
      </c>
      <c r="M128" s="367"/>
      <c r="P128" s="276"/>
      <c r="S128" s="360"/>
      <c r="T128" s="276"/>
      <c r="U128" s="276"/>
      <c r="V128" s="276"/>
      <c r="W128" s="276"/>
      <c r="X128" s="276"/>
      <c r="Y128" s="276"/>
      <c r="Z128" s="276"/>
      <c r="AA128" s="276"/>
      <c r="AB128" s="276"/>
      <c r="AC128" s="276"/>
    </row>
    <row r="129">
      <c r="A129" s="108" t="s">
        <v>11126</v>
      </c>
      <c r="B129" s="378">
        <v>45983.0</v>
      </c>
      <c r="C129" s="374">
        <v>8.07000033958E11</v>
      </c>
      <c r="D129" s="374" t="s">
        <v>11123</v>
      </c>
      <c r="E129" s="374" t="s">
        <v>11124</v>
      </c>
      <c r="F129" s="108" t="s">
        <v>11125</v>
      </c>
      <c r="G129" s="108" t="s">
        <v>127</v>
      </c>
      <c r="H129" s="108">
        <v>4400.0</v>
      </c>
      <c r="I129" s="176" t="s">
        <v>985</v>
      </c>
      <c r="J129" s="240" t="s">
        <v>3600</v>
      </c>
      <c r="K129" s="242">
        <v>1.0</v>
      </c>
      <c r="L129" s="124">
        <v>3.875170652E9</v>
      </c>
      <c r="M129" s="367"/>
      <c r="P129" s="276"/>
      <c r="S129" s="360"/>
      <c r="T129" s="276"/>
      <c r="U129" s="276"/>
      <c r="V129" s="276"/>
      <c r="W129" s="276"/>
      <c r="X129" s="276"/>
      <c r="Y129" s="276"/>
      <c r="Z129" s="276"/>
      <c r="AA129" s="276"/>
      <c r="AB129" s="276"/>
      <c r="AC129" s="276"/>
    </row>
    <row r="130">
      <c r="A130" s="108" t="s">
        <v>11126</v>
      </c>
      <c r="B130" s="378">
        <v>45983.0</v>
      </c>
      <c r="C130" s="374">
        <v>8.07000033958E11</v>
      </c>
      <c r="D130" s="374" t="s">
        <v>11123</v>
      </c>
      <c r="E130" s="374" t="s">
        <v>11124</v>
      </c>
      <c r="F130" s="108" t="s">
        <v>11125</v>
      </c>
      <c r="G130" s="108" t="s">
        <v>127</v>
      </c>
      <c r="H130" s="108">
        <v>4400.0</v>
      </c>
      <c r="I130" s="176" t="s">
        <v>35</v>
      </c>
      <c r="J130" s="103" t="s">
        <v>3188</v>
      </c>
      <c r="K130" s="241">
        <v>1.0</v>
      </c>
      <c r="L130" s="124">
        <v>3.875170652E9</v>
      </c>
      <c r="M130" s="367"/>
      <c r="P130" s="276"/>
      <c r="S130" s="361"/>
      <c r="T130" s="276"/>
      <c r="U130" s="276"/>
      <c r="V130" s="276"/>
      <c r="W130" s="276"/>
      <c r="X130" s="276"/>
      <c r="Y130" s="276"/>
      <c r="Z130" s="276"/>
      <c r="AA130" s="276"/>
      <c r="AB130" s="276"/>
      <c r="AC130" s="276"/>
    </row>
    <row r="131">
      <c r="A131" s="108" t="s">
        <v>11127</v>
      </c>
      <c r="B131" s="378">
        <v>45983.0</v>
      </c>
      <c r="C131" s="374">
        <v>8.07000033955E11</v>
      </c>
      <c r="D131" s="374" t="s">
        <v>11128</v>
      </c>
      <c r="E131" s="374" t="s">
        <v>11129</v>
      </c>
      <c r="F131" s="108" t="s">
        <v>11130</v>
      </c>
      <c r="G131" s="108" t="s">
        <v>11131</v>
      </c>
      <c r="H131" s="108">
        <v>4407.0</v>
      </c>
      <c r="I131" s="176" t="s">
        <v>8295</v>
      </c>
      <c r="J131" s="240" t="s">
        <v>8296</v>
      </c>
      <c r="K131" s="242">
        <v>1.0</v>
      </c>
      <c r="L131" s="124">
        <v>3.875896315E9</v>
      </c>
      <c r="M131" s="367"/>
      <c r="N131" s="274">
        <v>45986.0</v>
      </c>
      <c r="O131" s="275" t="s">
        <v>9011</v>
      </c>
      <c r="P131" s="276"/>
      <c r="Q131" s="275" t="s">
        <v>13304</v>
      </c>
      <c r="R131" s="359" t="s">
        <v>13305</v>
      </c>
      <c r="S131" s="361"/>
      <c r="T131" s="276"/>
      <c r="U131" s="276"/>
      <c r="V131" s="276"/>
      <c r="W131" s="276"/>
      <c r="X131" s="276"/>
      <c r="Y131" s="276"/>
      <c r="Z131" s="276"/>
      <c r="AA131" s="276"/>
      <c r="AB131" s="276"/>
      <c r="AC131" s="276"/>
    </row>
    <row r="132">
      <c r="A132" s="108" t="s">
        <v>11132</v>
      </c>
      <c r="B132" s="378">
        <v>45983.0</v>
      </c>
      <c r="C132" s="374">
        <v>8.0700003363E11</v>
      </c>
      <c r="D132" s="374" t="s">
        <v>11133</v>
      </c>
      <c r="E132" s="374" t="s">
        <v>11134</v>
      </c>
      <c r="F132" s="108" t="s">
        <v>11135</v>
      </c>
      <c r="G132" s="108" t="s">
        <v>127</v>
      </c>
      <c r="H132" s="108">
        <v>4400.0</v>
      </c>
      <c r="I132" s="176" t="s">
        <v>32</v>
      </c>
      <c r="J132" s="240" t="s">
        <v>3225</v>
      </c>
      <c r="K132" s="242">
        <v>2.0</v>
      </c>
      <c r="L132" s="124">
        <v>3.875213283E9</v>
      </c>
      <c r="M132" s="367"/>
      <c r="N132" s="274">
        <v>45983.0</v>
      </c>
      <c r="O132" s="275" t="s">
        <v>9011</v>
      </c>
      <c r="P132" s="276"/>
      <c r="Q132" s="275" t="s">
        <v>9012</v>
      </c>
      <c r="R132" s="359" t="s">
        <v>13306</v>
      </c>
      <c r="S132" s="360"/>
      <c r="T132" s="276"/>
      <c r="U132" s="276"/>
      <c r="V132" s="276"/>
      <c r="W132" s="276"/>
      <c r="X132" s="276"/>
      <c r="Y132" s="276"/>
      <c r="Z132" s="276"/>
      <c r="AA132" s="276"/>
      <c r="AB132" s="276"/>
      <c r="AC132" s="276"/>
    </row>
    <row r="133">
      <c r="A133" s="108" t="s">
        <v>11132</v>
      </c>
      <c r="B133" s="378">
        <v>45983.0</v>
      </c>
      <c r="C133" s="374">
        <v>8.0700003363E11</v>
      </c>
      <c r="D133" s="374" t="s">
        <v>11133</v>
      </c>
      <c r="E133" s="374" t="s">
        <v>11134</v>
      </c>
      <c r="F133" s="108" t="s">
        <v>11135</v>
      </c>
      <c r="G133" s="108" t="s">
        <v>127</v>
      </c>
      <c r="H133" s="108">
        <v>4400.0</v>
      </c>
      <c r="I133" s="176" t="s">
        <v>512</v>
      </c>
      <c r="J133" s="103" t="s">
        <v>513</v>
      </c>
      <c r="K133" s="241">
        <v>12.0</v>
      </c>
      <c r="L133" s="124">
        <v>3.875213283E9</v>
      </c>
      <c r="M133" s="367"/>
      <c r="P133" s="276"/>
      <c r="S133" s="360"/>
      <c r="T133" s="276"/>
      <c r="U133" s="276"/>
      <c r="V133" s="276"/>
      <c r="W133" s="276"/>
      <c r="X133" s="276"/>
      <c r="Y133" s="276"/>
      <c r="Z133" s="276"/>
      <c r="AA133" s="276"/>
      <c r="AB133" s="276"/>
      <c r="AC133" s="276"/>
    </row>
    <row r="134">
      <c r="A134" s="108" t="s">
        <v>11132</v>
      </c>
      <c r="B134" s="378">
        <v>45983.0</v>
      </c>
      <c r="C134" s="374">
        <v>8.0700003363E11</v>
      </c>
      <c r="D134" s="374" t="s">
        <v>11133</v>
      </c>
      <c r="E134" s="374" t="s">
        <v>11134</v>
      </c>
      <c r="F134" s="108" t="s">
        <v>11135</v>
      </c>
      <c r="G134" s="108" t="s">
        <v>127</v>
      </c>
      <c r="H134" s="108">
        <v>4400.0</v>
      </c>
      <c r="I134" s="176" t="s">
        <v>670</v>
      </c>
      <c r="J134" s="240" t="s">
        <v>3410</v>
      </c>
      <c r="K134" s="242">
        <v>2.0</v>
      </c>
      <c r="L134" s="124">
        <v>3.875213283E9</v>
      </c>
      <c r="M134" s="367"/>
      <c r="P134" s="276"/>
      <c r="S134" s="361"/>
      <c r="T134" s="276"/>
      <c r="U134" s="276"/>
      <c r="V134" s="276"/>
      <c r="W134" s="276"/>
      <c r="X134" s="276"/>
      <c r="Y134" s="276"/>
      <c r="Z134" s="276"/>
      <c r="AA134" s="276"/>
      <c r="AB134" s="276"/>
      <c r="AC134" s="276"/>
    </row>
    <row r="135">
      <c r="A135" s="108" t="s">
        <v>11136</v>
      </c>
      <c r="B135" s="378">
        <v>45983.0</v>
      </c>
      <c r="C135" s="374">
        <v>8.07000033631E11</v>
      </c>
      <c r="D135" s="374" t="s">
        <v>11133</v>
      </c>
      <c r="E135" s="374" t="s">
        <v>11134</v>
      </c>
      <c r="F135" s="108" t="s">
        <v>11135</v>
      </c>
      <c r="G135" s="108" t="s">
        <v>127</v>
      </c>
      <c r="H135" s="108">
        <v>4400.0</v>
      </c>
      <c r="I135" s="176" t="s">
        <v>2412</v>
      </c>
      <c r="J135" s="103" t="s">
        <v>2413</v>
      </c>
      <c r="K135" s="241">
        <v>1.0</v>
      </c>
      <c r="L135" s="124">
        <v>3.875213283E9</v>
      </c>
      <c r="M135" s="367"/>
      <c r="P135" s="276"/>
      <c r="S135" s="361"/>
      <c r="T135" s="275"/>
      <c r="U135" s="276"/>
      <c r="V135" s="276"/>
      <c r="W135" s="276"/>
      <c r="X135" s="276"/>
      <c r="Y135" s="276"/>
      <c r="Z135" s="276"/>
      <c r="AA135" s="276"/>
      <c r="AB135" s="276"/>
      <c r="AC135" s="276"/>
    </row>
    <row r="136">
      <c r="A136" s="108" t="s">
        <v>11136</v>
      </c>
      <c r="B136" s="378">
        <v>45983.0</v>
      </c>
      <c r="C136" s="374">
        <v>8.07000033632E11</v>
      </c>
      <c r="D136" s="374" t="s">
        <v>11133</v>
      </c>
      <c r="E136" s="374" t="s">
        <v>11134</v>
      </c>
      <c r="F136" s="108" t="s">
        <v>11135</v>
      </c>
      <c r="G136" s="108" t="s">
        <v>127</v>
      </c>
      <c r="H136" s="108">
        <v>4400.0</v>
      </c>
      <c r="I136" s="176" t="s">
        <v>2412</v>
      </c>
      <c r="J136" s="240" t="s">
        <v>2413</v>
      </c>
      <c r="K136" s="242">
        <v>1.0</v>
      </c>
      <c r="L136" s="124">
        <v>3.875213283E9</v>
      </c>
      <c r="M136" s="367"/>
      <c r="P136" s="276"/>
      <c r="S136" s="361"/>
      <c r="T136" s="275"/>
      <c r="U136" s="276"/>
      <c r="V136" s="276"/>
      <c r="W136" s="276"/>
      <c r="X136" s="276"/>
      <c r="Y136" s="276"/>
      <c r="Z136" s="276"/>
      <c r="AA136" s="276"/>
      <c r="AB136" s="276"/>
      <c r="AC136" s="276"/>
    </row>
    <row r="137">
      <c r="A137" s="379" t="s">
        <v>11137</v>
      </c>
      <c r="B137" s="378">
        <v>45983.0</v>
      </c>
      <c r="C137" s="380">
        <v>8.05011560655E11</v>
      </c>
      <c r="D137" s="381" t="s">
        <v>11138</v>
      </c>
      <c r="E137" s="381" t="s">
        <v>11139</v>
      </c>
      <c r="F137" s="379" t="s">
        <v>11140</v>
      </c>
      <c r="G137" s="382" t="s">
        <v>13307</v>
      </c>
      <c r="H137" s="379">
        <v>4448.0</v>
      </c>
      <c r="I137" s="383" t="s">
        <v>5034</v>
      </c>
      <c r="J137" s="265" t="s">
        <v>5035</v>
      </c>
      <c r="K137" s="267">
        <v>1.0</v>
      </c>
      <c r="L137" s="185">
        <v>3.877407711E9</v>
      </c>
      <c r="M137" s="367"/>
      <c r="N137" s="274">
        <v>45986.0</v>
      </c>
      <c r="O137" s="275" t="s">
        <v>9011</v>
      </c>
      <c r="P137" s="276"/>
      <c r="Q137" s="275" t="s">
        <v>9012</v>
      </c>
      <c r="R137" s="359" t="s">
        <v>13308</v>
      </c>
      <c r="S137" s="360"/>
      <c r="T137" s="276"/>
      <c r="U137" s="276"/>
      <c r="V137" s="276"/>
      <c r="W137" s="276"/>
      <c r="X137" s="276"/>
      <c r="Y137" s="276"/>
      <c r="Z137" s="276"/>
      <c r="AA137" s="276"/>
      <c r="AB137" s="276"/>
      <c r="AC137" s="276"/>
    </row>
    <row r="138">
      <c r="A138" s="379" t="s">
        <v>11137</v>
      </c>
      <c r="B138" s="378">
        <v>45983.0</v>
      </c>
      <c r="C138" s="380">
        <v>8.05011560655E11</v>
      </c>
      <c r="D138" s="381" t="s">
        <v>11138</v>
      </c>
      <c r="E138" s="381" t="s">
        <v>11139</v>
      </c>
      <c r="F138" s="379" t="s">
        <v>11140</v>
      </c>
      <c r="G138" s="382" t="s">
        <v>13309</v>
      </c>
      <c r="H138" s="379">
        <v>4448.0</v>
      </c>
      <c r="I138" s="383" t="s">
        <v>512</v>
      </c>
      <c r="J138" s="255" t="s">
        <v>513</v>
      </c>
      <c r="K138" s="270">
        <v>6.0</v>
      </c>
      <c r="L138" s="185">
        <v>3.877407711E9</v>
      </c>
      <c r="M138" s="367"/>
      <c r="P138" s="276"/>
      <c r="S138" s="360"/>
      <c r="T138" s="276"/>
      <c r="U138" s="276"/>
      <c r="V138" s="276"/>
      <c r="W138" s="276"/>
      <c r="X138" s="276"/>
      <c r="Y138" s="276"/>
      <c r="Z138" s="276"/>
      <c r="AA138" s="276"/>
      <c r="AB138" s="276"/>
      <c r="AC138" s="276"/>
    </row>
    <row r="139">
      <c r="A139" s="379" t="s">
        <v>11137</v>
      </c>
      <c r="B139" s="378">
        <v>45983.0</v>
      </c>
      <c r="C139" s="380">
        <v>8.05011560655E11</v>
      </c>
      <c r="D139" s="381" t="s">
        <v>11138</v>
      </c>
      <c r="E139" s="381" t="s">
        <v>11139</v>
      </c>
      <c r="F139" s="379" t="s">
        <v>11140</v>
      </c>
      <c r="G139" s="382" t="s">
        <v>13310</v>
      </c>
      <c r="H139" s="379">
        <v>4448.0</v>
      </c>
      <c r="I139" s="383" t="s">
        <v>670</v>
      </c>
      <c r="J139" s="265" t="s">
        <v>3410</v>
      </c>
      <c r="K139" s="267">
        <v>1.0</v>
      </c>
      <c r="L139" s="185">
        <v>3.877407711E9</v>
      </c>
      <c r="M139" s="367"/>
      <c r="P139" s="276"/>
      <c r="S139" s="361"/>
      <c r="T139" s="276"/>
      <c r="U139" s="276"/>
      <c r="V139" s="276"/>
      <c r="W139" s="276"/>
      <c r="X139" s="276"/>
      <c r="Y139" s="276"/>
      <c r="Z139" s="276"/>
      <c r="AA139" s="276"/>
      <c r="AB139" s="276"/>
      <c r="AC139" s="276"/>
    </row>
    <row r="140">
      <c r="A140" s="108" t="s">
        <v>11141</v>
      </c>
      <c r="B140" s="378">
        <v>45984.0</v>
      </c>
      <c r="C140" s="374">
        <v>8.07000033973E11</v>
      </c>
      <c r="D140" s="374" t="s">
        <v>11142</v>
      </c>
      <c r="E140" s="374" t="s">
        <v>11143</v>
      </c>
      <c r="F140" s="108" t="s">
        <v>11144</v>
      </c>
      <c r="G140" s="108" t="s">
        <v>127</v>
      </c>
      <c r="H140" s="108">
        <v>4400.0</v>
      </c>
      <c r="I140" s="374" t="s">
        <v>4070</v>
      </c>
      <c r="J140" s="240" t="s">
        <v>6264</v>
      </c>
      <c r="K140" s="242">
        <v>1.0</v>
      </c>
      <c r="L140" s="124">
        <v>3.876858931E9</v>
      </c>
      <c r="M140" s="367"/>
      <c r="N140" s="274">
        <v>45986.0</v>
      </c>
      <c r="O140" s="275" t="s">
        <v>9011</v>
      </c>
      <c r="P140" s="276"/>
      <c r="Q140" s="275" t="s">
        <v>13311</v>
      </c>
      <c r="R140" s="359" t="s">
        <v>13312</v>
      </c>
      <c r="S140" s="361"/>
      <c r="T140" s="276"/>
      <c r="U140" s="276"/>
      <c r="V140" s="276"/>
      <c r="W140" s="276"/>
      <c r="X140" s="276"/>
      <c r="Y140" s="276"/>
      <c r="Z140" s="276"/>
      <c r="AA140" s="276"/>
      <c r="AB140" s="276"/>
      <c r="AC140" s="276"/>
    </row>
    <row r="141">
      <c r="A141" s="108" t="s">
        <v>11145</v>
      </c>
      <c r="B141" s="378">
        <v>45984.0</v>
      </c>
      <c r="C141" s="374">
        <v>8.07000033974E11</v>
      </c>
      <c r="D141" s="374" t="s">
        <v>11142</v>
      </c>
      <c r="E141" s="374" t="s">
        <v>11143</v>
      </c>
      <c r="F141" s="108" t="s">
        <v>11144</v>
      </c>
      <c r="G141" s="108" t="s">
        <v>127</v>
      </c>
      <c r="H141" s="108">
        <v>4400.0</v>
      </c>
      <c r="I141" s="374" t="s">
        <v>985</v>
      </c>
      <c r="J141" s="103" t="s">
        <v>3600</v>
      </c>
      <c r="K141" s="241">
        <v>1.0</v>
      </c>
      <c r="L141" s="124">
        <v>3.876858931E9</v>
      </c>
      <c r="M141" s="367"/>
      <c r="P141" s="276"/>
      <c r="S141" s="360"/>
      <c r="T141" s="276"/>
      <c r="U141" s="276"/>
      <c r="V141" s="276"/>
      <c r="W141" s="276"/>
      <c r="X141" s="276"/>
      <c r="Y141" s="276"/>
      <c r="Z141" s="276"/>
      <c r="AA141" s="276"/>
      <c r="AB141" s="276"/>
      <c r="AC141" s="276"/>
    </row>
    <row r="142">
      <c r="A142" s="108" t="s">
        <v>11145</v>
      </c>
      <c r="B142" s="378">
        <v>45984.0</v>
      </c>
      <c r="C142" s="374">
        <v>8.07000033974E11</v>
      </c>
      <c r="D142" s="374" t="s">
        <v>11142</v>
      </c>
      <c r="E142" s="374" t="s">
        <v>11143</v>
      </c>
      <c r="F142" s="108" t="s">
        <v>11144</v>
      </c>
      <c r="G142" s="108" t="s">
        <v>127</v>
      </c>
      <c r="H142" s="108">
        <v>4400.0</v>
      </c>
      <c r="I142" s="374" t="s">
        <v>512</v>
      </c>
      <c r="J142" s="240" t="s">
        <v>513</v>
      </c>
      <c r="K142" s="242">
        <v>6.0</v>
      </c>
      <c r="L142" s="124">
        <v>3.876858931E9</v>
      </c>
      <c r="M142" s="367"/>
      <c r="P142" s="276"/>
      <c r="S142" s="360"/>
      <c r="T142" s="276"/>
      <c r="U142" s="276"/>
      <c r="V142" s="276"/>
      <c r="W142" s="276"/>
      <c r="X142" s="276"/>
      <c r="Y142" s="276"/>
      <c r="Z142" s="276"/>
      <c r="AA142" s="276"/>
      <c r="AB142" s="276"/>
      <c r="AC142" s="276"/>
    </row>
    <row r="143">
      <c r="A143" s="108" t="s">
        <v>11145</v>
      </c>
      <c r="B143" s="378">
        <v>45984.0</v>
      </c>
      <c r="C143" s="374">
        <v>8.07000033974E11</v>
      </c>
      <c r="D143" s="374" t="s">
        <v>11142</v>
      </c>
      <c r="E143" s="374" t="s">
        <v>11143</v>
      </c>
      <c r="F143" s="108" t="s">
        <v>11144</v>
      </c>
      <c r="G143" s="108" t="s">
        <v>127</v>
      </c>
      <c r="H143" s="108">
        <v>4400.0</v>
      </c>
      <c r="I143" s="374" t="s">
        <v>35</v>
      </c>
      <c r="J143" s="103" t="s">
        <v>3188</v>
      </c>
      <c r="K143" s="241">
        <v>1.0</v>
      </c>
      <c r="L143" s="124">
        <v>3.876858931E9</v>
      </c>
      <c r="M143" s="367"/>
      <c r="P143" s="276"/>
      <c r="S143" s="361"/>
      <c r="T143" s="276"/>
      <c r="U143" s="276"/>
      <c r="V143" s="276"/>
      <c r="W143" s="276"/>
      <c r="X143" s="276"/>
      <c r="Y143" s="276"/>
      <c r="Z143" s="276"/>
      <c r="AA143" s="276"/>
      <c r="AB143" s="276"/>
      <c r="AC143" s="276"/>
    </row>
    <row r="144">
      <c r="A144" s="370"/>
      <c r="B144" s="371"/>
      <c r="C144" s="384"/>
      <c r="D144" s="384"/>
      <c r="E144" s="384"/>
      <c r="F144" s="370"/>
      <c r="G144" s="370"/>
      <c r="H144" s="370"/>
      <c r="I144" s="385"/>
      <c r="J144" s="271"/>
      <c r="K144" s="273"/>
      <c r="L144" s="247"/>
      <c r="M144" s="367"/>
      <c r="N144" s="275" t="s">
        <v>5479</v>
      </c>
      <c r="O144" s="275" t="s">
        <v>5479</v>
      </c>
      <c r="P144" s="276"/>
      <c r="Q144" s="275" t="s">
        <v>5479</v>
      </c>
      <c r="R144" s="277" t="s">
        <v>5479</v>
      </c>
      <c r="S144" s="360"/>
      <c r="T144" s="276"/>
      <c r="U144" s="276"/>
      <c r="V144" s="276"/>
      <c r="W144" s="276"/>
      <c r="X144" s="276"/>
      <c r="Y144" s="276"/>
      <c r="Z144" s="276"/>
      <c r="AA144" s="276"/>
      <c r="AB144" s="276"/>
      <c r="AC144" s="276"/>
    </row>
    <row r="145">
      <c r="A145" s="370" t="s">
        <v>11146</v>
      </c>
      <c r="B145" s="371"/>
      <c r="C145" s="365">
        <v>8.07000033962E11</v>
      </c>
      <c r="D145" s="365" t="s">
        <v>11147</v>
      </c>
      <c r="E145" s="365" t="s">
        <v>11148</v>
      </c>
      <c r="F145" s="370" t="s">
        <v>11149</v>
      </c>
      <c r="G145" s="370" t="s">
        <v>127</v>
      </c>
      <c r="H145" s="370">
        <v>4400.0</v>
      </c>
      <c r="I145" s="365" t="s">
        <v>3451</v>
      </c>
      <c r="J145" s="366" t="s">
        <v>3452</v>
      </c>
      <c r="K145" s="259">
        <v>1.0</v>
      </c>
      <c r="L145" s="210">
        <v>3.876843404E9</v>
      </c>
      <c r="M145" s="367"/>
      <c r="N145" s="274">
        <v>45986.0</v>
      </c>
      <c r="O145" s="275" t="s">
        <v>9011</v>
      </c>
      <c r="P145" s="276"/>
      <c r="Q145" s="275" t="s">
        <v>13313</v>
      </c>
      <c r="R145" s="359" t="s">
        <v>13314</v>
      </c>
      <c r="S145" s="360"/>
      <c r="T145" s="276"/>
      <c r="U145" s="276"/>
      <c r="V145" s="276"/>
      <c r="W145" s="276"/>
      <c r="X145" s="276"/>
      <c r="Y145" s="276"/>
      <c r="Z145" s="276"/>
      <c r="AA145" s="276"/>
      <c r="AB145" s="276"/>
      <c r="AC145" s="276"/>
    </row>
    <row r="146">
      <c r="A146" s="370" t="s">
        <v>11146</v>
      </c>
      <c r="B146" s="371"/>
      <c r="C146" s="365">
        <v>8.07000033962E11</v>
      </c>
      <c r="D146" s="365" t="s">
        <v>11147</v>
      </c>
      <c r="E146" s="365" t="s">
        <v>11148</v>
      </c>
      <c r="F146" s="370" t="s">
        <v>11149</v>
      </c>
      <c r="G146" s="370" t="s">
        <v>127</v>
      </c>
      <c r="H146" s="370">
        <v>4400.0</v>
      </c>
      <c r="I146" s="365" t="s">
        <v>512</v>
      </c>
      <c r="J146" s="325" t="s">
        <v>513</v>
      </c>
      <c r="K146" s="278">
        <v>6.0</v>
      </c>
      <c r="L146" s="210">
        <v>3.876843404E9</v>
      </c>
      <c r="M146" s="367"/>
      <c r="P146" s="276"/>
      <c r="S146" s="360"/>
      <c r="T146" s="276"/>
      <c r="U146" s="276"/>
      <c r="V146" s="276"/>
      <c r="W146" s="276"/>
      <c r="X146" s="276"/>
      <c r="Y146" s="276"/>
      <c r="Z146" s="276"/>
      <c r="AA146" s="276"/>
      <c r="AB146" s="276"/>
      <c r="AC146" s="276"/>
    </row>
    <row r="147">
      <c r="A147" s="370" t="s">
        <v>11146</v>
      </c>
      <c r="B147" s="371"/>
      <c r="C147" s="365">
        <v>8.07000033962E11</v>
      </c>
      <c r="D147" s="365" t="s">
        <v>11147</v>
      </c>
      <c r="E147" s="365" t="s">
        <v>11148</v>
      </c>
      <c r="F147" s="370" t="s">
        <v>11149</v>
      </c>
      <c r="G147" s="370" t="s">
        <v>127</v>
      </c>
      <c r="H147" s="370">
        <v>4400.0</v>
      </c>
      <c r="I147" s="365" t="s">
        <v>670</v>
      </c>
      <c r="J147" s="366" t="s">
        <v>3410</v>
      </c>
      <c r="K147" s="259">
        <v>1.0</v>
      </c>
      <c r="L147" s="210">
        <v>3.876843404E9</v>
      </c>
      <c r="M147" s="367"/>
      <c r="P147" s="276"/>
      <c r="S147" s="361"/>
      <c r="T147" s="276"/>
      <c r="U147" s="276"/>
      <c r="V147" s="276"/>
      <c r="W147" s="276"/>
      <c r="X147" s="276"/>
      <c r="Y147" s="276"/>
      <c r="Z147" s="276"/>
      <c r="AA147" s="276"/>
      <c r="AB147" s="276"/>
      <c r="AC147" s="276"/>
    </row>
    <row r="148">
      <c r="A148" s="370" t="s">
        <v>11150</v>
      </c>
      <c r="B148" s="371"/>
      <c r="C148" s="365">
        <v>8.07000033975E11</v>
      </c>
      <c r="D148" s="365" t="s">
        <v>11151</v>
      </c>
      <c r="E148" s="365" t="s">
        <v>11152</v>
      </c>
      <c r="F148" s="370" t="s">
        <v>11153</v>
      </c>
      <c r="G148" s="370" t="s">
        <v>127</v>
      </c>
      <c r="H148" s="370">
        <v>4400.0</v>
      </c>
      <c r="I148" s="365" t="s">
        <v>3154</v>
      </c>
      <c r="J148" s="366" t="s">
        <v>4564</v>
      </c>
      <c r="K148" s="259">
        <v>1.0</v>
      </c>
      <c r="L148" s="210">
        <v>3.875777338E9</v>
      </c>
      <c r="M148" s="367"/>
      <c r="N148" s="274">
        <v>45986.0</v>
      </c>
      <c r="O148" s="275" t="s">
        <v>9011</v>
      </c>
      <c r="P148" s="276"/>
      <c r="Q148" s="275" t="s">
        <v>9012</v>
      </c>
      <c r="R148" s="359" t="s">
        <v>13315</v>
      </c>
      <c r="S148" s="361"/>
      <c r="T148" s="276"/>
      <c r="U148" s="276"/>
      <c r="V148" s="276"/>
      <c r="W148" s="276"/>
      <c r="X148" s="276"/>
      <c r="Y148" s="276"/>
      <c r="Z148" s="276"/>
      <c r="AA148" s="276"/>
      <c r="AB148" s="276"/>
      <c r="AC148" s="276"/>
    </row>
    <row r="149">
      <c r="A149" s="370" t="s">
        <v>11150</v>
      </c>
      <c r="B149" s="371"/>
      <c r="C149" s="365">
        <v>5.3000000001E10</v>
      </c>
      <c r="D149" s="365" t="s">
        <v>11151</v>
      </c>
      <c r="E149" s="365" t="s">
        <v>11152</v>
      </c>
      <c r="F149" s="370" t="s">
        <v>11153</v>
      </c>
      <c r="G149" s="370" t="s">
        <v>127</v>
      </c>
      <c r="H149" s="370">
        <v>4400.0</v>
      </c>
      <c r="I149" s="365" t="s">
        <v>4070</v>
      </c>
      <c r="J149" s="325" t="s">
        <v>6264</v>
      </c>
      <c r="K149" s="278">
        <v>1.0</v>
      </c>
      <c r="L149" s="210">
        <v>3.875777338E9</v>
      </c>
      <c r="M149" s="367"/>
      <c r="P149" s="276"/>
      <c r="S149" s="361"/>
      <c r="T149" s="276"/>
      <c r="U149" s="276"/>
      <c r="V149" s="276"/>
      <c r="W149" s="276"/>
      <c r="X149" s="276"/>
      <c r="Y149" s="276"/>
      <c r="Z149" s="276"/>
      <c r="AA149" s="276"/>
      <c r="AB149" s="276"/>
      <c r="AC149" s="276"/>
    </row>
    <row r="150">
      <c r="A150" s="370" t="s">
        <v>11154</v>
      </c>
      <c r="B150" s="371"/>
      <c r="C150" s="365">
        <v>8.0700003398E11</v>
      </c>
      <c r="D150" s="365" t="s">
        <v>11103</v>
      </c>
      <c r="E150" s="365" t="s">
        <v>11104</v>
      </c>
      <c r="F150" s="370" t="s">
        <v>11105</v>
      </c>
      <c r="G150" s="370" t="s">
        <v>127</v>
      </c>
      <c r="H150" s="370">
        <v>4400.0</v>
      </c>
      <c r="I150" s="365">
        <v>2.2346259146E10</v>
      </c>
      <c r="J150" s="366" t="s">
        <v>9046</v>
      </c>
      <c r="K150" s="259">
        <v>1.0</v>
      </c>
      <c r="L150" s="210">
        <v>3.87409303E8</v>
      </c>
      <c r="M150" s="367"/>
      <c r="N150" s="274">
        <v>45986.0</v>
      </c>
      <c r="O150" s="275" t="s">
        <v>9011</v>
      </c>
      <c r="P150" s="276"/>
      <c r="Q150" s="275" t="s">
        <v>9012</v>
      </c>
      <c r="R150" s="359" t="s">
        <v>13316</v>
      </c>
      <c r="S150" s="360"/>
      <c r="T150" s="276"/>
      <c r="U150" s="276"/>
      <c r="V150" s="276"/>
      <c r="W150" s="276"/>
      <c r="X150" s="276"/>
      <c r="Y150" s="276"/>
      <c r="Z150" s="276"/>
      <c r="AA150" s="276"/>
      <c r="AB150" s="276"/>
      <c r="AC150" s="276"/>
    </row>
    <row r="151">
      <c r="A151" s="370" t="s">
        <v>11154</v>
      </c>
      <c r="B151" s="371"/>
      <c r="C151" s="365">
        <v>8.07000033981E11</v>
      </c>
      <c r="D151" s="365" t="s">
        <v>11103</v>
      </c>
      <c r="E151" s="365" t="s">
        <v>11104</v>
      </c>
      <c r="F151" s="370" t="s">
        <v>11105</v>
      </c>
      <c r="G151" s="370" t="s">
        <v>127</v>
      </c>
      <c r="H151" s="370">
        <v>4400.0</v>
      </c>
      <c r="I151" s="365" t="s">
        <v>9725</v>
      </c>
      <c r="J151" s="325" t="s">
        <v>9726</v>
      </c>
      <c r="K151" s="278">
        <v>1.0</v>
      </c>
      <c r="L151" s="210">
        <v>3.87409303E8</v>
      </c>
      <c r="M151" s="367"/>
      <c r="P151" s="276"/>
      <c r="S151" s="361"/>
      <c r="T151" s="276"/>
      <c r="U151" s="276"/>
      <c r="V151" s="276"/>
      <c r="W151" s="276"/>
      <c r="X151" s="276"/>
      <c r="Y151" s="276"/>
      <c r="Z151" s="276"/>
      <c r="AA151" s="276"/>
      <c r="AB151" s="276"/>
      <c r="AC151" s="276"/>
    </row>
    <row r="152">
      <c r="A152" s="370" t="s">
        <v>11155</v>
      </c>
      <c r="B152" s="371"/>
      <c r="C152" s="365">
        <v>8.07000033969E11</v>
      </c>
      <c r="D152" s="365" t="s">
        <v>11156</v>
      </c>
      <c r="E152" s="365" t="s">
        <v>11157</v>
      </c>
      <c r="F152" s="370" t="s">
        <v>11158</v>
      </c>
      <c r="G152" s="370" t="s">
        <v>127</v>
      </c>
      <c r="H152" s="370">
        <v>4400.0</v>
      </c>
      <c r="I152" s="365" t="s">
        <v>11159</v>
      </c>
      <c r="J152" s="325" t="s">
        <v>11160</v>
      </c>
      <c r="K152" s="278">
        <v>1.0</v>
      </c>
      <c r="L152" s="210">
        <v>3.876836487E9</v>
      </c>
      <c r="M152" s="367"/>
      <c r="N152" s="274">
        <v>45987.0</v>
      </c>
      <c r="O152" s="275" t="s">
        <v>9011</v>
      </c>
      <c r="P152" s="276"/>
      <c r="Q152" s="275" t="s">
        <v>9012</v>
      </c>
      <c r="R152" s="359" t="s">
        <v>13317</v>
      </c>
      <c r="S152" s="361"/>
      <c r="T152" s="276"/>
      <c r="U152" s="276"/>
      <c r="V152" s="276"/>
      <c r="W152" s="276"/>
      <c r="X152" s="276"/>
      <c r="Y152" s="276"/>
      <c r="Z152" s="276"/>
      <c r="AA152" s="276"/>
      <c r="AB152" s="276"/>
      <c r="AC152" s="276"/>
    </row>
    <row r="153">
      <c r="A153" s="370" t="s">
        <v>11161</v>
      </c>
      <c r="B153" s="371"/>
      <c r="C153" s="365">
        <v>8.07000033982E11</v>
      </c>
      <c r="D153" s="365" t="s">
        <v>11162</v>
      </c>
      <c r="E153" s="365" t="s">
        <v>11163</v>
      </c>
      <c r="F153" s="370" t="s">
        <v>11164</v>
      </c>
      <c r="G153" s="370" t="s">
        <v>127</v>
      </c>
      <c r="H153" s="370">
        <v>4400.0</v>
      </c>
      <c r="I153" s="365" t="s">
        <v>10974</v>
      </c>
      <c r="J153" s="325" t="s">
        <v>10975</v>
      </c>
      <c r="K153" s="278">
        <v>1.0</v>
      </c>
      <c r="L153" s="210">
        <v>3.876183574E9</v>
      </c>
      <c r="M153" s="367"/>
      <c r="N153" s="274">
        <v>45986.0</v>
      </c>
      <c r="O153" s="275" t="s">
        <v>9011</v>
      </c>
      <c r="P153" s="276"/>
      <c r="Q153" s="275" t="s">
        <v>9012</v>
      </c>
      <c r="R153" s="359" t="s">
        <v>13318</v>
      </c>
      <c r="S153" s="361"/>
      <c r="T153" s="276"/>
      <c r="U153" s="276"/>
      <c r="V153" s="276"/>
      <c r="W153" s="276"/>
      <c r="X153" s="276"/>
      <c r="Y153" s="276"/>
      <c r="Z153" s="276"/>
      <c r="AA153" s="276"/>
      <c r="AB153" s="276"/>
      <c r="AC153" s="386"/>
    </row>
    <row r="154">
      <c r="A154" s="370" t="s">
        <v>11165</v>
      </c>
      <c r="B154" s="371"/>
      <c r="C154" s="365">
        <v>8.07000033983E11</v>
      </c>
      <c r="D154" s="365" t="s">
        <v>11162</v>
      </c>
      <c r="E154" s="365" t="s">
        <v>11163</v>
      </c>
      <c r="F154" s="370" t="s">
        <v>11164</v>
      </c>
      <c r="G154" s="370" t="s">
        <v>127</v>
      </c>
      <c r="H154" s="370">
        <v>4400.0</v>
      </c>
      <c r="I154" s="365" t="s">
        <v>701</v>
      </c>
      <c r="J154" s="366" t="s">
        <v>4409</v>
      </c>
      <c r="K154" s="259">
        <v>1.0</v>
      </c>
      <c r="L154" s="210">
        <v>3.876183574E9</v>
      </c>
      <c r="M154" s="367"/>
      <c r="P154" s="276"/>
      <c r="S154" s="361"/>
      <c r="T154" s="275"/>
      <c r="U154" s="276"/>
      <c r="V154" s="276"/>
      <c r="W154" s="276"/>
      <c r="X154" s="276"/>
      <c r="Y154" s="276"/>
      <c r="Z154" s="276"/>
      <c r="AA154" s="276"/>
      <c r="AB154" s="276"/>
      <c r="AC154" s="276"/>
    </row>
    <row r="155">
      <c r="A155" s="370" t="s">
        <v>11166</v>
      </c>
      <c r="B155" s="371">
        <v>45986.0</v>
      </c>
      <c r="C155" s="365">
        <v>8.05011561026E11</v>
      </c>
      <c r="D155" s="365" t="s">
        <v>11167</v>
      </c>
      <c r="E155" s="365" t="s">
        <v>11168</v>
      </c>
      <c r="F155" s="370" t="s">
        <v>11169</v>
      </c>
      <c r="G155" s="370" t="s">
        <v>127</v>
      </c>
      <c r="H155" s="370">
        <v>4400.0</v>
      </c>
      <c r="I155" s="365" t="s">
        <v>3431</v>
      </c>
      <c r="J155" s="366" t="s">
        <v>3432</v>
      </c>
      <c r="K155" s="259">
        <v>1.0</v>
      </c>
      <c r="L155" s="210">
        <v>3.874538659E9</v>
      </c>
      <c r="N155" s="274">
        <v>45986.0</v>
      </c>
      <c r="O155" s="275" t="s">
        <v>9011</v>
      </c>
      <c r="P155" s="276"/>
      <c r="Q155" s="275" t="s">
        <v>9012</v>
      </c>
      <c r="R155" s="359" t="s">
        <v>13276</v>
      </c>
      <c r="S155" s="361"/>
      <c r="T155" s="276"/>
      <c r="U155" s="276"/>
      <c r="V155" s="276"/>
      <c r="W155" s="276"/>
      <c r="X155" s="276"/>
      <c r="Y155" s="276"/>
      <c r="Z155" s="276"/>
      <c r="AA155" s="276"/>
      <c r="AB155" s="276"/>
      <c r="AC155" s="276"/>
    </row>
    <row r="156">
      <c r="A156" s="370" t="s">
        <v>11170</v>
      </c>
      <c r="B156" s="371">
        <v>45988.0</v>
      </c>
      <c r="C156" s="365">
        <v>8.07000034002E11</v>
      </c>
      <c r="D156" s="365" t="s">
        <v>11171</v>
      </c>
      <c r="E156" s="365" t="s">
        <v>11172</v>
      </c>
      <c r="F156" s="370" t="s">
        <v>11173</v>
      </c>
      <c r="G156" s="370" t="s">
        <v>104</v>
      </c>
      <c r="H156" s="370">
        <v>4400.0</v>
      </c>
      <c r="I156" s="365" t="s">
        <v>947</v>
      </c>
      <c r="J156" s="325" t="s">
        <v>3750</v>
      </c>
      <c r="K156" s="278">
        <v>1.0</v>
      </c>
      <c r="L156" s="210">
        <v>3.874890082E9</v>
      </c>
      <c r="N156" s="274">
        <v>45990.0</v>
      </c>
      <c r="O156" s="275" t="s">
        <v>9011</v>
      </c>
      <c r="P156" s="276"/>
      <c r="Q156" s="275" t="s">
        <v>9012</v>
      </c>
      <c r="R156" s="359" t="s">
        <v>13319</v>
      </c>
      <c r="S156" s="360"/>
      <c r="T156" s="276"/>
      <c r="U156" s="276"/>
      <c r="V156" s="276"/>
      <c r="W156" s="276"/>
      <c r="X156" s="276"/>
      <c r="Y156" s="276"/>
      <c r="Z156" s="276"/>
      <c r="AA156" s="276"/>
      <c r="AB156" s="276"/>
      <c r="AC156" s="276"/>
    </row>
    <row r="157">
      <c r="A157" s="370" t="s">
        <v>11170</v>
      </c>
      <c r="B157" s="371">
        <v>45988.0</v>
      </c>
      <c r="C157" s="365">
        <v>8.07000034002E11</v>
      </c>
      <c r="D157" s="365" t="s">
        <v>11171</v>
      </c>
      <c r="E157" s="365" t="s">
        <v>11172</v>
      </c>
      <c r="F157" s="370" t="s">
        <v>11173</v>
      </c>
      <c r="G157" s="370" t="s">
        <v>104</v>
      </c>
      <c r="H157" s="370">
        <v>4400.0</v>
      </c>
      <c r="I157" s="365" t="s">
        <v>512</v>
      </c>
      <c r="J157" s="366" t="s">
        <v>513</v>
      </c>
      <c r="K157" s="259">
        <v>6.0</v>
      </c>
      <c r="L157" s="210">
        <v>3.874890082E9</v>
      </c>
      <c r="P157" s="276"/>
      <c r="S157" s="360"/>
      <c r="T157" s="276"/>
      <c r="U157" s="276"/>
      <c r="V157" s="276"/>
      <c r="W157" s="276"/>
      <c r="X157" s="276"/>
      <c r="Y157" s="276"/>
      <c r="Z157" s="276"/>
      <c r="AA157" s="276"/>
      <c r="AB157" s="276"/>
      <c r="AC157" s="276"/>
    </row>
    <row r="158">
      <c r="A158" s="370" t="s">
        <v>11170</v>
      </c>
      <c r="B158" s="371">
        <v>45988.0</v>
      </c>
      <c r="C158" s="365">
        <v>8.07000034002E11</v>
      </c>
      <c r="D158" s="365" t="s">
        <v>11171</v>
      </c>
      <c r="E158" s="365" t="s">
        <v>11172</v>
      </c>
      <c r="F158" s="370" t="s">
        <v>11173</v>
      </c>
      <c r="G158" s="370" t="s">
        <v>104</v>
      </c>
      <c r="H158" s="370">
        <v>4400.0</v>
      </c>
      <c r="I158" s="365" t="s">
        <v>35</v>
      </c>
      <c r="J158" s="325" t="s">
        <v>3188</v>
      </c>
      <c r="K158" s="278">
        <v>1.0</v>
      </c>
      <c r="L158" s="210">
        <v>3.874890082E9</v>
      </c>
      <c r="P158" s="276"/>
      <c r="S158" s="361"/>
      <c r="T158" s="276"/>
      <c r="U158" s="276"/>
      <c r="V158" s="276"/>
      <c r="W158" s="276"/>
      <c r="X158" s="276"/>
      <c r="Y158" s="276"/>
      <c r="Z158" s="276"/>
      <c r="AA158" s="276"/>
      <c r="AB158" s="276"/>
      <c r="AC158" s="276"/>
    </row>
    <row r="159">
      <c r="A159" s="370" t="s">
        <v>11174</v>
      </c>
      <c r="B159" s="371">
        <v>45988.0</v>
      </c>
      <c r="C159" s="365">
        <v>8.07000033994E11</v>
      </c>
      <c r="D159" s="365" t="s">
        <v>11175</v>
      </c>
      <c r="E159" s="365" t="s">
        <v>11176</v>
      </c>
      <c r="F159" s="370" t="s">
        <v>11177</v>
      </c>
      <c r="G159" s="370" t="s">
        <v>104</v>
      </c>
      <c r="H159" s="370">
        <v>4400.0</v>
      </c>
      <c r="I159" s="365" t="s">
        <v>3512</v>
      </c>
      <c r="J159" s="366" t="s">
        <v>3513</v>
      </c>
      <c r="K159" s="259">
        <v>12.0</v>
      </c>
      <c r="L159" s="210">
        <v>3.875228402E9</v>
      </c>
      <c r="N159" s="274">
        <v>45989.0</v>
      </c>
      <c r="O159" s="275" t="s">
        <v>9011</v>
      </c>
      <c r="P159" s="276"/>
      <c r="Q159" s="275" t="s">
        <v>9012</v>
      </c>
      <c r="R159" s="359" t="s">
        <v>13320</v>
      </c>
      <c r="S159" s="360"/>
      <c r="T159" s="276"/>
      <c r="U159" s="276"/>
      <c r="V159" s="276"/>
      <c r="W159" s="276"/>
      <c r="X159" s="276"/>
      <c r="Y159" s="276"/>
      <c r="Z159" s="276"/>
      <c r="AA159" s="276"/>
      <c r="AB159" s="276"/>
      <c r="AC159" s="276"/>
    </row>
    <row r="160">
      <c r="A160" s="370" t="s">
        <v>11174</v>
      </c>
      <c r="B160" s="371">
        <v>45988.0</v>
      </c>
      <c r="C160" s="365">
        <v>8.07000033995E11</v>
      </c>
      <c r="D160" s="365" t="s">
        <v>11175</v>
      </c>
      <c r="E160" s="365" t="s">
        <v>11176</v>
      </c>
      <c r="F160" s="370" t="s">
        <v>11177</v>
      </c>
      <c r="G160" s="370" t="s">
        <v>104</v>
      </c>
      <c r="H160" s="370">
        <v>4400.0</v>
      </c>
      <c r="I160" s="365" t="s">
        <v>11159</v>
      </c>
      <c r="J160" s="325" t="s">
        <v>11160</v>
      </c>
      <c r="K160" s="278">
        <v>1.0</v>
      </c>
      <c r="L160" s="210">
        <v>3.875228402E9</v>
      </c>
      <c r="P160" s="276"/>
      <c r="S160" s="360"/>
      <c r="T160" s="276"/>
      <c r="U160" s="276"/>
      <c r="V160" s="276"/>
      <c r="W160" s="276"/>
      <c r="X160" s="276"/>
      <c r="Y160" s="276"/>
      <c r="Z160" s="276"/>
      <c r="AA160" s="276"/>
      <c r="AB160" s="276"/>
      <c r="AC160" s="276"/>
    </row>
    <row r="161">
      <c r="A161" s="370" t="s">
        <v>11174</v>
      </c>
      <c r="B161" s="371">
        <v>45988.0</v>
      </c>
      <c r="C161" s="365">
        <v>8.07000033995E11</v>
      </c>
      <c r="D161" s="365" t="s">
        <v>11175</v>
      </c>
      <c r="E161" s="365" t="s">
        <v>11176</v>
      </c>
      <c r="F161" s="370" t="s">
        <v>11177</v>
      </c>
      <c r="G161" s="370" t="s">
        <v>104</v>
      </c>
      <c r="H161" s="370">
        <v>4400.0</v>
      </c>
      <c r="I161" s="365" t="s">
        <v>4250</v>
      </c>
      <c r="J161" s="366" t="s">
        <v>4251</v>
      </c>
      <c r="K161" s="259">
        <v>2.0</v>
      </c>
      <c r="L161" s="210">
        <v>3.875228402E9</v>
      </c>
      <c r="P161" s="276"/>
      <c r="S161" s="361"/>
      <c r="T161" s="276"/>
      <c r="U161" s="276"/>
      <c r="V161" s="276"/>
      <c r="W161" s="276"/>
      <c r="X161" s="276"/>
      <c r="Y161" s="276"/>
      <c r="Z161" s="276"/>
      <c r="AA161" s="276"/>
      <c r="AB161" s="276"/>
      <c r="AC161" s="276"/>
    </row>
    <row r="162">
      <c r="A162" s="370" t="s">
        <v>11178</v>
      </c>
      <c r="B162" s="371">
        <v>45988.0</v>
      </c>
      <c r="C162" s="365">
        <v>8.07000033997E11</v>
      </c>
      <c r="D162" s="365" t="s">
        <v>11179</v>
      </c>
      <c r="E162" s="365" t="s">
        <v>11180</v>
      </c>
      <c r="F162" s="370" t="s">
        <v>11181</v>
      </c>
      <c r="G162" s="370" t="s">
        <v>104</v>
      </c>
      <c r="H162" s="370">
        <v>4400.0</v>
      </c>
      <c r="I162" s="365" t="s">
        <v>985</v>
      </c>
      <c r="J162" s="366" t="s">
        <v>3600</v>
      </c>
      <c r="K162" s="259">
        <v>1.0</v>
      </c>
      <c r="L162" s="210">
        <v>3.875792734E9</v>
      </c>
      <c r="N162" s="274">
        <v>45989.0</v>
      </c>
      <c r="O162" s="275" t="s">
        <v>9011</v>
      </c>
      <c r="P162" s="276"/>
      <c r="Q162" s="275" t="s">
        <v>13321</v>
      </c>
      <c r="R162" s="359" t="s">
        <v>13322</v>
      </c>
      <c r="S162" s="361"/>
      <c r="T162" s="276"/>
      <c r="U162" s="276"/>
      <c r="V162" s="276"/>
      <c r="W162" s="276"/>
      <c r="X162" s="276"/>
      <c r="Y162" s="276"/>
      <c r="Z162" s="276"/>
      <c r="AA162" s="276"/>
      <c r="AB162" s="276"/>
      <c r="AC162" s="276"/>
    </row>
    <row r="163">
      <c r="A163" s="370" t="s">
        <v>11178</v>
      </c>
      <c r="B163" s="371">
        <v>45988.0</v>
      </c>
      <c r="C163" s="365">
        <v>8.07000033998E11</v>
      </c>
      <c r="D163" s="365" t="s">
        <v>11179</v>
      </c>
      <c r="E163" s="365" t="s">
        <v>11180</v>
      </c>
      <c r="F163" s="370" t="s">
        <v>11181</v>
      </c>
      <c r="G163" s="370" t="s">
        <v>104</v>
      </c>
      <c r="H163" s="370">
        <v>4400.0</v>
      </c>
      <c r="I163" s="365">
        <v>125818.0</v>
      </c>
      <c r="J163" s="325" t="s">
        <v>4334</v>
      </c>
      <c r="K163" s="278">
        <v>2.0</v>
      </c>
      <c r="L163" s="210">
        <v>3.875792734E9</v>
      </c>
      <c r="P163" s="276"/>
      <c r="S163" s="361"/>
      <c r="T163" s="276"/>
      <c r="U163" s="276"/>
      <c r="V163" s="276"/>
      <c r="W163" s="276"/>
      <c r="X163" s="276"/>
      <c r="Y163" s="276"/>
      <c r="Z163" s="276"/>
      <c r="AA163" s="276"/>
      <c r="AB163" s="276"/>
      <c r="AC163" s="276"/>
    </row>
    <row r="164">
      <c r="A164" s="370" t="s">
        <v>11182</v>
      </c>
      <c r="B164" s="371">
        <v>45988.0</v>
      </c>
      <c r="C164" s="365">
        <v>8.07000033999E11</v>
      </c>
      <c r="D164" s="365" t="s">
        <v>11183</v>
      </c>
      <c r="E164" s="365" t="s">
        <v>11184</v>
      </c>
      <c r="F164" s="370" t="s">
        <v>11185</v>
      </c>
      <c r="G164" s="370" t="s">
        <v>104</v>
      </c>
      <c r="H164" s="370">
        <v>4400.0</v>
      </c>
      <c r="I164" s="365" t="s">
        <v>5262</v>
      </c>
      <c r="J164" s="366" t="s">
        <v>5263</v>
      </c>
      <c r="K164" s="259">
        <v>1.0</v>
      </c>
      <c r="L164" s="210">
        <v>3.886534709E9</v>
      </c>
      <c r="N164" s="274">
        <v>45989.0</v>
      </c>
      <c r="O164" s="275" t="s">
        <v>9011</v>
      </c>
      <c r="P164" s="276"/>
      <c r="Q164" s="275" t="s">
        <v>13323</v>
      </c>
      <c r="R164" s="359" t="s">
        <v>13324</v>
      </c>
      <c r="S164" s="361"/>
      <c r="T164" s="276"/>
      <c r="U164" s="276"/>
      <c r="V164" s="276"/>
      <c r="W164" s="276"/>
      <c r="X164" s="276"/>
      <c r="Y164" s="276"/>
      <c r="Z164" s="276"/>
      <c r="AA164" s="276"/>
      <c r="AB164" s="276"/>
      <c r="AC164" s="276"/>
    </row>
    <row r="165">
      <c r="A165" s="370" t="s">
        <v>11186</v>
      </c>
      <c r="B165" s="371">
        <v>45988.0</v>
      </c>
      <c r="C165" s="365">
        <v>8.07000034E11</v>
      </c>
      <c r="D165" s="365" t="s">
        <v>11183</v>
      </c>
      <c r="E165" s="365" t="s">
        <v>11184</v>
      </c>
      <c r="F165" s="370" t="s">
        <v>11185</v>
      </c>
      <c r="G165" s="370" t="s">
        <v>104</v>
      </c>
      <c r="H165" s="370">
        <v>4400.0</v>
      </c>
      <c r="I165" s="365" t="s">
        <v>985</v>
      </c>
      <c r="J165" s="325" t="s">
        <v>3600</v>
      </c>
      <c r="K165" s="278">
        <v>1.0</v>
      </c>
      <c r="L165" s="210">
        <v>3.886534709E9</v>
      </c>
      <c r="P165" s="276"/>
      <c r="R165" s="359" t="s">
        <v>13325</v>
      </c>
      <c r="S165" s="361"/>
      <c r="T165" s="276"/>
      <c r="U165" s="276"/>
      <c r="V165" s="276"/>
      <c r="W165" s="276"/>
      <c r="X165" s="276"/>
      <c r="Y165" s="276"/>
      <c r="Z165" s="276"/>
      <c r="AA165" s="276"/>
      <c r="AB165" s="276"/>
      <c r="AC165" s="276"/>
    </row>
    <row r="166">
      <c r="A166" s="370" t="s">
        <v>11187</v>
      </c>
      <c r="B166" s="371">
        <v>45988.0</v>
      </c>
      <c r="C166" s="365">
        <v>8.07000033996E11</v>
      </c>
      <c r="D166" s="365" t="s">
        <v>11188</v>
      </c>
      <c r="E166" s="365" t="s">
        <v>11189</v>
      </c>
      <c r="F166" s="370" t="s">
        <v>11190</v>
      </c>
      <c r="G166" s="370" t="s">
        <v>104</v>
      </c>
      <c r="H166" s="370">
        <v>4400.0</v>
      </c>
      <c r="I166" s="365" t="s">
        <v>298</v>
      </c>
      <c r="J166" s="325" t="s">
        <v>6035</v>
      </c>
      <c r="K166" s="278">
        <v>1.0</v>
      </c>
      <c r="L166" s="210">
        <v>4213636.0</v>
      </c>
      <c r="N166" s="274">
        <v>45989.0</v>
      </c>
      <c r="O166" s="275" t="s">
        <v>9011</v>
      </c>
      <c r="P166" s="276"/>
      <c r="Q166" s="275" t="s">
        <v>9012</v>
      </c>
      <c r="R166" s="359" t="s">
        <v>13326</v>
      </c>
      <c r="S166" s="361"/>
      <c r="T166" s="276"/>
      <c r="U166" s="276"/>
      <c r="V166" s="276"/>
      <c r="W166" s="276"/>
      <c r="X166" s="276"/>
      <c r="Y166" s="276"/>
      <c r="Z166" s="276"/>
      <c r="AA166" s="276"/>
      <c r="AB166" s="276"/>
      <c r="AC166" s="276"/>
    </row>
    <row r="167">
      <c r="A167" s="370" t="s">
        <v>11191</v>
      </c>
      <c r="B167" s="371">
        <v>45988.0</v>
      </c>
      <c r="C167" s="365">
        <v>8.07000033953E11</v>
      </c>
      <c r="D167" s="365" t="s">
        <v>11192</v>
      </c>
      <c r="E167" s="365" t="s">
        <v>11193</v>
      </c>
      <c r="F167" s="370" t="s">
        <v>11194</v>
      </c>
      <c r="G167" s="370" t="s">
        <v>104</v>
      </c>
      <c r="H167" s="370">
        <v>4400.0</v>
      </c>
      <c r="I167" s="365" t="s">
        <v>512</v>
      </c>
      <c r="J167" s="325" t="s">
        <v>513</v>
      </c>
      <c r="K167" s="278">
        <v>12.0</v>
      </c>
      <c r="L167" s="210">
        <v>3.874069675E9</v>
      </c>
      <c r="N167" s="274">
        <v>45988.0</v>
      </c>
      <c r="O167" s="275" t="s">
        <v>9011</v>
      </c>
      <c r="P167" s="276"/>
      <c r="Q167" s="275" t="s">
        <v>9012</v>
      </c>
      <c r="R167" s="359" t="s">
        <v>13327</v>
      </c>
      <c r="S167" s="360"/>
      <c r="T167" s="276"/>
      <c r="U167" s="276"/>
      <c r="V167" s="276"/>
      <c r="W167" s="276"/>
      <c r="X167" s="276"/>
      <c r="Y167" s="276"/>
      <c r="Z167" s="276"/>
      <c r="AA167" s="276"/>
      <c r="AB167" s="276"/>
      <c r="AC167" s="276"/>
    </row>
    <row r="168">
      <c r="A168" s="370" t="s">
        <v>11191</v>
      </c>
      <c r="B168" s="371">
        <v>45988.0</v>
      </c>
      <c r="C168" s="365">
        <v>8.07000033954E11</v>
      </c>
      <c r="D168" s="365" t="s">
        <v>11192</v>
      </c>
      <c r="E168" s="365" t="s">
        <v>11193</v>
      </c>
      <c r="F168" s="370" t="s">
        <v>11194</v>
      </c>
      <c r="G168" s="370" t="s">
        <v>104</v>
      </c>
      <c r="H168" s="370">
        <v>4400.0</v>
      </c>
      <c r="I168" s="365">
        <v>125812.0</v>
      </c>
      <c r="J168" s="366" t="s">
        <v>9317</v>
      </c>
      <c r="K168" s="259">
        <v>4.0</v>
      </c>
      <c r="L168" s="210">
        <v>3.874069675E9</v>
      </c>
      <c r="P168" s="276"/>
      <c r="S168" s="361"/>
      <c r="T168" s="276"/>
      <c r="U168" s="276"/>
      <c r="V168" s="276"/>
      <c r="W168" s="276"/>
      <c r="X168" s="276"/>
      <c r="Y168" s="276"/>
      <c r="Z168" s="276"/>
      <c r="AA168" s="276"/>
      <c r="AB168" s="276"/>
      <c r="AC168" s="276"/>
    </row>
    <row r="169">
      <c r="A169" s="370" t="s">
        <v>11191</v>
      </c>
      <c r="B169" s="371">
        <v>45988.0</v>
      </c>
      <c r="C169" s="365">
        <v>8.07000033954E11</v>
      </c>
      <c r="D169" s="365" t="s">
        <v>11192</v>
      </c>
      <c r="E169" s="365" t="s">
        <v>11193</v>
      </c>
      <c r="F169" s="370" t="s">
        <v>11194</v>
      </c>
      <c r="G169" s="370" t="s">
        <v>104</v>
      </c>
      <c r="H169" s="370">
        <v>4400.0</v>
      </c>
      <c r="I169" s="365" t="s">
        <v>3131</v>
      </c>
      <c r="J169" s="325" t="s">
        <v>3416</v>
      </c>
      <c r="K169" s="278">
        <v>2.0</v>
      </c>
      <c r="L169" s="210">
        <v>3.874069675E9</v>
      </c>
      <c r="P169" s="276"/>
      <c r="S169" s="360"/>
      <c r="T169" s="276"/>
      <c r="U169" s="276"/>
      <c r="V169" s="276"/>
      <c r="W169" s="276"/>
      <c r="X169" s="276"/>
      <c r="Y169" s="276"/>
      <c r="Z169" s="276"/>
      <c r="AA169" s="276"/>
      <c r="AB169" s="276"/>
      <c r="AC169" s="276"/>
    </row>
    <row r="170">
      <c r="A170" s="370" t="s">
        <v>11191</v>
      </c>
      <c r="B170" s="371">
        <v>45988.0</v>
      </c>
      <c r="C170" s="365">
        <v>8.07000033954E11</v>
      </c>
      <c r="D170" s="365" t="s">
        <v>11192</v>
      </c>
      <c r="E170" s="365" t="s">
        <v>11193</v>
      </c>
      <c r="F170" s="370" t="s">
        <v>11194</v>
      </c>
      <c r="G170" s="370" t="s">
        <v>104</v>
      </c>
      <c r="H170" s="370">
        <v>4400.0</v>
      </c>
      <c r="I170" s="365" t="s">
        <v>670</v>
      </c>
      <c r="J170" s="366" t="s">
        <v>3410</v>
      </c>
      <c r="K170" s="259">
        <v>2.0</v>
      </c>
      <c r="L170" s="210">
        <v>3.874069675E9</v>
      </c>
      <c r="P170" s="276"/>
      <c r="S170" s="361"/>
      <c r="T170" s="276"/>
      <c r="U170" s="276"/>
      <c r="V170" s="276"/>
      <c r="W170" s="276"/>
      <c r="X170" s="276"/>
      <c r="Y170" s="276"/>
      <c r="Z170" s="276"/>
      <c r="AA170" s="276"/>
      <c r="AB170" s="276"/>
      <c r="AC170" s="276"/>
    </row>
    <row r="171">
      <c r="A171" s="370" t="s">
        <v>11195</v>
      </c>
      <c r="B171" s="371">
        <v>45988.0</v>
      </c>
      <c r="C171" s="365">
        <v>8.07000033986E11</v>
      </c>
      <c r="D171" s="365" t="s">
        <v>11196</v>
      </c>
      <c r="E171" s="365" t="s">
        <v>11197</v>
      </c>
      <c r="F171" s="370" t="s">
        <v>11198</v>
      </c>
      <c r="G171" s="370" t="s">
        <v>104</v>
      </c>
      <c r="H171" s="370">
        <v>4400.0</v>
      </c>
      <c r="I171" s="365" t="s">
        <v>2956</v>
      </c>
      <c r="J171" s="325" t="s">
        <v>3327</v>
      </c>
      <c r="K171" s="278">
        <v>1.0</v>
      </c>
      <c r="L171" s="210">
        <v>3.875065725E9</v>
      </c>
      <c r="N171" s="274">
        <v>45989.0</v>
      </c>
      <c r="O171" s="275" t="s">
        <v>13328</v>
      </c>
      <c r="P171" s="276"/>
      <c r="Q171" s="275" t="s">
        <v>9012</v>
      </c>
      <c r="R171" s="359" t="s">
        <v>13329</v>
      </c>
      <c r="S171" s="361"/>
      <c r="T171" s="276"/>
      <c r="U171" s="276"/>
      <c r="V171" s="276"/>
      <c r="W171" s="276"/>
      <c r="X171" s="276"/>
      <c r="Y171" s="276"/>
      <c r="Z171" s="276"/>
      <c r="AA171" s="276"/>
      <c r="AB171" s="276"/>
      <c r="AC171" s="276"/>
    </row>
    <row r="172">
      <c r="A172" s="370" t="s">
        <v>11199</v>
      </c>
      <c r="B172" s="371">
        <v>45988.0</v>
      </c>
      <c r="C172" s="365">
        <v>8.07000033988E11</v>
      </c>
      <c r="D172" s="365" t="s">
        <v>5218</v>
      </c>
      <c r="E172" s="365" t="s">
        <v>5219</v>
      </c>
      <c r="F172" s="370" t="s">
        <v>11200</v>
      </c>
      <c r="G172" s="370" t="s">
        <v>104</v>
      </c>
      <c r="H172" s="370">
        <v>4400.0</v>
      </c>
      <c r="I172" s="365" t="s">
        <v>3512</v>
      </c>
      <c r="J172" s="366" t="s">
        <v>3513</v>
      </c>
      <c r="K172" s="259">
        <v>12.0</v>
      </c>
      <c r="L172" s="210">
        <v>3.874414446E9</v>
      </c>
      <c r="N172" s="274">
        <v>45989.0</v>
      </c>
      <c r="O172" s="275" t="s">
        <v>9011</v>
      </c>
      <c r="P172" s="276"/>
      <c r="Q172" s="275" t="s">
        <v>13330</v>
      </c>
      <c r="R172" s="359" t="s">
        <v>13331</v>
      </c>
      <c r="S172" s="360"/>
      <c r="T172" s="276"/>
      <c r="U172" s="276"/>
      <c r="V172" s="276"/>
      <c r="W172" s="276"/>
      <c r="X172" s="276"/>
      <c r="Y172" s="276"/>
      <c r="Z172" s="276"/>
      <c r="AA172" s="276"/>
      <c r="AB172" s="276"/>
      <c r="AC172" s="276"/>
    </row>
    <row r="173">
      <c r="A173" s="370" t="s">
        <v>11199</v>
      </c>
      <c r="B173" s="371">
        <v>45988.0</v>
      </c>
      <c r="C173" s="365">
        <v>8.07000033989E11</v>
      </c>
      <c r="D173" s="365" t="s">
        <v>5218</v>
      </c>
      <c r="E173" s="365" t="s">
        <v>5219</v>
      </c>
      <c r="F173" s="370" t="s">
        <v>11200</v>
      </c>
      <c r="G173" s="370" t="s">
        <v>104</v>
      </c>
      <c r="H173" s="370">
        <v>4400.0</v>
      </c>
      <c r="I173" s="365" t="s">
        <v>4938</v>
      </c>
      <c r="J173" s="325" t="s">
        <v>4939</v>
      </c>
      <c r="K173" s="278">
        <v>1.0</v>
      </c>
      <c r="L173" s="210">
        <v>3.874414446E9</v>
      </c>
      <c r="P173" s="276"/>
      <c r="S173" s="360"/>
      <c r="T173" s="276"/>
      <c r="U173" s="276"/>
      <c r="V173" s="276"/>
      <c r="W173" s="276"/>
      <c r="X173" s="276"/>
      <c r="Y173" s="276"/>
      <c r="Z173" s="276"/>
      <c r="AA173" s="276"/>
      <c r="AB173" s="276"/>
      <c r="AC173" s="276"/>
    </row>
    <row r="174">
      <c r="A174" s="370" t="s">
        <v>11199</v>
      </c>
      <c r="B174" s="371">
        <v>45988.0</v>
      </c>
      <c r="C174" s="365">
        <v>8.0700003399E11</v>
      </c>
      <c r="D174" s="365" t="s">
        <v>5218</v>
      </c>
      <c r="E174" s="365" t="s">
        <v>5219</v>
      </c>
      <c r="F174" s="370" t="s">
        <v>11200</v>
      </c>
      <c r="G174" s="370" t="s">
        <v>104</v>
      </c>
      <c r="H174" s="370">
        <v>4400.0</v>
      </c>
      <c r="I174" s="365" t="s">
        <v>4250</v>
      </c>
      <c r="J174" s="366" t="s">
        <v>4251</v>
      </c>
      <c r="K174" s="259">
        <v>2.0</v>
      </c>
      <c r="L174" s="210">
        <v>3.874414446E9</v>
      </c>
      <c r="P174" s="276"/>
      <c r="S174" s="361"/>
      <c r="T174" s="276"/>
      <c r="U174" s="276"/>
      <c r="V174" s="276"/>
      <c r="W174" s="276"/>
      <c r="X174" s="276"/>
      <c r="Y174" s="276"/>
      <c r="Z174" s="276"/>
      <c r="AA174" s="276"/>
      <c r="AB174" s="276"/>
      <c r="AC174" s="276"/>
    </row>
    <row r="175">
      <c r="A175" s="107" t="s">
        <v>5274</v>
      </c>
      <c r="B175" s="375">
        <v>45987.0</v>
      </c>
      <c r="C175" s="107">
        <v>8.05011559156E11</v>
      </c>
      <c r="D175" s="107" t="s">
        <v>2473</v>
      </c>
      <c r="E175" s="107" t="s">
        <v>5275</v>
      </c>
      <c r="F175" s="107"/>
      <c r="G175" s="107" t="s">
        <v>247</v>
      </c>
      <c r="H175" s="108">
        <v>4400.0</v>
      </c>
      <c r="I175" s="107" t="s">
        <v>98</v>
      </c>
      <c r="J175" s="31" t="s">
        <v>3187</v>
      </c>
      <c r="K175" s="33">
        <v>1.0</v>
      </c>
      <c r="L175" s="31">
        <v>3.874865927E9</v>
      </c>
      <c r="N175" s="274">
        <v>45983.0</v>
      </c>
      <c r="O175" s="275" t="s">
        <v>9011</v>
      </c>
      <c r="P175" s="276"/>
      <c r="Q175" s="275" t="s">
        <v>9012</v>
      </c>
      <c r="R175" s="359" t="s">
        <v>13332</v>
      </c>
      <c r="S175" s="361"/>
      <c r="T175" s="276"/>
      <c r="U175" s="276"/>
      <c r="V175" s="276"/>
      <c r="W175" s="276"/>
      <c r="X175" s="276"/>
      <c r="Y175" s="276"/>
      <c r="Z175" s="276"/>
      <c r="AA175" s="276"/>
      <c r="AB175" s="276"/>
      <c r="AC175" s="276"/>
    </row>
    <row r="176">
      <c r="A176" s="107" t="s">
        <v>5277</v>
      </c>
      <c r="B176" s="375">
        <v>45987.0</v>
      </c>
      <c r="C176" s="107">
        <v>8.05011560703E11</v>
      </c>
      <c r="D176" s="107" t="s">
        <v>5278</v>
      </c>
      <c r="E176" s="107" t="s">
        <v>5279</v>
      </c>
      <c r="F176" s="107"/>
      <c r="G176" s="107" t="s">
        <v>539</v>
      </c>
      <c r="H176" s="108">
        <v>4405.0</v>
      </c>
      <c r="I176" s="107" t="s">
        <v>60</v>
      </c>
      <c r="J176" s="31" t="s">
        <v>3706</v>
      </c>
      <c r="K176" s="33">
        <v>1.0</v>
      </c>
      <c r="L176" s="31">
        <v>3.874585964E9</v>
      </c>
      <c r="N176" s="363">
        <v>45989.0</v>
      </c>
      <c r="O176" s="275" t="s">
        <v>9011</v>
      </c>
      <c r="P176" s="276"/>
      <c r="Q176" s="275" t="s">
        <v>9012</v>
      </c>
      <c r="R176" s="359" t="s">
        <v>13333</v>
      </c>
      <c r="S176" s="360"/>
      <c r="T176" s="276"/>
      <c r="U176" s="276"/>
      <c r="V176" s="276"/>
      <c r="W176" s="276"/>
      <c r="X176" s="276"/>
      <c r="Y176" s="276"/>
      <c r="Z176" s="276"/>
      <c r="AA176" s="276"/>
      <c r="AB176" s="276"/>
      <c r="AC176" s="276"/>
    </row>
    <row r="177">
      <c r="A177" s="107" t="s">
        <v>5277</v>
      </c>
      <c r="B177" s="375">
        <v>45987.0</v>
      </c>
      <c r="C177" s="107">
        <v>8.05011560703E11</v>
      </c>
      <c r="D177" s="107" t="s">
        <v>5278</v>
      </c>
      <c r="E177" s="107" t="s">
        <v>5279</v>
      </c>
      <c r="F177" s="107"/>
      <c r="G177" s="107" t="s">
        <v>539</v>
      </c>
      <c r="H177" s="108">
        <v>4405.0</v>
      </c>
      <c r="I177" s="107" t="s">
        <v>512</v>
      </c>
      <c r="J177" s="31" t="s">
        <v>513</v>
      </c>
      <c r="K177" s="33">
        <v>6.0</v>
      </c>
      <c r="L177" s="31">
        <v>3.874585964E9</v>
      </c>
      <c r="M177" s="367"/>
      <c r="P177" s="276"/>
      <c r="S177" s="360"/>
      <c r="T177" s="276"/>
      <c r="U177" s="276"/>
      <c r="V177" s="276"/>
      <c r="W177" s="276"/>
      <c r="X177" s="276"/>
      <c r="Y177" s="276"/>
      <c r="Z177" s="276"/>
      <c r="AA177" s="276"/>
      <c r="AB177" s="276"/>
      <c r="AC177" s="276"/>
    </row>
    <row r="178">
      <c r="A178" s="107" t="s">
        <v>5277</v>
      </c>
      <c r="B178" s="375">
        <v>45987.0</v>
      </c>
      <c r="C178" s="107">
        <v>8.05011560703E11</v>
      </c>
      <c r="D178" s="107" t="s">
        <v>5278</v>
      </c>
      <c r="E178" s="107" t="s">
        <v>5279</v>
      </c>
      <c r="F178" s="107"/>
      <c r="G178" s="107" t="s">
        <v>539</v>
      </c>
      <c r="H178" s="108">
        <v>4405.0</v>
      </c>
      <c r="I178" s="107" t="s">
        <v>64</v>
      </c>
      <c r="J178" s="31" t="s">
        <v>3708</v>
      </c>
      <c r="K178" s="33">
        <v>1.0</v>
      </c>
      <c r="L178" s="31">
        <v>3.874585964E9</v>
      </c>
      <c r="M178" s="367"/>
      <c r="P178" s="276"/>
      <c r="S178" s="361"/>
      <c r="T178" s="275"/>
      <c r="U178" s="276"/>
      <c r="V178" s="276"/>
      <c r="W178" s="276"/>
      <c r="X178" s="276"/>
      <c r="Y178" s="276"/>
      <c r="Z178" s="276"/>
      <c r="AA178" s="276"/>
      <c r="AB178" s="276"/>
      <c r="AC178" s="276"/>
    </row>
    <row r="179">
      <c r="A179" s="107" t="s">
        <v>5281</v>
      </c>
      <c r="B179" s="375">
        <v>45987.0</v>
      </c>
      <c r="C179" s="107">
        <v>8.05011560778E11</v>
      </c>
      <c r="D179" s="107" t="s">
        <v>4350</v>
      </c>
      <c r="E179" s="107" t="s">
        <v>4351</v>
      </c>
      <c r="F179" s="107"/>
      <c r="G179" s="107" t="s">
        <v>127</v>
      </c>
      <c r="H179" s="108">
        <v>4400.0</v>
      </c>
      <c r="I179" s="107" t="s">
        <v>2135</v>
      </c>
      <c r="J179" s="31" t="s">
        <v>5094</v>
      </c>
      <c r="K179" s="33">
        <v>1.0</v>
      </c>
      <c r="L179" s="31">
        <v>3.87585828E9</v>
      </c>
      <c r="M179" s="367"/>
      <c r="N179" s="274">
        <v>45989.0</v>
      </c>
      <c r="O179" s="275" t="s">
        <v>9011</v>
      </c>
      <c r="P179" s="276"/>
      <c r="Q179" s="275" t="s">
        <v>13334</v>
      </c>
      <c r="R179" s="359" t="s">
        <v>13335</v>
      </c>
      <c r="S179" s="361"/>
      <c r="T179" s="276"/>
      <c r="U179" s="276"/>
      <c r="V179" s="276"/>
      <c r="W179" s="276"/>
      <c r="X179" s="276"/>
      <c r="Y179" s="276"/>
      <c r="Z179" s="276"/>
      <c r="AA179" s="276"/>
      <c r="AB179" s="276"/>
      <c r="AC179" s="276"/>
    </row>
    <row r="180">
      <c r="A180" s="107" t="s">
        <v>5282</v>
      </c>
      <c r="B180" s="375">
        <v>45987.0</v>
      </c>
      <c r="C180" s="107">
        <v>8.05011560817E11</v>
      </c>
      <c r="D180" s="107" t="s">
        <v>5283</v>
      </c>
      <c r="E180" s="107" t="s">
        <v>5284</v>
      </c>
      <c r="F180" s="107"/>
      <c r="G180" s="107" t="s">
        <v>278</v>
      </c>
      <c r="H180" s="108">
        <v>4400.0</v>
      </c>
      <c r="I180" s="107" t="s">
        <v>32</v>
      </c>
      <c r="J180" s="31" t="s">
        <v>3225</v>
      </c>
      <c r="K180" s="33">
        <v>2.0</v>
      </c>
      <c r="L180" s="31">
        <v>3.875343022E9</v>
      </c>
      <c r="M180" s="367"/>
      <c r="N180" s="274">
        <v>45989.0</v>
      </c>
      <c r="O180" s="275" t="s">
        <v>9011</v>
      </c>
      <c r="P180" s="276"/>
      <c r="Q180" s="275" t="s">
        <v>13336</v>
      </c>
      <c r="R180" s="359" t="s">
        <v>13337</v>
      </c>
      <c r="S180" s="360"/>
      <c r="T180" s="276"/>
      <c r="U180" s="276"/>
      <c r="V180" s="276"/>
      <c r="W180" s="276"/>
      <c r="X180" s="276"/>
      <c r="Y180" s="276"/>
      <c r="Z180" s="276"/>
      <c r="AA180" s="276"/>
      <c r="AB180" s="276"/>
      <c r="AC180" s="276"/>
    </row>
    <row r="181">
      <c r="A181" s="107" t="s">
        <v>5282</v>
      </c>
      <c r="B181" s="375">
        <v>45987.0</v>
      </c>
      <c r="C181" s="107">
        <v>8.05011560817E11</v>
      </c>
      <c r="D181" s="107" t="s">
        <v>5283</v>
      </c>
      <c r="E181" s="107" t="s">
        <v>5284</v>
      </c>
      <c r="F181" s="107"/>
      <c r="G181" s="107" t="s">
        <v>278</v>
      </c>
      <c r="H181" s="108">
        <v>4400.0</v>
      </c>
      <c r="I181" s="107" t="s">
        <v>512</v>
      </c>
      <c r="J181" s="31" t="s">
        <v>513</v>
      </c>
      <c r="K181" s="33">
        <v>12.0</v>
      </c>
      <c r="L181" s="31">
        <v>3.875343022E9</v>
      </c>
      <c r="M181" s="367"/>
      <c r="P181" s="276"/>
      <c r="S181" s="360"/>
      <c r="T181" s="276"/>
      <c r="U181" s="276"/>
      <c r="V181" s="276"/>
      <c r="W181" s="276"/>
      <c r="X181" s="276"/>
      <c r="Y181" s="276"/>
      <c r="Z181" s="276"/>
      <c r="AA181" s="276"/>
      <c r="AB181" s="276"/>
      <c r="AC181" s="276"/>
    </row>
    <row r="182">
      <c r="A182" s="107" t="s">
        <v>5282</v>
      </c>
      <c r="B182" s="375">
        <v>45987.0</v>
      </c>
      <c r="C182" s="107">
        <v>8.05011560817E11</v>
      </c>
      <c r="D182" s="107" t="s">
        <v>5283</v>
      </c>
      <c r="E182" s="107" t="s">
        <v>5284</v>
      </c>
      <c r="F182" s="107"/>
      <c r="G182" s="107" t="s">
        <v>278</v>
      </c>
      <c r="H182" s="108">
        <v>4400.0</v>
      </c>
      <c r="I182" s="107" t="s">
        <v>35</v>
      </c>
      <c r="J182" s="31" t="s">
        <v>3188</v>
      </c>
      <c r="K182" s="33">
        <v>2.0</v>
      </c>
      <c r="L182" s="31">
        <v>3.875343022E9</v>
      </c>
      <c r="M182" s="367"/>
      <c r="P182" s="276"/>
      <c r="S182" s="361"/>
      <c r="T182" s="276"/>
      <c r="U182" s="276"/>
      <c r="V182" s="276"/>
      <c r="W182" s="276"/>
      <c r="X182" s="276"/>
      <c r="Y182" s="276"/>
      <c r="Z182" s="276"/>
      <c r="AA182" s="276"/>
      <c r="AB182" s="276"/>
      <c r="AC182" s="276"/>
    </row>
    <row r="183">
      <c r="A183" s="107" t="s">
        <v>5285</v>
      </c>
      <c r="B183" s="375">
        <v>45987.0</v>
      </c>
      <c r="C183" s="107">
        <v>8.0501156089E11</v>
      </c>
      <c r="D183" s="107" t="s">
        <v>5286</v>
      </c>
      <c r="E183" s="107" t="s">
        <v>5287</v>
      </c>
      <c r="F183" s="107"/>
      <c r="G183" s="107" t="s">
        <v>5288</v>
      </c>
      <c r="H183" s="108">
        <v>4560.0</v>
      </c>
      <c r="I183" s="107" t="s">
        <v>5289</v>
      </c>
      <c r="J183" s="107" t="s">
        <v>5290</v>
      </c>
      <c r="K183" s="108">
        <v>1.0</v>
      </c>
      <c r="L183" s="107">
        <v>3.87335837E9</v>
      </c>
      <c r="M183" s="387"/>
      <c r="N183" s="388">
        <v>46009.0</v>
      </c>
      <c r="O183" s="349" t="s">
        <v>13338</v>
      </c>
      <c r="P183" s="389"/>
      <c r="Q183" s="349" t="s">
        <v>13339</v>
      </c>
      <c r="R183" s="390" t="s">
        <v>13340</v>
      </c>
      <c r="S183" s="391"/>
      <c r="T183" s="389"/>
      <c r="U183" s="276"/>
      <c r="V183" s="276"/>
      <c r="W183" s="276"/>
      <c r="X183" s="276"/>
      <c r="Y183" s="276"/>
      <c r="Z183" s="276"/>
      <c r="AA183" s="276"/>
      <c r="AB183" s="276"/>
      <c r="AC183" s="276"/>
    </row>
    <row r="184">
      <c r="A184" s="107" t="s">
        <v>5292</v>
      </c>
      <c r="B184" s="375">
        <v>45987.0</v>
      </c>
      <c r="C184" s="107">
        <v>8.0501156087E11</v>
      </c>
      <c r="D184" s="107" t="s">
        <v>5293</v>
      </c>
      <c r="E184" s="107" t="s">
        <v>5294</v>
      </c>
      <c r="F184" s="107"/>
      <c r="G184" s="107" t="s">
        <v>278</v>
      </c>
      <c r="H184" s="108">
        <v>4400.0</v>
      </c>
      <c r="I184" s="107" t="s">
        <v>32</v>
      </c>
      <c r="J184" s="107" t="s">
        <v>3225</v>
      </c>
      <c r="K184" s="108">
        <v>1.0</v>
      </c>
      <c r="L184" s="107">
        <v>3.875471059E9</v>
      </c>
      <c r="M184" s="387"/>
      <c r="N184" s="392">
        <v>45989.0</v>
      </c>
      <c r="O184" s="349" t="s">
        <v>9011</v>
      </c>
      <c r="P184" s="389"/>
      <c r="Q184" s="349" t="s">
        <v>13341</v>
      </c>
      <c r="R184" s="390" t="s">
        <v>13342</v>
      </c>
      <c r="S184" s="391"/>
      <c r="T184" s="389"/>
      <c r="U184" s="276"/>
      <c r="V184" s="276"/>
      <c r="W184" s="276"/>
      <c r="X184" s="276"/>
      <c r="Y184" s="276"/>
      <c r="Z184" s="276"/>
      <c r="AA184" s="276"/>
      <c r="AB184" s="276"/>
      <c r="AC184" s="276"/>
    </row>
    <row r="185">
      <c r="A185" s="107" t="s">
        <v>5292</v>
      </c>
      <c r="B185" s="375">
        <v>45987.0</v>
      </c>
      <c r="C185" s="107">
        <v>8.0501156087E11</v>
      </c>
      <c r="D185" s="107" t="s">
        <v>5293</v>
      </c>
      <c r="E185" s="107" t="s">
        <v>5294</v>
      </c>
      <c r="F185" s="107"/>
      <c r="G185" s="107" t="s">
        <v>278</v>
      </c>
      <c r="H185" s="108">
        <v>4400.0</v>
      </c>
      <c r="I185" s="107" t="s">
        <v>512</v>
      </c>
      <c r="J185" s="107" t="s">
        <v>513</v>
      </c>
      <c r="K185" s="108">
        <v>6.0</v>
      </c>
      <c r="L185" s="107">
        <v>3.875471059E9</v>
      </c>
      <c r="M185" s="387"/>
      <c r="P185" s="389"/>
      <c r="S185" s="391"/>
      <c r="T185" s="389"/>
      <c r="U185" s="276"/>
      <c r="V185" s="276"/>
      <c r="W185" s="276"/>
      <c r="X185" s="276"/>
      <c r="Y185" s="276"/>
      <c r="Z185" s="276"/>
      <c r="AA185" s="276"/>
      <c r="AB185" s="276"/>
      <c r="AC185" s="276"/>
    </row>
    <row r="186">
      <c r="A186" s="107" t="s">
        <v>5292</v>
      </c>
      <c r="B186" s="375">
        <v>45987.0</v>
      </c>
      <c r="C186" s="107">
        <v>8.0501156087E11</v>
      </c>
      <c r="D186" s="107" t="s">
        <v>5293</v>
      </c>
      <c r="E186" s="107" t="s">
        <v>5294</v>
      </c>
      <c r="F186" s="107"/>
      <c r="G186" s="107" t="s">
        <v>278</v>
      </c>
      <c r="H186" s="108">
        <v>4400.0</v>
      </c>
      <c r="I186" s="107" t="s">
        <v>35</v>
      </c>
      <c r="J186" s="107" t="s">
        <v>3188</v>
      </c>
      <c r="K186" s="108">
        <v>1.0</v>
      </c>
      <c r="L186" s="107">
        <v>3.875471059E9</v>
      </c>
      <c r="M186" s="387"/>
      <c r="P186" s="389"/>
      <c r="S186" s="393"/>
      <c r="T186" s="389"/>
      <c r="U186" s="276"/>
      <c r="V186" s="276"/>
      <c r="W186" s="276"/>
      <c r="X186" s="276"/>
      <c r="Y186" s="276"/>
      <c r="Z186" s="276"/>
      <c r="AA186" s="276"/>
      <c r="AB186" s="276"/>
      <c r="AC186" s="276"/>
    </row>
    <row r="187">
      <c r="A187" s="107" t="s">
        <v>5296</v>
      </c>
      <c r="B187" s="375">
        <v>45987.0</v>
      </c>
      <c r="C187" s="107">
        <v>8.05011560784E11</v>
      </c>
      <c r="D187" s="107" t="s">
        <v>5297</v>
      </c>
      <c r="E187" s="107" t="s">
        <v>5298</v>
      </c>
      <c r="F187" s="107"/>
      <c r="G187" s="107" t="s">
        <v>826</v>
      </c>
      <c r="H187" s="108">
        <v>4530.0</v>
      </c>
      <c r="I187" s="107" t="s">
        <v>541</v>
      </c>
      <c r="J187" s="107" t="s">
        <v>3947</v>
      </c>
      <c r="K187" s="108">
        <v>1.0</v>
      </c>
      <c r="L187" s="107">
        <v>3.878244936E9</v>
      </c>
      <c r="M187" s="387"/>
      <c r="N187" s="388">
        <v>46009.0</v>
      </c>
      <c r="O187" s="349" t="s">
        <v>13338</v>
      </c>
      <c r="P187" s="389"/>
      <c r="Q187" s="349" t="s">
        <v>9012</v>
      </c>
      <c r="R187" s="390" t="s">
        <v>13343</v>
      </c>
      <c r="S187" s="391"/>
      <c r="T187" s="389"/>
      <c r="U187" s="276"/>
      <c r="V187" s="276"/>
      <c r="W187" s="276"/>
      <c r="X187" s="276"/>
      <c r="Y187" s="276"/>
      <c r="Z187" s="276"/>
      <c r="AA187" s="276"/>
      <c r="AB187" s="276"/>
      <c r="AC187" s="276"/>
    </row>
    <row r="188">
      <c r="A188" s="107" t="s">
        <v>5299</v>
      </c>
      <c r="B188" s="375">
        <v>45987.0</v>
      </c>
      <c r="C188" s="107">
        <v>8.0501156034E11</v>
      </c>
      <c r="D188" s="107" t="s">
        <v>5300</v>
      </c>
      <c r="E188" s="107" t="s">
        <v>5301</v>
      </c>
      <c r="F188" s="107"/>
      <c r="G188" s="107" t="s">
        <v>20</v>
      </c>
      <c r="H188" s="108">
        <v>4400.0</v>
      </c>
      <c r="I188" s="107" t="s">
        <v>1629</v>
      </c>
      <c r="J188" s="107" t="s">
        <v>5302</v>
      </c>
      <c r="K188" s="108">
        <v>1.0</v>
      </c>
      <c r="L188" s="107">
        <v>3.874734352E9</v>
      </c>
      <c r="M188" s="387"/>
      <c r="N188" s="392">
        <v>45983.0</v>
      </c>
      <c r="O188" s="349" t="s">
        <v>9011</v>
      </c>
      <c r="P188" s="389"/>
      <c r="Q188" s="349" t="s">
        <v>9012</v>
      </c>
      <c r="R188" s="390" t="s">
        <v>13344</v>
      </c>
      <c r="S188" s="391"/>
      <c r="T188" s="389"/>
      <c r="U188" s="276"/>
      <c r="V188" s="276"/>
      <c r="W188" s="276"/>
      <c r="X188" s="276"/>
      <c r="Y188" s="276"/>
      <c r="Z188" s="276"/>
      <c r="AA188" s="276"/>
      <c r="AB188" s="276"/>
      <c r="AC188" s="276"/>
    </row>
    <row r="189">
      <c r="A189" s="107" t="s">
        <v>5299</v>
      </c>
      <c r="B189" s="375">
        <v>45987.0</v>
      </c>
      <c r="C189" s="107">
        <v>8.0501156034E11</v>
      </c>
      <c r="D189" s="107" t="s">
        <v>5300</v>
      </c>
      <c r="E189" s="107" t="s">
        <v>5301</v>
      </c>
      <c r="F189" s="107"/>
      <c r="G189" s="107" t="s">
        <v>20</v>
      </c>
      <c r="H189" s="108">
        <v>4400.0</v>
      </c>
      <c r="I189" s="107" t="s">
        <v>512</v>
      </c>
      <c r="J189" s="107" t="s">
        <v>513</v>
      </c>
      <c r="K189" s="108">
        <v>12.0</v>
      </c>
      <c r="L189" s="107">
        <v>3.874734352E9</v>
      </c>
      <c r="M189" s="387"/>
      <c r="P189" s="389"/>
      <c r="S189" s="391"/>
      <c r="T189" s="389"/>
      <c r="U189" s="276"/>
      <c r="V189" s="276"/>
      <c r="W189" s="276"/>
      <c r="X189" s="276"/>
      <c r="Y189" s="276"/>
      <c r="Z189" s="276"/>
      <c r="AA189" s="276"/>
      <c r="AB189" s="276"/>
      <c r="AC189" s="276"/>
    </row>
    <row r="190">
      <c r="A190" s="107" t="s">
        <v>5299</v>
      </c>
      <c r="B190" s="375">
        <v>45987.0</v>
      </c>
      <c r="C190" s="107">
        <v>8.0501156034E11</v>
      </c>
      <c r="D190" s="107" t="s">
        <v>5300</v>
      </c>
      <c r="E190" s="107" t="s">
        <v>5301</v>
      </c>
      <c r="F190" s="107"/>
      <c r="G190" s="107" t="s">
        <v>20</v>
      </c>
      <c r="H190" s="108">
        <v>4400.0</v>
      </c>
      <c r="I190" s="107" t="s">
        <v>233</v>
      </c>
      <c r="J190" s="107" t="s">
        <v>3459</v>
      </c>
      <c r="K190" s="108">
        <v>2.0</v>
      </c>
      <c r="L190" s="107">
        <v>3.874734352E9</v>
      </c>
      <c r="M190" s="387"/>
      <c r="P190" s="389"/>
      <c r="S190" s="393"/>
      <c r="T190" s="389"/>
      <c r="U190" s="276"/>
      <c r="V190" s="276"/>
      <c r="W190" s="276"/>
      <c r="X190" s="276"/>
      <c r="Y190" s="276"/>
      <c r="Z190" s="276"/>
      <c r="AA190" s="276"/>
      <c r="AB190" s="276"/>
      <c r="AC190" s="276"/>
    </row>
    <row r="191">
      <c r="A191" s="107" t="s">
        <v>5304</v>
      </c>
      <c r="B191" s="375">
        <v>45987.0</v>
      </c>
      <c r="C191" s="107">
        <v>8.0501156054E11</v>
      </c>
      <c r="D191" s="107" t="s">
        <v>5305</v>
      </c>
      <c r="E191" s="107" t="s">
        <v>5306</v>
      </c>
      <c r="F191" s="107"/>
      <c r="G191" s="107" t="s">
        <v>20</v>
      </c>
      <c r="H191" s="108">
        <v>4401.0</v>
      </c>
      <c r="I191" s="107" t="s">
        <v>98</v>
      </c>
      <c r="J191" s="107" t="s">
        <v>3187</v>
      </c>
      <c r="K191" s="108">
        <v>1.0</v>
      </c>
      <c r="L191" s="107">
        <v>3.87223085E9</v>
      </c>
      <c r="M191" s="387"/>
      <c r="N191" s="392">
        <v>45990.0</v>
      </c>
      <c r="O191" s="349" t="s">
        <v>9011</v>
      </c>
      <c r="P191" s="389"/>
      <c r="Q191" s="349" t="s">
        <v>9012</v>
      </c>
      <c r="R191" s="390" t="s">
        <v>13345</v>
      </c>
      <c r="S191" s="393"/>
      <c r="T191" s="349"/>
      <c r="U191" s="276"/>
      <c r="V191" s="276"/>
      <c r="W191" s="276"/>
      <c r="X191" s="276"/>
      <c r="Y191" s="276"/>
      <c r="Z191" s="276"/>
      <c r="AA191" s="276"/>
      <c r="AB191" s="276"/>
      <c r="AC191" s="276"/>
    </row>
    <row r="192">
      <c r="A192" s="107" t="s">
        <v>5308</v>
      </c>
      <c r="B192" s="375">
        <v>45987.0</v>
      </c>
      <c r="C192" s="107">
        <v>8.07025033926E11</v>
      </c>
      <c r="D192" s="107" t="s">
        <v>5309</v>
      </c>
      <c r="E192" s="107" t="s">
        <v>5310</v>
      </c>
      <c r="F192" s="107"/>
      <c r="G192" s="107" t="s">
        <v>127</v>
      </c>
      <c r="H192" s="108">
        <v>4400.0</v>
      </c>
      <c r="I192" s="107" t="s">
        <v>1747</v>
      </c>
      <c r="J192" s="107" t="s">
        <v>4208</v>
      </c>
      <c r="K192" s="108">
        <v>2.0</v>
      </c>
      <c r="L192" s="107">
        <v>3.875373845E9</v>
      </c>
      <c r="M192" s="387"/>
      <c r="N192" s="392">
        <v>45990.0</v>
      </c>
      <c r="O192" s="349" t="s">
        <v>9011</v>
      </c>
      <c r="P192" s="389"/>
      <c r="Q192" s="349" t="s">
        <v>9012</v>
      </c>
      <c r="R192" s="390" t="s">
        <v>13346</v>
      </c>
      <c r="S192" s="393"/>
      <c r="T192" s="389"/>
      <c r="U192" s="276"/>
      <c r="V192" s="276"/>
      <c r="W192" s="276"/>
      <c r="X192" s="276"/>
      <c r="Y192" s="276"/>
      <c r="Z192" s="276"/>
      <c r="AA192" s="276"/>
      <c r="AB192" s="276"/>
      <c r="AC192" s="276"/>
    </row>
    <row r="193">
      <c r="A193" s="107" t="s">
        <v>5311</v>
      </c>
      <c r="B193" s="375">
        <v>45987.0</v>
      </c>
      <c r="C193" s="107">
        <v>8.07025033925E11</v>
      </c>
      <c r="D193" s="107" t="s">
        <v>5309</v>
      </c>
      <c r="E193" s="107" t="s">
        <v>5310</v>
      </c>
      <c r="F193" s="107"/>
      <c r="G193" s="107" t="s">
        <v>127</v>
      </c>
      <c r="H193" s="108">
        <v>4400.0</v>
      </c>
      <c r="I193" s="107" t="s">
        <v>98</v>
      </c>
      <c r="J193" s="107" t="s">
        <v>3187</v>
      </c>
      <c r="K193" s="108">
        <v>1.0</v>
      </c>
      <c r="L193" s="107">
        <v>3.875373845E9</v>
      </c>
      <c r="M193" s="387"/>
      <c r="P193" s="389"/>
      <c r="S193" s="393"/>
      <c r="T193" s="389"/>
      <c r="U193" s="276"/>
      <c r="V193" s="276"/>
      <c r="W193" s="276"/>
      <c r="X193" s="276"/>
      <c r="Y193" s="276"/>
      <c r="Z193" s="276"/>
      <c r="AA193" s="276"/>
      <c r="AB193" s="276"/>
      <c r="AC193" s="276"/>
    </row>
    <row r="194">
      <c r="A194" s="108" t="s">
        <v>11203</v>
      </c>
      <c r="B194" s="378">
        <v>45989.0</v>
      </c>
      <c r="C194" s="374">
        <v>8.07000034011E11</v>
      </c>
      <c r="D194" s="374" t="s">
        <v>11204</v>
      </c>
      <c r="E194" s="374" t="s">
        <v>11205</v>
      </c>
      <c r="F194" s="108" t="s">
        <v>11206</v>
      </c>
      <c r="G194" s="108" t="s">
        <v>5680</v>
      </c>
      <c r="H194" s="192"/>
      <c r="I194" s="176" t="s">
        <v>2956</v>
      </c>
      <c r="J194" s="374" t="s">
        <v>11207</v>
      </c>
      <c r="K194" s="177">
        <v>1.0</v>
      </c>
      <c r="L194" s="174">
        <v>3.874636581E9</v>
      </c>
      <c r="M194" s="387"/>
      <c r="N194" s="214" t="s">
        <v>13347</v>
      </c>
      <c r="O194" s="349" t="s">
        <v>9011</v>
      </c>
      <c r="P194" s="389"/>
      <c r="Q194" s="349" t="s">
        <v>13348</v>
      </c>
      <c r="R194" s="390" t="s">
        <v>13349</v>
      </c>
      <c r="S194" s="391"/>
      <c r="T194" s="389"/>
      <c r="U194" s="276"/>
      <c r="V194" s="276"/>
      <c r="W194" s="276"/>
      <c r="X194" s="276"/>
      <c r="Y194" s="276"/>
      <c r="Z194" s="276"/>
      <c r="AA194" s="276"/>
      <c r="AB194" s="276"/>
      <c r="AC194" s="276"/>
    </row>
    <row r="195">
      <c r="A195" s="108" t="s">
        <v>11203</v>
      </c>
      <c r="B195" s="378">
        <v>45989.0</v>
      </c>
      <c r="C195" s="374">
        <v>8.0700003401E11</v>
      </c>
      <c r="D195" s="374" t="s">
        <v>11204</v>
      </c>
      <c r="E195" s="374" t="s">
        <v>11205</v>
      </c>
      <c r="F195" s="108" t="s">
        <v>11206</v>
      </c>
      <c r="G195" s="108" t="s">
        <v>5680</v>
      </c>
      <c r="H195" s="108">
        <v>4430.0</v>
      </c>
      <c r="I195" s="176" t="s">
        <v>11208</v>
      </c>
      <c r="J195" s="374" t="s">
        <v>11209</v>
      </c>
      <c r="K195" s="177">
        <v>1.0</v>
      </c>
      <c r="L195" s="174">
        <v>3.874636581E9</v>
      </c>
      <c r="M195" s="387"/>
      <c r="P195" s="389"/>
      <c r="S195" s="391"/>
      <c r="T195" s="389"/>
      <c r="U195" s="276"/>
      <c r="V195" s="276"/>
      <c r="W195" s="276"/>
      <c r="X195" s="276"/>
      <c r="Y195" s="276"/>
      <c r="Z195" s="276"/>
      <c r="AA195" s="276"/>
      <c r="AB195" s="276"/>
      <c r="AC195" s="276"/>
    </row>
    <row r="196">
      <c r="A196" s="108" t="s">
        <v>11210</v>
      </c>
      <c r="B196" s="378">
        <v>45989.0</v>
      </c>
      <c r="C196" s="374">
        <v>8.07000034004E11</v>
      </c>
      <c r="D196" s="374" t="s">
        <v>11211</v>
      </c>
      <c r="E196" s="374" t="s">
        <v>11212</v>
      </c>
      <c r="F196" s="108" t="s">
        <v>11213</v>
      </c>
      <c r="G196" s="108" t="s">
        <v>10763</v>
      </c>
      <c r="H196" s="108">
        <v>4400.0</v>
      </c>
      <c r="I196" s="176">
        <v>132.0</v>
      </c>
      <c r="J196" s="374" t="s">
        <v>11214</v>
      </c>
      <c r="K196" s="177">
        <v>1.0</v>
      </c>
      <c r="L196" s="174">
        <v>3.875253752E9</v>
      </c>
      <c r="M196" s="387"/>
      <c r="N196" s="392">
        <v>45989.0</v>
      </c>
      <c r="O196" s="349" t="s">
        <v>9011</v>
      </c>
      <c r="P196" s="389"/>
      <c r="Q196" s="349" t="s">
        <v>13350</v>
      </c>
      <c r="R196" s="390" t="s">
        <v>13351</v>
      </c>
      <c r="S196" s="391"/>
      <c r="T196" s="389"/>
      <c r="U196" s="276"/>
      <c r="V196" s="276"/>
      <c r="W196" s="276"/>
      <c r="X196" s="276"/>
      <c r="Y196" s="276"/>
      <c r="Z196" s="276"/>
      <c r="AA196" s="276"/>
      <c r="AB196" s="276"/>
      <c r="AC196" s="276"/>
    </row>
    <row r="197">
      <c r="A197" s="108" t="s">
        <v>11210</v>
      </c>
      <c r="B197" s="378">
        <v>45989.0</v>
      </c>
      <c r="C197" s="374">
        <v>8.07000034004E11</v>
      </c>
      <c r="D197" s="374" t="s">
        <v>11211</v>
      </c>
      <c r="E197" s="374" t="s">
        <v>11212</v>
      </c>
      <c r="F197" s="108" t="s">
        <v>11213</v>
      </c>
      <c r="G197" s="108" t="s">
        <v>10763</v>
      </c>
      <c r="H197" s="108">
        <v>4400.0</v>
      </c>
      <c r="I197" s="176" t="s">
        <v>11083</v>
      </c>
      <c r="J197" s="374" t="s">
        <v>11215</v>
      </c>
      <c r="K197" s="177">
        <v>1.0</v>
      </c>
      <c r="L197" s="174">
        <v>3.875253752E9</v>
      </c>
      <c r="M197" s="387"/>
      <c r="P197" s="389"/>
      <c r="S197" s="391"/>
      <c r="T197" s="389"/>
      <c r="U197" s="276"/>
      <c r="V197" s="276"/>
      <c r="W197" s="276"/>
      <c r="X197" s="276"/>
      <c r="Y197" s="276"/>
      <c r="Z197" s="276"/>
      <c r="AA197" s="276"/>
      <c r="AB197" s="276"/>
      <c r="AC197" s="276"/>
    </row>
    <row r="198">
      <c r="A198" s="108" t="s">
        <v>11210</v>
      </c>
      <c r="B198" s="378">
        <v>45989.0</v>
      </c>
      <c r="C198" s="374">
        <v>8.07000034005E11</v>
      </c>
      <c r="D198" s="374" t="s">
        <v>11211</v>
      </c>
      <c r="E198" s="374" t="s">
        <v>11212</v>
      </c>
      <c r="F198" s="108" t="s">
        <v>11213</v>
      </c>
      <c r="G198" s="108" t="s">
        <v>10763</v>
      </c>
      <c r="H198" s="108">
        <v>4400.0</v>
      </c>
      <c r="I198" s="176" t="s">
        <v>512</v>
      </c>
      <c r="J198" s="374" t="s">
        <v>513</v>
      </c>
      <c r="K198" s="177">
        <v>12.0</v>
      </c>
      <c r="L198" s="174">
        <v>3.875253752E9</v>
      </c>
      <c r="M198" s="387"/>
      <c r="P198" s="389"/>
      <c r="S198" s="391"/>
      <c r="T198" s="389"/>
      <c r="U198" s="276"/>
      <c r="V198" s="276"/>
      <c r="W198" s="276"/>
      <c r="X198" s="276"/>
      <c r="Y198" s="276"/>
      <c r="Z198" s="276"/>
      <c r="AA198" s="276"/>
      <c r="AB198" s="276"/>
      <c r="AC198" s="276"/>
    </row>
    <row r="199">
      <c r="A199" s="108" t="s">
        <v>11216</v>
      </c>
      <c r="B199" s="378">
        <v>45989.0</v>
      </c>
      <c r="C199" s="374">
        <v>8.07000034006E11</v>
      </c>
      <c r="D199" s="374" t="s">
        <v>11211</v>
      </c>
      <c r="E199" s="374" t="s">
        <v>11212</v>
      </c>
      <c r="F199" s="108" t="s">
        <v>11213</v>
      </c>
      <c r="G199" s="108" t="s">
        <v>10763</v>
      </c>
      <c r="H199" s="108">
        <v>4400.0</v>
      </c>
      <c r="I199" s="176" t="s">
        <v>5658</v>
      </c>
      <c r="J199" s="374" t="s">
        <v>5659</v>
      </c>
      <c r="K199" s="177">
        <v>1.0</v>
      </c>
      <c r="L199" s="174">
        <v>3.875253752E9</v>
      </c>
      <c r="M199" s="387"/>
      <c r="P199" s="389"/>
      <c r="S199" s="391"/>
      <c r="T199" s="389"/>
      <c r="U199" s="276"/>
      <c r="V199" s="276"/>
      <c r="W199" s="276"/>
      <c r="X199" s="276"/>
      <c r="Y199" s="276"/>
      <c r="Z199" s="276"/>
      <c r="AA199" s="276"/>
      <c r="AB199" s="276"/>
      <c r="AC199" s="276"/>
    </row>
    <row r="200">
      <c r="A200" s="108" t="s">
        <v>11216</v>
      </c>
      <c r="B200" s="378">
        <v>45989.0</v>
      </c>
      <c r="C200" s="374">
        <v>8.07000034006E11</v>
      </c>
      <c r="D200" s="374" t="s">
        <v>11211</v>
      </c>
      <c r="E200" s="374" t="s">
        <v>11212</v>
      </c>
      <c r="F200" s="108" t="s">
        <v>11213</v>
      </c>
      <c r="G200" s="108" t="s">
        <v>10763</v>
      </c>
      <c r="H200" s="108">
        <v>4400.0</v>
      </c>
      <c r="I200" s="176" t="s">
        <v>233</v>
      </c>
      <c r="J200" s="374" t="s">
        <v>3459</v>
      </c>
      <c r="K200" s="177">
        <v>2.0</v>
      </c>
      <c r="L200" s="174">
        <v>3.875253752E9</v>
      </c>
      <c r="M200" s="387"/>
      <c r="P200" s="389"/>
      <c r="S200" s="393"/>
      <c r="T200" s="389"/>
      <c r="U200" s="276"/>
      <c r="V200" s="276"/>
      <c r="W200" s="276"/>
      <c r="X200" s="276"/>
      <c r="Y200" s="276"/>
      <c r="Z200" s="276"/>
      <c r="AA200" s="276"/>
      <c r="AB200" s="276"/>
      <c r="AC200" s="276"/>
    </row>
    <row r="201">
      <c r="A201" s="108" t="s">
        <v>11217</v>
      </c>
      <c r="B201" s="378">
        <v>45989.0</v>
      </c>
      <c r="C201" s="374">
        <v>5.310000004E10</v>
      </c>
      <c r="D201" s="374" t="s">
        <v>11218</v>
      </c>
      <c r="E201" s="374" t="s">
        <v>11219</v>
      </c>
      <c r="F201" s="108" t="s">
        <v>11213</v>
      </c>
      <c r="G201" s="108" t="s">
        <v>10763</v>
      </c>
      <c r="H201" s="108">
        <v>4400.0</v>
      </c>
      <c r="I201" s="176">
        <v>125818.0</v>
      </c>
      <c r="J201" s="240" t="s">
        <v>4334</v>
      </c>
      <c r="K201" s="242">
        <v>2.0</v>
      </c>
      <c r="L201" s="124">
        <v>3.875253752E9</v>
      </c>
      <c r="M201" s="367"/>
      <c r="N201" s="274">
        <v>45990.0</v>
      </c>
      <c r="O201" s="275" t="s">
        <v>9011</v>
      </c>
      <c r="P201" s="276"/>
      <c r="Q201" s="275" t="s">
        <v>9012</v>
      </c>
      <c r="R201" s="359" t="s">
        <v>13352</v>
      </c>
      <c r="S201" s="361"/>
      <c r="T201" s="276"/>
      <c r="U201" s="276"/>
      <c r="V201" s="276"/>
      <c r="W201" s="276"/>
      <c r="X201" s="276"/>
      <c r="Y201" s="276"/>
      <c r="Z201" s="276"/>
      <c r="AA201" s="276"/>
      <c r="AB201" s="276"/>
      <c r="AC201" s="276"/>
    </row>
    <row r="202">
      <c r="A202" s="108" t="s">
        <v>11220</v>
      </c>
      <c r="B202" s="378">
        <v>45990.0</v>
      </c>
      <c r="C202" s="374">
        <v>8.07000033712E11</v>
      </c>
      <c r="D202" s="374" t="s">
        <v>11221</v>
      </c>
      <c r="E202" s="374" t="s">
        <v>11222</v>
      </c>
      <c r="F202" s="108"/>
      <c r="G202" s="108" t="s">
        <v>127</v>
      </c>
      <c r="H202" s="108">
        <v>4400.0</v>
      </c>
      <c r="I202" s="374" t="s">
        <v>2956</v>
      </c>
      <c r="J202" s="240" t="s">
        <v>3327</v>
      </c>
      <c r="K202" s="242">
        <v>1.0</v>
      </c>
      <c r="L202" s="210">
        <v>3.875215809E9</v>
      </c>
      <c r="M202" s="367"/>
      <c r="N202" s="274">
        <v>45990.0</v>
      </c>
      <c r="O202" s="275" t="s">
        <v>9011</v>
      </c>
      <c r="P202" s="276"/>
      <c r="Q202" s="275" t="s">
        <v>9012</v>
      </c>
      <c r="R202" s="359" t="s">
        <v>13353</v>
      </c>
      <c r="S202" s="360"/>
      <c r="T202" s="276"/>
      <c r="U202" s="276"/>
      <c r="V202" s="276"/>
      <c r="W202" s="276"/>
      <c r="X202" s="276"/>
      <c r="Y202" s="276"/>
      <c r="Z202" s="276"/>
      <c r="AA202" s="276"/>
      <c r="AB202" s="276"/>
      <c r="AC202" s="276"/>
    </row>
    <row r="203">
      <c r="A203" s="108" t="s">
        <v>11220</v>
      </c>
      <c r="B203" s="378">
        <v>45990.0</v>
      </c>
      <c r="C203" s="374">
        <v>8.07000033712E11</v>
      </c>
      <c r="D203" s="374" t="s">
        <v>11221</v>
      </c>
      <c r="E203" s="374" t="s">
        <v>11222</v>
      </c>
      <c r="F203" s="108"/>
      <c r="G203" s="108" t="s">
        <v>127</v>
      </c>
      <c r="H203" s="108">
        <v>4400.0</v>
      </c>
      <c r="I203" s="374" t="s">
        <v>512</v>
      </c>
      <c r="J203" s="103" t="s">
        <v>513</v>
      </c>
      <c r="K203" s="241">
        <v>6.0</v>
      </c>
      <c r="L203" s="210">
        <v>3.875215809E9</v>
      </c>
      <c r="M203" s="367"/>
      <c r="P203" s="276"/>
      <c r="S203" s="360"/>
      <c r="T203" s="276"/>
      <c r="U203" s="276"/>
      <c r="V203" s="276"/>
      <c r="W203" s="276"/>
      <c r="X203" s="276"/>
      <c r="Y203" s="276"/>
      <c r="Z203" s="276"/>
      <c r="AA203" s="276"/>
      <c r="AB203" s="276"/>
      <c r="AC203" s="276"/>
    </row>
    <row r="204">
      <c r="A204" s="108" t="s">
        <v>11223</v>
      </c>
      <c r="B204" s="378">
        <v>45990.0</v>
      </c>
      <c r="C204" s="374">
        <v>8.07000033712E11</v>
      </c>
      <c r="D204" s="374" t="s">
        <v>11221</v>
      </c>
      <c r="E204" s="374" t="s">
        <v>11222</v>
      </c>
      <c r="F204" s="108"/>
      <c r="G204" s="108" t="s">
        <v>127</v>
      </c>
      <c r="H204" s="108">
        <v>4400.0</v>
      </c>
      <c r="I204" s="374" t="s">
        <v>670</v>
      </c>
      <c r="J204" s="240" t="s">
        <v>3410</v>
      </c>
      <c r="K204" s="242">
        <v>1.0</v>
      </c>
      <c r="L204" s="210">
        <v>3.875215809E9</v>
      </c>
      <c r="M204" s="367"/>
      <c r="P204" s="276"/>
      <c r="S204" s="361"/>
      <c r="T204" s="276"/>
      <c r="U204" s="276"/>
      <c r="V204" s="276"/>
      <c r="W204" s="276"/>
      <c r="X204" s="276"/>
      <c r="Y204" s="276"/>
      <c r="Z204" s="276"/>
      <c r="AA204" s="276"/>
      <c r="AB204" s="276"/>
      <c r="AC204" s="276"/>
    </row>
    <row r="205">
      <c r="A205" s="108" t="s">
        <v>11224</v>
      </c>
      <c r="B205" s="378">
        <v>45990.0</v>
      </c>
      <c r="C205" s="374">
        <v>8.07000034015E11</v>
      </c>
      <c r="D205" s="374" t="s">
        <v>11225</v>
      </c>
      <c r="E205" s="374" t="s">
        <v>11226</v>
      </c>
      <c r="F205" s="108" t="s">
        <v>11227</v>
      </c>
      <c r="G205" s="108" t="s">
        <v>127</v>
      </c>
      <c r="H205" s="108">
        <v>4400.0</v>
      </c>
      <c r="I205" s="374" t="s">
        <v>3205</v>
      </c>
      <c r="J205" s="103" t="s">
        <v>3206</v>
      </c>
      <c r="K205" s="241">
        <v>1.0</v>
      </c>
      <c r="L205" s="210">
        <v>3.875803095E9</v>
      </c>
      <c r="M205" s="367"/>
      <c r="N205" s="274">
        <v>45990.0</v>
      </c>
      <c r="O205" s="275" t="s">
        <v>9011</v>
      </c>
      <c r="P205" s="276"/>
      <c r="Q205" s="275" t="s">
        <v>13354</v>
      </c>
      <c r="R205" s="359" t="s">
        <v>13355</v>
      </c>
      <c r="S205" s="361"/>
      <c r="T205" s="276"/>
      <c r="U205" s="276"/>
      <c r="V205" s="276"/>
      <c r="W205" s="276"/>
      <c r="X205" s="276"/>
      <c r="Y205" s="276"/>
      <c r="Z205" s="276"/>
      <c r="AA205" s="276"/>
      <c r="AB205" s="276"/>
      <c r="AC205" s="276"/>
    </row>
    <row r="206">
      <c r="A206" s="108" t="s">
        <v>11224</v>
      </c>
      <c r="B206" s="378">
        <v>45990.0</v>
      </c>
      <c r="C206" s="374">
        <v>8.07000034015E11</v>
      </c>
      <c r="D206" s="374" t="s">
        <v>11225</v>
      </c>
      <c r="E206" s="374" t="s">
        <v>11226</v>
      </c>
      <c r="F206" s="108" t="s">
        <v>11227</v>
      </c>
      <c r="G206" s="108" t="s">
        <v>127</v>
      </c>
      <c r="H206" s="108">
        <v>4400.0</v>
      </c>
      <c r="I206" s="374" t="s">
        <v>3054</v>
      </c>
      <c r="J206" s="240" t="s">
        <v>3346</v>
      </c>
      <c r="K206" s="242">
        <v>1.0</v>
      </c>
      <c r="L206" s="210">
        <v>3.875803095E9</v>
      </c>
      <c r="M206" s="367"/>
      <c r="P206" s="276"/>
      <c r="S206" s="361"/>
      <c r="T206" s="276"/>
      <c r="U206" s="276"/>
      <c r="V206" s="276"/>
      <c r="W206" s="276"/>
      <c r="X206" s="276"/>
      <c r="Y206" s="276"/>
      <c r="Z206" s="276"/>
      <c r="AA206" s="276"/>
      <c r="AB206" s="276"/>
      <c r="AC206" s="276"/>
    </row>
    <row r="207">
      <c r="A207" s="108" t="s">
        <v>11228</v>
      </c>
      <c r="B207" s="378">
        <v>45992.0</v>
      </c>
      <c r="C207" s="374">
        <v>8.07000034032E11</v>
      </c>
      <c r="D207" s="374" t="s">
        <v>11229</v>
      </c>
      <c r="E207" s="374" t="s">
        <v>11230</v>
      </c>
      <c r="F207" s="108" t="s">
        <v>11231</v>
      </c>
      <c r="G207" s="108" t="s">
        <v>127</v>
      </c>
      <c r="H207" s="108">
        <v>4400.0</v>
      </c>
      <c r="I207" s="176">
        <v>125701.0</v>
      </c>
      <c r="J207" s="240" t="s">
        <v>9720</v>
      </c>
      <c r="K207" s="242">
        <v>1.0</v>
      </c>
      <c r="L207" s="124">
        <v>3.872102283E9</v>
      </c>
      <c r="N207" s="274">
        <v>45993.0</v>
      </c>
      <c r="O207" s="275" t="s">
        <v>9011</v>
      </c>
      <c r="P207" s="276"/>
      <c r="Q207" s="275" t="s">
        <v>13356</v>
      </c>
      <c r="R207" s="359" t="s">
        <v>13357</v>
      </c>
      <c r="S207" s="360"/>
      <c r="T207" s="276"/>
      <c r="U207" s="276"/>
      <c r="V207" s="276"/>
      <c r="W207" s="276"/>
      <c r="X207" s="276"/>
      <c r="Y207" s="276"/>
      <c r="Z207" s="276"/>
      <c r="AA207" s="276"/>
      <c r="AB207" s="276"/>
      <c r="AC207" s="276"/>
    </row>
    <row r="208">
      <c r="A208" s="108" t="s">
        <v>11228</v>
      </c>
      <c r="B208" s="378">
        <v>45992.0</v>
      </c>
      <c r="C208" s="374">
        <v>8.07000034032E11</v>
      </c>
      <c r="D208" s="374" t="s">
        <v>11229</v>
      </c>
      <c r="E208" s="374" t="s">
        <v>11230</v>
      </c>
      <c r="F208" s="108" t="s">
        <v>11231</v>
      </c>
      <c r="G208" s="108" t="s">
        <v>127</v>
      </c>
      <c r="H208" s="108">
        <v>4400.0</v>
      </c>
      <c r="I208" s="176">
        <v>125823.0</v>
      </c>
      <c r="J208" s="103" t="s">
        <v>11232</v>
      </c>
      <c r="K208" s="241">
        <v>2.0</v>
      </c>
      <c r="L208" s="124">
        <v>3.872102283E9</v>
      </c>
      <c r="P208" s="276"/>
      <c r="S208" s="361"/>
      <c r="T208" s="276"/>
      <c r="U208" s="276"/>
      <c r="V208" s="276"/>
      <c r="W208" s="276"/>
      <c r="X208" s="276"/>
      <c r="Y208" s="276"/>
      <c r="Z208" s="276"/>
      <c r="AA208" s="276"/>
      <c r="AB208" s="276"/>
      <c r="AC208" s="276"/>
    </row>
    <row r="209">
      <c r="A209" s="108" t="s">
        <v>11233</v>
      </c>
      <c r="B209" s="378">
        <v>45992.0</v>
      </c>
      <c r="C209" s="374">
        <v>8.07000034033E11</v>
      </c>
      <c r="D209" s="374" t="s">
        <v>11229</v>
      </c>
      <c r="E209" s="374" t="s">
        <v>11230</v>
      </c>
      <c r="F209" s="108" t="s">
        <v>11231</v>
      </c>
      <c r="G209" s="108" t="s">
        <v>127</v>
      </c>
      <c r="H209" s="108">
        <v>4400.0</v>
      </c>
      <c r="I209" s="176" t="s">
        <v>11234</v>
      </c>
      <c r="J209" s="240" t="s">
        <v>11235</v>
      </c>
      <c r="K209" s="242">
        <v>1.0</v>
      </c>
      <c r="L209" s="124">
        <v>3.872102283E9</v>
      </c>
      <c r="P209" s="276"/>
      <c r="S209" s="361"/>
      <c r="T209" s="276"/>
      <c r="U209" s="276"/>
      <c r="V209" s="276"/>
      <c r="W209" s="276"/>
      <c r="X209" s="276"/>
      <c r="Y209" s="276"/>
      <c r="Z209" s="276"/>
      <c r="AA209" s="276"/>
      <c r="AB209" s="276"/>
      <c r="AC209" s="276"/>
    </row>
    <row r="210">
      <c r="A210" s="108" t="s">
        <v>11236</v>
      </c>
      <c r="B210" s="378">
        <v>45992.0</v>
      </c>
      <c r="C210" s="374">
        <v>8.07000034045E11</v>
      </c>
      <c r="D210" s="374" t="s">
        <v>11237</v>
      </c>
      <c r="E210" s="374" t="s">
        <v>11238</v>
      </c>
      <c r="F210" s="108" t="s">
        <v>11239</v>
      </c>
      <c r="G210" s="108" t="s">
        <v>127</v>
      </c>
      <c r="H210" s="108">
        <v>4400.0</v>
      </c>
      <c r="I210" s="176" t="s">
        <v>2956</v>
      </c>
      <c r="J210" s="103" t="s">
        <v>3327</v>
      </c>
      <c r="K210" s="241">
        <v>1.0</v>
      </c>
      <c r="L210" s="124">
        <v>3.878236461E9</v>
      </c>
      <c r="N210" s="274">
        <v>45992.0</v>
      </c>
      <c r="O210" s="275" t="s">
        <v>9011</v>
      </c>
      <c r="P210" s="276"/>
      <c r="Q210" s="275" t="s">
        <v>9012</v>
      </c>
      <c r="R210" s="359" t="s">
        <v>13358</v>
      </c>
      <c r="S210" s="361"/>
      <c r="T210" s="276"/>
      <c r="U210" s="276"/>
      <c r="V210" s="276"/>
      <c r="W210" s="276"/>
      <c r="X210" s="276"/>
      <c r="Y210" s="276"/>
      <c r="Z210" s="276"/>
      <c r="AA210" s="276"/>
      <c r="AB210" s="276"/>
      <c r="AC210" s="276"/>
    </row>
    <row r="211">
      <c r="A211" s="108" t="s">
        <v>11240</v>
      </c>
      <c r="B211" s="378">
        <v>45992.0</v>
      </c>
      <c r="C211" s="374">
        <v>8.07000034043E11</v>
      </c>
      <c r="D211" s="374" t="s">
        <v>11241</v>
      </c>
      <c r="E211" s="374" t="s">
        <v>11242</v>
      </c>
      <c r="F211" s="108" t="s">
        <v>11243</v>
      </c>
      <c r="G211" s="108" t="s">
        <v>127</v>
      </c>
      <c r="H211" s="108">
        <v>4400.0</v>
      </c>
      <c r="I211" s="176">
        <v>208502.0</v>
      </c>
      <c r="J211" s="103" t="s">
        <v>4551</v>
      </c>
      <c r="K211" s="241">
        <v>4.0</v>
      </c>
      <c r="L211" s="124">
        <v>3.875134194E9</v>
      </c>
      <c r="N211" s="274">
        <v>45993.0</v>
      </c>
      <c r="O211" s="275" t="s">
        <v>9011</v>
      </c>
      <c r="P211" s="276"/>
      <c r="Q211" s="275" t="s">
        <v>9012</v>
      </c>
      <c r="R211" s="359" t="s">
        <v>13359</v>
      </c>
      <c r="S211" s="361"/>
      <c r="T211" s="276"/>
      <c r="U211" s="276"/>
      <c r="V211" s="276"/>
      <c r="W211" s="276"/>
      <c r="X211" s="276"/>
      <c r="Y211" s="276"/>
      <c r="Z211" s="276"/>
      <c r="AA211" s="276"/>
      <c r="AB211" s="276"/>
      <c r="AC211" s="276"/>
    </row>
    <row r="212">
      <c r="A212" s="108" t="s">
        <v>11240</v>
      </c>
      <c r="B212" s="378">
        <v>45992.0</v>
      </c>
      <c r="C212" s="374">
        <v>8.07000034043E11</v>
      </c>
      <c r="D212" s="374" t="s">
        <v>11241</v>
      </c>
      <c r="E212" s="374" t="s">
        <v>11242</v>
      </c>
      <c r="F212" s="108" t="s">
        <v>11243</v>
      </c>
      <c r="G212" s="108" t="s">
        <v>127</v>
      </c>
      <c r="H212" s="108">
        <v>4400.0</v>
      </c>
      <c r="I212" s="176" t="s">
        <v>280</v>
      </c>
      <c r="J212" s="240" t="s">
        <v>5669</v>
      </c>
      <c r="K212" s="242">
        <v>1.0</v>
      </c>
      <c r="L212" s="124">
        <v>3.875134194E9</v>
      </c>
      <c r="P212" s="276"/>
      <c r="S212" s="360"/>
      <c r="T212" s="276"/>
      <c r="U212" s="276"/>
      <c r="V212" s="276"/>
      <c r="W212" s="276"/>
      <c r="X212" s="276"/>
      <c r="Y212" s="276"/>
      <c r="Z212" s="276"/>
      <c r="AA212" s="276"/>
      <c r="AB212" s="276"/>
      <c r="AC212" s="276"/>
    </row>
    <row r="213">
      <c r="A213" s="108" t="s">
        <v>11240</v>
      </c>
      <c r="B213" s="378">
        <v>45992.0</v>
      </c>
      <c r="C213" s="374">
        <v>8.07000034043E11</v>
      </c>
      <c r="D213" s="374" t="s">
        <v>11241</v>
      </c>
      <c r="E213" s="374" t="s">
        <v>11242</v>
      </c>
      <c r="F213" s="108" t="s">
        <v>11243</v>
      </c>
      <c r="G213" s="108" t="s">
        <v>127</v>
      </c>
      <c r="H213" s="108">
        <v>4400.0</v>
      </c>
      <c r="I213" s="176" t="s">
        <v>512</v>
      </c>
      <c r="J213" s="103" t="s">
        <v>513</v>
      </c>
      <c r="K213" s="241">
        <v>12.0</v>
      </c>
      <c r="L213" s="124">
        <v>3.875134194E9</v>
      </c>
      <c r="P213" s="276"/>
      <c r="S213" s="360"/>
      <c r="T213" s="276"/>
      <c r="U213" s="276"/>
      <c r="V213" s="276"/>
      <c r="W213" s="276"/>
      <c r="X213" s="276"/>
      <c r="Y213" s="276"/>
      <c r="Z213" s="276"/>
      <c r="AA213" s="276"/>
      <c r="AB213" s="276"/>
      <c r="AC213" s="276"/>
    </row>
    <row r="214">
      <c r="A214" s="108" t="s">
        <v>11240</v>
      </c>
      <c r="B214" s="378">
        <v>45992.0</v>
      </c>
      <c r="C214" s="374">
        <v>8.07000034043E11</v>
      </c>
      <c r="D214" s="374" t="s">
        <v>11241</v>
      </c>
      <c r="E214" s="374" t="s">
        <v>11242</v>
      </c>
      <c r="F214" s="108" t="s">
        <v>11243</v>
      </c>
      <c r="G214" s="108" t="s">
        <v>127</v>
      </c>
      <c r="H214" s="108">
        <v>4400.0</v>
      </c>
      <c r="I214" s="176" t="s">
        <v>340</v>
      </c>
      <c r="J214" s="240" t="s">
        <v>3486</v>
      </c>
      <c r="K214" s="242">
        <v>2.0</v>
      </c>
      <c r="L214" s="124">
        <v>3.875134194E9</v>
      </c>
      <c r="P214" s="276"/>
      <c r="S214" s="361"/>
      <c r="T214" s="276"/>
      <c r="U214" s="276"/>
      <c r="V214" s="276"/>
      <c r="W214" s="276"/>
      <c r="X214" s="276"/>
      <c r="Y214" s="276"/>
      <c r="Z214" s="276"/>
      <c r="AA214" s="276"/>
      <c r="AB214" s="276"/>
      <c r="AC214" s="276"/>
    </row>
    <row r="215">
      <c r="A215" s="108" t="s">
        <v>11244</v>
      </c>
      <c r="B215" s="378">
        <v>45992.0</v>
      </c>
      <c r="C215" s="374">
        <v>8.07000034022E11</v>
      </c>
      <c r="D215" s="374" t="s">
        <v>11245</v>
      </c>
      <c r="E215" s="374" t="s">
        <v>11246</v>
      </c>
      <c r="F215" s="108" t="s">
        <v>11247</v>
      </c>
      <c r="G215" s="108" t="s">
        <v>127</v>
      </c>
      <c r="H215" s="108">
        <v>4400.0</v>
      </c>
      <c r="I215" s="176">
        <v>125808.0</v>
      </c>
      <c r="J215" s="240" t="s">
        <v>7199</v>
      </c>
      <c r="K215" s="242">
        <v>2.0</v>
      </c>
      <c r="L215" s="124">
        <v>3.875502812E9</v>
      </c>
      <c r="N215" s="274">
        <v>45993.0</v>
      </c>
      <c r="O215" s="275" t="s">
        <v>9011</v>
      </c>
      <c r="P215" s="276"/>
      <c r="Q215" s="275" t="s">
        <v>9012</v>
      </c>
      <c r="R215" s="359" t="s">
        <v>13360</v>
      </c>
      <c r="S215" s="361"/>
      <c r="T215" s="276"/>
      <c r="U215" s="276"/>
      <c r="V215" s="276"/>
      <c r="W215" s="276"/>
      <c r="X215" s="276"/>
      <c r="Y215" s="276"/>
      <c r="Z215" s="276"/>
      <c r="AA215" s="276"/>
      <c r="AB215" s="276"/>
      <c r="AC215" s="276"/>
    </row>
    <row r="216">
      <c r="A216" s="108" t="s">
        <v>11244</v>
      </c>
      <c r="B216" s="378">
        <v>45992.0</v>
      </c>
      <c r="C216" s="374">
        <v>8.07000034022E11</v>
      </c>
      <c r="D216" s="374" t="s">
        <v>11245</v>
      </c>
      <c r="E216" s="374" t="s">
        <v>11246</v>
      </c>
      <c r="F216" s="108" t="s">
        <v>11247</v>
      </c>
      <c r="G216" s="108" t="s">
        <v>127</v>
      </c>
      <c r="H216" s="108">
        <v>4400.0</v>
      </c>
      <c r="I216" s="176" t="s">
        <v>2956</v>
      </c>
      <c r="J216" s="103" t="s">
        <v>3327</v>
      </c>
      <c r="K216" s="241">
        <v>1.0</v>
      </c>
      <c r="L216" s="124">
        <v>3.875502812E9</v>
      </c>
      <c r="P216" s="276"/>
      <c r="S216" s="361"/>
      <c r="T216" s="276"/>
      <c r="U216" s="276"/>
      <c r="V216" s="276"/>
      <c r="W216" s="276"/>
      <c r="X216" s="276"/>
      <c r="Y216" s="276"/>
      <c r="Z216" s="276"/>
      <c r="AA216" s="276"/>
      <c r="AB216" s="276"/>
      <c r="AC216" s="276"/>
    </row>
    <row r="217">
      <c r="A217" s="108" t="s">
        <v>11248</v>
      </c>
      <c r="B217" s="378">
        <v>45994.0</v>
      </c>
      <c r="C217" s="374">
        <v>5.3100000042E10</v>
      </c>
      <c r="D217" s="374" t="s">
        <v>11249</v>
      </c>
      <c r="E217" s="374" t="s">
        <v>11250</v>
      </c>
      <c r="F217" s="108" t="s">
        <v>11251</v>
      </c>
      <c r="G217" s="108" t="s">
        <v>127</v>
      </c>
      <c r="H217" s="108">
        <v>4400.0</v>
      </c>
      <c r="I217" s="176">
        <v>125818.0</v>
      </c>
      <c r="J217" s="240" t="s">
        <v>4334</v>
      </c>
      <c r="K217" s="242">
        <v>2.0</v>
      </c>
      <c r="L217" s="124">
        <v>3.874811089E9</v>
      </c>
      <c r="N217" s="274">
        <v>45994.0</v>
      </c>
      <c r="O217" s="275" t="s">
        <v>9011</v>
      </c>
      <c r="P217" s="276"/>
      <c r="Q217" s="275" t="s">
        <v>13361</v>
      </c>
      <c r="R217" s="359" t="s">
        <v>13362</v>
      </c>
      <c r="S217" s="361"/>
      <c r="T217" s="276"/>
      <c r="U217" s="276"/>
      <c r="V217" s="276"/>
      <c r="W217" s="276"/>
      <c r="X217" s="276"/>
      <c r="Y217" s="276"/>
      <c r="Z217" s="276"/>
      <c r="AA217" s="276"/>
      <c r="AB217" s="276"/>
      <c r="AC217" s="276"/>
    </row>
    <row r="218">
      <c r="A218" s="108" t="s">
        <v>11248</v>
      </c>
      <c r="B218" s="378">
        <v>45994.0</v>
      </c>
      <c r="C218" s="374">
        <v>8.07000034023E11</v>
      </c>
      <c r="D218" s="374" t="s">
        <v>11249</v>
      </c>
      <c r="E218" s="374" t="s">
        <v>11250</v>
      </c>
      <c r="F218" s="108" t="s">
        <v>11251</v>
      </c>
      <c r="G218" s="108" t="s">
        <v>127</v>
      </c>
      <c r="H218" s="108">
        <v>4400.0</v>
      </c>
      <c r="I218" s="176" t="s">
        <v>2956</v>
      </c>
      <c r="J218" s="240" t="s">
        <v>3327</v>
      </c>
      <c r="K218" s="242">
        <v>1.0</v>
      </c>
      <c r="L218" s="124">
        <v>3.874811089E9</v>
      </c>
      <c r="P218" s="276"/>
      <c r="S218" s="361"/>
      <c r="T218" s="275"/>
      <c r="U218" s="276"/>
      <c r="V218" s="276"/>
      <c r="W218" s="276"/>
      <c r="X218" s="276"/>
      <c r="Y218" s="276"/>
      <c r="Z218" s="276"/>
      <c r="AA218" s="276"/>
      <c r="AB218" s="276"/>
      <c r="AC218" s="276"/>
    </row>
    <row r="219">
      <c r="A219" s="108" t="s">
        <v>11252</v>
      </c>
      <c r="B219" s="378">
        <v>45994.0</v>
      </c>
      <c r="C219" s="374">
        <v>8.07000033936E11</v>
      </c>
      <c r="D219" s="374" t="s">
        <v>11253</v>
      </c>
      <c r="E219" s="374" t="s">
        <v>11254</v>
      </c>
      <c r="F219" s="108" t="s">
        <v>11255</v>
      </c>
      <c r="G219" s="108" t="s">
        <v>11256</v>
      </c>
      <c r="H219" s="108">
        <v>4407.0</v>
      </c>
      <c r="I219" s="176" t="s">
        <v>512</v>
      </c>
      <c r="J219" s="103" t="s">
        <v>513</v>
      </c>
      <c r="K219" s="241">
        <v>12.0</v>
      </c>
      <c r="L219" s="124">
        <v>3.87862901E9</v>
      </c>
      <c r="N219" s="274">
        <v>45994.0</v>
      </c>
      <c r="O219" s="275" t="s">
        <v>9011</v>
      </c>
      <c r="P219" s="276"/>
      <c r="Q219" s="275" t="s">
        <v>13363</v>
      </c>
      <c r="R219" s="359" t="s">
        <v>13364</v>
      </c>
      <c r="S219" s="360"/>
      <c r="T219" s="276"/>
      <c r="U219" s="276"/>
      <c r="V219" s="276"/>
      <c r="W219" s="276"/>
      <c r="X219" s="276"/>
      <c r="Y219" s="276"/>
      <c r="Z219" s="276"/>
      <c r="AA219" s="276"/>
      <c r="AB219" s="276"/>
      <c r="AC219" s="276"/>
    </row>
    <row r="220">
      <c r="A220" s="108" t="s">
        <v>11252</v>
      </c>
      <c r="B220" s="378">
        <v>45994.0</v>
      </c>
      <c r="C220" s="374">
        <v>8.07000033937E11</v>
      </c>
      <c r="D220" s="374" t="s">
        <v>11253</v>
      </c>
      <c r="E220" s="374" t="s">
        <v>11254</v>
      </c>
      <c r="F220" s="108" t="s">
        <v>11255</v>
      </c>
      <c r="G220" s="108" t="s">
        <v>11256</v>
      </c>
      <c r="H220" s="108">
        <v>4407.0</v>
      </c>
      <c r="I220" s="176" t="s">
        <v>867</v>
      </c>
      <c r="J220" s="240" t="s">
        <v>9669</v>
      </c>
      <c r="K220" s="242">
        <v>1.0</v>
      </c>
      <c r="L220" s="124">
        <v>3.87862901E9</v>
      </c>
      <c r="P220" s="276"/>
      <c r="S220" s="360"/>
      <c r="T220" s="276"/>
      <c r="U220" s="276"/>
      <c r="V220" s="276"/>
      <c r="W220" s="276"/>
      <c r="X220" s="276"/>
      <c r="Y220" s="276"/>
      <c r="Z220" s="276"/>
      <c r="AA220" s="276"/>
      <c r="AB220" s="276"/>
      <c r="AC220" s="276"/>
    </row>
    <row r="221">
      <c r="A221" s="108" t="s">
        <v>11252</v>
      </c>
      <c r="B221" s="378">
        <v>45994.0</v>
      </c>
      <c r="C221" s="374">
        <v>8.07000033937E11</v>
      </c>
      <c r="D221" s="374" t="s">
        <v>11253</v>
      </c>
      <c r="E221" s="374" t="s">
        <v>11254</v>
      </c>
      <c r="F221" s="108" t="s">
        <v>11255</v>
      </c>
      <c r="G221" s="108" t="s">
        <v>11256</v>
      </c>
      <c r="H221" s="108">
        <v>4407.0</v>
      </c>
      <c r="I221" s="176" t="s">
        <v>340</v>
      </c>
      <c r="J221" s="103" t="s">
        <v>3486</v>
      </c>
      <c r="K221" s="241">
        <v>2.0</v>
      </c>
      <c r="L221" s="124">
        <v>3.87862901E9</v>
      </c>
      <c r="P221" s="276"/>
      <c r="S221" s="360"/>
      <c r="T221" s="276"/>
      <c r="U221" s="276"/>
      <c r="V221" s="276"/>
      <c r="W221" s="276"/>
      <c r="X221" s="276"/>
      <c r="Y221" s="276"/>
      <c r="Z221" s="276"/>
      <c r="AA221" s="276"/>
      <c r="AB221" s="276"/>
      <c r="AC221" s="276"/>
    </row>
    <row r="222">
      <c r="A222" s="108" t="s">
        <v>11257</v>
      </c>
      <c r="B222" s="378">
        <v>45994.0</v>
      </c>
      <c r="C222" s="374">
        <v>8.07000033938E11</v>
      </c>
      <c r="D222" s="374" t="s">
        <v>11253</v>
      </c>
      <c r="E222" s="374" t="s">
        <v>11254</v>
      </c>
      <c r="F222" s="108" t="s">
        <v>11255</v>
      </c>
      <c r="G222" s="108" t="s">
        <v>11256</v>
      </c>
      <c r="H222" s="108">
        <v>4407.0</v>
      </c>
      <c r="I222" s="176" t="s">
        <v>512</v>
      </c>
      <c r="J222" s="240" t="s">
        <v>513</v>
      </c>
      <c r="K222" s="242">
        <v>12.0</v>
      </c>
      <c r="L222" s="124">
        <v>3.87862901E9</v>
      </c>
      <c r="P222" s="276"/>
      <c r="S222" s="360"/>
      <c r="T222" s="276"/>
      <c r="U222" s="276"/>
      <c r="V222" s="276"/>
      <c r="W222" s="276"/>
      <c r="X222" s="276"/>
      <c r="Y222" s="276"/>
      <c r="Z222" s="276"/>
      <c r="AA222" s="276"/>
      <c r="AB222" s="276"/>
      <c r="AC222" s="276"/>
    </row>
    <row r="223">
      <c r="A223" s="108" t="s">
        <v>11257</v>
      </c>
      <c r="B223" s="378">
        <v>45994.0</v>
      </c>
      <c r="C223" s="374">
        <v>8.07000033939E11</v>
      </c>
      <c r="D223" s="374" t="s">
        <v>11253</v>
      </c>
      <c r="E223" s="374" t="s">
        <v>11254</v>
      </c>
      <c r="F223" s="108" t="s">
        <v>11255</v>
      </c>
      <c r="G223" s="108" t="s">
        <v>11256</v>
      </c>
      <c r="H223" s="108">
        <v>4407.0</v>
      </c>
      <c r="I223" s="176" t="s">
        <v>867</v>
      </c>
      <c r="J223" s="103" t="s">
        <v>9669</v>
      </c>
      <c r="K223" s="241">
        <v>1.0</v>
      </c>
      <c r="L223" s="124">
        <v>3.87862901E9</v>
      </c>
      <c r="P223" s="276"/>
      <c r="S223" s="360"/>
      <c r="T223" s="276"/>
      <c r="U223" s="276"/>
      <c r="V223" s="276"/>
      <c r="W223" s="276"/>
      <c r="X223" s="276"/>
      <c r="Y223" s="276"/>
      <c r="Z223" s="276"/>
      <c r="AA223" s="276"/>
      <c r="AB223" s="276"/>
      <c r="AC223" s="276"/>
    </row>
    <row r="224">
      <c r="A224" s="108" t="s">
        <v>11257</v>
      </c>
      <c r="B224" s="378">
        <v>45994.0</v>
      </c>
      <c r="C224" s="374">
        <v>8.07000033939E11</v>
      </c>
      <c r="D224" s="374" t="s">
        <v>11253</v>
      </c>
      <c r="E224" s="374" t="s">
        <v>11254</v>
      </c>
      <c r="F224" s="108" t="s">
        <v>11255</v>
      </c>
      <c r="G224" s="108" t="s">
        <v>11256</v>
      </c>
      <c r="H224" s="108">
        <v>4407.0</v>
      </c>
      <c r="I224" s="176" t="s">
        <v>340</v>
      </c>
      <c r="J224" s="240" t="s">
        <v>3486</v>
      </c>
      <c r="K224" s="242">
        <v>2.0</v>
      </c>
      <c r="L224" s="124">
        <v>3.87862901E9</v>
      </c>
      <c r="P224" s="276"/>
      <c r="S224" s="361"/>
      <c r="T224" s="276"/>
      <c r="U224" s="276"/>
      <c r="V224" s="276"/>
      <c r="W224" s="276"/>
      <c r="X224" s="276"/>
      <c r="Y224" s="276"/>
      <c r="Z224" s="276"/>
      <c r="AA224" s="276"/>
      <c r="AB224" s="276"/>
      <c r="AC224" s="276"/>
    </row>
    <row r="225">
      <c r="A225" s="108" t="s">
        <v>11258</v>
      </c>
      <c r="B225" s="378">
        <v>45994.0</v>
      </c>
      <c r="C225" s="374">
        <v>8.07000034044E11</v>
      </c>
      <c r="D225" s="374" t="s">
        <v>11259</v>
      </c>
      <c r="E225" s="374" t="s">
        <v>11260</v>
      </c>
      <c r="F225" s="108" t="s">
        <v>11261</v>
      </c>
      <c r="G225" s="108" t="s">
        <v>127</v>
      </c>
      <c r="H225" s="108">
        <v>4400.0</v>
      </c>
      <c r="I225" s="176" t="s">
        <v>5034</v>
      </c>
      <c r="J225" s="103" t="s">
        <v>5035</v>
      </c>
      <c r="K225" s="241">
        <v>1.0</v>
      </c>
      <c r="L225" s="124">
        <v>3.875682916E9</v>
      </c>
      <c r="N225" s="274">
        <v>45994.0</v>
      </c>
      <c r="O225" s="275" t="s">
        <v>9011</v>
      </c>
      <c r="P225" s="276"/>
      <c r="Q225" s="275" t="s">
        <v>9012</v>
      </c>
      <c r="R225" s="359" t="s">
        <v>13365</v>
      </c>
      <c r="S225" s="361"/>
      <c r="T225" s="276"/>
      <c r="U225" s="276"/>
      <c r="V225" s="276"/>
      <c r="W225" s="276"/>
      <c r="X225" s="276"/>
      <c r="Y225" s="276"/>
      <c r="Z225" s="276"/>
      <c r="AA225" s="276"/>
      <c r="AB225" s="276"/>
      <c r="AC225" s="276"/>
    </row>
    <row r="226">
      <c r="A226" s="108" t="s">
        <v>11262</v>
      </c>
      <c r="B226" s="378">
        <v>45994.0</v>
      </c>
      <c r="C226" s="374">
        <v>8.07000034046E11</v>
      </c>
      <c r="D226" s="374" t="s">
        <v>11263</v>
      </c>
      <c r="E226" s="374" t="s">
        <v>11264</v>
      </c>
      <c r="F226" s="108" t="s">
        <v>11265</v>
      </c>
      <c r="G226" s="108" t="s">
        <v>127</v>
      </c>
      <c r="H226" s="108">
        <v>4400.0</v>
      </c>
      <c r="I226" s="176" t="s">
        <v>512</v>
      </c>
      <c r="J226" s="240" t="s">
        <v>513</v>
      </c>
      <c r="K226" s="242">
        <v>6.0</v>
      </c>
      <c r="L226" s="124">
        <v>3.876859196E9</v>
      </c>
      <c r="N226" s="274">
        <v>45994.0</v>
      </c>
      <c r="O226" s="275" t="s">
        <v>9011</v>
      </c>
      <c r="P226" s="276"/>
      <c r="Q226" s="275" t="s">
        <v>13366</v>
      </c>
      <c r="R226" s="359" t="s">
        <v>13367</v>
      </c>
      <c r="S226" s="360"/>
      <c r="T226" s="276"/>
      <c r="U226" s="276"/>
      <c r="V226" s="276"/>
      <c r="W226" s="276"/>
      <c r="X226" s="276"/>
      <c r="Y226" s="276"/>
      <c r="Z226" s="276"/>
      <c r="AA226" s="276"/>
      <c r="AB226" s="276"/>
      <c r="AC226" s="276"/>
    </row>
    <row r="227">
      <c r="A227" s="108" t="s">
        <v>11262</v>
      </c>
      <c r="B227" s="378">
        <v>45994.0</v>
      </c>
      <c r="C227" s="374">
        <v>8.07000034047E11</v>
      </c>
      <c r="D227" s="374" t="s">
        <v>11263</v>
      </c>
      <c r="E227" s="374" t="s">
        <v>11264</v>
      </c>
      <c r="F227" s="108" t="s">
        <v>11265</v>
      </c>
      <c r="G227" s="108" t="s">
        <v>127</v>
      </c>
      <c r="H227" s="108">
        <v>4400.0</v>
      </c>
      <c r="I227" s="176" t="s">
        <v>698</v>
      </c>
      <c r="J227" s="103" t="s">
        <v>699</v>
      </c>
      <c r="K227" s="241">
        <v>1.0</v>
      </c>
      <c r="L227" s="124">
        <v>3.876859196E9</v>
      </c>
      <c r="P227" s="276"/>
      <c r="S227" s="360"/>
      <c r="T227" s="276"/>
      <c r="U227" s="276"/>
      <c r="V227" s="276"/>
      <c r="W227" s="276"/>
      <c r="X227" s="276"/>
      <c r="Y227" s="276"/>
      <c r="Z227" s="276"/>
      <c r="AA227" s="276"/>
      <c r="AB227" s="276"/>
      <c r="AC227" s="276"/>
    </row>
    <row r="228">
      <c r="A228" s="108" t="s">
        <v>11262</v>
      </c>
      <c r="B228" s="378">
        <v>45994.0</v>
      </c>
      <c r="C228" s="374">
        <v>8.07000034047E11</v>
      </c>
      <c r="D228" s="374" t="s">
        <v>11263</v>
      </c>
      <c r="E228" s="374" t="s">
        <v>11264</v>
      </c>
      <c r="F228" s="108" t="s">
        <v>11265</v>
      </c>
      <c r="G228" s="108" t="s">
        <v>127</v>
      </c>
      <c r="H228" s="108">
        <v>4400.0</v>
      </c>
      <c r="I228" s="176" t="s">
        <v>64</v>
      </c>
      <c r="J228" s="240" t="s">
        <v>3708</v>
      </c>
      <c r="K228" s="242">
        <v>1.0</v>
      </c>
      <c r="L228" s="124">
        <v>3.876859196E9</v>
      </c>
      <c r="P228" s="276"/>
      <c r="S228" s="361"/>
      <c r="T228" s="276"/>
      <c r="U228" s="276"/>
      <c r="V228" s="276"/>
      <c r="W228" s="276"/>
      <c r="X228" s="276"/>
      <c r="Y228" s="276"/>
      <c r="Z228" s="276"/>
      <c r="AA228" s="276"/>
      <c r="AB228" s="276"/>
      <c r="AC228" s="276"/>
    </row>
    <row r="229">
      <c r="A229" s="108" t="s">
        <v>11266</v>
      </c>
      <c r="B229" s="378">
        <v>45994.0</v>
      </c>
      <c r="C229" s="374">
        <v>8.07000034059E11</v>
      </c>
      <c r="D229" s="374" t="s">
        <v>11267</v>
      </c>
      <c r="E229" s="374" t="s">
        <v>11268</v>
      </c>
      <c r="F229" s="108" t="s">
        <v>11269</v>
      </c>
      <c r="G229" s="108" t="s">
        <v>127</v>
      </c>
      <c r="H229" s="108">
        <v>4400.0</v>
      </c>
      <c r="I229" s="176" t="s">
        <v>3512</v>
      </c>
      <c r="J229" s="103" t="s">
        <v>3513</v>
      </c>
      <c r="K229" s="241">
        <v>12.0</v>
      </c>
      <c r="L229" s="124">
        <v>3.878322931E9</v>
      </c>
      <c r="N229" s="274">
        <v>45994.0</v>
      </c>
      <c r="O229" s="275" t="s">
        <v>9011</v>
      </c>
      <c r="P229" s="276"/>
      <c r="Q229" s="275" t="s">
        <v>9012</v>
      </c>
      <c r="R229" s="359" t="s">
        <v>13368</v>
      </c>
      <c r="S229" s="360"/>
      <c r="T229" s="276"/>
      <c r="U229" s="276"/>
      <c r="V229" s="276"/>
      <c r="W229" s="276"/>
      <c r="X229" s="276"/>
      <c r="Y229" s="276"/>
      <c r="Z229" s="276"/>
      <c r="AA229" s="276"/>
      <c r="AB229" s="276"/>
      <c r="AC229" s="276"/>
    </row>
    <row r="230">
      <c r="A230" s="108" t="s">
        <v>11266</v>
      </c>
      <c r="B230" s="378">
        <v>45994.0</v>
      </c>
      <c r="C230" s="374">
        <v>8.0700003406E11</v>
      </c>
      <c r="D230" s="374" t="s">
        <v>11267</v>
      </c>
      <c r="E230" s="374" t="s">
        <v>11268</v>
      </c>
      <c r="F230" s="108" t="s">
        <v>11269</v>
      </c>
      <c r="G230" s="108" t="s">
        <v>127</v>
      </c>
      <c r="H230" s="108">
        <v>4400.0</v>
      </c>
      <c r="I230" s="176" t="s">
        <v>6833</v>
      </c>
      <c r="J230" s="240" t="s">
        <v>11006</v>
      </c>
      <c r="K230" s="242">
        <v>1.0</v>
      </c>
      <c r="L230" s="124">
        <v>3.878322931E9</v>
      </c>
      <c r="P230" s="276"/>
      <c r="S230" s="360"/>
      <c r="T230" s="276"/>
      <c r="U230" s="276"/>
      <c r="V230" s="276"/>
      <c r="W230" s="276"/>
      <c r="X230" s="276"/>
      <c r="Y230" s="276"/>
      <c r="Z230" s="276"/>
      <c r="AA230" s="276"/>
      <c r="AB230" s="276"/>
      <c r="AC230" s="276"/>
    </row>
    <row r="231">
      <c r="A231" s="108" t="s">
        <v>11266</v>
      </c>
      <c r="B231" s="378">
        <v>45994.0</v>
      </c>
      <c r="C231" s="374">
        <v>8.0700003406E11</v>
      </c>
      <c r="D231" s="374" t="s">
        <v>11267</v>
      </c>
      <c r="E231" s="374" t="s">
        <v>11268</v>
      </c>
      <c r="F231" s="108" t="s">
        <v>11269</v>
      </c>
      <c r="G231" s="108" t="s">
        <v>127</v>
      </c>
      <c r="H231" s="108">
        <v>4400.0</v>
      </c>
      <c r="I231" s="176" t="s">
        <v>6835</v>
      </c>
      <c r="J231" s="103" t="s">
        <v>8150</v>
      </c>
      <c r="K231" s="241">
        <v>2.0</v>
      </c>
      <c r="L231" s="124">
        <v>3.878322931E9</v>
      </c>
      <c r="P231" s="276"/>
      <c r="S231" s="361"/>
      <c r="T231" s="276"/>
      <c r="U231" s="276"/>
      <c r="V231" s="276"/>
      <c r="W231" s="276"/>
      <c r="X231" s="276"/>
      <c r="Y231" s="276"/>
      <c r="Z231" s="276"/>
      <c r="AA231" s="276"/>
      <c r="AB231" s="276"/>
      <c r="AC231" s="276"/>
    </row>
    <row r="232">
      <c r="A232" s="108" t="s">
        <v>11270</v>
      </c>
      <c r="B232" s="378">
        <v>45994.0</v>
      </c>
      <c r="C232" s="374">
        <v>5.3100000041E10</v>
      </c>
      <c r="D232" s="374" t="s">
        <v>11221</v>
      </c>
      <c r="E232" s="374" t="s">
        <v>11222</v>
      </c>
      <c r="F232" s="108" t="s">
        <v>2619</v>
      </c>
      <c r="G232" s="108" t="s">
        <v>127</v>
      </c>
      <c r="H232" s="108">
        <v>4400.0</v>
      </c>
      <c r="I232" s="176">
        <v>125818.0</v>
      </c>
      <c r="J232" s="240" t="s">
        <v>4334</v>
      </c>
      <c r="K232" s="242">
        <v>2.0</v>
      </c>
      <c r="L232" s="124">
        <v>3.875215809E9</v>
      </c>
      <c r="N232" s="274">
        <v>45994.0</v>
      </c>
      <c r="O232" s="275" t="s">
        <v>9011</v>
      </c>
      <c r="P232" s="276"/>
      <c r="Q232" s="275" t="s">
        <v>13369</v>
      </c>
      <c r="R232" s="359" t="s">
        <v>13370</v>
      </c>
      <c r="S232" s="361"/>
      <c r="T232" s="276"/>
      <c r="U232" s="276"/>
      <c r="V232" s="276"/>
      <c r="W232" s="276"/>
      <c r="X232" s="276"/>
      <c r="Y232" s="276"/>
      <c r="Z232" s="276"/>
      <c r="AA232" s="276"/>
      <c r="AB232" s="276"/>
      <c r="AC232" s="276"/>
    </row>
    <row r="233">
      <c r="A233" s="108" t="s">
        <v>11271</v>
      </c>
      <c r="B233" s="378">
        <v>45994.0</v>
      </c>
      <c r="C233" s="374">
        <v>8.07000034054E11</v>
      </c>
      <c r="D233" s="374" t="s">
        <v>11272</v>
      </c>
      <c r="E233" s="374" t="s">
        <v>11273</v>
      </c>
      <c r="F233" s="108" t="s">
        <v>11274</v>
      </c>
      <c r="G233" s="108" t="s">
        <v>127</v>
      </c>
      <c r="H233" s="108">
        <v>4400.0</v>
      </c>
      <c r="I233" s="176">
        <v>208502.0</v>
      </c>
      <c r="J233" s="240" t="s">
        <v>4551</v>
      </c>
      <c r="K233" s="242">
        <v>2.0</v>
      </c>
      <c r="L233" s="124">
        <v>3.87445754E8</v>
      </c>
      <c r="N233" s="274">
        <v>45994.0</v>
      </c>
      <c r="O233" s="275" t="s">
        <v>9011</v>
      </c>
      <c r="P233" s="276"/>
      <c r="Q233" s="275" t="s">
        <v>13371</v>
      </c>
      <c r="R233" s="359" t="s">
        <v>13372</v>
      </c>
      <c r="S233" s="361"/>
      <c r="T233" s="276"/>
      <c r="U233" s="276"/>
      <c r="V233" s="276"/>
      <c r="W233" s="276"/>
      <c r="X233" s="276"/>
      <c r="Y233" s="276"/>
      <c r="Z233" s="276"/>
      <c r="AA233" s="276"/>
      <c r="AB233" s="276"/>
      <c r="AC233" s="276"/>
    </row>
    <row r="234">
      <c r="A234" s="108" t="s">
        <v>11271</v>
      </c>
      <c r="B234" s="378">
        <v>45994.0</v>
      </c>
      <c r="C234" s="374">
        <v>8.07000034055E11</v>
      </c>
      <c r="D234" s="374" t="s">
        <v>11272</v>
      </c>
      <c r="E234" s="374" t="s">
        <v>11273</v>
      </c>
      <c r="F234" s="108" t="s">
        <v>11274</v>
      </c>
      <c r="G234" s="108" t="s">
        <v>127</v>
      </c>
      <c r="H234" s="108">
        <v>4400.0</v>
      </c>
      <c r="I234" s="176" t="s">
        <v>3512</v>
      </c>
      <c r="J234" s="103" t="s">
        <v>3513</v>
      </c>
      <c r="K234" s="241">
        <v>12.0</v>
      </c>
      <c r="L234" s="124">
        <v>3.87445754E8</v>
      </c>
      <c r="P234" s="276"/>
      <c r="S234" s="360"/>
      <c r="T234" s="276"/>
      <c r="U234" s="276"/>
      <c r="V234" s="276"/>
      <c r="W234" s="276"/>
      <c r="X234" s="276"/>
      <c r="Y234" s="276"/>
      <c r="Z234" s="276"/>
      <c r="AA234" s="276"/>
      <c r="AB234" s="276"/>
      <c r="AC234" s="276"/>
    </row>
    <row r="235">
      <c r="A235" s="108" t="s">
        <v>11271</v>
      </c>
      <c r="B235" s="378">
        <v>45994.0</v>
      </c>
      <c r="C235" s="374">
        <v>8.07000034056E11</v>
      </c>
      <c r="D235" s="374" t="s">
        <v>11272</v>
      </c>
      <c r="E235" s="374" t="s">
        <v>11273</v>
      </c>
      <c r="F235" s="108" t="s">
        <v>11274</v>
      </c>
      <c r="G235" s="108" t="s">
        <v>127</v>
      </c>
      <c r="H235" s="108">
        <v>4400.0</v>
      </c>
      <c r="I235" s="176" t="s">
        <v>6835</v>
      </c>
      <c r="J235" s="240" t="s">
        <v>8150</v>
      </c>
      <c r="K235" s="242">
        <v>2.0</v>
      </c>
      <c r="L235" s="124">
        <v>3.87445754E8</v>
      </c>
      <c r="P235" s="276"/>
      <c r="S235" s="360"/>
      <c r="T235" s="276"/>
      <c r="U235" s="276"/>
      <c r="V235" s="276"/>
      <c r="W235" s="276"/>
      <c r="X235" s="276"/>
      <c r="Y235" s="276"/>
      <c r="Z235" s="276"/>
      <c r="AA235" s="276"/>
      <c r="AB235" s="276"/>
      <c r="AC235" s="276"/>
    </row>
    <row r="236">
      <c r="A236" s="108" t="s">
        <v>11275</v>
      </c>
      <c r="B236" s="378">
        <v>45994.0</v>
      </c>
      <c r="C236" s="374">
        <v>8.07000034057E11</v>
      </c>
      <c r="D236" s="374" t="s">
        <v>11272</v>
      </c>
      <c r="E236" s="374" t="s">
        <v>11273</v>
      </c>
      <c r="F236" s="108" t="s">
        <v>11274</v>
      </c>
      <c r="G236" s="108" t="s">
        <v>127</v>
      </c>
      <c r="H236" s="108">
        <v>4400.0</v>
      </c>
      <c r="I236" s="176" t="s">
        <v>10821</v>
      </c>
      <c r="J236" s="103" t="s">
        <v>10822</v>
      </c>
      <c r="K236" s="241">
        <v>1.0</v>
      </c>
      <c r="L236" s="124">
        <v>3.87445754E8</v>
      </c>
      <c r="P236" s="276"/>
      <c r="S236" s="361"/>
      <c r="T236" s="276"/>
      <c r="U236" s="276"/>
      <c r="V236" s="276"/>
      <c r="W236" s="276"/>
      <c r="X236" s="276"/>
      <c r="Y236" s="276"/>
      <c r="Z236" s="276"/>
      <c r="AA236" s="276"/>
      <c r="AB236" s="276"/>
      <c r="AC236" s="276"/>
    </row>
    <row r="237">
      <c r="A237" s="108" t="s">
        <v>11276</v>
      </c>
      <c r="B237" s="378">
        <v>45994.0</v>
      </c>
      <c r="C237" s="374">
        <v>8.07000034026E11</v>
      </c>
      <c r="D237" s="374" t="s">
        <v>11277</v>
      </c>
      <c r="E237" s="374" t="s">
        <v>11278</v>
      </c>
      <c r="F237" s="108" t="s">
        <v>11279</v>
      </c>
      <c r="G237" s="108" t="s">
        <v>127</v>
      </c>
      <c r="H237" s="108">
        <v>4400.0</v>
      </c>
      <c r="I237" s="176" t="s">
        <v>11280</v>
      </c>
      <c r="J237" s="103" t="s">
        <v>11281</v>
      </c>
      <c r="K237" s="241">
        <v>1.0</v>
      </c>
      <c r="L237" s="124">
        <v>3.8744551E9</v>
      </c>
      <c r="N237" s="274">
        <v>45994.0</v>
      </c>
      <c r="O237" s="275" t="s">
        <v>9011</v>
      </c>
      <c r="P237" s="276"/>
      <c r="Q237" s="275" t="s">
        <v>13373</v>
      </c>
      <c r="R237" s="359" t="s">
        <v>13374</v>
      </c>
      <c r="S237" s="361"/>
      <c r="T237" s="276"/>
      <c r="U237" s="276"/>
      <c r="V237" s="276"/>
      <c r="W237" s="276"/>
      <c r="X237" s="276"/>
      <c r="Y237" s="276"/>
      <c r="Z237" s="276"/>
      <c r="AA237" s="276"/>
      <c r="AB237" s="276"/>
      <c r="AC237" s="276"/>
    </row>
    <row r="238">
      <c r="A238" s="108" t="s">
        <v>11276</v>
      </c>
      <c r="B238" s="378">
        <v>45994.0</v>
      </c>
      <c r="C238" s="374">
        <v>8.07000034026E11</v>
      </c>
      <c r="D238" s="374" t="s">
        <v>11277</v>
      </c>
      <c r="E238" s="374" t="s">
        <v>11278</v>
      </c>
      <c r="F238" s="108" t="s">
        <v>11279</v>
      </c>
      <c r="G238" s="108" t="s">
        <v>127</v>
      </c>
      <c r="H238" s="108">
        <v>4400.0</v>
      </c>
      <c r="I238" s="176" t="s">
        <v>4793</v>
      </c>
      <c r="J238" s="240" t="s">
        <v>4794</v>
      </c>
      <c r="K238" s="242">
        <v>1.0</v>
      </c>
      <c r="L238" s="124">
        <v>3.8744551E9</v>
      </c>
      <c r="P238" s="276"/>
      <c r="S238" s="361"/>
      <c r="T238" s="275"/>
      <c r="U238" s="276"/>
      <c r="V238" s="276"/>
      <c r="W238" s="276"/>
      <c r="X238" s="276"/>
      <c r="Y238" s="276"/>
      <c r="Z238" s="276"/>
      <c r="AA238" s="276"/>
      <c r="AB238" s="276"/>
      <c r="AC238" s="276"/>
    </row>
    <row r="239">
      <c r="A239" s="108" t="s">
        <v>11282</v>
      </c>
      <c r="B239" s="378">
        <v>45994.0</v>
      </c>
      <c r="C239" s="374">
        <v>8.07000034029E11</v>
      </c>
      <c r="D239" s="374" t="s">
        <v>11283</v>
      </c>
      <c r="E239" s="374" t="s">
        <v>11284</v>
      </c>
      <c r="F239" s="108" t="s">
        <v>11285</v>
      </c>
      <c r="G239" s="108" t="s">
        <v>127</v>
      </c>
      <c r="H239" s="108">
        <v>4400.0</v>
      </c>
      <c r="I239" s="176" t="s">
        <v>512</v>
      </c>
      <c r="J239" s="103" t="s">
        <v>513</v>
      </c>
      <c r="K239" s="241">
        <v>6.0</v>
      </c>
      <c r="L239" s="124">
        <v>3.874828877E9</v>
      </c>
      <c r="N239" s="274">
        <v>45994.0</v>
      </c>
      <c r="O239" s="275" t="s">
        <v>9011</v>
      </c>
      <c r="P239" s="276"/>
      <c r="Q239" s="275" t="s">
        <v>13375</v>
      </c>
      <c r="R239" s="359" t="s">
        <v>13376</v>
      </c>
      <c r="S239" s="360"/>
      <c r="T239" s="276"/>
      <c r="U239" s="276"/>
      <c r="V239" s="276"/>
      <c r="W239" s="276"/>
      <c r="X239" s="276"/>
      <c r="Y239" s="276"/>
      <c r="Z239" s="276"/>
      <c r="AA239" s="276"/>
      <c r="AB239" s="276"/>
      <c r="AC239" s="276"/>
    </row>
    <row r="240">
      <c r="A240" s="108" t="s">
        <v>11282</v>
      </c>
      <c r="B240" s="378">
        <v>45994.0</v>
      </c>
      <c r="C240" s="374">
        <v>8.0700003403E11</v>
      </c>
      <c r="D240" s="374" t="s">
        <v>11283</v>
      </c>
      <c r="E240" s="374" t="s">
        <v>11284</v>
      </c>
      <c r="F240" s="108" t="s">
        <v>11285</v>
      </c>
      <c r="G240" s="108" t="s">
        <v>127</v>
      </c>
      <c r="H240" s="108">
        <v>4400.0</v>
      </c>
      <c r="I240" s="176" t="s">
        <v>3154</v>
      </c>
      <c r="J240" s="240" t="s">
        <v>4564</v>
      </c>
      <c r="K240" s="242">
        <v>1.0</v>
      </c>
      <c r="L240" s="124">
        <v>3.874828877E9</v>
      </c>
      <c r="P240" s="276"/>
      <c r="S240" s="360"/>
      <c r="T240" s="276"/>
      <c r="U240" s="276"/>
      <c r="V240" s="276"/>
      <c r="W240" s="276"/>
      <c r="X240" s="276"/>
      <c r="Y240" s="276"/>
      <c r="Z240" s="276"/>
      <c r="AA240" s="276"/>
      <c r="AB240" s="276"/>
      <c r="AC240" s="276"/>
    </row>
    <row r="241">
      <c r="A241" s="108" t="s">
        <v>11282</v>
      </c>
      <c r="B241" s="378">
        <v>45994.0</v>
      </c>
      <c r="C241" s="374">
        <v>8.0700003403E11</v>
      </c>
      <c r="D241" s="374" t="s">
        <v>11283</v>
      </c>
      <c r="E241" s="374" t="s">
        <v>11284</v>
      </c>
      <c r="F241" s="108" t="s">
        <v>11285</v>
      </c>
      <c r="G241" s="108" t="s">
        <v>127</v>
      </c>
      <c r="H241" s="108">
        <v>4400.0</v>
      </c>
      <c r="I241" s="176" t="s">
        <v>2031</v>
      </c>
      <c r="J241" s="103" t="s">
        <v>3348</v>
      </c>
      <c r="K241" s="241">
        <v>1.0</v>
      </c>
      <c r="L241" s="124">
        <v>3.874828877E9</v>
      </c>
      <c r="P241" s="276"/>
      <c r="S241" s="361"/>
      <c r="T241" s="276"/>
      <c r="U241" s="276"/>
      <c r="V241" s="276"/>
      <c r="W241" s="276"/>
      <c r="X241" s="276"/>
      <c r="Y241" s="276"/>
      <c r="Z241" s="276"/>
      <c r="AA241" s="276"/>
      <c r="AB241" s="276"/>
      <c r="AC241" s="276"/>
    </row>
    <row r="242">
      <c r="A242" s="108" t="s">
        <v>11286</v>
      </c>
      <c r="B242" s="378">
        <v>45994.0</v>
      </c>
      <c r="C242" s="374">
        <v>8.07000034024E11</v>
      </c>
      <c r="D242" s="374" t="s">
        <v>11287</v>
      </c>
      <c r="E242" s="374" t="s">
        <v>11288</v>
      </c>
      <c r="F242" s="108" t="s">
        <v>11289</v>
      </c>
      <c r="G242" s="108" t="s">
        <v>127</v>
      </c>
      <c r="H242" s="108">
        <v>4400.0</v>
      </c>
      <c r="I242" s="176">
        <v>125812.0</v>
      </c>
      <c r="J242" s="103" t="s">
        <v>9317</v>
      </c>
      <c r="K242" s="241">
        <v>2.0</v>
      </c>
      <c r="L242" s="124">
        <v>3.87574995E9</v>
      </c>
      <c r="N242" s="274">
        <v>45994.0</v>
      </c>
      <c r="O242" s="275" t="s">
        <v>9011</v>
      </c>
      <c r="P242" s="276"/>
      <c r="Q242" s="275" t="s">
        <v>13377</v>
      </c>
      <c r="R242" s="359" t="s">
        <v>13378</v>
      </c>
      <c r="S242" s="361"/>
      <c r="T242" s="276"/>
      <c r="U242" s="276"/>
      <c r="V242" s="276"/>
      <c r="W242" s="276"/>
      <c r="X242" s="276"/>
      <c r="Y242" s="276"/>
      <c r="Z242" s="276"/>
      <c r="AA242" s="276"/>
      <c r="AB242" s="276"/>
      <c r="AC242" s="276"/>
    </row>
    <row r="243">
      <c r="A243" s="108" t="s">
        <v>11286</v>
      </c>
      <c r="B243" s="378">
        <v>45994.0</v>
      </c>
      <c r="C243" s="374">
        <v>8.07000034024E11</v>
      </c>
      <c r="D243" s="374" t="s">
        <v>11287</v>
      </c>
      <c r="E243" s="374" t="s">
        <v>11288</v>
      </c>
      <c r="F243" s="108" t="s">
        <v>11289</v>
      </c>
      <c r="G243" s="108" t="s">
        <v>127</v>
      </c>
      <c r="H243" s="108">
        <v>4400.0</v>
      </c>
      <c r="I243" s="176" t="s">
        <v>3334</v>
      </c>
      <c r="J243" s="240" t="s">
        <v>3575</v>
      </c>
      <c r="K243" s="242">
        <v>1.0</v>
      </c>
      <c r="L243" s="124">
        <v>3.87574995E9</v>
      </c>
      <c r="P243" s="276"/>
      <c r="S243" s="360"/>
      <c r="T243" s="276"/>
      <c r="U243" s="276"/>
      <c r="V243" s="276"/>
      <c r="W243" s="276"/>
      <c r="X243" s="276"/>
      <c r="Y243" s="276"/>
      <c r="Z243" s="276"/>
      <c r="AA243" s="276"/>
      <c r="AB243" s="276"/>
      <c r="AC243" s="276"/>
    </row>
    <row r="244">
      <c r="A244" s="108" t="s">
        <v>11286</v>
      </c>
      <c r="B244" s="378">
        <v>45994.0</v>
      </c>
      <c r="C244" s="374">
        <v>8.07000034024E11</v>
      </c>
      <c r="D244" s="374" t="s">
        <v>11287</v>
      </c>
      <c r="E244" s="374" t="s">
        <v>11288</v>
      </c>
      <c r="F244" s="108" t="s">
        <v>11289</v>
      </c>
      <c r="G244" s="108" t="s">
        <v>127</v>
      </c>
      <c r="H244" s="108">
        <v>4400.0</v>
      </c>
      <c r="I244" s="176" t="s">
        <v>512</v>
      </c>
      <c r="J244" s="103" t="s">
        <v>513</v>
      </c>
      <c r="K244" s="241">
        <v>12.0</v>
      </c>
      <c r="L244" s="124">
        <v>3.87574995E9</v>
      </c>
      <c r="P244" s="276"/>
      <c r="S244" s="360"/>
      <c r="T244" s="276"/>
      <c r="U244" s="276"/>
      <c r="V244" s="276"/>
      <c r="W244" s="276"/>
      <c r="X244" s="276"/>
      <c r="Y244" s="276"/>
      <c r="Z244" s="276"/>
      <c r="AA244" s="276"/>
      <c r="AB244" s="276"/>
      <c r="AC244" s="276"/>
    </row>
    <row r="245">
      <c r="A245" s="108" t="s">
        <v>11286</v>
      </c>
      <c r="B245" s="378">
        <v>45994.0</v>
      </c>
      <c r="C245" s="374">
        <v>8.07000034024E11</v>
      </c>
      <c r="D245" s="374" t="s">
        <v>11287</v>
      </c>
      <c r="E245" s="374" t="s">
        <v>11288</v>
      </c>
      <c r="F245" s="108" t="s">
        <v>11289</v>
      </c>
      <c r="G245" s="108" t="s">
        <v>127</v>
      </c>
      <c r="H245" s="108">
        <v>4400.0</v>
      </c>
      <c r="I245" s="176" t="s">
        <v>758</v>
      </c>
      <c r="J245" s="240" t="s">
        <v>3574</v>
      </c>
      <c r="K245" s="242">
        <v>2.0</v>
      </c>
      <c r="L245" s="124">
        <v>3.87574995E9</v>
      </c>
      <c r="P245" s="276"/>
      <c r="S245" s="361"/>
      <c r="T245" s="276"/>
      <c r="U245" s="276"/>
      <c r="V245" s="276"/>
      <c r="W245" s="276"/>
      <c r="X245" s="276"/>
      <c r="Y245" s="276"/>
      <c r="Z245" s="276"/>
      <c r="AA245" s="276"/>
      <c r="AB245" s="276"/>
      <c r="AC245" s="276"/>
    </row>
    <row r="246">
      <c r="A246" s="108" t="s">
        <v>11290</v>
      </c>
      <c r="B246" s="378">
        <v>45994.0</v>
      </c>
      <c r="C246" s="374">
        <v>8.07000034063E11</v>
      </c>
      <c r="D246" s="374" t="s">
        <v>11291</v>
      </c>
      <c r="E246" s="374" t="s">
        <v>11292</v>
      </c>
      <c r="F246" s="108" t="s">
        <v>11293</v>
      </c>
      <c r="G246" s="108" t="s">
        <v>127</v>
      </c>
      <c r="H246" s="108">
        <v>4400.0</v>
      </c>
      <c r="I246" s="176">
        <v>208501.0</v>
      </c>
      <c r="J246" s="240" t="s">
        <v>481</v>
      </c>
      <c r="K246" s="242">
        <v>2.0</v>
      </c>
      <c r="L246" s="124">
        <v>3.875065217E9</v>
      </c>
      <c r="N246" s="274">
        <v>45994.0</v>
      </c>
      <c r="O246" s="275" t="s">
        <v>9011</v>
      </c>
      <c r="P246" s="276"/>
      <c r="Q246" s="275" t="s">
        <v>9012</v>
      </c>
      <c r="R246" s="359" t="s">
        <v>13379</v>
      </c>
      <c r="S246" s="361"/>
      <c r="T246" s="276"/>
      <c r="U246" s="276"/>
      <c r="V246" s="276"/>
      <c r="W246" s="276"/>
      <c r="X246" s="276"/>
      <c r="Y246" s="276"/>
      <c r="Z246" s="276"/>
      <c r="AA246" s="276"/>
      <c r="AB246" s="276"/>
      <c r="AC246" s="276"/>
    </row>
    <row r="247">
      <c r="A247" s="108" t="s">
        <v>11290</v>
      </c>
      <c r="B247" s="378">
        <v>45994.0</v>
      </c>
      <c r="C247" s="374">
        <v>8.07000034063E11</v>
      </c>
      <c r="D247" s="374" t="s">
        <v>11291</v>
      </c>
      <c r="E247" s="374" t="s">
        <v>11292</v>
      </c>
      <c r="F247" s="108" t="s">
        <v>11293</v>
      </c>
      <c r="G247" s="108" t="s">
        <v>127</v>
      </c>
      <c r="H247" s="108">
        <v>4400.0</v>
      </c>
      <c r="I247" s="176" t="s">
        <v>512</v>
      </c>
      <c r="J247" s="103" t="s">
        <v>513</v>
      </c>
      <c r="K247" s="241">
        <v>12.0</v>
      </c>
      <c r="L247" s="124">
        <v>3.875065217E9</v>
      </c>
      <c r="P247" s="276"/>
      <c r="S247" s="360"/>
      <c r="T247" s="276"/>
      <c r="U247" s="276"/>
      <c r="V247" s="276"/>
      <c r="W247" s="276"/>
      <c r="X247" s="276"/>
      <c r="Y247" s="276"/>
      <c r="Z247" s="276"/>
      <c r="AA247" s="276"/>
      <c r="AB247" s="276"/>
      <c r="AC247" s="276"/>
    </row>
    <row r="248">
      <c r="A248" s="108" t="s">
        <v>11290</v>
      </c>
      <c r="B248" s="378">
        <v>45994.0</v>
      </c>
      <c r="C248" s="374">
        <v>8.07000034064E11</v>
      </c>
      <c r="D248" s="374" t="s">
        <v>11291</v>
      </c>
      <c r="E248" s="374" t="s">
        <v>11292</v>
      </c>
      <c r="F248" s="108" t="s">
        <v>11293</v>
      </c>
      <c r="G248" s="108" t="s">
        <v>127</v>
      </c>
      <c r="H248" s="108">
        <v>4400.0</v>
      </c>
      <c r="I248" s="176" t="s">
        <v>3817</v>
      </c>
      <c r="J248" s="240" t="s">
        <v>3818</v>
      </c>
      <c r="K248" s="242">
        <v>1.0</v>
      </c>
      <c r="L248" s="124">
        <v>3.875065217E9</v>
      </c>
      <c r="P248" s="276"/>
      <c r="S248" s="360"/>
      <c r="T248" s="276"/>
      <c r="U248" s="276"/>
      <c r="V248" s="276"/>
      <c r="W248" s="276"/>
      <c r="X248" s="276"/>
      <c r="Y248" s="276"/>
      <c r="Z248" s="276"/>
      <c r="AA248" s="276"/>
      <c r="AB248" s="276"/>
      <c r="AC248" s="276"/>
    </row>
    <row r="249">
      <c r="A249" s="108" t="s">
        <v>11290</v>
      </c>
      <c r="B249" s="378">
        <v>45994.0</v>
      </c>
      <c r="C249" s="374">
        <v>8.07000034064E11</v>
      </c>
      <c r="D249" s="374" t="s">
        <v>11291</v>
      </c>
      <c r="E249" s="374" t="s">
        <v>11292</v>
      </c>
      <c r="F249" s="108" t="s">
        <v>11293</v>
      </c>
      <c r="G249" s="108" t="s">
        <v>127</v>
      </c>
      <c r="H249" s="108">
        <v>4400.0</v>
      </c>
      <c r="I249" s="176" t="s">
        <v>340</v>
      </c>
      <c r="J249" s="103" t="s">
        <v>3486</v>
      </c>
      <c r="K249" s="241">
        <v>2.0</v>
      </c>
      <c r="L249" s="124">
        <v>3.875065217E9</v>
      </c>
      <c r="P249" s="276"/>
      <c r="S249" s="361"/>
      <c r="T249" s="276"/>
      <c r="U249" s="276"/>
      <c r="V249" s="276"/>
      <c r="W249" s="276"/>
      <c r="X249" s="276"/>
      <c r="Y249" s="276"/>
      <c r="Z249" s="276"/>
      <c r="AA249" s="276"/>
      <c r="AB249" s="276"/>
      <c r="AC249" s="276"/>
    </row>
    <row r="250">
      <c r="A250" s="108" t="s">
        <v>11290</v>
      </c>
      <c r="B250" s="378">
        <v>45994.0</v>
      </c>
      <c r="C250" s="374">
        <v>8.07000034065E11</v>
      </c>
      <c r="D250" s="374" t="s">
        <v>11291</v>
      </c>
      <c r="E250" s="374" t="s">
        <v>11292</v>
      </c>
      <c r="F250" s="108" t="s">
        <v>11293</v>
      </c>
      <c r="G250" s="108" t="s">
        <v>127</v>
      </c>
      <c r="H250" s="108">
        <v>4400.0</v>
      </c>
      <c r="I250" s="176">
        <v>2.2346259137E10</v>
      </c>
      <c r="J250" s="240" t="s">
        <v>7164</v>
      </c>
      <c r="K250" s="242">
        <v>1.0</v>
      </c>
      <c r="L250" s="124">
        <v>3.875065217E9</v>
      </c>
      <c r="P250" s="276"/>
      <c r="S250" s="360"/>
      <c r="T250" s="276"/>
      <c r="U250" s="276"/>
      <c r="V250" s="276"/>
      <c r="W250" s="276"/>
      <c r="X250" s="276"/>
      <c r="Y250" s="276"/>
      <c r="Z250" s="276"/>
      <c r="AA250" s="276"/>
      <c r="AB250" s="276"/>
      <c r="AC250" s="276"/>
    </row>
    <row r="251">
      <c r="A251" s="108" t="s">
        <v>11294</v>
      </c>
      <c r="B251" s="378">
        <v>45997.0</v>
      </c>
      <c r="C251" s="374">
        <v>8.07000034071E11</v>
      </c>
      <c r="D251" s="374" t="s">
        <v>11295</v>
      </c>
      <c r="E251" s="374" t="s">
        <v>11296</v>
      </c>
      <c r="F251" s="108" t="s">
        <v>11297</v>
      </c>
      <c r="G251" s="108" t="s">
        <v>104</v>
      </c>
      <c r="H251" s="108">
        <v>4400.0</v>
      </c>
      <c r="I251" s="176">
        <v>186006.0</v>
      </c>
      <c r="J251" s="103" t="s">
        <v>11298</v>
      </c>
      <c r="K251" s="241">
        <v>1.0</v>
      </c>
      <c r="L251" s="124"/>
      <c r="N251" s="274">
        <v>45999.0</v>
      </c>
      <c r="O251" s="275" t="s">
        <v>9011</v>
      </c>
      <c r="P251" s="276"/>
      <c r="Q251" s="275" t="s">
        <v>9012</v>
      </c>
      <c r="R251" s="359" t="s">
        <v>13380</v>
      </c>
      <c r="S251" s="360"/>
      <c r="T251" s="276"/>
      <c r="U251" s="276"/>
      <c r="V251" s="276"/>
      <c r="W251" s="276"/>
      <c r="X251" s="276"/>
      <c r="Y251" s="276"/>
      <c r="Z251" s="276"/>
      <c r="AA251" s="276"/>
      <c r="AB251" s="276"/>
      <c r="AC251" s="276"/>
    </row>
    <row r="252">
      <c r="A252" s="108" t="s">
        <v>11294</v>
      </c>
      <c r="B252" s="378">
        <v>45997.0</v>
      </c>
      <c r="C252" s="374">
        <v>8.07000034071E11</v>
      </c>
      <c r="D252" s="374" t="s">
        <v>11295</v>
      </c>
      <c r="E252" s="374" t="s">
        <v>11296</v>
      </c>
      <c r="F252" s="108" t="s">
        <v>11297</v>
      </c>
      <c r="G252" s="108" t="s">
        <v>104</v>
      </c>
      <c r="H252" s="108">
        <v>4400.0</v>
      </c>
      <c r="I252" s="176" t="s">
        <v>7371</v>
      </c>
      <c r="J252" s="240" t="s">
        <v>8339</v>
      </c>
      <c r="K252" s="242">
        <v>2.0</v>
      </c>
      <c r="L252" s="124"/>
      <c r="P252" s="276"/>
      <c r="S252" s="361"/>
      <c r="T252" s="276"/>
      <c r="U252" s="276"/>
      <c r="V252" s="276"/>
      <c r="W252" s="276"/>
      <c r="X252" s="276"/>
      <c r="Y252" s="276"/>
      <c r="Z252" s="276"/>
      <c r="AA252" s="276"/>
      <c r="AB252" s="276"/>
      <c r="AC252" s="276"/>
    </row>
    <row r="253">
      <c r="A253" s="108" t="s">
        <v>11299</v>
      </c>
      <c r="B253" s="378">
        <v>45997.0</v>
      </c>
      <c r="C253" s="374">
        <v>8.07000033901E11</v>
      </c>
      <c r="D253" s="374" t="s">
        <v>11300</v>
      </c>
      <c r="E253" s="374" t="s">
        <v>11301</v>
      </c>
      <c r="F253" s="108" t="s">
        <v>11302</v>
      </c>
      <c r="G253" s="108" t="s">
        <v>104</v>
      </c>
      <c r="H253" s="108">
        <v>4400.0</v>
      </c>
      <c r="I253" s="176" t="s">
        <v>11303</v>
      </c>
      <c r="J253" s="240" t="s">
        <v>11304</v>
      </c>
      <c r="K253" s="242">
        <v>1.0</v>
      </c>
      <c r="L253" s="124">
        <v>3.875292724E9</v>
      </c>
      <c r="N253" s="274">
        <v>45999.0</v>
      </c>
      <c r="O253" s="275" t="s">
        <v>9011</v>
      </c>
      <c r="P253" s="276"/>
      <c r="Q253" s="275" t="s">
        <v>9012</v>
      </c>
      <c r="R253" s="359" t="s">
        <v>13381</v>
      </c>
      <c r="S253" s="361"/>
      <c r="T253" s="275"/>
      <c r="U253" s="276"/>
      <c r="V253" s="276"/>
      <c r="W253" s="276"/>
      <c r="X253" s="276"/>
      <c r="Y253" s="276"/>
      <c r="Z253" s="276"/>
      <c r="AA253" s="276"/>
      <c r="AB253" s="276"/>
      <c r="AC253" s="276"/>
    </row>
    <row r="254">
      <c r="A254" s="108" t="s">
        <v>11299</v>
      </c>
      <c r="B254" s="378">
        <v>45997.0</v>
      </c>
      <c r="C254" s="374">
        <v>8.07000033901E11</v>
      </c>
      <c r="D254" s="374" t="s">
        <v>11300</v>
      </c>
      <c r="E254" s="374" t="s">
        <v>11301</v>
      </c>
      <c r="F254" s="108" t="s">
        <v>11302</v>
      </c>
      <c r="G254" s="108" t="s">
        <v>104</v>
      </c>
      <c r="H254" s="108">
        <v>4400.0</v>
      </c>
      <c r="I254" s="176" t="s">
        <v>3131</v>
      </c>
      <c r="J254" s="103" t="s">
        <v>3416</v>
      </c>
      <c r="K254" s="241">
        <v>1.0</v>
      </c>
      <c r="L254" s="124">
        <v>3.875292724E9</v>
      </c>
      <c r="P254" s="276"/>
      <c r="S254" s="361"/>
      <c r="T254" s="276"/>
      <c r="U254" s="276"/>
      <c r="V254" s="276"/>
      <c r="W254" s="276"/>
      <c r="X254" s="276"/>
      <c r="Y254" s="276"/>
      <c r="Z254" s="276"/>
      <c r="AA254" s="276"/>
      <c r="AB254" s="276"/>
      <c r="AC254" s="276"/>
    </row>
    <row r="255">
      <c r="A255" s="108" t="s">
        <v>11299</v>
      </c>
      <c r="B255" s="378">
        <v>45997.0</v>
      </c>
      <c r="C255" s="374">
        <v>8.0700003408E11</v>
      </c>
      <c r="D255" s="374" t="s">
        <v>11300</v>
      </c>
      <c r="E255" s="374" t="s">
        <v>11301</v>
      </c>
      <c r="F255" s="108" t="s">
        <v>11302</v>
      </c>
      <c r="G255" s="108" t="s">
        <v>104</v>
      </c>
      <c r="H255" s="108">
        <v>4400.0</v>
      </c>
      <c r="I255" s="176" t="s">
        <v>8983</v>
      </c>
      <c r="J255" s="103" t="s">
        <v>8984</v>
      </c>
      <c r="K255" s="241">
        <v>1.0</v>
      </c>
      <c r="L255" s="124">
        <v>3.875292724E9</v>
      </c>
      <c r="P255" s="276"/>
      <c r="S255" s="360"/>
      <c r="T255" s="276"/>
      <c r="U255" s="276"/>
      <c r="V255" s="276"/>
      <c r="W255" s="276"/>
      <c r="X255" s="276"/>
      <c r="Y255" s="276"/>
      <c r="Z255" s="276"/>
      <c r="AA255" s="276"/>
      <c r="AB255" s="276"/>
      <c r="AC255" s="276"/>
    </row>
    <row r="256">
      <c r="A256" s="108" t="s">
        <v>11305</v>
      </c>
      <c r="B256" s="378">
        <v>45997.0</v>
      </c>
      <c r="C256" s="374">
        <v>8.05011561946E11</v>
      </c>
      <c r="D256" s="374" t="s">
        <v>11306</v>
      </c>
      <c r="E256" s="374" t="s">
        <v>11307</v>
      </c>
      <c r="F256" s="176" t="s">
        <v>11308</v>
      </c>
      <c r="G256" s="176" t="s">
        <v>20</v>
      </c>
      <c r="H256" s="177">
        <v>4400.0</v>
      </c>
      <c r="I256" s="176" t="s">
        <v>2171</v>
      </c>
      <c r="J256" s="103" t="s">
        <v>3446</v>
      </c>
      <c r="K256" s="241">
        <v>2.0</v>
      </c>
      <c r="L256" s="124">
        <v>3.87538057E9</v>
      </c>
      <c r="N256" s="274">
        <v>45999.0</v>
      </c>
      <c r="O256" s="275" t="s">
        <v>9011</v>
      </c>
      <c r="P256" s="276"/>
      <c r="Q256" s="275" t="s">
        <v>13382</v>
      </c>
      <c r="R256" s="359" t="s">
        <v>13383</v>
      </c>
      <c r="S256" s="360"/>
      <c r="T256" s="276"/>
      <c r="U256" s="276"/>
      <c r="V256" s="276"/>
      <c r="W256" s="276"/>
      <c r="X256" s="276"/>
      <c r="Y256" s="276"/>
      <c r="Z256" s="276"/>
      <c r="AA256" s="276"/>
      <c r="AB256" s="276"/>
      <c r="AC256" s="276"/>
    </row>
    <row r="257">
      <c r="A257" s="108" t="s">
        <v>11305</v>
      </c>
      <c r="B257" s="378">
        <v>45997.0</v>
      </c>
      <c r="C257" s="374">
        <v>8.05011561946E11</v>
      </c>
      <c r="D257" s="374" t="s">
        <v>11306</v>
      </c>
      <c r="E257" s="374" t="s">
        <v>11307</v>
      </c>
      <c r="F257" s="176" t="s">
        <v>11308</v>
      </c>
      <c r="G257" s="176" t="s">
        <v>20</v>
      </c>
      <c r="H257" s="177">
        <v>4400.0</v>
      </c>
      <c r="I257" s="176" t="s">
        <v>512</v>
      </c>
      <c r="J257" s="240" t="s">
        <v>513</v>
      </c>
      <c r="K257" s="242">
        <v>12.0</v>
      </c>
      <c r="L257" s="124">
        <v>3.87538057E9</v>
      </c>
      <c r="P257" s="276"/>
      <c r="S257" s="360"/>
      <c r="T257" s="276"/>
      <c r="U257" s="276"/>
      <c r="V257" s="276"/>
      <c r="W257" s="276"/>
      <c r="X257" s="276"/>
      <c r="Y257" s="276"/>
      <c r="Z257" s="276"/>
      <c r="AA257" s="276"/>
      <c r="AB257" s="276"/>
      <c r="AC257" s="276"/>
    </row>
    <row r="258">
      <c r="A258" s="108" t="s">
        <v>11305</v>
      </c>
      <c r="B258" s="378">
        <v>45997.0</v>
      </c>
      <c r="C258" s="374">
        <v>8.05011561946E11</v>
      </c>
      <c r="D258" s="374" t="s">
        <v>11306</v>
      </c>
      <c r="E258" s="374" t="s">
        <v>11307</v>
      </c>
      <c r="F258" s="176" t="s">
        <v>11308</v>
      </c>
      <c r="G258" s="176" t="s">
        <v>20</v>
      </c>
      <c r="H258" s="177">
        <v>4400.0</v>
      </c>
      <c r="I258" s="176" t="s">
        <v>3447</v>
      </c>
      <c r="J258" s="103" t="s">
        <v>3448</v>
      </c>
      <c r="K258" s="241">
        <v>2.0</v>
      </c>
      <c r="L258" s="124">
        <v>3.87538057E9</v>
      </c>
      <c r="P258" s="276"/>
      <c r="S258" s="361"/>
      <c r="T258" s="276"/>
      <c r="U258" s="276"/>
      <c r="V258" s="276"/>
      <c r="W258" s="276"/>
      <c r="X258" s="276"/>
      <c r="Y258" s="276"/>
      <c r="Z258" s="276"/>
      <c r="AA258" s="276"/>
      <c r="AB258" s="276"/>
      <c r="AC258" s="276"/>
    </row>
    <row r="259">
      <c r="A259" s="370"/>
      <c r="B259" s="371"/>
      <c r="C259" s="394"/>
      <c r="D259" s="394"/>
      <c r="E259" s="394"/>
      <c r="F259" s="395"/>
      <c r="G259" s="395"/>
      <c r="H259" s="396"/>
      <c r="I259" s="395"/>
      <c r="J259" s="397"/>
      <c r="K259" s="398"/>
      <c r="L259" s="247"/>
      <c r="M259" s="233"/>
      <c r="N259" s="275" t="s">
        <v>5479</v>
      </c>
      <c r="O259" s="275" t="s">
        <v>5479</v>
      </c>
      <c r="P259" s="276"/>
      <c r="Q259" s="275" t="s">
        <v>5479</v>
      </c>
      <c r="R259" s="277" t="s">
        <v>5479</v>
      </c>
      <c r="S259" s="360"/>
      <c r="T259" s="276"/>
      <c r="U259" s="276"/>
      <c r="V259" s="276"/>
      <c r="W259" s="276"/>
      <c r="X259" s="276"/>
      <c r="Y259" s="276"/>
      <c r="Z259" s="276"/>
      <c r="AA259" s="276"/>
      <c r="AB259" s="276"/>
      <c r="AC259" s="276"/>
    </row>
    <row r="260">
      <c r="A260" s="370" t="s">
        <v>11309</v>
      </c>
      <c r="B260" s="371">
        <v>46000.0</v>
      </c>
      <c r="C260" s="365">
        <v>8.07000034109E11</v>
      </c>
      <c r="D260" s="365" t="s">
        <v>11310</v>
      </c>
      <c r="E260" s="365" t="s">
        <v>11311</v>
      </c>
      <c r="F260" s="399" t="s">
        <v>11312</v>
      </c>
      <c r="G260" s="399" t="s">
        <v>127</v>
      </c>
      <c r="H260" s="400">
        <v>4400.0</v>
      </c>
      <c r="I260" s="365" t="s">
        <v>947</v>
      </c>
      <c r="J260" s="366" t="s">
        <v>3750</v>
      </c>
      <c r="K260" s="259">
        <v>1.0</v>
      </c>
      <c r="L260" s="210">
        <v>3.876331581E9</v>
      </c>
      <c r="N260" s="274">
        <v>46001.0</v>
      </c>
      <c r="O260" s="275" t="s">
        <v>9011</v>
      </c>
      <c r="P260" s="276"/>
      <c r="Q260" s="275" t="s">
        <v>13384</v>
      </c>
      <c r="R260" s="359" t="s">
        <v>13385</v>
      </c>
      <c r="S260" s="361"/>
      <c r="T260" s="276"/>
      <c r="U260" s="276"/>
      <c r="V260" s="276"/>
      <c r="W260" s="276"/>
      <c r="X260" s="276"/>
      <c r="Y260" s="276"/>
      <c r="Z260" s="276"/>
      <c r="AA260" s="276"/>
      <c r="AB260" s="276"/>
      <c r="AC260" s="276"/>
    </row>
    <row r="261">
      <c r="A261" s="370" t="s">
        <v>11313</v>
      </c>
      <c r="B261" s="371">
        <v>46000.0</v>
      </c>
      <c r="C261" s="365">
        <v>8.07000034101E11</v>
      </c>
      <c r="D261" s="365" t="s">
        <v>11314</v>
      </c>
      <c r="E261" s="365" t="s">
        <v>11315</v>
      </c>
      <c r="F261" s="401" t="s">
        <v>11316</v>
      </c>
      <c r="G261" s="370" t="s">
        <v>127</v>
      </c>
      <c r="H261" s="370">
        <v>4400.0</v>
      </c>
      <c r="I261" s="365" t="s">
        <v>2686</v>
      </c>
      <c r="J261" s="325" t="s">
        <v>7670</v>
      </c>
      <c r="K261" s="278">
        <v>1.0</v>
      </c>
      <c r="L261" s="210">
        <v>3.874756665E9</v>
      </c>
      <c r="N261" s="274">
        <v>46000.0</v>
      </c>
      <c r="O261" s="275" t="s">
        <v>9011</v>
      </c>
      <c r="P261" s="276"/>
      <c r="Q261" s="275" t="s">
        <v>9012</v>
      </c>
      <c r="R261" s="359" t="s">
        <v>13386</v>
      </c>
      <c r="S261" s="361"/>
      <c r="T261" s="276"/>
      <c r="U261" s="276"/>
      <c r="V261" s="276"/>
      <c r="W261" s="276"/>
      <c r="X261" s="276"/>
      <c r="Y261" s="276"/>
      <c r="Z261" s="276"/>
      <c r="AA261" s="276"/>
      <c r="AB261" s="276"/>
      <c r="AC261" s="276"/>
    </row>
    <row r="262">
      <c r="A262" s="370" t="s">
        <v>11317</v>
      </c>
      <c r="B262" s="371">
        <v>46000.0</v>
      </c>
      <c r="C262" s="365">
        <v>8.07000034111E11</v>
      </c>
      <c r="D262" s="365" t="s">
        <v>11318</v>
      </c>
      <c r="E262" s="365" t="s">
        <v>11319</v>
      </c>
      <c r="F262" s="370" t="s">
        <v>11320</v>
      </c>
      <c r="G262" s="370" t="s">
        <v>127</v>
      </c>
      <c r="H262" s="370">
        <v>4400.0</v>
      </c>
      <c r="I262" s="365">
        <v>125818.0</v>
      </c>
      <c r="J262" s="325" t="s">
        <v>4334</v>
      </c>
      <c r="K262" s="278">
        <v>4.0</v>
      </c>
      <c r="L262" s="210">
        <v>3.874833215E9</v>
      </c>
      <c r="N262" s="274">
        <v>46000.0</v>
      </c>
      <c r="O262" s="275" t="s">
        <v>9011</v>
      </c>
      <c r="P262" s="276"/>
      <c r="Q262" s="275" t="s">
        <v>9012</v>
      </c>
      <c r="R262" s="359" t="s">
        <v>13387</v>
      </c>
      <c r="S262" s="361"/>
      <c r="T262" s="276"/>
      <c r="U262" s="276"/>
      <c r="V262" s="276"/>
      <c r="W262" s="276"/>
      <c r="X262" s="276"/>
      <c r="Y262" s="276"/>
      <c r="Z262" s="276"/>
      <c r="AA262" s="276"/>
      <c r="AB262" s="276"/>
      <c r="AC262" s="276"/>
    </row>
    <row r="263">
      <c r="A263" s="370" t="s">
        <v>11317</v>
      </c>
      <c r="B263" s="371">
        <v>46000.0</v>
      </c>
      <c r="C263" s="365">
        <v>8.07000034111E11</v>
      </c>
      <c r="D263" s="365" t="s">
        <v>11318</v>
      </c>
      <c r="E263" s="365" t="s">
        <v>11319</v>
      </c>
      <c r="F263" s="370" t="s">
        <v>11320</v>
      </c>
      <c r="G263" s="370" t="s">
        <v>127</v>
      </c>
      <c r="H263" s="370">
        <v>4400.0</v>
      </c>
      <c r="I263" s="365" t="s">
        <v>512</v>
      </c>
      <c r="J263" s="366" t="s">
        <v>513</v>
      </c>
      <c r="K263" s="259">
        <v>24.0</v>
      </c>
      <c r="L263" s="210">
        <v>3.874833215E9</v>
      </c>
      <c r="P263" s="276"/>
      <c r="S263" s="360"/>
      <c r="T263" s="276"/>
      <c r="U263" s="276"/>
      <c r="V263" s="276"/>
      <c r="W263" s="276"/>
      <c r="X263" s="276"/>
      <c r="Y263" s="276"/>
      <c r="Z263" s="276"/>
      <c r="AA263" s="276"/>
      <c r="AB263" s="276"/>
      <c r="AC263" s="276"/>
    </row>
    <row r="264">
      <c r="A264" s="370" t="s">
        <v>11317</v>
      </c>
      <c r="B264" s="371">
        <v>46000.0</v>
      </c>
      <c r="C264" s="365">
        <v>8.07000034112E11</v>
      </c>
      <c r="D264" s="365" t="s">
        <v>11318</v>
      </c>
      <c r="E264" s="365" t="s">
        <v>11319</v>
      </c>
      <c r="F264" s="370" t="s">
        <v>11320</v>
      </c>
      <c r="G264" s="370" t="s">
        <v>127</v>
      </c>
      <c r="H264" s="370">
        <v>4400.0</v>
      </c>
      <c r="I264" s="365" t="s">
        <v>3334</v>
      </c>
      <c r="J264" s="325" t="s">
        <v>3575</v>
      </c>
      <c r="K264" s="278">
        <v>2.0</v>
      </c>
      <c r="L264" s="210">
        <v>3.874833215E9</v>
      </c>
      <c r="P264" s="276"/>
      <c r="S264" s="360"/>
      <c r="T264" s="276"/>
      <c r="U264" s="276"/>
      <c r="V264" s="276"/>
      <c r="W264" s="276"/>
      <c r="X264" s="276"/>
      <c r="Y264" s="276"/>
      <c r="Z264" s="276"/>
      <c r="AA264" s="276"/>
      <c r="AB264" s="276"/>
      <c r="AC264" s="276"/>
    </row>
    <row r="265">
      <c r="A265" s="370" t="s">
        <v>11317</v>
      </c>
      <c r="B265" s="371">
        <v>46000.0</v>
      </c>
      <c r="C265" s="365">
        <v>8.07000034112E11</v>
      </c>
      <c r="D265" s="365" t="s">
        <v>11318</v>
      </c>
      <c r="E265" s="365" t="s">
        <v>11319</v>
      </c>
      <c r="F265" s="370" t="s">
        <v>11320</v>
      </c>
      <c r="G265" s="370" t="s">
        <v>127</v>
      </c>
      <c r="H265" s="370">
        <v>4400.0</v>
      </c>
      <c r="I265" s="365" t="s">
        <v>758</v>
      </c>
      <c r="J265" s="366" t="s">
        <v>3574</v>
      </c>
      <c r="K265" s="259">
        <v>4.0</v>
      </c>
      <c r="L265" s="210">
        <v>3.874833215E9</v>
      </c>
      <c r="P265" s="276"/>
      <c r="S265" s="361"/>
      <c r="T265" s="276"/>
      <c r="U265" s="276"/>
      <c r="V265" s="276"/>
      <c r="W265" s="276"/>
      <c r="X265" s="276"/>
      <c r="Y265" s="276"/>
      <c r="Z265" s="276"/>
      <c r="AA265" s="276"/>
      <c r="AB265" s="276"/>
      <c r="AC265" s="276"/>
    </row>
    <row r="266">
      <c r="A266" s="370" t="s">
        <v>11321</v>
      </c>
      <c r="B266" s="371">
        <v>46000.0</v>
      </c>
      <c r="C266" s="365">
        <v>8.05011561395E11</v>
      </c>
      <c r="D266" s="365" t="s">
        <v>11322</v>
      </c>
      <c r="E266" s="365" t="s">
        <v>11323</v>
      </c>
      <c r="F266" s="400" t="s">
        <v>11324</v>
      </c>
      <c r="G266" s="400" t="s">
        <v>983</v>
      </c>
      <c r="H266" s="400">
        <v>4400.0</v>
      </c>
      <c r="I266" s="365" t="s">
        <v>11325</v>
      </c>
      <c r="J266" s="325" t="s">
        <v>11326</v>
      </c>
      <c r="K266" s="278">
        <v>1.0</v>
      </c>
      <c r="L266" s="210">
        <v>3.874812392E9</v>
      </c>
      <c r="N266" s="274">
        <v>46000.0</v>
      </c>
      <c r="O266" s="275" t="s">
        <v>9011</v>
      </c>
      <c r="P266" s="276"/>
      <c r="Q266" s="275" t="s">
        <v>9012</v>
      </c>
      <c r="R266" s="359" t="s">
        <v>13388</v>
      </c>
      <c r="S266" s="360"/>
      <c r="T266" s="276"/>
      <c r="U266" s="276"/>
      <c r="V266" s="276"/>
      <c r="W266" s="276"/>
      <c r="X266" s="276"/>
      <c r="Y266" s="276"/>
      <c r="Z266" s="276"/>
      <c r="AA266" s="276"/>
      <c r="AB266" s="276"/>
      <c r="AC266" s="276"/>
    </row>
    <row r="267">
      <c r="A267" s="370" t="s">
        <v>11321</v>
      </c>
      <c r="B267" s="371">
        <v>46000.0</v>
      </c>
      <c r="C267" s="365">
        <v>8.05011561395E11</v>
      </c>
      <c r="D267" s="365" t="s">
        <v>11322</v>
      </c>
      <c r="E267" s="365" t="s">
        <v>11323</v>
      </c>
      <c r="F267" s="400" t="s">
        <v>11324</v>
      </c>
      <c r="G267" s="400" t="s">
        <v>983</v>
      </c>
      <c r="H267" s="400">
        <v>4400.0</v>
      </c>
      <c r="I267" s="365" t="s">
        <v>512</v>
      </c>
      <c r="J267" s="366" t="s">
        <v>513</v>
      </c>
      <c r="K267" s="259">
        <v>12.0</v>
      </c>
      <c r="L267" s="210">
        <v>3.874812392E9</v>
      </c>
      <c r="P267" s="276"/>
      <c r="S267" s="360"/>
      <c r="T267" s="276"/>
      <c r="U267" s="276"/>
      <c r="V267" s="276"/>
      <c r="W267" s="276"/>
      <c r="X267" s="276"/>
      <c r="Y267" s="276"/>
      <c r="Z267" s="276"/>
      <c r="AA267" s="276"/>
      <c r="AB267" s="276"/>
      <c r="AC267" s="276"/>
    </row>
    <row r="268">
      <c r="A268" s="370" t="s">
        <v>11321</v>
      </c>
      <c r="B268" s="371">
        <v>46000.0</v>
      </c>
      <c r="C268" s="365">
        <v>8.05011561395E11</v>
      </c>
      <c r="D268" s="365" t="s">
        <v>11322</v>
      </c>
      <c r="E268" s="365" t="s">
        <v>11323</v>
      </c>
      <c r="F268" s="400" t="s">
        <v>11324</v>
      </c>
      <c r="G268" s="400" t="s">
        <v>983</v>
      </c>
      <c r="H268" s="400">
        <v>4400.0</v>
      </c>
      <c r="I268" s="365" t="s">
        <v>758</v>
      </c>
      <c r="J268" s="325" t="s">
        <v>3574</v>
      </c>
      <c r="K268" s="278">
        <v>2.0</v>
      </c>
      <c r="L268" s="210">
        <v>3.874812392E9</v>
      </c>
      <c r="P268" s="276"/>
      <c r="S268" s="361"/>
      <c r="T268" s="276"/>
      <c r="U268" s="276"/>
      <c r="V268" s="276"/>
      <c r="W268" s="276"/>
      <c r="X268" s="276"/>
      <c r="Y268" s="276"/>
      <c r="Z268" s="276"/>
      <c r="AA268" s="276"/>
      <c r="AB268" s="276"/>
      <c r="AC268" s="276"/>
    </row>
    <row r="269">
      <c r="A269" s="370" t="s">
        <v>11327</v>
      </c>
      <c r="B269" s="371">
        <v>46000.0</v>
      </c>
      <c r="C269" s="365">
        <v>8.05011561543E11</v>
      </c>
      <c r="D269" s="365" t="s">
        <v>11328</v>
      </c>
      <c r="E269" s="365" t="s">
        <v>11329</v>
      </c>
      <c r="F269" s="400" t="s">
        <v>11330</v>
      </c>
      <c r="G269" s="400" t="s">
        <v>983</v>
      </c>
      <c r="H269" s="400" t="s">
        <v>4086</v>
      </c>
      <c r="I269" s="365" t="s">
        <v>3641</v>
      </c>
      <c r="J269" s="325" t="s">
        <v>3642</v>
      </c>
      <c r="K269" s="278">
        <v>1.0</v>
      </c>
      <c r="L269" s="210">
        <v>3.8748103E9</v>
      </c>
      <c r="N269" s="274">
        <v>46000.0</v>
      </c>
      <c r="O269" s="275" t="s">
        <v>9011</v>
      </c>
      <c r="P269" s="276"/>
      <c r="Q269" s="275" t="s">
        <v>13389</v>
      </c>
      <c r="R269" s="359" t="s">
        <v>13390</v>
      </c>
      <c r="S269" s="361"/>
      <c r="T269" s="276"/>
      <c r="U269" s="276"/>
      <c r="V269" s="276"/>
      <c r="W269" s="276"/>
      <c r="X269" s="276"/>
      <c r="Y269" s="276"/>
      <c r="Z269" s="276"/>
      <c r="AA269" s="276"/>
      <c r="AB269" s="276"/>
      <c r="AC269" s="276"/>
    </row>
    <row r="270">
      <c r="A270" s="370" t="s">
        <v>11327</v>
      </c>
      <c r="B270" s="371">
        <v>46000.0</v>
      </c>
      <c r="C270" s="365">
        <v>8.05011561543E11</v>
      </c>
      <c r="D270" s="365" t="s">
        <v>11328</v>
      </c>
      <c r="E270" s="365" t="s">
        <v>11329</v>
      </c>
      <c r="F270" s="400" t="s">
        <v>11330</v>
      </c>
      <c r="G270" s="400" t="s">
        <v>983</v>
      </c>
      <c r="H270" s="400" t="s">
        <v>4086</v>
      </c>
      <c r="I270" s="365" t="s">
        <v>4793</v>
      </c>
      <c r="J270" s="366" t="s">
        <v>4794</v>
      </c>
      <c r="K270" s="259">
        <v>1.0</v>
      </c>
      <c r="L270" s="210">
        <v>3.8748103E9</v>
      </c>
      <c r="P270" s="276"/>
      <c r="S270" s="361"/>
      <c r="T270" s="276"/>
      <c r="U270" s="276"/>
      <c r="V270" s="276"/>
      <c r="W270" s="276"/>
      <c r="X270" s="276"/>
      <c r="Y270" s="276"/>
      <c r="Z270" s="276"/>
      <c r="AA270" s="276"/>
      <c r="AB270" s="276"/>
      <c r="AC270" s="276"/>
    </row>
    <row r="271">
      <c r="A271" s="370" t="s">
        <v>11331</v>
      </c>
      <c r="B271" s="371">
        <v>46000.0</v>
      </c>
      <c r="C271" s="365">
        <v>8.05011561681E11</v>
      </c>
      <c r="D271" s="365" t="s">
        <v>11332</v>
      </c>
      <c r="E271" s="365" t="s">
        <v>11333</v>
      </c>
      <c r="F271" s="400" t="s">
        <v>11334</v>
      </c>
      <c r="G271" s="400" t="s">
        <v>20</v>
      </c>
      <c r="H271" s="400">
        <v>4400.0</v>
      </c>
      <c r="I271" s="365" t="s">
        <v>3334</v>
      </c>
      <c r="J271" s="325" t="s">
        <v>3575</v>
      </c>
      <c r="K271" s="278">
        <v>1.0</v>
      </c>
      <c r="L271" s="210">
        <v>3.876840482E9</v>
      </c>
      <c r="N271" s="274">
        <v>46000.0</v>
      </c>
      <c r="O271" s="275" t="s">
        <v>9011</v>
      </c>
      <c r="P271" s="276"/>
      <c r="Q271" s="275" t="s">
        <v>13391</v>
      </c>
      <c r="R271" s="359" t="s">
        <v>13392</v>
      </c>
      <c r="S271" s="360"/>
      <c r="T271" s="276"/>
      <c r="U271" s="276"/>
      <c r="V271" s="276"/>
      <c r="W271" s="276"/>
      <c r="X271" s="276"/>
      <c r="Y271" s="276"/>
      <c r="Z271" s="276"/>
      <c r="AA271" s="276"/>
      <c r="AB271" s="276"/>
      <c r="AC271" s="276"/>
    </row>
    <row r="272">
      <c r="A272" s="370" t="s">
        <v>11331</v>
      </c>
      <c r="B272" s="371">
        <v>46000.0</v>
      </c>
      <c r="C272" s="365">
        <v>8.05011561681E11</v>
      </c>
      <c r="D272" s="365" t="s">
        <v>11332</v>
      </c>
      <c r="E272" s="365" t="s">
        <v>11333</v>
      </c>
      <c r="F272" s="400" t="s">
        <v>11334</v>
      </c>
      <c r="G272" s="400" t="s">
        <v>20</v>
      </c>
      <c r="H272" s="400">
        <v>4400.0</v>
      </c>
      <c r="I272" s="365" t="s">
        <v>512</v>
      </c>
      <c r="J272" s="366" t="s">
        <v>513</v>
      </c>
      <c r="K272" s="259">
        <v>12.0</v>
      </c>
      <c r="L272" s="210">
        <v>3.876840482E9</v>
      </c>
      <c r="P272" s="276"/>
      <c r="S272" s="360"/>
      <c r="T272" s="276"/>
      <c r="U272" s="276"/>
      <c r="V272" s="276"/>
      <c r="W272" s="276"/>
      <c r="X272" s="276"/>
      <c r="Y272" s="276"/>
      <c r="Z272" s="276"/>
      <c r="AA272" s="276"/>
      <c r="AB272" s="276"/>
      <c r="AC272" s="276"/>
    </row>
    <row r="273">
      <c r="A273" s="370" t="s">
        <v>11331</v>
      </c>
      <c r="B273" s="371">
        <v>46000.0</v>
      </c>
      <c r="C273" s="365">
        <v>8.05011561681E11</v>
      </c>
      <c r="D273" s="365" t="s">
        <v>11332</v>
      </c>
      <c r="E273" s="365" t="s">
        <v>11333</v>
      </c>
      <c r="F273" s="400" t="s">
        <v>11334</v>
      </c>
      <c r="G273" s="400" t="s">
        <v>20</v>
      </c>
      <c r="H273" s="400">
        <v>4400.0</v>
      </c>
      <c r="I273" s="365" t="s">
        <v>758</v>
      </c>
      <c r="J273" s="325" t="s">
        <v>3574</v>
      </c>
      <c r="K273" s="278">
        <v>2.0</v>
      </c>
      <c r="L273" s="210">
        <v>3.876840482E9</v>
      </c>
      <c r="P273" s="276"/>
      <c r="S273" s="361"/>
      <c r="T273" s="276"/>
      <c r="U273" s="276"/>
      <c r="V273" s="276"/>
      <c r="W273" s="276"/>
      <c r="X273" s="276"/>
      <c r="Y273" s="276"/>
      <c r="Z273" s="276"/>
      <c r="AA273" s="276"/>
      <c r="AB273" s="276"/>
      <c r="AC273" s="276"/>
    </row>
    <row r="274">
      <c r="A274" s="370" t="s">
        <v>11335</v>
      </c>
      <c r="B274" s="371">
        <v>46000.0</v>
      </c>
      <c r="C274" s="365">
        <v>8.05011562243E11</v>
      </c>
      <c r="D274" s="365" t="s">
        <v>11336</v>
      </c>
      <c r="E274" s="365" t="s">
        <v>11337</v>
      </c>
      <c r="F274" s="400" t="s">
        <v>11338</v>
      </c>
      <c r="G274" s="400" t="s">
        <v>20</v>
      </c>
      <c r="H274" s="400">
        <v>4400.0</v>
      </c>
      <c r="I274" s="365" t="s">
        <v>5034</v>
      </c>
      <c r="J274" s="325" t="s">
        <v>5035</v>
      </c>
      <c r="K274" s="278">
        <v>1.0</v>
      </c>
      <c r="L274" s="210">
        <v>3.875061307E9</v>
      </c>
      <c r="N274" s="274">
        <v>46000.0</v>
      </c>
      <c r="O274" s="275" t="s">
        <v>9011</v>
      </c>
      <c r="P274" s="276"/>
      <c r="Q274" s="275" t="s">
        <v>9012</v>
      </c>
      <c r="R274" s="359" t="s">
        <v>13393</v>
      </c>
      <c r="S274" s="360"/>
      <c r="T274" s="276"/>
      <c r="U274" s="276"/>
      <c r="V274" s="276"/>
      <c r="W274" s="276"/>
      <c r="X274" s="276"/>
      <c r="Y274" s="276"/>
      <c r="Z274" s="276"/>
      <c r="AA274" s="276"/>
      <c r="AB274" s="276"/>
      <c r="AC274" s="276"/>
    </row>
    <row r="275">
      <c r="A275" s="370" t="s">
        <v>11335</v>
      </c>
      <c r="B275" s="371">
        <v>46000.0</v>
      </c>
      <c r="C275" s="365">
        <v>8.05011562243E11</v>
      </c>
      <c r="D275" s="365" t="s">
        <v>11336</v>
      </c>
      <c r="E275" s="365" t="s">
        <v>11337</v>
      </c>
      <c r="F275" s="400" t="s">
        <v>11338</v>
      </c>
      <c r="G275" s="400" t="s">
        <v>20</v>
      </c>
      <c r="H275" s="400">
        <v>4400.0</v>
      </c>
      <c r="I275" s="365" t="s">
        <v>512</v>
      </c>
      <c r="J275" s="366" t="s">
        <v>513</v>
      </c>
      <c r="K275" s="259">
        <v>6.0</v>
      </c>
      <c r="L275" s="210">
        <v>3.875061307E9</v>
      </c>
      <c r="P275" s="276"/>
      <c r="S275" s="360"/>
      <c r="T275" s="276"/>
      <c r="U275" s="276"/>
      <c r="V275" s="276"/>
      <c r="W275" s="276"/>
      <c r="X275" s="276"/>
      <c r="Y275" s="276"/>
      <c r="Z275" s="276"/>
      <c r="AA275" s="276"/>
      <c r="AB275" s="276"/>
      <c r="AC275" s="276"/>
    </row>
    <row r="276">
      <c r="A276" s="370" t="s">
        <v>11335</v>
      </c>
      <c r="B276" s="371">
        <v>46000.0</v>
      </c>
      <c r="C276" s="365">
        <v>8.05011562243E11</v>
      </c>
      <c r="D276" s="365" t="s">
        <v>11336</v>
      </c>
      <c r="E276" s="365" t="s">
        <v>11337</v>
      </c>
      <c r="F276" s="400" t="s">
        <v>11338</v>
      </c>
      <c r="G276" s="400" t="s">
        <v>20</v>
      </c>
      <c r="H276" s="400">
        <v>4400.0</v>
      </c>
      <c r="I276" s="365" t="s">
        <v>670</v>
      </c>
      <c r="J276" s="325" t="s">
        <v>3410</v>
      </c>
      <c r="K276" s="278">
        <v>1.0</v>
      </c>
      <c r="L276" s="210">
        <v>3.875061307E9</v>
      </c>
      <c r="P276" s="276"/>
      <c r="S276" s="361"/>
      <c r="T276" s="276"/>
      <c r="U276" s="276"/>
      <c r="V276" s="276"/>
      <c r="W276" s="276"/>
      <c r="X276" s="276"/>
      <c r="Y276" s="276"/>
      <c r="Z276" s="276"/>
      <c r="AA276" s="276"/>
      <c r="AB276" s="276"/>
      <c r="AC276" s="276"/>
    </row>
    <row r="277">
      <c r="A277" s="370" t="s">
        <v>11339</v>
      </c>
      <c r="B277" s="371">
        <v>46000.0</v>
      </c>
      <c r="C277" s="365">
        <v>8.07000034115E11</v>
      </c>
      <c r="D277" s="365" t="s">
        <v>11340</v>
      </c>
      <c r="E277" s="365" t="s">
        <v>11341</v>
      </c>
      <c r="F277" s="370" t="s">
        <v>11342</v>
      </c>
      <c r="G277" s="370" t="s">
        <v>11343</v>
      </c>
      <c r="H277" s="370">
        <v>4400.0</v>
      </c>
      <c r="I277" s="365">
        <v>125810.0</v>
      </c>
      <c r="J277" s="325" t="s">
        <v>4672</v>
      </c>
      <c r="K277" s="278">
        <v>2.0</v>
      </c>
      <c r="L277" s="210">
        <v>3.87533334E9</v>
      </c>
      <c r="N277" s="274">
        <v>46001.0</v>
      </c>
      <c r="O277" s="275" t="s">
        <v>9011</v>
      </c>
      <c r="P277" s="276"/>
      <c r="Q277" s="275" t="s">
        <v>13394</v>
      </c>
      <c r="R277" s="359" t="s">
        <v>13395</v>
      </c>
      <c r="S277" s="361"/>
      <c r="T277" s="276"/>
      <c r="U277" s="276"/>
      <c r="V277" s="276"/>
      <c r="W277" s="276"/>
      <c r="X277" s="276"/>
      <c r="Y277" s="276"/>
      <c r="Z277" s="276"/>
      <c r="AA277" s="276"/>
      <c r="AB277" s="276"/>
      <c r="AC277" s="276"/>
    </row>
    <row r="278">
      <c r="A278" s="370" t="s">
        <v>11344</v>
      </c>
      <c r="B278" s="371">
        <v>46000.0</v>
      </c>
      <c r="C278" s="365">
        <v>8.07000034116E11</v>
      </c>
      <c r="D278" s="365" t="s">
        <v>11340</v>
      </c>
      <c r="E278" s="365" t="s">
        <v>11341</v>
      </c>
      <c r="F278" s="370" t="s">
        <v>11342</v>
      </c>
      <c r="G278" s="370" t="s">
        <v>11343</v>
      </c>
      <c r="H278" s="370">
        <v>4400.0</v>
      </c>
      <c r="I278" s="365" t="s">
        <v>5262</v>
      </c>
      <c r="J278" s="366" t="s">
        <v>5263</v>
      </c>
      <c r="K278" s="259">
        <v>1.0</v>
      </c>
      <c r="L278" s="210">
        <v>3.87533334E9</v>
      </c>
      <c r="P278" s="276"/>
      <c r="S278" s="361"/>
      <c r="T278" s="275"/>
      <c r="U278" s="276"/>
      <c r="V278" s="276"/>
      <c r="W278" s="276"/>
      <c r="X278" s="276"/>
      <c r="Y278" s="276"/>
      <c r="Z278" s="276"/>
      <c r="AA278" s="276"/>
      <c r="AB278" s="276"/>
      <c r="AC278" s="276"/>
    </row>
    <row r="279">
      <c r="A279" s="370" t="s">
        <v>11344</v>
      </c>
      <c r="B279" s="371">
        <v>46000.0</v>
      </c>
      <c r="C279" s="365">
        <v>8.07000034116E11</v>
      </c>
      <c r="D279" s="365" t="s">
        <v>11340</v>
      </c>
      <c r="E279" s="365" t="s">
        <v>11341</v>
      </c>
      <c r="F279" s="370" t="s">
        <v>11342</v>
      </c>
      <c r="G279" s="370" t="s">
        <v>11343</v>
      </c>
      <c r="H279" s="370">
        <v>4400.0</v>
      </c>
      <c r="I279" s="365" t="s">
        <v>1379</v>
      </c>
      <c r="J279" s="325" t="s">
        <v>7653</v>
      </c>
      <c r="K279" s="278">
        <v>1.0</v>
      </c>
      <c r="L279" s="210">
        <v>3.87533334E9</v>
      </c>
      <c r="P279" s="276"/>
      <c r="S279" s="361"/>
      <c r="T279" s="276"/>
      <c r="U279" s="276"/>
      <c r="V279" s="276"/>
      <c r="W279" s="276"/>
      <c r="X279" s="276"/>
      <c r="Y279" s="276"/>
      <c r="Z279" s="276"/>
      <c r="AA279" s="276"/>
      <c r="AB279" s="276"/>
      <c r="AC279" s="276"/>
    </row>
    <row r="280">
      <c r="A280" s="370" t="s">
        <v>11345</v>
      </c>
      <c r="B280" s="371">
        <v>46001.0</v>
      </c>
      <c r="C280" s="365">
        <v>8.05011562195E11</v>
      </c>
      <c r="D280" s="365" t="s">
        <v>11346</v>
      </c>
      <c r="E280" s="365" t="s">
        <v>11347</v>
      </c>
      <c r="F280" s="400" t="s">
        <v>11348</v>
      </c>
      <c r="G280" s="400" t="s">
        <v>624</v>
      </c>
      <c r="H280" s="400">
        <v>4403.0</v>
      </c>
      <c r="I280" s="365">
        <v>111.0</v>
      </c>
      <c r="J280" s="325" t="s">
        <v>11349</v>
      </c>
      <c r="K280" s="278">
        <v>1.0</v>
      </c>
      <c r="L280" s="210">
        <v>3.515990078E9</v>
      </c>
      <c r="N280" s="274">
        <v>46002.0</v>
      </c>
      <c r="O280" s="275" t="s">
        <v>9011</v>
      </c>
      <c r="P280" s="276"/>
      <c r="Q280" s="275" t="s">
        <v>9012</v>
      </c>
      <c r="R280" s="359" t="s">
        <v>13396</v>
      </c>
      <c r="S280" s="360"/>
      <c r="T280" s="276"/>
      <c r="U280" s="276"/>
      <c r="V280" s="276"/>
      <c r="W280" s="276"/>
      <c r="X280" s="276"/>
      <c r="Y280" s="276"/>
      <c r="Z280" s="276"/>
      <c r="AA280" s="276"/>
      <c r="AB280" s="276"/>
      <c r="AC280" s="276"/>
    </row>
    <row r="281">
      <c r="A281" s="370" t="s">
        <v>11345</v>
      </c>
      <c r="B281" s="371">
        <v>46001.0</v>
      </c>
      <c r="C281" s="365">
        <v>8.05011562195E11</v>
      </c>
      <c r="D281" s="365" t="s">
        <v>11346</v>
      </c>
      <c r="E281" s="365" t="s">
        <v>11347</v>
      </c>
      <c r="F281" s="400" t="s">
        <v>11348</v>
      </c>
      <c r="G281" s="400" t="s">
        <v>624</v>
      </c>
      <c r="H281" s="400">
        <v>4403.0</v>
      </c>
      <c r="I281" s="365">
        <v>125808.0</v>
      </c>
      <c r="J281" s="366" t="s">
        <v>7199</v>
      </c>
      <c r="K281" s="259">
        <v>2.0</v>
      </c>
      <c r="L281" s="210">
        <v>3.515990078E9</v>
      </c>
      <c r="P281" s="276"/>
      <c r="S281" s="361"/>
      <c r="T281" s="276"/>
      <c r="U281" s="276"/>
      <c r="V281" s="276"/>
      <c r="W281" s="276"/>
      <c r="X281" s="276"/>
      <c r="Y281" s="276"/>
      <c r="Z281" s="276"/>
      <c r="AA281" s="276"/>
      <c r="AB281" s="276"/>
      <c r="AC281" s="276"/>
    </row>
    <row r="282">
      <c r="A282" s="370" t="s">
        <v>11345</v>
      </c>
      <c r="B282" s="371">
        <v>46001.0</v>
      </c>
      <c r="C282" s="365">
        <v>8.05011562195E11</v>
      </c>
      <c r="D282" s="365" t="s">
        <v>11346</v>
      </c>
      <c r="E282" s="365" t="s">
        <v>11347</v>
      </c>
      <c r="F282" s="400" t="s">
        <v>11348</v>
      </c>
      <c r="G282" s="400" t="s">
        <v>624</v>
      </c>
      <c r="H282" s="400">
        <v>4403.0</v>
      </c>
      <c r="I282" s="365" t="s">
        <v>11280</v>
      </c>
      <c r="J282" s="325" t="s">
        <v>11281</v>
      </c>
      <c r="K282" s="278">
        <v>1.0</v>
      </c>
      <c r="L282" s="210">
        <v>3.515990078E9</v>
      </c>
      <c r="P282" s="276"/>
      <c r="S282" s="360"/>
      <c r="T282" s="276"/>
      <c r="U282" s="276"/>
      <c r="V282" s="276"/>
      <c r="W282" s="276"/>
      <c r="X282" s="276"/>
      <c r="Y282" s="276"/>
      <c r="Z282" s="276"/>
      <c r="AA282" s="276"/>
      <c r="AB282" s="276"/>
      <c r="AC282" s="276"/>
    </row>
    <row r="283">
      <c r="A283" s="370" t="s">
        <v>11345</v>
      </c>
      <c r="B283" s="371">
        <v>46001.0</v>
      </c>
      <c r="C283" s="365">
        <v>8.05011562195E11</v>
      </c>
      <c r="D283" s="365" t="s">
        <v>11346</v>
      </c>
      <c r="E283" s="365" t="s">
        <v>11347</v>
      </c>
      <c r="F283" s="400" t="s">
        <v>11348</v>
      </c>
      <c r="G283" s="400" t="s">
        <v>624</v>
      </c>
      <c r="H283" s="400">
        <v>4403.0</v>
      </c>
      <c r="I283" s="365" t="s">
        <v>512</v>
      </c>
      <c r="J283" s="366" t="s">
        <v>513</v>
      </c>
      <c r="K283" s="259">
        <v>6.0</v>
      </c>
      <c r="L283" s="210">
        <v>3.515990078E9</v>
      </c>
      <c r="P283" s="276"/>
      <c r="S283" s="360"/>
      <c r="T283" s="276"/>
      <c r="U283" s="276"/>
      <c r="V283" s="276"/>
      <c r="W283" s="276"/>
      <c r="X283" s="276"/>
      <c r="Y283" s="276"/>
      <c r="Z283" s="276"/>
      <c r="AA283" s="276"/>
      <c r="AB283" s="276"/>
      <c r="AC283" s="276"/>
    </row>
    <row r="284">
      <c r="A284" s="370" t="s">
        <v>11345</v>
      </c>
      <c r="B284" s="371">
        <v>46001.0</v>
      </c>
      <c r="C284" s="365">
        <v>8.05011562195E11</v>
      </c>
      <c r="D284" s="365" t="s">
        <v>11346</v>
      </c>
      <c r="E284" s="365" t="s">
        <v>11347</v>
      </c>
      <c r="F284" s="400" t="s">
        <v>11348</v>
      </c>
      <c r="G284" s="400" t="s">
        <v>624</v>
      </c>
      <c r="H284" s="400">
        <v>4403.0</v>
      </c>
      <c r="I284" s="365" t="s">
        <v>1345</v>
      </c>
      <c r="J284" s="325" t="s">
        <v>3639</v>
      </c>
      <c r="K284" s="278">
        <v>1.0</v>
      </c>
      <c r="L284" s="210">
        <v>3.515990078E9</v>
      </c>
      <c r="P284" s="276"/>
      <c r="S284" s="361"/>
      <c r="T284" s="276"/>
      <c r="U284" s="276"/>
      <c r="V284" s="276"/>
      <c r="W284" s="276"/>
      <c r="X284" s="276"/>
      <c r="Y284" s="276"/>
      <c r="Z284" s="276"/>
      <c r="AA284" s="276"/>
      <c r="AB284" s="276"/>
      <c r="AC284" s="276"/>
    </row>
    <row r="285">
      <c r="A285" s="370" t="s">
        <v>11350</v>
      </c>
      <c r="B285" s="371">
        <v>46001.0</v>
      </c>
      <c r="C285" s="365">
        <v>8.07000034079E11</v>
      </c>
      <c r="D285" s="365" t="s">
        <v>11351</v>
      </c>
      <c r="E285" s="365" t="s">
        <v>11352</v>
      </c>
      <c r="F285" s="400" t="s">
        <v>11353</v>
      </c>
      <c r="G285" s="400" t="s">
        <v>3262</v>
      </c>
      <c r="H285" s="400">
        <v>4400.0</v>
      </c>
      <c r="I285" s="365" t="s">
        <v>812</v>
      </c>
      <c r="J285" s="325" t="s">
        <v>3564</v>
      </c>
      <c r="K285" s="278">
        <v>1.0</v>
      </c>
      <c r="L285" s="210">
        <v>3.876001601E9</v>
      </c>
      <c r="N285" s="274">
        <v>46002.0</v>
      </c>
      <c r="O285" s="275" t="s">
        <v>9011</v>
      </c>
      <c r="P285" s="276"/>
      <c r="Q285" s="275" t="s">
        <v>13397</v>
      </c>
      <c r="R285" s="359" t="s">
        <v>13398</v>
      </c>
      <c r="S285" s="361"/>
      <c r="T285" s="276"/>
      <c r="U285" s="276"/>
      <c r="V285" s="276"/>
      <c r="W285" s="276"/>
      <c r="X285" s="276"/>
      <c r="Y285" s="276"/>
      <c r="Z285" s="276"/>
      <c r="AA285" s="276"/>
      <c r="AB285" s="276"/>
      <c r="AC285" s="276"/>
    </row>
    <row r="286">
      <c r="A286" s="107" t="s">
        <v>5312</v>
      </c>
      <c r="B286" s="358">
        <v>45993.0</v>
      </c>
      <c r="C286" s="107">
        <v>8.05011561364E11</v>
      </c>
      <c r="D286" s="107" t="s">
        <v>5313</v>
      </c>
      <c r="E286" s="107" t="s">
        <v>5314</v>
      </c>
      <c r="F286" s="107" t="s">
        <v>5315</v>
      </c>
      <c r="G286" s="107" t="s">
        <v>20</v>
      </c>
      <c r="H286" s="107">
        <v>4400.0</v>
      </c>
      <c r="I286" s="107"/>
      <c r="J286" s="107" t="s">
        <v>5035</v>
      </c>
      <c r="K286" s="108">
        <v>1.0</v>
      </c>
      <c r="L286" s="107">
        <f t="shared" ref="L286:L288" si="2">+543874874343</f>
        <v>543874874343</v>
      </c>
      <c r="M286" s="387"/>
      <c r="N286" s="392">
        <v>46002.0</v>
      </c>
      <c r="O286" s="349" t="s">
        <v>9011</v>
      </c>
      <c r="P286" s="389"/>
      <c r="Q286" s="349" t="s">
        <v>13399</v>
      </c>
      <c r="R286" s="390" t="s">
        <v>13400</v>
      </c>
      <c r="S286" s="391"/>
      <c r="T286" s="389"/>
      <c r="U286" s="389"/>
      <c r="V286" s="276"/>
      <c r="W286" s="276"/>
      <c r="X286" s="276"/>
      <c r="Y286" s="276"/>
      <c r="Z286" s="276"/>
      <c r="AA286" s="276"/>
      <c r="AB286" s="276"/>
      <c r="AC286" s="276"/>
    </row>
    <row r="287">
      <c r="A287" s="107" t="s">
        <v>5312</v>
      </c>
      <c r="B287" s="358">
        <v>45993.0</v>
      </c>
      <c r="C287" s="107">
        <v>8.05011561364E11</v>
      </c>
      <c r="D287" s="107" t="s">
        <v>5313</v>
      </c>
      <c r="E287" s="107" t="s">
        <v>5314</v>
      </c>
      <c r="F287" s="107" t="s">
        <v>5315</v>
      </c>
      <c r="G287" s="107" t="s">
        <v>20</v>
      </c>
      <c r="H287" s="107">
        <v>4400.0</v>
      </c>
      <c r="I287" s="107"/>
      <c r="J287" s="107" t="s">
        <v>513</v>
      </c>
      <c r="K287" s="108">
        <v>6.0</v>
      </c>
      <c r="L287" s="107">
        <f t="shared" si="2"/>
        <v>543874874343</v>
      </c>
      <c r="M287" s="387"/>
      <c r="P287" s="389"/>
      <c r="S287" s="391"/>
      <c r="T287" s="389"/>
      <c r="U287" s="389"/>
      <c r="V287" s="276"/>
      <c r="W287" s="276"/>
      <c r="X287" s="276"/>
      <c r="Y287" s="276"/>
      <c r="Z287" s="276"/>
      <c r="AA287" s="276"/>
      <c r="AB287" s="276"/>
      <c r="AC287" s="276"/>
    </row>
    <row r="288">
      <c r="A288" s="107" t="s">
        <v>5312</v>
      </c>
      <c r="B288" s="358">
        <v>45993.0</v>
      </c>
      <c r="C288" s="107">
        <v>8.05011561364E11</v>
      </c>
      <c r="D288" s="107" t="s">
        <v>5313</v>
      </c>
      <c r="E288" s="107" t="s">
        <v>5314</v>
      </c>
      <c r="F288" s="107" t="s">
        <v>5315</v>
      </c>
      <c r="G288" s="107" t="s">
        <v>20</v>
      </c>
      <c r="H288" s="107">
        <v>4400.0</v>
      </c>
      <c r="I288" s="107"/>
      <c r="J288" s="107" t="s">
        <v>3410</v>
      </c>
      <c r="K288" s="108">
        <v>1.0</v>
      </c>
      <c r="L288" s="107">
        <f t="shared" si="2"/>
        <v>543874874343</v>
      </c>
      <c r="M288" s="387"/>
      <c r="P288" s="389"/>
      <c r="S288" s="393"/>
      <c r="T288" s="389"/>
      <c r="U288" s="389"/>
      <c r="V288" s="276"/>
      <c r="W288" s="276"/>
      <c r="X288" s="276"/>
      <c r="Y288" s="276"/>
      <c r="Z288" s="276"/>
      <c r="AA288" s="276"/>
      <c r="AB288" s="276"/>
      <c r="AC288" s="276"/>
    </row>
    <row r="289">
      <c r="A289" s="107" t="s">
        <v>5316</v>
      </c>
      <c r="B289" s="358">
        <v>45993.0</v>
      </c>
      <c r="C289" s="107">
        <v>8.07025034003E11</v>
      </c>
      <c r="D289" s="107" t="s">
        <v>5317</v>
      </c>
      <c r="E289" s="107" t="s">
        <v>5318</v>
      </c>
      <c r="F289" s="107" t="s">
        <v>5319</v>
      </c>
      <c r="G289" s="107" t="s">
        <v>127</v>
      </c>
      <c r="H289" s="107">
        <v>4400.0</v>
      </c>
      <c r="I289" s="107"/>
      <c r="J289" s="107" t="s">
        <v>3225</v>
      </c>
      <c r="K289" s="108">
        <v>2.0</v>
      </c>
      <c r="L289" s="107">
        <v>3.876136125E9</v>
      </c>
      <c r="M289" s="387"/>
      <c r="N289" s="392">
        <v>45995.0</v>
      </c>
      <c r="O289" s="349" t="s">
        <v>9011</v>
      </c>
      <c r="P289" s="389"/>
      <c r="Q289" s="349" t="s">
        <v>9012</v>
      </c>
      <c r="R289" s="390" t="s">
        <v>13401</v>
      </c>
      <c r="S289" s="393"/>
      <c r="T289" s="389"/>
      <c r="U289" s="389"/>
      <c r="V289" s="276"/>
      <c r="W289" s="276"/>
      <c r="X289" s="276"/>
      <c r="Y289" s="276"/>
      <c r="Z289" s="276"/>
      <c r="AA289" s="276"/>
      <c r="AB289" s="276"/>
      <c r="AC289" s="276"/>
    </row>
    <row r="290">
      <c r="A290" s="107" t="s">
        <v>5321</v>
      </c>
      <c r="B290" s="358">
        <v>45993.0</v>
      </c>
      <c r="C290" s="107">
        <v>8.07025034001E11</v>
      </c>
      <c r="D290" s="107" t="s">
        <v>5322</v>
      </c>
      <c r="E290" s="107" t="s">
        <v>5323</v>
      </c>
      <c r="F290" s="107" t="s">
        <v>5324</v>
      </c>
      <c r="G290" s="107" t="s">
        <v>20</v>
      </c>
      <c r="H290" s="107" t="s">
        <v>4086</v>
      </c>
      <c r="I290" s="107"/>
      <c r="J290" s="107" t="s">
        <v>3761</v>
      </c>
      <c r="K290" s="108">
        <v>1.0</v>
      </c>
      <c r="L290" s="107">
        <v>3.875164586E9</v>
      </c>
      <c r="M290" s="387"/>
      <c r="N290" s="392">
        <v>45995.0</v>
      </c>
      <c r="O290" s="349" t="s">
        <v>9011</v>
      </c>
      <c r="P290" s="389"/>
      <c r="Q290" s="349" t="s">
        <v>13402</v>
      </c>
      <c r="R290" s="390" t="s">
        <v>13403</v>
      </c>
      <c r="S290" s="391"/>
      <c r="T290" s="389"/>
      <c r="U290" s="389"/>
      <c r="V290" s="276"/>
      <c r="W290" s="276"/>
      <c r="X290" s="276"/>
      <c r="Y290" s="276"/>
      <c r="Z290" s="276"/>
      <c r="AA290" s="276"/>
      <c r="AB290" s="276"/>
      <c r="AC290" s="276"/>
    </row>
    <row r="291">
      <c r="A291" s="107" t="s">
        <v>5321</v>
      </c>
      <c r="B291" s="358">
        <v>45993.0</v>
      </c>
      <c r="C291" s="107">
        <v>8.07025034001E11</v>
      </c>
      <c r="D291" s="107" t="s">
        <v>5322</v>
      </c>
      <c r="E291" s="107" t="s">
        <v>5323</v>
      </c>
      <c r="F291" s="107" t="s">
        <v>5324</v>
      </c>
      <c r="G291" s="107" t="s">
        <v>20</v>
      </c>
      <c r="H291" s="107" t="s">
        <v>4086</v>
      </c>
      <c r="I291" s="107"/>
      <c r="J291" s="107" t="s">
        <v>513</v>
      </c>
      <c r="K291" s="108">
        <v>12.0</v>
      </c>
      <c r="L291" s="107">
        <v>3.875164586E9</v>
      </c>
      <c r="M291" s="387"/>
      <c r="P291" s="389"/>
      <c r="S291" s="391"/>
      <c r="T291" s="389"/>
      <c r="U291" s="389"/>
      <c r="V291" s="276"/>
      <c r="W291" s="276"/>
      <c r="X291" s="276"/>
      <c r="Y291" s="276"/>
      <c r="Z291" s="276"/>
      <c r="AA291" s="276"/>
      <c r="AB291" s="276"/>
      <c r="AC291" s="276"/>
    </row>
    <row r="292">
      <c r="A292" s="107" t="s">
        <v>5321</v>
      </c>
      <c r="B292" s="358">
        <v>45993.0</v>
      </c>
      <c r="C292" s="107">
        <v>8.07025034001E11</v>
      </c>
      <c r="D292" s="107" t="s">
        <v>5322</v>
      </c>
      <c r="E292" s="107" t="s">
        <v>5323</v>
      </c>
      <c r="F292" s="107" t="s">
        <v>5324</v>
      </c>
      <c r="G292" s="107" t="s">
        <v>20</v>
      </c>
      <c r="H292" s="107" t="s">
        <v>4086</v>
      </c>
      <c r="I292" s="107"/>
      <c r="J292" s="107" t="s">
        <v>3574</v>
      </c>
      <c r="K292" s="108">
        <v>2.0</v>
      </c>
      <c r="L292" s="107">
        <v>3.875164586E9</v>
      </c>
      <c r="M292" s="387"/>
      <c r="P292" s="389"/>
      <c r="S292" s="393"/>
      <c r="T292" s="389"/>
      <c r="U292" s="389"/>
      <c r="V292" s="276"/>
      <c r="W292" s="276"/>
      <c r="X292" s="276"/>
      <c r="Y292" s="276"/>
      <c r="Z292" s="276"/>
      <c r="AA292" s="276"/>
      <c r="AB292" s="276"/>
      <c r="AC292" s="276"/>
    </row>
    <row r="293">
      <c r="A293" s="107" t="s">
        <v>5326</v>
      </c>
      <c r="B293" s="358">
        <v>45993.0</v>
      </c>
      <c r="C293" s="107">
        <v>8.05011561404E11</v>
      </c>
      <c r="D293" s="107" t="s">
        <v>5327</v>
      </c>
      <c r="E293" s="107" t="s">
        <v>5328</v>
      </c>
      <c r="F293" s="107" t="s">
        <v>5329</v>
      </c>
      <c r="G293" s="107" t="s">
        <v>20</v>
      </c>
      <c r="H293" s="107">
        <v>4427.0</v>
      </c>
      <c r="I293" s="107"/>
      <c r="J293" s="107" t="s">
        <v>4485</v>
      </c>
      <c r="K293" s="108">
        <v>1.0</v>
      </c>
      <c r="L293" s="107">
        <v>3.873236211E9</v>
      </c>
      <c r="M293" s="402" t="s">
        <v>48</v>
      </c>
      <c r="N293" s="388">
        <v>46010.0</v>
      </c>
      <c r="O293" s="349" t="s">
        <v>13338</v>
      </c>
      <c r="P293" s="389"/>
      <c r="Q293" s="349" t="s">
        <v>13339</v>
      </c>
      <c r="R293" s="390" t="s">
        <v>13404</v>
      </c>
      <c r="S293" s="391"/>
      <c r="T293" s="389"/>
      <c r="U293" s="389"/>
      <c r="V293" s="276"/>
      <c r="W293" s="276"/>
      <c r="X293" s="276"/>
      <c r="Y293" s="276"/>
      <c r="Z293" s="276"/>
      <c r="AA293" s="276"/>
      <c r="AB293" s="276"/>
      <c r="AC293" s="276"/>
    </row>
    <row r="294">
      <c r="A294" s="107" t="s">
        <v>5326</v>
      </c>
      <c r="B294" s="358">
        <v>45993.0</v>
      </c>
      <c r="C294" s="107">
        <v>8.05011561404E11</v>
      </c>
      <c r="D294" s="107" t="s">
        <v>5327</v>
      </c>
      <c r="E294" s="107" t="s">
        <v>5328</v>
      </c>
      <c r="F294" s="107" t="s">
        <v>5329</v>
      </c>
      <c r="G294" s="107" t="s">
        <v>20</v>
      </c>
      <c r="H294" s="107">
        <v>4427.0</v>
      </c>
      <c r="I294" s="107"/>
      <c r="J294" s="107" t="s">
        <v>513</v>
      </c>
      <c r="K294" s="108">
        <v>6.0</v>
      </c>
      <c r="L294" s="107">
        <v>3.873236211E9</v>
      </c>
      <c r="M294" s="209"/>
      <c r="P294" s="389"/>
      <c r="S294" s="391"/>
      <c r="T294" s="389"/>
      <c r="U294" s="389"/>
      <c r="V294" s="276"/>
      <c r="W294" s="276"/>
      <c r="X294" s="276"/>
      <c r="Y294" s="276"/>
      <c r="Z294" s="276"/>
      <c r="AA294" s="276"/>
      <c r="AB294" s="276"/>
      <c r="AC294" s="276"/>
    </row>
    <row r="295">
      <c r="A295" s="107" t="s">
        <v>5326</v>
      </c>
      <c r="B295" s="358">
        <v>45993.0</v>
      </c>
      <c r="C295" s="107">
        <v>8.05011561404E11</v>
      </c>
      <c r="D295" s="107" t="s">
        <v>5327</v>
      </c>
      <c r="E295" s="107" t="s">
        <v>5328</v>
      </c>
      <c r="F295" s="107" t="s">
        <v>5329</v>
      </c>
      <c r="G295" s="107" t="s">
        <v>20</v>
      </c>
      <c r="H295" s="107">
        <v>4427.0</v>
      </c>
      <c r="I295" s="107"/>
      <c r="J295" s="107" t="s">
        <v>3594</v>
      </c>
      <c r="K295" s="108">
        <v>1.0</v>
      </c>
      <c r="L295" s="107">
        <v>3.873236211E9</v>
      </c>
      <c r="M295" s="206"/>
      <c r="P295" s="389"/>
      <c r="S295" s="393"/>
      <c r="T295" s="349"/>
      <c r="U295" s="389"/>
      <c r="V295" s="276"/>
      <c r="W295" s="276"/>
      <c r="X295" s="276"/>
      <c r="Y295" s="276"/>
      <c r="Z295" s="276"/>
      <c r="AA295" s="276"/>
      <c r="AB295" s="276"/>
      <c r="AC295" s="276"/>
    </row>
    <row r="296">
      <c r="A296" s="107" t="s">
        <v>5331</v>
      </c>
      <c r="B296" s="358">
        <v>45993.0</v>
      </c>
      <c r="C296" s="107">
        <v>8.05011561401E11</v>
      </c>
      <c r="D296" s="107" t="s">
        <v>5332</v>
      </c>
      <c r="E296" s="107" t="s">
        <v>5333</v>
      </c>
      <c r="F296" s="107" t="s">
        <v>5334</v>
      </c>
      <c r="G296" s="107" t="s">
        <v>20</v>
      </c>
      <c r="H296" s="107">
        <v>4400.0</v>
      </c>
      <c r="I296" s="107"/>
      <c r="J296" s="107" t="s">
        <v>5035</v>
      </c>
      <c r="K296" s="108">
        <v>1.0</v>
      </c>
      <c r="L296" s="107">
        <v>3.874839735E9</v>
      </c>
      <c r="M296" s="387"/>
      <c r="N296" s="392">
        <v>46002.0</v>
      </c>
      <c r="O296" s="349" t="s">
        <v>9011</v>
      </c>
      <c r="P296" s="389"/>
      <c r="Q296" s="349" t="s">
        <v>9012</v>
      </c>
      <c r="R296" s="390" t="s">
        <v>13405</v>
      </c>
      <c r="S296" s="391"/>
      <c r="T296" s="389"/>
      <c r="U296" s="389"/>
      <c r="V296" s="276"/>
      <c r="W296" s="276"/>
      <c r="X296" s="276"/>
      <c r="Y296" s="276"/>
      <c r="Z296" s="276"/>
      <c r="AA296" s="276"/>
      <c r="AB296" s="276"/>
      <c r="AC296" s="276"/>
    </row>
    <row r="297">
      <c r="A297" s="107" t="s">
        <v>5331</v>
      </c>
      <c r="B297" s="358">
        <v>45993.0</v>
      </c>
      <c r="C297" s="107">
        <v>8.05011561401E11</v>
      </c>
      <c r="D297" s="107" t="s">
        <v>5332</v>
      </c>
      <c r="E297" s="107" t="s">
        <v>5333</v>
      </c>
      <c r="F297" s="107" t="s">
        <v>5334</v>
      </c>
      <c r="G297" s="107" t="s">
        <v>20</v>
      </c>
      <c r="H297" s="107">
        <v>4400.0</v>
      </c>
      <c r="I297" s="107"/>
      <c r="J297" s="107" t="s">
        <v>513</v>
      </c>
      <c r="K297" s="108">
        <v>6.0</v>
      </c>
      <c r="L297" s="107">
        <v>3.874839735E9</v>
      </c>
      <c r="M297" s="387"/>
      <c r="P297" s="389"/>
      <c r="S297" s="391"/>
      <c r="T297" s="389"/>
      <c r="U297" s="389"/>
      <c r="V297" s="276"/>
      <c r="W297" s="276"/>
      <c r="X297" s="276"/>
      <c r="Y297" s="276"/>
      <c r="Z297" s="276"/>
      <c r="AA297" s="276"/>
      <c r="AB297" s="276"/>
      <c r="AC297" s="276"/>
    </row>
    <row r="298">
      <c r="A298" s="107" t="s">
        <v>5331</v>
      </c>
      <c r="B298" s="358">
        <v>45993.0</v>
      </c>
      <c r="C298" s="107">
        <v>8.05011561401E11</v>
      </c>
      <c r="D298" s="107" t="s">
        <v>5332</v>
      </c>
      <c r="E298" s="107" t="s">
        <v>5333</v>
      </c>
      <c r="F298" s="107" t="s">
        <v>5334</v>
      </c>
      <c r="G298" s="107" t="s">
        <v>20</v>
      </c>
      <c r="H298" s="107">
        <v>4400.0</v>
      </c>
      <c r="I298" s="107"/>
      <c r="J298" s="107" t="s">
        <v>3410</v>
      </c>
      <c r="K298" s="108">
        <v>1.0</v>
      </c>
      <c r="L298" s="107">
        <v>3.874839735E9</v>
      </c>
      <c r="M298" s="387"/>
      <c r="P298" s="389"/>
      <c r="S298" s="393"/>
      <c r="T298" s="389"/>
      <c r="U298" s="389"/>
      <c r="V298" s="276"/>
      <c r="W298" s="276"/>
      <c r="X298" s="276"/>
      <c r="Y298" s="276"/>
      <c r="Z298" s="276"/>
      <c r="AA298" s="276"/>
      <c r="AB298" s="276"/>
      <c r="AC298" s="276"/>
    </row>
    <row r="299">
      <c r="A299" s="107" t="s">
        <v>5335</v>
      </c>
      <c r="B299" s="358">
        <v>45993.0</v>
      </c>
      <c r="C299" s="107">
        <v>8.05011561498E11</v>
      </c>
      <c r="D299" s="107" t="s">
        <v>5336</v>
      </c>
      <c r="E299" s="107" t="s">
        <v>5337</v>
      </c>
      <c r="F299" s="107" t="s">
        <v>5338</v>
      </c>
      <c r="G299" s="107" t="s">
        <v>58</v>
      </c>
      <c r="H299" s="107">
        <v>4412.0</v>
      </c>
      <c r="I299" s="107"/>
      <c r="J299" s="107" t="s">
        <v>51</v>
      </c>
      <c r="K299" s="108">
        <v>1.0</v>
      </c>
      <c r="L299" s="107">
        <v>3.87362608E8</v>
      </c>
      <c r="M299" s="387"/>
      <c r="N299" s="392">
        <v>46002.0</v>
      </c>
      <c r="O299" s="349" t="s">
        <v>9011</v>
      </c>
      <c r="P299" s="389"/>
      <c r="Q299" s="349" t="s">
        <v>13406</v>
      </c>
      <c r="R299" s="390" t="s">
        <v>13407</v>
      </c>
      <c r="S299" s="391"/>
      <c r="T299" s="389"/>
      <c r="U299" s="389"/>
      <c r="V299" s="276"/>
      <c r="W299" s="276"/>
      <c r="X299" s="276"/>
      <c r="Y299" s="276"/>
      <c r="Z299" s="276"/>
      <c r="AA299" s="276"/>
      <c r="AB299" s="276"/>
      <c r="AC299" s="276"/>
    </row>
    <row r="300">
      <c r="A300" s="107" t="s">
        <v>5335</v>
      </c>
      <c r="B300" s="358">
        <v>45993.0</v>
      </c>
      <c r="C300" s="107">
        <v>8.05011561498E11</v>
      </c>
      <c r="D300" s="107" t="s">
        <v>5336</v>
      </c>
      <c r="E300" s="107" t="s">
        <v>5337</v>
      </c>
      <c r="F300" s="107" t="s">
        <v>5338</v>
      </c>
      <c r="G300" s="107" t="s">
        <v>58</v>
      </c>
      <c r="H300" s="107">
        <v>4412.0</v>
      </c>
      <c r="I300" s="107"/>
      <c r="J300" s="107" t="s">
        <v>513</v>
      </c>
      <c r="K300" s="108">
        <v>6.0</v>
      </c>
      <c r="L300" s="107">
        <v>3.87362608E8</v>
      </c>
      <c r="M300" s="387"/>
      <c r="P300" s="389"/>
      <c r="S300" s="391"/>
      <c r="T300" s="389"/>
      <c r="U300" s="389"/>
      <c r="V300" s="276"/>
      <c r="W300" s="276"/>
      <c r="X300" s="276"/>
      <c r="Y300" s="276"/>
      <c r="Z300" s="276"/>
      <c r="AA300" s="276"/>
      <c r="AB300" s="276"/>
      <c r="AC300" s="276"/>
    </row>
    <row r="301">
      <c r="A301" s="107" t="s">
        <v>5335</v>
      </c>
      <c r="B301" s="358">
        <v>45993.0</v>
      </c>
      <c r="C301" s="107">
        <v>8.05011561498E11</v>
      </c>
      <c r="D301" s="107" t="s">
        <v>5336</v>
      </c>
      <c r="E301" s="107" t="s">
        <v>5337</v>
      </c>
      <c r="F301" s="107" t="s">
        <v>5338</v>
      </c>
      <c r="G301" s="107" t="s">
        <v>58</v>
      </c>
      <c r="H301" s="107">
        <v>4412.0</v>
      </c>
      <c r="I301" s="107"/>
      <c r="J301" s="107" t="s">
        <v>3401</v>
      </c>
      <c r="K301" s="108">
        <v>1.0</v>
      </c>
      <c r="L301" s="107">
        <v>3.87362608E8</v>
      </c>
      <c r="M301" s="387"/>
      <c r="P301" s="389"/>
      <c r="S301" s="393"/>
      <c r="T301" s="389"/>
      <c r="U301" s="389"/>
      <c r="V301" s="276"/>
      <c r="W301" s="276"/>
      <c r="X301" s="276"/>
      <c r="Y301" s="276"/>
      <c r="Z301" s="276"/>
      <c r="AA301" s="276"/>
      <c r="AB301" s="276"/>
      <c r="AC301" s="276"/>
    </row>
    <row r="302">
      <c r="A302" s="107" t="s">
        <v>5339</v>
      </c>
      <c r="B302" s="358">
        <v>45993.0</v>
      </c>
      <c r="C302" s="107">
        <v>8.07025034018E11</v>
      </c>
      <c r="D302" s="107" t="s">
        <v>5340</v>
      </c>
      <c r="E302" s="107" t="s">
        <v>5341</v>
      </c>
      <c r="F302" s="107" t="s">
        <v>5342</v>
      </c>
      <c r="G302" s="107" t="s">
        <v>127</v>
      </c>
      <c r="H302" s="107">
        <v>4400.0</v>
      </c>
      <c r="I302" s="107"/>
      <c r="J302" s="107" t="s">
        <v>3600</v>
      </c>
      <c r="K302" s="108">
        <v>1.0</v>
      </c>
      <c r="L302" s="107">
        <v>1.56846359E8</v>
      </c>
      <c r="M302" s="387"/>
      <c r="N302" s="392">
        <v>46000.0</v>
      </c>
      <c r="O302" s="349" t="s">
        <v>9011</v>
      </c>
      <c r="P302" s="389"/>
      <c r="Q302" s="349" t="s">
        <v>9012</v>
      </c>
      <c r="R302" s="390" t="s">
        <v>13408</v>
      </c>
      <c r="S302" s="391"/>
      <c r="T302" s="389"/>
      <c r="U302" s="389"/>
      <c r="V302" s="276"/>
      <c r="W302" s="276"/>
      <c r="X302" s="276"/>
      <c r="Y302" s="276"/>
      <c r="Z302" s="276"/>
      <c r="AA302" s="276"/>
      <c r="AB302" s="276"/>
      <c r="AC302" s="276"/>
    </row>
    <row r="303">
      <c r="A303" s="107" t="s">
        <v>5339</v>
      </c>
      <c r="B303" s="358">
        <v>45993.0</v>
      </c>
      <c r="C303" s="107">
        <v>8.07025034018E11</v>
      </c>
      <c r="D303" s="107" t="s">
        <v>5340</v>
      </c>
      <c r="E303" s="107" t="s">
        <v>5341</v>
      </c>
      <c r="F303" s="107" t="s">
        <v>5342</v>
      </c>
      <c r="G303" s="107" t="s">
        <v>127</v>
      </c>
      <c r="H303" s="107">
        <v>4400.0</v>
      </c>
      <c r="I303" s="107"/>
      <c r="J303" s="107" t="s">
        <v>513</v>
      </c>
      <c r="K303" s="108">
        <v>6.0</v>
      </c>
      <c r="L303" s="107">
        <v>1.56846359E8</v>
      </c>
      <c r="M303" s="387"/>
      <c r="P303" s="389"/>
      <c r="S303" s="391"/>
      <c r="T303" s="389"/>
      <c r="U303" s="389"/>
      <c r="V303" s="276"/>
      <c r="W303" s="276"/>
      <c r="X303" s="276"/>
      <c r="Y303" s="276"/>
      <c r="Z303" s="276"/>
      <c r="AA303" s="276"/>
      <c r="AB303" s="276"/>
      <c r="AC303" s="276"/>
    </row>
    <row r="304">
      <c r="A304" s="107" t="s">
        <v>5339</v>
      </c>
      <c r="B304" s="358">
        <v>45993.0</v>
      </c>
      <c r="C304" s="107">
        <v>8.07025034018E11</v>
      </c>
      <c r="D304" s="107" t="s">
        <v>5340</v>
      </c>
      <c r="E304" s="107" t="s">
        <v>5341</v>
      </c>
      <c r="F304" s="107" t="s">
        <v>5342</v>
      </c>
      <c r="G304" s="107" t="s">
        <v>127</v>
      </c>
      <c r="H304" s="107">
        <v>4400.0</v>
      </c>
      <c r="I304" s="107"/>
      <c r="J304" s="107" t="s">
        <v>3188</v>
      </c>
      <c r="K304" s="108">
        <v>1.0</v>
      </c>
      <c r="L304" s="107">
        <v>1.56846359E8</v>
      </c>
      <c r="M304" s="387"/>
      <c r="P304" s="389"/>
      <c r="S304" s="393"/>
      <c r="T304" s="389"/>
      <c r="U304" s="389"/>
      <c r="V304" s="276"/>
      <c r="W304" s="276"/>
      <c r="X304" s="276"/>
      <c r="Y304" s="276"/>
      <c r="Z304" s="276"/>
      <c r="AA304" s="276"/>
      <c r="AB304" s="276"/>
      <c r="AC304" s="276"/>
    </row>
    <row r="305">
      <c r="A305" s="107" t="s">
        <v>5343</v>
      </c>
      <c r="B305" s="358">
        <v>45993.0</v>
      </c>
      <c r="C305" s="107">
        <v>8.05011561872E11</v>
      </c>
      <c r="D305" s="107" t="s">
        <v>5344</v>
      </c>
      <c r="E305" s="107" t="s">
        <v>5345</v>
      </c>
      <c r="F305" s="107" t="s">
        <v>5346</v>
      </c>
      <c r="G305" s="107" t="s">
        <v>20</v>
      </c>
      <c r="H305" s="107">
        <v>4401.0</v>
      </c>
      <c r="I305" s="107"/>
      <c r="J305" s="107" t="s">
        <v>5347</v>
      </c>
      <c r="K305" s="108">
        <v>1.0</v>
      </c>
      <c r="L305" s="107" t="str">
        <f>+54 3875354219</f>
        <v>#ERROR!</v>
      </c>
      <c r="M305" s="387"/>
      <c r="N305" s="392">
        <v>46002.0</v>
      </c>
      <c r="O305" s="349" t="s">
        <v>9011</v>
      </c>
      <c r="P305" s="389"/>
      <c r="Q305" s="349" t="s">
        <v>9012</v>
      </c>
      <c r="R305" s="390" t="s">
        <v>13409</v>
      </c>
      <c r="S305" s="391"/>
      <c r="T305" s="389"/>
      <c r="U305" s="389"/>
      <c r="V305" s="276"/>
      <c r="W305" s="276"/>
      <c r="X305" s="276"/>
      <c r="Y305" s="276"/>
      <c r="Z305" s="276"/>
      <c r="AA305" s="276"/>
      <c r="AB305" s="276"/>
      <c r="AC305" s="276"/>
    </row>
    <row r="306">
      <c r="A306" s="107" t="s">
        <v>5343</v>
      </c>
      <c r="B306" s="358">
        <v>45993.0</v>
      </c>
      <c r="C306" s="107">
        <v>8.05011561872E11</v>
      </c>
      <c r="D306" s="107" t="s">
        <v>5344</v>
      </c>
      <c r="E306" s="107" t="s">
        <v>5345</v>
      </c>
      <c r="F306" s="107" t="s">
        <v>5346</v>
      </c>
      <c r="G306" s="107" t="s">
        <v>20</v>
      </c>
      <c r="H306" s="107">
        <v>4401.0</v>
      </c>
      <c r="I306" s="107"/>
      <c r="J306" s="107" t="s">
        <v>513</v>
      </c>
      <c r="K306" s="108">
        <v>6.0</v>
      </c>
      <c r="L306" s="107" t="str">
        <f>+54 3875354219</f>
        <v>#ERROR!</v>
      </c>
      <c r="M306" s="387"/>
      <c r="P306" s="389"/>
      <c r="S306" s="391"/>
      <c r="T306" s="389"/>
      <c r="U306" s="389"/>
      <c r="V306" s="276"/>
      <c r="W306" s="276"/>
      <c r="X306" s="276"/>
      <c r="Y306" s="276"/>
      <c r="Z306" s="276"/>
      <c r="AA306" s="276"/>
      <c r="AB306" s="276"/>
      <c r="AC306" s="276"/>
    </row>
    <row r="307">
      <c r="A307" s="107" t="s">
        <v>5343</v>
      </c>
      <c r="B307" s="358">
        <v>45993.0</v>
      </c>
      <c r="C307" s="107">
        <v>8.05011561872E11</v>
      </c>
      <c r="D307" s="107" t="s">
        <v>5344</v>
      </c>
      <c r="E307" s="107" t="s">
        <v>5345</v>
      </c>
      <c r="F307" s="107" t="s">
        <v>5346</v>
      </c>
      <c r="G307" s="107" t="s">
        <v>20</v>
      </c>
      <c r="H307" s="107">
        <v>4401.0</v>
      </c>
      <c r="I307" s="107"/>
      <c r="J307" s="107" t="s">
        <v>3240</v>
      </c>
      <c r="K307" s="108">
        <v>1.0</v>
      </c>
      <c r="L307" s="107" t="str">
        <f>+54 3875354219</f>
        <v>#ERROR!</v>
      </c>
      <c r="M307" s="387"/>
      <c r="P307" s="389"/>
      <c r="S307" s="393"/>
      <c r="T307" s="349"/>
      <c r="U307" s="389"/>
      <c r="V307" s="276"/>
      <c r="W307" s="276"/>
      <c r="X307" s="276"/>
      <c r="Y307" s="276"/>
      <c r="Z307" s="276"/>
      <c r="AA307" s="276"/>
      <c r="AB307" s="276"/>
      <c r="AC307" s="276"/>
    </row>
    <row r="308">
      <c r="A308" s="107" t="s">
        <v>5348</v>
      </c>
      <c r="B308" s="358">
        <v>45993.0</v>
      </c>
      <c r="C308" s="107">
        <v>8.05011561843E11</v>
      </c>
      <c r="D308" s="107" t="s">
        <v>5349</v>
      </c>
      <c r="E308" s="107" t="s">
        <v>5350</v>
      </c>
      <c r="F308" s="107" t="s">
        <v>5351</v>
      </c>
      <c r="G308" s="107" t="s">
        <v>58</v>
      </c>
      <c r="H308" s="107">
        <v>4400.0</v>
      </c>
      <c r="I308" s="107"/>
      <c r="J308" s="107" t="s">
        <v>5352</v>
      </c>
      <c r="K308" s="108">
        <v>1.0</v>
      </c>
      <c r="L308" s="107">
        <v>3.875298229E9</v>
      </c>
      <c r="M308" s="387"/>
      <c r="N308" s="392">
        <v>46002.0</v>
      </c>
      <c r="O308" s="349" t="s">
        <v>9011</v>
      </c>
      <c r="P308" s="389"/>
      <c r="Q308" s="349" t="s">
        <v>9012</v>
      </c>
      <c r="R308" s="390" t="s">
        <v>13410</v>
      </c>
      <c r="S308" s="391"/>
      <c r="T308" s="389"/>
      <c r="U308" s="389"/>
      <c r="V308" s="276"/>
      <c r="W308" s="276"/>
      <c r="X308" s="276"/>
      <c r="Y308" s="276"/>
      <c r="Z308" s="276"/>
      <c r="AA308" s="276"/>
      <c r="AB308" s="276"/>
      <c r="AC308" s="276"/>
    </row>
    <row r="309">
      <c r="A309" s="107" t="s">
        <v>5348</v>
      </c>
      <c r="B309" s="358">
        <v>45993.0</v>
      </c>
      <c r="C309" s="107">
        <v>8.05011561843E11</v>
      </c>
      <c r="D309" s="107" t="s">
        <v>5349</v>
      </c>
      <c r="E309" s="107" t="s">
        <v>5350</v>
      </c>
      <c r="F309" s="107" t="s">
        <v>5351</v>
      </c>
      <c r="G309" s="107" t="s">
        <v>58</v>
      </c>
      <c r="H309" s="107">
        <v>4400.0</v>
      </c>
      <c r="I309" s="107"/>
      <c r="J309" s="107" t="s">
        <v>513</v>
      </c>
      <c r="K309" s="108">
        <v>6.0</v>
      </c>
      <c r="L309" s="107">
        <v>3.875298229E9</v>
      </c>
      <c r="M309" s="387"/>
      <c r="P309" s="389"/>
      <c r="S309" s="391"/>
      <c r="T309" s="389"/>
      <c r="U309" s="389"/>
      <c r="V309" s="276"/>
      <c r="W309" s="276"/>
      <c r="X309" s="276"/>
      <c r="Y309" s="276"/>
      <c r="Z309" s="276"/>
      <c r="AA309" s="276"/>
      <c r="AB309" s="276"/>
      <c r="AC309" s="276"/>
    </row>
    <row r="310">
      <c r="A310" s="107" t="s">
        <v>5348</v>
      </c>
      <c r="B310" s="358">
        <v>45993.0</v>
      </c>
      <c r="C310" s="107">
        <v>8.05011561843E11</v>
      </c>
      <c r="D310" s="107" t="s">
        <v>5349</v>
      </c>
      <c r="E310" s="107" t="s">
        <v>5350</v>
      </c>
      <c r="F310" s="107" t="s">
        <v>5351</v>
      </c>
      <c r="G310" s="107" t="s">
        <v>58</v>
      </c>
      <c r="H310" s="107">
        <v>4400.0</v>
      </c>
      <c r="I310" s="107"/>
      <c r="J310" s="107" t="s">
        <v>3673</v>
      </c>
      <c r="K310" s="108">
        <v>1.0</v>
      </c>
      <c r="L310" s="107">
        <v>3.875298229E9</v>
      </c>
      <c r="M310" s="387"/>
      <c r="P310" s="389"/>
      <c r="S310" s="393"/>
      <c r="T310" s="389"/>
      <c r="U310" s="389"/>
      <c r="V310" s="276"/>
      <c r="W310" s="276"/>
      <c r="X310" s="276"/>
      <c r="Y310" s="276"/>
      <c r="Z310" s="276"/>
      <c r="AA310" s="276"/>
      <c r="AB310" s="276"/>
      <c r="AC310" s="276"/>
    </row>
    <row r="311">
      <c r="A311" s="107" t="s">
        <v>5353</v>
      </c>
      <c r="B311" s="358">
        <v>45993.0</v>
      </c>
      <c r="C311" s="107">
        <v>8.05011562148E11</v>
      </c>
      <c r="D311" s="107" t="s">
        <v>5354</v>
      </c>
      <c r="E311" s="107" t="s">
        <v>5355</v>
      </c>
      <c r="F311" s="107" t="s">
        <v>5356</v>
      </c>
      <c r="G311" s="107" t="s">
        <v>20</v>
      </c>
      <c r="H311" s="107">
        <v>4400.0</v>
      </c>
      <c r="I311" s="107"/>
      <c r="J311" s="107" t="s">
        <v>5352</v>
      </c>
      <c r="K311" s="108">
        <v>1.0</v>
      </c>
      <c r="L311" s="107">
        <v>3.875466897E9</v>
      </c>
      <c r="M311" s="387"/>
      <c r="N311" s="392">
        <v>46002.0</v>
      </c>
      <c r="O311" s="349" t="s">
        <v>9011</v>
      </c>
      <c r="P311" s="389"/>
      <c r="Q311" s="349" t="s">
        <v>9012</v>
      </c>
      <c r="R311" s="390" t="s">
        <v>13411</v>
      </c>
      <c r="S311" s="391"/>
      <c r="T311" s="389"/>
      <c r="U311" s="389"/>
      <c r="V311" s="276"/>
      <c r="W311" s="276"/>
      <c r="X311" s="276"/>
      <c r="Y311" s="276"/>
      <c r="Z311" s="276"/>
      <c r="AA311" s="276"/>
      <c r="AB311" s="276"/>
      <c r="AC311" s="276"/>
    </row>
    <row r="312">
      <c r="A312" s="107" t="s">
        <v>5353</v>
      </c>
      <c r="B312" s="358">
        <v>45993.0</v>
      </c>
      <c r="C312" s="107">
        <v>8.05011562148E11</v>
      </c>
      <c r="D312" s="107" t="s">
        <v>5354</v>
      </c>
      <c r="E312" s="107" t="s">
        <v>5355</v>
      </c>
      <c r="F312" s="107" t="s">
        <v>5356</v>
      </c>
      <c r="G312" s="107" t="s">
        <v>20</v>
      </c>
      <c r="H312" s="107">
        <v>4400.0</v>
      </c>
      <c r="I312" s="107"/>
      <c r="J312" s="107" t="s">
        <v>513</v>
      </c>
      <c r="K312" s="108">
        <v>6.0</v>
      </c>
      <c r="L312" s="107">
        <v>3.875466897E9</v>
      </c>
      <c r="M312" s="387"/>
      <c r="P312" s="389"/>
      <c r="S312" s="391"/>
      <c r="T312" s="389"/>
      <c r="U312" s="389"/>
      <c r="V312" s="276"/>
      <c r="W312" s="276"/>
      <c r="X312" s="276"/>
      <c r="Y312" s="276"/>
      <c r="Z312" s="276"/>
      <c r="AA312" s="276"/>
      <c r="AB312" s="276"/>
      <c r="AC312" s="276"/>
    </row>
    <row r="313">
      <c r="A313" s="107" t="s">
        <v>5353</v>
      </c>
      <c r="B313" s="358">
        <v>45993.0</v>
      </c>
      <c r="C313" s="107">
        <v>8.05011562148E11</v>
      </c>
      <c r="D313" s="107" t="s">
        <v>5354</v>
      </c>
      <c r="E313" s="107" t="s">
        <v>5355</v>
      </c>
      <c r="F313" s="107" t="s">
        <v>5356</v>
      </c>
      <c r="G313" s="107" t="s">
        <v>20</v>
      </c>
      <c r="H313" s="107">
        <v>4400.0</v>
      </c>
      <c r="I313" s="107"/>
      <c r="J313" s="107" t="s">
        <v>3673</v>
      </c>
      <c r="K313" s="108">
        <v>1.0</v>
      </c>
      <c r="L313" s="107">
        <v>3.875466897E9</v>
      </c>
      <c r="M313" s="387"/>
      <c r="P313" s="389"/>
      <c r="S313" s="393"/>
      <c r="T313" s="389"/>
      <c r="U313" s="389"/>
      <c r="V313" s="276"/>
      <c r="W313" s="276"/>
      <c r="X313" s="276"/>
      <c r="Y313" s="276"/>
      <c r="Z313" s="276"/>
      <c r="AA313" s="276"/>
      <c r="AB313" s="276"/>
      <c r="AC313" s="276"/>
    </row>
    <row r="314">
      <c r="A314" s="107" t="s">
        <v>5357</v>
      </c>
      <c r="B314" s="358">
        <v>45993.0</v>
      </c>
      <c r="C314" s="107">
        <v>8.05011562062E11</v>
      </c>
      <c r="D314" s="107" t="s">
        <v>5358</v>
      </c>
      <c r="E314" s="107" t="s">
        <v>5359</v>
      </c>
      <c r="F314" s="107" t="s">
        <v>5360</v>
      </c>
      <c r="G314" s="107" t="s">
        <v>582</v>
      </c>
      <c r="H314" s="107">
        <v>4407.0</v>
      </c>
      <c r="I314" s="107"/>
      <c r="J314" s="107" t="s">
        <v>3187</v>
      </c>
      <c r="K314" s="108">
        <v>1.0</v>
      </c>
      <c r="L314" s="107">
        <v>3.875555648E9</v>
      </c>
      <c r="M314" s="387"/>
      <c r="N314" s="388">
        <v>46013.0</v>
      </c>
      <c r="O314" s="349" t="s">
        <v>9011</v>
      </c>
      <c r="P314" s="389"/>
      <c r="Q314" s="349" t="s">
        <v>13412</v>
      </c>
      <c r="R314" s="390" t="s">
        <v>13413</v>
      </c>
      <c r="S314" s="391"/>
      <c r="T314" s="389"/>
      <c r="U314" s="389"/>
      <c r="V314" s="276"/>
      <c r="W314" s="276"/>
      <c r="X314" s="276"/>
      <c r="Y314" s="276"/>
      <c r="Z314" s="276"/>
      <c r="AA314" s="276"/>
      <c r="AB314" s="276"/>
      <c r="AC314" s="276"/>
    </row>
    <row r="315">
      <c r="A315" s="107" t="s">
        <v>5357</v>
      </c>
      <c r="B315" s="358">
        <v>45993.0</v>
      </c>
      <c r="C315" s="107">
        <v>8.05011562062E11</v>
      </c>
      <c r="D315" s="107" t="s">
        <v>5358</v>
      </c>
      <c r="E315" s="107" t="s">
        <v>5359</v>
      </c>
      <c r="F315" s="107" t="s">
        <v>5360</v>
      </c>
      <c r="G315" s="107" t="s">
        <v>582</v>
      </c>
      <c r="H315" s="107">
        <v>4407.0</v>
      </c>
      <c r="I315" s="107"/>
      <c r="J315" s="107" t="s">
        <v>513</v>
      </c>
      <c r="K315" s="108">
        <v>6.0</v>
      </c>
      <c r="L315" s="107">
        <v>3.875555648E9</v>
      </c>
      <c r="M315" s="387"/>
      <c r="P315" s="389"/>
      <c r="S315" s="391"/>
      <c r="T315" s="389"/>
      <c r="U315" s="389"/>
      <c r="V315" s="276"/>
      <c r="W315" s="276"/>
      <c r="X315" s="276"/>
      <c r="Y315" s="276"/>
      <c r="Z315" s="276"/>
      <c r="AA315" s="276"/>
      <c r="AB315" s="276"/>
      <c r="AC315" s="276"/>
    </row>
    <row r="316">
      <c r="A316" s="107" t="s">
        <v>5357</v>
      </c>
      <c r="B316" s="358">
        <v>45993.0</v>
      </c>
      <c r="C316" s="107">
        <v>8.05011562062E11</v>
      </c>
      <c r="D316" s="107" t="s">
        <v>5358</v>
      </c>
      <c r="E316" s="107" t="s">
        <v>5359</v>
      </c>
      <c r="F316" s="107" t="s">
        <v>5360</v>
      </c>
      <c r="G316" s="107" t="s">
        <v>582</v>
      </c>
      <c r="H316" s="107">
        <v>4407.0</v>
      </c>
      <c r="I316" s="107"/>
      <c r="J316" s="107" t="s">
        <v>3410</v>
      </c>
      <c r="K316" s="108">
        <v>1.0</v>
      </c>
      <c r="L316" s="107">
        <v>3.875555648E9</v>
      </c>
      <c r="M316" s="387"/>
      <c r="P316" s="389"/>
      <c r="S316" s="391"/>
      <c r="T316" s="389"/>
      <c r="U316" s="389"/>
      <c r="V316" s="276"/>
      <c r="W316" s="276"/>
      <c r="X316" s="276"/>
      <c r="Y316" s="276"/>
      <c r="Z316" s="276"/>
      <c r="AA316" s="276"/>
      <c r="AB316" s="276"/>
      <c r="AC316" s="276"/>
    </row>
    <row r="317">
      <c r="A317" s="370" t="s">
        <v>11354</v>
      </c>
      <c r="B317" s="371">
        <v>46002.0</v>
      </c>
      <c r="C317" s="365">
        <v>8.0700003414E11</v>
      </c>
      <c r="D317" s="365" t="s">
        <v>11355</v>
      </c>
      <c r="E317" s="365" t="s">
        <v>11356</v>
      </c>
      <c r="F317" s="370" t="s">
        <v>11357</v>
      </c>
      <c r="G317" s="370" t="s">
        <v>4397</v>
      </c>
      <c r="H317" s="370">
        <v>4400.0</v>
      </c>
      <c r="I317" s="365" t="s">
        <v>947</v>
      </c>
      <c r="J317" s="365" t="s">
        <v>3750</v>
      </c>
      <c r="K317" s="400">
        <v>1.0</v>
      </c>
      <c r="L317" s="403">
        <v>3.874880836E9</v>
      </c>
      <c r="M317" s="192"/>
      <c r="N317" s="404">
        <v>46002.0</v>
      </c>
      <c r="O317" s="214" t="s">
        <v>9011</v>
      </c>
      <c r="P317" s="389"/>
      <c r="Q317" s="349" t="s">
        <v>9012</v>
      </c>
      <c r="R317" s="390" t="s">
        <v>13414</v>
      </c>
      <c r="S317" s="393"/>
      <c r="T317" s="389"/>
      <c r="U317" s="389"/>
      <c r="V317" s="276"/>
      <c r="W317" s="276"/>
      <c r="X317" s="276"/>
      <c r="Y317" s="276"/>
      <c r="Z317" s="276"/>
      <c r="AA317" s="276"/>
      <c r="AB317" s="276"/>
      <c r="AC317" s="276"/>
    </row>
    <row r="318">
      <c r="A318" s="172"/>
      <c r="B318" s="405"/>
      <c r="C318" s="172"/>
      <c r="D318" s="172"/>
      <c r="E318" s="172"/>
      <c r="F318" s="172"/>
      <c r="G318" s="172"/>
      <c r="H318" s="172"/>
      <c r="I318" s="172"/>
      <c r="J318" s="88"/>
      <c r="K318" s="89"/>
      <c r="L318" s="88"/>
      <c r="M318" s="367"/>
      <c r="N318" s="275" t="s">
        <v>5479</v>
      </c>
      <c r="O318" s="275" t="s">
        <v>5479</v>
      </c>
      <c r="P318" s="276"/>
      <c r="Q318" s="275" t="s">
        <v>5479</v>
      </c>
      <c r="R318" s="277" t="s">
        <v>5479</v>
      </c>
      <c r="S318" s="360"/>
      <c r="T318" s="276"/>
      <c r="U318" s="276"/>
      <c r="V318" s="276"/>
      <c r="W318" s="276"/>
      <c r="X318" s="276"/>
      <c r="Y318" s="276"/>
      <c r="Z318" s="276"/>
      <c r="AA318" s="276"/>
      <c r="AB318" s="276"/>
      <c r="AC318" s="276"/>
    </row>
    <row r="319">
      <c r="A319" s="107" t="s">
        <v>5361</v>
      </c>
      <c r="B319" s="358">
        <v>46002.0</v>
      </c>
      <c r="C319" s="107">
        <v>8.05011562219E11</v>
      </c>
      <c r="D319" s="107" t="s">
        <v>5362</v>
      </c>
      <c r="E319" s="107" t="s">
        <v>5363</v>
      </c>
      <c r="F319" s="107" t="s">
        <v>5364</v>
      </c>
      <c r="G319" s="107" t="s">
        <v>155</v>
      </c>
      <c r="H319" s="107">
        <v>4405.0</v>
      </c>
      <c r="I319" s="107"/>
      <c r="J319" s="31" t="s">
        <v>5035</v>
      </c>
      <c r="K319" s="33">
        <v>1.0</v>
      </c>
      <c r="L319" s="31">
        <v>3.875209689E9</v>
      </c>
      <c r="M319" s="367"/>
      <c r="N319" s="274">
        <v>46007.0</v>
      </c>
      <c r="O319" s="275" t="s">
        <v>9011</v>
      </c>
      <c r="P319" s="276"/>
      <c r="Q319" s="275" t="s">
        <v>13415</v>
      </c>
      <c r="R319" s="359" t="s">
        <v>13416</v>
      </c>
      <c r="S319" s="360"/>
      <c r="T319" s="276"/>
      <c r="U319" s="276"/>
      <c r="V319" s="276"/>
      <c r="W319" s="276"/>
      <c r="X319" s="276"/>
      <c r="Y319" s="276"/>
      <c r="Z319" s="276"/>
      <c r="AA319" s="276"/>
      <c r="AB319" s="276"/>
      <c r="AC319" s="276"/>
    </row>
    <row r="320">
      <c r="A320" s="107" t="s">
        <v>5361</v>
      </c>
      <c r="B320" s="358">
        <v>46002.0</v>
      </c>
      <c r="C320" s="107">
        <v>8.05011562219E11</v>
      </c>
      <c r="D320" s="107" t="s">
        <v>5362</v>
      </c>
      <c r="E320" s="107" t="s">
        <v>5363</v>
      </c>
      <c r="F320" s="107" t="s">
        <v>5364</v>
      </c>
      <c r="G320" s="107" t="s">
        <v>155</v>
      </c>
      <c r="H320" s="107">
        <v>4405.0</v>
      </c>
      <c r="I320" s="107"/>
      <c r="J320" s="31" t="s">
        <v>513</v>
      </c>
      <c r="K320" s="33">
        <v>6.0</v>
      </c>
      <c r="L320" s="31">
        <v>3.875209689E9</v>
      </c>
      <c r="M320" s="367"/>
      <c r="P320" s="276"/>
      <c r="S320" s="360"/>
      <c r="T320" s="276"/>
      <c r="U320" s="276"/>
      <c r="V320" s="276"/>
      <c r="W320" s="276"/>
      <c r="X320" s="276"/>
      <c r="Y320" s="276"/>
      <c r="Z320" s="276"/>
      <c r="AA320" s="276"/>
      <c r="AB320" s="276"/>
      <c r="AC320" s="276"/>
    </row>
    <row r="321">
      <c r="A321" s="107" t="s">
        <v>5361</v>
      </c>
      <c r="B321" s="358">
        <v>46002.0</v>
      </c>
      <c r="C321" s="107">
        <v>8.05011562219E11</v>
      </c>
      <c r="D321" s="107" t="s">
        <v>5362</v>
      </c>
      <c r="E321" s="107" t="s">
        <v>5363</v>
      </c>
      <c r="F321" s="107" t="s">
        <v>5364</v>
      </c>
      <c r="G321" s="107" t="s">
        <v>155</v>
      </c>
      <c r="H321" s="107">
        <v>4405.0</v>
      </c>
      <c r="I321" s="107"/>
      <c r="J321" s="31" t="s">
        <v>3410</v>
      </c>
      <c r="K321" s="33">
        <v>1.0</v>
      </c>
      <c r="L321" s="31">
        <v>3.875209689E9</v>
      </c>
      <c r="M321" s="276"/>
      <c r="P321" s="276"/>
      <c r="S321" s="360"/>
      <c r="T321" s="276"/>
      <c r="U321" s="276"/>
      <c r="V321" s="276"/>
      <c r="W321" s="276"/>
      <c r="X321" s="276"/>
      <c r="Y321" s="276"/>
      <c r="Z321" s="276"/>
      <c r="AA321" s="276"/>
      <c r="AB321" s="276"/>
      <c r="AC321" s="276"/>
    </row>
    <row r="322">
      <c r="A322" s="107" t="s">
        <v>5366</v>
      </c>
      <c r="B322" s="358">
        <v>46002.0</v>
      </c>
      <c r="C322" s="107">
        <v>8.07025033935E11</v>
      </c>
      <c r="D322" s="107" t="s">
        <v>2393</v>
      </c>
      <c r="E322" s="107" t="s">
        <v>2394</v>
      </c>
      <c r="F322" s="107" t="s">
        <v>2395</v>
      </c>
      <c r="G322" s="107" t="s">
        <v>116</v>
      </c>
      <c r="H322" s="107">
        <v>4400.0</v>
      </c>
      <c r="I322" s="107"/>
      <c r="J322" s="31" t="s">
        <v>4894</v>
      </c>
      <c r="K322" s="33">
        <v>1.0</v>
      </c>
      <c r="L322" s="31">
        <v>3.875781019E9</v>
      </c>
      <c r="M322" s="276"/>
      <c r="N322" s="274">
        <v>46007.0</v>
      </c>
      <c r="O322" s="275" t="s">
        <v>9011</v>
      </c>
      <c r="P322" s="276"/>
      <c r="Q322" s="275" t="s">
        <v>13339</v>
      </c>
      <c r="R322" s="359" t="s">
        <v>13417</v>
      </c>
      <c r="S322" s="360"/>
      <c r="T322" s="276"/>
      <c r="U322" s="276"/>
      <c r="V322" s="276"/>
      <c r="W322" s="276"/>
      <c r="X322" s="276"/>
      <c r="Y322" s="276"/>
      <c r="Z322" s="276"/>
      <c r="AA322" s="276"/>
      <c r="AB322" s="276"/>
      <c r="AC322" s="276"/>
    </row>
    <row r="323">
      <c r="A323" s="107" t="s">
        <v>5367</v>
      </c>
      <c r="B323" s="358">
        <v>46002.0</v>
      </c>
      <c r="C323" s="107">
        <v>8.05011562589E11</v>
      </c>
      <c r="D323" s="107" t="s">
        <v>5368</v>
      </c>
      <c r="E323" s="107" t="s">
        <v>5369</v>
      </c>
      <c r="F323" s="107" t="s">
        <v>5370</v>
      </c>
      <c r="G323" s="107" t="s">
        <v>539</v>
      </c>
      <c r="H323" s="107">
        <v>4405.0</v>
      </c>
      <c r="I323" s="107"/>
      <c r="J323" s="31" t="s">
        <v>3867</v>
      </c>
      <c r="K323" s="33">
        <v>1.0</v>
      </c>
      <c r="L323" s="31">
        <v>3.872289637E9</v>
      </c>
      <c r="M323" s="276"/>
      <c r="N323" s="274">
        <v>46007.0</v>
      </c>
      <c r="O323" s="275" t="s">
        <v>9011</v>
      </c>
      <c r="P323" s="276"/>
      <c r="Q323" s="275" t="s">
        <v>13339</v>
      </c>
      <c r="R323" s="359" t="s">
        <v>13418</v>
      </c>
      <c r="S323" s="360"/>
      <c r="T323" s="276"/>
      <c r="U323" s="276"/>
      <c r="V323" s="276"/>
      <c r="W323" s="276"/>
      <c r="X323" s="276"/>
      <c r="Y323" s="276"/>
      <c r="Z323" s="276"/>
      <c r="AA323" s="276"/>
      <c r="AB323" s="276"/>
      <c r="AC323" s="276"/>
    </row>
    <row r="324">
      <c r="A324" s="107" t="s">
        <v>5367</v>
      </c>
      <c r="B324" s="358">
        <v>46002.0</v>
      </c>
      <c r="C324" s="107">
        <v>8.05011562589E11</v>
      </c>
      <c r="D324" s="107" t="s">
        <v>5368</v>
      </c>
      <c r="E324" s="107" t="s">
        <v>5369</v>
      </c>
      <c r="F324" s="107" t="s">
        <v>5370</v>
      </c>
      <c r="G324" s="107" t="s">
        <v>539</v>
      </c>
      <c r="H324" s="107">
        <v>4405.0</v>
      </c>
      <c r="I324" s="107"/>
      <c r="J324" s="31" t="s">
        <v>513</v>
      </c>
      <c r="K324" s="33">
        <v>12.0</v>
      </c>
      <c r="L324" s="31">
        <v>3.872289637E9</v>
      </c>
      <c r="M324" s="276"/>
      <c r="P324" s="276"/>
      <c r="S324" s="360"/>
      <c r="T324" s="276"/>
      <c r="U324" s="276"/>
      <c r="V324" s="276"/>
      <c r="W324" s="276"/>
      <c r="X324" s="276"/>
      <c r="Y324" s="276"/>
      <c r="Z324" s="276"/>
      <c r="AA324" s="276"/>
      <c r="AB324" s="276"/>
      <c r="AC324" s="276"/>
    </row>
    <row r="325">
      <c r="A325" s="107" t="s">
        <v>5367</v>
      </c>
      <c r="B325" s="358">
        <v>46002.0</v>
      </c>
      <c r="C325" s="107">
        <v>8.05011562589E11</v>
      </c>
      <c r="D325" s="107" t="s">
        <v>5368</v>
      </c>
      <c r="E325" s="107" t="s">
        <v>5369</v>
      </c>
      <c r="F325" s="107" t="s">
        <v>5370</v>
      </c>
      <c r="G325" s="107" t="s">
        <v>539</v>
      </c>
      <c r="H325" s="107">
        <v>4405.0</v>
      </c>
      <c r="I325" s="107"/>
      <c r="J325" s="31" t="s">
        <v>3253</v>
      </c>
      <c r="K325" s="33">
        <v>2.0</v>
      </c>
      <c r="L325" s="31">
        <v>3.872289637E9</v>
      </c>
      <c r="M325" s="276"/>
      <c r="P325" s="276"/>
      <c r="S325" s="360"/>
      <c r="T325" s="276"/>
      <c r="U325" s="276"/>
      <c r="V325" s="276"/>
      <c r="W325" s="276"/>
      <c r="X325" s="276"/>
      <c r="Y325" s="276"/>
      <c r="Z325" s="276"/>
      <c r="AA325" s="276"/>
      <c r="AB325" s="276"/>
      <c r="AC325" s="276"/>
    </row>
    <row r="326">
      <c r="A326" s="107" t="s">
        <v>5371</v>
      </c>
      <c r="B326" s="358">
        <v>46002.0</v>
      </c>
      <c r="C326" s="107">
        <v>8.05011562644E11</v>
      </c>
      <c r="D326" s="107" t="s">
        <v>5372</v>
      </c>
      <c r="E326" s="107" t="s">
        <v>5373</v>
      </c>
      <c r="F326" s="107" t="s">
        <v>5374</v>
      </c>
      <c r="G326" s="107" t="s">
        <v>20</v>
      </c>
      <c r="H326" s="107">
        <v>4400.0</v>
      </c>
      <c r="I326" s="107"/>
      <c r="J326" s="31" t="s">
        <v>3818</v>
      </c>
      <c r="K326" s="33">
        <v>1.0</v>
      </c>
      <c r="L326" s="31"/>
      <c r="M326" s="276"/>
      <c r="N326" s="274">
        <v>46007.0</v>
      </c>
      <c r="O326" s="275" t="s">
        <v>9011</v>
      </c>
      <c r="P326" s="276"/>
      <c r="Q326" s="275" t="s">
        <v>13419</v>
      </c>
      <c r="R326" s="359" t="s">
        <v>13420</v>
      </c>
      <c r="S326" s="360"/>
      <c r="T326" s="276"/>
      <c r="U326" s="276"/>
      <c r="V326" s="276"/>
      <c r="W326" s="276"/>
      <c r="X326" s="276"/>
      <c r="Y326" s="276"/>
      <c r="Z326" s="276"/>
      <c r="AA326" s="276"/>
      <c r="AB326" s="276"/>
      <c r="AC326" s="276"/>
    </row>
    <row r="327">
      <c r="A327" s="107" t="s">
        <v>5371</v>
      </c>
      <c r="B327" s="358">
        <v>46002.0</v>
      </c>
      <c r="C327" s="107">
        <v>8.05011562644E11</v>
      </c>
      <c r="D327" s="107" t="s">
        <v>5372</v>
      </c>
      <c r="E327" s="107" t="s">
        <v>5373</v>
      </c>
      <c r="F327" s="107" t="s">
        <v>5374</v>
      </c>
      <c r="G327" s="107" t="s">
        <v>20</v>
      </c>
      <c r="H327" s="107">
        <v>4400.0</v>
      </c>
      <c r="I327" s="107"/>
      <c r="J327" s="31" t="s">
        <v>513</v>
      </c>
      <c r="K327" s="33">
        <v>12.0</v>
      </c>
      <c r="L327" s="31"/>
      <c r="M327" s="276"/>
      <c r="P327" s="276"/>
      <c r="S327" s="360"/>
      <c r="T327" s="276"/>
      <c r="U327" s="276"/>
      <c r="V327" s="276"/>
      <c r="W327" s="276"/>
      <c r="X327" s="276"/>
      <c r="Y327" s="276"/>
      <c r="Z327" s="276"/>
      <c r="AA327" s="276"/>
      <c r="AB327" s="276"/>
      <c r="AC327" s="276"/>
    </row>
    <row r="328">
      <c r="A328" s="107" t="s">
        <v>5371</v>
      </c>
      <c r="B328" s="358">
        <v>46002.0</v>
      </c>
      <c r="C328" s="107">
        <v>8.05011562644E11</v>
      </c>
      <c r="D328" s="107" t="s">
        <v>5372</v>
      </c>
      <c r="E328" s="107" t="s">
        <v>5373</v>
      </c>
      <c r="F328" s="107" t="s">
        <v>5374</v>
      </c>
      <c r="G328" s="107" t="s">
        <v>20</v>
      </c>
      <c r="H328" s="107">
        <v>4400.0</v>
      </c>
      <c r="I328" s="107"/>
      <c r="J328" s="31" t="s">
        <v>3486</v>
      </c>
      <c r="K328" s="33">
        <v>2.0</v>
      </c>
      <c r="L328" s="31"/>
      <c r="M328" s="276"/>
      <c r="P328" s="276"/>
      <c r="S328" s="360"/>
      <c r="T328" s="276"/>
      <c r="U328" s="276"/>
      <c r="V328" s="276"/>
      <c r="W328" s="276"/>
      <c r="X328" s="276"/>
      <c r="Y328" s="276"/>
      <c r="Z328" s="276"/>
      <c r="AA328" s="276"/>
      <c r="AB328" s="276"/>
      <c r="AC328" s="276"/>
    </row>
    <row r="329">
      <c r="A329" s="107" t="s">
        <v>13421</v>
      </c>
      <c r="B329" s="358">
        <v>46002.0</v>
      </c>
      <c r="C329" s="107">
        <v>8.05011562823E11</v>
      </c>
      <c r="D329" s="107" t="s">
        <v>5419</v>
      </c>
      <c r="E329" s="107" t="s">
        <v>5420</v>
      </c>
      <c r="F329" s="107" t="s">
        <v>5421</v>
      </c>
      <c r="G329" s="107" t="s">
        <v>983</v>
      </c>
      <c r="H329" s="107">
        <v>4400.0</v>
      </c>
      <c r="I329" s="107"/>
      <c r="J329" s="31" t="s">
        <v>635</v>
      </c>
      <c r="K329" s="33">
        <v>1.0</v>
      </c>
      <c r="L329" s="31">
        <v>3.875945922E9</v>
      </c>
      <c r="M329" s="276"/>
      <c r="N329" s="363">
        <v>46018.0</v>
      </c>
      <c r="O329" s="275" t="s">
        <v>9011</v>
      </c>
      <c r="P329" s="276"/>
      <c r="Q329" s="275" t="s">
        <v>9012</v>
      </c>
      <c r="R329" s="359" t="s">
        <v>13422</v>
      </c>
      <c r="S329" s="360"/>
      <c r="T329" s="276"/>
      <c r="U329" s="276"/>
      <c r="V329" s="276"/>
      <c r="W329" s="276"/>
      <c r="X329" s="276"/>
      <c r="Y329" s="276"/>
      <c r="Z329" s="276"/>
      <c r="AA329" s="276"/>
      <c r="AB329" s="276"/>
      <c r="AC329" s="276"/>
    </row>
    <row r="330">
      <c r="A330" s="107" t="s">
        <v>13421</v>
      </c>
      <c r="B330" s="358">
        <v>46002.0</v>
      </c>
      <c r="C330" s="107">
        <v>8.05011562823E11</v>
      </c>
      <c r="D330" s="107" t="s">
        <v>5419</v>
      </c>
      <c r="E330" s="107" t="s">
        <v>5420</v>
      </c>
      <c r="F330" s="107" t="s">
        <v>5421</v>
      </c>
      <c r="G330" s="107" t="s">
        <v>983</v>
      </c>
      <c r="H330" s="107">
        <v>4400.0</v>
      </c>
      <c r="I330" s="107"/>
      <c r="J330" s="31" t="s">
        <v>51</v>
      </c>
      <c r="K330" s="33">
        <v>1.0</v>
      </c>
      <c r="L330" s="31">
        <v>3.875945922E9</v>
      </c>
      <c r="M330" s="276"/>
      <c r="P330" s="276"/>
      <c r="S330" s="360"/>
      <c r="T330" s="276"/>
      <c r="U330" s="276"/>
      <c r="V330" s="276"/>
      <c r="W330" s="276"/>
      <c r="X330" s="276"/>
      <c r="Y330" s="276"/>
      <c r="Z330" s="276"/>
      <c r="AA330" s="276"/>
      <c r="AB330" s="276"/>
      <c r="AC330" s="276"/>
    </row>
    <row r="331">
      <c r="A331" s="107" t="s">
        <v>5376</v>
      </c>
      <c r="B331" s="358">
        <v>46002.0</v>
      </c>
      <c r="C331" s="107">
        <v>8.05011562749E11</v>
      </c>
      <c r="D331" s="107" t="s">
        <v>5377</v>
      </c>
      <c r="E331" s="107" t="s">
        <v>5378</v>
      </c>
      <c r="F331" s="107" t="s">
        <v>5379</v>
      </c>
      <c r="G331" s="107" t="s">
        <v>20</v>
      </c>
      <c r="H331" s="107">
        <v>4400.0</v>
      </c>
      <c r="I331" s="107"/>
      <c r="J331" s="31" t="s">
        <v>290</v>
      </c>
      <c r="K331" s="33">
        <v>1.0</v>
      </c>
      <c r="L331" s="31">
        <v>3.874510311E9</v>
      </c>
      <c r="M331" s="276"/>
      <c r="N331" s="274">
        <v>46008.0</v>
      </c>
      <c r="O331" s="275" t="s">
        <v>9011</v>
      </c>
      <c r="P331" s="276"/>
      <c r="Q331" s="275" t="s">
        <v>9012</v>
      </c>
      <c r="R331" s="359" t="s">
        <v>13423</v>
      </c>
      <c r="S331" s="360"/>
      <c r="T331" s="276"/>
      <c r="U331" s="276"/>
      <c r="V331" s="276"/>
      <c r="W331" s="276"/>
      <c r="X331" s="276"/>
      <c r="Y331" s="276"/>
      <c r="Z331" s="276"/>
      <c r="AA331" s="276"/>
      <c r="AB331" s="276"/>
      <c r="AC331" s="276"/>
    </row>
    <row r="332">
      <c r="A332" s="107" t="s">
        <v>5376</v>
      </c>
      <c r="B332" s="358">
        <v>46002.0</v>
      </c>
      <c r="C332" s="107">
        <v>8.05011562749E11</v>
      </c>
      <c r="D332" s="107" t="s">
        <v>5377</v>
      </c>
      <c r="E332" s="107" t="s">
        <v>5378</v>
      </c>
      <c r="F332" s="107" t="s">
        <v>5379</v>
      </c>
      <c r="G332" s="107" t="s">
        <v>20</v>
      </c>
      <c r="H332" s="107">
        <v>4400.0</v>
      </c>
      <c r="I332" s="107"/>
      <c r="J332" s="31" t="s">
        <v>513</v>
      </c>
      <c r="K332" s="33">
        <v>6.0</v>
      </c>
      <c r="L332" s="31">
        <v>3.874510311E9</v>
      </c>
      <c r="M332" s="276"/>
      <c r="P332" s="276"/>
      <c r="S332" s="360"/>
      <c r="T332" s="276"/>
      <c r="U332" s="276"/>
      <c r="V332" s="276"/>
      <c r="W332" s="276"/>
      <c r="X332" s="276"/>
      <c r="Y332" s="276"/>
      <c r="Z332" s="276"/>
      <c r="AA332" s="276"/>
      <c r="AB332" s="276"/>
      <c r="AC332" s="276"/>
    </row>
    <row r="333">
      <c r="A333" s="107" t="s">
        <v>5376</v>
      </c>
      <c r="B333" s="358">
        <v>46002.0</v>
      </c>
      <c r="C333" s="107">
        <v>8.05011562749E11</v>
      </c>
      <c r="D333" s="107" t="s">
        <v>5377</v>
      </c>
      <c r="E333" s="107" t="s">
        <v>5378</v>
      </c>
      <c r="F333" s="107" t="s">
        <v>5379</v>
      </c>
      <c r="G333" s="107" t="s">
        <v>20</v>
      </c>
      <c r="H333" s="107">
        <v>4400.0</v>
      </c>
      <c r="I333" s="107"/>
      <c r="J333" s="31" t="s">
        <v>3594</v>
      </c>
      <c r="K333" s="33">
        <v>1.0</v>
      </c>
      <c r="L333" s="31">
        <v>3.874510311E9</v>
      </c>
      <c r="M333" s="276"/>
      <c r="P333" s="276"/>
      <c r="S333" s="360"/>
      <c r="T333" s="276"/>
      <c r="U333" s="276"/>
      <c r="V333" s="276"/>
      <c r="W333" s="276"/>
      <c r="X333" s="276"/>
      <c r="Y333" s="276"/>
      <c r="Z333" s="276"/>
      <c r="AA333" s="276"/>
      <c r="AB333" s="276"/>
      <c r="AC333" s="276"/>
    </row>
    <row r="334">
      <c r="A334" s="107" t="s">
        <v>5384</v>
      </c>
      <c r="B334" s="358">
        <v>46002.0</v>
      </c>
      <c r="C334" s="107">
        <v>8.05011562907E11</v>
      </c>
      <c r="D334" s="107" t="s">
        <v>5377</v>
      </c>
      <c r="E334" s="107" t="s">
        <v>5378</v>
      </c>
      <c r="F334" s="107" t="s">
        <v>5385</v>
      </c>
      <c r="G334" s="107" t="s">
        <v>20</v>
      </c>
      <c r="H334" s="107">
        <v>4400.0</v>
      </c>
      <c r="I334" s="107"/>
      <c r="J334" s="31" t="s">
        <v>290</v>
      </c>
      <c r="K334" s="33">
        <v>2.0</v>
      </c>
      <c r="L334" s="31">
        <v>3.874510311E9</v>
      </c>
      <c r="M334" s="276"/>
      <c r="P334" s="276"/>
      <c r="S334" s="360"/>
      <c r="T334" s="276"/>
      <c r="U334" s="276"/>
      <c r="V334" s="276"/>
      <c r="W334" s="276"/>
      <c r="X334" s="276"/>
      <c r="Y334" s="276"/>
      <c r="Z334" s="276"/>
      <c r="AA334" s="276"/>
      <c r="AB334" s="276"/>
      <c r="AC334" s="276"/>
    </row>
    <row r="335">
      <c r="A335" s="107" t="s">
        <v>5380</v>
      </c>
      <c r="B335" s="358">
        <v>46002.0</v>
      </c>
      <c r="C335" s="107">
        <v>8.05011562387E11</v>
      </c>
      <c r="D335" s="107" t="s">
        <v>5381</v>
      </c>
      <c r="E335" s="107" t="s">
        <v>5382</v>
      </c>
      <c r="F335" s="107" t="s">
        <v>5383</v>
      </c>
      <c r="G335" s="107" t="s">
        <v>20</v>
      </c>
      <c r="H335" s="107">
        <v>4400.0</v>
      </c>
      <c r="I335" s="107"/>
      <c r="J335" s="31" t="s">
        <v>3225</v>
      </c>
      <c r="K335" s="33">
        <v>1.0</v>
      </c>
      <c r="L335" s="31">
        <v>3.87210654E9</v>
      </c>
      <c r="M335" s="276"/>
      <c r="N335" s="274">
        <v>46007.0</v>
      </c>
      <c r="O335" s="275" t="s">
        <v>9011</v>
      </c>
      <c r="P335" s="276"/>
      <c r="Q335" s="275" t="s">
        <v>13424</v>
      </c>
      <c r="R335" s="359" t="s">
        <v>13425</v>
      </c>
      <c r="S335" s="360"/>
      <c r="T335" s="276"/>
      <c r="U335" s="276"/>
      <c r="V335" s="276"/>
      <c r="W335" s="276"/>
      <c r="X335" s="276"/>
      <c r="Y335" s="276"/>
      <c r="Z335" s="276"/>
      <c r="AA335" s="276"/>
      <c r="AB335" s="276"/>
      <c r="AC335" s="276"/>
    </row>
    <row r="336">
      <c r="A336" s="107" t="s">
        <v>5380</v>
      </c>
      <c r="B336" s="358">
        <v>46002.0</v>
      </c>
      <c r="C336" s="107">
        <v>8.05011562387E11</v>
      </c>
      <c r="D336" s="107" t="s">
        <v>5381</v>
      </c>
      <c r="E336" s="107" t="s">
        <v>5382</v>
      </c>
      <c r="F336" s="107" t="s">
        <v>5383</v>
      </c>
      <c r="G336" s="107" t="s">
        <v>20</v>
      </c>
      <c r="H336" s="107">
        <v>4400.0</v>
      </c>
      <c r="I336" s="107"/>
      <c r="J336" s="31" t="s">
        <v>513</v>
      </c>
      <c r="K336" s="33">
        <v>6.0</v>
      </c>
      <c r="L336" s="31">
        <v>3.87210654E9</v>
      </c>
      <c r="M336" s="276"/>
      <c r="P336" s="276"/>
      <c r="S336" s="360"/>
      <c r="T336" s="276"/>
      <c r="U336" s="276"/>
      <c r="V336" s="276"/>
      <c r="W336" s="276"/>
      <c r="X336" s="276"/>
      <c r="Y336" s="276"/>
      <c r="Z336" s="276"/>
      <c r="AA336" s="276"/>
      <c r="AB336" s="276"/>
      <c r="AC336" s="276"/>
    </row>
    <row r="337">
      <c r="A337" s="107" t="s">
        <v>5380</v>
      </c>
      <c r="B337" s="358">
        <v>46002.0</v>
      </c>
      <c r="C337" s="107">
        <v>8.05011562387E11</v>
      </c>
      <c r="D337" s="107" t="s">
        <v>5381</v>
      </c>
      <c r="E337" s="107" t="s">
        <v>5382</v>
      </c>
      <c r="F337" s="107" t="s">
        <v>5383</v>
      </c>
      <c r="G337" s="107" t="s">
        <v>20</v>
      </c>
      <c r="H337" s="107">
        <v>4400.0</v>
      </c>
      <c r="I337" s="107"/>
      <c r="J337" s="31" t="s">
        <v>3410</v>
      </c>
      <c r="K337" s="33">
        <v>1.0</v>
      </c>
      <c r="L337" s="31">
        <v>3.87210654E9</v>
      </c>
      <c r="M337" s="276"/>
      <c r="P337" s="276"/>
      <c r="S337" s="360"/>
      <c r="T337" s="276"/>
      <c r="U337" s="276"/>
      <c r="V337" s="276"/>
      <c r="W337" s="276"/>
      <c r="X337" s="276"/>
      <c r="Y337" s="276"/>
      <c r="Z337" s="276"/>
      <c r="AA337" s="276"/>
      <c r="AB337" s="276"/>
      <c r="AC337" s="276"/>
    </row>
    <row r="338">
      <c r="A338" s="107" t="s">
        <v>5386</v>
      </c>
      <c r="B338" s="358">
        <v>46002.0</v>
      </c>
      <c r="C338" s="107">
        <v>8.05011561785E11</v>
      </c>
      <c r="D338" s="107" t="s">
        <v>5247</v>
      </c>
      <c r="E338" s="107" t="s">
        <v>5248</v>
      </c>
      <c r="F338" s="107" t="s">
        <v>5387</v>
      </c>
      <c r="G338" s="107" t="s">
        <v>368</v>
      </c>
      <c r="H338" s="107">
        <v>4530.0</v>
      </c>
      <c r="I338" s="107"/>
      <c r="J338" s="31" t="s">
        <v>3225</v>
      </c>
      <c r="K338" s="33">
        <v>1.0</v>
      </c>
      <c r="L338" s="31" t="s">
        <v>5250</v>
      </c>
      <c r="M338" s="276"/>
      <c r="N338" s="363">
        <v>46009.0</v>
      </c>
      <c r="O338" s="275" t="s">
        <v>9011</v>
      </c>
      <c r="P338" s="276"/>
      <c r="Q338" s="275" t="s">
        <v>9012</v>
      </c>
      <c r="R338" s="359" t="s">
        <v>13426</v>
      </c>
      <c r="S338" s="360"/>
      <c r="T338" s="276"/>
      <c r="U338" s="276"/>
      <c r="V338" s="276"/>
      <c r="W338" s="276"/>
      <c r="X338" s="276"/>
      <c r="Y338" s="276"/>
      <c r="Z338" s="276"/>
      <c r="AA338" s="276"/>
      <c r="AB338" s="276"/>
      <c r="AC338" s="276"/>
    </row>
    <row r="339">
      <c r="A339" s="107" t="s">
        <v>5386</v>
      </c>
      <c r="B339" s="358">
        <v>46002.0</v>
      </c>
      <c r="C339" s="107">
        <v>8.05011561785E11</v>
      </c>
      <c r="D339" s="107" t="s">
        <v>5247</v>
      </c>
      <c r="E339" s="107" t="s">
        <v>5248</v>
      </c>
      <c r="F339" s="107" t="s">
        <v>5387</v>
      </c>
      <c r="G339" s="107" t="s">
        <v>368</v>
      </c>
      <c r="H339" s="107">
        <v>4530.0</v>
      </c>
      <c r="I339" s="107"/>
      <c r="J339" s="31" t="s">
        <v>513</v>
      </c>
      <c r="K339" s="33">
        <v>6.0</v>
      </c>
      <c r="L339" s="31" t="s">
        <v>5250</v>
      </c>
      <c r="M339" s="276"/>
      <c r="P339" s="275"/>
      <c r="S339" s="360"/>
      <c r="T339" s="276"/>
      <c r="U339" s="276"/>
      <c r="V339" s="276"/>
      <c r="W339" s="276"/>
      <c r="X339" s="276"/>
      <c r="Y339" s="276"/>
      <c r="Z339" s="276"/>
      <c r="AA339" s="276"/>
      <c r="AB339" s="276"/>
      <c r="AC339" s="276"/>
    </row>
    <row r="340">
      <c r="A340" s="107" t="s">
        <v>5386</v>
      </c>
      <c r="B340" s="358">
        <v>46002.0</v>
      </c>
      <c r="C340" s="107">
        <v>8.05011561785E11</v>
      </c>
      <c r="D340" s="107" t="s">
        <v>5247</v>
      </c>
      <c r="E340" s="107" t="s">
        <v>5248</v>
      </c>
      <c r="F340" s="107" t="s">
        <v>5387</v>
      </c>
      <c r="G340" s="107" t="s">
        <v>368</v>
      </c>
      <c r="H340" s="107">
        <v>4530.0</v>
      </c>
      <c r="I340" s="107"/>
      <c r="J340" s="31" t="s">
        <v>3410</v>
      </c>
      <c r="K340" s="33">
        <v>1.0</v>
      </c>
      <c r="L340" s="31" t="s">
        <v>5250</v>
      </c>
      <c r="M340" s="276"/>
      <c r="P340" s="276"/>
      <c r="S340" s="360"/>
      <c r="T340" s="276"/>
      <c r="U340" s="276"/>
      <c r="V340" s="276"/>
      <c r="W340" s="276"/>
      <c r="X340" s="276"/>
      <c r="Y340" s="276"/>
      <c r="Z340" s="276"/>
      <c r="AA340" s="276"/>
      <c r="AB340" s="276"/>
      <c r="AC340" s="276"/>
    </row>
    <row r="341">
      <c r="A341" s="107" t="s">
        <v>5389</v>
      </c>
      <c r="B341" s="358">
        <v>46002.0</v>
      </c>
      <c r="C341" s="107">
        <v>8.05011563105E11</v>
      </c>
      <c r="D341" s="107" t="s">
        <v>5390</v>
      </c>
      <c r="E341" s="107" t="s">
        <v>5391</v>
      </c>
      <c r="F341" s="406" t="s">
        <v>5392</v>
      </c>
      <c r="G341" s="107" t="s">
        <v>1477</v>
      </c>
      <c r="H341" s="107">
        <v>4550.0</v>
      </c>
      <c r="I341" s="107"/>
      <c r="J341" s="31" t="s">
        <v>3225</v>
      </c>
      <c r="K341" s="33">
        <v>1.0</v>
      </c>
      <c r="L341" s="31">
        <v>2.964613461E9</v>
      </c>
      <c r="M341" s="276"/>
      <c r="N341" s="363">
        <v>46010.0</v>
      </c>
      <c r="O341" s="275" t="s">
        <v>9011</v>
      </c>
      <c r="P341" s="276"/>
      <c r="Q341" s="407" t="s">
        <v>13427</v>
      </c>
      <c r="R341" s="359" t="s">
        <v>13428</v>
      </c>
      <c r="S341" s="360"/>
      <c r="T341" s="276"/>
      <c r="U341" s="276"/>
      <c r="V341" s="276"/>
      <c r="W341" s="276"/>
      <c r="X341" s="276"/>
      <c r="Y341" s="276"/>
      <c r="Z341" s="276"/>
      <c r="AA341" s="276"/>
      <c r="AB341" s="276"/>
      <c r="AC341" s="276"/>
    </row>
    <row r="342">
      <c r="A342" s="107" t="s">
        <v>5389</v>
      </c>
      <c r="B342" s="358">
        <v>46002.0</v>
      </c>
      <c r="C342" s="107">
        <v>8.05011563105E11</v>
      </c>
      <c r="D342" s="107" t="s">
        <v>5390</v>
      </c>
      <c r="E342" s="107" t="s">
        <v>5391</v>
      </c>
      <c r="F342" s="406" t="s">
        <v>5392</v>
      </c>
      <c r="G342" s="107" t="s">
        <v>1477</v>
      </c>
      <c r="H342" s="107">
        <v>4550.0</v>
      </c>
      <c r="I342" s="107"/>
      <c r="J342" s="31" t="s">
        <v>513</v>
      </c>
      <c r="K342" s="33">
        <v>6.0</v>
      </c>
      <c r="L342" s="31">
        <v>2.964613461E9</v>
      </c>
      <c r="M342" s="276"/>
      <c r="P342" s="276"/>
      <c r="S342" s="360"/>
      <c r="T342" s="276"/>
      <c r="U342" s="276"/>
      <c r="V342" s="276"/>
      <c r="W342" s="276"/>
      <c r="X342" s="276"/>
      <c r="Y342" s="276"/>
      <c r="Z342" s="276"/>
      <c r="AA342" s="276"/>
      <c r="AB342" s="276"/>
      <c r="AC342" s="276"/>
    </row>
    <row r="343">
      <c r="A343" s="107" t="s">
        <v>5389</v>
      </c>
      <c r="B343" s="358">
        <v>46002.0</v>
      </c>
      <c r="C343" s="107">
        <v>8.05011563105E11</v>
      </c>
      <c r="D343" s="107" t="s">
        <v>5390</v>
      </c>
      <c r="E343" s="107" t="s">
        <v>5391</v>
      </c>
      <c r="F343" s="406" t="s">
        <v>5392</v>
      </c>
      <c r="G343" s="107" t="s">
        <v>1477</v>
      </c>
      <c r="H343" s="107">
        <v>4550.0</v>
      </c>
      <c r="I343" s="107"/>
      <c r="J343" s="31" t="s">
        <v>3188</v>
      </c>
      <c r="K343" s="33">
        <v>1.0</v>
      </c>
      <c r="L343" s="31">
        <v>2.964613461E9</v>
      </c>
      <c r="M343" s="276"/>
      <c r="P343" s="276"/>
      <c r="S343" s="360"/>
      <c r="T343" s="276"/>
      <c r="U343" s="276"/>
      <c r="V343" s="276"/>
      <c r="W343" s="276"/>
      <c r="X343" s="276"/>
      <c r="Y343" s="276"/>
      <c r="Z343" s="276"/>
      <c r="AA343" s="276"/>
      <c r="AB343" s="276"/>
      <c r="AC343" s="276"/>
    </row>
    <row r="344">
      <c r="A344" s="107" t="s">
        <v>5393</v>
      </c>
      <c r="B344" s="358">
        <v>46002.0</v>
      </c>
      <c r="C344" s="107">
        <v>8.05011563282E11</v>
      </c>
      <c r="D344" s="107" t="s">
        <v>5394</v>
      </c>
      <c r="E344" s="107" t="s">
        <v>5395</v>
      </c>
      <c r="F344" s="107" t="s">
        <v>5396</v>
      </c>
      <c r="G344" s="107" t="s">
        <v>20</v>
      </c>
      <c r="H344" s="107">
        <v>4400.0</v>
      </c>
      <c r="I344" s="107"/>
      <c r="J344" s="31" t="s">
        <v>3225</v>
      </c>
      <c r="K344" s="33">
        <v>1.0</v>
      </c>
      <c r="L344" s="31">
        <v>3.874129212E9</v>
      </c>
      <c r="M344" s="276"/>
      <c r="N344" s="274">
        <v>46011.0</v>
      </c>
      <c r="O344" s="275" t="s">
        <v>9011</v>
      </c>
      <c r="P344" s="276"/>
      <c r="Q344" s="275" t="s">
        <v>13429</v>
      </c>
      <c r="R344" s="359" t="s">
        <v>13430</v>
      </c>
      <c r="S344" s="360"/>
      <c r="T344" s="276"/>
      <c r="U344" s="276"/>
      <c r="V344" s="276"/>
      <c r="W344" s="276"/>
      <c r="X344" s="276"/>
      <c r="Y344" s="276"/>
      <c r="Z344" s="276"/>
      <c r="AA344" s="276"/>
      <c r="AB344" s="276"/>
      <c r="AC344" s="276"/>
    </row>
    <row r="345">
      <c r="A345" s="107" t="s">
        <v>5393</v>
      </c>
      <c r="B345" s="358">
        <v>46002.0</v>
      </c>
      <c r="C345" s="107">
        <v>8.05011563282E11</v>
      </c>
      <c r="D345" s="107" t="s">
        <v>5394</v>
      </c>
      <c r="E345" s="107" t="s">
        <v>5395</v>
      </c>
      <c r="F345" s="107" t="s">
        <v>5396</v>
      </c>
      <c r="G345" s="107" t="s">
        <v>20</v>
      </c>
      <c r="H345" s="107">
        <v>4400.0</v>
      </c>
      <c r="I345" s="107"/>
      <c r="J345" s="31" t="s">
        <v>513</v>
      </c>
      <c r="K345" s="33">
        <v>6.0</v>
      </c>
      <c r="L345" s="31">
        <v>3.874129212E9</v>
      </c>
      <c r="M345" s="276"/>
      <c r="P345" s="276"/>
      <c r="S345" s="360"/>
      <c r="T345" s="276"/>
      <c r="U345" s="276"/>
      <c r="V345" s="276"/>
      <c r="W345" s="276"/>
      <c r="X345" s="276"/>
      <c r="Y345" s="276"/>
      <c r="Z345" s="276"/>
      <c r="AA345" s="276"/>
      <c r="AB345" s="276"/>
      <c r="AC345" s="276"/>
    </row>
    <row r="346">
      <c r="A346" s="107" t="s">
        <v>5393</v>
      </c>
      <c r="B346" s="358">
        <v>46002.0</v>
      </c>
      <c r="C346" s="107">
        <v>8.05011563282E11</v>
      </c>
      <c r="D346" s="107" t="s">
        <v>5394</v>
      </c>
      <c r="E346" s="107" t="s">
        <v>5395</v>
      </c>
      <c r="F346" s="107" t="s">
        <v>5396</v>
      </c>
      <c r="G346" s="107" t="s">
        <v>20</v>
      </c>
      <c r="H346" s="107">
        <v>4400.0</v>
      </c>
      <c r="I346" s="107"/>
      <c r="J346" s="31" t="s">
        <v>3410</v>
      </c>
      <c r="K346" s="33">
        <v>1.0</v>
      </c>
      <c r="L346" s="31">
        <v>3.874129212E9</v>
      </c>
      <c r="M346" s="276"/>
      <c r="P346" s="276"/>
      <c r="S346" s="408"/>
      <c r="T346" s="276"/>
      <c r="U346" s="276"/>
      <c r="V346" s="276"/>
      <c r="W346" s="276"/>
      <c r="X346" s="276"/>
      <c r="Y346" s="276"/>
      <c r="Z346" s="276"/>
      <c r="AA346" s="276"/>
      <c r="AB346" s="276"/>
      <c r="AC346" s="276"/>
    </row>
    <row r="347">
      <c r="A347" s="107" t="s">
        <v>5397</v>
      </c>
      <c r="B347" s="358">
        <v>46002.0</v>
      </c>
      <c r="C347" s="107">
        <v>8.05011563215E11</v>
      </c>
      <c r="D347" s="107" t="s">
        <v>5398</v>
      </c>
      <c r="E347" s="107" t="s">
        <v>5399</v>
      </c>
      <c r="F347" s="107" t="s">
        <v>5400</v>
      </c>
      <c r="G347" s="107" t="s">
        <v>20</v>
      </c>
      <c r="H347" s="107">
        <v>4400.0</v>
      </c>
      <c r="I347" s="107"/>
      <c r="J347" s="31" t="s">
        <v>4013</v>
      </c>
      <c r="K347" s="33">
        <v>1.0</v>
      </c>
      <c r="L347" s="31">
        <v>3.873482371E9</v>
      </c>
      <c r="M347" s="276"/>
      <c r="N347" s="274">
        <v>46010.0</v>
      </c>
      <c r="O347" s="275" t="s">
        <v>9011</v>
      </c>
      <c r="P347" s="276"/>
      <c r="Q347" s="275" t="s">
        <v>9012</v>
      </c>
      <c r="R347" s="359" t="s">
        <v>13431</v>
      </c>
      <c r="S347" s="408"/>
      <c r="T347" s="276"/>
      <c r="U347" s="276"/>
      <c r="V347" s="276"/>
      <c r="W347" s="276"/>
      <c r="X347" s="276"/>
      <c r="Y347" s="276"/>
      <c r="Z347" s="276"/>
      <c r="AA347" s="276"/>
      <c r="AB347" s="276"/>
      <c r="AC347" s="276"/>
    </row>
    <row r="348">
      <c r="A348" s="107" t="s">
        <v>5397</v>
      </c>
      <c r="B348" s="358">
        <v>46002.0</v>
      </c>
      <c r="C348" s="107">
        <v>8.05011563215E11</v>
      </c>
      <c r="D348" s="107" t="s">
        <v>5398</v>
      </c>
      <c r="E348" s="107" t="s">
        <v>5399</v>
      </c>
      <c r="F348" s="107" t="s">
        <v>5400</v>
      </c>
      <c r="G348" s="107" t="s">
        <v>20</v>
      </c>
      <c r="H348" s="107">
        <v>4400.0</v>
      </c>
      <c r="I348" s="107"/>
      <c r="J348" s="31" t="s">
        <v>513</v>
      </c>
      <c r="K348" s="33">
        <v>6.0</v>
      </c>
      <c r="L348" s="31">
        <v>3.873482371E9</v>
      </c>
      <c r="M348" s="276"/>
      <c r="P348" s="276"/>
      <c r="S348" s="408"/>
      <c r="T348" s="276"/>
      <c r="U348" s="276"/>
      <c r="V348" s="276"/>
      <c r="W348" s="276"/>
      <c r="X348" s="276"/>
      <c r="Y348" s="276"/>
      <c r="Z348" s="276"/>
      <c r="AA348" s="276"/>
      <c r="AB348" s="276"/>
      <c r="AC348" s="276"/>
    </row>
    <row r="349">
      <c r="A349" s="107" t="s">
        <v>5397</v>
      </c>
      <c r="B349" s="358">
        <v>46002.0</v>
      </c>
      <c r="C349" s="107">
        <v>8.05011563215E11</v>
      </c>
      <c r="D349" s="107" t="s">
        <v>5398</v>
      </c>
      <c r="E349" s="107" t="s">
        <v>5399</v>
      </c>
      <c r="F349" s="107" t="s">
        <v>5400</v>
      </c>
      <c r="G349" s="107" t="s">
        <v>20</v>
      </c>
      <c r="H349" s="107">
        <v>4400.0</v>
      </c>
      <c r="I349" s="107"/>
      <c r="J349" s="31" t="s">
        <v>3401</v>
      </c>
      <c r="K349" s="33">
        <v>1.0</v>
      </c>
      <c r="L349" s="31">
        <v>3.873482371E9</v>
      </c>
      <c r="M349" s="276"/>
      <c r="P349" s="276"/>
      <c r="S349" s="408"/>
      <c r="T349" s="276"/>
      <c r="U349" s="276"/>
      <c r="V349" s="276"/>
      <c r="W349" s="276"/>
      <c r="X349" s="276"/>
      <c r="Y349" s="276"/>
      <c r="Z349" s="276"/>
      <c r="AA349" s="276"/>
      <c r="AB349" s="276"/>
      <c r="AC349" s="276"/>
    </row>
    <row r="350">
      <c r="A350" s="107" t="s">
        <v>5402</v>
      </c>
      <c r="B350" s="358">
        <v>46002.0</v>
      </c>
      <c r="C350" s="107">
        <v>8.05011563192E11</v>
      </c>
      <c r="D350" s="107" t="s">
        <v>5403</v>
      </c>
      <c r="E350" s="107" t="s">
        <v>5404</v>
      </c>
      <c r="F350" s="107" t="s">
        <v>5405</v>
      </c>
      <c r="G350" s="107" t="s">
        <v>3047</v>
      </c>
      <c r="H350" s="107">
        <v>4405.0</v>
      </c>
      <c r="I350" s="107"/>
      <c r="J350" s="31" t="s">
        <v>5035</v>
      </c>
      <c r="K350" s="33">
        <v>1.0</v>
      </c>
      <c r="L350" s="31">
        <v>3.873014342E9</v>
      </c>
      <c r="M350" s="276"/>
      <c r="N350" s="274">
        <v>46007.0</v>
      </c>
      <c r="O350" s="275" t="s">
        <v>9011</v>
      </c>
      <c r="P350" s="276"/>
      <c r="Q350" s="275" t="s">
        <v>9012</v>
      </c>
      <c r="R350" s="359" t="s">
        <v>13432</v>
      </c>
      <c r="S350" s="408"/>
      <c r="T350" s="276"/>
      <c r="U350" s="276"/>
      <c r="V350" s="276"/>
      <c r="W350" s="276"/>
      <c r="X350" s="276"/>
      <c r="Y350" s="276"/>
      <c r="Z350" s="276"/>
      <c r="AA350" s="276"/>
      <c r="AB350" s="276"/>
      <c r="AC350" s="276"/>
    </row>
    <row r="351">
      <c r="A351" s="107" t="s">
        <v>5402</v>
      </c>
      <c r="B351" s="358">
        <v>46002.0</v>
      </c>
      <c r="C351" s="107">
        <v>8.05011563192E11</v>
      </c>
      <c r="D351" s="107" t="s">
        <v>5403</v>
      </c>
      <c r="E351" s="107" t="s">
        <v>5404</v>
      </c>
      <c r="F351" s="107" t="s">
        <v>5405</v>
      </c>
      <c r="G351" s="107" t="s">
        <v>3047</v>
      </c>
      <c r="H351" s="107">
        <v>4405.0</v>
      </c>
      <c r="I351" s="107"/>
      <c r="J351" s="31" t="s">
        <v>513</v>
      </c>
      <c r="K351" s="33">
        <v>6.0</v>
      </c>
      <c r="L351" s="31">
        <v>3.873014342E9</v>
      </c>
      <c r="M351" s="276"/>
      <c r="P351" s="276"/>
      <c r="S351" s="408"/>
      <c r="T351" s="276"/>
      <c r="U351" s="276"/>
      <c r="V351" s="276"/>
      <c r="W351" s="276"/>
      <c r="X351" s="276"/>
      <c r="Y351" s="276"/>
      <c r="Z351" s="276"/>
      <c r="AA351" s="276"/>
      <c r="AB351" s="276"/>
      <c r="AC351" s="276"/>
    </row>
    <row r="352">
      <c r="A352" s="107" t="s">
        <v>5402</v>
      </c>
      <c r="B352" s="358">
        <v>46002.0</v>
      </c>
      <c r="C352" s="107">
        <v>8.05011563192E11</v>
      </c>
      <c r="D352" s="107" t="s">
        <v>5403</v>
      </c>
      <c r="E352" s="107" t="s">
        <v>5404</v>
      </c>
      <c r="F352" s="107" t="s">
        <v>5405</v>
      </c>
      <c r="G352" s="107" t="s">
        <v>3047</v>
      </c>
      <c r="H352" s="107">
        <v>4405.0</v>
      </c>
      <c r="I352" s="107"/>
      <c r="J352" s="31" t="s">
        <v>3410</v>
      </c>
      <c r="K352" s="33">
        <v>1.0</v>
      </c>
      <c r="L352" s="31">
        <v>3.873014342E9</v>
      </c>
      <c r="M352" s="276"/>
      <c r="P352" s="276"/>
      <c r="S352" s="408"/>
      <c r="T352" s="276"/>
      <c r="U352" s="276"/>
      <c r="V352" s="276"/>
      <c r="W352" s="276"/>
      <c r="X352" s="276"/>
      <c r="Y352" s="276"/>
      <c r="Z352" s="276"/>
      <c r="AA352" s="276"/>
      <c r="AB352" s="276"/>
      <c r="AC352" s="276"/>
    </row>
    <row r="353">
      <c r="A353" s="107" t="s">
        <v>5407</v>
      </c>
      <c r="B353" s="358">
        <v>46002.0</v>
      </c>
      <c r="C353" s="107">
        <v>8.05011563452E11</v>
      </c>
      <c r="D353" s="107" t="s">
        <v>5408</v>
      </c>
      <c r="E353" s="107" t="s">
        <v>5409</v>
      </c>
      <c r="F353" s="107" t="s">
        <v>5410</v>
      </c>
      <c r="G353" s="107" t="s">
        <v>3613</v>
      </c>
      <c r="H353" s="107">
        <v>4444.0</v>
      </c>
      <c r="I353" s="107"/>
      <c r="J353" s="31" t="s">
        <v>3500</v>
      </c>
      <c r="K353" s="33">
        <v>1.0</v>
      </c>
      <c r="L353" s="31">
        <v>3.874142104E9</v>
      </c>
      <c r="M353" s="276"/>
      <c r="N353" s="363">
        <v>46010.0</v>
      </c>
      <c r="O353" s="275" t="s">
        <v>9011</v>
      </c>
      <c r="P353" s="276"/>
      <c r="Q353" s="275" t="s">
        <v>13339</v>
      </c>
      <c r="R353" s="359" t="s">
        <v>13433</v>
      </c>
      <c r="S353" s="408"/>
      <c r="T353" s="276"/>
      <c r="U353" s="276"/>
      <c r="V353" s="276"/>
      <c r="W353" s="276"/>
      <c r="X353" s="276"/>
      <c r="Y353" s="276"/>
      <c r="Z353" s="276"/>
      <c r="AA353" s="276"/>
      <c r="AB353" s="276"/>
      <c r="AC353" s="276"/>
    </row>
    <row r="354">
      <c r="A354" s="107" t="s">
        <v>5411</v>
      </c>
      <c r="B354" s="358">
        <v>46002.0</v>
      </c>
      <c r="C354" s="107">
        <v>8.06318037644E11</v>
      </c>
      <c r="D354" s="107" t="s">
        <v>5412</v>
      </c>
      <c r="E354" s="107" t="s">
        <v>5413</v>
      </c>
      <c r="F354" s="107" t="s">
        <v>5414</v>
      </c>
      <c r="G354" s="107" t="s">
        <v>292</v>
      </c>
      <c r="H354" s="107">
        <v>4401.0</v>
      </c>
      <c r="I354" s="107"/>
      <c r="J354" s="31" t="s">
        <v>5415</v>
      </c>
      <c r="K354" s="33">
        <v>3.0</v>
      </c>
      <c r="L354" s="31">
        <v>3.875368594E9</v>
      </c>
      <c r="M354" s="276"/>
      <c r="N354" s="274">
        <v>46007.0</v>
      </c>
      <c r="O354" s="275" t="s">
        <v>9011</v>
      </c>
      <c r="P354" s="276"/>
      <c r="Q354" s="275" t="s">
        <v>13434</v>
      </c>
      <c r="R354" s="359" t="s">
        <v>13435</v>
      </c>
      <c r="S354" s="408"/>
      <c r="T354" s="276"/>
      <c r="U354" s="276"/>
      <c r="V354" s="276"/>
      <c r="W354" s="276"/>
      <c r="X354" s="276"/>
      <c r="Y354" s="276"/>
      <c r="Z354" s="276"/>
      <c r="AA354" s="276"/>
      <c r="AB354" s="276"/>
      <c r="AC354" s="276"/>
    </row>
    <row r="355">
      <c r="A355" s="107" t="s">
        <v>5411</v>
      </c>
      <c r="B355" s="358">
        <v>46002.0</v>
      </c>
      <c r="C355" s="107">
        <v>8.06318037644E11</v>
      </c>
      <c r="D355" s="107" t="s">
        <v>5412</v>
      </c>
      <c r="E355" s="107" t="s">
        <v>5413</v>
      </c>
      <c r="F355" s="107" t="s">
        <v>5414</v>
      </c>
      <c r="G355" s="107" t="s">
        <v>292</v>
      </c>
      <c r="H355" s="107">
        <v>4401.0</v>
      </c>
      <c r="I355" s="107"/>
      <c r="J355" s="31" t="s">
        <v>5417</v>
      </c>
      <c r="K355" s="33">
        <v>3.0</v>
      </c>
      <c r="L355" s="31">
        <v>3.875368594E9</v>
      </c>
      <c r="M355" s="276"/>
      <c r="P355" s="276"/>
      <c r="S355" s="276"/>
      <c r="T355" s="276"/>
      <c r="U355" s="276"/>
      <c r="V355" s="276"/>
      <c r="W355" s="276"/>
      <c r="X355" s="276"/>
      <c r="Y355" s="276"/>
      <c r="Z355" s="276"/>
      <c r="AA355" s="276"/>
      <c r="AB355" s="276"/>
      <c r="AC355" s="276"/>
    </row>
    <row r="356">
      <c r="A356" s="172"/>
      <c r="B356" s="405"/>
      <c r="C356" s="172"/>
      <c r="D356" s="172"/>
      <c r="E356" s="172"/>
      <c r="F356" s="172"/>
      <c r="G356" s="172"/>
      <c r="H356" s="172"/>
      <c r="I356" s="172"/>
      <c r="J356" s="88"/>
      <c r="K356" s="89"/>
      <c r="L356" s="88"/>
      <c r="M356" s="276"/>
      <c r="N356" s="275" t="s">
        <v>5479</v>
      </c>
      <c r="O356" s="275" t="s">
        <v>5479</v>
      </c>
      <c r="P356" s="276"/>
      <c r="Q356" s="275" t="s">
        <v>5479</v>
      </c>
      <c r="R356" s="277" t="s">
        <v>5479</v>
      </c>
      <c r="S356" s="276"/>
      <c r="T356" s="276"/>
      <c r="U356" s="276"/>
      <c r="V356" s="276"/>
      <c r="W356" s="276"/>
      <c r="X356" s="276"/>
      <c r="Y356" s="276"/>
      <c r="Z356" s="276"/>
      <c r="AA356" s="276"/>
      <c r="AB356" s="276"/>
      <c r="AC356" s="276"/>
    </row>
    <row r="357">
      <c r="A357" s="108" t="s">
        <v>11358</v>
      </c>
      <c r="B357" s="378">
        <v>46002.0</v>
      </c>
      <c r="C357" s="374">
        <v>8.07000034141E11</v>
      </c>
      <c r="D357" s="374" t="s">
        <v>11359</v>
      </c>
      <c r="E357" s="374" t="s">
        <v>11360</v>
      </c>
      <c r="F357" s="108" t="s">
        <v>11361</v>
      </c>
      <c r="G357" s="108" t="s">
        <v>127</v>
      </c>
      <c r="H357" s="108">
        <v>4400.0</v>
      </c>
      <c r="I357" s="374" t="s">
        <v>512</v>
      </c>
      <c r="J357" s="240" t="s">
        <v>513</v>
      </c>
      <c r="K357" s="242">
        <v>6.0</v>
      </c>
      <c r="L357" s="242">
        <v>3.87535561E9</v>
      </c>
      <c r="N357" s="409">
        <v>46002.0</v>
      </c>
      <c r="O357" s="219" t="s">
        <v>9011</v>
      </c>
      <c r="P357" s="276"/>
      <c r="Q357" s="275" t="s">
        <v>9012</v>
      </c>
      <c r="R357" s="359" t="s">
        <v>13436</v>
      </c>
      <c r="S357" s="276"/>
      <c r="T357" s="276"/>
      <c r="U357" s="276"/>
      <c r="V357" s="276"/>
      <c r="W357" s="276"/>
      <c r="X357" s="276"/>
      <c r="Y357" s="276"/>
      <c r="Z357" s="276"/>
      <c r="AA357" s="276"/>
      <c r="AB357" s="276"/>
      <c r="AC357" s="276"/>
    </row>
    <row r="358">
      <c r="A358" s="108" t="s">
        <v>11358</v>
      </c>
      <c r="B358" s="378">
        <v>46002.0</v>
      </c>
      <c r="C358" s="374">
        <v>8.07000034142E11</v>
      </c>
      <c r="D358" s="374" t="s">
        <v>11359</v>
      </c>
      <c r="E358" s="374" t="s">
        <v>11360</v>
      </c>
      <c r="F358" s="108" t="s">
        <v>11361</v>
      </c>
      <c r="G358" s="399" t="s">
        <v>127</v>
      </c>
      <c r="H358" s="365">
        <v>4400.0</v>
      </c>
      <c r="I358" s="374" t="s">
        <v>1419</v>
      </c>
      <c r="J358" s="103" t="s">
        <v>8456</v>
      </c>
      <c r="K358" s="241">
        <v>1.0</v>
      </c>
      <c r="L358" s="242">
        <v>3.87535561E9</v>
      </c>
      <c r="P358" s="276"/>
      <c r="S358" s="276"/>
      <c r="T358" s="276"/>
      <c r="U358" s="276"/>
      <c r="V358" s="276"/>
      <c r="W358" s="276"/>
      <c r="X358" s="276"/>
      <c r="Y358" s="276"/>
      <c r="Z358" s="276"/>
      <c r="AA358" s="276"/>
      <c r="AB358" s="276"/>
      <c r="AC358" s="276"/>
    </row>
    <row r="359">
      <c r="A359" s="108" t="s">
        <v>11358</v>
      </c>
      <c r="B359" s="378">
        <v>46002.0</v>
      </c>
      <c r="C359" s="374">
        <v>8.07000034142E11</v>
      </c>
      <c r="D359" s="374" t="s">
        <v>11359</v>
      </c>
      <c r="E359" s="374" t="s">
        <v>11360</v>
      </c>
      <c r="F359" s="108" t="s">
        <v>11361</v>
      </c>
      <c r="G359" s="410" t="s">
        <v>127</v>
      </c>
      <c r="H359" s="411">
        <v>4400.0</v>
      </c>
      <c r="I359" s="374" t="s">
        <v>169</v>
      </c>
      <c r="J359" s="240" t="s">
        <v>4514</v>
      </c>
      <c r="K359" s="242">
        <v>1.0</v>
      </c>
      <c r="L359" s="242">
        <v>3.87535561E9</v>
      </c>
      <c r="P359" s="276"/>
      <c r="S359" s="276"/>
      <c r="T359" s="276"/>
      <c r="U359" s="276"/>
      <c r="V359" s="276"/>
      <c r="W359" s="276"/>
      <c r="X359" s="276"/>
      <c r="Y359" s="276"/>
      <c r="Z359" s="276"/>
      <c r="AA359" s="276"/>
      <c r="AB359" s="276"/>
      <c r="AC359" s="276"/>
    </row>
    <row r="360">
      <c r="A360" s="108" t="s">
        <v>11362</v>
      </c>
      <c r="B360" s="378">
        <v>46005.0</v>
      </c>
      <c r="C360" s="374">
        <v>8.0700003415E11</v>
      </c>
      <c r="D360" s="374" t="s">
        <v>11183</v>
      </c>
      <c r="E360" s="374" t="s">
        <v>11184</v>
      </c>
      <c r="F360" s="374" t="s">
        <v>11363</v>
      </c>
      <c r="G360" s="176" t="s">
        <v>127</v>
      </c>
      <c r="H360" s="177">
        <v>4400.0</v>
      </c>
      <c r="I360" s="374" t="s">
        <v>11364</v>
      </c>
      <c r="J360" s="240" t="s">
        <v>11365</v>
      </c>
      <c r="K360" s="242">
        <v>1.0</v>
      </c>
      <c r="L360" s="242">
        <v>3.886534709E9</v>
      </c>
      <c r="N360" s="409">
        <v>46006.0</v>
      </c>
      <c r="O360" s="219" t="s">
        <v>9011</v>
      </c>
      <c r="P360" s="276"/>
      <c r="Q360" s="275" t="s">
        <v>13323</v>
      </c>
      <c r="R360" s="359" t="s">
        <v>13437</v>
      </c>
      <c r="S360" s="276"/>
      <c r="T360" s="276"/>
      <c r="U360" s="276"/>
      <c r="V360" s="276"/>
      <c r="W360" s="276"/>
      <c r="X360" s="276"/>
      <c r="Y360" s="276"/>
      <c r="Z360" s="276"/>
      <c r="AA360" s="276"/>
      <c r="AB360" s="276"/>
      <c r="AC360" s="276"/>
    </row>
    <row r="361">
      <c r="A361" s="108" t="s">
        <v>11362</v>
      </c>
      <c r="B361" s="378">
        <v>46005.0</v>
      </c>
      <c r="C361" s="374">
        <v>8.07000034151E11</v>
      </c>
      <c r="D361" s="374" t="s">
        <v>11183</v>
      </c>
      <c r="E361" s="374" t="s">
        <v>11184</v>
      </c>
      <c r="F361" s="374" t="s">
        <v>11363</v>
      </c>
      <c r="G361" s="176" t="s">
        <v>127</v>
      </c>
      <c r="H361" s="177">
        <v>4400.0</v>
      </c>
      <c r="I361" s="374" t="s">
        <v>985</v>
      </c>
      <c r="J361" s="103" t="s">
        <v>3600</v>
      </c>
      <c r="K361" s="241">
        <v>1.0</v>
      </c>
      <c r="L361" s="242">
        <v>3.886534709E9</v>
      </c>
      <c r="P361" s="276"/>
      <c r="S361" s="276"/>
      <c r="T361" s="276"/>
      <c r="U361" s="276"/>
      <c r="V361" s="276"/>
      <c r="W361" s="276"/>
      <c r="X361" s="276"/>
      <c r="Y361" s="276"/>
      <c r="Z361" s="276"/>
      <c r="AA361" s="276"/>
      <c r="AB361" s="276"/>
      <c r="AC361" s="276"/>
    </row>
    <row r="362">
      <c r="A362" s="108" t="s">
        <v>11366</v>
      </c>
      <c r="B362" s="378">
        <v>46005.0</v>
      </c>
      <c r="C362" s="374">
        <v>8.07000034153E11</v>
      </c>
      <c r="D362" s="374" t="s">
        <v>11367</v>
      </c>
      <c r="E362" s="374" t="s">
        <v>11368</v>
      </c>
      <c r="F362" s="108" t="s">
        <v>11369</v>
      </c>
      <c r="G362" s="108" t="s">
        <v>1986</v>
      </c>
      <c r="H362" s="108">
        <v>4400.0</v>
      </c>
      <c r="I362" s="374" t="s">
        <v>8604</v>
      </c>
      <c r="J362" s="240" t="s">
        <v>8605</v>
      </c>
      <c r="K362" s="242">
        <v>1.0</v>
      </c>
      <c r="L362" s="124">
        <v>3.874423354E9</v>
      </c>
      <c r="N362" s="409">
        <v>46010.0</v>
      </c>
      <c r="O362" s="219" t="s">
        <v>9011</v>
      </c>
      <c r="P362" s="276"/>
      <c r="Q362" s="275" t="s">
        <v>13438</v>
      </c>
      <c r="R362" s="359" t="s">
        <v>13439</v>
      </c>
      <c r="S362" s="276"/>
      <c r="T362" s="276"/>
      <c r="U362" s="276"/>
      <c r="V362" s="276"/>
      <c r="W362" s="276"/>
      <c r="X362" s="276"/>
      <c r="Y362" s="276"/>
      <c r="Z362" s="276"/>
      <c r="AA362" s="276"/>
      <c r="AB362" s="276"/>
      <c r="AC362" s="276"/>
    </row>
    <row r="363">
      <c r="A363" s="108" t="s">
        <v>11366</v>
      </c>
      <c r="B363" s="378">
        <v>46005.0</v>
      </c>
      <c r="C363" s="374">
        <v>8.07000034153E11</v>
      </c>
      <c r="D363" s="374" t="s">
        <v>11367</v>
      </c>
      <c r="E363" s="374" t="s">
        <v>11368</v>
      </c>
      <c r="F363" s="108" t="s">
        <v>11369</v>
      </c>
      <c r="G363" s="108" t="s">
        <v>1986</v>
      </c>
      <c r="H363" s="108">
        <v>4400.0</v>
      </c>
      <c r="I363" s="374" t="s">
        <v>4793</v>
      </c>
      <c r="J363" s="103" t="s">
        <v>4794</v>
      </c>
      <c r="K363" s="241">
        <v>1.0</v>
      </c>
      <c r="L363" s="124">
        <v>3.874423354E9</v>
      </c>
      <c r="P363" s="276"/>
      <c r="S363" s="276"/>
      <c r="T363" s="276"/>
      <c r="U363" s="276"/>
      <c r="V363" s="276"/>
      <c r="W363" s="276"/>
      <c r="X363" s="276"/>
      <c r="Y363" s="276"/>
      <c r="Z363" s="276"/>
      <c r="AA363" s="276"/>
      <c r="AB363" s="276"/>
      <c r="AC363" s="276"/>
    </row>
    <row r="364">
      <c r="A364" s="108" t="s">
        <v>11370</v>
      </c>
      <c r="B364" s="378">
        <v>46005.0</v>
      </c>
      <c r="C364" s="374">
        <v>8.07000034157E11</v>
      </c>
      <c r="D364" s="374" t="s">
        <v>11371</v>
      </c>
      <c r="E364" s="374" t="s">
        <v>11372</v>
      </c>
      <c r="F364" s="108" t="s">
        <v>11373</v>
      </c>
      <c r="G364" s="108" t="s">
        <v>127</v>
      </c>
      <c r="H364" s="108">
        <v>4400.0</v>
      </c>
      <c r="I364" s="374" t="s">
        <v>3334</v>
      </c>
      <c r="J364" s="240" t="s">
        <v>3575</v>
      </c>
      <c r="K364" s="242">
        <v>1.0</v>
      </c>
      <c r="L364" s="124">
        <v>3.875002391E9</v>
      </c>
      <c r="N364" s="409">
        <v>46007.0</v>
      </c>
      <c r="O364" s="219" t="s">
        <v>9011</v>
      </c>
      <c r="P364" s="276"/>
      <c r="Q364" s="275" t="s">
        <v>13440</v>
      </c>
      <c r="R364" s="359" t="s">
        <v>13441</v>
      </c>
      <c r="S364" s="276"/>
      <c r="T364" s="276"/>
      <c r="U364" s="276"/>
      <c r="V364" s="276"/>
      <c r="W364" s="276"/>
      <c r="X364" s="276"/>
      <c r="Y364" s="276"/>
      <c r="Z364" s="276"/>
      <c r="AA364" s="276"/>
      <c r="AB364" s="276"/>
      <c r="AC364" s="276"/>
    </row>
    <row r="365">
      <c r="A365" s="108" t="s">
        <v>11374</v>
      </c>
      <c r="B365" s="378">
        <v>46005.0</v>
      </c>
      <c r="C365" s="374">
        <v>8.07000034154E11</v>
      </c>
      <c r="D365" s="374" t="s">
        <v>11375</v>
      </c>
      <c r="E365" s="374" t="s">
        <v>11376</v>
      </c>
      <c r="F365" s="108" t="s">
        <v>11377</v>
      </c>
      <c r="G365" s="108" t="s">
        <v>127</v>
      </c>
      <c r="H365" s="108">
        <v>4400.0</v>
      </c>
      <c r="I365" s="176">
        <v>125812.0</v>
      </c>
      <c r="J365" s="103" t="s">
        <v>9317</v>
      </c>
      <c r="K365" s="241">
        <v>2.0</v>
      </c>
      <c r="L365" s="124">
        <v>3.874502328E9</v>
      </c>
      <c r="N365" s="409">
        <v>46007.0</v>
      </c>
      <c r="O365" s="219" t="s">
        <v>9011</v>
      </c>
      <c r="P365" s="276"/>
      <c r="Q365" s="275" t="s">
        <v>13442</v>
      </c>
      <c r="R365" s="359" t="s">
        <v>13443</v>
      </c>
      <c r="S365" s="276"/>
      <c r="T365" s="276"/>
      <c r="U365" s="276"/>
      <c r="V365" s="276"/>
      <c r="W365" s="276"/>
      <c r="X365" s="276"/>
      <c r="Y365" s="276"/>
      <c r="Z365" s="276"/>
      <c r="AA365" s="276"/>
      <c r="AB365" s="276"/>
      <c r="AC365" s="276"/>
    </row>
    <row r="366">
      <c r="A366" s="108" t="s">
        <v>11374</v>
      </c>
      <c r="B366" s="378">
        <v>46005.0</v>
      </c>
      <c r="C366" s="374">
        <v>8.07000034154E11</v>
      </c>
      <c r="D366" s="374" t="s">
        <v>11375</v>
      </c>
      <c r="E366" s="374" t="s">
        <v>11376</v>
      </c>
      <c r="F366" s="108" t="s">
        <v>11377</v>
      </c>
      <c r="G366" s="108" t="s">
        <v>127</v>
      </c>
      <c r="H366" s="108">
        <v>4400.0</v>
      </c>
      <c r="I366" s="374" t="s">
        <v>1766</v>
      </c>
      <c r="J366" s="240" t="s">
        <v>8008</v>
      </c>
      <c r="K366" s="242">
        <v>1.0</v>
      </c>
      <c r="L366" s="124">
        <v>3.874502328E9</v>
      </c>
      <c r="P366" s="276"/>
      <c r="S366" s="276"/>
      <c r="T366" s="276"/>
      <c r="U366" s="276"/>
      <c r="V366" s="276"/>
      <c r="W366" s="276"/>
      <c r="X366" s="276"/>
      <c r="Y366" s="276"/>
      <c r="Z366" s="276"/>
      <c r="AA366" s="276"/>
      <c r="AB366" s="276"/>
      <c r="AC366" s="276"/>
    </row>
    <row r="367">
      <c r="A367" s="108" t="s">
        <v>11374</v>
      </c>
      <c r="B367" s="378">
        <v>46005.0</v>
      </c>
      <c r="C367" s="374">
        <v>8.07000034154E11</v>
      </c>
      <c r="D367" s="374" t="s">
        <v>11375</v>
      </c>
      <c r="E367" s="374" t="s">
        <v>11376</v>
      </c>
      <c r="F367" s="108" t="s">
        <v>11377</v>
      </c>
      <c r="G367" s="108" t="s">
        <v>127</v>
      </c>
      <c r="H367" s="108">
        <v>4400.0</v>
      </c>
      <c r="I367" s="374" t="s">
        <v>11083</v>
      </c>
      <c r="J367" s="103" t="s">
        <v>11215</v>
      </c>
      <c r="K367" s="241">
        <v>1.0</v>
      </c>
      <c r="L367" s="124">
        <v>3.874502328E9</v>
      </c>
      <c r="P367" s="276"/>
      <c r="S367" s="276"/>
      <c r="T367" s="276"/>
      <c r="U367" s="276"/>
      <c r="V367" s="276"/>
      <c r="W367" s="276"/>
      <c r="X367" s="276"/>
      <c r="Y367" s="276"/>
      <c r="Z367" s="276"/>
      <c r="AA367" s="276"/>
      <c r="AB367" s="276"/>
      <c r="AC367" s="276"/>
    </row>
    <row r="368">
      <c r="A368" s="108" t="s">
        <v>11374</v>
      </c>
      <c r="B368" s="378">
        <v>46005.0</v>
      </c>
      <c r="C368" s="374">
        <v>8.07000034154E11</v>
      </c>
      <c r="D368" s="374" t="s">
        <v>11375</v>
      </c>
      <c r="E368" s="374" t="s">
        <v>11376</v>
      </c>
      <c r="F368" s="108" t="s">
        <v>11377</v>
      </c>
      <c r="G368" s="108" t="s">
        <v>127</v>
      </c>
      <c r="H368" s="108">
        <v>4400.0</v>
      </c>
      <c r="I368" s="374" t="s">
        <v>512</v>
      </c>
      <c r="J368" s="240" t="s">
        <v>513</v>
      </c>
      <c r="K368" s="242">
        <v>12.0</v>
      </c>
      <c r="L368" s="124">
        <v>3.874502328E9</v>
      </c>
      <c r="P368" s="276"/>
      <c r="S368" s="276"/>
      <c r="T368" s="276"/>
      <c r="U368" s="276"/>
      <c r="V368" s="276"/>
      <c r="W368" s="276"/>
      <c r="X368" s="276"/>
      <c r="Y368" s="276"/>
      <c r="Z368" s="276"/>
      <c r="AA368" s="276"/>
      <c r="AB368" s="276"/>
      <c r="AC368" s="276"/>
    </row>
    <row r="369">
      <c r="A369" s="108" t="s">
        <v>11374</v>
      </c>
      <c r="B369" s="378">
        <v>46005.0</v>
      </c>
      <c r="C369" s="374">
        <v>8.07000034154E11</v>
      </c>
      <c r="D369" s="374" t="s">
        <v>11375</v>
      </c>
      <c r="E369" s="374" t="s">
        <v>11376</v>
      </c>
      <c r="F369" s="108" t="s">
        <v>11377</v>
      </c>
      <c r="G369" s="108" t="s">
        <v>127</v>
      </c>
      <c r="H369" s="108">
        <v>4400.0</v>
      </c>
      <c r="I369" s="374" t="s">
        <v>233</v>
      </c>
      <c r="J369" s="103" t="s">
        <v>3459</v>
      </c>
      <c r="K369" s="241">
        <v>2.0</v>
      </c>
      <c r="L369" s="124">
        <v>3.874502328E9</v>
      </c>
      <c r="P369" s="276"/>
      <c r="S369" s="276"/>
      <c r="T369" s="276"/>
      <c r="U369" s="276"/>
      <c r="V369" s="276"/>
      <c r="W369" s="276"/>
      <c r="X369" s="276"/>
      <c r="Y369" s="276"/>
      <c r="Z369" s="276"/>
      <c r="AA369" s="276"/>
      <c r="AB369" s="276"/>
      <c r="AC369" s="276"/>
    </row>
    <row r="370">
      <c r="A370" s="108" t="s">
        <v>11387</v>
      </c>
      <c r="B370" s="378">
        <v>46007.0</v>
      </c>
      <c r="C370" s="374">
        <v>8.07000034169E11</v>
      </c>
      <c r="D370" s="192"/>
      <c r="E370" s="374" t="s">
        <v>11389</v>
      </c>
      <c r="F370" s="412" t="s">
        <v>11390</v>
      </c>
      <c r="G370" s="108" t="s">
        <v>104</v>
      </c>
      <c r="H370" s="108">
        <v>4400.0</v>
      </c>
      <c r="I370" s="176" t="s">
        <v>512</v>
      </c>
      <c r="J370" s="240" t="s">
        <v>513</v>
      </c>
      <c r="K370" s="242">
        <v>12.0</v>
      </c>
      <c r="L370" s="124">
        <v>3.815427935E9</v>
      </c>
      <c r="M370" s="276"/>
      <c r="N370" s="274">
        <v>46009.0</v>
      </c>
      <c r="O370" s="275" t="s">
        <v>9011</v>
      </c>
      <c r="P370" s="276"/>
      <c r="Q370" s="275" t="s">
        <v>9012</v>
      </c>
      <c r="R370" s="359" t="s">
        <v>13444</v>
      </c>
      <c r="S370" s="276"/>
      <c r="T370" s="276"/>
      <c r="U370" s="276"/>
      <c r="V370" s="276"/>
      <c r="W370" s="276"/>
      <c r="X370" s="276"/>
      <c r="Y370" s="276"/>
      <c r="Z370" s="276"/>
      <c r="AA370" s="276"/>
      <c r="AB370" s="276"/>
      <c r="AC370" s="276"/>
    </row>
    <row r="371">
      <c r="A371" s="108" t="s">
        <v>11387</v>
      </c>
      <c r="B371" s="378">
        <v>46007.0</v>
      </c>
      <c r="C371" s="374">
        <v>8.0700003417E11</v>
      </c>
      <c r="D371" s="374" t="s">
        <v>11388</v>
      </c>
      <c r="E371" s="374" t="s">
        <v>11389</v>
      </c>
      <c r="F371" s="412" t="s">
        <v>11390</v>
      </c>
      <c r="G371" s="108" t="s">
        <v>104</v>
      </c>
      <c r="H371" s="108">
        <v>4400.0</v>
      </c>
      <c r="I371" s="176" t="s">
        <v>3692</v>
      </c>
      <c r="J371" s="103" t="s">
        <v>3693</v>
      </c>
      <c r="K371" s="241">
        <v>2.0</v>
      </c>
      <c r="L371" s="124">
        <v>3.815427935E9</v>
      </c>
      <c r="M371" s="276"/>
      <c r="P371" s="276"/>
      <c r="S371" s="276"/>
      <c r="T371" s="276"/>
      <c r="U371" s="276"/>
      <c r="V371" s="276"/>
      <c r="W371" s="276"/>
      <c r="X371" s="276"/>
      <c r="Y371" s="276"/>
      <c r="Z371" s="276"/>
      <c r="AA371" s="276"/>
      <c r="AB371" s="276"/>
      <c r="AC371" s="276"/>
    </row>
    <row r="372">
      <c r="A372" s="108" t="s">
        <v>11387</v>
      </c>
      <c r="B372" s="378">
        <v>46007.0</v>
      </c>
      <c r="C372" s="374">
        <v>8.0700003417E11</v>
      </c>
      <c r="D372" s="374" t="s">
        <v>11388</v>
      </c>
      <c r="E372" s="374" t="s">
        <v>11389</v>
      </c>
      <c r="F372" s="412" t="s">
        <v>11390</v>
      </c>
      <c r="G372" s="108" t="s">
        <v>104</v>
      </c>
      <c r="H372" s="108">
        <v>4400.0</v>
      </c>
      <c r="I372" s="176" t="s">
        <v>1345</v>
      </c>
      <c r="J372" s="240" t="s">
        <v>3639</v>
      </c>
      <c r="K372" s="242">
        <v>2.0</v>
      </c>
      <c r="L372" s="124">
        <v>3.815427935E9</v>
      </c>
      <c r="M372" s="276"/>
      <c r="P372" s="276"/>
      <c r="S372" s="276"/>
      <c r="T372" s="276"/>
      <c r="U372" s="276"/>
      <c r="V372" s="276"/>
      <c r="W372" s="276"/>
      <c r="X372" s="276"/>
      <c r="Y372" s="276"/>
      <c r="Z372" s="276"/>
      <c r="AA372" s="276"/>
      <c r="AB372" s="276"/>
      <c r="AC372" s="276"/>
    </row>
    <row r="373">
      <c r="A373" s="108" t="s">
        <v>11391</v>
      </c>
      <c r="B373" s="378">
        <v>46008.0</v>
      </c>
      <c r="C373" s="374">
        <v>8.0700003418E11</v>
      </c>
      <c r="D373" s="374" t="s">
        <v>11388</v>
      </c>
      <c r="E373" s="374" t="s">
        <v>11392</v>
      </c>
      <c r="F373" s="177" t="s">
        <v>11393</v>
      </c>
      <c r="G373" s="177" t="s">
        <v>127</v>
      </c>
      <c r="H373" s="177">
        <v>4400.0</v>
      </c>
      <c r="I373" s="176">
        <v>125818.0</v>
      </c>
      <c r="J373" s="240" t="s">
        <v>4334</v>
      </c>
      <c r="K373" s="242">
        <v>2.0</v>
      </c>
      <c r="L373" s="124">
        <v>3.872247819E9</v>
      </c>
      <c r="M373" s="276"/>
      <c r="N373" s="274">
        <v>46010.0</v>
      </c>
      <c r="O373" s="275" t="s">
        <v>9011</v>
      </c>
      <c r="P373" s="276"/>
      <c r="Q373" s="275" t="s">
        <v>13445</v>
      </c>
      <c r="R373" s="359" t="s">
        <v>13446</v>
      </c>
      <c r="S373" s="276"/>
      <c r="T373" s="276"/>
      <c r="U373" s="276"/>
      <c r="V373" s="276"/>
      <c r="W373" s="276"/>
      <c r="X373" s="276"/>
      <c r="Y373" s="276"/>
      <c r="Z373" s="276"/>
      <c r="AA373" s="276"/>
      <c r="AB373" s="276"/>
      <c r="AC373" s="276"/>
    </row>
    <row r="374">
      <c r="A374" s="108" t="s">
        <v>11391</v>
      </c>
      <c r="B374" s="378">
        <v>46008.0</v>
      </c>
      <c r="C374" s="374">
        <v>8.0700003418E11</v>
      </c>
      <c r="D374" s="374" t="s">
        <v>11394</v>
      </c>
      <c r="E374" s="374" t="s">
        <v>11392</v>
      </c>
      <c r="F374" s="177" t="s">
        <v>11393</v>
      </c>
      <c r="G374" s="177" t="s">
        <v>127</v>
      </c>
      <c r="H374" s="177">
        <v>4400.0</v>
      </c>
      <c r="I374" s="176" t="s">
        <v>512</v>
      </c>
      <c r="J374" s="103" t="s">
        <v>513</v>
      </c>
      <c r="K374" s="241">
        <v>6.0</v>
      </c>
      <c r="L374" s="124">
        <v>3.872247819E9</v>
      </c>
      <c r="M374" s="276"/>
      <c r="P374" s="276"/>
      <c r="S374" s="276"/>
      <c r="T374" s="276"/>
      <c r="U374" s="276"/>
      <c r="V374" s="276"/>
      <c r="W374" s="276"/>
      <c r="X374" s="276"/>
      <c r="Y374" s="276"/>
      <c r="Z374" s="276"/>
      <c r="AA374" s="276"/>
      <c r="AB374" s="276"/>
      <c r="AC374" s="276"/>
    </row>
    <row r="375">
      <c r="A375" s="108" t="s">
        <v>11391</v>
      </c>
      <c r="B375" s="378">
        <v>46008.0</v>
      </c>
      <c r="C375" s="374">
        <v>8.07000034181E11</v>
      </c>
      <c r="D375" s="374" t="s">
        <v>11394</v>
      </c>
      <c r="E375" s="374" t="s">
        <v>11392</v>
      </c>
      <c r="F375" s="177" t="s">
        <v>11393</v>
      </c>
      <c r="G375" s="177" t="s">
        <v>127</v>
      </c>
      <c r="H375" s="177">
        <v>4400.0</v>
      </c>
      <c r="I375" s="176" t="s">
        <v>2956</v>
      </c>
      <c r="J375" s="240" t="s">
        <v>3327</v>
      </c>
      <c r="K375" s="242">
        <v>1.0</v>
      </c>
      <c r="L375" s="124">
        <v>3.872247819E9</v>
      </c>
      <c r="M375" s="276"/>
      <c r="P375" s="276"/>
      <c r="S375" s="276"/>
      <c r="T375" s="276"/>
      <c r="U375" s="276"/>
      <c r="V375" s="276"/>
      <c r="W375" s="276"/>
      <c r="X375" s="276"/>
      <c r="Y375" s="276"/>
      <c r="Z375" s="276"/>
      <c r="AA375" s="276"/>
      <c r="AB375" s="276"/>
      <c r="AC375" s="276"/>
    </row>
    <row r="376">
      <c r="A376" s="108" t="s">
        <v>11391</v>
      </c>
      <c r="B376" s="378">
        <v>46008.0</v>
      </c>
      <c r="C376" s="374">
        <v>8.07000034181E11</v>
      </c>
      <c r="D376" s="374" t="s">
        <v>11394</v>
      </c>
      <c r="E376" s="374" t="s">
        <v>11392</v>
      </c>
      <c r="F376" s="177" t="s">
        <v>11393</v>
      </c>
      <c r="G376" s="177" t="s">
        <v>127</v>
      </c>
      <c r="H376" s="177">
        <v>4400.0</v>
      </c>
      <c r="I376" s="176" t="s">
        <v>670</v>
      </c>
      <c r="J376" s="103" t="s">
        <v>3410</v>
      </c>
      <c r="K376" s="241">
        <v>1.0</v>
      </c>
      <c r="L376" s="124">
        <v>3.872247819E9</v>
      </c>
      <c r="M376" s="276"/>
      <c r="P376" s="276"/>
      <c r="S376" s="276"/>
      <c r="T376" s="276"/>
      <c r="U376" s="276"/>
      <c r="V376" s="276"/>
      <c r="W376" s="276"/>
      <c r="X376" s="276"/>
      <c r="Y376" s="276"/>
      <c r="Z376" s="276"/>
      <c r="AA376" s="276"/>
      <c r="AB376" s="276"/>
      <c r="AC376" s="276"/>
    </row>
    <row r="377">
      <c r="A377" s="108" t="s">
        <v>11395</v>
      </c>
      <c r="B377" s="378">
        <v>46008.0</v>
      </c>
      <c r="C377" s="374">
        <v>8.07000034185E11</v>
      </c>
      <c r="D377" s="374" t="s">
        <v>11396</v>
      </c>
      <c r="E377" s="374" t="s">
        <v>11397</v>
      </c>
      <c r="F377" s="177" t="s">
        <v>11398</v>
      </c>
      <c r="G377" s="177" t="s">
        <v>127</v>
      </c>
      <c r="H377" s="177">
        <v>4400.0</v>
      </c>
      <c r="I377" s="176" t="s">
        <v>5262</v>
      </c>
      <c r="J377" s="103" t="s">
        <v>5263</v>
      </c>
      <c r="K377" s="241">
        <v>1.0</v>
      </c>
      <c r="L377" s="124">
        <v>3.874481993E9</v>
      </c>
      <c r="M377" s="276"/>
      <c r="N377" s="274">
        <v>46008.0</v>
      </c>
      <c r="O377" s="275" t="s">
        <v>9011</v>
      </c>
      <c r="P377" s="276"/>
      <c r="Q377" s="275" t="s">
        <v>9012</v>
      </c>
      <c r="R377" s="359" t="s">
        <v>13447</v>
      </c>
      <c r="S377" s="276"/>
      <c r="T377" s="276"/>
      <c r="U377" s="276"/>
      <c r="V377" s="276"/>
      <c r="W377" s="276"/>
      <c r="X377" s="276"/>
      <c r="Y377" s="276"/>
      <c r="Z377" s="276"/>
      <c r="AA377" s="276"/>
      <c r="AB377" s="276"/>
      <c r="AC377" s="276"/>
    </row>
    <row r="378">
      <c r="A378" s="108" t="s">
        <v>11395</v>
      </c>
      <c r="B378" s="378">
        <v>46008.0</v>
      </c>
      <c r="C378" s="374">
        <v>8.07000034185E11</v>
      </c>
      <c r="D378" s="374" t="s">
        <v>11396</v>
      </c>
      <c r="E378" s="374" t="s">
        <v>11397</v>
      </c>
      <c r="F378" s="177" t="s">
        <v>11398</v>
      </c>
      <c r="G378" s="177" t="s">
        <v>127</v>
      </c>
      <c r="H378" s="177">
        <v>4400.0</v>
      </c>
      <c r="I378" s="176" t="s">
        <v>3074</v>
      </c>
      <c r="J378" s="240" t="s">
        <v>3232</v>
      </c>
      <c r="K378" s="242">
        <v>1.0</v>
      </c>
      <c r="L378" s="124">
        <v>3.874481993E9</v>
      </c>
      <c r="M378" s="276"/>
      <c r="P378" s="276"/>
      <c r="S378" s="276"/>
      <c r="T378" s="276"/>
      <c r="U378" s="276"/>
      <c r="V378" s="276"/>
      <c r="W378" s="276"/>
      <c r="X378" s="276"/>
      <c r="Y378" s="276"/>
      <c r="Z378" s="276"/>
      <c r="AA378" s="276"/>
      <c r="AB378" s="276"/>
      <c r="AC378" s="276"/>
    </row>
    <row r="379">
      <c r="A379" s="108" t="s">
        <v>11395</v>
      </c>
      <c r="B379" s="378">
        <v>46008.0</v>
      </c>
      <c r="C379" s="374">
        <v>8.07000034186E11</v>
      </c>
      <c r="D379" s="374" t="s">
        <v>11396</v>
      </c>
      <c r="E379" s="374" t="s">
        <v>11397</v>
      </c>
      <c r="F379" s="177" t="s">
        <v>11398</v>
      </c>
      <c r="G379" s="177" t="s">
        <v>127</v>
      </c>
      <c r="H379" s="177">
        <v>4400.0</v>
      </c>
      <c r="I379" s="176" t="s">
        <v>4070</v>
      </c>
      <c r="J379" s="103" t="s">
        <v>6264</v>
      </c>
      <c r="K379" s="241">
        <v>1.0</v>
      </c>
      <c r="L379" s="124">
        <v>3.874481993E9</v>
      </c>
      <c r="M379" s="276"/>
      <c r="P379" s="276"/>
      <c r="S379" s="276"/>
      <c r="T379" s="276"/>
      <c r="U379" s="276"/>
      <c r="V379" s="276"/>
      <c r="W379" s="276"/>
      <c r="X379" s="276"/>
      <c r="Y379" s="276"/>
      <c r="Z379" s="276"/>
      <c r="AA379" s="276"/>
      <c r="AB379" s="276"/>
      <c r="AC379" s="276"/>
    </row>
    <row r="380">
      <c r="A380" s="108" t="s">
        <v>11399</v>
      </c>
      <c r="B380" s="378">
        <v>46008.0</v>
      </c>
      <c r="C380" s="374">
        <v>8.07000034166E11</v>
      </c>
      <c r="D380" s="374" t="s">
        <v>11400</v>
      </c>
      <c r="E380" s="374" t="s">
        <v>11401</v>
      </c>
      <c r="F380" s="177" t="s">
        <v>11402</v>
      </c>
      <c r="G380" s="177" t="s">
        <v>127</v>
      </c>
      <c r="H380" s="177">
        <v>4400.0</v>
      </c>
      <c r="I380" s="176">
        <v>125814.0</v>
      </c>
      <c r="J380" s="240" t="s">
        <v>9798</v>
      </c>
      <c r="K380" s="242">
        <v>1.0</v>
      </c>
      <c r="L380" s="124">
        <v>3.876854986E9</v>
      </c>
      <c r="M380" s="276"/>
      <c r="N380" s="274">
        <v>46010.0</v>
      </c>
      <c r="O380" s="275" t="s">
        <v>9011</v>
      </c>
      <c r="P380" s="276"/>
      <c r="Q380" s="275" t="s">
        <v>13448</v>
      </c>
      <c r="R380" s="359" t="s">
        <v>13449</v>
      </c>
      <c r="S380" s="276"/>
      <c r="T380" s="276"/>
      <c r="U380" s="276"/>
      <c r="V380" s="276"/>
      <c r="W380" s="276"/>
      <c r="X380" s="276"/>
      <c r="Y380" s="276"/>
      <c r="Z380" s="276"/>
      <c r="AA380" s="276"/>
      <c r="AB380" s="276"/>
      <c r="AC380" s="276"/>
    </row>
    <row r="381">
      <c r="A381" s="108" t="s">
        <v>11399</v>
      </c>
      <c r="B381" s="378">
        <v>46008.0</v>
      </c>
      <c r="C381" s="374">
        <v>8.07000034166E11</v>
      </c>
      <c r="D381" s="374" t="s">
        <v>11400</v>
      </c>
      <c r="E381" s="374" t="s">
        <v>11401</v>
      </c>
      <c r="F381" s="177" t="s">
        <v>11402</v>
      </c>
      <c r="G381" s="177" t="s">
        <v>127</v>
      </c>
      <c r="H381" s="177">
        <v>4400.0</v>
      </c>
      <c r="I381" s="176" t="s">
        <v>5185</v>
      </c>
      <c r="J381" s="103" t="s">
        <v>5186</v>
      </c>
      <c r="K381" s="241">
        <v>1.0</v>
      </c>
      <c r="L381" s="124">
        <v>3.876854986E9</v>
      </c>
      <c r="M381" s="276"/>
      <c r="P381" s="276"/>
      <c r="S381" s="276"/>
      <c r="T381" s="276"/>
      <c r="U381" s="276"/>
      <c r="V381" s="276"/>
      <c r="W381" s="276"/>
      <c r="X381" s="276"/>
      <c r="Y381" s="276"/>
      <c r="Z381" s="276"/>
      <c r="AA381" s="276"/>
      <c r="AB381" s="276"/>
      <c r="AC381" s="276"/>
    </row>
    <row r="382">
      <c r="A382" s="108" t="s">
        <v>11399</v>
      </c>
      <c r="B382" s="378">
        <v>46008.0</v>
      </c>
      <c r="C382" s="374">
        <v>8.07000034166E11</v>
      </c>
      <c r="D382" s="374" t="s">
        <v>11400</v>
      </c>
      <c r="E382" s="374" t="s">
        <v>11401</v>
      </c>
      <c r="F382" s="177" t="s">
        <v>11402</v>
      </c>
      <c r="G382" s="177" t="s">
        <v>127</v>
      </c>
      <c r="H382" s="177">
        <v>4400.0</v>
      </c>
      <c r="I382" s="176" t="s">
        <v>512</v>
      </c>
      <c r="J382" s="240" t="s">
        <v>513</v>
      </c>
      <c r="K382" s="242">
        <v>6.0</v>
      </c>
      <c r="L382" s="124">
        <v>3.876854986E9</v>
      </c>
      <c r="M382" s="276"/>
      <c r="P382" s="276"/>
      <c r="S382" s="276"/>
      <c r="T382" s="276"/>
      <c r="U382" s="276"/>
      <c r="V382" s="276"/>
      <c r="W382" s="276"/>
      <c r="X382" s="276"/>
      <c r="Y382" s="276"/>
      <c r="Z382" s="276"/>
      <c r="AA382" s="276"/>
      <c r="AB382" s="276"/>
      <c r="AC382" s="276"/>
    </row>
    <row r="383">
      <c r="A383" s="108" t="s">
        <v>11399</v>
      </c>
      <c r="B383" s="378">
        <v>46008.0</v>
      </c>
      <c r="C383" s="374">
        <v>8.07000034166E11</v>
      </c>
      <c r="D383" s="374" t="s">
        <v>11400</v>
      </c>
      <c r="E383" s="374" t="s">
        <v>11401</v>
      </c>
      <c r="F383" s="177" t="s">
        <v>11402</v>
      </c>
      <c r="G383" s="177" t="s">
        <v>127</v>
      </c>
      <c r="H383" s="177">
        <v>4400.0</v>
      </c>
      <c r="I383" s="176" t="s">
        <v>2031</v>
      </c>
      <c r="J383" s="103" t="s">
        <v>3348</v>
      </c>
      <c r="K383" s="241">
        <v>1.0</v>
      </c>
      <c r="L383" s="124">
        <v>3.876854986E9</v>
      </c>
      <c r="M383" s="276"/>
      <c r="P383" s="276"/>
      <c r="S383" s="276"/>
      <c r="T383" s="276"/>
      <c r="U383" s="276"/>
      <c r="V383" s="276"/>
      <c r="W383" s="276"/>
      <c r="X383" s="276"/>
      <c r="Y383" s="276"/>
      <c r="Z383" s="276"/>
      <c r="AA383" s="276"/>
      <c r="AB383" s="276"/>
      <c r="AC383" s="276"/>
    </row>
    <row r="384">
      <c r="A384" s="108" t="s">
        <v>11403</v>
      </c>
      <c r="B384" s="378">
        <v>46008.0</v>
      </c>
      <c r="C384" s="374">
        <v>8.07000034178E11</v>
      </c>
      <c r="D384" s="374" t="s">
        <v>11404</v>
      </c>
      <c r="E384" s="374" t="s">
        <v>11405</v>
      </c>
      <c r="F384" s="177" t="s">
        <v>11406</v>
      </c>
      <c r="G384" s="177" t="s">
        <v>127</v>
      </c>
      <c r="H384" s="177">
        <v>4400.0</v>
      </c>
      <c r="I384" s="176" t="s">
        <v>280</v>
      </c>
      <c r="J384" s="240" t="s">
        <v>5669</v>
      </c>
      <c r="K384" s="242">
        <v>1.0</v>
      </c>
      <c r="L384" s="124">
        <v>1.132447914E9</v>
      </c>
      <c r="M384" s="276"/>
      <c r="N384" s="274">
        <v>46010.0</v>
      </c>
      <c r="O384" s="275" t="s">
        <v>9011</v>
      </c>
      <c r="P384" s="276"/>
      <c r="Q384" s="275" t="s">
        <v>13450</v>
      </c>
      <c r="R384" s="359" t="s">
        <v>13451</v>
      </c>
      <c r="S384" s="276"/>
      <c r="T384" s="276"/>
      <c r="U384" s="276"/>
      <c r="V384" s="276"/>
      <c r="W384" s="276"/>
      <c r="X384" s="276"/>
      <c r="Y384" s="276"/>
      <c r="Z384" s="276"/>
      <c r="AA384" s="276"/>
      <c r="AB384" s="276"/>
      <c r="AC384" s="276"/>
    </row>
    <row r="385">
      <c r="A385" s="108" t="s">
        <v>11403</v>
      </c>
      <c r="B385" s="378">
        <v>46008.0</v>
      </c>
      <c r="C385" s="374">
        <v>8.07000034178E11</v>
      </c>
      <c r="D385" s="374" t="s">
        <v>11404</v>
      </c>
      <c r="E385" s="374" t="s">
        <v>11405</v>
      </c>
      <c r="F385" s="177" t="s">
        <v>11406</v>
      </c>
      <c r="G385" s="177" t="s">
        <v>127</v>
      </c>
      <c r="H385" s="177">
        <v>4400.0</v>
      </c>
      <c r="I385" s="176" t="s">
        <v>512</v>
      </c>
      <c r="J385" s="103" t="s">
        <v>513</v>
      </c>
      <c r="K385" s="241">
        <v>12.0</v>
      </c>
      <c r="L385" s="124">
        <v>1.132447914E9</v>
      </c>
      <c r="M385" s="276"/>
      <c r="P385" s="276"/>
      <c r="S385" s="276"/>
      <c r="T385" s="276"/>
      <c r="U385" s="276"/>
      <c r="V385" s="276"/>
      <c r="W385" s="276"/>
      <c r="X385" s="276"/>
      <c r="Y385" s="276"/>
      <c r="Z385" s="276"/>
      <c r="AA385" s="276"/>
      <c r="AB385" s="276"/>
      <c r="AC385" s="276"/>
    </row>
    <row r="386">
      <c r="A386" s="108" t="s">
        <v>11403</v>
      </c>
      <c r="B386" s="378">
        <v>46008.0</v>
      </c>
      <c r="C386" s="374">
        <v>8.07000034178E11</v>
      </c>
      <c r="D386" s="374" t="s">
        <v>11404</v>
      </c>
      <c r="E386" s="374" t="s">
        <v>11405</v>
      </c>
      <c r="F386" s="177" t="s">
        <v>11406</v>
      </c>
      <c r="G386" s="177" t="s">
        <v>127</v>
      </c>
      <c r="H386" s="177">
        <v>4400.0</v>
      </c>
      <c r="I386" s="176" t="s">
        <v>340</v>
      </c>
      <c r="J386" s="240" t="s">
        <v>3486</v>
      </c>
      <c r="K386" s="242">
        <v>2.0</v>
      </c>
      <c r="L386" s="124">
        <v>1.132447914E9</v>
      </c>
      <c r="M386" s="276"/>
      <c r="P386" s="276"/>
      <c r="S386" s="276"/>
      <c r="T386" s="276"/>
      <c r="U386" s="276"/>
      <c r="V386" s="276"/>
      <c r="W386" s="276"/>
      <c r="X386" s="276"/>
      <c r="Y386" s="276"/>
      <c r="Z386" s="276"/>
      <c r="AA386" s="276"/>
      <c r="AB386" s="276"/>
      <c r="AC386" s="276"/>
    </row>
    <row r="387">
      <c r="A387" s="108" t="s">
        <v>11403</v>
      </c>
      <c r="B387" s="378">
        <v>46008.0</v>
      </c>
      <c r="C387" s="374">
        <v>8.07000034179E11</v>
      </c>
      <c r="D387" s="374" t="s">
        <v>11404</v>
      </c>
      <c r="E387" s="374" t="s">
        <v>11405</v>
      </c>
      <c r="F387" s="177" t="s">
        <v>11406</v>
      </c>
      <c r="G387" s="177" t="s">
        <v>127</v>
      </c>
      <c r="H387" s="177">
        <v>4400.0</v>
      </c>
      <c r="I387" s="176" t="s">
        <v>812</v>
      </c>
      <c r="J387" s="103" t="s">
        <v>3564</v>
      </c>
      <c r="K387" s="241">
        <v>1.0</v>
      </c>
      <c r="L387" s="124">
        <v>1.132447914E9</v>
      </c>
      <c r="M387" s="276"/>
      <c r="P387" s="276"/>
      <c r="S387" s="276"/>
      <c r="T387" s="276"/>
      <c r="U387" s="276"/>
      <c r="V387" s="276"/>
      <c r="W387" s="276"/>
      <c r="X387" s="276"/>
      <c r="Y387" s="276"/>
      <c r="Z387" s="276"/>
      <c r="AA387" s="276"/>
      <c r="AB387" s="276"/>
      <c r="AC387" s="276"/>
    </row>
    <row r="388">
      <c r="A388" s="108" t="s">
        <v>11407</v>
      </c>
      <c r="B388" s="378">
        <v>46008.0</v>
      </c>
      <c r="C388" s="374">
        <v>8.07000034182E11</v>
      </c>
      <c r="D388" s="374" t="s">
        <v>11408</v>
      </c>
      <c r="E388" s="374" t="s">
        <v>11409</v>
      </c>
      <c r="F388" s="177" t="s">
        <v>11410</v>
      </c>
      <c r="G388" s="177" t="s">
        <v>127</v>
      </c>
      <c r="H388" s="177">
        <v>4400.0</v>
      </c>
      <c r="I388" s="176">
        <v>125818.0</v>
      </c>
      <c r="J388" s="240" t="s">
        <v>4334</v>
      </c>
      <c r="K388" s="242">
        <v>2.0</v>
      </c>
      <c r="L388" s="124">
        <v>3.874133412E9</v>
      </c>
      <c r="M388" s="276"/>
      <c r="N388" s="274">
        <v>46009.0</v>
      </c>
      <c r="O388" s="275" t="s">
        <v>9011</v>
      </c>
      <c r="P388" s="276"/>
      <c r="Q388" s="275" t="s">
        <v>13452</v>
      </c>
      <c r="R388" s="359" t="s">
        <v>13453</v>
      </c>
      <c r="S388" s="276"/>
      <c r="T388" s="276"/>
      <c r="U388" s="276"/>
      <c r="V388" s="276"/>
      <c r="W388" s="276"/>
      <c r="X388" s="276"/>
      <c r="Y388" s="276"/>
      <c r="Z388" s="276"/>
      <c r="AA388" s="276"/>
      <c r="AB388" s="276"/>
      <c r="AC388" s="276"/>
    </row>
    <row r="389">
      <c r="A389" s="108" t="s">
        <v>11407</v>
      </c>
      <c r="B389" s="378">
        <v>46008.0</v>
      </c>
      <c r="C389" s="374">
        <v>8.07000034182E11</v>
      </c>
      <c r="D389" s="374" t="s">
        <v>11408</v>
      </c>
      <c r="E389" s="374" t="s">
        <v>11409</v>
      </c>
      <c r="F389" s="177" t="s">
        <v>11410</v>
      </c>
      <c r="G389" s="177" t="s">
        <v>127</v>
      </c>
      <c r="H389" s="177">
        <v>4400.0</v>
      </c>
      <c r="I389" s="176" t="s">
        <v>512</v>
      </c>
      <c r="J389" s="103" t="s">
        <v>513</v>
      </c>
      <c r="K389" s="241">
        <v>6.0</v>
      </c>
      <c r="L389" s="124">
        <v>3.874133412E9</v>
      </c>
      <c r="M389" s="276"/>
      <c r="P389" s="276"/>
      <c r="S389" s="276"/>
      <c r="T389" s="276"/>
      <c r="U389" s="276"/>
      <c r="V389" s="276"/>
      <c r="W389" s="276"/>
      <c r="X389" s="276"/>
      <c r="Y389" s="276"/>
      <c r="Z389" s="276"/>
      <c r="AA389" s="276"/>
      <c r="AB389" s="276"/>
      <c r="AC389" s="276"/>
    </row>
    <row r="390">
      <c r="A390" s="108" t="s">
        <v>11407</v>
      </c>
      <c r="B390" s="378">
        <v>46008.0</v>
      </c>
      <c r="C390" s="374">
        <v>8.07000034183E11</v>
      </c>
      <c r="D390" s="374" t="s">
        <v>11408</v>
      </c>
      <c r="E390" s="374" t="s">
        <v>11409</v>
      </c>
      <c r="F390" s="177" t="s">
        <v>11410</v>
      </c>
      <c r="G390" s="177" t="s">
        <v>127</v>
      </c>
      <c r="H390" s="177">
        <v>4400.0</v>
      </c>
      <c r="I390" s="176" t="s">
        <v>8604</v>
      </c>
      <c r="J390" s="240" t="s">
        <v>8605</v>
      </c>
      <c r="K390" s="242">
        <v>1.0</v>
      </c>
      <c r="L390" s="124">
        <v>3.874133412E9</v>
      </c>
      <c r="M390" s="276"/>
      <c r="P390" s="276"/>
      <c r="S390" s="276"/>
      <c r="T390" s="276"/>
      <c r="U390" s="276"/>
      <c r="V390" s="276"/>
      <c r="W390" s="276"/>
      <c r="X390" s="276"/>
      <c r="Y390" s="276"/>
      <c r="Z390" s="276"/>
      <c r="AA390" s="276"/>
      <c r="AB390" s="276"/>
      <c r="AC390" s="276"/>
    </row>
    <row r="391">
      <c r="A391" s="108" t="s">
        <v>11407</v>
      </c>
      <c r="B391" s="378">
        <v>46008.0</v>
      </c>
      <c r="C391" s="374">
        <v>8.07000034184E11</v>
      </c>
      <c r="D391" s="374" t="s">
        <v>11408</v>
      </c>
      <c r="E391" s="374" t="s">
        <v>11409</v>
      </c>
      <c r="F391" s="177" t="s">
        <v>11410</v>
      </c>
      <c r="G391" s="177" t="s">
        <v>127</v>
      </c>
      <c r="H391" s="177">
        <v>4400.0</v>
      </c>
      <c r="I391" s="176" t="s">
        <v>1345</v>
      </c>
      <c r="J391" s="103" t="s">
        <v>3639</v>
      </c>
      <c r="K391" s="241">
        <v>1.0</v>
      </c>
      <c r="L391" s="124">
        <v>3.874133412E9</v>
      </c>
      <c r="M391" s="276"/>
      <c r="P391" s="276"/>
      <c r="S391" s="276"/>
      <c r="T391" s="276"/>
      <c r="U391" s="276"/>
      <c r="V391" s="276"/>
      <c r="W391" s="276"/>
      <c r="X391" s="276"/>
      <c r="Y391" s="276"/>
      <c r="Z391" s="276"/>
      <c r="AA391" s="276"/>
      <c r="AB391" s="276"/>
      <c r="AC391" s="276"/>
    </row>
    <row r="392">
      <c r="A392" s="108" t="s">
        <v>11411</v>
      </c>
      <c r="B392" s="378">
        <v>46008.0</v>
      </c>
      <c r="C392" s="374">
        <v>8.07000034191E11</v>
      </c>
      <c r="D392" s="374" t="s">
        <v>11412</v>
      </c>
      <c r="E392" s="374" t="s">
        <v>11413</v>
      </c>
      <c r="F392" s="177" t="s">
        <v>11414</v>
      </c>
      <c r="G392" s="177" t="s">
        <v>104</v>
      </c>
      <c r="H392" s="177">
        <v>4400.0</v>
      </c>
      <c r="I392" s="176" t="s">
        <v>32</v>
      </c>
      <c r="J392" s="103" t="s">
        <v>3225</v>
      </c>
      <c r="K392" s="241">
        <v>1.0</v>
      </c>
      <c r="L392" s="124">
        <v>1.12380258E9</v>
      </c>
      <c r="M392" s="276"/>
      <c r="N392" s="274">
        <v>46008.0</v>
      </c>
      <c r="O392" s="275" t="s">
        <v>9011</v>
      </c>
      <c r="P392" s="276"/>
      <c r="Q392" s="275" t="s">
        <v>13454</v>
      </c>
      <c r="R392" s="359" t="s">
        <v>13455</v>
      </c>
      <c r="S392" s="276"/>
      <c r="T392" s="276"/>
      <c r="U392" s="276"/>
      <c r="V392" s="276"/>
      <c r="W392" s="276"/>
      <c r="X392" s="276"/>
      <c r="Y392" s="276"/>
      <c r="Z392" s="276"/>
      <c r="AA392" s="276"/>
      <c r="AB392" s="276"/>
      <c r="AC392" s="276"/>
    </row>
    <row r="393">
      <c r="A393" s="108" t="s">
        <v>11411</v>
      </c>
      <c r="B393" s="378">
        <v>46008.0</v>
      </c>
      <c r="C393" s="374">
        <v>8.07000034191E11</v>
      </c>
      <c r="D393" s="374" t="s">
        <v>11412</v>
      </c>
      <c r="E393" s="374" t="s">
        <v>11413</v>
      </c>
      <c r="F393" s="177" t="s">
        <v>11414</v>
      </c>
      <c r="G393" s="177" t="s">
        <v>104</v>
      </c>
      <c r="H393" s="177">
        <v>4400.0</v>
      </c>
      <c r="I393" s="176" t="s">
        <v>512</v>
      </c>
      <c r="J393" s="240" t="s">
        <v>513</v>
      </c>
      <c r="K393" s="242">
        <v>6.0</v>
      </c>
      <c r="L393" s="124">
        <v>1.12380258E9</v>
      </c>
      <c r="M393" s="276"/>
      <c r="P393" s="276"/>
      <c r="S393" s="276"/>
      <c r="T393" s="276"/>
      <c r="U393" s="276"/>
      <c r="V393" s="276"/>
      <c r="W393" s="276"/>
      <c r="X393" s="276"/>
      <c r="Y393" s="276"/>
      <c r="Z393" s="276"/>
      <c r="AA393" s="276"/>
      <c r="AB393" s="276"/>
      <c r="AC393" s="276"/>
    </row>
    <row r="394">
      <c r="A394" s="108" t="s">
        <v>11411</v>
      </c>
      <c r="B394" s="378">
        <v>46008.0</v>
      </c>
      <c r="C394" s="374">
        <v>8.07000034191E11</v>
      </c>
      <c r="D394" s="374" t="s">
        <v>11412</v>
      </c>
      <c r="E394" s="374" t="s">
        <v>11413</v>
      </c>
      <c r="F394" s="177" t="s">
        <v>11414</v>
      </c>
      <c r="G394" s="177" t="s">
        <v>104</v>
      </c>
      <c r="H394" s="177">
        <v>4400.0</v>
      </c>
      <c r="I394" s="176" t="s">
        <v>35</v>
      </c>
      <c r="J394" s="103" t="s">
        <v>3188</v>
      </c>
      <c r="K394" s="241">
        <v>1.0</v>
      </c>
      <c r="L394" s="124">
        <v>1.12380258E9</v>
      </c>
      <c r="M394" s="276"/>
      <c r="P394" s="276"/>
      <c r="S394" s="276"/>
      <c r="T394" s="276"/>
      <c r="U394" s="276"/>
      <c r="V394" s="276"/>
      <c r="W394" s="276"/>
      <c r="X394" s="276"/>
      <c r="Y394" s="276"/>
      <c r="Z394" s="276"/>
      <c r="AA394" s="276"/>
      <c r="AB394" s="276"/>
      <c r="AC394" s="276"/>
    </row>
    <row r="395">
      <c r="A395" s="108" t="s">
        <v>11415</v>
      </c>
      <c r="B395" s="378">
        <v>46008.0</v>
      </c>
      <c r="C395" s="374">
        <v>8.07000034194E11</v>
      </c>
      <c r="D395" s="374" t="s">
        <v>11416</v>
      </c>
      <c r="E395" s="374" t="s">
        <v>11417</v>
      </c>
      <c r="F395" s="177" t="s">
        <v>11418</v>
      </c>
      <c r="G395" s="177" t="s">
        <v>104</v>
      </c>
      <c r="H395" s="177">
        <v>4400.0</v>
      </c>
      <c r="I395" s="176" t="s">
        <v>4976</v>
      </c>
      <c r="J395" s="103" t="s">
        <v>4977</v>
      </c>
      <c r="K395" s="241">
        <v>1.0</v>
      </c>
      <c r="L395" s="124">
        <v>3.874022828E9</v>
      </c>
      <c r="M395" s="276"/>
      <c r="N395" s="274">
        <v>46010.0</v>
      </c>
      <c r="O395" s="275" t="s">
        <v>9011</v>
      </c>
      <c r="P395" s="276"/>
      <c r="Q395" s="275" t="s">
        <v>13456</v>
      </c>
      <c r="R395" s="359" t="s">
        <v>13457</v>
      </c>
      <c r="S395" s="276"/>
      <c r="T395" s="276"/>
      <c r="U395" s="276"/>
      <c r="V395" s="276"/>
      <c r="W395" s="276"/>
      <c r="X395" s="276"/>
      <c r="Y395" s="276"/>
      <c r="Z395" s="276"/>
      <c r="AA395" s="276"/>
      <c r="AB395" s="276"/>
      <c r="AC395" s="276"/>
    </row>
    <row r="396">
      <c r="A396" s="108" t="s">
        <v>11415</v>
      </c>
      <c r="B396" s="378">
        <v>46008.0</v>
      </c>
      <c r="C396" s="374">
        <v>8.07000034195E11</v>
      </c>
      <c r="D396" s="374" t="s">
        <v>11416</v>
      </c>
      <c r="E396" s="374" t="s">
        <v>11417</v>
      </c>
      <c r="F396" s="177" t="s">
        <v>11418</v>
      </c>
      <c r="G396" s="177" t="s">
        <v>104</v>
      </c>
      <c r="H396" s="177">
        <v>4400.0</v>
      </c>
      <c r="I396" s="176" t="s">
        <v>4070</v>
      </c>
      <c r="J396" s="240" t="s">
        <v>6264</v>
      </c>
      <c r="K396" s="242">
        <v>1.0</v>
      </c>
      <c r="L396" s="124">
        <v>3.874022828E9</v>
      </c>
      <c r="M396" s="276"/>
      <c r="P396" s="276"/>
      <c r="S396" s="276"/>
      <c r="T396" s="276"/>
      <c r="U396" s="276"/>
      <c r="V396" s="276"/>
      <c r="W396" s="276"/>
      <c r="X396" s="276"/>
      <c r="Y396" s="276"/>
      <c r="Z396" s="276"/>
      <c r="AA396" s="276"/>
      <c r="AB396" s="276"/>
      <c r="AC396" s="276"/>
    </row>
    <row r="397">
      <c r="A397" s="108" t="s">
        <v>11419</v>
      </c>
      <c r="B397" s="378">
        <v>46008.0</v>
      </c>
      <c r="C397" s="374">
        <v>8.05011562663E11</v>
      </c>
      <c r="D397" s="374" t="s">
        <v>11420</v>
      </c>
      <c r="E397" s="374" t="s">
        <v>11421</v>
      </c>
      <c r="F397" s="177" t="s">
        <v>11422</v>
      </c>
      <c r="G397" s="177" t="s">
        <v>4501</v>
      </c>
      <c r="H397" s="177">
        <v>4190.0</v>
      </c>
      <c r="I397" s="176" t="s">
        <v>3054</v>
      </c>
      <c r="J397" s="240" t="s">
        <v>3346</v>
      </c>
      <c r="K397" s="242">
        <v>1.0</v>
      </c>
      <c r="L397" s="124">
        <v>3.876634991E9</v>
      </c>
      <c r="M397" s="276"/>
      <c r="N397" s="363">
        <v>46382.0</v>
      </c>
      <c r="O397" s="275" t="s">
        <v>9011</v>
      </c>
      <c r="P397" s="276"/>
      <c r="Q397" s="275" t="s">
        <v>13458</v>
      </c>
      <c r="R397" s="359" t="s">
        <v>13459</v>
      </c>
      <c r="S397" s="276"/>
      <c r="T397" s="276"/>
      <c r="U397" s="276"/>
      <c r="V397" s="276"/>
      <c r="W397" s="276"/>
      <c r="X397" s="276"/>
      <c r="Y397" s="276"/>
      <c r="Z397" s="276"/>
      <c r="AA397" s="276"/>
      <c r="AB397" s="276"/>
      <c r="AC397" s="276"/>
    </row>
    <row r="398">
      <c r="A398" s="108" t="s">
        <v>11419</v>
      </c>
      <c r="B398" s="378">
        <v>46008.0</v>
      </c>
      <c r="C398" s="374">
        <v>8.05011562663E11</v>
      </c>
      <c r="D398" s="374" t="s">
        <v>11420</v>
      </c>
      <c r="E398" s="374" t="s">
        <v>11421</v>
      </c>
      <c r="F398" s="177" t="s">
        <v>11422</v>
      </c>
      <c r="G398" s="177" t="s">
        <v>4501</v>
      </c>
      <c r="H398" s="177">
        <v>4190.0</v>
      </c>
      <c r="I398" s="176" t="s">
        <v>512</v>
      </c>
      <c r="J398" s="103" t="s">
        <v>513</v>
      </c>
      <c r="K398" s="241">
        <v>6.0</v>
      </c>
      <c r="L398" s="124">
        <v>3.876634991E9</v>
      </c>
      <c r="M398" s="276"/>
      <c r="P398" s="276"/>
      <c r="S398" s="276"/>
      <c r="T398" s="276"/>
      <c r="U398" s="276"/>
      <c r="V398" s="276"/>
      <c r="W398" s="276"/>
      <c r="X398" s="276"/>
      <c r="Y398" s="276"/>
      <c r="Z398" s="276"/>
      <c r="AA398" s="276"/>
      <c r="AB398" s="276"/>
      <c r="AC398" s="276"/>
    </row>
    <row r="399">
      <c r="A399" s="108" t="s">
        <v>11419</v>
      </c>
      <c r="B399" s="378">
        <v>46008.0</v>
      </c>
      <c r="C399" s="374">
        <v>8.05011562663E11</v>
      </c>
      <c r="D399" s="374" t="s">
        <v>11420</v>
      </c>
      <c r="E399" s="374" t="s">
        <v>11421</v>
      </c>
      <c r="F399" s="177" t="s">
        <v>11422</v>
      </c>
      <c r="G399" s="177" t="s">
        <v>4501</v>
      </c>
      <c r="H399" s="177">
        <v>4190.0</v>
      </c>
      <c r="I399" s="176" t="s">
        <v>2031</v>
      </c>
      <c r="J399" s="240" t="s">
        <v>3348</v>
      </c>
      <c r="K399" s="242">
        <v>1.0</v>
      </c>
      <c r="L399" s="124">
        <v>3.876634991E9</v>
      </c>
      <c r="M399" s="276"/>
      <c r="P399" s="276"/>
      <c r="S399" s="276"/>
      <c r="T399" s="276"/>
      <c r="U399" s="276"/>
      <c r="V399" s="276"/>
      <c r="W399" s="276"/>
      <c r="X399" s="276"/>
      <c r="Y399" s="276"/>
      <c r="Z399" s="276"/>
      <c r="AA399" s="276"/>
      <c r="AB399" s="276"/>
      <c r="AC399" s="276"/>
    </row>
    <row r="400">
      <c r="A400" s="108" t="s">
        <v>11423</v>
      </c>
      <c r="B400" s="378">
        <v>46009.0</v>
      </c>
      <c r="C400" s="374">
        <v>8.07000034198E11</v>
      </c>
      <c r="D400" s="374" t="s">
        <v>11424</v>
      </c>
      <c r="E400" s="374" t="s">
        <v>11425</v>
      </c>
      <c r="F400" s="177" t="s">
        <v>11426</v>
      </c>
      <c r="G400" s="177" t="s">
        <v>4645</v>
      </c>
      <c r="H400" s="177">
        <v>4400.0</v>
      </c>
      <c r="I400" s="176">
        <v>125818.0</v>
      </c>
      <c r="J400" s="240" t="s">
        <v>4334</v>
      </c>
      <c r="K400" s="242">
        <v>2.0</v>
      </c>
      <c r="L400" s="124">
        <v>3.874558838E9</v>
      </c>
      <c r="M400" s="276"/>
      <c r="N400" s="274">
        <v>46011.0</v>
      </c>
      <c r="O400" s="275" t="s">
        <v>9011</v>
      </c>
      <c r="P400" s="276"/>
      <c r="Q400" s="275" t="s">
        <v>9012</v>
      </c>
      <c r="R400" s="359" t="s">
        <v>13460</v>
      </c>
      <c r="S400" s="276"/>
      <c r="T400" s="276"/>
      <c r="U400" s="276"/>
      <c r="V400" s="276"/>
      <c r="W400" s="276"/>
      <c r="X400" s="276"/>
      <c r="Y400" s="276"/>
      <c r="Z400" s="276"/>
      <c r="AA400" s="276"/>
      <c r="AB400" s="276"/>
      <c r="AC400" s="276"/>
    </row>
    <row r="401">
      <c r="A401" s="108" t="s">
        <v>11423</v>
      </c>
      <c r="B401" s="378">
        <v>46009.0</v>
      </c>
      <c r="C401" s="374">
        <v>8.07000034198E11</v>
      </c>
      <c r="D401" s="374" t="s">
        <v>11424</v>
      </c>
      <c r="E401" s="374" t="s">
        <v>11425</v>
      </c>
      <c r="F401" s="177" t="s">
        <v>11426</v>
      </c>
      <c r="G401" s="177" t="s">
        <v>4645</v>
      </c>
      <c r="H401" s="177">
        <v>4400.0</v>
      </c>
      <c r="I401" s="176" t="s">
        <v>761</v>
      </c>
      <c r="J401" s="103" t="s">
        <v>3761</v>
      </c>
      <c r="K401" s="241">
        <v>1.0</v>
      </c>
      <c r="L401" s="124">
        <v>3.874558838E9</v>
      </c>
      <c r="M401" s="276"/>
      <c r="P401" s="276"/>
      <c r="S401" s="276"/>
      <c r="T401" s="276"/>
      <c r="U401" s="276"/>
      <c r="V401" s="276"/>
      <c r="W401" s="276"/>
      <c r="X401" s="276"/>
      <c r="Y401" s="276"/>
      <c r="Z401" s="276"/>
      <c r="AA401" s="276"/>
      <c r="AB401" s="276"/>
      <c r="AC401" s="276"/>
    </row>
    <row r="402">
      <c r="A402" s="108" t="s">
        <v>11423</v>
      </c>
      <c r="B402" s="378">
        <v>46009.0</v>
      </c>
      <c r="C402" s="374">
        <v>8.07000034198E11</v>
      </c>
      <c r="D402" s="374" t="s">
        <v>11424</v>
      </c>
      <c r="E402" s="374" t="s">
        <v>11425</v>
      </c>
      <c r="F402" s="177" t="s">
        <v>11426</v>
      </c>
      <c r="G402" s="177" t="s">
        <v>4645</v>
      </c>
      <c r="H402" s="177">
        <v>4400.0</v>
      </c>
      <c r="I402" s="176" t="s">
        <v>512</v>
      </c>
      <c r="J402" s="240" t="s">
        <v>513</v>
      </c>
      <c r="K402" s="242">
        <v>12.0</v>
      </c>
      <c r="L402" s="124">
        <v>3.874558838E9</v>
      </c>
      <c r="M402" s="276"/>
      <c r="P402" s="276"/>
      <c r="S402" s="276"/>
      <c r="T402" s="276"/>
      <c r="U402" s="276"/>
      <c r="V402" s="276"/>
      <c r="W402" s="276"/>
      <c r="X402" s="276"/>
      <c r="Y402" s="276"/>
      <c r="Z402" s="276"/>
      <c r="AA402" s="276"/>
      <c r="AB402" s="276"/>
      <c r="AC402" s="276"/>
    </row>
    <row r="403">
      <c r="A403" s="108" t="s">
        <v>11423</v>
      </c>
      <c r="B403" s="378">
        <v>46009.0</v>
      </c>
      <c r="C403" s="374">
        <v>8.07000034199E11</v>
      </c>
      <c r="D403" s="374" t="s">
        <v>11424</v>
      </c>
      <c r="E403" s="374" t="s">
        <v>11425</v>
      </c>
      <c r="F403" s="177" t="s">
        <v>11426</v>
      </c>
      <c r="G403" s="177" t="s">
        <v>4645</v>
      </c>
      <c r="H403" s="177">
        <v>4400.0</v>
      </c>
      <c r="I403" s="176" t="s">
        <v>758</v>
      </c>
      <c r="J403" s="103" t="s">
        <v>3574</v>
      </c>
      <c r="K403" s="241">
        <v>2.0</v>
      </c>
      <c r="L403" s="124">
        <v>3.874558838E9</v>
      </c>
      <c r="M403" s="276"/>
      <c r="P403" s="276"/>
      <c r="S403" s="276"/>
      <c r="T403" s="276"/>
      <c r="U403" s="276"/>
      <c r="V403" s="276"/>
      <c r="W403" s="276"/>
      <c r="X403" s="276"/>
      <c r="Y403" s="276"/>
      <c r="Z403" s="276"/>
      <c r="AA403" s="276"/>
      <c r="AB403" s="276"/>
      <c r="AC403" s="276"/>
    </row>
    <row r="404">
      <c r="A404" s="108" t="s">
        <v>11427</v>
      </c>
      <c r="B404" s="378">
        <v>46009.0</v>
      </c>
      <c r="C404" s="374">
        <v>8.07000034201E11</v>
      </c>
      <c r="D404" s="374" t="s">
        <v>11428</v>
      </c>
      <c r="E404" s="374" t="s">
        <v>11429</v>
      </c>
      <c r="F404" s="177" t="s">
        <v>11430</v>
      </c>
      <c r="G404" s="177" t="s">
        <v>127</v>
      </c>
      <c r="H404" s="177">
        <v>4400.0</v>
      </c>
      <c r="I404" s="176" t="s">
        <v>3692</v>
      </c>
      <c r="J404" s="240" t="s">
        <v>3693</v>
      </c>
      <c r="K404" s="242">
        <v>2.0</v>
      </c>
      <c r="L404" s="124">
        <v>2.645259185E9</v>
      </c>
      <c r="M404" s="276"/>
      <c r="N404" s="274">
        <v>46010.0</v>
      </c>
      <c r="O404" s="275" t="s">
        <v>9011</v>
      </c>
      <c r="P404" s="276"/>
      <c r="Q404" s="275" t="s">
        <v>9012</v>
      </c>
      <c r="R404" s="359" t="s">
        <v>13461</v>
      </c>
      <c r="S404" s="276"/>
      <c r="T404" s="276"/>
      <c r="U404" s="276"/>
      <c r="V404" s="276"/>
      <c r="W404" s="276"/>
      <c r="X404" s="276"/>
      <c r="Y404" s="276"/>
      <c r="Z404" s="276"/>
      <c r="AA404" s="276"/>
      <c r="AB404" s="276"/>
      <c r="AC404" s="276"/>
    </row>
    <row r="405">
      <c r="A405" s="108" t="s">
        <v>11427</v>
      </c>
      <c r="B405" s="378">
        <v>46009.0</v>
      </c>
      <c r="C405" s="374">
        <v>8.07000034201E11</v>
      </c>
      <c r="D405" s="374" t="s">
        <v>11428</v>
      </c>
      <c r="E405" s="374" t="s">
        <v>11429</v>
      </c>
      <c r="F405" s="177" t="s">
        <v>11430</v>
      </c>
      <c r="G405" s="177" t="s">
        <v>127</v>
      </c>
      <c r="H405" s="177">
        <v>4400.0</v>
      </c>
      <c r="I405" s="176" t="s">
        <v>512</v>
      </c>
      <c r="J405" s="103" t="s">
        <v>513</v>
      </c>
      <c r="K405" s="241">
        <v>12.0</v>
      </c>
      <c r="L405" s="124">
        <v>2.645259185E9</v>
      </c>
      <c r="M405" s="276"/>
      <c r="P405" s="276"/>
      <c r="S405" s="276"/>
      <c r="T405" s="276"/>
      <c r="U405" s="276"/>
      <c r="V405" s="276"/>
      <c r="W405" s="276"/>
      <c r="X405" s="276"/>
      <c r="Y405" s="276"/>
      <c r="Z405" s="276"/>
      <c r="AA405" s="276"/>
      <c r="AB405" s="276"/>
      <c r="AC405" s="276"/>
    </row>
    <row r="406">
      <c r="A406" s="108" t="s">
        <v>11427</v>
      </c>
      <c r="B406" s="378">
        <v>46009.0</v>
      </c>
      <c r="C406" s="374">
        <v>8.07000034201E11</v>
      </c>
      <c r="D406" s="374" t="s">
        <v>11428</v>
      </c>
      <c r="E406" s="374" t="s">
        <v>11429</v>
      </c>
      <c r="F406" s="177" t="s">
        <v>11430</v>
      </c>
      <c r="G406" s="177" t="s">
        <v>127</v>
      </c>
      <c r="H406" s="177">
        <v>4400.0</v>
      </c>
      <c r="I406" s="176" t="s">
        <v>1345</v>
      </c>
      <c r="J406" s="240" t="s">
        <v>3639</v>
      </c>
      <c r="K406" s="242">
        <v>2.0</v>
      </c>
      <c r="L406" s="124">
        <v>2.645259185E9</v>
      </c>
      <c r="M406" s="276"/>
      <c r="P406" s="276"/>
      <c r="S406" s="276"/>
      <c r="T406" s="276"/>
      <c r="U406" s="276"/>
      <c r="V406" s="276"/>
      <c r="W406" s="276"/>
      <c r="X406" s="276"/>
      <c r="Y406" s="276"/>
      <c r="Z406" s="276"/>
      <c r="AA406" s="276"/>
      <c r="AB406" s="276"/>
      <c r="AC406" s="276"/>
    </row>
    <row r="407">
      <c r="A407" s="108" t="s">
        <v>11431</v>
      </c>
      <c r="B407" s="378">
        <v>46010.0</v>
      </c>
      <c r="C407" s="374">
        <v>8.05011564633E11</v>
      </c>
      <c r="D407" s="374" t="s">
        <v>11432</v>
      </c>
      <c r="E407" s="374" t="s">
        <v>11433</v>
      </c>
      <c r="F407" s="177" t="s">
        <v>11434</v>
      </c>
      <c r="G407" s="177" t="s">
        <v>20</v>
      </c>
      <c r="H407" s="177">
        <v>4400.0</v>
      </c>
      <c r="I407" s="176" t="s">
        <v>60</v>
      </c>
      <c r="J407" s="240" t="s">
        <v>3706</v>
      </c>
      <c r="K407" s="242">
        <v>1.0</v>
      </c>
      <c r="L407" s="124">
        <v>3.87595028E9</v>
      </c>
      <c r="M407" s="276"/>
      <c r="N407" s="274">
        <v>46010.0</v>
      </c>
      <c r="O407" s="275" t="s">
        <v>9011</v>
      </c>
      <c r="P407" s="276"/>
      <c r="Q407" s="275" t="s">
        <v>13462</v>
      </c>
      <c r="R407" s="359" t="s">
        <v>13463</v>
      </c>
      <c r="S407" s="276"/>
      <c r="T407" s="276"/>
      <c r="U407" s="276"/>
      <c r="V407" s="276"/>
      <c r="W407" s="276"/>
      <c r="X407" s="276"/>
      <c r="Y407" s="276"/>
      <c r="Z407" s="276"/>
      <c r="AA407" s="276"/>
      <c r="AB407" s="276"/>
      <c r="AC407" s="276"/>
    </row>
    <row r="408">
      <c r="A408" s="108" t="s">
        <v>11431</v>
      </c>
      <c r="B408" s="378">
        <v>46010.0</v>
      </c>
      <c r="C408" s="374">
        <v>8.05011564633E11</v>
      </c>
      <c r="D408" s="374" t="s">
        <v>11432</v>
      </c>
      <c r="E408" s="374" t="s">
        <v>11433</v>
      </c>
      <c r="F408" s="177" t="s">
        <v>11434</v>
      </c>
      <c r="G408" s="177" t="s">
        <v>20</v>
      </c>
      <c r="H408" s="177">
        <v>4400.0</v>
      </c>
      <c r="I408" s="176" t="s">
        <v>512</v>
      </c>
      <c r="J408" s="103" t="s">
        <v>513</v>
      </c>
      <c r="K408" s="241">
        <v>6.0</v>
      </c>
      <c r="L408" s="124">
        <v>3.87595028E9</v>
      </c>
      <c r="M408" s="276"/>
      <c r="P408" s="276"/>
      <c r="S408" s="276"/>
      <c r="T408" s="276"/>
      <c r="U408" s="276"/>
      <c r="V408" s="276"/>
      <c r="W408" s="276"/>
      <c r="X408" s="276"/>
      <c r="Y408" s="276"/>
      <c r="Z408" s="276"/>
      <c r="AA408" s="276"/>
      <c r="AB408" s="276"/>
      <c r="AC408" s="276"/>
    </row>
    <row r="409">
      <c r="A409" s="108" t="s">
        <v>11431</v>
      </c>
      <c r="B409" s="378">
        <v>46010.0</v>
      </c>
      <c r="C409" s="374">
        <v>8.05011564633E11</v>
      </c>
      <c r="D409" s="374" t="s">
        <v>11432</v>
      </c>
      <c r="E409" s="374" t="s">
        <v>11433</v>
      </c>
      <c r="F409" s="177" t="s">
        <v>11434</v>
      </c>
      <c r="G409" s="177" t="s">
        <v>20</v>
      </c>
      <c r="H409" s="177">
        <v>4400.0</v>
      </c>
      <c r="I409" s="176" t="s">
        <v>64</v>
      </c>
      <c r="J409" s="240" t="s">
        <v>3708</v>
      </c>
      <c r="K409" s="242">
        <v>1.0</v>
      </c>
      <c r="L409" s="124">
        <v>3.87595028E9</v>
      </c>
      <c r="M409" s="276"/>
      <c r="P409" s="276"/>
      <c r="S409" s="276"/>
      <c r="T409" s="276"/>
      <c r="U409" s="276"/>
      <c r="V409" s="276"/>
      <c r="W409" s="276"/>
      <c r="X409" s="276"/>
      <c r="Y409" s="276"/>
      <c r="Z409" s="276"/>
      <c r="AA409" s="276"/>
      <c r="AB409" s="276"/>
      <c r="AC409" s="276"/>
    </row>
    <row r="410">
      <c r="A410" s="108" t="s">
        <v>11435</v>
      </c>
      <c r="B410" s="378">
        <v>46011.0</v>
      </c>
      <c r="C410" s="374">
        <v>8.07000034209E11</v>
      </c>
      <c r="D410" s="374" t="s">
        <v>11436</v>
      </c>
      <c r="E410" s="374" t="s">
        <v>11437</v>
      </c>
      <c r="F410" s="145" t="s">
        <v>11438</v>
      </c>
      <c r="G410" s="177" t="s">
        <v>127</v>
      </c>
      <c r="H410" s="177">
        <v>4400.0</v>
      </c>
      <c r="I410" s="176">
        <v>208502.0</v>
      </c>
      <c r="J410" s="240" t="s">
        <v>4551</v>
      </c>
      <c r="K410" s="242">
        <v>2.0</v>
      </c>
      <c r="L410" s="124">
        <v>3.875755977E9</v>
      </c>
      <c r="M410" s="276"/>
      <c r="N410" s="274">
        <v>46011.0</v>
      </c>
      <c r="O410" s="275" t="s">
        <v>9011</v>
      </c>
      <c r="P410" s="276"/>
      <c r="Q410" s="275" t="s">
        <v>9012</v>
      </c>
      <c r="R410" s="359" t="s">
        <v>13464</v>
      </c>
      <c r="S410" s="276"/>
      <c r="T410" s="276"/>
      <c r="U410" s="276"/>
      <c r="V410" s="276"/>
      <c r="W410" s="276"/>
      <c r="X410" s="276"/>
      <c r="Y410" s="276"/>
      <c r="Z410" s="276"/>
      <c r="AA410" s="276"/>
      <c r="AB410" s="276"/>
      <c r="AC410" s="276"/>
    </row>
    <row r="411">
      <c r="A411" s="108" t="s">
        <v>11435</v>
      </c>
      <c r="B411" s="378">
        <v>46011.0</v>
      </c>
      <c r="C411" s="374">
        <v>8.07000034209E11</v>
      </c>
      <c r="D411" s="374" t="s">
        <v>11436</v>
      </c>
      <c r="E411" s="374" t="s">
        <v>11437</v>
      </c>
      <c r="F411" s="145" t="s">
        <v>11438</v>
      </c>
      <c r="G411" s="177" t="s">
        <v>20</v>
      </c>
      <c r="H411" s="177">
        <v>4400.0</v>
      </c>
      <c r="I411" s="176" t="s">
        <v>10130</v>
      </c>
      <c r="J411" s="103" t="s">
        <v>10131</v>
      </c>
      <c r="K411" s="241">
        <v>1.0</v>
      </c>
      <c r="L411" s="124">
        <v>3.875755977E9</v>
      </c>
      <c r="M411" s="276"/>
      <c r="P411" s="276"/>
      <c r="S411" s="276"/>
      <c r="T411" s="276"/>
      <c r="U411" s="276"/>
      <c r="V411" s="276"/>
      <c r="W411" s="276"/>
      <c r="X411" s="276"/>
      <c r="Y411" s="276"/>
      <c r="Z411" s="276"/>
      <c r="AA411" s="276"/>
      <c r="AB411" s="276"/>
      <c r="AC411" s="276"/>
    </row>
    <row r="412">
      <c r="A412" s="108" t="s">
        <v>11435</v>
      </c>
      <c r="B412" s="378">
        <v>46011.0</v>
      </c>
      <c r="C412" s="374">
        <v>8.0700003421E11</v>
      </c>
      <c r="D412" s="374" t="s">
        <v>11436</v>
      </c>
      <c r="E412" s="374" t="s">
        <v>11437</v>
      </c>
      <c r="F412" s="145" t="s">
        <v>11438</v>
      </c>
      <c r="G412" s="177" t="s">
        <v>20</v>
      </c>
      <c r="H412" s="177">
        <v>4400.0</v>
      </c>
      <c r="I412" s="176" t="s">
        <v>11439</v>
      </c>
      <c r="J412" s="240" t="s">
        <v>11440</v>
      </c>
      <c r="K412" s="242">
        <v>1.0</v>
      </c>
      <c r="L412" s="124">
        <v>3.875755977E9</v>
      </c>
      <c r="M412" s="276"/>
      <c r="P412" s="276"/>
      <c r="S412" s="276"/>
      <c r="T412" s="276"/>
      <c r="U412" s="276"/>
      <c r="V412" s="276"/>
      <c r="W412" s="276"/>
      <c r="X412" s="276"/>
      <c r="Y412" s="276"/>
      <c r="Z412" s="276"/>
      <c r="AA412" s="276"/>
      <c r="AB412" s="276"/>
      <c r="AC412" s="276"/>
    </row>
    <row r="413">
      <c r="A413" s="108" t="s">
        <v>11435</v>
      </c>
      <c r="B413" s="378">
        <v>46011.0</v>
      </c>
      <c r="C413" s="374">
        <v>8.0700003421E11</v>
      </c>
      <c r="D413" s="374" t="s">
        <v>11436</v>
      </c>
      <c r="E413" s="374" t="s">
        <v>11437</v>
      </c>
      <c r="F413" s="145" t="s">
        <v>11438</v>
      </c>
      <c r="G413" s="177" t="s">
        <v>20</v>
      </c>
      <c r="H413" s="177">
        <v>4400.0</v>
      </c>
      <c r="I413" s="176" t="s">
        <v>3484</v>
      </c>
      <c r="J413" s="103" t="s">
        <v>3485</v>
      </c>
      <c r="K413" s="241">
        <v>1.0</v>
      </c>
      <c r="L413" s="124">
        <v>3.875755977E9</v>
      </c>
      <c r="M413" s="276"/>
      <c r="P413" s="276"/>
      <c r="S413" s="276"/>
      <c r="T413" s="276"/>
      <c r="U413" s="276"/>
      <c r="V413" s="276"/>
      <c r="W413" s="276"/>
      <c r="X413" s="276"/>
      <c r="Y413" s="276"/>
      <c r="Z413" s="276"/>
      <c r="AA413" s="276"/>
      <c r="AB413" s="276"/>
      <c r="AC413" s="276"/>
    </row>
    <row r="414">
      <c r="A414" s="108" t="s">
        <v>11441</v>
      </c>
      <c r="B414" s="378">
        <v>46011.0</v>
      </c>
      <c r="C414" s="374">
        <v>8.07000034206E11</v>
      </c>
      <c r="D414" s="374" t="s">
        <v>11442</v>
      </c>
      <c r="E414" s="374" t="s">
        <v>11443</v>
      </c>
      <c r="F414" s="145" t="s">
        <v>11444</v>
      </c>
      <c r="G414" s="177" t="s">
        <v>127</v>
      </c>
      <c r="H414" s="177">
        <v>4400.0</v>
      </c>
      <c r="I414" s="176">
        <v>125812.0</v>
      </c>
      <c r="J414" s="103" t="s">
        <v>9317</v>
      </c>
      <c r="K414" s="241">
        <v>2.0</v>
      </c>
      <c r="L414" s="124">
        <v>3.874155957E9</v>
      </c>
      <c r="M414" s="276"/>
      <c r="N414" s="274">
        <v>46013.0</v>
      </c>
      <c r="O414" s="275" t="s">
        <v>9011</v>
      </c>
      <c r="P414" s="276"/>
      <c r="Q414" s="275" t="s">
        <v>9012</v>
      </c>
      <c r="R414" s="359" t="s">
        <v>13465</v>
      </c>
      <c r="S414" s="276"/>
      <c r="T414" s="276"/>
      <c r="U414" s="276"/>
      <c r="V414" s="276"/>
      <c r="W414" s="276"/>
      <c r="X414" s="276"/>
      <c r="Y414" s="276"/>
      <c r="Z414" s="276"/>
      <c r="AA414" s="276"/>
      <c r="AB414" s="276"/>
      <c r="AC414" s="276"/>
    </row>
    <row r="415">
      <c r="A415" s="108" t="s">
        <v>11441</v>
      </c>
      <c r="B415" s="378">
        <v>46011.0</v>
      </c>
      <c r="C415" s="374">
        <v>8.07000034206E11</v>
      </c>
      <c r="D415" s="374" t="s">
        <v>11442</v>
      </c>
      <c r="E415" s="374" t="s">
        <v>11443</v>
      </c>
      <c r="F415" s="145" t="s">
        <v>11444</v>
      </c>
      <c r="G415" s="177" t="s">
        <v>20</v>
      </c>
      <c r="H415" s="177">
        <v>4400.0</v>
      </c>
      <c r="I415" s="176" t="s">
        <v>1379</v>
      </c>
      <c r="J415" s="240" t="s">
        <v>7653</v>
      </c>
      <c r="K415" s="242">
        <v>1.0</v>
      </c>
      <c r="L415" s="124">
        <v>3.874155957E9</v>
      </c>
      <c r="M415" s="276"/>
      <c r="P415" s="276"/>
      <c r="S415" s="276"/>
      <c r="T415" s="276"/>
      <c r="U415" s="276"/>
      <c r="V415" s="276"/>
      <c r="W415" s="276"/>
      <c r="X415" s="276"/>
      <c r="Y415" s="276"/>
      <c r="Z415" s="276"/>
      <c r="AA415" s="276"/>
      <c r="AB415" s="276"/>
      <c r="AC415" s="276"/>
    </row>
    <row r="416">
      <c r="A416" s="108" t="s">
        <v>11441</v>
      </c>
      <c r="B416" s="378">
        <v>46011.0</v>
      </c>
      <c r="C416" s="374">
        <v>8.07000034206E11</v>
      </c>
      <c r="D416" s="374" t="s">
        <v>11442</v>
      </c>
      <c r="E416" s="374" t="s">
        <v>11443</v>
      </c>
      <c r="F416" s="145" t="s">
        <v>11444</v>
      </c>
      <c r="G416" s="177" t="s">
        <v>20</v>
      </c>
      <c r="H416" s="177">
        <v>4400.0</v>
      </c>
      <c r="I416" s="176" t="s">
        <v>512</v>
      </c>
      <c r="J416" s="103" t="s">
        <v>513</v>
      </c>
      <c r="K416" s="241">
        <v>6.0</v>
      </c>
      <c r="L416" s="124">
        <v>3.874155957E9</v>
      </c>
      <c r="M416" s="276"/>
      <c r="P416" s="276"/>
      <c r="S416" s="276"/>
      <c r="T416" s="276"/>
      <c r="U416" s="276"/>
      <c r="V416" s="276"/>
      <c r="W416" s="276"/>
      <c r="X416" s="276"/>
      <c r="Y416" s="276"/>
      <c r="Z416" s="276"/>
      <c r="AA416" s="276"/>
      <c r="AB416" s="276"/>
      <c r="AC416" s="276"/>
    </row>
    <row r="417">
      <c r="A417" s="108" t="s">
        <v>11441</v>
      </c>
      <c r="B417" s="378">
        <v>46011.0</v>
      </c>
      <c r="C417" s="374">
        <v>8.07000034206E11</v>
      </c>
      <c r="D417" s="374" t="s">
        <v>11442</v>
      </c>
      <c r="E417" s="374" t="s">
        <v>11443</v>
      </c>
      <c r="F417" s="145" t="s">
        <v>11444</v>
      </c>
      <c r="G417" s="177" t="s">
        <v>20</v>
      </c>
      <c r="H417" s="177">
        <v>4400.0</v>
      </c>
      <c r="I417" s="176" t="s">
        <v>35</v>
      </c>
      <c r="J417" s="240" t="s">
        <v>3188</v>
      </c>
      <c r="K417" s="242">
        <v>1.0</v>
      </c>
      <c r="L417" s="124">
        <v>3.874155957E9</v>
      </c>
      <c r="M417" s="276"/>
      <c r="P417" s="276"/>
      <c r="S417" s="276"/>
      <c r="T417" s="276"/>
      <c r="U417" s="276"/>
      <c r="V417" s="276"/>
      <c r="W417" s="276"/>
      <c r="X417" s="276"/>
      <c r="Y417" s="276"/>
      <c r="Z417" s="276"/>
      <c r="AA417" s="276"/>
      <c r="AB417" s="276"/>
      <c r="AC417" s="276"/>
    </row>
    <row r="418">
      <c r="A418" s="370" t="s">
        <v>11445</v>
      </c>
      <c r="B418" s="371">
        <v>46013.0</v>
      </c>
      <c r="C418" s="365">
        <v>8.07000034214E11</v>
      </c>
      <c r="D418" s="365" t="s">
        <v>11446</v>
      </c>
      <c r="E418" s="365" t="s">
        <v>11447</v>
      </c>
      <c r="F418" s="214" t="s">
        <v>11448</v>
      </c>
      <c r="G418" s="370" t="s">
        <v>127</v>
      </c>
      <c r="H418" s="370">
        <v>4400.0</v>
      </c>
      <c r="I418" s="365" t="s">
        <v>2956</v>
      </c>
      <c r="J418" s="366" t="s">
        <v>3327</v>
      </c>
      <c r="K418" s="259">
        <v>1.0</v>
      </c>
      <c r="L418" s="210">
        <v>3.875605602E9</v>
      </c>
      <c r="N418" s="409">
        <v>46013.0</v>
      </c>
      <c r="O418" s="219" t="s">
        <v>9011</v>
      </c>
      <c r="Q418" s="275" t="s">
        <v>13466</v>
      </c>
      <c r="R418" s="359" t="s">
        <v>13467</v>
      </c>
      <c r="S418" s="276"/>
      <c r="T418" s="276"/>
      <c r="U418" s="276"/>
      <c r="V418" s="276"/>
      <c r="W418" s="276"/>
      <c r="X418" s="276"/>
      <c r="Y418" s="276"/>
      <c r="Z418" s="276"/>
      <c r="AA418" s="276"/>
      <c r="AB418" s="276"/>
      <c r="AC418" s="276"/>
    </row>
    <row r="419">
      <c r="A419" s="370" t="s">
        <v>11445</v>
      </c>
      <c r="B419" s="371">
        <v>46013.0</v>
      </c>
      <c r="C419" s="365">
        <v>8.07000034214E11</v>
      </c>
      <c r="D419" s="365" t="s">
        <v>11446</v>
      </c>
      <c r="E419" s="365" t="s">
        <v>11447</v>
      </c>
      <c r="F419" s="214" t="s">
        <v>11448</v>
      </c>
      <c r="G419" s="370" t="s">
        <v>127</v>
      </c>
      <c r="H419" s="370">
        <v>4400.0</v>
      </c>
      <c r="I419" s="365" t="s">
        <v>512</v>
      </c>
      <c r="J419" s="325" t="s">
        <v>513</v>
      </c>
      <c r="K419" s="278">
        <v>6.0</v>
      </c>
      <c r="L419" s="210">
        <v>3.875605602E9</v>
      </c>
      <c r="S419" s="276"/>
      <c r="T419" s="276"/>
      <c r="U419" s="276"/>
      <c r="V419" s="276"/>
      <c r="W419" s="276"/>
      <c r="X419" s="276"/>
      <c r="Y419" s="276"/>
      <c r="Z419" s="276"/>
      <c r="AA419" s="276"/>
      <c r="AB419" s="276"/>
      <c r="AC419" s="276"/>
    </row>
    <row r="420">
      <c r="A420" s="370" t="s">
        <v>11445</v>
      </c>
      <c r="B420" s="371">
        <v>46013.0</v>
      </c>
      <c r="C420" s="365">
        <v>8.07000034214E11</v>
      </c>
      <c r="D420" s="365" t="s">
        <v>11446</v>
      </c>
      <c r="E420" s="365" t="s">
        <v>11447</v>
      </c>
      <c r="F420" s="214" t="s">
        <v>11448</v>
      </c>
      <c r="G420" s="370" t="s">
        <v>127</v>
      </c>
      <c r="H420" s="370">
        <v>4400.0</v>
      </c>
      <c r="I420" s="365" t="s">
        <v>670</v>
      </c>
      <c r="J420" s="366" t="s">
        <v>3410</v>
      </c>
      <c r="K420" s="259">
        <v>1.0</v>
      </c>
      <c r="L420" s="210">
        <v>3.875605602E9</v>
      </c>
      <c r="S420" s="276"/>
      <c r="T420" s="276"/>
      <c r="U420" s="276"/>
      <c r="V420" s="276"/>
      <c r="W420" s="276"/>
      <c r="X420" s="276"/>
      <c r="Y420" s="276"/>
      <c r="Z420" s="276"/>
      <c r="AA420" s="276"/>
      <c r="AB420" s="276"/>
      <c r="AC420" s="276"/>
    </row>
    <row r="421">
      <c r="A421" s="370" t="s">
        <v>11449</v>
      </c>
      <c r="B421" s="371"/>
      <c r="C421" s="365">
        <v>8.07000034226E11</v>
      </c>
      <c r="D421" s="365" t="s">
        <v>11450</v>
      </c>
      <c r="E421" s="365" t="s">
        <v>11451</v>
      </c>
      <c r="F421" s="400" t="s">
        <v>11452</v>
      </c>
      <c r="G421" s="400" t="s">
        <v>127</v>
      </c>
      <c r="H421" s="400">
        <v>4400.0</v>
      </c>
      <c r="I421" s="365" t="s">
        <v>8532</v>
      </c>
      <c r="J421" s="325" t="s">
        <v>8533</v>
      </c>
      <c r="K421" s="278">
        <v>1.0</v>
      </c>
      <c r="L421" s="210">
        <v>3.875004233E9</v>
      </c>
      <c r="N421" s="409">
        <v>46013.0</v>
      </c>
      <c r="O421" s="219" t="s">
        <v>9011</v>
      </c>
      <c r="Q421" s="275" t="s">
        <v>9012</v>
      </c>
      <c r="R421" s="359" t="s">
        <v>13468</v>
      </c>
      <c r="S421" s="276"/>
      <c r="T421" s="276"/>
      <c r="U421" s="276"/>
      <c r="V421" s="276"/>
      <c r="W421" s="276"/>
      <c r="X421" s="276"/>
      <c r="Y421" s="276"/>
      <c r="Z421" s="276"/>
      <c r="AA421" s="276"/>
      <c r="AB421" s="276"/>
      <c r="AC421" s="276"/>
    </row>
    <row r="422">
      <c r="A422" s="370" t="s">
        <v>11453</v>
      </c>
      <c r="B422" s="371"/>
      <c r="C422" s="365">
        <v>8.0700003404E11</v>
      </c>
      <c r="D422" s="365" t="s">
        <v>11454</v>
      </c>
      <c r="E422" s="365" t="s">
        <v>11455</v>
      </c>
      <c r="F422" s="214" t="s">
        <v>11456</v>
      </c>
      <c r="G422" s="370" t="s">
        <v>127</v>
      </c>
      <c r="H422" s="370">
        <v>4400.0</v>
      </c>
      <c r="I422" s="365" t="s">
        <v>258</v>
      </c>
      <c r="J422" s="366" t="s">
        <v>259</v>
      </c>
      <c r="K422" s="259">
        <v>2.0</v>
      </c>
      <c r="L422" s="210">
        <v>3.875900409E9</v>
      </c>
      <c r="N422" s="409">
        <v>46014.0</v>
      </c>
      <c r="O422" s="219" t="s">
        <v>9011</v>
      </c>
      <c r="Q422" s="275" t="s">
        <v>13469</v>
      </c>
      <c r="R422" s="359" t="s">
        <v>13470</v>
      </c>
      <c r="S422" s="276"/>
      <c r="T422" s="276"/>
      <c r="U422" s="276"/>
      <c r="V422" s="276"/>
      <c r="W422" s="276"/>
      <c r="X422" s="276"/>
      <c r="Y422" s="276"/>
      <c r="Z422" s="276"/>
      <c r="AA422" s="276"/>
      <c r="AB422" s="276"/>
      <c r="AC422" s="276"/>
    </row>
    <row r="423">
      <c r="A423" s="370" t="s">
        <v>11457</v>
      </c>
      <c r="B423" s="371"/>
      <c r="C423" s="365">
        <v>7.000000028E9</v>
      </c>
      <c r="D423" s="365" t="s">
        <v>11454</v>
      </c>
      <c r="E423" s="365" t="s">
        <v>11455</v>
      </c>
      <c r="F423" s="214" t="s">
        <v>11456</v>
      </c>
      <c r="G423" s="370" t="s">
        <v>127</v>
      </c>
      <c r="H423" s="370">
        <v>4400.0</v>
      </c>
      <c r="I423" s="365">
        <v>180408.0</v>
      </c>
      <c r="J423" s="325" t="s">
        <v>11458</v>
      </c>
      <c r="K423" s="278">
        <v>1.0</v>
      </c>
      <c r="L423" s="210">
        <v>3.875900409E9</v>
      </c>
      <c r="R423" s="359" t="s">
        <v>13471</v>
      </c>
      <c r="S423" s="276"/>
      <c r="T423" s="276"/>
      <c r="U423" s="276"/>
      <c r="V423" s="276"/>
      <c r="W423" s="276"/>
      <c r="X423" s="276"/>
      <c r="Y423" s="276"/>
      <c r="Z423" s="276"/>
      <c r="AA423" s="276"/>
      <c r="AB423" s="276"/>
      <c r="AC423" s="276"/>
    </row>
    <row r="424">
      <c r="A424" s="370" t="s">
        <v>11459</v>
      </c>
      <c r="B424" s="371"/>
      <c r="C424" s="365">
        <v>8.05011564082E11</v>
      </c>
      <c r="D424" s="365" t="s">
        <v>11460</v>
      </c>
      <c r="E424" s="365" t="s">
        <v>11461</v>
      </c>
      <c r="F424" s="400" t="s">
        <v>11462</v>
      </c>
      <c r="G424" s="400" t="s">
        <v>5508</v>
      </c>
      <c r="H424" s="400">
        <v>4425.0</v>
      </c>
      <c r="I424" s="365" t="s">
        <v>698</v>
      </c>
      <c r="J424" s="325" t="s">
        <v>699</v>
      </c>
      <c r="K424" s="278">
        <v>1.0</v>
      </c>
      <c r="L424" s="210"/>
      <c r="N424" s="409">
        <v>46019.0</v>
      </c>
      <c r="O424" s="219" t="s">
        <v>9011</v>
      </c>
      <c r="Q424" s="275" t="s">
        <v>13472</v>
      </c>
      <c r="R424" s="359" t="s">
        <v>13473</v>
      </c>
      <c r="S424" s="276"/>
      <c r="T424" s="276"/>
      <c r="U424" s="276"/>
      <c r="V424" s="276"/>
      <c r="W424" s="276"/>
      <c r="X424" s="276"/>
      <c r="Y424" s="276"/>
      <c r="Z424" s="276"/>
      <c r="AA424" s="276"/>
      <c r="AB424" s="276"/>
      <c r="AC424" s="276"/>
    </row>
    <row r="425">
      <c r="A425" s="107" t="s">
        <v>5418</v>
      </c>
      <c r="B425" s="358">
        <v>46013.0</v>
      </c>
      <c r="C425" s="107">
        <v>8.05011562823E11</v>
      </c>
      <c r="D425" s="107" t="s">
        <v>5419</v>
      </c>
      <c r="E425" s="107" t="s">
        <v>5420</v>
      </c>
      <c r="F425" s="107" t="s">
        <v>5421</v>
      </c>
      <c r="G425" s="107" t="s">
        <v>983</v>
      </c>
      <c r="H425" s="107">
        <v>4400.0</v>
      </c>
      <c r="I425" s="107" t="s">
        <v>634</v>
      </c>
      <c r="J425" s="31" t="s">
        <v>635</v>
      </c>
      <c r="K425" s="33">
        <v>1.0</v>
      </c>
      <c r="L425" s="31">
        <v>3.875945922E9</v>
      </c>
      <c r="M425" s="31" t="s">
        <v>5422</v>
      </c>
      <c r="N425" s="204" t="s">
        <v>13474</v>
      </c>
      <c r="O425" s="204" t="s">
        <v>9011</v>
      </c>
      <c r="P425" s="276"/>
      <c r="Q425" s="275" t="s">
        <v>13475</v>
      </c>
      <c r="R425" s="277" t="s">
        <v>13476</v>
      </c>
      <c r="S425" s="276"/>
      <c r="T425" s="276"/>
      <c r="U425" s="276"/>
      <c r="V425" s="276"/>
      <c r="W425" s="276"/>
      <c r="X425" s="276"/>
      <c r="Y425" s="276"/>
      <c r="Z425" s="276"/>
      <c r="AA425" s="276"/>
      <c r="AB425" s="276"/>
      <c r="AC425" s="276"/>
    </row>
    <row r="426">
      <c r="A426" s="107" t="s">
        <v>5418</v>
      </c>
      <c r="B426" s="358">
        <v>46013.0</v>
      </c>
      <c r="C426" s="107">
        <v>8.05011562823E11</v>
      </c>
      <c r="D426" s="107" t="s">
        <v>5419</v>
      </c>
      <c r="E426" s="107" t="s">
        <v>5420</v>
      </c>
      <c r="F426" s="107" t="s">
        <v>5421</v>
      </c>
      <c r="G426" s="107" t="s">
        <v>983</v>
      </c>
      <c r="H426" s="107">
        <v>4400.0</v>
      </c>
      <c r="I426" s="107" t="s">
        <v>50</v>
      </c>
      <c r="J426" s="31" t="s">
        <v>51</v>
      </c>
      <c r="K426" s="33">
        <v>1.0</v>
      </c>
      <c r="L426" s="31">
        <v>3.875945922E9</v>
      </c>
      <c r="M426" s="31" t="s">
        <v>5422</v>
      </c>
      <c r="N426" s="206"/>
      <c r="O426" s="206"/>
      <c r="P426" s="276"/>
      <c r="S426" s="276"/>
      <c r="T426" s="276"/>
      <c r="U426" s="276"/>
      <c r="V426" s="276"/>
      <c r="W426" s="276"/>
      <c r="X426" s="276"/>
      <c r="Y426" s="276"/>
      <c r="Z426" s="276"/>
      <c r="AA426" s="276"/>
      <c r="AB426" s="276"/>
      <c r="AC426" s="276"/>
    </row>
    <row r="427">
      <c r="A427" s="107" t="s">
        <v>5423</v>
      </c>
      <c r="B427" s="358">
        <v>46013.0</v>
      </c>
      <c r="C427" s="107">
        <v>8.05011563783E11</v>
      </c>
      <c r="D427" s="107" t="s">
        <v>5424</v>
      </c>
      <c r="E427" s="107" t="s">
        <v>5425</v>
      </c>
      <c r="F427" s="107" t="s">
        <v>5426</v>
      </c>
      <c r="G427" s="107" t="s">
        <v>20</v>
      </c>
      <c r="H427" s="107">
        <v>4400.0</v>
      </c>
      <c r="I427" s="107" t="s">
        <v>289</v>
      </c>
      <c r="J427" s="31" t="s">
        <v>290</v>
      </c>
      <c r="K427" s="33">
        <v>1.0</v>
      </c>
      <c r="L427" s="31">
        <v>3.874114001E9</v>
      </c>
      <c r="M427" s="31" t="s">
        <v>5427</v>
      </c>
      <c r="N427" s="413">
        <v>46017.0</v>
      </c>
      <c r="O427" s="123" t="s">
        <v>9011</v>
      </c>
      <c r="P427" s="276"/>
      <c r="Q427" s="275" t="s">
        <v>13477</v>
      </c>
      <c r="R427" s="359" t="s">
        <v>13478</v>
      </c>
      <c r="S427" s="276"/>
      <c r="T427" s="276"/>
      <c r="U427" s="276"/>
      <c r="V427" s="276"/>
      <c r="W427" s="276"/>
      <c r="X427" s="276"/>
      <c r="Y427" s="276"/>
      <c r="Z427" s="276"/>
      <c r="AA427" s="276"/>
      <c r="AB427" s="276"/>
      <c r="AC427" s="276"/>
    </row>
    <row r="428">
      <c r="A428" s="107" t="s">
        <v>5428</v>
      </c>
      <c r="B428" s="358">
        <v>46013.0</v>
      </c>
      <c r="C428" s="107">
        <v>8.05011563816E11</v>
      </c>
      <c r="D428" s="107" t="s">
        <v>5429</v>
      </c>
      <c r="E428" s="107" t="s">
        <v>5430</v>
      </c>
      <c r="F428" s="107" t="s">
        <v>5431</v>
      </c>
      <c r="G428" s="107" t="s">
        <v>624</v>
      </c>
      <c r="H428" s="107">
        <v>4403.0</v>
      </c>
      <c r="I428" s="107" t="s">
        <v>60</v>
      </c>
      <c r="J428" s="31" t="s">
        <v>3706</v>
      </c>
      <c r="K428" s="33">
        <v>1.0</v>
      </c>
      <c r="L428" s="31">
        <v>3.874107238E9</v>
      </c>
      <c r="M428" s="34"/>
      <c r="N428" s="414">
        <v>46017.0</v>
      </c>
      <c r="O428" s="204" t="s">
        <v>9011</v>
      </c>
      <c r="P428" s="276"/>
      <c r="Q428" s="275" t="s">
        <v>9012</v>
      </c>
      <c r="R428" s="359" t="s">
        <v>13479</v>
      </c>
      <c r="S428" s="276"/>
      <c r="T428" s="276"/>
      <c r="U428" s="276"/>
      <c r="V428" s="276"/>
      <c r="W428" s="276"/>
      <c r="X428" s="276"/>
      <c r="Y428" s="276"/>
      <c r="Z428" s="276"/>
      <c r="AA428" s="276"/>
      <c r="AB428" s="276"/>
      <c r="AC428" s="276"/>
    </row>
    <row r="429">
      <c r="A429" s="107" t="s">
        <v>5428</v>
      </c>
      <c r="B429" s="358">
        <v>46013.0</v>
      </c>
      <c r="C429" s="107">
        <v>8.05011563816E11</v>
      </c>
      <c r="D429" s="107" t="s">
        <v>5429</v>
      </c>
      <c r="E429" s="107" t="s">
        <v>5430</v>
      </c>
      <c r="F429" s="107" t="s">
        <v>5431</v>
      </c>
      <c r="G429" s="107" t="s">
        <v>624</v>
      </c>
      <c r="H429" s="107">
        <v>4403.0</v>
      </c>
      <c r="I429" s="107" t="s">
        <v>512</v>
      </c>
      <c r="J429" s="31" t="s">
        <v>513</v>
      </c>
      <c r="K429" s="33">
        <v>6.0</v>
      </c>
      <c r="L429" s="31">
        <v>3.874107238E9</v>
      </c>
      <c r="M429" s="34"/>
      <c r="N429" s="209"/>
      <c r="O429" s="209"/>
      <c r="P429" s="276"/>
      <c r="S429" s="276"/>
      <c r="T429" s="276"/>
      <c r="U429" s="276"/>
      <c r="V429" s="276"/>
      <c r="W429" s="276"/>
      <c r="X429" s="276"/>
      <c r="Y429" s="276"/>
      <c r="Z429" s="276"/>
      <c r="AA429" s="276"/>
      <c r="AB429" s="276"/>
      <c r="AC429" s="276"/>
    </row>
    <row r="430">
      <c r="A430" s="107" t="s">
        <v>5428</v>
      </c>
      <c r="B430" s="358">
        <v>46013.0</v>
      </c>
      <c r="C430" s="107">
        <v>8.05011563816E11</v>
      </c>
      <c r="D430" s="107" t="s">
        <v>5429</v>
      </c>
      <c r="E430" s="107" t="s">
        <v>5430</v>
      </c>
      <c r="F430" s="107" t="s">
        <v>5431</v>
      </c>
      <c r="G430" s="107" t="s">
        <v>624</v>
      </c>
      <c r="H430" s="107">
        <v>4403.0</v>
      </c>
      <c r="I430" s="107" t="s">
        <v>64</v>
      </c>
      <c r="J430" s="31" t="s">
        <v>3708</v>
      </c>
      <c r="K430" s="33">
        <v>1.0</v>
      </c>
      <c r="L430" s="31">
        <v>3.874107238E9</v>
      </c>
      <c r="M430" s="34"/>
      <c r="N430" s="206"/>
      <c r="O430" s="206"/>
      <c r="P430" s="276"/>
      <c r="S430" s="276"/>
      <c r="T430" s="276"/>
      <c r="U430" s="276"/>
      <c r="V430" s="276"/>
      <c r="W430" s="276"/>
      <c r="X430" s="276"/>
      <c r="Y430" s="276"/>
      <c r="Z430" s="276"/>
      <c r="AA430" s="276"/>
      <c r="AB430" s="276"/>
      <c r="AC430" s="276"/>
    </row>
    <row r="431">
      <c r="A431" s="107" t="s">
        <v>5432</v>
      </c>
      <c r="B431" s="358">
        <v>46013.0</v>
      </c>
      <c r="C431" s="107">
        <v>8.07025034133E11</v>
      </c>
      <c r="D431" s="107" t="s">
        <v>5433</v>
      </c>
      <c r="E431" s="107" t="s">
        <v>5434</v>
      </c>
      <c r="F431" s="107" t="s">
        <v>5435</v>
      </c>
      <c r="G431" s="107" t="s">
        <v>127</v>
      </c>
      <c r="H431" s="107">
        <v>4400.0</v>
      </c>
      <c r="I431" s="107" t="s">
        <v>5436</v>
      </c>
      <c r="J431" s="31" t="s">
        <v>5437</v>
      </c>
      <c r="K431" s="33">
        <v>1.0</v>
      </c>
      <c r="L431" s="31">
        <v>3.87449153E9</v>
      </c>
      <c r="M431" s="34"/>
      <c r="N431" s="413">
        <v>46382.0</v>
      </c>
      <c r="O431" s="123" t="s">
        <v>9011</v>
      </c>
      <c r="P431" s="276"/>
      <c r="Q431" s="275" t="s">
        <v>13480</v>
      </c>
      <c r="R431" s="359" t="s">
        <v>13481</v>
      </c>
      <c r="S431" s="276"/>
      <c r="T431" s="276"/>
      <c r="U431" s="276"/>
      <c r="V431" s="276"/>
      <c r="W431" s="276"/>
      <c r="X431" s="276"/>
      <c r="Y431" s="276"/>
      <c r="Z431" s="276"/>
      <c r="AA431" s="276"/>
      <c r="AB431" s="276"/>
      <c r="AC431" s="276"/>
    </row>
    <row r="432">
      <c r="A432" s="107" t="s">
        <v>5438</v>
      </c>
      <c r="B432" s="358">
        <v>46013.0</v>
      </c>
      <c r="C432" s="107">
        <v>8.05011563935E11</v>
      </c>
      <c r="D432" s="107" t="s">
        <v>5115</v>
      </c>
      <c r="E432" s="107" t="s">
        <v>5116</v>
      </c>
      <c r="F432" s="107" t="s">
        <v>5439</v>
      </c>
      <c r="G432" s="107" t="s">
        <v>5440</v>
      </c>
      <c r="H432" s="107">
        <v>4449.0</v>
      </c>
      <c r="I432" s="107" t="s">
        <v>3294</v>
      </c>
      <c r="K432" s="33">
        <v>2.0</v>
      </c>
      <c r="L432" s="31">
        <v>3.877401053E9</v>
      </c>
      <c r="M432" s="31" t="s">
        <v>5441</v>
      </c>
      <c r="N432" s="207">
        <v>46035.0</v>
      </c>
      <c r="O432" s="123" t="s">
        <v>9011</v>
      </c>
      <c r="P432" s="276"/>
      <c r="Q432" s="275" t="s">
        <v>13482</v>
      </c>
      <c r="R432" s="359" t="s">
        <v>13483</v>
      </c>
      <c r="S432" s="276"/>
      <c r="T432" s="276"/>
      <c r="U432" s="276"/>
      <c r="V432" s="276"/>
      <c r="W432" s="276"/>
      <c r="X432" s="276"/>
      <c r="Y432" s="276"/>
      <c r="Z432" s="276"/>
      <c r="AA432" s="276"/>
      <c r="AB432" s="276"/>
      <c r="AC432" s="276"/>
    </row>
    <row r="433">
      <c r="A433" s="107" t="s">
        <v>5442</v>
      </c>
      <c r="B433" s="358">
        <v>46013.0</v>
      </c>
      <c r="C433" s="107">
        <v>8.0501156392E11</v>
      </c>
      <c r="D433" s="107" t="s">
        <v>5443</v>
      </c>
      <c r="E433" s="107" t="s">
        <v>5444</v>
      </c>
      <c r="F433" s="107" t="s">
        <v>5445</v>
      </c>
      <c r="G433" s="107" t="s">
        <v>20</v>
      </c>
      <c r="H433" s="107">
        <v>4400.0</v>
      </c>
      <c r="I433" s="107" t="s">
        <v>617</v>
      </c>
      <c r="J433" s="31" t="s">
        <v>3867</v>
      </c>
      <c r="K433" s="33">
        <v>1.0</v>
      </c>
      <c r="L433" s="31">
        <v>3.875562309E9</v>
      </c>
      <c r="M433" s="34"/>
      <c r="N433" s="413">
        <v>46376.0</v>
      </c>
      <c r="O433" s="123" t="s">
        <v>9011</v>
      </c>
      <c r="P433" s="276"/>
      <c r="Q433" s="275" t="s">
        <v>9012</v>
      </c>
      <c r="R433" s="359" t="s">
        <v>13484</v>
      </c>
      <c r="S433" s="276"/>
      <c r="T433" s="276"/>
      <c r="U433" s="276"/>
      <c r="V433" s="276"/>
      <c r="W433" s="276"/>
      <c r="X433" s="276"/>
      <c r="Y433" s="276"/>
      <c r="Z433" s="276"/>
      <c r="AA433" s="276"/>
      <c r="AB433" s="276"/>
      <c r="AC433" s="276"/>
    </row>
    <row r="434">
      <c r="A434" s="107" t="s">
        <v>5446</v>
      </c>
      <c r="B434" s="358">
        <v>46013.0</v>
      </c>
      <c r="C434" s="107">
        <v>8.06015097179E11</v>
      </c>
      <c r="D434" s="107" t="s">
        <v>5447</v>
      </c>
      <c r="E434" s="107" t="s">
        <v>5448</v>
      </c>
      <c r="F434" s="107" t="s">
        <v>5449</v>
      </c>
      <c r="G434" s="107" t="s">
        <v>20</v>
      </c>
      <c r="H434" s="107" t="s">
        <v>4086</v>
      </c>
      <c r="I434" s="107" t="s">
        <v>2135</v>
      </c>
      <c r="J434" s="31" t="s">
        <v>5094</v>
      </c>
      <c r="K434" s="33">
        <v>1.0</v>
      </c>
      <c r="L434" s="31">
        <v>3.875174567E9</v>
      </c>
      <c r="M434" s="31" t="s">
        <v>5450</v>
      </c>
      <c r="N434" s="413">
        <v>46382.0</v>
      </c>
      <c r="O434" s="123" t="s">
        <v>9011</v>
      </c>
      <c r="P434" s="276"/>
      <c r="Q434" s="275" t="s">
        <v>13485</v>
      </c>
      <c r="R434" s="359" t="s">
        <v>13486</v>
      </c>
      <c r="S434" s="276"/>
      <c r="T434" s="276"/>
      <c r="U434" s="276"/>
      <c r="V434" s="276"/>
      <c r="W434" s="276"/>
      <c r="X434" s="276"/>
      <c r="Y434" s="276"/>
      <c r="Z434" s="276"/>
      <c r="AA434" s="276"/>
      <c r="AB434" s="276"/>
      <c r="AC434" s="276"/>
    </row>
    <row r="435">
      <c r="A435" s="107" t="s">
        <v>5451</v>
      </c>
      <c r="B435" s="358">
        <v>46013.0</v>
      </c>
      <c r="C435" s="107">
        <v>8.05011564296E11</v>
      </c>
      <c r="D435" s="107" t="s">
        <v>5452</v>
      </c>
      <c r="E435" s="107" t="s">
        <v>5453</v>
      </c>
      <c r="F435" s="107" t="s">
        <v>5454</v>
      </c>
      <c r="G435" s="107" t="s">
        <v>20</v>
      </c>
      <c r="H435" s="107">
        <v>4400.0</v>
      </c>
      <c r="I435" s="107" t="s">
        <v>32</v>
      </c>
      <c r="J435" s="31" t="s">
        <v>3225</v>
      </c>
      <c r="K435" s="33">
        <v>1.0</v>
      </c>
      <c r="L435" s="31">
        <v>3.874660333E9</v>
      </c>
      <c r="M435" s="34"/>
      <c r="N435" s="414">
        <v>46382.0</v>
      </c>
      <c r="O435" s="204" t="s">
        <v>9011</v>
      </c>
      <c r="P435" s="276"/>
      <c r="Q435" s="275" t="s">
        <v>9012</v>
      </c>
      <c r="R435" s="359" t="s">
        <v>13487</v>
      </c>
      <c r="S435" s="276"/>
      <c r="T435" s="276"/>
      <c r="U435" s="276"/>
      <c r="V435" s="276"/>
      <c r="W435" s="276"/>
      <c r="X435" s="276"/>
      <c r="Y435" s="276"/>
      <c r="Z435" s="276"/>
      <c r="AA435" s="276"/>
      <c r="AB435" s="276"/>
      <c r="AC435" s="276"/>
    </row>
    <row r="436">
      <c r="A436" s="107" t="s">
        <v>5451</v>
      </c>
      <c r="B436" s="358">
        <v>46013.0</v>
      </c>
      <c r="C436" s="107">
        <v>8.05011564296E11</v>
      </c>
      <c r="D436" s="107" t="s">
        <v>5452</v>
      </c>
      <c r="E436" s="107" t="s">
        <v>5453</v>
      </c>
      <c r="F436" s="107" t="s">
        <v>5454</v>
      </c>
      <c r="G436" s="107" t="s">
        <v>20</v>
      </c>
      <c r="H436" s="107">
        <v>4400.0</v>
      </c>
      <c r="I436" s="107" t="s">
        <v>512</v>
      </c>
      <c r="J436" s="31" t="s">
        <v>513</v>
      </c>
      <c r="K436" s="33">
        <v>6.0</v>
      </c>
      <c r="L436" s="31">
        <v>3.874660333E9</v>
      </c>
      <c r="M436" s="34"/>
      <c r="N436" s="209"/>
      <c r="O436" s="209"/>
      <c r="P436" s="276"/>
      <c r="S436" s="276"/>
      <c r="T436" s="276"/>
      <c r="U436" s="276"/>
      <c r="V436" s="276"/>
      <c r="W436" s="276"/>
      <c r="X436" s="276"/>
      <c r="Y436" s="276"/>
      <c r="Z436" s="276"/>
      <c r="AA436" s="276"/>
      <c r="AB436" s="276"/>
      <c r="AC436" s="276"/>
    </row>
    <row r="437">
      <c r="A437" s="107" t="s">
        <v>5451</v>
      </c>
      <c r="B437" s="358">
        <v>46013.0</v>
      </c>
      <c r="C437" s="107">
        <v>8.05011564296E11</v>
      </c>
      <c r="D437" s="107" t="s">
        <v>5452</v>
      </c>
      <c r="E437" s="107" t="s">
        <v>5453</v>
      </c>
      <c r="F437" s="107" t="s">
        <v>5454</v>
      </c>
      <c r="G437" s="107" t="s">
        <v>20</v>
      </c>
      <c r="H437" s="107">
        <v>4400.0</v>
      </c>
      <c r="I437" s="107" t="s">
        <v>670</v>
      </c>
      <c r="J437" s="31" t="s">
        <v>3410</v>
      </c>
      <c r="K437" s="33">
        <v>1.0</v>
      </c>
      <c r="L437" s="31">
        <v>3.874660333E9</v>
      </c>
      <c r="M437" s="34"/>
      <c r="N437" s="206"/>
      <c r="O437" s="206"/>
      <c r="P437" s="276"/>
      <c r="S437" s="276"/>
      <c r="T437" s="276"/>
      <c r="U437" s="276"/>
      <c r="V437" s="276"/>
      <c r="W437" s="276"/>
      <c r="X437" s="276"/>
      <c r="Y437" s="276"/>
      <c r="Z437" s="276"/>
      <c r="AA437" s="276"/>
      <c r="AB437" s="276"/>
      <c r="AC437" s="276"/>
    </row>
    <row r="438">
      <c r="A438" s="108" t="s">
        <v>11467</v>
      </c>
      <c r="B438" s="378">
        <v>46017.0</v>
      </c>
      <c r="C438" s="374">
        <v>8.07000034256E11</v>
      </c>
      <c r="D438" s="374" t="s">
        <v>11468</v>
      </c>
      <c r="E438" s="374" t="s">
        <v>11469</v>
      </c>
      <c r="F438" s="177" t="s">
        <v>11470</v>
      </c>
      <c r="G438" s="176" t="s">
        <v>127</v>
      </c>
      <c r="H438" s="177">
        <v>4400.0</v>
      </c>
      <c r="I438" s="176">
        <v>125812.0</v>
      </c>
      <c r="J438" s="240" t="s">
        <v>9317</v>
      </c>
      <c r="K438" s="242">
        <v>2.0</v>
      </c>
      <c r="L438" s="124">
        <v>3.874060556E9</v>
      </c>
      <c r="M438" s="276"/>
      <c r="N438" s="274">
        <v>46382.0</v>
      </c>
      <c r="O438" s="275" t="s">
        <v>9011</v>
      </c>
      <c r="P438" s="276"/>
      <c r="Q438" s="275" t="s">
        <v>9012</v>
      </c>
      <c r="R438" s="359" t="s">
        <v>13488</v>
      </c>
      <c r="S438" s="276"/>
      <c r="T438" s="276"/>
      <c r="U438" s="276"/>
      <c r="V438" s="276"/>
      <c r="W438" s="276"/>
      <c r="X438" s="276"/>
      <c r="Y438" s="276"/>
      <c r="Z438" s="276"/>
      <c r="AA438" s="276"/>
      <c r="AB438" s="276"/>
      <c r="AC438" s="276"/>
    </row>
    <row r="439">
      <c r="A439" s="108" t="s">
        <v>11467</v>
      </c>
      <c r="B439" s="378">
        <v>46017.0</v>
      </c>
      <c r="C439" s="374">
        <v>8.07000034256E11</v>
      </c>
      <c r="D439" s="374" t="s">
        <v>11468</v>
      </c>
      <c r="E439" s="374" t="s">
        <v>11469</v>
      </c>
      <c r="F439" s="177" t="s">
        <v>11470</v>
      </c>
      <c r="G439" s="176" t="s">
        <v>127</v>
      </c>
      <c r="H439" s="177">
        <v>4400.0</v>
      </c>
      <c r="I439" s="176">
        <v>125814.0</v>
      </c>
      <c r="J439" s="103" t="s">
        <v>9798</v>
      </c>
      <c r="K439" s="241">
        <v>2.0</v>
      </c>
      <c r="L439" s="124">
        <v>3.874060556E9</v>
      </c>
      <c r="M439" s="276"/>
      <c r="P439" s="276"/>
      <c r="S439" s="276"/>
      <c r="T439" s="276"/>
      <c r="U439" s="276"/>
      <c r="V439" s="276"/>
      <c r="W439" s="276"/>
      <c r="X439" s="276"/>
      <c r="Y439" s="276"/>
      <c r="Z439" s="276"/>
      <c r="AA439" s="276"/>
      <c r="AB439" s="276"/>
      <c r="AC439" s="276"/>
    </row>
    <row r="440">
      <c r="A440" s="108" t="s">
        <v>11467</v>
      </c>
      <c r="B440" s="378">
        <v>46017.0</v>
      </c>
      <c r="C440" s="374">
        <v>8.07000034256E11</v>
      </c>
      <c r="D440" s="374" t="s">
        <v>11468</v>
      </c>
      <c r="E440" s="374" t="s">
        <v>11469</v>
      </c>
      <c r="F440" s="177" t="s">
        <v>11470</v>
      </c>
      <c r="G440" s="176" t="s">
        <v>127</v>
      </c>
      <c r="H440" s="177">
        <v>4400.0</v>
      </c>
      <c r="I440" s="176" t="s">
        <v>6343</v>
      </c>
      <c r="J440" s="240" t="s">
        <v>6435</v>
      </c>
      <c r="K440" s="242">
        <v>1.0</v>
      </c>
      <c r="L440" s="124">
        <v>3.874060556E9</v>
      </c>
      <c r="M440" s="276"/>
      <c r="P440" s="276"/>
      <c r="S440" s="276"/>
      <c r="T440" s="276"/>
      <c r="U440" s="276"/>
      <c r="V440" s="276"/>
      <c r="W440" s="276"/>
      <c r="X440" s="276"/>
      <c r="Y440" s="276"/>
      <c r="Z440" s="276"/>
      <c r="AA440" s="276"/>
      <c r="AB440" s="276"/>
      <c r="AC440" s="276"/>
    </row>
    <row r="441">
      <c r="A441" s="108" t="s">
        <v>11467</v>
      </c>
      <c r="B441" s="378">
        <v>46017.0</v>
      </c>
      <c r="C441" s="374">
        <v>8.07000034256E11</v>
      </c>
      <c r="D441" s="374" t="s">
        <v>11468</v>
      </c>
      <c r="E441" s="374" t="s">
        <v>11469</v>
      </c>
      <c r="F441" s="177" t="s">
        <v>11470</v>
      </c>
      <c r="G441" s="176" t="s">
        <v>127</v>
      </c>
      <c r="H441" s="177">
        <v>4400.0</v>
      </c>
      <c r="I441" s="176" t="s">
        <v>512</v>
      </c>
      <c r="J441" s="103" t="s">
        <v>513</v>
      </c>
      <c r="K441" s="241">
        <v>12.0</v>
      </c>
      <c r="L441" s="124">
        <v>3.874060556E9</v>
      </c>
      <c r="M441" s="276"/>
      <c r="P441" s="276"/>
      <c r="S441" s="276"/>
      <c r="T441" s="276"/>
      <c r="U441" s="276"/>
      <c r="V441" s="276"/>
      <c r="W441" s="276"/>
      <c r="X441" s="276"/>
      <c r="Y441" s="276"/>
      <c r="Z441" s="276"/>
      <c r="AA441" s="276"/>
      <c r="AB441" s="276"/>
      <c r="AC441" s="276"/>
    </row>
    <row r="442">
      <c r="A442" s="108" t="s">
        <v>11467</v>
      </c>
      <c r="B442" s="378">
        <v>46017.0</v>
      </c>
      <c r="C442" s="374">
        <v>8.07000034257E11</v>
      </c>
      <c r="D442" s="374" t="s">
        <v>11468</v>
      </c>
      <c r="E442" s="374" t="s">
        <v>11469</v>
      </c>
      <c r="F442" s="177" t="s">
        <v>11470</v>
      </c>
      <c r="G442" s="176" t="s">
        <v>127</v>
      </c>
      <c r="H442" s="177">
        <v>4400.0</v>
      </c>
      <c r="I442" s="176" t="s">
        <v>233</v>
      </c>
      <c r="J442" s="240" t="s">
        <v>3459</v>
      </c>
      <c r="K442" s="242">
        <v>2.0</v>
      </c>
      <c r="L442" s="124">
        <v>3.874060556E9</v>
      </c>
      <c r="M442" s="276"/>
      <c r="P442" s="276"/>
      <c r="S442" s="276"/>
      <c r="T442" s="276"/>
      <c r="U442" s="276"/>
      <c r="V442" s="276"/>
      <c r="W442" s="276"/>
      <c r="X442" s="276"/>
      <c r="Y442" s="276"/>
      <c r="Z442" s="276"/>
      <c r="AA442" s="276"/>
      <c r="AB442" s="276"/>
      <c r="AC442" s="276"/>
    </row>
    <row r="443">
      <c r="A443" s="108" t="s">
        <v>11467</v>
      </c>
      <c r="B443" s="378">
        <v>46017.0</v>
      </c>
      <c r="C443" s="374">
        <v>8.07000034268E11</v>
      </c>
      <c r="D443" s="374" t="s">
        <v>11468</v>
      </c>
      <c r="E443" s="374" t="s">
        <v>11469</v>
      </c>
      <c r="F443" s="177" t="s">
        <v>11470</v>
      </c>
      <c r="G443" s="176" t="s">
        <v>127</v>
      </c>
      <c r="H443" s="177">
        <v>4400.0</v>
      </c>
      <c r="I443" s="176" t="s">
        <v>4070</v>
      </c>
      <c r="J443" s="103" t="s">
        <v>6264</v>
      </c>
      <c r="K443" s="241">
        <v>1.0</v>
      </c>
      <c r="L443" s="124">
        <v>3.874060556E9</v>
      </c>
      <c r="M443" s="276"/>
      <c r="P443" s="276"/>
      <c r="S443" s="276"/>
      <c r="T443" s="276"/>
      <c r="U443" s="276"/>
      <c r="V443" s="276"/>
      <c r="W443" s="276"/>
      <c r="X443" s="276"/>
      <c r="Y443" s="276"/>
      <c r="Z443" s="276"/>
      <c r="AA443" s="276"/>
      <c r="AB443" s="276"/>
      <c r="AC443" s="276"/>
    </row>
    <row r="444">
      <c r="A444" s="108" t="s">
        <v>11471</v>
      </c>
      <c r="B444" s="378">
        <v>46017.0</v>
      </c>
      <c r="C444" s="374">
        <v>8.07000034258E11</v>
      </c>
      <c r="D444" s="374" t="s">
        <v>11472</v>
      </c>
      <c r="E444" s="374" t="s">
        <v>11473</v>
      </c>
      <c r="F444" s="177" t="s">
        <v>11474</v>
      </c>
      <c r="G444" s="176" t="s">
        <v>104</v>
      </c>
      <c r="H444" s="177">
        <v>4400.0</v>
      </c>
      <c r="I444" s="176" t="s">
        <v>5034</v>
      </c>
      <c r="J444" s="240" t="s">
        <v>5035</v>
      </c>
      <c r="K444" s="242">
        <v>1.0</v>
      </c>
      <c r="L444" s="124">
        <v>3.873021669E9</v>
      </c>
      <c r="M444" s="276"/>
      <c r="N444" s="274">
        <v>46383.0</v>
      </c>
      <c r="O444" s="275" t="s">
        <v>9011</v>
      </c>
      <c r="P444" s="276"/>
      <c r="Q444" s="275" t="s">
        <v>13489</v>
      </c>
      <c r="R444" s="359" t="s">
        <v>13490</v>
      </c>
      <c r="S444" s="276"/>
      <c r="T444" s="276"/>
      <c r="U444" s="276"/>
      <c r="V444" s="276"/>
      <c r="W444" s="276"/>
      <c r="X444" s="276"/>
      <c r="Y444" s="276"/>
      <c r="Z444" s="276"/>
      <c r="AA444" s="276"/>
      <c r="AB444" s="276"/>
      <c r="AC444" s="276"/>
    </row>
    <row r="445">
      <c r="A445" s="108" t="s">
        <v>11471</v>
      </c>
      <c r="B445" s="378">
        <v>46017.0</v>
      </c>
      <c r="C445" s="374">
        <v>8.07000034258E11</v>
      </c>
      <c r="D445" s="374" t="s">
        <v>11472</v>
      </c>
      <c r="E445" s="374" t="s">
        <v>11473</v>
      </c>
      <c r="F445" s="177" t="s">
        <v>11474</v>
      </c>
      <c r="G445" s="176" t="s">
        <v>104</v>
      </c>
      <c r="H445" s="177">
        <v>4400.0</v>
      </c>
      <c r="I445" s="176" t="s">
        <v>512</v>
      </c>
      <c r="J445" s="103" t="s">
        <v>513</v>
      </c>
      <c r="K445" s="241">
        <v>6.0</v>
      </c>
      <c r="L445" s="124">
        <v>3.873021669E9</v>
      </c>
      <c r="M445" s="276"/>
      <c r="P445" s="276"/>
      <c r="S445" s="276"/>
      <c r="T445" s="276"/>
      <c r="U445" s="276"/>
      <c r="V445" s="276"/>
      <c r="W445" s="276"/>
      <c r="X445" s="276"/>
      <c r="Y445" s="276"/>
      <c r="Z445" s="276"/>
      <c r="AA445" s="276"/>
      <c r="AB445" s="276"/>
      <c r="AC445" s="276"/>
    </row>
    <row r="446">
      <c r="A446" s="108" t="s">
        <v>11471</v>
      </c>
      <c r="B446" s="378">
        <v>46017.0</v>
      </c>
      <c r="C446" s="374">
        <v>8.07000034258E11</v>
      </c>
      <c r="D446" s="374" t="s">
        <v>11472</v>
      </c>
      <c r="E446" s="374" t="s">
        <v>11473</v>
      </c>
      <c r="F446" s="177" t="s">
        <v>11474</v>
      </c>
      <c r="G446" s="176" t="s">
        <v>104</v>
      </c>
      <c r="H446" s="177">
        <v>4400.0</v>
      </c>
      <c r="I446" s="176" t="s">
        <v>670</v>
      </c>
      <c r="J446" s="240" t="s">
        <v>3410</v>
      </c>
      <c r="K446" s="242">
        <v>1.0</v>
      </c>
      <c r="L446" s="124">
        <v>3.873021669E9</v>
      </c>
      <c r="M446" s="276"/>
      <c r="P446" s="276"/>
      <c r="S446" s="276"/>
      <c r="T446" s="276"/>
      <c r="U446" s="276"/>
      <c r="V446" s="276"/>
      <c r="W446" s="276"/>
      <c r="X446" s="276"/>
      <c r="Y446" s="276"/>
      <c r="Z446" s="276"/>
      <c r="AA446" s="276"/>
      <c r="AB446" s="276"/>
      <c r="AC446" s="276"/>
    </row>
    <row r="447">
      <c r="A447" s="108" t="s">
        <v>11475</v>
      </c>
      <c r="B447" s="378">
        <v>46017.0</v>
      </c>
      <c r="C447" s="374">
        <v>8.07000034265E11</v>
      </c>
      <c r="D447" s="374" t="s">
        <v>11476</v>
      </c>
      <c r="E447" s="374" t="s">
        <v>11477</v>
      </c>
      <c r="F447" s="177" t="s">
        <v>11478</v>
      </c>
      <c r="G447" s="176" t="s">
        <v>104</v>
      </c>
      <c r="H447" s="177">
        <v>4400.0</v>
      </c>
      <c r="I447" s="176" t="s">
        <v>3154</v>
      </c>
      <c r="J447" s="103" t="s">
        <v>4564</v>
      </c>
      <c r="K447" s="241">
        <v>2.0</v>
      </c>
      <c r="L447" s="124">
        <v>3.874440761E9</v>
      </c>
      <c r="M447" s="276"/>
      <c r="N447" s="274">
        <v>46382.0</v>
      </c>
      <c r="O447" s="275" t="s">
        <v>9011</v>
      </c>
      <c r="P447" s="276"/>
      <c r="Q447" s="275" t="s">
        <v>13491</v>
      </c>
      <c r="R447" s="359" t="s">
        <v>13492</v>
      </c>
      <c r="S447" s="276"/>
      <c r="T447" s="276"/>
      <c r="U447" s="276"/>
      <c r="V447" s="276"/>
      <c r="W447" s="276"/>
      <c r="X447" s="276"/>
      <c r="Y447" s="276"/>
      <c r="Z447" s="276"/>
      <c r="AA447" s="276"/>
      <c r="AB447" s="276"/>
      <c r="AC447" s="276"/>
    </row>
    <row r="448">
      <c r="A448" s="108" t="s">
        <v>11475</v>
      </c>
      <c r="B448" s="378">
        <v>46017.0</v>
      </c>
      <c r="C448" s="374">
        <v>8.07000034265E11</v>
      </c>
      <c r="D448" s="374" t="s">
        <v>11476</v>
      </c>
      <c r="E448" s="374" t="s">
        <v>11477</v>
      </c>
      <c r="F448" s="177" t="s">
        <v>11478</v>
      </c>
      <c r="G448" s="176" t="s">
        <v>104</v>
      </c>
      <c r="H448" s="177">
        <v>4400.0</v>
      </c>
      <c r="I448" s="176" t="s">
        <v>512</v>
      </c>
      <c r="J448" s="240" t="s">
        <v>513</v>
      </c>
      <c r="K448" s="242">
        <v>12.0</v>
      </c>
      <c r="L448" s="124">
        <v>3.874440761E9</v>
      </c>
      <c r="M448" s="276"/>
      <c r="P448" s="276"/>
      <c r="S448" s="276"/>
      <c r="T448" s="276"/>
      <c r="U448" s="276"/>
      <c r="V448" s="276"/>
      <c r="W448" s="276"/>
      <c r="X448" s="276"/>
      <c r="Y448" s="276"/>
      <c r="Z448" s="276"/>
      <c r="AA448" s="276"/>
      <c r="AB448" s="276"/>
      <c r="AC448" s="276"/>
    </row>
    <row r="449">
      <c r="A449" s="108" t="s">
        <v>11475</v>
      </c>
      <c r="B449" s="378">
        <v>46017.0</v>
      </c>
      <c r="C449" s="374">
        <v>8.07000034265E11</v>
      </c>
      <c r="D449" s="374" t="s">
        <v>11476</v>
      </c>
      <c r="E449" s="374" t="s">
        <v>11477</v>
      </c>
      <c r="F449" s="177" t="s">
        <v>11478</v>
      </c>
      <c r="G449" s="176" t="s">
        <v>104</v>
      </c>
      <c r="H449" s="177">
        <v>4400.0</v>
      </c>
      <c r="I449" s="176" t="s">
        <v>2031</v>
      </c>
      <c r="J449" s="103" t="s">
        <v>3348</v>
      </c>
      <c r="K449" s="241">
        <v>2.0</v>
      </c>
      <c r="L449" s="124">
        <v>3.874440761E9</v>
      </c>
      <c r="M449" s="276"/>
      <c r="P449" s="276"/>
      <c r="S449" s="276"/>
      <c r="T449" s="276"/>
      <c r="U449" s="276"/>
      <c r="V449" s="276"/>
      <c r="W449" s="276"/>
      <c r="X449" s="276"/>
      <c r="Y449" s="276"/>
      <c r="Z449" s="276"/>
      <c r="AA449" s="276"/>
      <c r="AB449" s="276"/>
      <c r="AC449" s="276"/>
    </row>
    <row r="450">
      <c r="A450" s="108" t="s">
        <v>11475</v>
      </c>
      <c r="B450" s="415">
        <v>46017.0</v>
      </c>
      <c r="C450" s="374">
        <v>8.07000034265E11</v>
      </c>
      <c r="D450" s="374" t="s">
        <v>11476</v>
      </c>
      <c r="E450" s="374" t="s">
        <v>11477</v>
      </c>
      <c r="F450" s="177" t="s">
        <v>11478</v>
      </c>
      <c r="G450" s="176" t="s">
        <v>104</v>
      </c>
      <c r="H450" s="177">
        <v>4400.0</v>
      </c>
      <c r="I450" s="176" t="s">
        <v>4070</v>
      </c>
      <c r="J450" s="103" t="s">
        <v>6264</v>
      </c>
      <c r="K450" s="241">
        <v>1.0</v>
      </c>
      <c r="L450" s="124">
        <v>3.874440761E9</v>
      </c>
      <c r="M450" s="276"/>
      <c r="P450" s="276"/>
      <c r="S450" s="276"/>
      <c r="T450" s="276"/>
      <c r="U450" s="276"/>
      <c r="V450" s="276"/>
      <c r="W450" s="276"/>
      <c r="X450" s="276"/>
      <c r="Y450" s="276"/>
      <c r="Z450" s="276"/>
      <c r="AA450" s="276"/>
      <c r="AB450" s="276"/>
      <c r="AC450" s="276"/>
    </row>
    <row r="451">
      <c r="A451" s="108" t="s">
        <v>11479</v>
      </c>
      <c r="B451" s="378">
        <v>46017.0</v>
      </c>
      <c r="C451" s="374">
        <v>8.07000034273E11</v>
      </c>
      <c r="D451" s="374" t="s">
        <v>11480</v>
      </c>
      <c r="E451" s="374" t="s">
        <v>11481</v>
      </c>
      <c r="F451" s="145" t="s">
        <v>11482</v>
      </c>
      <c r="G451" s="108" t="s">
        <v>9078</v>
      </c>
      <c r="H451" s="108">
        <v>4406.0</v>
      </c>
      <c r="I451" s="176" t="s">
        <v>1241</v>
      </c>
      <c r="J451" s="240" t="s">
        <v>11483</v>
      </c>
      <c r="K451" s="242">
        <v>1.0</v>
      </c>
      <c r="L451" s="124">
        <v>3.876053983E9</v>
      </c>
      <c r="M451" s="276"/>
      <c r="N451" s="274">
        <v>46383.0</v>
      </c>
      <c r="O451" s="275" t="s">
        <v>9011</v>
      </c>
      <c r="P451" s="276"/>
      <c r="Q451" s="275" t="s">
        <v>9012</v>
      </c>
      <c r="R451" s="359" t="s">
        <v>13493</v>
      </c>
      <c r="S451" s="276"/>
      <c r="T451" s="276"/>
      <c r="U451" s="276"/>
      <c r="V451" s="276"/>
      <c r="W451" s="276"/>
      <c r="X451" s="276"/>
      <c r="Y451" s="276"/>
      <c r="Z451" s="276"/>
      <c r="AA451" s="276"/>
      <c r="AB451" s="276"/>
      <c r="AC451" s="276"/>
    </row>
    <row r="452">
      <c r="A452" s="108" t="s">
        <v>11479</v>
      </c>
      <c r="B452" s="378">
        <v>46017.0</v>
      </c>
      <c r="C452" s="374">
        <v>8.07000034273E11</v>
      </c>
      <c r="D452" s="374" t="s">
        <v>11480</v>
      </c>
      <c r="E452" s="374" t="s">
        <v>11481</v>
      </c>
      <c r="F452" s="145" t="s">
        <v>11482</v>
      </c>
      <c r="G452" s="108" t="s">
        <v>9078</v>
      </c>
      <c r="H452" s="108">
        <v>4406.0</v>
      </c>
      <c r="I452" s="176">
        <v>125818.0</v>
      </c>
      <c r="J452" s="240" t="s">
        <v>11484</v>
      </c>
      <c r="K452" s="242">
        <v>1.0</v>
      </c>
      <c r="L452" s="124">
        <v>3.876053983E9</v>
      </c>
      <c r="M452" s="276"/>
      <c r="P452" s="276"/>
      <c r="S452" s="276"/>
      <c r="T452" s="276"/>
      <c r="U452" s="276"/>
      <c r="V452" s="276"/>
      <c r="W452" s="276"/>
      <c r="X452" s="276"/>
      <c r="Y452" s="276"/>
      <c r="Z452" s="276"/>
      <c r="AA452" s="276"/>
      <c r="AB452" s="276"/>
      <c r="AC452" s="276"/>
    </row>
    <row r="453">
      <c r="A453" s="108" t="s">
        <v>11485</v>
      </c>
      <c r="B453" s="415">
        <v>46018.0</v>
      </c>
      <c r="C453" s="374">
        <v>8.07000034295E11</v>
      </c>
      <c r="D453" s="374" t="s">
        <v>11486</v>
      </c>
      <c r="E453" s="374" t="s">
        <v>11487</v>
      </c>
      <c r="F453" s="177" t="s">
        <v>11488</v>
      </c>
      <c r="G453" s="176" t="s">
        <v>127</v>
      </c>
      <c r="H453" s="177">
        <v>4400.0</v>
      </c>
      <c r="I453" s="176">
        <v>208501.0</v>
      </c>
      <c r="J453" s="103" t="s">
        <v>481</v>
      </c>
      <c r="K453" s="241">
        <v>2.0</v>
      </c>
      <c r="L453" s="124"/>
      <c r="M453" s="276"/>
      <c r="N453" s="274">
        <v>46383.0</v>
      </c>
      <c r="O453" s="275" t="s">
        <v>9011</v>
      </c>
      <c r="P453" s="276"/>
      <c r="Q453" s="275" t="s">
        <v>9012</v>
      </c>
      <c r="R453" s="359" t="s">
        <v>13494</v>
      </c>
      <c r="S453" s="276"/>
      <c r="T453" s="276"/>
      <c r="U453" s="276"/>
      <c r="V453" s="276"/>
      <c r="W453" s="276"/>
      <c r="X453" s="276"/>
      <c r="Y453" s="276"/>
      <c r="Z453" s="276"/>
      <c r="AA453" s="276"/>
      <c r="AB453" s="276"/>
      <c r="AC453" s="276"/>
    </row>
    <row r="454">
      <c r="A454" s="108" t="s">
        <v>11485</v>
      </c>
      <c r="B454" s="415">
        <v>46018.0</v>
      </c>
      <c r="C454" s="374">
        <v>8.07000034295E11</v>
      </c>
      <c r="D454" s="374" t="s">
        <v>11486</v>
      </c>
      <c r="E454" s="374" t="s">
        <v>11487</v>
      </c>
      <c r="F454" s="177" t="s">
        <v>11488</v>
      </c>
      <c r="G454" s="176" t="s">
        <v>127</v>
      </c>
      <c r="H454" s="177">
        <v>4400.0</v>
      </c>
      <c r="I454" s="176" t="s">
        <v>10130</v>
      </c>
      <c r="J454" s="240" t="s">
        <v>10131</v>
      </c>
      <c r="K454" s="242">
        <v>1.0</v>
      </c>
      <c r="L454" s="124"/>
      <c r="M454" s="276"/>
      <c r="P454" s="276"/>
      <c r="S454" s="276"/>
      <c r="T454" s="276"/>
      <c r="U454" s="276"/>
      <c r="V454" s="276"/>
      <c r="W454" s="276"/>
      <c r="X454" s="276"/>
      <c r="Y454" s="276"/>
      <c r="Z454" s="276"/>
      <c r="AA454" s="276"/>
      <c r="AB454" s="276"/>
      <c r="AC454" s="276"/>
    </row>
    <row r="455">
      <c r="A455" s="108" t="s">
        <v>11485</v>
      </c>
      <c r="B455" s="415">
        <v>46018.0</v>
      </c>
      <c r="C455" s="374">
        <v>8.07000034296E11</v>
      </c>
      <c r="D455" s="374" t="s">
        <v>11486</v>
      </c>
      <c r="E455" s="374" t="s">
        <v>11487</v>
      </c>
      <c r="F455" s="177" t="s">
        <v>11488</v>
      </c>
      <c r="G455" s="176" t="s">
        <v>127</v>
      </c>
      <c r="H455" s="177">
        <v>4400.0</v>
      </c>
      <c r="I455" s="176" t="s">
        <v>340</v>
      </c>
      <c r="J455" s="103" t="s">
        <v>3486</v>
      </c>
      <c r="K455" s="241">
        <v>2.0</v>
      </c>
      <c r="L455" s="124"/>
      <c r="M455" s="276"/>
      <c r="P455" s="276"/>
      <c r="S455" s="276"/>
      <c r="T455" s="276"/>
      <c r="U455" s="276"/>
      <c r="V455" s="276"/>
      <c r="W455" s="276"/>
      <c r="X455" s="276"/>
      <c r="Y455" s="276"/>
      <c r="Z455" s="276"/>
      <c r="AA455" s="276"/>
      <c r="AB455" s="276"/>
      <c r="AC455" s="276"/>
    </row>
    <row r="456">
      <c r="A456" s="108" t="s">
        <v>11489</v>
      </c>
      <c r="B456" s="415">
        <v>46018.0</v>
      </c>
      <c r="C456" s="374">
        <v>8.07000034297E11</v>
      </c>
      <c r="D456" s="374" t="s">
        <v>11486</v>
      </c>
      <c r="E456" s="374" t="s">
        <v>11487</v>
      </c>
      <c r="F456" s="177" t="s">
        <v>11488</v>
      </c>
      <c r="G456" s="176" t="s">
        <v>127</v>
      </c>
      <c r="H456" s="177">
        <v>4400.0</v>
      </c>
      <c r="I456" s="176" t="s">
        <v>512</v>
      </c>
      <c r="J456" s="240" t="s">
        <v>513</v>
      </c>
      <c r="K456" s="242">
        <v>12.0</v>
      </c>
      <c r="L456" s="124"/>
      <c r="M456" s="276"/>
      <c r="P456" s="276"/>
      <c r="S456" s="276"/>
      <c r="T456" s="276"/>
      <c r="U456" s="276"/>
      <c r="V456" s="276"/>
      <c r="W456" s="276"/>
      <c r="X456" s="276"/>
      <c r="Y456" s="276"/>
      <c r="Z456" s="276"/>
      <c r="AA456" s="276"/>
      <c r="AB456" s="276"/>
      <c r="AC456" s="276"/>
    </row>
    <row r="457">
      <c r="A457" s="108" t="s">
        <v>11489</v>
      </c>
      <c r="B457" s="415">
        <v>46018.0</v>
      </c>
      <c r="C457" s="374">
        <v>8.07000034298E11</v>
      </c>
      <c r="D457" s="374" t="s">
        <v>11486</v>
      </c>
      <c r="E457" s="374" t="s">
        <v>11487</v>
      </c>
      <c r="F457" s="177" t="s">
        <v>11488</v>
      </c>
      <c r="G457" s="176" t="s">
        <v>127</v>
      </c>
      <c r="H457" s="177">
        <v>4400.0</v>
      </c>
      <c r="I457" s="176" t="s">
        <v>3817</v>
      </c>
      <c r="J457" s="103" t="s">
        <v>3818</v>
      </c>
      <c r="K457" s="241">
        <v>1.0</v>
      </c>
      <c r="L457" s="124"/>
      <c r="M457" s="276"/>
      <c r="P457" s="276"/>
      <c r="S457" s="276"/>
      <c r="T457" s="276"/>
      <c r="U457" s="276"/>
      <c r="V457" s="276"/>
      <c r="W457" s="276"/>
      <c r="X457" s="276"/>
      <c r="Y457" s="276"/>
      <c r="Z457" s="276"/>
      <c r="AA457" s="276"/>
      <c r="AB457" s="276"/>
      <c r="AC457" s="276"/>
    </row>
    <row r="458">
      <c r="A458" s="108" t="s">
        <v>11490</v>
      </c>
      <c r="B458" s="415">
        <v>46018.0</v>
      </c>
      <c r="C458" s="374">
        <v>8.07000034284E11</v>
      </c>
      <c r="D458" s="374" t="s">
        <v>11491</v>
      </c>
      <c r="E458" s="374" t="s">
        <v>11492</v>
      </c>
      <c r="F458" s="177" t="s">
        <v>11493</v>
      </c>
      <c r="G458" s="176" t="s">
        <v>104</v>
      </c>
      <c r="H458" s="177">
        <v>4400.0</v>
      </c>
      <c r="I458" s="176">
        <v>125818.0</v>
      </c>
      <c r="J458" s="240" t="s">
        <v>4334</v>
      </c>
      <c r="K458" s="242">
        <v>2.0</v>
      </c>
      <c r="L458" s="124"/>
      <c r="M458" s="276"/>
      <c r="N458" s="274">
        <v>46383.0</v>
      </c>
      <c r="O458" s="275" t="s">
        <v>9011</v>
      </c>
      <c r="P458" s="276"/>
      <c r="Q458" s="275" t="s">
        <v>9012</v>
      </c>
      <c r="R458" s="359" t="s">
        <v>13495</v>
      </c>
      <c r="S458" s="276"/>
      <c r="T458" s="276"/>
      <c r="U458" s="276"/>
      <c r="V458" s="276"/>
      <c r="W458" s="276"/>
      <c r="X458" s="276"/>
      <c r="Y458" s="276"/>
      <c r="Z458" s="276"/>
      <c r="AA458" s="276"/>
      <c r="AB458" s="276"/>
      <c r="AC458" s="276"/>
    </row>
    <row r="459">
      <c r="A459" s="108" t="s">
        <v>11490</v>
      </c>
      <c r="B459" s="415">
        <v>46018.0</v>
      </c>
      <c r="C459" s="374">
        <v>8.07000034284E11</v>
      </c>
      <c r="D459" s="374" t="s">
        <v>11491</v>
      </c>
      <c r="E459" s="374" t="s">
        <v>11492</v>
      </c>
      <c r="F459" s="177" t="s">
        <v>11493</v>
      </c>
      <c r="G459" s="176" t="s">
        <v>104</v>
      </c>
      <c r="H459" s="177">
        <v>4400.0</v>
      </c>
      <c r="I459" s="176">
        <v>125819.0</v>
      </c>
      <c r="J459" s="103" t="s">
        <v>9858</v>
      </c>
      <c r="K459" s="241">
        <v>2.0</v>
      </c>
      <c r="L459" s="124"/>
      <c r="M459" s="276"/>
      <c r="P459" s="276"/>
      <c r="S459" s="276"/>
      <c r="T459" s="276"/>
      <c r="U459" s="276"/>
      <c r="V459" s="276"/>
      <c r="W459" s="276"/>
      <c r="X459" s="276"/>
      <c r="Y459" s="276"/>
      <c r="Z459" s="276"/>
      <c r="AA459" s="276"/>
      <c r="AB459" s="276"/>
      <c r="AC459" s="276"/>
    </row>
    <row r="460">
      <c r="A460" s="108" t="s">
        <v>11490</v>
      </c>
      <c r="B460" s="415">
        <v>46018.0</v>
      </c>
      <c r="C460" s="374">
        <v>8.07000034284E11</v>
      </c>
      <c r="D460" s="374" t="s">
        <v>11491</v>
      </c>
      <c r="E460" s="374" t="s">
        <v>11492</v>
      </c>
      <c r="F460" s="177" t="s">
        <v>11493</v>
      </c>
      <c r="G460" s="176" t="s">
        <v>104</v>
      </c>
      <c r="H460" s="177">
        <v>4400.0</v>
      </c>
      <c r="I460" s="176" t="s">
        <v>512</v>
      </c>
      <c r="J460" s="240" t="s">
        <v>513</v>
      </c>
      <c r="K460" s="242">
        <v>12.0</v>
      </c>
      <c r="L460" s="124"/>
      <c r="M460" s="276"/>
      <c r="P460" s="276"/>
      <c r="S460" s="276"/>
      <c r="T460" s="276"/>
      <c r="U460" s="276"/>
      <c r="V460" s="276"/>
      <c r="W460" s="276"/>
      <c r="X460" s="276"/>
      <c r="Y460" s="276"/>
      <c r="Z460" s="276"/>
      <c r="AA460" s="276"/>
      <c r="AB460" s="276"/>
      <c r="AC460" s="276"/>
    </row>
    <row r="461">
      <c r="A461" s="108" t="s">
        <v>11490</v>
      </c>
      <c r="B461" s="415">
        <v>46018.0</v>
      </c>
      <c r="C461" s="374">
        <v>8.07000034285E11</v>
      </c>
      <c r="D461" s="374" t="s">
        <v>11491</v>
      </c>
      <c r="E461" s="374" t="s">
        <v>11492</v>
      </c>
      <c r="F461" s="177" t="s">
        <v>11493</v>
      </c>
      <c r="G461" s="176" t="s">
        <v>104</v>
      </c>
      <c r="H461" s="177">
        <v>4400.0</v>
      </c>
      <c r="I461" s="176" t="s">
        <v>3817</v>
      </c>
      <c r="J461" s="103" t="s">
        <v>3818</v>
      </c>
      <c r="K461" s="241">
        <v>1.0</v>
      </c>
      <c r="L461" s="124"/>
      <c r="M461" s="276"/>
      <c r="P461" s="276"/>
      <c r="S461" s="276"/>
      <c r="T461" s="276"/>
      <c r="U461" s="276"/>
      <c r="V461" s="276"/>
      <c r="W461" s="276"/>
      <c r="X461" s="276"/>
      <c r="Y461" s="276"/>
      <c r="Z461" s="276"/>
      <c r="AA461" s="276"/>
      <c r="AB461" s="276"/>
      <c r="AC461" s="276"/>
    </row>
    <row r="462">
      <c r="A462" s="108" t="s">
        <v>11490</v>
      </c>
      <c r="B462" s="415">
        <v>46018.0</v>
      </c>
      <c r="C462" s="374">
        <v>8.07000034285E11</v>
      </c>
      <c r="D462" s="374" t="s">
        <v>11491</v>
      </c>
      <c r="E462" s="374" t="s">
        <v>11492</v>
      </c>
      <c r="F462" s="177" t="s">
        <v>11493</v>
      </c>
      <c r="G462" s="176" t="s">
        <v>104</v>
      </c>
      <c r="H462" s="177">
        <v>4400.0</v>
      </c>
      <c r="I462" s="176" t="s">
        <v>340</v>
      </c>
      <c r="J462" s="240" t="s">
        <v>3486</v>
      </c>
      <c r="K462" s="242">
        <v>2.0</v>
      </c>
      <c r="L462" s="124"/>
      <c r="M462" s="276"/>
      <c r="P462" s="276"/>
      <c r="S462" s="276"/>
      <c r="T462" s="276"/>
      <c r="U462" s="276"/>
      <c r="V462" s="276"/>
      <c r="W462" s="276"/>
      <c r="X462" s="276"/>
      <c r="Y462" s="276"/>
      <c r="Z462" s="276"/>
      <c r="AA462" s="276"/>
      <c r="AB462" s="276"/>
      <c r="AC462" s="276"/>
    </row>
    <row r="463">
      <c r="A463" s="108" t="s">
        <v>11494</v>
      </c>
      <c r="B463" s="415">
        <v>46018.0</v>
      </c>
      <c r="C463" s="374">
        <v>8.07000034302E11</v>
      </c>
      <c r="D463" s="374" t="s">
        <v>11495</v>
      </c>
      <c r="E463" s="374" t="s">
        <v>11496</v>
      </c>
      <c r="F463" s="145" t="s">
        <v>11497</v>
      </c>
      <c r="G463" s="176" t="s">
        <v>104</v>
      </c>
      <c r="H463" s="177">
        <v>4400.0</v>
      </c>
      <c r="I463" s="176" t="s">
        <v>512</v>
      </c>
      <c r="J463" s="240" t="s">
        <v>513</v>
      </c>
      <c r="K463" s="242">
        <v>6.0</v>
      </c>
      <c r="L463" s="124">
        <v>3.874864049E9</v>
      </c>
      <c r="M463" s="276"/>
      <c r="N463" s="274">
        <v>46383.0</v>
      </c>
      <c r="O463" s="275" t="s">
        <v>9011</v>
      </c>
      <c r="P463" s="276"/>
      <c r="Q463" s="275" t="s">
        <v>13496</v>
      </c>
      <c r="R463" s="359" t="s">
        <v>13497</v>
      </c>
      <c r="S463" s="276"/>
      <c r="T463" s="276"/>
      <c r="U463" s="276"/>
      <c r="V463" s="276"/>
      <c r="W463" s="276"/>
      <c r="X463" s="276"/>
      <c r="Y463" s="276"/>
      <c r="Z463" s="276"/>
      <c r="AA463" s="276"/>
      <c r="AB463" s="276"/>
      <c r="AC463" s="276"/>
    </row>
    <row r="464">
      <c r="A464" s="108" t="s">
        <v>11494</v>
      </c>
      <c r="B464" s="415">
        <v>46018.0</v>
      </c>
      <c r="C464" s="374">
        <v>8.07000034303E11</v>
      </c>
      <c r="D464" s="374" t="s">
        <v>11495</v>
      </c>
      <c r="E464" s="374" t="s">
        <v>11496</v>
      </c>
      <c r="F464" s="145" t="s">
        <v>11497</v>
      </c>
      <c r="G464" s="176" t="s">
        <v>104</v>
      </c>
      <c r="H464" s="177">
        <v>4400.0</v>
      </c>
      <c r="I464" s="176" t="s">
        <v>3131</v>
      </c>
      <c r="J464" s="103" t="s">
        <v>3416</v>
      </c>
      <c r="K464" s="241">
        <v>1.0</v>
      </c>
      <c r="L464" s="124">
        <v>3.874864049E9</v>
      </c>
      <c r="M464" s="276"/>
      <c r="P464" s="276"/>
      <c r="S464" s="276"/>
      <c r="T464" s="276"/>
      <c r="U464" s="276"/>
      <c r="V464" s="276"/>
      <c r="W464" s="276"/>
      <c r="X464" s="276"/>
      <c r="Y464" s="276"/>
      <c r="Z464" s="276"/>
      <c r="AA464" s="276"/>
      <c r="AB464" s="276"/>
      <c r="AC464" s="276"/>
    </row>
    <row r="465">
      <c r="A465" s="108" t="s">
        <v>11494</v>
      </c>
      <c r="B465" s="415">
        <v>46018.0</v>
      </c>
      <c r="C465" s="374">
        <v>8.07000034304E11</v>
      </c>
      <c r="D465" s="374" t="s">
        <v>11495</v>
      </c>
      <c r="E465" s="374" t="s">
        <v>11496</v>
      </c>
      <c r="F465" s="145" t="s">
        <v>11497</v>
      </c>
      <c r="G465" s="176" t="s">
        <v>104</v>
      </c>
      <c r="H465" s="177">
        <v>4400.0</v>
      </c>
      <c r="I465" s="176" t="s">
        <v>35</v>
      </c>
      <c r="J465" s="240" t="s">
        <v>3188</v>
      </c>
      <c r="K465" s="242">
        <v>1.0</v>
      </c>
      <c r="L465" s="124">
        <v>3.874864049E9</v>
      </c>
      <c r="M465" s="276"/>
      <c r="P465" s="276"/>
      <c r="S465" s="276"/>
      <c r="T465" s="276"/>
      <c r="U465" s="276"/>
      <c r="V465" s="276"/>
      <c r="W465" s="276"/>
      <c r="X465" s="276"/>
      <c r="Y465" s="276"/>
      <c r="Z465" s="276"/>
      <c r="AA465" s="276"/>
      <c r="AB465" s="276"/>
      <c r="AC465" s="276"/>
    </row>
    <row r="466">
      <c r="A466" s="108" t="s">
        <v>11503</v>
      </c>
      <c r="B466" s="415">
        <v>46018.0</v>
      </c>
      <c r="C466" s="374">
        <v>8.07000034311E11</v>
      </c>
      <c r="D466" s="374" t="s">
        <v>11504</v>
      </c>
      <c r="E466" s="374" t="s">
        <v>11505</v>
      </c>
      <c r="F466" s="145" t="s">
        <v>11506</v>
      </c>
      <c r="G466" s="108" t="s">
        <v>104</v>
      </c>
      <c r="H466" s="108">
        <v>4400.0</v>
      </c>
      <c r="I466" s="176" t="s">
        <v>11507</v>
      </c>
      <c r="J466" s="103" t="s">
        <v>11508</v>
      </c>
      <c r="K466" s="241">
        <v>1.0</v>
      </c>
      <c r="L466" s="124">
        <v>3.87407652E9</v>
      </c>
      <c r="M466" s="276"/>
      <c r="N466" s="274">
        <v>46386.0</v>
      </c>
      <c r="O466" s="275" t="s">
        <v>9011</v>
      </c>
      <c r="P466" s="276"/>
      <c r="Q466" s="275" t="s">
        <v>9012</v>
      </c>
      <c r="R466" s="359" t="s">
        <v>13498</v>
      </c>
      <c r="S466" s="276"/>
      <c r="T466" s="276"/>
      <c r="U466" s="276"/>
      <c r="V466" s="276"/>
      <c r="W466" s="276"/>
      <c r="X466" s="276"/>
      <c r="Y466" s="276"/>
      <c r="Z466" s="276"/>
      <c r="AA466" s="276"/>
      <c r="AB466" s="276"/>
      <c r="AC466" s="276"/>
    </row>
    <row r="467">
      <c r="A467" s="108" t="s">
        <v>11503</v>
      </c>
      <c r="B467" s="415">
        <v>46018.0</v>
      </c>
      <c r="C467" s="374">
        <v>8.07000034311E11</v>
      </c>
      <c r="D467" s="374" t="s">
        <v>11504</v>
      </c>
      <c r="E467" s="374" t="s">
        <v>11505</v>
      </c>
      <c r="F467" s="145" t="s">
        <v>11506</v>
      </c>
      <c r="G467" s="108" t="s">
        <v>104</v>
      </c>
      <c r="H467" s="108">
        <v>4400.0</v>
      </c>
      <c r="I467" s="176" t="s">
        <v>3512</v>
      </c>
      <c r="J467" s="240" t="s">
        <v>3513</v>
      </c>
      <c r="K467" s="242">
        <v>6.0</v>
      </c>
      <c r="L467" s="124">
        <v>3.87407652E9</v>
      </c>
      <c r="M467" s="276"/>
      <c r="P467" s="276"/>
      <c r="S467" s="276"/>
      <c r="T467" s="276"/>
      <c r="U467" s="276"/>
      <c r="V467" s="276"/>
      <c r="W467" s="276"/>
      <c r="X467" s="276"/>
      <c r="Y467" s="276"/>
      <c r="Z467" s="276"/>
      <c r="AA467" s="276"/>
      <c r="AB467" s="276"/>
      <c r="AC467" s="276"/>
    </row>
    <row r="468">
      <c r="A468" s="108" t="s">
        <v>11503</v>
      </c>
      <c r="B468" s="415">
        <v>46018.0</v>
      </c>
      <c r="C468" s="374">
        <v>8.07000034311E11</v>
      </c>
      <c r="D468" s="374" t="s">
        <v>11504</v>
      </c>
      <c r="E468" s="374" t="s">
        <v>11505</v>
      </c>
      <c r="F468" s="145" t="s">
        <v>11506</v>
      </c>
      <c r="G468" s="108" t="s">
        <v>104</v>
      </c>
      <c r="H468" s="108">
        <v>4400.0</v>
      </c>
      <c r="I468" s="176" t="s">
        <v>3510</v>
      </c>
      <c r="J468" s="103" t="s">
        <v>3511</v>
      </c>
      <c r="K468" s="241">
        <v>1.0</v>
      </c>
      <c r="L468" s="124">
        <v>3.87407652E9</v>
      </c>
      <c r="M468" s="276"/>
      <c r="P468" s="276"/>
      <c r="S468" s="276"/>
      <c r="T468" s="276"/>
      <c r="U468" s="276"/>
      <c r="V468" s="276"/>
      <c r="W468" s="276"/>
      <c r="X468" s="276"/>
      <c r="Y468" s="276"/>
      <c r="Z468" s="276"/>
      <c r="AA468" s="276"/>
      <c r="AB468" s="276"/>
      <c r="AC468" s="276"/>
    </row>
    <row r="469">
      <c r="A469" s="108" t="s">
        <v>11503</v>
      </c>
      <c r="B469" s="415">
        <v>46018.0</v>
      </c>
      <c r="C469" s="374">
        <v>8.07000034312E11</v>
      </c>
      <c r="D469" s="374" t="s">
        <v>11504</v>
      </c>
      <c r="E469" s="374" t="s">
        <v>11505</v>
      </c>
      <c r="F469" s="145" t="s">
        <v>11506</v>
      </c>
      <c r="G469" s="108" t="s">
        <v>104</v>
      </c>
      <c r="H469" s="108">
        <v>4400.0</v>
      </c>
      <c r="I469" s="176" t="s">
        <v>3376</v>
      </c>
      <c r="J469" s="240" t="s">
        <v>3377</v>
      </c>
      <c r="K469" s="242">
        <v>2.0</v>
      </c>
      <c r="L469" s="124">
        <v>3.87407652E9</v>
      </c>
      <c r="M469" s="276"/>
      <c r="P469" s="276"/>
      <c r="S469" s="276"/>
      <c r="T469" s="276"/>
      <c r="U469" s="276"/>
      <c r="V469" s="276"/>
      <c r="W469" s="276"/>
      <c r="X469" s="276"/>
      <c r="Y469" s="276"/>
      <c r="Z469" s="276"/>
      <c r="AA469" s="276"/>
      <c r="AB469" s="276"/>
      <c r="AC469" s="276"/>
    </row>
    <row r="470">
      <c r="A470" s="108" t="s">
        <v>11509</v>
      </c>
      <c r="B470" s="378">
        <v>46019.0</v>
      </c>
      <c r="C470" s="374"/>
      <c r="D470" s="374"/>
      <c r="E470" s="374" t="s">
        <v>11510</v>
      </c>
      <c r="F470" s="145" t="s">
        <v>11511</v>
      </c>
      <c r="G470" s="108" t="s">
        <v>3047</v>
      </c>
      <c r="H470" s="108">
        <v>4400.0</v>
      </c>
      <c r="I470" s="176">
        <v>125815.0</v>
      </c>
      <c r="J470" s="240" t="s">
        <v>11512</v>
      </c>
      <c r="K470" s="242">
        <v>2.0</v>
      </c>
      <c r="L470" s="124">
        <v>3.876849726E9</v>
      </c>
      <c r="M470" s="276"/>
      <c r="N470" s="274">
        <v>46385.0</v>
      </c>
      <c r="O470" s="275" t="s">
        <v>9011</v>
      </c>
      <c r="P470" s="276"/>
      <c r="Q470" s="275" t="s">
        <v>9012</v>
      </c>
      <c r="R470" s="359" t="s">
        <v>13499</v>
      </c>
      <c r="S470" s="276"/>
      <c r="T470" s="276"/>
      <c r="U470" s="276"/>
      <c r="V470" s="276"/>
      <c r="W470" s="276"/>
      <c r="X470" s="276"/>
      <c r="Y470" s="276"/>
      <c r="Z470" s="276"/>
      <c r="AA470" s="276"/>
      <c r="AB470" s="276"/>
      <c r="AC470" s="276"/>
    </row>
    <row r="471">
      <c r="A471" s="108" t="s">
        <v>11509</v>
      </c>
      <c r="B471" s="378">
        <v>46019.0</v>
      </c>
      <c r="C471" s="374"/>
      <c r="D471" s="374"/>
      <c r="E471" s="374" t="s">
        <v>11510</v>
      </c>
      <c r="F471" s="145" t="s">
        <v>11511</v>
      </c>
      <c r="G471" s="108" t="s">
        <v>3047</v>
      </c>
      <c r="H471" s="108">
        <v>4400.0</v>
      </c>
      <c r="I471" s="176">
        <v>125813.0</v>
      </c>
      <c r="J471" s="240" t="s">
        <v>11513</v>
      </c>
      <c r="K471" s="242">
        <v>8.0</v>
      </c>
      <c r="L471" s="124">
        <v>3.876849726E9</v>
      </c>
      <c r="M471" s="276"/>
      <c r="P471" s="276"/>
      <c r="S471" s="276"/>
      <c r="T471" s="276"/>
      <c r="U471" s="276"/>
      <c r="V471" s="276"/>
      <c r="W471" s="276"/>
      <c r="X471" s="276"/>
      <c r="Y471" s="276"/>
      <c r="Z471" s="276"/>
      <c r="AA471" s="276"/>
      <c r="AB471" s="276"/>
      <c r="AC471" s="276"/>
    </row>
    <row r="472">
      <c r="A472" s="108" t="s">
        <v>11514</v>
      </c>
      <c r="B472" s="378">
        <v>46020.0</v>
      </c>
      <c r="C472" s="374">
        <v>8.07000034325E11</v>
      </c>
      <c r="D472" s="374" t="s">
        <v>11515</v>
      </c>
      <c r="E472" s="374" t="s">
        <v>11516</v>
      </c>
      <c r="F472" s="145" t="s">
        <v>11517</v>
      </c>
      <c r="G472" s="108" t="s">
        <v>127</v>
      </c>
      <c r="H472" s="108">
        <v>4400.0</v>
      </c>
      <c r="I472" s="176">
        <v>125818.0</v>
      </c>
      <c r="J472" s="103" t="s">
        <v>4334</v>
      </c>
      <c r="K472" s="241">
        <v>2.0</v>
      </c>
      <c r="L472" s="124">
        <v>3.875271348E9</v>
      </c>
      <c r="M472" s="276"/>
      <c r="N472" s="274">
        <v>46385.0</v>
      </c>
      <c r="O472" s="275" t="s">
        <v>9011</v>
      </c>
      <c r="P472" s="276"/>
      <c r="Q472" s="275" t="s">
        <v>13500</v>
      </c>
      <c r="R472" s="359" t="s">
        <v>13501</v>
      </c>
      <c r="S472" s="276"/>
      <c r="T472" s="276"/>
      <c r="U472" s="276"/>
      <c r="V472" s="276"/>
      <c r="W472" s="276"/>
      <c r="X472" s="276"/>
      <c r="Y472" s="276"/>
      <c r="Z472" s="276"/>
      <c r="AA472" s="276"/>
      <c r="AB472" s="276"/>
      <c r="AC472" s="276"/>
    </row>
    <row r="473">
      <c r="A473" s="108" t="s">
        <v>11514</v>
      </c>
      <c r="B473" s="378">
        <v>46020.0</v>
      </c>
      <c r="C473" s="374">
        <v>8.07000034326E11</v>
      </c>
      <c r="D473" s="374" t="s">
        <v>11515</v>
      </c>
      <c r="E473" s="374" t="s">
        <v>11516</v>
      </c>
      <c r="F473" s="145" t="s">
        <v>11517</v>
      </c>
      <c r="G473" s="108" t="s">
        <v>127</v>
      </c>
      <c r="H473" s="108">
        <v>4400.0</v>
      </c>
      <c r="I473" s="176" t="s">
        <v>3285</v>
      </c>
      <c r="J473" s="240" t="s">
        <v>3286</v>
      </c>
      <c r="K473" s="242">
        <v>1.0</v>
      </c>
      <c r="L473" s="124">
        <v>3.875271348E9</v>
      </c>
      <c r="M473" s="276"/>
      <c r="P473" s="276"/>
      <c r="S473" s="276"/>
      <c r="T473" s="276"/>
      <c r="U473" s="276"/>
      <c r="V473" s="276"/>
      <c r="W473" s="276"/>
      <c r="X473" s="276"/>
      <c r="Y473" s="276"/>
      <c r="Z473" s="276"/>
      <c r="AA473" s="276"/>
      <c r="AB473" s="276"/>
      <c r="AC473" s="276"/>
    </row>
    <row r="474">
      <c r="A474" s="108" t="s">
        <v>11518</v>
      </c>
      <c r="B474" s="378">
        <v>46020.0</v>
      </c>
      <c r="C474" s="374">
        <v>8.07000034317E11</v>
      </c>
      <c r="D474" s="374" t="s">
        <v>11519</v>
      </c>
      <c r="E474" s="374" t="s">
        <v>11510</v>
      </c>
      <c r="F474" s="145" t="s">
        <v>11520</v>
      </c>
      <c r="G474" s="108" t="s">
        <v>11521</v>
      </c>
      <c r="H474" s="108">
        <v>4400.0</v>
      </c>
      <c r="I474" s="176" t="s">
        <v>512</v>
      </c>
      <c r="J474" s="103" t="s">
        <v>513</v>
      </c>
      <c r="K474" s="241">
        <v>6.0</v>
      </c>
      <c r="L474" s="124">
        <v>3.876849726E9</v>
      </c>
      <c r="M474" s="276"/>
      <c r="N474" s="274">
        <v>46385.0</v>
      </c>
      <c r="O474" s="275" t="s">
        <v>9011</v>
      </c>
      <c r="P474" s="276"/>
      <c r="Q474" s="275" t="s">
        <v>9012</v>
      </c>
      <c r="R474" s="359" t="s">
        <v>13502</v>
      </c>
      <c r="S474" s="276"/>
      <c r="T474" s="276"/>
      <c r="U474" s="276"/>
      <c r="V474" s="276"/>
      <c r="W474" s="276"/>
      <c r="X474" s="276"/>
      <c r="Y474" s="276"/>
      <c r="Z474" s="276"/>
      <c r="AA474" s="276"/>
      <c r="AB474" s="276"/>
      <c r="AC474" s="276"/>
    </row>
    <row r="475">
      <c r="A475" s="108" t="s">
        <v>11518</v>
      </c>
      <c r="B475" s="378">
        <v>46020.0</v>
      </c>
      <c r="C475" s="374">
        <v>8.07000034319E11</v>
      </c>
      <c r="D475" s="374" t="s">
        <v>11519</v>
      </c>
      <c r="E475" s="374" t="s">
        <v>11510</v>
      </c>
      <c r="F475" s="145" t="s">
        <v>11511</v>
      </c>
      <c r="G475" s="108" t="s">
        <v>3047</v>
      </c>
      <c r="H475" s="108">
        <v>4400.0</v>
      </c>
      <c r="I475" s="176" t="s">
        <v>659</v>
      </c>
      <c r="J475" s="240" t="s">
        <v>3468</v>
      </c>
      <c r="K475" s="242">
        <v>1.0</v>
      </c>
      <c r="L475" s="124">
        <v>3.876849726E9</v>
      </c>
      <c r="M475" s="276"/>
      <c r="P475" s="276"/>
      <c r="S475" s="276"/>
      <c r="T475" s="276"/>
      <c r="U475" s="276"/>
      <c r="V475" s="276"/>
      <c r="W475" s="276"/>
      <c r="X475" s="276"/>
      <c r="Y475" s="276"/>
      <c r="Z475" s="276"/>
      <c r="AA475" s="276"/>
      <c r="AB475" s="276"/>
      <c r="AC475" s="276"/>
    </row>
    <row r="476">
      <c r="A476" s="108" t="s">
        <v>11518</v>
      </c>
      <c r="B476" s="378">
        <v>46020.0</v>
      </c>
      <c r="C476" s="374">
        <v>8.07000034319E11</v>
      </c>
      <c r="D476" s="374" t="s">
        <v>11519</v>
      </c>
      <c r="E476" s="374" t="s">
        <v>11510</v>
      </c>
      <c r="F476" s="145" t="s">
        <v>11511</v>
      </c>
      <c r="G476" s="108" t="s">
        <v>3047</v>
      </c>
      <c r="H476" s="108">
        <v>4400.0</v>
      </c>
      <c r="I476" s="176" t="s">
        <v>35</v>
      </c>
      <c r="J476" s="103" t="s">
        <v>3188</v>
      </c>
      <c r="K476" s="241">
        <v>1.0</v>
      </c>
      <c r="L476" s="124">
        <v>3.876849726E9</v>
      </c>
      <c r="M476" s="276"/>
      <c r="P476" s="276"/>
      <c r="S476" s="276"/>
      <c r="T476" s="276"/>
      <c r="U476" s="276"/>
      <c r="V476" s="276"/>
      <c r="W476" s="276"/>
      <c r="X476" s="276"/>
      <c r="Y476" s="276"/>
      <c r="Z476" s="276"/>
      <c r="AA476" s="276"/>
      <c r="AB476" s="276"/>
      <c r="AC476" s="276"/>
    </row>
    <row r="477">
      <c r="A477" s="108" t="s">
        <v>11518</v>
      </c>
      <c r="B477" s="378">
        <v>46020.0</v>
      </c>
      <c r="C477" s="374">
        <v>8.07000034321E11</v>
      </c>
      <c r="D477" s="374" t="s">
        <v>11519</v>
      </c>
      <c r="E477" s="374" t="s">
        <v>11510</v>
      </c>
      <c r="F477" s="145" t="s">
        <v>11511</v>
      </c>
      <c r="G477" s="108" t="s">
        <v>3047</v>
      </c>
      <c r="H477" s="108">
        <v>4400.0</v>
      </c>
      <c r="I477" s="176" t="s">
        <v>2537</v>
      </c>
      <c r="J477" s="240" t="s">
        <v>3955</v>
      </c>
      <c r="K477" s="242">
        <v>1.0</v>
      </c>
      <c r="L477" s="124">
        <v>3.876849726E9</v>
      </c>
      <c r="M477" s="276"/>
      <c r="P477" s="276"/>
      <c r="S477" s="276"/>
      <c r="T477" s="276"/>
      <c r="U477" s="276"/>
      <c r="V477" s="276"/>
      <c r="W477" s="276"/>
      <c r="X477" s="276"/>
      <c r="Y477" s="276"/>
      <c r="Z477" s="276"/>
      <c r="AA477" s="276"/>
      <c r="AB477" s="276"/>
      <c r="AC477" s="276"/>
    </row>
    <row r="478">
      <c r="A478" s="108" t="s">
        <v>11518</v>
      </c>
      <c r="B478" s="378">
        <v>46020.0</v>
      </c>
      <c r="C478" s="374">
        <v>8.07000034322E11</v>
      </c>
      <c r="D478" s="374" t="s">
        <v>11519</v>
      </c>
      <c r="E478" s="374" t="s">
        <v>11510</v>
      </c>
      <c r="F478" s="145" t="s">
        <v>11511</v>
      </c>
      <c r="G478" s="108" t="s">
        <v>3047</v>
      </c>
      <c r="H478" s="108">
        <v>4400.0</v>
      </c>
      <c r="I478" s="176" t="s">
        <v>340</v>
      </c>
      <c r="J478" s="103" t="s">
        <v>3486</v>
      </c>
      <c r="K478" s="241">
        <v>2.0</v>
      </c>
      <c r="L478" s="124">
        <v>3.876849726E9</v>
      </c>
      <c r="M478" s="276"/>
      <c r="P478" s="276"/>
      <c r="S478" s="276"/>
      <c r="T478" s="276"/>
      <c r="U478" s="276"/>
      <c r="V478" s="276"/>
      <c r="W478" s="276"/>
      <c r="X478" s="276"/>
      <c r="Y478" s="276"/>
      <c r="Z478" s="276"/>
      <c r="AA478" s="276"/>
      <c r="AB478" s="276"/>
      <c r="AC478" s="276"/>
    </row>
    <row r="479">
      <c r="A479" s="108" t="s">
        <v>11522</v>
      </c>
      <c r="B479" s="378">
        <v>46020.0</v>
      </c>
      <c r="C479" s="374">
        <v>8.07000034313E11</v>
      </c>
      <c r="D479" s="374" t="s">
        <v>11523</v>
      </c>
      <c r="E479" s="374" t="s">
        <v>11524</v>
      </c>
      <c r="F479" s="145" t="s">
        <v>11525</v>
      </c>
      <c r="G479" s="108" t="s">
        <v>11028</v>
      </c>
      <c r="H479" s="108">
        <v>4400.0</v>
      </c>
      <c r="I479" s="176">
        <v>125812.0</v>
      </c>
      <c r="J479" s="103" t="s">
        <v>9317</v>
      </c>
      <c r="K479" s="241">
        <v>2.0</v>
      </c>
      <c r="L479" s="124">
        <v>3.874699506E9</v>
      </c>
      <c r="M479" s="276"/>
      <c r="N479" s="274">
        <v>46385.0</v>
      </c>
      <c r="O479" s="275" t="s">
        <v>9011</v>
      </c>
      <c r="P479" s="276"/>
      <c r="Q479" s="275" t="s">
        <v>9012</v>
      </c>
      <c r="R479" s="359" t="s">
        <v>13503</v>
      </c>
      <c r="S479" s="276"/>
      <c r="T479" s="276"/>
      <c r="U479" s="276"/>
      <c r="V479" s="276"/>
      <c r="W479" s="276"/>
      <c r="X479" s="276"/>
      <c r="Y479" s="276"/>
      <c r="Z479" s="276"/>
      <c r="AA479" s="276"/>
      <c r="AB479" s="276"/>
      <c r="AC479" s="276"/>
    </row>
    <row r="480">
      <c r="A480" s="108" t="s">
        <v>11522</v>
      </c>
      <c r="B480" s="378">
        <v>46020.0</v>
      </c>
      <c r="C480" s="374">
        <v>8.07000034313E11</v>
      </c>
      <c r="D480" s="374" t="s">
        <v>11523</v>
      </c>
      <c r="E480" s="374" t="s">
        <v>11524</v>
      </c>
      <c r="F480" s="145" t="s">
        <v>11525</v>
      </c>
      <c r="G480" s="108" t="s">
        <v>11028</v>
      </c>
      <c r="H480" s="108">
        <v>4400.0</v>
      </c>
      <c r="I480" s="176" t="s">
        <v>512</v>
      </c>
      <c r="J480" s="240" t="s">
        <v>513</v>
      </c>
      <c r="K480" s="242">
        <v>6.0</v>
      </c>
      <c r="L480" s="124">
        <v>3.874699506E9</v>
      </c>
      <c r="M480" s="276"/>
      <c r="P480" s="276"/>
      <c r="S480" s="276"/>
      <c r="T480" s="276"/>
      <c r="U480" s="276"/>
      <c r="V480" s="276"/>
      <c r="W480" s="276"/>
      <c r="X480" s="276"/>
      <c r="Y480" s="276"/>
      <c r="Z480" s="276"/>
      <c r="AA480" s="276"/>
      <c r="AB480" s="276"/>
      <c r="AC480" s="276"/>
    </row>
    <row r="481">
      <c r="A481" s="108" t="s">
        <v>11522</v>
      </c>
      <c r="B481" s="378">
        <v>46020.0</v>
      </c>
      <c r="C481" s="374">
        <v>8.07000034314E11</v>
      </c>
      <c r="D481" s="374" t="s">
        <v>11523</v>
      </c>
      <c r="E481" s="374" t="s">
        <v>11524</v>
      </c>
      <c r="F481" s="145" t="s">
        <v>11525</v>
      </c>
      <c r="G481" s="108" t="s">
        <v>11028</v>
      </c>
      <c r="H481" s="108">
        <v>4400.0</v>
      </c>
      <c r="I481" s="176" t="s">
        <v>35</v>
      </c>
      <c r="J481" s="103" t="s">
        <v>3188</v>
      </c>
      <c r="K481" s="241">
        <v>1.0</v>
      </c>
      <c r="L481" s="124">
        <v>3.874699506E9</v>
      </c>
      <c r="M481" s="276"/>
      <c r="P481" s="276"/>
      <c r="S481" s="276"/>
      <c r="T481" s="276"/>
      <c r="U481" s="276"/>
      <c r="V481" s="276"/>
      <c r="W481" s="276"/>
      <c r="X481" s="276"/>
      <c r="Y481" s="276"/>
      <c r="Z481" s="276"/>
      <c r="AA481" s="276"/>
      <c r="AB481" s="276"/>
      <c r="AC481" s="276"/>
    </row>
    <row r="482">
      <c r="A482" s="108" t="s">
        <v>11526</v>
      </c>
      <c r="B482" s="378">
        <v>46020.0</v>
      </c>
      <c r="C482" s="374">
        <v>8.07000034315E11</v>
      </c>
      <c r="D482" s="374" t="s">
        <v>11523</v>
      </c>
      <c r="E482" s="374" t="s">
        <v>11524</v>
      </c>
      <c r="F482" s="145" t="s">
        <v>11525</v>
      </c>
      <c r="G482" s="108" t="s">
        <v>11028</v>
      </c>
      <c r="H482" s="108">
        <v>4400.0</v>
      </c>
      <c r="I482" s="176" t="s">
        <v>659</v>
      </c>
      <c r="J482" s="240" t="s">
        <v>3468</v>
      </c>
      <c r="K482" s="242">
        <v>1.0</v>
      </c>
      <c r="L482" s="124">
        <v>3.874699506E9</v>
      </c>
      <c r="M482" s="276"/>
      <c r="P482" s="276"/>
      <c r="S482" s="276"/>
      <c r="T482" s="276"/>
      <c r="U482" s="276"/>
      <c r="V482" s="276"/>
      <c r="W482" s="276"/>
      <c r="X482" s="276"/>
      <c r="Y482" s="276"/>
      <c r="Z482" s="276"/>
      <c r="AA482" s="276"/>
      <c r="AB482" s="276"/>
      <c r="AC482" s="276"/>
    </row>
    <row r="483">
      <c r="A483" s="108" t="s">
        <v>11527</v>
      </c>
      <c r="B483" s="378">
        <v>46020.0</v>
      </c>
      <c r="C483" s="374">
        <v>8.07000034339E11</v>
      </c>
      <c r="D483" s="374" t="s">
        <v>11528</v>
      </c>
      <c r="E483" s="374" t="s">
        <v>11529</v>
      </c>
      <c r="F483" s="145" t="s">
        <v>11530</v>
      </c>
      <c r="G483" s="108" t="s">
        <v>1529</v>
      </c>
      <c r="H483" s="108">
        <v>4400.0</v>
      </c>
      <c r="I483" s="374" t="s">
        <v>4070</v>
      </c>
      <c r="J483" s="240" t="s">
        <v>6264</v>
      </c>
      <c r="K483" s="242">
        <v>1.0</v>
      </c>
      <c r="L483" s="124">
        <v>1.54535334E8</v>
      </c>
      <c r="M483" s="276"/>
      <c r="N483" s="274">
        <v>46385.0</v>
      </c>
      <c r="O483" s="275" t="s">
        <v>9011</v>
      </c>
      <c r="P483" s="276"/>
      <c r="Q483" s="275" t="s">
        <v>9012</v>
      </c>
      <c r="R483" s="359" t="s">
        <v>13504</v>
      </c>
      <c r="S483" s="276"/>
      <c r="T483" s="276"/>
      <c r="U483" s="276"/>
      <c r="V483" s="276"/>
      <c r="W483" s="276"/>
      <c r="X483" s="276"/>
      <c r="Y483" s="276"/>
      <c r="Z483" s="276"/>
      <c r="AA483" s="276"/>
      <c r="AB483" s="276"/>
      <c r="AC483" s="276"/>
    </row>
    <row r="484">
      <c r="A484" s="108" t="s">
        <v>11531</v>
      </c>
      <c r="B484" s="378">
        <v>46020.0</v>
      </c>
      <c r="C484" s="374">
        <v>8.07000034333E11</v>
      </c>
      <c r="D484" s="374" t="s">
        <v>11528</v>
      </c>
      <c r="E484" s="374" t="s">
        <v>11529</v>
      </c>
      <c r="F484" s="145" t="s">
        <v>11530</v>
      </c>
      <c r="G484" s="108" t="s">
        <v>1529</v>
      </c>
      <c r="H484" s="108">
        <v>4400.0</v>
      </c>
      <c r="I484" s="374" t="s">
        <v>2537</v>
      </c>
      <c r="J484" s="103" t="s">
        <v>3955</v>
      </c>
      <c r="K484" s="241">
        <v>1.0</v>
      </c>
      <c r="L484" s="124">
        <v>1.54535334E8</v>
      </c>
      <c r="M484" s="276"/>
      <c r="P484" s="276"/>
      <c r="S484" s="276"/>
      <c r="T484" s="276"/>
      <c r="U484" s="276"/>
      <c r="V484" s="276"/>
      <c r="W484" s="276"/>
      <c r="X484" s="276"/>
      <c r="Y484" s="276"/>
      <c r="Z484" s="276"/>
      <c r="AA484" s="276"/>
      <c r="AB484" s="276"/>
      <c r="AC484" s="276"/>
    </row>
    <row r="485">
      <c r="A485" s="108" t="s">
        <v>11532</v>
      </c>
      <c r="B485" s="378">
        <v>46020.0</v>
      </c>
      <c r="C485" s="374">
        <v>8.07000034334E11</v>
      </c>
      <c r="D485" s="374" t="s">
        <v>11533</v>
      </c>
      <c r="E485" s="374" t="s">
        <v>11534</v>
      </c>
      <c r="F485" s="145" t="s">
        <v>11535</v>
      </c>
      <c r="G485" s="108" t="s">
        <v>11536</v>
      </c>
      <c r="H485" s="108">
        <v>4400.0</v>
      </c>
      <c r="I485" s="374" t="s">
        <v>698</v>
      </c>
      <c r="J485" s="240" t="s">
        <v>699</v>
      </c>
      <c r="K485" s="242">
        <v>2.0</v>
      </c>
      <c r="L485" s="124">
        <v>3.874023729E9</v>
      </c>
      <c r="M485" s="276"/>
      <c r="N485" s="274">
        <v>46385.0</v>
      </c>
      <c r="O485" s="275" t="s">
        <v>9011</v>
      </c>
      <c r="P485" s="276"/>
      <c r="Q485" s="275" t="s">
        <v>9012</v>
      </c>
      <c r="R485" s="359" t="s">
        <v>13505</v>
      </c>
      <c r="S485" s="276"/>
      <c r="T485" s="276"/>
      <c r="U485" s="276"/>
      <c r="V485" s="276"/>
      <c r="W485" s="276"/>
      <c r="X485" s="276"/>
      <c r="Y485" s="276"/>
      <c r="Z485" s="276"/>
      <c r="AA485" s="276"/>
      <c r="AB485" s="276"/>
      <c r="AC485" s="276"/>
    </row>
    <row r="486">
      <c r="A486" s="108" t="s">
        <v>11532</v>
      </c>
      <c r="B486" s="378">
        <v>46020.0</v>
      </c>
      <c r="C486" s="374">
        <v>8.07000034334E11</v>
      </c>
      <c r="D486" s="374" t="s">
        <v>11533</v>
      </c>
      <c r="E486" s="374" t="s">
        <v>11534</v>
      </c>
      <c r="F486" s="145" t="s">
        <v>11535</v>
      </c>
      <c r="G486" s="108" t="s">
        <v>11536</v>
      </c>
      <c r="H486" s="108">
        <v>4400.0</v>
      </c>
      <c r="I486" s="374" t="s">
        <v>512</v>
      </c>
      <c r="J486" s="103" t="s">
        <v>513</v>
      </c>
      <c r="K486" s="241">
        <v>12.0</v>
      </c>
      <c r="L486" s="124">
        <v>3.874023729E9</v>
      </c>
      <c r="M486" s="276"/>
      <c r="P486" s="276"/>
      <c r="S486" s="276"/>
      <c r="T486" s="276"/>
      <c r="U486" s="276"/>
      <c r="V486" s="276"/>
      <c r="W486" s="276"/>
      <c r="X486" s="276"/>
      <c r="Y486" s="276"/>
      <c r="Z486" s="276"/>
      <c r="AA486" s="276"/>
      <c r="AB486" s="276"/>
      <c r="AC486" s="276"/>
    </row>
    <row r="487">
      <c r="A487" s="108" t="s">
        <v>11532</v>
      </c>
      <c r="B487" s="378">
        <v>46020.0</v>
      </c>
      <c r="C487" s="374">
        <v>8.07000034334E11</v>
      </c>
      <c r="D487" s="374" t="s">
        <v>11533</v>
      </c>
      <c r="E487" s="374" t="s">
        <v>11534</v>
      </c>
      <c r="F487" s="145" t="s">
        <v>11535</v>
      </c>
      <c r="G487" s="108" t="s">
        <v>11536</v>
      </c>
      <c r="H487" s="108">
        <v>4400.0</v>
      </c>
      <c r="I487" s="374" t="s">
        <v>64</v>
      </c>
      <c r="J487" s="240" t="s">
        <v>3708</v>
      </c>
      <c r="K487" s="242">
        <v>2.0</v>
      </c>
      <c r="L487" s="124">
        <v>3.874023729E9</v>
      </c>
      <c r="M487" s="276"/>
      <c r="P487" s="276"/>
      <c r="S487" s="276"/>
      <c r="T487" s="276"/>
      <c r="U487" s="276"/>
      <c r="V487" s="276"/>
      <c r="W487" s="276"/>
      <c r="X487" s="276"/>
      <c r="Y487" s="276"/>
      <c r="Z487" s="276"/>
      <c r="AA487" s="276"/>
      <c r="AB487" s="276"/>
      <c r="AC487" s="276"/>
    </row>
    <row r="488">
      <c r="A488" s="370" t="s">
        <v>11537</v>
      </c>
      <c r="B488" s="371">
        <v>46020.0</v>
      </c>
      <c r="C488" s="365">
        <v>8.07000034345E11</v>
      </c>
      <c r="D488" s="365" t="s">
        <v>11538</v>
      </c>
      <c r="E488" s="365" t="s">
        <v>11539</v>
      </c>
      <c r="F488" s="214" t="s">
        <v>11540</v>
      </c>
      <c r="G488" s="370" t="s">
        <v>104</v>
      </c>
      <c r="H488" s="370">
        <v>4400.0</v>
      </c>
      <c r="I488" s="365" t="s">
        <v>1759</v>
      </c>
      <c r="J488" s="366" t="s">
        <v>11541</v>
      </c>
      <c r="K488" s="259">
        <v>1.0</v>
      </c>
      <c r="L488" s="210">
        <v>3.875646807E9</v>
      </c>
      <c r="M488" s="276"/>
      <c r="N488" s="274">
        <v>46385.0</v>
      </c>
      <c r="O488" s="275" t="s">
        <v>9011</v>
      </c>
      <c r="P488" s="276"/>
      <c r="Q488" s="275" t="s">
        <v>13506</v>
      </c>
      <c r="R488" s="359" t="s">
        <v>13507</v>
      </c>
      <c r="S488" s="276"/>
      <c r="T488" s="276"/>
      <c r="U488" s="276"/>
      <c r="V488" s="276"/>
      <c r="W488" s="276"/>
      <c r="X488" s="276"/>
      <c r="Y488" s="276"/>
      <c r="Z488" s="276"/>
      <c r="AA488" s="276"/>
      <c r="AB488" s="276"/>
      <c r="AC488" s="276"/>
    </row>
    <row r="489">
      <c r="A489" s="370" t="s">
        <v>11542</v>
      </c>
      <c r="B489" s="371">
        <v>46020.0</v>
      </c>
      <c r="C489" s="365">
        <v>8.07000034346E11</v>
      </c>
      <c r="D489" s="365" t="s">
        <v>11538</v>
      </c>
      <c r="E489" s="365" t="s">
        <v>11539</v>
      </c>
      <c r="F489" s="214" t="s">
        <v>11540</v>
      </c>
      <c r="G489" s="370" t="s">
        <v>104</v>
      </c>
      <c r="H489" s="370">
        <v>4400.0</v>
      </c>
      <c r="I489" s="365" t="s">
        <v>1756</v>
      </c>
      <c r="J489" s="325" t="s">
        <v>5005</v>
      </c>
      <c r="K489" s="278">
        <v>1.0</v>
      </c>
      <c r="L489" s="210">
        <v>3.875646807E9</v>
      </c>
      <c r="M489" s="276"/>
      <c r="P489" s="276"/>
      <c r="S489" s="276"/>
      <c r="T489" s="276"/>
      <c r="U489" s="276"/>
      <c r="V489" s="276"/>
      <c r="W489" s="276"/>
      <c r="X489" s="276"/>
      <c r="Y489" s="276"/>
      <c r="Z489" s="276"/>
      <c r="AA489" s="276"/>
      <c r="AB489" s="276"/>
      <c r="AC489" s="276"/>
    </row>
    <row r="490">
      <c r="A490" s="370" t="s">
        <v>11543</v>
      </c>
      <c r="B490" s="371">
        <v>46022.0</v>
      </c>
      <c r="C490" s="384"/>
      <c r="D490" s="384"/>
      <c r="E490" s="384" t="s">
        <v>11544</v>
      </c>
      <c r="F490" s="214" t="s">
        <v>11545</v>
      </c>
      <c r="G490" s="370" t="s">
        <v>127</v>
      </c>
      <c r="H490" s="370">
        <v>4400.0</v>
      </c>
      <c r="I490" s="384" t="s">
        <v>4133</v>
      </c>
      <c r="J490" s="308"/>
      <c r="K490" s="327">
        <v>1.0</v>
      </c>
      <c r="L490" s="210">
        <v>3.873522E9</v>
      </c>
      <c r="M490" s="276"/>
      <c r="N490" s="274">
        <v>46387.0</v>
      </c>
      <c r="O490" s="275" t="s">
        <v>9011</v>
      </c>
      <c r="P490" s="276"/>
      <c r="Q490" s="416" t="s">
        <v>9012</v>
      </c>
      <c r="R490" s="359" t="s">
        <v>13508</v>
      </c>
      <c r="S490" s="276"/>
      <c r="T490" s="276"/>
      <c r="U490" s="276"/>
      <c r="V490" s="276"/>
      <c r="W490" s="276"/>
      <c r="X490" s="276"/>
      <c r="Y490" s="276"/>
      <c r="Z490" s="276"/>
      <c r="AA490" s="276"/>
      <c r="AB490" s="276"/>
      <c r="AC490" s="276"/>
    </row>
    <row r="491">
      <c r="A491" s="370" t="s">
        <v>11543</v>
      </c>
      <c r="B491" s="371">
        <v>46022.0</v>
      </c>
      <c r="C491" s="384"/>
      <c r="D491" s="384"/>
      <c r="E491" s="384" t="s">
        <v>11544</v>
      </c>
      <c r="F491" s="214" t="s">
        <v>11545</v>
      </c>
      <c r="G491" s="370" t="s">
        <v>127</v>
      </c>
      <c r="H491" s="370">
        <v>4400.0</v>
      </c>
      <c r="I491" s="384" t="s">
        <v>512</v>
      </c>
      <c r="J491" s="308"/>
      <c r="K491" s="327">
        <v>12.0</v>
      </c>
      <c r="L491" s="210">
        <v>3.873522E9</v>
      </c>
      <c r="M491" s="276"/>
      <c r="P491" s="276"/>
      <c r="S491" s="276"/>
      <c r="T491" s="276"/>
      <c r="U491" s="276"/>
      <c r="V491" s="276"/>
      <c r="W491" s="276"/>
      <c r="X491" s="276"/>
      <c r="Y491" s="276"/>
      <c r="Z491" s="276"/>
      <c r="AA491" s="276"/>
      <c r="AB491" s="276"/>
      <c r="AC491" s="276"/>
    </row>
    <row r="492">
      <c r="A492" s="370" t="s">
        <v>11543</v>
      </c>
      <c r="B492" s="371">
        <v>46022.0</v>
      </c>
      <c r="C492" s="384"/>
      <c r="D492" s="384"/>
      <c r="E492" s="384" t="s">
        <v>11544</v>
      </c>
      <c r="F492" s="214" t="s">
        <v>11545</v>
      </c>
      <c r="G492" s="370" t="s">
        <v>127</v>
      </c>
      <c r="H492" s="370">
        <v>4400.0</v>
      </c>
      <c r="I492" s="384">
        <v>208501.0</v>
      </c>
      <c r="J492" s="308"/>
      <c r="K492" s="327">
        <v>2.0</v>
      </c>
      <c r="L492" s="210">
        <v>3.873522E9</v>
      </c>
      <c r="M492" s="276"/>
      <c r="P492" s="276"/>
      <c r="S492" s="276"/>
      <c r="T492" s="276"/>
      <c r="U492" s="276"/>
      <c r="V492" s="276"/>
      <c r="W492" s="276"/>
      <c r="X492" s="276"/>
      <c r="Y492" s="276"/>
      <c r="Z492" s="276"/>
      <c r="AA492" s="276"/>
      <c r="AB492" s="276"/>
      <c r="AC492" s="276"/>
    </row>
    <row r="493">
      <c r="A493" s="370" t="s">
        <v>11546</v>
      </c>
      <c r="B493" s="371">
        <v>46022.0</v>
      </c>
      <c r="C493" s="384"/>
      <c r="D493" s="384"/>
      <c r="E493" s="384" t="s">
        <v>11544</v>
      </c>
      <c r="F493" s="214" t="s">
        <v>11545</v>
      </c>
      <c r="G493" s="370" t="s">
        <v>127</v>
      </c>
      <c r="H493" s="370">
        <v>4400.0</v>
      </c>
      <c r="I493" s="384" t="s">
        <v>340</v>
      </c>
      <c r="J493" s="308"/>
      <c r="K493" s="327">
        <v>2.0</v>
      </c>
      <c r="L493" s="210">
        <v>3.873522E9</v>
      </c>
      <c r="M493" s="276"/>
      <c r="P493" s="276"/>
      <c r="S493" s="276"/>
      <c r="T493" s="276"/>
      <c r="U493" s="276"/>
      <c r="V493" s="276"/>
      <c r="W493" s="276"/>
      <c r="X493" s="276"/>
      <c r="Y493" s="276"/>
      <c r="Z493" s="276"/>
      <c r="AA493" s="276"/>
      <c r="AB493" s="276"/>
      <c r="AC493" s="276"/>
    </row>
    <row r="494">
      <c r="A494" s="370"/>
      <c r="B494" s="371"/>
      <c r="C494" s="384"/>
      <c r="D494" s="384"/>
      <c r="E494" s="384"/>
      <c r="F494" s="214"/>
      <c r="G494" s="370"/>
      <c r="H494" s="370"/>
      <c r="I494" s="385"/>
      <c r="J494" s="271"/>
      <c r="K494" s="273"/>
      <c r="L494" s="247"/>
      <c r="M494" s="276"/>
      <c r="N494" s="275" t="s">
        <v>5479</v>
      </c>
      <c r="O494" s="275" t="s">
        <v>5479</v>
      </c>
      <c r="P494" s="276"/>
      <c r="Q494" s="275" t="s">
        <v>5479</v>
      </c>
      <c r="R494" s="277" t="s">
        <v>5479</v>
      </c>
      <c r="S494" s="276"/>
      <c r="T494" s="276"/>
      <c r="U494" s="276"/>
      <c r="V494" s="276"/>
      <c r="W494" s="276"/>
      <c r="X494" s="276"/>
      <c r="Y494" s="276"/>
      <c r="Z494" s="276"/>
      <c r="AA494" s="276"/>
      <c r="AB494" s="276"/>
      <c r="AC494" s="276"/>
    </row>
    <row r="495">
      <c r="A495" s="370" t="s">
        <v>11547</v>
      </c>
      <c r="B495" s="417">
        <v>46024.0</v>
      </c>
      <c r="C495" s="365">
        <v>8.0700003441E11</v>
      </c>
      <c r="D495" s="365" t="s">
        <v>11548</v>
      </c>
      <c r="E495" s="365" t="s">
        <v>11549</v>
      </c>
      <c r="F495" s="214" t="s">
        <v>11550</v>
      </c>
      <c r="G495" s="370" t="s">
        <v>104</v>
      </c>
      <c r="H495" s="365">
        <v>4400.0</v>
      </c>
      <c r="I495" s="365" t="s">
        <v>7088</v>
      </c>
      <c r="J495" s="366" t="s">
        <v>8278</v>
      </c>
      <c r="K495" s="327">
        <v>1.0</v>
      </c>
      <c r="L495" s="210"/>
      <c r="M495" s="276"/>
      <c r="N495" s="274">
        <v>46025.0</v>
      </c>
      <c r="O495" s="275" t="s">
        <v>9011</v>
      </c>
      <c r="P495" s="276"/>
      <c r="Q495" s="275" t="s">
        <v>9012</v>
      </c>
      <c r="R495" s="359" t="s">
        <v>13509</v>
      </c>
      <c r="S495" s="276"/>
      <c r="T495" s="276"/>
      <c r="U495" s="276"/>
      <c r="V495" s="276"/>
      <c r="W495" s="276"/>
      <c r="X495" s="276"/>
      <c r="Y495" s="276"/>
      <c r="Z495" s="276"/>
      <c r="AA495" s="276"/>
      <c r="AB495" s="276"/>
      <c r="AC495" s="276"/>
    </row>
    <row r="496">
      <c r="A496" s="370" t="s">
        <v>11551</v>
      </c>
      <c r="B496" s="417">
        <v>46024.0</v>
      </c>
      <c r="C496" s="365">
        <v>8.07000034404E11</v>
      </c>
      <c r="D496" s="365" t="s">
        <v>11552</v>
      </c>
      <c r="E496" s="365" t="s">
        <v>11553</v>
      </c>
      <c r="F496" s="400" t="s">
        <v>11554</v>
      </c>
      <c r="G496" s="400" t="s">
        <v>127</v>
      </c>
      <c r="H496" s="400">
        <v>4400.0</v>
      </c>
      <c r="I496" s="365" t="s">
        <v>3131</v>
      </c>
      <c r="J496" s="325" t="s">
        <v>3416</v>
      </c>
      <c r="K496" s="278">
        <v>1.0</v>
      </c>
      <c r="L496" s="210"/>
      <c r="M496" s="276"/>
      <c r="N496" s="274">
        <v>46025.0</v>
      </c>
      <c r="O496" s="275" t="s">
        <v>9011</v>
      </c>
      <c r="P496" s="276"/>
      <c r="Q496" s="275" t="s">
        <v>9012</v>
      </c>
      <c r="R496" s="359" t="s">
        <v>13510</v>
      </c>
      <c r="S496" s="276"/>
      <c r="T496" s="276"/>
      <c r="U496" s="276"/>
      <c r="V496" s="276"/>
      <c r="W496" s="276"/>
      <c r="X496" s="276"/>
      <c r="Y496" s="276"/>
      <c r="Z496" s="276"/>
      <c r="AA496" s="276"/>
      <c r="AB496" s="276"/>
      <c r="AC496" s="276"/>
    </row>
    <row r="497">
      <c r="A497" s="370" t="s">
        <v>11555</v>
      </c>
      <c r="B497" s="417">
        <v>46024.0</v>
      </c>
      <c r="C497" s="365">
        <v>8.07000034376E11</v>
      </c>
      <c r="D497" s="365" t="s">
        <v>11556</v>
      </c>
      <c r="E497" s="365" t="s">
        <v>11557</v>
      </c>
      <c r="F497" s="400" t="s">
        <v>11558</v>
      </c>
      <c r="G497" s="400" t="s">
        <v>425</v>
      </c>
      <c r="H497" s="400">
        <v>4400.0</v>
      </c>
      <c r="I497" s="365" t="s">
        <v>512</v>
      </c>
      <c r="J497" s="325" t="s">
        <v>513</v>
      </c>
      <c r="K497" s="278">
        <v>6.0</v>
      </c>
      <c r="L497" s="210"/>
      <c r="M497" s="276"/>
      <c r="N497" s="274">
        <v>46024.0</v>
      </c>
      <c r="O497" s="275" t="s">
        <v>9011</v>
      </c>
      <c r="P497" s="276"/>
      <c r="Q497" s="275" t="s">
        <v>9012</v>
      </c>
      <c r="R497" s="359" t="s">
        <v>13511</v>
      </c>
      <c r="S497" s="276"/>
      <c r="T497" s="276"/>
      <c r="U497" s="276"/>
      <c r="V497" s="276"/>
      <c r="W497" s="276"/>
      <c r="X497" s="276"/>
      <c r="Y497" s="276"/>
      <c r="Z497" s="276"/>
      <c r="AA497" s="276"/>
      <c r="AB497" s="276"/>
      <c r="AC497" s="276"/>
    </row>
    <row r="498">
      <c r="A498" s="370" t="s">
        <v>11555</v>
      </c>
      <c r="B498" s="417">
        <v>46024.0</v>
      </c>
      <c r="C498" s="365">
        <v>8.07000034377E11</v>
      </c>
      <c r="D498" s="365" t="s">
        <v>11556</v>
      </c>
      <c r="E498" s="365" t="s">
        <v>11557</v>
      </c>
      <c r="F498" s="400" t="s">
        <v>11558</v>
      </c>
      <c r="G498" s="400" t="s">
        <v>425</v>
      </c>
      <c r="H498" s="400">
        <v>4400.0</v>
      </c>
      <c r="I498" s="365" t="s">
        <v>5185</v>
      </c>
      <c r="J498" s="366" t="s">
        <v>5186</v>
      </c>
      <c r="K498" s="259">
        <v>1.0</v>
      </c>
      <c r="L498" s="210"/>
      <c r="M498" s="276"/>
      <c r="P498" s="276"/>
      <c r="S498" s="276"/>
      <c r="T498" s="276"/>
      <c r="U498" s="276"/>
      <c r="V498" s="276"/>
      <c r="W498" s="276"/>
      <c r="X498" s="276"/>
      <c r="Y498" s="276"/>
      <c r="Z498" s="276"/>
      <c r="AA498" s="276"/>
      <c r="AB498" s="276"/>
      <c r="AC498" s="276"/>
    </row>
    <row r="499">
      <c r="A499" s="370" t="s">
        <v>11559</v>
      </c>
      <c r="B499" s="417">
        <v>46024.0</v>
      </c>
      <c r="C499" s="365">
        <v>8.07000034421E11</v>
      </c>
      <c r="D499" s="365" t="s">
        <v>11556</v>
      </c>
      <c r="E499" s="365" t="s">
        <v>11557</v>
      </c>
      <c r="F499" s="400" t="s">
        <v>11558</v>
      </c>
      <c r="G499" s="400" t="s">
        <v>425</v>
      </c>
      <c r="H499" s="400">
        <v>4400.0</v>
      </c>
      <c r="I499" s="365" t="s">
        <v>969</v>
      </c>
      <c r="J499" s="325" t="s">
        <v>3296</v>
      </c>
      <c r="K499" s="278">
        <v>1.0</v>
      </c>
      <c r="L499" s="278"/>
      <c r="M499" s="276"/>
      <c r="P499" s="276"/>
      <c r="S499" s="276"/>
      <c r="T499" s="276"/>
      <c r="U499" s="276"/>
      <c r="V499" s="276"/>
      <c r="W499" s="276"/>
      <c r="X499" s="276"/>
      <c r="Y499" s="276"/>
      <c r="Z499" s="276"/>
      <c r="AA499" s="276"/>
      <c r="AB499" s="276"/>
      <c r="AC499" s="276"/>
    </row>
    <row r="500">
      <c r="A500" s="370" t="s">
        <v>11560</v>
      </c>
      <c r="B500" s="417">
        <v>46024.0</v>
      </c>
      <c r="C500" s="365">
        <v>8.07000034402E11</v>
      </c>
      <c r="D500" s="365" t="s">
        <v>11561</v>
      </c>
      <c r="E500" s="365" t="s">
        <v>11562</v>
      </c>
      <c r="F500" s="400" t="s">
        <v>11563</v>
      </c>
      <c r="G500" s="400" t="s">
        <v>1529</v>
      </c>
      <c r="H500" s="400">
        <v>4400.0</v>
      </c>
      <c r="I500" s="365" t="s">
        <v>218</v>
      </c>
      <c r="J500" s="325" t="s">
        <v>8664</v>
      </c>
      <c r="K500" s="278">
        <v>1.0</v>
      </c>
      <c r="L500" s="210"/>
      <c r="M500" s="276"/>
      <c r="N500" s="274">
        <v>46024.0</v>
      </c>
      <c r="O500" s="275" t="s">
        <v>9011</v>
      </c>
      <c r="P500" s="276"/>
      <c r="Q500" s="275" t="s">
        <v>9012</v>
      </c>
      <c r="R500" s="359" t="s">
        <v>13512</v>
      </c>
      <c r="S500" s="276"/>
      <c r="T500" s="276"/>
      <c r="U500" s="276"/>
      <c r="V500" s="276"/>
      <c r="W500" s="276"/>
      <c r="X500" s="276"/>
      <c r="Y500" s="276"/>
      <c r="Z500" s="276"/>
      <c r="AA500" s="276"/>
      <c r="AB500" s="276"/>
      <c r="AC500" s="276"/>
    </row>
    <row r="501">
      <c r="A501" s="370" t="s">
        <v>11560</v>
      </c>
      <c r="B501" s="417">
        <v>46024.0</v>
      </c>
      <c r="C501" s="365">
        <v>8.07000034403E11</v>
      </c>
      <c r="D501" s="365" t="s">
        <v>11561</v>
      </c>
      <c r="E501" s="365" t="s">
        <v>11562</v>
      </c>
      <c r="F501" s="400" t="s">
        <v>11563</v>
      </c>
      <c r="G501" s="400" t="s">
        <v>1529</v>
      </c>
      <c r="H501" s="400">
        <v>4400.0</v>
      </c>
      <c r="I501" s="365" t="s">
        <v>11564</v>
      </c>
      <c r="J501" s="366" t="s">
        <v>11565</v>
      </c>
      <c r="K501" s="259">
        <v>1.0</v>
      </c>
      <c r="L501" s="210"/>
      <c r="M501" s="276"/>
      <c r="P501" s="276"/>
      <c r="S501" s="276"/>
      <c r="T501" s="276"/>
      <c r="U501" s="276"/>
      <c r="V501" s="276"/>
      <c r="W501" s="276"/>
      <c r="X501" s="276"/>
      <c r="Y501" s="276"/>
      <c r="Z501" s="276"/>
      <c r="AA501" s="276"/>
      <c r="AB501" s="276"/>
      <c r="AC501" s="276"/>
    </row>
    <row r="502">
      <c r="A502" s="370" t="s">
        <v>11566</v>
      </c>
      <c r="B502" s="417">
        <v>46024.0</v>
      </c>
      <c r="C502" s="365">
        <v>8.07000034417E11</v>
      </c>
      <c r="D502" s="365" t="s">
        <v>11567</v>
      </c>
      <c r="E502" s="365" t="s">
        <v>11568</v>
      </c>
      <c r="F502" s="400" t="s">
        <v>11569</v>
      </c>
      <c r="G502" s="400" t="s">
        <v>104</v>
      </c>
      <c r="H502" s="400">
        <v>4400.0</v>
      </c>
      <c r="I502" s="365" t="s">
        <v>1766</v>
      </c>
      <c r="J502" s="325" t="s">
        <v>8008</v>
      </c>
      <c r="K502" s="278">
        <v>1.0</v>
      </c>
      <c r="L502" s="210"/>
      <c r="M502" s="276"/>
      <c r="N502" s="274">
        <v>46025.0</v>
      </c>
      <c r="O502" s="275" t="s">
        <v>9011</v>
      </c>
      <c r="P502" s="276"/>
      <c r="Q502" s="275" t="s">
        <v>13513</v>
      </c>
      <c r="R502" s="359" t="s">
        <v>13514</v>
      </c>
      <c r="S502" s="276"/>
      <c r="T502" s="276"/>
      <c r="U502" s="276"/>
      <c r="V502" s="276"/>
      <c r="W502" s="276"/>
      <c r="X502" s="276"/>
      <c r="Y502" s="276"/>
      <c r="Z502" s="276"/>
      <c r="AA502" s="276"/>
      <c r="AB502" s="276"/>
      <c r="AC502" s="276"/>
    </row>
    <row r="503">
      <c r="A503" s="370" t="s">
        <v>11566</v>
      </c>
      <c r="B503" s="417">
        <v>46024.0</v>
      </c>
      <c r="C503" s="365">
        <v>8.07000034418E11</v>
      </c>
      <c r="D503" s="365" t="s">
        <v>11567</v>
      </c>
      <c r="E503" s="365" t="s">
        <v>11568</v>
      </c>
      <c r="F503" s="400" t="s">
        <v>11569</v>
      </c>
      <c r="G503" s="400" t="s">
        <v>104</v>
      </c>
      <c r="H503" s="400">
        <v>4400.0</v>
      </c>
      <c r="I503" s="365" t="s">
        <v>11570</v>
      </c>
      <c r="J503" s="366" t="s">
        <v>11571</v>
      </c>
      <c r="K503" s="259">
        <v>1.0</v>
      </c>
      <c r="L503" s="210"/>
      <c r="M503" s="276"/>
      <c r="P503" s="276"/>
      <c r="S503" s="276"/>
      <c r="T503" s="276"/>
      <c r="U503" s="276"/>
      <c r="V503" s="276"/>
      <c r="W503" s="276"/>
      <c r="X503" s="276"/>
      <c r="Y503" s="276"/>
      <c r="Z503" s="276"/>
      <c r="AA503" s="276"/>
      <c r="AB503" s="276"/>
      <c r="AC503" s="276"/>
    </row>
    <row r="504">
      <c r="A504" s="370" t="s">
        <v>11566</v>
      </c>
      <c r="B504" s="417">
        <v>46024.0</v>
      </c>
      <c r="C504" s="365">
        <v>8.07000034419E11</v>
      </c>
      <c r="D504" s="365" t="s">
        <v>11567</v>
      </c>
      <c r="E504" s="365" t="s">
        <v>11568</v>
      </c>
      <c r="F504" s="400" t="s">
        <v>11569</v>
      </c>
      <c r="G504" s="400" t="s">
        <v>104</v>
      </c>
      <c r="H504" s="400">
        <v>4400.0</v>
      </c>
      <c r="I504" s="365" t="s">
        <v>8371</v>
      </c>
      <c r="J504" s="325" t="s">
        <v>8372</v>
      </c>
      <c r="K504" s="278">
        <v>1.0</v>
      </c>
      <c r="L504" s="210"/>
      <c r="M504" s="276"/>
      <c r="P504" s="276"/>
      <c r="S504" s="276"/>
      <c r="T504" s="276"/>
      <c r="U504" s="276"/>
      <c r="V504" s="276"/>
      <c r="W504" s="276"/>
      <c r="X504" s="276"/>
      <c r="Y504" s="276"/>
      <c r="Z504" s="276"/>
      <c r="AA504" s="276"/>
      <c r="AB504" s="276"/>
      <c r="AC504" s="276"/>
    </row>
    <row r="505">
      <c r="A505" s="370" t="s">
        <v>11566</v>
      </c>
      <c r="B505" s="417">
        <v>46024.0</v>
      </c>
      <c r="C505" s="365">
        <v>8.07000034419E11</v>
      </c>
      <c r="D505" s="365" t="s">
        <v>11567</v>
      </c>
      <c r="E505" s="365" t="s">
        <v>11568</v>
      </c>
      <c r="F505" s="400" t="s">
        <v>11569</v>
      </c>
      <c r="G505" s="400" t="s">
        <v>104</v>
      </c>
      <c r="H505" s="400">
        <v>4400.0</v>
      </c>
      <c r="I505" s="365" t="s">
        <v>1040</v>
      </c>
      <c r="J505" s="366" t="s">
        <v>3294</v>
      </c>
      <c r="K505" s="259">
        <v>1.0</v>
      </c>
      <c r="L505" s="210"/>
      <c r="M505" s="276"/>
      <c r="P505" s="276"/>
      <c r="S505" s="276"/>
      <c r="T505" s="276"/>
      <c r="U505" s="276"/>
      <c r="V505" s="276"/>
      <c r="W505" s="276"/>
      <c r="X505" s="276"/>
      <c r="Y505" s="276"/>
      <c r="Z505" s="276"/>
      <c r="AA505" s="276"/>
      <c r="AB505" s="276"/>
      <c r="AC505" s="276"/>
    </row>
    <row r="506">
      <c r="A506" s="370" t="s">
        <v>11566</v>
      </c>
      <c r="B506" s="417">
        <v>46024.0</v>
      </c>
      <c r="C506" s="365">
        <v>8.07000034419E11</v>
      </c>
      <c r="D506" s="365" t="s">
        <v>11567</v>
      </c>
      <c r="E506" s="365" t="s">
        <v>11568</v>
      </c>
      <c r="F506" s="400" t="s">
        <v>11569</v>
      </c>
      <c r="G506" s="400" t="s">
        <v>104</v>
      </c>
      <c r="H506" s="400">
        <v>4400.0</v>
      </c>
      <c r="I506" s="365" t="s">
        <v>512</v>
      </c>
      <c r="J506" s="325" t="s">
        <v>513</v>
      </c>
      <c r="K506" s="278">
        <v>6.0</v>
      </c>
      <c r="L506" s="210"/>
      <c r="M506" s="276"/>
      <c r="P506" s="276"/>
      <c r="S506" s="276"/>
      <c r="T506" s="276"/>
      <c r="U506" s="276"/>
      <c r="V506" s="276"/>
      <c r="W506" s="276"/>
      <c r="X506" s="276"/>
      <c r="Y506" s="276"/>
      <c r="Z506" s="276"/>
      <c r="AA506" s="276"/>
      <c r="AB506" s="276"/>
      <c r="AC506" s="276"/>
    </row>
    <row r="507">
      <c r="A507" s="370" t="s">
        <v>11566</v>
      </c>
      <c r="B507" s="417">
        <v>46024.0</v>
      </c>
      <c r="C507" s="365">
        <v>8.07000034419E11</v>
      </c>
      <c r="D507" s="365" t="s">
        <v>11567</v>
      </c>
      <c r="E507" s="365" t="s">
        <v>11568</v>
      </c>
      <c r="F507" s="400" t="s">
        <v>11569</v>
      </c>
      <c r="G507" s="400" t="s">
        <v>104</v>
      </c>
      <c r="H507" s="400">
        <v>4400.0</v>
      </c>
      <c r="I507" s="365" t="s">
        <v>969</v>
      </c>
      <c r="J507" s="366" t="s">
        <v>3296</v>
      </c>
      <c r="K507" s="259">
        <v>1.0</v>
      </c>
      <c r="L507" s="210"/>
      <c r="M507" s="276"/>
      <c r="P507" s="276"/>
      <c r="S507" s="276"/>
      <c r="T507" s="276"/>
      <c r="U507" s="276"/>
      <c r="V507" s="276"/>
      <c r="W507" s="276"/>
      <c r="X507" s="276"/>
      <c r="Y507" s="276"/>
      <c r="Z507" s="276"/>
      <c r="AA507" s="276"/>
      <c r="AB507" s="276"/>
      <c r="AC507" s="276"/>
    </row>
    <row r="508">
      <c r="A508" s="370" t="s">
        <v>11566</v>
      </c>
      <c r="B508" s="417">
        <v>46024.0</v>
      </c>
      <c r="C508" s="365">
        <v>8.0700003442E11</v>
      </c>
      <c r="D508" s="365" t="s">
        <v>11567</v>
      </c>
      <c r="E508" s="365" t="s">
        <v>11568</v>
      </c>
      <c r="F508" s="400" t="s">
        <v>11569</v>
      </c>
      <c r="G508" s="400" t="s">
        <v>104</v>
      </c>
      <c r="H508" s="400">
        <v>4400.0</v>
      </c>
      <c r="I508" s="365">
        <v>208502.0</v>
      </c>
      <c r="J508" s="325" t="s">
        <v>4551</v>
      </c>
      <c r="K508" s="278">
        <v>2.0</v>
      </c>
      <c r="L508" s="210"/>
      <c r="M508" s="276"/>
      <c r="P508" s="276"/>
      <c r="S508" s="276"/>
      <c r="T508" s="276"/>
      <c r="U508" s="276"/>
      <c r="V508" s="276"/>
      <c r="W508" s="276"/>
      <c r="X508" s="276"/>
      <c r="Y508" s="276"/>
      <c r="Z508" s="276"/>
      <c r="AA508" s="276"/>
      <c r="AB508" s="276"/>
      <c r="AC508" s="276"/>
    </row>
    <row r="509">
      <c r="A509" s="370" t="s">
        <v>11572</v>
      </c>
      <c r="B509" s="417">
        <v>46024.0</v>
      </c>
      <c r="C509" s="365">
        <v>8.07000034405E11</v>
      </c>
      <c r="D509" s="365" t="s">
        <v>11573</v>
      </c>
      <c r="E509" s="365" t="s">
        <v>11574</v>
      </c>
      <c r="F509" s="400" t="s">
        <v>11575</v>
      </c>
      <c r="G509" s="400" t="s">
        <v>127</v>
      </c>
      <c r="H509" s="400">
        <v>4400.0</v>
      </c>
      <c r="I509" s="365" t="s">
        <v>50</v>
      </c>
      <c r="J509" s="366" t="s">
        <v>51</v>
      </c>
      <c r="K509" s="259">
        <v>1.0</v>
      </c>
      <c r="L509" s="210"/>
      <c r="M509" s="276"/>
      <c r="N509" s="274">
        <v>46025.0</v>
      </c>
      <c r="O509" s="275" t="s">
        <v>9011</v>
      </c>
      <c r="P509" s="276"/>
      <c r="Q509" s="275" t="s">
        <v>9012</v>
      </c>
      <c r="R509" s="359" t="s">
        <v>13515</v>
      </c>
      <c r="S509" s="276"/>
      <c r="T509" s="276"/>
      <c r="U509" s="276"/>
      <c r="V509" s="276"/>
      <c r="W509" s="276"/>
      <c r="X509" s="276"/>
      <c r="Y509" s="276"/>
      <c r="Z509" s="276"/>
      <c r="AA509" s="276"/>
      <c r="AB509" s="276"/>
      <c r="AC509" s="276"/>
    </row>
    <row r="510">
      <c r="A510" s="370" t="s">
        <v>11572</v>
      </c>
      <c r="B510" s="417">
        <v>46024.0</v>
      </c>
      <c r="C510" s="365">
        <v>8.07000034405E11</v>
      </c>
      <c r="D510" s="365" t="s">
        <v>11573</v>
      </c>
      <c r="E510" s="365" t="s">
        <v>11574</v>
      </c>
      <c r="F510" s="400" t="s">
        <v>11575</v>
      </c>
      <c r="G510" s="400" t="s">
        <v>127</v>
      </c>
      <c r="H510" s="400">
        <v>4400.0</v>
      </c>
      <c r="I510" s="365" t="s">
        <v>512</v>
      </c>
      <c r="J510" s="325" t="s">
        <v>513</v>
      </c>
      <c r="K510" s="278">
        <v>6.0</v>
      </c>
      <c r="L510" s="210"/>
      <c r="M510" s="276"/>
      <c r="P510" s="276"/>
      <c r="S510" s="276"/>
      <c r="T510" s="276"/>
      <c r="U510" s="276"/>
      <c r="V510" s="276"/>
      <c r="W510" s="276"/>
      <c r="X510" s="276"/>
      <c r="Y510" s="276"/>
      <c r="Z510" s="276"/>
      <c r="AA510" s="276"/>
      <c r="AB510" s="276"/>
      <c r="AC510" s="276"/>
    </row>
    <row r="511">
      <c r="A511" s="370" t="s">
        <v>11572</v>
      </c>
      <c r="B511" s="417">
        <v>46024.0</v>
      </c>
      <c r="C511" s="365">
        <v>8.07000034405E11</v>
      </c>
      <c r="D511" s="365" t="s">
        <v>11573</v>
      </c>
      <c r="E511" s="365" t="s">
        <v>11574</v>
      </c>
      <c r="F511" s="400" t="s">
        <v>11575</v>
      </c>
      <c r="G511" s="400" t="s">
        <v>127</v>
      </c>
      <c r="H511" s="400">
        <v>4400.0</v>
      </c>
      <c r="I511" s="365" t="s">
        <v>25</v>
      </c>
      <c r="J511" s="366" t="s">
        <v>3401</v>
      </c>
      <c r="K511" s="259">
        <v>1.0</v>
      </c>
      <c r="L511" s="210"/>
      <c r="M511" s="276"/>
      <c r="P511" s="276"/>
      <c r="S511" s="276"/>
      <c r="T511" s="276"/>
      <c r="U511" s="276"/>
      <c r="V511" s="276"/>
      <c r="W511" s="276"/>
      <c r="X511" s="276"/>
      <c r="Y511" s="276"/>
      <c r="Z511" s="276"/>
      <c r="AA511" s="276"/>
      <c r="AB511" s="276"/>
      <c r="AC511" s="276"/>
    </row>
    <row r="512">
      <c r="A512" s="370" t="s">
        <v>11576</v>
      </c>
      <c r="B512" s="417">
        <v>46024.0</v>
      </c>
      <c r="C512" s="365">
        <v>8.07000034423E11</v>
      </c>
      <c r="D512" s="365" t="s">
        <v>11577</v>
      </c>
      <c r="E512" s="365" t="s">
        <v>11578</v>
      </c>
      <c r="F512" s="214" t="s">
        <v>11579</v>
      </c>
      <c r="G512" s="400" t="s">
        <v>127</v>
      </c>
      <c r="H512" s="400">
        <v>4400.0</v>
      </c>
      <c r="I512" s="365" t="s">
        <v>7329</v>
      </c>
      <c r="J512" s="325" t="s">
        <v>9785</v>
      </c>
      <c r="K512" s="278">
        <v>1.0</v>
      </c>
      <c r="L512" s="210"/>
      <c r="M512" s="276"/>
      <c r="N512" s="274">
        <v>46025.0</v>
      </c>
      <c r="O512" s="275" t="s">
        <v>9011</v>
      </c>
      <c r="P512" s="276"/>
      <c r="Q512" s="275" t="s">
        <v>13516</v>
      </c>
      <c r="R512" s="359" t="s">
        <v>13517</v>
      </c>
      <c r="S512" s="276"/>
      <c r="T512" s="276"/>
      <c r="U512" s="276"/>
      <c r="V512" s="276"/>
      <c r="W512" s="276"/>
      <c r="X512" s="276"/>
      <c r="Y512" s="276"/>
      <c r="Z512" s="276"/>
      <c r="AA512" s="276"/>
      <c r="AB512" s="276"/>
      <c r="AC512" s="276"/>
    </row>
    <row r="513">
      <c r="A513" s="370" t="s">
        <v>11576</v>
      </c>
      <c r="B513" s="417">
        <v>46024.0</v>
      </c>
      <c r="C513" s="365">
        <v>8.07000034423E11</v>
      </c>
      <c r="D513" s="365" t="s">
        <v>11577</v>
      </c>
      <c r="E513" s="365" t="s">
        <v>11578</v>
      </c>
      <c r="F513" s="214" t="s">
        <v>11579</v>
      </c>
      <c r="G513" s="400" t="s">
        <v>127</v>
      </c>
      <c r="H513" s="400">
        <v>4400.0</v>
      </c>
      <c r="I513" s="365" t="s">
        <v>512</v>
      </c>
      <c r="J513" s="366" t="s">
        <v>513</v>
      </c>
      <c r="K513" s="259">
        <v>12.0</v>
      </c>
      <c r="L513" s="210"/>
      <c r="M513" s="276"/>
      <c r="P513" s="276"/>
      <c r="S513" s="276"/>
      <c r="T513" s="276"/>
      <c r="U513" s="276"/>
      <c r="V513" s="276"/>
      <c r="W513" s="276"/>
      <c r="X513" s="276"/>
      <c r="Y513" s="276"/>
      <c r="Z513" s="276"/>
      <c r="AA513" s="276"/>
      <c r="AB513" s="276"/>
      <c r="AC513" s="276"/>
    </row>
    <row r="514">
      <c r="A514" s="370" t="s">
        <v>11576</v>
      </c>
      <c r="B514" s="417">
        <v>46024.0</v>
      </c>
      <c r="C514" s="365">
        <v>8.07000034423E11</v>
      </c>
      <c r="D514" s="365" t="s">
        <v>11577</v>
      </c>
      <c r="E514" s="365" t="s">
        <v>11578</v>
      </c>
      <c r="F514" s="214" t="s">
        <v>11579</v>
      </c>
      <c r="G514" s="400" t="s">
        <v>127</v>
      </c>
      <c r="H514" s="400">
        <v>4400.0</v>
      </c>
      <c r="I514" s="365" t="s">
        <v>121</v>
      </c>
      <c r="J514" s="325" t="s">
        <v>3199</v>
      </c>
      <c r="K514" s="278">
        <v>2.0</v>
      </c>
      <c r="L514" s="210"/>
      <c r="M514" s="276"/>
      <c r="P514" s="276"/>
      <c r="S514" s="276"/>
      <c r="T514" s="276"/>
      <c r="U514" s="276"/>
      <c r="V514" s="276"/>
      <c r="W514" s="276"/>
      <c r="X514" s="276"/>
      <c r="Y514" s="276"/>
      <c r="Z514" s="276"/>
      <c r="AA514" s="276"/>
      <c r="AB514" s="276"/>
      <c r="AC514" s="276"/>
    </row>
    <row r="515">
      <c r="A515" s="365" t="s">
        <v>11580</v>
      </c>
      <c r="B515" s="417">
        <v>46024.0</v>
      </c>
      <c r="C515" s="365">
        <v>8.07000034427E11</v>
      </c>
      <c r="D515" s="365" t="s">
        <v>11581</v>
      </c>
      <c r="E515" s="365" t="s">
        <v>11582</v>
      </c>
      <c r="F515" s="214" t="s">
        <v>11583</v>
      </c>
      <c r="G515" s="400" t="s">
        <v>127</v>
      </c>
      <c r="H515" s="400">
        <v>4400.0</v>
      </c>
      <c r="I515" s="365">
        <v>125814.0</v>
      </c>
      <c r="J515" s="325" t="s">
        <v>9798</v>
      </c>
      <c r="K515" s="278">
        <v>2.0</v>
      </c>
      <c r="L515" s="210"/>
      <c r="M515" s="276"/>
      <c r="N515" s="274">
        <v>46024.0</v>
      </c>
      <c r="O515" s="275" t="s">
        <v>9011</v>
      </c>
      <c r="P515" s="276"/>
      <c r="Q515" s="275" t="s">
        <v>9012</v>
      </c>
      <c r="R515" s="359" t="s">
        <v>13518</v>
      </c>
      <c r="S515" s="276"/>
      <c r="T515" s="276"/>
      <c r="U515" s="276"/>
      <c r="V515" s="276"/>
      <c r="W515" s="276"/>
      <c r="X515" s="276"/>
      <c r="Y515" s="276"/>
      <c r="Z515" s="276"/>
      <c r="AA515" s="276"/>
      <c r="AB515" s="276"/>
      <c r="AC515" s="276"/>
    </row>
    <row r="516">
      <c r="A516" s="365" t="s">
        <v>11580</v>
      </c>
      <c r="B516" s="417">
        <v>46024.0</v>
      </c>
      <c r="C516" s="365">
        <v>8.07000034427E11</v>
      </c>
      <c r="D516" s="365" t="s">
        <v>11581</v>
      </c>
      <c r="E516" s="365" t="s">
        <v>11582</v>
      </c>
      <c r="F516" s="214" t="s">
        <v>11583</v>
      </c>
      <c r="G516" s="400" t="s">
        <v>127</v>
      </c>
      <c r="H516" s="400">
        <v>4400.0</v>
      </c>
      <c r="I516" s="365" t="s">
        <v>1937</v>
      </c>
      <c r="J516" s="366" t="s">
        <v>4036</v>
      </c>
      <c r="K516" s="259">
        <v>1.0</v>
      </c>
      <c r="L516" s="210"/>
      <c r="M516" s="276"/>
      <c r="P516" s="276"/>
      <c r="S516" s="276"/>
      <c r="T516" s="276"/>
      <c r="U516" s="276"/>
      <c r="V516" s="276"/>
      <c r="W516" s="276"/>
      <c r="X516" s="276"/>
      <c r="Y516" s="276"/>
      <c r="Z516" s="276"/>
      <c r="AA516" s="276"/>
      <c r="AB516" s="276"/>
      <c r="AC516" s="276"/>
    </row>
    <row r="517">
      <c r="A517" s="365" t="s">
        <v>11580</v>
      </c>
      <c r="B517" s="417">
        <v>46024.0</v>
      </c>
      <c r="C517" s="365">
        <v>8.07000034428E11</v>
      </c>
      <c r="D517" s="365" t="s">
        <v>11581</v>
      </c>
      <c r="E517" s="365" t="s">
        <v>11582</v>
      </c>
      <c r="F517" s="214" t="s">
        <v>11583</v>
      </c>
      <c r="G517" s="400" t="s">
        <v>127</v>
      </c>
      <c r="H517" s="400">
        <v>4400.0</v>
      </c>
      <c r="I517" s="365" t="s">
        <v>11570</v>
      </c>
      <c r="J517" s="325" t="s">
        <v>11571</v>
      </c>
      <c r="K517" s="278">
        <v>1.0</v>
      </c>
      <c r="L517" s="210"/>
      <c r="M517" s="276"/>
      <c r="P517" s="276"/>
      <c r="S517" s="276"/>
      <c r="T517" s="276"/>
      <c r="U517" s="276"/>
      <c r="V517" s="276"/>
      <c r="W517" s="276"/>
      <c r="X517" s="276"/>
      <c r="Y517" s="276"/>
      <c r="Z517" s="276"/>
      <c r="AA517" s="276"/>
      <c r="AB517" s="276"/>
      <c r="AC517" s="276"/>
    </row>
    <row r="518">
      <c r="A518" s="108" t="s">
        <v>11584</v>
      </c>
      <c r="B518" s="108" t="s">
        <v>11585</v>
      </c>
      <c r="C518" s="374">
        <v>8.0700003444E11</v>
      </c>
      <c r="D518" s="374" t="s">
        <v>11586</v>
      </c>
      <c r="E518" s="374" t="s">
        <v>11587</v>
      </c>
      <c r="F518" s="177" t="s">
        <v>11588</v>
      </c>
      <c r="G518" s="176" t="s">
        <v>20</v>
      </c>
      <c r="H518" s="177" t="s">
        <v>4086</v>
      </c>
      <c r="I518" s="176" t="s">
        <v>812</v>
      </c>
      <c r="J518" s="224" t="s">
        <v>3564</v>
      </c>
      <c r="K518" s="242">
        <v>1.0</v>
      </c>
      <c r="L518" s="124">
        <v>3.875721119E9</v>
      </c>
      <c r="N518" s="274">
        <v>46027.0</v>
      </c>
      <c r="O518" s="275" t="s">
        <v>9011</v>
      </c>
      <c r="P518" s="276"/>
      <c r="Q518" s="275" t="s">
        <v>9012</v>
      </c>
      <c r="R518" s="359" t="s">
        <v>13519</v>
      </c>
      <c r="S518" s="276"/>
      <c r="T518" s="276"/>
      <c r="U518" s="276"/>
      <c r="V518" s="276"/>
      <c r="W518" s="276"/>
      <c r="X518" s="276"/>
      <c r="Y518" s="276"/>
      <c r="Z518" s="276"/>
      <c r="AA518" s="276"/>
      <c r="AB518" s="276"/>
      <c r="AC518" s="276"/>
    </row>
    <row r="519">
      <c r="A519" s="108" t="s">
        <v>11589</v>
      </c>
      <c r="B519" s="108" t="s">
        <v>11585</v>
      </c>
      <c r="C519" s="374">
        <v>8.07000034444E11</v>
      </c>
      <c r="D519" s="374" t="s">
        <v>11590</v>
      </c>
      <c r="E519" s="374" t="s">
        <v>11591</v>
      </c>
      <c r="F519" s="177" t="s">
        <v>11592</v>
      </c>
      <c r="G519" s="176" t="s">
        <v>127</v>
      </c>
      <c r="H519" s="177">
        <v>4400.0</v>
      </c>
      <c r="I519" s="176">
        <v>125822.0</v>
      </c>
      <c r="J519" s="224" t="s">
        <v>6030</v>
      </c>
      <c r="K519" s="242">
        <v>2.0</v>
      </c>
      <c r="L519" s="124">
        <v>3.872229962E9</v>
      </c>
      <c r="N519" s="274">
        <v>46027.0</v>
      </c>
      <c r="O519" s="275" t="s">
        <v>9011</v>
      </c>
      <c r="P519" s="276"/>
      <c r="Q519" s="275" t="s">
        <v>13520</v>
      </c>
      <c r="R519" s="359" t="s">
        <v>13521</v>
      </c>
      <c r="S519" s="276"/>
      <c r="T519" s="276"/>
      <c r="U519" s="276"/>
      <c r="V519" s="276"/>
      <c r="W519" s="276"/>
      <c r="X519" s="276"/>
      <c r="Y519" s="276"/>
      <c r="Z519" s="276"/>
      <c r="AA519" s="276"/>
      <c r="AB519" s="276"/>
      <c r="AC519" s="276"/>
    </row>
    <row r="520">
      <c r="A520" s="108" t="s">
        <v>11589</v>
      </c>
      <c r="B520" s="108" t="s">
        <v>11585</v>
      </c>
      <c r="C520" s="374">
        <v>8.07000034444E11</v>
      </c>
      <c r="D520" s="374" t="s">
        <v>11590</v>
      </c>
      <c r="E520" s="374" t="s">
        <v>11591</v>
      </c>
      <c r="F520" s="177" t="s">
        <v>11592</v>
      </c>
      <c r="G520" s="176" t="s">
        <v>127</v>
      </c>
      <c r="H520" s="177">
        <v>4400.0</v>
      </c>
      <c r="I520" s="176">
        <v>2.2346229137E10</v>
      </c>
      <c r="J520" s="211" t="s">
        <v>7165</v>
      </c>
      <c r="K520" s="241">
        <v>1.0</v>
      </c>
      <c r="L520" s="124">
        <v>3.872229962E9</v>
      </c>
      <c r="P520" s="276"/>
      <c r="S520" s="276"/>
      <c r="T520" s="276"/>
      <c r="U520" s="276"/>
      <c r="V520" s="276"/>
      <c r="W520" s="276"/>
      <c r="X520" s="276"/>
      <c r="Y520" s="276"/>
      <c r="Z520" s="276"/>
      <c r="AA520" s="276"/>
      <c r="AB520" s="276"/>
      <c r="AC520" s="276"/>
    </row>
    <row r="521">
      <c r="A521" s="108" t="s">
        <v>11589</v>
      </c>
      <c r="B521" s="108" t="s">
        <v>11585</v>
      </c>
      <c r="C521" s="374">
        <v>8.07000034444E11</v>
      </c>
      <c r="D521" s="374" t="s">
        <v>11590</v>
      </c>
      <c r="E521" s="374" t="s">
        <v>11591</v>
      </c>
      <c r="F521" s="177" t="s">
        <v>11592</v>
      </c>
      <c r="G521" s="176" t="s">
        <v>127</v>
      </c>
      <c r="H521" s="177">
        <v>4400.0</v>
      </c>
      <c r="I521" s="176" t="s">
        <v>512</v>
      </c>
      <c r="J521" s="224" t="s">
        <v>513</v>
      </c>
      <c r="K521" s="242">
        <v>6.0</v>
      </c>
      <c r="L521" s="124">
        <v>3.872229962E9</v>
      </c>
      <c r="P521" s="276"/>
      <c r="S521" s="276"/>
      <c r="T521" s="276"/>
      <c r="U521" s="276"/>
      <c r="V521" s="276"/>
      <c r="W521" s="276"/>
      <c r="X521" s="276"/>
      <c r="Y521" s="276"/>
      <c r="Z521" s="276"/>
      <c r="AA521" s="276"/>
      <c r="AB521" s="276"/>
      <c r="AC521" s="276"/>
    </row>
    <row r="522">
      <c r="A522" s="108" t="s">
        <v>11593</v>
      </c>
      <c r="B522" s="108" t="s">
        <v>11585</v>
      </c>
      <c r="C522" s="374">
        <v>8.07000034445E11</v>
      </c>
      <c r="D522" s="374" t="s">
        <v>11590</v>
      </c>
      <c r="E522" s="374" t="s">
        <v>11591</v>
      </c>
      <c r="F522" s="177" t="s">
        <v>11592</v>
      </c>
      <c r="G522" s="176" t="s">
        <v>127</v>
      </c>
      <c r="H522" s="177">
        <v>4400.0</v>
      </c>
      <c r="I522" s="176" t="s">
        <v>22</v>
      </c>
      <c r="J522" s="211" t="s">
        <v>4013</v>
      </c>
      <c r="K522" s="241">
        <v>1.0</v>
      </c>
      <c r="L522" s="124">
        <v>3.872229962E9</v>
      </c>
      <c r="P522" s="276"/>
      <c r="S522" s="276"/>
      <c r="T522" s="276"/>
      <c r="U522" s="276"/>
      <c r="V522" s="276"/>
      <c r="W522" s="276"/>
      <c r="X522" s="276"/>
      <c r="Y522" s="276"/>
      <c r="Z522" s="276"/>
      <c r="AA522" s="276"/>
      <c r="AB522" s="276"/>
      <c r="AC522" s="276"/>
    </row>
    <row r="523">
      <c r="A523" s="108" t="s">
        <v>11593</v>
      </c>
      <c r="B523" s="108" t="s">
        <v>11585</v>
      </c>
      <c r="C523" s="374">
        <v>8.07000034445E11</v>
      </c>
      <c r="D523" s="374" t="s">
        <v>11590</v>
      </c>
      <c r="E523" s="374" t="s">
        <v>11591</v>
      </c>
      <c r="F523" s="177" t="s">
        <v>11592</v>
      </c>
      <c r="G523" s="176" t="s">
        <v>127</v>
      </c>
      <c r="H523" s="177">
        <v>4400.0</v>
      </c>
      <c r="I523" s="176" t="s">
        <v>25</v>
      </c>
      <c r="J523" s="224" t="s">
        <v>3401</v>
      </c>
      <c r="K523" s="242">
        <v>1.0</v>
      </c>
      <c r="L523" s="124">
        <v>3.872229962E9</v>
      </c>
      <c r="P523" s="276"/>
      <c r="S523" s="276"/>
      <c r="T523" s="276"/>
      <c r="U523" s="276"/>
      <c r="V523" s="276"/>
      <c r="W523" s="276"/>
      <c r="X523" s="276"/>
      <c r="Y523" s="276"/>
      <c r="Z523" s="276"/>
      <c r="AA523" s="276"/>
      <c r="AB523" s="276"/>
      <c r="AC523" s="276"/>
    </row>
    <row r="524">
      <c r="A524" s="108" t="s">
        <v>11594</v>
      </c>
      <c r="B524" s="108" t="s">
        <v>11585</v>
      </c>
      <c r="C524" s="374">
        <v>8.07000034174E11</v>
      </c>
      <c r="D524" s="374" t="s">
        <v>11595</v>
      </c>
      <c r="E524" s="374" t="s">
        <v>11596</v>
      </c>
      <c r="F524" s="177" t="s">
        <v>1877</v>
      </c>
      <c r="G524" s="176" t="s">
        <v>20</v>
      </c>
      <c r="H524" s="177" t="s">
        <v>1878</v>
      </c>
      <c r="I524" s="176">
        <v>125812.0</v>
      </c>
      <c r="J524" s="211" t="s">
        <v>9317</v>
      </c>
      <c r="K524" s="241">
        <v>2.0</v>
      </c>
      <c r="L524" s="124">
        <v>3.87561876E9</v>
      </c>
      <c r="N524" s="274">
        <v>46029.0</v>
      </c>
      <c r="O524" s="275" t="s">
        <v>9011</v>
      </c>
      <c r="P524" s="276"/>
      <c r="Q524" s="275" t="s">
        <v>9012</v>
      </c>
      <c r="R524" s="359" t="s">
        <v>13522</v>
      </c>
      <c r="S524" s="276"/>
      <c r="T524" s="276"/>
      <c r="U524" s="276"/>
      <c r="V524" s="276"/>
      <c r="W524" s="276"/>
      <c r="X524" s="276"/>
      <c r="Y524" s="276"/>
      <c r="Z524" s="276"/>
      <c r="AA524" s="276"/>
      <c r="AB524" s="276"/>
      <c r="AC524" s="276"/>
    </row>
    <row r="525">
      <c r="A525" s="108" t="s">
        <v>11594</v>
      </c>
      <c r="B525" s="108" t="s">
        <v>11585</v>
      </c>
      <c r="C525" s="374">
        <v>8.07000034174E11</v>
      </c>
      <c r="D525" s="374" t="s">
        <v>11595</v>
      </c>
      <c r="E525" s="374" t="s">
        <v>11596</v>
      </c>
      <c r="F525" s="177" t="s">
        <v>1877</v>
      </c>
      <c r="G525" s="176" t="s">
        <v>20</v>
      </c>
      <c r="H525" s="177" t="s">
        <v>1878</v>
      </c>
      <c r="I525" s="176" t="s">
        <v>512</v>
      </c>
      <c r="J525" s="224" t="s">
        <v>513</v>
      </c>
      <c r="K525" s="242">
        <v>12.0</v>
      </c>
      <c r="L525" s="124">
        <v>3.87561876E9</v>
      </c>
      <c r="P525" s="276"/>
      <c r="S525" s="276"/>
      <c r="T525" s="276"/>
      <c r="U525" s="276"/>
      <c r="V525" s="276"/>
      <c r="W525" s="276"/>
      <c r="X525" s="276"/>
      <c r="Y525" s="276"/>
      <c r="Z525" s="276"/>
      <c r="AA525" s="276"/>
      <c r="AB525" s="276"/>
      <c r="AC525" s="276"/>
    </row>
    <row r="526">
      <c r="A526" s="108" t="s">
        <v>11597</v>
      </c>
      <c r="B526" s="108" t="s">
        <v>11585</v>
      </c>
      <c r="C526" s="374">
        <v>8.07000034175E11</v>
      </c>
      <c r="D526" s="374" t="s">
        <v>11595</v>
      </c>
      <c r="E526" s="374" t="s">
        <v>11596</v>
      </c>
      <c r="F526" s="177" t="s">
        <v>1877</v>
      </c>
      <c r="G526" s="176" t="s">
        <v>20</v>
      </c>
      <c r="H526" s="177" t="s">
        <v>1878</v>
      </c>
      <c r="I526" s="176" t="s">
        <v>1937</v>
      </c>
      <c r="J526" s="211" t="s">
        <v>4036</v>
      </c>
      <c r="K526" s="241">
        <v>1.0</v>
      </c>
      <c r="L526" s="124">
        <v>3.87561876E9</v>
      </c>
      <c r="P526" s="276"/>
      <c r="S526" s="276"/>
      <c r="T526" s="276"/>
      <c r="U526" s="276"/>
      <c r="V526" s="276"/>
      <c r="W526" s="276"/>
      <c r="X526" s="276"/>
      <c r="Y526" s="276"/>
      <c r="Z526" s="276"/>
      <c r="AA526" s="276"/>
      <c r="AB526" s="276"/>
      <c r="AC526" s="276"/>
    </row>
    <row r="527">
      <c r="A527" s="108" t="s">
        <v>11597</v>
      </c>
      <c r="B527" s="108" t="s">
        <v>11585</v>
      </c>
      <c r="C527" s="374">
        <v>8.07000034175E11</v>
      </c>
      <c r="D527" s="374" t="s">
        <v>11595</v>
      </c>
      <c r="E527" s="374" t="s">
        <v>11596</v>
      </c>
      <c r="F527" s="177" t="s">
        <v>1877</v>
      </c>
      <c r="G527" s="176" t="s">
        <v>20</v>
      </c>
      <c r="H527" s="177" t="s">
        <v>1878</v>
      </c>
      <c r="I527" s="176" t="s">
        <v>233</v>
      </c>
      <c r="J527" s="224" t="s">
        <v>3459</v>
      </c>
      <c r="K527" s="242">
        <v>2.0</v>
      </c>
      <c r="L527" s="124">
        <v>3.87561876E9</v>
      </c>
      <c r="P527" s="276"/>
      <c r="S527" s="276"/>
      <c r="T527" s="276"/>
      <c r="U527" s="276"/>
      <c r="V527" s="276"/>
      <c r="W527" s="276"/>
      <c r="X527" s="276"/>
      <c r="Y527" s="276"/>
      <c r="Z527" s="276"/>
      <c r="AA527" s="276"/>
      <c r="AB527" s="276"/>
      <c r="AC527" s="276"/>
    </row>
    <row r="528">
      <c r="A528" s="108" t="s">
        <v>11598</v>
      </c>
      <c r="B528" s="108" t="s">
        <v>11585</v>
      </c>
      <c r="C528" s="374"/>
      <c r="D528" s="374"/>
      <c r="E528" s="374" t="s">
        <v>11599</v>
      </c>
      <c r="F528" s="145"/>
      <c r="G528" s="108" t="s">
        <v>20</v>
      </c>
      <c r="H528" s="108">
        <v>4400.0</v>
      </c>
      <c r="I528" s="176" t="s">
        <v>670</v>
      </c>
      <c r="J528" s="224" t="s">
        <v>11600</v>
      </c>
      <c r="K528" s="242">
        <v>1.0</v>
      </c>
      <c r="L528" s="124">
        <v>3.872204813E9</v>
      </c>
      <c r="M528" s="54" t="s">
        <v>11601</v>
      </c>
      <c r="N528" s="274">
        <v>46028.0</v>
      </c>
      <c r="O528" s="275" t="s">
        <v>9011</v>
      </c>
      <c r="P528" s="276"/>
      <c r="Q528" s="275" t="s">
        <v>9012</v>
      </c>
      <c r="R528" s="359" t="s">
        <v>13523</v>
      </c>
      <c r="S528" s="276"/>
      <c r="T528" s="276"/>
      <c r="U528" s="276"/>
      <c r="V528" s="276"/>
      <c r="W528" s="276"/>
      <c r="X528" s="276"/>
      <c r="Y528" s="276"/>
      <c r="Z528" s="276"/>
      <c r="AA528" s="276"/>
      <c r="AB528" s="276"/>
      <c r="AC528" s="276"/>
    </row>
    <row r="529">
      <c r="A529" s="108" t="s">
        <v>11602</v>
      </c>
      <c r="B529" s="108" t="s">
        <v>11585</v>
      </c>
      <c r="C529" s="374">
        <v>8.07000034448E11</v>
      </c>
      <c r="D529" s="374" t="s">
        <v>11603</v>
      </c>
      <c r="E529" s="374" t="s">
        <v>11604</v>
      </c>
      <c r="F529" s="177" t="s">
        <v>11605</v>
      </c>
      <c r="G529" s="176" t="s">
        <v>127</v>
      </c>
      <c r="H529" s="177">
        <v>4400.0</v>
      </c>
      <c r="I529" s="176">
        <v>125814.0</v>
      </c>
      <c r="J529" s="224" t="s">
        <v>9798</v>
      </c>
      <c r="K529" s="242">
        <v>2.0</v>
      </c>
      <c r="L529" s="124"/>
      <c r="N529" s="274">
        <v>46027.0</v>
      </c>
      <c r="O529" s="275" t="s">
        <v>9011</v>
      </c>
      <c r="P529" s="276"/>
      <c r="Q529" s="275" t="s">
        <v>9012</v>
      </c>
      <c r="R529" s="359" t="s">
        <v>13524</v>
      </c>
      <c r="S529" s="276"/>
      <c r="T529" s="276"/>
      <c r="U529" s="276"/>
      <c r="V529" s="276"/>
      <c r="W529" s="276"/>
      <c r="X529" s="276"/>
      <c r="Y529" s="276"/>
      <c r="Z529" s="276"/>
      <c r="AA529" s="276"/>
      <c r="AB529" s="276"/>
      <c r="AC529" s="276"/>
    </row>
    <row r="530">
      <c r="A530" s="108" t="s">
        <v>11606</v>
      </c>
      <c r="B530" s="108" t="s">
        <v>11585</v>
      </c>
      <c r="C530" s="374">
        <v>8.07000034449E11</v>
      </c>
      <c r="D530" s="374" t="s">
        <v>11603</v>
      </c>
      <c r="E530" s="374" t="s">
        <v>11604</v>
      </c>
      <c r="F530" s="177" t="s">
        <v>11605</v>
      </c>
      <c r="G530" s="176" t="s">
        <v>127</v>
      </c>
      <c r="H530" s="177">
        <v>4400.0</v>
      </c>
      <c r="I530" s="176" t="s">
        <v>280</v>
      </c>
      <c r="J530" s="211" t="s">
        <v>5669</v>
      </c>
      <c r="K530" s="241">
        <v>1.0</v>
      </c>
      <c r="L530" s="124"/>
      <c r="P530" s="276"/>
      <c r="S530" s="276"/>
      <c r="T530" s="276"/>
      <c r="U530" s="276"/>
      <c r="V530" s="276"/>
      <c r="W530" s="276"/>
      <c r="X530" s="276"/>
      <c r="Y530" s="276"/>
      <c r="Z530" s="276"/>
      <c r="AA530" s="276"/>
      <c r="AB530" s="276"/>
      <c r="AC530" s="276"/>
    </row>
    <row r="531">
      <c r="A531" s="108" t="s">
        <v>11607</v>
      </c>
      <c r="B531" s="108" t="s">
        <v>11585</v>
      </c>
      <c r="C531" s="374">
        <v>8.0700003445E11</v>
      </c>
      <c r="D531" s="374" t="s">
        <v>11603</v>
      </c>
      <c r="E531" s="374" t="s">
        <v>11604</v>
      </c>
      <c r="F531" s="177" t="s">
        <v>11605</v>
      </c>
      <c r="G531" s="176" t="s">
        <v>127</v>
      </c>
      <c r="H531" s="177">
        <v>4400.0</v>
      </c>
      <c r="I531" s="176" t="s">
        <v>512</v>
      </c>
      <c r="J531" s="224" t="s">
        <v>513</v>
      </c>
      <c r="K531" s="242">
        <v>12.0</v>
      </c>
      <c r="L531" s="124"/>
      <c r="P531" s="276"/>
      <c r="S531" s="276"/>
      <c r="T531" s="276"/>
      <c r="U531" s="276"/>
      <c r="V531" s="276"/>
      <c r="W531" s="276"/>
      <c r="X531" s="276"/>
      <c r="Y531" s="276"/>
      <c r="Z531" s="276"/>
      <c r="AA531" s="276"/>
      <c r="AB531" s="276"/>
      <c r="AC531" s="276"/>
    </row>
    <row r="532">
      <c r="A532" s="108" t="s">
        <v>11607</v>
      </c>
      <c r="B532" s="108" t="s">
        <v>11585</v>
      </c>
      <c r="C532" s="374">
        <v>8.07000034451E11</v>
      </c>
      <c r="D532" s="374" t="s">
        <v>11603</v>
      </c>
      <c r="E532" s="374" t="s">
        <v>11604</v>
      </c>
      <c r="F532" s="177" t="s">
        <v>11605</v>
      </c>
      <c r="G532" s="176" t="s">
        <v>127</v>
      </c>
      <c r="H532" s="177">
        <v>4400.0</v>
      </c>
      <c r="I532" s="176" t="s">
        <v>340</v>
      </c>
      <c r="J532" s="211" t="s">
        <v>3486</v>
      </c>
      <c r="K532" s="241">
        <v>2.0</v>
      </c>
      <c r="L532" s="124"/>
      <c r="P532" s="276"/>
      <c r="S532" s="276"/>
      <c r="T532" s="276"/>
      <c r="U532" s="276"/>
      <c r="V532" s="276"/>
      <c r="W532" s="276"/>
      <c r="X532" s="276"/>
      <c r="Y532" s="276"/>
      <c r="Z532" s="276"/>
      <c r="AA532" s="276"/>
      <c r="AB532" s="276"/>
      <c r="AC532" s="276"/>
    </row>
    <row r="533">
      <c r="A533" s="108" t="s">
        <v>11608</v>
      </c>
      <c r="B533" s="108" t="s">
        <v>11585</v>
      </c>
      <c r="C533" s="374"/>
      <c r="D533" s="374" t="s">
        <v>11609</v>
      </c>
      <c r="E533" s="374" t="s">
        <v>11610</v>
      </c>
      <c r="F533" s="145" t="s">
        <v>11611</v>
      </c>
      <c r="G533" s="108" t="s">
        <v>127</v>
      </c>
      <c r="H533" s="108">
        <v>4400.0</v>
      </c>
      <c r="I533" s="176" t="s">
        <v>1115</v>
      </c>
      <c r="J533" s="224" t="s">
        <v>8215</v>
      </c>
      <c r="K533" s="242">
        <v>1.0</v>
      </c>
      <c r="L533" s="124">
        <v>3.81332268E9</v>
      </c>
      <c r="N533" s="274">
        <v>46027.0</v>
      </c>
      <c r="O533" s="275" t="s">
        <v>9011</v>
      </c>
      <c r="P533" s="276"/>
      <c r="Q533" s="275" t="s">
        <v>13525</v>
      </c>
      <c r="R533" s="359" t="s">
        <v>13526</v>
      </c>
      <c r="S533" s="276"/>
      <c r="T533" s="276"/>
      <c r="U533" s="276"/>
      <c r="V533" s="276"/>
      <c r="W533" s="276"/>
      <c r="X533" s="276"/>
      <c r="Y533" s="276"/>
      <c r="Z533" s="276"/>
      <c r="AA533" s="276"/>
      <c r="AB533" s="276"/>
      <c r="AC533" s="276"/>
    </row>
    <row r="534">
      <c r="A534" s="108" t="s">
        <v>11608</v>
      </c>
      <c r="B534" s="108" t="s">
        <v>11585</v>
      </c>
      <c r="C534" s="374"/>
      <c r="D534" s="374" t="s">
        <v>11609</v>
      </c>
      <c r="E534" s="374" t="s">
        <v>11610</v>
      </c>
      <c r="F534" s="145" t="s">
        <v>11611</v>
      </c>
      <c r="G534" s="108" t="s">
        <v>127</v>
      </c>
      <c r="H534" s="108">
        <v>4400.0</v>
      </c>
      <c r="I534" s="176" t="s">
        <v>340</v>
      </c>
      <c r="J534" s="224" t="s">
        <v>13527</v>
      </c>
      <c r="K534" s="242">
        <v>2.0</v>
      </c>
      <c r="L534" s="124">
        <v>3.81332268E9</v>
      </c>
      <c r="P534" s="276"/>
      <c r="S534" s="276"/>
      <c r="T534" s="276"/>
      <c r="U534" s="276"/>
      <c r="V534" s="276"/>
      <c r="W534" s="276"/>
      <c r="X534" s="276"/>
      <c r="Y534" s="276"/>
      <c r="Z534" s="276"/>
      <c r="AA534" s="276"/>
      <c r="AB534" s="276"/>
      <c r="AC534" s="276"/>
    </row>
    <row r="535">
      <c r="A535" s="108" t="s">
        <v>11612</v>
      </c>
      <c r="B535" s="173">
        <v>46363.0</v>
      </c>
      <c r="C535" s="374">
        <v>8.07000034476E11</v>
      </c>
      <c r="D535" s="374" t="s">
        <v>11613</v>
      </c>
      <c r="E535" s="374" t="s">
        <v>11614</v>
      </c>
      <c r="F535" s="177" t="s">
        <v>11615</v>
      </c>
      <c r="G535" s="176" t="s">
        <v>20</v>
      </c>
      <c r="H535" s="177" t="s">
        <v>1878</v>
      </c>
      <c r="I535" s="176" t="s">
        <v>11616</v>
      </c>
      <c r="J535" s="224" t="s">
        <v>11617</v>
      </c>
      <c r="K535" s="242">
        <v>1.0</v>
      </c>
      <c r="L535" s="124">
        <v>3.874501416E9</v>
      </c>
      <c r="N535" s="274">
        <v>46029.0</v>
      </c>
      <c r="O535" s="275" t="s">
        <v>9011</v>
      </c>
      <c r="P535" s="276"/>
      <c r="Q535" s="275" t="s">
        <v>9012</v>
      </c>
      <c r="R535" s="359" t="s">
        <v>13528</v>
      </c>
      <c r="S535" s="276"/>
      <c r="T535" s="276"/>
      <c r="U535" s="276"/>
      <c r="V535" s="276"/>
      <c r="W535" s="276"/>
      <c r="X535" s="276"/>
      <c r="Y535" s="276"/>
      <c r="Z535" s="276"/>
      <c r="AA535" s="276"/>
      <c r="AB535" s="276"/>
      <c r="AC535" s="276"/>
    </row>
    <row r="536">
      <c r="A536" s="108" t="s">
        <v>11612</v>
      </c>
      <c r="B536" s="173">
        <v>46363.0</v>
      </c>
      <c r="C536" s="374">
        <v>8.07000034476E11</v>
      </c>
      <c r="D536" s="374" t="s">
        <v>11613</v>
      </c>
      <c r="E536" s="374" t="s">
        <v>11614</v>
      </c>
      <c r="F536" s="177" t="s">
        <v>11615</v>
      </c>
      <c r="G536" s="176" t="s">
        <v>20</v>
      </c>
      <c r="H536" s="177" t="s">
        <v>1878</v>
      </c>
      <c r="I536" s="176" t="s">
        <v>3512</v>
      </c>
      <c r="J536" s="211" t="s">
        <v>3513</v>
      </c>
      <c r="K536" s="241">
        <v>12.0</v>
      </c>
      <c r="L536" s="124">
        <v>3.874501416E9</v>
      </c>
      <c r="P536" s="276"/>
      <c r="S536" s="276"/>
      <c r="T536" s="276"/>
      <c r="U536" s="276"/>
      <c r="V536" s="276"/>
      <c r="W536" s="276"/>
      <c r="X536" s="276"/>
      <c r="Y536" s="276"/>
      <c r="Z536" s="276"/>
      <c r="AA536" s="276"/>
      <c r="AB536" s="276"/>
      <c r="AC536" s="276"/>
    </row>
    <row r="537">
      <c r="A537" s="108" t="s">
        <v>11612</v>
      </c>
      <c r="B537" s="173">
        <v>46363.0</v>
      </c>
      <c r="C537" s="374">
        <v>8.07000034476E11</v>
      </c>
      <c r="D537" s="374" t="s">
        <v>11613</v>
      </c>
      <c r="E537" s="374" t="s">
        <v>11614</v>
      </c>
      <c r="F537" s="177" t="s">
        <v>11615</v>
      </c>
      <c r="G537" s="176" t="s">
        <v>20</v>
      </c>
      <c r="H537" s="177" t="s">
        <v>1878</v>
      </c>
      <c r="I537" s="176" t="s">
        <v>5764</v>
      </c>
      <c r="J537" s="224" t="s">
        <v>5765</v>
      </c>
      <c r="K537" s="242">
        <v>2.0</v>
      </c>
      <c r="L537" s="124">
        <v>3.874501416E9</v>
      </c>
      <c r="P537" s="276"/>
      <c r="S537" s="276"/>
      <c r="T537" s="276"/>
      <c r="U537" s="276"/>
      <c r="V537" s="276"/>
      <c r="W537" s="276"/>
      <c r="X537" s="276"/>
      <c r="Y537" s="276"/>
      <c r="Z537" s="276"/>
      <c r="AA537" s="276"/>
      <c r="AB537" s="276"/>
      <c r="AC537" s="276"/>
    </row>
    <row r="538">
      <c r="A538" s="108" t="s">
        <v>11612</v>
      </c>
      <c r="B538" s="173">
        <v>46363.0</v>
      </c>
      <c r="C538" s="374">
        <v>8.07000034477E11</v>
      </c>
      <c r="D538" s="374" t="s">
        <v>11613</v>
      </c>
      <c r="E538" s="374" t="s">
        <v>11614</v>
      </c>
      <c r="F538" s="177" t="s">
        <v>11615</v>
      </c>
      <c r="G538" s="176" t="s">
        <v>20</v>
      </c>
      <c r="H538" s="177" t="s">
        <v>1878</v>
      </c>
      <c r="I538" s="176">
        <v>2.2346259143E10</v>
      </c>
      <c r="J538" s="211" t="s">
        <v>11618</v>
      </c>
      <c r="K538" s="241">
        <v>1.0</v>
      </c>
      <c r="L538" s="124">
        <v>3.874501416E9</v>
      </c>
      <c r="P538" s="276"/>
      <c r="S538" s="276"/>
      <c r="T538" s="276"/>
      <c r="U538" s="276"/>
      <c r="V538" s="276"/>
      <c r="W538" s="276"/>
      <c r="X538" s="276"/>
      <c r="Y538" s="276"/>
      <c r="Z538" s="276"/>
      <c r="AA538" s="276"/>
      <c r="AB538" s="276"/>
      <c r="AC538" s="276"/>
    </row>
    <row r="539">
      <c r="A539" s="108" t="s">
        <v>11619</v>
      </c>
      <c r="B539" s="173">
        <v>46363.0</v>
      </c>
      <c r="C539" s="374">
        <v>8.07000034464E11</v>
      </c>
      <c r="D539" s="374" t="s">
        <v>11620</v>
      </c>
      <c r="E539" s="374" t="s">
        <v>11621</v>
      </c>
      <c r="F539" s="177" t="s">
        <v>11622</v>
      </c>
      <c r="G539" s="176" t="s">
        <v>127</v>
      </c>
      <c r="H539" s="177">
        <v>4400.0</v>
      </c>
      <c r="I539" s="176">
        <v>125814.0</v>
      </c>
      <c r="J539" s="224" t="s">
        <v>9798</v>
      </c>
      <c r="K539" s="242">
        <v>2.0</v>
      </c>
      <c r="L539" s="124">
        <v>3.874466832E9</v>
      </c>
      <c r="N539" s="274">
        <v>46029.0</v>
      </c>
      <c r="O539" s="275" t="s">
        <v>9011</v>
      </c>
      <c r="P539" s="276"/>
      <c r="Q539" s="275" t="s">
        <v>13529</v>
      </c>
      <c r="R539" s="359" t="s">
        <v>13530</v>
      </c>
      <c r="S539" s="276"/>
      <c r="T539" s="276"/>
      <c r="U539" s="276"/>
      <c r="V539" s="276"/>
      <c r="W539" s="276"/>
      <c r="X539" s="276"/>
      <c r="Y539" s="276"/>
      <c r="Z539" s="276"/>
      <c r="AA539" s="276"/>
      <c r="AB539" s="276"/>
      <c r="AC539" s="276"/>
    </row>
    <row r="540">
      <c r="A540" s="108" t="s">
        <v>11619</v>
      </c>
      <c r="B540" s="173">
        <v>46363.0</v>
      </c>
      <c r="C540" s="374">
        <v>8.07000034464E11</v>
      </c>
      <c r="D540" s="374" t="s">
        <v>11620</v>
      </c>
      <c r="E540" s="374" t="s">
        <v>11621</v>
      </c>
      <c r="F540" s="177" t="s">
        <v>11622</v>
      </c>
      <c r="G540" s="176" t="s">
        <v>127</v>
      </c>
      <c r="H540" s="177">
        <v>4400.0</v>
      </c>
      <c r="I540" s="176">
        <v>203707.0</v>
      </c>
      <c r="J540" s="211" t="s">
        <v>2986</v>
      </c>
      <c r="K540" s="241">
        <v>1.0</v>
      </c>
      <c r="L540" s="124">
        <v>3.874466832E9</v>
      </c>
      <c r="P540" s="276"/>
      <c r="S540" s="276"/>
      <c r="T540" s="276"/>
      <c r="U540" s="276"/>
      <c r="V540" s="276"/>
      <c r="W540" s="276"/>
      <c r="X540" s="276"/>
      <c r="Y540" s="276"/>
      <c r="Z540" s="276"/>
      <c r="AA540" s="276"/>
      <c r="AB540" s="276"/>
      <c r="AC540" s="276"/>
    </row>
    <row r="541">
      <c r="A541" s="108" t="s">
        <v>11619</v>
      </c>
      <c r="B541" s="173">
        <v>46363.0</v>
      </c>
      <c r="C541" s="374">
        <v>8.07000034465E11</v>
      </c>
      <c r="D541" s="374" t="s">
        <v>11620</v>
      </c>
      <c r="E541" s="374" t="s">
        <v>11621</v>
      </c>
      <c r="F541" s="177" t="s">
        <v>11622</v>
      </c>
      <c r="G541" s="176" t="s">
        <v>127</v>
      </c>
      <c r="H541" s="177">
        <v>4400.0</v>
      </c>
      <c r="I541" s="176">
        <v>204210.0</v>
      </c>
      <c r="J541" s="224" t="s">
        <v>10068</v>
      </c>
      <c r="K541" s="242">
        <v>2.0</v>
      </c>
      <c r="L541" s="124">
        <v>3.874466832E9</v>
      </c>
      <c r="P541" s="276"/>
      <c r="S541" s="276"/>
      <c r="T541" s="276"/>
      <c r="U541" s="276"/>
      <c r="V541" s="276"/>
      <c r="W541" s="276"/>
      <c r="X541" s="276"/>
      <c r="Y541" s="276"/>
      <c r="Z541" s="276"/>
      <c r="AA541" s="276"/>
      <c r="AB541" s="276"/>
      <c r="AC541" s="276"/>
    </row>
    <row r="542">
      <c r="A542" s="108" t="s">
        <v>13531</v>
      </c>
      <c r="B542" s="173"/>
      <c r="C542" s="374"/>
      <c r="D542" s="374" t="s">
        <v>5523</v>
      </c>
      <c r="E542" s="374" t="s">
        <v>5524</v>
      </c>
      <c r="F542" s="177" t="s">
        <v>1877</v>
      </c>
      <c r="G542" s="176" t="s">
        <v>20</v>
      </c>
      <c r="H542" s="177">
        <v>4400.0</v>
      </c>
      <c r="I542" s="176">
        <v>125817.0</v>
      </c>
      <c r="J542" s="224" t="s">
        <v>13532</v>
      </c>
      <c r="K542" s="242">
        <v>2.0</v>
      </c>
      <c r="L542" s="124">
        <v>3.873641232E9</v>
      </c>
      <c r="N542" s="274">
        <v>46030.0</v>
      </c>
      <c r="O542" s="275" t="s">
        <v>9011</v>
      </c>
      <c r="P542" s="276"/>
      <c r="Q542" s="275" t="s">
        <v>9012</v>
      </c>
      <c r="R542" s="359" t="s">
        <v>13533</v>
      </c>
      <c r="S542" s="276"/>
      <c r="T542" s="276"/>
      <c r="U542" s="276"/>
      <c r="V542" s="276"/>
      <c r="W542" s="276"/>
      <c r="X542" s="276"/>
      <c r="Y542" s="276"/>
      <c r="Z542" s="276"/>
      <c r="AA542" s="276"/>
      <c r="AB542" s="276"/>
      <c r="AC542" s="276"/>
    </row>
    <row r="543">
      <c r="A543" s="108" t="s">
        <v>11623</v>
      </c>
      <c r="B543" s="173">
        <v>46030.0</v>
      </c>
      <c r="C543" s="374">
        <v>8.07000034413E11</v>
      </c>
      <c r="D543" s="374" t="s">
        <v>5523</v>
      </c>
      <c r="E543" s="374" t="s">
        <v>5524</v>
      </c>
      <c r="F543" s="177" t="s">
        <v>1877</v>
      </c>
      <c r="G543" s="176" t="s">
        <v>20</v>
      </c>
      <c r="H543" s="177" t="s">
        <v>1878</v>
      </c>
      <c r="I543" s="176">
        <v>125822.0</v>
      </c>
      <c r="J543" s="224" t="s">
        <v>6030</v>
      </c>
      <c r="K543" s="242">
        <v>2.0</v>
      </c>
      <c r="L543" s="124">
        <v>3.873641232E9</v>
      </c>
      <c r="N543" s="274">
        <v>46030.0</v>
      </c>
      <c r="O543" s="275" t="s">
        <v>9011</v>
      </c>
      <c r="P543" s="276"/>
      <c r="Q543" s="275" t="s">
        <v>9012</v>
      </c>
      <c r="R543" s="359" t="s">
        <v>13534</v>
      </c>
      <c r="S543" s="276"/>
      <c r="T543" s="276"/>
      <c r="U543" s="276"/>
      <c r="V543" s="276"/>
      <c r="W543" s="276"/>
      <c r="X543" s="276"/>
      <c r="Y543" s="276"/>
      <c r="Z543" s="276"/>
      <c r="AA543" s="276"/>
      <c r="AB543" s="276"/>
      <c r="AC543" s="276"/>
    </row>
    <row r="544">
      <c r="A544" s="108" t="s">
        <v>11623</v>
      </c>
      <c r="B544" s="173">
        <v>46030.0</v>
      </c>
      <c r="C544" s="374">
        <v>8.07000034413E11</v>
      </c>
      <c r="D544" s="374" t="s">
        <v>5523</v>
      </c>
      <c r="E544" s="374" t="s">
        <v>5524</v>
      </c>
      <c r="F544" s="177" t="s">
        <v>1877</v>
      </c>
      <c r="G544" s="176" t="s">
        <v>20</v>
      </c>
      <c r="H544" s="177" t="s">
        <v>1878</v>
      </c>
      <c r="I544" s="176">
        <v>208502.0</v>
      </c>
      <c r="J544" s="211" t="s">
        <v>4551</v>
      </c>
      <c r="K544" s="241">
        <v>2.0</v>
      </c>
      <c r="L544" s="124">
        <v>3.873641232E9</v>
      </c>
      <c r="P544" s="276"/>
      <c r="S544" s="276"/>
      <c r="T544" s="276"/>
      <c r="U544" s="276"/>
      <c r="V544" s="276"/>
      <c r="W544" s="276"/>
      <c r="X544" s="276"/>
      <c r="Y544" s="276"/>
      <c r="Z544" s="276"/>
      <c r="AA544" s="276"/>
      <c r="AB544" s="276"/>
      <c r="AC544" s="276"/>
    </row>
    <row r="545">
      <c r="A545" s="108" t="s">
        <v>11623</v>
      </c>
      <c r="B545" s="173">
        <v>46030.0</v>
      </c>
      <c r="C545" s="374">
        <v>8.07000034413E11</v>
      </c>
      <c r="D545" s="374" t="s">
        <v>5523</v>
      </c>
      <c r="E545" s="374" t="s">
        <v>5524</v>
      </c>
      <c r="F545" s="177" t="s">
        <v>1877</v>
      </c>
      <c r="G545" s="176" t="s">
        <v>20</v>
      </c>
      <c r="H545" s="177" t="s">
        <v>1878</v>
      </c>
      <c r="I545" s="176" t="s">
        <v>118</v>
      </c>
      <c r="J545" s="224" t="s">
        <v>4650</v>
      </c>
      <c r="K545" s="242">
        <v>1.0</v>
      </c>
      <c r="L545" s="124">
        <v>3.873641232E9</v>
      </c>
      <c r="P545" s="276"/>
      <c r="S545" s="276"/>
      <c r="T545" s="276"/>
      <c r="U545" s="276"/>
      <c r="V545" s="276"/>
      <c r="W545" s="276"/>
      <c r="X545" s="276"/>
      <c r="Y545" s="276"/>
      <c r="Z545" s="276"/>
      <c r="AA545" s="276"/>
      <c r="AB545" s="276"/>
      <c r="AC545" s="276"/>
    </row>
    <row r="546">
      <c r="A546" s="108" t="s">
        <v>11623</v>
      </c>
      <c r="B546" s="173">
        <v>46030.0</v>
      </c>
      <c r="C546" s="374">
        <v>8.07000034413E11</v>
      </c>
      <c r="D546" s="374" t="s">
        <v>5523</v>
      </c>
      <c r="E546" s="374" t="s">
        <v>5524</v>
      </c>
      <c r="F546" s="177" t="s">
        <v>1877</v>
      </c>
      <c r="G546" s="176" t="s">
        <v>20</v>
      </c>
      <c r="H546" s="177" t="s">
        <v>1878</v>
      </c>
      <c r="I546" s="176" t="s">
        <v>512</v>
      </c>
      <c r="J546" s="211" t="s">
        <v>513</v>
      </c>
      <c r="K546" s="241">
        <v>12.0</v>
      </c>
      <c r="L546" s="124">
        <v>3.873641232E9</v>
      </c>
      <c r="P546" s="276"/>
      <c r="S546" s="276"/>
      <c r="T546" s="276"/>
      <c r="U546" s="276"/>
      <c r="V546" s="276"/>
      <c r="W546" s="276"/>
      <c r="X546" s="276"/>
      <c r="Y546" s="276"/>
      <c r="Z546" s="276"/>
      <c r="AA546" s="276"/>
      <c r="AB546" s="276"/>
      <c r="AC546" s="276"/>
    </row>
    <row r="547">
      <c r="A547" s="108" t="s">
        <v>11623</v>
      </c>
      <c r="B547" s="173">
        <v>46030.0</v>
      </c>
      <c r="C547" s="374">
        <v>8.07000034414E11</v>
      </c>
      <c r="D547" s="374" t="s">
        <v>5523</v>
      </c>
      <c r="E547" s="374" t="s">
        <v>5524</v>
      </c>
      <c r="F547" s="177" t="s">
        <v>1877</v>
      </c>
      <c r="G547" s="176" t="s">
        <v>20</v>
      </c>
      <c r="H547" s="177" t="s">
        <v>1878</v>
      </c>
      <c r="I547" s="176" t="s">
        <v>121</v>
      </c>
      <c r="J547" s="224" t="s">
        <v>3199</v>
      </c>
      <c r="K547" s="242">
        <v>2.0</v>
      </c>
      <c r="L547" s="124">
        <v>3.873641232E9</v>
      </c>
      <c r="P547" s="276"/>
      <c r="S547" s="276"/>
      <c r="T547" s="276"/>
      <c r="U547" s="276"/>
      <c r="V547" s="276"/>
      <c r="W547" s="276"/>
      <c r="X547" s="276"/>
      <c r="Y547" s="276"/>
      <c r="Z547" s="276"/>
      <c r="AA547" s="276"/>
      <c r="AB547" s="276"/>
      <c r="AC547" s="276"/>
    </row>
    <row r="548">
      <c r="A548" s="108" t="s">
        <v>11623</v>
      </c>
      <c r="B548" s="173">
        <v>46030.0</v>
      </c>
      <c r="C548" s="374">
        <v>8.07000034415E11</v>
      </c>
      <c r="D548" s="374" t="s">
        <v>5523</v>
      </c>
      <c r="E548" s="374" t="s">
        <v>5524</v>
      </c>
      <c r="F548" s="177" t="s">
        <v>1877</v>
      </c>
      <c r="G548" s="176" t="s">
        <v>20</v>
      </c>
      <c r="H548" s="177" t="s">
        <v>1878</v>
      </c>
      <c r="I548" s="176" t="s">
        <v>670</v>
      </c>
      <c r="J548" s="211" t="s">
        <v>3410</v>
      </c>
      <c r="K548" s="241">
        <v>2.0</v>
      </c>
      <c r="L548" s="124">
        <v>3.873641232E9</v>
      </c>
      <c r="P548" s="276"/>
      <c r="S548" s="276"/>
      <c r="T548" s="276"/>
      <c r="U548" s="276"/>
      <c r="V548" s="276"/>
      <c r="W548" s="276"/>
      <c r="X548" s="276"/>
      <c r="Y548" s="276"/>
      <c r="Z548" s="276"/>
      <c r="AA548" s="276"/>
      <c r="AB548" s="276"/>
      <c r="AC548" s="276"/>
    </row>
    <row r="549">
      <c r="A549" s="108" t="s">
        <v>11624</v>
      </c>
      <c r="B549" s="173">
        <v>46030.0</v>
      </c>
      <c r="C549" s="374">
        <v>8.07000034438E11</v>
      </c>
      <c r="D549" s="374" t="s">
        <v>11625</v>
      </c>
      <c r="E549" s="374" t="s">
        <v>11626</v>
      </c>
      <c r="F549" s="177" t="s">
        <v>11627</v>
      </c>
      <c r="G549" s="176" t="s">
        <v>127</v>
      </c>
      <c r="H549" s="177">
        <v>4400.0</v>
      </c>
      <c r="I549" s="176" t="s">
        <v>4976</v>
      </c>
      <c r="J549" s="211" t="s">
        <v>4977</v>
      </c>
      <c r="K549" s="241">
        <v>1.0</v>
      </c>
      <c r="L549" s="124">
        <v>3.875356927E9</v>
      </c>
      <c r="N549" s="274">
        <v>46030.0</v>
      </c>
      <c r="O549" s="275" t="s">
        <v>9011</v>
      </c>
      <c r="P549" s="276"/>
      <c r="Q549" s="275" t="s">
        <v>13535</v>
      </c>
      <c r="R549" s="359" t="s">
        <v>13536</v>
      </c>
      <c r="S549" s="276"/>
      <c r="T549" s="276"/>
      <c r="U549" s="276"/>
      <c r="V549" s="276"/>
      <c r="W549" s="276"/>
      <c r="X549" s="276"/>
      <c r="Y549" s="276"/>
      <c r="Z549" s="276"/>
      <c r="AA549" s="276"/>
      <c r="AB549" s="276"/>
      <c r="AC549" s="276"/>
    </row>
    <row r="550">
      <c r="A550" s="108" t="s">
        <v>11628</v>
      </c>
      <c r="B550" s="173">
        <v>46030.0</v>
      </c>
      <c r="C550" s="374">
        <v>8.07000034486E11</v>
      </c>
      <c r="D550" s="374" t="s">
        <v>11629</v>
      </c>
      <c r="E550" s="374" t="s">
        <v>11630</v>
      </c>
      <c r="F550" s="177" t="s">
        <v>11631</v>
      </c>
      <c r="G550" s="176" t="s">
        <v>127</v>
      </c>
      <c r="H550" s="177">
        <v>4400.0</v>
      </c>
      <c r="I550" s="176" t="s">
        <v>3131</v>
      </c>
      <c r="J550" s="224" t="s">
        <v>3416</v>
      </c>
      <c r="K550" s="242">
        <v>1.0</v>
      </c>
      <c r="L550" s="124">
        <v>3.87215233E9</v>
      </c>
      <c r="N550" s="274">
        <v>46030.0</v>
      </c>
      <c r="O550" s="275" t="s">
        <v>9011</v>
      </c>
      <c r="P550" s="276"/>
      <c r="Q550" s="275" t="s">
        <v>13537</v>
      </c>
      <c r="R550" s="359" t="s">
        <v>13538</v>
      </c>
      <c r="S550" s="276"/>
      <c r="T550" s="276"/>
      <c r="U550" s="276"/>
      <c r="V550" s="276"/>
      <c r="W550" s="276"/>
      <c r="X550" s="276"/>
      <c r="Y550" s="276"/>
      <c r="Z550" s="276"/>
      <c r="AA550" s="276"/>
      <c r="AB550" s="276"/>
      <c r="AC550" s="276"/>
    </row>
    <row r="551">
      <c r="A551" s="108" t="s">
        <v>11632</v>
      </c>
      <c r="B551" s="173">
        <v>46030.0</v>
      </c>
      <c r="C551" s="374">
        <v>8.07000034494E11</v>
      </c>
      <c r="D551" s="374" t="s">
        <v>11633</v>
      </c>
      <c r="E551" s="374" t="s">
        <v>1260</v>
      </c>
      <c r="F551" s="177" t="s">
        <v>11634</v>
      </c>
      <c r="G551" s="176" t="s">
        <v>127</v>
      </c>
      <c r="H551" s="177">
        <v>4400.0</v>
      </c>
      <c r="I551" s="176" t="s">
        <v>3285</v>
      </c>
      <c r="J551" s="224" t="s">
        <v>3286</v>
      </c>
      <c r="K551" s="242">
        <v>1.0</v>
      </c>
      <c r="L551" s="124">
        <v>3.876109272E9</v>
      </c>
      <c r="N551" s="274">
        <v>46030.0</v>
      </c>
      <c r="O551" s="275" t="s">
        <v>9011</v>
      </c>
      <c r="P551" s="276"/>
      <c r="Q551" s="275" t="s">
        <v>9012</v>
      </c>
      <c r="R551" s="359" t="s">
        <v>13539</v>
      </c>
      <c r="S551" s="276"/>
      <c r="T551" s="276"/>
      <c r="U551" s="276"/>
      <c r="V551" s="276"/>
      <c r="W551" s="276"/>
      <c r="X551" s="276"/>
      <c r="Y551" s="276"/>
      <c r="Z551" s="276"/>
      <c r="AA551" s="276"/>
      <c r="AB551" s="276"/>
      <c r="AC551" s="276"/>
    </row>
    <row r="552">
      <c r="A552" s="108" t="s">
        <v>11635</v>
      </c>
      <c r="B552" s="173">
        <v>46030.0</v>
      </c>
      <c r="C552" s="374">
        <v>8.07000034501E11</v>
      </c>
      <c r="D552" s="374" t="s">
        <v>11636</v>
      </c>
      <c r="E552" s="374" t="s">
        <v>11637</v>
      </c>
      <c r="F552" s="177" t="s">
        <v>11638</v>
      </c>
      <c r="G552" s="176" t="s">
        <v>127</v>
      </c>
      <c r="H552" s="177">
        <v>4400.0</v>
      </c>
      <c r="I552" s="176" t="s">
        <v>1379</v>
      </c>
      <c r="J552" s="211" t="s">
        <v>7653</v>
      </c>
      <c r="K552" s="241">
        <v>1.0</v>
      </c>
      <c r="L552" s="124">
        <v>3.874874695E9</v>
      </c>
      <c r="N552" s="274">
        <v>46030.0</v>
      </c>
      <c r="O552" s="275" t="s">
        <v>9011</v>
      </c>
      <c r="P552" s="276"/>
      <c r="Q552" s="275" t="s">
        <v>9012</v>
      </c>
      <c r="R552" s="359" t="s">
        <v>13540</v>
      </c>
      <c r="S552" s="276"/>
      <c r="T552" s="276"/>
      <c r="U552" s="276"/>
      <c r="V552" s="276"/>
      <c r="W552" s="276"/>
      <c r="X552" s="276"/>
      <c r="Y552" s="276"/>
      <c r="Z552" s="276"/>
      <c r="AA552" s="276"/>
      <c r="AB552" s="276"/>
      <c r="AC552" s="276"/>
    </row>
    <row r="553">
      <c r="A553" s="108" t="s">
        <v>11639</v>
      </c>
      <c r="B553" s="173">
        <v>46030.0</v>
      </c>
      <c r="C553" s="374">
        <v>8.07000034505E11</v>
      </c>
      <c r="D553" s="374" t="s">
        <v>11640</v>
      </c>
      <c r="E553" s="374" t="s">
        <v>11641</v>
      </c>
      <c r="F553" s="177" t="s">
        <v>11642</v>
      </c>
      <c r="G553" s="176" t="s">
        <v>127</v>
      </c>
      <c r="H553" s="177">
        <v>4400.0</v>
      </c>
      <c r="I553" s="176">
        <v>125817.0</v>
      </c>
      <c r="J553" s="224" t="s">
        <v>10650</v>
      </c>
      <c r="K553" s="242">
        <v>2.0</v>
      </c>
      <c r="L553" s="124">
        <v>3.874048305E9</v>
      </c>
      <c r="N553" s="274">
        <v>46030.0</v>
      </c>
      <c r="O553" s="275" t="s">
        <v>9011</v>
      </c>
      <c r="P553" s="276"/>
      <c r="Q553" s="275" t="s">
        <v>13541</v>
      </c>
      <c r="R553" s="359" t="s">
        <v>13542</v>
      </c>
      <c r="S553" s="276"/>
      <c r="T553" s="276"/>
      <c r="U553" s="276"/>
      <c r="V553" s="276"/>
      <c r="W553" s="276"/>
      <c r="X553" s="276"/>
      <c r="Y553" s="276"/>
      <c r="Z553" s="276"/>
      <c r="AA553" s="276"/>
      <c r="AB553" s="276"/>
      <c r="AC553" s="276"/>
    </row>
    <row r="554">
      <c r="A554" s="108" t="s">
        <v>11639</v>
      </c>
      <c r="B554" s="173">
        <v>46030.0</v>
      </c>
      <c r="C554" s="374">
        <v>8.07000034505E11</v>
      </c>
      <c r="D554" s="374" t="s">
        <v>11640</v>
      </c>
      <c r="E554" s="374" t="s">
        <v>11641</v>
      </c>
      <c r="F554" s="177" t="s">
        <v>11642</v>
      </c>
      <c r="G554" s="176" t="s">
        <v>127</v>
      </c>
      <c r="H554" s="177">
        <v>4400.0</v>
      </c>
      <c r="I554" s="176" t="s">
        <v>512</v>
      </c>
      <c r="J554" s="211" t="s">
        <v>513</v>
      </c>
      <c r="K554" s="241">
        <v>12.0</v>
      </c>
      <c r="L554" s="124">
        <v>3.874048305E9</v>
      </c>
      <c r="P554" s="276"/>
      <c r="S554" s="276"/>
      <c r="T554" s="276"/>
      <c r="U554" s="276"/>
      <c r="V554" s="276"/>
      <c r="W554" s="276"/>
      <c r="X554" s="276"/>
      <c r="Y554" s="276"/>
      <c r="Z554" s="276"/>
      <c r="AA554" s="276"/>
      <c r="AB554" s="276"/>
      <c r="AC554" s="276"/>
    </row>
    <row r="555">
      <c r="A555" s="108" t="s">
        <v>11639</v>
      </c>
      <c r="B555" s="173">
        <v>46030.0</v>
      </c>
      <c r="C555" s="374">
        <v>8.07000034506E11</v>
      </c>
      <c r="D555" s="374" t="s">
        <v>11640</v>
      </c>
      <c r="E555" s="374" t="s">
        <v>11641</v>
      </c>
      <c r="F555" s="177" t="s">
        <v>11642</v>
      </c>
      <c r="G555" s="176" t="s">
        <v>127</v>
      </c>
      <c r="H555" s="177">
        <v>4400.0</v>
      </c>
      <c r="I555" s="176" t="s">
        <v>118</v>
      </c>
      <c r="J555" s="224" t="s">
        <v>4650</v>
      </c>
      <c r="K555" s="242">
        <v>1.0</v>
      </c>
      <c r="L555" s="124">
        <v>3.874048305E9</v>
      </c>
      <c r="P555" s="276"/>
      <c r="S555" s="276"/>
      <c r="T555" s="276"/>
      <c r="U555" s="276"/>
      <c r="V555" s="276"/>
      <c r="W555" s="276"/>
      <c r="X555" s="276"/>
      <c r="Y555" s="276"/>
      <c r="Z555" s="276"/>
      <c r="AA555" s="276"/>
      <c r="AB555" s="276"/>
      <c r="AC555" s="276"/>
    </row>
    <row r="556">
      <c r="A556" s="108" t="s">
        <v>11639</v>
      </c>
      <c r="B556" s="173">
        <v>46030.0</v>
      </c>
      <c r="C556" s="374">
        <v>8.07000034506E11</v>
      </c>
      <c r="D556" s="374" t="s">
        <v>11640</v>
      </c>
      <c r="E556" s="374" t="s">
        <v>11641</v>
      </c>
      <c r="F556" s="177" t="s">
        <v>11642</v>
      </c>
      <c r="G556" s="176" t="s">
        <v>127</v>
      </c>
      <c r="H556" s="177">
        <v>4400.0</v>
      </c>
      <c r="I556" s="176" t="s">
        <v>121</v>
      </c>
      <c r="J556" s="211" t="s">
        <v>3199</v>
      </c>
      <c r="K556" s="241">
        <v>2.0</v>
      </c>
      <c r="L556" s="124">
        <v>3.874048305E9</v>
      </c>
      <c r="P556" s="276"/>
      <c r="S556" s="276"/>
      <c r="T556" s="276"/>
      <c r="U556" s="276"/>
      <c r="V556" s="276"/>
      <c r="W556" s="276"/>
      <c r="X556" s="276"/>
      <c r="Y556" s="276"/>
      <c r="Z556" s="276"/>
      <c r="AA556" s="276"/>
      <c r="AB556" s="276"/>
      <c r="AC556" s="276"/>
    </row>
    <row r="557">
      <c r="A557" s="108" t="s">
        <v>11643</v>
      </c>
      <c r="B557" s="173">
        <v>46031.0</v>
      </c>
      <c r="C557" s="374">
        <v>8.07000034372E11</v>
      </c>
      <c r="D557" s="374" t="s">
        <v>5510</v>
      </c>
      <c r="E557" s="374" t="s">
        <v>5511</v>
      </c>
      <c r="F557" s="177" t="s">
        <v>11644</v>
      </c>
      <c r="G557" s="176" t="s">
        <v>5513</v>
      </c>
      <c r="H557" s="177">
        <v>4421.0</v>
      </c>
      <c r="I557" s="176">
        <v>125822.0</v>
      </c>
      <c r="J557" s="224" t="s">
        <v>6030</v>
      </c>
      <c r="K557" s="242">
        <v>2.0</v>
      </c>
      <c r="L557" s="124">
        <v>3.875372268E9</v>
      </c>
      <c r="N557" s="274">
        <v>46031.0</v>
      </c>
      <c r="O557" s="275" t="s">
        <v>9011</v>
      </c>
      <c r="P557" s="276"/>
      <c r="Q557" s="275" t="s">
        <v>9012</v>
      </c>
      <c r="R557" s="359" t="s">
        <v>13543</v>
      </c>
      <c r="S557" s="276"/>
      <c r="T557" s="276"/>
      <c r="U557" s="276"/>
      <c r="V557" s="276"/>
      <c r="W557" s="276"/>
      <c r="X557" s="276"/>
      <c r="Y557" s="276"/>
      <c r="Z557" s="276"/>
      <c r="AA557" s="276"/>
      <c r="AB557" s="276"/>
      <c r="AC557" s="276"/>
    </row>
    <row r="558">
      <c r="A558" s="108" t="s">
        <v>11643</v>
      </c>
      <c r="B558" s="173">
        <v>46031.0</v>
      </c>
      <c r="C558" s="374">
        <v>8.07000034373E11</v>
      </c>
      <c r="D558" s="374" t="s">
        <v>5510</v>
      </c>
      <c r="E558" s="374" t="s">
        <v>5511</v>
      </c>
      <c r="F558" s="177" t="s">
        <v>11644</v>
      </c>
      <c r="G558" s="176" t="s">
        <v>5513</v>
      </c>
      <c r="H558" s="177">
        <v>4421.0</v>
      </c>
      <c r="I558" s="176" t="s">
        <v>8532</v>
      </c>
      <c r="J558" s="211" t="s">
        <v>8533</v>
      </c>
      <c r="K558" s="241">
        <v>1.0</v>
      </c>
      <c r="L558" s="124">
        <v>3.875372268E9</v>
      </c>
      <c r="P558" s="276"/>
      <c r="S558" s="276"/>
      <c r="T558" s="276"/>
      <c r="U558" s="276"/>
      <c r="V558" s="276"/>
      <c r="W558" s="276"/>
      <c r="X558" s="276"/>
      <c r="Y558" s="276"/>
      <c r="Z558" s="276"/>
      <c r="AA558" s="276"/>
      <c r="AB558" s="276"/>
      <c r="AC558" s="276"/>
    </row>
    <row r="559">
      <c r="A559" s="108" t="s">
        <v>11643</v>
      </c>
      <c r="B559" s="173">
        <v>46031.0</v>
      </c>
      <c r="C559" s="374">
        <v>8.07000034375E11</v>
      </c>
      <c r="D559" s="374" t="s">
        <v>5510</v>
      </c>
      <c r="E559" s="374" t="s">
        <v>5511</v>
      </c>
      <c r="F559" s="177" t="s">
        <v>11644</v>
      </c>
      <c r="G559" s="176" t="s">
        <v>5513</v>
      </c>
      <c r="H559" s="177">
        <v>4421.0</v>
      </c>
      <c r="I559" s="176" t="s">
        <v>2031</v>
      </c>
      <c r="J559" s="224" t="s">
        <v>3348</v>
      </c>
      <c r="K559" s="242">
        <v>1.0</v>
      </c>
      <c r="L559" s="124">
        <v>3.875372268E9</v>
      </c>
      <c r="P559" s="276"/>
      <c r="S559" s="276"/>
      <c r="T559" s="276"/>
      <c r="U559" s="276"/>
      <c r="V559" s="276"/>
      <c r="W559" s="276"/>
      <c r="X559" s="276"/>
      <c r="Y559" s="276"/>
      <c r="Z559" s="276"/>
      <c r="AA559" s="276"/>
      <c r="AB559" s="276"/>
      <c r="AC559" s="276"/>
    </row>
    <row r="560">
      <c r="A560" s="108" t="s">
        <v>11645</v>
      </c>
      <c r="B560" s="173">
        <v>46031.0</v>
      </c>
      <c r="C560" s="374">
        <v>8.07000034397E11</v>
      </c>
      <c r="D560" s="374" t="s">
        <v>11646</v>
      </c>
      <c r="E560" s="374" t="s">
        <v>11647</v>
      </c>
      <c r="F560" s="177" t="s">
        <v>11648</v>
      </c>
      <c r="G560" s="176" t="s">
        <v>2940</v>
      </c>
      <c r="H560" s="177">
        <v>4421.0</v>
      </c>
      <c r="I560" s="176" t="s">
        <v>3054</v>
      </c>
      <c r="J560" s="211" t="s">
        <v>3346</v>
      </c>
      <c r="K560" s="241">
        <v>1.0</v>
      </c>
      <c r="L560" s="124">
        <v>3.87483719E9</v>
      </c>
      <c r="N560" s="274">
        <v>46031.0</v>
      </c>
      <c r="O560" s="275" t="s">
        <v>9011</v>
      </c>
      <c r="P560" s="276"/>
      <c r="Q560" s="275" t="s">
        <v>13544</v>
      </c>
      <c r="R560" s="359" t="s">
        <v>13545</v>
      </c>
      <c r="S560" s="276"/>
      <c r="T560" s="276"/>
      <c r="U560" s="276"/>
      <c r="V560" s="276"/>
      <c r="W560" s="276"/>
      <c r="X560" s="276"/>
      <c r="Y560" s="276"/>
      <c r="Z560" s="276"/>
      <c r="AA560" s="276"/>
      <c r="AB560" s="276"/>
      <c r="AC560" s="276"/>
    </row>
    <row r="561">
      <c r="A561" s="108" t="s">
        <v>11649</v>
      </c>
      <c r="B561" s="173">
        <v>46031.0</v>
      </c>
      <c r="C561" s="374">
        <v>8.07000034491E11</v>
      </c>
      <c r="D561" s="374" t="s">
        <v>11650</v>
      </c>
      <c r="E561" s="374" t="s">
        <v>11651</v>
      </c>
      <c r="F561" s="177" t="s">
        <v>11652</v>
      </c>
      <c r="G561" s="176" t="s">
        <v>1885</v>
      </c>
      <c r="H561" s="108"/>
      <c r="I561" s="176">
        <v>125822.0</v>
      </c>
      <c r="J561" s="211" t="s">
        <v>6030</v>
      </c>
      <c r="K561" s="241">
        <v>2.0</v>
      </c>
      <c r="L561" s="124">
        <v>3.875653407E9</v>
      </c>
      <c r="N561" s="274">
        <v>46031.0</v>
      </c>
      <c r="O561" s="275" t="s">
        <v>9011</v>
      </c>
      <c r="P561" s="276"/>
      <c r="Q561" s="275" t="s">
        <v>9012</v>
      </c>
      <c r="R561" s="359" t="s">
        <v>13546</v>
      </c>
      <c r="S561" s="276"/>
      <c r="T561" s="276"/>
      <c r="U561" s="276"/>
      <c r="V561" s="276"/>
      <c r="W561" s="276"/>
      <c r="X561" s="276"/>
      <c r="Y561" s="276"/>
      <c r="Z561" s="276"/>
      <c r="AA561" s="276"/>
      <c r="AB561" s="276"/>
      <c r="AC561" s="276"/>
    </row>
    <row r="562">
      <c r="A562" s="108" t="s">
        <v>11649</v>
      </c>
      <c r="B562" s="173">
        <v>46031.0</v>
      </c>
      <c r="C562" s="374">
        <v>8.07000034492E11</v>
      </c>
      <c r="D562" s="374" t="s">
        <v>11650</v>
      </c>
      <c r="E562" s="374" t="s">
        <v>11651</v>
      </c>
      <c r="F562" s="177" t="s">
        <v>11652</v>
      </c>
      <c r="G562" s="176" t="s">
        <v>1885</v>
      </c>
      <c r="H562" s="108"/>
      <c r="I562" s="176" t="s">
        <v>3451</v>
      </c>
      <c r="J562" s="224" t="s">
        <v>3452</v>
      </c>
      <c r="K562" s="242">
        <v>1.0</v>
      </c>
      <c r="L562" s="124">
        <v>3.875653407E9</v>
      </c>
      <c r="P562" s="276"/>
      <c r="S562" s="276"/>
      <c r="T562" s="276"/>
      <c r="U562" s="276"/>
      <c r="V562" s="276"/>
      <c r="W562" s="276"/>
      <c r="X562" s="276"/>
      <c r="Y562" s="276"/>
      <c r="Z562" s="276"/>
      <c r="AA562" s="276"/>
      <c r="AB562" s="276"/>
      <c r="AC562" s="276"/>
    </row>
    <row r="563">
      <c r="A563" s="108" t="s">
        <v>11649</v>
      </c>
      <c r="B563" s="173">
        <v>46031.0</v>
      </c>
      <c r="C563" s="374">
        <v>8.07000034492E11</v>
      </c>
      <c r="D563" s="374" t="s">
        <v>11650</v>
      </c>
      <c r="E563" s="374" t="s">
        <v>11651</v>
      </c>
      <c r="F563" s="177" t="s">
        <v>11652</v>
      </c>
      <c r="G563" s="176" t="s">
        <v>1885</v>
      </c>
      <c r="H563" s="108"/>
      <c r="I563" s="176" t="s">
        <v>512</v>
      </c>
      <c r="J563" s="211" t="s">
        <v>513</v>
      </c>
      <c r="K563" s="241">
        <v>6.0</v>
      </c>
      <c r="L563" s="124">
        <v>3.875653407E9</v>
      </c>
      <c r="P563" s="276"/>
      <c r="S563" s="276"/>
      <c r="T563" s="276"/>
      <c r="U563" s="276"/>
      <c r="V563" s="276"/>
      <c r="W563" s="276"/>
      <c r="X563" s="276"/>
      <c r="Y563" s="276"/>
      <c r="Z563" s="276"/>
      <c r="AA563" s="276"/>
      <c r="AB563" s="276"/>
      <c r="AC563" s="276"/>
    </row>
    <row r="564">
      <c r="A564" s="108" t="s">
        <v>11649</v>
      </c>
      <c r="B564" s="173">
        <v>46031.0</v>
      </c>
      <c r="C564" s="374">
        <v>8.07000034492E11</v>
      </c>
      <c r="D564" s="374" t="s">
        <v>11650</v>
      </c>
      <c r="E564" s="374" t="s">
        <v>11651</v>
      </c>
      <c r="F564" s="177" t="s">
        <v>11652</v>
      </c>
      <c r="G564" s="176" t="s">
        <v>1885</v>
      </c>
      <c r="H564" s="108"/>
      <c r="I564" s="176" t="s">
        <v>670</v>
      </c>
      <c r="J564" s="224" t="s">
        <v>3410</v>
      </c>
      <c r="K564" s="242">
        <v>1.0</v>
      </c>
      <c r="L564" s="124">
        <v>3.875653407E9</v>
      </c>
      <c r="P564" s="276"/>
      <c r="S564" s="276"/>
      <c r="T564" s="276"/>
      <c r="U564" s="276"/>
      <c r="V564" s="276"/>
      <c r="W564" s="276"/>
      <c r="X564" s="276"/>
      <c r="Y564" s="276"/>
      <c r="Z564" s="276"/>
      <c r="AA564" s="276"/>
      <c r="AB564" s="276"/>
      <c r="AC564" s="276"/>
    </row>
    <row r="565">
      <c r="A565" s="108" t="s">
        <v>11653</v>
      </c>
      <c r="B565" s="173">
        <v>46031.0</v>
      </c>
      <c r="C565" s="374">
        <v>8.07000034507E11</v>
      </c>
      <c r="D565" s="374" t="s">
        <v>11654</v>
      </c>
      <c r="E565" s="374" t="s">
        <v>11655</v>
      </c>
      <c r="F565" s="177" t="s">
        <v>11656</v>
      </c>
      <c r="G565" s="176" t="s">
        <v>1986</v>
      </c>
      <c r="H565" s="177">
        <v>4400.0</v>
      </c>
      <c r="I565" s="176" t="s">
        <v>9389</v>
      </c>
      <c r="J565" s="211" t="s">
        <v>9390</v>
      </c>
      <c r="K565" s="241">
        <v>1.0</v>
      </c>
      <c r="L565" s="124">
        <v>3.874677492E9</v>
      </c>
      <c r="N565" s="274">
        <v>46031.0</v>
      </c>
      <c r="O565" s="275" t="s">
        <v>9011</v>
      </c>
      <c r="P565" s="276"/>
      <c r="Q565" s="275" t="s">
        <v>13547</v>
      </c>
      <c r="R565" s="359" t="s">
        <v>13548</v>
      </c>
      <c r="S565" s="276"/>
      <c r="T565" s="276"/>
      <c r="U565" s="276"/>
      <c r="V565" s="276"/>
      <c r="W565" s="276"/>
      <c r="X565" s="276"/>
      <c r="Y565" s="276"/>
      <c r="Z565" s="276"/>
      <c r="AA565" s="276"/>
      <c r="AB565" s="276"/>
      <c r="AC565" s="276"/>
    </row>
    <row r="566">
      <c r="A566" s="108" t="s">
        <v>11657</v>
      </c>
      <c r="B566" s="173">
        <v>46031.0</v>
      </c>
      <c r="C566" s="374">
        <v>8.07000034479E11</v>
      </c>
      <c r="D566" s="374" t="s">
        <v>11658</v>
      </c>
      <c r="E566" s="374" t="s">
        <v>11659</v>
      </c>
      <c r="F566" s="145" t="s">
        <v>11660</v>
      </c>
      <c r="G566" s="108" t="s">
        <v>104</v>
      </c>
      <c r="H566" s="108">
        <v>4400.0</v>
      </c>
      <c r="I566" s="176" t="s">
        <v>8532</v>
      </c>
      <c r="J566" s="224" t="s">
        <v>8533</v>
      </c>
      <c r="K566" s="242">
        <v>1.0</v>
      </c>
      <c r="L566" s="124">
        <v>3.875554114E9</v>
      </c>
      <c r="N566" s="274">
        <v>46031.0</v>
      </c>
      <c r="O566" s="275" t="s">
        <v>9011</v>
      </c>
      <c r="P566" s="276"/>
      <c r="Q566" s="275" t="s">
        <v>9012</v>
      </c>
      <c r="R566" s="359" t="s">
        <v>13549</v>
      </c>
      <c r="S566" s="276"/>
      <c r="T566" s="276"/>
      <c r="U566" s="276"/>
      <c r="V566" s="276"/>
      <c r="W566" s="276"/>
      <c r="X566" s="276"/>
      <c r="Y566" s="276"/>
      <c r="Z566" s="276"/>
      <c r="AA566" s="276"/>
      <c r="AB566" s="276"/>
      <c r="AC566" s="276"/>
    </row>
    <row r="567">
      <c r="A567" s="108" t="s">
        <v>11661</v>
      </c>
      <c r="B567" s="173">
        <v>46031.0</v>
      </c>
      <c r="C567" s="374">
        <v>8.07000034482E11</v>
      </c>
      <c r="D567" s="374" t="s">
        <v>11662</v>
      </c>
      <c r="E567" s="374" t="s">
        <v>11663</v>
      </c>
      <c r="F567" s="145" t="s">
        <v>11664</v>
      </c>
      <c r="G567" s="108" t="s">
        <v>104</v>
      </c>
      <c r="H567" s="108">
        <v>4400.0</v>
      </c>
      <c r="I567" s="176" t="s">
        <v>2956</v>
      </c>
      <c r="J567" s="211" t="s">
        <v>3327</v>
      </c>
      <c r="K567" s="241">
        <v>1.0</v>
      </c>
      <c r="L567" s="124">
        <v>3.874023377E9</v>
      </c>
      <c r="N567" s="274">
        <v>46031.0</v>
      </c>
      <c r="O567" s="275" t="s">
        <v>9011</v>
      </c>
      <c r="P567" s="276"/>
      <c r="Q567" s="275" t="s">
        <v>9012</v>
      </c>
      <c r="R567" s="359" t="s">
        <v>13550</v>
      </c>
      <c r="S567" s="276"/>
      <c r="T567" s="276"/>
      <c r="U567" s="276"/>
      <c r="V567" s="276"/>
      <c r="W567" s="276"/>
      <c r="X567" s="276"/>
      <c r="Y567" s="276"/>
      <c r="Z567" s="276"/>
      <c r="AA567" s="276"/>
      <c r="AB567" s="276"/>
      <c r="AC567" s="276"/>
    </row>
    <row r="568">
      <c r="A568" s="108" t="s">
        <v>11665</v>
      </c>
      <c r="B568" s="173">
        <v>46031.0</v>
      </c>
      <c r="C568" s="374">
        <v>8.07000034514E11</v>
      </c>
      <c r="D568" s="374" t="s">
        <v>11666</v>
      </c>
      <c r="E568" s="374" t="s">
        <v>11667</v>
      </c>
      <c r="F568" s="177" t="s">
        <v>11668</v>
      </c>
      <c r="G568" s="176" t="s">
        <v>127</v>
      </c>
      <c r="H568" s="177">
        <v>4400.0</v>
      </c>
      <c r="I568" s="176">
        <v>125808.0</v>
      </c>
      <c r="J568" s="211" t="s">
        <v>7199</v>
      </c>
      <c r="K568" s="241">
        <v>2.0</v>
      </c>
      <c r="L568" s="124">
        <v>2.966210483E9</v>
      </c>
      <c r="N568" s="274">
        <v>46031.0</v>
      </c>
      <c r="O568" s="275" t="s">
        <v>9011</v>
      </c>
      <c r="P568" s="276"/>
      <c r="Q568" s="275" t="s">
        <v>13551</v>
      </c>
      <c r="R568" s="359" t="s">
        <v>13552</v>
      </c>
      <c r="S568" s="276"/>
      <c r="T568" s="276"/>
      <c r="U568" s="276"/>
      <c r="V568" s="276"/>
      <c r="W568" s="276"/>
      <c r="X568" s="276"/>
      <c r="Y568" s="276"/>
      <c r="Z568" s="276"/>
      <c r="AA568" s="276"/>
      <c r="AB568" s="276"/>
      <c r="AC568" s="276"/>
    </row>
    <row r="569">
      <c r="A569" s="108" t="s">
        <v>11665</v>
      </c>
      <c r="B569" s="173">
        <v>46031.0</v>
      </c>
      <c r="C569" s="374">
        <v>8.07000034514E11</v>
      </c>
      <c r="D569" s="374" t="s">
        <v>11666</v>
      </c>
      <c r="E569" s="374" t="s">
        <v>11667</v>
      </c>
      <c r="F569" s="177" t="s">
        <v>11668</v>
      </c>
      <c r="G569" s="176" t="s">
        <v>127</v>
      </c>
      <c r="H569" s="177">
        <v>4400.0</v>
      </c>
      <c r="I569" s="176">
        <v>125817.0</v>
      </c>
      <c r="J569" s="224" t="s">
        <v>10650</v>
      </c>
      <c r="K569" s="242">
        <v>2.0</v>
      </c>
      <c r="L569" s="124">
        <v>2.966210483E9</v>
      </c>
      <c r="P569" s="276"/>
      <c r="S569" s="276"/>
      <c r="T569" s="276"/>
      <c r="U569" s="276"/>
      <c r="V569" s="276"/>
      <c r="W569" s="276"/>
      <c r="X569" s="276"/>
      <c r="Y569" s="276"/>
      <c r="Z569" s="276"/>
      <c r="AA569" s="276"/>
      <c r="AB569" s="276"/>
      <c r="AC569" s="276"/>
    </row>
    <row r="570">
      <c r="A570" s="108" t="s">
        <v>11665</v>
      </c>
      <c r="B570" s="173">
        <v>46031.0</v>
      </c>
      <c r="C570" s="374">
        <v>8.07000034514E11</v>
      </c>
      <c r="D570" s="374" t="s">
        <v>11666</v>
      </c>
      <c r="E570" s="374" t="s">
        <v>11667</v>
      </c>
      <c r="F570" s="177" t="s">
        <v>11668</v>
      </c>
      <c r="G570" s="176" t="s">
        <v>127</v>
      </c>
      <c r="H570" s="177">
        <v>4400.0</v>
      </c>
      <c r="I570" s="176" t="s">
        <v>512</v>
      </c>
      <c r="J570" s="211" t="s">
        <v>513</v>
      </c>
      <c r="K570" s="241">
        <v>12.0</v>
      </c>
      <c r="L570" s="124">
        <v>2.966210483E9</v>
      </c>
      <c r="P570" s="276"/>
      <c r="S570" s="276"/>
      <c r="T570" s="276"/>
      <c r="U570" s="276"/>
      <c r="V570" s="276"/>
      <c r="W570" s="276"/>
      <c r="X570" s="276"/>
      <c r="Y570" s="276"/>
      <c r="Z570" s="276"/>
      <c r="AA570" s="276"/>
      <c r="AB570" s="276"/>
      <c r="AC570" s="276"/>
    </row>
    <row r="571">
      <c r="A571" s="108" t="s">
        <v>11665</v>
      </c>
      <c r="B571" s="173">
        <v>46031.0</v>
      </c>
      <c r="C571" s="374">
        <v>8.07000034515E11</v>
      </c>
      <c r="D571" s="374" t="s">
        <v>11666</v>
      </c>
      <c r="E571" s="374" t="s">
        <v>11667</v>
      </c>
      <c r="F571" s="177" t="s">
        <v>11668</v>
      </c>
      <c r="G571" s="176" t="s">
        <v>127</v>
      </c>
      <c r="H571" s="177">
        <v>4400.0</v>
      </c>
      <c r="I571" s="176" t="s">
        <v>2397</v>
      </c>
      <c r="J571" s="224" t="s">
        <v>5040</v>
      </c>
      <c r="K571" s="242">
        <v>1.0</v>
      </c>
      <c r="L571" s="124">
        <v>2.966210483E9</v>
      </c>
      <c r="P571" s="276"/>
      <c r="S571" s="276"/>
      <c r="T571" s="276"/>
      <c r="U571" s="276"/>
      <c r="V571" s="276"/>
      <c r="W571" s="276"/>
      <c r="X571" s="276"/>
      <c r="Y571" s="276"/>
      <c r="Z571" s="276"/>
      <c r="AA571" s="276"/>
      <c r="AB571" s="276"/>
      <c r="AC571" s="276"/>
    </row>
    <row r="572">
      <c r="A572" s="108" t="s">
        <v>11665</v>
      </c>
      <c r="B572" s="173">
        <v>46031.0</v>
      </c>
      <c r="C572" s="374">
        <v>8.07000034515E11</v>
      </c>
      <c r="D572" s="374" t="s">
        <v>11666</v>
      </c>
      <c r="E572" s="374" t="s">
        <v>11667</v>
      </c>
      <c r="F572" s="177" t="s">
        <v>11668</v>
      </c>
      <c r="G572" s="176" t="s">
        <v>127</v>
      </c>
      <c r="H572" s="177">
        <v>4400.0</v>
      </c>
      <c r="I572" s="176" t="s">
        <v>985</v>
      </c>
      <c r="J572" s="211" t="s">
        <v>3600</v>
      </c>
      <c r="K572" s="241">
        <v>1.0</v>
      </c>
      <c r="L572" s="124">
        <v>2.966210483E9</v>
      </c>
      <c r="P572" s="276"/>
      <c r="S572" s="276"/>
      <c r="T572" s="276"/>
      <c r="U572" s="276"/>
      <c r="V572" s="276"/>
      <c r="W572" s="276"/>
      <c r="X572" s="276"/>
      <c r="Y572" s="276"/>
      <c r="Z572" s="276"/>
      <c r="AA572" s="276"/>
      <c r="AB572" s="276"/>
      <c r="AC572" s="276"/>
    </row>
    <row r="573">
      <c r="A573" s="108" t="s">
        <v>11665</v>
      </c>
      <c r="B573" s="173">
        <v>46031.0</v>
      </c>
      <c r="C573" s="374">
        <v>8.07000034515E11</v>
      </c>
      <c r="D573" s="374" t="s">
        <v>11666</v>
      </c>
      <c r="E573" s="374" t="s">
        <v>11667</v>
      </c>
      <c r="F573" s="177" t="s">
        <v>11668</v>
      </c>
      <c r="G573" s="176" t="s">
        <v>127</v>
      </c>
      <c r="H573" s="177">
        <v>4400.0</v>
      </c>
      <c r="I573" s="176" t="s">
        <v>969</v>
      </c>
      <c r="J573" s="224" t="s">
        <v>3296</v>
      </c>
      <c r="K573" s="242">
        <v>1.0</v>
      </c>
      <c r="L573" s="124">
        <v>2.966210483E9</v>
      </c>
      <c r="P573" s="276"/>
      <c r="S573" s="276"/>
      <c r="T573" s="276"/>
      <c r="U573" s="276"/>
      <c r="V573" s="276"/>
      <c r="W573" s="276"/>
      <c r="X573" s="276"/>
      <c r="Y573" s="276"/>
      <c r="Z573" s="276"/>
      <c r="AA573" s="276"/>
      <c r="AB573" s="276"/>
      <c r="AC573" s="276"/>
    </row>
    <row r="574">
      <c r="A574" s="108" t="s">
        <v>11665</v>
      </c>
      <c r="B574" s="173">
        <v>46031.0</v>
      </c>
      <c r="C574" s="374">
        <v>8.07000034515E11</v>
      </c>
      <c r="D574" s="374" t="s">
        <v>11666</v>
      </c>
      <c r="E574" s="374" t="s">
        <v>11667</v>
      </c>
      <c r="F574" s="177" t="s">
        <v>11668</v>
      </c>
      <c r="G574" s="176" t="s">
        <v>127</v>
      </c>
      <c r="H574" s="177">
        <v>4400.0</v>
      </c>
      <c r="I574" s="176" t="s">
        <v>35</v>
      </c>
      <c r="J574" s="211" t="s">
        <v>3188</v>
      </c>
      <c r="K574" s="241">
        <v>1.0</v>
      </c>
      <c r="L574" s="124">
        <v>2.966210483E9</v>
      </c>
      <c r="P574" s="276"/>
      <c r="S574" s="276"/>
      <c r="T574" s="276"/>
      <c r="U574" s="276"/>
      <c r="V574" s="276"/>
      <c r="W574" s="276"/>
      <c r="X574" s="276"/>
      <c r="Y574" s="276"/>
      <c r="Z574" s="276"/>
      <c r="AA574" s="276"/>
      <c r="AB574" s="276"/>
      <c r="AC574" s="276"/>
    </row>
    <row r="575">
      <c r="A575" s="108" t="s">
        <v>11669</v>
      </c>
      <c r="B575" s="173">
        <v>46031.0</v>
      </c>
      <c r="C575" s="374">
        <v>8.07000034517E11</v>
      </c>
      <c r="D575" s="374" t="s">
        <v>11670</v>
      </c>
      <c r="E575" s="374" t="s">
        <v>11671</v>
      </c>
      <c r="F575" s="177" t="s">
        <v>11672</v>
      </c>
      <c r="G575" s="176" t="s">
        <v>127</v>
      </c>
      <c r="H575" s="177">
        <v>4400.0</v>
      </c>
      <c r="I575" s="176" t="s">
        <v>512</v>
      </c>
      <c r="J575" s="224" t="s">
        <v>513</v>
      </c>
      <c r="K575" s="242">
        <v>6.0</v>
      </c>
      <c r="L575" s="124">
        <v>2.964520309E9</v>
      </c>
      <c r="N575" s="274">
        <v>46031.0</v>
      </c>
      <c r="O575" s="275" t="s">
        <v>9011</v>
      </c>
      <c r="P575" s="276"/>
      <c r="Q575" s="275" t="s">
        <v>9012</v>
      </c>
      <c r="R575" s="359" t="s">
        <v>13553</v>
      </c>
      <c r="S575" s="276"/>
      <c r="T575" s="276"/>
      <c r="U575" s="276"/>
      <c r="V575" s="276"/>
      <c r="W575" s="276"/>
      <c r="X575" s="276"/>
      <c r="Y575" s="276"/>
      <c r="Z575" s="276"/>
      <c r="AA575" s="276"/>
      <c r="AB575" s="276"/>
      <c r="AC575" s="276"/>
    </row>
    <row r="576">
      <c r="A576" s="108" t="s">
        <v>11669</v>
      </c>
      <c r="B576" s="173">
        <v>46031.0</v>
      </c>
      <c r="C576" s="374">
        <v>8.07000034518E11</v>
      </c>
      <c r="D576" s="374" t="s">
        <v>11670</v>
      </c>
      <c r="E576" s="374" t="s">
        <v>11671</v>
      </c>
      <c r="F576" s="177" t="s">
        <v>11672</v>
      </c>
      <c r="G576" s="176" t="s">
        <v>127</v>
      </c>
      <c r="H576" s="177">
        <v>4400.0</v>
      </c>
      <c r="I576" s="176">
        <v>125822.0</v>
      </c>
      <c r="J576" s="211" t="s">
        <v>6030</v>
      </c>
      <c r="K576" s="241">
        <v>1.0</v>
      </c>
      <c r="L576" s="124">
        <v>2.964520309E9</v>
      </c>
      <c r="P576" s="276"/>
      <c r="S576" s="276"/>
      <c r="T576" s="276"/>
      <c r="U576" s="276"/>
      <c r="V576" s="276"/>
      <c r="W576" s="276"/>
      <c r="X576" s="276"/>
      <c r="Y576" s="276"/>
      <c r="Z576" s="276"/>
      <c r="AA576" s="276"/>
      <c r="AB576" s="276"/>
      <c r="AC576" s="276"/>
    </row>
    <row r="577">
      <c r="A577" s="108" t="s">
        <v>11669</v>
      </c>
      <c r="B577" s="173">
        <v>46031.0</v>
      </c>
      <c r="C577" s="374">
        <v>8.07000034519E11</v>
      </c>
      <c r="D577" s="374" t="s">
        <v>11670</v>
      </c>
      <c r="E577" s="374" t="s">
        <v>11671</v>
      </c>
      <c r="F577" s="177" t="s">
        <v>11672</v>
      </c>
      <c r="G577" s="176" t="s">
        <v>127</v>
      </c>
      <c r="H577" s="177">
        <v>4400.0</v>
      </c>
      <c r="I577" s="176" t="s">
        <v>10974</v>
      </c>
      <c r="J577" s="224" t="s">
        <v>10975</v>
      </c>
      <c r="K577" s="242">
        <v>1.0</v>
      </c>
      <c r="L577" s="124">
        <v>2.964520309E9</v>
      </c>
      <c r="P577" s="276"/>
      <c r="S577" s="276"/>
      <c r="T577" s="276"/>
      <c r="U577" s="276"/>
      <c r="V577" s="276"/>
      <c r="W577" s="276"/>
      <c r="X577" s="276"/>
      <c r="Y577" s="276"/>
      <c r="Z577" s="276"/>
      <c r="AA577" s="276"/>
      <c r="AB577" s="276"/>
      <c r="AC577" s="276"/>
    </row>
    <row r="578">
      <c r="A578" s="108" t="s">
        <v>11669</v>
      </c>
      <c r="B578" s="173">
        <v>46031.0</v>
      </c>
      <c r="C578" s="374">
        <v>8.07000034519E11</v>
      </c>
      <c r="D578" s="374" t="s">
        <v>11670</v>
      </c>
      <c r="E578" s="374" t="s">
        <v>11671</v>
      </c>
      <c r="F578" s="177" t="s">
        <v>11672</v>
      </c>
      <c r="G578" s="176" t="s">
        <v>127</v>
      </c>
      <c r="H578" s="177">
        <v>4400.0</v>
      </c>
      <c r="I578" s="176" t="s">
        <v>1827</v>
      </c>
      <c r="J578" s="211" t="s">
        <v>4367</v>
      </c>
      <c r="K578" s="241">
        <v>1.0</v>
      </c>
      <c r="L578" s="124">
        <v>2.964520309E9</v>
      </c>
      <c r="P578" s="276"/>
      <c r="S578" s="276"/>
      <c r="T578" s="276"/>
      <c r="U578" s="276"/>
      <c r="V578" s="276"/>
      <c r="W578" s="276"/>
      <c r="X578" s="276"/>
      <c r="Y578" s="276"/>
      <c r="Z578" s="276"/>
      <c r="AA578" s="276"/>
      <c r="AB578" s="276"/>
      <c r="AC578" s="276"/>
    </row>
    <row r="579">
      <c r="A579" s="108" t="s">
        <v>11673</v>
      </c>
      <c r="B579" s="173">
        <v>46031.0</v>
      </c>
      <c r="C579" s="374">
        <v>8.07000034525E11</v>
      </c>
      <c r="D579" s="374" t="s">
        <v>11674</v>
      </c>
      <c r="E579" s="374" t="s">
        <v>11675</v>
      </c>
      <c r="F579" s="177" t="s">
        <v>11676</v>
      </c>
      <c r="G579" s="176" t="s">
        <v>127</v>
      </c>
      <c r="H579" s="177">
        <v>4400.0</v>
      </c>
      <c r="I579" s="176">
        <v>125822.0</v>
      </c>
      <c r="J579" s="224" t="s">
        <v>6030</v>
      </c>
      <c r="K579" s="242">
        <v>2.0</v>
      </c>
      <c r="L579" s="124"/>
      <c r="N579" s="274">
        <v>46031.0</v>
      </c>
      <c r="O579" s="275" t="s">
        <v>9011</v>
      </c>
      <c r="P579" s="276"/>
      <c r="Q579" s="275" t="s">
        <v>9012</v>
      </c>
      <c r="R579" s="359" t="s">
        <v>13554</v>
      </c>
      <c r="S579" s="276"/>
      <c r="T579" s="276"/>
      <c r="U579" s="276"/>
      <c r="V579" s="276"/>
      <c r="W579" s="276"/>
      <c r="X579" s="276"/>
      <c r="Y579" s="276"/>
      <c r="Z579" s="276"/>
      <c r="AA579" s="276"/>
      <c r="AB579" s="276"/>
      <c r="AC579" s="276"/>
    </row>
    <row r="580">
      <c r="A580" s="108" t="s">
        <v>11673</v>
      </c>
      <c r="B580" s="173">
        <v>46031.0</v>
      </c>
      <c r="C580" s="374">
        <v>8.07000034526E11</v>
      </c>
      <c r="D580" s="374" t="s">
        <v>11674</v>
      </c>
      <c r="E580" s="374" t="s">
        <v>11675</v>
      </c>
      <c r="F580" s="177" t="s">
        <v>11676</v>
      </c>
      <c r="G580" s="176" t="s">
        <v>127</v>
      </c>
      <c r="H580" s="177">
        <v>4400.0</v>
      </c>
      <c r="I580" s="176" t="s">
        <v>512</v>
      </c>
      <c r="J580" s="211" t="s">
        <v>513</v>
      </c>
      <c r="K580" s="241">
        <v>12.0</v>
      </c>
      <c r="L580" s="124"/>
      <c r="P580" s="276"/>
      <c r="S580" s="276"/>
      <c r="T580" s="276"/>
      <c r="U580" s="276"/>
      <c r="V580" s="276"/>
      <c r="W580" s="276"/>
      <c r="X580" s="276"/>
      <c r="Y580" s="276"/>
      <c r="Z580" s="276"/>
      <c r="AA580" s="276"/>
      <c r="AB580" s="276"/>
      <c r="AC580" s="276"/>
    </row>
    <row r="581">
      <c r="A581" s="108" t="s">
        <v>11673</v>
      </c>
      <c r="B581" s="173">
        <v>46031.0</v>
      </c>
      <c r="C581" s="374">
        <v>8.07000034527E11</v>
      </c>
      <c r="D581" s="374" t="s">
        <v>11674</v>
      </c>
      <c r="E581" s="374" t="s">
        <v>11675</v>
      </c>
      <c r="F581" s="177" t="s">
        <v>11676</v>
      </c>
      <c r="G581" s="176" t="s">
        <v>127</v>
      </c>
      <c r="H581" s="177">
        <v>4400.0</v>
      </c>
      <c r="I581" s="176" t="s">
        <v>761</v>
      </c>
      <c r="J581" s="224" t="s">
        <v>3761</v>
      </c>
      <c r="K581" s="242">
        <v>1.0</v>
      </c>
      <c r="L581" s="124"/>
      <c r="P581" s="276"/>
      <c r="S581" s="276"/>
      <c r="T581" s="276"/>
      <c r="U581" s="276"/>
      <c r="V581" s="276"/>
      <c r="W581" s="276"/>
      <c r="X581" s="276"/>
      <c r="Y581" s="276"/>
      <c r="Z581" s="276"/>
      <c r="AA581" s="276"/>
      <c r="AB581" s="276"/>
      <c r="AC581" s="276"/>
    </row>
    <row r="582">
      <c r="A582" s="108" t="s">
        <v>11673</v>
      </c>
      <c r="B582" s="173">
        <v>46031.0</v>
      </c>
      <c r="C582" s="374">
        <v>8.07000034527E11</v>
      </c>
      <c r="D582" s="374" t="s">
        <v>11674</v>
      </c>
      <c r="E582" s="374" t="s">
        <v>11675</v>
      </c>
      <c r="F582" s="177" t="s">
        <v>11676</v>
      </c>
      <c r="G582" s="176" t="s">
        <v>127</v>
      </c>
      <c r="H582" s="177">
        <v>4400.0</v>
      </c>
      <c r="I582" s="176" t="s">
        <v>758</v>
      </c>
      <c r="J582" s="211" t="s">
        <v>3574</v>
      </c>
      <c r="K582" s="241">
        <v>2.0</v>
      </c>
      <c r="L582" s="124"/>
      <c r="P582" s="276"/>
      <c r="S582" s="276"/>
      <c r="T582" s="276"/>
      <c r="U582" s="276"/>
      <c r="V582" s="276"/>
      <c r="W582" s="276"/>
      <c r="X582" s="276"/>
      <c r="Y582" s="276"/>
      <c r="Z582" s="276"/>
      <c r="AA582" s="276"/>
      <c r="AB582" s="276"/>
      <c r="AC582" s="276"/>
    </row>
    <row r="583">
      <c r="A583" s="108" t="s">
        <v>11677</v>
      </c>
      <c r="B583" s="173">
        <v>46032.0</v>
      </c>
      <c r="C583" s="374">
        <v>8.07000034516E11</v>
      </c>
      <c r="D583" s="374" t="s">
        <v>11678</v>
      </c>
      <c r="E583" s="374" t="s">
        <v>11679</v>
      </c>
      <c r="F583" s="145" t="s">
        <v>11680</v>
      </c>
      <c r="G583" s="108" t="s">
        <v>11028</v>
      </c>
      <c r="H583" s="108">
        <v>4400.0</v>
      </c>
      <c r="I583" s="176" t="s">
        <v>985</v>
      </c>
      <c r="J583" s="211" t="s">
        <v>3600</v>
      </c>
      <c r="K583" s="241">
        <v>1.0</v>
      </c>
      <c r="L583" s="124">
        <v>3.875847326E9</v>
      </c>
      <c r="N583" s="274">
        <v>46032.0</v>
      </c>
      <c r="O583" s="275" t="s">
        <v>9011</v>
      </c>
      <c r="P583" s="276"/>
      <c r="Q583" s="275" t="s">
        <v>13555</v>
      </c>
      <c r="R583" s="359" t="s">
        <v>13556</v>
      </c>
      <c r="S583" s="276"/>
      <c r="T583" s="276"/>
      <c r="U583" s="276"/>
      <c r="V583" s="276"/>
      <c r="W583" s="276"/>
      <c r="X583" s="276"/>
      <c r="Y583" s="276"/>
      <c r="Z583" s="276"/>
      <c r="AA583" s="276"/>
      <c r="AB583" s="276"/>
      <c r="AC583" s="276"/>
    </row>
    <row r="584">
      <c r="A584" s="108" t="s">
        <v>11681</v>
      </c>
      <c r="B584" s="173">
        <v>46032.0</v>
      </c>
      <c r="C584" s="374">
        <v>8.07000034537E11</v>
      </c>
      <c r="D584" s="374" t="s">
        <v>11682</v>
      </c>
      <c r="E584" s="374" t="s">
        <v>11683</v>
      </c>
      <c r="F584" s="145" t="s">
        <v>11684</v>
      </c>
      <c r="G584" s="108" t="s">
        <v>104</v>
      </c>
      <c r="H584" s="108">
        <v>4400.0</v>
      </c>
      <c r="I584" s="176" t="s">
        <v>218</v>
      </c>
      <c r="J584" s="211" t="s">
        <v>8664</v>
      </c>
      <c r="K584" s="241">
        <v>1.0</v>
      </c>
      <c r="L584" s="124">
        <v>3.874441005E9</v>
      </c>
      <c r="N584" s="274">
        <v>46032.0</v>
      </c>
      <c r="O584" s="275" t="s">
        <v>9011</v>
      </c>
      <c r="P584" s="276"/>
      <c r="Q584" s="275" t="s">
        <v>13557</v>
      </c>
      <c r="R584" s="359" t="s">
        <v>13558</v>
      </c>
      <c r="S584" s="276"/>
      <c r="T584" s="276"/>
      <c r="U584" s="276"/>
      <c r="V584" s="276"/>
      <c r="W584" s="276"/>
      <c r="X584" s="276"/>
      <c r="Y584" s="276"/>
      <c r="Z584" s="276"/>
      <c r="AA584" s="276"/>
      <c r="AB584" s="276"/>
      <c r="AC584" s="276"/>
    </row>
    <row r="585">
      <c r="A585" s="108" t="s">
        <v>11685</v>
      </c>
      <c r="B585" s="173">
        <v>46033.0</v>
      </c>
      <c r="C585" s="374">
        <v>8.07000034544E11</v>
      </c>
      <c r="D585" s="374" t="s">
        <v>11686</v>
      </c>
      <c r="E585" s="374" t="s">
        <v>11687</v>
      </c>
      <c r="F585" s="145" t="s">
        <v>11688</v>
      </c>
      <c r="G585" s="108" t="s">
        <v>11689</v>
      </c>
      <c r="H585" s="108">
        <v>4400.0</v>
      </c>
      <c r="I585" s="176" t="s">
        <v>280</v>
      </c>
      <c r="J585" s="211" t="s">
        <v>5669</v>
      </c>
      <c r="K585" s="241">
        <v>1.0</v>
      </c>
      <c r="L585" s="124">
        <v>3.875954867E9</v>
      </c>
      <c r="N585" s="274">
        <v>46033.0</v>
      </c>
      <c r="O585" s="275" t="s">
        <v>9011</v>
      </c>
      <c r="P585" s="276"/>
      <c r="Q585" s="275" t="s">
        <v>9012</v>
      </c>
      <c r="R585" s="359" t="s">
        <v>13559</v>
      </c>
      <c r="S585" s="276"/>
      <c r="T585" s="276"/>
      <c r="U585" s="276"/>
      <c r="V585" s="276"/>
      <c r="W585" s="276"/>
      <c r="X585" s="276"/>
      <c r="Y585" s="276"/>
      <c r="Z585" s="276"/>
      <c r="AA585" s="276"/>
      <c r="AB585" s="276"/>
      <c r="AC585" s="276"/>
    </row>
    <row r="586">
      <c r="A586" s="108" t="s">
        <v>11690</v>
      </c>
      <c r="B586" s="173">
        <v>46033.0</v>
      </c>
      <c r="C586" s="374">
        <v>8.07000034547E11</v>
      </c>
      <c r="D586" s="374" t="s">
        <v>11388</v>
      </c>
      <c r="E586" s="374" t="s">
        <v>11389</v>
      </c>
      <c r="F586" s="418" t="s">
        <v>11691</v>
      </c>
      <c r="G586" s="176" t="s">
        <v>127</v>
      </c>
      <c r="H586" s="177">
        <v>4400.0</v>
      </c>
      <c r="I586" s="176" t="s">
        <v>512</v>
      </c>
      <c r="J586" s="211" t="s">
        <v>513</v>
      </c>
      <c r="K586" s="241">
        <v>6.0</v>
      </c>
      <c r="L586" s="124">
        <v>3.8715427935E10</v>
      </c>
      <c r="N586" s="274">
        <v>46033.0</v>
      </c>
      <c r="O586" s="275" t="s">
        <v>9011</v>
      </c>
      <c r="P586" s="276"/>
      <c r="Q586" s="275" t="s">
        <v>13560</v>
      </c>
      <c r="R586" s="359" t="s">
        <v>13561</v>
      </c>
      <c r="S586" s="276"/>
      <c r="T586" s="276"/>
      <c r="U586" s="276"/>
      <c r="V586" s="276"/>
      <c r="W586" s="276"/>
      <c r="X586" s="276"/>
      <c r="Y586" s="276"/>
      <c r="Z586" s="276"/>
      <c r="AA586" s="276"/>
      <c r="AB586" s="276"/>
      <c r="AC586" s="276"/>
    </row>
    <row r="587">
      <c r="A587" s="108" t="s">
        <v>11690</v>
      </c>
      <c r="B587" s="173">
        <v>46033.0</v>
      </c>
      <c r="C587" s="374">
        <v>8.07000034548E11</v>
      </c>
      <c r="D587" s="374" t="s">
        <v>11388</v>
      </c>
      <c r="E587" s="374" t="s">
        <v>11389</v>
      </c>
      <c r="F587" s="418" t="s">
        <v>11691</v>
      </c>
      <c r="G587" s="176" t="s">
        <v>127</v>
      </c>
      <c r="H587" s="177">
        <v>4400.0</v>
      </c>
      <c r="I587" s="176" t="s">
        <v>8604</v>
      </c>
      <c r="J587" s="224" t="s">
        <v>8605</v>
      </c>
      <c r="K587" s="242">
        <v>1.0</v>
      </c>
      <c r="L587" s="124">
        <v>3.8715427935E10</v>
      </c>
      <c r="P587" s="276"/>
      <c r="S587" s="276"/>
      <c r="T587" s="276"/>
      <c r="U587" s="276"/>
      <c r="V587" s="276"/>
      <c r="W587" s="276"/>
      <c r="X587" s="276"/>
      <c r="Y587" s="276"/>
      <c r="Z587" s="276"/>
      <c r="AA587" s="276"/>
      <c r="AB587" s="276"/>
      <c r="AC587" s="276"/>
    </row>
    <row r="588">
      <c r="A588" s="108" t="s">
        <v>11690</v>
      </c>
      <c r="B588" s="173">
        <v>46033.0</v>
      </c>
      <c r="C588" s="374">
        <v>8.07000034548E11</v>
      </c>
      <c r="D588" s="374" t="s">
        <v>11388</v>
      </c>
      <c r="E588" s="374" t="s">
        <v>11389</v>
      </c>
      <c r="F588" s="418" t="s">
        <v>11691</v>
      </c>
      <c r="G588" s="176" t="s">
        <v>127</v>
      </c>
      <c r="H588" s="177">
        <v>4400.0</v>
      </c>
      <c r="I588" s="176" t="s">
        <v>1345</v>
      </c>
      <c r="J588" s="211" t="s">
        <v>3639</v>
      </c>
      <c r="K588" s="241">
        <v>1.0</v>
      </c>
      <c r="L588" s="124">
        <v>3.8715427935E10</v>
      </c>
      <c r="P588" s="276"/>
      <c r="S588" s="276"/>
      <c r="T588" s="276"/>
      <c r="U588" s="276"/>
      <c r="V588" s="276"/>
      <c r="W588" s="276"/>
      <c r="X588" s="276"/>
      <c r="Y588" s="276"/>
      <c r="Z588" s="276"/>
      <c r="AA588" s="276"/>
      <c r="AB588" s="276"/>
      <c r="AC588" s="276"/>
    </row>
    <row r="589">
      <c r="A589" s="108" t="s">
        <v>11692</v>
      </c>
      <c r="B589" s="173">
        <v>46033.0</v>
      </c>
      <c r="C589" s="374">
        <v>8.07000034549E11</v>
      </c>
      <c r="D589" s="374" t="s">
        <v>11388</v>
      </c>
      <c r="E589" s="374" t="s">
        <v>11389</v>
      </c>
      <c r="F589" s="418" t="s">
        <v>11691</v>
      </c>
      <c r="G589" s="176" t="s">
        <v>127</v>
      </c>
      <c r="H589" s="108">
        <v>4400.0</v>
      </c>
      <c r="I589" s="176" t="s">
        <v>512</v>
      </c>
      <c r="J589" s="224" t="s">
        <v>513</v>
      </c>
      <c r="K589" s="242">
        <v>6.0</v>
      </c>
      <c r="L589" s="124">
        <v>3.8715427935E10</v>
      </c>
      <c r="P589" s="276"/>
      <c r="S589" s="276"/>
      <c r="T589" s="276"/>
      <c r="U589" s="276"/>
      <c r="V589" s="276"/>
      <c r="W589" s="276"/>
      <c r="X589" s="276"/>
      <c r="Y589" s="276"/>
      <c r="Z589" s="276"/>
      <c r="AA589" s="276"/>
      <c r="AB589" s="276"/>
      <c r="AC589" s="276"/>
    </row>
    <row r="590">
      <c r="A590" s="108" t="s">
        <v>11692</v>
      </c>
      <c r="B590" s="173">
        <v>46033.0</v>
      </c>
      <c r="C590" s="374">
        <v>8.0700003455E11</v>
      </c>
      <c r="D590" s="374" t="s">
        <v>11388</v>
      </c>
      <c r="E590" s="374" t="s">
        <v>11389</v>
      </c>
      <c r="F590" s="418" t="s">
        <v>11691</v>
      </c>
      <c r="G590" s="176" t="s">
        <v>127</v>
      </c>
      <c r="H590" s="108">
        <v>4400.0</v>
      </c>
      <c r="I590" s="176" t="s">
        <v>8604</v>
      </c>
      <c r="J590" s="211" t="s">
        <v>8605</v>
      </c>
      <c r="K590" s="241">
        <v>1.0</v>
      </c>
      <c r="L590" s="124">
        <v>3.8715427935E10</v>
      </c>
      <c r="P590" s="276"/>
      <c r="S590" s="276"/>
      <c r="T590" s="276"/>
      <c r="U590" s="276"/>
      <c r="V590" s="276"/>
      <c r="W590" s="276"/>
      <c r="X590" s="276"/>
      <c r="Y590" s="276"/>
      <c r="Z590" s="276"/>
      <c r="AA590" s="276"/>
      <c r="AB590" s="276"/>
      <c r="AC590" s="276"/>
    </row>
    <row r="591">
      <c r="A591" s="108" t="s">
        <v>11692</v>
      </c>
      <c r="B591" s="173">
        <v>46033.0</v>
      </c>
      <c r="C591" s="374">
        <v>8.0700003455E11</v>
      </c>
      <c r="D591" s="374" t="s">
        <v>11388</v>
      </c>
      <c r="E591" s="374" t="s">
        <v>11389</v>
      </c>
      <c r="F591" s="418" t="s">
        <v>11691</v>
      </c>
      <c r="G591" s="176" t="s">
        <v>127</v>
      </c>
      <c r="H591" s="108">
        <v>4400.0</v>
      </c>
      <c r="I591" s="176" t="s">
        <v>1345</v>
      </c>
      <c r="J591" s="224" t="s">
        <v>3639</v>
      </c>
      <c r="K591" s="242">
        <v>1.0</v>
      </c>
      <c r="L591" s="124">
        <v>3.8715427935E10</v>
      </c>
      <c r="P591" s="276"/>
      <c r="S591" s="276"/>
      <c r="T591" s="276"/>
      <c r="U591" s="276"/>
      <c r="V591" s="276"/>
      <c r="W591" s="276"/>
      <c r="X591" s="276"/>
      <c r="Y591" s="276"/>
      <c r="Z591" s="276"/>
      <c r="AA591" s="276"/>
      <c r="AB591" s="276"/>
      <c r="AC591" s="276"/>
    </row>
    <row r="592">
      <c r="A592" s="370"/>
      <c r="B592" s="371"/>
      <c r="C592" s="374"/>
      <c r="D592" s="384"/>
      <c r="E592" s="374"/>
      <c r="F592" s="214"/>
      <c r="G592" s="419"/>
      <c r="H592" s="419"/>
      <c r="I592" s="385"/>
      <c r="J592" s="308"/>
      <c r="K592" s="327"/>
      <c r="L592" s="210"/>
      <c r="M592" s="276"/>
      <c r="N592" s="275" t="s">
        <v>5479</v>
      </c>
      <c r="O592" s="275" t="s">
        <v>5479</v>
      </c>
      <c r="P592" s="275" t="s">
        <v>5479</v>
      </c>
      <c r="Q592" s="275" t="s">
        <v>5479</v>
      </c>
      <c r="R592" s="277" t="s">
        <v>5479</v>
      </c>
      <c r="S592" s="276"/>
      <c r="T592" s="276"/>
      <c r="U592" s="276"/>
      <c r="V592" s="276"/>
      <c r="W592" s="276"/>
      <c r="X592" s="276"/>
      <c r="Y592" s="276"/>
      <c r="Z592" s="276"/>
      <c r="AA592" s="276"/>
      <c r="AB592" s="276"/>
      <c r="AC592" s="276"/>
    </row>
    <row r="593">
      <c r="A593" s="107" t="s">
        <v>5455</v>
      </c>
      <c r="B593" s="92">
        <v>46028.0</v>
      </c>
      <c r="C593" s="107">
        <v>8.05011564738E11</v>
      </c>
      <c r="D593" s="107" t="s">
        <v>5456</v>
      </c>
      <c r="E593" s="107" t="s">
        <v>5457</v>
      </c>
      <c r="F593" s="107" t="s">
        <v>5458</v>
      </c>
      <c r="G593" s="107" t="s">
        <v>20</v>
      </c>
      <c r="H593" s="107">
        <v>4404.0</v>
      </c>
      <c r="I593" s="107" t="s">
        <v>32</v>
      </c>
      <c r="J593" s="31" t="s">
        <v>3225</v>
      </c>
      <c r="K593" s="33">
        <v>1.0</v>
      </c>
      <c r="L593" s="31">
        <v>3.875976376E9</v>
      </c>
      <c r="M593" s="34"/>
      <c r="N593" s="274">
        <v>46031.0</v>
      </c>
      <c r="O593" s="275" t="s">
        <v>9011</v>
      </c>
      <c r="P593" s="276"/>
      <c r="Q593" s="275" t="s">
        <v>13562</v>
      </c>
      <c r="R593" s="359" t="s">
        <v>13563</v>
      </c>
      <c r="S593" s="276"/>
      <c r="T593" s="276"/>
      <c r="U593" s="276"/>
      <c r="V593" s="276"/>
      <c r="W593" s="276"/>
      <c r="X593" s="276"/>
      <c r="Y593" s="276"/>
      <c r="Z593" s="276"/>
      <c r="AA593" s="276"/>
      <c r="AB593" s="276"/>
      <c r="AC593" s="276"/>
    </row>
    <row r="594">
      <c r="A594" s="107" t="s">
        <v>5455</v>
      </c>
      <c r="B594" s="92">
        <v>46028.0</v>
      </c>
      <c r="C594" s="107">
        <v>8.05011564738E11</v>
      </c>
      <c r="D594" s="107" t="s">
        <v>5456</v>
      </c>
      <c r="E594" s="107" t="s">
        <v>5457</v>
      </c>
      <c r="F594" s="107" t="s">
        <v>5458</v>
      </c>
      <c r="G594" s="107" t="s">
        <v>20</v>
      </c>
      <c r="H594" s="107">
        <v>4404.0</v>
      </c>
      <c r="I594" s="107" t="s">
        <v>512</v>
      </c>
      <c r="J594" s="31" t="s">
        <v>513</v>
      </c>
      <c r="K594" s="33">
        <v>6.0</v>
      </c>
      <c r="L594" s="31">
        <v>3.875976376E9</v>
      </c>
      <c r="M594" s="34"/>
      <c r="P594" s="276"/>
      <c r="S594" s="276"/>
      <c r="T594" s="276"/>
      <c r="U594" s="276"/>
      <c r="V594" s="276"/>
      <c r="W594" s="276"/>
      <c r="X594" s="276"/>
      <c r="Y594" s="276"/>
      <c r="Z594" s="276"/>
      <c r="AA594" s="276"/>
      <c r="AB594" s="276"/>
      <c r="AC594" s="276"/>
    </row>
    <row r="595">
      <c r="A595" s="107" t="s">
        <v>5455</v>
      </c>
      <c r="B595" s="92">
        <v>46028.0</v>
      </c>
      <c r="C595" s="107">
        <v>8.05011564738E11</v>
      </c>
      <c r="D595" s="107" t="s">
        <v>5456</v>
      </c>
      <c r="E595" s="107" t="s">
        <v>5457</v>
      </c>
      <c r="F595" s="107" t="s">
        <v>5458</v>
      </c>
      <c r="G595" s="107" t="s">
        <v>20</v>
      </c>
      <c r="H595" s="107">
        <v>4404.0</v>
      </c>
      <c r="I595" s="107" t="s">
        <v>670</v>
      </c>
      <c r="J595" s="31" t="s">
        <v>3410</v>
      </c>
      <c r="K595" s="33">
        <v>1.0</v>
      </c>
      <c r="L595" s="31">
        <v>3.875976376E9</v>
      </c>
      <c r="M595" s="34"/>
      <c r="P595" s="276"/>
      <c r="S595" s="276"/>
      <c r="T595" s="276"/>
      <c r="U595" s="276"/>
      <c r="V595" s="276"/>
      <c r="W595" s="276"/>
      <c r="X595" s="276"/>
      <c r="Y595" s="276"/>
      <c r="Z595" s="276"/>
      <c r="AA595" s="276"/>
      <c r="AB595" s="276"/>
      <c r="AC595" s="276"/>
    </row>
    <row r="596">
      <c r="A596" s="107" t="s">
        <v>5459</v>
      </c>
      <c r="B596" s="92">
        <v>46028.0</v>
      </c>
      <c r="C596" s="107">
        <v>8.05011564673E11</v>
      </c>
      <c r="D596" s="107" t="s">
        <v>5460</v>
      </c>
      <c r="E596" s="107" t="s">
        <v>5461</v>
      </c>
      <c r="F596" s="107" t="s">
        <v>5462</v>
      </c>
      <c r="G596" s="107" t="s">
        <v>624</v>
      </c>
      <c r="H596" s="107">
        <v>4403.0</v>
      </c>
      <c r="I596" s="107" t="s">
        <v>541</v>
      </c>
      <c r="J596" s="31" t="s">
        <v>3947</v>
      </c>
      <c r="K596" s="33">
        <v>1.0</v>
      </c>
      <c r="L596" s="31">
        <v>3.875713548E9</v>
      </c>
      <c r="M596" s="34"/>
      <c r="N596" s="274">
        <v>46030.0</v>
      </c>
      <c r="O596" s="275" t="s">
        <v>9011</v>
      </c>
      <c r="P596" s="276"/>
      <c r="Q596" s="275" t="s">
        <v>13564</v>
      </c>
      <c r="R596" s="359" t="s">
        <v>13565</v>
      </c>
      <c r="S596" s="276"/>
      <c r="T596" s="276"/>
      <c r="U596" s="276"/>
      <c r="V596" s="276"/>
      <c r="W596" s="276"/>
      <c r="X596" s="276"/>
      <c r="Y596" s="276"/>
      <c r="Z596" s="276"/>
      <c r="AA596" s="276"/>
      <c r="AB596" s="276"/>
      <c r="AC596" s="276"/>
    </row>
    <row r="597">
      <c r="A597" s="107" t="s">
        <v>5463</v>
      </c>
      <c r="B597" s="92">
        <v>46028.0</v>
      </c>
      <c r="C597" s="107">
        <v>8.07025034217E11</v>
      </c>
      <c r="D597" s="107" t="s">
        <v>5464</v>
      </c>
      <c r="E597" s="107" t="s">
        <v>5465</v>
      </c>
      <c r="F597" s="107" t="s">
        <v>115</v>
      </c>
      <c r="G597" s="107" t="s">
        <v>104</v>
      </c>
      <c r="H597" s="107">
        <v>4400.0</v>
      </c>
      <c r="I597" s="107" t="s">
        <v>184</v>
      </c>
      <c r="J597" s="31" t="s">
        <v>4485</v>
      </c>
      <c r="K597" s="33">
        <v>1.0</v>
      </c>
      <c r="L597" s="31">
        <v>1.54040539E8</v>
      </c>
      <c r="M597" s="34"/>
      <c r="N597" s="275" t="s">
        <v>13566</v>
      </c>
      <c r="S597" s="276"/>
      <c r="T597" s="276"/>
      <c r="U597" s="276"/>
      <c r="V597" s="276"/>
      <c r="W597" s="276"/>
      <c r="X597" s="276"/>
      <c r="Y597" s="276"/>
      <c r="Z597" s="276"/>
      <c r="AA597" s="276"/>
      <c r="AB597" s="276"/>
      <c r="AC597" s="276"/>
    </row>
    <row r="598">
      <c r="A598" s="107" t="s">
        <v>5463</v>
      </c>
      <c r="B598" s="92">
        <v>46028.0</v>
      </c>
      <c r="C598" s="107">
        <v>8.07025034217E11</v>
      </c>
      <c r="D598" s="107" t="s">
        <v>5464</v>
      </c>
      <c r="E598" s="107" t="s">
        <v>5465</v>
      </c>
      <c r="F598" s="107" t="s">
        <v>115</v>
      </c>
      <c r="G598" s="107" t="s">
        <v>104</v>
      </c>
      <c r="H598" s="107">
        <v>4400.0</v>
      </c>
      <c r="I598" s="107" t="s">
        <v>512</v>
      </c>
      <c r="J598" s="31" t="s">
        <v>513</v>
      </c>
      <c r="K598" s="33">
        <v>6.0</v>
      </c>
      <c r="L598" s="31">
        <v>1.54040539E8</v>
      </c>
      <c r="M598" s="34"/>
      <c r="S598" s="276"/>
      <c r="T598" s="276"/>
      <c r="U598" s="276"/>
      <c r="V598" s="276"/>
      <c r="W598" s="276"/>
      <c r="X598" s="276"/>
      <c r="Y598" s="276"/>
      <c r="Z598" s="276"/>
      <c r="AA598" s="276"/>
      <c r="AB598" s="276"/>
      <c r="AC598" s="276"/>
    </row>
    <row r="599">
      <c r="A599" s="107" t="s">
        <v>5463</v>
      </c>
      <c r="B599" s="92">
        <v>46028.0</v>
      </c>
      <c r="C599" s="107">
        <v>8.07025034217E11</v>
      </c>
      <c r="D599" s="107" t="s">
        <v>5464</v>
      </c>
      <c r="E599" s="107" t="s">
        <v>5465</v>
      </c>
      <c r="F599" s="107" t="s">
        <v>115</v>
      </c>
      <c r="G599" s="107" t="s">
        <v>104</v>
      </c>
      <c r="H599" s="107">
        <v>4400.0</v>
      </c>
      <c r="I599" s="107" t="s">
        <v>273</v>
      </c>
      <c r="J599" s="31" t="s">
        <v>3594</v>
      </c>
      <c r="K599" s="33">
        <v>1.0</v>
      </c>
      <c r="L599" s="31">
        <v>1.54040539E8</v>
      </c>
      <c r="M599" s="34"/>
      <c r="S599" s="276"/>
      <c r="T599" s="276"/>
      <c r="U599" s="276"/>
      <c r="V599" s="276"/>
      <c r="W599" s="276"/>
      <c r="X599" s="276"/>
      <c r="Y599" s="276"/>
      <c r="Z599" s="276"/>
      <c r="AA599" s="276"/>
      <c r="AB599" s="276"/>
      <c r="AC599" s="276"/>
    </row>
    <row r="600">
      <c r="A600" s="107" t="s">
        <v>5466</v>
      </c>
      <c r="B600" s="92">
        <v>46028.0</v>
      </c>
      <c r="C600" s="107">
        <v>8.07025034146E11</v>
      </c>
      <c r="D600" s="107" t="s">
        <v>5467</v>
      </c>
      <c r="E600" s="107" t="s">
        <v>5468</v>
      </c>
      <c r="F600" s="107" t="s">
        <v>5469</v>
      </c>
      <c r="G600" s="107" t="s">
        <v>127</v>
      </c>
      <c r="H600" s="107">
        <v>4400.0</v>
      </c>
      <c r="I600" s="107" t="s">
        <v>32</v>
      </c>
      <c r="J600" s="31" t="s">
        <v>3225</v>
      </c>
      <c r="K600" s="33">
        <v>1.0</v>
      </c>
      <c r="L600" s="31">
        <v>3.872117137E9</v>
      </c>
      <c r="M600" s="34"/>
      <c r="N600" s="274"/>
      <c r="O600" s="275" t="s">
        <v>9011</v>
      </c>
      <c r="P600" s="276"/>
      <c r="Q600" s="275" t="s">
        <v>13567</v>
      </c>
      <c r="R600" s="359" t="s">
        <v>13568</v>
      </c>
      <c r="S600" s="276"/>
      <c r="T600" s="276"/>
      <c r="U600" s="276"/>
      <c r="V600" s="276"/>
      <c r="W600" s="276"/>
      <c r="X600" s="276"/>
      <c r="Y600" s="276"/>
      <c r="Z600" s="276"/>
      <c r="AA600" s="276"/>
      <c r="AB600" s="276"/>
      <c r="AC600" s="276"/>
    </row>
    <row r="601">
      <c r="A601" s="107" t="s">
        <v>5470</v>
      </c>
      <c r="B601" s="92">
        <v>46028.0</v>
      </c>
      <c r="C601" s="107">
        <v>8.05011565108E11</v>
      </c>
      <c r="D601" s="107" t="s">
        <v>5471</v>
      </c>
      <c r="E601" s="107" t="s">
        <v>5472</v>
      </c>
      <c r="F601" s="107" t="s">
        <v>5473</v>
      </c>
      <c r="G601" s="107" t="s">
        <v>3945</v>
      </c>
      <c r="H601" s="107">
        <v>4401.0</v>
      </c>
      <c r="I601" s="107" t="s">
        <v>1241</v>
      </c>
      <c r="J601" s="31" t="s">
        <v>3500</v>
      </c>
      <c r="K601" s="33">
        <v>1.0</v>
      </c>
      <c r="L601" s="31">
        <v>3.875107051E9</v>
      </c>
      <c r="M601" s="34"/>
      <c r="N601" s="275" t="s">
        <v>13283</v>
      </c>
      <c r="O601" s="275" t="s">
        <v>13283</v>
      </c>
      <c r="P601" s="276"/>
      <c r="Q601" s="275" t="s">
        <v>13569</v>
      </c>
      <c r="R601" s="277" t="s">
        <v>13570</v>
      </c>
      <c r="S601" s="276"/>
      <c r="T601" s="276"/>
      <c r="U601" s="276"/>
      <c r="V601" s="276"/>
      <c r="W601" s="276"/>
      <c r="X601" s="276"/>
      <c r="Y601" s="276"/>
      <c r="Z601" s="276"/>
      <c r="AA601" s="276"/>
      <c r="AB601" s="276"/>
      <c r="AC601" s="276"/>
    </row>
    <row r="602">
      <c r="A602" s="107" t="s">
        <v>5474</v>
      </c>
      <c r="B602" s="92">
        <v>46028.0</v>
      </c>
      <c r="C602" s="107">
        <v>8.05011565122E11</v>
      </c>
      <c r="D602" s="107" t="s">
        <v>5475</v>
      </c>
      <c r="E602" s="107" t="s">
        <v>5476</v>
      </c>
      <c r="F602" s="107" t="s">
        <v>5477</v>
      </c>
      <c r="G602" s="107" t="s">
        <v>5478</v>
      </c>
      <c r="H602" s="107">
        <v>4550.0</v>
      </c>
      <c r="I602" s="107" t="s">
        <v>32</v>
      </c>
      <c r="J602" s="31" t="s">
        <v>3225</v>
      </c>
      <c r="K602" s="33">
        <v>1.0</v>
      </c>
      <c r="L602" s="31" t="s">
        <v>5479</v>
      </c>
      <c r="M602" s="31" t="s">
        <v>5480</v>
      </c>
      <c r="N602" s="274">
        <v>46031.0</v>
      </c>
      <c r="O602" s="275" t="s">
        <v>9011</v>
      </c>
      <c r="P602" s="276"/>
      <c r="Q602" s="275" t="s">
        <v>9012</v>
      </c>
      <c r="R602" s="359" t="s">
        <v>13571</v>
      </c>
      <c r="S602" s="276"/>
      <c r="T602" s="276"/>
      <c r="U602" s="276"/>
      <c r="V602" s="276"/>
      <c r="W602" s="276"/>
      <c r="X602" s="276"/>
      <c r="Y602" s="276"/>
      <c r="Z602" s="276"/>
      <c r="AA602" s="276"/>
      <c r="AB602" s="276"/>
      <c r="AC602" s="276"/>
    </row>
    <row r="603">
      <c r="A603" s="107" t="s">
        <v>5474</v>
      </c>
      <c r="B603" s="92">
        <v>46028.0</v>
      </c>
      <c r="C603" s="107">
        <v>8.05011565122E11</v>
      </c>
      <c r="D603" s="107" t="s">
        <v>5475</v>
      </c>
      <c r="E603" s="107" t="s">
        <v>5476</v>
      </c>
      <c r="F603" s="107" t="s">
        <v>5477</v>
      </c>
      <c r="G603" s="107" t="s">
        <v>5478</v>
      </c>
      <c r="H603" s="107">
        <v>4550.0</v>
      </c>
      <c r="I603" s="107" t="s">
        <v>512</v>
      </c>
      <c r="J603" s="31" t="s">
        <v>513</v>
      </c>
      <c r="K603" s="33">
        <v>6.0</v>
      </c>
      <c r="L603" s="31" t="s">
        <v>5479</v>
      </c>
      <c r="M603" s="31" t="s">
        <v>5480</v>
      </c>
      <c r="P603" s="276"/>
      <c r="S603" s="276"/>
      <c r="T603" s="276"/>
      <c r="U603" s="276"/>
      <c r="V603" s="276"/>
      <c r="W603" s="276"/>
      <c r="X603" s="276"/>
      <c r="Y603" s="276"/>
      <c r="Z603" s="276"/>
      <c r="AA603" s="276"/>
      <c r="AB603" s="276"/>
      <c r="AC603" s="276"/>
    </row>
    <row r="604">
      <c r="A604" s="107" t="s">
        <v>5474</v>
      </c>
      <c r="B604" s="92">
        <v>46028.0</v>
      </c>
      <c r="C604" s="107">
        <v>8.05011565122E11</v>
      </c>
      <c r="D604" s="107" t="s">
        <v>5475</v>
      </c>
      <c r="E604" s="107" t="s">
        <v>5476</v>
      </c>
      <c r="F604" s="107" t="s">
        <v>5477</v>
      </c>
      <c r="G604" s="107" t="s">
        <v>5478</v>
      </c>
      <c r="H604" s="107">
        <v>4550.0</v>
      </c>
      <c r="I604" s="107" t="s">
        <v>670</v>
      </c>
      <c r="J604" s="31" t="s">
        <v>3410</v>
      </c>
      <c r="K604" s="33">
        <v>1.0</v>
      </c>
      <c r="L604" s="31" t="s">
        <v>5479</v>
      </c>
      <c r="M604" s="31" t="s">
        <v>5480</v>
      </c>
      <c r="P604" s="276"/>
      <c r="S604" s="276"/>
      <c r="T604" s="276"/>
      <c r="U604" s="276"/>
      <c r="V604" s="276"/>
      <c r="W604" s="276"/>
      <c r="X604" s="276"/>
      <c r="Y604" s="276"/>
      <c r="Z604" s="276"/>
      <c r="AA604" s="276"/>
      <c r="AB604" s="276"/>
      <c r="AC604" s="276"/>
    </row>
    <row r="605">
      <c r="A605" s="107" t="s">
        <v>5481</v>
      </c>
      <c r="B605" s="92">
        <v>46028.0</v>
      </c>
      <c r="C605" s="107">
        <v>8.05011565123E11</v>
      </c>
      <c r="D605" s="107" t="s">
        <v>5482</v>
      </c>
      <c r="E605" s="107" t="s">
        <v>5483</v>
      </c>
      <c r="F605" s="107" t="s">
        <v>5484</v>
      </c>
      <c r="G605" s="107" t="s">
        <v>5485</v>
      </c>
      <c r="H605" s="107">
        <v>4534.0</v>
      </c>
      <c r="I605" s="107" t="s">
        <v>32</v>
      </c>
      <c r="J605" s="31" t="s">
        <v>3225</v>
      </c>
      <c r="K605" s="33">
        <v>1.0</v>
      </c>
      <c r="L605" s="31" t="s">
        <v>5479</v>
      </c>
      <c r="M605" s="31" t="s">
        <v>5486</v>
      </c>
      <c r="N605" s="274">
        <v>46031.0</v>
      </c>
      <c r="O605" s="275" t="s">
        <v>9011</v>
      </c>
      <c r="P605" s="276"/>
      <c r="Q605" s="275" t="s">
        <v>13572</v>
      </c>
      <c r="R605" s="359" t="s">
        <v>13573</v>
      </c>
      <c r="S605" s="276"/>
      <c r="T605" s="276"/>
      <c r="U605" s="276"/>
      <c r="V605" s="276"/>
      <c r="W605" s="276"/>
      <c r="X605" s="276"/>
      <c r="Y605" s="276"/>
      <c r="Z605" s="276"/>
      <c r="AA605" s="276"/>
      <c r="AB605" s="276"/>
      <c r="AC605" s="276"/>
    </row>
    <row r="606">
      <c r="A606" s="107" t="s">
        <v>5481</v>
      </c>
      <c r="B606" s="92">
        <v>46028.0</v>
      </c>
      <c r="C606" s="107">
        <v>8.05011565123E11</v>
      </c>
      <c r="D606" s="107" t="s">
        <v>5482</v>
      </c>
      <c r="E606" s="107" t="s">
        <v>5483</v>
      </c>
      <c r="F606" s="107" t="s">
        <v>5484</v>
      </c>
      <c r="G606" s="107" t="s">
        <v>5485</v>
      </c>
      <c r="H606" s="107">
        <v>4534.0</v>
      </c>
      <c r="I606" s="107" t="s">
        <v>512</v>
      </c>
      <c r="J606" s="31" t="s">
        <v>513</v>
      </c>
      <c r="K606" s="33">
        <v>6.0</v>
      </c>
      <c r="L606" s="31" t="s">
        <v>5479</v>
      </c>
      <c r="M606" s="31" t="s">
        <v>5486</v>
      </c>
      <c r="P606" s="276"/>
      <c r="S606" s="276"/>
      <c r="T606" s="276"/>
      <c r="U606" s="276"/>
      <c r="V606" s="276"/>
      <c r="W606" s="276"/>
      <c r="X606" s="276"/>
      <c r="Y606" s="276"/>
      <c r="Z606" s="276"/>
      <c r="AA606" s="276"/>
      <c r="AB606" s="276"/>
      <c r="AC606" s="276"/>
    </row>
    <row r="607">
      <c r="A607" s="107" t="s">
        <v>5481</v>
      </c>
      <c r="B607" s="92">
        <v>46028.0</v>
      </c>
      <c r="C607" s="107">
        <v>8.05011565123E11</v>
      </c>
      <c r="D607" s="107" t="s">
        <v>5482</v>
      </c>
      <c r="E607" s="107" t="s">
        <v>5483</v>
      </c>
      <c r="F607" s="107" t="s">
        <v>5484</v>
      </c>
      <c r="G607" s="107" t="s">
        <v>5485</v>
      </c>
      <c r="H607" s="107">
        <v>4534.0</v>
      </c>
      <c r="I607" s="107" t="s">
        <v>670</v>
      </c>
      <c r="J607" s="31" t="s">
        <v>3410</v>
      </c>
      <c r="K607" s="33">
        <v>1.0</v>
      </c>
      <c r="L607" s="31" t="s">
        <v>5479</v>
      </c>
      <c r="M607" s="31" t="s">
        <v>5486</v>
      </c>
      <c r="P607" s="276"/>
      <c r="S607" s="276"/>
      <c r="T607" s="276"/>
      <c r="U607" s="276"/>
      <c r="V607" s="276"/>
      <c r="W607" s="276"/>
      <c r="X607" s="276"/>
      <c r="Y607" s="276"/>
      <c r="Z607" s="276"/>
      <c r="AA607" s="276"/>
      <c r="AB607" s="276"/>
      <c r="AC607" s="276"/>
    </row>
    <row r="608">
      <c r="A608" s="107" t="s">
        <v>5487</v>
      </c>
      <c r="B608" s="92">
        <v>46028.0</v>
      </c>
      <c r="C608" s="107">
        <v>8.05011565237E11</v>
      </c>
      <c r="D608" s="107" t="s">
        <v>5488</v>
      </c>
      <c r="E608" s="107" t="s">
        <v>5489</v>
      </c>
      <c r="F608" s="107" t="s">
        <v>5490</v>
      </c>
      <c r="G608" s="107" t="s">
        <v>163</v>
      </c>
      <c r="H608" s="107">
        <v>4448.0</v>
      </c>
      <c r="I608" s="107" t="s">
        <v>1040</v>
      </c>
      <c r="J608" s="31" t="s">
        <v>3294</v>
      </c>
      <c r="K608" s="33">
        <v>1.0</v>
      </c>
      <c r="L608" s="31" t="s">
        <v>5479</v>
      </c>
      <c r="M608" s="34"/>
      <c r="N608" s="274">
        <v>46031.0</v>
      </c>
      <c r="O608" s="275" t="s">
        <v>9011</v>
      </c>
      <c r="P608" s="276"/>
      <c r="Q608" s="275" t="s">
        <v>13574</v>
      </c>
      <c r="R608" s="359" t="s">
        <v>13575</v>
      </c>
      <c r="S608" s="276"/>
      <c r="T608" s="276"/>
      <c r="U608" s="276"/>
      <c r="V608" s="276"/>
      <c r="W608" s="276"/>
      <c r="X608" s="276"/>
      <c r="Y608" s="276"/>
      <c r="Z608" s="276"/>
      <c r="AA608" s="276"/>
      <c r="AB608" s="276"/>
      <c r="AC608" s="276"/>
    </row>
    <row r="609">
      <c r="A609" s="107" t="s">
        <v>5491</v>
      </c>
      <c r="B609" s="92">
        <v>46028.0</v>
      </c>
      <c r="C609" s="107">
        <v>8.0702503423E11</v>
      </c>
      <c r="D609" s="107" t="s">
        <v>5492</v>
      </c>
      <c r="E609" s="107" t="s">
        <v>5493</v>
      </c>
      <c r="F609" s="107" t="s">
        <v>126</v>
      </c>
      <c r="G609" s="107" t="s">
        <v>127</v>
      </c>
      <c r="H609" s="107">
        <v>4400.0</v>
      </c>
      <c r="I609" s="107" t="s">
        <v>3131</v>
      </c>
      <c r="J609" s="31" t="s">
        <v>3416</v>
      </c>
      <c r="K609" s="33">
        <v>1.0</v>
      </c>
      <c r="L609" s="31">
        <v>3.875354674E9</v>
      </c>
      <c r="M609" s="34"/>
      <c r="N609" s="275" t="s">
        <v>13576</v>
      </c>
      <c r="O609" s="275" t="s">
        <v>13576</v>
      </c>
      <c r="P609" s="276"/>
      <c r="Q609" s="275" t="s">
        <v>13577</v>
      </c>
      <c r="R609" s="277" t="s">
        <v>13576</v>
      </c>
      <c r="S609" s="276"/>
      <c r="T609" s="276"/>
      <c r="U609" s="276"/>
      <c r="V609" s="276"/>
      <c r="W609" s="276"/>
      <c r="X609" s="276"/>
      <c r="Y609" s="276"/>
      <c r="Z609" s="276"/>
      <c r="AA609" s="276"/>
      <c r="AB609" s="276"/>
      <c r="AC609" s="276"/>
    </row>
    <row r="610">
      <c r="A610" s="107" t="s">
        <v>5494</v>
      </c>
      <c r="B610" s="92">
        <v>46028.0</v>
      </c>
      <c r="C610" s="107">
        <v>8.05011565717E11</v>
      </c>
      <c r="D610" s="107" t="s">
        <v>5495</v>
      </c>
      <c r="E610" s="107" t="s">
        <v>5496</v>
      </c>
      <c r="F610" s="107" t="s">
        <v>5497</v>
      </c>
      <c r="G610" s="107" t="s">
        <v>20</v>
      </c>
      <c r="H610" s="107">
        <v>4400.0</v>
      </c>
      <c r="I610" s="107" t="s">
        <v>184</v>
      </c>
      <c r="J610" s="31" t="s">
        <v>4485</v>
      </c>
      <c r="K610" s="33">
        <v>1.0</v>
      </c>
      <c r="L610" s="31">
        <v>3.874485036E9</v>
      </c>
      <c r="M610" s="31" t="s">
        <v>5498</v>
      </c>
      <c r="N610" s="274">
        <v>46033.0</v>
      </c>
      <c r="O610" s="275" t="s">
        <v>9011</v>
      </c>
      <c r="P610" s="276"/>
      <c r="Q610" s="275" t="s">
        <v>13578</v>
      </c>
      <c r="R610" s="359" t="s">
        <v>13579</v>
      </c>
      <c r="S610" s="276"/>
      <c r="T610" s="276"/>
      <c r="U610" s="276"/>
      <c r="V610" s="276"/>
      <c r="W610" s="276"/>
      <c r="X610" s="276"/>
      <c r="Y610" s="276"/>
      <c r="Z610" s="276"/>
      <c r="AA610" s="276"/>
      <c r="AB610" s="276"/>
      <c r="AC610" s="276"/>
    </row>
    <row r="611">
      <c r="A611" s="107" t="s">
        <v>5494</v>
      </c>
      <c r="B611" s="92">
        <v>46028.0</v>
      </c>
      <c r="C611" s="107">
        <v>8.05011565717E11</v>
      </c>
      <c r="D611" s="107" t="s">
        <v>5495</v>
      </c>
      <c r="E611" s="107" t="s">
        <v>5496</v>
      </c>
      <c r="F611" s="107" t="s">
        <v>5497</v>
      </c>
      <c r="G611" s="107" t="s">
        <v>20</v>
      </c>
      <c r="H611" s="107">
        <v>4400.0</v>
      </c>
      <c r="I611" s="107" t="s">
        <v>512</v>
      </c>
      <c r="J611" s="31" t="s">
        <v>513</v>
      </c>
      <c r="K611" s="33">
        <v>6.0</v>
      </c>
      <c r="L611" s="31">
        <v>3.874485036E9</v>
      </c>
      <c r="M611" s="31" t="s">
        <v>5498</v>
      </c>
      <c r="P611" s="276"/>
      <c r="S611" s="276"/>
      <c r="T611" s="276"/>
      <c r="U611" s="276"/>
      <c r="V611" s="276"/>
      <c r="W611" s="276"/>
      <c r="X611" s="276"/>
      <c r="Y611" s="276"/>
      <c r="Z611" s="276"/>
      <c r="AA611" s="276"/>
      <c r="AB611" s="276"/>
      <c r="AC611" s="276"/>
    </row>
    <row r="612">
      <c r="A612" s="107" t="s">
        <v>5494</v>
      </c>
      <c r="B612" s="92">
        <v>46028.0</v>
      </c>
      <c r="C612" s="107">
        <v>8.05011565717E11</v>
      </c>
      <c r="D612" s="107" t="s">
        <v>5495</v>
      </c>
      <c r="E612" s="107" t="s">
        <v>5496</v>
      </c>
      <c r="F612" s="107" t="s">
        <v>5497</v>
      </c>
      <c r="G612" s="107" t="s">
        <v>20</v>
      </c>
      <c r="H612" s="107">
        <v>4400.0</v>
      </c>
      <c r="I612" s="107" t="s">
        <v>273</v>
      </c>
      <c r="J612" s="31" t="s">
        <v>3594</v>
      </c>
      <c r="K612" s="33">
        <v>1.0</v>
      </c>
      <c r="L612" s="31">
        <v>3.874485036E9</v>
      </c>
      <c r="M612" s="31" t="s">
        <v>5498</v>
      </c>
      <c r="P612" s="276"/>
      <c r="S612" s="276"/>
      <c r="T612" s="276"/>
      <c r="U612" s="276"/>
      <c r="V612" s="276"/>
      <c r="W612" s="276"/>
      <c r="X612" s="276"/>
      <c r="Y612" s="276"/>
      <c r="Z612" s="276"/>
      <c r="AA612" s="276"/>
      <c r="AB612" s="276"/>
      <c r="AC612" s="276"/>
    </row>
    <row r="613">
      <c r="A613" s="107" t="s">
        <v>5499</v>
      </c>
      <c r="B613" s="92">
        <v>46028.0</v>
      </c>
      <c r="C613" s="107">
        <v>8.05011566182E11</v>
      </c>
      <c r="D613" s="107" t="s">
        <v>5500</v>
      </c>
      <c r="E613" s="107" t="s">
        <v>5501</v>
      </c>
      <c r="F613" s="107" t="s">
        <v>5502</v>
      </c>
      <c r="G613" s="107" t="s">
        <v>20</v>
      </c>
      <c r="H613" s="107">
        <v>4400.0</v>
      </c>
      <c r="I613" s="107" t="s">
        <v>761</v>
      </c>
      <c r="J613" s="31" t="s">
        <v>3761</v>
      </c>
      <c r="K613" s="33">
        <v>1.0</v>
      </c>
      <c r="L613" s="31">
        <v>3.874690261E9</v>
      </c>
      <c r="M613" s="31" t="s">
        <v>5503</v>
      </c>
      <c r="N613" s="274">
        <v>46034.0</v>
      </c>
      <c r="O613" s="275" t="s">
        <v>9011</v>
      </c>
      <c r="P613" s="276"/>
      <c r="Q613" s="275" t="s">
        <v>13580</v>
      </c>
      <c r="R613" s="359" t="s">
        <v>13581</v>
      </c>
      <c r="S613" s="276"/>
      <c r="T613" s="276"/>
      <c r="U613" s="276"/>
      <c r="V613" s="276"/>
      <c r="W613" s="276"/>
      <c r="X613" s="276"/>
      <c r="Y613" s="276"/>
      <c r="Z613" s="276"/>
      <c r="AA613" s="276"/>
      <c r="AB613" s="276"/>
      <c r="AC613" s="276"/>
    </row>
    <row r="614">
      <c r="A614" s="107" t="s">
        <v>5499</v>
      </c>
      <c r="B614" s="92">
        <v>46028.0</v>
      </c>
      <c r="C614" s="107">
        <v>8.05011566182E11</v>
      </c>
      <c r="D614" s="107" t="s">
        <v>5500</v>
      </c>
      <c r="E614" s="107" t="s">
        <v>5501</v>
      </c>
      <c r="F614" s="107" t="s">
        <v>5502</v>
      </c>
      <c r="G614" s="107" t="s">
        <v>20</v>
      </c>
      <c r="H614" s="107">
        <v>4400.0</v>
      </c>
      <c r="I614" s="107" t="s">
        <v>512</v>
      </c>
      <c r="J614" s="31" t="s">
        <v>513</v>
      </c>
      <c r="K614" s="33">
        <v>12.0</v>
      </c>
      <c r="L614" s="31">
        <v>3.874690261E9</v>
      </c>
      <c r="M614" s="31" t="s">
        <v>5503</v>
      </c>
      <c r="P614" s="276"/>
      <c r="S614" s="276"/>
      <c r="T614" s="276"/>
      <c r="U614" s="276"/>
      <c r="V614" s="276"/>
      <c r="W614" s="276"/>
      <c r="X614" s="276"/>
      <c r="Y614" s="276"/>
      <c r="Z614" s="276"/>
      <c r="AA614" s="276"/>
      <c r="AB614" s="276"/>
      <c r="AC614" s="276"/>
    </row>
    <row r="615">
      <c r="A615" s="107" t="s">
        <v>5499</v>
      </c>
      <c r="B615" s="92">
        <v>46028.0</v>
      </c>
      <c r="C615" s="107">
        <v>8.05011566182E11</v>
      </c>
      <c r="D615" s="107" t="s">
        <v>5500</v>
      </c>
      <c r="E615" s="107" t="s">
        <v>5501</v>
      </c>
      <c r="F615" s="107" t="s">
        <v>5502</v>
      </c>
      <c r="G615" s="107" t="s">
        <v>20</v>
      </c>
      <c r="H615" s="107">
        <v>4400.0</v>
      </c>
      <c r="I615" s="107" t="s">
        <v>758</v>
      </c>
      <c r="J615" s="31" t="s">
        <v>3574</v>
      </c>
      <c r="K615" s="33">
        <v>2.0</v>
      </c>
      <c r="L615" s="31">
        <v>3.874690261E9</v>
      </c>
      <c r="M615" s="31" t="s">
        <v>5503</v>
      </c>
      <c r="P615" s="276"/>
      <c r="S615" s="276"/>
      <c r="T615" s="276"/>
      <c r="U615" s="276"/>
      <c r="V615" s="276"/>
      <c r="W615" s="276"/>
      <c r="X615" s="276"/>
      <c r="Y615" s="276"/>
      <c r="Z615" s="276"/>
      <c r="AA615" s="276"/>
      <c r="AB615" s="276"/>
      <c r="AC615" s="276"/>
    </row>
    <row r="616">
      <c r="A616" s="107" t="s">
        <v>5504</v>
      </c>
      <c r="B616" s="92">
        <v>46028.0</v>
      </c>
      <c r="C616" s="107">
        <v>8.05011566224E11</v>
      </c>
      <c r="D616" s="107" t="s">
        <v>5505</v>
      </c>
      <c r="E616" s="107" t="s">
        <v>5506</v>
      </c>
      <c r="F616" s="107" t="s">
        <v>5507</v>
      </c>
      <c r="G616" s="107" t="s">
        <v>5508</v>
      </c>
      <c r="H616" s="107">
        <v>4425.0</v>
      </c>
      <c r="I616" s="107" t="s">
        <v>634</v>
      </c>
      <c r="J616" s="31" t="s">
        <v>635</v>
      </c>
      <c r="K616" s="33">
        <v>1.0</v>
      </c>
      <c r="L616" s="31">
        <v>3.872115157E9</v>
      </c>
      <c r="M616" s="34"/>
      <c r="N616" s="274">
        <v>46031.0</v>
      </c>
      <c r="O616" s="275" t="s">
        <v>9011</v>
      </c>
      <c r="P616" s="276"/>
      <c r="Q616" s="275" t="s">
        <v>9012</v>
      </c>
      <c r="R616" s="359" t="s">
        <v>13582</v>
      </c>
      <c r="S616" s="276"/>
      <c r="T616" s="276"/>
      <c r="U616" s="276"/>
      <c r="V616" s="276"/>
      <c r="W616" s="276"/>
      <c r="X616" s="276"/>
      <c r="Y616" s="276"/>
      <c r="Z616" s="276"/>
      <c r="AA616" s="276"/>
      <c r="AB616" s="276"/>
      <c r="AC616" s="276"/>
    </row>
    <row r="617">
      <c r="A617" s="107" t="s">
        <v>5509</v>
      </c>
      <c r="B617" s="92">
        <v>46028.0</v>
      </c>
      <c r="C617" s="107">
        <v>8.07025034374E11</v>
      </c>
      <c r="D617" s="107" t="s">
        <v>5510</v>
      </c>
      <c r="E617" s="107" t="s">
        <v>5511</v>
      </c>
      <c r="F617" s="107" t="s">
        <v>5512</v>
      </c>
      <c r="G617" s="107" t="s">
        <v>5513</v>
      </c>
      <c r="H617" s="107">
        <v>4421.0</v>
      </c>
      <c r="I617" s="107" t="s">
        <v>3154</v>
      </c>
      <c r="J617" s="31" t="s">
        <v>4564</v>
      </c>
      <c r="K617" s="33">
        <v>1.0</v>
      </c>
      <c r="L617" s="31">
        <v>3.875372268E9</v>
      </c>
      <c r="M617" s="34"/>
      <c r="N617" s="274">
        <v>46033.0</v>
      </c>
      <c r="O617" s="275" t="s">
        <v>9011</v>
      </c>
      <c r="P617" s="276"/>
      <c r="Q617" s="275" t="s">
        <v>9012</v>
      </c>
      <c r="R617" s="359" t="s">
        <v>13583</v>
      </c>
      <c r="S617" s="276"/>
      <c r="T617" s="276"/>
      <c r="U617" s="276"/>
      <c r="V617" s="276"/>
      <c r="W617" s="276"/>
      <c r="X617" s="276"/>
      <c r="Y617" s="276"/>
      <c r="Z617" s="276"/>
      <c r="AA617" s="276"/>
      <c r="AB617" s="276"/>
      <c r="AC617" s="276"/>
    </row>
    <row r="618">
      <c r="A618" s="107" t="s">
        <v>5509</v>
      </c>
      <c r="B618" s="92">
        <v>46028.0</v>
      </c>
      <c r="C618" s="107">
        <v>8.07025034374E11</v>
      </c>
      <c r="D618" s="107" t="s">
        <v>5510</v>
      </c>
      <c r="E618" s="107" t="s">
        <v>5511</v>
      </c>
      <c r="F618" s="107" t="s">
        <v>5512</v>
      </c>
      <c r="G618" s="107" t="s">
        <v>5513</v>
      </c>
      <c r="H618" s="107">
        <v>4421.0</v>
      </c>
      <c r="I618" s="107" t="s">
        <v>512</v>
      </c>
      <c r="J618" s="31" t="s">
        <v>513</v>
      </c>
      <c r="K618" s="33">
        <v>6.0</v>
      </c>
      <c r="L618" s="31">
        <v>3.875372268E9</v>
      </c>
      <c r="M618" s="34"/>
      <c r="P618" s="276"/>
      <c r="S618" s="276"/>
      <c r="T618" s="276"/>
      <c r="U618" s="276"/>
      <c r="V618" s="276"/>
      <c r="W618" s="276"/>
      <c r="X618" s="276"/>
      <c r="Y618" s="276"/>
      <c r="Z618" s="276"/>
      <c r="AA618" s="276"/>
      <c r="AB618" s="276"/>
      <c r="AC618" s="276"/>
    </row>
    <row r="619">
      <c r="A619" s="107" t="s">
        <v>5514</v>
      </c>
      <c r="B619" s="92">
        <v>46028.0</v>
      </c>
      <c r="C619" s="107">
        <v>8.07025034363E11</v>
      </c>
      <c r="D619" s="107" t="s">
        <v>5515</v>
      </c>
      <c r="E619" s="107" t="s">
        <v>5516</v>
      </c>
      <c r="F619" s="107" t="s">
        <v>5517</v>
      </c>
      <c r="G619" s="107" t="s">
        <v>127</v>
      </c>
      <c r="H619" s="107">
        <v>4400.0</v>
      </c>
      <c r="I619" s="107" t="s">
        <v>698</v>
      </c>
      <c r="J619" s="31" t="s">
        <v>699</v>
      </c>
      <c r="K619" s="33">
        <v>3.0</v>
      </c>
      <c r="L619" s="31">
        <v>3.878306534E9</v>
      </c>
      <c r="M619" s="31" t="s">
        <v>1734</v>
      </c>
      <c r="N619" s="274">
        <v>46032.0</v>
      </c>
      <c r="O619" s="275" t="s">
        <v>9011</v>
      </c>
      <c r="P619" s="276"/>
      <c r="Q619" s="275" t="s">
        <v>9012</v>
      </c>
      <c r="R619" s="359" t="s">
        <v>13584</v>
      </c>
      <c r="S619" s="276"/>
      <c r="T619" s="276"/>
      <c r="U619" s="276"/>
      <c r="V619" s="276"/>
      <c r="W619" s="276"/>
      <c r="X619" s="276"/>
      <c r="Y619" s="276"/>
      <c r="Z619" s="276"/>
      <c r="AA619" s="276"/>
      <c r="AB619" s="276"/>
      <c r="AC619" s="276"/>
    </row>
    <row r="620">
      <c r="A620" s="107" t="s">
        <v>5514</v>
      </c>
      <c r="B620" s="92">
        <v>46028.0</v>
      </c>
      <c r="C620" s="107">
        <v>8.07025034363E11</v>
      </c>
      <c r="D620" s="107" t="s">
        <v>5515</v>
      </c>
      <c r="E620" s="107" t="s">
        <v>5516</v>
      </c>
      <c r="F620" s="107" t="s">
        <v>5517</v>
      </c>
      <c r="G620" s="107" t="s">
        <v>127</v>
      </c>
      <c r="H620" s="107">
        <v>4400.0</v>
      </c>
      <c r="I620" s="107" t="s">
        <v>512</v>
      </c>
      <c r="J620" s="31" t="s">
        <v>513</v>
      </c>
      <c r="K620" s="33">
        <v>18.0</v>
      </c>
      <c r="L620" s="31">
        <v>3.878306534E9</v>
      </c>
      <c r="M620" s="31" t="s">
        <v>1734</v>
      </c>
      <c r="P620" s="276"/>
      <c r="S620" s="276"/>
      <c r="T620" s="276"/>
      <c r="U620" s="276"/>
      <c r="V620" s="276"/>
      <c r="W620" s="276"/>
      <c r="X620" s="276"/>
      <c r="Y620" s="276"/>
      <c r="Z620" s="276"/>
      <c r="AA620" s="276"/>
      <c r="AB620" s="276"/>
      <c r="AC620" s="276"/>
    </row>
    <row r="621">
      <c r="A621" s="107" t="s">
        <v>5514</v>
      </c>
      <c r="B621" s="92">
        <v>46028.0</v>
      </c>
      <c r="C621" s="107">
        <v>8.07025034363E11</v>
      </c>
      <c r="D621" s="107" t="s">
        <v>5515</v>
      </c>
      <c r="E621" s="107" t="s">
        <v>5516</v>
      </c>
      <c r="F621" s="107" t="s">
        <v>5517</v>
      </c>
      <c r="G621" s="107" t="s">
        <v>127</v>
      </c>
      <c r="H621" s="107">
        <v>4400.0</v>
      </c>
      <c r="I621" s="107" t="s">
        <v>64</v>
      </c>
      <c r="J621" s="31" t="s">
        <v>3708</v>
      </c>
      <c r="K621" s="33">
        <v>3.0</v>
      </c>
      <c r="L621" s="31">
        <v>3.878306534E9</v>
      </c>
      <c r="M621" s="31" t="s">
        <v>1734</v>
      </c>
      <c r="P621" s="276"/>
      <c r="S621" s="276"/>
      <c r="T621" s="276"/>
      <c r="U621" s="276"/>
      <c r="V621" s="276"/>
      <c r="W621" s="276"/>
      <c r="X621" s="276"/>
      <c r="Y621" s="276"/>
      <c r="Z621" s="276"/>
      <c r="AA621" s="276"/>
      <c r="AB621" s="276"/>
      <c r="AC621" s="276"/>
    </row>
    <row r="622">
      <c r="A622" s="107" t="s">
        <v>5518</v>
      </c>
      <c r="B622" s="92">
        <v>46028.0</v>
      </c>
      <c r="C622" s="107">
        <v>8.07025034385E11</v>
      </c>
      <c r="D622" s="107" t="s">
        <v>5519</v>
      </c>
      <c r="E622" s="107" t="s">
        <v>5520</v>
      </c>
      <c r="F622" s="107" t="s">
        <v>5521</v>
      </c>
      <c r="G622" s="107" t="s">
        <v>127</v>
      </c>
      <c r="H622" s="107">
        <v>4400.0</v>
      </c>
      <c r="I622" s="107" t="s">
        <v>32</v>
      </c>
      <c r="J622" s="31" t="s">
        <v>3225</v>
      </c>
      <c r="K622" s="33">
        <v>1.0</v>
      </c>
      <c r="L622" s="31">
        <v>3.876289204E9</v>
      </c>
      <c r="M622" s="34"/>
      <c r="N622" s="274">
        <v>46032.0</v>
      </c>
      <c r="O622" s="275" t="s">
        <v>9011</v>
      </c>
      <c r="P622" s="276"/>
      <c r="Q622" s="275" t="s">
        <v>9012</v>
      </c>
      <c r="R622" s="359" t="s">
        <v>13585</v>
      </c>
      <c r="S622" s="276"/>
      <c r="T622" s="276"/>
      <c r="U622" s="276"/>
      <c r="V622" s="276"/>
      <c r="W622" s="276"/>
      <c r="X622" s="276"/>
      <c r="Y622" s="276"/>
      <c r="Z622" s="276"/>
      <c r="AA622" s="276"/>
      <c r="AB622" s="276"/>
      <c r="AC622" s="276"/>
    </row>
    <row r="623">
      <c r="A623" s="107" t="s">
        <v>5522</v>
      </c>
      <c r="B623" s="92">
        <v>46028.0</v>
      </c>
      <c r="C623" s="107">
        <v>8.07025034416E11</v>
      </c>
      <c r="D623" s="107" t="s">
        <v>5523</v>
      </c>
      <c r="E623" s="107" t="s">
        <v>5524</v>
      </c>
      <c r="F623" s="107" t="s">
        <v>1877</v>
      </c>
      <c r="G623" s="107" t="s">
        <v>20</v>
      </c>
      <c r="H623" s="107" t="s">
        <v>1878</v>
      </c>
      <c r="I623" s="107" t="s">
        <v>2956</v>
      </c>
      <c r="J623" s="31" t="s">
        <v>3327</v>
      </c>
      <c r="K623" s="33">
        <v>2.0</v>
      </c>
      <c r="L623" s="31">
        <v>3.873641232E9</v>
      </c>
      <c r="M623" s="34"/>
      <c r="N623" s="274">
        <v>46034.0</v>
      </c>
      <c r="O623" s="275" t="s">
        <v>9011</v>
      </c>
      <c r="P623" s="276"/>
      <c r="Q623" s="275" t="s">
        <v>9012</v>
      </c>
      <c r="R623" s="359" t="s">
        <v>13586</v>
      </c>
      <c r="S623" s="276"/>
      <c r="T623" s="276"/>
      <c r="U623" s="276"/>
      <c r="V623" s="276"/>
      <c r="W623" s="276"/>
      <c r="X623" s="276"/>
      <c r="Y623" s="276"/>
      <c r="Z623" s="276"/>
      <c r="AA623" s="276"/>
      <c r="AB623" s="276"/>
      <c r="AC623" s="276"/>
    </row>
    <row r="624">
      <c r="A624" s="107" t="s">
        <v>5522</v>
      </c>
      <c r="B624" s="92">
        <v>46028.0</v>
      </c>
      <c r="C624" s="107">
        <v>8.07025034416E11</v>
      </c>
      <c r="D624" s="107" t="s">
        <v>5523</v>
      </c>
      <c r="E624" s="107" t="s">
        <v>5524</v>
      </c>
      <c r="F624" s="107" t="s">
        <v>1877</v>
      </c>
      <c r="G624" s="107" t="s">
        <v>20</v>
      </c>
      <c r="H624" s="107" t="s">
        <v>1878</v>
      </c>
      <c r="I624" s="107" t="s">
        <v>512</v>
      </c>
      <c r="J624" s="31" t="s">
        <v>513</v>
      </c>
      <c r="K624" s="33">
        <v>12.0</v>
      </c>
      <c r="L624" s="31">
        <v>3.873641232E9</v>
      </c>
      <c r="M624" s="34"/>
      <c r="P624" s="276"/>
      <c r="S624" s="276"/>
      <c r="T624" s="276"/>
      <c r="U624" s="276"/>
      <c r="V624" s="276"/>
      <c r="W624" s="276"/>
      <c r="X624" s="276"/>
      <c r="Y624" s="276"/>
      <c r="Z624" s="276"/>
      <c r="AA624" s="276"/>
      <c r="AB624" s="276"/>
      <c r="AC624" s="276"/>
    </row>
    <row r="625">
      <c r="A625" s="107" t="s">
        <v>5525</v>
      </c>
      <c r="B625" s="92">
        <v>46028.0</v>
      </c>
      <c r="C625" s="107">
        <v>8.05011566438E11</v>
      </c>
      <c r="D625" s="107" t="s">
        <v>5526</v>
      </c>
      <c r="E625" s="107" t="s">
        <v>5527</v>
      </c>
      <c r="F625" s="107" t="s">
        <v>5528</v>
      </c>
      <c r="G625" s="107" t="s">
        <v>20</v>
      </c>
      <c r="H625" s="107">
        <v>4408.0</v>
      </c>
      <c r="I625" s="107" t="s">
        <v>32</v>
      </c>
      <c r="J625" s="31" t="s">
        <v>3225</v>
      </c>
      <c r="K625" s="33">
        <v>1.0</v>
      </c>
      <c r="L625" s="31">
        <v>3.87407633E9</v>
      </c>
      <c r="M625" s="31" t="s">
        <v>5529</v>
      </c>
      <c r="N625" s="274">
        <v>46034.0</v>
      </c>
      <c r="O625" s="275" t="s">
        <v>9011</v>
      </c>
      <c r="P625" s="276"/>
      <c r="Q625" s="275" t="s">
        <v>9012</v>
      </c>
      <c r="R625" s="359" t="s">
        <v>13587</v>
      </c>
      <c r="S625" s="276"/>
      <c r="T625" s="276"/>
      <c r="U625" s="276"/>
      <c r="V625" s="276"/>
      <c r="W625" s="276"/>
      <c r="X625" s="276"/>
      <c r="Y625" s="276"/>
      <c r="Z625" s="276"/>
      <c r="AA625" s="276"/>
      <c r="AB625" s="276"/>
      <c r="AC625" s="276"/>
    </row>
    <row r="626">
      <c r="A626" s="107" t="s">
        <v>5525</v>
      </c>
      <c r="B626" s="92">
        <v>46028.0</v>
      </c>
      <c r="C626" s="107">
        <v>8.05011566438E11</v>
      </c>
      <c r="D626" s="107" t="s">
        <v>5526</v>
      </c>
      <c r="E626" s="107" t="s">
        <v>5527</v>
      </c>
      <c r="F626" s="107" t="s">
        <v>5528</v>
      </c>
      <c r="G626" s="107" t="s">
        <v>20</v>
      </c>
      <c r="H626" s="107">
        <v>4408.0</v>
      </c>
      <c r="I626" s="107" t="s">
        <v>512</v>
      </c>
      <c r="J626" s="31" t="s">
        <v>513</v>
      </c>
      <c r="K626" s="33">
        <v>6.0</v>
      </c>
      <c r="L626" s="31">
        <v>3.87407633E9</v>
      </c>
      <c r="M626" s="31" t="s">
        <v>5529</v>
      </c>
      <c r="P626" s="276"/>
      <c r="S626" s="276"/>
      <c r="T626" s="276"/>
      <c r="U626" s="276"/>
      <c r="V626" s="276"/>
      <c r="W626" s="276"/>
      <c r="X626" s="276"/>
      <c r="Y626" s="276"/>
      <c r="Z626" s="276"/>
      <c r="AA626" s="276"/>
      <c r="AB626" s="276"/>
      <c r="AC626" s="276"/>
    </row>
    <row r="627">
      <c r="A627" s="107" t="s">
        <v>5525</v>
      </c>
      <c r="B627" s="92">
        <v>46028.0</v>
      </c>
      <c r="C627" s="107">
        <v>8.05011566438E11</v>
      </c>
      <c r="D627" s="107" t="s">
        <v>5526</v>
      </c>
      <c r="E627" s="107" t="s">
        <v>5527</v>
      </c>
      <c r="F627" s="107" t="s">
        <v>5528</v>
      </c>
      <c r="G627" s="107" t="s">
        <v>20</v>
      </c>
      <c r="H627" s="107">
        <v>4408.0</v>
      </c>
      <c r="I627" s="107" t="s">
        <v>670</v>
      </c>
      <c r="J627" s="31" t="s">
        <v>3410</v>
      </c>
      <c r="K627" s="33">
        <v>1.0</v>
      </c>
      <c r="L627" s="31">
        <v>3.87407633E9</v>
      </c>
      <c r="M627" s="31" t="s">
        <v>5529</v>
      </c>
      <c r="P627" s="276"/>
      <c r="S627" s="276"/>
      <c r="T627" s="276"/>
      <c r="U627" s="276"/>
      <c r="V627" s="276"/>
      <c r="W627" s="276"/>
      <c r="X627" s="276"/>
      <c r="Y627" s="276"/>
      <c r="Z627" s="276"/>
      <c r="AA627" s="276"/>
      <c r="AB627" s="276"/>
      <c r="AC627" s="276"/>
    </row>
    <row r="628">
      <c r="A628" s="107" t="s">
        <v>5530</v>
      </c>
      <c r="B628" s="92">
        <v>46028.0</v>
      </c>
      <c r="C628" s="107">
        <v>8.05011566494E11</v>
      </c>
      <c r="D628" s="107" t="s">
        <v>5531</v>
      </c>
      <c r="E628" s="107" t="s">
        <v>5532</v>
      </c>
      <c r="F628" s="107" t="s">
        <v>5533</v>
      </c>
      <c r="G628" s="107" t="s">
        <v>5534</v>
      </c>
      <c r="H628" s="107">
        <v>4440.0</v>
      </c>
      <c r="I628" s="107" t="s">
        <v>5185</v>
      </c>
      <c r="J628" s="31" t="s">
        <v>5186</v>
      </c>
      <c r="K628" s="33">
        <v>2.0</v>
      </c>
      <c r="L628" s="31">
        <v>3.876508272E9</v>
      </c>
      <c r="M628" s="31" t="s">
        <v>5535</v>
      </c>
      <c r="N628" s="274">
        <v>46035.0</v>
      </c>
      <c r="O628" s="275" t="s">
        <v>9011</v>
      </c>
      <c r="P628" s="276"/>
      <c r="Q628" s="275" t="s">
        <v>9012</v>
      </c>
      <c r="R628" s="359" t="s">
        <v>13588</v>
      </c>
      <c r="S628" s="276"/>
      <c r="T628" s="276"/>
      <c r="U628" s="276"/>
      <c r="V628" s="276"/>
      <c r="W628" s="276"/>
      <c r="X628" s="276"/>
      <c r="Y628" s="276"/>
      <c r="Z628" s="276"/>
      <c r="AA628" s="276"/>
      <c r="AB628" s="276"/>
      <c r="AC628" s="276"/>
    </row>
    <row r="629">
      <c r="A629" s="107" t="s">
        <v>5536</v>
      </c>
      <c r="B629" s="92">
        <v>46028.0</v>
      </c>
      <c r="C629" s="107">
        <v>8.0702503443E11</v>
      </c>
      <c r="D629" s="107" t="s">
        <v>5537</v>
      </c>
      <c r="E629" s="107" t="s">
        <v>5538</v>
      </c>
      <c r="F629" s="107" t="s">
        <v>5539</v>
      </c>
      <c r="G629" s="107" t="s">
        <v>127</v>
      </c>
      <c r="H629" s="107">
        <v>4400.0</v>
      </c>
      <c r="I629" s="107" t="s">
        <v>2659</v>
      </c>
      <c r="J629" s="31" t="s">
        <v>4894</v>
      </c>
      <c r="K629" s="33">
        <v>1.0</v>
      </c>
      <c r="L629" s="31">
        <v>4246732.0</v>
      </c>
      <c r="M629" s="31" t="s">
        <v>2935</v>
      </c>
      <c r="N629" s="274">
        <v>46033.0</v>
      </c>
      <c r="O629" s="275" t="s">
        <v>9011</v>
      </c>
      <c r="P629" s="276"/>
      <c r="Q629" s="275" t="s">
        <v>9012</v>
      </c>
      <c r="R629" s="359" t="s">
        <v>13589</v>
      </c>
      <c r="S629" s="276"/>
      <c r="T629" s="276"/>
      <c r="U629" s="276"/>
      <c r="V629" s="276"/>
      <c r="W629" s="276"/>
      <c r="X629" s="276"/>
      <c r="Y629" s="276"/>
      <c r="Z629" s="276"/>
      <c r="AA629" s="276"/>
      <c r="AB629" s="276"/>
      <c r="AC629" s="276"/>
    </row>
    <row r="630">
      <c r="A630" s="107" t="s">
        <v>5540</v>
      </c>
      <c r="B630" s="92">
        <v>46028.0</v>
      </c>
      <c r="C630" s="107">
        <v>8.05011566553E11</v>
      </c>
      <c r="D630" s="107" t="s">
        <v>5541</v>
      </c>
      <c r="E630" s="107" t="s">
        <v>5542</v>
      </c>
      <c r="F630" s="107" t="s">
        <v>5543</v>
      </c>
      <c r="G630" s="107" t="s">
        <v>104</v>
      </c>
      <c r="H630" s="107">
        <v>4400.0</v>
      </c>
      <c r="I630" s="107" t="s">
        <v>184</v>
      </c>
      <c r="J630" s="31" t="s">
        <v>4485</v>
      </c>
      <c r="K630" s="33">
        <v>1.0</v>
      </c>
      <c r="L630" s="31">
        <v>3.87685883E9</v>
      </c>
      <c r="M630" s="34"/>
      <c r="N630" s="274">
        <v>46033.0</v>
      </c>
      <c r="O630" s="275" t="s">
        <v>9011</v>
      </c>
      <c r="P630" s="276"/>
      <c r="Q630" s="275" t="s">
        <v>13590</v>
      </c>
      <c r="R630" s="359" t="s">
        <v>13591</v>
      </c>
      <c r="S630" s="276"/>
      <c r="T630" s="276"/>
      <c r="U630" s="276"/>
      <c r="V630" s="276"/>
      <c r="W630" s="276"/>
      <c r="X630" s="276"/>
      <c r="Y630" s="276"/>
      <c r="Z630" s="276"/>
      <c r="AA630" s="276"/>
      <c r="AB630" s="276"/>
      <c r="AC630" s="276"/>
    </row>
    <row r="631">
      <c r="A631" s="107" t="s">
        <v>5540</v>
      </c>
      <c r="B631" s="92">
        <v>46028.0</v>
      </c>
      <c r="C631" s="107">
        <v>8.05011566553E11</v>
      </c>
      <c r="D631" s="107" t="s">
        <v>5541</v>
      </c>
      <c r="E631" s="107" t="s">
        <v>5542</v>
      </c>
      <c r="F631" s="107" t="s">
        <v>5543</v>
      </c>
      <c r="G631" s="107" t="s">
        <v>104</v>
      </c>
      <c r="H631" s="107">
        <v>4400.0</v>
      </c>
      <c r="I631" s="107" t="s">
        <v>512</v>
      </c>
      <c r="J631" s="31" t="s">
        <v>513</v>
      </c>
      <c r="K631" s="33">
        <v>6.0</v>
      </c>
      <c r="L631" s="31">
        <v>3.87685883E9</v>
      </c>
      <c r="M631" s="34"/>
      <c r="P631" s="276"/>
      <c r="S631" s="276"/>
      <c r="T631" s="276"/>
      <c r="U631" s="276"/>
      <c r="V631" s="276"/>
      <c r="W631" s="276"/>
      <c r="X631" s="276"/>
      <c r="Y631" s="276"/>
      <c r="Z631" s="276"/>
      <c r="AA631" s="276"/>
      <c r="AB631" s="276"/>
      <c r="AC631" s="276"/>
    </row>
    <row r="632">
      <c r="A632" s="107" t="s">
        <v>5540</v>
      </c>
      <c r="B632" s="92">
        <v>46028.0</v>
      </c>
      <c r="C632" s="107">
        <v>8.05011566553E11</v>
      </c>
      <c r="D632" s="107" t="s">
        <v>5541</v>
      </c>
      <c r="E632" s="107" t="s">
        <v>5542</v>
      </c>
      <c r="F632" s="107" t="s">
        <v>5543</v>
      </c>
      <c r="G632" s="107" t="s">
        <v>104</v>
      </c>
      <c r="H632" s="107">
        <v>4400.0</v>
      </c>
      <c r="I632" s="107" t="s">
        <v>273</v>
      </c>
      <c r="J632" s="31" t="s">
        <v>3594</v>
      </c>
      <c r="K632" s="33">
        <v>1.0</v>
      </c>
      <c r="L632" s="31">
        <v>3.87685883E9</v>
      </c>
      <c r="M632" s="34"/>
      <c r="P632" s="276"/>
      <c r="S632" s="276"/>
      <c r="T632" s="276"/>
      <c r="U632" s="276"/>
      <c r="V632" s="276"/>
      <c r="W632" s="276"/>
      <c r="X632" s="276"/>
      <c r="Y632" s="276"/>
      <c r="Z632" s="276"/>
      <c r="AA632" s="276"/>
      <c r="AB632" s="276"/>
      <c r="AC632" s="276"/>
    </row>
    <row r="633">
      <c r="A633" s="172"/>
      <c r="B633" s="420"/>
      <c r="C633" s="172"/>
      <c r="D633" s="172"/>
      <c r="E633" s="172"/>
      <c r="F633" s="172"/>
      <c r="G633" s="172"/>
      <c r="H633" s="172"/>
      <c r="I633" s="172"/>
      <c r="J633" s="88"/>
      <c r="K633" s="89"/>
      <c r="L633" s="88"/>
      <c r="M633" s="90"/>
      <c r="N633" s="275" t="s">
        <v>5479</v>
      </c>
      <c r="O633" s="275" t="s">
        <v>5479</v>
      </c>
      <c r="P633" s="275" t="s">
        <v>5479</v>
      </c>
      <c r="Q633" s="275" t="s">
        <v>5479</v>
      </c>
      <c r="R633" s="277" t="s">
        <v>5479</v>
      </c>
      <c r="S633" s="276"/>
      <c r="T633" s="276"/>
      <c r="U633" s="276"/>
      <c r="V633" s="276"/>
      <c r="W633" s="276"/>
      <c r="X633" s="276"/>
      <c r="Y633" s="276"/>
      <c r="Z633" s="276"/>
      <c r="AA633" s="276"/>
      <c r="AB633" s="276"/>
      <c r="AC633" s="276"/>
    </row>
    <row r="634">
      <c r="A634" s="107" t="s">
        <v>5544</v>
      </c>
      <c r="B634" s="92">
        <v>46035.0</v>
      </c>
      <c r="C634" s="107">
        <v>8.07025034392E11</v>
      </c>
      <c r="D634" s="107" t="s">
        <v>5545</v>
      </c>
      <c r="E634" s="107" t="s">
        <v>5546</v>
      </c>
      <c r="F634" s="107" t="s">
        <v>126</v>
      </c>
      <c r="G634" s="107" t="s">
        <v>127</v>
      </c>
      <c r="H634" s="107">
        <v>4400.0</v>
      </c>
      <c r="I634" s="107" t="s">
        <v>184</v>
      </c>
      <c r="J634" s="31" t="s">
        <v>4485</v>
      </c>
      <c r="K634" s="33">
        <v>1.0</v>
      </c>
      <c r="L634" s="31">
        <v>3.875812156E9</v>
      </c>
      <c r="M634" s="31" t="s">
        <v>316</v>
      </c>
      <c r="N634" s="421" t="s">
        <v>13566</v>
      </c>
      <c r="O634" s="422"/>
      <c r="P634" s="422"/>
      <c r="Q634" s="422"/>
      <c r="R634" s="423"/>
      <c r="S634" s="367"/>
      <c r="T634" s="276"/>
      <c r="U634" s="276"/>
      <c r="V634" s="276"/>
      <c r="W634" s="276"/>
      <c r="X634" s="276"/>
      <c r="Y634" s="276"/>
      <c r="Z634" s="276"/>
      <c r="AA634" s="276"/>
      <c r="AB634" s="276"/>
      <c r="AC634" s="276"/>
    </row>
    <row r="635">
      <c r="A635" s="107" t="s">
        <v>5544</v>
      </c>
      <c r="B635" s="92">
        <v>46035.0</v>
      </c>
      <c r="C635" s="107">
        <v>8.07025034392E11</v>
      </c>
      <c r="D635" s="107" t="s">
        <v>5545</v>
      </c>
      <c r="E635" s="107" t="s">
        <v>5546</v>
      </c>
      <c r="F635" s="107" t="s">
        <v>126</v>
      </c>
      <c r="G635" s="107" t="s">
        <v>127</v>
      </c>
      <c r="H635" s="107">
        <v>4400.0</v>
      </c>
      <c r="I635" s="107" t="s">
        <v>512</v>
      </c>
      <c r="J635" s="31" t="s">
        <v>513</v>
      </c>
      <c r="K635" s="33">
        <v>6.0</v>
      </c>
      <c r="L635" s="31">
        <v>3.875812156E9</v>
      </c>
      <c r="M635" s="31" t="s">
        <v>316</v>
      </c>
      <c r="N635" s="424"/>
      <c r="R635" s="425"/>
      <c r="S635" s="367"/>
      <c r="T635" s="276"/>
      <c r="U635" s="276"/>
      <c r="V635" s="276"/>
      <c r="W635" s="276"/>
      <c r="X635" s="276"/>
      <c r="Y635" s="276"/>
      <c r="Z635" s="276"/>
      <c r="AA635" s="276"/>
      <c r="AB635" s="276"/>
      <c r="AC635" s="276"/>
    </row>
    <row r="636">
      <c r="A636" s="107" t="s">
        <v>5544</v>
      </c>
      <c r="B636" s="92">
        <v>46035.0</v>
      </c>
      <c r="C636" s="107">
        <v>8.07025034392E11</v>
      </c>
      <c r="D636" s="107" t="s">
        <v>5545</v>
      </c>
      <c r="E636" s="107" t="s">
        <v>5546</v>
      </c>
      <c r="F636" s="107" t="s">
        <v>126</v>
      </c>
      <c r="G636" s="107" t="s">
        <v>127</v>
      </c>
      <c r="H636" s="107">
        <v>4400.0</v>
      </c>
      <c r="I636" s="107" t="s">
        <v>273</v>
      </c>
      <c r="J636" s="31" t="s">
        <v>3594</v>
      </c>
      <c r="K636" s="33">
        <v>1.0</v>
      </c>
      <c r="L636" s="31">
        <v>3.875812156E9</v>
      </c>
      <c r="M636" s="31" t="s">
        <v>316</v>
      </c>
      <c r="N636" s="426"/>
      <c r="O636" s="427"/>
      <c r="P636" s="427"/>
      <c r="Q636" s="427"/>
      <c r="R636" s="428"/>
      <c r="S636" s="367"/>
      <c r="T636" s="276"/>
      <c r="U636" s="276"/>
      <c r="V636" s="276"/>
      <c r="W636" s="276"/>
      <c r="X636" s="276"/>
      <c r="Y636" s="276"/>
      <c r="Z636" s="276"/>
      <c r="AA636" s="276"/>
      <c r="AB636" s="276"/>
      <c r="AC636" s="276"/>
    </row>
    <row r="637">
      <c r="A637" s="107" t="s">
        <v>5547</v>
      </c>
      <c r="B637" s="92">
        <v>46035.0</v>
      </c>
      <c r="C637" s="107">
        <v>8.05011566721E11</v>
      </c>
      <c r="D637" s="107" t="s">
        <v>5548</v>
      </c>
      <c r="E637" s="107" t="s">
        <v>5549</v>
      </c>
      <c r="F637" s="107" t="s">
        <v>5550</v>
      </c>
      <c r="G637" s="107" t="s">
        <v>20</v>
      </c>
      <c r="H637" s="107">
        <v>4400.0</v>
      </c>
      <c r="I637" s="107" t="s">
        <v>5551</v>
      </c>
      <c r="J637" s="31" t="s">
        <v>5552</v>
      </c>
      <c r="K637" s="33">
        <v>1.0</v>
      </c>
      <c r="L637" s="31">
        <v>3.87855607E9</v>
      </c>
      <c r="M637" s="34"/>
      <c r="N637" s="429">
        <v>46038.0</v>
      </c>
      <c r="O637" s="430" t="s">
        <v>9011</v>
      </c>
      <c r="P637" s="431"/>
      <c r="Q637" s="430" t="s">
        <v>13592</v>
      </c>
      <c r="R637" s="432" t="s">
        <v>13593</v>
      </c>
      <c r="S637" s="367"/>
      <c r="T637" s="276"/>
      <c r="U637" s="276"/>
      <c r="V637" s="276"/>
      <c r="W637" s="276"/>
      <c r="X637" s="276"/>
      <c r="Y637" s="276"/>
      <c r="Z637" s="276"/>
      <c r="AA637" s="276"/>
      <c r="AB637" s="276"/>
      <c r="AC637" s="276"/>
    </row>
    <row r="638">
      <c r="A638" s="107" t="s">
        <v>5547</v>
      </c>
      <c r="B638" s="92">
        <v>46035.0</v>
      </c>
      <c r="C638" s="107">
        <v>8.05011566721E11</v>
      </c>
      <c r="D638" s="107" t="s">
        <v>5548</v>
      </c>
      <c r="E638" s="107" t="s">
        <v>5549</v>
      </c>
      <c r="F638" s="107" t="s">
        <v>5550</v>
      </c>
      <c r="G638" s="107" t="s">
        <v>20</v>
      </c>
      <c r="H638" s="107">
        <v>4400.0</v>
      </c>
      <c r="I638" s="107" t="s">
        <v>512</v>
      </c>
      <c r="J638" s="31" t="s">
        <v>513</v>
      </c>
      <c r="K638" s="33">
        <v>1.0</v>
      </c>
      <c r="L638" s="31">
        <v>3.87855607E9</v>
      </c>
      <c r="M638" s="34"/>
      <c r="N638" s="209"/>
      <c r="O638" s="209"/>
      <c r="P638" s="209"/>
      <c r="Q638" s="209"/>
      <c r="R638" s="209"/>
      <c r="S638" s="367"/>
      <c r="T638" s="276"/>
      <c r="U638" s="276"/>
      <c r="V638" s="276"/>
      <c r="W638" s="276"/>
      <c r="X638" s="276"/>
      <c r="Y638" s="276"/>
      <c r="Z638" s="276"/>
      <c r="AA638" s="276"/>
      <c r="AB638" s="276"/>
      <c r="AC638" s="276"/>
    </row>
    <row r="639">
      <c r="A639" s="107" t="s">
        <v>5547</v>
      </c>
      <c r="B639" s="92">
        <v>46035.0</v>
      </c>
      <c r="C639" s="107">
        <v>8.05011566721E11</v>
      </c>
      <c r="D639" s="107" t="s">
        <v>5548</v>
      </c>
      <c r="E639" s="107" t="s">
        <v>5549</v>
      </c>
      <c r="F639" s="107" t="s">
        <v>5550</v>
      </c>
      <c r="G639" s="107" t="s">
        <v>20</v>
      </c>
      <c r="H639" s="107">
        <v>4400.0</v>
      </c>
      <c r="I639" s="107" t="s">
        <v>25</v>
      </c>
      <c r="J639" s="31" t="s">
        <v>3401</v>
      </c>
      <c r="K639" s="33">
        <v>1.0</v>
      </c>
      <c r="L639" s="31">
        <v>3.87855607E9</v>
      </c>
      <c r="M639" s="34"/>
      <c r="N639" s="206"/>
      <c r="O639" s="206"/>
      <c r="P639" s="206"/>
      <c r="Q639" s="206"/>
      <c r="R639" s="206"/>
      <c r="S639" s="367"/>
      <c r="T639" s="276"/>
      <c r="U639" s="276"/>
      <c r="V639" s="276"/>
      <c r="W639" s="276"/>
      <c r="X639" s="276"/>
      <c r="Y639" s="276"/>
      <c r="Z639" s="276"/>
      <c r="AA639" s="276"/>
      <c r="AB639" s="276"/>
      <c r="AC639" s="276"/>
    </row>
    <row r="640">
      <c r="A640" s="107" t="s">
        <v>5553</v>
      </c>
      <c r="B640" s="92">
        <v>46035.0</v>
      </c>
      <c r="C640" s="107">
        <v>8.05011566743E11</v>
      </c>
      <c r="D640" s="107" t="s">
        <v>5554</v>
      </c>
      <c r="E640" s="107" t="s">
        <v>5555</v>
      </c>
      <c r="F640" s="107" t="s">
        <v>5556</v>
      </c>
      <c r="G640" s="107" t="s">
        <v>127</v>
      </c>
      <c r="H640" s="107">
        <v>4400.0</v>
      </c>
      <c r="I640" s="107" t="s">
        <v>2956</v>
      </c>
      <c r="J640" s="31" t="s">
        <v>3327</v>
      </c>
      <c r="K640" s="33">
        <v>1.0</v>
      </c>
      <c r="L640" s="31">
        <v>3.87217551E9</v>
      </c>
      <c r="M640" s="31" t="s">
        <v>5557</v>
      </c>
      <c r="N640" s="433">
        <v>46036.0</v>
      </c>
      <c r="O640" s="261" t="s">
        <v>13338</v>
      </c>
      <c r="P640" s="367"/>
      <c r="Q640" s="261" t="s">
        <v>13339</v>
      </c>
      <c r="R640" s="434" t="s">
        <v>13594</v>
      </c>
      <c r="S640" s="367"/>
      <c r="T640" s="276"/>
      <c r="U640" s="276"/>
      <c r="V640" s="276"/>
      <c r="W640" s="276"/>
      <c r="X640" s="276"/>
      <c r="Y640" s="276"/>
      <c r="Z640" s="276"/>
      <c r="AA640" s="276"/>
      <c r="AB640" s="276"/>
      <c r="AC640" s="276"/>
    </row>
    <row r="641">
      <c r="A641" s="107" t="s">
        <v>5558</v>
      </c>
      <c r="B641" s="92">
        <v>46035.0</v>
      </c>
      <c r="C641" s="107">
        <v>8.05011566909E11</v>
      </c>
      <c r="D641" s="107" t="s">
        <v>5559</v>
      </c>
      <c r="E641" s="107" t="s">
        <v>5560</v>
      </c>
      <c r="F641" s="107" t="s">
        <v>5561</v>
      </c>
      <c r="G641" s="107" t="s">
        <v>41</v>
      </c>
      <c r="H641" s="107">
        <v>4560.0</v>
      </c>
      <c r="I641" s="107" t="s">
        <v>1241</v>
      </c>
      <c r="J641" s="31" t="s">
        <v>3500</v>
      </c>
      <c r="K641" s="33">
        <v>1.0</v>
      </c>
      <c r="L641" s="31">
        <v>3.873535844E9</v>
      </c>
      <c r="M641" s="31" t="s">
        <v>5562</v>
      </c>
      <c r="N641" s="433">
        <v>46043.0</v>
      </c>
      <c r="O641" s="261" t="s">
        <v>13338</v>
      </c>
      <c r="P641" s="367"/>
      <c r="Q641" s="261" t="s">
        <v>13595</v>
      </c>
      <c r="R641" s="434" t="s">
        <v>13596</v>
      </c>
      <c r="S641" s="367"/>
      <c r="T641" s="276"/>
      <c r="U641" s="276"/>
      <c r="V641" s="276"/>
      <c r="W641" s="276"/>
      <c r="X641" s="276"/>
      <c r="Y641" s="276"/>
      <c r="Z641" s="276"/>
      <c r="AA641" s="276"/>
      <c r="AB641" s="276"/>
      <c r="AC641" s="276"/>
    </row>
    <row r="642">
      <c r="A642" s="107" t="s">
        <v>5563</v>
      </c>
      <c r="B642" s="92">
        <v>46035.0</v>
      </c>
      <c r="C642" s="107">
        <v>8.05011566864E11</v>
      </c>
      <c r="D642" s="107" t="s">
        <v>5564</v>
      </c>
      <c r="E642" s="107" t="s">
        <v>5565</v>
      </c>
      <c r="F642" s="107" t="s">
        <v>5566</v>
      </c>
      <c r="G642" s="107" t="s">
        <v>20</v>
      </c>
      <c r="H642" s="107">
        <v>4400.0</v>
      </c>
      <c r="I642" s="107" t="s">
        <v>60</v>
      </c>
      <c r="J642" s="31" t="s">
        <v>3706</v>
      </c>
      <c r="K642" s="33">
        <v>1.0</v>
      </c>
      <c r="L642" s="31">
        <v>3.875659918E9</v>
      </c>
      <c r="M642" s="31" t="s">
        <v>5567</v>
      </c>
      <c r="N642" s="429">
        <v>46042.0</v>
      </c>
      <c r="O642" s="430" t="s">
        <v>13338</v>
      </c>
      <c r="P642" s="431"/>
      <c r="Q642" s="430" t="s">
        <v>13339</v>
      </c>
      <c r="R642" s="432" t="s">
        <v>13597</v>
      </c>
      <c r="S642" s="431"/>
      <c r="T642" s="276"/>
      <c r="U642" s="276"/>
      <c r="V642" s="276"/>
      <c r="W642" s="276"/>
      <c r="X642" s="276"/>
      <c r="Y642" s="276"/>
      <c r="Z642" s="276"/>
      <c r="AA642" s="276"/>
      <c r="AB642" s="276"/>
      <c r="AC642" s="276"/>
    </row>
    <row r="643">
      <c r="A643" s="107" t="s">
        <v>5563</v>
      </c>
      <c r="B643" s="92">
        <v>46035.0</v>
      </c>
      <c r="C643" s="107">
        <v>8.05011566864E11</v>
      </c>
      <c r="D643" s="107" t="s">
        <v>5564</v>
      </c>
      <c r="E643" s="107" t="s">
        <v>5565</v>
      </c>
      <c r="F643" s="107" t="s">
        <v>5566</v>
      </c>
      <c r="G643" s="107" t="s">
        <v>20</v>
      </c>
      <c r="H643" s="107">
        <v>4400.0</v>
      </c>
      <c r="I643" s="107" t="s">
        <v>512</v>
      </c>
      <c r="J643" s="31" t="s">
        <v>513</v>
      </c>
      <c r="K643" s="33">
        <v>6.0</v>
      </c>
      <c r="L643" s="31">
        <v>3.875659918E9</v>
      </c>
      <c r="M643" s="31" t="s">
        <v>5567</v>
      </c>
      <c r="N643" s="209"/>
      <c r="O643" s="209"/>
      <c r="P643" s="209"/>
      <c r="Q643" s="209"/>
      <c r="R643" s="209"/>
      <c r="S643" s="209"/>
      <c r="T643" s="276"/>
      <c r="U643" s="276"/>
      <c r="V643" s="276"/>
      <c r="W643" s="276"/>
      <c r="X643" s="276"/>
      <c r="Y643" s="276"/>
      <c r="Z643" s="276"/>
      <c r="AA643" s="276"/>
      <c r="AB643" s="276"/>
      <c r="AC643" s="276"/>
    </row>
    <row r="644">
      <c r="A644" s="107" t="s">
        <v>5563</v>
      </c>
      <c r="B644" s="92">
        <v>46035.0</v>
      </c>
      <c r="C644" s="107">
        <v>8.05011566864E11</v>
      </c>
      <c r="D644" s="107" t="s">
        <v>5564</v>
      </c>
      <c r="E644" s="107" t="s">
        <v>5565</v>
      </c>
      <c r="F644" s="107" t="s">
        <v>5566</v>
      </c>
      <c r="G644" s="107" t="s">
        <v>20</v>
      </c>
      <c r="H644" s="107">
        <v>4400.0</v>
      </c>
      <c r="I644" s="107" t="s">
        <v>64</v>
      </c>
      <c r="J644" s="31" t="s">
        <v>3708</v>
      </c>
      <c r="K644" s="33">
        <v>1.0</v>
      </c>
      <c r="L644" s="31">
        <v>3.875659918E9</v>
      </c>
      <c r="M644" s="31" t="s">
        <v>5567</v>
      </c>
      <c r="N644" s="206"/>
      <c r="O644" s="206"/>
      <c r="P644" s="206"/>
      <c r="Q644" s="206"/>
      <c r="R644" s="206"/>
      <c r="S644" s="206"/>
      <c r="T644" s="276"/>
      <c r="U644" s="276"/>
      <c r="V644" s="276"/>
      <c r="W644" s="276"/>
      <c r="X644" s="276"/>
      <c r="Y644" s="276"/>
      <c r="Z644" s="276"/>
      <c r="AA644" s="276"/>
      <c r="AB644" s="276"/>
      <c r="AC644" s="276"/>
    </row>
    <row r="645">
      <c r="A645" s="107" t="s">
        <v>5568</v>
      </c>
      <c r="B645" s="92">
        <v>46035.0</v>
      </c>
      <c r="C645" s="107">
        <v>8.0501156661E11</v>
      </c>
      <c r="D645" s="107" t="s">
        <v>5569</v>
      </c>
      <c r="E645" s="107" t="s">
        <v>5570</v>
      </c>
      <c r="F645" s="107" t="s">
        <v>5571</v>
      </c>
      <c r="G645" s="107" t="s">
        <v>5046</v>
      </c>
      <c r="H645" s="107">
        <v>4530.0</v>
      </c>
      <c r="I645" s="107" t="s">
        <v>32</v>
      </c>
      <c r="J645" s="31" t="s">
        <v>3225</v>
      </c>
      <c r="K645" s="33">
        <v>1.0</v>
      </c>
      <c r="L645" s="31">
        <v>3.878437265E9</v>
      </c>
      <c r="M645" s="34"/>
      <c r="N645" s="429">
        <v>46043.0</v>
      </c>
      <c r="O645" s="430" t="s">
        <v>13338</v>
      </c>
      <c r="P645" s="431"/>
      <c r="Q645" s="430" t="s">
        <v>13339</v>
      </c>
      <c r="R645" s="432" t="s">
        <v>13598</v>
      </c>
      <c r="S645" s="367"/>
      <c r="T645" s="276"/>
      <c r="U645" s="276"/>
      <c r="V645" s="276"/>
      <c r="W645" s="276"/>
      <c r="X645" s="276"/>
      <c r="Y645" s="276"/>
      <c r="Z645" s="276"/>
      <c r="AA645" s="276"/>
      <c r="AB645" s="276"/>
      <c r="AC645" s="276"/>
    </row>
    <row r="646">
      <c r="A646" s="107" t="s">
        <v>5568</v>
      </c>
      <c r="B646" s="92">
        <v>46035.0</v>
      </c>
      <c r="C646" s="107">
        <v>8.0501156661E11</v>
      </c>
      <c r="D646" s="107" t="s">
        <v>5569</v>
      </c>
      <c r="E646" s="107" t="s">
        <v>5570</v>
      </c>
      <c r="F646" s="107" t="s">
        <v>5571</v>
      </c>
      <c r="G646" s="107" t="s">
        <v>5046</v>
      </c>
      <c r="H646" s="107">
        <v>4530.0</v>
      </c>
      <c r="I646" s="107" t="s">
        <v>512</v>
      </c>
      <c r="J646" s="31" t="s">
        <v>513</v>
      </c>
      <c r="K646" s="33">
        <v>6.0</v>
      </c>
      <c r="L646" s="31">
        <v>3.878437265E9</v>
      </c>
      <c r="M646" s="34"/>
      <c r="N646" s="209"/>
      <c r="O646" s="209"/>
      <c r="P646" s="209"/>
      <c r="Q646" s="209"/>
      <c r="R646" s="209"/>
      <c r="S646" s="367"/>
      <c r="T646" s="276"/>
      <c r="U646" s="276"/>
      <c r="V646" s="276"/>
      <c r="W646" s="276"/>
      <c r="X646" s="276"/>
      <c r="Y646" s="276"/>
      <c r="Z646" s="276"/>
      <c r="AA646" s="276"/>
      <c r="AB646" s="276"/>
      <c r="AC646" s="276"/>
    </row>
    <row r="647">
      <c r="A647" s="107" t="s">
        <v>5568</v>
      </c>
      <c r="B647" s="92">
        <v>46035.0</v>
      </c>
      <c r="C647" s="107">
        <v>8.0501156661E11</v>
      </c>
      <c r="D647" s="107" t="s">
        <v>5569</v>
      </c>
      <c r="E647" s="107" t="s">
        <v>5570</v>
      </c>
      <c r="F647" s="107" t="s">
        <v>5571</v>
      </c>
      <c r="G647" s="107" t="s">
        <v>5046</v>
      </c>
      <c r="H647" s="107">
        <v>4530.0</v>
      </c>
      <c r="I647" s="107" t="s">
        <v>670</v>
      </c>
      <c r="J647" s="31" t="s">
        <v>3410</v>
      </c>
      <c r="K647" s="33">
        <v>1.0</v>
      </c>
      <c r="L647" s="31">
        <v>3.878437265E9</v>
      </c>
      <c r="M647" s="34"/>
      <c r="N647" s="206"/>
      <c r="O647" s="206"/>
      <c r="P647" s="206"/>
      <c r="Q647" s="206"/>
      <c r="R647" s="206"/>
      <c r="S647" s="367"/>
      <c r="T647" s="276"/>
      <c r="U647" s="276"/>
      <c r="V647" s="276"/>
      <c r="W647" s="276"/>
      <c r="X647" s="276"/>
      <c r="Y647" s="276"/>
      <c r="Z647" s="276"/>
      <c r="AA647" s="276"/>
      <c r="AB647" s="276"/>
      <c r="AC647" s="276"/>
    </row>
    <row r="648">
      <c r="A648" s="107" t="s">
        <v>5572</v>
      </c>
      <c r="B648" s="92">
        <v>46035.0</v>
      </c>
      <c r="C648" s="107">
        <v>8.05011566988E11</v>
      </c>
      <c r="D648" s="107" t="s">
        <v>5573</v>
      </c>
      <c r="E648" s="107" t="s">
        <v>5574</v>
      </c>
      <c r="F648" s="107" t="s">
        <v>5575</v>
      </c>
      <c r="G648" s="107" t="s">
        <v>5576</v>
      </c>
      <c r="H648" s="107">
        <v>4561.0</v>
      </c>
      <c r="I648" s="107" t="s">
        <v>32</v>
      </c>
      <c r="J648" s="31" t="s">
        <v>3225</v>
      </c>
      <c r="K648" s="33">
        <v>1.0</v>
      </c>
      <c r="L648" s="31">
        <v>3.873645533E9</v>
      </c>
      <c r="M648" s="31" t="s">
        <v>5577</v>
      </c>
      <c r="N648" s="429">
        <v>46043.0</v>
      </c>
      <c r="O648" s="430" t="s">
        <v>13338</v>
      </c>
      <c r="P648" s="431"/>
      <c r="Q648" s="430" t="s">
        <v>13599</v>
      </c>
      <c r="R648" s="432" t="s">
        <v>13600</v>
      </c>
      <c r="S648" s="367"/>
      <c r="T648" s="276"/>
      <c r="U648" s="276"/>
      <c r="V648" s="276"/>
      <c r="W648" s="276"/>
      <c r="X648" s="276"/>
      <c r="Y648" s="276"/>
      <c r="Z648" s="276"/>
      <c r="AA648" s="276"/>
      <c r="AB648" s="276"/>
      <c r="AC648" s="276"/>
    </row>
    <row r="649">
      <c r="A649" s="107" t="s">
        <v>5572</v>
      </c>
      <c r="B649" s="92">
        <v>46035.0</v>
      </c>
      <c r="C649" s="107">
        <v>8.05011566988E11</v>
      </c>
      <c r="D649" s="107" t="s">
        <v>5573</v>
      </c>
      <c r="E649" s="107" t="s">
        <v>5574</v>
      </c>
      <c r="F649" s="107" t="s">
        <v>5575</v>
      </c>
      <c r="G649" s="107" t="s">
        <v>5576</v>
      </c>
      <c r="H649" s="107">
        <v>4561.0</v>
      </c>
      <c r="I649" s="107" t="s">
        <v>512</v>
      </c>
      <c r="J649" s="31" t="s">
        <v>513</v>
      </c>
      <c r="K649" s="33">
        <v>6.0</v>
      </c>
      <c r="L649" s="31">
        <v>3.873645533E9</v>
      </c>
      <c r="M649" s="31" t="s">
        <v>5577</v>
      </c>
      <c r="N649" s="209"/>
      <c r="O649" s="209"/>
      <c r="P649" s="209"/>
      <c r="Q649" s="209"/>
      <c r="R649" s="209"/>
      <c r="S649" s="367"/>
      <c r="T649" s="276"/>
      <c r="U649" s="276"/>
      <c r="V649" s="276"/>
      <c r="W649" s="276"/>
      <c r="X649" s="276"/>
      <c r="Y649" s="276"/>
      <c r="Z649" s="276"/>
      <c r="AA649" s="276"/>
      <c r="AB649" s="276"/>
      <c r="AC649" s="276"/>
    </row>
    <row r="650">
      <c r="A650" s="107" t="s">
        <v>5572</v>
      </c>
      <c r="B650" s="92">
        <v>46035.0</v>
      </c>
      <c r="C650" s="107">
        <v>8.05011566988E11</v>
      </c>
      <c r="D650" s="107" t="s">
        <v>5573</v>
      </c>
      <c r="E650" s="107" t="s">
        <v>5574</v>
      </c>
      <c r="F650" s="107" t="s">
        <v>5575</v>
      </c>
      <c r="G650" s="107" t="s">
        <v>5576</v>
      </c>
      <c r="H650" s="107">
        <v>4561.0</v>
      </c>
      <c r="I650" s="107" t="s">
        <v>35</v>
      </c>
      <c r="J650" s="31" t="s">
        <v>3188</v>
      </c>
      <c r="K650" s="33">
        <v>1.0</v>
      </c>
      <c r="L650" s="31">
        <v>3.873645533E9</v>
      </c>
      <c r="M650" s="31" t="s">
        <v>5577</v>
      </c>
      <c r="N650" s="206"/>
      <c r="O650" s="206"/>
      <c r="P650" s="206"/>
      <c r="Q650" s="206"/>
      <c r="R650" s="206"/>
      <c r="S650" s="367"/>
      <c r="T650" s="276"/>
      <c r="U650" s="276"/>
      <c r="V650" s="276"/>
      <c r="W650" s="276"/>
      <c r="X650" s="276"/>
      <c r="Y650" s="276"/>
      <c r="Z650" s="276"/>
      <c r="AA650" s="276"/>
      <c r="AB650" s="276"/>
      <c r="AC650" s="276"/>
    </row>
    <row r="651">
      <c r="A651" s="107" t="s">
        <v>5578</v>
      </c>
      <c r="B651" s="92">
        <v>46035.0</v>
      </c>
      <c r="C651" s="107">
        <v>8.05011567247E11</v>
      </c>
      <c r="D651" s="107" t="s">
        <v>5579</v>
      </c>
      <c r="E651" s="107" t="s">
        <v>5580</v>
      </c>
      <c r="F651" s="107" t="s">
        <v>5581</v>
      </c>
      <c r="G651" s="107" t="s">
        <v>5582</v>
      </c>
      <c r="H651" s="107">
        <v>4400.0</v>
      </c>
      <c r="I651" s="107" t="s">
        <v>617</v>
      </c>
      <c r="J651" s="31" t="s">
        <v>3867</v>
      </c>
      <c r="K651" s="33">
        <v>1.0</v>
      </c>
      <c r="L651" s="31">
        <v>3.87473511E9</v>
      </c>
      <c r="M651" s="34"/>
      <c r="N651" s="429">
        <v>46037.0</v>
      </c>
      <c r="O651" s="430" t="s">
        <v>13338</v>
      </c>
      <c r="P651" s="431"/>
      <c r="Q651" s="430" t="s">
        <v>13601</v>
      </c>
      <c r="R651" s="432" t="s">
        <v>13602</v>
      </c>
      <c r="S651" s="367"/>
      <c r="T651" s="276"/>
      <c r="U651" s="276"/>
      <c r="V651" s="276"/>
      <c r="W651" s="276"/>
      <c r="X651" s="276"/>
      <c r="Y651" s="276"/>
      <c r="Z651" s="276"/>
      <c r="AA651" s="276"/>
      <c r="AB651" s="276"/>
      <c r="AC651" s="276"/>
    </row>
    <row r="652">
      <c r="A652" s="107" t="s">
        <v>5578</v>
      </c>
      <c r="B652" s="92">
        <v>46035.0</v>
      </c>
      <c r="C652" s="107">
        <v>8.05011567247E11</v>
      </c>
      <c r="D652" s="107" t="s">
        <v>5579</v>
      </c>
      <c r="E652" s="107" t="s">
        <v>5580</v>
      </c>
      <c r="F652" s="107" t="s">
        <v>5581</v>
      </c>
      <c r="G652" s="107" t="s">
        <v>5582</v>
      </c>
      <c r="H652" s="107">
        <v>4400.0</v>
      </c>
      <c r="I652" s="107" t="s">
        <v>512</v>
      </c>
      <c r="J652" s="31" t="s">
        <v>513</v>
      </c>
      <c r="K652" s="33">
        <v>12.0</v>
      </c>
      <c r="L652" s="31">
        <v>3.87473511E9</v>
      </c>
      <c r="M652" s="34"/>
      <c r="N652" s="209"/>
      <c r="O652" s="209"/>
      <c r="P652" s="209"/>
      <c r="Q652" s="209"/>
      <c r="R652" s="209"/>
      <c r="S652" s="367"/>
      <c r="T652" s="276"/>
      <c r="U652" s="276"/>
      <c r="V652" s="276"/>
      <c r="W652" s="276"/>
      <c r="X652" s="276"/>
      <c r="Y652" s="276"/>
      <c r="Z652" s="276"/>
      <c r="AA652" s="276"/>
      <c r="AB652" s="276"/>
      <c r="AC652" s="276"/>
    </row>
    <row r="653">
      <c r="A653" s="107" t="s">
        <v>5578</v>
      </c>
      <c r="B653" s="92">
        <v>46035.0</v>
      </c>
      <c r="C653" s="107">
        <v>8.05011567247E11</v>
      </c>
      <c r="D653" s="107" t="s">
        <v>5579</v>
      </c>
      <c r="E653" s="107" t="s">
        <v>5580</v>
      </c>
      <c r="F653" s="107" t="s">
        <v>5581</v>
      </c>
      <c r="G653" s="107" t="s">
        <v>5582</v>
      </c>
      <c r="H653" s="107">
        <v>4400.0</v>
      </c>
      <c r="I653" s="107" t="s">
        <v>645</v>
      </c>
      <c r="J653" s="31" t="s">
        <v>3253</v>
      </c>
      <c r="K653" s="33">
        <v>2.0</v>
      </c>
      <c r="L653" s="31">
        <v>3.87473511E9</v>
      </c>
      <c r="M653" s="34"/>
      <c r="N653" s="206"/>
      <c r="O653" s="206"/>
      <c r="P653" s="206"/>
      <c r="Q653" s="206"/>
      <c r="R653" s="206"/>
      <c r="S653" s="367"/>
      <c r="T653" s="276"/>
      <c r="U653" s="276"/>
      <c r="V653" s="276"/>
      <c r="W653" s="276"/>
      <c r="X653" s="276"/>
      <c r="Y653" s="276"/>
      <c r="Z653" s="276"/>
      <c r="AA653" s="276"/>
      <c r="AB653" s="276"/>
      <c r="AC653" s="276"/>
    </row>
    <row r="654">
      <c r="A654" s="107" t="s">
        <v>5583</v>
      </c>
      <c r="B654" s="92">
        <v>46035.0</v>
      </c>
      <c r="C654" s="107">
        <v>8.05011567187E11</v>
      </c>
      <c r="D654" s="107" t="s">
        <v>5584</v>
      </c>
      <c r="E654" s="107" t="s">
        <v>5585</v>
      </c>
      <c r="F654" s="107" t="s">
        <v>5586</v>
      </c>
      <c r="G654" s="107" t="s">
        <v>5587</v>
      </c>
      <c r="H654" s="107">
        <v>4568.0</v>
      </c>
      <c r="I654" s="107" t="s">
        <v>761</v>
      </c>
      <c r="J654" s="31" t="s">
        <v>3761</v>
      </c>
      <c r="K654" s="33">
        <v>1.0</v>
      </c>
      <c r="L654" s="31">
        <v>3.873501817E9</v>
      </c>
      <c r="M654" s="31" t="s">
        <v>5588</v>
      </c>
      <c r="N654" s="429">
        <v>46043.0</v>
      </c>
      <c r="O654" s="430" t="s">
        <v>13338</v>
      </c>
      <c r="P654" s="431"/>
      <c r="Q654" s="430" t="s">
        <v>13339</v>
      </c>
      <c r="R654" s="432" t="s">
        <v>13603</v>
      </c>
      <c r="S654" s="367"/>
      <c r="T654" s="276"/>
      <c r="U654" s="276"/>
      <c r="V654" s="276"/>
      <c r="W654" s="276"/>
      <c r="X654" s="276"/>
      <c r="Y654" s="276"/>
      <c r="Z654" s="276"/>
      <c r="AA654" s="276"/>
      <c r="AB654" s="276"/>
      <c r="AC654" s="276"/>
    </row>
    <row r="655">
      <c r="A655" s="107" t="s">
        <v>5583</v>
      </c>
      <c r="B655" s="92">
        <v>46035.0</v>
      </c>
      <c r="C655" s="107">
        <v>8.05011567187E11</v>
      </c>
      <c r="D655" s="107" t="s">
        <v>5584</v>
      </c>
      <c r="E655" s="107" t="s">
        <v>5585</v>
      </c>
      <c r="F655" s="107" t="s">
        <v>5586</v>
      </c>
      <c r="G655" s="107" t="s">
        <v>5587</v>
      </c>
      <c r="H655" s="107">
        <v>4568.0</v>
      </c>
      <c r="I655" s="107" t="s">
        <v>512</v>
      </c>
      <c r="J655" s="31" t="s">
        <v>513</v>
      </c>
      <c r="K655" s="33">
        <v>12.0</v>
      </c>
      <c r="L655" s="31">
        <v>3.873501817E9</v>
      </c>
      <c r="M655" s="31" t="s">
        <v>5588</v>
      </c>
      <c r="N655" s="209"/>
      <c r="O655" s="209"/>
      <c r="P655" s="209"/>
      <c r="Q655" s="209"/>
      <c r="R655" s="209"/>
      <c r="S655" s="367"/>
      <c r="T655" s="276"/>
      <c r="U655" s="276"/>
      <c r="V655" s="276"/>
      <c r="W655" s="276"/>
      <c r="X655" s="276"/>
      <c r="Y655" s="276"/>
      <c r="Z655" s="276"/>
      <c r="AA655" s="276"/>
      <c r="AB655" s="276"/>
      <c r="AC655" s="276"/>
    </row>
    <row r="656">
      <c r="A656" s="107" t="s">
        <v>5583</v>
      </c>
      <c r="B656" s="92">
        <v>46035.0</v>
      </c>
      <c r="C656" s="107">
        <v>8.05011567187E11</v>
      </c>
      <c r="D656" s="107" t="s">
        <v>5584</v>
      </c>
      <c r="E656" s="107" t="s">
        <v>5585</v>
      </c>
      <c r="F656" s="107" t="s">
        <v>5586</v>
      </c>
      <c r="G656" s="107" t="s">
        <v>5587</v>
      </c>
      <c r="H656" s="107">
        <v>4568.0</v>
      </c>
      <c r="I656" s="107" t="s">
        <v>758</v>
      </c>
      <c r="J656" s="31" t="s">
        <v>3574</v>
      </c>
      <c r="K656" s="33">
        <v>2.0</v>
      </c>
      <c r="L656" s="31">
        <v>3.873501817E9</v>
      </c>
      <c r="M656" s="31" t="s">
        <v>5588</v>
      </c>
      <c r="N656" s="206"/>
      <c r="O656" s="206"/>
      <c r="P656" s="206"/>
      <c r="Q656" s="206"/>
      <c r="R656" s="206"/>
      <c r="S656" s="367"/>
      <c r="T656" s="276"/>
      <c r="U656" s="276"/>
      <c r="V656" s="276"/>
      <c r="W656" s="276"/>
      <c r="X656" s="276"/>
      <c r="Y656" s="276"/>
      <c r="Z656" s="276"/>
      <c r="AA656" s="276"/>
      <c r="AB656" s="276"/>
      <c r="AC656" s="276"/>
    </row>
    <row r="657">
      <c r="A657" s="107" t="s">
        <v>5589</v>
      </c>
      <c r="B657" s="92">
        <v>46035.0</v>
      </c>
      <c r="C657" s="107">
        <v>8.05011565863E11</v>
      </c>
      <c r="D657" s="107" t="s">
        <v>5590</v>
      </c>
      <c r="E657" s="107" t="s">
        <v>5591</v>
      </c>
      <c r="F657" s="107" t="s">
        <v>5592</v>
      </c>
      <c r="G657" s="107" t="s">
        <v>4635</v>
      </c>
      <c r="H657" s="107">
        <v>4530.0</v>
      </c>
      <c r="I657" s="107" t="s">
        <v>617</v>
      </c>
      <c r="J657" s="31" t="s">
        <v>3867</v>
      </c>
      <c r="K657" s="33">
        <v>1.0</v>
      </c>
      <c r="L657" s="31" t="s">
        <v>5479</v>
      </c>
      <c r="M657" s="31" t="s">
        <v>5593</v>
      </c>
      <c r="N657" s="429">
        <v>46043.0</v>
      </c>
      <c r="O657" s="430" t="s">
        <v>13338</v>
      </c>
      <c r="P657" s="431"/>
      <c r="Q657" s="430" t="s">
        <v>13339</v>
      </c>
      <c r="R657" s="432" t="s">
        <v>13604</v>
      </c>
      <c r="S657" s="367"/>
      <c r="T657" s="276"/>
      <c r="U657" s="276"/>
      <c r="V657" s="276"/>
      <c r="W657" s="276"/>
      <c r="X657" s="276"/>
      <c r="Y657" s="276"/>
      <c r="Z657" s="276"/>
      <c r="AA657" s="276"/>
      <c r="AB657" s="276"/>
      <c r="AC657" s="276"/>
    </row>
    <row r="658">
      <c r="A658" s="107" t="s">
        <v>5589</v>
      </c>
      <c r="B658" s="92">
        <v>46035.0</v>
      </c>
      <c r="C658" s="107">
        <v>8.05011565863E11</v>
      </c>
      <c r="D658" s="107" t="s">
        <v>5590</v>
      </c>
      <c r="E658" s="107" t="s">
        <v>5591</v>
      </c>
      <c r="F658" s="107" t="s">
        <v>5592</v>
      </c>
      <c r="G658" s="107" t="s">
        <v>4635</v>
      </c>
      <c r="H658" s="107">
        <v>4530.0</v>
      </c>
      <c r="I658" s="107" t="s">
        <v>512</v>
      </c>
      <c r="J658" s="31" t="s">
        <v>513</v>
      </c>
      <c r="K658" s="33">
        <v>12.0</v>
      </c>
      <c r="L658" s="31" t="s">
        <v>5479</v>
      </c>
      <c r="M658" s="31" t="s">
        <v>5593</v>
      </c>
      <c r="N658" s="209"/>
      <c r="O658" s="209"/>
      <c r="P658" s="209"/>
      <c r="Q658" s="209"/>
      <c r="R658" s="209"/>
      <c r="S658" s="367"/>
      <c r="T658" s="276"/>
      <c r="U658" s="276"/>
      <c r="V658" s="276"/>
      <c r="W658" s="276"/>
      <c r="X658" s="276"/>
      <c r="Y658" s="276"/>
      <c r="Z658" s="276"/>
      <c r="AA658" s="276"/>
      <c r="AB658" s="276"/>
      <c r="AC658" s="276"/>
    </row>
    <row r="659">
      <c r="A659" s="107" t="s">
        <v>5589</v>
      </c>
      <c r="B659" s="92">
        <v>46035.0</v>
      </c>
      <c r="C659" s="107">
        <v>8.05011565863E11</v>
      </c>
      <c r="D659" s="107" t="s">
        <v>5590</v>
      </c>
      <c r="E659" s="107" t="s">
        <v>5591</v>
      </c>
      <c r="F659" s="107" t="s">
        <v>5592</v>
      </c>
      <c r="G659" s="107" t="s">
        <v>4635</v>
      </c>
      <c r="H659" s="107">
        <v>4530.0</v>
      </c>
      <c r="I659" s="107" t="s">
        <v>645</v>
      </c>
      <c r="J659" s="31" t="s">
        <v>3253</v>
      </c>
      <c r="K659" s="33">
        <v>2.0</v>
      </c>
      <c r="L659" s="31" t="s">
        <v>5479</v>
      </c>
      <c r="M659" s="31" t="s">
        <v>5593</v>
      </c>
      <c r="N659" s="206"/>
      <c r="O659" s="206"/>
      <c r="P659" s="206"/>
      <c r="Q659" s="206"/>
      <c r="R659" s="206"/>
      <c r="S659" s="367"/>
      <c r="T659" s="276"/>
      <c r="U659" s="276"/>
      <c r="V659" s="276"/>
      <c r="W659" s="276"/>
      <c r="X659" s="276"/>
      <c r="Y659" s="276"/>
      <c r="Z659" s="276"/>
      <c r="AA659" s="276"/>
      <c r="AB659" s="276"/>
      <c r="AC659" s="276"/>
    </row>
    <row r="660">
      <c r="A660" s="107" t="s">
        <v>5594</v>
      </c>
      <c r="B660" s="92">
        <v>46035.0</v>
      </c>
      <c r="C660" s="107">
        <v>8.05011567573E11</v>
      </c>
      <c r="D660" s="107" t="s">
        <v>5595</v>
      </c>
      <c r="E660" s="107" t="s">
        <v>5596</v>
      </c>
      <c r="F660" s="107" t="s">
        <v>5597</v>
      </c>
      <c r="G660" s="107" t="s">
        <v>20</v>
      </c>
      <c r="H660" s="107">
        <v>4400.0</v>
      </c>
      <c r="I660" s="107" t="s">
        <v>3285</v>
      </c>
      <c r="J660" s="31" t="s">
        <v>3286</v>
      </c>
      <c r="K660" s="33">
        <v>1.0</v>
      </c>
      <c r="L660" s="31">
        <v>3.875645581E9</v>
      </c>
      <c r="M660" s="34"/>
      <c r="N660" s="429">
        <v>46042.0</v>
      </c>
      <c r="O660" s="430" t="s">
        <v>13338</v>
      </c>
      <c r="P660" s="431"/>
      <c r="Q660" s="430" t="s">
        <v>13339</v>
      </c>
      <c r="R660" s="432" t="s">
        <v>13605</v>
      </c>
      <c r="S660" s="367"/>
      <c r="T660" s="276"/>
      <c r="U660" s="276"/>
      <c r="V660" s="276"/>
      <c r="W660" s="276"/>
      <c r="X660" s="276"/>
      <c r="Y660" s="276"/>
      <c r="Z660" s="276"/>
      <c r="AA660" s="276"/>
      <c r="AB660" s="276"/>
      <c r="AC660" s="276"/>
    </row>
    <row r="661">
      <c r="A661" s="107" t="s">
        <v>5594</v>
      </c>
      <c r="B661" s="92">
        <v>46035.0</v>
      </c>
      <c r="C661" s="107">
        <v>8.05011567573E11</v>
      </c>
      <c r="D661" s="107" t="s">
        <v>5595</v>
      </c>
      <c r="E661" s="107" t="s">
        <v>5596</v>
      </c>
      <c r="F661" s="107" t="s">
        <v>5597</v>
      </c>
      <c r="G661" s="107" t="s">
        <v>20</v>
      </c>
      <c r="H661" s="107">
        <v>4400.0</v>
      </c>
      <c r="I661" s="107" t="s">
        <v>512</v>
      </c>
      <c r="J661" s="31" t="s">
        <v>513</v>
      </c>
      <c r="K661" s="33">
        <v>6.0</v>
      </c>
      <c r="L661" s="31">
        <v>3.875645581E9</v>
      </c>
      <c r="M661" s="34"/>
      <c r="N661" s="209"/>
      <c r="O661" s="209"/>
      <c r="P661" s="209"/>
      <c r="Q661" s="209"/>
      <c r="R661" s="209"/>
      <c r="S661" s="367"/>
      <c r="T661" s="276"/>
      <c r="U661" s="276"/>
      <c r="V661" s="276"/>
      <c r="W661" s="276"/>
      <c r="X661" s="276"/>
      <c r="Y661" s="276"/>
      <c r="Z661" s="276"/>
      <c r="AA661" s="276"/>
      <c r="AB661" s="276"/>
      <c r="AC661" s="276"/>
    </row>
    <row r="662">
      <c r="A662" s="107" t="s">
        <v>5594</v>
      </c>
      <c r="B662" s="92">
        <v>46035.0</v>
      </c>
      <c r="C662" s="107">
        <v>8.05011567573E11</v>
      </c>
      <c r="D662" s="107" t="s">
        <v>5595</v>
      </c>
      <c r="E662" s="107" t="s">
        <v>5596</v>
      </c>
      <c r="F662" s="107" t="s">
        <v>5597</v>
      </c>
      <c r="G662" s="107" t="s">
        <v>20</v>
      </c>
      <c r="H662" s="107">
        <v>4400.0</v>
      </c>
      <c r="I662" s="107" t="s">
        <v>670</v>
      </c>
      <c r="J662" s="31" t="s">
        <v>3410</v>
      </c>
      <c r="K662" s="33">
        <v>1.0</v>
      </c>
      <c r="L662" s="31">
        <v>3.875645581E9</v>
      </c>
      <c r="M662" s="34"/>
      <c r="N662" s="206"/>
      <c r="O662" s="206"/>
      <c r="P662" s="209"/>
      <c r="Q662" s="206"/>
      <c r="R662" s="206"/>
      <c r="S662" s="367"/>
      <c r="T662" s="276"/>
      <c r="U662" s="276"/>
      <c r="V662" s="276"/>
      <c r="W662" s="276"/>
      <c r="X662" s="276"/>
      <c r="Y662" s="276"/>
      <c r="Z662" s="276"/>
      <c r="AA662" s="276"/>
      <c r="AB662" s="276"/>
      <c r="AC662" s="276"/>
    </row>
    <row r="663">
      <c r="A663" s="107" t="s">
        <v>5598</v>
      </c>
      <c r="B663" s="92">
        <v>46035.0</v>
      </c>
      <c r="C663" s="107">
        <v>8.07025034541E11</v>
      </c>
      <c r="D663" s="107" t="s">
        <v>5599</v>
      </c>
      <c r="E663" s="107" t="s">
        <v>5600</v>
      </c>
      <c r="F663" s="107" t="s">
        <v>5601</v>
      </c>
      <c r="G663" s="107" t="s">
        <v>127</v>
      </c>
      <c r="H663" s="107">
        <v>4400.0</v>
      </c>
      <c r="I663" s="107" t="s">
        <v>812</v>
      </c>
      <c r="J663" s="31" t="s">
        <v>3564</v>
      </c>
      <c r="K663" s="33">
        <v>1.0</v>
      </c>
      <c r="L663" s="31">
        <v>3.874769605E9</v>
      </c>
      <c r="M663" s="31" t="s">
        <v>5602</v>
      </c>
      <c r="N663" s="433">
        <v>46037.0</v>
      </c>
      <c r="O663" s="261" t="s">
        <v>13606</v>
      </c>
      <c r="P663" s="435"/>
      <c r="Q663" s="261" t="s">
        <v>13339</v>
      </c>
      <c r="R663" s="434" t="s">
        <v>13607</v>
      </c>
      <c r="S663" s="367"/>
      <c r="T663" s="276"/>
      <c r="U663" s="276"/>
      <c r="V663" s="276"/>
      <c r="W663" s="276"/>
      <c r="X663" s="276"/>
      <c r="Y663" s="276"/>
      <c r="Z663" s="276"/>
      <c r="AA663" s="276"/>
      <c r="AB663" s="276"/>
      <c r="AC663" s="276"/>
    </row>
    <row r="664">
      <c r="A664" s="107" t="s">
        <v>5603</v>
      </c>
      <c r="B664" s="92">
        <v>46035.0</v>
      </c>
      <c r="C664" s="107">
        <v>8.05011567818E11</v>
      </c>
      <c r="D664" s="107" t="s">
        <v>5604</v>
      </c>
      <c r="E664" s="107" t="s">
        <v>5605</v>
      </c>
      <c r="F664" s="107" t="s">
        <v>5606</v>
      </c>
      <c r="G664" s="107" t="s">
        <v>835</v>
      </c>
      <c r="H664" s="107">
        <v>4550.0</v>
      </c>
      <c r="I664" s="107">
        <v>63304.0</v>
      </c>
      <c r="J664" s="31" t="s">
        <v>5607</v>
      </c>
      <c r="K664" s="33">
        <v>1.0</v>
      </c>
      <c r="L664" s="31">
        <v>3.878568756E9</v>
      </c>
      <c r="M664" s="31" t="s">
        <v>5608</v>
      </c>
      <c r="N664" s="433">
        <v>46043.0</v>
      </c>
      <c r="O664" s="261" t="s">
        <v>13338</v>
      </c>
      <c r="P664" s="435"/>
      <c r="Q664" s="261" t="s">
        <v>13608</v>
      </c>
      <c r="R664" s="434" t="s">
        <v>13609</v>
      </c>
      <c r="S664" s="367"/>
      <c r="T664" s="276"/>
      <c r="U664" s="276"/>
      <c r="V664" s="276"/>
      <c r="W664" s="276"/>
      <c r="X664" s="276"/>
      <c r="Y664" s="276"/>
      <c r="Z664" s="276"/>
      <c r="AA664" s="276"/>
      <c r="AB664" s="276"/>
      <c r="AC664" s="276"/>
    </row>
    <row r="665">
      <c r="A665" s="108" t="s">
        <v>11693</v>
      </c>
      <c r="B665" s="173">
        <v>46034.0</v>
      </c>
      <c r="C665" s="374">
        <v>8.07000034522E11</v>
      </c>
      <c r="D665" s="374" t="s">
        <v>11694</v>
      </c>
      <c r="E665" s="374" t="s">
        <v>11695</v>
      </c>
      <c r="F665" s="145" t="s">
        <v>11696</v>
      </c>
      <c r="G665" s="176" t="s">
        <v>127</v>
      </c>
      <c r="H665" s="177">
        <v>4400.0</v>
      </c>
      <c r="I665" s="176">
        <v>125808.0</v>
      </c>
      <c r="J665" s="240" t="s">
        <v>7199</v>
      </c>
      <c r="K665" s="242">
        <v>2.0</v>
      </c>
      <c r="L665" s="242">
        <v>3.871554605E9</v>
      </c>
      <c r="N665" s="203">
        <v>46034.0</v>
      </c>
      <c r="O665" s="204" t="s">
        <v>9011</v>
      </c>
      <c r="P665" s="435"/>
      <c r="Q665" s="430" t="s">
        <v>13610</v>
      </c>
      <c r="R665" s="432" t="s">
        <v>13611</v>
      </c>
      <c r="S665" s="367"/>
      <c r="T665" s="276"/>
      <c r="U665" s="276"/>
      <c r="V665" s="276"/>
      <c r="W665" s="276"/>
      <c r="X665" s="276"/>
      <c r="Y665" s="276"/>
      <c r="Z665" s="276"/>
      <c r="AA665" s="276"/>
      <c r="AB665" s="276"/>
      <c r="AC665" s="276"/>
    </row>
    <row r="666">
      <c r="A666" s="108" t="s">
        <v>11697</v>
      </c>
      <c r="B666" s="173">
        <v>46034.0</v>
      </c>
      <c r="C666" s="374">
        <v>8.07000034523E11</v>
      </c>
      <c r="D666" s="374" t="s">
        <v>11694</v>
      </c>
      <c r="E666" s="374" t="s">
        <v>11695</v>
      </c>
      <c r="F666" s="145" t="s">
        <v>11696</v>
      </c>
      <c r="G666" s="176" t="s">
        <v>127</v>
      </c>
      <c r="H666" s="108">
        <v>4400.0</v>
      </c>
      <c r="I666" s="176" t="s">
        <v>512</v>
      </c>
      <c r="J666" s="103" t="s">
        <v>513</v>
      </c>
      <c r="K666" s="241">
        <v>6.0</v>
      </c>
      <c r="L666" s="242">
        <v>3.871554605E9</v>
      </c>
      <c r="N666" s="209"/>
      <c r="O666" s="209"/>
      <c r="P666" s="209"/>
      <c r="Q666" s="209"/>
      <c r="R666" s="209"/>
      <c r="S666" s="367"/>
      <c r="T666" s="276"/>
      <c r="U666" s="276"/>
      <c r="V666" s="276"/>
      <c r="W666" s="276"/>
      <c r="X666" s="276"/>
      <c r="Y666" s="276"/>
      <c r="Z666" s="276"/>
      <c r="AA666" s="276"/>
      <c r="AB666" s="276"/>
      <c r="AC666" s="276"/>
    </row>
    <row r="667">
      <c r="A667" s="108" t="s">
        <v>11697</v>
      </c>
      <c r="B667" s="173">
        <v>46034.0</v>
      </c>
      <c r="C667" s="374">
        <v>8.07000034524E11</v>
      </c>
      <c r="D667" s="374" t="s">
        <v>11694</v>
      </c>
      <c r="E667" s="374" t="s">
        <v>11695</v>
      </c>
      <c r="F667" s="145" t="s">
        <v>11696</v>
      </c>
      <c r="G667" s="176" t="s">
        <v>127</v>
      </c>
      <c r="H667" s="108">
        <v>4400.0</v>
      </c>
      <c r="I667" s="176" t="s">
        <v>3451</v>
      </c>
      <c r="J667" s="240" t="s">
        <v>3452</v>
      </c>
      <c r="K667" s="242">
        <v>1.0</v>
      </c>
      <c r="L667" s="242">
        <v>3.871554605E9</v>
      </c>
      <c r="N667" s="209"/>
      <c r="O667" s="209"/>
      <c r="P667" s="209"/>
      <c r="Q667" s="209"/>
      <c r="R667" s="209"/>
      <c r="S667" s="367"/>
      <c r="T667" s="276"/>
      <c r="U667" s="276"/>
      <c r="V667" s="276"/>
      <c r="W667" s="276"/>
      <c r="X667" s="276"/>
      <c r="Y667" s="276"/>
      <c r="Z667" s="276"/>
      <c r="AA667" s="276"/>
      <c r="AB667" s="276"/>
      <c r="AC667" s="276"/>
    </row>
    <row r="668">
      <c r="A668" s="108" t="s">
        <v>11697</v>
      </c>
      <c r="B668" s="173">
        <v>46034.0</v>
      </c>
      <c r="C668" s="374">
        <v>8.07000034524E11</v>
      </c>
      <c r="D668" s="374" t="s">
        <v>11694</v>
      </c>
      <c r="E668" s="374" t="s">
        <v>11695</v>
      </c>
      <c r="F668" s="145" t="s">
        <v>11696</v>
      </c>
      <c r="G668" s="176" t="s">
        <v>127</v>
      </c>
      <c r="H668" s="108">
        <v>4400.0</v>
      </c>
      <c r="I668" s="176" t="s">
        <v>670</v>
      </c>
      <c r="J668" s="103" t="s">
        <v>3410</v>
      </c>
      <c r="K668" s="241">
        <v>1.0</v>
      </c>
      <c r="L668" s="242">
        <v>3.871554605E9</v>
      </c>
      <c r="N668" s="206"/>
      <c r="O668" s="206"/>
      <c r="P668" s="209"/>
      <c r="Q668" s="206"/>
      <c r="R668" s="206"/>
      <c r="S668" s="367"/>
      <c r="T668" s="276"/>
      <c r="U668" s="276"/>
      <c r="V668" s="276"/>
      <c r="W668" s="276"/>
      <c r="X668" s="276"/>
      <c r="Y668" s="276"/>
      <c r="Z668" s="276"/>
      <c r="AA668" s="276"/>
      <c r="AB668" s="276"/>
      <c r="AC668" s="276"/>
    </row>
    <row r="669">
      <c r="A669" s="108" t="s">
        <v>11698</v>
      </c>
      <c r="B669" s="173">
        <v>46034.0</v>
      </c>
      <c r="C669" s="374">
        <v>8.07000034551E11</v>
      </c>
      <c r="D669" s="374" t="s">
        <v>11699</v>
      </c>
      <c r="E669" s="374" t="s">
        <v>11700</v>
      </c>
      <c r="F669" s="177" t="s">
        <v>11701</v>
      </c>
      <c r="G669" s="176" t="s">
        <v>127</v>
      </c>
      <c r="H669" s="177">
        <v>4400.0</v>
      </c>
      <c r="I669" s="176">
        <v>125823.0</v>
      </c>
      <c r="J669" s="240" t="s">
        <v>11232</v>
      </c>
      <c r="K669" s="242">
        <v>2.0</v>
      </c>
      <c r="L669" s="124">
        <v>3.875605631E9</v>
      </c>
      <c r="N669" s="203">
        <v>46035.0</v>
      </c>
      <c r="O669" s="204" t="s">
        <v>9011</v>
      </c>
      <c r="P669" s="435"/>
      <c r="Q669" s="430" t="s">
        <v>9012</v>
      </c>
      <c r="R669" s="432" t="s">
        <v>13612</v>
      </c>
      <c r="S669" s="367"/>
      <c r="T669" s="276"/>
      <c r="U669" s="276"/>
      <c r="V669" s="276"/>
      <c r="W669" s="276"/>
      <c r="X669" s="276"/>
      <c r="Y669" s="276"/>
      <c r="Z669" s="276"/>
      <c r="AA669" s="276"/>
      <c r="AB669" s="276"/>
      <c r="AC669" s="276"/>
    </row>
    <row r="670">
      <c r="A670" s="108" t="s">
        <v>11698</v>
      </c>
      <c r="B670" s="173">
        <v>46034.0</v>
      </c>
      <c r="C670" s="374">
        <v>8.07000034551E11</v>
      </c>
      <c r="D670" s="374" t="s">
        <v>11699</v>
      </c>
      <c r="E670" s="374" t="s">
        <v>11700</v>
      </c>
      <c r="F670" s="177" t="s">
        <v>11701</v>
      </c>
      <c r="G670" s="176" t="s">
        <v>127</v>
      </c>
      <c r="H670" s="177">
        <v>4400.0</v>
      </c>
      <c r="I670" s="176" t="s">
        <v>8295</v>
      </c>
      <c r="J670" s="103" t="s">
        <v>8296</v>
      </c>
      <c r="K670" s="241">
        <v>1.0</v>
      </c>
      <c r="L670" s="124">
        <v>3.875605631E9</v>
      </c>
      <c r="N670" s="206"/>
      <c r="O670" s="206"/>
      <c r="P670" s="209"/>
      <c r="Q670" s="206"/>
      <c r="R670" s="206"/>
      <c r="S670" s="367"/>
      <c r="T670" s="276"/>
      <c r="U670" s="276"/>
      <c r="V670" s="276"/>
      <c r="W670" s="276"/>
      <c r="X670" s="276"/>
      <c r="Y670" s="276"/>
      <c r="Z670" s="276"/>
      <c r="AA670" s="276"/>
      <c r="AB670" s="276"/>
      <c r="AC670" s="276"/>
    </row>
    <row r="671">
      <c r="A671" s="108" t="s">
        <v>11702</v>
      </c>
      <c r="B671" s="173">
        <v>46034.0</v>
      </c>
      <c r="C671" s="374">
        <v>8.07000034552E11</v>
      </c>
      <c r="D671" s="374" t="s">
        <v>11703</v>
      </c>
      <c r="E671" s="374" t="s">
        <v>11704</v>
      </c>
      <c r="F671" s="145" t="s">
        <v>11705</v>
      </c>
      <c r="G671" s="176" t="s">
        <v>127</v>
      </c>
      <c r="H671" s="108">
        <v>4400.0</v>
      </c>
      <c r="I671" s="176">
        <v>125813.0</v>
      </c>
      <c r="J671" s="240" t="s">
        <v>5703</v>
      </c>
      <c r="K671" s="242">
        <v>2.0</v>
      </c>
      <c r="L671" s="124">
        <v>3.874591517E9</v>
      </c>
      <c r="N671" s="203">
        <v>46034.0</v>
      </c>
      <c r="O671" s="204" t="s">
        <v>9011</v>
      </c>
      <c r="P671" s="435"/>
      <c r="Q671" s="430" t="s">
        <v>9012</v>
      </c>
      <c r="R671" s="432" t="s">
        <v>13613</v>
      </c>
      <c r="S671" s="367"/>
      <c r="T671" s="276"/>
      <c r="U671" s="276"/>
      <c r="V671" s="276"/>
      <c r="W671" s="276"/>
      <c r="X671" s="276"/>
      <c r="Y671" s="276"/>
      <c r="Z671" s="276"/>
      <c r="AA671" s="276"/>
      <c r="AB671" s="276"/>
      <c r="AC671" s="276"/>
    </row>
    <row r="672">
      <c r="A672" s="108" t="s">
        <v>11702</v>
      </c>
      <c r="B672" s="173">
        <v>46034.0</v>
      </c>
      <c r="C672" s="374">
        <v>8.07000034553E11</v>
      </c>
      <c r="D672" s="374" t="s">
        <v>11703</v>
      </c>
      <c r="E672" s="374" t="s">
        <v>11704</v>
      </c>
      <c r="F672" s="145" t="s">
        <v>11705</v>
      </c>
      <c r="G672" s="176" t="s">
        <v>127</v>
      </c>
      <c r="H672" s="108">
        <v>4400.0</v>
      </c>
      <c r="I672" s="176" t="s">
        <v>3649</v>
      </c>
      <c r="J672" s="103" t="s">
        <v>3650</v>
      </c>
      <c r="K672" s="241">
        <v>1.0</v>
      </c>
      <c r="L672" s="124">
        <v>3.874591517E9</v>
      </c>
      <c r="N672" s="206"/>
      <c r="O672" s="206"/>
      <c r="P672" s="209"/>
      <c r="Q672" s="206"/>
      <c r="R672" s="206"/>
      <c r="S672" s="367"/>
      <c r="T672" s="276"/>
      <c r="U672" s="276"/>
      <c r="V672" s="276"/>
      <c r="W672" s="276"/>
      <c r="X672" s="276"/>
      <c r="Y672" s="276"/>
      <c r="Z672" s="276"/>
      <c r="AA672" s="276"/>
      <c r="AB672" s="276"/>
      <c r="AC672" s="276"/>
    </row>
    <row r="673">
      <c r="A673" s="108" t="s">
        <v>11707</v>
      </c>
      <c r="B673" s="173">
        <v>46035.0</v>
      </c>
      <c r="C673" s="374">
        <v>8.07000034562E11</v>
      </c>
      <c r="D673" s="374" t="s">
        <v>11708</v>
      </c>
      <c r="E673" s="374" t="s">
        <v>11709</v>
      </c>
      <c r="F673" s="177" t="s">
        <v>11710</v>
      </c>
      <c r="G673" s="177" t="s">
        <v>20</v>
      </c>
      <c r="H673" s="177" t="s">
        <v>4086</v>
      </c>
      <c r="I673" s="374">
        <v>208501.0</v>
      </c>
      <c r="J673" s="103" t="s">
        <v>481</v>
      </c>
      <c r="K673" s="241">
        <v>2.0</v>
      </c>
      <c r="L673" s="124">
        <v>3.874796681E9</v>
      </c>
      <c r="M673" s="34"/>
      <c r="N673" s="203">
        <v>46035.0</v>
      </c>
      <c r="O673" s="204" t="s">
        <v>9011</v>
      </c>
      <c r="P673" s="435"/>
      <c r="Q673" s="430" t="s">
        <v>13614</v>
      </c>
      <c r="R673" s="432" t="s">
        <v>13615</v>
      </c>
      <c r="S673" s="367"/>
      <c r="T673" s="276"/>
      <c r="U673" s="276"/>
      <c r="V673" s="276"/>
      <c r="W673" s="276"/>
      <c r="X673" s="276"/>
      <c r="Y673" s="276"/>
      <c r="Z673" s="276"/>
      <c r="AA673" s="276"/>
      <c r="AB673" s="276"/>
      <c r="AC673" s="276"/>
    </row>
    <row r="674">
      <c r="A674" s="108" t="s">
        <v>11707</v>
      </c>
      <c r="B674" s="173">
        <v>46035.0</v>
      </c>
      <c r="C674" s="374">
        <v>8.07000034563E11</v>
      </c>
      <c r="D674" s="374" t="s">
        <v>11708</v>
      </c>
      <c r="E674" s="374" t="s">
        <v>11709</v>
      </c>
      <c r="F674" s="177" t="s">
        <v>11710</v>
      </c>
      <c r="G674" s="177" t="s">
        <v>20</v>
      </c>
      <c r="H674" s="177" t="s">
        <v>4086</v>
      </c>
      <c r="I674" s="374" t="s">
        <v>3131</v>
      </c>
      <c r="J674" s="240" t="s">
        <v>3416</v>
      </c>
      <c r="K674" s="242">
        <v>1.0</v>
      </c>
      <c r="L674" s="124">
        <v>3.874796681E9</v>
      </c>
      <c r="M674" s="34"/>
      <c r="N674" s="209"/>
      <c r="O674" s="209"/>
      <c r="P674" s="209"/>
      <c r="Q674" s="209"/>
      <c r="R674" s="209"/>
      <c r="S674" s="367"/>
      <c r="T674" s="276"/>
      <c r="U674" s="276"/>
      <c r="V674" s="276"/>
      <c r="W674" s="276"/>
      <c r="X674" s="276"/>
      <c r="Y674" s="276"/>
      <c r="Z674" s="276"/>
      <c r="AA674" s="276"/>
      <c r="AB674" s="276"/>
      <c r="AC674" s="276"/>
    </row>
    <row r="675">
      <c r="A675" s="108" t="s">
        <v>11707</v>
      </c>
      <c r="B675" s="173">
        <v>46035.0</v>
      </c>
      <c r="C675" s="374">
        <v>8.07000034563E11</v>
      </c>
      <c r="D675" s="374" t="s">
        <v>11708</v>
      </c>
      <c r="E675" s="374" t="s">
        <v>11709</v>
      </c>
      <c r="F675" s="177" t="s">
        <v>11710</v>
      </c>
      <c r="G675" s="177" t="s">
        <v>20</v>
      </c>
      <c r="H675" s="177" t="s">
        <v>4086</v>
      </c>
      <c r="I675" s="374" t="s">
        <v>512</v>
      </c>
      <c r="J675" s="103" t="s">
        <v>513</v>
      </c>
      <c r="K675" s="241">
        <v>6.0</v>
      </c>
      <c r="L675" s="124">
        <v>3.874796681E9</v>
      </c>
      <c r="M675" s="34"/>
      <c r="N675" s="209"/>
      <c r="O675" s="209"/>
      <c r="P675" s="209"/>
      <c r="Q675" s="209"/>
      <c r="R675" s="209"/>
      <c r="S675" s="367"/>
      <c r="T675" s="276"/>
      <c r="U675" s="276"/>
      <c r="V675" s="276"/>
      <c r="W675" s="276"/>
      <c r="X675" s="276"/>
      <c r="Y675" s="276"/>
      <c r="Z675" s="276"/>
      <c r="AA675" s="276"/>
      <c r="AB675" s="276"/>
      <c r="AC675" s="276"/>
    </row>
    <row r="676">
      <c r="A676" s="108" t="s">
        <v>11707</v>
      </c>
      <c r="B676" s="173">
        <v>46035.0</v>
      </c>
      <c r="C676" s="374">
        <v>8.07000034563E11</v>
      </c>
      <c r="D676" s="374" t="s">
        <v>11708</v>
      </c>
      <c r="E676" s="374" t="s">
        <v>11709</v>
      </c>
      <c r="F676" s="177" t="s">
        <v>11710</v>
      </c>
      <c r="G676" s="177" t="s">
        <v>20</v>
      </c>
      <c r="H676" s="177" t="s">
        <v>4086</v>
      </c>
      <c r="I676" s="374" t="s">
        <v>35</v>
      </c>
      <c r="J676" s="240" t="s">
        <v>3188</v>
      </c>
      <c r="K676" s="242">
        <v>1.0</v>
      </c>
      <c r="L676" s="124">
        <v>3.874796681E9</v>
      </c>
      <c r="M676" s="34"/>
      <c r="N676" s="206"/>
      <c r="O676" s="206"/>
      <c r="P676" s="209"/>
      <c r="Q676" s="206"/>
      <c r="R676" s="206"/>
      <c r="S676" s="367"/>
      <c r="T676" s="276"/>
      <c r="U676" s="276"/>
      <c r="V676" s="276"/>
      <c r="W676" s="276"/>
      <c r="X676" s="276"/>
      <c r="Y676" s="276"/>
      <c r="Z676" s="276"/>
      <c r="AA676" s="276"/>
      <c r="AB676" s="276"/>
      <c r="AC676" s="276"/>
    </row>
    <row r="677">
      <c r="A677" s="108" t="s">
        <v>11711</v>
      </c>
      <c r="B677" s="173">
        <v>46035.0</v>
      </c>
      <c r="C677" s="374">
        <v>8.07000034567E11</v>
      </c>
      <c r="D677" s="374" t="s">
        <v>11712</v>
      </c>
      <c r="E677" s="374" t="s">
        <v>11713</v>
      </c>
      <c r="F677" s="177" t="s">
        <v>11714</v>
      </c>
      <c r="G677" s="177" t="s">
        <v>127</v>
      </c>
      <c r="H677" s="177">
        <v>4400.0</v>
      </c>
      <c r="I677" s="374" t="s">
        <v>512</v>
      </c>
      <c r="J677" s="240" t="s">
        <v>513</v>
      </c>
      <c r="K677" s="242">
        <v>12.0</v>
      </c>
      <c r="L677" s="124"/>
      <c r="M677" s="34"/>
      <c r="N677" s="203">
        <v>46035.0</v>
      </c>
      <c r="O677" s="204" t="s">
        <v>9011</v>
      </c>
      <c r="P677" s="435"/>
      <c r="Q677" s="430" t="s">
        <v>13616</v>
      </c>
      <c r="R677" s="432" t="s">
        <v>13617</v>
      </c>
      <c r="S677" s="367"/>
      <c r="T677" s="276"/>
      <c r="U677" s="276"/>
      <c r="V677" s="276"/>
      <c r="W677" s="276"/>
      <c r="X677" s="276"/>
      <c r="Y677" s="276"/>
      <c r="Z677" s="276"/>
      <c r="AA677" s="276"/>
      <c r="AB677" s="276"/>
      <c r="AC677" s="276"/>
    </row>
    <row r="678">
      <c r="A678" s="108" t="s">
        <v>11711</v>
      </c>
      <c r="B678" s="173">
        <v>46035.0</v>
      </c>
      <c r="C678" s="374">
        <v>8.07000034568E11</v>
      </c>
      <c r="D678" s="374" t="s">
        <v>11712</v>
      </c>
      <c r="E678" s="374" t="s">
        <v>11713</v>
      </c>
      <c r="F678" s="177" t="s">
        <v>11714</v>
      </c>
      <c r="G678" s="177" t="s">
        <v>127</v>
      </c>
      <c r="H678" s="177">
        <v>4400.0</v>
      </c>
      <c r="I678" s="374" t="s">
        <v>1937</v>
      </c>
      <c r="J678" s="103" t="s">
        <v>4036</v>
      </c>
      <c r="K678" s="241">
        <v>1.0</v>
      </c>
      <c r="L678" s="124"/>
      <c r="M678" s="34"/>
      <c r="N678" s="209"/>
      <c r="O678" s="209"/>
      <c r="P678" s="209"/>
      <c r="Q678" s="209"/>
      <c r="R678" s="209"/>
      <c r="S678" s="367"/>
      <c r="T678" s="276"/>
      <c r="U678" s="276"/>
      <c r="V678" s="276"/>
      <c r="W678" s="276"/>
      <c r="X678" s="276"/>
      <c r="Y678" s="276"/>
      <c r="Z678" s="276"/>
      <c r="AA678" s="276"/>
      <c r="AB678" s="276"/>
      <c r="AC678" s="276"/>
    </row>
    <row r="679">
      <c r="A679" s="108" t="s">
        <v>11711</v>
      </c>
      <c r="B679" s="173">
        <v>46035.0</v>
      </c>
      <c r="C679" s="374">
        <v>8.07000034568E11</v>
      </c>
      <c r="D679" s="374" t="s">
        <v>11712</v>
      </c>
      <c r="E679" s="374" t="s">
        <v>11713</v>
      </c>
      <c r="F679" s="177" t="s">
        <v>11714</v>
      </c>
      <c r="G679" s="177" t="s">
        <v>127</v>
      </c>
      <c r="H679" s="177">
        <v>4400.0</v>
      </c>
      <c r="I679" s="374" t="s">
        <v>233</v>
      </c>
      <c r="J679" s="240" t="s">
        <v>3459</v>
      </c>
      <c r="K679" s="242">
        <v>2.0</v>
      </c>
      <c r="L679" s="124"/>
      <c r="M679" s="34"/>
      <c r="N679" s="209"/>
      <c r="O679" s="209"/>
      <c r="P679" s="209"/>
      <c r="Q679" s="209"/>
      <c r="R679" s="209"/>
      <c r="S679" s="367"/>
      <c r="T679" s="276"/>
      <c r="U679" s="276"/>
      <c r="V679" s="276"/>
      <c r="W679" s="276"/>
      <c r="X679" s="276"/>
      <c r="Y679" s="276"/>
      <c r="Z679" s="276"/>
      <c r="AA679" s="276"/>
      <c r="AB679" s="276"/>
      <c r="AC679" s="276"/>
    </row>
    <row r="680">
      <c r="A680" s="108" t="s">
        <v>11711</v>
      </c>
      <c r="B680" s="378">
        <v>46035.0</v>
      </c>
      <c r="C680" s="374">
        <v>8.07000034568E11</v>
      </c>
      <c r="D680" s="374" t="s">
        <v>11712</v>
      </c>
      <c r="E680" s="374" t="s">
        <v>11713</v>
      </c>
      <c r="F680" s="145" t="s">
        <v>11714</v>
      </c>
      <c r="G680" s="177" t="s">
        <v>127</v>
      </c>
      <c r="H680" s="177"/>
      <c r="I680" s="176">
        <v>125817.0</v>
      </c>
      <c r="J680" s="240" t="s">
        <v>10777</v>
      </c>
      <c r="K680" s="242">
        <v>2.0</v>
      </c>
      <c r="L680" s="124"/>
      <c r="M680" s="367"/>
      <c r="N680" s="206"/>
      <c r="O680" s="206"/>
      <c r="P680" s="206"/>
      <c r="Q680" s="206"/>
      <c r="R680" s="206"/>
      <c r="S680" s="367"/>
      <c r="T680" s="276"/>
      <c r="U680" s="276"/>
      <c r="V680" s="276"/>
      <c r="W680" s="276"/>
      <c r="X680" s="276"/>
      <c r="Y680" s="276"/>
      <c r="Z680" s="276"/>
      <c r="AA680" s="276"/>
      <c r="AB680" s="276"/>
      <c r="AC680" s="276"/>
    </row>
    <row r="681">
      <c r="A681" s="108" t="s">
        <v>11715</v>
      </c>
      <c r="B681" s="173">
        <v>46036.0</v>
      </c>
      <c r="C681" s="374">
        <v>8.07000034581E11</v>
      </c>
      <c r="D681" s="374" t="s">
        <v>9331</v>
      </c>
      <c r="E681" s="374" t="s">
        <v>9332</v>
      </c>
      <c r="F681" s="177" t="s">
        <v>11716</v>
      </c>
      <c r="G681" s="177" t="s">
        <v>20</v>
      </c>
      <c r="H681" s="177">
        <v>4400.0</v>
      </c>
      <c r="I681" s="176">
        <v>125817.0</v>
      </c>
      <c r="J681" s="240" t="s">
        <v>10650</v>
      </c>
      <c r="K681" s="242">
        <v>2.0</v>
      </c>
      <c r="L681" s="124">
        <v>3.874036114E9</v>
      </c>
      <c r="M681" s="34"/>
      <c r="N681" s="429">
        <v>46036.0</v>
      </c>
      <c r="O681" s="430" t="s">
        <v>13338</v>
      </c>
      <c r="P681" s="431"/>
      <c r="Q681" s="430" t="s">
        <v>13339</v>
      </c>
      <c r="R681" s="432" t="s">
        <v>13618</v>
      </c>
      <c r="S681" s="367"/>
      <c r="T681" s="276"/>
      <c r="U681" s="276"/>
      <c r="V681" s="276"/>
      <c r="W681" s="276"/>
      <c r="X681" s="276"/>
      <c r="Y681" s="276"/>
      <c r="Z681" s="276"/>
      <c r="AA681" s="276"/>
      <c r="AB681" s="276"/>
      <c r="AC681" s="276"/>
    </row>
    <row r="682">
      <c r="A682" s="108" t="s">
        <v>11715</v>
      </c>
      <c r="B682" s="173">
        <v>46036.0</v>
      </c>
      <c r="C682" s="374">
        <v>8.07000034582E11</v>
      </c>
      <c r="D682" s="374" t="s">
        <v>9331</v>
      </c>
      <c r="E682" s="374" t="s">
        <v>9332</v>
      </c>
      <c r="F682" s="177" t="s">
        <v>11716</v>
      </c>
      <c r="G682" s="177" t="s">
        <v>20</v>
      </c>
      <c r="H682" s="177">
        <v>4400.0</v>
      </c>
      <c r="I682" s="176" t="s">
        <v>1379</v>
      </c>
      <c r="J682" s="103" t="s">
        <v>7653</v>
      </c>
      <c r="K682" s="241">
        <v>1.0</v>
      </c>
      <c r="L682" s="124">
        <v>3.874036114E9</v>
      </c>
      <c r="M682" s="34"/>
      <c r="N682" s="206"/>
      <c r="O682" s="206"/>
      <c r="P682" s="206"/>
      <c r="Q682" s="206"/>
      <c r="R682" s="206"/>
      <c r="S682" s="367"/>
      <c r="T682" s="276"/>
      <c r="U682" s="276"/>
      <c r="V682" s="276"/>
      <c r="W682" s="276"/>
      <c r="X682" s="276"/>
      <c r="Y682" s="276"/>
      <c r="Z682" s="276"/>
      <c r="AA682" s="276"/>
      <c r="AB682" s="276"/>
      <c r="AC682" s="276"/>
    </row>
    <row r="683">
      <c r="A683" s="108" t="s">
        <v>11717</v>
      </c>
      <c r="B683" s="173">
        <v>46037.0</v>
      </c>
      <c r="C683" s="374">
        <v>8.05011567006E11</v>
      </c>
      <c r="D683" s="374" t="s">
        <v>11718</v>
      </c>
      <c r="E683" s="374" t="s">
        <v>11719</v>
      </c>
      <c r="F683" s="177" t="s">
        <v>11720</v>
      </c>
      <c r="G683" s="177" t="s">
        <v>20</v>
      </c>
      <c r="H683" s="177">
        <v>4400.0</v>
      </c>
      <c r="I683" s="176" t="s">
        <v>289</v>
      </c>
      <c r="J683" s="240" t="s">
        <v>290</v>
      </c>
      <c r="K683" s="242">
        <v>2.0</v>
      </c>
      <c r="L683" s="124">
        <v>3.873458711E9</v>
      </c>
      <c r="M683" s="99" t="s">
        <v>11721</v>
      </c>
      <c r="N683" s="421" t="s">
        <v>11721</v>
      </c>
      <c r="O683" s="422"/>
      <c r="P683" s="422"/>
      <c r="Q683" s="422"/>
      <c r="R683" s="423"/>
      <c r="S683" s="367"/>
      <c r="T683" s="276"/>
      <c r="U683" s="276"/>
      <c r="V683" s="276"/>
      <c r="W683" s="276"/>
      <c r="X683" s="276"/>
      <c r="Y683" s="276"/>
      <c r="Z683" s="276"/>
      <c r="AA683" s="276"/>
      <c r="AB683" s="276"/>
      <c r="AC683" s="276"/>
    </row>
    <row r="684">
      <c r="A684" s="108" t="s">
        <v>11717</v>
      </c>
      <c r="B684" s="173">
        <v>46037.0</v>
      </c>
      <c r="C684" s="374">
        <v>8.05011567006E11</v>
      </c>
      <c r="D684" s="374" t="s">
        <v>11718</v>
      </c>
      <c r="E684" s="374" t="s">
        <v>11719</v>
      </c>
      <c r="F684" s="177" t="s">
        <v>11720</v>
      </c>
      <c r="G684" s="177" t="s">
        <v>20</v>
      </c>
      <c r="H684" s="177">
        <v>4400.0</v>
      </c>
      <c r="I684" s="176" t="s">
        <v>512</v>
      </c>
      <c r="J684" s="103" t="s">
        <v>513</v>
      </c>
      <c r="K684" s="241">
        <v>12.0</v>
      </c>
      <c r="L684" s="124">
        <v>3.873458711E9</v>
      </c>
      <c r="M684" s="99" t="s">
        <v>11721</v>
      </c>
      <c r="N684" s="424"/>
      <c r="R684" s="425"/>
      <c r="S684" s="367"/>
      <c r="T684" s="276"/>
      <c r="U684" s="276"/>
      <c r="V684" s="276"/>
      <c r="W684" s="276"/>
      <c r="X684" s="276"/>
      <c r="Y684" s="276"/>
      <c r="Z684" s="276"/>
      <c r="AA684" s="276"/>
      <c r="AB684" s="276"/>
      <c r="AC684" s="276"/>
    </row>
    <row r="685">
      <c r="A685" s="108" t="s">
        <v>11717</v>
      </c>
      <c r="B685" s="173">
        <v>46037.0</v>
      </c>
      <c r="C685" s="374">
        <v>8.05011567006E11</v>
      </c>
      <c r="D685" s="374" t="s">
        <v>11718</v>
      </c>
      <c r="E685" s="374" t="s">
        <v>11719</v>
      </c>
      <c r="F685" s="177" t="s">
        <v>11720</v>
      </c>
      <c r="G685" s="177" t="s">
        <v>20</v>
      </c>
      <c r="H685" s="177">
        <v>4400.0</v>
      </c>
      <c r="I685" s="176" t="s">
        <v>273</v>
      </c>
      <c r="J685" s="240" t="s">
        <v>3594</v>
      </c>
      <c r="K685" s="242">
        <v>2.0</v>
      </c>
      <c r="L685" s="124">
        <v>3.873458711E9</v>
      </c>
      <c r="M685" s="436" t="s">
        <v>11721</v>
      </c>
      <c r="N685" s="426"/>
      <c r="O685" s="427"/>
      <c r="P685" s="427"/>
      <c r="Q685" s="427"/>
      <c r="R685" s="428"/>
      <c r="S685" s="367"/>
      <c r="T685" s="276"/>
      <c r="U685" s="276"/>
      <c r="V685" s="276"/>
      <c r="W685" s="276"/>
      <c r="X685" s="276"/>
      <c r="Y685" s="276"/>
      <c r="Z685" s="276"/>
      <c r="AA685" s="276"/>
      <c r="AB685" s="276"/>
      <c r="AC685" s="276"/>
    </row>
    <row r="686">
      <c r="A686" s="108" t="s">
        <v>11722</v>
      </c>
      <c r="B686" s="173">
        <v>46037.0</v>
      </c>
      <c r="C686" s="374">
        <v>8.05011567308E11</v>
      </c>
      <c r="D686" s="374" t="s">
        <v>11723</v>
      </c>
      <c r="E686" s="374" t="s">
        <v>11724</v>
      </c>
      <c r="F686" s="177" t="s">
        <v>11725</v>
      </c>
      <c r="G686" s="177" t="s">
        <v>20</v>
      </c>
      <c r="H686" s="177">
        <v>4400.0</v>
      </c>
      <c r="I686" s="176" t="s">
        <v>32</v>
      </c>
      <c r="J686" s="103" t="s">
        <v>3225</v>
      </c>
      <c r="K686" s="241">
        <v>1.0</v>
      </c>
      <c r="L686" s="124">
        <v>3.875918805E9</v>
      </c>
      <c r="M686" s="159"/>
      <c r="N686" s="429">
        <v>46037.0</v>
      </c>
      <c r="O686" s="430" t="s">
        <v>9011</v>
      </c>
      <c r="P686" s="431"/>
      <c r="Q686" s="430" t="s">
        <v>13619</v>
      </c>
      <c r="R686" s="432" t="s">
        <v>13620</v>
      </c>
      <c r="S686" s="367"/>
      <c r="T686" s="276"/>
      <c r="U686" s="276"/>
      <c r="V686" s="276"/>
      <c r="W686" s="276"/>
      <c r="X686" s="276"/>
      <c r="Y686" s="276"/>
      <c r="Z686" s="276"/>
      <c r="AA686" s="276"/>
      <c r="AB686" s="276"/>
      <c r="AC686" s="276"/>
    </row>
    <row r="687">
      <c r="A687" s="108" t="s">
        <v>11722</v>
      </c>
      <c r="B687" s="173">
        <v>46037.0</v>
      </c>
      <c r="C687" s="374">
        <v>8.0501156731E11</v>
      </c>
      <c r="D687" s="374" t="s">
        <v>11723</v>
      </c>
      <c r="E687" s="374" t="s">
        <v>11724</v>
      </c>
      <c r="F687" s="177" t="s">
        <v>11725</v>
      </c>
      <c r="G687" s="177" t="s">
        <v>20</v>
      </c>
      <c r="H687" s="177">
        <v>4400.0</v>
      </c>
      <c r="I687" s="176" t="s">
        <v>512</v>
      </c>
      <c r="J687" s="240" t="s">
        <v>513</v>
      </c>
      <c r="K687" s="242">
        <v>6.0</v>
      </c>
      <c r="L687" s="124">
        <v>3.875918805E9</v>
      </c>
      <c r="M687" s="159"/>
      <c r="N687" s="209"/>
      <c r="O687" s="209"/>
      <c r="P687" s="209"/>
      <c r="Q687" s="209"/>
      <c r="R687" s="209"/>
      <c r="S687" s="367"/>
      <c r="T687" s="276"/>
      <c r="U687" s="276"/>
      <c r="V687" s="276"/>
      <c r="W687" s="276"/>
      <c r="X687" s="276"/>
      <c r="Y687" s="276"/>
      <c r="Z687" s="276"/>
      <c r="AA687" s="276"/>
      <c r="AB687" s="276"/>
      <c r="AC687" s="276"/>
    </row>
    <row r="688">
      <c r="A688" s="108" t="s">
        <v>11722</v>
      </c>
      <c r="B688" s="173">
        <v>46037.0</v>
      </c>
      <c r="C688" s="374">
        <v>8.0501156731E11</v>
      </c>
      <c r="D688" s="374" t="s">
        <v>11723</v>
      </c>
      <c r="E688" s="374" t="s">
        <v>11724</v>
      </c>
      <c r="F688" s="177" t="s">
        <v>11725</v>
      </c>
      <c r="G688" s="177" t="s">
        <v>20</v>
      </c>
      <c r="H688" s="177">
        <v>4400.0</v>
      </c>
      <c r="I688" s="176" t="s">
        <v>670</v>
      </c>
      <c r="J688" s="103" t="s">
        <v>3410</v>
      </c>
      <c r="K688" s="241">
        <v>1.0</v>
      </c>
      <c r="L688" s="124">
        <v>3.875918805E9</v>
      </c>
      <c r="M688" s="34"/>
      <c r="N688" s="206"/>
      <c r="O688" s="206"/>
      <c r="P688" s="206"/>
      <c r="Q688" s="206"/>
      <c r="R688" s="206"/>
      <c r="S688" s="367"/>
      <c r="T688" s="276"/>
      <c r="U688" s="276"/>
      <c r="V688" s="276"/>
      <c r="W688" s="276"/>
      <c r="X688" s="276"/>
      <c r="Y688" s="276"/>
      <c r="Z688" s="276"/>
      <c r="AA688" s="276"/>
      <c r="AB688" s="276"/>
      <c r="AC688" s="276"/>
    </row>
    <row r="689">
      <c r="A689" s="108" t="s">
        <v>11726</v>
      </c>
      <c r="B689" s="173">
        <v>46037.0</v>
      </c>
      <c r="C689" s="374">
        <v>8.0700003456E11</v>
      </c>
      <c r="D689" s="374" t="s">
        <v>11727</v>
      </c>
      <c r="E689" s="374" t="s">
        <v>11728</v>
      </c>
      <c r="F689" s="177" t="s">
        <v>11729</v>
      </c>
      <c r="G689" s="177" t="s">
        <v>127</v>
      </c>
      <c r="H689" s="177">
        <v>4400.0</v>
      </c>
      <c r="I689" s="176">
        <v>208501.0</v>
      </c>
      <c r="J689" s="103" t="s">
        <v>481</v>
      </c>
      <c r="K689" s="241">
        <v>2.0</v>
      </c>
      <c r="L689" s="124">
        <v>3.875114451E9</v>
      </c>
      <c r="M689" s="34"/>
      <c r="N689" s="429">
        <v>46037.0</v>
      </c>
      <c r="O689" s="430" t="s">
        <v>13338</v>
      </c>
      <c r="P689" s="431"/>
      <c r="Q689" s="430" t="s">
        <v>13621</v>
      </c>
      <c r="R689" s="432" t="s">
        <v>13622</v>
      </c>
      <c r="S689" s="367"/>
      <c r="T689" s="276"/>
      <c r="U689" s="276"/>
      <c r="V689" s="276"/>
      <c r="W689" s="276"/>
      <c r="X689" s="276"/>
      <c r="Y689" s="276"/>
      <c r="Z689" s="276"/>
      <c r="AA689" s="276"/>
      <c r="AB689" s="276"/>
      <c r="AC689" s="276"/>
    </row>
    <row r="690">
      <c r="A690" s="108" t="s">
        <v>11726</v>
      </c>
      <c r="B690" s="173">
        <v>46037.0</v>
      </c>
      <c r="C690" s="374">
        <v>8.07000034561E11</v>
      </c>
      <c r="D690" s="374" t="s">
        <v>11727</v>
      </c>
      <c r="E690" s="374" t="s">
        <v>11728</v>
      </c>
      <c r="F690" s="177" t="s">
        <v>11729</v>
      </c>
      <c r="G690" s="177" t="s">
        <v>127</v>
      </c>
      <c r="H690" s="177">
        <v>4400.0</v>
      </c>
      <c r="I690" s="176" t="s">
        <v>8295</v>
      </c>
      <c r="J690" s="240" t="s">
        <v>8296</v>
      </c>
      <c r="K690" s="242">
        <v>1.0</v>
      </c>
      <c r="L690" s="124">
        <v>3.875114451E9</v>
      </c>
      <c r="M690" s="34"/>
      <c r="N690" s="209"/>
      <c r="O690" s="209"/>
      <c r="P690" s="209"/>
      <c r="Q690" s="209"/>
      <c r="R690" s="209"/>
      <c r="S690" s="367"/>
      <c r="T690" s="276"/>
      <c r="U690" s="276"/>
      <c r="V690" s="276"/>
      <c r="W690" s="276"/>
      <c r="X690" s="276"/>
      <c r="Y690" s="276"/>
      <c r="Z690" s="276"/>
      <c r="AA690" s="276"/>
      <c r="AB690" s="276"/>
      <c r="AC690" s="276"/>
    </row>
    <row r="691">
      <c r="A691" s="108" t="s">
        <v>11726</v>
      </c>
      <c r="B691" s="173">
        <v>46037.0</v>
      </c>
      <c r="C691" s="374">
        <v>8.07000034561E11</v>
      </c>
      <c r="D691" s="374" t="s">
        <v>11727</v>
      </c>
      <c r="E691" s="374" t="s">
        <v>11728</v>
      </c>
      <c r="F691" s="177" t="s">
        <v>11729</v>
      </c>
      <c r="G691" s="177" t="s">
        <v>127</v>
      </c>
      <c r="H691" s="177">
        <v>4400.0</v>
      </c>
      <c r="I691" s="176" t="s">
        <v>3131</v>
      </c>
      <c r="J691" s="103" t="s">
        <v>3416</v>
      </c>
      <c r="K691" s="241">
        <v>1.0</v>
      </c>
      <c r="L691" s="124">
        <v>3.875114451E9</v>
      </c>
      <c r="M691" s="34"/>
      <c r="N691" s="206"/>
      <c r="O691" s="206"/>
      <c r="P691" s="206"/>
      <c r="Q691" s="206"/>
      <c r="R691" s="206"/>
      <c r="S691" s="367"/>
      <c r="T691" s="276"/>
      <c r="U691" s="276"/>
      <c r="V691" s="276"/>
      <c r="W691" s="276"/>
      <c r="X691" s="276"/>
      <c r="Y691" s="276"/>
      <c r="Z691" s="276"/>
      <c r="AA691" s="276"/>
      <c r="AB691" s="276"/>
      <c r="AC691" s="276"/>
    </row>
    <row r="692">
      <c r="A692" s="108" t="s">
        <v>11730</v>
      </c>
      <c r="B692" s="173">
        <v>46037.0</v>
      </c>
      <c r="C692" s="374">
        <v>8.07000034564E11</v>
      </c>
      <c r="D692" s="374" t="s">
        <v>5641</v>
      </c>
      <c r="E692" s="374" t="s">
        <v>5642</v>
      </c>
      <c r="F692" s="177" t="s">
        <v>11731</v>
      </c>
      <c r="G692" s="177" t="s">
        <v>127</v>
      </c>
      <c r="H692" s="177">
        <v>4400.0</v>
      </c>
      <c r="I692" s="176" t="s">
        <v>3451</v>
      </c>
      <c r="J692" s="374" t="s">
        <v>3452</v>
      </c>
      <c r="K692" s="177">
        <v>1.0</v>
      </c>
      <c r="L692" s="174">
        <v>3.874127745E9</v>
      </c>
      <c r="M692" s="34"/>
      <c r="N692" s="429">
        <v>46037.0</v>
      </c>
      <c r="O692" s="430" t="s">
        <v>13338</v>
      </c>
      <c r="P692" s="431"/>
      <c r="Q692" s="430" t="s">
        <v>13339</v>
      </c>
      <c r="R692" s="432" t="s">
        <v>13623</v>
      </c>
      <c r="S692" s="367"/>
      <c r="T692" s="276"/>
      <c r="U692" s="276"/>
      <c r="V692" s="276"/>
      <c r="W692" s="276"/>
      <c r="X692" s="276"/>
      <c r="Y692" s="276"/>
      <c r="Z692" s="276"/>
      <c r="AA692" s="276"/>
      <c r="AB692" s="276"/>
      <c r="AC692" s="276"/>
    </row>
    <row r="693">
      <c r="A693" s="108" t="s">
        <v>11732</v>
      </c>
      <c r="B693" s="173">
        <v>46037.0</v>
      </c>
      <c r="C693" s="374">
        <v>8.07000034566E11</v>
      </c>
      <c r="D693" s="374" t="s">
        <v>5641</v>
      </c>
      <c r="E693" s="374" t="s">
        <v>5642</v>
      </c>
      <c r="F693" s="177" t="s">
        <v>11731</v>
      </c>
      <c r="G693" s="177" t="s">
        <v>127</v>
      </c>
      <c r="H693" s="177">
        <v>4400.0</v>
      </c>
      <c r="I693" s="176">
        <v>125810.0</v>
      </c>
      <c r="J693" s="374" t="s">
        <v>4672</v>
      </c>
      <c r="K693" s="177">
        <v>2.0</v>
      </c>
      <c r="L693" s="174">
        <v>3.874127745E9</v>
      </c>
      <c r="M693" s="34"/>
      <c r="N693" s="206"/>
      <c r="O693" s="206"/>
      <c r="P693" s="206"/>
      <c r="Q693" s="206"/>
      <c r="R693" s="206"/>
      <c r="S693" s="367"/>
      <c r="T693" s="276"/>
      <c r="U693" s="276"/>
      <c r="V693" s="276"/>
      <c r="W693" s="276"/>
      <c r="X693" s="276"/>
      <c r="Y693" s="276"/>
      <c r="Z693" s="276"/>
      <c r="AA693" s="276"/>
      <c r="AB693" s="276"/>
      <c r="AC693" s="276"/>
    </row>
    <row r="694">
      <c r="A694" s="108" t="s">
        <v>11733</v>
      </c>
      <c r="B694" s="173">
        <v>46038.0</v>
      </c>
      <c r="C694" s="374">
        <v>8.07000034615E11</v>
      </c>
      <c r="D694" s="374" t="s">
        <v>11128</v>
      </c>
      <c r="E694" s="374" t="s">
        <v>11129</v>
      </c>
      <c r="F694" s="145" t="s">
        <v>11734</v>
      </c>
      <c r="G694" s="145" t="s">
        <v>127</v>
      </c>
      <c r="H694" s="108">
        <v>4400.0</v>
      </c>
      <c r="I694" s="176" t="s">
        <v>22</v>
      </c>
      <c r="J694" s="374" t="s">
        <v>4013</v>
      </c>
      <c r="K694" s="177">
        <v>1.0</v>
      </c>
      <c r="L694" s="174">
        <v>3.875896315E9</v>
      </c>
      <c r="M694" s="34"/>
      <c r="N694" s="433">
        <v>46044.0</v>
      </c>
      <c r="O694" s="261" t="s">
        <v>13338</v>
      </c>
      <c r="P694" s="367"/>
      <c r="Q694" s="261" t="s">
        <v>13624</v>
      </c>
      <c r="R694" s="434" t="s">
        <v>13625</v>
      </c>
      <c r="S694" s="367"/>
      <c r="T694" s="276"/>
      <c r="U694" s="276"/>
      <c r="V694" s="276"/>
      <c r="W694" s="276"/>
      <c r="X694" s="276"/>
      <c r="Y694" s="276"/>
      <c r="Z694" s="276"/>
      <c r="AA694" s="276"/>
      <c r="AB694" s="276"/>
      <c r="AC694" s="276"/>
    </row>
    <row r="695">
      <c r="A695" s="108" t="s">
        <v>11737</v>
      </c>
      <c r="B695" s="173">
        <v>46038.0</v>
      </c>
      <c r="C695" s="374">
        <v>8.07000034613E11</v>
      </c>
      <c r="D695" s="374" t="s">
        <v>11738</v>
      </c>
      <c r="E695" s="374" t="s">
        <v>11739</v>
      </c>
      <c r="F695" s="145" t="s">
        <v>11740</v>
      </c>
      <c r="G695" s="145" t="s">
        <v>127</v>
      </c>
      <c r="H695" s="108">
        <v>4400.0</v>
      </c>
      <c r="I695" s="374" t="s">
        <v>3451</v>
      </c>
      <c r="J695" s="374" t="s">
        <v>3452</v>
      </c>
      <c r="K695" s="177">
        <v>1.0</v>
      </c>
      <c r="L695" s="174">
        <v>3.875907793E9</v>
      </c>
      <c r="M695" s="34"/>
      <c r="N695" s="429">
        <v>46038.0</v>
      </c>
      <c r="O695" s="430" t="s">
        <v>9011</v>
      </c>
      <c r="P695" s="431"/>
      <c r="Q695" s="430" t="s">
        <v>13626</v>
      </c>
      <c r="R695" s="432" t="s">
        <v>13627</v>
      </c>
      <c r="S695" s="367"/>
      <c r="T695" s="276"/>
      <c r="U695" s="276"/>
      <c r="V695" s="276"/>
      <c r="W695" s="276"/>
      <c r="X695" s="276"/>
      <c r="Y695" s="276"/>
      <c r="Z695" s="276"/>
      <c r="AA695" s="276"/>
      <c r="AB695" s="276"/>
      <c r="AC695" s="276"/>
    </row>
    <row r="696">
      <c r="A696" s="108" t="s">
        <v>11737</v>
      </c>
      <c r="B696" s="173">
        <v>46038.0</v>
      </c>
      <c r="C696" s="374">
        <v>8.07000034613E11</v>
      </c>
      <c r="D696" s="374" t="s">
        <v>11738</v>
      </c>
      <c r="E696" s="374" t="s">
        <v>11739</v>
      </c>
      <c r="F696" s="145" t="s">
        <v>11740</v>
      </c>
      <c r="G696" s="145" t="s">
        <v>127</v>
      </c>
      <c r="H696" s="108">
        <v>4400.0</v>
      </c>
      <c r="I696" s="374" t="s">
        <v>512</v>
      </c>
      <c r="J696" s="374" t="s">
        <v>513</v>
      </c>
      <c r="K696" s="177">
        <v>6.0</v>
      </c>
      <c r="L696" s="174">
        <v>3.875907793E9</v>
      </c>
      <c r="M696" s="34"/>
      <c r="N696" s="209"/>
      <c r="O696" s="209"/>
      <c r="P696" s="209"/>
      <c r="Q696" s="209"/>
      <c r="R696" s="209"/>
      <c r="S696" s="367"/>
      <c r="T696" s="276"/>
      <c r="U696" s="276"/>
      <c r="V696" s="276"/>
      <c r="W696" s="276"/>
      <c r="X696" s="276"/>
      <c r="Y696" s="276"/>
      <c r="Z696" s="276"/>
      <c r="AA696" s="276"/>
      <c r="AB696" s="276"/>
      <c r="AC696" s="276"/>
    </row>
    <row r="697">
      <c r="A697" s="108" t="s">
        <v>11737</v>
      </c>
      <c r="B697" s="173">
        <v>46038.0</v>
      </c>
      <c r="C697" s="374">
        <v>8.07000034613E11</v>
      </c>
      <c r="D697" s="374" t="s">
        <v>11738</v>
      </c>
      <c r="E697" s="374" t="s">
        <v>11739</v>
      </c>
      <c r="F697" s="145" t="s">
        <v>11740</v>
      </c>
      <c r="G697" s="145" t="s">
        <v>127</v>
      </c>
      <c r="H697" s="108">
        <v>4400.0</v>
      </c>
      <c r="I697" s="374" t="s">
        <v>670</v>
      </c>
      <c r="J697" s="374" t="s">
        <v>3410</v>
      </c>
      <c r="K697" s="177">
        <v>1.0</v>
      </c>
      <c r="L697" s="174">
        <v>3.875907793E9</v>
      </c>
      <c r="M697" s="34"/>
      <c r="N697" s="206"/>
      <c r="O697" s="206"/>
      <c r="P697" s="206"/>
      <c r="Q697" s="206"/>
      <c r="R697" s="206"/>
      <c r="S697" s="367"/>
      <c r="T697" s="276"/>
      <c r="U697" s="276"/>
      <c r="V697" s="276"/>
      <c r="W697" s="276"/>
      <c r="X697" s="276"/>
      <c r="Y697" s="276"/>
      <c r="Z697" s="276"/>
      <c r="AA697" s="276"/>
      <c r="AB697" s="276"/>
      <c r="AC697" s="276"/>
    </row>
    <row r="698">
      <c r="A698" s="108" t="s">
        <v>11378</v>
      </c>
      <c r="B698" s="173">
        <v>46005.0</v>
      </c>
      <c r="C698" s="374"/>
      <c r="D698" s="109"/>
      <c r="E698" s="374" t="s">
        <v>11379</v>
      </c>
      <c r="F698" s="145" t="s">
        <v>11380</v>
      </c>
      <c r="G698" s="145" t="s">
        <v>127</v>
      </c>
      <c r="H698" s="108">
        <v>4400.0</v>
      </c>
      <c r="I698" s="381" t="s">
        <v>2956</v>
      </c>
      <c r="J698" s="176" t="s">
        <v>11381</v>
      </c>
      <c r="K698" s="177">
        <v>1.0</v>
      </c>
      <c r="L698" s="174">
        <v>3.874835474E9</v>
      </c>
      <c r="M698" s="34"/>
      <c r="N698" s="429">
        <v>46370.0</v>
      </c>
      <c r="O698" s="430" t="s">
        <v>13338</v>
      </c>
      <c r="P698" s="431"/>
      <c r="Q698" s="430" t="s">
        <v>13339</v>
      </c>
      <c r="R698" s="432" t="s">
        <v>13628</v>
      </c>
      <c r="S698" s="367"/>
      <c r="T698" s="276"/>
      <c r="U698" s="276"/>
      <c r="V698" s="276"/>
      <c r="W698" s="276"/>
      <c r="X698" s="276"/>
      <c r="Y698" s="276"/>
      <c r="Z698" s="276"/>
      <c r="AA698" s="276"/>
      <c r="AB698" s="276"/>
      <c r="AC698" s="276"/>
    </row>
    <row r="699">
      <c r="A699" s="108" t="s">
        <v>11378</v>
      </c>
      <c r="B699" s="173">
        <v>46005.0</v>
      </c>
      <c r="C699" s="374"/>
      <c r="D699" s="109"/>
      <c r="E699" s="374" t="s">
        <v>11379</v>
      </c>
      <c r="F699" s="145" t="s">
        <v>11380</v>
      </c>
      <c r="G699" s="145" t="s">
        <v>127</v>
      </c>
      <c r="H699" s="108">
        <v>4400.0</v>
      </c>
      <c r="I699" s="380">
        <v>125818.0</v>
      </c>
      <c r="J699" s="176" t="s">
        <v>11382</v>
      </c>
      <c r="K699" s="177">
        <v>2.0</v>
      </c>
      <c r="L699" s="174">
        <v>3.874835474E9</v>
      </c>
      <c r="M699" s="34"/>
      <c r="N699" s="206"/>
      <c r="O699" s="206"/>
      <c r="P699" s="206"/>
      <c r="Q699" s="206"/>
      <c r="R699" s="206"/>
      <c r="S699" s="367"/>
      <c r="T699" s="276"/>
      <c r="U699" s="276"/>
      <c r="V699" s="276"/>
      <c r="W699" s="276"/>
      <c r="X699" s="276"/>
      <c r="Y699" s="276"/>
      <c r="Z699" s="276"/>
      <c r="AA699" s="276"/>
      <c r="AB699" s="276"/>
      <c r="AC699" s="276"/>
    </row>
    <row r="700">
      <c r="A700" s="108" t="s">
        <v>11383</v>
      </c>
      <c r="B700" s="173">
        <v>46005.0</v>
      </c>
      <c r="C700" s="374"/>
      <c r="D700" s="109"/>
      <c r="E700" s="374" t="s">
        <v>11384</v>
      </c>
      <c r="F700" s="145" t="s">
        <v>11385</v>
      </c>
      <c r="G700" s="145" t="s">
        <v>127</v>
      </c>
      <c r="H700" s="108">
        <v>4400.0</v>
      </c>
      <c r="I700" s="176" t="s">
        <v>659</v>
      </c>
      <c r="J700" s="176" t="s">
        <v>11386</v>
      </c>
      <c r="K700" s="177">
        <v>1.0</v>
      </c>
      <c r="L700" s="174">
        <v>3.87462342E9</v>
      </c>
      <c r="M700" s="34"/>
      <c r="N700" s="433">
        <v>46370.0</v>
      </c>
      <c r="O700" s="261" t="s">
        <v>9011</v>
      </c>
      <c r="P700" s="367"/>
      <c r="Q700" s="261" t="s">
        <v>13629</v>
      </c>
      <c r="R700" s="434" t="s">
        <v>13630</v>
      </c>
      <c r="S700" s="367"/>
      <c r="T700" s="276"/>
      <c r="U700" s="276"/>
      <c r="V700" s="276"/>
      <c r="W700" s="276"/>
      <c r="X700" s="276"/>
      <c r="Y700" s="276"/>
      <c r="Z700" s="276"/>
      <c r="AA700" s="276"/>
      <c r="AB700" s="276"/>
      <c r="AC700" s="276"/>
    </row>
    <row r="701">
      <c r="A701" s="108" t="s">
        <v>11463</v>
      </c>
      <c r="B701" s="173">
        <v>46379.0</v>
      </c>
      <c r="C701" s="374"/>
      <c r="D701" s="374"/>
      <c r="E701" s="374" t="s">
        <v>11464</v>
      </c>
      <c r="F701" s="177" t="s">
        <v>11465</v>
      </c>
      <c r="G701" s="177" t="s">
        <v>127</v>
      </c>
      <c r="H701" s="177">
        <v>4400.0</v>
      </c>
      <c r="I701" s="176" t="s">
        <v>10484</v>
      </c>
      <c r="J701" s="176" t="s">
        <v>11466</v>
      </c>
      <c r="K701" s="177">
        <v>1.0</v>
      </c>
      <c r="L701" s="174">
        <v>3.874880818E9</v>
      </c>
      <c r="M701" s="34"/>
      <c r="N701" s="433">
        <v>46379.0</v>
      </c>
      <c r="O701" s="261" t="s">
        <v>13338</v>
      </c>
      <c r="P701" s="367"/>
      <c r="Q701" s="261" t="s">
        <v>13339</v>
      </c>
      <c r="R701" s="434" t="s">
        <v>13631</v>
      </c>
      <c r="S701" s="367"/>
      <c r="T701" s="276"/>
      <c r="U701" s="276"/>
      <c r="V701" s="276"/>
      <c r="W701" s="276"/>
      <c r="X701" s="276"/>
      <c r="Y701" s="276"/>
      <c r="Z701" s="276"/>
      <c r="AA701" s="276"/>
      <c r="AB701" s="276"/>
      <c r="AC701" s="276"/>
    </row>
    <row r="702">
      <c r="A702" s="108" t="s">
        <v>11498</v>
      </c>
      <c r="B702" s="437">
        <v>46018.0</v>
      </c>
      <c r="C702" s="374"/>
      <c r="D702" s="374"/>
      <c r="E702" s="374" t="s">
        <v>11499</v>
      </c>
      <c r="F702" s="145" t="s">
        <v>11500</v>
      </c>
      <c r="G702" s="145" t="s">
        <v>127</v>
      </c>
      <c r="H702" s="108">
        <v>4400.0</v>
      </c>
      <c r="I702" s="176" t="s">
        <v>8604</v>
      </c>
      <c r="J702" s="176" t="s">
        <v>11501</v>
      </c>
      <c r="K702" s="177">
        <v>1.0</v>
      </c>
      <c r="L702" s="174">
        <v>3.875713392E9</v>
      </c>
      <c r="M702" s="34"/>
      <c r="N702" s="429">
        <v>46383.0</v>
      </c>
      <c r="O702" s="430" t="s">
        <v>13338</v>
      </c>
      <c r="P702" s="431"/>
      <c r="Q702" s="430" t="s">
        <v>13632</v>
      </c>
      <c r="R702" s="432" t="s">
        <v>13633</v>
      </c>
      <c r="S702" s="367"/>
      <c r="T702" s="276"/>
      <c r="U702" s="276"/>
      <c r="V702" s="276"/>
      <c r="W702" s="276"/>
      <c r="X702" s="276"/>
      <c r="Y702" s="276"/>
      <c r="Z702" s="276"/>
      <c r="AA702" s="276"/>
      <c r="AB702" s="276"/>
      <c r="AC702" s="276"/>
    </row>
    <row r="703">
      <c r="A703" s="108" t="s">
        <v>11498</v>
      </c>
      <c r="B703" s="437">
        <v>46018.0</v>
      </c>
      <c r="C703" s="374"/>
      <c r="D703" s="374"/>
      <c r="E703" s="374" t="s">
        <v>11499</v>
      </c>
      <c r="F703" s="145" t="s">
        <v>11500</v>
      </c>
      <c r="G703" s="145" t="s">
        <v>127</v>
      </c>
      <c r="H703" s="108">
        <v>4400.0</v>
      </c>
      <c r="I703" s="176">
        <v>208502.0</v>
      </c>
      <c r="J703" s="176" t="s">
        <v>11502</v>
      </c>
      <c r="K703" s="177">
        <v>2.0</v>
      </c>
      <c r="L703" s="174">
        <v>3.875713392E9</v>
      </c>
      <c r="M703" s="34"/>
      <c r="N703" s="206"/>
      <c r="O703" s="206"/>
      <c r="P703" s="206"/>
      <c r="Q703" s="206"/>
      <c r="R703" s="206"/>
      <c r="S703" s="367"/>
      <c r="T703" s="276"/>
      <c r="U703" s="276"/>
      <c r="V703" s="276"/>
      <c r="W703" s="276"/>
      <c r="X703" s="276"/>
      <c r="Y703" s="276"/>
      <c r="Z703" s="276"/>
      <c r="AA703" s="276"/>
      <c r="AB703" s="276"/>
      <c r="AC703" s="276"/>
    </row>
    <row r="704">
      <c r="A704" s="108" t="s">
        <v>11741</v>
      </c>
      <c r="B704" s="173">
        <v>46041.0</v>
      </c>
      <c r="C704" s="374">
        <v>8.07000034627E11</v>
      </c>
      <c r="D704" s="374" t="s">
        <v>11742</v>
      </c>
      <c r="E704" s="374" t="s">
        <v>11743</v>
      </c>
      <c r="F704" s="177" t="s">
        <v>11744</v>
      </c>
      <c r="G704" s="177" t="s">
        <v>127</v>
      </c>
      <c r="H704" s="177">
        <v>4400.0</v>
      </c>
      <c r="I704" s="176">
        <v>125815.0</v>
      </c>
      <c r="J704" s="374" t="s">
        <v>569</v>
      </c>
      <c r="K704" s="177">
        <v>2.0</v>
      </c>
      <c r="L704" s="109"/>
      <c r="M704" s="34"/>
      <c r="N704" s="429">
        <v>46042.0</v>
      </c>
      <c r="O704" s="430" t="s">
        <v>13338</v>
      </c>
      <c r="P704" s="431"/>
      <c r="Q704" s="430" t="s">
        <v>13634</v>
      </c>
      <c r="R704" s="432" t="s">
        <v>13635</v>
      </c>
      <c r="S704" s="431"/>
      <c r="T704" s="276"/>
      <c r="U704" s="276"/>
      <c r="V704" s="276"/>
      <c r="W704" s="276"/>
      <c r="X704" s="276"/>
      <c r="Y704" s="276"/>
      <c r="Z704" s="276"/>
      <c r="AA704" s="276"/>
      <c r="AB704" s="276"/>
      <c r="AC704" s="276"/>
    </row>
    <row r="705">
      <c r="A705" s="108" t="s">
        <v>11741</v>
      </c>
      <c r="B705" s="173">
        <v>46041.0</v>
      </c>
      <c r="C705" s="374">
        <v>8.07000034627E11</v>
      </c>
      <c r="D705" s="374" t="s">
        <v>11742</v>
      </c>
      <c r="E705" s="374" t="s">
        <v>11743</v>
      </c>
      <c r="F705" s="177" t="s">
        <v>11744</v>
      </c>
      <c r="G705" s="177" t="s">
        <v>127</v>
      </c>
      <c r="H705" s="177">
        <v>4400.0</v>
      </c>
      <c r="I705" s="176" t="s">
        <v>1379</v>
      </c>
      <c r="J705" s="374" t="s">
        <v>7653</v>
      </c>
      <c r="K705" s="177">
        <v>1.0</v>
      </c>
      <c r="L705" s="109"/>
      <c r="M705" s="34"/>
      <c r="N705" s="206"/>
      <c r="O705" s="206"/>
      <c r="P705" s="206"/>
      <c r="Q705" s="206"/>
      <c r="R705" s="206"/>
      <c r="S705" s="206"/>
      <c r="T705" s="276"/>
      <c r="U705" s="276"/>
      <c r="V705" s="276"/>
      <c r="W705" s="276"/>
      <c r="X705" s="276"/>
      <c r="Y705" s="276"/>
      <c r="Z705" s="276"/>
      <c r="AA705" s="276"/>
      <c r="AB705" s="276"/>
      <c r="AC705" s="276"/>
    </row>
    <row r="706">
      <c r="A706" s="108" t="s">
        <v>11745</v>
      </c>
      <c r="B706" s="173">
        <v>46041.0</v>
      </c>
      <c r="C706" s="374">
        <v>8.07000034597E11</v>
      </c>
      <c r="D706" s="374" t="s">
        <v>11746</v>
      </c>
      <c r="E706" s="374" t="s">
        <v>11747</v>
      </c>
      <c r="F706" s="177" t="s">
        <v>11748</v>
      </c>
      <c r="G706" s="177" t="s">
        <v>127</v>
      </c>
      <c r="H706" s="177">
        <v>4400.0</v>
      </c>
      <c r="I706" s="176" t="s">
        <v>670</v>
      </c>
      <c r="J706" s="374" t="s">
        <v>3410</v>
      </c>
      <c r="K706" s="177">
        <v>1.0</v>
      </c>
      <c r="L706" s="109"/>
      <c r="M706" s="34"/>
      <c r="N706" s="429">
        <v>46042.0</v>
      </c>
      <c r="O706" s="430" t="s">
        <v>13338</v>
      </c>
      <c r="P706" s="431"/>
      <c r="Q706" s="430" t="s">
        <v>13339</v>
      </c>
      <c r="R706" s="432" t="s">
        <v>13636</v>
      </c>
      <c r="S706" s="367"/>
      <c r="T706" s="276"/>
      <c r="U706" s="276"/>
      <c r="V706" s="276"/>
      <c r="W706" s="276"/>
      <c r="X706" s="276"/>
      <c r="Y706" s="276"/>
      <c r="Z706" s="276"/>
      <c r="AA706" s="276"/>
      <c r="AB706" s="276"/>
      <c r="AC706" s="276"/>
    </row>
    <row r="707">
      <c r="A707" s="108" t="s">
        <v>11749</v>
      </c>
      <c r="B707" s="173">
        <v>46041.0</v>
      </c>
      <c r="C707" s="374">
        <v>8.07000034598E11</v>
      </c>
      <c r="D707" s="374" t="s">
        <v>11746</v>
      </c>
      <c r="E707" s="374" t="s">
        <v>11747</v>
      </c>
      <c r="F707" s="177" t="s">
        <v>11748</v>
      </c>
      <c r="G707" s="177" t="s">
        <v>127</v>
      </c>
      <c r="H707" s="177">
        <v>4400.0</v>
      </c>
      <c r="I707" s="176" t="s">
        <v>2956</v>
      </c>
      <c r="J707" s="374" t="s">
        <v>3327</v>
      </c>
      <c r="K707" s="177">
        <v>1.0</v>
      </c>
      <c r="L707" s="174"/>
      <c r="M707" s="367"/>
      <c r="N707" s="209"/>
      <c r="O707" s="209"/>
      <c r="P707" s="209"/>
      <c r="Q707" s="209"/>
      <c r="R707" s="209"/>
      <c r="S707" s="367"/>
      <c r="T707" s="276"/>
      <c r="U707" s="276"/>
      <c r="V707" s="276"/>
      <c r="W707" s="276"/>
      <c r="X707" s="276"/>
      <c r="Y707" s="276"/>
      <c r="Z707" s="276"/>
      <c r="AA707" s="276"/>
      <c r="AB707" s="276"/>
      <c r="AC707" s="276"/>
    </row>
    <row r="708">
      <c r="A708" s="108" t="s">
        <v>11749</v>
      </c>
      <c r="B708" s="173">
        <v>46041.0</v>
      </c>
      <c r="C708" s="374">
        <v>8.07000034598E11</v>
      </c>
      <c r="D708" s="374" t="s">
        <v>11746</v>
      </c>
      <c r="E708" s="374" t="s">
        <v>11747</v>
      </c>
      <c r="F708" s="177" t="s">
        <v>11748</v>
      </c>
      <c r="G708" s="177" t="s">
        <v>127</v>
      </c>
      <c r="H708" s="177">
        <v>4400.0</v>
      </c>
      <c r="I708" s="176" t="s">
        <v>512</v>
      </c>
      <c r="J708" s="374" t="s">
        <v>513</v>
      </c>
      <c r="K708" s="177">
        <v>6.0</v>
      </c>
      <c r="L708" s="174"/>
      <c r="M708" s="367"/>
      <c r="N708" s="209"/>
      <c r="O708" s="209"/>
      <c r="P708" s="209"/>
      <c r="Q708" s="209"/>
      <c r="R708" s="209"/>
      <c r="S708" s="367"/>
      <c r="T708" s="276"/>
      <c r="U708" s="276"/>
      <c r="V708" s="276"/>
      <c r="W708" s="276"/>
      <c r="X708" s="276"/>
      <c r="Y708" s="276"/>
      <c r="Z708" s="276"/>
      <c r="AA708" s="276"/>
      <c r="AB708" s="276"/>
      <c r="AC708" s="276"/>
    </row>
    <row r="709">
      <c r="A709" s="108" t="s">
        <v>11749</v>
      </c>
      <c r="B709" s="173">
        <v>46041.0</v>
      </c>
      <c r="C709" s="374">
        <v>8.07000034599E11</v>
      </c>
      <c r="D709" s="374" t="s">
        <v>11746</v>
      </c>
      <c r="E709" s="374" t="s">
        <v>11747</v>
      </c>
      <c r="F709" s="177" t="s">
        <v>11748</v>
      </c>
      <c r="G709" s="177" t="s">
        <v>127</v>
      </c>
      <c r="H709" s="177">
        <v>4400.0</v>
      </c>
      <c r="I709" s="176">
        <v>125813.0</v>
      </c>
      <c r="J709" s="374" t="s">
        <v>5703</v>
      </c>
      <c r="K709" s="177">
        <v>2.0</v>
      </c>
      <c r="L709" s="174"/>
      <c r="M709" s="367"/>
      <c r="N709" s="206"/>
      <c r="O709" s="206"/>
      <c r="P709" s="206"/>
      <c r="Q709" s="206"/>
      <c r="R709" s="206"/>
      <c r="S709" s="367"/>
      <c r="T709" s="276"/>
      <c r="U709" s="276"/>
      <c r="V709" s="276"/>
      <c r="W709" s="276"/>
      <c r="X709" s="276"/>
      <c r="Y709" s="276"/>
      <c r="Z709" s="276"/>
      <c r="AA709" s="276"/>
      <c r="AB709" s="276"/>
      <c r="AC709" s="276"/>
    </row>
    <row r="710">
      <c r="A710" s="108" t="s">
        <v>11750</v>
      </c>
      <c r="B710" s="173">
        <v>46041.0</v>
      </c>
      <c r="C710" s="374">
        <v>8.07000034648E11</v>
      </c>
      <c r="D710" s="374" t="s">
        <v>5661</v>
      </c>
      <c r="E710" s="374" t="s">
        <v>5662</v>
      </c>
      <c r="F710" s="177" t="s">
        <v>11751</v>
      </c>
      <c r="G710" s="177" t="s">
        <v>127</v>
      </c>
      <c r="H710" s="177">
        <v>4400.0</v>
      </c>
      <c r="I710" s="176" t="s">
        <v>9359</v>
      </c>
      <c r="J710" s="374" t="s">
        <v>9360</v>
      </c>
      <c r="K710" s="177">
        <v>1.0</v>
      </c>
      <c r="L710" s="174"/>
      <c r="M710" s="367"/>
      <c r="N710" s="429">
        <v>46042.0</v>
      </c>
      <c r="O710" s="430" t="s">
        <v>13338</v>
      </c>
      <c r="P710" s="431"/>
      <c r="Q710" s="430" t="s">
        <v>13637</v>
      </c>
      <c r="R710" s="432" t="s">
        <v>13638</v>
      </c>
      <c r="S710" s="367"/>
      <c r="T710" s="276"/>
      <c r="U710" s="276"/>
      <c r="V710" s="276"/>
      <c r="W710" s="276"/>
      <c r="X710" s="276"/>
      <c r="Y710" s="276"/>
      <c r="Z710" s="276"/>
      <c r="AA710" s="276"/>
      <c r="AB710" s="276"/>
      <c r="AC710" s="276"/>
    </row>
    <row r="711">
      <c r="A711" s="108" t="s">
        <v>11750</v>
      </c>
      <c r="B711" s="173">
        <v>46041.0</v>
      </c>
      <c r="C711" s="374">
        <v>8.07000034649E11</v>
      </c>
      <c r="D711" s="374" t="s">
        <v>5661</v>
      </c>
      <c r="E711" s="374" t="s">
        <v>5662</v>
      </c>
      <c r="F711" s="177" t="s">
        <v>11751</v>
      </c>
      <c r="G711" s="177" t="s">
        <v>127</v>
      </c>
      <c r="H711" s="177">
        <v>4400.0</v>
      </c>
      <c r="I711" s="176" t="s">
        <v>3376</v>
      </c>
      <c r="J711" s="374" t="s">
        <v>3377</v>
      </c>
      <c r="K711" s="177">
        <v>2.0</v>
      </c>
      <c r="L711" s="174"/>
      <c r="M711" s="367"/>
      <c r="N711" s="206"/>
      <c r="O711" s="206"/>
      <c r="P711" s="206"/>
      <c r="Q711" s="206"/>
      <c r="R711" s="206"/>
      <c r="S711" s="367"/>
      <c r="T711" s="276"/>
      <c r="U711" s="276"/>
      <c r="V711" s="276"/>
      <c r="W711" s="276"/>
      <c r="X711" s="276"/>
      <c r="Y711" s="276"/>
      <c r="Z711" s="276"/>
      <c r="AA711" s="276"/>
      <c r="AB711" s="276"/>
      <c r="AC711" s="276"/>
    </row>
    <row r="712">
      <c r="A712" s="108" t="s">
        <v>11752</v>
      </c>
      <c r="B712" s="173">
        <v>46041.0</v>
      </c>
      <c r="C712" s="374">
        <v>8.07000034658E11</v>
      </c>
      <c r="D712" s="374" t="s">
        <v>11753</v>
      </c>
      <c r="E712" s="374" t="s">
        <v>11754</v>
      </c>
      <c r="F712" s="177" t="s">
        <v>1877</v>
      </c>
      <c r="G712" s="177" t="s">
        <v>20</v>
      </c>
      <c r="H712" s="177" t="s">
        <v>1878</v>
      </c>
      <c r="I712" s="176">
        <v>125808.0</v>
      </c>
      <c r="J712" s="374" t="s">
        <v>7199</v>
      </c>
      <c r="K712" s="177">
        <v>4.0</v>
      </c>
      <c r="L712" s="174"/>
      <c r="M712" s="367"/>
      <c r="N712" s="429">
        <v>46042.0</v>
      </c>
      <c r="O712" s="430" t="s">
        <v>9011</v>
      </c>
      <c r="P712" s="429"/>
      <c r="Q712" s="430" t="s">
        <v>13639</v>
      </c>
      <c r="R712" s="432" t="s">
        <v>13640</v>
      </c>
      <c r="S712" s="429"/>
      <c r="T712" s="276"/>
      <c r="U712" s="276"/>
      <c r="V712" s="276"/>
      <c r="W712" s="276"/>
      <c r="X712" s="276"/>
      <c r="Y712" s="276"/>
      <c r="Z712" s="276"/>
      <c r="AA712" s="276"/>
      <c r="AB712" s="276"/>
      <c r="AC712" s="276"/>
    </row>
    <row r="713">
      <c r="A713" s="108" t="s">
        <v>11752</v>
      </c>
      <c r="B713" s="173">
        <v>46041.0</v>
      </c>
      <c r="C713" s="374">
        <v>8.07000034658E11</v>
      </c>
      <c r="D713" s="374" t="s">
        <v>11753</v>
      </c>
      <c r="E713" s="374" t="s">
        <v>11754</v>
      </c>
      <c r="F713" s="177" t="s">
        <v>1877</v>
      </c>
      <c r="G713" s="177" t="s">
        <v>20</v>
      </c>
      <c r="H713" s="177" t="s">
        <v>1878</v>
      </c>
      <c r="I713" s="176" t="s">
        <v>512</v>
      </c>
      <c r="J713" s="374" t="s">
        <v>513</v>
      </c>
      <c r="K713" s="177">
        <v>6.0</v>
      </c>
      <c r="L713" s="174"/>
      <c r="M713" s="367"/>
      <c r="N713" s="209"/>
      <c r="O713" s="209"/>
      <c r="P713" s="209"/>
      <c r="Q713" s="209"/>
      <c r="R713" s="209"/>
      <c r="S713" s="209"/>
      <c r="T713" s="276"/>
      <c r="U713" s="276"/>
      <c r="V713" s="276"/>
      <c r="W713" s="276"/>
      <c r="X713" s="276"/>
      <c r="Y713" s="276"/>
      <c r="Z713" s="276"/>
      <c r="AA713" s="276"/>
      <c r="AB713" s="276"/>
      <c r="AC713" s="276"/>
    </row>
    <row r="714">
      <c r="A714" s="108" t="s">
        <v>11752</v>
      </c>
      <c r="B714" s="173">
        <v>46041.0</v>
      </c>
      <c r="C714" s="374">
        <v>8.07000034659E11</v>
      </c>
      <c r="D714" s="374" t="s">
        <v>11753</v>
      </c>
      <c r="E714" s="374" t="s">
        <v>11754</v>
      </c>
      <c r="F714" s="177" t="s">
        <v>1877</v>
      </c>
      <c r="G714" s="177" t="s">
        <v>20</v>
      </c>
      <c r="H714" s="177" t="s">
        <v>1878</v>
      </c>
      <c r="I714" s="176" t="s">
        <v>289</v>
      </c>
      <c r="J714" s="374" t="s">
        <v>290</v>
      </c>
      <c r="K714" s="177">
        <v>1.0</v>
      </c>
      <c r="L714" s="174"/>
      <c r="M714" s="367"/>
      <c r="N714" s="209"/>
      <c r="O714" s="209"/>
      <c r="P714" s="209"/>
      <c r="Q714" s="209"/>
      <c r="R714" s="209"/>
      <c r="S714" s="209"/>
      <c r="T714" s="276"/>
      <c r="U714" s="276"/>
      <c r="V714" s="276"/>
      <c r="W714" s="276"/>
      <c r="X714" s="276"/>
      <c r="Y714" s="276"/>
      <c r="Z714" s="276"/>
      <c r="AA714" s="276"/>
      <c r="AB714" s="276"/>
      <c r="AC714" s="276"/>
    </row>
    <row r="715">
      <c r="A715" s="108" t="s">
        <v>11755</v>
      </c>
      <c r="B715" s="173">
        <v>46041.0</v>
      </c>
      <c r="C715" s="374">
        <v>8.07000034659E11</v>
      </c>
      <c r="D715" s="374" t="s">
        <v>11753</v>
      </c>
      <c r="E715" s="374" t="s">
        <v>11754</v>
      </c>
      <c r="F715" s="177" t="s">
        <v>1877</v>
      </c>
      <c r="G715" s="177" t="s">
        <v>20</v>
      </c>
      <c r="H715" s="177" t="s">
        <v>1878</v>
      </c>
      <c r="I715" s="176" t="s">
        <v>273</v>
      </c>
      <c r="J715" s="374" t="s">
        <v>3594</v>
      </c>
      <c r="K715" s="177">
        <v>1.0</v>
      </c>
      <c r="L715" s="174"/>
      <c r="M715" s="367"/>
      <c r="N715" s="209"/>
      <c r="O715" s="209"/>
      <c r="P715" s="209"/>
      <c r="Q715" s="209"/>
      <c r="R715" s="209"/>
      <c r="S715" s="209"/>
      <c r="T715" s="276"/>
      <c r="U715" s="276"/>
      <c r="V715" s="276"/>
      <c r="W715" s="276"/>
      <c r="X715" s="276"/>
      <c r="Y715" s="276"/>
      <c r="Z715" s="276"/>
      <c r="AA715" s="276"/>
      <c r="AB715" s="276"/>
      <c r="AC715" s="276"/>
    </row>
    <row r="716">
      <c r="A716" s="108" t="s">
        <v>11755</v>
      </c>
      <c r="B716" s="173">
        <v>46041.0</v>
      </c>
      <c r="C716" s="374">
        <v>8.0700003466E11</v>
      </c>
      <c r="D716" s="374" t="s">
        <v>11753</v>
      </c>
      <c r="E716" s="374" t="s">
        <v>11754</v>
      </c>
      <c r="F716" s="177" t="s">
        <v>1877</v>
      </c>
      <c r="G716" s="177" t="s">
        <v>20</v>
      </c>
      <c r="H716" s="177" t="s">
        <v>1878</v>
      </c>
      <c r="I716" s="176" t="s">
        <v>512</v>
      </c>
      <c r="J716" s="374" t="s">
        <v>513</v>
      </c>
      <c r="K716" s="177">
        <v>6.0</v>
      </c>
      <c r="L716" s="174"/>
      <c r="M716" s="367"/>
      <c r="N716" s="209"/>
      <c r="O716" s="209"/>
      <c r="P716" s="209"/>
      <c r="Q716" s="209"/>
      <c r="R716" s="209"/>
      <c r="S716" s="209"/>
      <c r="T716" s="276"/>
      <c r="U716" s="276"/>
      <c r="V716" s="276"/>
      <c r="W716" s="276"/>
      <c r="X716" s="276"/>
      <c r="Y716" s="276"/>
      <c r="Z716" s="276"/>
      <c r="AA716" s="276"/>
      <c r="AB716" s="276"/>
      <c r="AC716" s="276"/>
    </row>
    <row r="717">
      <c r="A717" s="108" t="s">
        <v>11755</v>
      </c>
      <c r="B717" s="173">
        <v>46041.0</v>
      </c>
      <c r="C717" s="374">
        <v>8.07000034661E11</v>
      </c>
      <c r="D717" s="374" t="s">
        <v>11753</v>
      </c>
      <c r="E717" s="374" t="s">
        <v>11754</v>
      </c>
      <c r="F717" s="177" t="s">
        <v>1877</v>
      </c>
      <c r="G717" s="177" t="s">
        <v>20</v>
      </c>
      <c r="H717" s="177" t="s">
        <v>1878</v>
      </c>
      <c r="I717" s="176" t="s">
        <v>50</v>
      </c>
      <c r="J717" s="374" t="s">
        <v>51</v>
      </c>
      <c r="K717" s="177">
        <v>1.0</v>
      </c>
      <c r="L717" s="174"/>
      <c r="M717" s="367"/>
      <c r="N717" s="209"/>
      <c r="O717" s="209"/>
      <c r="P717" s="209"/>
      <c r="Q717" s="209"/>
      <c r="R717" s="209"/>
      <c r="S717" s="209"/>
      <c r="T717" s="276"/>
      <c r="U717" s="276"/>
      <c r="V717" s="276"/>
      <c r="W717" s="276"/>
      <c r="X717" s="276"/>
      <c r="Y717" s="276"/>
      <c r="Z717" s="276"/>
      <c r="AA717" s="276"/>
      <c r="AB717" s="276"/>
      <c r="AC717" s="276"/>
    </row>
    <row r="718">
      <c r="A718" s="108" t="s">
        <v>11755</v>
      </c>
      <c r="B718" s="173">
        <v>46041.0</v>
      </c>
      <c r="C718" s="374">
        <v>8.07000034661E11</v>
      </c>
      <c r="D718" s="374" t="s">
        <v>11753</v>
      </c>
      <c r="E718" s="374" t="s">
        <v>11754</v>
      </c>
      <c r="F718" s="177" t="s">
        <v>1877</v>
      </c>
      <c r="G718" s="177" t="s">
        <v>20</v>
      </c>
      <c r="H718" s="177" t="s">
        <v>1878</v>
      </c>
      <c r="I718" s="176" t="s">
        <v>25</v>
      </c>
      <c r="J718" s="374" t="s">
        <v>3401</v>
      </c>
      <c r="K718" s="177">
        <v>1.0</v>
      </c>
      <c r="L718" s="174"/>
      <c r="M718" s="367"/>
      <c r="N718" s="206"/>
      <c r="O718" s="206"/>
      <c r="P718" s="206"/>
      <c r="Q718" s="206"/>
      <c r="R718" s="206"/>
      <c r="S718" s="206"/>
      <c r="T718" s="276"/>
      <c r="U718" s="276"/>
      <c r="V718" s="276"/>
      <c r="W718" s="276"/>
      <c r="X718" s="276"/>
      <c r="Y718" s="276"/>
      <c r="Z718" s="276"/>
      <c r="AA718" s="276"/>
      <c r="AB718" s="276"/>
      <c r="AC718" s="276"/>
    </row>
    <row r="719">
      <c r="A719" s="108" t="s">
        <v>11756</v>
      </c>
      <c r="B719" s="173">
        <v>46041.0</v>
      </c>
      <c r="C719" s="374">
        <v>8.07000034675E11</v>
      </c>
      <c r="D719" s="374" t="s">
        <v>11757</v>
      </c>
      <c r="E719" s="374" t="s">
        <v>11758</v>
      </c>
      <c r="F719" s="177" t="s">
        <v>11759</v>
      </c>
      <c r="G719" s="177" t="s">
        <v>127</v>
      </c>
      <c r="H719" s="177">
        <v>4400.0</v>
      </c>
      <c r="I719" s="176" t="s">
        <v>3285</v>
      </c>
      <c r="J719" s="374" t="s">
        <v>3286</v>
      </c>
      <c r="K719" s="177">
        <v>1.0</v>
      </c>
      <c r="L719" s="174"/>
      <c r="M719" s="367"/>
      <c r="N719" s="433">
        <v>46042.0</v>
      </c>
      <c r="O719" s="261" t="s">
        <v>13338</v>
      </c>
      <c r="P719" s="433"/>
      <c r="Q719" s="261" t="s">
        <v>13641</v>
      </c>
      <c r="R719" s="434" t="s">
        <v>13642</v>
      </c>
      <c r="S719" s="433"/>
      <c r="T719" s="276"/>
      <c r="U719" s="276"/>
      <c r="V719" s="276"/>
      <c r="W719" s="276"/>
      <c r="X719" s="276"/>
      <c r="Y719" s="276"/>
      <c r="Z719" s="276"/>
      <c r="AA719" s="276"/>
      <c r="AB719" s="276"/>
      <c r="AC719" s="276"/>
    </row>
    <row r="720">
      <c r="A720" s="108" t="s">
        <v>11760</v>
      </c>
      <c r="B720" s="173">
        <v>46041.0</v>
      </c>
      <c r="C720" s="374">
        <v>8.0700003468E11</v>
      </c>
      <c r="D720" s="374" t="s">
        <v>11761</v>
      </c>
      <c r="E720" s="374" t="s">
        <v>11762</v>
      </c>
      <c r="F720" s="177" t="s">
        <v>11763</v>
      </c>
      <c r="G720" s="177" t="s">
        <v>4496</v>
      </c>
      <c r="H720" s="177">
        <v>4400.0</v>
      </c>
      <c r="I720" s="176" t="s">
        <v>1766</v>
      </c>
      <c r="J720" s="374" t="s">
        <v>8008</v>
      </c>
      <c r="K720" s="177">
        <v>1.0</v>
      </c>
      <c r="L720" s="174"/>
      <c r="M720" s="367"/>
      <c r="N720" s="429">
        <v>46042.0</v>
      </c>
      <c r="O720" s="430" t="s">
        <v>13338</v>
      </c>
      <c r="P720" s="431"/>
      <c r="Q720" s="430" t="s">
        <v>13643</v>
      </c>
      <c r="R720" s="432" t="s">
        <v>13644</v>
      </c>
      <c r="S720" s="367"/>
      <c r="T720" s="276"/>
      <c r="U720" s="276"/>
      <c r="V720" s="276"/>
      <c r="W720" s="276"/>
      <c r="X720" s="276"/>
      <c r="Y720" s="276"/>
      <c r="Z720" s="276"/>
      <c r="AA720" s="276"/>
      <c r="AB720" s="276"/>
      <c r="AC720" s="276"/>
    </row>
    <row r="721">
      <c r="A721" s="108" t="s">
        <v>11760</v>
      </c>
      <c r="B721" s="173">
        <v>46041.0</v>
      </c>
      <c r="C721" s="374">
        <v>8.0700003468E11</v>
      </c>
      <c r="D721" s="374" t="s">
        <v>11761</v>
      </c>
      <c r="E721" s="374" t="s">
        <v>11762</v>
      </c>
      <c r="F721" s="177" t="s">
        <v>11763</v>
      </c>
      <c r="G721" s="177" t="s">
        <v>4496</v>
      </c>
      <c r="H721" s="177">
        <v>4400.0</v>
      </c>
      <c r="I721" s="176" t="s">
        <v>512</v>
      </c>
      <c r="J721" s="374" t="s">
        <v>513</v>
      </c>
      <c r="K721" s="177">
        <v>12.0</v>
      </c>
      <c r="L721" s="174"/>
      <c r="M721" s="367"/>
      <c r="N721" s="209"/>
      <c r="O721" s="209"/>
      <c r="P721" s="209"/>
      <c r="Q721" s="209"/>
      <c r="R721" s="209"/>
      <c r="S721" s="367"/>
      <c r="T721" s="276"/>
      <c r="U721" s="276"/>
      <c r="V721" s="276"/>
      <c r="W721" s="276"/>
      <c r="X721" s="276"/>
      <c r="Y721" s="276"/>
      <c r="Z721" s="276"/>
      <c r="AA721" s="276"/>
      <c r="AB721" s="276"/>
      <c r="AC721" s="276"/>
    </row>
    <row r="722">
      <c r="A722" s="108" t="s">
        <v>11760</v>
      </c>
      <c r="B722" s="173">
        <v>46041.0</v>
      </c>
      <c r="C722" s="374">
        <v>8.0700003468E11</v>
      </c>
      <c r="D722" s="374" t="s">
        <v>11761</v>
      </c>
      <c r="E722" s="374" t="s">
        <v>11762</v>
      </c>
      <c r="F722" s="177" t="s">
        <v>11763</v>
      </c>
      <c r="G722" s="177" t="s">
        <v>4496</v>
      </c>
      <c r="H722" s="177">
        <v>4400.0</v>
      </c>
      <c r="I722" s="176" t="s">
        <v>233</v>
      </c>
      <c r="J722" s="374" t="s">
        <v>3459</v>
      </c>
      <c r="K722" s="177">
        <v>2.0</v>
      </c>
      <c r="L722" s="174"/>
      <c r="M722" s="367"/>
      <c r="N722" s="206"/>
      <c r="O722" s="206"/>
      <c r="P722" s="206"/>
      <c r="Q722" s="206"/>
      <c r="R722" s="206"/>
      <c r="S722" s="367"/>
      <c r="T722" s="276"/>
      <c r="U722" s="276"/>
      <c r="V722" s="276"/>
      <c r="W722" s="276"/>
      <c r="X722" s="276"/>
      <c r="Y722" s="276"/>
      <c r="Z722" s="276"/>
      <c r="AA722" s="276"/>
      <c r="AB722" s="276"/>
      <c r="AC722" s="276"/>
    </row>
    <row r="723">
      <c r="A723" s="107" t="s">
        <v>5660</v>
      </c>
      <c r="B723" s="438">
        <v>46041.0</v>
      </c>
      <c r="C723" s="107">
        <v>8.0702503465E11</v>
      </c>
      <c r="D723" s="107" t="s">
        <v>5661</v>
      </c>
      <c r="E723" s="107" t="s">
        <v>5662</v>
      </c>
      <c r="F723" s="107" t="s">
        <v>5663</v>
      </c>
      <c r="G723" s="107" t="s">
        <v>127</v>
      </c>
      <c r="H723" s="107">
        <v>4400.0</v>
      </c>
      <c r="I723" s="107" t="s">
        <v>3376</v>
      </c>
      <c r="J723" s="31" t="s">
        <v>3377</v>
      </c>
      <c r="K723" s="31">
        <v>1.0</v>
      </c>
      <c r="L723" s="31"/>
      <c r="M723" s="31" t="s">
        <v>5664</v>
      </c>
      <c r="N723" s="207">
        <v>46049.0</v>
      </c>
      <c r="O723" s="123" t="s">
        <v>13338</v>
      </c>
      <c r="P723" s="367"/>
      <c r="Q723" s="261" t="s">
        <v>13645</v>
      </c>
      <c r="R723" s="434" t="s">
        <v>13646</v>
      </c>
      <c r="S723" s="367"/>
      <c r="T723" s="276"/>
      <c r="U723" s="276"/>
      <c r="V723" s="276"/>
      <c r="W723" s="276"/>
      <c r="X723" s="276"/>
      <c r="Y723" s="276"/>
      <c r="Z723" s="276"/>
      <c r="AA723" s="276"/>
      <c r="AB723" s="276"/>
      <c r="AC723" s="276"/>
    </row>
    <row r="724">
      <c r="A724" s="108" t="s">
        <v>11764</v>
      </c>
      <c r="B724" s="173">
        <v>46042.0</v>
      </c>
      <c r="C724" s="374">
        <v>8.0700003467E11</v>
      </c>
      <c r="D724" s="374" t="s">
        <v>11765</v>
      </c>
      <c r="E724" s="374" t="s">
        <v>11766</v>
      </c>
      <c r="F724" s="177" t="s">
        <v>11767</v>
      </c>
      <c r="G724" s="177" t="s">
        <v>127</v>
      </c>
      <c r="H724" s="177">
        <v>4400.0</v>
      </c>
      <c r="I724" s="176" t="s">
        <v>3131</v>
      </c>
      <c r="J724" s="374" t="s">
        <v>3416</v>
      </c>
      <c r="K724" s="177">
        <v>1.0</v>
      </c>
      <c r="L724" s="174"/>
      <c r="M724" s="367"/>
      <c r="N724" s="429">
        <v>46042.0</v>
      </c>
      <c r="O724" s="430" t="s">
        <v>13338</v>
      </c>
      <c r="P724" s="431"/>
      <c r="Q724" s="430" t="s">
        <v>13339</v>
      </c>
      <c r="R724" s="432" t="s">
        <v>13647</v>
      </c>
      <c r="S724" s="367"/>
      <c r="T724" s="276"/>
      <c r="U724" s="276"/>
      <c r="V724" s="276"/>
      <c r="W724" s="276"/>
      <c r="X724" s="276"/>
      <c r="Y724" s="276"/>
      <c r="Z724" s="276"/>
      <c r="AA724" s="276"/>
      <c r="AB724" s="276"/>
      <c r="AC724" s="276"/>
    </row>
    <row r="725">
      <c r="A725" s="108" t="s">
        <v>11764</v>
      </c>
      <c r="B725" s="173">
        <v>46042.0</v>
      </c>
      <c r="C725" s="374">
        <v>8.0700003467E11</v>
      </c>
      <c r="D725" s="374" t="s">
        <v>11765</v>
      </c>
      <c r="E725" s="374" t="s">
        <v>11766</v>
      </c>
      <c r="F725" s="177" t="s">
        <v>11767</v>
      </c>
      <c r="G725" s="177" t="s">
        <v>127</v>
      </c>
      <c r="H725" s="177">
        <v>4400.0</v>
      </c>
      <c r="I725" s="176" t="s">
        <v>35</v>
      </c>
      <c r="J725" s="374" t="s">
        <v>3188</v>
      </c>
      <c r="K725" s="177">
        <v>1.0</v>
      </c>
      <c r="L725" s="174"/>
      <c r="M725" s="367"/>
      <c r="N725" s="206"/>
      <c r="O725" s="206"/>
      <c r="P725" s="206"/>
      <c r="Q725" s="206"/>
      <c r="R725" s="206"/>
      <c r="S725" s="367"/>
      <c r="T725" s="276"/>
      <c r="U725" s="276"/>
      <c r="V725" s="276"/>
      <c r="W725" s="276"/>
      <c r="X725" s="276"/>
      <c r="Y725" s="276"/>
      <c r="Z725" s="276"/>
      <c r="AA725" s="276"/>
      <c r="AB725" s="276"/>
      <c r="AC725" s="276"/>
    </row>
    <row r="726">
      <c r="A726" s="108" t="s">
        <v>11768</v>
      </c>
      <c r="B726" s="173">
        <v>46042.0</v>
      </c>
      <c r="C726" s="374">
        <v>8.07000034706E11</v>
      </c>
      <c r="D726" s="374" t="s">
        <v>11769</v>
      </c>
      <c r="E726" s="374" t="s">
        <v>11770</v>
      </c>
      <c r="F726" s="177" t="s">
        <v>11771</v>
      </c>
      <c r="G726" s="177" t="s">
        <v>127</v>
      </c>
      <c r="H726" s="177">
        <v>4400.0</v>
      </c>
      <c r="I726" s="176" t="s">
        <v>11303</v>
      </c>
      <c r="J726" s="374" t="s">
        <v>11304</v>
      </c>
      <c r="K726" s="177">
        <v>1.0</v>
      </c>
      <c r="L726" s="174"/>
      <c r="M726" s="367"/>
      <c r="N726" s="429">
        <v>46042.0</v>
      </c>
      <c r="O726" s="430" t="s">
        <v>13338</v>
      </c>
      <c r="P726" s="431"/>
      <c r="Q726" s="430" t="s">
        <v>13339</v>
      </c>
      <c r="R726" s="432" t="s">
        <v>13648</v>
      </c>
      <c r="S726" s="367"/>
      <c r="T726" s="276"/>
      <c r="U726" s="276"/>
      <c r="V726" s="276"/>
      <c r="W726" s="276"/>
      <c r="X726" s="276"/>
      <c r="Y726" s="276"/>
      <c r="Z726" s="276"/>
      <c r="AA726" s="276"/>
      <c r="AB726" s="276"/>
      <c r="AC726" s="276"/>
    </row>
    <row r="727">
      <c r="A727" s="108" t="s">
        <v>11768</v>
      </c>
      <c r="B727" s="173">
        <v>46042.0</v>
      </c>
      <c r="C727" s="374">
        <v>8.07000034706E11</v>
      </c>
      <c r="D727" s="374" t="s">
        <v>11769</v>
      </c>
      <c r="E727" s="374" t="s">
        <v>11770</v>
      </c>
      <c r="F727" s="177" t="s">
        <v>11771</v>
      </c>
      <c r="G727" s="177" t="s">
        <v>127</v>
      </c>
      <c r="H727" s="177">
        <v>4400.0</v>
      </c>
      <c r="I727" s="176" t="s">
        <v>4976</v>
      </c>
      <c r="J727" s="374" t="s">
        <v>4977</v>
      </c>
      <c r="K727" s="177">
        <v>1.0</v>
      </c>
      <c r="L727" s="174"/>
      <c r="M727" s="367"/>
      <c r="N727" s="206"/>
      <c r="O727" s="206"/>
      <c r="P727" s="206"/>
      <c r="Q727" s="206"/>
      <c r="R727" s="206"/>
      <c r="S727" s="367"/>
      <c r="T727" s="276"/>
      <c r="U727" s="276"/>
      <c r="V727" s="276"/>
      <c r="W727" s="276"/>
      <c r="X727" s="276"/>
      <c r="Y727" s="276"/>
      <c r="Z727" s="276"/>
      <c r="AA727" s="276"/>
      <c r="AB727" s="276"/>
      <c r="AC727" s="276"/>
    </row>
    <row r="728">
      <c r="A728" s="108" t="s">
        <v>11772</v>
      </c>
      <c r="B728" s="173">
        <v>46042.0</v>
      </c>
      <c r="C728" s="374">
        <v>8.07000034707E11</v>
      </c>
      <c r="D728" s="374" t="s">
        <v>11773</v>
      </c>
      <c r="E728" s="374" t="s">
        <v>11774</v>
      </c>
      <c r="F728" s="177" t="s">
        <v>11775</v>
      </c>
      <c r="G728" s="177" t="s">
        <v>127</v>
      </c>
      <c r="H728" s="177">
        <v>4400.0</v>
      </c>
      <c r="I728" s="176" t="s">
        <v>3451</v>
      </c>
      <c r="J728" s="374" t="s">
        <v>3452</v>
      </c>
      <c r="K728" s="177">
        <v>1.0</v>
      </c>
      <c r="L728" s="174"/>
      <c r="M728" s="367"/>
      <c r="N728" s="429">
        <v>46042.0</v>
      </c>
      <c r="O728" s="430" t="s">
        <v>13338</v>
      </c>
      <c r="P728" s="431"/>
      <c r="Q728" s="430" t="s">
        <v>13339</v>
      </c>
      <c r="R728" s="432" t="s">
        <v>13649</v>
      </c>
      <c r="S728" s="367"/>
      <c r="T728" s="276"/>
      <c r="U728" s="276"/>
      <c r="V728" s="276"/>
      <c r="W728" s="276"/>
      <c r="X728" s="276"/>
      <c r="Y728" s="276"/>
      <c r="Z728" s="276"/>
      <c r="AA728" s="276"/>
      <c r="AB728" s="276"/>
      <c r="AC728" s="276"/>
    </row>
    <row r="729">
      <c r="A729" s="108" t="s">
        <v>11776</v>
      </c>
      <c r="B729" s="173">
        <v>46042.0</v>
      </c>
      <c r="C729" s="374">
        <v>8.07000034709E11</v>
      </c>
      <c r="D729" s="374" t="s">
        <v>11773</v>
      </c>
      <c r="E729" s="374" t="s">
        <v>11774</v>
      </c>
      <c r="F729" s="177" t="s">
        <v>11775</v>
      </c>
      <c r="G729" s="177" t="s">
        <v>127</v>
      </c>
      <c r="H729" s="177">
        <v>4400.0</v>
      </c>
      <c r="I729" s="176" t="s">
        <v>670</v>
      </c>
      <c r="J729" s="374" t="s">
        <v>3410</v>
      </c>
      <c r="K729" s="177">
        <v>1.0</v>
      </c>
      <c r="L729" s="174"/>
      <c r="M729" s="367"/>
      <c r="N729" s="206"/>
      <c r="O729" s="206"/>
      <c r="P729" s="206"/>
      <c r="Q729" s="206"/>
      <c r="R729" s="206"/>
      <c r="S729" s="367"/>
      <c r="T729" s="276"/>
      <c r="U729" s="276"/>
      <c r="V729" s="276"/>
      <c r="W729" s="276"/>
      <c r="X729" s="276"/>
      <c r="Y729" s="276"/>
      <c r="Z729" s="276"/>
      <c r="AA729" s="276"/>
      <c r="AB729" s="276"/>
      <c r="AC729" s="276"/>
    </row>
    <row r="730">
      <c r="A730" s="108" t="s">
        <v>11777</v>
      </c>
      <c r="B730" s="173">
        <v>46042.0</v>
      </c>
      <c r="C730" s="374">
        <v>8.07000034721E11</v>
      </c>
      <c r="D730" s="374" t="s">
        <v>11778</v>
      </c>
      <c r="E730" s="374" t="s">
        <v>11779</v>
      </c>
      <c r="F730" s="177" t="s">
        <v>11780</v>
      </c>
      <c r="G730" s="177" t="s">
        <v>127</v>
      </c>
      <c r="H730" s="177">
        <v>4400.0</v>
      </c>
      <c r="I730" s="176" t="s">
        <v>3285</v>
      </c>
      <c r="J730" s="374" t="s">
        <v>3286</v>
      </c>
      <c r="K730" s="177">
        <v>1.0</v>
      </c>
      <c r="L730" s="174"/>
      <c r="M730" s="367"/>
      <c r="N730" s="433">
        <v>46042.0</v>
      </c>
      <c r="O730" s="261" t="s">
        <v>13338</v>
      </c>
      <c r="P730" s="367"/>
      <c r="Q730" s="261" t="s">
        <v>13339</v>
      </c>
      <c r="R730" s="434" t="s">
        <v>13650</v>
      </c>
      <c r="S730" s="367"/>
      <c r="T730" s="276"/>
      <c r="U730" s="276"/>
      <c r="V730" s="276"/>
      <c r="W730" s="276"/>
      <c r="X730" s="276"/>
      <c r="Y730" s="276"/>
      <c r="Z730" s="276"/>
      <c r="AA730" s="276"/>
      <c r="AB730" s="276"/>
      <c r="AC730" s="276"/>
    </row>
    <row r="731">
      <c r="A731" s="108" t="s">
        <v>11781</v>
      </c>
      <c r="B731" s="173">
        <v>46042.0</v>
      </c>
      <c r="C731" s="374"/>
      <c r="D731" s="374"/>
      <c r="E731" s="374" t="s">
        <v>11782</v>
      </c>
      <c r="F731" s="145" t="s">
        <v>11783</v>
      </c>
      <c r="G731" s="145" t="s">
        <v>127</v>
      </c>
      <c r="H731" s="108">
        <v>4400.0</v>
      </c>
      <c r="I731" s="176" t="s">
        <v>761</v>
      </c>
      <c r="J731" s="176" t="s">
        <v>11784</v>
      </c>
      <c r="K731" s="177">
        <v>1.0</v>
      </c>
      <c r="L731" s="174"/>
      <c r="M731" s="367"/>
      <c r="N731" s="433">
        <v>46042.0</v>
      </c>
      <c r="O731" s="261" t="s">
        <v>13338</v>
      </c>
      <c r="P731" s="367"/>
      <c r="Q731" s="261" t="s">
        <v>13339</v>
      </c>
      <c r="R731" s="434" t="s">
        <v>13651</v>
      </c>
      <c r="S731" s="367"/>
      <c r="T731" s="276"/>
      <c r="U731" s="276"/>
      <c r="V731" s="276"/>
      <c r="W731" s="276"/>
      <c r="X731" s="276"/>
      <c r="Y731" s="276"/>
      <c r="Z731" s="276"/>
      <c r="AA731" s="276"/>
      <c r="AB731" s="276"/>
      <c r="AC731" s="276"/>
    </row>
    <row r="732">
      <c r="A732" s="370"/>
      <c r="B732" s="439"/>
      <c r="C732" s="384"/>
      <c r="D732" s="384"/>
      <c r="E732" s="384"/>
      <c r="F732" s="214"/>
      <c r="G732" s="214"/>
      <c r="H732" s="370"/>
      <c r="I732" s="385"/>
      <c r="J732" s="289"/>
      <c r="K732" s="290"/>
      <c r="L732" s="299"/>
      <c r="M732" s="440"/>
      <c r="N732" s="441"/>
      <c r="O732" s="442"/>
      <c r="P732" s="440"/>
      <c r="Q732" s="442"/>
      <c r="R732" s="443"/>
      <c r="S732" s="440"/>
      <c r="T732" s="276"/>
      <c r="U732" s="276"/>
      <c r="V732" s="276"/>
      <c r="W732" s="276"/>
      <c r="X732" s="276"/>
      <c r="Y732" s="276"/>
      <c r="Z732" s="276"/>
      <c r="AA732" s="276"/>
      <c r="AB732" s="276"/>
      <c r="AC732" s="276"/>
    </row>
    <row r="733">
      <c r="A733" s="107" t="s">
        <v>5631</v>
      </c>
      <c r="B733" s="173">
        <v>46042.0</v>
      </c>
      <c r="C733" s="107">
        <v>8.0702503457E11</v>
      </c>
      <c r="D733" s="107" t="s">
        <v>5632</v>
      </c>
      <c r="E733" s="107" t="s">
        <v>5633</v>
      </c>
      <c r="F733" s="107" t="s">
        <v>5634</v>
      </c>
      <c r="G733" s="107" t="s">
        <v>5635</v>
      </c>
      <c r="H733" s="107" t="s">
        <v>20</v>
      </c>
      <c r="I733" s="107" t="s">
        <v>812</v>
      </c>
      <c r="J733" s="31" t="s">
        <v>3564</v>
      </c>
      <c r="K733" s="31">
        <v>1.0</v>
      </c>
      <c r="L733" s="31" t="s">
        <v>3564</v>
      </c>
      <c r="M733" s="31" t="s">
        <v>5636</v>
      </c>
      <c r="N733" s="429">
        <v>46025.0</v>
      </c>
      <c r="O733" s="430" t="s">
        <v>13338</v>
      </c>
      <c r="P733" s="429"/>
      <c r="Q733" s="430" t="s">
        <v>13652</v>
      </c>
      <c r="R733" s="432" t="s">
        <v>13653</v>
      </c>
      <c r="S733" s="433"/>
      <c r="T733" s="276"/>
      <c r="U733" s="276"/>
      <c r="V733" s="276"/>
      <c r="W733" s="276"/>
      <c r="X733" s="276"/>
      <c r="Y733" s="276"/>
      <c r="Z733" s="276"/>
      <c r="AA733" s="276"/>
      <c r="AB733" s="276"/>
      <c r="AC733" s="276"/>
    </row>
    <row r="734">
      <c r="A734" s="107" t="s">
        <v>5631</v>
      </c>
      <c r="B734" s="173">
        <v>46042.0</v>
      </c>
      <c r="C734" s="107">
        <v>8.0702503457E11</v>
      </c>
      <c r="D734" s="107" t="s">
        <v>5632</v>
      </c>
      <c r="E734" s="107" t="s">
        <v>5633</v>
      </c>
      <c r="F734" s="107" t="s">
        <v>5634</v>
      </c>
      <c r="G734" s="107" t="s">
        <v>5635</v>
      </c>
      <c r="H734" s="107" t="s">
        <v>20</v>
      </c>
      <c r="I734" s="107">
        <v>18.0</v>
      </c>
      <c r="J734" s="31" t="s">
        <v>5637</v>
      </c>
      <c r="K734" s="31">
        <v>1.0</v>
      </c>
      <c r="L734" s="31" t="s">
        <v>5637</v>
      </c>
      <c r="M734" s="31" t="s">
        <v>5636</v>
      </c>
      <c r="N734" s="209"/>
      <c r="O734" s="209"/>
      <c r="P734" s="209"/>
      <c r="Q734" s="209"/>
      <c r="R734" s="209"/>
      <c r="S734" s="433"/>
      <c r="T734" s="276"/>
      <c r="U734" s="276"/>
      <c r="V734" s="276"/>
      <c r="W734" s="276"/>
      <c r="X734" s="276"/>
      <c r="Y734" s="276"/>
      <c r="Z734" s="276"/>
      <c r="AA734" s="276"/>
      <c r="AB734" s="276"/>
      <c r="AC734" s="276"/>
    </row>
    <row r="735">
      <c r="A735" s="107" t="s">
        <v>5631</v>
      </c>
      <c r="B735" s="173">
        <v>46042.0</v>
      </c>
      <c r="C735" s="107">
        <v>8.0702503457E11</v>
      </c>
      <c r="D735" s="107" t="s">
        <v>5632</v>
      </c>
      <c r="E735" s="107" t="s">
        <v>5633</v>
      </c>
      <c r="F735" s="107" t="s">
        <v>5634</v>
      </c>
      <c r="G735" s="107" t="s">
        <v>5635</v>
      </c>
      <c r="H735" s="107" t="s">
        <v>20</v>
      </c>
      <c r="I735" s="107" t="s">
        <v>5638</v>
      </c>
      <c r="J735" s="31" t="s">
        <v>5639</v>
      </c>
      <c r="K735" s="31">
        <v>1.0</v>
      </c>
      <c r="L735" s="31" t="s">
        <v>5639</v>
      </c>
      <c r="M735" s="31" t="s">
        <v>5636</v>
      </c>
      <c r="N735" s="206"/>
      <c r="O735" s="206"/>
      <c r="P735" s="206"/>
      <c r="Q735" s="206"/>
      <c r="R735" s="206"/>
      <c r="S735" s="433"/>
      <c r="T735" s="276"/>
      <c r="U735" s="276"/>
      <c r="V735" s="276"/>
      <c r="W735" s="276"/>
      <c r="X735" s="276"/>
      <c r="Y735" s="276"/>
      <c r="Z735" s="276"/>
      <c r="AA735" s="276"/>
      <c r="AB735" s="276"/>
      <c r="AC735" s="276"/>
    </row>
    <row r="736">
      <c r="A736" s="172" t="s">
        <v>5690</v>
      </c>
      <c r="B736" s="173">
        <v>46042.0</v>
      </c>
      <c r="C736" s="374"/>
      <c r="D736" s="374"/>
      <c r="E736" s="374" t="s">
        <v>11782</v>
      </c>
      <c r="F736" s="145" t="s">
        <v>11783</v>
      </c>
      <c r="G736" s="145" t="s">
        <v>127</v>
      </c>
      <c r="H736" s="108">
        <v>4400.0</v>
      </c>
      <c r="I736" s="176" t="s">
        <v>2419</v>
      </c>
      <c r="J736" s="176" t="s">
        <v>13654</v>
      </c>
      <c r="K736" s="55">
        <v>1.0</v>
      </c>
      <c r="L736" s="31"/>
      <c r="M736" s="31"/>
      <c r="N736" s="433">
        <v>46051.0</v>
      </c>
      <c r="O736" s="261" t="s">
        <v>13338</v>
      </c>
      <c r="P736" s="433"/>
      <c r="Q736" s="261" t="s">
        <v>13655</v>
      </c>
      <c r="R736" s="434" t="s">
        <v>13656</v>
      </c>
      <c r="S736" s="433"/>
      <c r="T736" s="276"/>
      <c r="U736" s="276"/>
      <c r="V736" s="276"/>
      <c r="W736" s="276"/>
      <c r="X736" s="276"/>
      <c r="Y736" s="276"/>
      <c r="Z736" s="276"/>
      <c r="AA736" s="276"/>
      <c r="AB736" s="276"/>
      <c r="AC736" s="276"/>
    </row>
    <row r="737">
      <c r="A737" s="107" t="s">
        <v>5609</v>
      </c>
      <c r="B737" s="173">
        <v>46042.0</v>
      </c>
      <c r="C737" s="107">
        <v>8.05011567745E11</v>
      </c>
      <c r="D737" s="107" t="s">
        <v>5610</v>
      </c>
      <c r="E737" s="107" t="s">
        <v>5611</v>
      </c>
      <c r="F737" s="107" t="s">
        <v>5612</v>
      </c>
      <c r="G737" s="107" t="s">
        <v>20</v>
      </c>
      <c r="H737" s="107">
        <v>4400.0</v>
      </c>
      <c r="I737" s="107">
        <v>14.0</v>
      </c>
      <c r="J737" s="31" t="s">
        <v>2819</v>
      </c>
      <c r="K737" s="33">
        <v>1.0</v>
      </c>
      <c r="L737" s="31"/>
      <c r="M737" s="31" t="s">
        <v>5613</v>
      </c>
      <c r="N737" s="429">
        <v>46049.0</v>
      </c>
      <c r="O737" s="430" t="s">
        <v>13338</v>
      </c>
      <c r="P737" s="429"/>
      <c r="Q737" s="430" t="s">
        <v>13339</v>
      </c>
      <c r="R737" s="432" t="s">
        <v>13657</v>
      </c>
      <c r="S737" s="433"/>
      <c r="T737" s="276"/>
      <c r="U737" s="276"/>
      <c r="V737" s="276"/>
      <c r="W737" s="276"/>
      <c r="X737" s="276"/>
      <c r="Y737" s="276"/>
      <c r="Z737" s="276"/>
      <c r="AA737" s="276"/>
      <c r="AB737" s="276"/>
      <c r="AC737" s="276"/>
    </row>
    <row r="738">
      <c r="A738" s="107" t="s">
        <v>5609</v>
      </c>
      <c r="B738" s="173">
        <v>46042.0</v>
      </c>
      <c r="C738" s="107">
        <v>8.05011567745E11</v>
      </c>
      <c r="D738" s="107" t="s">
        <v>5610</v>
      </c>
      <c r="E738" s="107" t="s">
        <v>5611</v>
      </c>
      <c r="F738" s="107" t="s">
        <v>5612</v>
      </c>
      <c r="G738" s="107" t="s">
        <v>20</v>
      </c>
      <c r="H738" s="107">
        <v>4400.0</v>
      </c>
      <c r="I738" s="107" t="s">
        <v>617</v>
      </c>
      <c r="J738" s="31" t="s">
        <v>3867</v>
      </c>
      <c r="K738" s="33">
        <v>1.0</v>
      </c>
      <c r="L738" s="31"/>
      <c r="M738" s="31" t="s">
        <v>5613</v>
      </c>
      <c r="N738" s="209"/>
      <c r="O738" s="209"/>
      <c r="P738" s="209"/>
      <c r="Q738" s="209"/>
      <c r="R738" s="209"/>
      <c r="S738" s="433"/>
      <c r="T738" s="276"/>
      <c r="U738" s="276"/>
      <c r="V738" s="276"/>
      <c r="W738" s="276"/>
      <c r="X738" s="276"/>
      <c r="Y738" s="276"/>
      <c r="Z738" s="276"/>
      <c r="AA738" s="276"/>
      <c r="AB738" s="276"/>
      <c r="AC738" s="276"/>
    </row>
    <row r="739">
      <c r="A739" s="107" t="s">
        <v>5609</v>
      </c>
      <c r="B739" s="173">
        <v>46042.0</v>
      </c>
      <c r="C739" s="107">
        <v>8.05011567745E11</v>
      </c>
      <c r="D739" s="107" t="s">
        <v>5610</v>
      </c>
      <c r="E739" s="107" t="s">
        <v>5611</v>
      </c>
      <c r="F739" s="107" t="s">
        <v>5612</v>
      </c>
      <c r="G739" s="107" t="s">
        <v>20</v>
      </c>
      <c r="H739" s="107">
        <v>4400.0</v>
      </c>
      <c r="I739" s="107" t="s">
        <v>512</v>
      </c>
      <c r="J739" s="31" t="s">
        <v>513</v>
      </c>
      <c r="K739" s="33">
        <v>12.0</v>
      </c>
      <c r="L739" s="31"/>
      <c r="M739" s="31" t="s">
        <v>5613</v>
      </c>
      <c r="N739" s="209"/>
      <c r="O739" s="209"/>
      <c r="P739" s="209"/>
      <c r="Q739" s="209"/>
      <c r="R739" s="209"/>
      <c r="S739" s="433"/>
      <c r="T739" s="276"/>
      <c r="U739" s="276"/>
      <c r="V739" s="276"/>
      <c r="W739" s="276"/>
      <c r="X739" s="276"/>
      <c r="Y739" s="276"/>
      <c r="Z739" s="276"/>
      <c r="AA739" s="276"/>
      <c r="AB739" s="276"/>
      <c r="AC739" s="276"/>
    </row>
    <row r="740">
      <c r="A740" s="107" t="s">
        <v>5609</v>
      </c>
      <c r="B740" s="173">
        <v>46042.0</v>
      </c>
      <c r="C740" s="107">
        <v>8.05011567745E11</v>
      </c>
      <c r="D740" s="107" t="s">
        <v>5610</v>
      </c>
      <c r="E740" s="107" t="s">
        <v>5611</v>
      </c>
      <c r="F740" s="107" t="s">
        <v>5612</v>
      </c>
      <c r="G740" s="107" t="s">
        <v>20</v>
      </c>
      <c r="H740" s="107">
        <v>4400.0</v>
      </c>
      <c r="I740" s="107" t="s">
        <v>645</v>
      </c>
      <c r="J740" s="31" t="s">
        <v>3253</v>
      </c>
      <c r="K740" s="33">
        <v>2.0</v>
      </c>
      <c r="L740" s="31"/>
      <c r="M740" s="31" t="s">
        <v>5613</v>
      </c>
      <c r="N740" s="206"/>
      <c r="O740" s="206"/>
      <c r="P740" s="206"/>
      <c r="Q740" s="206"/>
      <c r="R740" s="206"/>
      <c r="S740" s="433"/>
      <c r="T740" s="276"/>
      <c r="U740" s="276"/>
      <c r="V740" s="276"/>
      <c r="W740" s="276"/>
      <c r="X740" s="276"/>
      <c r="Y740" s="276"/>
      <c r="Z740" s="276"/>
      <c r="AA740" s="276"/>
      <c r="AB740" s="276"/>
      <c r="AC740" s="276"/>
    </row>
    <row r="741">
      <c r="A741" s="107" t="s">
        <v>5624</v>
      </c>
      <c r="B741" s="173">
        <v>46042.0</v>
      </c>
      <c r="C741" s="107">
        <v>8.05011568036E11</v>
      </c>
      <c r="D741" s="107" t="s">
        <v>4979</v>
      </c>
      <c r="E741" s="107" t="s">
        <v>4980</v>
      </c>
      <c r="F741" s="107" t="s">
        <v>5625</v>
      </c>
      <c r="G741" s="107" t="s">
        <v>20</v>
      </c>
      <c r="H741" s="107">
        <v>4400.0</v>
      </c>
      <c r="I741" s="107" t="s">
        <v>2135</v>
      </c>
      <c r="J741" s="31" t="s">
        <v>5094</v>
      </c>
      <c r="K741" s="33">
        <v>1.0</v>
      </c>
      <c r="L741" s="31"/>
      <c r="M741" s="33"/>
      <c r="N741" s="207">
        <v>46049.0</v>
      </c>
      <c r="O741" s="123" t="s">
        <v>13338</v>
      </c>
      <c r="P741" s="433"/>
      <c r="Q741" s="261" t="s">
        <v>13658</v>
      </c>
      <c r="R741" s="434" t="s">
        <v>13659</v>
      </c>
      <c r="S741" s="433"/>
      <c r="T741" s="276"/>
      <c r="U741" s="276"/>
      <c r="V741" s="276"/>
      <c r="W741" s="276"/>
      <c r="X741" s="276"/>
      <c r="Y741" s="276"/>
      <c r="Z741" s="276"/>
      <c r="AA741" s="276"/>
      <c r="AB741" s="276"/>
      <c r="AC741" s="276"/>
    </row>
    <row r="742">
      <c r="A742" s="107" t="s">
        <v>5644</v>
      </c>
      <c r="B742" s="173">
        <v>46042.0</v>
      </c>
      <c r="C742" s="107">
        <v>8.05011567468E11</v>
      </c>
      <c r="D742" s="107" t="s">
        <v>5645</v>
      </c>
      <c r="E742" s="107" t="s">
        <v>5646</v>
      </c>
      <c r="F742" s="107" t="s">
        <v>5647</v>
      </c>
      <c r="G742" s="107" t="s">
        <v>20</v>
      </c>
      <c r="H742" s="107">
        <v>4400.0</v>
      </c>
      <c r="I742" s="107" t="s">
        <v>5551</v>
      </c>
      <c r="J742" s="31" t="s">
        <v>5552</v>
      </c>
      <c r="K742" s="33">
        <v>1.0</v>
      </c>
      <c r="L742" s="31"/>
      <c r="M742" s="33"/>
      <c r="N742" s="429">
        <v>46049.0</v>
      </c>
      <c r="O742" s="430" t="s">
        <v>13338</v>
      </c>
      <c r="P742" s="429"/>
      <c r="Q742" s="430" t="s">
        <v>13660</v>
      </c>
      <c r="R742" s="432" t="s">
        <v>13661</v>
      </c>
      <c r="S742" s="433"/>
      <c r="T742" s="276"/>
      <c r="U742" s="276"/>
      <c r="V742" s="276"/>
      <c r="W742" s="276"/>
      <c r="X742" s="276"/>
      <c r="Y742" s="276"/>
      <c r="Z742" s="276"/>
      <c r="AA742" s="276"/>
      <c r="AB742" s="276"/>
      <c r="AC742" s="276"/>
    </row>
    <row r="743">
      <c r="A743" s="107" t="s">
        <v>5644</v>
      </c>
      <c r="B743" s="173">
        <v>46042.0</v>
      </c>
      <c r="C743" s="107">
        <v>8.05011567468E11</v>
      </c>
      <c r="D743" s="107" t="s">
        <v>5645</v>
      </c>
      <c r="E743" s="107" t="s">
        <v>5646</v>
      </c>
      <c r="F743" s="107" t="s">
        <v>5647</v>
      </c>
      <c r="G743" s="107" t="s">
        <v>20</v>
      </c>
      <c r="H743" s="107">
        <v>4400.0</v>
      </c>
      <c r="I743" s="107" t="s">
        <v>25</v>
      </c>
      <c r="J743" s="31" t="s">
        <v>3401</v>
      </c>
      <c r="K743" s="33">
        <v>1.0</v>
      </c>
      <c r="L743" s="31"/>
      <c r="M743" s="33"/>
      <c r="N743" s="206"/>
      <c r="O743" s="206"/>
      <c r="P743" s="206"/>
      <c r="Q743" s="206"/>
      <c r="R743" s="206"/>
      <c r="S743" s="433"/>
      <c r="T743" s="276"/>
      <c r="U743" s="276"/>
      <c r="V743" s="276"/>
      <c r="W743" s="276"/>
      <c r="X743" s="276"/>
      <c r="Y743" s="276"/>
      <c r="Z743" s="276"/>
      <c r="AA743" s="276"/>
      <c r="AB743" s="276"/>
      <c r="AC743" s="276"/>
    </row>
    <row r="744">
      <c r="A744" s="108" t="s">
        <v>11786</v>
      </c>
      <c r="B744" s="173">
        <v>46044.0</v>
      </c>
      <c r="C744" s="374">
        <v>8.07000034742E11</v>
      </c>
      <c r="D744" s="374" t="s">
        <v>11787</v>
      </c>
      <c r="E744" s="374" t="s">
        <v>11788</v>
      </c>
      <c r="F744" s="177" t="s">
        <v>11789</v>
      </c>
      <c r="G744" s="177" t="s">
        <v>127</v>
      </c>
      <c r="H744" s="177">
        <v>4400.0</v>
      </c>
      <c r="I744" s="176" t="s">
        <v>512</v>
      </c>
      <c r="J744" s="374" t="s">
        <v>513</v>
      </c>
      <c r="K744" s="177">
        <v>6.0</v>
      </c>
      <c r="L744" s="174">
        <v>3.872177907E9</v>
      </c>
      <c r="M744" s="367"/>
      <c r="N744" s="429">
        <v>46044.0</v>
      </c>
      <c r="O744" s="430" t="s">
        <v>13338</v>
      </c>
      <c r="P744" s="429"/>
      <c r="Q744" s="430" t="s">
        <v>13339</v>
      </c>
      <c r="R744" s="432" t="s">
        <v>13662</v>
      </c>
      <c r="S744" s="429"/>
      <c r="T744" s="276"/>
      <c r="U744" s="276"/>
      <c r="V744" s="276"/>
      <c r="W744" s="276"/>
      <c r="X744" s="276"/>
      <c r="Y744" s="276"/>
      <c r="Z744" s="276"/>
      <c r="AA744" s="276"/>
      <c r="AB744" s="276"/>
      <c r="AC744" s="276"/>
    </row>
    <row r="745">
      <c r="A745" s="108" t="s">
        <v>11786</v>
      </c>
      <c r="B745" s="173">
        <v>46044.0</v>
      </c>
      <c r="C745" s="374">
        <v>8.07000034743E11</v>
      </c>
      <c r="D745" s="374" t="s">
        <v>11787</v>
      </c>
      <c r="E745" s="374" t="s">
        <v>11788</v>
      </c>
      <c r="F745" s="177" t="s">
        <v>11789</v>
      </c>
      <c r="G745" s="177" t="s">
        <v>127</v>
      </c>
      <c r="H745" s="177">
        <v>4400.0</v>
      </c>
      <c r="I745" s="176" t="s">
        <v>5034</v>
      </c>
      <c r="J745" s="374" t="s">
        <v>5035</v>
      </c>
      <c r="K745" s="177">
        <v>1.0</v>
      </c>
      <c r="L745" s="174">
        <v>3.872177907E9</v>
      </c>
      <c r="M745" s="367"/>
      <c r="N745" s="209"/>
      <c r="O745" s="209"/>
      <c r="P745" s="209"/>
      <c r="Q745" s="209"/>
      <c r="R745" s="209"/>
      <c r="S745" s="209"/>
      <c r="T745" s="276"/>
      <c r="U745" s="276"/>
      <c r="V745" s="276"/>
      <c r="W745" s="276"/>
      <c r="X745" s="276"/>
      <c r="Y745" s="276"/>
      <c r="Z745" s="276"/>
      <c r="AA745" s="276"/>
      <c r="AB745" s="276"/>
      <c r="AC745" s="276"/>
    </row>
    <row r="746">
      <c r="A746" s="108" t="s">
        <v>11786</v>
      </c>
      <c r="B746" s="173">
        <v>46044.0</v>
      </c>
      <c r="C746" s="374">
        <v>8.07000034743E11</v>
      </c>
      <c r="D746" s="374" t="s">
        <v>11787</v>
      </c>
      <c r="E746" s="374" t="s">
        <v>11788</v>
      </c>
      <c r="F746" s="177" t="s">
        <v>11789</v>
      </c>
      <c r="G746" s="177" t="s">
        <v>127</v>
      </c>
      <c r="H746" s="177">
        <v>4400.0</v>
      </c>
      <c r="I746" s="176" t="s">
        <v>512</v>
      </c>
      <c r="J746" s="374" t="s">
        <v>513</v>
      </c>
      <c r="K746" s="177">
        <v>6.0</v>
      </c>
      <c r="L746" s="174">
        <v>3.872177907E9</v>
      </c>
      <c r="M746" s="367"/>
      <c r="N746" s="209"/>
      <c r="O746" s="209"/>
      <c r="P746" s="209"/>
      <c r="Q746" s="209"/>
      <c r="R746" s="209"/>
      <c r="S746" s="209"/>
      <c r="T746" s="276"/>
      <c r="U746" s="276"/>
      <c r="V746" s="276"/>
      <c r="W746" s="276"/>
      <c r="X746" s="276"/>
      <c r="Y746" s="276"/>
      <c r="Z746" s="276"/>
      <c r="AA746" s="276"/>
      <c r="AB746" s="276"/>
      <c r="AC746" s="276"/>
    </row>
    <row r="747">
      <c r="A747" s="108" t="s">
        <v>11790</v>
      </c>
      <c r="B747" s="173">
        <v>46044.0</v>
      </c>
      <c r="C747" s="374">
        <v>8.07000034744E11</v>
      </c>
      <c r="D747" s="374" t="s">
        <v>11787</v>
      </c>
      <c r="E747" s="374" t="s">
        <v>11788</v>
      </c>
      <c r="F747" s="177" t="s">
        <v>11789</v>
      </c>
      <c r="G747" s="177" t="s">
        <v>127</v>
      </c>
      <c r="H747" s="177">
        <v>4400.0</v>
      </c>
      <c r="I747" s="176" t="s">
        <v>670</v>
      </c>
      <c r="J747" s="374" t="s">
        <v>3410</v>
      </c>
      <c r="K747" s="177">
        <v>1.0</v>
      </c>
      <c r="L747" s="174">
        <v>3.872177907E9</v>
      </c>
      <c r="M747" s="367"/>
      <c r="N747" s="209"/>
      <c r="O747" s="209"/>
      <c r="P747" s="209"/>
      <c r="Q747" s="209"/>
      <c r="R747" s="209"/>
      <c r="S747" s="209"/>
      <c r="T747" s="276"/>
      <c r="U747" s="276"/>
      <c r="V747" s="276"/>
      <c r="W747" s="276"/>
      <c r="X747" s="276"/>
      <c r="Y747" s="276"/>
      <c r="Z747" s="276"/>
      <c r="AA747" s="276"/>
      <c r="AB747" s="276"/>
      <c r="AC747" s="276"/>
    </row>
    <row r="748">
      <c r="A748" s="108" t="s">
        <v>11790</v>
      </c>
      <c r="B748" s="173">
        <v>46044.0</v>
      </c>
      <c r="C748" s="374">
        <v>8.07000034745E11</v>
      </c>
      <c r="D748" s="374" t="s">
        <v>11787</v>
      </c>
      <c r="E748" s="374" t="s">
        <v>11788</v>
      </c>
      <c r="F748" s="177" t="s">
        <v>11789</v>
      </c>
      <c r="G748" s="177" t="s">
        <v>127</v>
      </c>
      <c r="H748" s="177">
        <v>4400.0</v>
      </c>
      <c r="I748" s="176" t="s">
        <v>3074</v>
      </c>
      <c r="J748" s="374" t="s">
        <v>3232</v>
      </c>
      <c r="K748" s="177">
        <v>1.0</v>
      </c>
      <c r="L748" s="174">
        <v>3.872177907E9</v>
      </c>
      <c r="M748" s="367"/>
      <c r="N748" s="209"/>
      <c r="O748" s="209"/>
      <c r="P748" s="209"/>
      <c r="Q748" s="209"/>
      <c r="R748" s="209"/>
      <c r="S748" s="209"/>
      <c r="T748" s="276"/>
      <c r="U748" s="276"/>
      <c r="V748" s="276"/>
      <c r="W748" s="276"/>
      <c r="X748" s="276"/>
      <c r="Y748" s="276"/>
      <c r="Z748" s="276"/>
      <c r="AA748" s="276"/>
      <c r="AB748" s="276"/>
      <c r="AC748" s="276"/>
    </row>
    <row r="749">
      <c r="A749" s="108" t="s">
        <v>11790</v>
      </c>
      <c r="B749" s="173">
        <v>46044.0</v>
      </c>
      <c r="C749" s="374">
        <v>8.07000034745E11</v>
      </c>
      <c r="D749" s="374" t="s">
        <v>11787</v>
      </c>
      <c r="E749" s="374" t="s">
        <v>11788</v>
      </c>
      <c r="F749" s="177" t="s">
        <v>11789</v>
      </c>
      <c r="G749" s="177" t="s">
        <v>127</v>
      </c>
      <c r="H749" s="177">
        <v>4400.0</v>
      </c>
      <c r="I749" s="176" t="s">
        <v>670</v>
      </c>
      <c r="J749" s="374" t="s">
        <v>3410</v>
      </c>
      <c r="K749" s="177">
        <v>1.0</v>
      </c>
      <c r="L749" s="174">
        <v>3.872177907E9</v>
      </c>
      <c r="M749" s="367"/>
      <c r="N749" s="206"/>
      <c r="O749" s="206"/>
      <c r="P749" s="206"/>
      <c r="Q749" s="206"/>
      <c r="R749" s="206"/>
      <c r="S749" s="206"/>
      <c r="T749" s="276"/>
      <c r="U749" s="276"/>
      <c r="V749" s="276"/>
      <c r="W749" s="276"/>
      <c r="X749" s="276"/>
      <c r="Y749" s="276"/>
      <c r="Z749" s="276"/>
      <c r="AA749" s="276"/>
      <c r="AB749" s="276"/>
      <c r="AC749" s="276"/>
    </row>
    <row r="750">
      <c r="A750" s="108" t="s">
        <v>11791</v>
      </c>
      <c r="B750" s="173">
        <v>46044.0</v>
      </c>
      <c r="C750" s="374">
        <v>8.07000034746E11</v>
      </c>
      <c r="D750" s="374" t="s">
        <v>11792</v>
      </c>
      <c r="E750" s="374" t="s">
        <v>11793</v>
      </c>
      <c r="F750" s="177" t="s">
        <v>11794</v>
      </c>
      <c r="G750" s="177" t="s">
        <v>127</v>
      </c>
      <c r="H750" s="177">
        <v>4400.0</v>
      </c>
      <c r="I750" s="176" t="s">
        <v>249</v>
      </c>
      <c r="J750" s="374" t="s">
        <v>9324</v>
      </c>
      <c r="K750" s="177">
        <v>1.0</v>
      </c>
      <c r="L750" s="174">
        <v>3.874761266E9</v>
      </c>
      <c r="M750" s="367"/>
      <c r="N750" s="429"/>
      <c r="O750" s="430" t="s">
        <v>13338</v>
      </c>
      <c r="P750" s="431"/>
      <c r="Q750" s="430" t="s">
        <v>13339</v>
      </c>
      <c r="R750" s="432" t="s">
        <v>13663</v>
      </c>
      <c r="S750" s="431"/>
      <c r="T750" s="276"/>
      <c r="U750" s="276"/>
      <c r="V750" s="276"/>
      <c r="W750" s="276"/>
      <c r="X750" s="276"/>
      <c r="Y750" s="276"/>
      <c r="Z750" s="276"/>
      <c r="AA750" s="276"/>
      <c r="AB750" s="276"/>
      <c r="AC750" s="276"/>
    </row>
    <row r="751">
      <c r="A751" s="108" t="s">
        <v>11791</v>
      </c>
      <c r="B751" s="173">
        <v>46044.0</v>
      </c>
      <c r="C751" s="374">
        <v>8.07000034747E11</v>
      </c>
      <c r="D751" s="374" t="s">
        <v>11792</v>
      </c>
      <c r="E751" s="374" t="s">
        <v>11793</v>
      </c>
      <c r="F751" s="177" t="s">
        <v>11794</v>
      </c>
      <c r="G751" s="177" t="s">
        <v>127</v>
      </c>
      <c r="H751" s="177">
        <v>4400.0</v>
      </c>
      <c r="I751" s="176" t="s">
        <v>258</v>
      </c>
      <c r="J751" s="374" t="s">
        <v>259</v>
      </c>
      <c r="K751" s="177">
        <v>2.0</v>
      </c>
      <c r="L751" s="174">
        <v>3.874761266E9</v>
      </c>
      <c r="M751" s="367"/>
      <c r="N751" s="206"/>
      <c r="O751" s="206"/>
      <c r="P751" s="206"/>
      <c r="Q751" s="206"/>
      <c r="R751" s="206"/>
      <c r="S751" s="206"/>
      <c r="T751" s="276"/>
      <c r="U751" s="276"/>
      <c r="V751" s="276"/>
      <c r="W751" s="276"/>
      <c r="X751" s="276"/>
      <c r="Y751" s="276"/>
      <c r="Z751" s="276"/>
      <c r="AA751" s="276"/>
      <c r="AB751" s="276"/>
      <c r="AC751" s="276"/>
    </row>
    <row r="752">
      <c r="A752" s="108" t="s">
        <v>11795</v>
      </c>
      <c r="B752" s="173">
        <v>46044.0</v>
      </c>
      <c r="C752" s="374">
        <v>8.07000034751E11</v>
      </c>
      <c r="D752" s="374" t="s">
        <v>11796</v>
      </c>
      <c r="E752" s="374" t="s">
        <v>11797</v>
      </c>
      <c r="F752" s="177" t="s">
        <v>11798</v>
      </c>
      <c r="G752" s="177" t="s">
        <v>127</v>
      </c>
      <c r="H752" s="177">
        <v>4400.0</v>
      </c>
      <c r="I752" s="176" t="s">
        <v>11020</v>
      </c>
      <c r="J752" s="374" t="s">
        <v>11799</v>
      </c>
      <c r="K752" s="177">
        <v>1.0</v>
      </c>
      <c r="L752" s="174">
        <v>3.875122789E9</v>
      </c>
      <c r="M752" s="367"/>
      <c r="N752" s="444">
        <v>46044.0</v>
      </c>
      <c r="O752" s="445" t="s">
        <v>13338</v>
      </c>
      <c r="P752" s="446"/>
      <c r="Q752" s="445" t="s">
        <v>13339</v>
      </c>
      <c r="R752" s="447" t="s">
        <v>13664</v>
      </c>
      <c r="S752" s="367"/>
      <c r="T752" s="276"/>
      <c r="U752" s="276"/>
      <c r="V752" s="276"/>
      <c r="W752" s="276"/>
      <c r="X752" s="276"/>
      <c r="Y752" s="276"/>
      <c r="Z752" s="276"/>
      <c r="AA752" s="276"/>
      <c r="AB752" s="276"/>
      <c r="AC752" s="276"/>
    </row>
    <row r="753">
      <c r="A753" s="108" t="s">
        <v>11795</v>
      </c>
      <c r="B753" s="173">
        <v>46044.0</v>
      </c>
      <c r="C753" s="374">
        <v>8.07000034752E11</v>
      </c>
      <c r="D753" s="374" t="s">
        <v>11796</v>
      </c>
      <c r="E753" s="374" t="s">
        <v>11797</v>
      </c>
      <c r="F753" s="177" t="s">
        <v>11798</v>
      </c>
      <c r="G753" s="177" t="s">
        <v>127</v>
      </c>
      <c r="H753" s="177">
        <v>4400.0</v>
      </c>
      <c r="I753" s="176" t="s">
        <v>3484</v>
      </c>
      <c r="J753" s="374" t="s">
        <v>3485</v>
      </c>
      <c r="K753" s="177">
        <v>1.0</v>
      </c>
      <c r="L753" s="174">
        <v>3.875122789E9</v>
      </c>
      <c r="M753" s="367"/>
      <c r="N753" s="206"/>
      <c r="O753" s="206"/>
      <c r="P753" s="206"/>
      <c r="Q753" s="206"/>
      <c r="R753" s="206"/>
      <c r="S753" s="367"/>
      <c r="T753" s="276"/>
      <c r="U753" s="276"/>
      <c r="V753" s="276"/>
      <c r="W753" s="276"/>
      <c r="X753" s="276"/>
      <c r="Y753" s="276"/>
      <c r="Z753" s="276"/>
      <c r="AA753" s="276"/>
      <c r="AB753" s="276"/>
      <c r="AC753" s="276"/>
    </row>
    <row r="754">
      <c r="A754" s="108" t="s">
        <v>11800</v>
      </c>
      <c r="B754" s="173">
        <v>46044.0</v>
      </c>
      <c r="C754" s="374">
        <v>8.07000034758E11</v>
      </c>
      <c r="D754" s="374" t="s">
        <v>11801</v>
      </c>
      <c r="E754" s="374" t="s">
        <v>11802</v>
      </c>
      <c r="F754" s="177" t="s">
        <v>11803</v>
      </c>
      <c r="G754" s="177" t="s">
        <v>127</v>
      </c>
      <c r="H754" s="177">
        <v>4400.0</v>
      </c>
      <c r="I754" s="176" t="s">
        <v>512</v>
      </c>
      <c r="J754" s="374" t="s">
        <v>513</v>
      </c>
      <c r="K754" s="177">
        <v>12.0</v>
      </c>
      <c r="L754" s="174">
        <v>3.875323611E9</v>
      </c>
      <c r="M754" s="367"/>
      <c r="N754" s="429">
        <v>46044.0</v>
      </c>
      <c r="O754" s="430" t="s">
        <v>13338</v>
      </c>
      <c r="P754" s="431"/>
      <c r="Q754" s="430" t="s">
        <v>13665</v>
      </c>
      <c r="R754" s="432" t="s">
        <v>13666</v>
      </c>
      <c r="S754" s="431"/>
      <c r="T754" s="276"/>
      <c r="U754" s="276"/>
      <c r="V754" s="276"/>
      <c r="W754" s="276"/>
      <c r="X754" s="276"/>
      <c r="Y754" s="276"/>
      <c r="Z754" s="276"/>
      <c r="AA754" s="276"/>
      <c r="AB754" s="276"/>
      <c r="AC754" s="276"/>
    </row>
    <row r="755">
      <c r="A755" s="108" t="s">
        <v>11800</v>
      </c>
      <c r="B755" s="173">
        <v>46044.0</v>
      </c>
      <c r="C755" s="374">
        <v>8.07000034759E11</v>
      </c>
      <c r="D755" s="374" t="s">
        <v>11801</v>
      </c>
      <c r="E755" s="374" t="s">
        <v>11802</v>
      </c>
      <c r="F755" s="177" t="s">
        <v>11803</v>
      </c>
      <c r="G755" s="177" t="s">
        <v>127</v>
      </c>
      <c r="H755" s="177">
        <v>4400.0</v>
      </c>
      <c r="I755" s="176" t="s">
        <v>8099</v>
      </c>
      <c r="J755" s="374" t="s">
        <v>8100</v>
      </c>
      <c r="K755" s="177">
        <v>1.0</v>
      </c>
      <c r="L755" s="174">
        <v>3.875323611E9</v>
      </c>
      <c r="M755" s="367"/>
      <c r="N755" s="209"/>
      <c r="O755" s="209"/>
      <c r="P755" s="209"/>
      <c r="Q755" s="209"/>
      <c r="R755" s="209"/>
      <c r="S755" s="209"/>
      <c r="T755" s="276"/>
      <c r="U755" s="276"/>
      <c r="V755" s="276"/>
      <c r="W755" s="276"/>
      <c r="X755" s="276"/>
      <c r="Y755" s="276"/>
      <c r="Z755" s="276"/>
      <c r="AA755" s="276"/>
      <c r="AB755" s="276"/>
      <c r="AC755" s="276"/>
    </row>
    <row r="756">
      <c r="A756" s="108" t="s">
        <v>11800</v>
      </c>
      <c r="B756" s="173">
        <v>46044.0</v>
      </c>
      <c r="C756" s="374">
        <v>8.07000034759E11</v>
      </c>
      <c r="D756" s="374" t="s">
        <v>11801</v>
      </c>
      <c r="E756" s="374" t="s">
        <v>11802</v>
      </c>
      <c r="F756" s="177" t="s">
        <v>11803</v>
      </c>
      <c r="G756" s="177" t="s">
        <v>127</v>
      </c>
      <c r="H756" s="177">
        <v>4400.0</v>
      </c>
      <c r="I756" s="176" t="s">
        <v>121</v>
      </c>
      <c r="J756" s="374" t="s">
        <v>3199</v>
      </c>
      <c r="K756" s="177">
        <v>2.0</v>
      </c>
      <c r="L756" s="174">
        <v>3.875323611E9</v>
      </c>
      <c r="M756" s="367"/>
      <c r="N756" s="209"/>
      <c r="O756" s="209"/>
      <c r="P756" s="209"/>
      <c r="Q756" s="209"/>
      <c r="R756" s="209"/>
      <c r="S756" s="209"/>
      <c r="T756" s="276"/>
      <c r="U756" s="276"/>
      <c r="V756" s="276"/>
      <c r="W756" s="276"/>
      <c r="X756" s="276"/>
      <c r="Y756" s="276"/>
      <c r="Z756" s="276"/>
      <c r="AA756" s="276"/>
      <c r="AB756" s="276"/>
      <c r="AC756" s="276"/>
    </row>
    <row r="757">
      <c r="A757" s="108" t="s">
        <v>11800</v>
      </c>
      <c r="B757" s="173">
        <v>46044.0</v>
      </c>
      <c r="C757" s="374">
        <v>8.0700003476E11</v>
      </c>
      <c r="D757" s="374" t="s">
        <v>11801</v>
      </c>
      <c r="E757" s="374" t="s">
        <v>11802</v>
      </c>
      <c r="F757" s="177" t="s">
        <v>11803</v>
      </c>
      <c r="G757" s="177" t="s">
        <v>127</v>
      </c>
      <c r="H757" s="177">
        <v>4400.0</v>
      </c>
      <c r="I757" s="176">
        <v>208502.0</v>
      </c>
      <c r="J757" s="374" t="s">
        <v>4551</v>
      </c>
      <c r="K757" s="177">
        <v>2.0</v>
      </c>
      <c r="L757" s="174">
        <v>3.875323611E9</v>
      </c>
      <c r="M757" s="367"/>
      <c r="N757" s="206"/>
      <c r="O757" s="206"/>
      <c r="P757" s="206"/>
      <c r="Q757" s="206"/>
      <c r="R757" s="206"/>
      <c r="S757" s="206"/>
      <c r="T757" s="276"/>
      <c r="U757" s="276"/>
      <c r="V757" s="276"/>
      <c r="W757" s="276"/>
      <c r="X757" s="276"/>
      <c r="Y757" s="276"/>
      <c r="Z757" s="276"/>
      <c r="AA757" s="276"/>
      <c r="AB757" s="276"/>
      <c r="AC757" s="276"/>
    </row>
    <row r="758">
      <c r="A758" s="108" t="s">
        <v>11804</v>
      </c>
      <c r="B758" s="173">
        <v>46044.0</v>
      </c>
      <c r="C758" s="374">
        <v>8.07000034606E11</v>
      </c>
      <c r="D758" s="374" t="s">
        <v>5649</v>
      </c>
      <c r="E758" s="374" t="s">
        <v>5650</v>
      </c>
      <c r="F758" s="145"/>
      <c r="G758" s="145"/>
      <c r="H758" s="145"/>
      <c r="I758" s="176" t="s">
        <v>4070</v>
      </c>
      <c r="J758" s="374" t="s">
        <v>6264</v>
      </c>
      <c r="K758" s="177">
        <v>2.0</v>
      </c>
      <c r="L758" s="174"/>
      <c r="M758" s="367"/>
      <c r="N758" s="433">
        <v>46044.0</v>
      </c>
      <c r="O758" s="261" t="s">
        <v>13338</v>
      </c>
      <c r="P758" s="367"/>
      <c r="Q758" s="261" t="s">
        <v>13667</v>
      </c>
      <c r="R758" s="434" t="s">
        <v>13668</v>
      </c>
      <c r="S758" s="367"/>
      <c r="T758" s="276"/>
      <c r="U758" s="276"/>
      <c r="V758" s="276"/>
      <c r="W758" s="276"/>
      <c r="X758" s="276"/>
      <c r="Y758" s="276"/>
      <c r="Z758" s="276"/>
      <c r="AA758" s="276"/>
      <c r="AB758" s="276"/>
      <c r="AC758" s="276"/>
    </row>
    <row r="759">
      <c r="A759" s="107" t="s">
        <v>5648</v>
      </c>
      <c r="B759" s="358">
        <v>46042.0</v>
      </c>
      <c r="C759" s="107">
        <v>8.07025034608E11</v>
      </c>
      <c r="D759" s="107" t="s">
        <v>5649</v>
      </c>
      <c r="E759" s="107" t="s">
        <v>5650</v>
      </c>
      <c r="F759" s="107" t="s">
        <v>5651</v>
      </c>
      <c r="G759" s="107" t="s">
        <v>3047</v>
      </c>
      <c r="H759" s="107">
        <v>4400.0</v>
      </c>
      <c r="I759" s="107" t="s">
        <v>3131</v>
      </c>
      <c r="J759" s="31" t="s">
        <v>3416</v>
      </c>
      <c r="K759" s="33">
        <v>2.0</v>
      </c>
      <c r="L759" s="31"/>
      <c r="M759" s="33"/>
      <c r="N759" s="429">
        <v>46044.0</v>
      </c>
      <c r="O759" s="430" t="s">
        <v>13338</v>
      </c>
      <c r="P759" s="431"/>
      <c r="Q759" s="430" t="s">
        <v>13667</v>
      </c>
      <c r="R759" s="432" t="s">
        <v>13669</v>
      </c>
      <c r="S759" s="367"/>
      <c r="T759" s="276"/>
      <c r="U759" s="276"/>
      <c r="V759" s="276"/>
      <c r="W759" s="276"/>
      <c r="X759" s="276"/>
      <c r="Y759" s="276"/>
      <c r="Z759" s="276"/>
      <c r="AA759" s="276"/>
      <c r="AB759" s="276"/>
      <c r="AC759" s="276"/>
    </row>
    <row r="760">
      <c r="A760" s="107" t="s">
        <v>5648</v>
      </c>
      <c r="B760" s="358">
        <v>46042.0</v>
      </c>
      <c r="C760" s="107">
        <v>8.07025034608E11</v>
      </c>
      <c r="D760" s="107" t="s">
        <v>5649</v>
      </c>
      <c r="E760" s="107" t="s">
        <v>5650</v>
      </c>
      <c r="F760" s="107" t="s">
        <v>5651</v>
      </c>
      <c r="G760" s="107" t="s">
        <v>3047</v>
      </c>
      <c r="H760" s="107">
        <v>4400.0</v>
      </c>
      <c r="I760" s="107" t="s">
        <v>35</v>
      </c>
      <c r="J760" s="31" t="s">
        <v>3188</v>
      </c>
      <c r="K760" s="33">
        <v>2.0</v>
      </c>
      <c r="L760" s="31"/>
      <c r="M760" s="33"/>
      <c r="N760" s="209"/>
      <c r="O760" s="209"/>
      <c r="P760" s="209"/>
      <c r="Q760" s="209"/>
      <c r="R760" s="209"/>
      <c r="S760" s="367"/>
      <c r="T760" s="276"/>
      <c r="U760" s="276"/>
      <c r="V760" s="276"/>
      <c r="W760" s="276"/>
      <c r="X760" s="276"/>
      <c r="Y760" s="276"/>
      <c r="Z760" s="276"/>
      <c r="AA760" s="276"/>
      <c r="AB760" s="276"/>
      <c r="AC760" s="276"/>
    </row>
    <row r="761">
      <c r="A761" s="107" t="s">
        <v>5652</v>
      </c>
      <c r="B761" s="358">
        <v>46042.0</v>
      </c>
      <c r="C761" s="107">
        <v>8.07025034607E11</v>
      </c>
      <c r="D761" s="107" t="s">
        <v>5649</v>
      </c>
      <c r="E761" s="107" t="s">
        <v>5650</v>
      </c>
      <c r="F761" s="107" t="s">
        <v>5651</v>
      </c>
      <c r="G761" s="107" t="s">
        <v>3047</v>
      </c>
      <c r="H761" s="107">
        <v>4400.0</v>
      </c>
      <c r="I761" s="107" t="s">
        <v>512</v>
      </c>
      <c r="J761" s="31" t="s">
        <v>513</v>
      </c>
      <c r="K761" s="33">
        <v>12.0</v>
      </c>
      <c r="L761" s="31"/>
      <c r="M761" s="33"/>
      <c r="N761" s="209"/>
      <c r="O761" s="209"/>
      <c r="P761" s="209"/>
      <c r="Q761" s="209"/>
      <c r="R761" s="209"/>
      <c r="S761" s="367"/>
      <c r="T761" s="276"/>
      <c r="U761" s="276"/>
      <c r="V761" s="276"/>
      <c r="W761" s="276"/>
      <c r="X761" s="276"/>
      <c r="Y761" s="276"/>
      <c r="Z761" s="276"/>
      <c r="AA761" s="276"/>
      <c r="AB761" s="276"/>
      <c r="AC761" s="276"/>
    </row>
    <row r="762">
      <c r="A762" s="107" t="s">
        <v>5652</v>
      </c>
      <c r="B762" s="358">
        <v>46042.0</v>
      </c>
      <c r="C762" s="107">
        <v>8.07025034607E11</v>
      </c>
      <c r="D762" s="107" t="s">
        <v>5649</v>
      </c>
      <c r="E762" s="107" t="s">
        <v>5650</v>
      </c>
      <c r="F762" s="107" t="s">
        <v>5651</v>
      </c>
      <c r="G762" s="107" t="s">
        <v>3047</v>
      </c>
      <c r="H762" s="107">
        <v>4400.0</v>
      </c>
      <c r="I762" s="107">
        <v>14.0</v>
      </c>
      <c r="J762" s="31" t="s">
        <v>2819</v>
      </c>
      <c r="K762" s="33">
        <v>2.0</v>
      </c>
      <c r="L762" s="31"/>
      <c r="M762" s="33"/>
      <c r="N762" s="206"/>
      <c r="O762" s="206"/>
      <c r="P762" s="206"/>
      <c r="Q762" s="206"/>
      <c r="R762" s="206"/>
      <c r="S762" s="367"/>
      <c r="T762" s="276"/>
      <c r="U762" s="276"/>
      <c r="V762" s="276"/>
      <c r="W762" s="276"/>
      <c r="X762" s="276"/>
      <c r="Y762" s="276"/>
      <c r="Z762" s="276"/>
      <c r="AA762" s="276"/>
      <c r="AB762" s="276"/>
      <c r="AC762" s="276"/>
    </row>
    <row r="763">
      <c r="A763" s="107" t="s">
        <v>5640</v>
      </c>
      <c r="B763" s="358">
        <v>46042.0</v>
      </c>
      <c r="C763" s="107">
        <v>8.07025034565E11</v>
      </c>
      <c r="D763" s="107" t="s">
        <v>5641</v>
      </c>
      <c r="E763" s="107" t="s">
        <v>5642</v>
      </c>
      <c r="F763" s="107" t="s">
        <v>5643</v>
      </c>
      <c r="G763" s="107" t="s">
        <v>127</v>
      </c>
      <c r="H763" s="107">
        <v>4400.0</v>
      </c>
      <c r="I763" s="107" t="s">
        <v>2956</v>
      </c>
      <c r="J763" s="31" t="s">
        <v>3327</v>
      </c>
      <c r="K763" s="33">
        <v>1.0</v>
      </c>
      <c r="L763" s="31">
        <v>3.874127745E9</v>
      </c>
      <c r="M763" s="31" t="s">
        <v>292</v>
      </c>
      <c r="N763" s="429">
        <v>46044.0</v>
      </c>
      <c r="O763" s="430" t="s">
        <v>13338</v>
      </c>
      <c r="P763" s="431"/>
      <c r="Q763" s="430" t="s">
        <v>13670</v>
      </c>
      <c r="R763" s="432" t="s">
        <v>13671</v>
      </c>
      <c r="S763" s="367"/>
      <c r="T763" s="276"/>
      <c r="U763" s="276"/>
      <c r="V763" s="276"/>
      <c r="W763" s="276"/>
      <c r="X763" s="276"/>
      <c r="Y763" s="276"/>
      <c r="Z763" s="276"/>
      <c r="AA763" s="276"/>
      <c r="AB763" s="276"/>
      <c r="AC763" s="276"/>
    </row>
    <row r="764">
      <c r="A764" s="107" t="s">
        <v>5640</v>
      </c>
      <c r="B764" s="358">
        <v>46042.0</v>
      </c>
      <c r="C764" s="107">
        <v>8.07025034565E11</v>
      </c>
      <c r="D764" s="107" t="s">
        <v>5641</v>
      </c>
      <c r="E764" s="107" t="s">
        <v>5642</v>
      </c>
      <c r="F764" s="107" t="s">
        <v>5643</v>
      </c>
      <c r="G764" s="107" t="s">
        <v>127</v>
      </c>
      <c r="H764" s="107">
        <v>4400.0</v>
      </c>
      <c r="I764" s="107" t="s">
        <v>512</v>
      </c>
      <c r="J764" s="31" t="s">
        <v>513</v>
      </c>
      <c r="K764" s="33">
        <v>6.0</v>
      </c>
      <c r="L764" s="31">
        <v>3.874127745E9</v>
      </c>
      <c r="M764" s="31" t="s">
        <v>292</v>
      </c>
      <c r="N764" s="209"/>
      <c r="O764" s="209"/>
      <c r="P764" s="209"/>
      <c r="Q764" s="209"/>
      <c r="R764" s="209"/>
      <c r="S764" s="367"/>
      <c r="T764" s="276"/>
      <c r="U764" s="276"/>
      <c r="V764" s="276"/>
      <c r="W764" s="276"/>
      <c r="X764" s="276"/>
      <c r="Y764" s="276"/>
      <c r="Z764" s="276"/>
      <c r="AA764" s="276"/>
      <c r="AB764" s="276"/>
      <c r="AC764" s="276"/>
    </row>
    <row r="765">
      <c r="A765" s="107" t="s">
        <v>5640</v>
      </c>
      <c r="B765" s="358">
        <v>46042.0</v>
      </c>
      <c r="C765" s="107">
        <v>8.07025034565E11</v>
      </c>
      <c r="D765" s="107" t="s">
        <v>5641</v>
      </c>
      <c r="E765" s="107" t="s">
        <v>5642</v>
      </c>
      <c r="F765" s="107" t="s">
        <v>5643</v>
      </c>
      <c r="G765" s="107" t="s">
        <v>127</v>
      </c>
      <c r="H765" s="107">
        <v>4400.0</v>
      </c>
      <c r="I765" s="107">
        <v>14.0</v>
      </c>
      <c r="J765" s="31" t="s">
        <v>2819</v>
      </c>
      <c r="K765" s="33">
        <v>1.0</v>
      </c>
      <c r="L765" s="31">
        <v>3.874127745E9</v>
      </c>
      <c r="M765" s="31" t="s">
        <v>292</v>
      </c>
      <c r="N765" s="209"/>
      <c r="O765" s="209"/>
      <c r="P765" s="209"/>
      <c r="Q765" s="209"/>
      <c r="R765" s="209"/>
      <c r="S765" s="367"/>
      <c r="T765" s="276"/>
      <c r="U765" s="276"/>
      <c r="V765" s="276"/>
      <c r="W765" s="276"/>
      <c r="X765" s="276"/>
      <c r="Y765" s="276"/>
      <c r="Z765" s="276"/>
      <c r="AA765" s="276"/>
      <c r="AB765" s="276"/>
      <c r="AC765" s="276"/>
    </row>
    <row r="766">
      <c r="A766" s="107" t="s">
        <v>5640</v>
      </c>
      <c r="B766" s="358">
        <v>46042.0</v>
      </c>
      <c r="C766" s="107">
        <v>8.07025034565E11</v>
      </c>
      <c r="D766" s="107" t="s">
        <v>5641</v>
      </c>
      <c r="E766" s="107" t="s">
        <v>5642</v>
      </c>
      <c r="F766" s="107" t="s">
        <v>5643</v>
      </c>
      <c r="G766" s="107" t="s">
        <v>127</v>
      </c>
      <c r="H766" s="107">
        <v>4400.0</v>
      </c>
      <c r="I766" s="107" t="s">
        <v>670</v>
      </c>
      <c r="J766" s="31" t="s">
        <v>3410</v>
      </c>
      <c r="K766" s="33">
        <v>1.0</v>
      </c>
      <c r="L766" s="31">
        <v>3.874127745E9</v>
      </c>
      <c r="M766" s="31" t="s">
        <v>292</v>
      </c>
      <c r="N766" s="206"/>
      <c r="O766" s="206"/>
      <c r="P766" s="206"/>
      <c r="Q766" s="206"/>
      <c r="R766" s="206"/>
      <c r="S766" s="367"/>
      <c r="T766" s="276"/>
      <c r="U766" s="276"/>
      <c r="V766" s="276"/>
      <c r="W766" s="276"/>
      <c r="X766" s="276"/>
      <c r="Y766" s="276"/>
      <c r="Z766" s="276"/>
      <c r="AA766" s="276"/>
      <c r="AB766" s="276"/>
      <c r="AC766" s="276"/>
    </row>
    <row r="767">
      <c r="A767" s="107" t="s">
        <v>5620</v>
      </c>
      <c r="B767" s="358">
        <v>46042.0</v>
      </c>
      <c r="C767" s="107">
        <v>8.05011567993E11</v>
      </c>
      <c r="D767" s="107" t="s">
        <v>5621</v>
      </c>
      <c r="E767" s="107" t="s">
        <v>5622</v>
      </c>
      <c r="F767" s="107" t="s">
        <v>5623</v>
      </c>
      <c r="G767" s="107" t="s">
        <v>983</v>
      </c>
      <c r="H767" s="107" t="s">
        <v>20</v>
      </c>
      <c r="I767" s="107" t="s">
        <v>4790</v>
      </c>
      <c r="J767" s="31" t="s">
        <v>4791</v>
      </c>
      <c r="K767" s="33">
        <v>1.0</v>
      </c>
      <c r="L767" s="31"/>
      <c r="M767" s="33"/>
      <c r="N767" s="429">
        <v>46053.0</v>
      </c>
      <c r="O767" s="430" t="s">
        <v>13338</v>
      </c>
      <c r="P767" s="431"/>
      <c r="Q767" s="430" t="s">
        <v>13339</v>
      </c>
      <c r="R767" s="432" t="s">
        <v>13672</v>
      </c>
      <c r="S767" s="367"/>
      <c r="T767" s="276"/>
      <c r="U767" s="276"/>
      <c r="V767" s="276"/>
      <c r="W767" s="276"/>
      <c r="X767" s="276"/>
      <c r="Y767" s="276"/>
      <c r="Z767" s="276"/>
      <c r="AA767" s="276"/>
      <c r="AB767" s="276"/>
      <c r="AC767" s="276"/>
    </row>
    <row r="768">
      <c r="A768" s="107" t="s">
        <v>5620</v>
      </c>
      <c r="B768" s="358">
        <v>46042.0</v>
      </c>
      <c r="C768" s="107">
        <v>8.05011567993E11</v>
      </c>
      <c r="D768" s="107" t="s">
        <v>5621</v>
      </c>
      <c r="E768" s="107" t="s">
        <v>5622</v>
      </c>
      <c r="F768" s="107" t="s">
        <v>5623</v>
      </c>
      <c r="G768" s="107" t="s">
        <v>983</v>
      </c>
      <c r="H768" s="107" t="s">
        <v>20</v>
      </c>
      <c r="I768" s="107" t="s">
        <v>4793</v>
      </c>
      <c r="J768" s="31" t="s">
        <v>4794</v>
      </c>
      <c r="K768" s="33">
        <v>1.0</v>
      </c>
      <c r="L768" s="31"/>
      <c r="M768" s="33"/>
      <c r="N768" s="206"/>
      <c r="O768" s="206"/>
      <c r="P768" s="206"/>
      <c r="Q768" s="206"/>
      <c r="R768" s="206"/>
      <c r="S768" s="367"/>
      <c r="T768" s="276"/>
      <c r="U768" s="276"/>
      <c r="V768" s="276"/>
      <c r="W768" s="276"/>
      <c r="X768" s="276"/>
      <c r="Y768" s="276"/>
      <c r="Z768" s="276"/>
      <c r="AA768" s="276"/>
      <c r="AB768" s="276"/>
      <c r="AC768" s="276"/>
    </row>
    <row r="769">
      <c r="A769" s="107" t="s">
        <v>5653</v>
      </c>
      <c r="B769" s="358">
        <v>46042.0</v>
      </c>
      <c r="C769" s="107">
        <v>8.05011568445E11</v>
      </c>
      <c r="D769" s="107" t="s">
        <v>5654</v>
      </c>
      <c r="E769" s="107" t="s">
        <v>5655</v>
      </c>
      <c r="F769" s="107" t="s">
        <v>5656</v>
      </c>
      <c r="G769" s="107" t="s">
        <v>582</v>
      </c>
      <c r="H769" s="107">
        <v>4407.0</v>
      </c>
      <c r="I769" s="107">
        <v>14.0</v>
      </c>
      <c r="J769" s="31" t="s">
        <v>2819</v>
      </c>
      <c r="K769" s="33">
        <v>1.0</v>
      </c>
      <c r="L769" s="31">
        <v>3.876186376E9</v>
      </c>
      <c r="M769" s="31" t="s">
        <v>5657</v>
      </c>
      <c r="N769" s="429">
        <v>46044.0</v>
      </c>
      <c r="O769" s="430" t="s">
        <v>13338</v>
      </c>
      <c r="P769" s="431"/>
      <c r="Q769" s="430" t="s">
        <v>13673</v>
      </c>
      <c r="R769" s="432" t="s">
        <v>13674</v>
      </c>
      <c r="S769" s="367"/>
      <c r="T769" s="276"/>
      <c r="U769" s="276"/>
      <c r="V769" s="276"/>
      <c r="W769" s="276"/>
      <c r="X769" s="276"/>
      <c r="Y769" s="276"/>
      <c r="Z769" s="276"/>
      <c r="AA769" s="276"/>
      <c r="AB769" s="276"/>
      <c r="AC769" s="276"/>
    </row>
    <row r="770">
      <c r="A770" s="107" t="s">
        <v>5653</v>
      </c>
      <c r="B770" s="358">
        <v>46042.0</v>
      </c>
      <c r="C770" s="107">
        <v>8.05011568445E11</v>
      </c>
      <c r="D770" s="107" t="s">
        <v>5654</v>
      </c>
      <c r="E770" s="107" t="s">
        <v>5655</v>
      </c>
      <c r="F770" s="107" t="s">
        <v>5656</v>
      </c>
      <c r="G770" s="107" t="s">
        <v>582</v>
      </c>
      <c r="H770" s="107">
        <v>4407.0</v>
      </c>
      <c r="I770" s="107" t="s">
        <v>5658</v>
      </c>
      <c r="J770" s="31" t="s">
        <v>5659</v>
      </c>
      <c r="K770" s="33">
        <v>1.0</v>
      </c>
      <c r="L770" s="31">
        <v>3.876186376E9</v>
      </c>
      <c r="M770" s="31" t="s">
        <v>5657</v>
      </c>
      <c r="N770" s="209"/>
      <c r="O770" s="209"/>
      <c r="P770" s="209"/>
      <c r="Q770" s="209"/>
      <c r="R770" s="209"/>
      <c r="S770" s="367"/>
      <c r="T770" s="276"/>
      <c r="U770" s="276"/>
      <c r="V770" s="276"/>
      <c r="W770" s="276"/>
      <c r="X770" s="276"/>
      <c r="Y770" s="276"/>
      <c r="Z770" s="276"/>
      <c r="AA770" s="276"/>
      <c r="AB770" s="276"/>
      <c r="AC770" s="276"/>
    </row>
    <row r="771">
      <c r="A771" s="107" t="s">
        <v>5653</v>
      </c>
      <c r="B771" s="358">
        <v>46042.0</v>
      </c>
      <c r="C771" s="107">
        <v>8.05011568445E11</v>
      </c>
      <c r="D771" s="107" t="s">
        <v>5654</v>
      </c>
      <c r="E771" s="107" t="s">
        <v>5655</v>
      </c>
      <c r="F771" s="107" t="s">
        <v>5656</v>
      </c>
      <c r="G771" s="107" t="s">
        <v>582</v>
      </c>
      <c r="H771" s="107">
        <v>4407.0</v>
      </c>
      <c r="I771" s="107" t="s">
        <v>512</v>
      </c>
      <c r="J771" s="31" t="s">
        <v>513</v>
      </c>
      <c r="K771" s="33">
        <v>12.0</v>
      </c>
      <c r="L771" s="31">
        <v>3.876186376E9</v>
      </c>
      <c r="M771" s="31" t="s">
        <v>5657</v>
      </c>
      <c r="N771" s="209"/>
      <c r="O771" s="209"/>
      <c r="P771" s="209"/>
      <c r="Q771" s="209"/>
      <c r="R771" s="209"/>
      <c r="S771" s="367"/>
      <c r="T771" s="276"/>
      <c r="U771" s="276"/>
      <c r="V771" s="276"/>
      <c r="W771" s="276"/>
      <c r="X771" s="276"/>
      <c r="Y771" s="276"/>
      <c r="Z771" s="276"/>
      <c r="AA771" s="276"/>
      <c r="AB771" s="276"/>
      <c r="AC771" s="276"/>
    </row>
    <row r="772">
      <c r="A772" s="107" t="s">
        <v>5653</v>
      </c>
      <c r="B772" s="358">
        <v>46042.0</v>
      </c>
      <c r="C772" s="107">
        <v>8.05011568445E11</v>
      </c>
      <c r="D772" s="107" t="s">
        <v>5654</v>
      </c>
      <c r="E772" s="107" t="s">
        <v>5655</v>
      </c>
      <c r="F772" s="107" t="s">
        <v>5656</v>
      </c>
      <c r="G772" s="107" t="s">
        <v>582</v>
      </c>
      <c r="H772" s="107">
        <v>4407.0</v>
      </c>
      <c r="I772" s="107" t="s">
        <v>233</v>
      </c>
      <c r="J772" s="31" t="s">
        <v>3459</v>
      </c>
      <c r="K772" s="33">
        <v>2.0</v>
      </c>
      <c r="L772" s="31">
        <v>3.876186376E9</v>
      </c>
      <c r="M772" s="31" t="s">
        <v>5657</v>
      </c>
      <c r="N772" s="206"/>
      <c r="O772" s="206"/>
      <c r="P772" s="206"/>
      <c r="Q772" s="206"/>
      <c r="R772" s="206"/>
      <c r="S772" s="367"/>
      <c r="T772" s="276"/>
      <c r="U772" s="276"/>
      <c r="V772" s="276"/>
      <c r="W772" s="276"/>
      <c r="X772" s="276"/>
      <c r="Y772" s="276"/>
      <c r="Z772" s="276"/>
      <c r="AA772" s="276"/>
      <c r="AB772" s="276"/>
      <c r="AC772" s="276"/>
    </row>
    <row r="773">
      <c r="A773" s="107" t="s">
        <v>5614</v>
      </c>
      <c r="B773" s="448">
        <v>46042.0</v>
      </c>
      <c r="C773" s="107">
        <v>8.05011567976E11</v>
      </c>
      <c r="D773" s="107" t="s">
        <v>5615</v>
      </c>
      <c r="E773" s="107" t="s">
        <v>5616</v>
      </c>
      <c r="F773" s="107" t="s">
        <v>5617</v>
      </c>
      <c r="G773" s="107" t="s">
        <v>5618</v>
      </c>
      <c r="H773" s="107">
        <v>4400.0</v>
      </c>
      <c r="I773" s="107"/>
      <c r="J773" s="31" t="s">
        <v>290</v>
      </c>
      <c r="K773" s="33">
        <v>3.0</v>
      </c>
      <c r="L773" s="31">
        <v>3.875882649E9</v>
      </c>
      <c r="M773" s="31" t="s">
        <v>5619</v>
      </c>
      <c r="N773" s="207">
        <v>46044.0</v>
      </c>
      <c r="O773" s="123" t="s">
        <v>13338</v>
      </c>
      <c r="P773" s="367"/>
      <c r="Q773" s="261" t="s">
        <v>13675</v>
      </c>
      <c r="R773" s="434" t="s">
        <v>13676</v>
      </c>
      <c r="S773" s="367"/>
      <c r="T773" s="276"/>
      <c r="U773" s="276"/>
      <c r="V773" s="276"/>
      <c r="W773" s="276"/>
      <c r="X773" s="276"/>
      <c r="Y773" s="276"/>
      <c r="Z773" s="276"/>
      <c r="AA773" s="276"/>
      <c r="AB773" s="276"/>
      <c r="AC773" s="276"/>
    </row>
    <row r="774">
      <c r="A774" s="107" t="s">
        <v>5665</v>
      </c>
      <c r="B774" s="448">
        <v>46042.0</v>
      </c>
      <c r="C774" s="107">
        <v>8.07025034652E11</v>
      </c>
      <c r="D774" s="107" t="s">
        <v>5666</v>
      </c>
      <c r="E774" s="107" t="s">
        <v>5667</v>
      </c>
      <c r="F774" s="107" t="s">
        <v>5668</v>
      </c>
      <c r="G774" s="107" t="s">
        <v>127</v>
      </c>
      <c r="H774" s="107">
        <v>4400.0</v>
      </c>
      <c r="I774" s="107">
        <v>4400.0</v>
      </c>
      <c r="J774" s="31" t="s">
        <v>5669</v>
      </c>
      <c r="K774" s="33">
        <v>1.0</v>
      </c>
      <c r="L774" s="31">
        <v>3.874077811E9</v>
      </c>
      <c r="M774" s="31" t="s">
        <v>5670</v>
      </c>
      <c r="N774" s="207">
        <v>46044.0</v>
      </c>
      <c r="O774" s="123" t="s">
        <v>13338</v>
      </c>
      <c r="P774" s="367"/>
      <c r="Q774" s="261" t="s">
        <v>13339</v>
      </c>
      <c r="R774" s="434" t="s">
        <v>13677</v>
      </c>
      <c r="S774" s="367"/>
      <c r="T774" s="276"/>
      <c r="U774" s="276"/>
      <c r="V774" s="276"/>
      <c r="W774" s="276"/>
      <c r="X774" s="276"/>
      <c r="Y774" s="276"/>
      <c r="Z774" s="276"/>
      <c r="AA774" s="276"/>
      <c r="AB774" s="276"/>
      <c r="AC774" s="276"/>
    </row>
    <row r="775">
      <c r="A775" s="108" t="s">
        <v>11805</v>
      </c>
      <c r="B775" s="173">
        <v>46044.0</v>
      </c>
      <c r="C775" s="374">
        <v>8.07000034762E11</v>
      </c>
      <c r="D775" s="374" t="s">
        <v>11806</v>
      </c>
      <c r="E775" s="374" t="s">
        <v>11807</v>
      </c>
      <c r="F775" s="177" t="s">
        <v>11808</v>
      </c>
      <c r="G775" s="177" t="s">
        <v>11809</v>
      </c>
      <c r="H775" s="177">
        <v>4440.0</v>
      </c>
      <c r="I775" s="176" t="s">
        <v>1937</v>
      </c>
      <c r="J775" s="374" t="s">
        <v>4036</v>
      </c>
      <c r="K775" s="177">
        <v>1.0</v>
      </c>
      <c r="L775" s="174">
        <v>3.876403466E9</v>
      </c>
      <c r="M775" s="367"/>
      <c r="N775" s="429">
        <v>46046.0</v>
      </c>
      <c r="O775" s="430" t="s">
        <v>13338</v>
      </c>
      <c r="P775" s="431"/>
      <c r="Q775" s="430" t="s">
        <v>13339</v>
      </c>
      <c r="R775" s="432" t="s">
        <v>13678</v>
      </c>
      <c r="S775" s="367"/>
      <c r="T775" s="276"/>
      <c r="U775" s="276"/>
      <c r="V775" s="276"/>
      <c r="W775" s="276"/>
      <c r="X775" s="276"/>
      <c r="Y775" s="276"/>
      <c r="Z775" s="276"/>
      <c r="AA775" s="276"/>
      <c r="AB775" s="276"/>
      <c r="AC775" s="276"/>
    </row>
    <row r="776">
      <c r="A776" s="108" t="s">
        <v>11805</v>
      </c>
      <c r="B776" s="173">
        <v>46044.0</v>
      </c>
      <c r="C776" s="374">
        <v>8.07000034762E11</v>
      </c>
      <c r="D776" s="374" t="s">
        <v>11806</v>
      </c>
      <c r="E776" s="374" t="s">
        <v>11807</v>
      </c>
      <c r="F776" s="177" t="s">
        <v>11808</v>
      </c>
      <c r="G776" s="177" t="s">
        <v>11809</v>
      </c>
      <c r="H776" s="177">
        <v>4440.0</v>
      </c>
      <c r="I776" s="176" t="s">
        <v>512</v>
      </c>
      <c r="J776" s="374" t="s">
        <v>513</v>
      </c>
      <c r="K776" s="177">
        <v>12.0</v>
      </c>
      <c r="L776" s="174"/>
      <c r="M776" s="367"/>
      <c r="N776" s="209"/>
      <c r="O776" s="209"/>
      <c r="P776" s="209"/>
      <c r="Q776" s="209"/>
      <c r="R776" s="209"/>
      <c r="S776" s="367"/>
      <c r="T776" s="276"/>
      <c r="U776" s="276"/>
      <c r="V776" s="276"/>
      <c r="W776" s="276"/>
      <c r="X776" s="276"/>
      <c r="Y776" s="276"/>
      <c r="Z776" s="276"/>
      <c r="AA776" s="276"/>
      <c r="AB776" s="276"/>
      <c r="AC776" s="276"/>
    </row>
    <row r="777">
      <c r="A777" s="108" t="s">
        <v>11805</v>
      </c>
      <c r="B777" s="173">
        <v>46044.0</v>
      </c>
      <c r="C777" s="374">
        <v>8.07000034763E11</v>
      </c>
      <c r="D777" s="374" t="s">
        <v>11806</v>
      </c>
      <c r="E777" s="374" t="s">
        <v>11807</v>
      </c>
      <c r="F777" s="177" t="s">
        <v>11808</v>
      </c>
      <c r="G777" s="177" t="s">
        <v>11809</v>
      </c>
      <c r="H777" s="177">
        <v>4440.0</v>
      </c>
      <c r="I777" s="176" t="s">
        <v>233</v>
      </c>
      <c r="J777" s="374" t="s">
        <v>3459</v>
      </c>
      <c r="K777" s="177">
        <v>2.0</v>
      </c>
      <c r="L777" s="174">
        <v>3.876528179E9</v>
      </c>
      <c r="M777" s="367"/>
      <c r="N777" s="206"/>
      <c r="O777" s="206"/>
      <c r="P777" s="206"/>
      <c r="Q777" s="206"/>
      <c r="R777" s="206"/>
      <c r="S777" s="367"/>
      <c r="T777" s="276"/>
      <c r="U777" s="276"/>
      <c r="V777" s="276"/>
      <c r="W777" s="276"/>
      <c r="X777" s="276"/>
      <c r="Y777" s="276"/>
      <c r="Z777" s="276"/>
      <c r="AA777" s="276"/>
      <c r="AB777" s="276"/>
      <c r="AC777" s="276"/>
    </row>
    <row r="778">
      <c r="A778" s="108" t="s">
        <v>11810</v>
      </c>
      <c r="B778" s="173">
        <v>46045.0</v>
      </c>
      <c r="C778" s="374">
        <v>8.0700003468E11</v>
      </c>
      <c r="D778" s="374" t="s">
        <v>11761</v>
      </c>
      <c r="E778" s="374" t="s">
        <v>11762</v>
      </c>
      <c r="F778" s="177" t="s">
        <v>11811</v>
      </c>
      <c r="G778" s="145" t="s">
        <v>127</v>
      </c>
      <c r="H778" s="145">
        <v>4400.0</v>
      </c>
      <c r="I778" s="176">
        <v>125811.0</v>
      </c>
      <c r="J778" s="374" t="s">
        <v>6073</v>
      </c>
      <c r="K778" s="177">
        <v>1.0</v>
      </c>
      <c r="L778" s="174">
        <v>3.875621389E9</v>
      </c>
      <c r="M778" s="367"/>
      <c r="N778" s="444">
        <v>46045.0</v>
      </c>
      <c r="O778" s="445" t="s">
        <v>13338</v>
      </c>
      <c r="P778" s="446"/>
      <c r="Q778" s="445" t="s">
        <v>13679</v>
      </c>
      <c r="R778" s="447" t="s">
        <v>13680</v>
      </c>
      <c r="S778" s="367"/>
      <c r="T778" s="276"/>
      <c r="U778" s="276"/>
      <c r="V778" s="276"/>
      <c r="W778" s="276"/>
      <c r="X778" s="276"/>
      <c r="Y778" s="276"/>
      <c r="Z778" s="276"/>
      <c r="AA778" s="276"/>
      <c r="AB778" s="276"/>
      <c r="AC778" s="276"/>
    </row>
    <row r="779">
      <c r="A779" s="108" t="s">
        <v>11810</v>
      </c>
      <c r="B779" s="173">
        <v>46045.0</v>
      </c>
      <c r="C779" s="374">
        <v>8.07000034775E11</v>
      </c>
      <c r="D779" s="374" t="s">
        <v>11761</v>
      </c>
      <c r="E779" s="374" t="s">
        <v>11762</v>
      </c>
      <c r="F779" s="177" t="s">
        <v>11811</v>
      </c>
      <c r="G779" s="145" t="s">
        <v>127</v>
      </c>
      <c r="H779" s="177">
        <v>4440.0</v>
      </c>
      <c r="I779" s="176">
        <v>125822.0</v>
      </c>
      <c r="J779" s="374" t="s">
        <v>6030</v>
      </c>
      <c r="K779" s="177">
        <v>3.0</v>
      </c>
      <c r="L779" s="174">
        <v>3.875621389E9</v>
      </c>
      <c r="M779" s="367"/>
      <c r="N779" s="209"/>
      <c r="O779" s="209"/>
      <c r="P779" s="209"/>
      <c r="Q779" s="209"/>
      <c r="R779" s="209"/>
      <c r="S779" s="367"/>
      <c r="T779" s="276"/>
      <c r="U779" s="276"/>
      <c r="V779" s="276"/>
      <c r="W779" s="276"/>
      <c r="X779" s="276"/>
      <c r="Y779" s="276"/>
      <c r="Z779" s="276"/>
      <c r="AA779" s="276"/>
      <c r="AB779" s="276"/>
      <c r="AC779" s="276"/>
    </row>
    <row r="780">
      <c r="A780" s="108" t="s">
        <v>11810</v>
      </c>
      <c r="B780" s="173">
        <v>46045.0</v>
      </c>
      <c r="C780" s="374">
        <v>8.07000034775E11</v>
      </c>
      <c r="D780" s="374" t="s">
        <v>11761</v>
      </c>
      <c r="E780" s="374" t="s">
        <v>11762</v>
      </c>
      <c r="F780" s="177" t="s">
        <v>11811</v>
      </c>
      <c r="G780" s="145" t="s">
        <v>127</v>
      </c>
      <c r="H780" s="177">
        <v>4440.0</v>
      </c>
      <c r="I780" s="176" t="s">
        <v>8137</v>
      </c>
      <c r="J780" s="374" t="s">
        <v>8138</v>
      </c>
      <c r="K780" s="177">
        <v>2.0</v>
      </c>
      <c r="L780" s="174">
        <v>3.875621389E9</v>
      </c>
      <c r="M780" s="367"/>
      <c r="N780" s="209"/>
      <c r="O780" s="209"/>
      <c r="P780" s="209"/>
      <c r="Q780" s="209"/>
      <c r="R780" s="209"/>
      <c r="S780" s="367"/>
      <c r="T780" s="276"/>
      <c r="U780" s="276"/>
      <c r="V780" s="276"/>
      <c r="W780" s="276"/>
      <c r="X780" s="276"/>
      <c r="Y780" s="276"/>
      <c r="Z780" s="276"/>
      <c r="AA780" s="276"/>
      <c r="AB780" s="276"/>
      <c r="AC780" s="276"/>
    </row>
    <row r="781">
      <c r="A781" s="108" t="s">
        <v>11812</v>
      </c>
      <c r="B781" s="173">
        <v>46045.0</v>
      </c>
      <c r="C781" s="374">
        <v>8.07000034776E11</v>
      </c>
      <c r="D781" s="374" t="s">
        <v>11761</v>
      </c>
      <c r="E781" s="374" t="s">
        <v>11762</v>
      </c>
      <c r="F781" s="177" t="s">
        <v>11811</v>
      </c>
      <c r="G781" s="145" t="s">
        <v>127</v>
      </c>
      <c r="H781" s="177">
        <v>4440.0</v>
      </c>
      <c r="I781" s="176" t="s">
        <v>701</v>
      </c>
      <c r="J781" s="374" t="s">
        <v>4409</v>
      </c>
      <c r="K781" s="177">
        <v>1.0</v>
      </c>
      <c r="L781" s="174">
        <v>3.875621389E9</v>
      </c>
      <c r="M781" s="367"/>
      <c r="N781" s="209"/>
      <c r="O781" s="209"/>
      <c r="P781" s="209"/>
      <c r="Q781" s="209"/>
      <c r="R781" s="209"/>
      <c r="S781" s="367"/>
      <c r="T781" s="276"/>
      <c r="U781" s="276"/>
      <c r="V781" s="276"/>
      <c r="W781" s="276"/>
      <c r="X781" s="276"/>
      <c r="Y781" s="276"/>
      <c r="Z781" s="276"/>
      <c r="AA781" s="276"/>
      <c r="AB781" s="276"/>
      <c r="AC781" s="276"/>
    </row>
    <row r="782">
      <c r="A782" s="145" t="s">
        <v>11813</v>
      </c>
      <c r="B782" s="173">
        <v>46045.0</v>
      </c>
      <c r="C782" s="374">
        <v>8.07000034777E11</v>
      </c>
      <c r="D782" s="374" t="s">
        <v>11761</v>
      </c>
      <c r="E782" s="374" t="s">
        <v>11762</v>
      </c>
      <c r="F782" s="177" t="s">
        <v>11811</v>
      </c>
      <c r="G782" s="145" t="s">
        <v>127</v>
      </c>
      <c r="H782" s="145">
        <v>4400.0</v>
      </c>
      <c r="I782" s="176">
        <v>203701.0</v>
      </c>
      <c r="J782" s="374" t="s">
        <v>7908</v>
      </c>
      <c r="K782" s="177">
        <v>1.0</v>
      </c>
      <c r="L782" s="174">
        <v>3.875621389E9</v>
      </c>
      <c r="M782" s="367"/>
      <c r="N782" s="206"/>
      <c r="O782" s="206"/>
      <c r="P782" s="206"/>
      <c r="Q782" s="206"/>
      <c r="R782" s="206"/>
      <c r="S782" s="367"/>
      <c r="T782" s="276"/>
      <c r="U782" s="276"/>
      <c r="V782" s="276"/>
      <c r="W782" s="276"/>
      <c r="X782" s="276"/>
      <c r="Y782" s="276"/>
      <c r="Z782" s="276"/>
      <c r="AA782" s="276"/>
      <c r="AB782" s="276"/>
      <c r="AC782" s="276"/>
    </row>
    <row r="783">
      <c r="A783" s="108" t="s">
        <v>11814</v>
      </c>
      <c r="B783" s="173">
        <v>46045.0</v>
      </c>
      <c r="C783" s="374">
        <v>8.07000034778E11</v>
      </c>
      <c r="D783" s="374" t="s">
        <v>11815</v>
      </c>
      <c r="E783" s="374" t="s">
        <v>11816</v>
      </c>
      <c r="F783" s="177" t="s">
        <v>11817</v>
      </c>
      <c r="G783" s="145" t="s">
        <v>127</v>
      </c>
      <c r="H783" s="177">
        <v>4400.0</v>
      </c>
      <c r="I783" s="176" t="s">
        <v>512</v>
      </c>
      <c r="J783" s="374" t="s">
        <v>513</v>
      </c>
      <c r="K783" s="177">
        <v>6.0</v>
      </c>
      <c r="L783" s="174" t="s">
        <v>4529</v>
      </c>
      <c r="M783" s="367"/>
      <c r="N783" s="433"/>
      <c r="O783" s="261"/>
      <c r="P783" s="367"/>
      <c r="Q783" s="261"/>
      <c r="R783" s="449"/>
      <c r="S783" s="367"/>
      <c r="T783" s="276"/>
      <c r="U783" s="276"/>
      <c r="V783" s="276"/>
      <c r="W783" s="276"/>
      <c r="X783" s="276"/>
      <c r="Y783" s="276"/>
      <c r="Z783" s="276"/>
      <c r="AA783" s="276"/>
      <c r="AB783" s="276"/>
      <c r="AC783" s="276"/>
    </row>
    <row r="784">
      <c r="A784" s="108" t="s">
        <v>11814</v>
      </c>
      <c r="B784" s="173">
        <v>46045.0</v>
      </c>
      <c r="C784" s="374">
        <v>8.07000034779E11</v>
      </c>
      <c r="D784" s="374" t="s">
        <v>11815</v>
      </c>
      <c r="E784" s="374" t="s">
        <v>11816</v>
      </c>
      <c r="F784" s="177" t="s">
        <v>11817</v>
      </c>
      <c r="G784" s="145" t="s">
        <v>127</v>
      </c>
      <c r="H784" s="177">
        <v>4400.0</v>
      </c>
      <c r="I784" s="176" t="s">
        <v>659</v>
      </c>
      <c r="J784" s="374" t="s">
        <v>3468</v>
      </c>
      <c r="K784" s="177">
        <v>1.0</v>
      </c>
      <c r="L784" s="174"/>
      <c r="M784" s="367"/>
      <c r="N784" s="433"/>
      <c r="O784" s="261"/>
      <c r="P784" s="367"/>
      <c r="Q784" s="261"/>
      <c r="R784" s="449"/>
      <c r="S784" s="367"/>
      <c r="T784" s="276"/>
      <c r="U784" s="276"/>
      <c r="V784" s="276"/>
      <c r="W784" s="276"/>
      <c r="X784" s="276"/>
      <c r="Y784" s="276"/>
      <c r="Z784" s="276"/>
      <c r="AA784" s="276"/>
      <c r="AB784" s="276"/>
      <c r="AC784" s="276"/>
    </row>
    <row r="785">
      <c r="A785" s="108" t="s">
        <v>11814</v>
      </c>
      <c r="B785" s="173">
        <v>46045.0</v>
      </c>
      <c r="C785" s="374">
        <v>8.0700003478E11</v>
      </c>
      <c r="D785" s="374" t="s">
        <v>11815</v>
      </c>
      <c r="E785" s="374" t="s">
        <v>11816</v>
      </c>
      <c r="F785" s="177" t="s">
        <v>11817</v>
      </c>
      <c r="G785" s="145" t="s">
        <v>127</v>
      </c>
      <c r="H785" s="177">
        <v>4400.0</v>
      </c>
      <c r="I785" s="176" t="s">
        <v>35</v>
      </c>
      <c r="J785" s="374" t="s">
        <v>3188</v>
      </c>
      <c r="K785" s="177">
        <v>1.0</v>
      </c>
      <c r="L785" s="174"/>
      <c r="M785" s="367"/>
      <c r="N785" s="433"/>
      <c r="O785" s="261"/>
      <c r="P785" s="367"/>
      <c r="Q785" s="261"/>
      <c r="R785" s="449"/>
      <c r="S785" s="367"/>
      <c r="T785" s="276"/>
      <c r="U785" s="276"/>
      <c r="V785" s="276"/>
      <c r="W785" s="276"/>
      <c r="X785" s="276"/>
      <c r="Y785" s="276"/>
      <c r="Z785" s="276"/>
      <c r="AA785" s="276"/>
      <c r="AB785" s="276"/>
      <c r="AC785" s="276"/>
    </row>
    <row r="786">
      <c r="A786" s="108" t="s">
        <v>11818</v>
      </c>
      <c r="B786" s="173">
        <v>46045.0</v>
      </c>
      <c r="C786" s="374">
        <v>8.07000034783E11</v>
      </c>
      <c r="D786" s="374" t="s">
        <v>11792</v>
      </c>
      <c r="E786" s="374" t="s">
        <v>11793</v>
      </c>
      <c r="F786" s="145" t="s">
        <v>11819</v>
      </c>
      <c r="G786" s="145" t="s">
        <v>127</v>
      </c>
      <c r="H786" s="177">
        <v>4400.0</v>
      </c>
      <c r="I786" s="176" t="s">
        <v>11820</v>
      </c>
      <c r="J786" s="176" t="s">
        <v>11821</v>
      </c>
      <c r="K786" s="177">
        <v>1.0</v>
      </c>
      <c r="L786" s="174">
        <v>3.874761266E9</v>
      </c>
      <c r="M786" s="367"/>
      <c r="N786" s="429">
        <v>46049.0</v>
      </c>
      <c r="O786" s="430" t="s">
        <v>13338</v>
      </c>
      <c r="P786" s="431"/>
      <c r="Q786" s="430" t="s">
        <v>13681</v>
      </c>
      <c r="R786" s="432" t="s">
        <v>13663</v>
      </c>
      <c r="S786" s="367"/>
      <c r="T786" s="276"/>
      <c r="U786" s="276"/>
      <c r="V786" s="276"/>
      <c r="W786" s="276"/>
      <c r="X786" s="276"/>
      <c r="Y786" s="276"/>
      <c r="Z786" s="276"/>
      <c r="AA786" s="276"/>
      <c r="AB786" s="276"/>
      <c r="AC786" s="276"/>
    </row>
    <row r="787">
      <c r="A787" s="108" t="s">
        <v>11818</v>
      </c>
      <c r="B787" s="173">
        <v>46045.0</v>
      </c>
      <c r="C787" s="374">
        <v>8.07000034785E11</v>
      </c>
      <c r="D787" s="374" t="s">
        <v>11792</v>
      </c>
      <c r="E787" s="374" t="s">
        <v>11793</v>
      </c>
      <c r="F787" s="145" t="s">
        <v>11819</v>
      </c>
      <c r="G787" s="145" t="s">
        <v>127</v>
      </c>
      <c r="H787" s="177">
        <v>4400.0</v>
      </c>
      <c r="I787" s="176" t="s">
        <v>340</v>
      </c>
      <c r="J787" s="176" t="s">
        <v>3486</v>
      </c>
      <c r="K787" s="177">
        <v>2.0</v>
      </c>
      <c r="L787" s="174">
        <v>3.874761266E9</v>
      </c>
      <c r="M787" s="367"/>
      <c r="N787" s="206"/>
      <c r="O787" s="206"/>
      <c r="P787" s="206"/>
      <c r="Q787" s="206"/>
      <c r="R787" s="206"/>
      <c r="S787" s="367"/>
      <c r="T787" s="276"/>
      <c r="U787" s="276"/>
      <c r="V787" s="276"/>
      <c r="W787" s="276"/>
      <c r="X787" s="276"/>
      <c r="Y787" s="276"/>
      <c r="Z787" s="276"/>
      <c r="AA787" s="276"/>
      <c r="AB787" s="276"/>
      <c r="AC787" s="276"/>
    </row>
    <row r="788">
      <c r="A788" s="108" t="s">
        <v>11823</v>
      </c>
      <c r="B788" s="173">
        <v>46045.0</v>
      </c>
      <c r="C788" s="374"/>
      <c r="D788" s="374" t="s">
        <v>5492</v>
      </c>
      <c r="E788" s="374" t="s">
        <v>11824</v>
      </c>
      <c r="F788" s="145"/>
      <c r="G788" s="145" t="s">
        <v>127</v>
      </c>
      <c r="H788" s="177">
        <v>4400.0</v>
      </c>
      <c r="I788" s="176" t="s">
        <v>670</v>
      </c>
      <c r="J788" s="374" t="s">
        <v>3410</v>
      </c>
      <c r="K788" s="177">
        <v>1.0</v>
      </c>
      <c r="L788" s="174"/>
      <c r="M788" s="367"/>
      <c r="N788" s="433">
        <v>46052.0</v>
      </c>
      <c r="O788" s="261" t="s">
        <v>13338</v>
      </c>
      <c r="P788" s="367"/>
      <c r="Q788" s="261" t="s">
        <v>13339</v>
      </c>
      <c r="R788" s="434" t="s">
        <v>13682</v>
      </c>
      <c r="S788" s="367"/>
      <c r="T788" s="276"/>
      <c r="U788" s="276"/>
      <c r="V788" s="276"/>
      <c r="W788" s="276"/>
      <c r="X788" s="276"/>
      <c r="Y788" s="276"/>
      <c r="Z788" s="276"/>
      <c r="AA788" s="276"/>
      <c r="AB788" s="276"/>
      <c r="AC788" s="276"/>
    </row>
    <row r="789">
      <c r="A789" s="108" t="s">
        <v>11825</v>
      </c>
      <c r="B789" s="173">
        <v>46048.0</v>
      </c>
      <c r="C789" s="374">
        <v>8.07000034832E11</v>
      </c>
      <c r="D789" s="374" t="s">
        <v>11826</v>
      </c>
      <c r="E789" s="374" t="s">
        <v>11827</v>
      </c>
      <c r="F789" s="145" t="s">
        <v>11828</v>
      </c>
      <c r="G789" s="145" t="s">
        <v>127</v>
      </c>
      <c r="H789" s="145">
        <v>4400.0</v>
      </c>
      <c r="I789" s="176" t="s">
        <v>3649</v>
      </c>
      <c r="J789" s="374" t="s">
        <v>3650</v>
      </c>
      <c r="K789" s="177">
        <v>1.0</v>
      </c>
      <c r="L789" s="174">
        <v>3.874390299E9</v>
      </c>
      <c r="M789" s="367"/>
      <c r="N789" s="433">
        <v>46049.0</v>
      </c>
      <c r="O789" s="261" t="s">
        <v>13338</v>
      </c>
      <c r="P789" s="367"/>
      <c r="Q789" s="261" t="s">
        <v>13339</v>
      </c>
      <c r="R789" s="434" t="s">
        <v>13683</v>
      </c>
      <c r="S789" s="367"/>
      <c r="T789" s="276"/>
      <c r="U789" s="276"/>
      <c r="V789" s="276"/>
      <c r="W789" s="276"/>
      <c r="X789" s="276"/>
      <c r="Y789" s="276"/>
      <c r="Z789" s="276"/>
      <c r="AA789" s="276"/>
      <c r="AB789" s="276"/>
      <c r="AC789" s="276"/>
    </row>
    <row r="790">
      <c r="A790" s="108" t="s">
        <v>11829</v>
      </c>
      <c r="B790" s="173">
        <v>46048.0</v>
      </c>
      <c r="C790" s="374">
        <v>8.07000034806E11</v>
      </c>
      <c r="D790" s="374" t="s">
        <v>11830</v>
      </c>
      <c r="E790" s="374" t="s">
        <v>11831</v>
      </c>
      <c r="F790" s="145" t="s">
        <v>11832</v>
      </c>
      <c r="G790" s="145" t="s">
        <v>127</v>
      </c>
      <c r="H790" s="145">
        <v>4400.0</v>
      </c>
      <c r="I790" s="176" t="s">
        <v>761</v>
      </c>
      <c r="J790" s="374" t="s">
        <v>3761</v>
      </c>
      <c r="K790" s="177">
        <v>1.0</v>
      </c>
      <c r="L790" s="174">
        <v>3.872140412E9</v>
      </c>
      <c r="M790" s="367"/>
      <c r="N790" s="429">
        <v>46049.0</v>
      </c>
      <c r="O790" s="430" t="s">
        <v>13338</v>
      </c>
      <c r="P790" s="431"/>
      <c r="Q790" s="430" t="s">
        <v>13339</v>
      </c>
      <c r="R790" s="432" t="s">
        <v>13684</v>
      </c>
      <c r="S790" s="367"/>
      <c r="T790" s="276"/>
      <c r="U790" s="276"/>
      <c r="V790" s="276"/>
      <c r="W790" s="276"/>
      <c r="X790" s="276"/>
      <c r="Y790" s="276"/>
      <c r="Z790" s="276"/>
      <c r="AA790" s="276"/>
      <c r="AB790" s="276"/>
      <c r="AC790" s="276"/>
    </row>
    <row r="791">
      <c r="A791" s="108" t="s">
        <v>11829</v>
      </c>
      <c r="B791" s="173">
        <v>46048.0</v>
      </c>
      <c r="C791" s="374">
        <v>8.07000034806E11</v>
      </c>
      <c r="D791" s="374" t="s">
        <v>11830</v>
      </c>
      <c r="E791" s="374" t="s">
        <v>11831</v>
      </c>
      <c r="F791" s="145" t="s">
        <v>11832</v>
      </c>
      <c r="G791" s="145" t="s">
        <v>127</v>
      </c>
      <c r="H791" s="145">
        <v>4400.0</v>
      </c>
      <c r="I791" s="176" t="s">
        <v>512</v>
      </c>
      <c r="J791" s="374" t="s">
        <v>513</v>
      </c>
      <c r="K791" s="177">
        <v>12.0</v>
      </c>
      <c r="L791" s="174">
        <v>3.872140412E9</v>
      </c>
      <c r="M791" s="367"/>
      <c r="N791" s="209"/>
      <c r="O791" s="209"/>
      <c r="P791" s="209"/>
      <c r="Q791" s="209"/>
      <c r="R791" s="209"/>
      <c r="S791" s="367"/>
      <c r="T791" s="276"/>
      <c r="U791" s="276"/>
      <c r="V791" s="276"/>
      <c r="W791" s="276"/>
      <c r="X791" s="276"/>
      <c r="Y791" s="276"/>
      <c r="Z791" s="276"/>
      <c r="AA791" s="276"/>
      <c r="AB791" s="276"/>
      <c r="AC791" s="276"/>
    </row>
    <row r="792">
      <c r="A792" s="108" t="s">
        <v>11833</v>
      </c>
      <c r="B792" s="173">
        <v>46048.0</v>
      </c>
      <c r="C792" s="374">
        <v>8.07000034807E11</v>
      </c>
      <c r="D792" s="374" t="s">
        <v>11830</v>
      </c>
      <c r="E792" s="374" t="s">
        <v>11831</v>
      </c>
      <c r="F792" s="145" t="s">
        <v>11832</v>
      </c>
      <c r="G792" s="145" t="s">
        <v>127</v>
      </c>
      <c r="H792" s="145">
        <v>4400.0</v>
      </c>
      <c r="I792" s="176" t="s">
        <v>340</v>
      </c>
      <c r="J792" s="374" t="s">
        <v>3486</v>
      </c>
      <c r="K792" s="177">
        <v>2.0</v>
      </c>
      <c r="L792" s="174">
        <v>3.872140412E9</v>
      </c>
      <c r="M792" s="367"/>
      <c r="N792" s="206"/>
      <c r="O792" s="206"/>
      <c r="P792" s="206"/>
      <c r="Q792" s="206"/>
      <c r="R792" s="206"/>
      <c r="S792" s="367"/>
      <c r="T792" s="276"/>
      <c r="U792" s="276"/>
      <c r="V792" s="276"/>
      <c r="W792" s="276"/>
      <c r="X792" s="276"/>
      <c r="Y792" s="276"/>
      <c r="Z792" s="276"/>
      <c r="AA792" s="276"/>
      <c r="AB792" s="276"/>
      <c r="AC792" s="276"/>
    </row>
    <row r="793">
      <c r="A793" s="107" t="s">
        <v>5626</v>
      </c>
      <c r="B793" s="448">
        <v>46042.0</v>
      </c>
      <c r="C793" s="107">
        <v>8.05011568138E11</v>
      </c>
      <c r="D793" s="107" t="s">
        <v>5627</v>
      </c>
      <c r="E793" s="107" t="s">
        <v>5628</v>
      </c>
      <c r="F793" s="107" t="s">
        <v>5629</v>
      </c>
      <c r="G793" s="107" t="s">
        <v>116</v>
      </c>
      <c r="H793" s="107">
        <v>4600.0</v>
      </c>
      <c r="I793" s="107" t="s">
        <v>670</v>
      </c>
      <c r="J793" s="31" t="s">
        <v>3410</v>
      </c>
      <c r="K793" s="33">
        <v>1.0</v>
      </c>
      <c r="L793" s="33">
        <v>1.0</v>
      </c>
      <c r="M793" s="31" t="s">
        <v>5630</v>
      </c>
      <c r="N793" s="429">
        <v>46049.0</v>
      </c>
      <c r="O793" s="430" t="s">
        <v>13338</v>
      </c>
      <c r="P793" s="431"/>
      <c r="Q793" s="430" t="s">
        <v>13339</v>
      </c>
      <c r="R793" s="432" t="s">
        <v>13685</v>
      </c>
      <c r="S793" s="367"/>
      <c r="T793" s="276"/>
      <c r="U793" s="276"/>
      <c r="V793" s="276"/>
      <c r="W793" s="276"/>
      <c r="X793" s="276"/>
      <c r="Y793" s="276"/>
      <c r="Z793" s="276"/>
      <c r="AA793" s="276"/>
      <c r="AB793" s="276"/>
      <c r="AC793" s="276"/>
    </row>
    <row r="794">
      <c r="A794" s="107" t="s">
        <v>5626</v>
      </c>
      <c r="B794" s="448">
        <v>46042.0</v>
      </c>
      <c r="C794" s="107">
        <v>8.05011568138E11</v>
      </c>
      <c r="D794" s="107" t="s">
        <v>5627</v>
      </c>
      <c r="E794" s="107" t="s">
        <v>5628</v>
      </c>
      <c r="F794" s="107" t="s">
        <v>5629</v>
      </c>
      <c r="G794" s="107" t="s">
        <v>116</v>
      </c>
      <c r="H794" s="107">
        <v>4600.0</v>
      </c>
      <c r="I794" s="107" t="s">
        <v>512</v>
      </c>
      <c r="J794" s="31" t="s">
        <v>513</v>
      </c>
      <c r="K794" s="33">
        <v>6.0</v>
      </c>
      <c r="L794" s="33">
        <v>6.0</v>
      </c>
      <c r="M794" s="31" t="s">
        <v>5630</v>
      </c>
      <c r="N794" s="209"/>
      <c r="O794" s="209"/>
      <c r="P794" s="209"/>
      <c r="Q794" s="209"/>
      <c r="R794" s="209"/>
      <c r="S794" s="367"/>
      <c r="T794" s="276"/>
      <c r="U794" s="276"/>
      <c r="V794" s="276"/>
      <c r="W794" s="276"/>
      <c r="X794" s="276"/>
      <c r="Y794" s="276"/>
      <c r="Z794" s="276"/>
      <c r="AA794" s="276"/>
      <c r="AB794" s="276"/>
      <c r="AC794" s="276"/>
    </row>
    <row r="795">
      <c r="A795" s="107" t="s">
        <v>5626</v>
      </c>
      <c r="B795" s="448">
        <v>46042.0</v>
      </c>
      <c r="C795" s="107">
        <v>8.05011568138E11</v>
      </c>
      <c r="D795" s="107" t="s">
        <v>5627</v>
      </c>
      <c r="E795" s="107" t="s">
        <v>5628</v>
      </c>
      <c r="F795" s="107" t="s">
        <v>5629</v>
      </c>
      <c r="G795" s="107" t="s">
        <v>116</v>
      </c>
      <c r="H795" s="107">
        <v>4600.0</v>
      </c>
      <c r="I795" s="107" t="s">
        <v>32</v>
      </c>
      <c r="J795" s="31" t="s">
        <v>3225</v>
      </c>
      <c r="K795" s="33">
        <v>1.0</v>
      </c>
      <c r="L795" s="33">
        <v>1.0</v>
      </c>
      <c r="M795" s="31" t="s">
        <v>5630</v>
      </c>
      <c r="N795" s="206"/>
      <c r="O795" s="206"/>
      <c r="P795" s="206"/>
      <c r="Q795" s="206"/>
      <c r="R795" s="206"/>
      <c r="S795" s="367"/>
      <c r="T795" s="276"/>
      <c r="U795" s="276"/>
      <c r="V795" s="276"/>
      <c r="W795" s="276"/>
      <c r="X795" s="276"/>
      <c r="Y795" s="276"/>
      <c r="Z795" s="276"/>
      <c r="AA795" s="276"/>
      <c r="AB795" s="276"/>
      <c r="AC795" s="276"/>
    </row>
    <row r="796">
      <c r="A796" s="108" t="s">
        <v>11834</v>
      </c>
      <c r="B796" s="173">
        <v>46048.0</v>
      </c>
      <c r="C796" s="374">
        <v>8.07000034812E11</v>
      </c>
      <c r="D796" s="374" t="s">
        <v>11835</v>
      </c>
      <c r="E796" s="374" t="s">
        <v>11836</v>
      </c>
      <c r="F796" s="145" t="s">
        <v>11837</v>
      </c>
      <c r="G796" s="145" t="s">
        <v>127</v>
      </c>
      <c r="H796" s="145">
        <v>4400.0</v>
      </c>
      <c r="I796" s="176" t="s">
        <v>1040</v>
      </c>
      <c r="J796" s="374" t="s">
        <v>3294</v>
      </c>
      <c r="K796" s="177">
        <v>1.0</v>
      </c>
      <c r="L796" s="174">
        <v>4999569.0</v>
      </c>
      <c r="M796" s="367"/>
      <c r="N796" s="429">
        <v>46049.0</v>
      </c>
      <c r="O796" s="430" t="s">
        <v>13338</v>
      </c>
      <c r="P796" s="431"/>
      <c r="Q796" s="430" t="s">
        <v>13339</v>
      </c>
      <c r="R796" s="432" t="s">
        <v>13686</v>
      </c>
      <c r="S796" s="367"/>
      <c r="T796" s="276"/>
      <c r="U796" s="276"/>
      <c r="V796" s="276"/>
      <c r="W796" s="276"/>
      <c r="X796" s="276"/>
      <c r="Y796" s="276"/>
      <c r="Z796" s="276"/>
      <c r="AA796" s="276"/>
      <c r="AB796" s="276"/>
      <c r="AC796" s="276"/>
    </row>
    <row r="797">
      <c r="A797" s="108" t="s">
        <v>11838</v>
      </c>
      <c r="B797" s="173">
        <v>46048.0</v>
      </c>
      <c r="C797" s="374">
        <v>8.07000034813E11</v>
      </c>
      <c r="D797" s="374" t="s">
        <v>11835</v>
      </c>
      <c r="E797" s="374" t="s">
        <v>11836</v>
      </c>
      <c r="F797" s="145" t="s">
        <v>11837</v>
      </c>
      <c r="G797" s="145" t="s">
        <v>127</v>
      </c>
      <c r="H797" s="145">
        <v>4400.0</v>
      </c>
      <c r="I797" s="176">
        <v>125812.0</v>
      </c>
      <c r="J797" s="374" t="s">
        <v>9317</v>
      </c>
      <c r="K797" s="177">
        <v>2.0</v>
      </c>
      <c r="L797" s="174">
        <v>4999569.0</v>
      </c>
      <c r="M797" s="367"/>
      <c r="N797" s="206"/>
      <c r="O797" s="206"/>
      <c r="P797" s="206"/>
      <c r="Q797" s="206"/>
      <c r="R797" s="206"/>
      <c r="S797" s="367"/>
      <c r="T797" s="276"/>
      <c r="U797" s="276"/>
      <c r="V797" s="276"/>
      <c r="W797" s="276"/>
      <c r="X797" s="276"/>
      <c r="Y797" s="276"/>
      <c r="Z797" s="276"/>
      <c r="AA797" s="276"/>
      <c r="AB797" s="276"/>
      <c r="AC797" s="276"/>
    </row>
    <row r="798">
      <c r="A798" s="107" t="s">
        <v>5711</v>
      </c>
      <c r="B798" s="448">
        <v>46049.0</v>
      </c>
      <c r="C798" s="107">
        <v>8.05011569374E11</v>
      </c>
      <c r="D798" s="107" t="s">
        <v>5712</v>
      </c>
      <c r="E798" s="107" t="s">
        <v>5713</v>
      </c>
      <c r="F798" s="107" t="s">
        <v>5714</v>
      </c>
      <c r="G798" s="107" t="s">
        <v>539</v>
      </c>
      <c r="H798" s="107">
        <v>4405.0</v>
      </c>
      <c r="I798" s="107" t="s">
        <v>761</v>
      </c>
      <c r="J798" s="31" t="s">
        <v>3761</v>
      </c>
      <c r="K798" s="33">
        <v>2.0</v>
      </c>
      <c r="L798" s="31"/>
      <c r="M798" s="33"/>
      <c r="N798" s="429">
        <v>46051.0</v>
      </c>
      <c r="O798" s="430" t="s">
        <v>13338</v>
      </c>
      <c r="P798" s="431"/>
      <c r="Q798" s="430" t="s">
        <v>13687</v>
      </c>
      <c r="R798" s="432" t="s">
        <v>13688</v>
      </c>
      <c r="S798" s="367"/>
      <c r="T798" s="276"/>
      <c r="U798" s="276"/>
      <c r="V798" s="276"/>
      <c r="W798" s="276"/>
      <c r="X798" s="276"/>
      <c r="Y798" s="276"/>
      <c r="Z798" s="276"/>
      <c r="AA798" s="276"/>
      <c r="AB798" s="276"/>
      <c r="AC798" s="276"/>
    </row>
    <row r="799">
      <c r="A799" s="107" t="s">
        <v>5711</v>
      </c>
      <c r="B799" s="448">
        <v>46049.0</v>
      </c>
      <c r="C799" s="107">
        <v>8.05011569374E11</v>
      </c>
      <c r="D799" s="107" t="s">
        <v>5712</v>
      </c>
      <c r="E799" s="107" t="s">
        <v>5713</v>
      </c>
      <c r="F799" s="107" t="s">
        <v>5714</v>
      </c>
      <c r="G799" s="107" t="s">
        <v>539</v>
      </c>
      <c r="H799" s="107">
        <v>4405.0</v>
      </c>
      <c r="I799" s="107" t="s">
        <v>512</v>
      </c>
      <c r="J799" s="31" t="s">
        <v>513</v>
      </c>
      <c r="K799" s="33">
        <v>24.0</v>
      </c>
      <c r="L799" s="31"/>
      <c r="M799" s="33"/>
      <c r="N799" s="209"/>
      <c r="O799" s="209"/>
      <c r="P799" s="209"/>
      <c r="Q799" s="209"/>
      <c r="R799" s="209"/>
      <c r="S799" s="367"/>
      <c r="T799" s="276"/>
      <c r="U799" s="276"/>
      <c r="V799" s="276"/>
      <c r="W799" s="276"/>
      <c r="X799" s="276"/>
      <c r="Y799" s="276"/>
      <c r="Z799" s="276"/>
      <c r="AA799" s="276"/>
      <c r="AB799" s="276"/>
      <c r="AC799" s="276"/>
    </row>
    <row r="800">
      <c r="A800" s="107" t="s">
        <v>5711</v>
      </c>
      <c r="B800" s="448">
        <v>46049.0</v>
      </c>
      <c r="C800" s="107">
        <v>8.05011569374E11</v>
      </c>
      <c r="D800" s="107" t="s">
        <v>5712</v>
      </c>
      <c r="E800" s="107" t="s">
        <v>5713</v>
      </c>
      <c r="F800" s="107" t="s">
        <v>5714</v>
      </c>
      <c r="G800" s="107" t="s">
        <v>539</v>
      </c>
      <c r="H800" s="107">
        <v>4405.0</v>
      </c>
      <c r="I800" s="107" t="s">
        <v>340</v>
      </c>
      <c r="J800" s="31" t="s">
        <v>3486</v>
      </c>
      <c r="K800" s="33">
        <v>4.0</v>
      </c>
      <c r="L800" s="31"/>
      <c r="M800" s="33"/>
      <c r="N800" s="206"/>
      <c r="O800" s="206"/>
      <c r="P800" s="206"/>
      <c r="Q800" s="206"/>
      <c r="R800" s="206"/>
      <c r="S800" s="367"/>
      <c r="T800" s="276"/>
      <c r="U800" s="276"/>
      <c r="V800" s="276"/>
      <c r="W800" s="276"/>
      <c r="X800" s="276"/>
      <c r="Y800" s="276"/>
      <c r="Z800" s="276"/>
      <c r="AA800" s="276"/>
      <c r="AB800" s="276"/>
      <c r="AC800" s="276"/>
    </row>
    <row r="801">
      <c r="A801" s="107" t="s">
        <v>5720</v>
      </c>
      <c r="B801" s="448">
        <v>46049.0</v>
      </c>
      <c r="C801" s="107">
        <v>8.07025034814E11</v>
      </c>
      <c r="D801" s="107" t="s">
        <v>5721</v>
      </c>
      <c r="E801" s="107" t="s">
        <v>5722</v>
      </c>
      <c r="F801" s="107" t="s">
        <v>5723</v>
      </c>
      <c r="G801" s="107" t="s">
        <v>127</v>
      </c>
      <c r="H801" s="107" t="s">
        <v>20</v>
      </c>
      <c r="I801" s="107" t="s">
        <v>2060</v>
      </c>
      <c r="J801" s="31" t="s">
        <v>4191</v>
      </c>
      <c r="K801" s="33">
        <v>1.0</v>
      </c>
      <c r="L801" s="31"/>
      <c r="M801" s="33"/>
      <c r="N801" s="429">
        <v>46051.0</v>
      </c>
      <c r="O801" s="430" t="s">
        <v>13338</v>
      </c>
      <c r="P801" s="431"/>
      <c r="Q801" s="430" t="s">
        <v>13339</v>
      </c>
      <c r="R801" s="432" t="s">
        <v>13689</v>
      </c>
      <c r="S801" s="367"/>
      <c r="T801" s="276"/>
      <c r="U801" s="276"/>
      <c r="V801" s="276"/>
      <c r="W801" s="276"/>
      <c r="X801" s="276"/>
      <c r="Y801" s="276"/>
      <c r="Z801" s="276"/>
      <c r="AA801" s="276"/>
      <c r="AB801" s="276"/>
      <c r="AC801" s="276"/>
    </row>
    <row r="802">
      <c r="A802" s="107" t="s">
        <v>5720</v>
      </c>
      <c r="B802" s="448">
        <v>46049.0</v>
      </c>
      <c r="C802" s="107">
        <v>8.07025034814E11</v>
      </c>
      <c r="D802" s="107" t="s">
        <v>5721</v>
      </c>
      <c r="E802" s="107" t="s">
        <v>5722</v>
      </c>
      <c r="F802" s="107" t="s">
        <v>5723</v>
      </c>
      <c r="G802" s="107" t="s">
        <v>127</v>
      </c>
      <c r="H802" s="107" t="s">
        <v>20</v>
      </c>
      <c r="I802" s="107" t="s">
        <v>812</v>
      </c>
      <c r="J802" s="31" t="s">
        <v>3564</v>
      </c>
      <c r="K802" s="33">
        <v>1.0</v>
      </c>
      <c r="L802" s="31"/>
      <c r="M802" s="33"/>
      <c r="N802" s="209"/>
      <c r="O802" s="209"/>
      <c r="P802" s="209"/>
      <c r="Q802" s="209"/>
      <c r="R802" s="209"/>
      <c r="S802" s="367"/>
      <c r="T802" s="276"/>
      <c r="U802" s="276"/>
      <c r="V802" s="276"/>
      <c r="W802" s="276"/>
      <c r="X802" s="276"/>
      <c r="Y802" s="276"/>
      <c r="Z802" s="276"/>
      <c r="AA802" s="276"/>
      <c r="AB802" s="276"/>
      <c r="AC802" s="276"/>
    </row>
    <row r="803">
      <c r="A803" s="108" t="s">
        <v>11857</v>
      </c>
      <c r="B803" s="173">
        <v>46050.0</v>
      </c>
      <c r="C803" s="374">
        <v>8.07000034815E11</v>
      </c>
      <c r="D803" s="374" t="s">
        <v>5721</v>
      </c>
      <c r="E803" s="374" t="s">
        <v>5722</v>
      </c>
      <c r="F803" s="177" t="s">
        <v>5723</v>
      </c>
      <c r="G803" s="177" t="s">
        <v>127</v>
      </c>
      <c r="H803" s="177">
        <v>4400.0</v>
      </c>
      <c r="I803" s="176" t="s">
        <v>512</v>
      </c>
      <c r="J803" s="374" t="s">
        <v>513</v>
      </c>
      <c r="K803" s="177">
        <v>6.0</v>
      </c>
      <c r="L803" s="174">
        <v>3.87569714E9</v>
      </c>
      <c r="M803" s="33"/>
      <c r="N803" s="209"/>
      <c r="O803" s="209"/>
      <c r="P803" s="209"/>
      <c r="Q803" s="209"/>
      <c r="R803" s="209"/>
      <c r="S803" s="367"/>
      <c r="T803" s="276"/>
      <c r="U803" s="276"/>
      <c r="V803" s="276"/>
      <c r="W803" s="276"/>
      <c r="X803" s="276"/>
      <c r="Y803" s="276"/>
      <c r="Z803" s="276"/>
      <c r="AA803" s="276"/>
      <c r="AB803" s="276"/>
      <c r="AC803" s="276"/>
    </row>
    <row r="804">
      <c r="A804" s="108" t="s">
        <v>11857</v>
      </c>
      <c r="B804" s="173">
        <v>46050.0</v>
      </c>
      <c r="C804" s="374">
        <v>8.07000034816E11</v>
      </c>
      <c r="D804" s="374" t="s">
        <v>5721</v>
      </c>
      <c r="E804" s="374" t="s">
        <v>5722</v>
      </c>
      <c r="F804" s="177" t="s">
        <v>5723</v>
      </c>
      <c r="G804" s="177" t="s">
        <v>127</v>
      </c>
      <c r="H804" s="177">
        <v>4400.0</v>
      </c>
      <c r="I804" s="176" t="s">
        <v>969</v>
      </c>
      <c r="J804" s="374" t="s">
        <v>3296</v>
      </c>
      <c r="K804" s="177">
        <v>1.0</v>
      </c>
      <c r="L804" s="174">
        <v>3.87569714E9</v>
      </c>
      <c r="M804" s="33"/>
      <c r="N804" s="206"/>
      <c r="O804" s="206"/>
      <c r="P804" s="206"/>
      <c r="Q804" s="206"/>
      <c r="R804" s="206"/>
      <c r="S804" s="367"/>
      <c r="T804" s="276"/>
      <c r="U804" s="276"/>
      <c r="V804" s="276"/>
      <c r="W804" s="276"/>
      <c r="X804" s="276"/>
      <c r="Y804" s="276"/>
      <c r="Z804" s="276"/>
      <c r="AA804" s="276"/>
      <c r="AB804" s="276"/>
      <c r="AC804" s="276"/>
    </row>
    <row r="805">
      <c r="A805" s="107" t="s">
        <v>5724</v>
      </c>
      <c r="B805" s="448">
        <v>46049.0</v>
      </c>
      <c r="C805" s="107">
        <v>8.07025034802E11</v>
      </c>
      <c r="D805" s="107" t="s">
        <v>5725</v>
      </c>
      <c r="E805" s="107" t="s">
        <v>5726</v>
      </c>
      <c r="F805" s="107" t="s">
        <v>5727</v>
      </c>
      <c r="G805" s="107" t="s">
        <v>127</v>
      </c>
      <c r="H805" s="107" t="s">
        <v>20</v>
      </c>
      <c r="I805" s="107" t="s">
        <v>5728</v>
      </c>
      <c r="J805" s="31" t="s">
        <v>5729</v>
      </c>
      <c r="K805" s="33">
        <v>1.0</v>
      </c>
      <c r="L805" s="31"/>
      <c r="M805" s="33"/>
      <c r="N805" s="207">
        <v>46051.0</v>
      </c>
      <c r="O805" s="123" t="s">
        <v>13338</v>
      </c>
      <c r="P805" s="367"/>
      <c r="Q805" s="261" t="s">
        <v>13690</v>
      </c>
      <c r="R805" s="434" t="s">
        <v>13691</v>
      </c>
      <c r="S805" s="367"/>
      <c r="T805" s="276"/>
      <c r="U805" s="276"/>
      <c r="V805" s="276"/>
      <c r="W805" s="276"/>
      <c r="X805" s="276"/>
      <c r="Y805" s="276"/>
      <c r="Z805" s="276"/>
      <c r="AA805" s="276"/>
      <c r="AB805" s="276"/>
      <c r="AC805" s="276"/>
    </row>
    <row r="806">
      <c r="A806" s="107" t="s">
        <v>5706</v>
      </c>
      <c r="B806" s="448">
        <v>46049.0</v>
      </c>
      <c r="C806" s="107">
        <v>8.05011569159E11</v>
      </c>
      <c r="D806" s="107" t="s">
        <v>5707</v>
      </c>
      <c r="E806" s="107" t="s">
        <v>5708</v>
      </c>
      <c r="F806" s="107" t="s">
        <v>5709</v>
      </c>
      <c r="G806" s="107" t="s">
        <v>5710</v>
      </c>
      <c r="H806" s="107" t="s">
        <v>20</v>
      </c>
      <c r="I806" s="107" t="s">
        <v>98</v>
      </c>
      <c r="J806" s="31" t="s">
        <v>3187</v>
      </c>
      <c r="K806" s="33">
        <v>2.0</v>
      </c>
      <c r="L806" s="31"/>
      <c r="M806" s="33"/>
      <c r="N806" s="429">
        <v>46052.0</v>
      </c>
      <c r="O806" s="430" t="s">
        <v>13338</v>
      </c>
      <c r="P806" s="431"/>
      <c r="Q806" s="430" t="s">
        <v>13339</v>
      </c>
      <c r="R806" s="432" t="s">
        <v>13692</v>
      </c>
      <c r="S806" s="367"/>
      <c r="T806" s="276"/>
      <c r="U806" s="276"/>
      <c r="V806" s="276"/>
      <c r="W806" s="276"/>
      <c r="X806" s="276"/>
      <c r="Y806" s="276"/>
      <c r="Z806" s="276"/>
      <c r="AA806" s="276"/>
      <c r="AB806" s="276"/>
      <c r="AC806" s="276"/>
    </row>
    <row r="807">
      <c r="A807" s="107" t="s">
        <v>5706</v>
      </c>
      <c r="B807" s="448">
        <v>46049.0</v>
      </c>
      <c r="C807" s="107">
        <v>8.05011569159E11</v>
      </c>
      <c r="D807" s="107" t="s">
        <v>5707</v>
      </c>
      <c r="E807" s="107" t="s">
        <v>5708</v>
      </c>
      <c r="F807" s="107" t="s">
        <v>5709</v>
      </c>
      <c r="G807" s="107" t="s">
        <v>5710</v>
      </c>
      <c r="H807" s="107" t="s">
        <v>20</v>
      </c>
      <c r="I807" s="107" t="s">
        <v>512</v>
      </c>
      <c r="J807" s="31" t="s">
        <v>513</v>
      </c>
      <c r="K807" s="33">
        <v>12.0</v>
      </c>
      <c r="L807" s="31"/>
      <c r="M807" s="33"/>
      <c r="N807" s="209"/>
      <c r="O807" s="209"/>
      <c r="P807" s="209"/>
      <c r="Q807" s="209"/>
      <c r="R807" s="209"/>
      <c r="S807" s="367"/>
      <c r="T807" s="276"/>
      <c r="U807" s="276"/>
      <c r="V807" s="276"/>
      <c r="W807" s="276"/>
      <c r="X807" s="276"/>
      <c r="Y807" s="276"/>
      <c r="Z807" s="276"/>
      <c r="AA807" s="276"/>
      <c r="AB807" s="276"/>
      <c r="AC807" s="276"/>
    </row>
    <row r="808">
      <c r="A808" s="107" t="s">
        <v>5706</v>
      </c>
      <c r="B808" s="448">
        <v>46049.0</v>
      </c>
      <c r="C808" s="107">
        <v>8.05011569159E11</v>
      </c>
      <c r="D808" s="107" t="s">
        <v>5707</v>
      </c>
      <c r="E808" s="107" t="s">
        <v>5708</v>
      </c>
      <c r="F808" s="107" t="s">
        <v>5709</v>
      </c>
      <c r="G808" s="107" t="s">
        <v>5710</v>
      </c>
      <c r="H808" s="107" t="s">
        <v>20</v>
      </c>
      <c r="I808" s="107" t="s">
        <v>670</v>
      </c>
      <c r="J808" s="31" t="s">
        <v>3410</v>
      </c>
      <c r="K808" s="33">
        <v>2.0</v>
      </c>
      <c r="L808" s="31"/>
      <c r="M808" s="33"/>
      <c r="N808" s="206"/>
      <c r="O808" s="206"/>
      <c r="P808" s="206"/>
      <c r="Q808" s="206"/>
      <c r="R808" s="206"/>
      <c r="S808" s="367"/>
      <c r="T808" s="276"/>
      <c r="U808" s="276"/>
      <c r="V808" s="276"/>
      <c r="W808" s="276"/>
      <c r="X808" s="276"/>
      <c r="Y808" s="276"/>
      <c r="Z808" s="276"/>
      <c r="AA808" s="276"/>
      <c r="AB808" s="276"/>
      <c r="AC808" s="276"/>
    </row>
    <row r="809">
      <c r="A809" s="107" t="s">
        <v>5715</v>
      </c>
      <c r="B809" s="448">
        <v>46049.0</v>
      </c>
      <c r="C809" s="107">
        <v>8.0501156937E11</v>
      </c>
      <c r="D809" s="107" t="s">
        <v>5716</v>
      </c>
      <c r="E809" s="107" t="s">
        <v>5717</v>
      </c>
      <c r="F809" s="107" t="s">
        <v>5718</v>
      </c>
      <c r="G809" s="107" t="s">
        <v>2582</v>
      </c>
      <c r="H809" s="107" t="s">
        <v>20</v>
      </c>
      <c r="I809" s="107" t="s">
        <v>32</v>
      </c>
      <c r="J809" s="31" t="s">
        <v>3225</v>
      </c>
      <c r="K809" s="33">
        <v>1.0</v>
      </c>
      <c r="L809" s="31"/>
      <c r="M809" s="33"/>
      <c r="N809" s="429">
        <v>46052.0</v>
      </c>
      <c r="O809" s="430" t="s">
        <v>13338</v>
      </c>
      <c r="P809" s="431"/>
      <c r="Q809" s="430" t="s">
        <v>13693</v>
      </c>
      <c r="R809" s="432" t="s">
        <v>13694</v>
      </c>
      <c r="S809" s="367"/>
      <c r="T809" s="276"/>
      <c r="U809" s="276"/>
      <c r="V809" s="276"/>
      <c r="W809" s="276"/>
      <c r="X809" s="276"/>
      <c r="Y809" s="276"/>
      <c r="Z809" s="276"/>
      <c r="AA809" s="276"/>
      <c r="AB809" s="276"/>
      <c r="AC809" s="276"/>
    </row>
    <row r="810">
      <c r="A810" s="107" t="s">
        <v>5715</v>
      </c>
      <c r="B810" s="448">
        <v>46049.0</v>
      </c>
      <c r="C810" s="107">
        <v>8.0501156937E11</v>
      </c>
      <c r="D810" s="107" t="s">
        <v>5716</v>
      </c>
      <c r="E810" s="107" t="s">
        <v>5717</v>
      </c>
      <c r="F810" s="107" t="s">
        <v>5718</v>
      </c>
      <c r="G810" s="107" t="s">
        <v>2582</v>
      </c>
      <c r="H810" s="107" t="s">
        <v>20</v>
      </c>
      <c r="I810" s="107" t="s">
        <v>512</v>
      </c>
      <c r="J810" s="31" t="s">
        <v>513</v>
      </c>
      <c r="K810" s="33">
        <v>6.0</v>
      </c>
      <c r="L810" s="31"/>
      <c r="M810" s="33"/>
      <c r="N810" s="209"/>
      <c r="O810" s="209"/>
      <c r="P810" s="209"/>
      <c r="Q810" s="209"/>
      <c r="R810" s="209"/>
      <c r="S810" s="367"/>
      <c r="T810" s="276"/>
      <c r="U810" s="276"/>
      <c r="V810" s="276"/>
      <c r="W810" s="276"/>
      <c r="X810" s="276"/>
      <c r="Y810" s="276"/>
      <c r="Z810" s="276"/>
      <c r="AA810" s="276"/>
      <c r="AB810" s="276"/>
      <c r="AC810" s="276"/>
    </row>
    <row r="811">
      <c r="A811" s="107" t="s">
        <v>5715</v>
      </c>
      <c r="B811" s="448">
        <v>46049.0</v>
      </c>
      <c r="C811" s="107">
        <v>8.0501156937E11</v>
      </c>
      <c r="D811" s="107" t="s">
        <v>5716</v>
      </c>
      <c r="E811" s="107" t="s">
        <v>5717</v>
      </c>
      <c r="F811" s="107" t="s">
        <v>5718</v>
      </c>
      <c r="G811" s="107" t="s">
        <v>2582</v>
      </c>
      <c r="H811" s="107" t="s">
        <v>20</v>
      </c>
      <c r="I811" s="107" t="s">
        <v>670</v>
      </c>
      <c r="J811" s="31" t="s">
        <v>3410</v>
      </c>
      <c r="K811" s="33">
        <v>1.0</v>
      </c>
      <c r="L811" s="31"/>
      <c r="M811" s="33"/>
      <c r="N811" s="206"/>
      <c r="O811" s="206"/>
      <c r="P811" s="206"/>
      <c r="Q811" s="206"/>
      <c r="R811" s="206"/>
      <c r="S811" s="367"/>
      <c r="T811" s="276"/>
      <c r="U811" s="276"/>
      <c r="V811" s="276"/>
      <c r="W811" s="276"/>
      <c r="X811" s="276"/>
      <c r="Y811" s="276"/>
      <c r="Z811" s="276"/>
      <c r="AA811" s="276"/>
      <c r="AB811" s="276"/>
      <c r="AC811" s="276"/>
    </row>
    <row r="812">
      <c r="A812" s="107" t="s">
        <v>5734</v>
      </c>
      <c r="B812" s="448">
        <v>46049.0</v>
      </c>
      <c r="C812" s="107">
        <v>8.07025034798E11</v>
      </c>
      <c r="D812" s="107" t="s">
        <v>5735</v>
      </c>
      <c r="E812" s="107" t="s">
        <v>5736</v>
      </c>
      <c r="F812" s="107" t="s">
        <v>5737</v>
      </c>
      <c r="G812" s="107" t="s">
        <v>127</v>
      </c>
      <c r="H812" s="107" t="s">
        <v>20</v>
      </c>
      <c r="I812" s="107" t="s">
        <v>3131</v>
      </c>
      <c r="J812" s="31" t="s">
        <v>3416</v>
      </c>
      <c r="K812" s="33">
        <v>1.0</v>
      </c>
      <c r="L812" s="31"/>
      <c r="M812" s="33"/>
      <c r="N812" s="429">
        <v>46053.0</v>
      </c>
      <c r="O812" s="430" t="s">
        <v>13338</v>
      </c>
      <c r="P812" s="431"/>
      <c r="Q812" s="430" t="s">
        <v>13695</v>
      </c>
      <c r="R812" s="432" t="s">
        <v>13696</v>
      </c>
      <c r="S812" s="367"/>
      <c r="T812" s="276"/>
      <c r="U812" s="276"/>
      <c r="V812" s="276"/>
      <c r="W812" s="276"/>
      <c r="X812" s="276"/>
      <c r="Y812" s="276"/>
      <c r="Z812" s="276"/>
      <c r="AA812" s="276"/>
      <c r="AB812" s="276"/>
      <c r="AC812" s="276"/>
    </row>
    <row r="813">
      <c r="A813" s="107" t="s">
        <v>5734</v>
      </c>
      <c r="B813" s="448">
        <v>46049.0</v>
      </c>
      <c r="C813" s="107">
        <v>8.07025034798E11</v>
      </c>
      <c r="D813" s="107" t="s">
        <v>5735</v>
      </c>
      <c r="E813" s="107" t="s">
        <v>5736</v>
      </c>
      <c r="F813" s="107" t="s">
        <v>5737</v>
      </c>
      <c r="G813" s="107" t="s">
        <v>127</v>
      </c>
      <c r="H813" s="107" t="s">
        <v>20</v>
      </c>
      <c r="I813" s="107" t="s">
        <v>35</v>
      </c>
      <c r="J813" s="31" t="s">
        <v>3188</v>
      </c>
      <c r="K813" s="33">
        <v>1.0</v>
      </c>
      <c r="L813" s="31"/>
      <c r="M813" s="33"/>
      <c r="N813" s="206"/>
      <c r="O813" s="206"/>
      <c r="P813" s="206"/>
      <c r="Q813" s="206"/>
      <c r="R813" s="206"/>
      <c r="S813" s="367"/>
      <c r="T813" s="276"/>
      <c r="U813" s="276"/>
      <c r="V813" s="276"/>
      <c r="W813" s="276"/>
      <c r="X813" s="276"/>
      <c r="Y813" s="276"/>
      <c r="Z813" s="276"/>
      <c r="AA813" s="276"/>
      <c r="AB813" s="276"/>
      <c r="AC813" s="276"/>
    </row>
    <row r="814">
      <c r="A814" s="107" t="s">
        <v>5685</v>
      </c>
      <c r="B814" s="448">
        <v>46049.0</v>
      </c>
      <c r="C814" s="107">
        <v>8.07025034705E11</v>
      </c>
      <c r="D814" s="107" t="s">
        <v>5686</v>
      </c>
      <c r="E814" s="107" t="s">
        <v>5687</v>
      </c>
      <c r="F814" s="107" t="s">
        <v>5688</v>
      </c>
      <c r="G814" s="107" t="s">
        <v>127</v>
      </c>
      <c r="H814" s="107" t="s">
        <v>20</v>
      </c>
      <c r="I814" s="107" t="s">
        <v>541</v>
      </c>
      <c r="J814" s="31" t="s">
        <v>3947</v>
      </c>
      <c r="K814" s="33">
        <v>2.0</v>
      </c>
      <c r="L814" s="31"/>
      <c r="M814" s="33"/>
      <c r="N814" s="413">
        <v>46326.0</v>
      </c>
      <c r="O814" s="123" t="s">
        <v>13338</v>
      </c>
      <c r="P814" s="367"/>
      <c r="Q814" s="261" t="s">
        <v>13339</v>
      </c>
      <c r="R814" s="434" t="s">
        <v>13697</v>
      </c>
      <c r="S814" s="367"/>
      <c r="T814" s="276"/>
      <c r="U814" s="276"/>
      <c r="V814" s="276"/>
      <c r="W814" s="276"/>
      <c r="X814" s="276"/>
      <c r="Y814" s="276"/>
      <c r="Z814" s="276"/>
      <c r="AA814" s="276"/>
      <c r="AB814" s="276"/>
      <c r="AC814" s="276"/>
    </row>
    <row r="815">
      <c r="A815" s="107" t="s">
        <v>5730</v>
      </c>
      <c r="B815" s="448">
        <v>46049.0</v>
      </c>
      <c r="C815" s="107">
        <v>8.07025034819E11</v>
      </c>
      <c r="D815" s="107" t="s">
        <v>5731</v>
      </c>
      <c r="E815" s="107" t="s">
        <v>5732</v>
      </c>
      <c r="F815" s="107" t="s">
        <v>5733</v>
      </c>
      <c r="G815" s="107" t="s">
        <v>127</v>
      </c>
      <c r="H815" s="107" t="s">
        <v>20</v>
      </c>
      <c r="I815" s="107" t="s">
        <v>3623</v>
      </c>
      <c r="J815" s="31" t="s">
        <v>3624</v>
      </c>
      <c r="K815" s="33">
        <v>1.0</v>
      </c>
      <c r="L815" s="31"/>
      <c r="M815" s="33"/>
      <c r="N815" s="207">
        <v>46053.0</v>
      </c>
      <c r="O815" s="123" t="s">
        <v>13338</v>
      </c>
      <c r="P815" s="367"/>
      <c r="Q815" s="261" t="s">
        <v>13698</v>
      </c>
      <c r="R815" s="434" t="s">
        <v>13699</v>
      </c>
      <c r="S815" s="367"/>
      <c r="T815" s="276"/>
      <c r="U815" s="276"/>
      <c r="V815" s="276"/>
      <c r="W815" s="276"/>
      <c r="X815" s="276"/>
      <c r="Y815" s="276"/>
      <c r="Z815" s="276"/>
      <c r="AA815" s="276"/>
      <c r="AB815" s="276"/>
      <c r="AC815" s="276"/>
    </row>
    <row r="816">
      <c r="A816" s="107" t="s">
        <v>5743</v>
      </c>
      <c r="B816" s="448">
        <v>46049.0</v>
      </c>
      <c r="C816" s="107">
        <v>8.0910007129E11</v>
      </c>
      <c r="D816" s="107" t="s">
        <v>5744</v>
      </c>
      <c r="E816" s="107" t="s">
        <v>5745</v>
      </c>
      <c r="F816" s="107" t="s">
        <v>5746</v>
      </c>
      <c r="G816" s="107" t="s">
        <v>127</v>
      </c>
      <c r="H816" s="107" t="s">
        <v>20</v>
      </c>
      <c r="I816" s="107">
        <v>125823.0</v>
      </c>
      <c r="J816" s="31" t="s">
        <v>5747</v>
      </c>
      <c r="K816" s="33">
        <v>2.0</v>
      </c>
      <c r="L816" s="31" t="s">
        <v>5748</v>
      </c>
      <c r="M816" s="367"/>
      <c r="N816" s="429">
        <v>46053.0</v>
      </c>
      <c r="O816" s="430" t="s">
        <v>13338</v>
      </c>
      <c r="P816" s="431"/>
      <c r="Q816" s="430" t="s">
        <v>13700</v>
      </c>
      <c r="R816" s="432" t="s">
        <v>13701</v>
      </c>
      <c r="S816" s="367"/>
      <c r="T816" s="276"/>
      <c r="U816" s="276"/>
      <c r="V816" s="276"/>
      <c r="W816" s="276"/>
      <c r="X816" s="276"/>
      <c r="Y816" s="276"/>
      <c r="Z816" s="276"/>
      <c r="AA816" s="276"/>
      <c r="AB816" s="276"/>
      <c r="AC816" s="276"/>
    </row>
    <row r="817">
      <c r="A817" s="107" t="s">
        <v>5743</v>
      </c>
      <c r="B817" s="448">
        <v>46049.0</v>
      </c>
      <c r="C817" s="107">
        <v>8.0910007129E11</v>
      </c>
      <c r="D817" s="107" t="s">
        <v>5744</v>
      </c>
      <c r="E817" s="107" t="s">
        <v>5745</v>
      </c>
      <c r="F817" s="107" t="s">
        <v>5746</v>
      </c>
      <c r="G817" s="107" t="s">
        <v>127</v>
      </c>
      <c r="H817" s="107" t="s">
        <v>20</v>
      </c>
      <c r="I817" s="107">
        <v>125810.0</v>
      </c>
      <c r="J817" s="31" t="s">
        <v>5749</v>
      </c>
      <c r="K817" s="33">
        <v>4.0</v>
      </c>
      <c r="L817" s="31" t="s">
        <v>5748</v>
      </c>
      <c r="M817" s="367"/>
      <c r="N817" s="206"/>
      <c r="O817" s="206"/>
      <c r="P817" s="206"/>
      <c r="Q817" s="206"/>
      <c r="R817" s="206"/>
      <c r="S817" s="367"/>
      <c r="T817" s="276"/>
      <c r="U817" s="276"/>
      <c r="V817" s="276"/>
      <c r="W817" s="276"/>
      <c r="X817" s="276"/>
      <c r="Y817" s="276"/>
      <c r="Z817" s="276"/>
      <c r="AA817" s="276"/>
      <c r="AB817" s="276"/>
      <c r="AC817" s="276"/>
    </row>
    <row r="818">
      <c r="A818" s="107" t="s">
        <v>5699</v>
      </c>
      <c r="B818" s="448">
        <v>46049.0</v>
      </c>
      <c r="C818" s="107">
        <v>8.07025034756E11</v>
      </c>
      <c r="D818" s="107" t="s">
        <v>5700</v>
      </c>
      <c r="E818" s="107" t="s">
        <v>5701</v>
      </c>
      <c r="F818" s="107" t="s">
        <v>5702</v>
      </c>
      <c r="G818" s="107" t="s">
        <v>127</v>
      </c>
      <c r="H818" s="107" t="s">
        <v>20</v>
      </c>
      <c r="I818" s="107">
        <v>125813.0</v>
      </c>
      <c r="J818" s="31" t="s">
        <v>5703</v>
      </c>
      <c r="K818" s="33">
        <v>4.0</v>
      </c>
      <c r="L818" s="31" t="s">
        <v>5704</v>
      </c>
      <c r="M818" s="33"/>
      <c r="N818" s="429">
        <v>46053.0</v>
      </c>
      <c r="O818" s="430" t="s">
        <v>13338</v>
      </c>
      <c r="P818" s="431"/>
      <c r="Q818" s="430" t="s">
        <v>13702</v>
      </c>
      <c r="R818" s="432" t="s">
        <v>13703</v>
      </c>
      <c r="S818" s="367"/>
      <c r="T818" s="276"/>
      <c r="U818" s="276"/>
      <c r="V818" s="276"/>
      <c r="W818" s="276"/>
      <c r="X818" s="276"/>
      <c r="Y818" s="276"/>
      <c r="Z818" s="276"/>
      <c r="AA818" s="276"/>
      <c r="AB818" s="276"/>
      <c r="AC818" s="276"/>
    </row>
    <row r="819">
      <c r="A819" s="107" t="s">
        <v>5699</v>
      </c>
      <c r="B819" s="448">
        <v>46049.0</v>
      </c>
      <c r="C819" s="107">
        <v>8.07025034756E11</v>
      </c>
      <c r="D819" s="107" t="s">
        <v>5700</v>
      </c>
      <c r="E819" s="107" t="s">
        <v>5701</v>
      </c>
      <c r="F819" s="107" t="s">
        <v>5702</v>
      </c>
      <c r="G819" s="107" t="s">
        <v>127</v>
      </c>
      <c r="H819" s="107" t="s">
        <v>20</v>
      </c>
      <c r="I819" s="107" t="s">
        <v>78</v>
      </c>
      <c r="J819" s="31" t="s">
        <v>5705</v>
      </c>
      <c r="K819" s="33">
        <v>2.0</v>
      </c>
      <c r="L819" s="31" t="s">
        <v>5704</v>
      </c>
      <c r="M819" s="33"/>
      <c r="N819" s="206"/>
      <c r="O819" s="206"/>
      <c r="P819" s="206"/>
      <c r="Q819" s="206"/>
      <c r="R819" s="206"/>
      <c r="S819" s="367"/>
      <c r="T819" s="276"/>
      <c r="U819" s="276"/>
      <c r="V819" s="276"/>
      <c r="W819" s="276"/>
      <c r="X819" s="276"/>
      <c r="Y819" s="276"/>
      <c r="Z819" s="276"/>
      <c r="AA819" s="276"/>
      <c r="AB819" s="276"/>
      <c r="AC819" s="276"/>
    </row>
    <row r="820">
      <c r="A820" s="107" t="s">
        <v>5671</v>
      </c>
      <c r="B820" s="448">
        <v>46049.0</v>
      </c>
      <c r="C820" s="107">
        <v>8.0501156875E11</v>
      </c>
      <c r="D820" s="107" t="s">
        <v>5672</v>
      </c>
      <c r="E820" s="107" t="s">
        <v>5673</v>
      </c>
      <c r="F820" s="107" t="s">
        <v>5674</v>
      </c>
      <c r="G820" s="107" t="s">
        <v>1387</v>
      </c>
      <c r="H820" s="107" t="s">
        <v>20</v>
      </c>
      <c r="I820" s="107" t="s">
        <v>5551</v>
      </c>
      <c r="J820" s="31" t="s">
        <v>5552</v>
      </c>
      <c r="K820" s="33">
        <v>1.0</v>
      </c>
      <c r="L820" s="31" t="s">
        <v>5675</v>
      </c>
      <c r="M820" s="33"/>
      <c r="N820" s="207">
        <v>46053.0</v>
      </c>
      <c r="O820" s="123" t="s">
        <v>13338</v>
      </c>
      <c r="P820" s="367"/>
      <c r="Q820" s="261" t="s">
        <v>13339</v>
      </c>
      <c r="R820" s="434" t="s">
        <v>13704</v>
      </c>
      <c r="S820" s="367"/>
      <c r="T820" s="276"/>
      <c r="U820" s="276"/>
      <c r="V820" s="276"/>
      <c r="W820" s="276"/>
      <c r="X820" s="276"/>
      <c r="Y820" s="276"/>
      <c r="Z820" s="276"/>
      <c r="AA820" s="276"/>
      <c r="AB820" s="276"/>
      <c r="AC820" s="276"/>
    </row>
    <row r="821">
      <c r="A821" s="107" t="s">
        <v>5738</v>
      </c>
      <c r="B821" s="448">
        <v>46049.0</v>
      </c>
      <c r="C821" s="107">
        <v>8.07025034805E11</v>
      </c>
      <c r="D821" s="107" t="s">
        <v>5739</v>
      </c>
      <c r="E821" s="107" t="s">
        <v>5740</v>
      </c>
      <c r="F821" s="107" t="s">
        <v>5741</v>
      </c>
      <c r="G821" s="107" t="s">
        <v>127</v>
      </c>
      <c r="H821" s="107">
        <v>4400.0</v>
      </c>
      <c r="I821" s="107" t="s">
        <v>1937</v>
      </c>
      <c r="J821" s="31" t="s">
        <v>4036</v>
      </c>
      <c r="K821" s="33">
        <v>1.0</v>
      </c>
      <c r="L821" s="31"/>
      <c r="M821" s="33"/>
      <c r="N821" s="207">
        <v>46051.0</v>
      </c>
      <c r="O821" s="123" t="s">
        <v>13338</v>
      </c>
      <c r="P821" s="367"/>
      <c r="Q821" s="261" t="s">
        <v>13705</v>
      </c>
      <c r="R821" s="434" t="s">
        <v>13706</v>
      </c>
      <c r="S821" s="367"/>
      <c r="T821" s="276"/>
      <c r="U821" s="276"/>
      <c r="V821" s="276"/>
      <c r="W821" s="276"/>
      <c r="X821" s="276"/>
      <c r="Y821" s="276"/>
      <c r="Z821" s="276"/>
      <c r="AA821" s="276"/>
      <c r="AB821" s="276"/>
      <c r="AC821" s="276"/>
    </row>
    <row r="822">
      <c r="A822" s="108"/>
      <c r="B822" s="173"/>
      <c r="C822" s="374"/>
      <c r="D822" s="374"/>
      <c r="E822" s="374"/>
      <c r="F822" s="145"/>
      <c r="G822" s="145"/>
      <c r="H822" s="145"/>
      <c r="I822" s="176"/>
      <c r="J822" s="298"/>
      <c r="K822" s="297"/>
      <c r="L822" s="299"/>
      <c r="M822" s="367"/>
      <c r="N822" s="433"/>
      <c r="O822" s="261"/>
      <c r="P822" s="367"/>
      <c r="Q822" s="261"/>
      <c r="R822" s="449"/>
      <c r="S822" s="367"/>
      <c r="T822" s="276"/>
      <c r="U822" s="276"/>
      <c r="V822" s="276"/>
      <c r="W822" s="276"/>
      <c r="X822" s="276"/>
      <c r="Y822" s="276"/>
      <c r="Z822" s="276"/>
      <c r="AA822" s="276"/>
      <c r="AB822" s="276"/>
      <c r="AC822" s="276"/>
    </row>
    <row r="823">
      <c r="A823" s="108" t="s">
        <v>11839</v>
      </c>
      <c r="B823" s="173">
        <v>46050.0</v>
      </c>
      <c r="C823" s="374">
        <v>8.07000034843E11</v>
      </c>
      <c r="D823" s="374" t="s">
        <v>11840</v>
      </c>
      <c r="E823" s="374" t="s">
        <v>11841</v>
      </c>
      <c r="F823" s="177" t="s">
        <v>11842</v>
      </c>
      <c r="G823" s="177" t="s">
        <v>127</v>
      </c>
      <c r="H823" s="177">
        <v>4400.0</v>
      </c>
      <c r="I823" s="176" t="s">
        <v>947</v>
      </c>
      <c r="J823" s="374" t="s">
        <v>3750</v>
      </c>
      <c r="K823" s="177">
        <v>1.0</v>
      </c>
      <c r="L823" s="174">
        <v>4395950.0</v>
      </c>
      <c r="M823" s="367"/>
      <c r="N823" s="433">
        <v>46051.0</v>
      </c>
      <c r="O823" s="261" t="s">
        <v>13338</v>
      </c>
      <c r="P823" s="367"/>
      <c r="Q823" s="261" t="s">
        <v>13339</v>
      </c>
      <c r="R823" s="434" t="s">
        <v>13707</v>
      </c>
      <c r="S823" s="367"/>
      <c r="T823" s="276"/>
      <c r="U823" s="276"/>
      <c r="V823" s="276"/>
      <c r="W823" s="276"/>
      <c r="X823" s="276"/>
      <c r="Y823" s="276"/>
      <c r="Z823" s="276"/>
      <c r="AA823" s="276"/>
      <c r="AB823" s="276"/>
      <c r="AC823" s="276"/>
    </row>
    <row r="824">
      <c r="A824" s="108" t="s">
        <v>11843</v>
      </c>
      <c r="B824" s="173">
        <v>46050.0</v>
      </c>
      <c r="C824" s="374">
        <v>8.07000034862E11</v>
      </c>
      <c r="D824" s="374" t="s">
        <v>11844</v>
      </c>
      <c r="E824" s="374" t="s">
        <v>11845</v>
      </c>
      <c r="F824" s="177" t="s">
        <v>11846</v>
      </c>
      <c r="G824" s="177" t="s">
        <v>11847</v>
      </c>
      <c r="H824" s="177">
        <v>4400.0</v>
      </c>
      <c r="I824" s="176" t="s">
        <v>2956</v>
      </c>
      <c r="J824" s="374" t="s">
        <v>3327</v>
      </c>
      <c r="K824" s="177">
        <v>1.0</v>
      </c>
      <c r="L824" s="174">
        <v>3.874098316E9</v>
      </c>
      <c r="M824" s="367"/>
      <c r="N824" s="433">
        <v>46051.0</v>
      </c>
      <c r="O824" s="261" t="s">
        <v>13338</v>
      </c>
      <c r="P824" s="367"/>
      <c r="Q824" s="261" t="s">
        <v>13339</v>
      </c>
      <c r="R824" s="434" t="s">
        <v>13708</v>
      </c>
      <c r="S824" s="367"/>
      <c r="T824" s="276"/>
      <c r="U824" s="276"/>
      <c r="V824" s="276"/>
      <c r="W824" s="276"/>
      <c r="X824" s="276"/>
      <c r="Y824" s="276"/>
      <c r="Z824" s="276"/>
      <c r="AA824" s="276"/>
      <c r="AB824" s="276"/>
      <c r="AC824" s="276"/>
    </row>
    <row r="825">
      <c r="A825" s="108" t="s">
        <v>11848</v>
      </c>
      <c r="B825" s="173">
        <v>46050.0</v>
      </c>
      <c r="C825" s="374">
        <v>8.07000034859E11</v>
      </c>
      <c r="D825" s="374" t="s">
        <v>11849</v>
      </c>
      <c r="E825" s="374" t="s">
        <v>11850</v>
      </c>
      <c r="F825" s="177" t="s">
        <v>11851</v>
      </c>
      <c r="G825" s="177" t="s">
        <v>116</v>
      </c>
      <c r="H825" s="177">
        <v>4400.0</v>
      </c>
      <c r="I825" s="176" t="s">
        <v>3131</v>
      </c>
      <c r="J825" s="374" t="s">
        <v>3416</v>
      </c>
      <c r="K825" s="177">
        <v>1.0</v>
      </c>
      <c r="L825" s="174">
        <v>3.874127347E9</v>
      </c>
      <c r="M825" s="367"/>
      <c r="N825" s="433">
        <v>46051.0</v>
      </c>
      <c r="O825" s="261" t="s">
        <v>9011</v>
      </c>
      <c r="P825" s="367"/>
      <c r="Q825" s="261" t="s">
        <v>13709</v>
      </c>
      <c r="R825" s="434" t="s">
        <v>13710</v>
      </c>
      <c r="S825" s="367"/>
      <c r="T825" s="276"/>
      <c r="U825" s="276"/>
      <c r="V825" s="276"/>
      <c r="W825" s="276"/>
      <c r="X825" s="276"/>
      <c r="Y825" s="276"/>
      <c r="Z825" s="276"/>
      <c r="AA825" s="276"/>
      <c r="AB825" s="276"/>
      <c r="AC825" s="276"/>
    </row>
    <row r="826">
      <c r="A826" s="108" t="s">
        <v>11852</v>
      </c>
      <c r="B826" s="173">
        <v>46050.0</v>
      </c>
      <c r="C826" s="374">
        <v>8.05011569325E11</v>
      </c>
      <c r="D826" s="374" t="s">
        <v>11853</v>
      </c>
      <c r="E826" s="374" t="s">
        <v>11854</v>
      </c>
      <c r="F826" s="177" t="s">
        <v>11855</v>
      </c>
      <c r="G826" s="177" t="s">
        <v>20</v>
      </c>
      <c r="H826" s="177">
        <v>4400.0</v>
      </c>
      <c r="I826" s="176" t="s">
        <v>4512</v>
      </c>
      <c r="J826" s="374" t="s">
        <v>4513</v>
      </c>
      <c r="K826" s="177">
        <v>1.0</v>
      </c>
      <c r="L826" s="174">
        <v>3.815300025E9</v>
      </c>
      <c r="M826" s="367"/>
      <c r="N826" s="433">
        <v>46051.0</v>
      </c>
      <c r="O826" s="261" t="s">
        <v>13338</v>
      </c>
      <c r="P826" s="367"/>
      <c r="Q826" s="261" t="s">
        <v>13711</v>
      </c>
      <c r="R826" s="434" t="s">
        <v>13712</v>
      </c>
      <c r="S826" s="367"/>
      <c r="T826" s="276"/>
      <c r="U826" s="276"/>
      <c r="V826" s="276"/>
      <c r="W826" s="276"/>
      <c r="X826" s="276"/>
      <c r="Y826" s="276"/>
      <c r="Z826" s="276"/>
      <c r="AA826" s="276"/>
      <c r="AB826" s="276"/>
      <c r="AC826" s="276"/>
    </row>
    <row r="827">
      <c r="A827" s="108" t="s">
        <v>11856</v>
      </c>
      <c r="B827" s="173">
        <v>46050.0</v>
      </c>
      <c r="C827" s="374">
        <v>8.07000034803E11</v>
      </c>
      <c r="D827" s="374" t="s">
        <v>5725</v>
      </c>
      <c r="E827" s="374" t="s">
        <v>5726</v>
      </c>
      <c r="F827" s="177" t="s">
        <v>5727</v>
      </c>
      <c r="G827" s="177" t="s">
        <v>127</v>
      </c>
      <c r="H827" s="177">
        <v>4400.0</v>
      </c>
      <c r="I827" s="176" t="s">
        <v>1559</v>
      </c>
      <c r="J827" s="374" t="s">
        <v>8503</v>
      </c>
      <c r="K827" s="177">
        <v>1.0</v>
      </c>
      <c r="L827" s="174">
        <v>1.165712831E9</v>
      </c>
      <c r="M827" s="367"/>
      <c r="N827" s="433">
        <v>46051.0</v>
      </c>
      <c r="O827" s="261" t="s">
        <v>13338</v>
      </c>
      <c r="P827" s="367"/>
      <c r="Q827" s="261" t="s">
        <v>13713</v>
      </c>
      <c r="R827" s="434" t="s">
        <v>13714</v>
      </c>
      <c r="S827" s="367"/>
      <c r="T827" s="276"/>
      <c r="U827" s="276"/>
      <c r="V827" s="276"/>
      <c r="W827" s="276"/>
      <c r="X827" s="276"/>
      <c r="Y827" s="276"/>
      <c r="Z827" s="276"/>
      <c r="AA827" s="276"/>
      <c r="AB827" s="276"/>
      <c r="AC827" s="276"/>
    </row>
    <row r="828">
      <c r="A828" s="108" t="s">
        <v>11858</v>
      </c>
      <c r="B828" s="173">
        <v>46050.0</v>
      </c>
      <c r="C828" s="374">
        <v>8.07000034841E11</v>
      </c>
      <c r="D828" s="374" t="s">
        <v>11859</v>
      </c>
      <c r="E828" s="374" t="s">
        <v>11860</v>
      </c>
      <c r="F828" s="177" t="s">
        <v>11861</v>
      </c>
      <c r="G828" s="177" t="s">
        <v>127</v>
      </c>
      <c r="H828" s="177">
        <v>4400.0</v>
      </c>
      <c r="I828" s="176" t="s">
        <v>8532</v>
      </c>
      <c r="J828" s="374" t="s">
        <v>8533</v>
      </c>
      <c r="K828" s="177">
        <v>1.0</v>
      </c>
      <c r="L828" s="174">
        <v>3.87468202E9</v>
      </c>
      <c r="M828" s="367"/>
      <c r="N828" s="429">
        <v>46051.0</v>
      </c>
      <c r="O828" s="430" t="s">
        <v>13338</v>
      </c>
      <c r="P828" s="431"/>
      <c r="Q828" s="430" t="s">
        <v>13339</v>
      </c>
      <c r="R828" s="432" t="s">
        <v>13715</v>
      </c>
      <c r="S828" s="367"/>
      <c r="T828" s="276"/>
      <c r="U828" s="276"/>
      <c r="V828" s="276"/>
      <c r="W828" s="276"/>
      <c r="X828" s="276"/>
      <c r="Y828" s="276"/>
      <c r="Z828" s="276"/>
      <c r="AA828" s="276"/>
      <c r="AB828" s="276"/>
      <c r="AC828" s="276"/>
    </row>
    <row r="829">
      <c r="A829" s="108" t="s">
        <v>11862</v>
      </c>
      <c r="B829" s="173">
        <v>46050.0</v>
      </c>
      <c r="C829" s="374">
        <v>8.07000034842E11</v>
      </c>
      <c r="D829" s="374" t="s">
        <v>11859</v>
      </c>
      <c r="E829" s="374" t="s">
        <v>11860</v>
      </c>
      <c r="F829" s="177" t="s">
        <v>11861</v>
      </c>
      <c r="G829" s="177" t="s">
        <v>127</v>
      </c>
      <c r="H829" s="177">
        <v>4400.0</v>
      </c>
      <c r="I829" s="176">
        <v>125812.0</v>
      </c>
      <c r="J829" s="374" t="s">
        <v>9317</v>
      </c>
      <c r="K829" s="177">
        <v>2.0</v>
      </c>
      <c r="L829" s="174">
        <v>3.87468202E9</v>
      </c>
      <c r="M829" s="367"/>
      <c r="N829" s="206"/>
      <c r="O829" s="206"/>
      <c r="P829" s="206"/>
      <c r="Q829" s="206"/>
      <c r="R829" s="206"/>
      <c r="S829" s="367"/>
      <c r="T829" s="276"/>
      <c r="U829" s="276"/>
      <c r="V829" s="276"/>
      <c r="W829" s="276"/>
      <c r="X829" s="276"/>
      <c r="Y829" s="276"/>
      <c r="Z829" s="276"/>
      <c r="AA829" s="276"/>
      <c r="AB829" s="276"/>
      <c r="AC829" s="276"/>
    </row>
    <row r="830">
      <c r="A830" s="108" t="s">
        <v>11863</v>
      </c>
      <c r="B830" s="173">
        <v>46050.0</v>
      </c>
      <c r="C830" s="374">
        <v>8.07000034853E11</v>
      </c>
      <c r="D830" s="374" t="s">
        <v>11864</v>
      </c>
      <c r="E830" s="374" t="s">
        <v>11865</v>
      </c>
      <c r="F830" s="177" t="s">
        <v>11866</v>
      </c>
      <c r="G830" s="177" t="s">
        <v>127</v>
      </c>
      <c r="H830" s="177">
        <v>4400.0</v>
      </c>
      <c r="I830" s="176" t="s">
        <v>617</v>
      </c>
      <c r="J830" s="374" t="s">
        <v>3867</v>
      </c>
      <c r="K830" s="177">
        <v>1.0</v>
      </c>
      <c r="L830" s="174">
        <v>3.874126218E9</v>
      </c>
      <c r="M830" s="367"/>
      <c r="N830" s="433">
        <v>46051.0</v>
      </c>
      <c r="O830" s="261" t="s">
        <v>13338</v>
      </c>
      <c r="P830" s="367"/>
      <c r="Q830" s="261" t="s">
        <v>13339</v>
      </c>
      <c r="R830" s="434" t="s">
        <v>13716</v>
      </c>
      <c r="S830" s="367"/>
      <c r="T830" s="276"/>
      <c r="U830" s="276"/>
      <c r="V830" s="276"/>
      <c r="W830" s="276"/>
      <c r="X830" s="276"/>
      <c r="Y830" s="276"/>
      <c r="Z830" s="276"/>
      <c r="AA830" s="276"/>
      <c r="AB830" s="276"/>
      <c r="AC830" s="276"/>
    </row>
    <row r="831">
      <c r="A831" s="108" t="s">
        <v>11867</v>
      </c>
      <c r="B831" s="173">
        <v>46050.0</v>
      </c>
      <c r="C831" s="374">
        <v>8.07000034665E11</v>
      </c>
      <c r="D831" s="374" t="s">
        <v>5677</v>
      </c>
      <c r="E831" s="374" t="s">
        <v>5678</v>
      </c>
      <c r="F831" s="177" t="s">
        <v>5679</v>
      </c>
      <c r="G831" s="177" t="s">
        <v>5680</v>
      </c>
      <c r="H831" s="177">
        <v>4400.0</v>
      </c>
      <c r="I831" s="176">
        <v>208501.0</v>
      </c>
      <c r="J831" s="374" t="s">
        <v>481</v>
      </c>
      <c r="K831" s="177">
        <v>2.0</v>
      </c>
      <c r="L831" s="174">
        <v>3.874470351E9</v>
      </c>
      <c r="M831" s="367"/>
      <c r="N831" s="429">
        <v>46052.0</v>
      </c>
      <c r="O831" s="430" t="s">
        <v>13338</v>
      </c>
      <c r="P831" s="431"/>
      <c r="Q831" s="430" t="s">
        <v>13717</v>
      </c>
      <c r="R831" s="432" t="s">
        <v>13718</v>
      </c>
      <c r="S831" s="367"/>
      <c r="T831" s="276"/>
      <c r="U831" s="276"/>
      <c r="V831" s="276"/>
      <c r="W831" s="276"/>
      <c r="X831" s="276"/>
      <c r="Y831" s="276"/>
      <c r="Z831" s="276"/>
      <c r="AA831" s="276"/>
      <c r="AB831" s="276"/>
      <c r="AC831" s="276"/>
    </row>
    <row r="832">
      <c r="A832" s="107" t="s">
        <v>5676</v>
      </c>
      <c r="B832" s="358">
        <v>46049.0</v>
      </c>
      <c r="C832" s="107">
        <v>8.07025034666E11</v>
      </c>
      <c r="D832" s="107" t="s">
        <v>5677</v>
      </c>
      <c r="E832" s="107" t="s">
        <v>5678</v>
      </c>
      <c r="F832" s="107" t="s">
        <v>5679</v>
      </c>
      <c r="G832" s="107" t="s">
        <v>5680</v>
      </c>
      <c r="H832" s="107">
        <v>4400.0</v>
      </c>
      <c r="I832" s="107" t="s">
        <v>512</v>
      </c>
      <c r="J832" s="31" t="s">
        <v>513</v>
      </c>
      <c r="K832" s="33">
        <v>12.0</v>
      </c>
      <c r="L832" s="31"/>
      <c r="M832" s="33"/>
      <c r="N832" s="209"/>
      <c r="O832" s="209"/>
      <c r="P832" s="209"/>
      <c r="Q832" s="209"/>
      <c r="R832" s="209"/>
      <c r="S832" s="367"/>
      <c r="T832" s="276"/>
      <c r="U832" s="276"/>
      <c r="V832" s="276"/>
      <c r="W832" s="276"/>
      <c r="X832" s="276"/>
      <c r="Y832" s="276"/>
      <c r="Z832" s="276"/>
      <c r="AA832" s="276"/>
      <c r="AB832" s="276"/>
      <c r="AC832" s="276"/>
    </row>
    <row r="833">
      <c r="A833" s="107" t="s">
        <v>5681</v>
      </c>
      <c r="B833" s="358">
        <v>46049.0</v>
      </c>
      <c r="C833" s="107">
        <v>8.07025034667E11</v>
      </c>
      <c r="D833" s="107" t="s">
        <v>5677</v>
      </c>
      <c r="E833" s="107" t="s">
        <v>5678</v>
      </c>
      <c r="F833" s="107" t="s">
        <v>5679</v>
      </c>
      <c r="G833" s="107" t="s">
        <v>5680</v>
      </c>
      <c r="H833" s="107">
        <v>4400.0</v>
      </c>
      <c r="I833" s="107" t="s">
        <v>3817</v>
      </c>
      <c r="J833" s="31" t="s">
        <v>3818</v>
      </c>
      <c r="K833" s="33">
        <v>1.0</v>
      </c>
      <c r="L833" s="31"/>
      <c r="M833" s="33"/>
      <c r="N833" s="209"/>
      <c r="O833" s="209"/>
      <c r="P833" s="209"/>
      <c r="Q833" s="209"/>
      <c r="R833" s="209"/>
      <c r="S833" s="367"/>
      <c r="T833" s="276"/>
      <c r="U833" s="276"/>
      <c r="V833" s="276"/>
      <c r="W833" s="276"/>
      <c r="X833" s="276"/>
      <c r="Y833" s="276"/>
      <c r="Z833" s="276"/>
      <c r="AA833" s="276"/>
      <c r="AB833" s="276"/>
      <c r="AC833" s="276"/>
    </row>
    <row r="834">
      <c r="A834" s="107" t="s">
        <v>5681</v>
      </c>
      <c r="B834" s="358">
        <v>46049.0</v>
      </c>
      <c r="C834" s="107">
        <v>8.07025034667E11</v>
      </c>
      <c r="D834" s="107" t="s">
        <v>5677</v>
      </c>
      <c r="E834" s="107" t="s">
        <v>5678</v>
      </c>
      <c r="F834" s="107" t="s">
        <v>5679</v>
      </c>
      <c r="G834" s="107" t="s">
        <v>5680</v>
      </c>
      <c r="H834" s="107">
        <v>4400.0</v>
      </c>
      <c r="I834" s="107" t="s">
        <v>340</v>
      </c>
      <c r="J834" s="31" t="s">
        <v>3486</v>
      </c>
      <c r="K834" s="33">
        <v>2.0</v>
      </c>
      <c r="L834" s="31"/>
      <c r="M834" s="33"/>
      <c r="N834" s="206"/>
      <c r="O834" s="206"/>
      <c r="P834" s="206"/>
      <c r="Q834" s="206"/>
      <c r="R834" s="206"/>
      <c r="S834" s="367"/>
      <c r="T834" s="276"/>
      <c r="U834" s="276"/>
      <c r="V834" s="276"/>
      <c r="W834" s="276"/>
      <c r="X834" s="276"/>
      <c r="Y834" s="276"/>
      <c r="Z834" s="276"/>
      <c r="AA834" s="276"/>
      <c r="AB834" s="276"/>
      <c r="AC834" s="276"/>
    </row>
    <row r="835">
      <c r="A835" s="108"/>
      <c r="B835" s="173">
        <v>46051.0</v>
      </c>
      <c r="C835" s="374">
        <v>8.07000034871E11</v>
      </c>
      <c r="D835" s="374" t="s">
        <v>11869</v>
      </c>
      <c r="E835" s="374" t="s">
        <v>11870</v>
      </c>
      <c r="F835" s="177" t="s">
        <v>11871</v>
      </c>
      <c r="G835" s="177" t="s">
        <v>127</v>
      </c>
      <c r="H835" s="177">
        <v>4400.0</v>
      </c>
      <c r="I835" s="176" t="s">
        <v>512</v>
      </c>
      <c r="J835" s="374" t="s">
        <v>513</v>
      </c>
      <c r="K835" s="177">
        <v>12.0</v>
      </c>
      <c r="L835" s="174"/>
      <c r="M835" s="367"/>
      <c r="N835" s="429">
        <v>46052.0</v>
      </c>
      <c r="O835" s="430" t="s">
        <v>13338</v>
      </c>
      <c r="P835" s="431"/>
      <c r="Q835" s="430" t="s">
        <v>13339</v>
      </c>
      <c r="R835" s="432" t="s">
        <v>13719</v>
      </c>
      <c r="S835" s="367"/>
      <c r="T835" s="276"/>
      <c r="U835" s="276"/>
      <c r="V835" s="276"/>
      <c r="W835" s="276"/>
      <c r="X835" s="276"/>
      <c r="Y835" s="276"/>
      <c r="Z835" s="276"/>
      <c r="AA835" s="276"/>
      <c r="AB835" s="276"/>
      <c r="AC835" s="276"/>
    </row>
    <row r="836">
      <c r="A836" s="108"/>
      <c r="B836" s="173">
        <v>46051.0</v>
      </c>
      <c r="C836" s="374">
        <v>8.07000034872E11</v>
      </c>
      <c r="D836" s="374" t="s">
        <v>11869</v>
      </c>
      <c r="E836" s="374" t="s">
        <v>11870</v>
      </c>
      <c r="F836" s="177" t="s">
        <v>11871</v>
      </c>
      <c r="G836" s="177" t="s">
        <v>127</v>
      </c>
      <c r="H836" s="177">
        <v>4400.0</v>
      </c>
      <c r="I836" s="176" t="s">
        <v>7741</v>
      </c>
      <c r="J836" s="374" t="s">
        <v>7742</v>
      </c>
      <c r="K836" s="177">
        <v>1.0</v>
      </c>
      <c r="L836" s="174"/>
      <c r="M836" s="367"/>
      <c r="N836" s="209"/>
      <c r="O836" s="209"/>
      <c r="P836" s="209"/>
      <c r="Q836" s="209"/>
      <c r="R836" s="209"/>
      <c r="S836" s="367"/>
      <c r="T836" s="276"/>
      <c r="U836" s="276"/>
      <c r="V836" s="276"/>
      <c r="W836" s="276"/>
      <c r="X836" s="276"/>
      <c r="Y836" s="276"/>
      <c r="Z836" s="276"/>
      <c r="AA836" s="276"/>
      <c r="AB836" s="276"/>
      <c r="AC836" s="276"/>
    </row>
    <row r="837">
      <c r="A837" s="108"/>
      <c r="B837" s="173">
        <v>46051.0</v>
      </c>
      <c r="C837" s="374">
        <v>8.07000034872E11</v>
      </c>
      <c r="D837" s="374" t="s">
        <v>11869</v>
      </c>
      <c r="E837" s="374" t="s">
        <v>11870</v>
      </c>
      <c r="F837" s="177" t="s">
        <v>11871</v>
      </c>
      <c r="G837" s="177" t="s">
        <v>127</v>
      </c>
      <c r="H837" s="177">
        <v>4400.0</v>
      </c>
      <c r="I837" s="176" t="s">
        <v>772</v>
      </c>
      <c r="J837" s="374" t="s">
        <v>3363</v>
      </c>
      <c r="K837" s="177">
        <v>2.0</v>
      </c>
      <c r="L837" s="174"/>
      <c r="M837" s="367"/>
      <c r="N837" s="209"/>
      <c r="O837" s="209"/>
      <c r="P837" s="209"/>
      <c r="Q837" s="209"/>
      <c r="R837" s="209"/>
      <c r="S837" s="367"/>
      <c r="T837" s="276"/>
      <c r="U837" s="276"/>
      <c r="V837" s="276"/>
      <c r="W837" s="276"/>
      <c r="X837" s="276"/>
      <c r="Y837" s="276"/>
      <c r="Z837" s="276"/>
      <c r="AA837" s="276"/>
      <c r="AB837" s="276"/>
      <c r="AC837" s="276"/>
    </row>
    <row r="838">
      <c r="A838" s="108"/>
      <c r="B838" s="173">
        <v>46051.0</v>
      </c>
      <c r="C838" s="374">
        <v>8.07000034873E11</v>
      </c>
      <c r="D838" s="374" t="s">
        <v>11869</v>
      </c>
      <c r="E838" s="374" t="s">
        <v>11870</v>
      </c>
      <c r="F838" s="177" t="s">
        <v>11871</v>
      </c>
      <c r="G838" s="177" t="s">
        <v>127</v>
      </c>
      <c r="H838" s="177">
        <v>4400.0</v>
      </c>
      <c r="I838" s="176">
        <v>208502.0</v>
      </c>
      <c r="J838" s="374" t="s">
        <v>4551</v>
      </c>
      <c r="K838" s="177">
        <v>1.0</v>
      </c>
      <c r="L838" s="174"/>
      <c r="M838" s="367"/>
      <c r="N838" s="206"/>
      <c r="O838" s="206"/>
      <c r="P838" s="206"/>
      <c r="Q838" s="206"/>
      <c r="R838" s="206"/>
      <c r="S838" s="367"/>
      <c r="T838" s="276"/>
      <c r="U838" s="276"/>
      <c r="V838" s="276"/>
      <c r="W838" s="276"/>
      <c r="X838" s="276"/>
      <c r="Y838" s="276"/>
      <c r="Z838" s="276"/>
      <c r="AA838" s="276"/>
      <c r="AB838" s="276"/>
      <c r="AC838" s="276"/>
    </row>
    <row r="839">
      <c r="A839" s="108"/>
      <c r="B839" s="173">
        <v>46051.0</v>
      </c>
      <c r="C839" s="374">
        <v>8.07000034835E11</v>
      </c>
      <c r="D839" s="374" t="s">
        <v>5761</v>
      </c>
      <c r="E839" s="374" t="s">
        <v>5762</v>
      </c>
      <c r="F839" s="177" t="s">
        <v>5763</v>
      </c>
      <c r="G839" s="177" t="s">
        <v>69</v>
      </c>
      <c r="H839" s="177">
        <v>4400.0</v>
      </c>
      <c r="I839" s="176">
        <v>125814.0</v>
      </c>
      <c r="J839" s="374" t="s">
        <v>9798</v>
      </c>
      <c r="K839" s="177">
        <v>2.0</v>
      </c>
      <c r="L839" s="174"/>
      <c r="M839" s="367"/>
      <c r="N839" s="429">
        <v>46053.0</v>
      </c>
      <c r="O839" s="430" t="s">
        <v>13338</v>
      </c>
      <c r="P839" s="431"/>
      <c r="Q839" s="430" t="s">
        <v>13339</v>
      </c>
      <c r="R839" s="432" t="s">
        <v>13720</v>
      </c>
      <c r="S839" s="367"/>
      <c r="T839" s="276"/>
      <c r="U839" s="276"/>
      <c r="V839" s="276"/>
      <c r="W839" s="276"/>
      <c r="X839" s="276"/>
      <c r="Y839" s="276"/>
      <c r="Z839" s="276"/>
      <c r="AA839" s="276"/>
      <c r="AB839" s="276"/>
      <c r="AC839" s="276"/>
    </row>
    <row r="840">
      <c r="A840" s="108"/>
      <c r="B840" s="173">
        <v>46051.0</v>
      </c>
      <c r="C840" s="374">
        <v>8.07000034835E11</v>
      </c>
      <c r="D840" s="374" t="s">
        <v>5761</v>
      </c>
      <c r="E840" s="374" t="s">
        <v>5762</v>
      </c>
      <c r="F840" s="177" t="s">
        <v>5763</v>
      </c>
      <c r="G840" s="177" t="s">
        <v>69</v>
      </c>
      <c r="H840" s="177">
        <v>4400.0</v>
      </c>
      <c r="I840" s="176" t="s">
        <v>3512</v>
      </c>
      <c r="J840" s="374" t="s">
        <v>3513</v>
      </c>
      <c r="K840" s="177">
        <v>12.0</v>
      </c>
      <c r="L840" s="174" t="s">
        <v>13721</v>
      </c>
      <c r="M840" s="367"/>
      <c r="N840" s="209"/>
      <c r="O840" s="209"/>
      <c r="P840" s="209"/>
      <c r="Q840" s="209"/>
      <c r="R840" s="209"/>
      <c r="S840" s="367"/>
      <c r="T840" s="276"/>
      <c r="U840" s="276"/>
      <c r="V840" s="276"/>
      <c r="W840" s="276"/>
      <c r="X840" s="276"/>
      <c r="Y840" s="276"/>
      <c r="Z840" s="276"/>
      <c r="AA840" s="276"/>
      <c r="AB840" s="276"/>
      <c r="AC840" s="276"/>
    </row>
    <row r="841">
      <c r="A841" s="108"/>
      <c r="B841" s="173">
        <v>46051.0</v>
      </c>
      <c r="C841" s="374">
        <v>8.07000034837E11</v>
      </c>
      <c r="D841" s="374" t="s">
        <v>5761</v>
      </c>
      <c r="E841" s="374" t="s">
        <v>5762</v>
      </c>
      <c r="F841" s="177" t="s">
        <v>5763</v>
      </c>
      <c r="G841" s="177" t="s">
        <v>69</v>
      </c>
      <c r="H841" s="177">
        <v>4400.0</v>
      </c>
      <c r="I841" s="176" t="s">
        <v>11872</v>
      </c>
      <c r="J841" s="374" t="s">
        <v>11873</v>
      </c>
      <c r="K841" s="177">
        <v>1.0</v>
      </c>
      <c r="L841" s="174"/>
      <c r="M841" s="367"/>
      <c r="N841" s="206"/>
      <c r="O841" s="206"/>
      <c r="P841" s="206"/>
      <c r="Q841" s="206"/>
      <c r="R841" s="206"/>
      <c r="S841" s="367"/>
      <c r="T841" s="276"/>
      <c r="U841" s="276"/>
      <c r="V841" s="276"/>
      <c r="W841" s="276"/>
      <c r="X841" s="276"/>
      <c r="Y841" s="276"/>
      <c r="Z841" s="276"/>
      <c r="AA841" s="276"/>
      <c r="AB841" s="276"/>
      <c r="AC841" s="276"/>
    </row>
    <row r="842">
      <c r="A842" s="108" t="s">
        <v>11874</v>
      </c>
      <c r="B842" s="173">
        <v>46053.0</v>
      </c>
      <c r="C842" s="374">
        <v>8.07000034875E11</v>
      </c>
      <c r="D842" s="374" t="s">
        <v>754</v>
      </c>
      <c r="E842" s="374" t="s">
        <v>755</v>
      </c>
      <c r="F842" s="145" t="s">
        <v>11875</v>
      </c>
      <c r="G842" s="145" t="s">
        <v>11876</v>
      </c>
      <c r="H842" s="145">
        <v>4421.0</v>
      </c>
      <c r="I842" s="176" t="s">
        <v>512</v>
      </c>
      <c r="J842" s="374" t="s">
        <v>513</v>
      </c>
      <c r="K842" s="177">
        <v>12.0</v>
      </c>
      <c r="L842" s="174">
        <v>3.874028854E9</v>
      </c>
      <c r="M842" s="367"/>
      <c r="N842" s="429">
        <v>46056.0</v>
      </c>
      <c r="O842" s="430" t="s">
        <v>13338</v>
      </c>
      <c r="P842" s="431"/>
      <c r="Q842" s="430" t="s">
        <v>13339</v>
      </c>
      <c r="R842" s="432" t="s">
        <v>13722</v>
      </c>
      <c r="S842" s="367"/>
      <c r="T842" s="276"/>
      <c r="U842" s="276"/>
      <c r="V842" s="276"/>
      <c r="W842" s="276"/>
      <c r="X842" s="276"/>
      <c r="Y842" s="276"/>
      <c r="Z842" s="276"/>
      <c r="AA842" s="276"/>
      <c r="AB842" s="276"/>
      <c r="AC842" s="276"/>
    </row>
    <row r="843">
      <c r="A843" s="108" t="s">
        <v>11874</v>
      </c>
      <c r="B843" s="173">
        <v>46053.0</v>
      </c>
      <c r="C843" s="374">
        <v>8.07000034876E11</v>
      </c>
      <c r="D843" s="374" t="s">
        <v>754</v>
      </c>
      <c r="E843" s="374" t="s">
        <v>755</v>
      </c>
      <c r="F843" s="145" t="s">
        <v>11875</v>
      </c>
      <c r="G843" s="145" t="s">
        <v>11876</v>
      </c>
      <c r="H843" s="145">
        <v>4421.0</v>
      </c>
      <c r="I843" s="176" t="s">
        <v>3334</v>
      </c>
      <c r="J843" s="374" t="s">
        <v>3575</v>
      </c>
      <c r="K843" s="177">
        <v>1.0</v>
      </c>
      <c r="L843" s="174">
        <v>3.874028854E9</v>
      </c>
      <c r="M843" s="367"/>
      <c r="N843" s="209"/>
      <c r="O843" s="209"/>
      <c r="P843" s="209"/>
      <c r="Q843" s="209"/>
      <c r="R843" s="209"/>
      <c r="S843" s="367"/>
      <c r="T843" s="276"/>
      <c r="U843" s="276"/>
      <c r="V843" s="276"/>
      <c r="W843" s="276"/>
      <c r="X843" s="276"/>
      <c r="Y843" s="276"/>
      <c r="Z843" s="276"/>
      <c r="AA843" s="276"/>
      <c r="AB843" s="276"/>
      <c r="AC843" s="276"/>
    </row>
    <row r="844">
      <c r="A844" s="108" t="s">
        <v>11874</v>
      </c>
      <c r="B844" s="173">
        <v>46053.0</v>
      </c>
      <c r="C844" s="374">
        <v>8.07000034876E11</v>
      </c>
      <c r="D844" s="374" t="s">
        <v>754</v>
      </c>
      <c r="E844" s="374" t="s">
        <v>755</v>
      </c>
      <c r="F844" s="145" t="s">
        <v>11875</v>
      </c>
      <c r="G844" s="145" t="s">
        <v>11876</v>
      </c>
      <c r="H844" s="145">
        <v>4421.0</v>
      </c>
      <c r="I844" s="176" t="s">
        <v>758</v>
      </c>
      <c r="J844" s="374" t="s">
        <v>3574</v>
      </c>
      <c r="K844" s="177">
        <v>2.0</v>
      </c>
      <c r="L844" s="174">
        <v>3.874028854E9</v>
      </c>
      <c r="M844" s="367"/>
      <c r="N844" s="206"/>
      <c r="O844" s="206"/>
      <c r="P844" s="206"/>
      <c r="Q844" s="206"/>
      <c r="R844" s="206"/>
      <c r="S844" s="367"/>
      <c r="T844" s="276"/>
      <c r="U844" s="276"/>
      <c r="V844" s="276"/>
      <c r="W844" s="276"/>
      <c r="X844" s="276"/>
      <c r="Y844" s="276"/>
      <c r="Z844" s="276"/>
      <c r="AA844" s="276"/>
      <c r="AB844" s="276"/>
      <c r="AC844" s="276"/>
    </row>
    <row r="845">
      <c r="A845" s="108" t="s">
        <v>11877</v>
      </c>
      <c r="B845" s="173">
        <v>46053.0</v>
      </c>
      <c r="C845" s="374">
        <v>8.07000034895E11</v>
      </c>
      <c r="D845" s="374" t="s">
        <v>9951</v>
      </c>
      <c r="E845" s="374" t="s">
        <v>2841</v>
      </c>
      <c r="F845" s="145" t="s">
        <v>11878</v>
      </c>
      <c r="G845" s="145" t="s">
        <v>127</v>
      </c>
      <c r="H845" s="145">
        <v>4400.0</v>
      </c>
      <c r="I845" s="176" t="s">
        <v>5970</v>
      </c>
      <c r="J845" s="374" t="s">
        <v>5347</v>
      </c>
      <c r="K845" s="177">
        <v>1.0</v>
      </c>
      <c r="L845" s="174">
        <v>3.874191995E9</v>
      </c>
      <c r="M845" s="367"/>
      <c r="N845" s="433">
        <v>46056.0</v>
      </c>
      <c r="O845" s="261" t="s">
        <v>13338</v>
      </c>
      <c r="P845" s="367"/>
      <c r="Q845" s="261" t="s">
        <v>13339</v>
      </c>
      <c r="R845" s="434" t="s">
        <v>13723</v>
      </c>
      <c r="S845" s="367"/>
      <c r="T845" s="276"/>
      <c r="U845" s="276"/>
      <c r="V845" s="276"/>
      <c r="W845" s="276"/>
      <c r="X845" s="276"/>
      <c r="Y845" s="276"/>
      <c r="Z845" s="276"/>
      <c r="AA845" s="276"/>
      <c r="AB845" s="276"/>
      <c r="AC845" s="276"/>
    </row>
    <row r="846">
      <c r="A846" s="108" t="s">
        <v>11879</v>
      </c>
      <c r="B846" s="173">
        <v>46053.0</v>
      </c>
      <c r="C846" s="374">
        <v>8.07000034898E11</v>
      </c>
      <c r="D846" s="374" t="s">
        <v>11880</v>
      </c>
      <c r="E846" s="374" t="s">
        <v>11881</v>
      </c>
      <c r="F846" s="145" t="s">
        <v>11882</v>
      </c>
      <c r="G846" s="145" t="s">
        <v>127</v>
      </c>
      <c r="H846" s="145">
        <v>4400.0</v>
      </c>
      <c r="I846" s="176" t="s">
        <v>3154</v>
      </c>
      <c r="J846" s="374" t="s">
        <v>4564</v>
      </c>
      <c r="K846" s="177">
        <v>1.0</v>
      </c>
      <c r="L846" s="174">
        <v>3.874838738E9</v>
      </c>
      <c r="M846" s="367"/>
      <c r="N846" s="433">
        <v>46056.0</v>
      </c>
      <c r="O846" s="261" t="s">
        <v>13338</v>
      </c>
      <c r="P846" s="367"/>
      <c r="Q846" s="261" t="s">
        <v>13724</v>
      </c>
      <c r="R846" s="434" t="s">
        <v>13725</v>
      </c>
      <c r="S846" s="367"/>
      <c r="T846" s="276"/>
      <c r="U846" s="276"/>
      <c r="V846" s="276"/>
      <c r="W846" s="276"/>
      <c r="X846" s="276"/>
      <c r="Y846" s="276"/>
      <c r="Z846" s="276"/>
      <c r="AA846" s="276"/>
      <c r="AB846" s="276"/>
      <c r="AC846" s="276"/>
    </row>
    <row r="847">
      <c r="A847" s="108" t="s">
        <v>11883</v>
      </c>
      <c r="B847" s="173">
        <v>46053.0</v>
      </c>
      <c r="C847" s="374">
        <v>8.0501157011E11</v>
      </c>
      <c r="D847" s="374" t="s">
        <v>11884</v>
      </c>
      <c r="E847" s="374" t="s">
        <v>11885</v>
      </c>
      <c r="F847" s="145" t="s">
        <v>11886</v>
      </c>
      <c r="G847" s="177" t="s">
        <v>127</v>
      </c>
      <c r="H847" s="177">
        <v>4400.0</v>
      </c>
      <c r="I847" s="176" t="s">
        <v>5034</v>
      </c>
      <c r="J847" s="374" t="s">
        <v>5035</v>
      </c>
      <c r="K847" s="177">
        <v>1.0</v>
      </c>
      <c r="L847" s="174">
        <v>3.874440184E9</v>
      </c>
      <c r="M847" s="367"/>
      <c r="N847" s="429">
        <v>46326.0</v>
      </c>
      <c r="O847" s="430" t="s">
        <v>13338</v>
      </c>
      <c r="P847" s="431"/>
      <c r="Q847" s="430" t="s">
        <v>13339</v>
      </c>
      <c r="R847" s="432" t="s">
        <v>13726</v>
      </c>
      <c r="S847" s="367"/>
      <c r="T847" s="276"/>
      <c r="U847" s="276"/>
      <c r="V847" s="276"/>
      <c r="W847" s="276"/>
      <c r="X847" s="276"/>
      <c r="Y847" s="276"/>
      <c r="Z847" s="276"/>
      <c r="AA847" s="276"/>
      <c r="AB847" s="276"/>
      <c r="AC847" s="276"/>
    </row>
    <row r="848">
      <c r="A848" s="108" t="s">
        <v>11883</v>
      </c>
      <c r="B848" s="173">
        <v>46053.0</v>
      </c>
      <c r="C848" s="374">
        <v>8.0501157011E11</v>
      </c>
      <c r="D848" s="374" t="s">
        <v>11884</v>
      </c>
      <c r="E848" s="374" t="s">
        <v>11885</v>
      </c>
      <c r="F848" s="145" t="s">
        <v>11886</v>
      </c>
      <c r="G848" s="177" t="s">
        <v>127</v>
      </c>
      <c r="H848" s="177">
        <v>4400.0</v>
      </c>
      <c r="I848" s="176" t="s">
        <v>512</v>
      </c>
      <c r="J848" s="374" t="s">
        <v>513</v>
      </c>
      <c r="K848" s="177">
        <v>6.0</v>
      </c>
      <c r="L848" s="174">
        <v>3.874440184E9</v>
      </c>
      <c r="M848" s="367"/>
      <c r="N848" s="209"/>
      <c r="O848" s="209"/>
      <c r="P848" s="209"/>
      <c r="Q848" s="209"/>
      <c r="R848" s="209"/>
      <c r="S848" s="367"/>
      <c r="T848" s="276"/>
      <c r="U848" s="276"/>
      <c r="V848" s="276"/>
      <c r="W848" s="276"/>
      <c r="X848" s="276"/>
      <c r="Y848" s="276"/>
      <c r="Z848" s="276"/>
      <c r="AA848" s="276"/>
      <c r="AB848" s="276"/>
      <c r="AC848" s="276"/>
    </row>
    <row r="849">
      <c r="A849" s="108" t="s">
        <v>11883</v>
      </c>
      <c r="B849" s="173">
        <v>46053.0</v>
      </c>
      <c r="C849" s="374">
        <v>8.0501157011E11</v>
      </c>
      <c r="D849" s="374" t="s">
        <v>11884</v>
      </c>
      <c r="E849" s="374" t="s">
        <v>11885</v>
      </c>
      <c r="F849" s="145" t="s">
        <v>11886</v>
      </c>
      <c r="G849" s="177" t="s">
        <v>127</v>
      </c>
      <c r="H849" s="177">
        <v>4400.0</v>
      </c>
      <c r="I849" s="176" t="s">
        <v>670</v>
      </c>
      <c r="J849" s="374" t="s">
        <v>3410</v>
      </c>
      <c r="K849" s="177">
        <v>1.0</v>
      </c>
      <c r="L849" s="174">
        <v>3.874440184E9</v>
      </c>
      <c r="M849" s="367"/>
      <c r="N849" s="206"/>
      <c r="O849" s="206"/>
      <c r="P849" s="206"/>
      <c r="Q849" s="206"/>
      <c r="R849" s="206"/>
      <c r="S849" s="367"/>
      <c r="T849" s="276"/>
      <c r="U849" s="276"/>
      <c r="V849" s="276"/>
      <c r="W849" s="276"/>
      <c r="X849" s="276"/>
      <c r="Y849" s="276"/>
      <c r="Z849" s="276"/>
      <c r="AA849" s="276"/>
      <c r="AB849" s="276"/>
      <c r="AC849" s="276"/>
    </row>
    <row r="850">
      <c r="A850" s="108" t="s">
        <v>11887</v>
      </c>
      <c r="B850" s="173">
        <v>46053.0</v>
      </c>
      <c r="C850" s="374">
        <v>8.0700003489E11</v>
      </c>
      <c r="D850" s="374" t="s">
        <v>11888</v>
      </c>
      <c r="E850" s="374" t="s">
        <v>4725</v>
      </c>
      <c r="F850" s="145" t="s">
        <v>11889</v>
      </c>
      <c r="G850" s="177" t="s">
        <v>127</v>
      </c>
      <c r="H850" s="177">
        <v>4400.0</v>
      </c>
      <c r="I850" s="176" t="s">
        <v>11890</v>
      </c>
      <c r="J850" s="374" t="s">
        <v>11891</v>
      </c>
      <c r="K850" s="177">
        <v>2.0</v>
      </c>
      <c r="L850" s="174">
        <v>3.875161117E9</v>
      </c>
      <c r="M850" s="367"/>
      <c r="N850" s="429">
        <v>46326.0</v>
      </c>
      <c r="O850" s="430" t="s">
        <v>13338</v>
      </c>
      <c r="P850" s="431"/>
      <c r="Q850" s="430" t="s">
        <v>13727</v>
      </c>
      <c r="R850" s="432" t="s">
        <v>13728</v>
      </c>
      <c r="S850" s="367"/>
      <c r="T850" s="276"/>
      <c r="U850" s="276"/>
      <c r="V850" s="276"/>
      <c r="W850" s="276"/>
      <c r="X850" s="276"/>
      <c r="Y850" s="276"/>
      <c r="Z850" s="276"/>
      <c r="AA850" s="276"/>
      <c r="AB850" s="276"/>
      <c r="AC850" s="276"/>
    </row>
    <row r="851">
      <c r="A851" s="108" t="s">
        <v>11887</v>
      </c>
      <c r="B851" s="173">
        <v>46053.0</v>
      </c>
      <c r="C851" s="374">
        <v>8.0700003489E11</v>
      </c>
      <c r="D851" s="374" t="s">
        <v>11888</v>
      </c>
      <c r="E851" s="374" t="s">
        <v>4725</v>
      </c>
      <c r="F851" s="145" t="s">
        <v>11889</v>
      </c>
      <c r="G851" s="177" t="s">
        <v>127</v>
      </c>
      <c r="H851" s="177">
        <v>4400.0</v>
      </c>
      <c r="I851" s="176" t="s">
        <v>659</v>
      </c>
      <c r="J851" s="374" t="s">
        <v>3468</v>
      </c>
      <c r="K851" s="177">
        <v>1.0</v>
      </c>
      <c r="L851" s="174">
        <v>3.875161117E9</v>
      </c>
      <c r="M851" s="367"/>
      <c r="N851" s="206"/>
      <c r="O851" s="206"/>
      <c r="P851" s="206"/>
      <c r="Q851" s="206"/>
      <c r="R851" s="206"/>
      <c r="S851" s="367"/>
      <c r="T851" s="276"/>
      <c r="U851" s="276"/>
      <c r="V851" s="276"/>
      <c r="W851" s="276"/>
      <c r="X851" s="276"/>
      <c r="Y851" s="276"/>
      <c r="Z851" s="276"/>
      <c r="AA851" s="276"/>
      <c r="AB851" s="276"/>
      <c r="AC851" s="276"/>
    </row>
    <row r="852">
      <c r="A852" s="370"/>
      <c r="B852" s="439"/>
      <c r="C852" s="384"/>
      <c r="D852" s="384"/>
      <c r="E852" s="384"/>
      <c r="F852" s="214"/>
      <c r="G852" s="214"/>
      <c r="H852" s="214"/>
      <c r="I852" s="385"/>
      <c r="J852" s="289"/>
      <c r="K852" s="290"/>
      <c r="L852" s="291"/>
      <c r="M852" s="276"/>
      <c r="N852" s="274"/>
      <c r="O852" s="275"/>
      <c r="P852" s="276"/>
      <c r="Q852" s="275"/>
      <c r="R852" s="277"/>
      <c r="S852" s="367"/>
      <c r="T852" s="276"/>
      <c r="U852" s="276"/>
      <c r="V852" s="276"/>
      <c r="W852" s="276"/>
      <c r="X852" s="276"/>
      <c r="Y852" s="276"/>
      <c r="Z852" s="276"/>
      <c r="AA852" s="276"/>
      <c r="AB852" s="276"/>
      <c r="AC852" s="276"/>
    </row>
    <row r="853">
      <c r="A853" s="108" t="s">
        <v>13729</v>
      </c>
      <c r="B853" s="173">
        <v>46054.0</v>
      </c>
      <c r="C853" s="374"/>
      <c r="D853" s="374"/>
      <c r="E853" s="374" t="s">
        <v>13730</v>
      </c>
      <c r="F853" s="177" t="s">
        <v>13731</v>
      </c>
      <c r="G853" s="177" t="s">
        <v>4496</v>
      </c>
      <c r="H853" s="177">
        <v>4400.0</v>
      </c>
      <c r="I853" s="374" t="s">
        <v>947</v>
      </c>
      <c r="J853" s="374" t="s">
        <v>948</v>
      </c>
      <c r="K853" s="177">
        <v>1.0</v>
      </c>
      <c r="L853" s="174">
        <v>3.873036674E9</v>
      </c>
      <c r="M853" s="367"/>
      <c r="N853" s="433">
        <v>46054.0</v>
      </c>
      <c r="O853" s="261" t="s">
        <v>13338</v>
      </c>
      <c r="P853" s="367"/>
      <c r="Q853" s="261" t="s">
        <v>13732</v>
      </c>
      <c r="R853" s="434" t="s">
        <v>13733</v>
      </c>
      <c r="S853" s="367"/>
      <c r="T853" s="276"/>
      <c r="U853" s="276"/>
      <c r="V853" s="276"/>
      <c r="W853" s="276"/>
      <c r="X853" s="276"/>
      <c r="Y853" s="276"/>
      <c r="Z853" s="276"/>
      <c r="AA853" s="276"/>
      <c r="AB853" s="276"/>
      <c r="AC853" s="276"/>
    </row>
    <row r="854">
      <c r="A854" s="108" t="s">
        <v>11916</v>
      </c>
      <c r="B854" s="173">
        <v>46055.0</v>
      </c>
      <c r="C854" s="374"/>
      <c r="D854" s="374"/>
      <c r="E854" s="374" t="s">
        <v>13730</v>
      </c>
      <c r="F854" s="177" t="s">
        <v>13731</v>
      </c>
      <c r="G854" s="177" t="s">
        <v>12318</v>
      </c>
      <c r="H854" s="177">
        <v>4400.0</v>
      </c>
      <c r="I854" s="374" t="s">
        <v>2537</v>
      </c>
      <c r="J854" s="374" t="s">
        <v>2538</v>
      </c>
      <c r="K854" s="177">
        <v>1.0</v>
      </c>
      <c r="L854" s="174">
        <v>3.873036674E9</v>
      </c>
      <c r="M854" s="367"/>
      <c r="N854" s="433">
        <v>46056.0</v>
      </c>
      <c r="O854" s="261" t="s">
        <v>13338</v>
      </c>
      <c r="P854" s="367"/>
      <c r="Q854" s="261" t="s">
        <v>13734</v>
      </c>
      <c r="R854" s="434" t="s">
        <v>13735</v>
      </c>
      <c r="S854" s="367"/>
      <c r="T854" s="276"/>
      <c r="U854" s="276"/>
      <c r="V854" s="276"/>
      <c r="W854" s="276"/>
      <c r="X854" s="276"/>
      <c r="Y854" s="276"/>
      <c r="Z854" s="276"/>
      <c r="AA854" s="276"/>
      <c r="AB854" s="276"/>
      <c r="AC854" s="276"/>
    </row>
    <row r="855">
      <c r="A855" s="108" t="s">
        <v>11892</v>
      </c>
      <c r="B855" s="173"/>
      <c r="C855" s="374">
        <v>8.07000034949E11</v>
      </c>
      <c r="D855" s="374" t="s">
        <v>11893</v>
      </c>
      <c r="E855" s="374" t="s">
        <v>11894</v>
      </c>
      <c r="F855" s="177" t="s">
        <v>11895</v>
      </c>
      <c r="G855" s="177" t="s">
        <v>11896</v>
      </c>
      <c r="H855" s="177">
        <v>4400.0</v>
      </c>
      <c r="I855" s="374" t="s">
        <v>1241</v>
      </c>
      <c r="J855" s="374" t="s">
        <v>3500</v>
      </c>
      <c r="K855" s="177">
        <v>1.0</v>
      </c>
      <c r="L855" s="174">
        <v>3.875198106E9</v>
      </c>
      <c r="M855" s="367"/>
      <c r="N855" s="429">
        <v>46056.0</v>
      </c>
      <c r="O855" s="430" t="s">
        <v>13338</v>
      </c>
      <c r="P855" s="431"/>
      <c r="Q855" s="430" t="s">
        <v>13339</v>
      </c>
      <c r="R855" s="432" t="s">
        <v>13736</v>
      </c>
      <c r="S855" s="367"/>
      <c r="T855" s="276"/>
      <c r="U855" s="276"/>
      <c r="V855" s="276"/>
      <c r="W855" s="276"/>
      <c r="X855" s="276"/>
      <c r="Y855" s="276"/>
      <c r="Z855" s="276"/>
      <c r="AA855" s="276"/>
      <c r="AB855" s="276"/>
      <c r="AC855" s="276"/>
    </row>
    <row r="856">
      <c r="A856" s="108" t="s">
        <v>11892</v>
      </c>
      <c r="B856" s="173"/>
      <c r="C856" s="374">
        <v>8.07000034949E11</v>
      </c>
      <c r="D856" s="374" t="s">
        <v>11893</v>
      </c>
      <c r="E856" s="374" t="s">
        <v>11894</v>
      </c>
      <c r="F856" s="177" t="s">
        <v>11895</v>
      </c>
      <c r="G856" s="177" t="s">
        <v>11896</v>
      </c>
      <c r="H856" s="177">
        <v>4400.0</v>
      </c>
      <c r="I856" s="374" t="s">
        <v>512</v>
      </c>
      <c r="J856" s="374" t="s">
        <v>513</v>
      </c>
      <c r="K856" s="177">
        <v>6.0</v>
      </c>
      <c r="L856" s="174">
        <v>3.875198106E9</v>
      </c>
      <c r="M856" s="367"/>
      <c r="N856" s="209"/>
      <c r="O856" s="209"/>
      <c r="P856" s="209"/>
      <c r="Q856" s="209"/>
      <c r="R856" s="209"/>
      <c r="S856" s="367"/>
      <c r="T856" s="276"/>
      <c r="U856" s="276"/>
      <c r="V856" s="276"/>
      <c r="W856" s="276"/>
      <c r="X856" s="276"/>
      <c r="Y856" s="276"/>
      <c r="Z856" s="276"/>
      <c r="AA856" s="276"/>
      <c r="AB856" s="276"/>
      <c r="AC856" s="276"/>
    </row>
    <row r="857">
      <c r="A857" s="108" t="s">
        <v>11892</v>
      </c>
      <c r="B857" s="173"/>
      <c r="C857" s="374">
        <v>8.07000034949E11</v>
      </c>
      <c r="D857" s="374" t="s">
        <v>11893</v>
      </c>
      <c r="E857" s="374" t="s">
        <v>11894</v>
      </c>
      <c r="F857" s="177" t="s">
        <v>11895</v>
      </c>
      <c r="G857" s="177" t="s">
        <v>11896</v>
      </c>
      <c r="H857" s="177">
        <v>4400.0</v>
      </c>
      <c r="I857" s="374" t="s">
        <v>169</v>
      </c>
      <c r="J857" s="374" t="s">
        <v>4514</v>
      </c>
      <c r="K857" s="177">
        <v>1.0</v>
      </c>
      <c r="L857" s="174">
        <v>3.875198106E9</v>
      </c>
      <c r="M857" s="367"/>
      <c r="N857" s="206"/>
      <c r="O857" s="206"/>
      <c r="P857" s="206"/>
      <c r="Q857" s="206"/>
      <c r="R857" s="206"/>
      <c r="S857" s="367"/>
      <c r="T857" s="276"/>
      <c r="U857" s="276"/>
      <c r="V857" s="276"/>
      <c r="W857" s="276"/>
      <c r="X857" s="276"/>
      <c r="Y857" s="276"/>
      <c r="Z857" s="276"/>
      <c r="AA857" s="276"/>
      <c r="AB857" s="276"/>
      <c r="AC857" s="276"/>
    </row>
    <row r="858">
      <c r="A858" s="108" t="s">
        <v>11897</v>
      </c>
      <c r="B858" s="173"/>
      <c r="C858" s="374">
        <v>8.07000034964E11</v>
      </c>
      <c r="D858" s="374" t="s">
        <v>11898</v>
      </c>
      <c r="E858" s="374" t="s">
        <v>11899</v>
      </c>
      <c r="F858" s="177" t="s">
        <v>11900</v>
      </c>
      <c r="G858" s="177" t="s">
        <v>127</v>
      </c>
      <c r="H858" s="177">
        <v>4400.0</v>
      </c>
      <c r="I858" s="374" t="s">
        <v>512</v>
      </c>
      <c r="J858" s="374" t="s">
        <v>513</v>
      </c>
      <c r="K858" s="177">
        <v>6.0</v>
      </c>
      <c r="L858" s="174">
        <v>3.875662313E9</v>
      </c>
      <c r="M858" s="367"/>
      <c r="N858" s="429">
        <v>46056.0</v>
      </c>
      <c r="O858" s="430" t="s">
        <v>13338</v>
      </c>
      <c r="P858" s="431"/>
      <c r="Q858" s="430" t="s">
        <v>13737</v>
      </c>
      <c r="R858" s="432" t="s">
        <v>13738</v>
      </c>
      <c r="S858" s="367"/>
      <c r="T858" s="276"/>
      <c r="U858" s="276"/>
      <c r="V858" s="276"/>
      <c r="W858" s="276"/>
      <c r="X858" s="276"/>
      <c r="Y858" s="276"/>
      <c r="Z858" s="276"/>
      <c r="AA858" s="276"/>
      <c r="AB858" s="276"/>
      <c r="AC858" s="276"/>
    </row>
    <row r="859">
      <c r="A859" s="108" t="s">
        <v>11897</v>
      </c>
      <c r="B859" s="173"/>
      <c r="C859" s="374">
        <v>8.07000034965E11</v>
      </c>
      <c r="D859" s="374" t="s">
        <v>11898</v>
      </c>
      <c r="E859" s="374" t="s">
        <v>11899</v>
      </c>
      <c r="F859" s="177" t="s">
        <v>11900</v>
      </c>
      <c r="G859" s="177" t="s">
        <v>127</v>
      </c>
      <c r="H859" s="177">
        <v>4400.0</v>
      </c>
      <c r="I859" s="374" t="s">
        <v>3131</v>
      </c>
      <c r="J859" s="374" t="s">
        <v>3416</v>
      </c>
      <c r="K859" s="177">
        <v>1.0</v>
      </c>
      <c r="L859" s="174">
        <v>3.875662313E9</v>
      </c>
      <c r="M859" s="367"/>
      <c r="N859" s="209"/>
      <c r="O859" s="209"/>
      <c r="P859" s="209"/>
      <c r="Q859" s="209"/>
      <c r="R859" s="209"/>
      <c r="S859" s="367"/>
      <c r="T859" s="276"/>
      <c r="U859" s="276"/>
      <c r="V859" s="276"/>
      <c r="W859" s="276"/>
      <c r="X859" s="276"/>
      <c r="Y859" s="276"/>
      <c r="Z859" s="276"/>
      <c r="AA859" s="276"/>
      <c r="AB859" s="276"/>
      <c r="AC859" s="276"/>
    </row>
    <row r="860">
      <c r="A860" s="108" t="s">
        <v>11897</v>
      </c>
      <c r="B860" s="173"/>
      <c r="C860" s="374">
        <v>8.07000034965E11</v>
      </c>
      <c r="D860" s="374" t="s">
        <v>11898</v>
      </c>
      <c r="E860" s="374" t="s">
        <v>11899</v>
      </c>
      <c r="F860" s="177" t="s">
        <v>11900</v>
      </c>
      <c r="G860" s="177" t="s">
        <v>127</v>
      </c>
      <c r="H860" s="177">
        <v>4400.0</v>
      </c>
      <c r="I860" s="374" t="s">
        <v>35</v>
      </c>
      <c r="J860" s="374" t="s">
        <v>3188</v>
      </c>
      <c r="K860" s="177">
        <v>1.0</v>
      </c>
      <c r="L860" s="174">
        <v>3.875662313E9</v>
      </c>
      <c r="M860" s="367"/>
      <c r="N860" s="209"/>
      <c r="O860" s="209"/>
      <c r="P860" s="209"/>
      <c r="Q860" s="209"/>
      <c r="R860" s="209"/>
      <c r="S860" s="367"/>
      <c r="T860" s="276"/>
      <c r="U860" s="276"/>
      <c r="V860" s="276"/>
      <c r="W860" s="276"/>
      <c r="X860" s="276"/>
      <c r="Y860" s="276"/>
      <c r="Z860" s="276"/>
      <c r="AA860" s="276"/>
      <c r="AB860" s="276"/>
      <c r="AC860" s="276"/>
    </row>
    <row r="861">
      <c r="A861" s="108" t="s">
        <v>11901</v>
      </c>
      <c r="B861" s="173"/>
      <c r="C861" s="374">
        <v>8.07000034966E11</v>
      </c>
      <c r="D861" s="374" t="s">
        <v>11898</v>
      </c>
      <c r="E861" s="374" t="s">
        <v>11899</v>
      </c>
      <c r="F861" s="177" t="s">
        <v>11900</v>
      </c>
      <c r="G861" s="177" t="s">
        <v>127</v>
      </c>
      <c r="H861" s="177">
        <v>4400.0</v>
      </c>
      <c r="I861" s="374">
        <v>125813.0</v>
      </c>
      <c r="J861" s="374" t="s">
        <v>5703</v>
      </c>
      <c r="K861" s="177">
        <v>2.0</v>
      </c>
      <c r="L861" s="174">
        <v>3.875662313E9</v>
      </c>
      <c r="M861" s="367"/>
      <c r="N861" s="206"/>
      <c r="O861" s="206"/>
      <c r="P861" s="206"/>
      <c r="Q861" s="206"/>
      <c r="R861" s="206"/>
      <c r="S861" s="367"/>
      <c r="T861" s="276"/>
      <c r="U861" s="276"/>
      <c r="V861" s="276"/>
      <c r="W861" s="276"/>
      <c r="X861" s="276"/>
      <c r="Y861" s="276"/>
      <c r="Z861" s="276"/>
      <c r="AA861" s="276"/>
      <c r="AB861" s="276"/>
      <c r="AC861" s="276"/>
    </row>
    <row r="862">
      <c r="A862" s="108" t="s">
        <v>11924</v>
      </c>
      <c r="B862" s="173"/>
      <c r="C862" s="374"/>
      <c r="D862" s="374"/>
      <c r="E862" s="374" t="s">
        <v>13739</v>
      </c>
      <c r="F862" s="145" t="s">
        <v>13740</v>
      </c>
      <c r="G862" s="145" t="s">
        <v>11028</v>
      </c>
      <c r="H862" s="145">
        <v>4400.0</v>
      </c>
      <c r="I862" s="176" t="s">
        <v>947</v>
      </c>
      <c r="J862" s="176" t="s">
        <v>3750</v>
      </c>
      <c r="K862" s="177">
        <v>1.0</v>
      </c>
      <c r="L862" s="174">
        <v>3.984663466E9</v>
      </c>
      <c r="M862" s="367"/>
      <c r="N862" s="433">
        <v>46056.0</v>
      </c>
      <c r="O862" s="261" t="s">
        <v>13338</v>
      </c>
      <c r="P862" s="367"/>
      <c r="Q862" s="261" t="s">
        <v>13339</v>
      </c>
      <c r="R862" s="434" t="s">
        <v>13741</v>
      </c>
      <c r="S862" s="367"/>
      <c r="T862" s="276"/>
      <c r="U862" s="276"/>
      <c r="V862" s="276"/>
      <c r="W862" s="276"/>
      <c r="X862" s="276"/>
      <c r="Y862" s="276"/>
      <c r="Z862" s="276"/>
      <c r="AA862" s="276"/>
      <c r="AB862" s="276"/>
      <c r="AC862" s="276"/>
    </row>
    <row r="863">
      <c r="A863" s="108" t="s">
        <v>11928</v>
      </c>
      <c r="B863" s="173"/>
      <c r="C863" s="374"/>
      <c r="D863" s="374"/>
      <c r="E863" s="374" t="s">
        <v>11930</v>
      </c>
      <c r="F863" s="145" t="s">
        <v>11931</v>
      </c>
      <c r="G863" s="145" t="s">
        <v>127</v>
      </c>
      <c r="H863" s="145">
        <v>4400.0</v>
      </c>
      <c r="I863" s="176" t="s">
        <v>4976</v>
      </c>
      <c r="J863" s="176" t="s">
        <v>4977</v>
      </c>
      <c r="K863" s="177">
        <v>1.0</v>
      </c>
      <c r="L863" s="174">
        <v>1.131622812E9</v>
      </c>
      <c r="M863" s="367"/>
      <c r="N863" s="429">
        <v>46056.0</v>
      </c>
      <c r="O863" s="430" t="s">
        <v>13338</v>
      </c>
      <c r="P863" s="431"/>
      <c r="Q863" s="430" t="s">
        <v>13742</v>
      </c>
      <c r="R863" s="432" t="s">
        <v>13743</v>
      </c>
      <c r="S863" s="367"/>
      <c r="T863" s="276"/>
      <c r="U863" s="276"/>
      <c r="V863" s="276"/>
      <c r="W863" s="276"/>
      <c r="X863" s="276"/>
      <c r="Y863" s="276"/>
      <c r="Z863" s="276"/>
      <c r="AA863" s="276"/>
      <c r="AB863" s="276"/>
      <c r="AC863" s="276"/>
    </row>
    <row r="864">
      <c r="A864" s="108" t="s">
        <v>11928</v>
      </c>
      <c r="B864" s="378"/>
      <c r="C864" s="374"/>
      <c r="D864" s="374"/>
      <c r="E864" s="374" t="s">
        <v>13744</v>
      </c>
      <c r="F864" s="145" t="s">
        <v>11931</v>
      </c>
      <c r="G864" s="177" t="s">
        <v>127</v>
      </c>
      <c r="H864" s="177">
        <v>4400.0</v>
      </c>
      <c r="I864" s="176">
        <v>125819.0</v>
      </c>
      <c r="J864" s="374" t="s">
        <v>13745</v>
      </c>
      <c r="K864" s="177">
        <v>2.0</v>
      </c>
      <c r="L864" s="174">
        <v>1.131622812E9</v>
      </c>
      <c r="M864" s="367"/>
      <c r="N864" s="209"/>
      <c r="O864" s="209"/>
      <c r="P864" s="209"/>
      <c r="Q864" s="209"/>
      <c r="R864" s="209"/>
      <c r="S864" s="367"/>
      <c r="T864" s="276"/>
      <c r="U864" s="276"/>
      <c r="V864" s="276"/>
      <c r="W864" s="276"/>
      <c r="X864" s="276"/>
      <c r="Y864" s="276"/>
      <c r="Z864" s="276"/>
      <c r="AA864" s="276"/>
      <c r="AB864" s="276"/>
      <c r="AC864" s="276"/>
    </row>
    <row r="865">
      <c r="A865" s="108" t="s">
        <v>11928</v>
      </c>
      <c r="B865" s="378"/>
      <c r="C865" s="374"/>
      <c r="D865" s="374"/>
      <c r="E865" s="374" t="s">
        <v>13744</v>
      </c>
      <c r="F865" s="145" t="s">
        <v>11931</v>
      </c>
      <c r="G865" s="177" t="s">
        <v>127</v>
      </c>
      <c r="H865" s="177">
        <v>4400.0</v>
      </c>
      <c r="I865" s="176" t="s">
        <v>11303</v>
      </c>
      <c r="J865" s="374" t="s">
        <v>13746</v>
      </c>
      <c r="K865" s="177">
        <v>1.0</v>
      </c>
      <c r="L865" s="174">
        <v>1.131622812E9</v>
      </c>
      <c r="M865" s="367"/>
      <c r="N865" s="206"/>
      <c r="O865" s="206"/>
      <c r="P865" s="206"/>
      <c r="Q865" s="206"/>
      <c r="R865" s="206"/>
      <c r="S865" s="367"/>
      <c r="T865" s="276"/>
      <c r="U865" s="276"/>
      <c r="V865" s="276"/>
      <c r="W865" s="276"/>
      <c r="X865" s="276"/>
      <c r="Y865" s="276"/>
      <c r="Z865" s="276"/>
      <c r="AA865" s="276"/>
      <c r="AB865" s="276"/>
      <c r="AC865" s="276"/>
    </row>
    <row r="866">
      <c r="A866" s="108" t="s">
        <v>11921</v>
      </c>
      <c r="B866" s="378"/>
      <c r="C866" s="374"/>
      <c r="D866" s="374"/>
      <c r="E866" s="374" t="s">
        <v>13747</v>
      </c>
      <c r="F866" s="145" t="s">
        <v>11923</v>
      </c>
      <c r="G866" s="177" t="s">
        <v>11028</v>
      </c>
      <c r="H866" s="177">
        <v>4400.0</v>
      </c>
      <c r="I866" s="176" t="s">
        <v>812</v>
      </c>
      <c r="J866" s="374" t="s">
        <v>3564</v>
      </c>
      <c r="K866" s="177">
        <v>1.0</v>
      </c>
      <c r="L866" s="174">
        <v>3.875365598E9</v>
      </c>
      <c r="M866" s="367"/>
      <c r="N866" s="433">
        <v>46056.0</v>
      </c>
      <c r="O866" s="261" t="s">
        <v>13338</v>
      </c>
      <c r="P866" s="367"/>
      <c r="Q866" s="261" t="s">
        <v>13748</v>
      </c>
      <c r="R866" s="434" t="s">
        <v>13749</v>
      </c>
      <c r="S866" s="367"/>
      <c r="T866" s="276"/>
      <c r="U866" s="276"/>
      <c r="V866" s="276"/>
      <c r="W866" s="276"/>
      <c r="X866" s="276"/>
      <c r="Y866" s="276"/>
      <c r="Z866" s="276"/>
      <c r="AA866" s="276"/>
      <c r="AB866" s="276"/>
      <c r="AC866" s="276"/>
    </row>
    <row r="867">
      <c r="A867" s="108" t="s">
        <v>11932</v>
      </c>
      <c r="B867" s="378"/>
      <c r="C867" s="374"/>
      <c r="D867" s="374"/>
      <c r="E867" s="374" t="s">
        <v>13750</v>
      </c>
      <c r="F867" s="145" t="s">
        <v>13751</v>
      </c>
      <c r="G867" s="177" t="s">
        <v>11028</v>
      </c>
      <c r="H867" s="177">
        <v>4400.0</v>
      </c>
      <c r="I867" s="176" t="s">
        <v>9491</v>
      </c>
      <c r="J867" s="374" t="s">
        <v>13752</v>
      </c>
      <c r="K867" s="177">
        <v>12.0</v>
      </c>
      <c r="L867" s="174">
        <v>3.874453216E9</v>
      </c>
      <c r="M867" s="367"/>
      <c r="N867" s="429">
        <v>46057.0</v>
      </c>
      <c r="O867" s="430" t="s">
        <v>13338</v>
      </c>
      <c r="P867" s="431"/>
      <c r="Q867" s="430" t="s">
        <v>13339</v>
      </c>
      <c r="R867" s="432" t="s">
        <v>13753</v>
      </c>
      <c r="S867" s="367"/>
      <c r="T867" s="276"/>
      <c r="U867" s="276"/>
      <c r="V867" s="276"/>
      <c r="W867" s="276"/>
      <c r="X867" s="276"/>
      <c r="Y867" s="276"/>
      <c r="Z867" s="276"/>
      <c r="AA867" s="276"/>
      <c r="AB867" s="276"/>
      <c r="AC867" s="276"/>
    </row>
    <row r="868">
      <c r="A868" s="108" t="s">
        <v>11932</v>
      </c>
      <c r="B868" s="378"/>
      <c r="C868" s="374"/>
      <c r="D868" s="374"/>
      <c r="E868" s="374" t="s">
        <v>13750</v>
      </c>
      <c r="F868" s="145" t="s">
        <v>13751</v>
      </c>
      <c r="G868" s="177" t="s">
        <v>11028</v>
      </c>
      <c r="H868" s="177">
        <v>4400.0</v>
      </c>
      <c r="I868" s="176" t="s">
        <v>340</v>
      </c>
      <c r="J868" s="374" t="s">
        <v>3486</v>
      </c>
      <c r="K868" s="177">
        <v>2.0</v>
      </c>
      <c r="L868" s="174">
        <v>3.874453216E9</v>
      </c>
      <c r="M868" s="367"/>
      <c r="N868" s="209"/>
      <c r="O868" s="209"/>
      <c r="P868" s="209"/>
      <c r="Q868" s="209"/>
      <c r="R868" s="209"/>
      <c r="S868" s="367"/>
      <c r="T868" s="276"/>
      <c r="U868" s="276"/>
      <c r="V868" s="276"/>
      <c r="W868" s="276"/>
      <c r="X868" s="276"/>
      <c r="Y868" s="276"/>
      <c r="Z868" s="276"/>
      <c r="AA868" s="276"/>
      <c r="AB868" s="276"/>
      <c r="AC868" s="276"/>
    </row>
    <row r="869">
      <c r="A869" s="108" t="s">
        <v>11932</v>
      </c>
      <c r="B869" s="378"/>
      <c r="C869" s="374"/>
      <c r="D869" s="374"/>
      <c r="E869" s="374" t="s">
        <v>13750</v>
      </c>
      <c r="F869" s="145" t="s">
        <v>13751</v>
      </c>
      <c r="G869" s="177" t="s">
        <v>11028</v>
      </c>
      <c r="H869" s="177">
        <v>4400.0</v>
      </c>
      <c r="I869" s="176" t="s">
        <v>298</v>
      </c>
      <c r="J869" s="374" t="s">
        <v>6035</v>
      </c>
      <c r="K869" s="177">
        <v>1.0</v>
      </c>
      <c r="L869" s="174">
        <v>3.874453216E9</v>
      </c>
      <c r="M869" s="367"/>
      <c r="N869" s="209"/>
      <c r="O869" s="209"/>
      <c r="P869" s="209"/>
      <c r="Q869" s="209"/>
      <c r="R869" s="209"/>
      <c r="S869" s="367"/>
      <c r="T869" s="276"/>
      <c r="U869" s="276"/>
      <c r="V869" s="276"/>
      <c r="W869" s="276"/>
      <c r="X869" s="276"/>
      <c r="Y869" s="276"/>
      <c r="Z869" s="276"/>
      <c r="AA869" s="276"/>
      <c r="AB869" s="276"/>
      <c r="AC869" s="276"/>
    </row>
    <row r="870">
      <c r="A870" s="108" t="s">
        <v>11932</v>
      </c>
      <c r="B870" s="378"/>
      <c r="C870" s="374"/>
      <c r="D870" s="374"/>
      <c r="E870" s="374" t="s">
        <v>13750</v>
      </c>
      <c r="F870" s="145" t="s">
        <v>13751</v>
      </c>
      <c r="G870" s="177" t="s">
        <v>11028</v>
      </c>
      <c r="H870" s="177">
        <v>4400.0</v>
      </c>
      <c r="I870" s="176">
        <v>125811.0</v>
      </c>
      <c r="J870" s="374" t="s">
        <v>13754</v>
      </c>
      <c r="K870" s="177">
        <v>2.0</v>
      </c>
      <c r="L870" s="174">
        <v>3.874453216E9</v>
      </c>
      <c r="M870" s="367"/>
      <c r="N870" s="206"/>
      <c r="O870" s="206"/>
      <c r="P870" s="206"/>
      <c r="Q870" s="206"/>
      <c r="R870" s="206"/>
      <c r="S870" s="367"/>
      <c r="T870" s="276"/>
      <c r="U870" s="276"/>
      <c r="V870" s="276"/>
      <c r="W870" s="276"/>
      <c r="X870" s="276"/>
      <c r="Y870" s="276"/>
      <c r="Z870" s="276"/>
      <c r="AA870" s="276"/>
      <c r="AB870" s="276"/>
      <c r="AC870" s="276"/>
    </row>
    <row r="871">
      <c r="A871" s="370" t="s">
        <v>11937</v>
      </c>
      <c r="B871" s="378"/>
      <c r="C871" s="374"/>
      <c r="D871" s="374"/>
      <c r="E871" s="374" t="s">
        <v>13755</v>
      </c>
      <c r="F871" s="145" t="s">
        <v>13756</v>
      </c>
      <c r="G871" s="177" t="s">
        <v>11028</v>
      </c>
      <c r="H871" s="177">
        <v>4400.0</v>
      </c>
      <c r="I871" s="176" t="s">
        <v>10560</v>
      </c>
      <c r="J871" s="374" t="s">
        <v>10561</v>
      </c>
      <c r="K871" s="177">
        <v>2.0</v>
      </c>
      <c r="L871" s="174">
        <v>3.874550112E9</v>
      </c>
      <c r="M871" s="367"/>
      <c r="N871" s="433">
        <v>46057.0</v>
      </c>
      <c r="O871" s="261" t="s">
        <v>13338</v>
      </c>
      <c r="P871" s="367"/>
      <c r="Q871" s="261" t="s">
        <v>13339</v>
      </c>
      <c r="R871" s="434" t="s">
        <v>13757</v>
      </c>
      <c r="S871" s="367"/>
      <c r="T871" s="276"/>
      <c r="U871" s="276"/>
      <c r="V871" s="276"/>
      <c r="W871" s="276"/>
      <c r="X871" s="276"/>
      <c r="Y871" s="276"/>
      <c r="Z871" s="276"/>
      <c r="AA871" s="276"/>
      <c r="AB871" s="276"/>
      <c r="AC871" s="276"/>
    </row>
    <row r="872">
      <c r="A872" s="379" t="s">
        <v>11941</v>
      </c>
      <c r="B872" s="450">
        <v>46058.0</v>
      </c>
      <c r="C872" s="380">
        <v>8.0700003499E11</v>
      </c>
      <c r="D872" s="381" t="s">
        <v>11942</v>
      </c>
      <c r="E872" s="381" t="s">
        <v>11943</v>
      </c>
      <c r="F872" s="451" t="s">
        <v>11944</v>
      </c>
      <c r="G872" s="451" t="s">
        <v>127</v>
      </c>
      <c r="H872" s="451">
        <v>4400.0</v>
      </c>
      <c r="I872" s="381" t="s">
        <v>5034</v>
      </c>
      <c r="J872" s="381" t="s">
        <v>5035</v>
      </c>
      <c r="K872" s="451">
        <v>1.0</v>
      </c>
      <c r="L872" s="452">
        <v>3.87482402E9</v>
      </c>
      <c r="M872" s="453"/>
      <c r="N872" s="454">
        <v>46057.0</v>
      </c>
      <c r="O872" s="455" t="s">
        <v>13338</v>
      </c>
      <c r="P872" s="456"/>
      <c r="Q872" s="254" t="s">
        <v>13339</v>
      </c>
      <c r="R872" s="457" t="s">
        <v>13758</v>
      </c>
      <c r="S872" s="367"/>
      <c r="T872" s="276"/>
      <c r="U872" s="276"/>
      <c r="V872" s="276"/>
      <c r="W872" s="276"/>
      <c r="X872" s="276"/>
      <c r="Y872" s="276"/>
      <c r="Z872" s="276"/>
      <c r="AA872" s="276"/>
      <c r="AB872" s="276"/>
      <c r="AC872" s="276"/>
    </row>
    <row r="873">
      <c r="A873" s="379" t="s">
        <v>11945</v>
      </c>
      <c r="B873" s="450">
        <v>46058.0</v>
      </c>
      <c r="C873" s="380">
        <v>8.07000034993E11</v>
      </c>
      <c r="D873" s="381" t="s">
        <v>11946</v>
      </c>
      <c r="E873" s="381" t="s">
        <v>11947</v>
      </c>
      <c r="F873" s="451" t="s">
        <v>11948</v>
      </c>
      <c r="G873" s="451" t="s">
        <v>127</v>
      </c>
      <c r="H873" s="451">
        <v>4400.0</v>
      </c>
      <c r="I873" s="381" t="s">
        <v>541</v>
      </c>
      <c r="J873" s="381" t="s">
        <v>3947</v>
      </c>
      <c r="K873" s="451">
        <v>1.0</v>
      </c>
      <c r="L873" s="452">
        <v>3.874862737E9</v>
      </c>
      <c r="M873" s="453"/>
      <c r="N873" s="444">
        <v>46057.0</v>
      </c>
      <c r="O873" s="445" t="s">
        <v>13283</v>
      </c>
      <c r="P873" s="458"/>
      <c r="Q873" s="459" t="s">
        <v>13759</v>
      </c>
      <c r="R873" s="460" t="s">
        <v>13760</v>
      </c>
      <c r="S873" s="367"/>
      <c r="T873" s="276"/>
      <c r="U873" s="276"/>
      <c r="V873" s="276"/>
      <c r="W873" s="276"/>
      <c r="X873" s="276"/>
      <c r="Y873" s="276"/>
      <c r="Z873" s="276"/>
      <c r="AA873" s="276"/>
      <c r="AB873" s="276"/>
      <c r="AC873" s="276"/>
    </row>
    <row r="874">
      <c r="A874" s="379" t="s">
        <v>11945</v>
      </c>
      <c r="B874" s="450">
        <v>46058.0</v>
      </c>
      <c r="C874" s="380">
        <v>8.07000034993E11</v>
      </c>
      <c r="D874" s="381" t="s">
        <v>11946</v>
      </c>
      <c r="E874" s="381" t="s">
        <v>11947</v>
      </c>
      <c r="F874" s="451" t="s">
        <v>11948</v>
      </c>
      <c r="G874" s="451" t="s">
        <v>127</v>
      </c>
      <c r="H874" s="451">
        <v>4400.0</v>
      </c>
      <c r="I874" s="381" t="s">
        <v>512</v>
      </c>
      <c r="J874" s="381" t="s">
        <v>513</v>
      </c>
      <c r="K874" s="451">
        <v>6.0</v>
      </c>
      <c r="L874" s="452">
        <v>3.874862737E9</v>
      </c>
      <c r="M874" s="456"/>
      <c r="N874" s="209"/>
      <c r="O874" s="209"/>
      <c r="P874" s="209"/>
      <c r="Q874" s="209"/>
      <c r="R874" s="209"/>
      <c r="S874" s="367"/>
      <c r="T874" s="276"/>
      <c r="U874" s="276"/>
      <c r="V874" s="276"/>
      <c r="W874" s="276"/>
      <c r="X874" s="276"/>
      <c r="Y874" s="276"/>
      <c r="Z874" s="276"/>
      <c r="AA874" s="276"/>
      <c r="AB874" s="276"/>
      <c r="AC874" s="276"/>
    </row>
    <row r="875">
      <c r="A875" s="379" t="s">
        <v>11945</v>
      </c>
      <c r="B875" s="450">
        <v>46058.0</v>
      </c>
      <c r="C875" s="380">
        <v>8.07000034993E11</v>
      </c>
      <c r="D875" s="381" t="s">
        <v>11946</v>
      </c>
      <c r="E875" s="381" t="s">
        <v>11947</v>
      </c>
      <c r="F875" s="451" t="s">
        <v>11948</v>
      </c>
      <c r="G875" s="451" t="s">
        <v>127</v>
      </c>
      <c r="H875" s="451">
        <v>4400.0</v>
      </c>
      <c r="I875" s="381" t="s">
        <v>1345</v>
      </c>
      <c r="J875" s="381" t="s">
        <v>3639</v>
      </c>
      <c r="K875" s="451">
        <v>1.0</v>
      </c>
      <c r="L875" s="452">
        <v>3.874862737E9</v>
      </c>
      <c r="M875" s="456"/>
      <c r="N875" s="209"/>
      <c r="O875" s="209"/>
      <c r="P875" s="209"/>
      <c r="Q875" s="209"/>
      <c r="R875" s="209"/>
      <c r="S875" s="367"/>
      <c r="T875" s="276"/>
      <c r="U875" s="276"/>
      <c r="V875" s="276"/>
      <c r="W875" s="276"/>
      <c r="X875" s="276"/>
      <c r="Y875" s="276"/>
      <c r="Z875" s="276"/>
      <c r="AA875" s="276"/>
      <c r="AB875" s="276"/>
      <c r="AC875" s="276"/>
    </row>
    <row r="876">
      <c r="A876" s="379" t="s">
        <v>11949</v>
      </c>
      <c r="B876" s="450">
        <v>46058.0</v>
      </c>
      <c r="C876" s="380">
        <v>8.07000034994E11</v>
      </c>
      <c r="D876" s="381" t="s">
        <v>11946</v>
      </c>
      <c r="E876" s="381" t="s">
        <v>11947</v>
      </c>
      <c r="F876" s="451" t="s">
        <v>11948</v>
      </c>
      <c r="G876" s="451" t="s">
        <v>127</v>
      </c>
      <c r="H876" s="451">
        <v>4400.0</v>
      </c>
      <c r="I876" s="380">
        <v>125807.0</v>
      </c>
      <c r="J876" s="381" t="s">
        <v>237</v>
      </c>
      <c r="K876" s="451">
        <v>1.0</v>
      </c>
      <c r="L876" s="452">
        <v>3.874862737E9</v>
      </c>
      <c r="M876" s="456"/>
      <c r="N876" s="206"/>
      <c r="O876" s="206"/>
      <c r="P876" s="206"/>
      <c r="Q876" s="206"/>
      <c r="R876" s="206"/>
      <c r="S876" s="367"/>
      <c r="T876" s="276"/>
      <c r="U876" s="276"/>
      <c r="V876" s="276"/>
      <c r="W876" s="276"/>
      <c r="X876" s="276"/>
      <c r="Y876" s="276"/>
      <c r="Z876" s="276"/>
      <c r="AA876" s="276"/>
      <c r="AB876" s="276"/>
      <c r="AC876" s="276"/>
    </row>
    <row r="877">
      <c r="A877" s="108" t="s">
        <v>11902</v>
      </c>
      <c r="B877" s="173">
        <v>46055.0</v>
      </c>
      <c r="C877" s="374"/>
      <c r="D877" s="374" t="s">
        <v>11903</v>
      </c>
      <c r="E877" s="374" t="s">
        <v>11904</v>
      </c>
      <c r="F877" s="145" t="s">
        <v>11905</v>
      </c>
      <c r="G877" s="145" t="s">
        <v>127</v>
      </c>
      <c r="H877" s="145">
        <v>4400.0</v>
      </c>
      <c r="I877" s="176" t="s">
        <v>11906</v>
      </c>
      <c r="J877" s="176" t="s">
        <v>11907</v>
      </c>
      <c r="K877" s="177">
        <v>1.0</v>
      </c>
      <c r="L877" s="124">
        <v>3.875416777E9</v>
      </c>
      <c r="M877" s="367"/>
      <c r="N877" s="461">
        <v>46056.0</v>
      </c>
      <c r="O877" s="462" t="s">
        <v>13338</v>
      </c>
      <c r="P877" s="458"/>
      <c r="Q877" s="462" t="s">
        <v>13761</v>
      </c>
      <c r="R877" s="460" t="s">
        <v>13762</v>
      </c>
      <c r="S877" s="367"/>
      <c r="T877" s="276"/>
      <c r="U877" s="276"/>
      <c r="V877" s="276"/>
      <c r="W877" s="276"/>
      <c r="X877" s="276"/>
      <c r="Y877" s="276"/>
      <c r="Z877" s="276"/>
      <c r="AA877" s="276"/>
      <c r="AB877" s="276"/>
      <c r="AC877" s="276"/>
    </row>
    <row r="878">
      <c r="A878" s="108" t="s">
        <v>11902</v>
      </c>
      <c r="B878" s="173">
        <v>46055.0</v>
      </c>
      <c r="C878" s="374"/>
      <c r="D878" s="374" t="s">
        <v>11903</v>
      </c>
      <c r="E878" s="374" t="s">
        <v>11904</v>
      </c>
      <c r="F878" s="145" t="s">
        <v>11905</v>
      </c>
      <c r="G878" s="145" t="s">
        <v>127</v>
      </c>
      <c r="H878" s="145">
        <v>4400.0</v>
      </c>
      <c r="I878" s="176" t="s">
        <v>11208</v>
      </c>
      <c r="J878" s="176" t="s">
        <v>11908</v>
      </c>
      <c r="K878" s="177">
        <v>1.0</v>
      </c>
      <c r="L878" s="124">
        <v>3.875416777E9</v>
      </c>
      <c r="M878" s="367"/>
      <c r="N878" s="209"/>
      <c r="O878" s="209"/>
      <c r="P878" s="209"/>
      <c r="Q878" s="209"/>
      <c r="R878" s="209"/>
      <c r="S878" s="367"/>
      <c r="T878" s="276"/>
      <c r="U878" s="276"/>
      <c r="V878" s="276"/>
      <c r="W878" s="276"/>
      <c r="X878" s="276"/>
      <c r="Y878" s="276"/>
      <c r="Z878" s="276"/>
      <c r="AA878" s="276"/>
      <c r="AB878" s="276"/>
      <c r="AC878" s="276"/>
    </row>
    <row r="879">
      <c r="A879" s="108" t="s">
        <v>11902</v>
      </c>
      <c r="B879" s="173">
        <v>46055.0</v>
      </c>
      <c r="C879" s="374"/>
      <c r="D879" s="374" t="s">
        <v>11903</v>
      </c>
      <c r="E879" s="374" t="s">
        <v>11904</v>
      </c>
      <c r="F879" s="145" t="s">
        <v>11909</v>
      </c>
      <c r="G879" s="145" t="s">
        <v>127</v>
      </c>
      <c r="H879" s="145">
        <v>4400.0</v>
      </c>
      <c r="I879" s="176" t="s">
        <v>512</v>
      </c>
      <c r="J879" s="176" t="s">
        <v>513</v>
      </c>
      <c r="K879" s="177">
        <v>6.0</v>
      </c>
      <c r="L879" s="124">
        <v>3.875416777E9</v>
      </c>
      <c r="M879" s="367"/>
      <c r="N879" s="206"/>
      <c r="O879" s="206"/>
      <c r="P879" s="206"/>
      <c r="Q879" s="206"/>
      <c r="R879" s="206"/>
      <c r="S879" s="367"/>
      <c r="T879" s="276"/>
      <c r="U879" s="276"/>
      <c r="V879" s="276"/>
      <c r="W879" s="276"/>
      <c r="X879" s="276"/>
      <c r="Y879" s="276"/>
      <c r="Z879" s="276"/>
      <c r="AA879" s="276"/>
      <c r="AB879" s="276"/>
      <c r="AC879" s="276"/>
    </row>
    <row r="880">
      <c r="A880" s="108" t="s">
        <v>11910</v>
      </c>
      <c r="B880" s="173">
        <v>46055.0</v>
      </c>
      <c r="C880" s="374"/>
      <c r="D880" s="374" t="s">
        <v>11911</v>
      </c>
      <c r="E880" s="374" t="s">
        <v>11912</v>
      </c>
      <c r="F880" s="145" t="s">
        <v>11913</v>
      </c>
      <c r="G880" s="145" t="s">
        <v>127</v>
      </c>
      <c r="H880" s="145">
        <v>4400.0</v>
      </c>
      <c r="I880" s="176" t="s">
        <v>11890</v>
      </c>
      <c r="J880" s="176" t="s">
        <v>11914</v>
      </c>
      <c r="K880" s="177">
        <v>2.0</v>
      </c>
      <c r="L880" s="124"/>
      <c r="M880" s="367"/>
      <c r="N880" s="461">
        <v>46056.0</v>
      </c>
      <c r="O880" s="462" t="s">
        <v>13338</v>
      </c>
      <c r="P880" s="458"/>
      <c r="Q880" s="462" t="s">
        <v>13339</v>
      </c>
      <c r="R880" s="460" t="s">
        <v>13763</v>
      </c>
      <c r="S880" s="367"/>
      <c r="T880" s="276"/>
      <c r="U880" s="276"/>
      <c r="V880" s="276"/>
      <c r="W880" s="276"/>
      <c r="X880" s="276"/>
      <c r="Y880" s="276"/>
      <c r="Z880" s="276"/>
      <c r="AA880" s="276"/>
      <c r="AB880" s="276"/>
      <c r="AC880" s="276"/>
    </row>
    <row r="881">
      <c r="A881" s="108" t="s">
        <v>11910</v>
      </c>
      <c r="B881" s="173">
        <v>46055.0</v>
      </c>
      <c r="C881" s="374"/>
      <c r="D881" s="374" t="s">
        <v>11911</v>
      </c>
      <c r="E881" s="374" t="s">
        <v>11912</v>
      </c>
      <c r="F881" s="145" t="s">
        <v>11913</v>
      </c>
      <c r="G881" s="145" t="s">
        <v>127</v>
      </c>
      <c r="H881" s="145">
        <v>4400.0</v>
      </c>
      <c r="I881" s="176">
        <v>2.2346229143E10</v>
      </c>
      <c r="J881" s="176" t="s">
        <v>11915</v>
      </c>
      <c r="K881" s="177">
        <v>1.0</v>
      </c>
      <c r="L881" s="124"/>
      <c r="M881" s="367"/>
      <c r="N881" s="206"/>
      <c r="O881" s="206"/>
      <c r="P881" s="206"/>
      <c r="Q881" s="206"/>
      <c r="R881" s="206"/>
      <c r="S881" s="367"/>
      <c r="T881" s="276"/>
      <c r="U881" s="276"/>
      <c r="V881" s="276"/>
      <c r="W881" s="276"/>
      <c r="X881" s="276"/>
      <c r="Y881" s="276"/>
      <c r="Z881" s="276"/>
      <c r="AA881" s="276"/>
      <c r="AB881" s="276"/>
      <c r="AC881" s="276"/>
    </row>
    <row r="882">
      <c r="A882" s="370"/>
      <c r="B882" s="371"/>
      <c r="C882" s="384"/>
      <c r="D882" s="384"/>
      <c r="E882" s="384"/>
      <c r="F882" s="214"/>
      <c r="G882" s="419"/>
      <c r="H882" s="419"/>
      <c r="I882" s="385"/>
      <c r="J882" s="287"/>
      <c r="K882" s="290"/>
      <c r="L882" s="291"/>
      <c r="M882" s="463"/>
      <c r="N882" s="464"/>
      <c r="O882" s="465"/>
      <c r="P882" s="463"/>
      <c r="Q882" s="465"/>
      <c r="R882" s="466"/>
      <c r="S882" s="367"/>
      <c r="T882" s="276"/>
      <c r="U882" s="276"/>
      <c r="V882" s="276"/>
      <c r="W882" s="276"/>
      <c r="X882" s="276"/>
      <c r="Y882" s="276"/>
      <c r="Z882" s="276"/>
      <c r="AA882" s="276"/>
      <c r="AB882" s="276"/>
      <c r="AC882" s="276"/>
    </row>
    <row r="883">
      <c r="A883" s="92">
        <v>46056.0</v>
      </c>
      <c r="B883" s="107" t="s">
        <v>5750</v>
      </c>
      <c r="C883" s="107">
        <v>8.0501156886E11</v>
      </c>
      <c r="D883" s="107" t="s">
        <v>5751</v>
      </c>
      <c r="E883" s="107" t="s">
        <v>5752</v>
      </c>
      <c r="F883" s="107" t="s">
        <v>5753</v>
      </c>
      <c r="G883" s="107" t="s">
        <v>750</v>
      </c>
      <c r="H883" s="107" t="s">
        <v>20</v>
      </c>
      <c r="I883" s="107">
        <v>4566.0</v>
      </c>
      <c r="J883" s="31">
        <v>3.873452353E9</v>
      </c>
      <c r="K883" s="31" t="s">
        <v>698</v>
      </c>
      <c r="L883" s="31" t="s">
        <v>699</v>
      </c>
      <c r="M883" s="33">
        <v>1.0</v>
      </c>
      <c r="N883" s="207">
        <v>46072.0</v>
      </c>
      <c r="O883" s="123" t="s">
        <v>13338</v>
      </c>
      <c r="P883" s="367"/>
      <c r="Q883" s="261" t="s">
        <v>13339</v>
      </c>
      <c r="R883" s="434" t="s">
        <v>13764</v>
      </c>
      <c r="S883" s="367"/>
      <c r="T883" s="276"/>
      <c r="U883" s="276"/>
      <c r="V883" s="276"/>
      <c r="W883" s="276"/>
      <c r="X883" s="276"/>
      <c r="Y883" s="276"/>
      <c r="Z883" s="276"/>
      <c r="AA883" s="276"/>
      <c r="AB883" s="276"/>
      <c r="AC883" s="276"/>
    </row>
    <row r="884">
      <c r="A884" s="92">
        <v>46056.0</v>
      </c>
      <c r="B884" s="107" t="s">
        <v>5754</v>
      </c>
      <c r="C884" s="107">
        <v>8.05011569633E11</v>
      </c>
      <c r="D884" s="107" t="s">
        <v>5755</v>
      </c>
      <c r="E884" s="107" t="s">
        <v>5756</v>
      </c>
      <c r="F884" s="107" t="s">
        <v>5757</v>
      </c>
      <c r="G884" s="107" t="s">
        <v>532</v>
      </c>
      <c r="H884" s="107" t="s">
        <v>20</v>
      </c>
      <c r="I884" s="107">
        <v>4427.0</v>
      </c>
      <c r="J884" s="31" t="s">
        <v>5758</v>
      </c>
      <c r="K884" s="31" t="s">
        <v>98</v>
      </c>
      <c r="L884" s="31" t="s">
        <v>3187</v>
      </c>
      <c r="M884" s="33">
        <v>1.0</v>
      </c>
      <c r="N884" s="429">
        <v>46064.0</v>
      </c>
      <c r="O884" s="430" t="s">
        <v>13338</v>
      </c>
      <c r="P884" s="431"/>
      <c r="Q884" s="430" t="s">
        <v>13765</v>
      </c>
      <c r="R884" s="432" t="s">
        <v>13766</v>
      </c>
      <c r="S884" s="367"/>
      <c r="T884" s="276"/>
      <c r="U884" s="276"/>
      <c r="V884" s="276"/>
      <c r="W884" s="276"/>
      <c r="X884" s="276"/>
      <c r="Y884" s="276"/>
      <c r="Z884" s="276"/>
      <c r="AA884" s="276"/>
      <c r="AB884" s="276"/>
      <c r="AC884" s="276"/>
    </row>
    <row r="885">
      <c r="A885" s="92">
        <v>46056.0</v>
      </c>
      <c r="B885" s="107" t="s">
        <v>5754</v>
      </c>
      <c r="C885" s="107">
        <v>8.05011569633E11</v>
      </c>
      <c r="D885" s="107" t="s">
        <v>5755</v>
      </c>
      <c r="E885" s="107" t="s">
        <v>5756</v>
      </c>
      <c r="F885" s="107" t="s">
        <v>5757</v>
      </c>
      <c r="G885" s="107" t="s">
        <v>532</v>
      </c>
      <c r="H885" s="107" t="s">
        <v>20</v>
      </c>
      <c r="I885" s="107">
        <v>4427.0</v>
      </c>
      <c r="J885" s="31" t="s">
        <v>5758</v>
      </c>
      <c r="K885" s="31" t="s">
        <v>512</v>
      </c>
      <c r="L885" s="31" t="s">
        <v>513</v>
      </c>
      <c r="M885" s="33">
        <v>6.0</v>
      </c>
      <c r="N885" s="209"/>
      <c r="O885" s="209"/>
      <c r="P885" s="209"/>
      <c r="Q885" s="209"/>
      <c r="R885" s="209"/>
      <c r="S885" s="367"/>
      <c r="T885" s="276"/>
      <c r="U885" s="276"/>
      <c r="V885" s="276"/>
      <c r="W885" s="276"/>
      <c r="X885" s="276"/>
      <c r="Y885" s="276"/>
      <c r="Z885" s="276"/>
      <c r="AA885" s="276"/>
      <c r="AB885" s="276"/>
      <c r="AC885" s="276"/>
    </row>
    <row r="886">
      <c r="A886" s="92">
        <v>46056.0</v>
      </c>
      <c r="B886" s="107" t="s">
        <v>5754</v>
      </c>
      <c r="C886" s="107">
        <v>8.05011569633E11</v>
      </c>
      <c r="D886" s="107" t="s">
        <v>5755</v>
      </c>
      <c r="E886" s="107" t="s">
        <v>5756</v>
      </c>
      <c r="F886" s="107" t="s">
        <v>5757</v>
      </c>
      <c r="G886" s="107" t="s">
        <v>532</v>
      </c>
      <c r="H886" s="107" t="s">
        <v>20</v>
      </c>
      <c r="I886" s="107">
        <v>4427.0</v>
      </c>
      <c r="J886" s="31" t="s">
        <v>5758</v>
      </c>
      <c r="K886" s="31" t="s">
        <v>670</v>
      </c>
      <c r="L886" s="31" t="s">
        <v>3410</v>
      </c>
      <c r="M886" s="33">
        <v>1.0</v>
      </c>
      <c r="N886" s="206"/>
      <c r="O886" s="206"/>
      <c r="P886" s="206"/>
      <c r="Q886" s="206"/>
      <c r="R886" s="206"/>
      <c r="S886" s="367"/>
      <c r="T886" s="276"/>
      <c r="U886" s="276"/>
      <c r="V886" s="276"/>
      <c r="W886" s="276"/>
      <c r="X886" s="276"/>
      <c r="Y886" s="276"/>
      <c r="Z886" s="276"/>
      <c r="AA886" s="276"/>
      <c r="AB886" s="276"/>
      <c r="AC886" s="276"/>
    </row>
    <row r="887">
      <c r="A887" s="92">
        <v>46056.0</v>
      </c>
      <c r="B887" s="107" t="s">
        <v>5760</v>
      </c>
      <c r="C887" s="107">
        <v>8.07025034836E11</v>
      </c>
      <c r="D887" s="107" t="s">
        <v>5761</v>
      </c>
      <c r="E887" s="107" t="s">
        <v>5762</v>
      </c>
      <c r="F887" s="107" t="s">
        <v>5763</v>
      </c>
      <c r="G887" s="107" t="s">
        <v>69</v>
      </c>
      <c r="H887" s="107" t="s">
        <v>20</v>
      </c>
      <c r="I887" s="107">
        <v>4400.0</v>
      </c>
      <c r="J887" s="31">
        <v>3.878533228E9</v>
      </c>
      <c r="K887" s="31" t="s">
        <v>5764</v>
      </c>
      <c r="L887" s="31" t="s">
        <v>5765</v>
      </c>
      <c r="M887" s="33">
        <v>2.0</v>
      </c>
      <c r="N887" s="207">
        <v>46053.0</v>
      </c>
      <c r="O887" s="123" t="s">
        <v>13338</v>
      </c>
      <c r="P887" s="367"/>
      <c r="Q887" s="261" t="s">
        <v>13767</v>
      </c>
      <c r="R887" s="449"/>
      <c r="S887" s="367"/>
      <c r="T887" s="276"/>
      <c r="U887" s="276"/>
      <c r="V887" s="276"/>
      <c r="W887" s="276"/>
      <c r="X887" s="276"/>
      <c r="Y887" s="276"/>
      <c r="Z887" s="276"/>
      <c r="AA887" s="276"/>
      <c r="AB887" s="276"/>
      <c r="AC887" s="276"/>
    </row>
    <row r="888">
      <c r="A888" s="92">
        <v>46056.0</v>
      </c>
      <c r="B888" s="107" t="s">
        <v>5767</v>
      </c>
      <c r="C888" s="107">
        <v>8.06015098187E11</v>
      </c>
      <c r="D888" s="107" t="s">
        <v>5768</v>
      </c>
      <c r="E888" s="107" t="s">
        <v>5769</v>
      </c>
      <c r="F888" s="107" t="s">
        <v>5770</v>
      </c>
      <c r="G888" s="107" t="s">
        <v>20</v>
      </c>
      <c r="H888" s="107" t="s">
        <v>20</v>
      </c>
      <c r="I888" s="107">
        <v>4400.0</v>
      </c>
      <c r="J888" s="31">
        <v>3.875376876E9</v>
      </c>
      <c r="K888" s="31" t="s">
        <v>106</v>
      </c>
      <c r="L888" s="31" t="s">
        <v>3670</v>
      </c>
      <c r="M888" s="33">
        <v>1.0</v>
      </c>
      <c r="N888" s="207">
        <v>46060.0</v>
      </c>
      <c r="O888" s="123" t="s">
        <v>13338</v>
      </c>
      <c r="P888" s="367"/>
      <c r="Q888" s="261" t="s">
        <v>13339</v>
      </c>
      <c r="R888" s="434" t="s">
        <v>13768</v>
      </c>
      <c r="S888" s="367"/>
      <c r="T888" s="276"/>
      <c r="U888" s="276"/>
      <c r="V888" s="276"/>
      <c r="W888" s="276"/>
      <c r="X888" s="276"/>
      <c r="Y888" s="276"/>
      <c r="Z888" s="276"/>
      <c r="AA888" s="276"/>
      <c r="AB888" s="276"/>
      <c r="AC888" s="276"/>
    </row>
    <row r="889">
      <c r="A889" s="92">
        <v>46056.0</v>
      </c>
      <c r="B889" s="107" t="s">
        <v>5772</v>
      </c>
      <c r="C889" s="107">
        <v>8.05011569708E11</v>
      </c>
      <c r="D889" s="107" t="s">
        <v>5773</v>
      </c>
      <c r="E889" s="107" t="s">
        <v>5774</v>
      </c>
      <c r="F889" s="107" t="s">
        <v>5775</v>
      </c>
      <c r="G889" s="107" t="s">
        <v>20</v>
      </c>
      <c r="H889" s="107" t="s">
        <v>20</v>
      </c>
      <c r="I889" s="107">
        <v>4400.0</v>
      </c>
      <c r="J889" s="31">
        <v>5.43874662178E11</v>
      </c>
      <c r="K889" s="31" t="s">
        <v>617</v>
      </c>
      <c r="L889" s="31" t="s">
        <v>3867</v>
      </c>
      <c r="M889" s="33">
        <v>1.0</v>
      </c>
      <c r="N889" s="207">
        <v>46062.0</v>
      </c>
      <c r="O889" s="123" t="s">
        <v>13338</v>
      </c>
      <c r="P889" s="367"/>
      <c r="Q889" s="261" t="s">
        <v>13769</v>
      </c>
      <c r="R889" s="434" t="s">
        <v>13770</v>
      </c>
      <c r="S889" s="367"/>
      <c r="T889" s="276"/>
      <c r="U889" s="276"/>
      <c r="V889" s="276"/>
      <c r="W889" s="276"/>
      <c r="X889" s="276"/>
      <c r="Y889" s="276"/>
      <c r="Z889" s="276"/>
      <c r="AA889" s="276"/>
      <c r="AB889" s="276"/>
      <c r="AC889" s="276"/>
    </row>
    <row r="890">
      <c r="A890" s="92">
        <v>46056.0</v>
      </c>
      <c r="B890" s="107" t="s">
        <v>5777</v>
      </c>
      <c r="C890" s="107">
        <v>8.05011569764E11</v>
      </c>
      <c r="D890" s="107" t="s">
        <v>5778</v>
      </c>
      <c r="E890" s="107" t="s">
        <v>5779</v>
      </c>
      <c r="F890" s="107" t="s">
        <v>5780</v>
      </c>
      <c r="G890" s="107" t="s">
        <v>3383</v>
      </c>
      <c r="H890" s="107" t="s">
        <v>20</v>
      </c>
      <c r="I890" s="107">
        <v>4449.0</v>
      </c>
      <c r="J890" s="31" t="s">
        <v>5781</v>
      </c>
      <c r="K890" s="31" t="s">
        <v>1040</v>
      </c>
      <c r="L890" s="31" t="s">
        <v>3294</v>
      </c>
      <c r="M890" s="33">
        <v>1.0</v>
      </c>
      <c r="N890" s="454">
        <v>46060.0</v>
      </c>
      <c r="O890" s="467" t="s">
        <v>13338</v>
      </c>
      <c r="P890" s="453"/>
      <c r="Q890" s="455" t="s">
        <v>13771</v>
      </c>
      <c r="R890" s="468" t="s">
        <v>13772</v>
      </c>
      <c r="S890" s="367"/>
      <c r="T890" s="276"/>
      <c r="U890" s="276"/>
      <c r="V890" s="276"/>
      <c r="W890" s="276"/>
      <c r="X890" s="276"/>
      <c r="Y890" s="276"/>
      <c r="Z890" s="276"/>
      <c r="AA890" s="276"/>
      <c r="AB890" s="276"/>
      <c r="AC890" s="276"/>
    </row>
    <row r="891">
      <c r="A891" s="92">
        <v>46056.0</v>
      </c>
      <c r="B891" s="107" t="s">
        <v>5782</v>
      </c>
      <c r="C891" s="107">
        <v>8.0702503487E11</v>
      </c>
      <c r="D891" s="107" t="s">
        <v>5783</v>
      </c>
      <c r="E891" s="107" t="s">
        <v>5784</v>
      </c>
      <c r="F891" s="107" t="s">
        <v>5785</v>
      </c>
      <c r="G891" s="107" t="s">
        <v>2907</v>
      </c>
      <c r="H891" s="107" t="s">
        <v>20</v>
      </c>
      <c r="I891" s="107">
        <v>4400.0</v>
      </c>
      <c r="J891" s="31">
        <v>3.87484506E9</v>
      </c>
      <c r="K891" s="31" t="s">
        <v>2171</v>
      </c>
      <c r="L891" s="31" t="s">
        <v>3446</v>
      </c>
      <c r="M891" s="33">
        <v>3.0</v>
      </c>
      <c r="N891" s="433">
        <v>46062.0</v>
      </c>
      <c r="O891" s="261" t="s">
        <v>13338</v>
      </c>
      <c r="P891" s="367"/>
      <c r="Q891" s="261" t="s">
        <v>13339</v>
      </c>
      <c r="R891" s="434" t="s">
        <v>13773</v>
      </c>
      <c r="S891" s="367"/>
      <c r="T891" s="276"/>
      <c r="U891" s="276"/>
      <c r="V891" s="276"/>
      <c r="W891" s="276"/>
      <c r="X891" s="276"/>
      <c r="Y891" s="276"/>
      <c r="Z891" s="276"/>
      <c r="AA891" s="276"/>
      <c r="AB891" s="276"/>
      <c r="AC891" s="276"/>
    </row>
    <row r="892">
      <c r="A892" s="92">
        <v>46056.0</v>
      </c>
      <c r="B892" s="107" t="s">
        <v>5786</v>
      </c>
      <c r="C892" s="107">
        <v>8.07025034883E11</v>
      </c>
      <c r="D892" s="107" t="s">
        <v>5787</v>
      </c>
      <c r="E892" s="107" t="s">
        <v>5788</v>
      </c>
      <c r="F892" s="107" t="s">
        <v>5789</v>
      </c>
      <c r="G892" s="107" t="s">
        <v>127</v>
      </c>
      <c r="H892" s="107" t="s">
        <v>20</v>
      </c>
      <c r="I892" s="107">
        <v>4400.0</v>
      </c>
      <c r="J892" s="31">
        <v>3.874034353E9</v>
      </c>
      <c r="K892" s="31" t="s">
        <v>2419</v>
      </c>
      <c r="L892" s="31" t="s">
        <v>5694</v>
      </c>
      <c r="M892" s="33">
        <v>1.0</v>
      </c>
      <c r="N892" s="207">
        <v>46060.0</v>
      </c>
      <c r="O892" s="123" t="s">
        <v>13338</v>
      </c>
      <c r="P892" s="367"/>
      <c r="Q892" s="261" t="s">
        <v>13339</v>
      </c>
      <c r="R892" s="434" t="s">
        <v>13774</v>
      </c>
      <c r="S892" s="367"/>
      <c r="T892" s="276"/>
      <c r="U892" s="276"/>
      <c r="V892" s="276"/>
      <c r="W892" s="276"/>
      <c r="X892" s="276"/>
      <c r="Y892" s="276"/>
      <c r="Z892" s="276"/>
      <c r="AA892" s="276"/>
      <c r="AB892" s="276"/>
      <c r="AC892" s="276"/>
    </row>
    <row r="893">
      <c r="A893" s="92">
        <v>46056.0</v>
      </c>
      <c r="B893" s="107" t="s">
        <v>5790</v>
      </c>
      <c r="C893" s="107">
        <v>8.05011570071E11</v>
      </c>
      <c r="D893" s="107" t="s">
        <v>5791</v>
      </c>
      <c r="E893" s="107" t="s">
        <v>5792</v>
      </c>
      <c r="F893" s="406" t="s">
        <v>5793</v>
      </c>
      <c r="G893" s="107" t="s">
        <v>163</v>
      </c>
      <c r="H893" s="107" t="s">
        <v>20</v>
      </c>
      <c r="I893" s="107">
        <v>4448.0</v>
      </c>
      <c r="J893" s="31">
        <v>2.932525898E9</v>
      </c>
      <c r="K893" s="31" t="s">
        <v>3054</v>
      </c>
      <c r="L893" s="31" t="s">
        <v>3346</v>
      </c>
      <c r="M893" s="33">
        <v>1.0</v>
      </c>
      <c r="N893" s="429">
        <v>46067.0</v>
      </c>
      <c r="O893" s="430" t="s">
        <v>13338</v>
      </c>
      <c r="P893" s="431"/>
      <c r="Q893" s="430" t="s">
        <v>13339</v>
      </c>
      <c r="R893" s="432" t="s">
        <v>13775</v>
      </c>
      <c r="S893" s="367"/>
      <c r="T893" s="276"/>
      <c r="U893" s="276"/>
      <c r="V893" s="276"/>
      <c r="W893" s="276"/>
      <c r="X893" s="276"/>
      <c r="Y893" s="276"/>
      <c r="Z893" s="276"/>
      <c r="AA893" s="276"/>
      <c r="AB893" s="276"/>
      <c r="AC893" s="276"/>
    </row>
    <row r="894">
      <c r="A894" s="92">
        <v>46056.0</v>
      </c>
      <c r="B894" s="107" t="s">
        <v>5790</v>
      </c>
      <c r="C894" s="107">
        <v>8.05011570071E11</v>
      </c>
      <c r="D894" s="107" t="s">
        <v>5791</v>
      </c>
      <c r="E894" s="107" t="s">
        <v>5792</v>
      </c>
      <c r="F894" s="406" t="s">
        <v>5793</v>
      </c>
      <c r="G894" s="107" t="s">
        <v>163</v>
      </c>
      <c r="H894" s="107" t="s">
        <v>20</v>
      </c>
      <c r="I894" s="107">
        <v>4448.0</v>
      </c>
      <c r="J894" s="31">
        <v>2.932525898E9</v>
      </c>
      <c r="K894" s="31" t="s">
        <v>512</v>
      </c>
      <c r="L894" s="31" t="s">
        <v>513</v>
      </c>
      <c r="M894" s="33">
        <v>6.0</v>
      </c>
      <c r="N894" s="209"/>
      <c r="O894" s="209"/>
      <c r="P894" s="209"/>
      <c r="Q894" s="209"/>
      <c r="R894" s="209"/>
      <c r="S894" s="367"/>
      <c r="T894" s="276"/>
      <c r="U894" s="276"/>
      <c r="V894" s="276"/>
      <c r="W894" s="276"/>
      <c r="X894" s="276"/>
      <c r="Y894" s="276"/>
      <c r="Z894" s="276"/>
      <c r="AA894" s="276"/>
      <c r="AB894" s="276"/>
      <c r="AC894" s="276"/>
    </row>
    <row r="895">
      <c r="A895" s="92">
        <v>46056.0</v>
      </c>
      <c r="B895" s="107" t="s">
        <v>5790</v>
      </c>
      <c r="C895" s="107">
        <v>8.05011570071E11</v>
      </c>
      <c r="D895" s="107" t="s">
        <v>5791</v>
      </c>
      <c r="E895" s="107" t="s">
        <v>5792</v>
      </c>
      <c r="F895" s="406" t="s">
        <v>5793</v>
      </c>
      <c r="G895" s="107" t="s">
        <v>163</v>
      </c>
      <c r="H895" s="107" t="s">
        <v>20</v>
      </c>
      <c r="I895" s="107">
        <v>4448.0</v>
      </c>
      <c r="J895" s="31">
        <v>2.932525898E9</v>
      </c>
      <c r="K895" s="31" t="s">
        <v>2031</v>
      </c>
      <c r="L895" s="31" t="s">
        <v>3348</v>
      </c>
      <c r="M895" s="33">
        <v>1.0</v>
      </c>
      <c r="N895" s="206"/>
      <c r="O895" s="206"/>
      <c r="P895" s="206"/>
      <c r="Q895" s="206"/>
      <c r="R895" s="206"/>
      <c r="S895" s="367"/>
      <c r="T895" s="276"/>
      <c r="U895" s="276"/>
      <c r="V895" s="276"/>
      <c r="W895" s="276"/>
      <c r="X895" s="276"/>
      <c r="Y895" s="276"/>
      <c r="Z895" s="276"/>
      <c r="AA895" s="276"/>
      <c r="AB895" s="276"/>
      <c r="AC895" s="276"/>
    </row>
    <row r="896">
      <c r="A896" s="92">
        <v>46056.0</v>
      </c>
      <c r="B896" s="107" t="s">
        <v>5795</v>
      </c>
      <c r="C896" s="107">
        <v>8.07025034935E11</v>
      </c>
      <c r="D896" s="107" t="s">
        <v>5796</v>
      </c>
      <c r="E896" s="107" t="s">
        <v>5797</v>
      </c>
      <c r="F896" s="107" t="s">
        <v>126</v>
      </c>
      <c r="G896" s="107" t="s">
        <v>127</v>
      </c>
      <c r="H896" s="107" t="s">
        <v>20</v>
      </c>
      <c r="I896" s="107">
        <v>4400.0</v>
      </c>
      <c r="J896" s="31">
        <v>3.874823797E9</v>
      </c>
      <c r="K896" s="31" t="s">
        <v>2956</v>
      </c>
      <c r="L896" s="31" t="s">
        <v>3327</v>
      </c>
      <c r="M896" s="33">
        <v>1.0</v>
      </c>
      <c r="N896" s="34"/>
      <c r="O896" s="34"/>
      <c r="P896" s="367"/>
      <c r="Q896" s="261"/>
      <c r="R896" s="449"/>
      <c r="S896" s="367"/>
      <c r="T896" s="276"/>
      <c r="U896" s="276"/>
      <c r="V896" s="276"/>
      <c r="W896" s="276"/>
      <c r="X896" s="276"/>
      <c r="Y896" s="276"/>
      <c r="Z896" s="276"/>
      <c r="AA896" s="276"/>
      <c r="AB896" s="276"/>
      <c r="AC896" s="276"/>
    </row>
    <row r="897">
      <c r="A897" s="92">
        <v>46056.0</v>
      </c>
      <c r="B897" s="107" t="s">
        <v>5795</v>
      </c>
      <c r="C897" s="107">
        <v>8.07025034935E11</v>
      </c>
      <c r="D897" s="107" t="s">
        <v>5796</v>
      </c>
      <c r="E897" s="107" t="s">
        <v>5797</v>
      </c>
      <c r="F897" s="107" t="s">
        <v>126</v>
      </c>
      <c r="G897" s="107" t="s">
        <v>127</v>
      </c>
      <c r="H897" s="107" t="s">
        <v>20</v>
      </c>
      <c r="I897" s="107">
        <v>4400.0</v>
      </c>
      <c r="J897" s="31">
        <v>3.874823797E9</v>
      </c>
      <c r="K897" s="31" t="s">
        <v>512</v>
      </c>
      <c r="L897" s="31" t="s">
        <v>513</v>
      </c>
      <c r="M897" s="33">
        <v>6.0</v>
      </c>
      <c r="N897" s="34"/>
      <c r="O897" s="34"/>
      <c r="P897" s="367"/>
      <c r="Q897" s="261" t="s">
        <v>13776</v>
      </c>
      <c r="R897" s="449"/>
      <c r="S897" s="367"/>
      <c r="T897" s="276"/>
      <c r="U897" s="276"/>
      <c r="V897" s="276"/>
      <c r="W897" s="276"/>
      <c r="X897" s="276"/>
      <c r="Y897" s="276"/>
      <c r="Z897" s="276"/>
      <c r="AA897" s="276"/>
      <c r="AB897" s="276"/>
      <c r="AC897" s="276"/>
    </row>
    <row r="898">
      <c r="A898" s="92">
        <v>46056.0</v>
      </c>
      <c r="B898" s="107" t="s">
        <v>5795</v>
      </c>
      <c r="C898" s="107">
        <v>8.07025034935E11</v>
      </c>
      <c r="D898" s="107" t="s">
        <v>5796</v>
      </c>
      <c r="E898" s="107" t="s">
        <v>5797</v>
      </c>
      <c r="F898" s="107" t="s">
        <v>126</v>
      </c>
      <c r="G898" s="107" t="s">
        <v>127</v>
      </c>
      <c r="H898" s="107" t="s">
        <v>20</v>
      </c>
      <c r="I898" s="107">
        <v>4400.0</v>
      </c>
      <c r="J898" s="31">
        <v>3.874823797E9</v>
      </c>
      <c r="K898" s="31" t="s">
        <v>670</v>
      </c>
      <c r="L898" s="31" t="s">
        <v>3410</v>
      </c>
      <c r="M898" s="33">
        <v>1.0</v>
      </c>
      <c r="N898" s="34"/>
      <c r="O898" s="34"/>
      <c r="P898" s="367"/>
      <c r="Q898" s="261"/>
      <c r="R898" s="449"/>
      <c r="S898" s="367"/>
      <c r="T898" s="276"/>
      <c r="U898" s="276"/>
      <c r="V898" s="276"/>
      <c r="W898" s="276"/>
      <c r="X898" s="276"/>
      <c r="Y898" s="276"/>
      <c r="Z898" s="276"/>
      <c r="AA898" s="276"/>
      <c r="AB898" s="276"/>
      <c r="AC898" s="276"/>
    </row>
    <row r="899">
      <c r="A899" s="92">
        <v>46056.0</v>
      </c>
      <c r="B899" s="107" t="s">
        <v>5798</v>
      </c>
      <c r="C899" s="107">
        <v>8.07025034937E11</v>
      </c>
      <c r="D899" s="107" t="s">
        <v>5799</v>
      </c>
      <c r="E899" s="107" t="s">
        <v>5800</v>
      </c>
      <c r="F899" s="107" t="s">
        <v>126</v>
      </c>
      <c r="G899" s="107" t="s">
        <v>127</v>
      </c>
      <c r="H899" s="107" t="s">
        <v>20</v>
      </c>
      <c r="I899" s="107">
        <v>4400.0</v>
      </c>
      <c r="J899" s="31">
        <v>3.876831444E9</v>
      </c>
      <c r="K899" s="31" t="s">
        <v>4133</v>
      </c>
      <c r="L899" s="31" t="s">
        <v>4134</v>
      </c>
      <c r="M899" s="33">
        <v>1.0</v>
      </c>
      <c r="N899" s="34"/>
      <c r="O899" s="34"/>
      <c r="P899" s="367"/>
      <c r="Q899" s="261"/>
      <c r="R899" s="449"/>
      <c r="S899" s="367"/>
      <c r="T899" s="276"/>
      <c r="U899" s="276"/>
      <c r="V899" s="276"/>
      <c r="W899" s="276"/>
      <c r="X899" s="276"/>
      <c r="Y899" s="276"/>
      <c r="Z899" s="276"/>
      <c r="AA899" s="276"/>
      <c r="AB899" s="276"/>
      <c r="AC899" s="276"/>
    </row>
    <row r="900">
      <c r="A900" s="92">
        <v>46056.0</v>
      </c>
      <c r="B900" s="107" t="s">
        <v>5798</v>
      </c>
      <c r="C900" s="107">
        <v>8.07025034937E11</v>
      </c>
      <c r="D900" s="107" t="s">
        <v>5799</v>
      </c>
      <c r="E900" s="107" t="s">
        <v>5800</v>
      </c>
      <c r="F900" s="107" t="s">
        <v>126</v>
      </c>
      <c r="G900" s="107" t="s">
        <v>127</v>
      </c>
      <c r="H900" s="107" t="s">
        <v>20</v>
      </c>
      <c r="I900" s="107">
        <v>4400.0</v>
      </c>
      <c r="J900" s="31">
        <v>3.876831444E9</v>
      </c>
      <c r="K900" s="31" t="s">
        <v>512</v>
      </c>
      <c r="L900" s="31" t="s">
        <v>513</v>
      </c>
      <c r="M900" s="33">
        <v>12.0</v>
      </c>
      <c r="N900" s="34"/>
      <c r="O900" s="34"/>
      <c r="P900" s="367"/>
      <c r="Q900" s="261" t="s">
        <v>13777</v>
      </c>
      <c r="R900" s="449"/>
      <c r="S900" s="367"/>
      <c r="T900" s="276"/>
      <c r="U900" s="276"/>
      <c r="V900" s="276"/>
      <c r="W900" s="276"/>
      <c r="X900" s="276"/>
      <c r="Y900" s="276"/>
      <c r="Z900" s="276"/>
      <c r="AA900" s="276"/>
      <c r="AB900" s="276"/>
      <c r="AC900" s="276"/>
    </row>
    <row r="901">
      <c r="A901" s="92">
        <v>46056.0</v>
      </c>
      <c r="B901" s="107" t="s">
        <v>5798</v>
      </c>
      <c r="C901" s="107">
        <v>8.07025034937E11</v>
      </c>
      <c r="D901" s="107" t="s">
        <v>5799</v>
      </c>
      <c r="E901" s="107" t="s">
        <v>5800</v>
      </c>
      <c r="F901" s="107" t="s">
        <v>126</v>
      </c>
      <c r="G901" s="107" t="s">
        <v>127</v>
      </c>
      <c r="H901" s="107" t="s">
        <v>20</v>
      </c>
      <c r="I901" s="107">
        <v>4400.0</v>
      </c>
      <c r="J901" s="31">
        <v>3.876831444E9</v>
      </c>
      <c r="K901" s="31" t="s">
        <v>340</v>
      </c>
      <c r="L901" s="31" t="s">
        <v>3486</v>
      </c>
      <c r="M901" s="33">
        <v>2.0</v>
      </c>
      <c r="N901" s="34"/>
      <c r="O901" s="34"/>
      <c r="P901" s="367"/>
      <c r="Q901" s="261"/>
      <c r="R901" s="449"/>
      <c r="S901" s="367"/>
      <c r="T901" s="276"/>
      <c r="U901" s="276"/>
      <c r="V901" s="276"/>
      <c r="W901" s="276"/>
      <c r="X901" s="276"/>
      <c r="Y901" s="276"/>
      <c r="Z901" s="276"/>
      <c r="AA901" s="276"/>
      <c r="AB901" s="276"/>
      <c r="AC901" s="276"/>
    </row>
    <row r="902">
      <c r="A902" s="92">
        <v>46056.0</v>
      </c>
      <c r="B902" s="107" t="s">
        <v>5801</v>
      </c>
      <c r="C902" s="107">
        <v>8.0702503492E11</v>
      </c>
      <c r="D902" s="107" t="s">
        <v>5802</v>
      </c>
      <c r="E902" s="107" t="s">
        <v>5803</v>
      </c>
      <c r="F902" s="107" t="s">
        <v>5804</v>
      </c>
      <c r="G902" s="107" t="s">
        <v>20</v>
      </c>
      <c r="H902" s="107" t="s">
        <v>20</v>
      </c>
      <c r="I902" s="107">
        <v>4400.0</v>
      </c>
      <c r="J902" s="31">
        <v>3.874556605E9</v>
      </c>
      <c r="K902" s="31">
        <v>125803.0</v>
      </c>
      <c r="L902" s="31" t="s">
        <v>5805</v>
      </c>
      <c r="M902" s="33">
        <v>2.0</v>
      </c>
      <c r="N902" s="207">
        <v>46060.0</v>
      </c>
      <c r="O902" s="123" t="s">
        <v>13338</v>
      </c>
      <c r="P902" s="367"/>
      <c r="Q902" s="261" t="s">
        <v>13778</v>
      </c>
      <c r="R902" s="434" t="s">
        <v>13779</v>
      </c>
      <c r="S902" s="367"/>
      <c r="T902" s="276"/>
      <c r="U902" s="276"/>
      <c r="V902" s="276"/>
      <c r="W902" s="276"/>
      <c r="X902" s="276"/>
      <c r="Y902" s="276"/>
      <c r="Z902" s="276"/>
      <c r="AA902" s="276"/>
      <c r="AB902" s="276"/>
      <c r="AC902" s="276"/>
    </row>
    <row r="903">
      <c r="A903" s="108" t="s">
        <v>11936</v>
      </c>
      <c r="B903" s="173">
        <v>46057.0</v>
      </c>
      <c r="C903" s="374">
        <v>8.07000034919E11</v>
      </c>
      <c r="D903" s="374" t="s">
        <v>5802</v>
      </c>
      <c r="E903" s="374" t="s">
        <v>5803</v>
      </c>
      <c r="F903" s="177" t="s">
        <v>5804</v>
      </c>
      <c r="G903" s="177" t="s">
        <v>20</v>
      </c>
      <c r="H903" s="177">
        <v>4400.0</v>
      </c>
      <c r="I903" s="176" t="s">
        <v>761</v>
      </c>
      <c r="J903" s="374" t="s">
        <v>3761</v>
      </c>
      <c r="K903" s="177">
        <v>1.0</v>
      </c>
      <c r="L903" s="174">
        <v>3.874556605E9</v>
      </c>
      <c r="M903" s="33"/>
      <c r="N903" s="429">
        <v>46060.0</v>
      </c>
      <c r="O903" s="430" t="s">
        <v>13338</v>
      </c>
      <c r="P903" s="431"/>
      <c r="Q903" s="430" t="s">
        <v>13778</v>
      </c>
      <c r="R903" s="432" t="s">
        <v>13760</v>
      </c>
      <c r="S903" s="367"/>
      <c r="T903" s="276"/>
      <c r="U903" s="276"/>
      <c r="V903" s="276"/>
      <c r="W903" s="276"/>
      <c r="X903" s="276"/>
      <c r="Y903" s="276"/>
      <c r="Z903" s="276"/>
      <c r="AA903" s="276"/>
      <c r="AB903" s="276"/>
      <c r="AC903" s="276"/>
    </row>
    <row r="904">
      <c r="A904" s="108" t="s">
        <v>11936</v>
      </c>
      <c r="B904" s="173">
        <v>46057.0</v>
      </c>
      <c r="C904" s="374">
        <v>8.07000034919E11</v>
      </c>
      <c r="D904" s="374" t="s">
        <v>5802</v>
      </c>
      <c r="E904" s="374" t="s">
        <v>5803</v>
      </c>
      <c r="F904" s="177" t="s">
        <v>5804</v>
      </c>
      <c r="G904" s="177" t="s">
        <v>20</v>
      </c>
      <c r="H904" s="177">
        <v>4400.0</v>
      </c>
      <c r="I904" s="176" t="s">
        <v>512</v>
      </c>
      <c r="J904" s="374" t="s">
        <v>513</v>
      </c>
      <c r="K904" s="177">
        <v>12.0</v>
      </c>
      <c r="L904" s="174">
        <v>3.874556605E9</v>
      </c>
      <c r="M904" s="33"/>
      <c r="N904" s="209"/>
      <c r="O904" s="209"/>
      <c r="P904" s="209"/>
      <c r="Q904" s="209"/>
      <c r="R904" s="209"/>
      <c r="S904" s="367"/>
      <c r="T904" s="276"/>
      <c r="U904" s="276"/>
      <c r="V904" s="276"/>
      <c r="W904" s="276"/>
      <c r="X904" s="276"/>
      <c r="Y904" s="276"/>
      <c r="Z904" s="276"/>
      <c r="AA904" s="276"/>
      <c r="AB904" s="276"/>
      <c r="AC904" s="276"/>
    </row>
    <row r="905">
      <c r="A905" s="108" t="s">
        <v>11936</v>
      </c>
      <c r="B905" s="173">
        <v>46057.0</v>
      </c>
      <c r="C905" s="374">
        <v>8.07000034919E11</v>
      </c>
      <c r="D905" s="374" t="s">
        <v>5802</v>
      </c>
      <c r="E905" s="374" t="s">
        <v>5803</v>
      </c>
      <c r="F905" s="177" t="s">
        <v>5804</v>
      </c>
      <c r="G905" s="177" t="s">
        <v>20</v>
      </c>
      <c r="H905" s="177">
        <v>4400.0</v>
      </c>
      <c r="I905" s="176" t="s">
        <v>758</v>
      </c>
      <c r="J905" s="374" t="s">
        <v>3574</v>
      </c>
      <c r="K905" s="177">
        <v>2.0</v>
      </c>
      <c r="L905" s="174">
        <v>3.874556605E9</v>
      </c>
      <c r="M905" s="33"/>
      <c r="N905" s="206"/>
      <c r="O905" s="206"/>
      <c r="P905" s="206"/>
      <c r="Q905" s="206"/>
      <c r="R905" s="206"/>
      <c r="S905" s="367"/>
      <c r="T905" s="276"/>
      <c r="U905" s="276"/>
      <c r="V905" s="276"/>
      <c r="W905" s="276"/>
      <c r="X905" s="276"/>
      <c r="Y905" s="276"/>
      <c r="Z905" s="276"/>
      <c r="AA905" s="276"/>
      <c r="AB905" s="276"/>
      <c r="AC905" s="276"/>
    </row>
    <row r="906">
      <c r="A906" s="92">
        <v>46056.0</v>
      </c>
      <c r="B906" s="107" t="s">
        <v>5807</v>
      </c>
      <c r="C906" s="107">
        <v>8.07025034903E11</v>
      </c>
      <c r="D906" s="107" t="s">
        <v>5808</v>
      </c>
      <c r="E906" s="107" t="s">
        <v>5809</v>
      </c>
      <c r="F906" s="107" t="s">
        <v>5810</v>
      </c>
      <c r="G906" s="107" t="s">
        <v>127</v>
      </c>
      <c r="H906" s="107" t="s">
        <v>20</v>
      </c>
      <c r="I906" s="107">
        <v>4400.0</v>
      </c>
      <c r="J906" s="31">
        <v>3.874068039E9</v>
      </c>
      <c r="K906" s="31" t="s">
        <v>3641</v>
      </c>
      <c r="L906" s="31" t="s">
        <v>3642</v>
      </c>
      <c r="M906" s="33">
        <v>1.0</v>
      </c>
      <c r="N906" s="429">
        <v>46059.0</v>
      </c>
      <c r="O906" s="430" t="s">
        <v>13780</v>
      </c>
      <c r="P906" s="431"/>
      <c r="Q906" s="430" t="s">
        <v>13781</v>
      </c>
      <c r="R906" s="432" t="s">
        <v>13782</v>
      </c>
      <c r="S906" s="367"/>
      <c r="T906" s="276"/>
      <c r="U906" s="276"/>
      <c r="V906" s="276"/>
      <c r="W906" s="276"/>
      <c r="X906" s="276"/>
      <c r="Y906" s="276"/>
      <c r="Z906" s="276"/>
      <c r="AA906" s="276"/>
      <c r="AB906" s="276"/>
      <c r="AC906" s="276"/>
    </row>
    <row r="907">
      <c r="A907" s="92">
        <v>46056.0</v>
      </c>
      <c r="B907" s="107" t="s">
        <v>5807</v>
      </c>
      <c r="C907" s="107">
        <v>8.07025034903E11</v>
      </c>
      <c r="D907" s="107" t="s">
        <v>5808</v>
      </c>
      <c r="E907" s="107" t="s">
        <v>5809</v>
      </c>
      <c r="F907" s="107" t="s">
        <v>5810</v>
      </c>
      <c r="G907" s="107" t="s">
        <v>127</v>
      </c>
      <c r="H907" s="107" t="s">
        <v>20</v>
      </c>
      <c r="I907" s="107">
        <v>4400.0</v>
      </c>
      <c r="J907" s="31">
        <v>3.874068039E9</v>
      </c>
      <c r="K907" s="31" t="s">
        <v>4793</v>
      </c>
      <c r="L907" s="31" t="s">
        <v>4794</v>
      </c>
      <c r="M907" s="33">
        <v>1.0</v>
      </c>
      <c r="N907" s="206"/>
      <c r="O907" s="206"/>
      <c r="P907" s="206"/>
      <c r="Q907" s="206"/>
      <c r="R907" s="206"/>
      <c r="S907" s="367"/>
      <c r="T907" s="276"/>
      <c r="U907" s="276"/>
      <c r="V907" s="276"/>
      <c r="W907" s="276"/>
      <c r="X907" s="276"/>
      <c r="Y907" s="276"/>
      <c r="Z907" s="276"/>
      <c r="AA907" s="276"/>
      <c r="AB907" s="276"/>
      <c r="AC907" s="276"/>
    </row>
    <row r="908">
      <c r="A908" s="420"/>
      <c r="B908" s="172"/>
      <c r="C908" s="172"/>
      <c r="D908" s="172"/>
      <c r="E908" s="172"/>
      <c r="F908" s="172"/>
      <c r="G908" s="172"/>
      <c r="H908" s="172"/>
      <c r="I908" s="172"/>
      <c r="J908" s="88"/>
      <c r="K908" s="88"/>
      <c r="L908" s="88"/>
      <c r="M908" s="89"/>
      <c r="N908" s="97"/>
      <c r="O908" s="97"/>
      <c r="P908" s="367"/>
      <c r="Q908" s="261"/>
      <c r="R908" s="449"/>
      <c r="S908" s="367"/>
      <c r="T908" s="276"/>
      <c r="U908" s="276"/>
      <c r="V908" s="276"/>
      <c r="W908" s="276"/>
      <c r="X908" s="276"/>
      <c r="Y908" s="276"/>
      <c r="Z908" s="276"/>
      <c r="AA908" s="276"/>
      <c r="AB908" s="276"/>
      <c r="AC908" s="276"/>
    </row>
    <row r="909">
      <c r="A909" s="92">
        <v>46063.0</v>
      </c>
      <c r="B909" s="107" t="s">
        <v>5811</v>
      </c>
      <c r="C909" s="107">
        <v>8.05011570537E11</v>
      </c>
      <c r="D909" s="107" t="s">
        <v>5812</v>
      </c>
      <c r="E909" s="107" t="s">
        <v>5813</v>
      </c>
      <c r="F909" s="107" t="s">
        <v>5814</v>
      </c>
      <c r="G909" s="107" t="s">
        <v>582</v>
      </c>
      <c r="H909" s="107" t="s">
        <v>20</v>
      </c>
      <c r="I909" s="107">
        <v>4407.0</v>
      </c>
      <c r="J909" s="31">
        <v>3.874103676E9</v>
      </c>
      <c r="K909" s="31" t="s">
        <v>3431</v>
      </c>
      <c r="L909" s="31" t="s">
        <v>3432</v>
      </c>
      <c r="M909" s="33">
        <v>1.0</v>
      </c>
      <c r="N909" s="429">
        <v>46067.0</v>
      </c>
      <c r="O909" s="430" t="s">
        <v>13338</v>
      </c>
      <c r="P909" s="431"/>
      <c r="Q909" s="430" t="s">
        <v>13339</v>
      </c>
      <c r="R909" s="432" t="s">
        <v>13783</v>
      </c>
      <c r="S909" s="367"/>
      <c r="T909" s="276"/>
      <c r="U909" s="276"/>
      <c r="V909" s="276"/>
      <c r="W909" s="276"/>
      <c r="X909" s="276"/>
      <c r="Y909" s="276"/>
      <c r="Z909" s="276"/>
      <c r="AA909" s="276"/>
      <c r="AB909" s="276"/>
      <c r="AC909" s="276"/>
    </row>
    <row r="910">
      <c r="A910" s="92">
        <v>46063.0</v>
      </c>
      <c r="B910" s="107" t="s">
        <v>5811</v>
      </c>
      <c r="C910" s="107">
        <v>8.05011570537E11</v>
      </c>
      <c r="D910" s="107" t="s">
        <v>5812</v>
      </c>
      <c r="E910" s="107" t="s">
        <v>5813</v>
      </c>
      <c r="F910" s="107" t="s">
        <v>5814</v>
      </c>
      <c r="G910" s="107" t="s">
        <v>582</v>
      </c>
      <c r="H910" s="107" t="s">
        <v>20</v>
      </c>
      <c r="I910" s="107">
        <v>4407.0</v>
      </c>
      <c r="J910" s="31">
        <v>3.874103676E9</v>
      </c>
      <c r="K910" s="31" t="s">
        <v>512</v>
      </c>
      <c r="L910" s="31" t="s">
        <v>513</v>
      </c>
      <c r="M910" s="33">
        <v>6.0</v>
      </c>
      <c r="N910" s="209"/>
      <c r="O910" s="209"/>
      <c r="P910" s="209"/>
      <c r="Q910" s="209"/>
      <c r="R910" s="209"/>
      <c r="S910" s="367"/>
      <c r="T910" s="276"/>
      <c r="U910" s="276"/>
      <c r="V910" s="276"/>
      <c r="W910" s="276"/>
      <c r="X910" s="276"/>
      <c r="Y910" s="276"/>
      <c r="Z910" s="276"/>
      <c r="AA910" s="276"/>
      <c r="AB910" s="276"/>
      <c r="AC910" s="276"/>
    </row>
    <row r="911">
      <c r="A911" s="92">
        <v>46063.0</v>
      </c>
      <c r="B911" s="107" t="s">
        <v>5811</v>
      </c>
      <c r="C911" s="107">
        <v>8.05011570537E11</v>
      </c>
      <c r="D911" s="107" t="s">
        <v>5812</v>
      </c>
      <c r="E911" s="107" t="s">
        <v>5813</v>
      </c>
      <c r="F911" s="107" t="s">
        <v>5814</v>
      </c>
      <c r="G911" s="107" t="s">
        <v>582</v>
      </c>
      <c r="H911" s="107" t="s">
        <v>20</v>
      </c>
      <c r="I911" s="107">
        <v>4407.0</v>
      </c>
      <c r="J911" s="31">
        <v>3.874103676E9</v>
      </c>
      <c r="K911" s="31" t="s">
        <v>670</v>
      </c>
      <c r="L911" s="31" t="s">
        <v>3410</v>
      </c>
      <c r="M911" s="33">
        <v>1.0</v>
      </c>
      <c r="N911" s="206"/>
      <c r="O911" s="206"/>
      <c r="P911" s="206"/>
      <c r="Q911" s="206"/>
      <c r="R911" s="206"/>
      <c r="S911" s="367"/>
      <c r="T911" s="276"/>
      <c r="U911" s="276"/>
      <c r="V911" s="276"/>
      <c r="W911" s="276"/>
      <c r="X911" s="276"/>
      <c r="Y911" s="276"/>
      <c r="Z911" s="276"/>
      <c r="AA911" s="276"/>
      <c r="AB911" s="276"/>
      <c r="AC911" s="276"/>
    </row>
    <row r="912">
      <c r="A912" s="92">
        <v>46063.0</v>
      </c>
      <c r="B912" s="107" t="s">
        <v>5815</v>
      </c>
      <c r="C912" s="107">
        <v>8.07025034878E11</v>
      </c>
      <c r="D912" s="107" t="s">
        <v>3560</v>
      </c>
      <c r="E912" s="107" t="s">
        <v>3561</v>
      </c>
      <c r="F912" s="107" t="s">
        <v>5816</v>
      </c>
      <c r="G912" s="107" t="s">
        <v>2811</v>
      </c>
      <c r="H912" s="107" t="s">
        <v>20</v>
      </c>
      <c r="I912" s="107">
        <v>4400.0</v>
      </c>
      <c r="J912" s="31">
        <v>3.874859192E9</v>
      </c>
      <c r="K912" s="31" t="s">
        <v>5817</v>
      </c>
      <c r="L912" s="31" t="s">
        <v>5417</v>
      </c>
      <c r="M912" s="33">
        <v>1.0</v>
      </c>
      <c r="N912" s="429">
        <v>46071.0</v>
      </c>
      <c r="O912" s="430" t="s">
        <v>13338</v>
      </c>
      <c r="P912" s="431"/>
      <c r="Q912" s="430" t="s">
        <v>13784</v>
      </c>
      <c r="R912" s="432" t="s">
        <v>13785</v>
      </c>
      <c r="S912" s="367"/>
      <c r="T912" s="276"/>
      <c r="U912" s="276"/>
      <c r="V912" s="276"/>
      <c r="W912" s="276"/>
      <c r="X912" s="276"/>
      <c r="Y912" s="276"/>
      <c r="Z912" s="276"/>
      <c r="AA912" s="276"/>
      <c r="AB912" s="276"/>
      <c r="AC912" s="276"/>
    </row>
    <row r="913">
      <c r="A913" s="92">
        <v>46063.0</v>
      </c>
      <c r="B913" s="107" t="s">
        <v>5815</v>
      </c>
      <c r="C913" s="107">
        <v>8.07025034878E11</v>
      </c>
      <c r="D913" s="107" t="s">
        <v>3560</v>
      </c>
      <c r="E913" s="107" t="s">
        <v>3561</v>
      </c>
      <c r="F913" s="107" t="s">
        <v>5816</v>
      </c>
      <c r="G913" s="107" t="s">
        <v>2811</v>
      </c>
      <c r="H913" s="107" t="s">
        <v>20</v>
      </c>
      <c r="I913" s="107">
        <v>4400.0</v>
      </c>
      <c r="J913" s="31">
        <v>3.874859192E9</v>
      </c>
      <c r="K913" s="31" t="s">
        <v>1756</v>
      </c>
      <c r="L913" s="31" t="s">
        <v>5005</v>
      </c>
      <c r="M913" s="33">
        <v>1.0</v>
      </c>
      <c r="N913" s="206"/>
      <c r="O913" s="206"/>
      <c r="P913" s="206"/>
      <c r="Q913" s="206"/>
      <c r="R913" s="206"/>
      <c r="S913" s="367"/>
      <c r="T913" s="276"/>
      <c r="U913" s="276"/>
      <c r="V913" s="276"/>
      <c r="W913" s="276"/>
      <c r="X913" s="276"/>
      <c r="Y913" s="276"/>
      <c r="Z913" s="276"/>
      <c r="AA913" s="276"/>
      <c r="AB913" s="276"/>
      <c r="AC913" s="276"/>
    </row>
    <row r="914">
      <c r="A914" s="92">
        <v>46063.0</v>
      </c>
      <c r="B914" s="107" t="s">
        <v>5818</v>
      </c>
      <c r="C914" s="107">
        <v>8.07025034995E11</v>
      </c>
      <c r="D914" s="107" t="s">
        <v>5819</v>
      </c>
      <c r="E914" s="107" t="s">
        <v>5820</v>
      </c>
      <c r="F914" s="107" t="s">
        <v>5821</v>
      </c>
      <c r="G914" s="107" t="s">
        <v>4611</v>
      </c>
      <c r="H914" s="107" t="s">
        <v>20</v>
      </c>
      <c r="I914" s="107">
        <v>4400.0</v>
      </c>
      <c r="J914" s="31">
        <v>3.87864138E9</v>
      </c>
      <c r="K914" s="31" t="s">
        <v>4976</v>
      </c>
      <c r="L914" s="31" t="s">
        <v>4977</v>
      </c>
      <c r="M914" s="33">
        <v>1.0</v>
      </c>
      <c r="N914" s="433">
        <v>46072.0</v>
      </c>
      <c r="O914" s="261" t="s">
        <v>13338</v>
      </c>
      <c r="P914" s="367"/>
      <c r="Q914" s="261" t="s">
        <v>13786</v>
      </c>
      <c r="R914" s="434" t="s">
        <v>13787</v>
      </c>
      <c r="S914" s="367"/>
      <c r="T914" s="276"/>
      <c r="U914" s="276"/>
      <c r="V914" s="276"/>
      <c r="W914" s="276"/>
      <c r="X914" s="276"/>
      <c r="Y914" s="276"/>
      <c r="Z914" s="276"/>
      <c r="AA914" s="276"/>
      <c r="AB914" s="276"/>
      <c r="AC914" s="276"/>
    </row>
    <row r="915">
      <c r="A915" s="92">
        <v>46063.0</v>
      </c>
      <c r="B915" s="107" t="s">
        <v>5822</v>
      </c>
      <c r="C915" s="107">
        <v>8.05011570823E11</v>
      </c>
      <c r="D915" s="107" t="s">
        <v>5823</v>
      </c>
      <c r="E915" s="107" t="s">
        <v>5824</v>
      </c>
      <c r="F915" s="107" t="s">
        <v>5825</v>
      </c>
      <c r="G915" s="107" t="s">
        <v>5826</v>
      </c>
      <c r="H915" s="107" t="s">
        <v>20</v>
      </c>
      <c r="I915" s="107">
        <v>4561.0</v>
      </c>
      <c r="J915" s="31">
        <v>3.874440384E9</v>
      </c>
      <c r="K915" s="31" t="s">
        <v>5034</v>
      </c>
      <c r="L915" s="31" t="s">
        <v>5035</v>
      </c>
      <c r="M915" s="33">
        <v>1.0</v>
      </c>
      <c r="N915" s="469">
        <v>46072.0</v>
      </c>
      <c r="O915" s="430" t="s">
        <v>13338</v>
      </c>
      <c r="P915" s="431"/>
      <c r="Q915" s="430" t="s">
        <v>13788</v>
      </c>
      <c r="R915" s="432" t="s">
        <v>13789</v>
      </c>
      <c r="S915" s="367"/>
      <c r="T915" s="276"/>
      <c r="U915" s="276"/>
      <c r="V915" s="276"/>
      <c r="W915" s="276"/>
      <c r="X915" s="276"/>
      <c r="Y915" s="276"/>
      <c r="Z915" s="276"/>
      <c r="AA915" s="276"/>
      <c r="AB915" s="276"/>
      <c r="AC915" s="276"/>
    </row>
    <row r="916">
      <c r="A916" s="92">
        <v>46063.0</v>
      </c>
      <c r="B916" s="107" t="s">
        <v>5822</v>
      </c>
      <c r="C916" s="107">
        <v>8.05011570823E11</v>
      </c>
      <c r="D916" s="107" t="s">
        <v>5823</v>
      </c>
      <c r="E916" s="107" t="s">
        <v>5824</v>
      </c>
      <c r="F916" s="107" t="s">
        <v>5825</v>
      </c>
      <c r="G916" s="107" t="s">
        <v>5826</v>
      </c>
      <c r="H916" s="107" t="s">
        <v>20</v>
      </c>
      <c r="I916" s="107">
        <v>4561.0</v>
      </c>
      <c r="J916" s="31">
        <v>3.874440384E9</v>
      </c>
      <c r="K916" s="31" t="s">
        <v>512</v>
      </c>
      <c r="L916" s="31" t="s">
        <v>513</v>
      </c>
      <c r="M916" s="33">
        <v>6.0</v>
      </c>
      <c r="N916" s="209"/>
      <c r="O916" s="209"/>
      <c r="P916" s="209"/>
      <c r="Q916" s="209"/>
      <c r="R916" s="209"/>
      <c r="S916" s="367"/>
      <c r="T916" s="276"/>
      <c r="U916" s="276"/>
      <c r="V916" s="276"/>
      <c r="W916" s="276"/>
      <c r="X916" s="276"/>
      <c r="Y916" s="276"/>
      <c r="Z916" s="276"/>
      <c r="AA916" s="276"/>
      <c r="AB916" s="276"/>
      <c r="AC916" s="276"/>
    </row>
    <row r="917">
      <c r="A917" s="92">
        <v>46063.0</v>
      </c>
      <c r="B917" s="107" t="s">
        <v>5822</v>
      </c>
      <c r="C917" s="107">
        <v>8.05011570823E11</v>
      </c>
      <c r="D917" s="107" t="s">
        <v>5823</v>
      </c>
      <c r="E917" s="107" t="s">
        <v>5824</v>
      </c>
      <c r="F917" s="107" t="s">
        <v>5825</v>
      </c>
      <c r="G917" s="107" t="s">
        <v>5826</v>
      </c>
      <c r="H917" s="107" t="s">
        <v>20</v>
      </c>
      <c r="I917" s="107">
        <v>4561.0</v>
      </c>
      <c r="J917" s="31">
        <v>3.874440384E9</v>
      </c>
      <c r="K917" s="31" t="s">
        <v>670</v>
      </c>
      <c r="L917" s="31" t="s">
        <v>3410</v>
      </c>
      <c r="M917" s="33">
        <v>1.0</v>
      </c>
      <c r="N917" s="206"/>
      <c r="O917" s="206"/>
      <c r="P917" s="206"/>
      <c r="Q917" s="206"/>
      <c r="R917" s="206"/>
      <c r="S917" s="367"/>
      <c r="T917" s="276"/>
      <c r="U917" s="276"/>
      <c r="V917" s="276"/>
      <c r="W917" s="276"/>
      <c r="X917" s="276"/>
      <c r="Y917" s="276"/>
      <c r="Z917" s="276"/>
      <c r="AA917" s="276"/>
      <c r="AB917" s="276"/>
      <c r="AC917" s="276"/>
    </row>
    <row r="918">
      <c r="A918" s="92">
        <v>46063.0</v>
      </c>
      <c r="B918" s="107" t="s">
        <v>5827</v>
      </c>
      <c r="C918" s="107">
        <v>8.05011570821E11</v>
      </c>
      <c r="D918" s="107" t="s">
        <v>5828</v>
      </c>
      <c r="E918" s="107" t="s">
        <v>5829</v>
      </c>
      <c r="F918" s="107" t="s">
        <v>5830</v>
      </c>
      <c r="G918" s="107" t="s">
        <v>20</v>
      </c>
      <c r="H918" s="107" t="s">
        <v>20</v>
      </c>
      <c r="I918" s="107">
        <v>4400.0</v>
      </c>
      <c r="J918" s="31">
        <v>3.876195654E9</v>
      </c>
      <c r="K918" s="31" t="s">
        <v>5551</v>
      </c>
      <c r="L918" s="31" t="s">
        <v>5552</v>
      </c>
      <c r="M918" s="33">
        <v>1.0</v>
      </c>
      <c r="N918" s="469">
        <v>46073.0</v>
      </c>
      <c r="O918" s="430" t="s">
        <v>13338</v>
      </c>
      <c r="P918" s="431"/>
      <c r="Q918" s="430" t="s">
        <v>13339</v>
      </c>
      <c r="R918" s="432" t="s">
        <v>13790</v>
      </c>
      <c r="S918" s="367"/>
      <c r="T918" s="276"/>
      <c r="U918" s="276"/>
      <c r="V918" s="276"/>
      <c r="W918" s="276"/>
      <c r="X918" s="276"/>
      <c r="Y918" s="276"/>
      <c r="Z918" s="276"/>
      <c r="AA918" s="276"/>
      <c r="AB918" s="276"/>
      <c r="AC918" s="276"/>
    </row>
    <row r="919">
      <c r="A919" s="92">
        <v>46063.0</v>
      </c>
      <c r="B919" s="107" t="s">
        <v>5827</v>
      </c>
      <c r="C919" s="107">
        <v>8.05011570821E11</v>
      </c>
      <c r="D919" s="107" t="s">
        <v>5828</v>
      </c>
      <c r="E919" s="107" t="s">
        <v>5829</v>
      </c>
      <c r="F919" s="107" t="s">
        <v>5830</v>
      </c>
      <c r="G919" s="107" t="s">
        <v>20</v>
      </c>
      <c r="H919" s="107" t="s">
        <v>20</v>
      </c>
      <c r="I919" s="107">
        <v>4400.0</v>
      </c>
      <c r="J919" s="31">
        <v>3.876195654E9</v>
      </c>
      <c r="K919" s="31" t="s">
        <v>512</v>
      </c>
      <c r="L919" s="31" t="s">
        <v>513</v>
      </c>
      <c r="M919" s="33">
        <v>6.0</v>
      </c>
      <c r="N919" s="209"/>
      <c r="O919" s="209"/>
      <c r="P919" s="209"/>
      <c r="Q919" s="209"/>
      <c r="R919" s="209"/>
      <c r="S919" s="367"/>
      <c r="T919" s="276"/>
      <c r="U919" s="276"/>
      <c r="V919" s="276"/>
      <c r="W919" s="276"/>
      <c r="X919" s="276"/>
      <c r="Y919" s="276"/>
      <c r="Z919" s="276"/>
      <c r="AA919" s="276"/>
      <c r="AB919" s="276"/>
      <c r="AC919" s="276"/>
    </row>
    <row r="920">
      <c r="A920" s="92">
        <v>46063.0</v>
      </c>
      <c r="B920" s="107" t="s">
        <v>5827</v>
      </c>
      <c r="C920" s="107">
        <v>8.05011570821E11</v>
      </c>
      <c r="D920" s="107" t="s">
        <v>5828</v>
      </c>
      <c r="E920" s="107" t="s">
        <v>5829</v>
      </c>
      <c r="F920" s="107" t="s">
        <v>5830</v>
      </c>
      <c r="G920" s="107" t="s">
        <v>20</v>
      </c>
      <c r="H920" s="107" t="s">
        <v>20</v>
      </c>
      <c r="I920" s="107">
        <v>4400.0</v>
      </c>
      <c r="J920" s="31">
        <v>3.876195654E9</v>
      </c>
      <c r="K920" s="31" t="s">
        <v>25</v>
      </c>
      <c r="L920" s="31" t="s">
        <v>3401</v>
      </c>
      <c r="M920" s="33">
        <v>1.0</v>
      </c>
      <c r="N920" s="206"/>
      <c r="O920" s="206"/>
      <c r="P920" s="206"/>
      <c r="Q920" s="206"/>
      <c r="R920" s="206"/>
      <c r="S920" s="367"/>
      <c r="T920" s="276"/>
      <c r="U920" s="276"/>
      <c r="V920" s="276"/>
      <c r="W920" s="276"/>
      <c r="X920" s="276"/>
      <c r="Y920" s="276"/>
      <c r="Z920" s="276"/>
      <c r="AA920" s="276"/>
      <c r="AB920" s="276"/>
      <c r="AC920" s="276"/>
    </row>
    <row r="921">
      <c r="A921" s="92">
        <v>46063.0</v>
      </c>
      <c r="B921" s="107" t="s">
        <v>5831</v>
      </c>
      <c r="C921" s="107">
        <v>8.05011570822E11</v>
      </c>
      <c r="D921" s="107" t="s">
        <v>5828</v>
      </c>
      <c r="E921" s="107" t="s">
        <v>5829</v>
      </c>
      <c r="F921" s="107" t="s">
        <v>5830</v>
      </c>
      <c r="G921" s="107" t="s">
        <v>20</v>
      </c>
      <c r="H921" s="107" t="s">
        <v>20</v>
      </c>
      <c r="I921" s="107">
        <v>4400.0</v>
      </c>
      <c r="J921" s="470">
        <v>3.876195654E9</v>
      </c>
      <c r="K921" s="470" t="s">
        <v>5551</v>
      </c>
      <c r="L921" s="470" t="s">
        <v>5552</v>
      </c>
      <c r="M921" s="471">
        <v>1.0</v>
      </c>
      <c r="N921" s="472"/>
      <c r="O921" s="472"/>
      <c r="P921" s="472"/>
      <c r="Q921" s="473"/>
      <c r="R921" s="474"/>
      <c r="S921" s="367"/>
      <c r="T921" s="276"/>
      <c r="U921" s="276"/>
      <c r="V921" s="276"/>
      <c r="W921" s="276"/>
      <c r="X921" s="276"/>
      <c r="Y921" s="276"/>
      <c r="Z921" s="276"/>
      <c r="AA921" s="276"/>
      <c r="AB921" s="276"/>
      <c r="AC921" s="276"/>
    </row>
    <row r="922">
      <c r="A922" s="92">
        <v>46063.0</v>
      </c>
      <c r="B922" s="107" t="s">
        <v>5831</v>
      </c>
      <c r="C922" s="107">
        <v>8.05011570822E11</v>
      </c>
      <c r="D922" s="107" t="s">
        <v>5828</v>
      </c>
      <c r="E922" s="107" t="s">
        <v>5829</v>
      </c>
      <c r="F922" s="107" t="s">
        <v>5830</v>
      </c>
      <c r="G922" s="107" t="s">
        <v>20</v>
      </c>
      <c r="H922" s="107" t="s">
        <v>20</v>
      </c>
      <c r="I922" s="107">
        <v>4400.0</v>
      </c>
      <c r="J922" s="470">
        <v>3.876195654E9</v>
      </c>
      <c r="K922" s="470" t="s">
        <v>512</v>
      </c>
      <c r="L922" s="470" t="s">
        <v>513</v>
      </c>
      <c r="M922" s="471">
        <v>6.0</v>
      </c>
      <c r="N922" s="472"/>
      <c r="O922" s="472"/>
      <c r="P922" s="472"/>
      <c r="Q922" s="475" t="s">
        <v>13791</v>
      </c>
      <c r="R922" s="474"/>
      <c r="S922" s="367"/>
      <c r="T922" s="276"/>
      <c r="U922" s="276"/>
      <c r="V922" s="276"/>
      <c r="W922" s="276"/>
      <c r="X922" s="276"/>
      <c r="Y922" s="276"/>
      <c r="Z922" s="276"/>
      <c r="AA922" s="276"/>
      <c r="AB922" s="276"/>
      <c r="AC922" s="276"/>
    </row>
    <row r="923">
      <c r="A923" s="92">
        <v>46063.0</v>
      </c>
      <c r="B923" s="107" t="s">
        <v>5831</v>
      </c>
      <c r="C923" s="107">
        <v>8.05011570822E11</v>
      </c>
      <c r="D923" s="107" t="s">
        <v>5828</v>
      </c>
      <c r="E923" s="107" t="s">
        <v>5829</v>
      </c>
      <c r="F923" s="107" t="s">
        <v>5830</v>
      </c>
      <c r="G923" s="107" t="s">
        <v>20</v>
      </c>
      <c r="H923" s="107" t="s">
        <v>20</v>
      </c>
      <c r="I923" s="107">
        <v>4400.0</v>
      </c>
      <c r="J923" s="470">
        <v>3.876195654E9</v>
      </c>
      <c r="K923" s="470" t="s">
        <v>25</v>
      </c>
      <c r="L923" s="470" t="s">
        <v>3401</v>
      </c>
      <c r="M923" s="471">
        <v>1.0</v>
      </c>
      <c r="N923" s="476"/>
      <c r="O923" s="476"/>
      <c r="P923" s="476"/>
      <c r="Q923" s="477"/>
      <c r="R923" s="478"/>
      <c r="S923" s="367"/>
      <c r="T923" s="276"/>
      <c r="U923" s="276"/>
      <c r="V923" s="276"/>
      <c r="W923" s="276"/>
      <c r="X923" s="276"/>
      <c r="Y923" s="276"/>
      <c r="Z923" s="276"/>
      <c r="AA923" s="276"/>
      <c r="AB923" s="276"/>
      <c r="AC923" s="276"/>
    </row>
    <row r="924">
      <c r="A924" s="92">
        <v>46063.0</v>
      </c>
      <c r="B924" s="107" t="s">
        <v>5832</v>
      </c>
      <c r="C924" s="107">
        <v>8.05011570831E11</v>
      </c>
      <c r="D924" s="107" t="s">
        <v>5833</v>
      </c>
      <c r="E924" s="107" t="s">
        <v>5834</v>
      </c>
      <c r="F924" s="107" t="s">
        <v>5835</v>
      </c>
      <c r="G924" s="107" t="s">
        <v>539</v>
      </c>
      <c r="H924" s="107" t="s">
        <v>20</v>
      </c>
      <c r="I924" s="107">
        <v>4405.0</v>
      </c>
      <c r="J924" s="31">
        <v>3.875035927E9</v>
      </c>
      <c r="K924" s="31" t="s">
        <v>5551</v>
      </c>
      <c r="L924" s="31" t="s">
        <v>5552</v>
      </c>
      <c r="M924" s="33">
        <v>1.0</v>
      </c>
      <c r="N924" s="429">
        <v>46067.0</v>
      </c>
      <c r="O924" s="430" t="s">
        <v>13338</v>
      </c>
      <c r="P924" s="431"/>
      <c r="Q924" s="430" t="s">
        <v>13339</v>
      </c>
      <c r="R924" s="432" t="s">
        <v>13792</v>
      </c>
      <c r="S924" s="367"/>
      <c r="T924" s="276"/>
      <c r="U924" s="276"/>
      <c r="V924" s="276"/>
      <c r="W924" s="276"/>
      <c r="X924" s="276"/>
      <c r="Y924" s="276"/>
      <c r="Z924" s="276"/>
      <c r="AA924" s="276"/>
      <c r="AB924" s="276"/>
      <c r="AC924" s="276"/>
    </row>
    <row r="925">
      <c r="A925" s="92">
        <v>46063.0</v>
      </c>
      <c r="B925" s="107" t="s">
        <v>5832</v>
      </c>
      <c r="C925" s="107">
        <v>8.05011570831E11</v>
      </c>
      <c r="D925" s="107" t="s">
        <v>5833</v>
      </c>
      <c r="E925" s="107" t="s">
        <v>5834</v>
      </c>
      <c r="F925" s="107" t="s">
        <v>5835</v>
      </c>
      <c r="G925" s="107" t="s">
        <v>539</v>
      </c>
      <c r="H925" s="107" t="s">
        <v>20</v>
      </c>
      <c r="I925" s="107">
        <v>4405.0</v>
      </c>
      <c r="J925" s="31">
        <v>3.875035927E9</v>
      </c>
      <c r="K925" s="31" t="s">
        <v>512</v>
      </c>
      <c r="L925" s="31" t="s">
        <v>513</v>
      </c>
      <c r="M925" s="33">
        <v>6.0</v>
      </c>
      <c r="N925" s="209"/>
      <c r="O925" s="209"/>
      <c r="P925" s="209"/>
      <c r="Q925" s="209"/>
      <c r="R925" s="209"/>
      <c r="S925" s="367"/>
      <c r="T925" s="276"/>
      <c r="U925" s="276"/>
      <c r="V925" s="276"/>
      <c r="W925" s="276"/>
      <c r="X925" s="276"/>
      <c r="Y925" s="276"/>
      <c r="Z925" s="276"/>
      <c r="AA925" s="276"/>
      <c r="AB925" s="276"/>
      <c r="AC925" s="276"/>
    </row>
    <row r="926">
      <c r="A926" s="92">
        <v>46063.0</v>
      </c>
      <c r="B926" s="107" t="s">
        <v>5832</v>
      </c>
      <c r="C926" s="107">
        <v>8.05011570831E11</v>
      </c>
      <c r="D926" s="107" t="s">
        <v>5833</v>
      </c>
      <c r="E926" s="107" t="s">
        <v>5834</v>
      </c>
      <c r="F926" s="107" t="s">
        <v>5835</v>
      </c>
      <c r="G926" s="107" t="s">
        <v>539</v>
      </c>
      <c r="H926" s="107" t="s">
        <v>20</v>
      </c>
      <c r="I926" s="107">
        <v>4405.0</v>
      </c>
      <c r="J926" s="31">
        <v>3.875035927E9</v>
      </c>
      <c r="K926" s="31" t="s">
        <v>25</v>
      </c>
      <c r="L926" s="31" t="s">
        <v>3401</v>
      </c>
      <c r="M926" s="33">
        <v>1.0</v>
      </c>
      <c r="N926" s="206"/>
      <c r="O926" s="206"/>
      <c r="P926" s="206"/>
      <c r="Q926" s="206"/>
      <c r="R926" s="206"/>
      <c r="S926" s="367"/>
      <c r="T926" s="276"/>
      <c r="U926" s="276"/>
      <c r="V926" s="276"/>
      <c r="W926" s="276"/>
      <c r="X926" s="276"/>
      <c r="Y926" s="276"/>
      <c r="Z926" s="276"/>
      <c r="AA926" s="276"/>
      <c r="AB926" s="276"/>
      <c r="AC926" s="276"/>
    </row>
    <row r="927">
      <c r="A927" s="92">
        <v>46063.0</v>
      </c>
      <c r="B927" s="107" t="s">
        <v>5836</v>
      </c>
      <c r="C927" s="107">
        <v>8.06722033248E11</v>
      </c>
      <c r="D927" s="107" t="s">
        <v>5837</v>
      </c>
      <c r="E927" s="107" t="s">
        <v>5838</v>
      </c>
      <c r="F927" s="107" t="s">
        <v>5839</v>
      </c>
      <c r="G927" s="107" t="s">
        <v>20</v>
      </c>
      <c r="H927" s="107" t="s">
        <v>20</v>
      </c>
      <c r="I927" s="107" t="s">
        <v>5840</v>
      </c>
      <c r="J927" s="31">
        <v>1.157674892E9</v>
      </c>
      <c r="K927" s="31">
        <v>125815.0</v>
      </c>
      <c r="L927" s="31" t="s">
        <v>569</v>
      </c>
      <c r="M927" s="33">
        <v>2.0</v>
      </c>
      <c r="N927" s="469">
        <v>46073.0</v>
      </c>
      <c r="O927" s="430" t="s">
        <v>13338</v>
      </c>
      <c r="P927" s="431"/>
      <c r="Q927" s="430" t="s">
        <v>13339</v>
      </c>
      <c r="R927" s="432" t="s">
        <v>13793</v>
      </c>
      <c r="S927" s="367"/>
      <c r="T927" s="276"/>
      <c r="U927" s="276"/>
      <c r="V927" s="276"/>
      <c r="W927" s="276"/>
      <c r="X927" s="276"/>
      <c r="Y927" s="276"/>
      <c r="Z927" s="276"/>
      <c r="AA927" s="276"/>
      <c r="AB927" s="276"/>
      <c r="AC927" s="276"/>
    </row>
    <row r="928">
      <c r="A928" s="92">
        <v>46063.0</v>
      </c>
      <c r="B928" s="107" t="s">
        <v>5836</v>
      </c>
      <c r="C928" s="107">
        <v>8.06722033248E11</v>
      </c>
      <c r="D928" s="107" t="s">
        <v>5837</v>
      </c>
      <c r="E928" s="107" t="s">
        <v>5838</v>
      </c>
      <c r="F928" s="107" t="s">
        <v>5839</v>
      </c>
      <c r="G928" s="107" t="s">
        <v>20</v>
      </c>
      <c r="H928" s="107" t="s">
        <v>20</v>
      </c>
      <c r="I928" s="107" t="s">
        <v>5840</v>
      </c>
      <c r="J928" s="31">
        <v>1.157674892E9</v>
      </c>
      <c r="K928" s="31" t="s">
        <v>5842</v>
      </c>
      <c r="L928" s="31" t="s">
        <v>5843</v>
      </c>
      <c r="M928" s="33">
        <v>1.0</v>
      </c>
      <c r="N928" s="209"/>
      <c r="O928" s="209"/>
      <c r="P928" s="209"/>
      <c r="Q928" s="209"/>
      <c r="R928" s="209"/>
      <c r="S928" s="367"/>
      <c r="T928" s="276"/>
      <c r="U928" s="276"/>
      <c r="V928" s="276"/>
      <c r="W928" s="276"/>
      <c r="X928" s="276"/>
      <c r="Y928" s="276"/>
      <c r="Z928" s="276"/>
      <c r="AA928" s="276"/>
      <c r="AB928" s="276"/>
      <c r="AC928" s="276"/>
    </row>
    <row r="929">
      <c r="A929" s="92">
        <v>46063.0</v>
      </c>
      <c r="B929" s="107" t="s">
        <v>5836</v>
      </c>
      <c r="C929" s="107">
        <v>8.06722033248E11</v>
      </c>
      <c r="D929" s="107" t="s">
        <v>5837</v>
      </c>
      <c r="E929" s="107" t="s">
        <v>5838</v>
      </c>
      <c r="F929" s="107" t="s">
        <v>5839</v>
      </c>
      <c r="G929" s="107" t="s">
        <v>20</v>
      </c>
      <c r="H929" s="107" t="s">
        <v>20</v>
      </c>
      <c r="I929" s="107" t="s">
        <v>5840</v>
      </c>
      <c r="J929" s="31">
        <v>1.157674892E9</v>
      </c>
      <c r="K929" s="31" t="s">
        <v>98</v>
      </c>
      <c r="L929" s="31" t="s">
        <v>3187</v>
      </c>
      <c r="M929" s="33">
        <v>1.0</v>
      </c>
      <c r="N929" s="206"/>
      <c r="O929" s="206"/>
      <c r="P929" s="206"/>
      <c r="Q929" s="206"/>
      <c r="R929" s="206"/>
      <c r="S929" s="367"/>
      <c r="T929" s="276"/>
      <c r="U929" s="276"/>
      <c r="V929" s="276"/>
      <c r="W929" s="276"/>
      <c r="X929" s="276"/>
      <c r="Y929" s="276"/>
      <c r="Z929" s="276"/>
      <c r="AA929" s="276"/>
      <c r="AB929" s="276"/>
      <c r="AC929" s="276"/>
    </row>
    <row r="930">
      <c r="A930" s="92">
        <v>46063.0</v>
      </c>
      <c r="B930" s="107" t="s">
        <v>5844</v>
      </c>
      <c r="C930" s="107">
        <v>8.05011570853E11</v>
      </c>
      <c r="D930" s="107" t="s">
        <v>5845</v>
      </c>
      <c r="E930" s="107" t="s">
        <v>5846</v>
      </c>
      <c r="F930" s="107" t="s">
        <v>5847</v>
      </c>
      <c r="G930" s="107" t="s">
        <v>116</v>
      </c>
      <c r="H930" s="107" t="s">
        <v>20</v>
      </c>
      <c r="I930" s="107">
        <v>4400.0</v>
      </c>
      <c r="J930" s="31">
        <v>3.875841895E9</v>
      </c>
      <c r="K930" s="31" t="s">
        <v>60</v>
      </c>
      <c r="L930" s="31" t="s">
        <v>3706</v>
      </c>
      <c r="M930" s="33">
        <v>1.0</v>
      </c>
      <c r="N930" s="469">
        <v>46073.0</v>
      </c>
      <c r="O930" s="430" t="s">
        <v>13338</v>
      </c>
      <c r="P930" s="431"/>
      <c r="Q930" s="430" t="s">
        <v>13794</v>
      </c>
      <c r="R930" s="432" t="s">
        <v>13795</v>
      </c>
      <c r="S930" s="367"/>
      <c r="T930" s="276"/>
      <c r="U930" s="276"/>
      <c r="V930" s="276"/>
      <c r="W930" s="276"/>
      <c r="X930" s="276"/>
      <c r="Y930" s="276"/>
      <c r="Z930" s="276"/>
      <c r="AA930" s="276"/>
      <c r="AB930" s="276"/>
      <c r="AC930" s="276"/>
    </row>
    <row r="931">
      <c r="A931" s="92">
        <v>46063.0</v>
      </c>
      <c r="B931" s="107" t="s">
        <v>5844</v>
      </c>
      <c r="C931" s="107">
        <v>8.05011570853E11</v>
      </c>
      <c r="D931" s="107" t="s">
        <v>5845</v>
      </c>
      <c r="E931" s="107" t="s">
        <v>5846</v>
      </c>
      <c r="F931" s="107" t="s">
        <v>5847</v>
      </c>
      <c r="G931" s="107" t="s">
        <v>116</v>
      </c>
      <c r="H931" s="107" t="s">
        <v>20</v>
      </c>
      <c r="I931" s="107">
        <v>4400.0</v>
      </c>
      <c r="J931" s="31">
        <v>3.875841895E9</v>
      </c>
      <c r="K931" s="31" t="s">
        <v>512</v>
      </c>
      <c r="L931" s="31" t="s">
        <v>513</v>
      </c>
      <c r="M931" s="33">
        <v>6.0</v>
      </c>
      <c r="N931" s="209"/>
      <c r="O931" s="209"/>
      <c r="P931" s="209"/>
      <c r="Q931" s="209"/>
      <c r="R931" s="209"/>
      <c r="S931" s="367"/>
      <c r="T931" s="276"/>
      <c r="U931" s="276"/>
      <c r="V931" s="276"/>
      <c r="W931" s="276"/>
      <c r="X931" s="276"/>
      <c r="Y931" s="276"/>
      <c r="Z931" s="276"/>
      <c r="AA931" s="276"/>
      <c r="AB931" s="276"/>
      <c r="AC931" s="276"/>
    </row>
    <row r="932">
      <c r="A932" s="92">
        <v>46063.0</v>
      </c>
      <c r="B932" s="107" t="s">
        <v>5844</v>
      </c>
      <c r="C932" s="107">
        <v>8.05011570853E11</v>
      </c>
      <c r="D932" s="107" t="s">
        <v>5845</v>
      </c>
      <c r="E932" s="107" t="s">
        <v>5846</v>
      </c>
      <c r="F932" s="107" t="s">
        <v>5847</v>
      </c>
      <c r="G932" s="107" t="s">
        <v>116</v>
      </c>
      <c r="H932" s="107" t="s">
        <v>20</v>
      </c>
      <c r="I932" s="107">
        <v>4400.0</v>
      </c>
      <c r="J932" s="31">
        <v>3.875841895E9</v>
      </c>
      <c r="K932" s="31" t="s">
        <v>64</v>
      </c>
      <c r="L932" s="31" t="s">
        <v>3708</v>
      </c>
      <c r="M932" s="33">
        <v>1.0</v>
      </c>
      <c r="N932" s="206"/>
      <c r="O932" s="206"/>
      <c r="P932" s="206"/>
      <c r="Q932" s="206"/>
      <c r="R932" s="206"/>
      <c r="S932" s="367"/>
      <c r="T932" s="276"/>
      <c r="U932" s="276"/>
      <c r="V932" s="276"/>
      <c r="W932" s="276"/>
      <c r="X932" s="276"/>
      <c r="Y932" s="276"/>
      <c r="Z932" s="276"/>
      <c r="AA932" s="276"/>
      <c r="AB932" s="276"/>
      <c r="AC932" s="276"/>
    </row>
    <row r="933">
      <c r="A933" s="92">
        <v>46063.0</v>
      </c>
      <c r="B933" s="107" t="s">
        <v>5849</v>
      </c>
      <c r="C933" s="107">
        <v>8.07025035055E11</v>
      </c>
      <c r="D933" s="107" t="s">
        <v>5850</v>
      </c>
      <c r="E933" s="107" t="s">
        <v>5851</v>
      </c>
      <c r="F933" s="107" t="s">
        <v>5852</v>
      </c>
      <c r="G933" s="107" t="s">
        <v>127</v>
      </c>
      <c r="H933" s="107" t="s">
        <v>20</v>
      </c>
      <c r="I933" s="107">
        <v>4400.0</v>
      </c>
      <c r="J933" s="31">
        <v>3.874438116E9</v>
      </c>
      <c r="K933" s="31" t="s">
        <v>2956</v>
      </c>
      <c r="L933" s="31" t="s">
        <v>3327</v>
      </c>
      <c r="M933" s="33">
        <v>1.0</v>
      </c>
      <c r="N933" s="433">
        <v>46066.0</v>
      </c>
      <c r="O933" s="261" t="s">
        <v>13338</v>
      </c>
      <c r="P933" s="367"/>
      <c r="Q933" s="261" t="s">
        <v>13339</v>
      </c>
      <c r="R933" s="434" t="s">
        <v>13796</v>
      </c>
      <c r="S933" s="367"/>
      <c r="T933" s="276"/>
      <c r="U933" s="276"/>
      <c r="V933" s="276"/>
      <c r="W933" s="276"/>
      <c r="X933" s="276"/>
      <c r="Y933" s="276"/>
      <c r="Z933" s="276"/>
      <c r="AA933" s="276"/>
      <c r="AB933" s="276"/>
      <c r="AC933" s="276"/>
    </row>
    <row r="934">
      <c r="A934" s="92">
        <v>46063.0</v>
      </c>
      <c r="B934" s="107" t="s">
        <v>5854</v>
      </c>
      <c r="C934" s="107">
        <v>8.05011570951E11</v>
      </c>
      <c r="D934" s="107" t="s">
        <v>5855</v>
      </c>
      <c r="E934" s="107" t="s">
        <v>5856</v>
      </c>
      <c r="F934" s="107" t="s">
        <v>5857</v>
      </c>
      <c r="G934" s="107" t="s">
        <v>20</v>
      </c>
      <c r="H934" s="107" t="s">
        <v>20</v>
      </c>
      <c r="I934" s="107">
        <v>4400.0</v>
      </c>
      <c r="J934" s="31">
        <v>3.874892949E9</v>
      </c>
      <c r="K934" s="31" t="s">
        <v>32</v>
      </c>
      <c r="L934" s="31" t="s">
        <v>3225</v>
      </c>
      <c r="M934" s="33">
        <v>1.0</v>
      </c>
      <c r="N934" s="469">
        <v>46073.0</v>
      </c>
      <c r="O934" s="430" t="s">
        <v>13338</v>
      </c>
      <c r="P934" s="431"/>
      <c r="Q934" s="430" t="s">
        <v>13339</v>
      </c>
      <c r="R934" s="432" t="s">
        <v>13797</v>
      </c>
      <c r="S934" s="367"/>
      <c r="T934" s="276"/>
      <c r="U934" s="276"/>
      <c r="V934" s="276"/>
      <c r="W934" s="276"/>
      <c r="X934" s="276"/>
      <c r="Y934" s="276"/>
      <c r="Z934" s="276"/>
      <c r="AA934" s="276"/>
      <c r="AB934" s="276"/>
      <c r="AC934" s="276"/>
    </row>
    <row r="935">
      <c r="A935" s="92">
        <v>46063.0</v>
      </c>
      <c r="B935" s="107" t="s">
        <v>5854</v>
      </c>
      <c r="C935" s="107">
        <v>8.05011570951E11</v>
      </c>
      <c r="D935" s="107" t="s">
        <v>5855</v>
      </c>
      <c r="E935" s="107" t="s">
        <v>5856</v>
      </c>
      <c r="F935" s="107" t="s">
        <v>5857</v>
      </c>
      <c r="G935" s="107" t="s">
        <v>20</v>
      </c>
      <c r="H935" s="107" t="s">
        <v>20</v>
      </c>
      <c r="I935" s="107">
        <v>4400.0</v>
      </c>
      <c r="J935" s="31">
        <v>3.874892949E9</v>
      </c>
      <c r="K935" s="31" t="s">
        <v>512</v>
      </c>
      <c r="L935" s="31" t="s">
        <v>513</v>
      </c>
      <c r="M935" s="33">
        <v>6.0</v>
      </c>
      <c r="N935" s="209"/>
      <c r="O935" s="209"/>
      <c r="P935" s="209"/>
      <c r="Q935" s="209"/>
      <c r="R935" s="209"/>
      <c r="S935" s="367"/>
      <c r="T935" s="276"/>
      <c r="U935" s="276"/>
      <c r="V935" s="276"/>
      <c r="W935" s="276"/>
      <c r="X935" s="276"/>
      <c r="Y935" s="276"/>
      <c r="Z935" s="276"/>
      <c r="AA935" s="276"/>
      <c r="AB935" s="276"/>
      <c r="AC935" s="276"/>
    </row>
    <row r="936">
      <c r="A936" s="92">
        <v>46063.0</v>
      </c>
      <c r="B936" s="107" t="s">
        <v>5854</v>
      </c>
      <c r="C936" s="107">
        <v>8.05011570951E11</v>
      </c>
      <c r="D936" s="107" t="s">
        <v>5855</v>
      </c>
      <c r="E936" s="107" t="s">
        <v>5856</v>
      </c>
      <c r="F936" s="107" t="s">
        <v>5857</v>
      </c>
      <c r="G936" s="107" t="s">
        <v>20</v>
      </c>
      <c r="H936" s="107" t="s">
        <v>20</v>
      </c>
      <c r="I936" s="107">
        <v>4400.0</v>
      </c>
      <c r="J936" s="31">
        <v>3.874892949E9</v>
      </c>
      <c r="K936" s="31" t="s">
        <v>670</v>
      </c>
      <c r="L936" s="31" t="s">
        <v>3410</v>
      </c>
      <c r="M936" s="33">
        <v>1.0</v>
      </c>
      <c r="N936" s="206"/>
      <c r="O936" s="206"/>
      <c r="P936" s="206"/>
      <c r="Q936" s="206"/>
      <c r="R936" s="206"/>
      <c r="S936" s="367"/>
      <c r="T936" s="276"/>
      <c r="U936" s="276"/>
      <c r="V936" s="276"/>
      <c r="W936" s="276"/>
      <c r="X936" s="276"/>
      <c r="Y936" s="276"/>
      <c r="Z936" s="276"/>
      <c r="AA936" s="276"/>
      <c r="AB936" s="276"/>
      <c r="AC936" s="276"/>
    </row>
    <row r="937">
      <c r="A937" s="92">
        <v>46063.0</v>
      </c>
      <c r="B937" s="107" t="s">
        <v>5859</v>
      </c>
      <c r="C937" s="107">
        <v>8.07025035059E11</v>
      </c>
      <c r="D937" s="107" t="s">
        <v>1404</v>
      </c>
      <c r="E937" s="107" t="s">
        <v>1405</v>
      </c>
      <c r="F937" s="107" t="s">
        <v>1406</v>
      </c>
      <c r="G937" s="107" t="s">
        <v>127</v>
      </c>
      <c r="H937" s="107" t="s">
        <v>20</v>
      </c>
      <c r="I937" s="107">
        <v>4400.0</v>
      </c>
      <c r="J937" s="31">
        <v>3.875286161E9</v>
      </c>
      <c r="K937" s="31" t="s">
        <v>3641</v>
      </c>
      <c r="L937" s="31" t="s">
        <v>3642</v>
      </c>
      <c r="M937" s="33">
        <v>1.0</v>
      </c>
      <c r="N937" s="429">
        <v>46071.0</v>
      </c>
      <c r="O937" s="430" t="s">
        <v>13338</v>
      </c>
      <c r="P937" s="431"/>
      <c r="Q937" s="430" t="s">
        <v>13339</v>
      </c>
      <c r="R937" s="432" t="s">
        <v>13798</v>
      </c>
      <c r="S937" s="367"/>
      <c r="T937" s="276"/>
      <c r="U937" s="276"/>
      <c r="V937" s="276"/>
      <c r="W937" s="276"/>
      <c r="X937" s="276"/>
      <c r="Y937" s="276"/>
      <c r="Z937" s="276"/>
      <c r="AA937" s="276"/>
      <c r="AB937" s="276"/>
      <c r="AC937" s="276"/>
    </row>
    <row r="938">
      <c r="A938" s="92">
        <v>46063.0</v>
      </c>
      <c r="B938" s="107" t="s">
        <v>5859</v>
      </c>
      <c r="C938" s="107">
        <v>8.07025035059E11</v>
      </c>
      <c r="D938" s="107" t="s">
        <v>1404</v>
      </c>
      <c r="E938" s="107" t="s">
        <v>1405</v>
      </c>
      <c r="F938" s="107" t="s">
        <v>1406</v>
      </c>
      <c r="G938" s="107" t="s">
        <v>127</v>
      </c>
      <c r="H938" s="107" t="s">
        <v>20</v>
      </c>
      <c r="I938" s="107">
        <v>4400.0</v>
      </c>
      <c r="J938" s="31">
        <v>3.875286161E9</v>
      </c>
      <c r="K938" s="31" t="s">
        <v>4793</v>
      </c>
      <c r="L938" s="31" t="s">
        <v>4794</v>
      </c>
      <c r="M938" s="33">
        <v>1.0</v>
      </c>
      <c r="N938" s="206"/>
      <c r="O938" s="206"/>
      <c r="P938" s="206"/>
      <c r="Q938" s="206"/>
      <c r="R938" s="206"/>
      <c r="S938" s="367"/>
      <c r="T938" s="276"/>
      <c r="U938" s="276"/>
      <c r="V938" s="276"/>
      <c r="W938" s="276"/>
      <c r="X938" s="276"/>
      <c r="Y938" s="276"/>
      <c r="Z938" s="276"/>
      <c r="AA938" s="276"/>
      <c r="AB938" s="276"/>
      <c r="AC938" s="276"/>
    </row>
    <row r="939">
      <c r="A939" s="370"/>
      <c r="B939" s="371"/>
      <c r="C939" s="384"/>
      <c r="D939" s="384"/>
      <c r="E939" s="384"/>
      <c r="F939" s="214"/>
      <c r="G939" s="419"/>
      <c r="H939" s="419"/>
      <c r="I939" s="385"/>
      <c r="J939" s="287"/>
      <c r="K939" s="290"/>
      <c r="L939" s="291"/>
      <c r="M939" s="276"/>
      <c r="N939" s="433"/>
      <c r="O939" s="261"/>
      <c r="P939" s="367"/>
      <c r="Q939" s="261"/>
      <c r="R939" s="449"/>
      <c r="S939" s="367"/>
      <c r="T939" s="276"/>
      <c r="U939" s="276"/>
      <c r="V939" s="276"/>
      <c r="W939" s="276"/>
      <c r="X939" s="276"/>
      <c r="Y939" s="276"/>
      <c r="Z939" s="276"/>
      <c r="AA939" s="276"/>
      <c r="AB939" s="276"/>
      <c r="AC939" s="276"/>
    </row>
    <row r="940">
      <c r="A940" s="108" t="s">
        <v>11936</v>
      </c>
      <c r="B940" s="173">
        <v>46057.0</v>
      </c>
      <c r="C940" s="374">
        <v>8.07000034919E11</v>
      </c>
      <c r="D940" s="374" t="s">
        <v>5802</v>
      </c>
      <c r="E940" s="374" t="s">
        <v>5803</v>
      </c>
      <c r="F940" s="177" t="s">
        <v>5804</v>
      </c>
      <c r="G940" s="177" t="s">
        <v>20</v>
      </c>
      <c r="H940" s="177">
        <v>4400.0</v>
      </c>
      <c r="I940" s="176" t="s">
        <v>1241</v>
      </c>
      <c r="J940" s="103" t="s">
        <v>3500</v>
      </c>
      <c r="K940" s="241">
        <v>1.0</v>
      </c>
      <c r="L940" s="124">
        <v>3.874556605E9</v>
      </c>
      <c r="M940" s="276"/>
      <c r="N940" s="429">
        <v>46057.0</v>
      </c>
      <c r="O940" s="430" t="s">
        <v>13780</v>
      </c>
      <c r="P940" s="431"/>
      <c r="Q940" s="479" t="s">
        <v>13799</v>
      </c>
      <c r="R940" s="432" t="s">
        <v>13760</v>
      </c>
      <c r="S940" s="367"/>
      <c r="T940" s="276"/>
      <c r="U940" s="276"/>
      <c r="V940" s="276"/>
      <c r="W940" s="276"/>
      <c r="X940" s="276"/>
      <c r="Y940" s="276"/>
      <c r="Z940" s="276"/>
      <c r="AA940" s="276"/>
      <c r="AB940" s="276"/>
      <c r="AC940" s="276"/>
    </row>
    <row r="941">
      <c r="A941" s="108" t="s">
        <v>11936</v>
      </c>
      <c r="B941" s="173">
        <v>46057.0</v>
      </c>
      <c r="C941" s="374">
        <v>8.07000034919E11</v>
      </c>
      <c r="D941" s="374" t="s">
        <v>5802</v>
      </c>
      <c r="E941" s="374" t="s">
        <v>5803</v>
      </c>
      <c r="F941" s="177" t="s">
        <v>5804</v>
      </c>
      <c r="G941" s="177" t="s">
        <v>20</v>
      </c>
      <c r="H941" s="177">
        <v>4400.0</v>
      </c>
      <c r="I941" s="176" t="s">
        <v>761</v>
      </c>
      <c r="J941" s="374" t="s">
        <v>3761</v>
      </c>
      <c r="K941" s="177">
        <v>1.0</v>
      </c>
      <c r="L941" s="174">
        <v>3.874556605E9</v>
      </c>
      <c r="M941" s="389"/>
      <c r="N941" s="209"/>
      <c r="O941" s="209"/>
      <c r="P941" s="209"/>
      <c r="Q941" s="209"/>
      <c r="R941" s="209"/>
      <c r="S941" s="367"/>
      <c r="T941" s="276"/>
      <c r="U941" s="276"/>
      <c r="V941" s="276"/>
      <c r="W941" s="276"/>
      <c r="X941" s="276"/>
      <c r="Y941" s="276"/>
      <c r="Z941" s="276"/>
      <c r="AA941" s="276"/>
      <c r="AB941" s="276"/>
      <c r="AC941" s="276"/>
    </row>
    <row r="942">
      <c r="A942" s="108" t="s">
        <v>11936</v>
      </c>
      <c r="B942" s="173">
        <v>46057.0</v>
      </c>
      <c r="C942" s="374">
        <v>8.07000034919E11</v>
      </c>
      <c r="D942" s="374" t="s">
        <v>5802</v>
      </c>
      <c r="E942" s="374" t="s">
        <v>5803</v>
      </c>
      <c r="F942" s="177" t="s">
        <v>5804</v>
      </c>
      <c r="G942" s="177" t="s">
        <v>20</v>
      </c>
      <c r="H942" s="177">
        <v>4400.0</v>
      </c>
      <c r="I942" s="176" t="s">
        <v>512</v>
      </c>
      <c r="J942" s="374" t="s">
        <v>513</v>
      </c>
      <c r="K942" s="177">
        <v>12.0</v>
      </c>
      <c r="L942" s="174">
        <v>3.874556605E9</v>
      </c>
      <c r="M942" s="389"/>
      <c r="N942" s="209"/>
      <c r="O942" s="209"/>
      <c r="P942" s="209"/>
      <c r="Q942" s="209"/>
      <c r="R942" s="209"/>
      <c r="S942" s="367"/>
      <c r="T942" s="276"/>
      <c r="U942" s="276"/>
      <c r="V942" s="276"/>
      <c r="W942" s="276"/>
      <c r="X942" s="276"/>
      <c r="Y942" s="276"/>
      <c r="Z942" s="276"/>
      <c r="AA942" s="276"/>
      <c r="AB942" s="276"/>
      <c r="AC942" s="276"/>
    </row>
    <row r="943">
      <c r="A943" s="108" t="s">
        <v>11936</v>
      </c>
      <c r="B943" s="173">
        <v>46057.0</v>
      </c>
      <c r="C943" s="374">
        <v>8.07000034919E11</v>
      </c>
      <c r="D943" s="374" t="s">
        <v>5802</v>
      </c>
      <c r="E943" s="374" t="s">
        <v>5803</v>
      </c>
      <c r="F943" s="177" t="s">
        <v>5804</v>
      </c>
      <c r="G943" s="177" t="s">
        <v>20</v>
      </c>
      <c r="H943" s="177">
        <v>4400.0</v>
      </c>
      <c r="I943" s="176" t="s">
        <v>758</v>
      </c>
      <c r="J943" s="374" t="s">
        <v>3574</v>
      </c>
      <c r="K943" s="177">
        <v>2.0</v>
      </c>
      <c r="L943" s="174">
        <v>3.874556605E9</v>
      </c>
      <c r="M943" s="389"/>
      <c r="N943" s="206"/>
      <c r="O943" s="206"/>
      <c r="P943" s="206"/>
      <c r="Q943" s="206"/>
      <c r="R943" s="206"/>
      <c r="S943" s="367"/>
      <c r="T943" s="276"/>
      <c r="U943" s="276"/>
      <c r="V943" s="276"/>
      <c r="W943" s="276"/>
      <c r="X943" s="276"/>
      <c r="Y943" s="276"/>
      <c r="Z943" s="276"/>
      <c r="AA943" s="276"/>
      <c r="AB943" s="276"/>
      <c r="AC943" s="276"/>
    </row>
    <row r="944">
      <c r="A944" s="108" t="s">
        <v>11950</v>
      </c>
      <c r="B944" s="173">
        <v>46059.0</v>
      </c>
      <c r="C944" s="374">
        <v>8.07000035007E11</v>
      </c>
      <c r="D944" s="374" t="s">
        <v>6467</v>
      </c>
      <c r="E944" s="374" t="s">
        <v>11951</v>
      </c>
      <c r="F944" s="177" t="s">
        <v>6469</v>
      </c>
      <c r="G944" s="177" t="s">
        <v>1567</v>
      </c>
      <c r="H944" s="177">
        <v>4400.0</v>
      </c>
      <c r="I944" s="374" t="s">
        <v>11507</v>
      </c>
      <c r="J944" s="374" t="s">
        <v>11508</v>
      </c>
      <c r="K944" s="177">
        <v>1.0</v>
      </c>
      <c r="L944" s="174">
        <v>3.873575474E9</v>
      </c>
      <c r="M944" s="387"/>
      <c r="N944" s="480">
        <v>46059.0</v>
      </c>
      <c r="O944" s="430" t="s">
        <v>13338</v>
      </c>
      <c r="P944" s="431"/>
      <c r="Q944" s="430" t="s">
        <v>13339</v>
      </c>
      <c r="R944" s="432" t="s">
        <v>13800</v>
      </c>
      <c r="S944" s="367"/>
      <c r="T944" s="276"/>
      <c r="U944" s="276"/>
      <c r="V944" s="276"/>
      <c r="W944" s="276"/>
      <c r="X944" s="276"/>
      <c r="Y944" s="276"/>
      <c r="Z944" s="276"/>
      <c r="AA944" s="276"/>
      <c r="AB944" s="276"/>
      <c r="AC944" s="276"/>
    </row>
    <row r="945">
      <c r="A945" s="108" t="s">
        <v>11950</v>
      </c>
      <c r="B945" s="173">
        <v>46059.0</v>
      </c>
      <c r="C945" s="374">
        <v>8.07000035007E11</v>
      </c>
      <c r="D945" s="374" t="s">
        <v>6467</v>
      </c>
      <c r="E945" s="374" t="s">
        <v>11951</v>
      </c>
      <c r="F945" s="177" t="s">
        <v>6469</v>
      </c>
      <c r="G945" s="177" t="s">
        <v>1567</v>
      </c>
      <c r="H945" s="177">
        <v>4400.0</v>
      </c>
      <c r="I945" s="374" t="s">
        <v>3512</v>
      </c>
      <c r="J945" s="374" t="s">
        <v>3513</v>
      </c>
      <c r="K945" s="177">
        <v>6.0</v>
      </c>
      <c r="L945" s="174">
        <v>3.873575474E9</v>
      </c>
      <c r="M945" s="387"/>
      <c r="N945" s="209"/>
      <c r="O945" s="209"/>
      <c r="P945" s="209"/>
      <c r="Q945" s="209"/>
      <c r="R945" s="209"/>
      <c r="S945" s="367"/>
      <c r="T945" s="276"/>
      <c r="U945" s="276"/>
      <c r="V945" s="276"/>
      <c r="W945" s="276"/>
      <c r="X945" s="276"/>
      <c r="Y945" s="276"/>
      <c r="Z945" s="276"/>
      <c r="AA945" s="276"/>
      <c r="AB945" s="276"/>
      <c r="AC945" s="276"/>
    </row>
    <row r="946">
      <c r="A946" s="108" t="s">
        <v>11950</v>
      </c>
      <c r="B946" s="173">
        <v>46059.0</v>
      </c>
      <c r="C946" s="374">
        <v>8.07000035007E11</v>
      </c>
      <c r="D946" s="374" t="s">
        <v>6467</v>
      </c>
      <c r="E946" s="374" t="s">
        <v>11951</v>
      </c>
      <c r="F946" s="177" t="s">
        <v>6469</v>
      </c>
      <c r="G946" s="177" t="s">
        <v>1567</v>
      </c>
      <c r="H946" s="177">
        <v>4400.0</v>
      </c>
      <c r="I946" s="374" t="s">
        <v>3510</v>
      </c>
      <c r="J946" s="374" t="s">
        <v>3511</v>
      </c>
      <c r="K946" s="177">
        <v>1.0</v>
      </c>
      <c r="L946" s="174">
        <v>3.873575474E9</v>
      </c>
      <c r="M946" s="387"/>
      <c r="N946" s="206"/>
      <c r="O946" s="206"/>
      <c r="P946" s="206"/>
      <c r="Q946" s="206"/>
      <c r="R946" s="206"/>
      <c r="S946" s="367"/>
      <c r="T946" s="276"/>
      <c r="U946" s="276"/>
      <c r="V946" s="276"/>
      <c r="W946" s="276"/>
      <c r="X946" s="276"/>
      <c r="Y946" s="276"/>
      <c r="Z946" s="276"/>
      <c r="AA946" s="276"/>
      <c r="AB946" s="276"/>
      <c r="AC946" s="276"/>
    </row>
    <row r="947">
      <c r="A947" s="108" t="s">
        <v>11952</v>
      </c>
      <c r="B947" s="173">
        <v>46059.0</v>
      </c>
      <c r="C947" s="374">
        <v>8.07000035005E11</v>
      </c>
      <c r="D947" s="374" t="s">
        <v>11953</v>
      </c>
      <c r="E947" s="374" t="s">
        <v>11954</v>
      </c>
      <c r="F947" s="177" t="s">
        <v>11955</v>
      </c>
      <c r="G947" s="177" t="s">
        <v>104</v>
      </c>
      <c r="H947" s="177">
        <v>4400.0</v>
      </c>
      <c r="I947" s="374" t="s">
        <v>50</v>
      </c>
      <c r="J947" s="374" t="s">
        <v>51</v>
      </c>
      <c r="K947" s="177">
        <v>1.0</v>
      </c>
      <c r="L947" s="174">
        <v>3.875205841E9</v>
      </c>
      <c r="M947" s="387"/>
      <c r="N947" s="480">
        <v>46062.0</v>
      </c>
      <c r="O947" s="430" t="s">
        <v>13338</v>
      </c>
      <c r="P947" s="431"/>
      <c r="Q947" s="430" t="s">
        <v>13801</v>
      </c>
      <c r="R947" s="432" t="s">
        <v>13802</v>
      </c>
      <c r="S947" s="367"/>
      <c r="T947" s="276"/>
      <c r="U947" s="276"/>
      <c r="V947" s="276"/>
      <c r="W947" s="276"/>
      <c r="X947" s="276"/>
      <c r="Y947" s="276"/>
      <c r="Z947" s="276"/>
      <c r="AA947" s="276"/>
      <c r="AB947" s="276"/>
      <c r="AC947" s="276"/>
    </row>
    <row r="948">
      <c r="A948" s="108" t="s">
        <v>11952</v>
      </c>
      <c r="B948" s="173">
        <v>46059.0</v>
      </c>
      <c r="C948" s="374">
        <v>8.07000035005E11</v>
      </c>
      <c r="D948" s="374" t="s">
        <v>11953</v>
      </c>
      <c r="E948" s="374" t="s">
        <v>11954</v>
      </c>
      <c r="F948" s="177" t="s">
        <v>11955</v>
      </c>
      <c r="G948" s="177" t="s">
        <v>104</v>
      </c>
      <c r="H948" s="177">
        <v>4400.0</v>
      </c>
      <c r="I948" s="374" t="s">
        <v>512</v>
      </c>
      <c r="J948" s="374" t="s">
        <v>513</v>
      </c>
      <c r="K948" s="177">
        <v>6.0</v>
      </c>
      <c r="L948" s="174">
        <v>3.875205841E9</v>
      </c>
      <c r="M948" s="387"/>
      <c r="N948" s="209"/>
      <c r="O948" s="209"/>
      <c r="P948" s="209"/>
      <c r="Q948" s="209"/>
      <c r="R948" s="209"/>
      <c r="S948" s="367"/>
      <c r="T948" s="276"/>
      <c r="U948" s="276"/>
      <c r="V948" s="276"/>
      <c r="W948" s="276"/>
      <c r="X948" s="276"/>
      <c r="Y948" s="276"/>
      <c r="Z948" s="276"/>
      <c r="AA948" s="276"/>
      <c r="AB948" s="276"/>
      <c r="AC948" s="276"/>
    </row>
    <row r="949">
      <c r="A949" s="108" t="s">
        <v>11952</v>
      </c>
      <c r="B949" s="173">
        <v>46059.0</v>
      </c>
      <c r="C949" s="374">
        <v>8.07000035005E11</v>
      </c>
      <c r="D949" s="374" t="s">
        <v>11953</v>
      </c>
      <c r="E949" s="374" t="s">
        <v>11954</v>
      </c>
      <c r="F949" s="177" t="s">
        <v>11955</v>
      </c>
      <c r="G949" s="177" t="s">
        <v>104</v>
      </c>
      <c r="H949" s="177">
        <v>4400.0</v>
      </c>
      <c r="I949" s="374" t="s">
        <v>25</v>
      </c>
      <c r="J949" s="374" t="s">
        <v>3401</v>
      </c>
      <c r="K949" s="177">
        <v>1.0</v>
      </c>
      <c r="L949" s="174">
        <v>3.875205841E9</v>
      </c>
      <c r="M949" s="387"/>
      <c r="N949" s="206"/>
      <c r="O949" s="206"/>
      <c r="P949" s="206"/>
      <c r="Q949" s="206"/>
      <c r="R949" s="206"/>
      <c r="S949" s="367"/>
      <c r="T949" s="276"/>
      <c r="U949" s="276"/>
      <c r="V949" s="276"/>
      <c r="W949" s="276"/>
      <c r="X949" s="276"/>
      <c r="Y949" s="276"/>
      <c r="Z949" s="276"/>
      <c r="AA949" s="276"/>
      <c r="AB949" s="276"/>
      <c r="AC949" s="276"/>
    </row>
    <row r="950">
      <c r="A950" s="108" t="s">
        <v>11956</v>
      </c>
      <c r="B950" s="173">
        <v>46059.0</v>
      </c>
      <c r="C950" s="374">
        <v>8.0700003501E11</v>
      </c>
      <c r="D950" s="374" t="s">
        <v>11957</v>
      </c>
      <c r="E950" s="374" t="s">
        <v>11958</v>
      </c>
      <c r="F950" s="177" t="s">
        <v>11959</v>
      </c>
      <c r="G950" s="177" t="s">
        <v>127</v>
      </c>
      <c r="H950" s="177">
        <v>4400.0</v>
      </c>
      <c r="I950" s="374">
        <v>208502.0</v>
      </c>
      <c r="J950" s="374" t="s">
        <v>4551</v>
      </c>
      <c r="K950" s="177">
        <v>2.0</v>
      </c>
      <c r="L950" s="174"/>
      <c r="M950" s="387"/>
      <c r="N950" s="480">
        <v>46059.0</v>
      </c>
      <c r="O950" s="430" t="s">
        <v>13338</v>
      </c>
      <c r="P950" s="431"/>
      <c r="Q950" s="430" t="s">
        <v>13803</v>
      </c>
      <c r="R950" s="432" t="s">
        <v>13804</v>
      </c>
      <c r="S950" s="367"/>
      <c r="T950" s="276"/>
      <c r="U950" s="276"/>
      <c r="V950" s="276"/>
      <c r="W950" s="276"/>
      <c r="X950" s="276"/>
      <c r="Y950" s="276"/>
      <c r="Z950" s="276"/>
      <c r="AA950" s="276"/>
      <c r="AB950" s="276"/>
      <c r="AC950" s="276"/>
    </row>
    <row r="951">
      <c r="A951" s="108" t="s">
        <v>11956</v>
      </c>
      <c r="B951" s="173">
        <v>46059.0</v>
      </c>
      <c r="C951" s="374">
        <v>8.0700003501E11</v>
      </c>
      <c r="D951" s="374" t="s">
        <v>11957</v>
      </c>
      <c r="E951" s="374" t="s">
        <v>11958</v>
      </c>
      <c r="F951" s="177" t="s">
        <v>11959</v>
      </c>
      <c r="G951" s="177" t="s">
        <v>127</v>
      </c>
      <c r="H951" s="177">
        <v>4400.0</v>
      </c>
      <c r="I951" s="374" t="s">
        <v>4248</v>
      </c>
      <c r="J951" s="374" t="s">
        <v>4249</v>
      </c>
      <c r="K951" s="177">
        <v>1.0</v>
      </c>
      <c r="L951" s="174"/>
      <c r="M951" s="387"/>
      <c r="N951" s="209"/>
      <c r="O951" s="209"/>
      <c r="P951" s="209"/>
      <c r="Q951" s="209"/>
      <c r="R951" s="209"/>
      <c r="S951" s="367"/>
      <c r="T951" s="276"/>
      <c r="U951" s="276"/>
      <c r="V951" s="276"/>
      <c r="W951" s="276"/>
      <c r="X951" s="276"/>
      <c r="Y951" s="276"/>
      <c r="Z951" s="276"/>
      <c r="AA951" s="276"/>
      <c r="AB951" s="276"/>
      <c r="AC951" s="276"/>
    </row>
    <row r="952">
      <c r="A952" s="108" t="s">
        <v>11956</v>
      </c>
      <c r="B952" s="173">
        <v>46059.0</v>
      </c>
      <c r="C952" s="374">
        <v>8.0700003501E11</v>
      </c>
      <c r="D952" s="374" t="s">
        <v>11957</v>
      </c>
      <c r="E952" s="374" t="s">
        <v>11958</v>
      </c>
      <c r="F952" s="177" t="s">
        <v>11959</v>
      </c>
      <c r="G952" s="177" t="s">
        <v>127</v>
      </c>
      <c r="H952" s="177">
        <v>4400.0</v>
      </c>
      <c r="I952" s="374" t="s">
        <v>3512</v>
      </c>
      <c r="J952" s="374" t="s">
        <v>3513</v>
      </c>
      <c r="K952" s="177">
        <v>12.0</v>
      </c>
      <c r="L952" s="174"/>
      <c r="M952" s="387"/>
      <c r="N952" s="209"/>
      <c r="O952" s="209"/>
      <c r="P952" s="209"/>
      <c r="Q952" s="209"/>
      <c r="R952" s="209"/>
      <c r="S952" s="367"/>
      <c r="T952" s="276"/>
      <c r="U952" s="276"/>
      <c r="V952" s="276"/>
      <c r="W952" s="276"/>
      <c r="X952" s="276"/>
      <c r="Y952" s="276"/>
      <c r="Z952" s="276"/>
      <c r="AA952" s="276"/>
      <c r="AB952" s="276"/>
      <c r="AC952" s="276"/>
    </row>
    <row r="953">
      <c r="A953" s="108" t="s">
        <v>11956</v>
      </c>
      <c r="B953" s="173">
        <v>46059.0</v>
      </c>
      <c r="C953" s="374">
        <v>8.0700003501E11</v>
      </c>
      <c r="D953" s="374" t="s">
        <v>11957</v>
      </c>
      <c r="E953" s="374" t="s">
        <v>11958</v>
      </c>
      <c r="F953" s="177" t="s">
        <v>11959</v>
      </c>
      <c r="G953" s="177" t="s">
        <v>127</v>
      </c>
      <c r="H953" s="177">
        <v>4400.0</v>
      </c>
      <c r="I953" s="374" t="s">
        <v>4250</v>
      </c>
      <c r="J953" s="374" t="s">
        <v>4251</v>
      </c>
      <c r="K953" s="177">
        <v>2.0</v>
      </c>
      <c r="L953" s="174"/>
      <c r="M953" s="387"/>
      <c r="N953" s="209"/>
      <c r="O953" s="209"/>
      <c r="P953" s="209"/>
      <c r="Q953" s="209"/>
      <c r="R953" s="209"/>
      <c r="S953" s="367"/>
      <c r="T953" s="276"/>
      <c r="U953" s="276"/>
      <c r="V953" s="276"/>
      <c r="W953" s="276"/>
      <c r="X953" s="276"/>
      <c r="Y953" s="276"/>
      <c r="Z953" s="276"/>
      <c r="AA953" s="276"/>
      <c r="AB953" s="276"/>
      <c r="AC953" s="276"/>
    </row>
    <row r="954">
      <c r="A954" s="108" t="s">
        <v>11956</v>
      </c>
      <c r="B954" s="173">
        <v>46059.0</v>
      </c>
      <c r="C954" s="374">
        <v>8.07000035011E11</v>
      </c>
      <c r="D954" s="374" t="s">
        <v>11957</v>
      </c>
      <c r="E954" s="374" t="s">
        <v>11958</v>
      </c>
      <c r="F954" s="177" t="s">
        <v>11959</v>
      </c>
      <c r="G954" s="177" t="s">
        <v>127</v>
      </c>
      <c r="H954" s="177">
        <v>4400.0</v>
      </c>
      <c r="I954" s="374" t="s">
        <v>6773</v>
      </c>
      <c r="J954" s="374" t="s">
        <v>11960</v>
      </c>
      <c r="K954" s="177">
        <v>1.0</v>
      </c>
      <c r="L954" s="174"/>
      <c r="M954" s="387"/>
      <c r="N954" s="209"/>
      <c r="O954" s="209"/>
      <c r="P954" s="209"/>
      <c r="Q954" s="209"/>
      <c r="R954" s="209"/>
      <c r="S954" s="367"/>
      <c r="T954" s="276"/>
      <c r="U954" s="276"/>
      <c r="V954" s="276"/>
      <c r="W954" s="276"/>
      <c r="X954" s="276"/>
      <c r="Y954" s="276"/>
      <c r="Z954" s="276"/>
      <c r="AA954" s="276"/>
      <c r="AB954" s="276"/>
      <c r="AC954" s="276"/>
    </row>
    <row r="955">
      <c r="A955" s="108" t="s">
        <v>11956</v>
      </c>
      <c r="B955" s="173">
        <v>46059.0</v>
      </c>
      <c r="C955" s="374">
        <v>8.07000035012E11</v>
      </c>
      <c r="D955" s="374" t="s">
        <v>11957</v>
      </c>
      <c r="E955" s="374" t="s">
        <v>11958</v>
      </c>
      <c r="F955" s="177" t="s">
        <v>11959</v>
      </c>
      <c r="G955" s="177" t="s">
        <v>127</v>
      </c>
      <c r="H955" s="177">
        <v>4400.0</v>
      </c>
      <c r="I955" s="374" t="s">
        <v>4793</v>
      </c>
      <c r="J955" s="374" t="s">
        <v>4794</v>
      </c>
      <c r="K955" s="177">
        <v>1.0</v>
      </c>
      <c r="L955" s="174"/>
      <c r="M955" s="387"/>
      <c r="N955" s="209"/>
      <c r="O955" s="209"/>
      <c r="P955" s="209"/>
      <c r="Q955" s="209"/>
      <c r="R955" s="209"/>
      <c r="S955" s="367"/>
      <c r="T955" s="276"/>
      <c r="U955" s="276"/>
      <c r="V955" s="276"/>
      <c r="W955" s="276"/>
      <c r="X955" s="276"/>
      <c r="Y955" s="276"/>
      <c r="Z955" s="276"/>
      <c r="AA955" s="276"/>
      <c r="AB955" s="276"/>
      <c r="AC955" s="276"/>
    </row>
    <row r="956">
      <c r="A956" s="108" t="s">
        <v>11956</v>
      </c>
      <c r="B956" s="173">
        <v>46059.0</v>
      </c>
      <c r="C956" s="374">
        <v>8.07000035013E11</v>
      </c>
      <c r="D956" s="374" t="s">
        <v>11957</v>
      </c>
      <c r="E956" s="374" t="s">
        <v>11958</v>
      </c>
      <c r="F956" s="177" t="s">
        <v>11959</v>
      </c>
      <c r="G956" s="177" t="s">
        <v>127</v>
      </c>
      <c r="H956" s="177">
        <v>4400.0</v>
      </c>
      <c r="I956" s="374">
        <v>208502.0</v>
      </c>
      <c r="J956" s="374" t="s">
        <v>4551</v>
      </c>
      <c r="K956" s="177">
        <v>1.0</v>
      </c>
      <c r="L956" s="174"/>
      <c r="M956" s="387"/>
      <c r="N956" s="206"/>
      <c r="O956" s="206"/>
      <c r="P956" s="206"/>
      <c r="Q956" s="206"/>
      <c r="R956" s="206"/>
      <c r="S956" s="367"/>
      <c r="T956" s="276"/>
      <c r="U956" s="276"/>
      <c r="V956" s="276"/>
      <c r="W956" s="276"/>
      <c r="X956" s="276"/>
      <c r="Y956" s="276"/>
      <c r="Z956" s="276"/>
      <c r="AA956" s="276"/>
      <c r="AB956" s="276"/>
      <c r="AC956" s="276"/>
    </row>
    <row r="957">
      <c r="A957" s="108" t="s">
        <v>11961</v>
      </c>
      <c r="B957" s="173">
        <v>46059.0</v>
      </c>
      <c r="C957" s="374">
        <v>8.07000035004E11</v>
      </c>
      <c r="D957" s="374" t="s">
        <v>11962</v>
      </c>
      <c r="E957" s="374" t="s">
        <v>11963</v>
      </c>
      <c r="F957" s="177" t="s">
        <v>11964</v>
      </c>
      <c r="G957" s="177" t="s">
        <v>127</v>
      </c>
      <c r="H957" s="177">
        <v>4400.0</v>
      </c>
      <c r="I957" s="374" t="s">
        <v>3131</v>
      </c>
      <c r="J957" s="374" t="s">
        <v>3416</v>
      </c>
      <c r="K957" s="177">
        <v>1.0</v>
      </c>
      <c r="L957" s="174">
        <v>3.875839069E9</v>
      </c>
      <c r="M957" s="387"/>
      <c r="N957" s="481">
        <v>46060.0</v>
      </c>
      <c r="O957" s="261" t="s">
        <v>13338</v>
      </c>
      <c r="P957" s="367"/>
      <c r="Q957" s="261" t="s">
        <v>13339</v>
      </c>
      <c r="R957" s="434" t="s">
        <v>13805</v>
      </c>
      <c r="S957" s="367"/>
      <c r="T957" s="276"/>
      <c r="U957" s="276"/>
      <c r="V957" s="276"/>
      <c r="W957" s="276"/>
      <c r="X957" s="276"/>
      <c r="Y957" s="276"/>
      <c r="Z957" s="276"/>
      <c r="AA957" s="276"/>
      <c r="AB957" s="276"/>
      <c r="AC957" s="276"/>
    </row>
    <row r="958">
      <c r="A958" s="108" t="s">
        <v>11965</v>
      </c>
      <c r="B958" s="173">
        <v>46059.0</v>
      </c>
      <c r="C958" s="374">
        <v>8.07000035014E11</v>
      </c>
      <c r="D958" s="374" t="s">
        <v>11966</v>
      </c>
      <c r="E958" s="374" t="s">
        <v>11967</v>
      </c>
      <c r="F958" s="177" t="s">
        <v>11968</v>
      </c>
      <c r="G958" s="177" t="s">
        <v>127</v>
      </c>
      <c r="H958" s="177">
        <v>4400.0</v>
      </c>
      <c r="I958" s="374" t="s">
        <v>2956</v>
      </c>
      <c r="J958" s="374" t="s">
        <v>3327</v>
      </c>
      <c r="K958" s="177">
        <v>1.0</v>
      </c>
      <c r="L958" s="174">
        <v>3.872102107E9</v>
      </c>
      <c r="M958" s="387"/>
      <c r="N958" s="481">
        <v>46059.0</v>
      </c>
      <c r="O958" s="261" t="s">
        <v>13338</v>
      </c>
      <c r="P958" s="367"/>
      <c r="Q958" s="261" t="s">
        <v>13339</v>
      </c>
      <c r="R958" s="434" t="s">
        <v>13806</v>
      </c>
      <c r="S958" s="367"/>
      <c r="T958" s="276"/>
      <c r="U958" s="276"/>
      <c r="V958" s="276"/>
      <c r="W958" s="276"/>
      <c r="X958" s="276"/>
      <c r="Y958" s="276"/>
      <c r="Z958" s="276"/>
      <c r="AA958" s="276"/>
      <c r="AB958" s="276"/>
      <c r="AC958" s="276"/>
    </row>
    <row r="959">
      <c r="A959" s="108" t="s">
        <v>11969</v>
      </c>
      <c r="B959" s="173">
        <v>46059.0</v>
      </c>
      <c r="C959" s="374">
        <v>8.07000034969E11</v>
      </c>
      <c r="D959" s="374" t="s">
        <v>4724</v>
      </c>
      <c r="E959" s="374" t="s">
        <v>4725</v>
      </c>
      <c r="F959" s="177" t="s">
        <v>11970</v>
      </c>
      <c r="G959" s="177" t="s">
        <v>20</v>
      </c>
      <c r="H959" s="177" t="s">
        <v>1878</v>
      </c>
      <c r="I959" s="374" t="s">
        <v>7741</v>
      </c>
      <c r="J959" s="374" t="s">
        <v>7742</v>
      </c>
      <c r="K959" s="177">
        <v>1.0</v>
      </c>
      <c r="L959" s="174">
        <v>4321073.0</v>
      </c>
      <c r="M959" s="387"/>
      <c r="N959" s="480">
        <v>46060.0</v>
      </c>
      <c r="O959" s="430" t="s">
        <v>13338</v>
      </c>
      <c r="P959" s="431"/>
      <c r="Q959" s="430" t="s">
        <v>13807</v>
      </c>
      <c r="R959" s="432" t="s">
        <v>13808</v>
      </c>
      <c r="S959" s="367"/>
      <c r="T959" s="276"/>
      <c r="U959" s="276"/>
      <c r="V959" s="276"/>
      <c r="W959" s="276"/>
      <c r="X959" s="276"/>
      <c r="Y959" s="276"/>
      <c r="Z959" s="276"/>
      <c r="AA959" s="276"/>
      <c r="AB959" s="276"/>
      <c r="AC959" s="276"/>
    </row>
    <row r="960">
      <c r="A960" s="108" t="s">
        <v>11969</v>
      </c>
      <c r="B960" s="173">
        <v>46059.0</v>
      </c>
      <c r="C960" s="374">
        <v>8.0700003497E11</v>
      </c>
      <c r="D960" s="374" t="s">
        <v>4724</v>
      </c>
      <c r="E960" s="374" t="s">
        <v>4725</v>
      </c>
      <c r="F960" s="177" t="s">
        <v>11971</v>
      </c>
      <c r="G960" s="177" t="s">
        <v>20</v>
      </c>
      <c r="H960" s="177" t="s">
        <v>1878</v>
      </c>
      <c r="I960" s="374">
        <v>125814.0</v>
      </c>
      <c r="J960" s="374" t="s">
        <v>9798</v>
      </c>
      <c r="K960" s="177">
        <v>2.0</v>
      </c>
      <c r="L960" s="174">
        <v>4321073.0</v>
      </c>
      <c r="M960" s="387"/>
      <c r="N960" s="206"/>
      <c r="O960" s="206"/>
      <c r="P960" s="206"/>
      <c r="Q960" s="206"/>
      <c r="R960" s="206"/>
      <c r="S960" s="367"/>
      <c r="T960" s="276"/>
      <c r="U960" s="276"/>
      <c r="V960" s="276"/>
      <c r="W960" s="276"/>
      <c r="X960" s="276"/>
      <c r="Y960" s="276"/>
      <c r="Z960" s="276"/>
      <c r="AA960" s="276"/>
      <c r="AB960" s="276"/>
      <c r="AC960" s="276"/>
    </row>
    <row r="961">
      <c r="A961" s="108" t="s">
        <v>11972</v>
      </c>
      <c r="B961" s="173">
        <v>46059.0</v>
      </c>
      <c r="C961" s="374">
        <v>8.07000034988E11</v>
      </c>
      <c r="D961" s="374" t="s">
        <v>11973</v>
      </c>
      <c r="E961" s="374" t="s">
        <v>11974</v>
      </c>
      <c r="F961" s="177" t="s">
        <v>11975</v>
      </c>
      <c r="G961" s="177" t="s">
        <v>127</v>
      </c>
      <c r="H961" s="177">
        <v>4400.0</v>
      </c>
      <c r="I961" s="374">
        <v>125810.0</v>
      </c>
      <c r="J961" s="374" t="s">
        <v>4672</v>
      </c>
      <c r="K961" s="177">
        <v>2.0</v>
      </c>
      <c r="L961" s="174"/>
      <c r="M961" s="387"/>
      <c r="N961" s="480">
        <v>46059.0</v>
      </c>
      <c r="O961" s="430" t="s">
        <v>13338</v>
      </c>
      <c r="P961" s="431"/>
      <c r="Q961" s="430" t="s">
        <v>9012</v>
      </c>
      <c r="R961" s="432" t="s">
        <v>13809</v>
      </c>
      <c r="S961" s="367"/>
      <c r="T961" s="276"/>
      <c r="U961" s="276"/>
      <c r="V961" s="276"/>
      <c r="W961" s="276"/>
      <c r="X961" s="276"/>
      <c r="Y961" s="276"/>
      <c r="Z961" s="276"/>
      <c r="AA961" s="276"/>
      <c r="AB961" s="276"/>
      <c r="AC961" s="276"/>
    </row>
    <row r="962">
      <c r="A962" s="108" t="s">
        <v>11972</v>
      </c>
      <c r="B962" s="173">
        <v>46059.0</v>
      </c>
      <c r="C962" s="374">
        <v>8.07000034989E11</v>
      </c>
      <c r="D962" s="374" t="s">
        <v>11973</v>
      </c>
      <c r="E962" s="374" t="s">
        <v>11974</v>
      </c>
      <c r="F962" s="177" t="s">
        <v>11975</v>
      </c>
      <c r="G962" s="177" t="s">
        <v>127</v>
      </c>
      <c r="H962" s="177">
        <v>4400.0</v>
      </c>
      <c r="I962" s="374" t="s">
        <v>5842</v>
      </c>
      <c r="J962" s="374" t="s">
        <v>5843</v>
      </c>
      <c r="K962" s="177">
        <v>1.0</v>
      </c>
      <c r="L962" s="174"/>
      <c r="M962" s="387"/>
      <c r="N962" s="209"/>
      <c r="O962" s="209"/>
      <c r="P962" s="209"/>
      <c r="Q962" s="209"/>
      <c r="R962" s="209"/>
      <c r="S962" s="367"/>
      <c r="T962" s="276"/>
      <c r="U962" s="276"/>
      <c r="V962" s="276"/>
      <c r="W962" s="276"/>
      <c r="X962" s="276"/>
      <c r="Y962" s="276"/>
      <c r="Z962" s="276"/>
      <c r="AA962" s="276"/>
      <c r="AB962" s="276"/>
      <c r="AC962" s="276"/>
    </row>
    <row r="963">
      <c r="A963" s="108" t="s">
        <v>11972</v>
      </c>
      <c r="B963" s="173">
        <v>46059.0</v>
      </c>
      <c r="C963" s="374">
        <v>8.07000034989E11</v>
      </c>
      <c r="D963" s="374" t="s">
        <v>11973</v>
      </c>
      <c r="E963" s="374" t="s">
        <v>11974</v>
      </c>
      <c r="F963" s="177" t="s">
        <v>11975</v>
      </c>
      <c r="G963" s="177" t="s">
        <v>127</v>
      </c>
      <c r="H963" s="177">
        <v>4400.0</v>
      </c>
      <c r="I963" s="374" t="s">
        <v>3131</v>
      </c>
      <c r="J963" s="374" t="s">
        <v>3416</v>
      </c>
      <c r="K963" s="177">
        <v>1.0</v>
      </c>
      <c r="L963" s="174"/>
      <c r="M963" s="387"/>
      <c r="N963" s="206"/>
      <c r="O963" s="206"/>
      <c r="P963" s="206"/>
      <c r="Q963" s="206"/>
      <c r="R963" s="206"/>
      <c r="S963" s="367"/>
      <c r="T963" s="276"/>
      <c r="U963" s="276"/>
      <c r="V963" s="276"/>
      <c r="W963" s="276"/>
      <c r="X963" s="276"/>
      <c r="Y963" s="276"/>
      <c r="Z963" s="276"/>
      <c r="AA963" s="276"/>
      <c r="AB963" s="276"/>
      <c r="AC963" s="276"/>
    </row>
    <row r="964">
      <c r="A964" s="108" t="s">
        <v>11976</v>
      </c>
      <c r="B964" s="173">
        <v>46059.0</v>
      </c>
      <c r="C964" s="374">
        <v>8.07000034736E11</v>
      </c>
      <c r="D964" s="374" t="s">
        <v>5696</v>
      </c>
      <c r="E964" s="374" t="s">
        <v>5697</v>
      </c>
      <c r="F964" s="177" t="s">
        <v>5698</v>
      </c>
      <c r="G964" s="177" t="s">
        <v>2907</v>
      </c>
      <c r="H964" s="177">
        <v>4400.0</v>
      </c>
      <c r="I964" s="374">
        <v>125813.0</v>
      </c>
      <c r="J964" s="374" t="s">
        <v>5703</v>
      </c>
      <c r="K964" s="177">
        <v>10.0</v>
      </c>
      <c r="L964" s="174">
        <v>3.874432518E9</v>
      </c>
      <c r="M964" s="387"/>
      <c r="N964" s="480">
        <v>46141.0</v>
      </c>
      <c r="O964" s="430" t="s">
        <v>9011</v>
      </c>
      <c r="P964" s="431"/>
      <c r="Q964" s="430" t="s">
        <v>13339</v>
      </c>
      <c r="R964" s="432" t="s">
        <v>13810</v>
      </c>
      <c r="S964" s="367"/>
      <c r="T964" s="276"/>
      <c r="U964" s="276"/>
      <c r="V964" s="276"/>
      <c r="W964" s="276"/>
      <c r="X964" s="276"/>
      <c r="Y964" s="276"/>
      <c r="Z964" s="276"/>
      <c r="AA964" s="276"/>
      <c r="AB964" s="276"/>
      <c r="AC964" s="276"/>
    </row>
    <row r="965">
      <c r="A965" s="108" t="s">
        <v>11976</v>
      </c>
      <c r="B965" s="173">
        <v>46059.0</v>
      </c>
      <c r="C965" s="374">
        <v>8.07000034736E11</v>
      </c>
      <c r="D965" s="374" t="s">
        <v>5696</v>
      </c>
      <c r="E965" s="374" t="s">
        <v>5697</v>
      </c>
      <c r="F965" s="177" t="s">
        <v>5698</v>
      </c>
      <c r="G965" s="177" t="s">
        <v>2907</v>
      </c>
      <c r="H965" s="177">
        <v>4400.0</v>
      </c>
      <c r="I965" s="374">
        <v>125814.0</v>
      </c>
      <c r="J965" s="374" t="s">
        <v>9798</v>
      </c>
      <c r="K965" s="177">
        <v>4.0</v>
      </c>
      <c r="L965" s="174">
        <v>3.874432518E9</v>
      </c>
      <c r="M965" s="387"/>
      <c r="N965" s="209"/>
      <c r="O965" s="209"/>
      <c r="P965" s="209"/>
      <c r="Q965" s="209"/>
      <c r="R965" s="209"/>
      <c r="S965" s="367"/>
      <c r="T965" s="276"/>
      <c r="U965" s="276"/>
      <c r="V965" s="276"/>
      <c r="W965" s="276"/>
      <c r="X965" s="276"/>
      <c r="Y965" s="276"/>
      <c r="Z965" s="276"/>
      <c r="AA965" s="276"/>
      <c r="AB965" s="276"/>
      <c r="AC965" s="276"/>
    </row>
    <row r="966">
      <c r="A966" s="108" t="s">
        <v>11976</v>
      </c>
      <c r="B966" s="173">
        <v>46059.0</v>
      </c>
      <c r="C966" s="374">
        <v>8.07000034736E11</v>
      </c>
      <c r="D966" s="374" t="s">
        <v>5696</v>
      </c>
      <c r="E966" s="374" t="s">
        <v>5697</v>
      </c>
      <c r="F966" s="177" t="s">
        <v>5698</v>
      </c>
      <c r="G966" s="177" t="s">
        <v>2907</v>
      </c>
      <c r="H966" s="177">
        <v>4400.0</v>
      </c>
      <c r="I966" s="374">
        <v>208501.0</v>
      </c>
      <c r="J966" s="374" t="s">
        <v>481</v>
      </c>
      <c r="K966" s="177">
        <v>6.0</v>
      </c>
      <c r="L966" s="174">
        <v>3.874432518E9</v>
      </c>
      <c r="M966" s="387"/>
      <c r="N966" s="209"/>
      <c r="O966" s="209"/>
      <c r="P966" s="209"/>
      <c r="Q966" s="209"/>
      <c r="R966" s="209"/>
      <c r="S966" s="367"/>
      <c r="T966" s="276"/>
      <c r="U966" s="276"/>
      <c r="V966" s="276"/>
      <c r="W966" s="276"/>
      <c r="X966" s="276"/>
      <c r="Y966" s="276"/>
      <c r="Z966" s="276"/>
      <c r="AA966" s="276"/>
      <c r="AB966" s="276"/>
      <c r="AC966" s="276"/>
    </row>
    <row r="967">
      <c r="A967" s="108" t="s">
        <v>11976</v>
      </c>
      <c r="B967" s="173">
        <v>46059.0</v>
      </c>
      <c r="C967" s="374">
        <v>8.07000034736E11</v>
      </c>
      <c r="D967" s="374" t="s">
        <v>5696</v>
      </c>
      <c r="E967" s="374" t="s">
        <v>5697</v>
      </c>
      <c r="F967" s="177" t="s">
        <v>5698</v>
      </c>
      <c r="G967" s="177" t="s">
        <v>2907</v>
      </c>
      <c r="H967" s="177">
        <v>4400.0</v>
      </c>
      <c r="I967" s="374" t="s">
        <v>512</v>
      </c>
      <c r="J967" s="374" t="s">
        <v>513</v>
      </c>
      <c r="K967" s="177">
        <v>24.0</v>
      </c>
      <c r="L967" s="174">
        <v>3.874432518E9</v>
      </c>
      <c r="M967" s="387"/>
      <c r="N967" s="209"/>
      <c r="O967" s="209"/>
      <c r="P967" s="209"/>
      <c r="Q967" s="209"/>
      <c r="R967" s="209"/>
      <c r="S967" s="367"/>
      <c r="T967" s="276"/>
      <c r="U967" s="276"/>
      <c r="V967" s="276"/>
      <c r="W967" s="276"/>
      <c r="X967" s="276"/>
      <c r="Y967" s="276"/>
      <c r="Z967" s="276"/>
      <c r="AA967" s="276"/>
      <c r="AB967" s="276"/>
      <c r="AC967" s="276"/>
    </row>
    <row r="968">
      <c r="A968" s="108" t="s">
        <v>11976</v>
      </c>
      <c r="B968" s="173">
        <v>46059.0</v>
      </c>
      <c r="C968" s="374">
        <v>8.07000034736E11</v>
      </c>
      <c r="D968" s="374" t="s">
        <v>5696</v>
      </c>
      <c r="E968" s="374" t="s">
        <v>5697</v>
      </c>
      <c r="F968" s="177" t="s">
        <v>5698</v>
      </c>
      <c r="G968" s="177" t="s">
        <v>2907</v>
      </c>
      <c r="H968" s="177">
        <v>4400.0</v>
      </c>
      <c r="I968" s="374" t="s">
        <v>8983</v>
      </c>
      <c r="J968" s="374" t="s">
        <v>8984</v>
      </c>
      <c r="K968" s="177">
        <v>3.0</v>
      </c>
      <c r="L968" s="174">
        <v>3.874432518E9</v>
      </c>
      <c r="M968" s="387"/>
      <c r="N968" s="209"/>
      <c r="O968" s="209"/>
      <c r="P968" s="209"/>
      <c r="Q968" s="209"/>
      <c r="R968" s="209"/>
      <c r="S968" s="367"/>
      <c r="T968" s="276"/>
      <c r="U968" s="276"/>
      <c r="V968" s="276"/>
      <c r="W968" s="276"/>
      <c r="X968" s="276"/>
      <c r="Y968" s="276"/>
      <c r="Z968" s="276"/>
      <c r="AA968" s="276"/>
      <c r="AB968" s="276"/>
      <c r="AC968" s="276"/>
    </row>
    <row r="969">
      <c r="A969" s="108" t="s">
        <v>11976</v>
      </c>
      <c r="B969" s="173">
        <v>46059.0</v>
      </c>
      <c r="C969" s="374">
        <v>8.07000034736E11</v>
      </c>
      <c r="D969" s="374" t="s">
        <v>5696</v>
      </c>
      <c r="E969" s="374" t="s">
        <v>5697</v>
      </c>
      <c r="F969" s="177" t="s">
        <v>5698</v>
      </c>
      <c r="G969" s="177" t="s">
        <v>2907</v>
      </c>
      <c r="H969" s="177">
        <v>4400.0</v>
      </c>
      <c r="I969" s="374" t="s">
        <v>10959</v>
      </c>
      <c r="J969" s="374" t="s">
        <v>10960</v>
      </c>
      <c r="K969" s="177">
        <v>2.0</v>
      </c>
      <c r="L969" s="174">
        <v>3.874432518E9</v>
      </c>
      <c r="M969" s="387"/>
      <c r="N969" s="209"/>
      <c r="O969" s="209"/>
      <c r="P969" s="209"/>
      <c r="Q969" s="209"/>
      <c r="R969" s="209"/>
      <c r="S969" s="367"/>
      <c r="T969" s="276"/>
      <c r="U969" s="276"/>
      <c r="V969" s="276"/>
      <c r="W969" s="276"/>
      <c r="X969" s="276"/>
      <c r="Y969" s="276"/>
      <c r="Z969" s="276"/>
      <c r="AA969" s="276"/>
      <c r="AB969" s="276"/>
      <c r="AC969" s="276"/>
    </row>
    <row r="970">
      <c r="A970" s="108" t="s">
        <v>11976</v>
      </c>
      <c r="B970" s="173">
        <v>46059.0</v>
      </c>
      <c r="C970" s="374">
        <v>8.07000034737E11</v>
      </c>
      <c r="D970" s="374" t="s">
        <v>5696</v>
      </c>
      <c r="E970" s="374" t="s">
        <v>5697</v>
      </c>
      <c r="F970" s="177" t="s">
        <v>5698</v>
      </c>
      <c r="G970" s="177" t="s">
        <v>2907</v>
      </c>
      <c r="H970" s="177">
        <v>4400.0</v>
      </c>
      <c r="I970" s="374" t="s">
        <v>5842</v>
      </c>
      <c r="J970" s="374" t="s">
        <v>5843</v>
      </c>
      <c r="K970" s="177">
        <v>3.0</v>
      </c>
      <c r="L970" s="174">
        <v>3.874432518E9</v>
      </c>
      <c r="M970" s="387"/>
      <c r="N970" s="209"/>
      <c r="O970" s="209"/>
      <c r="P970" s="209"/>
      <c r="Q970" s="209"/>
      <c r="R970" s="209"/>
      <c r="S970" s="367"/>
      <c r="T970" s="276"/>
      <c r="U970" s="276"/>
      <c r="V970" s="276"/>
      <c r="W970" s="276"/>
      <c r="X970" s="276"/>
      <c r="Y970" s="276"/>
      <c r="Z970" s="276"/>
      <c r="AA970" s="276"/>
      <c r="AB970" s="276"/>
      <c r="AC970" s="276"/>
    </row>
    <row r="971">
      <c r="A971" s="108" t="s">
        <v>11976</v>
      </c>
      <c r="B971" s="173">
        <v>46059.0</v>
      </c>
      <c r="C971" s="374">
        <v>8.07000034737E11</v>
      </c>
      <c r="D971" s="374" t="s">
        <v>5696</v>
      </c>
      <c r="E971" s="374" t="s">
        <v>5697</v>
      </c>
      <c r="F971" s="177" t="s">
        <v>5698</v>
      </c>
      <c r="G971" s="177" t="s">
        <v>2907</v>
      </c>
      <c r="H971" s="177">
        <v>4400.0</v>
      </c>
      <c r="I971" s="374" t="s">
        <v>4899</v>
      </c>
      <c r="J971" s="374" t="s">
        <v>4900</v>
      </c>
      <c r="K971" s="177">
        <v>2.0</v>
      </c>
      <c r="L971" s="174">
        <v>3.874432518E9</v>
      </c>
      <c r="M971" s="387"/>
      <c r="N971" s="209"/>
      <c r="O971" s="209"/>
      <c r="P971" s="209"/>
      <c r="Q971" s="209"/>
      <c r="R971" s="209"/>
      <c r="S971" s="367"/>
      <c r="T971" s="276"/>
      <c r="U971" s="276"/>
      <c r="V971" s="276"/>
      <c r="W971" s="276"/>
      <c r="X971" s="276"/>
      <c r="Y971" s="276"/>
      <c r="Z971" s="276"/>
      <c r="AA971" s="276"/>
      <c r="AB971" s="276"/>
      <c r="AC971" s="276"/>
    </row>
    <row r="972">
      <c r="A972" s="108" t="s">
        <v>11976</v>
      </c>
      <c r="B972" s="173">
        <v>46059.0</v>
      </c>
      <c r="C972" s="374">
        <v>8.07000034737E11</v>
      </c>
      <c r="D972" s="374" t="s">
        <v>5696</v>
      </c>
      <c r="E972" s="374" t="s">
        <v>5697</v>
      </c>
      <c r="F972" s="177" t="s">
        <v>5698</v>
      </c>
      <c r="G972" s="177" t="s">
        <v>2907</v>
      </c>
      <c r="H972" s="177">
        <v>4400.0</v>
      </c>
      <c r="I972" s="374" t="s">
        <v>9295</v>
      </c>
      <c r="J972" s="374" t="s">
        <v>9296</v>
      </c>
      <c r="K972" s="177">
        <v>1.0</v>
      </c>
      <c r="L972" s="174">
        <v>3.874432518E9</v>
      </c>
      <c r="M972" s="387"/>
      <c r="N972" s="209"/>
      <c r="O972" s="209"/>
      <c r="P972" s="209"/>
      <c r="Q972" s="209"/>
      <c r="R972" s="209"/>
      <c r="S972" s="367"/>
      <c r="T972" s="276"/>
      <c r="U972" s="276"/>
      <c r="V972" s="276"/>
      <c r="W972" s="276"/>
      <c r="X972" s="276"/>
      <c r="Y972" s="276"/>
      <c r="Z972" s="276"/>
      <c r="AA972" s="276"/>
      <c r="AB972" s="276"/>
      <c r="AC972" s="276"/>
    </row>
    <row r="973">
      <c r="A973" s="108" t="s">
        <v>11976</v>
      </c>
      <c r="B973" s="173">
        <v>46059.0</v>
      </c>
      <c r="C973" s="374">
        <v>8.07000034738E11</v>
      </c>
      <c r="D973" s="374" t="s">
        <v>5696</v>
      </c>
      <c r="E973" s="374" t="s">
        <v>5697</v>
      </c>
      <c r="F973" s="177" t="s">
        <v>5698</v>
      </c>
      <c r="G973" s="177" t="s">
        <v>2907</v>
      </c>
      <c r="H973" s="177">
        <v>4400.0</v>
      </c>
      <c r="I973" s="374" t="s">
        <v>233</v>
      </c>
      <c r="J973" s="374" t="s">
        <v>3459</v>
      </c>
      <c r="K973" s="177">
        <v>4.0</v>
      </c>
      <c r="L973" s="174">
        <v>3.874432518E9</v>
      </c>
      <c r="M973" s="387"/>
      <c r="N973" s="206"/>
      <c r="O973" s="206"/>
      <c r="P973" s="206"/>
      <c r="Q973" s="206"/>
      <c r="R973" s="206"/>
      <c r="S973" s="367"/>
      <c r="T973" s="276"/>
      <c r="U973" s="276"/>
      <c r="V973" s="276"/>
      <c r="W973" s="276"/>
      <c r="X973" s="276"/>
      <c r="Y973" s="276"/>
      <c r="Z973" s="276"/>
      <c r="AA973" s="276"/>
      <c r="AB973" s="276"/>
      <c r="AC973" s="276"/>
    </row>
    <row r="974">
      <c r="A974" s="108" t="s">
        <v>11977</v>
      </c>
      <c r="B974" s="173">
        <v>46059.0</v>
      </c>
      <c r="C974" s="374">
        <v>8.07000034882E11</v>
      </c>
      <c r="D974" s="374" t="s">
        <v>5787</v>
      </c>
      <c r="E974" s="374" t="s">
        <v>5788</v>
      </c>
      <c r="F974" s="177" t="s">
        <v>5789</v>
      </c>
      <c r="G974" s="177" t="s">
        <v>127</v>
      </c>
      <c r="H974" s="177">
        <v>4400.0</v>
      </c>
      <c r="I974" s="374">
        <v>118.0</v>
      </c>
      <c r="J974" s="374" t="s">
        <v>11978</v>
      </c>
      <c r="K974" s="177">
        <v>1.0</v>
      </c>
      <c r="L974" s="174">
        <v>3.874034353E9</v>
      </c>
      <c r="M974" s="387"/>
      <c r="N974" s="480">
        <v>46060.0</v>
      </c>
      <c r="O974" s="430" t="s">
        <v>13338</v>
      </c>
      <c r="P974" s="431"/>
      <c r="Q974" s="430" t="s">
        <v>13339</v>
      </c>
      <c r="R974" s="432" t="s">
        <v>13811</v>
      </c>
      <c r="S974" s="367"/>
      <c r="T974" s="276"/>
      <c r="U974" s="276"/>
      <c r="V974" s="276"/>
      <c r="W974" s="276"/>
      <c r="X974" s="276"/>
      <c r="Y974" s="276"/>
      <c r="Z974" s="276"/>
      <c r="AA974" s="276"/>
      <c r="AB974" s="276"/>
      <c r="AC974" s="276"/>
    </row>
    <row r="975">
      <c r="A975" s="108" t="s">
        <v>11977</v>
      </c>
      <c r="B975" s="173">
        <v>46059.0</v>
      </c>
      <c r="C975" s="374">
        <v>8.07000034882E11</v>
      </c>
      <c r="D975" s="374" t="s">
        <v>5787</v>
      </c>
      <c r="E975" s="374" t="s">
        <v>5788</v>
      </c>
      <c r="F975" s="177" t="s">
        <v>5789</v>
      </c>
      <c r="G975" s="177" t="s">
        <v>127</v>
      </c>
      <c r="H975" s="177">
        <v>4400.0</v>
      </c>
      <c r="I975" s="374">
        <v>125822.0</v>
      </c>
      <c r="J975" s="374" t="s">
        <v>6030</v>
      </c>
      <c r="K975" s="177">
        <v>2.0</v>
      </c>
      <c r="L975" s="174">
        <v>3.874034353E9</v>
      </c>
      <c r="M975" s="387"/>
      <c r="N975" s="209"/>
      <c r="O975" s="209"/>
      <c r="P975" s="209"/>
      <c r="Q975" s="209"/>
      <c r="R975" s="209"/>
      <c r="S975" s="367"/>
      <c r="T975" s="276"/>
      <c r="U975" s="276"/>
      <c r="V975" s="276"/>
      <c r="W975" s="276"/>
      <c r="X975" s="276"/>
      <c r="Y975" s="276"/>
      <c r="Z975" s="276"/>
      <c r="AA975" s="276"/>
      <c r="AB975" s="276"/>
      <c r="AC975" s="276"/>
    </row>
    <row r="976">
      <c r="A976" s="108" t="s">
        <v>11977</v>
      </c>
      <c r="B976" s="173">
        <v>46059.0</v>
      </c>
      <c r="C976" s="374">
        <v>5.3100000066E10</v>
      </c>
      <c r="D976" s="374" t="s">
        <v>5787</v>
      </c>
      <c r="E976" s="374" t="s">
        <v>5788</v>
      </c>
      <c r="F976" s="177" t="s">
        <v>5789</v>
      </c>
      <c r="G976" s="177" t="s">
        <v>127</v>
      </c>
      <c r="H976" s="177">
        <v>4400.0</v>
      </c>
      <c r="I976" s="374" t="s">
        <v>4070</v>
      </c>
      <c r="J976" s="374" t="s">
        <v>6264</v>
      </c>
      <c r="K976" s="177">
        <v>1.0</v>
      </c>
      <c r="L976" s="174">
        <v>3.874034353E9</v>
      </c>
      <c r="M976" s="387"/>
      <c r="N976" s="206"/>
      <c r="O976" s="206"/>
      <c r="P976" s="206"/>
      <c r="Q976" s="206"/>
      <c r="R976" s="206"/>
      <c r="S976" s="367"/>
      <c r="T976" s="276"/>
      <c r="U976" s="276"/>
      <c r="V976" s="276"/>
      <c r="W976" s="276"/>
      <c r="X976" s="276"/>
      <c r="Y976" s="276"/>
      <c r="Z976" s="276"/>
      <c r="AA976" s="276"/>
      <c r="AB976" s="276"/>
      <c r="AC976" s="276"/>
    </row>
    <row r="977">
      <c r="A977" s="108" t="s">
        <v>11979</v>
      </c>
      <c r="B977" s="173">
        <v>46059.0</v>
      </c>
      <c r="C977" s="374">
        <v>8.07000034904E11</v>
      </c>
      <c r="D977" s="374" t="s">
        <v>5808</v>
      </c>
      <c r="E977" s="374" t="s">
        <v>5809</v>
      </c>
      <c r="F977" s="177" t="s">
        <v>5810</v>
      </c>
      <c r="G977" s="177" t="s">
        <v>127</v>
      </c>
      <c r="H977" s="177">
        <v>4400.0</v>
      </c>
      <c r="I977" s="374">
        <v>125812.0</v>
      </c>
      <c r="J977" s="374" t="s">
        <v>9317</v>
      </c>
      <c r="K977" s="177">
        <v>2.0</v>
      </c>
      <c r="L977" s="174">
        <v>3.874068039E9</v>
      </c>
      <c r="M977" s="387"/>
      <c r="N977" s="481">
        <v>46059.0</v>
      </c>
      <c r="O977" s="261" t="s">
        <v>13780</v>
      </c>
      <c r="P977" s="367"/>
      <c r="Q977" s="261" t="s">
        <v>13812</v>
      </c>
      <c r="R977" s="434" t="s">
        <v>13813</v>
      </c>
      <c r="S977" s="367"/>
      <c r="T977" s="276"/>
      <c r="U977" s="276"/>
      <c r="V977" s="276"/>
      <c r="W977" s="276"/>
      <c r="X977" s="276"/>
      <c r="Y977" s="276"/>
      <c r="Z977" s="276"/>
      <c r="AA977" s="276"/>
      <c r="AB977" s="276"/>
      <c r="AC977" s="276"/>
    </row>
    <row r="978">
      <c r="A978" s="108" t="s">
        <v>11980</v>
      </c>
      <c r="B978" s="482">
        <v>46060.0</v>
      </c>
      <c r="C978" s="374">
        <v>8.07000035044E11</v>
      </c>
      <c r="D978" s="374" t="s">
        <v>5802</v>
      </c>
      <c r="E978" s="374" t="s">
        <v>5803</v>
      </c>
      <c r="F978" s="177" t="s">
        <v>5804</v>
      </c>
      <c r="G978" s="177" t="s">
        <v>20</v>
      </c>
      <c r="H978" s="177">
        <v>4400.0</v>
      </c>
      <c r="I978" s="374" t="s">
        <v>10358</v>
      </c>
      <c r="J978" s="374" t="s">
        <v>10359</v>
      </c>
      <c r="K978" s="177">
        <v>1.0</v>
      </c>
      <c r="L978" s="174">
        <v>3.874556605E9</v>
      </c>
      <c r="M978" s="387"/>
      <c r="N978" s="481">
        <v>46060.0</v>
      </c>
      <c r="O978" s="261" t="s">
        <v>13338</v>
      </c>
      <c r="P978" s="367"/>
      <c r="Q978" s="261" t="s">
        <v>13778</v>
      </c>
      <c r="R978" s="434" t="s">
        <v>13814</v>
      </c>
      <c r="S978" s="367"/>
      <c r="T978" s="276"/>
      <c r="U978" s="276"/>
      <c r="V978" s="276"/>
      <c r="W978" s="276"/>
      <c r="X978" s="276"/>
      <c r="Y978" s="276"/>
      <c r="Z978" s="276"/>
      <c r="AA978" s="276"/>
      <c r="AB978" s="276"/>
      <c r="AC978" s="276"/>
    </row>
    <row r="979">
      <c r="A979" s="108" t="s">
        <v>11981</v>
      </c>
      <c r="B979" s="482">
        <v>46062.0</v>
      </c>
      <c r="C979" s="374">
        <v>8.07000035065E11</v>
      </c>
      <c r="D979" s="374" t="s">
        <v>11982</v>
      </c>
      <c r="E979" s="374" t="s">
        <v>11983</v>
      </c>
      <c r="F979" s="177" t="s">
        <v>11984</v>
      </c>
      <c r="G979" s="177" t="s">
        <v>127</v>
      </c>
      <c r="H979" s="177">
        <v>4400.0</v>
      </c>
      <c r="I979" s="374" t="s">
        <v>4070</v>
      </c>
      <c r="J979" s="374" t="s">
        <v>6264</v>
      </c>
      <c r="K979" s="177">
        <v>1.0</v>
      </c>
      <c r="L979" s="174">
        <v>3.875043969E9</v>
      </c>
      <c r="M979" s="387"/>
      <c r="N979" s="480">
        <v>46062.0</v>
      </c>
      <c r="O979" s="430" t="s">
        <v>13338</v>
      </c>
      <c r="P979" s="431"/>
      <c r="Q979" s="430" t="s">
        <v>13815</v>
      </c>
      <c r="R979" s="432" t="s">
        <v>13816</v>
      </c>
      <c r="S979" s="367"/>
      <c r="T979" s="276"/>
      <c r="U979" s="276"/>
      <c r="V979" s="276"/>
      <c r="W979" s="276"/>
      <c r="X979" s="276"/>
      <c r="Y979" s="276"/>
      <c r="Z979" s="276"/>
      <c r="AA979" s="276"/>
      <c r="AB979" s="276"/>
      <c r="AC979" s="276"/>
    </row>
    <row r="980">
      <c r="A980" s="108" t="s">
        <v>11981</v>
      </c>
      <c r="B980" s="482">
        <v>46062.0</v>
      </c>
      <c r="C980" s="374">
        <v>8.07000035015E11</v>
      </c>
      <c r="D980" s="374" t="s">
        <v>11982</v>
      </c>
      <c r="E980" s="374" t="s">
        <v>11983</v>
      </c>
      <c r="F980" s="177" t="s">
        <v>11984</v>
      </c>
      <c r="G980" s="177" t="s">
        <v>127</v>
      </c>
      <c r="H980" s="177">
        <v>4400.0</v>
      </c>
      <c r="I980" s="374">
        <v>125817.0</v>
      </c>
      <c r="J980" s="374" t="s">
        <v>10650</v>
      </c>
      <c r="K980" s="177">
        <v>2.0</v>
      </c>
      <c r="L980" s="174">
        <v>3.875043969E9</v>
      </c>
      <c r="M980" s="387"/>
      <c r="N980" s="209"/>
      <c r="O980" s="209"/>
      <c r="P980" s="209"/>
      <c r="Q980" s="209"/>
      <c r="R980" s="209"/>
      <c r="S980" s="367"/>
      <c r="T980" s="276"/>
      <c r="U980" s="276"/>
      <c r="V980" s="276"/>
      <c r="W980" s="276"/>
      <c r="X980" s="276"/>
      <c r="Y980" s="276"/>
      <c r="Z980" s="276"/>
      <c r="AA980" s="276"/>
      <c r="AB980" s="276"/>
      <c r="AC980" s="276"/>
    </row>
    <row r="981">
      <c r="A981" s="108" t="s">
        <v>11985</v>
      </c>
      <c r="B981" s="482">
        <v>46062.0</v>
      </c>
      <c r="C981" s="374">
        <v>8.07000035016E11</v>
      </c>
      <c r="D981" s="374" t="s">
        <v>11982</v>
      </c>
      <c r="E981" s="374" t="s">
        <v>11983</v>
      </c>
      <c r="F981" s="177" t="s">
        <v>11984</v>
      </c>
      <c r="G981" s="177" t="s">
        <v>127</v>
      </c>
      <c r="H981" s="177">
        <v>4400.0</v>
      </c>
      <c r="I981" s="374" t="s">
        <v>512</v>
      </c>
      <c r="J981" s="374" t="s">
        <v>513</v>
      </c>
      <c r="K981" s="177">
        <v>6.0</v>
      </c>
      <c r="L981" s="174">
        <v>3.875043969E9</v>
      </c>
      <c r="M981" s="387"/>
      <c r="N981" s="209"/>
      <c r="O981" s="209"/>
      <c r="P981" s="209"/>
      <c r="Q981" s="209"/>
      <c r="R981" s="209"/>
      <c r="S981" s="367"/>
      <c r="T981" s="276"/>
      <c r="U981" s="276"/>
      <c r="V981" s="276"/>
      <c r="W981" s="276"/>
      <c r="X981" s="276"/>
      <c r="Y981" s="276"/>
      <c r="Z981" s="276"/>
      <c r="AA981" s="276"/>
      <c r="AB981" s="276"/>
      <c r="AC981" s="276"/>
    </row>
    <row r="982">
      <c r="A982" s="108" t="s">
        <v>11985</v>
      </c>
      <c r="B982" s="482">
        <v>46062.0</v>
      </c>
      <c r="C982" s="374">
        <v>8.07000035017E11</v>
      </c>
      <c r="D982" s="374" t="s">
        <v>11982</v>
      </c>
      <c r="E982" s="374" t="s">
        <v>11983</v>
      </c>
      <c r="F982" s="177" t="s">
        <v>11984</v>
      </c>
      <c r="G982" s="177" t="s">
        <v>127</v>
      </c>
      <c r="H982" s="177">
        <v>4400.0</v>
      </c>
      <c r="I982" s="374" t="s">
        <v>812</v>
      </c>
      <c r="J982" s="374" t="s">
        <v>3564</v>
      </c>
      <c r="K982" s="177">
        <v>1.0</v>
      </c>
      <c r="L982" s="174">
        <v>3.875043969E9</v>
      </c>
      <c r="M982" s="387"/>
      <c r="N982" s="209"/>
      <c r="O982" s="209"/>
      <c r="P982" s="209"/>
      <c r="Q982" s="209"/>
      <c r="R982" s="209"/>
      <c r="S982" s="367"/>
      <c r="T982" s="276"/>
      <c r="U982" s="276"/>
      <c r="V982" s="276"/>
      <c r="W982" s="276"/>
      <c r="X982" s="276"/>
      <c r="Y982" s="276"/>
      <c r="Z982" s="276"/>
      <c r="AA982" s="276"/>
      <c r="AB982" s="276"/>
      <c r="AC982" s="276"/>
    </row>
    <row r="983">
      <c r="A983" s="108" t="s">
        <v>11985</v>
      </c>
      <c r="B983" s="482">
        <v>46062.0</v>
      </c>
      <c r="C983" s="374">
        <v>8.07000035017E11</v>
      </c>
      <c r="D983" s="374" t="s">
        <v>11982</v>
      </c>
      <c r="E983" s="374" t="s">
        <v>11983</v>
      </c>
      <c r="F983" s="177" t="s">
        <v>11984</v>
      </c>
      <c r="G983" s="177" t="s">
        <v>127</v>
      </c>
      <c r="H983" s="177">
        <v>4400.0</v>
      </c>
      <c r="I983" s="374" t="s">
        <v>35</v>
      </c>
      <c r="J983" s="374" t="s">
        <v>3188</v>
      </c>
      <c r="K983" s="177">
        <v>1.0</v>
      </c>
      <c r="L983" s="174">
        <v>3.875043969E9</v>
      </c>
      <c r="M983" s="387"/>
      <c r="N983" s="206"/>
      <c r="O983" s="206"/>
      <c r="P983" s="206"/>
      <c r="Q983" s="206"/>
      <c r="R983" s="206"/>
      <c r="S983" s="367"/>
      <c r="T983" s="276"/>
      <c r="U983" s="276"/>
      <c r="V983" s="276"/>
      <c r="W983" s="276"/>
      <c r="X983" s="276"/>
      <c r="Y983" s="276"/>
      <c r="Z983" s="276"/>
      <c r="AA983" s="276"/>
      <c r="AB983" s="276"/>
      <c r="AC983" s="276"/>
    </row>
    <row r="984">
      <c r="A984" s="108" t="s">
        <v>11986</v>
      </c>
      <c r="B984" s="482">
        <v>46062.0</v>
      </c>
      <c r="C984" s="374">
        <v>8.07000035022E11</v>
      </c>
      <c r="D984" s="374" t="s">
        <v>11987</v>
      </c>
      <c r="E984" s="374" t="s">
        <v>11988</v>
      </c>
      <c r="F984" s="177" t="s">
        <v>11989</v>
      </c>
      <c r="G984" s="177" t="s">
        <v>127</v>
      </c>
      <c r="H984" s="177">
        <v>4400.0</v>
      </c>
      <c r="I984" s="374">
        <v>208501.0</v>
      </c>
      <c r="J984" s="374" t="s">
        <v>481</v>
      </c>
      <c r="K984" s="177">
        <v>2.0</v>
      </c>
      <c r="L984" s="174">
        <v>3.872266436E9</v>
      </c>
      <c r="M984" s="387"/>
      <c r="N984" s="480">
        <v>46062.0</v>
      </c>
      <c r="O984" s="430" t="s">
        <v>13338</v>
      </c>
      <c r="P984" s="431"/>
      <c r="Q984" s="430" t="s">
        <v>9012</v>
      </c>
      <c r="R984" s="432" t="s">
        <v>13817</v>
      </c>
      <c r="S984" s="367"/>
      <c r="T984" s="276"/>
      <c r="U984" s="276"/>
      <c r="V984" s="276"/>
      <c r="W984" s="276"/>
      <c r="X984" s="276"/>
      <c r="Y984" s="276"/>
      <c r="Z984" s="276"/>
      <c r="AA984" s="276"/>
      <c r="AB984" s="276"/>
      <c r="AC984" s="276"/>
    </row>
    <row r="985">
      <c r="A985" s="108" t="s">
        <v>11986</v>
      </c>
      <c r="B985" s="482">
        <v>46062.0</v>
      </c>
      <c r="C985" s="374">
        <v>8.07000035022E11</v>
      </c>
      <c r="D985" s="374" t="s">
        <v>11987</v>
      </c>
      <c r="E985" s="374" t="s">
        <v>11988</v>
      </c>
      <c r="F985" s="177" t="s">
        <v>11989</v>
      </c>
      <c r="G985" s="177" t="s">
        <v>127</v>
      </c>
      <c r="H985" s="177">
        <v>4400.0</v>
      </c>
      <c r="I985" s="374" t="s">
        <v>4133</v>
      </c>
      <c r="J985" s="374" t="s">
        <v>4134</v>
      </c>
      <c r="K985" s="177">
        <v>1.0</v>
      </c>
      <c r="L985" s="174">
        <v>3.872266436E9</v>
      </c>
      <c r="M985" s="387"/>
      <c r="N985" s="209"/>
      <c r="O985" s="209"/>
      <c r="P985" s="209"/>
      <c r="Q985" s="209"/>
      <c r="R985" s="209"/>
      <c r="S985" s="367"/>
      <c r="T985" s="276"/>
      <c r="U985" s="276"/>
      <c r="V985" s="276"/>
      <c r="W985" s="276"/>
      <c r="X985" s="276"/>
      <c r="Y985" s="276"/>
      <c r="Z985" s="276"/>
      <c r="AA985" s="276"/>
      <c r="AB985" s="276"/>
      <c r="AC985" s="276"/>
    </row>
    <row r="986">
      <c r="A986" s="108" t="s">
        <v>11986</v>
      </c>
      <c r="B986" s="482">
        <v>46062.0</v>
      </c>
      <c r="C986" s="374">
        <v>8.07000035022E11</v>
      </c>
      <c r="D986" s="374" t="s">
        <v>11987</v>
      </c>
      <c r="E986" s="374" t="s">
        <v>11988</v>
      </c>
      <c r="F986" s="177" t="s">
        <v>11989</v>
      </c>
      <c r="G986" s="177" t="s">
        <v>127</v>
      </c>
      <c r="H986" s="177">
        <v>4400.0</v>
      </c>
      <c r="I986" s="374" t="s">
        <v>512</v>
      </c>
      <c r="J986" s="374" t="s">
        <v>513</v>
      </c>
      <c r="K986" s="177">
        <v>12.0</v>
      </c>
      <c r="L986" s="174">
        <v>3.872266436E9</v>
      </c>
      <c r="M986" s="387"/>
      <c r="N986" s="209"/>
      <c r="O986" s="209"/>
      <c r="P986" s="209"/>
      <c r="Q986" s="209"/>
      <c r="R986" s="209"/>
      <c r="S986" s="367"/>
      <c r="T986" s="276"/>
      <c r="U986" s="276"/>
      <c r="V986" s="276"/>
      <c r="W986" s="276"/>
      <c r="X986" s="276"/>
      <c r="Y986" s="276"/>
      <c r="Z986" s="276"/>
      <c r="AA986" s="276"/>
      <c r="AB986" s="276"/>
      <c r="AC986" s="276"/>
    </row>
    <row r="987">
      <c r="A987" s="108" t="s">
        <v>11986</v>
      </c>
      <c r="B987" s="482">
        <v>46062.0</v>
      </c>
      <c r="C987" s="374">
        <v>8.07000035023E11</v>
      </c>
      <c r="D987" s="374" t="s">
        <v>11987</v>
      </c>
      <c r="E987" s="374" t="s">
        <v>11988</v>
      </c>
      <c r="F987" s="177" t="s">
        <v>11989</v>
      </c>
      <c r="G987" s="177" t="s">
        <v>127</v>
      </c>
      <c r="H987" s="177">
        <v>4400.0</v>
      </c>
      <c r="I987" s="374" t="s">
        <v>340</v>
      </c>
      <c r="J987" s="374" t="s">
        <v>3486</v>
      </c>
      <c r="K987" s="177">
        <v>2.0</v>
      </c>
      <c r="L987" s="174">
        <v>3.872266436E9</v>
      </c>
      <c r="M987" s="387"/>
      <c r="N987" s="206"/>
      <c r="O987" s="206"/>
      <c r="P987" s="206"/>
      <c r="Q987" s="206"/>
      <c r="R987" s="206"/>
      <c r="S987" s="367"/>
      <c r="T987" s="276"/>
      <c r="U987" s="276"/>
      <c r="V987" s="276"/>
      <c r="W987" s="276"/>
      <c r="X987" s="276"/>
      <c r="Y987" s="276"/>
      <c r="Z987" s="276"/>
      <c r="AA987" s="276"/>
      <c r="AB987" s="276"/>
      <c r="AC987" s="276"/>
    </row>
    <row r="988">
      <c r="A988" s="108" t="s">
        <v>11990</v>
      </c>
      <c r="B988" s="482">
        <v>46062.0</v>
      </c>
      <c r="C988" s="374">
        <v>8.07000035027E11</v>
      </c>
      <c r="D988" s="374" t="s">
        <v>11991</v>
      </c>
      <c r="E988" s="374" t="s">
        <v>11992</v>
      </c>
      <c r="F988" s="177" t="s">
        <v>11993</v>
      </c>
      <c r="G988" s="177" t="s">
        <v>127</v>
      </c>
      <c r="H988" s="177">
        <v>4400.0</v>
      </c>
      <c r="I988" s="374">
        <v>208501.0</v>
      </c>
      <c r="J988" s="374" t="s">
        <v>481</v>
      </c>
      <c r="K988" s="177">
        <v>1.0</v>
      </c>
      <c r="L988" s="174">
        <v>3.875731941E9</v>
      </c>
      <c r="M988" s="387"/>
      <c r="N988" s="480">
        <v>46062.0</v>
      </c>
      <c r="O988" s="430" t="s">
        <v>13338</v>
      </c>
      <c r="P988" s="431"/>
      <c r="Q988" s="430" t="s">
        <v>13339</v>
      </c>
      <c r="R988" s="432" t="s">
        <v>13818</v>
      </c>
      <c r="S988" s="367"/>
      <c r="T988" s="276"/>
      <c r="U988" s="276"/>
      <c r="V988" s="276"/>
      <c r="W988" s="276"/>
      <c r="X988" s="276"/>
      <c r="Y988" s="276"/>
      <c r="Z988" s="276"/>
      <c r="AA988" s="276"/>
      <c r="AB988" s="276"/>
      <c r="AC988" s="276"/>
    </row>
    <row r="989">
      <c r="A989" s="108" t="s">
        <v>11990</v>
      </c>
      <c r="B989" s="482">
        <v>46062.0</v>
      </c>
      <c r="C989" s="374">
        <v>8.07000035027E11</v>
      </c>
      <c r="D989" s="374" t="s">
        <v>11991</v>
      </c>
      <c r="E989" s="374" t="s">
        <v>11992</v>
      </c>
      <c r="F989" s="177" t="s">
        <v>11993</v>
      </c>
      <c r="G989" s="177" t="s">
        <v>127</v>
      </c>
      <c r="H989" s="177">
        <v>4400.0</v>
      </c>
      <c r="I989" s="374" t="s">
        <v>512</v>
      </c>
      <c r="J989" s="374" t="s">
        <v>513</v>
      </c>
      <c r="K989" s="177">
        <v>12.0</v>
      </c>
      <c r="L989" s="174">
        <v>3.875731941E9</v>
      </c>
      <c r="M989" s="387"/>
      <c r="N989" s="209"/>
      <c r="O989" s="209"/>
      <c r="P989" s="209"/>
      <c r="Q989" s="209"/>
      <c r="R989" s="209"/>
      <c r="S989" s="367"/>
      <c r="T989" s="276"/>
      <c r="U989" s="276"/>
      <c r="V989" s="276"/>
      <c r="W989" s="276"/>
      <c r="X989" s="276"/>
      <c r="Y989" s="276"/>
      <c r="Z989" s="276"/>
      <c r="AA989" s="276"/>
      <c r="AB989" s="276"/>
      <c r="AC989" s="276"/>
    </row>
    <row r="990">
      <c r="A990" s="108" t="s">
        <v>11990</v>
      </c>
      <c r="B990" s="482">
        <v>46062.0</v>
      </c>
      <c r="C990" s="374">
        <v>8.07000035028E11</v>
      </c>
      <c r="D990" s="374" t="s">
        <v>11991</v>
      </c>
      <c r="E990" s="374" t="s">
        <v>11992</v>
      </c>
      <c r="F990" s="177" t="s">
        <v>11993</v>
      </c>
      <c r="G990" s="177" t="s">
        <v>127</v>
      </c>
      <c r="H990" s="177">
        <v>4400.0</v>
      </c>
      <c r="I990" s="374" t="s">
        <v>3334</v>
      </c>
      <c r="J990" s="374" t="s">
        <v>3575</v>
      </c>
      <c r="K990" s="177">
        <v>1.0</v>
      </c>
      <c r="L990" s="174">
        <v>3.875731941E9</v>
      </c>
      <c r="M990" s="387"/>
      <c r="N990" s="209"/>
      <c r="O990" s="209"/>
      <c r="P990" s="209"/>
      <c r="Q990" s="209"/>
      <c r="R990" s="209"/>
      <c r="S990" s="367"/>
      <c r="T990" s="276"/>
      <c r="U990" s="276"/>
      <c r="V990" s="276"/>
      <c r="W990" s="276"/>
      <c r="X990" s="276"/>
      <c r="Y990" s="276"/>
      <c r="Z990" s="276"/>
      <c r="AA990" s="276"/>
      <c r="AB990" s="276"/>
      <c r="AC990" s="276"/>
    </row>
    <row r="991">
      <c r="A991" s="108" t="s">
        <v>11990</v>
      </c>
      <c r="B991" s="482">
        <v>46062.0</v>
      </c>
      <c r="C991" s="374">
        <v>8.07000035028E11</v>
      </c>
      <c r="D991" s="374" t="s">
        <v>11991</v>
      </c>
      <c r="E991" s="374" t="s">
        <v>11992</v>
      </c>
      <c r="F991" s="177" t="s">
        <v>11993</v>
      </c>
      <c r="G991" s="177" t="s">
        <v>127</v>
      </c>
      <c r="H991" s="177">
        <v>4400.0</v>
      </c>
      <c r="I991" s="374" t="s">
        <v>758</v>
      </c>
      <c r="J991" s="374" t="s">
        <v>3574</v>
      </c>
      <c r="K991" s="177">
        <v>2.0</v>
      </c>
      <c r="L991" s="174">
        <v>3.875731941E9</v>
      </c>
      <c r="M991" s="387"/>
      <c r="N991" s="209"/>
      <c r="O991" s="209"/>
      <c r="P991" s="209"/>
      <c r="Q991" s="209"/>
      <c r="R991" s="209"/>
      <c r="S991" s="367"/>
      <c r="T991" s="276"/>
      <c r="U991" s="276"/>
      <c r="V991" s="276"/>
      <c r="W991" s="276"/>
      <c r="X991" s="276"/>
      <c r="Y991" s="276"/>
      <c r="Z991" s="276"/>
      <c r="AA991" s="276"/>
      <c r="AB991" s="276"/>
      <c r="AC991" s="276"/>
    </row>
    <row r="992">
      <c r="A992" s="108" t="s">
        <v>11994</v>
      </c>
      <c r="B992" s="482">
        <v>46062.0</v>
      </c>
      <c r="C992" s="374">
        <v>8.07000035029E11</v>
      </c>
      <c r="D992" s="374" t="s">
        <v>11991</v>
      </c>
      <c r="E992" s="374" t="s">
        <v>11992</v>
      </c>
      <c r="F992" s="177" t="s">
        <v>11993</v>
      </c>
      <c r="G992" s="177" t="s">
        <v>127</v>
      </c>
      <c r="H992" s="177">
        <v>4400.0</v>
      </c>
      <c r="I992" s="374">
        <v>208501.0</v>
      </c>
      <c r="J992" s="374" t="s">
        <v>481</v>
      </c>
      <c r="K992" s="177">
        <v>1.0</v>
      </c>
      <c r="L992" s="174">
        <v>3.875731941E9</v>
      </c>
      <c r="M992" s="387"/>
      <c r="N992" s="206"/>
      <c r="O992" s="206"/>
      <c r="P992" s="206"/>
      <c r="Q992" s="206"/>
      <c r="R992" s="206"/>
      <c r="S992" s="367"/>
      <c r="T992" s="276"/>
      <c r="U992" s="276"/>
      <c r="V992" s="276"/>
      <c r="W992" s="276"/>
      <c r="X992" s="276"/>
      <c r="Y992" s="276"/>
      <c r="Z992" s="276"/>
      <c r="AA992" s="276"/>
      <c r="AB992" s="276"/>
      <c r="AC992" s="276"/>
    </row>
    <row r="993">
      <c r="A993" s="108" t="s">
        <v>11995</v>
      </c>
      <c r="B993" s="482">
        <v>46062.0</v>
      </c>
      <c r="C993" s="374">
        <v>8.0700003504E11</v>
      </c>
      <c r="D993" s="374" t="s">
        <v>11996</v>
      </c>
      <c r="E993" s="374" t="s">
        <v>11997</v>
      </c>
      <c r="F993" s="177" t="s">
        <v>11998</v>
      </c>
      <c r="G993" s="177" t="s">
        <v>127</v>
      </c>
      <c r="H993" s="177">
        <v>4400.0</v>
      </c>
      <c r="I993" s="374">
        <v>208501.0</v>
      </c>
      <c r="J993" s="374" t="s">
        <v>481</v>
      </c>
      <c r="K993" s="177">
        <v>2.0</v>
      </c>
      <c r="L993" s="174">
        <v>3.875085956E9</v>
      </c>
      <c r="M993" s="387"/>
      <c r="N993" s="480">
        <v>46062.0</v>
      </c>
      <c r="O993" s="430" t="s">
        <v>13338</v>
      </c>
      <c r="P993" s="431"/>
      <c r="Q993" s="430" t="s">
        <v>13819</v>
      </c>
      <c r="R993" s="432" t="s">
        <v>13820</v>
      </c>
      <c r="S993" s="367"/>
      <c r="T993" s="276"/>
      <c r="U993" s="276"/>
      <c r="V993" s="276"/>
      <c r="W993" s="276"/>
      <c r="X993" s="276"/>
      <c r="Y993" s="276"/>
      <c r="Z993" s="276"/>
      <c r="AA993" s="276"/>
      <c r="AB993" s="276"/>
      <c r="AC993" s="276"/>
    </row>
    <row r="994">
      <c r="A994" s="108" t="s">
        <v>11995</v>
      </c>
      <c r="B994" s="482">
        <v>46062.0</v>
      </c>
      <c r="C994" s="374">
        <v>8.0700003504E11</v>
      </c>
      <c r="D994" s="374" t="s">
        <v>11996</v>
      </c>
      <c r="E994" s="374" t="s">
        <v>11997</v>
      </c>
      <c r="F994" s="177" t="s">
        <v>11998</v>
      </c>
      <c r="G994" s="177" t="s">
        <v>127</v>
      </c>
      <c r="H994" s="177">
        <v>4400.0</v>
      </c>
      <c r="I994" s="374" t="s">
        <v>512</v>
      </c>
      <c r="J994" s="374" t="s">
        <v>513</v>
      </c>
      <c r="K994" s="177">
        <v>6.0</v>
      </c>
      <c r="L994" s="174">
        <v>3.875085956E9</v>
      </c>
      <c r="M994" s="387"/>
      <c r="N994" s="209"/>
      <c r="O994" s="209"/>
      <c r="P994" s="209"/>
      <c r="Q994" s="209"/>
      <c r="R994" s="209"/>
      <c r="S994" s="367"/>
      <c r="T994" s="276"/>
      <c r="U994" s="276"/>
      <c r="V994" s="276"/>
      <c r="W994" s="276"/>
      <c r="X994" s="276"/>
      <c r="Y994" s="276"/>
      <c r="Z994" s="276"/>
      <c r="AA994" s="276"/>
      <c r="AB994" s="276"/>
      <c r="AC994" s="276"/>
    </row>
    <row r="995">
      <c r="A995" s="108" t="s">
        <v>11995</v>
      </c>
      <c r="B995" s="482">
        <v>46062.0</v>
      </c>
      <c r="C995" s="374">
        <v>8.07000035041E11</v>
      </c>
      <c r="D995" s="374" t="s">
        <v>11996</v>
      </c>
      <c r="E995" s="374" t="s">
        <v>11997</v>
      </c>
      <c r="F995" s="177" t="s">
        <v>11998</v>
      </c>
      <c r="G995" s="177" t="s">
        <v>127</v>
      </c>
      <c r="H995" s="177">
        <v>4400.0</v>
      </c>
      <c r="I995" s="374" t="s">
        <v>2956</v>
      </c>
      <c r="J995" s="374" t="s">
        <v>3327</v>
      </c>
      <c r="K995" s="177">
        <v>1.0</v>
      </c>
      <c r="L995" s="174">
        <v>3.875085956E9</v>
      </c>
      <c r="M995" s="387"/>
      <c r="N995" s="209"/>
      <c r="O995" s="209"/>
      <c r="P995" s="209"/>
      <c r="Q995" s="209"/>
      <c r="R995" s="209"/>
      <c r="S995" s="367"/>
      <c r="T995" s="276"/>
      <c r="U995" s="276"/>
      <c r="V995" s="276"/>
      <c r="W995" s="276"/>
      <c r="X995" s="276"/>
      <c r="Y995" s="276"/>
      <c r="Z995" s="276"/>
      <c r="AA995" s="276"/>
      <c r="AB995" s="276"/>
      <c r="AC995" s="276"/>
    </row>
    <row r="996">
      <c r="A996" s="108" t="s">
        <v>11995</v>
      </c>
      <c r="B996" s="482">
        <v>46062.0</v>
      </c>
      <c r="C996" s="374">
        <v>8.07000035042E11</v>
      </c>
      <c r="D996" s="374" t="s">
        <v>11996</v>
      </c>
      <c r="E996" s="374" t="s">
        <v>11997</v>
      </c>
      <c r="F996" s="177" t="s">
        <v>11998</v>
      </c>
      <c r="G996" s="177" t="s">
        <v>127</v>
      </c>
      <c r="H996" s="177">
        <v>4400.0</v>
      </c>
      <c r="I996" s="374" t="s">
        <v>670</v>
      </c>
      <c r="J996" s="374" t="s">
        <v>3410</v>
      </c>
      <c r="K996" s="177">
        <v>1.0</v>
      </c>
      <c r="L996" s="174">
        <v>3.875085956E9</v>
      </c>
      <c r="M996" s="387"/>
      <c r="N996" s="206"/>
      <c r="O996" s="206"/>
      <c r="P996" s="206"/>
      <c r="Q996" s="206"/>
      <c r="R996" s="206"/>
      <c r="S996" s="367"/>
      <c r="T996" s="276"/>
      <c r="U996" s="276"/>
      <c r="V996" s="276"/>
      <c r="W996" s="276"/>
      <c r="X996" s="276"/>
      <c r="Y996" s="276"/>
      <c r="Z996" s="276"/>
      <c r="AA996" s="276"/>
      <c r="AB996" s="276"/>
      <c r="AC996" s="276"/>
    </row>
    <row r="997">
      <c r="A997" s="108" t="s">
        <v>11999</v>
      </c>
      <c r="B997" s="482">
        <v>46062.0</v>
      </c>
      <c r="C997" s="374">
        <v>8.07000034927E11</v>
      </c>
      <c r="D997" s="374" t="s">
        <v>12000</v>
      </c>
      <c r="E997" s="374" t="s">
        <v>12001</v>
      </c>
      <c r="F997" s="177" t="s">
        <v>12002</v>
      </c>
      <c r="G997" s="177" t="s">
        <v>104</v>
      </c>
      <c r="H997" s="177">
        <v>4400.0</v>
      </c>
      <c r="I997" s="374" t="s">
        <v>8295</v>
      </c>
      <c r="J997" s="374" t="s">
        <v>8296</v>
      </c>
      <c r="K997" s="177">
        <v>1.0</v>
      </c>
      <c r="L997" s="174">
        <v>3.876053448E9</v>
      </c>
      <c r="M997" s="387"/>
      <c r="N997" s="481">
        <v>46063.0</v>
      </c>
      <c r="O997" s="261" t="s">
        <v>13338</v>
      </c>
      <c r="P997" s="367"/>
      <c r="Q997" s="261" t="s">
        <v>13821</v>
      </c>
      <c r="R997" s="434" t="s">
        <v>13822</v>
      </c>
      <c r="S997" s="367"/>
      <c r="T997" s="276"/>
      <c r="U997" s="276"/>
      <c r="V997" s="276"/>
      <c r="W997" s="276"/>
      <c r="X997" s="276"/>
      <c r="Y997" s="276"/>
      <c r="Z997" s="276"/>
      <c r="AA997" s="276"/>
      <c r="AB997" s="276"/>
      <c r="AC997" s="276"/>
    </row>
    <row r="998">
      <c r="A998" s="108" t="s">
        <v>12003</v>
      </c>
      <c r="B998" s="482">
        <v>46062.0</v>
      </c>
      <c r="C998" s="374">
        <v>8.07000035066E11</v>
      </c>
      <c r="D998" s="374" t="s">
        <v>5492</v>
      </c>
      <c r="E998" s="374" t="s">
        <v>5493</v>
      </c>
      <c r="F998" s="145" t="s">
        <v>12004</v>
      </c>
      <c r="G998" s="145" t="s">
        <v>127</v>
      </c>
      <c r="H998" s="145">
        <v>4400.0</v>
      </c>
      <c r="I998" s="374" t="s">
        <v>35</v>
      </c>
      <c r="J998" s="374" t="s">
        <v>3188</v>
      </c>
      <c r="K998" s="177">
        <v>1.0</v>
      </c>
      <c r="L998" s="174">
        <v>3.875354674E9</v>
      </c>
      <c r="M998" s="387"/>
      <c r="N998" s="481">
        <v>46063.0</v>
      </c>
      <c r="O998" s="261" t="s">
        <v>13338</v>
      </c>
      <c r="P998" s="367"/>
      <c r="Q998" s="261" t="s">
        <v>13339</v>
      </c>
      <c r="R998" s="434" t="s">
        <v>13823</v>
      </c>
      <c r="S998" s="367"/>
      <c r="T998" s="276"/>
      <c r="U998" s="276"/>
      <c r="V998" s="276"/>
      <c r="W998" s="276"/>
      <c r="X998" s="276"/>
      <c r="Y998" s="276"/>
      <c r="Z998" s="276"/>
      <c r="AA998" s="276"/>
      <c r="AB998" s="276"/>
      <c r="AC998" s="276"/>
    </row>
    <row r="999">
      <c r="A999" s="108" t="s">
        <v>12005</v>
      </c>
      <c r="B999" s="173">
        <v>46064.0</v>
      </c>
      <c r="C999" s="374">
        <v>8.07000035085E11</v>
      </c>
      <c r="D999" s="374" t="s">
        <v>12006</v>
      </c>
      <c r="E999" s="374" t="s">
        <v>12007</v>
      </c>
      <c r="F999" s="145" t="s">
        <v>12008</v>
      </c>
      <c r="G999" s="145" t="s">
        <v>127</v>
      </c>
      <c r="H999" s="145">
        <v>4400.0</v>
      </c>
      <c r="I999" s="374" t="s">
        <v>110</v>
      </c>
      <c r="J999" s="374" t="s">
        <v>3673</v>
      </c>
      <c r="K999" s="177">
        <v>1.0</v>
      </c>
      <c r="L999" s="174">
        <v>3.513093864E9</v>
      </c>
      <c r="M999" s="387"/>
      <c r="N999" s="481">
        <v>46064.0</v>
      </c>
      <c r="O999" s="261" t="s">
        <v>13338</v>
      </c>
      <c r="P999" s="367"/>
      <c r="Q999" s="261" t="s">
        <v>13339</v>
      </c>
      <c r="R999" s="434" t="s">
        <v>13824</v>
      </c>
      <c r="S999" s="367"/>
      <c r="T999" s="276"/>
      <c r="U999" s="276"/>
      <c r="V999" s="276"/>
      <c r="W999" s="276"/>
      <c r="X999" s="276"/>
      <c r="Y999" s="276"/>
      <c r="Z999" s="276"/>
      <c r="AA999" s="276"/>
      <c r="AB999" s="276"/>
      <c r="AC999" s="276"/>
    </row>
    <row r="1000">
      <c r="A1000" s="108" t="s">
        <v>12009</v>
      </c>
      <c r="B1000" s="173">
        <v>46064.0</v>
      </c>
      <c r="C1000" s="374">
        <v>8.07000035076E11</v>
      </c>
      <c r="D1000" s="374" t="s">
        <v>12010</v>
      </c>
      <c r="E1000" s="374" t="s">
        <v>12011</v>
      </c>
      <c r="F1000" s="145" t="s">
        <v>12012</v>
      </c>
      <c r="G1000" s="145" t="s">
        <v>127</v>
      </c>
      <c r="H1000" s="145">
        <v>4400.0</v>
      </c>
      <c r="I1000" s="374" t="s">
        <v>12013</v>
      </c>
      <c r="J1000" s="374" t="s">
        <v>12014</v>
      </c>
      <c r="K1000" s="177">
        <v>1.0</v>
      </c>
      <c r="L1000" s="174">
        <v>3.874898331E9</v>
      </c>
      <c r="M1000" s="387"/>
      <c r="N1000" s="480">
        <v>46064.0</v>
      </c>
      <c r="O1000" s="430" t="s">
        <v>13338</v>
      </c>
      <c r="P1000" s="431"/>
      <c r="Q1000" s="430" t="s">
        <v>13339</v>
      </c>
      <c r="R1000" s="432" t="s">
        <v>13825</v>
      </c>
      <c r="S1000" s="367"/>
      <c r="T1000" s="276"/>
      <c r="U1000" s="276"/>
      <c r="V1000" s="276"/>
      <c r="W1000" s="276"/>
      <c r="X1000" s="276"/>
      <c r="Y1000" s="276"/>
      <c r="Z1000" s="276"/>
      <c r="AA1000" s="276"/>
      <c r="AB1000" s="276"/>
      <c r="AC1000" s="276"/>
    </row>
    <row r="1001">
      <c r="A1001" s="108" t="s">
        <v>12009</v>
      </c>
      <c r="B1001" s="173">
        <v>46064.0</v>
      </c>
      <c r="C1001" s="374">
        <v>8.07000035077E11</v>
      </c>
      <c r="D1001" s="374" t="s">
        <v>12010</v>
      </c>
      <c r="E1001" s="374" t="s">
        <v>12011</v>
      </c>
      <c r="F1001" s="145" t="s">
        <v>12012</v>
      </c>
      <c r="G1001" s="145" t="s">
        <v>127</v>
      </c>
      <c r="H1001" s="145">
        <v>4400.0</v>
      </c>
      <c r="I1001" s="374">
        <v>125802.0</v>
      </c>
      <c r="J1001" s="374" t="s">
        <v>7943</v>
      </c>
      <c r="K1001" s="177">
        <v>1.0</v>
      </c>
      <c r="L1001" s="174">
        <v>3.874898331E9</v>
      </c>
      <c r="M1001" s="387"/>
      <c r="N1001" s="209"/>
      <c r="O1001" s="209"/>
      <c r="P1001" s="209"/>
      <c r="Q1001" s="209"/>
      <c r="R1001" s="209"/>
      <c r="S1001" s="367"/>
      <c r="T1001" s="276"/>
      <c r="U1001" s="276"/>
      <c r="V1001" s="276"/>
      <c r="W1001" s="276"/>
      <c r="X1001" s="276"/>
      <c r="Y1001" s="276"/>
      <c r="Z1001" s="276"/>
      <c r="AA1001" s="276"/>
      <c r="AB1001" s="276"/>
      <c r="AC1001" s="276"/>
    </row>
    <row r="1002">
      <c r="A1002" s="108" t="s">
        <v>12009</v>
      </c>
      <c r="B1002" s="173">
        <v>46064.0</v>
      </c>
      <c r="C1002" s="374">
        <v>8.07000035077E11</v>
      </c>
      <c r="D1002" s="374" t="s">
        <v>12010</v>
      </c>
      <c r="E1002" s="374" t="s">
        <v>12011</v>
      </c>
      <c r="F1002" s="145" t="s">
        <v>12012</v>
      </c>
      <c r="G1002" s="145" t="s">
        <v>127</v>
      </c>
      <c r="H1002" s="145">
        <v>4400.0</v>
      </c>
      <c r="I1002" s="374">
        <v>125810.0</v>
      </c>
      <c r="J1002" s="374" t="s">
        <v>4672</v>
      </c>
      <c r="K1002" s="177">
        <v>2.0</v>
      </c>
      <c r="L1002" s="174">
        <v>3.874898331E9</v>
      </c>
      <c r="M1002" s="387"/>
      <c r="N1002" s="209"/>
      <c r="O1002" s="209"/>
      <c r="P1002" s="209"/>
      <c r="Q1002" s="209"/>
      <c r="R1002" s="209"/>
      <c r="S1002" s="367"/>
      <c r="T1002" s="276"/>
      <c r="U1002" s="276"/>
      <c r="V1002" s="276"/>
      <c r="W1002" s="276"/>
      <c r="X1002" s="276"/>
      <c r="Y1002" s="276"/>
      <c r="Z1002" s="276"/>
      <c r="AA1002" s="276"/>
      <c r="AB1002" s="276"/>
      <c r="AC1002" s="276"/>
    </row>
    <row r="1003">
      <c r="A1003" s="108" t="s">
        <v>12009</v>
      </c>
      <c r="B1003" s="173">
        <v>46064.0</v>
      </c>
      <c r="C1003" s="374">
        <v>8.07000035077E11</v>
      </c>
      <c r="D1003" s="374" t="s">
        <v>12010</v>
      </c>
      <c r="E1003" s="374" t="s">
        <v>12011</v>
      </c>
      <c r="F1003" s="145" t="s">
        <v>12012</v>
      </c>
      <c r="G1003" s="145" t="s">
        <v>127</v>
      </c>
      <c r="H1003" s="145">
        <v>4400.0</v>
      </c>
      <c r="I1003" s="374" t="s">
        <v>575</v>
      </c>
      <c r="J1003" s="374" t="s">
        <v>576</v>
      </c>
      <c r="K1003" s="177">
        <v>1.0</v>
      </c>
      <c r="L1003" s="174">
        <v>3.874898331E9</v>
      </c>
      <c r="M1003" s="387"/>
      <c r="N1003" s="206"/>
      <c r="O1003" s="206"/>
      <c r="P1003" s="206"/>
      <c r="Q1003" s="206"/>
      <c r="R1003" s="206"/>
      <c r="S1003" s="367"/>
      <c r="T1003" s="276"/>
      <c r="U1003" s="276"/>
      <c r="V1003" s="276"/>
      <c r="W1003" s="276"/>
      <c r="X1003" s="276"/>
      <c r="Y1003" s="276"/>
      <c r="Z1003" s="276"/>
      <c r="AA1003" s="276"/>
      <c r="AB1003" s="276"/>
      <c r="AC1003" s="276"/>
    </row>
    <row r="1004">
      <c r="A1004" s="108" t="s">
        <v>12009</v>
      </c>
      <c r="B1004" s="173">
        <v>46064.0</v>
      </c>
      <c r="C1004" s="374">
        <v>8.07000035028E11</v>
      </c>
      <c r="D1004" s="374" t="s">
        <v>11991</v>
      </c>
      <c r="E1004" s="374" t="s">
        <v>11992</v>
      </c>
      <c r="F1004" s="177" t="s">
        <v>11993</v>
      </c>
      <c r="G1004" s="177" t="s">
        <v>127</v>
      </c>
      <c r="H1004" s="177">
        <v>4400.0</v>
      </c>
      <c r="I1004" s="374" t="s">
        <v>758</v>
      </c>
      <c r="J1004" s="374" t="s">
        <v>3574</v>
      </c>
      <c r="K1004" s="177">
        <v>1.0</v>
      </c>
      <c r="L1004" s="174">
        <v>3.875731941E9</v>
      </c>
      <c r="M1004" s="387"/>
      <c r="N1004" s="481"/>
      <c r="O1004" s="261"/>
      <c r="P1004" s="367"/>
      <c r="Q1004" s="261" t="s">
        <v>13826</v>
      </c>
      <c r="R1004" s="449"/>
      <c r="S1004" s="367"/>
      <c r="T1004" s="276"/>
      <c r="U1004" s="276"/>
      <c r="V1004" s="276"/>
      <c r="W1004" s="276"/>
      <c r="X1004" s="276"/>
      <c r="Y1004" s="276"/>
      <c r="Z1004" s="276"/>
      <c r="AA1004" s="276"/>
      <c r="AB1004" s="276"/>
      <c r="AC1004" s="276"/>
    </row>
    <row r="1005">
      <c r="A1005" s="108" t="s">
        <v>12016</v>
      </c>
      <c r="B1005" s="173">
        <v>45700.0</v>
      </c>
      <c r="C1005" s="374">
        <v>8.07000035088E11</v>
      </c>
      <c r="D1005" s="374" t="s">
        <v>12017</v>
      </c>
      <c r="E1005" s="374" t="s">
        <v>12018</v>
      </c>
      <c r="F1005" s="177" t="s">
        <v>12019</v>
      </c>
      <c r="G1005" s="177" t="s">
        <v>127</v>
      </c>
      <c r="H1005" s="177">
        <v>4400.0</v>
      </c>
      <c r="I1005" s="374" t="s">
        <v>3451</v>
      </c>
      <c r="J1005" s="374" t="s">
        <v>3452</v>
      </c>
      <c r="K1005" s="177">
        <v>1.0</v>
      </c>
      <c r="L1005" s="174">
        <v>3.875390525E9</v>
      </c>
      <c r="M1005" s="387"/>
      <c r="N1005" s="480">
        <v>46067.0</v>
      </c>
      <c r="O1005" s="430" t="s">
        <v>13338</v>
      </c>
      <c r="P1005" s="431"/>
      <c r="Q1005" s="430" t="s">
        <v>13339</v>
      </c>
      <c r="R1005" s="432" t="s">
        <v>13827</v>
      </c>
      <c r="S1005" s="367"/>
      <c r="T1005" s="276"/>
      <c r="U1005" s="276"/>
      <c r="V1005" s="276"/>
      <c r="W1005" s="276"/>
      <c r="X1005" s="276"/>
      <c r="Y1005" s="276"/>
      <c r="Z1005" s="276"/>
      <c r="AA1005" s="276"/>
      <c r="AB1005" s="276"/>
      <c r="AC1005" s="276"/>
    </row>
    <row r="1006">
      <c r="A1006" s="108" t="s">
        <v>12016</v>
      </c>
      <c r="B1006" s="173">
        <v>45700.0</v>
      </c>
      <c r="C1006" s="374">
        <v>8.07000035088E11</v>
      </c>
      <c r="D1006" s="374" t="s">
        <v>12017</v>
      </c>
      <c r="E1006" s="374" t="s">
        <v>12018</v>
      </c>
      <c r="F1006" s="177" t="s">
        <v>12019</v>
      </c>
      <c r="G1006" s="177" t="s">
        <v>127</v>
      </c>
      <c r="H1006" s="177">
        <v>4400.0</v>
      </c>
      <c r="I1006" s="374" t="s">
        <v>512</v>
      </c>
      <c r="J1006" s="374" t="s">
        <v>513</v>
      </c>
      <c r="K1006" s="177">
        <v>6.0</v>
      </c>
      <c r="L1006" s="174">
        <v>3.875390525E9</v>
      </c>
      <c r="M1006" s="387"/>
      <c r="N1006" s="209"/>
      <c r="O1006" s="209"/>
      <c r="P1006" s="209"/>
      <c r="Q1006" s="209"/>
      <c r="R1006" s="209"/>
      <c r="S1006" s="367"/>
      <c r="T1006" s="276"/>
      <c r="U1006" s="276"/>
      <c r="V1006" s="276"/>
      <c r="W1006" s="276"/>
      <c r="X1006" s="276"/>
      <c r="Y1006" s="276"/>
      <c r="Z1006" s="276"/>
      <c r="AA1006" s="276"/>
      <c r="AB1006" s="276"/>
      <c r="AC1006" s="276"/>
    </row>
    <row r="1007">
      <c r="A1007" s="108" t="s">
        <v>12016</v>
      </c>
      <c r="B1007" s="173">
        <v>45700.0</v>
      </c>
      <c r="C1007" s="374">
        <v>8.07000035088E11</v>
      </c>
      <c r="D1007" s="374" t="s">
        <v>12017</v>
      </c>
      <c r="E1007" s="374" t="s">
        <v>12018</v>
      </c>
      <c r="F1007" s="177" t="s">
        <v>12019</v>
      </c>
      <c r="G1007" s="177" t="s">
        <v>127</v>
      </c>
      <c r="H1007" s="177">
        <v>4400.0</v>
      </c>
      <c r="I1007" s="374" t="s">
        <v>670</v>
      </c>
      <c r="J1007" s="374" t="s">
        <v>3410</v>
      </c>
      <c r="K1007" s="177">
        <v>1.0</v>
      </c>
      <c r="L1007" s="174">
        <v>3.875390525E9</v>
      </c>
      <c r="M1007" s="387"/>
      <c r="N1007" s="206"/>
      <c r="O1007" s="206"/>
      <c r="P1007" s="206"/>
      <c r="Q1007" s="206"/>
      <c r="R1007" s="206"/>
      <c r="S1007" s="367"/>
      <c r="T1007" s="276"/>
      <c r="U1007" s="276"/>
      <c r="V1007" s="276"/>
      <c r="W1007" s="276"/>
      <c r="X1007" s="276"/>
      <c r="Y1007" s="276"/>
      <c r="Z1007" s="276"/>
      <c r="AA1007" s="276"/>
      <c r="AB1007" s="276"/>
      <c r="AC1007" s="276"/>
    </row>
    <row r="1008">
      <c r="A1008" s="108" t="s">
        <v>12020</v>
      </c>
      <c r="B1008" s="173">
        <v>46067.0</v>
      </c>
      <c r="C1008" s="374">
        <v>8.07000035102E11</v>
      </c>
      <c r="D1008" s="374" t="s">
        <v>12021</v>
      </c>
      <c r="E1008" s="374" t="s">
        <v>12022</v>
      </c>
      <c r="F1008" s="145" t="s">
        <v>12023</v>
      </c>
      <c r="G1008" s="145" t="s">
        <v>104</v>
      </c>
      <c r="H1008" s="145">
        <v>4400.0</v>
      </c>
      <c r="I1008" s="374">
        <v>208501.0</v>
      </c>
      <c r="J1008" s="374" t="s">
        <v>481</v>
      </c>
      <c r="K1008" s="177">
        <v>4.0</v>
      </c>
      <c r="L1008" s="174">
        <v>3.487472521E9</v>
      </c>
      <c r="M1008" s="387"/>
      <c r="N1008" s="480">
        <v>46067.0</v>
      </c>
      <c r="O1008" s="430" t="s">
        <v>13338</v>
      </c>
      <c r="P1008" s="431"/>
      <c r="Q1008" s="430" t="s">
        <v>13339</v>
      </c>
      <c r="R1008" s="432" t="s">
        <v>13828</v>
      </c>
      <c r="S1008" s="367"/>
      <c r="T1008" s="276"/>
      <c r="U1008" s="276"/>
      <c r="V1008" s="276"/>
      <c r="W1008" s="276"/>
      <c r="X1008" s="276"/>
      <c r="Y1008" s="276"/>
      <c r="Z1008" s="276"/>
      <c r="AA1008" s="276"/>
      <c r="AB1008" s="276"/>
      <c r="AC1008" s="276"/>
    </row>
    <row r="1009">
      <c r="A1009" s="108" t="s">
        <v>12020</v>
      </c>
      <c r="B1009" s="173">
        <v>46067.0</v>
      </c>
      <c r="C1009" s="374">
        <v>8.07000035103E11</v>
      </c>
      <c r="D1009" s="374" t="s">
        <v>12021</v>
      </c>
      <c r="E1009" s="374" t="s">
        <v>12022</v>
      </c>
      <c r="F1009" s="145" t="s">
        <v>12023</v>
      </c>
      <c r="G1009" s="145" t="s">
        <v>104</v>
      </c>
      <c r="H1009" s="145">
        <v>4400.0</v>
      </c>
      <c r="I1009" s="374" t="s">
        <v>5034</v>
      </c>
      <c r="J1009" s="374" t="s">
        <v>5035</v>
      </c>
      <c r="K1009" s="177">
        <v>1.0</v>
      </c>
      <c r="L1009" s="174">
        <v>3.487472521E9</v>
      </c>
      <c r="M1009" s="387"/>
      <c r="N1009" s="209"/>
      <c r="O1009" s="209"/>
      <c r="P1009" s="209"/>
      <c r="Q1009" s="209"/>
      <c r="R1009" s="209"/>
      <c r="S1009" s="367"/>
      <c r="T1009" s="276"/>
      <c r="U1009" s="276"/>
      <c r="V1009" s="276"/>
      <c r="W1009" s="276"/>
      <c r="X1009" s="276"/>
      <c r="Y1009" s="276"/>
      <c r="Z1009" s="276"/>
      <c r="AA1009" s="276"/>
      <c r="AB1009" s="276"/>
      <c r="AC1009" s="276"/>
    </row>
    <row r="1010">
      <c r="A1010" s="108" t="s">
        <v>12024</v>
      </c>
      <c r="B1010" s="173">
        <v>46067.0</v>
      </c>
      <c r="C1010" s="374">
        <v>8.07000035103E11</v>
      </c>
      <c r="D1010" s="374" t="s">
        <v>12021</v>
      </c>
      <c r="E1010" s="374" t="s">
        <v>12022</v>
      </c>
      <c r="F1010" s="145" t="s">
        <v>12025</v>
      </c>
      <c r="G1010" s="145" t="s">
        <v>104</v>
      </c>
      <c r="H1010" s="145"/>
      <c r="I1010" s="374" t="s">
        <v>7955</v>
      </c>
      <c r="J1010" s="374" t="s">
        <v>7956</v>
      </c>
      <c r="K1010" s="177">
        <v>1.0</v>
      </c>
      <c r="L1010" s="174">
        <v>3.487472521E9</v>
      </c>
      <c r="M1010" s="387"/>
      <c r="N1010" s="209"/>
      <c r="O1010" s="209"/>
      <c r="P1010" s="209"/>
      <c r="Q1010" s="209"/>
      <c r="R1010" s="209"/>
      <c r="S1010" s="367"/>
      <c r="T1010" s="276"/>
      <c r="U1010" s="276"/>
      <c r="V1010" s="276"/>
      <c r="W1010" s="276"/>
      <c r="X1010" s="276"/>
      <c r="Y1010" s="276"/>
      <c r="Z1010" s="276"/>
      <c r="AA1010" s="276"/>
      <c r="AB1010" s="276"/>
      <c r="AC1010" s="276"/>
    </row>
    <row r="1011">
      <c r="A1011" s="108" t="s">
        <v>12024</v>
      </c>
      <c r="B1011" s="173">
        <v>46067.0</v>
      </c>
      <c r="C1011" s="374">
        <v>8.07000035103E11</v>
      </c>
      <c r="D1011" s="374" t="s">
        <v>12021</v>
      </c>
      <c r="E1011" s="374" t="s">
        <v>12022</v>
      </c>
      <c r="F1011" s="145" t="s">
        <v>12025</v>
      </c>
      <c r="G1011" s="145" t="s">
        <v>104</v>
      </c>
      <c r="H1011" s="145"/>
      <c r="I1011" s="374" t="s">
        <v>758</v>
      </c>
      <c r="J1011" s="374" t="s">
        <v>3574</v>
      </c>
      <c r="K1011" s="177">
        <v>2.0</v>
      </c>
      <c r="L1011" s="174">
        <v>3.487472521E9</v>
      </c>
      <c r="M1011" s="387"/>
      <c r="N1011" s="206"/>
      <c r="O1011" s="206"/>
      <c r="P1011" s="206"/>
      <c r="Q1011" s="206"/>
      <c r="R1011" s="206"/>
      <c r="S1011" s="367"/>
      <c r="T1011" s="276"/>
      <c r="U1011" s="276"/>
      <c r="V1011" s="276"/>
      <c r="W1011" s="276"/>
      <c r="X1011" s="276"/>
      <c r="Y1011" s="276"/>
      <c r="Z1011" s="276"/>
      <c r="AA1011" s="276"/>
      <c r="AB1011" s="276"/>
      <c r="AC1011" s="276"/>
    </row>
    <row r="1012">
      <c r="A1012" s="108" t="s">
        <v>12026</v>
      </c>
      <c r="B1012" s="173">
        <v>46067.0</v>
      </c>
      <c r="C1012" s="374">
        <v>8.07000035098E11</v>
      </c>
      <c r="D1012" s="374" t="s">
        <v>12027</v>
      </c>
      <c r="E1012" s="374" t="s">
        <v>12028</v>
      </c>
      <c r="F1012" s="177" t="s">
        <v>12029</v>
      </c>
      <c r="G1012" s="177" t="s">
        <v>104</v>
      </c>
      <c r="H1012" s="177">
        <v>4400.0</v>
      </c>
      <c r="I1012" s="374" t="s">
        <v>5185</v>
      </c>
      <c r="J1012" s="374" t="s">
        <v>5186</v>
      </c>
      <c r="K1012" s="177">
        <v>1.0</v>
      </c>
      <c r="L1012" s="174">
        <v>3.874090772E9</v>
      </c>
      <c r="M1012" s="387"/>
      <c r="N1012" s="480">
        <v>46067.0</v>
      </c>
      <c r="O1012" s="430" t="s">
        <v>9011</v>
      </c>
      <c r="P1012" s="431"/>
      <c r="Q1012" s="430" t="s">
        <v>13829</v>
      </c>
      <c r="R1012" s="432" t="s">
        <v>13830</v>
      </c>
      <c r="S1012" s="367"/>
      <c r="T1012" s="276"/>
      <c r="U1012" s="276"/>
      <c r="V1012" s="276"/>
      <c r="W1012" s="276"/>
      <c r="X1012" s="276"/>
      <c r="Y1012" s="276"/>
      <c r="Z1012" s="276"/>
      <c r="AA1012" s="276"/>
      <c r="AB1012" s="276"/>
      <c r="AC1012" s="276"/>
    </row>
    <row r="1013">
      <c r="A1013" s="108" t="s">
        <v>12026</v>
      </c>
      <c r="B1013" s="173">
        <v>46067.0</v>
      </c>
      <c r="C1013" s="374">
        <v>8.07000035098E11</v>
      </c>
      <c r="D1013" s="374" t="s">
        <v>12027</v>
      </c>
      <c r="E1013" s="374" t="s">
        <v>12028</v>
      </c>
      <c r="F1013" s="177" t="s">
        <v>12029</v>
      </c>
      <c r="G1013" s="177" t="s">
        <v>104</v>
      </c>
      <c r="H1013" s="177">
        <v>4400.0</v>
      </c>
      <c r="I1013" s="374" t="s">
        <v>512</v>
      </c>
      <c r="J1013" s="374" t="s">
        <v>513</v>
      </c>
      <c r="K1013" s="177">
        <v>6.0</v>
      </c>
      <c r="L1013" s="174">
        <v>3.874090772E9</v>
      </c>
      <c r="M1013" s="387"/>
      <c r="N1013" s="209"/>
      <c r="O1013" s="209"/>
      <c r="P1013" s="209"/>
      <c r="Q1013" s="209"/>
      <c r="R1013" s="209"/>
      <c r="S1013" s="367"/>
      <c r="T1013" s="276"/>
      <c r="U1013" s="276"/>
      <c r="V1013" s="276"/>
      <c r="W1013" s="276"/>
      <c r="X1013" s="276"/>
      <c r="Y1013" s="276"/>
      <c r="Z1013" s="276"/>
      <c r="AA1013" s="276"/>
      <c r="AB1013" s="276"/>
      <c r="AC1013" s="276"/>
    </row>
    <row r="1014">
      <c r="A1014" s="108" t="s">
        <v>12026</v>
      </c>
      <c r="B1014" s="173">
        <v>46067.0</v>
      </c>
      <c r="C1014" s="374">
        <v>8.07000035098E11</v>
      </c>
      <c r="D1014" s="374" t="s">
        <v>12027</v>
      </c>
      <c r="E1014" s="374" t="s">
        <v>12028</v>
      </c>
      <c r="F1014" s="177" t="s">
        <v>12029</v>
      </c>
      <c r="G1014" s="177" t="s">
        <v>104</v>
      </c>
      <c r="H1014" s="177">
        <v>4400.0</v>
      </c>
      <c r="I1014" s="374" t="s">
        <v>2031</v>
      </c>
      <c r="J1014" s="374" t="s">
        <v>3348</v>
      </c>
      <c r="K1014" s="177">
        <v>1.0</v>
      </c>
      <c r="L1014" s="174">
        <v>3.874090772E9</v>
      </c>
      <c r="M1014" s="387"/>
      <c r="N1014" s="206"/>
      <c r="O1014" s="206"/>
      <c r="P1014" s="206"/>
      <c r="Q1014" s="206"/>
      <c r="R1014" s="206"/>
      <c r="S1014" s="367"/>
      <c r="T1014" s="276"/>
      <c r="U1014" s="276"/>
      <c r="V1014" s="276"/>
      <c r="W1014" s="276"/>
      <c r="X1014" s="276"/>
      <c r="Y1014" s="276"/>
      <c r="Z1014" s="276"/>
      <c r="AA1014" s="276"/>
      <c r="AB1014" s="276"/>
      <c r="AC1014" s="276"/>
    </row>
    <row r="1015">
      <c r="A1015" s="108" t="s">
        <v>12030</v>
      </c>
      <c r="B1015" s="173">
        <v>46067.0</v>
      </c>
      <c r="C1015" s="374">
        <v>8.07000035105E11</v>
      </c>
      <c r="D1015" s="374" t="s">
        <v>12031</v>
      </c>
      <c r="E1015" s="374" t="s">
        <v>12032</v>
      </c>
      <c r="F1015" s="177" t="s">
        <v>12033</v>
      </c>
      <c r="G1015" s="177" t="s">
        <v>6516</v>
      </c>
      <c r="H1015" s="177">
        <v>4400.0</v>
      </c>
      <c r="I1015" s="374" t="s">
        <v>3451</v>
      </c>
      <c r="J1015" s="374" t="s">
        <v>3452</v>
      </c>
      <c r="K1015" s="177">
        <v>1.0</v>
      </c>
      <c r="L1015" s="174">
        <v>3.875142805E9</v>
      </c>
      <c r="M1015" s="387"/>
      <c r="N1015" s="481">
        <v>46067.0</v>
      </c>
      <c r="O1015" s="261" t="s">
        <v>13338</v>
      </c>
      <c r="P1015" s="367"/>
      <c r="Q1015" s="261" t="s">
        <v>13339</v>
      </c>
      <c r="R1015" s="434" t="s">
        <v>13831</v>
      </c>
      <c r="S1015" s="367"/>
      <c r="T1015" s="276"/>
      <c r="U1015" s="276"/>
      <c r="V1015" s="276"/>
      <c r="W1015" s="276"/>
      <c r="X1015" s="276"/>
      <c r="Y1015" s="276"/>
      <c r="Z1015" s="276"/>
      <c r="AA1015" s="276"/>
      <c r="AB1015" s="276"/>
      <c r="AC1015" s="276"/>
    </row>
    <row r="1016">
      <c r="A1016" s="108" t="s">
        <v>12034</v>
      </c>
      <c r="B1016" s="173">
        <v>46067.0</v>
      </c>
      <c r="C1016" s="374">
        <v>8.07000035109E11</v>
      </c>
      <c r="D1016" s="374" t="s">
        <v>12035</v>
      </c>
      <c r="E1016" s="374" t="s">
        <v>12036</v>
      </c>
      <c r="F1016" s="177" t="s">
        <v>12037</v>
      </c>
      <c r="G1016" s="177" t="s">
        <v>425</v>
      </c>
      <c r="H1016" s="177">
        <v>4407.0</v>
      </c>
      <c r="I1016" s="374">
        <v>208502.0</v>
      </c>
      <c r="J1016" s="374" t="s">
        <v>4551</v>
      </c>
      <c r="K1016" s="177">
        <v>2.0</v>
      </c>
      <c r="L1016" s="174">
        <v>3.874732333E9</v>
      </c>
      <c r="M1016" s="387"/>
      <c r="N1016" s="480">
        <v>46067.0</v>
      </c>
      <c r="O1016" s="430" t="s">
        <v>13338</v>
      </c>
      <c r="P1016" s="431"/>
      <c r="Q1016" s="430" t="s">
        <v>13339</v>
      </c>
      <c r="R1016" s="432" t="s">
        <v>13832</v>
      </c>
      <c r="S1016" s="367"/>
      <c r="T1016" s="276"/>
      <c r="U1016" s="276"/>
      <c r="V1016" s="276"/>
      <c r="W1016" s="276"/>
      <c r="X1016" s="276"/>
      <c r="Y1016" s="276"/>
      <c r="Z1016" s="276"/>
      <c r="AA1016" s="276"/>
      <c r="AB1016" s="276"/>
      <c r="AC1016" s="276"/>
    </row>
    <row r="1017">
      <c r="A1017" s="108" t="s">
        <v>12034</v>
      </c>
      <c r="B1017" s="173">
        <v>46067.0</v>
      </c>
      <c r="C1017" s="374">
        <v>8.07000035109E11</v>
      </c>
      <c r="D1017" s="374" t="s">
        <v>12035</v>
      </c>
      <c r="E1017" s="374" t="s">
        <v>12036</v>
      </c>
      <c r="F1017" s="177" t="s">
        <v>12037</v>
      </c>
      <c r="G1017" s="177" t="s">
        <v>425</v>
      </c>
      <c r="H1017" s="177">
        <v>4407.0</v>
      </c>
      <c r="I1017" s="374" t="s">
        <v>9725</v>
      </c>
      <c r="J1017" s="374" t="s">
        <v>9726</v>
      </c>
      <c r="K1017" s="177">
        <v>1.0</v>
      </c>
      <c r="L1017" s="174">
        <v>3.874732333E9</v>
      </c>
      <c r="M1017" s="387"/>
      <c r="N1017" s="209"/>
      <c r="O1017" s="209"/>
      <c r="P1017" s="209"/>
      <c r="Q1017" s="209"/>
      <c r="R1017" s="209"/>
      <c r="S1017" s="367"/>
      <c r="T1017" s="276"/>
      <c r="U1017" s="276"/>
      <c r="V1017" s="276"/>
      <c r="W1017" s="276"/>
      <c r="X1017" s="276"/>
      <c r="Y1017" s="276"/>
      <c r="Z1017" s="276"/>
      <c r="AA1017" s="276"/>
      <c r="AB1017" s="276"/>
      <c r="AC1017" s="276"/>
    </row>
    <row r="1018">
      <c r="A1018" s="108" t="s">
        <v>12034</v>
      </c>
      <c r="B1018" s="173">
        <v>46067.0</v>
      </c>
      <c r="C1018" s="374">
        <v>8.0700003511E11</v>
      </c>
      <c r="D1018" s="374" t="s">
        <v>12035</v>
      </c>
      <c r="E1018" s="374" t="s">
        <v>12036</v>
      </c>
      <c r="F1018" s="177" t="s">
        <v>12037</v>
      </c>
      <c r="G1018" s="177" t="s">
        <v>425</v>
      </c>
      <c r="H1018" s="177">
        <v>4407.0</v>
      </c>
      <c r="I1018" s="374" t="s">
        <v>3512</v>
      </c>
      <c r="J1018" s="374" t="s">
        <v>3513</v>
      </c>
      <c r="K1018" s="177">
        <v>12.0</v>
      </c>
      <c r="L1018" s="174">
        <v>3.874732333E9</v>
      </c>
      <c r="M1018" s="387"/>
      <c r="N1018" s="209"/>
      <c r="O1018" s="209"/>
      <c r="P1018" s="209"/>
      <c r="Q1018" s="209"/>
      <c r="R1018" s="209"/>
      <c r="S1018" s="367"/>
      <c r="T1018" s="276"/>
      <c r="U1018" s="276"/>
      <c r="V1018" s="276"/>
      <c r="W1018" s="276"/>
      <c r="X1018" s="276"/>
      <c r="Y1018" s="276"/>
      <c r="Z1018" s="276"/>
      <c r="AA1018" s="276"/>
      <c r="AB1018" s="276"/>
      <c r="AC1018" s="276"/>
    </row>
    <row r="1019">
      <c r="A1019" s="108" t="s">
        <v>12034</v>
      </c>
      <c r="B1019" s="173">
        <v>46067.0</v>
      </c>
      <c r="C1019" s="374">
        <v>8.07000035111E11</v>
      </c>
      <c r="D1019" s="374" t="s">
        <v>12035</v>
      </c>
      <c r="E1019" s="374" t="s">
        <v>12036</v>
      </c>
      <c r="F1019" s="177" t="s">
        <v>12037</v>
      </c>
      <c r="G1019" s="177" t="s">
        <v>425</v>
      </c>
      <c r="H1019" s="177">
        <v>4407.0</v>
      </c>
      <c r="I1019" s="374" t="s">
        <v>6835</v>
      </c>
      <c r="J1019" s="374" t="s">
        <v>8150</v>
      </c>
      <c r="K1019" s="177">
        <v>2.0</v>
      </c>
      <c r="L1019" s="174">
        <v>3.874732333E9</v>
      </c>
      <c r="M1019" s="387"/>
      <c r="N1019" s="206"/>
      <c r="O1019" s="206"/>
      <c r="P1019" s="206"/>
      <c r="Q1019" s="206"/>
      <c r="R1019" s="206"/>
      <c r="S1019" s="367"/>
      <c r="T1019" s="276"/>
      <c r="U1019" s="276"/>
      <c r="V1019" s="276"/>
      <c r="W1019" s="276"/>
      <c r="X1019" s="276"/>
      <c r="Y1019" s="276"/>
      <c r="Z1019" s="276"/>
      <c r="AA1019" s="276"/>
      <c r="AB1019" s="276"/>
      <c r="AC1019" s="276"/>
    </row>
    <row r="1020">
      <c r="A1020" s="108" t="s">
        <v>12038</v>
      </c>
      <c r="B1020" s="173">
        <v>46067.0</v>
      </c>
      <c r="C1020" s="374">
        <v>8.07000035117E11</v>
      </c>
      <c r="D1020" s="374" t="s">
        <v>12039</v>
      </c>
      <c r="E1020" s="374" t="s">
        <v>12040</v>
      </c>
      <c r="F1020" s="177" t="s">
        <v>12041</v>
      </c>
      <c r="G1020" s="177" t="s">
        <v>127</v>
      </c>
      <c r="H1020" s="177">
        <v>4400.0</v>
      </c>
      <c r="I1020" s="374">
        <v>125817.0</v>
      </c>
      <c r="J1020" s="374" t="s">
        <v>10650</v>
      </c>
      <c r="K1020" s="177">
        <v>2.0</v>
      </c>
      <c r="L1020" s="174">
        <v>3.874867112E9</v>
      </c>
      <c r="M1020" s="387"/>
      <c r="N1020" s="480">
        <v>46067.0</v>
      </c>
      <c r="O1020" s="430" t="s">
        <v>9011</v>
      </c>
      <c r="P1020" s="431"/>
      <c r="Q1020" s="430" t="s">
        <v>9012</v>
      </c>
      <c r="R1020" s="432" t="s">
        <v>13833</v>
      </c>
      <c r="S1020" s="367"/>
      <c r="T1020" s="276"/>
      <c r="U1020" s="276"/>
      <c r="V1020" s="276"/>
      <c r="W1020" s="276"/>
      <c r="X1020" s="276"/>
      <c r="Y1020" s="276"/>
      <c r="Z1020" s="276"/>
      <c r="AA1020" s="276"/>
      <c r="AB1020" s="276"/>
      <c r="AC1020" s="276"/>
    </row>
    <row r="1021">
      <c r="A1021" s="108" t="s">
        <v>12038</v>
      </c>
      <c r="B1021" s="173">
        <v>46067.0</v>
      </c>
      <c r="C1021" s="374">
        <v>8.07000035117E11</v>
      </c>
      <c r="D1021" s="374" t="s">
        <v>12039</v>
      </c>
      <c r="E1021" s="374" t="s">
        <v>12040</v>
      </c>
      <c r="F1021" s="177" t="s">
        <v>12041</v>
      </c>
      <c r="G1021" s="177" t="s">
        <v>127</v>
      </c>
      <c r="H1021" s="177">
        <v>4400.0</v>
      </c>
      <c r="I1021" s="374">
        <v>2.2346229143E10</v>
      </c>
      <c r="J1021" s="374" t="s">
        <v>8720</v>
      </c>
      <c r="K1021" s="177">
        <v>1.0</v>
      </c>
      <c r="L1021" s="174">
        <v>3.874867112E9</v>
      </c>
      <c r="M1021" s="387"/>
      <c r="N1021" s="209"/>
      <c r="O1021" s="209"/>
      <c r="P1021" s="209"/>
      <c r="Q1021" s="209"/>
      <c r="R1021" s="209"/>
      <c r="S1021" s="367"/>
      <c r="T1021" s="276"/>
      <c r="U1021" s="276"/>
      <c r="V1021" s="276"/>
      <c r="W1021" s="276"/>
      <c r="X1021" s="276"/>
      <c r="Y1021" s="276"/>
      <c r="Z1021" s="276"/>
      <c r="AA1021" s="276"/>
      <c r="AB1021" s="276"/>
      <c r="AC1021" s="276"/>
    </row>
    <row r="1022">
      <c r="A1022" s="108" t="s">
        <v>12038</v>
      </c>
      <c r="B1022" s="173">
        <v>46067.0</v>
      </c>
      <c r="C1022" s="374">
        <v>8.07000035117E11</v>
      </c>
      <c r="D1022" s="374" t="s">
        <v>12039</v>
      </c>
      <c r="E1022" s="374" t="s">
        <v>12040</v>
      </c>
      <c r="F1022" s="177" t="s">
        <v>12041</v>
      </c>
      <c r="G1022" s="177" t="s">
        <v>127</v>
      </c>
      <c r="H1022" s="177">
        <v>4400.0</v>
      </c>
      <c r="I1022" s="374" t="s">
        <v>3285</v>
      </c>
      <c r="J1022" s="374" t="s">
        <v>3286</v>
      </c>
      <c r="K1022" s="177">
        <v>1.0</v>
      </c>
      <c r="L1022" s="174">
        <v>3.874867112E9</v>
      </c>
      <c r="M1022" s="387"/>
      <c r="N1022" s="206"/>
      <c r="O1022" s="206"/>
      <c r="P1022" s="206"/>
      <c r="Q1022" s="206"/>
      <c r="R1022" s="206"/>
      <c r="S1022" s="367"/>
      <c r="T1022" s="276"/>
      <c r="U1022" s="276"/>
      <c r="V1022" s="276"/>
      <c r="W1022" s="276"/>
      <c r="X1022" s="276"/>
      <c r="Y1022" s="276"/>
      <c r="Z1022" s="276"/>
      <c r="AA1022" s="276"/>
      <c r="AB1022" s="276"/>
      <c r="AC1022" s="276"/>
    </row>
    <row r="1023">
      <c r="A1023" s="108" t="s">
        <v>12042</v>
      </c>
      <c r="B1023" s="173">
        <v>46067.0</v>
      </c>
      <c r="C1023" s="374">
        <v>8.07000035121E11</v>
      </c>
      <c r="D1023" s="374" t="s">
        <v>12043</v>
      </c>
      <c r="E1023" s="374" t="s">
        <v>12044</v>
      </c>
      <c r="F1023" s="177" t="s">
        <v>12045</v>
      </c>
      <c r="G1023" s="177" t="s">
        <v>127</v>
      </c>
      <c r="H1023" s="177">
        <v>4400.0</v>
      </c>
      <c r="I1023" s="374">
        <v>125814.0</v>
      </c>
      <c r="J1023" s="374" t="s">
        <v>9798</v>
      </c>
      <c r="K1023" s="177">
        <v>2.0</v>
      </c>
      <c r="L1023" s="174">
        <v>2.96460454E9</v>
      </c>
      <c r="M1023" s="387"/>
      <c r="N1023" s="480">
        <v>46067.0</v>
      </c>
      <c r="O1023" s="430" t="s">
        <v>13338</v>
      </c>
      <c r="P1023" s="431"/>
      <c r="Q1023" s="430" t="s">
        <v>13339</v>
      </c>
      <c r="R1023" s="432" t="s">
        <v>13834</v>
      </c>
      <c r="S1023" s="367"/>
      <c r="T1023" s="276"/>
      <c r="U1023" s="276"/>
      <c r="V1023" s="276"/>
      <c r="W1023" s="276"/>
      <c r="X1023" s="276"/>
      <c r="Y1023" s="276"/>
      <c r="Z1023" s="276"/>
      <c r="AA1023" s="276"/>
      <c r="AB1023" s="276"/>
      <c r="AC1023" s="276"/>
    </row>
    <row r="1024">
      <c r="A1024" s="108" t="s">
        <v>12042</v>
      </c>
      <c r="B1024" s="173">
        <v>46067.0</v>
      </c>
      <c r="C1024" s="374">
        <v>8.07000035121E11</v>
      </c>
      <c r="D1024" s="374" t="s">
        <v>12043</v>
      </c>
      <c r="E1024" s="374" t="s">
        <v>12044</v>
      </c>
      <c r="F1024" s="177" t="s">
        <v>12045</v>
      </c>
      <c r="G1024" s="177" t="s">
        <v>127</v>
      </c>
      <c r="H1024" s="177">
        <v>4400.0</v>
      </c>
      <c r="I1024" s="374" t="s">
        <v>512</v>
      </c>
      <c r="J1024" s="374" t="s">
        <v>513</v>
      </c>
      <c r="K1024" s="177">
        <v>12.0</v>
      </c>
      <c r="L1024" s="174">
        <v>2.96460454E9</v>
      </c>
      <c r="M1024" s="387"/>
      <c r="N1024" s="209"/>
      <c r="O1024" s="209"/>
      <c r="P1024" s="209"/>
      <c r="Q1024" s="209"/>
      <c r="R1024" s="209"/>
      <c r="S1024" s="367"/>
      <c r="T1024" s="276"/>
      <c r="U1024" s="276"/>
      <c r="V1024" s="276"/>
      <c r="W1024" s="276"/>
      <c r="X1024" s="276"/>
      <c r="Y1024" s="276"/>
      <c r="Z1024" s="276"/>
      <c r="AA1024" s="276"/>
      <c r="AB1024" s="276"/>
      <c r="AC1024" s="276"/>
    </row>
    <row r="1025">
      <c r="A1025" s="108" t="s">
        <v>12042</v>
      </c>
      <c r="B1025" s="173">
        <v>46067.0</v>
      </c>
      <c r="C1025" s="374">
        <v>8.07000035122E11</v>
      </c>
      <c r="D1025" s="374" t="s">
        <v>12043</v>
      </c>
      <c r="E1025" s="374" t="s">
        <v>12044</v>
      </c>
      <c r="F1025" s="177" t="s">
        <v>12045</v>
      </c>
      <c r="G1025" s="177" t="s">
        <v>127</v>
      </c>
      <c r="H1025" s="177">
        <v>4400.0</v>
      </c>
      <c r="I1025" s="374" t="s">
        <v>3154</v>
      </c>
      <c r="J1025" s="374" t="s">
        <v>4564</v>
      </c>
      <c r="K1025" s="177">
        <v>2.0</v>
      </c>
      <c r="L1025" s="174">
        <v>2.96460454E9</v>
      </c>
      <c r="M1025" s="387"/>
      <c r="N1025" s="209"/>
      <c r="O1025" s="209"/>
      <c r="P1025" s="209"/>
      <c r="Q1025" s="209"/>
      <c r="R1025" s="209"/>
      <c r="S1025" s="367"/>
      <c r="T1025" s="276"/>
      <c r="U1025" s="276"/>
      <c r="V1025" s="276"/>
      <c r="W1025" s="276"/>
      <c r="X1025" s="276"/>
      <c r="Y1025" s="276"/>
      <c r="Z1025" s="276"/>
      <c r="AA1025" s="276"/>
      <c r="AB1025" s="276"/>
      <c r="AC1025" s="276"/>
    </row>
    <row r="1026">
      <c r="A1026" s="108" t="s">
        <v>12042</v>
      </c>
      <c r="B1026" s="173">
        <v>46067.0</v>
      </c>
      <c r="C1026" s="374">
        <v>8.07000035122E11</v>
      </c>
      <c r="D1026" s="374" t="s">
        <v>12043</v>
      </c>
      <c r="E1026" s="374" t="s">
        <v>12044</v>
      </c>
      <c r="F1026" s="177" t="s">
        <v>12045</v>
      </c>
      <c r="G1026" s="177" t="s">
        <v>127</v>
      </c>
      <c r="H1026" s="177">
        <v>4400.0</v>
      </c>
      <c r="I1026" s="374" t="s">
        <v>2031</v>
      </c>
      <c r="J1026" s="374" t="s">
        <v>3348</v>
      </c>
      <c r="K1026" s="177">
        <v>2.0</v>
      </c>
      <c r="L1026" s="174">
        <v>2.96460454E9</v>
      </c>
      <c r="M1026" s="387"/>
      <c r="N1026" s="206"/>
      <c r="O1026" s="206"/>
      <c r="P1026" s="206"/>
      <c r="Q1026" s="206"/>
      <c r="R1026" s="206"/>
      <c r="S1026" s="367"/>
      <c r="T1026" s="276"/>
      <c r="U1026" s="276"/>
      <c r="V1026" s="276"/>
      <c r="W1026" s="276"/>
      <c r="X1026" s="276"/>
      <c r="Y1026" s="276"/>
      <c r="Z1026" s="276"/>
      <c r="AA1026" s="276"/>
      <c r="AB1026" s="276"/>
      <c r="AC1026" s="276"/>
    </row>
    <row r="1027">
      <c r="A1027" s="108" t="s">
        <v>12046</v>
      </c>
      <c r="B1027" s="173"/>
      <c r="C1027" s="374">
        <v>8.07000035115E11</v>
      </c>
      <c r="D1027" s="374" t="s">
        <v>12047</v>
      </c>
      <c r="E1027" s="374" t="s">
        <v>12048</v>
      </c>
      <c r="F1027" s="177" t="s">
        <v>12049</v>
      </c>
      <c r="G1027" s="177" t="s">
        <v>127</v>
      </c>
      <c r="H1027" s="177">
        <v>4400.0</v>
      </c>
      <c r="I1027" s="374">
        <v>125814.0</v>
      </c>
      <c r="J1027" s="374" t="s">
        <v>9798</v>
      </c>
      <c r="K1027" s="177">
        <v>2.0</v>
      </c>
      <c r="L1027" s="174">
        <v>3.875073603E9</v>
      </c>
      <c r="M1027" s="387"/>
      <c r="N1027" s="480">
        <v>46074.0</v>
      </c>
      <c r="O1027" s="430" t="s">
        <v>13338</v>
      </c>
      <c r="P1027" s="431"/>
      <c r="Q1027" s="430" t="s">
        <v>13339</v>
      </c>
      <c r="R1027" s="432" t="s">
        <v>13835</v>
      </c>
      <c r="S1027" s="367"/>
      <c r="T1027" s="276"/>
      <c r="U1027" s="276"/>
      <c r="V1027" s="276"/>
      <c r="W1027" s="276"/>
      <c r="X1027" s="276"/>
      <c r="Y1027" s="276"/>
      <c r="Z1027" s="276"/>
      <c r="AA1027" s="276"/>
      <c r="AB1027" s="276"/>
      <c r="AC1027" s="276"/>
    </row>
    <row r="1028">
      <c r="A1028" s="108" t="s">
        <v>12046</v>
      </c>
      <c r="B1028" s="173"/>
      <c r="C1028" s="374">
        <v>8.07000035115E11</v>
      </c>
      <c r="D1028" s="374" t="s">
        <v>12047</v>
      </c>
      <c r="E1028" s="374" t="s">
        <v>12048</v>
      </c>
      <c r="F1028" s="177" t="s">
        <v>12049</v>
      </c>
      <c r="G1028" s="177" t="s">
        <v>127</v>
      </c>
      <c r="H1028" s="177">
        <v>4400.0</v>
      </c>
      <c r="I1028" s="374" t="s">
        <v>5436</v>
      </c>
      <c r="J1028" s="374" t="s">
        <v>5437</v>
      </c>
      <c r="K1028" s="177">
        <v>1.0</v>
      </c>
      <c r="L1028" s="174">
        <v>3.875073603E9</v>
      </c>
      <c r="M1028" s="387"/>
      <c r="N1028" s="209"/>
      <c r="O1028" s="209"/>
      <c r="P1028" s="209"/>
      <c r="Q1028" s="209"/>
      <c r="R1028" s="209"/>
      <c r="S1028" s="367"/>
      <c r="T1028" s="276"/>
      <c r="U1028" s="276"/>
      <c r="V1028" s="276"/>
      <c r="W1028" s="276"/>
      <c r="X1028" s="276"/>
      <c r="Y1028" s="276"/>
      <c r="Z1028" s="276"/>
      <c r="AA1028" s="276"/>
      <c r="AB1028" s="276"/>
      <c r="AC1028" s="276"/>
    </row>
    <row r="1029">
      <c r="A1029" s="108" t="s">
        <v>12046</v>
      </c>
      <c r="B1029" s="173"/>
      <c r="C1029" s="374">
        <v>8.07000035115E11</v>
      </c>
      <c r="D1029" s="374" t="s">
        <v>12047</v>
      </c>
      <c r="E1029" s="374" t="s">
        <v>12048</v>
      </c>
      <c r="F1029" s="177" t="s">
        <v>12049</v>
      </c>
      <c r="G1029" s="177" t="s">
        <v>127</v>
      </c>
      <c r="H1029" s="177">
        <v>4400.0</v>
      </c>
      <c r="I1029" s="374" t="s">
        <v>512</v>
      </c>
      <c r="J1029" s="374" t="s">
        <v>513</v>
      </c>
      <c r="K1029" s="177">
        <v>6.0</v>
      </c>
      <c r="L1029" s="174">
        <v>3.875073603E9</v>
      </c>
      <c r="M1029" s="387"/>
      <c r="N1029" s="209"/>
      <c r="O1029" s="209"/>
      <c r="P1029" s="209"/>
      <c r="Q1029" s="209"/>
      <c r="R1029" s="209"/>
      <c r="S1029" s="367"/>
      <c r="T1029" s="276"/>
      <c r="U1029" s="276"/>
      <c r="V1029" s="276"/>
      <c r="W1029" s="276"/>
      <c r="X1029" s="276"/>
      <c r="Y1029" s="276"/>
      <c r="Z1029" s="276"/>
      <c r="AA1029" s="276"/>
      <c r="AB1029" s="276"/>
      <c r="AC1029" s="276"/>
    </row>
    <row r="1030">
      <c r="A1030" s="108" t="s">
        <v>12046</v>
      </c>
      <c r="B1030" s="173"/>
      <c r="C1030" s="374">
        <v>8.07000035115E11</v>
      </c>
      <c r="D1030" s="374" t="s">
        <v>12047</v>
      </c>
      <c r="E1030" s="374" t="s">
        <v>12048</v>
      </c>
      <c r="F1030" s="177" t="s">
        <v>12049</v>
      </c>
      <c r="G1030" s="177" t="s">
        <v>127</v>
      </c>
      <c r="H1030" s="177">
        <v>4400.0</v>
      </c>
      <c r="I1030" s="374" t="s">
        <v>233</v>
      </c>
      <c r="J1030" s="374" t="s">
        <v>3459</v>
      </c>
      <c r="K1030" s="177">
        <v>1.0</v>
      </c>
      <c r="L1030" s="174">
        <v>3.875073603E9</v>
      </c>
      <c r="M1030" s="387"/>
      <c r="N1030" s="209"/>
      <c r="O1030" s="209"/>
      <c r="P1030" s="209"/>
      <c r="Q1030" s="209"/>
      <c r="R1030" s="209"/>
      <c r="S1030" s="367"/>
      <c r="T1030" s="276"/>
      <c r="U1030" s="276"/>
      <c r="V1030" s="276"/>
      <c r="W1030" s="276"/>
      <c r="X1030" s="276"/>
      <c r="Y1030" s="276"/>
      <c r="Z1030" s="276"/>
      <c r="AA1030" s="276"/>
      <c r="AB1030" s="276"/>
      <c r="AC1030" s="276"/>
    </row>
    <row r="1031">
      <c r="A1031" s="108" t="s">
        <v>12046</v>
      </c>
      <c r="B1031" s="173"/>
      <c r="C1031" s="374">
        <v>8.07000035116E11</v>
      </c>
      <c r="D1031" s="374" t="s">
        <v>12047</v>
      </c>
      <c r="E1031" s="374" t="s">
        <v>12048</v>
      </c>
      <c r="F1031" s="177" t="s">
        <v>12049</v>
      </c>
      <c r="G1031" s="177" t="s">
        <v>127</v>
      </c>
      <c r="H1031" s="177">
        <v>4400.0</v>
      </c>
      <c r="I1031" s="374" t="s">
        <v>1756</v>
      </c>
      <c r="J1031" s="374" t="s">
        <v>5005</v>
      </c>
      <c r="K1031" s="177">
        <v>1.0</v>
      </c>
      <c r="L1031" s="174">
        <v>3.875073603E9</v>
      </c>
      <c r="M1031" s="387"/>
      <c r="N1031" s="209"/>
      <c r="O1031" s="209"/>
      <c r="P1031" s="209"/>
      <c r="Q1031" s="209"/>
      <c r="R1031" s="209"/>
      <c r="S1031" s="367"/>
      <c r="T1031" s="276"/>
      <c r="U1031" s="276"/>
      <c r="V1031" s="276"/>
      <c r="W1031" s="276"/>
      <c r="X1031" s="276"/>
      <c r="Y1031" s="276"/>
      <c r="Z1031" s="276"/>
      <c r="AA1031" s="276"/>
      <c r="AB1031" s="276"/>
      <c r="AC1031" s="276"/>
    </row>
    <row r="1032">
      <c r="A1032" s="108" t="s">
        <v>12046</v>
      </c>
      <c r="B1032" s="173"/>
      <c r="C1032" s="374">
        <v>8.07000035116E11</v>
      </c>
      <c r="D1032" s="374" t="s">
        <v>12047</v>
      </c>
      <c r="E1032" s="374" t="s">
        <v>12048</v>
      </c>
      <c r="F1032" s="177" t="s">
        <v>12049</v>
      </c>
      <c r="G1032" s="177" t="s">
        <v>127</v>
      </c>
      <c r="H1032" s="177">
        <v>4400.0</v>
      </c>
      <c r="I1032" s="374" t="s">
        <v>512</v>
      </c>
      <c r="J1032" s="374" t="s">
        <v>513</v>
      </c>
      <c r="K1032" s="177">
        <v>6.0</v>
      </c>
      <c r="L1032" s="174">
        <v>3.875073603E9</v>
      </c>
      <c r="M1032" s="387"/>
      <c r="N1032" s="209"/>
      <c r="O1032" s="209"/>
      <c r="P1032" s="209"/>
      <c r="Q1032" s="209"/>
      <c r="R1032" s="209"/>
      <c r="S1032" s="367"/>
      <c r="T1032" s="276"/>
      <c r="U1032" s="276"/>
      <c r="V1032" s="276"/>
      <c r="W1032" s="276"/>
      <c r="X1032" s="276"/>
      <c r="Y1032" s="276"/>
      <c r="Z1032" s="276"/>
      <c r="AA1032" s="276"/>
      <c r="AB1032" s="276"/>
      <c r="AC1032" s="276"/>
    </row>
    <row r="1033">
      <c r="A1033" s="108" t="s">
        <v>12046</v>
      </c>
      <c r="B1033" s="173"/>
      <c r="C1033" s="374">
        <v>8.07000035116E11</v>
      </c>
      <c r="D1033" s="374" t="s">
        <v>12047</v>
      </c>
      <c r="E1033" s="374" t="s">
        <v>12048</v>
      </c>
      <c r="F1033" s="177" t="s">
        <v>12049</v>
      </c>
      <c r="G1033" s="177" t="s">
        <v>127</v>
      </c>
      <c r="H1033" s="177">
        <v>4400.0</v>
      </c>
      <c r="I1033" s="374" t="s">
        <v>233</v>
      </c>
      <c r="J1033" s="374" t="s">
        <v>3459</v>
      </c>
      <c r="K1033" s="177">
        <v>1.0</v>
      </c>
      <c r="L1033" s="174">
        <v>3.875073603E9</v>
      </c>
      <c r="M1033" s="387"/>
      <c r="N1033" s="206"/>
      <c r="O1033" s="206"/>
      <c r="P1033" s="206"/>
      <c r="Q1033" s="206"/>
      <c r="R1033" s="206"/>
      <c r="S1033" s="367"/>
      <c r="T1033" s="276"/>
      <c r="U1033" s="276"/>
      <c r="V1033" s="276"/>
      <c r="W1033" s="276"/>
      <c r="X1033" s="276"/>
      <c r="Y1033" s="276"/>
      <c r="Z1033" s="276"/>
      <c r="AA1033" s="276"/>
      <c r="AB1033" s="276"/>
      <c r="AC1033" s="276"/>
    </row>
    <row r="1034">
      <c r="A1034" s="108" t="s">
        <v>12050</v>
      </c>
      <c r="B1034" s="173"/>
      <c r="C1034" s="374">
        <v>8.07000035129E11</v>
      </c>
      <c r="D1034" s="374" t="s">
        <v>12051</v>
      </c>
      <c r="E1034" s="374" t="s">
        <v>12052</v>
      </c>
      <c r="F1034" s="177" t="s">
        <v>12053</v>
      </c>
      <c r="G1034" s="177" t="s">
        <v>127</v>
      </c>
      <c r="H1034" s="177">
        <v>4400.0</v>
      </c>
      <c r="I1034" s="374" t="s">
        <v>8099</v>
      </c>
      <c r="J1034" s="374" t="s">
        <v>8100</v>
      </c>
      <c r="K1034" s="177">
        <v>1.0</v>
      </c>
      <c r="L1034" s="174">
        <v>3.875266995E9</v>
      </c>
      <c r="M1034" s="387"/>
      <c r="N1034" s="480">
        <v>46071.0</v>
      </c>
      <c r="O1034" s="430" t="s">
        <v>9011</v>
      </c>
      <c r="P1034" s="430"/>
      <c r="Q1034" s="430" t="s">
        <v>13339</v>
      </c>
      <c r="R1034" s="432" t="s">
        <v>13836</v>
      </c>
      <c r="S1034" s="367"/>
      <c r="T1034" s="276"/>
      <c r="U1034" s="276"/>
      <c r="V1034" s="276"/>
      <c r="W1034" s="276"/>
      <c r="X1034" s="276"/>
      <c r="Y1034" s="276"/>
      <c r="Z1034" s="276"/>
      <c r="AA1034" s="276"/>
      <c r="AB1034" s="276"/>
      <c r="AC1034" s="276"/>
    </row>
    <row r="1035">
      <c r="A1035" s="108" t="s">
        <v>12050</v>
      </c>
      <c r="B1035" s="173"/>
      <c r="C1035" s="374">
        <v>8.07000035129E11</v>
      </c>
      <c r="D1035" s="374" t="s">
        <v>12051</v>
      </c>
      <c r="E1035" s="374" t="s">
        <v>12052</v>
      </c>
      <c r="F1035" s="177" t="s">
        <v>12053</v>
      </c>
      <c r="G1035" s="177" t="s">
        <v>127</v>
      </c>
      <c r="H1035" s="177">
        <v>4400.0</v>
      </c>
      <c r="I1035" s="374" t="s">
        <v>512</v>
      </c>
      <c r="J1035" s="374" t="s">
        <v>513</v>
      </c>
      <c r="K1035" s="177">
        <v>12.0</v>
      </c>
      <c r="L1035" s="174">
        <v>3.875266995E9</v>
      </c>
      <c r="M1035" s="387"/>
      <c r="N1035" s="209"/>
      <c r="O1035" s="209"/>
      <c r="P1035" s="209"/>
      <c r="Q1035" s="209"/>
      <c r="R1035" s="209"/>
      <c r="S1035" s="367"/>
      <c r="T1035" s="276"/>
      <c r="U1035" s="276"/>
      <c r="V1035" s="276"/>
      <c r="W1035" s="276"/>
      <c r="X1035" s="276"/>
      <c r="Y1035" s="276"/>
      <c r="Z1035" s="276"/>
      <c r="AA1035" s="276"/>
      <c r="AB1035" s="276"/>
      <c r="AC1035" s="276"/>
    </row>
    <row r="1036">
      <c r="A1036" s="108" t="s">
        <v>12050</v>
      </c>
      <c r="B1036" s="173"/>
      <c r="C1036" s="374">
        <v>8.07000035129E11</v>
      </c>
      <c r="D1036" s="374" t="s">
        <v>12051</v>
      </c>
      <c r="E1036" s="374" t="s">
        <v>12052</v>
      </c>
      <c r="F1036" s="177" t="s">
        <v>12053</v>
      </c>
      <c r="G1036" s="177" t="s">
        <v>127</v>
      </c>
      <c r="H1036" s="177">
        <v>4400.0</v>
      </c>
      <c r="I1036" s="374" t="s">
        <v>121</v>
      </c>
      <c r="J1036" s="374" t="s">
        <v>3199</v>
      </c>
      <c r="K1036" s="177">
        <v>2.0</v>
      </c>
      <c r="L1036" s="174">
        <v>3.875266995E9</v>
      </c>
      <c r="M1036" s="387"/>
      <c r="N1036" s="206"/>
      <c r="O1036" s="206"/>
      <c r="P1036" s="206"/>
      <c r="Q1036" s="206"/>
      <c r="R1036" s="206"/>
      <c r="S1036" s="367"/>
      <c r="T1036" s="276"/>
      <c r="U1036" s="276"/>
      <c r="V1036" s="276"/>
      <c r="W1036" s="276"/>
      <c r="X1036" s="276"/>
      <c r="Y1036" s="276"/>
      <c r="Z1036" s="276"/>
      <c r="AA1036" s="276"/>
      <c r="AB1036" s="276"/>
      <c r="AC1036" s="276"/>
    </row>
    <row r="1037">
      <c r="A1037" s="108" t="s">
        <v>12054</v>
      </c>
      <c r="B1037" s="173"/>
      <c r="C1037" s="374">
        <v>8.07000035143E11</v>
      </c>
      <c r="D1037" s="374" t="s">
        <v>11367</v>
      </c>
      <c r="E1037" s="374" t="s">
        <v>11368</v>
      </c>
      <c r="F1037" s="177" t="s">
        <v>12055</v>
      </c>
      <c r="G1037" s="177" t="s">
        <v>1986</v>
      </c>
      <c r="H1037" s="177">
        <v>4400.0</v>
      </c>
      <c r="I1037" s="374" t="s">
        <v>11890</v>
      </c>
      <c r="J1037" s="374" t="s">
        <v>11891</v>
      </c>
      <c r="K1037" s="177">
        <v>2.0</v>
      </c>
      <c r="L1037" s="174">
        <v>3.874423354E9</v>
      </c>
      <c r="M1037" s="387"/>
      <c r="N1037" s="480">
        <v>46074.0</v>
      </c>
      <c r="O1037" s="430" t="s">
        <v>13338</v>
      </c>
      <c r="P1037" s="431"/>
      <c r="Q1037" s="430" t="s">
        <v>13339</v>
      </c>
      <c r="R1037" s="432" t="s">
        <v>13837</v>
      </c>
      <c r="S1037" s="367"/>
      <c r="T1037" s="276"/>
      <c r="U1037" s="276"/>
      <c r="V1037" s="276"/>
      <c r="W1037" s="276"/>
      <c r="X1037" s="276"/>
      <c r="Y1037" s="276"/>
      <c r="Z1037" s="276"/>
      <c r="AA1037" s="276"/>
      <c r="AB1037" s="276"/>
      <c r="AC1037" s="276"/>
    </row>
    <row r="1038">
      <c r="A1038" s="108" t="s">
        <v>12054</v>
      </c>
      <c r="B1038" s="173"/>
      <c r="C1038" s="374">
        <v>8.07000035143E11</v>
      </c>
      <c r="D1038" s="374" t="s">
        <v>11367</v>
      </c>
      <c r="E1038" s="374" t="s">
        <v>11368</v>
      </c>
      <c r="F1038" s="177" t="s">
        <v>12055</v>
      </c>
      <c r="G1038" s="177" t="s">
        <v>1986</v>
      </c>
      <c r="H1038" s="177">
        <v>4400.0</v>
      </c>
      <c r="I1038" s="374" t="s">
        <v>812</v>
      </c>
      <c r="J1038" s="374" t="s">
        <v>3564</v>
      </c>
      <c r="K1038" s="177">
        <v>1.0</v>
      </c>
      <c r="L1038" s="174">
        <v>3.874423354E9</v>
      </c>
      <c r="M1038" s="387"/>
      <c r="N1038" s="209"/>
      <c r="O1038" s="209"/>
      <c r="P1038" s="209"/>
      <c r="Q1038" s="209"/>
      <c r="R1038" s="209"/>
      <c r="S1038" s="367"/>
      <c r="T1038" s="276"/>
      <c r="U1038" s="276"/>
      <c r="V1038" s="276"/>
      <c r="W1038" s="276"/>
      <c r="X1038" s="276"/>
      <c r="Y1038" s="276"/>
      <c r="Z1038" s="276"/>
      <c r="AA1038" s="276"/>
      <c r="AB1038" s="276"/>
      <c r="AC1038" s="276"/>
    </row>
    <row r="1039">
      <c r="A1039" s="108" t="s">
        <v>12054</v>
      </c>
      <c r="B1039" s="173"/>
      <c r="C1039" s="374">
        <v>8.07000035143E11</v>
      </c>
      <c r="D1039" s="374" t="s">
        <v>11367</v>
      </c>
      <c r="E1039" s="374" t="s">
        <v>11368</v>
      </c>
      <c r="F1039" s="177" t="s">
        <v>12055</v>
      </c>
      <c r="G1039" s="177" t="s">
        <v>1986</v>
      </c>
      <c r="H1039" s="177">
        <v>4400.0</v>
      </c>
      <c r="I1039" s="374" t="s">
        <v>512</v>
      </c>
      <c r="J1039" s="374" t="s">
        <v>513</v>
      </c>
      <c r="K1039" s="177">
        <v>6.0</v>
      </c>
      <c r="L1039" s="174">
        <v>3.874423354E9</v>
      </c>
      <c r="M1039" s="387"/>
      <c r="N1039" s="209"/>
      <c r="O1039" s="209"/>
      <c r="P1039" s="209"/>
      <c r="Q1039" s="209"/>
      <c r="R1039" s="209"/>
      <c r="S1039" s="367"/>
      <c r="T1039" s="276"/>
      <c r="U1039" s="276"/>
      <c r="V1039" s="276"/>
      <c r="W1039" s="276"/>
      <c r="X1039" s="276"/>
      <c r="Y1039" s="276"/>
      <c r="Z1039" s="276"/>
      <c r="AA1039" s="276"/>
      <c r="AB1039" s="276"/>
      <c r="AC1039" s="276"/>
    </row>
    <row r="1040">
      <c r="A1040" s="108" t="s">
        <v>12054</v>
      </c>
      <c r="B1040" s="173"/>
      <c r="C1040" s="374">
        <v>8.07000035143E11</v>
      </c>
      <c r="D1040" s="374" t="s">
        <v>11367</v>
      </c>
      <c r="E1040" s="374" t="s">
        <v>11368</v>
      </c>
      <c r="F1040" s="177" t="s">
        <v>12055</v>
      </c>
      <c r="G1040" s="177" t="s">
        <v>1986</v>
      </c>
      <c r="H1040" s="177">
        <v>4400.0</v>
      </c>
      <c r="I1040" s="374" t="s">
        <v>35</v>
      </c>
      <c r="J1040" s="374" t="s">
        <v>3188</v>
      </c>
      <c r="K1040" s="177">
        <v>1.0</v>
      </c>
      <c r="L1040" s="174">
        <v>3.874423354E9</v>
      </c>
      <c r="M1040" s="387"/>
      <c r="N1040" s="206"/>
      <c r="O1040" s="206"/>
      <c r="P1040" s="206"/>
      <c r="Q1040" s="206"/>
      <c r="R1040" s="206"/>
      <c r="S1040" s="367"/>
      <c r="T1040" s="276"/>
      <c r="U1040" s="276"/>
      <c r="V1040" s="276"/>
      <c r="W1040" s="276"/>
      <c r="X1040" s="276"/>
      <c r="Y1040" s="276"/>
      <c r="Z1040" s="276"/>
      <c r="AA1040" s="276"/>
      <c r="AB1040" s="276"/>
      <c r="AC1040" s="276"/>
    </row>
    <row r="1041">
      <c r="A1041" s="108" t="s">
        <v>12056</v>
      </c>
      <c r="B1041" s="173"/>
      <c r="C1041" s="374">
        <v>8.07000035139E11</v>
      </c>
      <c r="D1041" s="374" t="s">
        <v>12057</v>
      </c>
      <c r="E1041" s="374" t="s">
        <v>12058</v>
      </c>
      <c r="F1041" s="177" t="s">
        <v>12059</v>
      </c>
      <c r="G1041" s="177" t="s">
        <v>4056</v>
      </c>
      <c r="H1041" s="177">
        <v>4400.0</v>
      </c>
      <c r="I1041" s="374" t="s">
        <v>184</v>
      </c>
      <c r="J1041" s="374" t="s">
        <v>4485</v>
      </c>
      <c r="K1041" s="177">
        <v>1.0</v>
      </c>
      <c r="L1041" s="174">
        <v>3.875392658E9</v>
      </c>
      <c r="M1041" s="387"/>
      <c r="N1041" s="480">
        <v>46074.0</v>
      </c>
      <c r="O1041" s="430" t="s">
        <v>13338</v>
      </c>
      <c r="P1041" s="431"/>
      <c r="Q1041" s="430" t="s">
        <v>13339</v>
      </c>
      <c r="R1041" s="432" t="s">
        <v>13838</v>
      </c>
      <c r="S1041" s="367"/>
      <c r="T1041" s="276"/>
      <c r="U1041" s="276"/>
      <c r="V1041" s="276"/>
      <c r="W1041" s="276"/>
      <c r="X1041" s="276"/>
      <c r="Y1041" s="276"/>
      <c r="Z1041" s="276"/>
      <c r="AA1041" s="276"/>
      <c r="AB1041" s="276"/>
      <c r="AC1041" s="276"/>
    </row>
    <row r="1042">
      <c r="A1042" s="108" t="s">
        <v>12056</v>
      </c>
      <c r="B1042" s="173"/>
      <c r="C1042" s="374">
        <v>8.07000035139E11</v>
      </c>
      <c r="D1042" s="374" t="s">
        <v>12057</v>
      </c>
      <c r="E1042" s="374" t="s">
        <v>12058</v>
      </c>
      <c r="F1042" s="177" t="s">
        <v>12059</v>
      </c>
      <c r="G1042" s="177" t="s">
        <v>4056</v>
      </c>
      <c r="H1042" s="177">
        <v>4400.0</v>
      </c>
      <c r="I1042" s="374" t="s">
        <v>512</v>
      </c>
      <c r="J1042" s="374" t="s">
        <v>513</v>
      </c>
      <c r="K1042" s="177">
        <v>6.0</v>
      </c>
      <c r="L1042" s="174">
        <v>3.875392658E9</v>
      </c>
      <c r="M1042" s="387"/>
      <c r="N1042" s="209"/>
      <c r="O1042" s="209"/>
      <c r="P1042" s="209"/>
      <c r="Q1042" s="209"/>
      <c r="R1042" s="209"/>
      <c r="S1042" s="367"/>
      <c r="T1042" s="276"/>
      <c r="U1042" s="276"/>
      <c r="V1042" s="276"/>
      <c r="W1042" s="276"/>
      <c r="X1042" s="276"/>
      <c r="Y1042" s="276"/>
      <c r="Z1042" s="276"/>
      <c r="AA1042" s="276"/>
      <c r="AB1042" s="276"/>
      <c r="AC1042" s="276"/>
    </row>
    <row r="1043">
      <c r="A1043" s="108" t="s">
        <v>12056</v>
      </c>
      <c r="B1043" s="173"/>
      <c r="C1043" s="374">
        <v>8.07000035139E11</v>
      </c>
      <c r="D1043" s="374" t="s">
        <v>12057</v>
      </c>
      <c r="E1043" s="374" t="s">
        <v>12058</v>
      </c>
      <c r="F1043" s="177" t="s">
        <v>12059</v>
      </c>
      <c r="G1043" s="177" t="s">
        <v>4056</v>
      </c>
      <c r="H1043" s="177">
        <v>4400.0</v>
      </c>
      <c r="I1043" s="374" t="s">
        <v>273</v>
      </c>
      <c r="J1043" s="374" t="s">
        <v>3594</v>
      </c>
      <c r="K1043" s="177">
        <v>1.0</v>
      </c>
      <c r="L1043" s="174">
        <v>3.875392658E9</v>
      </c>
      <c r="M1043" s="387"/>
      <c r="N1043" s="206"/>
      <c r="O1043" s="206"/>
      <c r="P1043" s="206"/>
      <c r="Q1043" s="206"/>
      <c r="R1043" s="206"/>
      <c r="S1043" s="367"/>
      <c r="T1043" s="276"/>
      <c r="U1043" s="276"/>
      <c r="V1043" s="276"/>
      <c r="W1043" s="276"/>
      <c r="X1043" s="276"/>
      <c r="Y1043" s="276"/>
      <c r="Z1043" s="276"/>
      <c r="AA1043" s="276"/>
      <c r="AB1043" s="276"/>
      <c r="AC1043" s="276"/>
    </row>
    <row r="1044">
      <c r="A1044" s="108"/>
      <c r="B1044" s="173"/>
      <c r="C1044" s="374"/>
      <c r="D1044" s="374"/>
      <c r="E1044" s="374"/>
      <c r="F1044" s="145"/>
      <c r="G1044" s="145"/>
      <c r="H1044" s="145"/>
      <c r="I1044" s="374"/>
      <c r="J1044" s="483"/>
      <c r="K1044" s="484"/>
      <c r="L1044" s="485"/>
      <c r="M1044" s="387"/>
      <c r="N1044" s="481"/>
      <c r="O1044" s="261"/>
      <c r="P1044" s="367"/>
      <c r="Q1044" s="261"/>
      <c r="R1044" s="449"/>
      <c r="S1044" s="367"/>
      <c r="T1044" s="276"/>
      <c r="U1044" s="276"/>
      <c r="V1044" s="276"/>
      <c r="W1044" s="276"/>
      <c r="X1044" s="276"/>
      <c r="Y1044" s="276"/>
      <c r="Z1044" s="276"/>
      <c r="AA1044" s="276"/>
      <c r="AB1044" s="276"/>
      <c r="AC1044" s="276"/>
    </row>
    <row r="1045">
      <c r="A1045" s="108" t="s">
        <v>12060</v>
      </c>
      <c r="B1045" s="173"/>
      <c r="C1045" s="374">
        <v>8.07000035147E11</v>
      </c>
      <c r="D1045" s="374" t="s">
        <v>12061</v>
      </c>
      <c r="E1045" s="374" t="s">
        <v>12062</v>
      </c>
      <c r="F1045" s="177" t="s">
        <v>12063</v>
      </c>
      <c r="G1045" s="177" t="s">
        <v>104</v>
      </c>
      <c r="H1045" s="177">
        <v>4400.0</v>
      </c>
      <c r="I1045" s="374" t="s">
        <v>947</v>
      </c>
      <c r="J1045" s="374" t="s">
        <v>3750</v>
      </c>
      <c r="K1045" s="177">
        <v>1.0</v>
      </c>
      <c r="L1045" s="174">
        <v>3.875870915E9</v>
      </c>
      <c r="M1045" s="387"/>
      <c r="N1045" s="481">
        <v>46073.0</v>
      </c>
      <c r="O1045" s="261" t="s">
        <v>9011</v>
      </c>
      <c r="P1045" s="367"/>
      <c r="Q1045" s="261" t="s">
        <v>9012</v>
      </c>
      <c r="R1045" s="434" t="s">
        <v>13839</v>
      </c>
      <c r="S1045" s="367"/>
      <c r="T1045" s="276"/>
      <c r="U1045" s="276"/>
      <c r="V1045" s="276"/>
      <c r="W1045" s="276"/>
      <c r="X1045" s="276"/>
      <c r="Y1045" s="276"/>
      <c r="Z1045" s="276"/>
      <c r="AA1045" s="276"/>
      <c r="AB1045" s="276"/>
      <c r="AC1045" s="276"/>
    </row>
    <row r="1046">
      <c r="A1046" s="108" t="s">
        <v>12064</v>
      </c>
      <c r="B1046" s="173"/>
      <c r="C1046" s="374">
        <v>8.07000035149E11</v>
      </c>
      <c r="D1046" s="374" t="s">
        <v>12065</v>
      </c>
      <c r="E1046" s="374" t="s">
        <v>12066</v>
      </c>
      <c r="F1046" s="177" t="s">
        <v>12067</v>
      </c>
      <c r="G1046" s="177" t="s">
        <v>127</v>
      </c>
      <c r="H1046" s="177">
        <v>4400.0</v>
      </c>
      <c r="I1046" s="374" t="s">
        <v>8604</v>
      </c>
      <c r="J1046" s="374" t="s">
        <v>8605</v>
      </c>
      <c r="K1046" s="177">
        <v>1.0</v>
      </c>
      <c r="L1046" s="174">
        <v>3.816900914E9</v>
      </c>
      <c r="M1046" s="367"/>
      <c r="N1046" s="429">
        <v>46076.0</v>
      </c>
      <c r="O1046" s="430" t="s">
        <v>13338</v>
      </c>
      <c r="P1046" s="431"/>
      <c r="Q1046" s="430" t="s">
        <v>9012</v>
      </c>
      <c r="R1046" s="432" t="s">
        <v>13840</v>
      </c>
      <c r="S1046" s="367"/>
      <c r="T1046" s="276"/>
      <c r="U1046" s="276"/>
      <c r="V1046" s="276"/>
      <c r="W1046" s="276"/>
      <c r="X1046" s="276"/>
      <c r="Y1046" s="276"/>
      <c r="Z1046" s="276"/>
      <c r="AA1046" s="276"/>
      <c r="AB1046" s="276"/>
      <c r="AC1046" s="276"/>
    </row>
    <row r="1047">
      <c r="A1047" s="108" t="s">
        <v>12064</v>
      </c>
      <c r="B1047" s="173"/>
      <c r="C1047" s="374">
        <v>8.0700003515E11</v>
      </c>
      <c r="D1047" s="374" t="s">
        <v>12065</v>
      </c>
      <c r="E1047" s="374" t="s">
        <v>12066</v>
      </c>
      <c r="F1047" s="177" t="s">
        <v>12067</v>
      </c>
      <c r="G1047" s="177" t="s">
        <v>127</v>
      </c>
      <c r="H1047" s="177">
        <v>4400.0</v>
      </c>
      <c r="I1047" s="374" t="s">
        <v>4793</v>
      </c>
      <c r="J1047" s="374" t="s">
        <v>4794</v>
      </c>
      <c r="K1047" s="177">
        <v>1.0</v>
      </c>
      <c r="L1047" s="174">
        <v>3.816900914E9</v>
      </c>
      <c r="M1047" s="367"/>
      <c r="N1047" s="209"/>
      <c r="O1047" s="209"/>
      <c r="P1047" s="209"/>
      <c r="Q1047" s="209"/>
      <c r="R1047" s="209"/>
      <c r="S1047" s="367"/>
      <c r="T1047" s="276"/>
      <c r="U1047" s="276"/>
      <c r="V1047" s="276"/>
      <c r="W1047" s="276"/>
      <c r="X1047" s="276"/>
      <c r="Y1047" s="276"/>
      <c r="Z1047" s="276"/>
      <c r="AA1047" s="276"/>
      <c r="AB1047" s="276"/>
      <c r="AC1047" s="276"/>
    </row>
    <row r="1048">
      <c r="A1048" s="108" t="s">
        <v>12064</v>
      </c>
      <c r="B1048" s="173"/>
      <c r="C1048" s="374">
        <v>8.07000035141E11</v>
      </c>
      <c r="D1048" s="374" t="s">
        <v>12065</v>
      </c>
      <c r="E1048" s="374" t="s">
        <v>12066</v>
      </c>
      <c r="F1048" s="177" t="s">
        <v>12067</v>
      </c>
      <c r="G1048" s="177" t="s">
        <v>127</v>
      </c>
      <c r="H1048" s="177">
        <v>4400.0</v>
      </c>
      <c r="I1048" s="374">
        <v>125810.0</v>
      </c>
      <c r="J1048" s="374" t="s">
        <v>4672</v>
      </c>
      <c r="K1048" s="177">
        <v>2.0</v>
      </c>
      <c r="L1048" s="174">
        <v>3.816900914E9</v>
      </c>
      <c r="M1048" s="367"/>
      <c r="N1048" s="206"/>
      <c r="O1048" s="206"/>
      <c r="P1048" s="206"/>
      <c r="Q1048" s="206"/>
      <c r="R1048" s="206"/>
      <c r="S1048" s="367"/>
      <c r="T1048" s="276"/>
      <c r="U1048" s="276"/>
      <c r="V1048" s="276"/>
      <c r="W1048" s="276"/>
      <c r="X1048" s="276"/>
      <c r="Y1048" s="276"/>
      <c r="Z1048" s="276"/>
      <c r="AA1048" s="276"/>
      <c r="AB1048" s="276"/>
      <c r="AC1048" s="276"/>
    </row>
    <row r="1049">
      <c r="A1049" s="108" t="s">
        <v>12068</v>
      </c>
      <c r="B1049" s="173"/>
      <c r="C1049" s="374">
        <v>8.07000035161E11</v>
      </c>
      <c r="D1049" s="374" t="s">
        <v>12069</v>
      </c>
      <c r="E1049" s="374" t="s">
        <v>12070</v>
      </c>
      <c r="F1049" s="177" t="s">
        <v>12071</v>
      </c>
      <c r="G1049" s="177" t="s">
        <v>127</v>
      </c>
      <c r="H1049" s="177">
        <v>4400.0</v>
      </c>
      <c r="I1049" s="374" t="s">
        <v>258</v>
      </c>
      <c r="J1049" s="374" t="s">
        <v>259</v>
      </c>
      <c r="K1049" s="177">
        <v>2.0</v>
      </c>
      <c r="L1049" s="174">
        <v>3.874859632E9</v>
      </c>
      <c r="M1049" s="367"/>
      <c r="N1049" s="429">
        <v>46074.0</v>
      </c>
      <c r="O1049" s="430" t="s">
        <v>13338</v>
      </c>
      <c r="P1049" s="431"/>
      <c r="Q1049" s="430" t="s">
        <v>13339</v>
      </c>
      <c r="R1049" s="432" t="s">
        <v>13841</v>
      </c>
      <c r="S1049" s="367"/>
      <c r="T1049" s="276"/>
      <c r="U1049" s="276"/>
      <c r="V1049" s="276"/>
      <c r="W1049" s="276"/>
      <c r="X1049" s="276"/>
      <c r="Y1049" s="276"/>
      <c r="Z1049" s="276"/>
      <c r="AA1049" s="276"/>
      <c r="AB1049" s="276"/>
      <c r="AC1049" s="276"/>
    </row>
    <row r="1050">
      <c r="A1050" s="108" t="s">
        <v>12068</v>
      </c>
      <c r="B1050" s="173"/>
      <c r="C1050" s="374">
        <v>8.07000035161E11</v>
      </c>
      <c r="D1050" s="374" t="s">
        <v>12069</v>
      </c>
      <c r="E1050" s="374" t="s">
        <v>12070</v>
      </c>
      <c r="F1050" s="177" t="s">
        <v>12071</v>
      </c>
      <c r="G1050" s="177" t="s">
        <v>127</v>
      </c>
      <c r="H1050" s="177">
        <v>4400.0</v>
      </c>
      <c r="I1050" s="374" t="s">
        <v>249</v>
      </c>
      <c r="J1050" s="374" t="s">
        <v>9324</v>
      </c>
      <c r="K1050" s="177">
        <v>1.0</v>
      </c>
      <c r="L1050" s="174">
        <v>3.874859632E9</v>
      </c>
      <c r="M1050" s="367"/>
      <c r="N1050" s="206"/>
      <c r="O1050" s="206"/>
      <c r="P1050" s="206"/>
      <c r="Q1050" s="206"/>
      <c r="R1050" s="206"/>
      <c r="S1050" s="367"/>
      <c r="T1050" s="276"/>
      <c r="U1050" s="276"/>
      <c r="V1050" s="276"/>
      <c r="W1050" s="276"/>
      <c r="X1050" s="276"/>
      <c r="Y1050" s="276"/>
      <c r="Z1050" s="276"/>
      <c r="AA1050" s="276"/>
      <c r="AB1050" s="276"/>
      <c r="AC1050" s="276"/>
    </row>
    <row r="1051">
      <c r="A1051" s="108" t="s">
        <v>12072</v>
      </c>
      <c r="B1051" s="173"/>
      <c r="C1051" s="374">
        <v>8.07000035157E11</v>
      </c>
      <c r="D1051" s="374" t="s">
        <v>12073</v>
      </c>
      <c r="E1051" s="374" t="s">
        <v>12074</v>
      </c>
      <c r="F1051" s="177" t="s">
        <v>12075</v>
      </c>
      <c r="G1051" s="177" t="s">
        <v>127</v>
      </c>
      <c r="H1051" s="177">
        <v>4400.0</v>
      </c>
      <c r="I1051" s="374" t="s">
        <v>512</v>
      </c>
      <c r="J1051" s="374" t="s">
        <v>513</v>
      </c>
      <c r="K1051" s="177">
        <v>12.0</v>
      </c>
      <c r="L1051" s="174">
        <v>3.87210591E9</v>
      </c>
      <c r="M1051" s="367"/>
      <c r="N1051" s="429">
        <v>46073.0</v>
      </c>
      <c r="O1051" s="430" t="s">
        <v>13338</v>
      </c>
      <c r="P1051" s="431"/>
      <c r="Q1051" s="430" t="s">
        <v>13339</v>
      </c>
      <c r="R1051" s="432" t="s">
        <v>13838</v>
      </c>
      <c r="S1051" s="367"/>
      <c r="T1051" s="276"/>
      <c r="U1051" s="276"/>
      <c r="V1051" s="276"/>
      <c r="W1051" s="276"/>
      <c r="X1051" s="276"/>
      <c r="Y1051" s="276"/>
      <c r="Z1051" s="276"/>
      <c r="AA1051" s="276"/>
      <c r="AB1051" s="276"/>
      <c r="AC1051" s="276"/>
    </row>
    <row r="1052">
      <c r="A1052" s="108" t="s">
        <v>12072</v>
      </c>
      <c r="B1052" s="173"/>
      <c r="C1052" s="374">
        <v>8.07000035158E11</v>
      </c>
      <c r="D1052" s="374" t="s">
        <v>12073</v>
      </c>
      <c r="E1052" s="374" t="s">
        <v>12074</v>
      </c>
      <c r="F1052" s="177" t="s">
        <v>12075</v>
      </c>
      <c r="G1052" s="177" t="s">
        <v>127</v>
      </c>
      <c r="H1052" s="177">
        <v>4400.0</v>
      </c>
      <c r="I1052" s="374" t="s">
        <v>8099</v>
      </c>
      <c r="J1052" s="374" t="s">
        <v>8100</v>
      </c>
      <c r="K1052" s="177">
        <v>1.0</v>
      </c>
      <c r="L1052" s="174">
        <v>3.87210591E9</v>
      </c>
      <c r="M1052" s="367"/>
      <c r="N1052" s="209"/>
      <c r="O1052" s="209"/>
      <c r="P1052" s="209"/>
      <c r="Q1052" s="209"/>
      <c r="R1052" s="209"/>
      <c r="S1052" s="367"/>
      <c r="T1052" s="276"/>
      <c r="U1052" s="276"/>
      <c r="V1052" s="276"/>
      <c r="W1052" s="276"/>
      <c r="X1052" s="276"/>
      <c r="Y1052" s="276"/>
      <c r="Z1052" s="276"/>
      <c r="AA1052" s="276"/>
      <c r="AB1052" s="276"/>
      <c r="AC1052" s="276"/>
    </row>
    <row r="1053">
      <c r="A1053" s="108" t="s">
        <v>12072</v>
      </c>
      <c r="B1053" s="173"/>
      <c r="C1053" s="374">
        <v>8.07000035158E11</v>
      </c>
      <c r="D1053" s="374" t="s">
        <v>12073</v>
      </c>
      <c r="E1053" s="374" t="s">
        <v>12074</v>
      </c>
      <c r="F1053" s="177" t="s">
        <v>12075</v>
      </c>
      <c r="G1053" s="177" t="s">
        <v>127</v>
      </c>
      <c r="H1053" s="177">
        <v>4400.0</v>
      </c>
      <c r="I1053" s="374" t="s">
        <v>121</v>
      </c>
      <c r="J1053" s="374" t="s">
        <v>3199</v>
      </c>
      <c r="K1053" s="177">
        <v>2.0</v>
      </c>
      <c r="L1053" s="174">
        <v>3.87210591E9</v>
      </c>
      <c r="M1053" s="367"/>
      <c r="N1053" s="206"/>
      <c r="O1053" s="206"/>
      <c r="P1053" s="206"/>
      <c r="Q1053" s="206"/>
      <c r="R1053" s="206"/>
      <c r="S1053" s="367"/>
      <c r="T1053" s="276"/>
      <c r="U1053" s="276"/>
      <c r="V1053" s="276"/>
      <c r="W1053" s="276"/>
      <c r="X1053" s="276"/>
      <c r="Y1053" s="276"/>
      <c r="Z1053" s="276"/>
      <c r="AA1053" s="276"/>
      <c r="AB1053" s="276"/>
      <c r="AC1053" s="276"/>
    </row>
    <row r="1054">
      <c r="A1054" s="108" t="s">
        <v>12076</v>
      </c>
      <c r="B1054" s="173"/>
      <c r="C1054" s="374">
        <v>8.07000035152E11</v>
      </c>
      <c r="D1054" s="374" t="s">
        <v>12077</v>
      </c>
      <c r="E1054" s="374" t="s">
        <v>12078</v>
      </c>
      <c r="F1054" s="177" t="s">
        <v>12079</v>
      </c>
      <c r="G1054" s="177" t="s">
        <v>104</v>
      </c>
      <c r="H1054" s="177">
        <v>4400.0</v>
      </c>
      <c r="I1054" s="374" t="s">
        <v>512</v>
      </c>
      <c r="J1054" s="374" t="s">
        <v>513</v>
      </c>
      <c r="K1054" s="177">
        <v>6.0</v>
      </c>
      <c r="L1054" s="174">
        <v>2.320597545E9</v>
      </c>
      <c r="M1054" s="367"/>
      <c r="N1054" s="429">
        <v>46076.0</v>
      </c>
      <c r="O1054" s="430" t="s">
        <v>13338</v>
      </c>
      <c r="P1054" s="431"/>
      <c r="Q1054" s="430" t="s">
        <v>13339</v>
      </c>
      <c r="R1054" s="432" t="s">
        <v>13842</v>
      </c>
      <c r="S1054" s="367"/>
      <c r="T1054" s="276"/>
      <c r="U1054" s="276"/>
      <c r="V1054" s="276"/>
      <c r="W1054" s="276"/>
      <c r="X1054" s="276"/>
      <c r="Y1054" s="276"/>
      <c r="Z1054" s="276"/>
      <c r="AA1054" s="276"/>
      <c r="AB1054" s="276"/>
      <c r="AC1054" s="276"/>
    </row>
    <row r="1055">
      <c r="A1055" s="108" t="s">
        <v>12076</v>
      </c>
      <c r="B1055" s="173"/>
      <c r="C1055" s="374">
        <v>8.07000035153E11</v>
      </c>
      <c r="D1055" s="374" t="s">
        <v>12077</v>
      </c>
      <c r="E1055" s="374" t="s">
        <v>12078</v>
      </c>
      <c r="F1055" s="177" t="s">
        <v>12079</v>
      </c>
      <c r="G1055" s="177" t="s">
        <v>104</v>
      </c>
      <c r="H1055" s="177">
        <v>4400.0</v>
      </c>
      <c r="I1055" s="374" t="s">
        <v>5034</v>
      </c>
      <c r="J1055" s="374" t="s">
        <v>5035</v>
      </c>
      <c r="K1055" s="177">
        <v>1.0</v>
      </c>
      <c r="L1055" s="174">
        <v>2.320597545E9</v>
      </c>
      <c r="M1055" s="367"/>
      <c r="N1055" s="209"/>
      <c r="O1055" s="209"/>
      <c r="P1055" s="209"/>
      <c r="Q1055" s="209"/>
      <c r="R1055" s="209"/>
      <c r="S1055" s="367"/>
      <c r="T1055" s="276"/>
      <c r="U1055" s="276"/>
      <c r="V1055" s="276"/>
      <c r="W1055" s="276"/>
      <c r="X1055" s="276"/>
      <c r="Y1055" s="276"/>
      <c r="Z1055" s="276"/>
      <c r="AA1055" s="276"/>
      <c r="AB1055" s="276"/>
      <c r="AC1055" s="276"/>
    </row>
    <row r="1056">
      <c r="A1056" s="108" t="s">
        <v>12076</v>
      </c>
      <c r="B1056" s="173"/>
      <c r="C1056" s="374">
        <v>8.07000035153E11</v>
      </c>
      <c r="D1056" s="374" t="s">
        <v>12077</v>
      </c>
      <c r="E1056" s="374" t="s">
        <v>12078</v>
      </c>
      <c r="F1056" s="177" t="s">
        <v>12079</v>
      </c>
      <c r="G1056" s="177" t="s">
        <v>104</v>
      </c>
      <c r="H1056" s="177">
        <v>4400.0</v>
      </c>
      <c r="I1056" s="374" t="s">
        <v>670</v>
      </c>
      <c r="J1056" s="374" t="s">
        <v>3410</v>
      </c>
      <c r="K1056" s="177">
        <v>1.0</v>
      </c>
      <c r="L1056" s="174">
        <v>2.320597545E9</v>
      </c>
      <c r="M1056" s="367"/>
      <c r="N1056" s="209"/>
      <c r="O1056" s="209"/>
      <c r="P1056" s="209"/>
      <c r="Q1056" s="209"/>
      <c r="R1056" s="209"/>
      <c r="S1056" s="367"/>
      <c r="T1056" s="276"/>
      <c r="U1056" s="276"/>
      <c r="V1056" s="276"/>
      <c r="W1056" s="276"/>
      <c r="X1056" s="276"/>
      <c r="Y1056" s="276"/>
      <c r="Z1056" s="276"/>
      <c r="AA1056" s="276"/>
      <c r="AB1056" s="276"/>
      <c r="AC1056" s="276"/>
    </row>
    <row r="1057">
      <c r="A1057" s="108" t="s">
        <v>12080</v>
      </c>
      <c r="B1057" s="173"/>
      <c r="C1057" s="374">
        <v>8.07000035154E11</v>
      </c>
      <c r="D1057" s="374" t="s">
        <v>12077</v>
      </c>
      <c r="E1057" s="374" t="s">
        <v>12078</v>
      </c>
      <c r="F1057" s="177" t="s">
        <v>12079</v>
      </c>
      <c r="G1057" s="177" t="s">
        <v>104</v>
      </c>
      <c r="H1057" s="177">
        <v>4400.0</v>
      </c>
      <c r="I1057" s="374">
        <v>125817.0</v>
      </c>
      <c r="J1057" s="374" t="s">
        <v>10650</v>
      </c>
      <c r="K1057" s="177">
        <v>2.0</v>
      </c>
      <c r="L1057" s="174">
        <v>2.320597545E9</v>
      </c>
      <c r="M1057" s="367"/>
      <c r="N1057" s="206"/>
      <c r="O1057" s="206"/>
      <c r="P1057" s="206"/>
      <c r="Q1057" s="206"/>
      <c r="R1057" s="206"/>
      <c r="S1057" s="367"/>
      <c r="T1057" s="276"/>
      <c r="U1057" s="276"/>
      <c r="V1057" s="276"/>
      <c r="W1057" s="276"/>
      <c r="X1057" s="276"/>
      <c r="Y1057" s="276"/>
      <c r="Z1057" s="276"/>
      <c r="AA1057" s="276"/>
      <c r="AB1057" s="276"/>
      <c r="AC1057" s="276"/>
    </row>
    <row r="1058">
      <c r="A1058" s="108" t="s">
        <v>12081</v>
      </c>
      <c r="B1058" s="173">
        <v>46074.0</v>
      </c>
      <c r="C1058" s="374">
        <v>8.07000035182E11</v>
      </c>
      <c r="D1058" s="374" t="s">
        <v>12082</v>
      </c>
      <c r="E1058" s="374" t="s">
        <v>12083</v>
      </c>
      <c r="F1058" s="145" t="s">
        <v>12084</v>
      </c>
      <c r="G1058" s="177" t="s">
        <v>104</v>
      </c>
      <c r="H1058" s="177">
        <v>4400.0</v>
      </c>
      <c r="I1058" s="176" t="s">
        <v>512</v>
      </c>
      <c r="J1058" s="374" t="s">
        <v>513</v>
      </c>
      <c r="K1058" s="177">
        <v>6.0</v>
      </c>
      <c r="L1058" s="174">
        <v>3.812016769E9</v>
      </c>
      <c r="M1058" s="367"/>
      <c r="N1058" s="429">
        <v>46074.0</v>
      </c>
      <c r="O1058" s="430" t="s">
        <v>13338</v>
      </c>
      <c r="P1058" s="431"/>
      <c r="Q1058" s="430" t="s">
        <v>13339</v>
      </c>
      <c r="R1058" s="432" t="s">
        <v>13843</v>
      </c>
      <c r="S1058" s="367"/>
      <c r="T1058" s="276"/>
      <c r="U1058" s="276"/>
      <c r="V1058" s="276"/>
      <c r="W1058" s="276"/>
      <c r="X1058" s="276"/>
      <c r="Y1058" s="276"/>
      <c r="Z1058" s="276"/>
      <c r="AA1058" s="276"/>
      <c r="AB1058" s="276"/>
      <c r="AC1058" s="276"/>
    </row>
    <row r="1059">
      <c r="A1059" s="108" t="s">
        <v>12081</v>
      </c>
      <c r="B1059" s="173">
        <v>46074.0</v>
      </c>
      <c r="C1059" s="374">
        <v>8.07000035183E11</v>
      </c>
      <c r="D1059" s="374" t="s">
        <v>12082</v>
      </c>
      <c r="E1059" s="374" t="s">
        <v>12083</v>
      </c>
      <c r="F1059" s="145" t="s">
        <v>12084</v>
      </c>
      <c r="G1059" s="177" t="s">
        <v>104</v>
      </c>
      <c r="H1059" s="177">
        <v>4400.0</v>
      </c>
      <c r="I1059" s="176" t="s">
        <v>2397</v>
      </c>
      <c r="J1059" s="374" t="s">
        <v>5040</v>
      </c>
      <c r="K1059" s="177">
        <v>1.0</v>
      </c>
      <c r="L1059" s="174">
        <v>3.812016769E9</v>
      </c>
      <c r="M1059" s="367"/>
      <c r="N1059" s="209"/>
      <c r="O1059" s="209"/>
      <c r="P1059" s="209"/>
      <c r="Q1059" s="209"/>
      <c r="R1059" s="209"/>
      <c r="S1059" s="367"/>
      <c r="T1059" s="276"/>
      <c r="U1059" s="276"/>
      <c r="V1059" s="276"/>
      <c r="W1059" s="276"/>
      <c r="X1059" s="276"/>
      <c r="Y1059" s="276"/>
      <c r="Z1059" s="276"/>
      <c r="AA1059" s="276"/>
      <c r="AB1059" s="276"/>
      <c r="AC1059" s="276"/>
    </row>
    <row r="1060">
      <c r="A1060" s="108" t="s">
        <v>12081</v>
      </c>
      <c r="B1060" s="173">
        <v>46074.0</v>
      </c>
      <c r="C1060" s="374">
        <v>8.07000035184E11</v>
      </c>
      <c r="D1060" s="374" t="s">
        <v>12082</v>
      </c>
      <c r="E1060" s="374" t="s">
        <v>12083</v>
      </c>
      <c r="F1060" s="145" t="s">
        <v>12084</v>
      </c>
      <c r="G1060" s="177" t="s">
        <v>104</v>
      </c>
      <c r="H1060" s="177">
        <v>4400.0</v>
      </c>
      <c r="I1060" s="176" t="s">
        <v>969</v>
      </c>
      <c r="J1060" s="374" t="s">
        <v>3296</v>
      </c>
      <c r="K1060" s="177">
        <v>1.0</v>
      </c>
      <c r="L1060" s="174">
        <v>3.812016769E9</v>
      </c>
      <c r="M1060" s="367"/>
      <c r="N1060" s="206"/>
      <c r="O1060" s="206"/>
      <c r="P1060" s="206"/>
      <c r="Q1060" s="206"/>
      <c r="R1060" s="206"/>
      <c r="S1060" s="367"/>
      <c r="T1060" s="276"/>
      <c r="U1060" s="276"/>
      <c r="V1060" s="276"/>
      <c r="W1060" s="276"/>
      <c r="X1060" s="276"/>
      <c r="Y1060" s="276"/>
      <c r="Z1060" s="276"/>
      <c r="AA1060" s="276"/>
      <c r="AB1060" s="276"/>
      <c r="AC1060" s="276"/>
    </row>
    <row r="1061">
      <c r="A1061" s="108" t="s">
        <v>12085</v>
      </c>
      <c r="B1061" s="173">
        <v>46074.0</v>
      </c>
      <c r="C1061" s="374">
        <v>8.07000035185E11</v>
      </c>
      <c r="D1061" s="374" t="s">
        <v>12086</v>
      </c>
      <c r="E1061" s="374" t="s">
        <v>12087</v>
      </c>
      <c r="F1061" s="145" t="s">
        <v>12088</v>
      </c>
      <c r="G1061" s="177" t="s">
        <v>104</v>
      </c>
      <c r="H1061" s="177">
        <v>4400.0</v>
      </c>
      <c r="I1061" s="176">
        <v>125811.0</v>
      </c>
      <c r="J1061" s="374" t="s">
        <v>6073</v>
      </c>
      <c r="K1061" s="177">
        <v>2.0</v>
      </c>
      <c r="L1061" s="174">
        <v>3.872269388E9</v>
      </c>
      <c r="M1061" s="367"/>
      <c r="N1061" s="429">
        <v>46074.0</v>
      </c>
      <c r="O1061" s="430" t="s">
        <v>13338</v>
      </c>
      <c r="P1061" s="431"/>
      <c r="Q1061" s="430" t="s">
        <v>9012</v>
      </c>
      <c r="R1061" s="432" t="s">
        <v>13844</v>
      </c>
      <c r="S1061" s="367"/>
      <c r="T1061" s="276"/>
      <c r="U1061" s="276"/>
      <c r="V1061" s="276"/>
      <c r="W1061" s="276"/>
      <c r="X1061" s="276"/>
      <c r="Y1061" s="276"/>
      <c r="Z1061" s="276"/>
      <c r="AA1061" s="276"/>
      <c r="AB1061" s="276"/>
      <c r="AC1061" s="276"/>
    </row>
    <row r="1062">
      <c r="A1062" s="108" t="s">
        <v>12085</v>
      </c>
      <c r="B1062" s="173">
        <v>46074.0</v>
      </c>
      <c r="C1062" s="374">
        <v>8.07000035185E11</v>
      </c>
      <c r="D1062" s="374" t="s">
        <v>12086</v>
      </c>
      <c r="E1062" s="374" t="s">
        <v>12087</v>
      </c>
      <c r="F1062" s="145" t="s">
        <v>12088</v>
      </c>
      <c r="G1062" s="177" t="s">
        <v>104</v>
      </c>
      <c r="H1062" s="177">
        <v>4400.0</v>
      </c>
      <c r="I1062" s="176">
        <v>203707.0</v>
      </c>
      <c r="J1062" s="374" t="s">
        <v>2986</v>
      </c>
      <c r="K1062" s="177">
        <v>1.0</v>
      </c>
      <c r="L1062" s="174">
        <v>3.872269388E9</v>
      </c>
      <c r="M1062" s="367"/>
      <c r="N1062" s="209"/>
      <c r="O1062" s="209"/>
      <c r="P1062" s="209"/>
      <c r="Q1062" s="209"/>
      <c r="R1062" s="209"/>
      <c r="S1062" s="367"/>
      <c r="T1062" s="276"/>
      <c r="U1062" s="276"/>
      <c r="V1062" s="276"/>
      <c r="W1062" s="276"/>
      <c r="X1062" s="276"/>
      <c r="Y1062" s="276"/>
      <c r="Z1062" s="276"/>
      <c r="AA1062" s="276"/>
      <c r="AB1062" s="276"/>
      <c r="AC1062" s="276"/>
    </row>
    <row r="1063">
      <c r="A1063" s="108" t="s">
        <v>12085</v>
      </c>
      <c r="B1063" s="173">
        <v>46074.0</v>
      </c>
      <c r="C1063" s="374">
        <v>8.07000035186E11</v>
      </c>
      <c r="D1063" s="374" t="s">
        <v>12086</v>
      </c>
      <c r="E1063" s="374" t="s">
        <v>12087</v>
      </c>
      <c r="F1063" s="145" t="s">
        <v>12088</v>
      </c>
      <c r="G1063" s="177" t="s">
        <v>104</v>
      </c>
      <c r="H1063" s="177">
        <v>4400.0</v>
      </c>
      <c r="I1063" s="176">
        <v>204210.0</v>
      </c>
      <c r="J1063" s="374" t="s">
        <v>10068</v>
      </c>
      <c r="K1063" s="177">
        <v>2.0</v>
      </c>
      <c r="L1063" s="174">
        <v>3.872269388E9</v>
      </c>
      <c r="M1063" s="367"/>
      <c r="N1063" s="206"/>
      <c r="O1063" s="206"/>
      <c r="P1063" s="206"/>
      <c r="Q1063" s="206"/>
      <c r="R1063" s="206"/>
      <c r="S1063" s="367"/>
      <c r="T1063" s="276"/>
      <c r="U1063" s="276"/>
      <c r="V1063" s="276"/>
      <c r="W1063" s="276"/>
      <c r="X1063" s="276"/>
      <c r="Y1063" s="276"/>
      <c r="Z1063" s="276"/>
      <c r="AA1063" s="276"/>
      <c r="AB1063" s="276"/>
      <c r="AC1063" s="276"/>
    </row>
    <row r="1064">
      <c r="A1064" s="108" t="s">
        <v>12089</v>
      </c>
      <c r="B1064" s="173">
        <v>46076.0</v>
      </c>
      <c r="C1064" s="374">
        <v>8.07000035189E11</v>
      </c>
      <c r="D1064" s="374" t="s">
        <v>12090</v>
      </c>
      <c r="E1064" s="374" t="s">
        <v>12091</v>
      </c>
      <c r="F1064" s="177" t="s">
        <v>12092</v>
      </c>
      <c r="G1064" s="177" t="s">
        <v>1986</v>
      </c>
      <c r="H1064" s="177">
        <v>4400.0</v>
      </c>
      <c r="I1064" s="374" t="s">
        <v>1241</v>
      </c>
      <c r="J1064" s="374" t="s">
        <v>3500</v>
      </c>
      <c r="K1064" s="177">
        <v>2.0</v>
      </c>
      <c r="L1064" s="174">
        <v>3.876379059E9</v>
      </c>
      <c r="M1064" s="367"/>
      <c r="N1064" s="433">
        <v>46076.0</v>
      </c>
      <c r="O1064" s="261" t="s">
        <v>13338</v>
      </c>
      <c r="P1064" s="367"/>
      <c r="Q1064" s="261" t="s">
        <v>13339</v>
      </c>
      <c r="R1064" s="434" t="s">
        <v>13845</v>
      </c>
      <c r="S1064" s="367"/>
      <c r="T1064" s="276"/>
      <c r="U1064" s="276"/>
      <c r="V1064" s="276"/>
      <c r="W1064" s="276"/>
      <c r="X1064" s="276"/>
      <c r="Y1064" s="276"/>
      <c r="Z1064" s="276"/>
      <c r="AA1064" s="276"/>
      <c r="AB1064" s="276"/>
      <c r="AC1064" s="276"/>
    </row>
    <row r="1065">
      <c r="A1065" s="108" t="s">
        <v>12093</v>
      </c>
      <c r="B1065" s="173">
        <v>46076.0</v>
      </c>
      <c r="C1065" s="374">
        <v>8.05011571455E11</v>
      </c>
      <c r="D1065" s="374" t="s">
        <v>12094</v>
      </c>
      <c r="E1065" s="374" t="s">
        <v>12095</v>
      </c>
      <c r="F1065" s="177" t="s">
        <v>12096</v>
      </c>
      <c r="G1065" s="177" t="s">
        <v>20</v>
      </c>
      <c r="H1065" s="177">
        <v>4400.0</v>
      </c>
      <c r="I1065" s="374" t="s">
        <v>5185</v>
      </c>
      <c r="J1065" s="374" t="s">
        <v>5186</v>
      </c>
      <c r="K1065" s="177">
        <v>1.0</v>
      </c>
      <c r="L1065" s="174">
        <v>3.875683032E9</v>
      </c>
      <c r="M1065" s="367"/>
      <c r="N1065" s="429">
        <v>46076.0</v>
      </c>
      <c r="O1065" s="430" t="s">
        <v>13338</v>
      </c>
      <c r="P1065" s="431"/>
      <c r="Q1065" s="430" t="s">
        <v>13846</v>
      </c>
      <c r="R1065" s="432" t="s">
        <v>13847</v>
      </c>
      <c r="S1065" s="367"/>
      <c r="T1065" s="276"/>
      <c r="U1065" s="276"/>
      <c r="V1065" s="276"/>
      <c r="W1065" s="276"/>
      <c r="X1065" s="276"/>
      <c r="Y1065" s="276"/>
      <c r="Z1065" s="276"/>
      <c r="AA1065" s="276"/>
      <c r="AB1065" s="276"/>
      <c r="AC1065" s="276"/>
    </row>
    <row r="1066">
      <c r="A1066" s="108" t="s">
        <v>12093</v>
      </c>
      <c r="B1066" s="173">
        <v>46076.0</v>
      </c>
      <c r="C1066" s="374">
        <v>8.05011571455E11</v>
      </c>
      <c r="D1066" s="374" t="s">
        <v>12094</v>
      </c>
      <c r="E1066" s="374" t="s">
        <v>12095</v>
      </c>
      <c r="F1066" s="177" t="s">
        <v>12096</v>
      </c>
      <c r="G1066" s="177" t="s">
        <v>20</v>
      </c>
      <c r="H1066" s="177">
        <v>4400.0</v>
      </c>
      <c r="I1066" s="374" t="s">
        <v>512</v>
      </c>
      <c r="J1066" s="374" t="s">
        <v>513</v>
      </c>
      <c r="K1066" s="177">
        <v>6.0</v>
      </c>
      <c r="L1066" s="174">
        <v>3.875683032E9</v>
      </c>
      <c r="M1066" s="367"/>
      <c r="N1066" s="209"/>
      <c r="O1066" s="209"/>
      <c r="P1066" s="209"/>
      <c r="Q1066" s="209"/>
      <c r="R1066" s="209"/>
      <c r="S1066" s="367"/>
      <c r="T1066" s="276"/>
      <c r="U1066" s="276"/>
      <c r="V1066" s="276"/>
      <c r="W1066" s="276"/>
      <c r="X1066" s="276"/>
      <c r="Y1066" s="276"/>
      <c r="Z1066" s="276"/>
      <c r="AA1066" s="276"/>
      <c r="AB1066" s="276"/>
      <c r="AC1066" s="276"/>
    </row>
    <row r="1067">
      <c r="A1067" s="108" t="s">
        <v>12093</v>
      </c>
      <c r="B1067" s="173">
        <v>46076.0</v>
      </c>
      <c r="C1067" s="374">
        <v>8.05011571455E11</v>
      </c>
      <c r="D1067" s="374" t="s">
        <v>12094</v>
      </c>
      <c r="E1067" s="374" t="s">
        <v>12095</v>
      </c>
      <c r="F1067" s="177" t="s">
        <v>12096</v>
      </c>
      <c r="G1067" s="177" t="s">
        <v>20</v>
      </c>
      <c r="H1067" s="177">
        <v>4400.0</v>
      </c>
      <c r="I1067" s="374" t="s">
        <v>2031</v>
      </c>
      <c r="J1067" s="374" t="s">
        <v>3348</v>
      </c>
      <c r="K1067" s="177">
        <v>1.0</v>
      </c>
      <c r="L1067" s="174">
        <v>3.875683032E9</v>
      </c>
      <c r="M1067" s="367"/>
      <c r="N1067" s="206"/>
      <c r="O1067" s="206"/>
      <c r="P1067" s="206"/>
      <c r="Q1067" s="206"/>
      <c r="R1067" s="206"/>
      <c r="S1067" s="367"/>
      <c r="T1067" s="276"/>
      <c r="U1067" s="276"/>
      <c r="V1067" s="276"/>
      <c r="W1067" s="276"/>
      <c r="X1067" s="276"/>
      <c r="Y1067" s="276"/>
      <c r="Z1067" s="276"/>
      <c r="AA1067" s="276"/>
      <c r="AB1067" s="276"/>
      <c r="AC1067" s="276"/>
    </row>
    <row r="1068">
      <c r="A1068" s="108" t="s">
        <v>12097</v>
      </c>
      <c r="B1068" s="173">
        <v>46076.0</v>
      </c>
      <c r="C1068" s="374">
        <v>8.07000035197E11</v>
      </c>
      <c r="D1068" s="374" t="s">
        <v>12098</v>
      </c>
      <c r="E1068" s="374" t="s">
        <v>12099</v>
      </c>
      <c r="F1068" s="145" t="s">
        <v>12100</v>
      </c>
      <c r="G1068" s="177" t="s">
        <v>20</v>
      </c>
      <c r="H1068" s="177">
        <v>4400.0</v>
      </c>
      <c r="I1068" s="176">
        <v>125801.0</v>
      </c>
      <c r="J1068" s="374" t="s">
        <v>5192</v>
      </c>
      <c r="K1068" s="177">
        <v>1.0</v>
      </c>
      <c r="L1068" s="174">
        <v>3.874525933E9</v>
      </c>
      <c r="M1068" s="367"/>
      <c r="N1068" s="486">
        <v>46076.0</v>
      </c>
      <c r="O1068" s="487" t="s">
        <v>13338</v>
      </c>
      <c r="P1068" s="488"/>
      <c r="Q1068" s="489" t="s">
        <v>13848</v>
      </c>
      <c r="R1068" s="490" t="s">
        <v>13849</v>
      </c>
      <c r="S1068" s="367"/>
      <c r="T1068" s="276"/>
      <c r="U1068" s="276"/>
      <c r="V1068" s="276"/>
      <c r="W1068" s="276"/>
      <c r="X1068" s="276"/>
      <c r="Y1068" s="276"/>
      <c r="Z1068" s="276"/>
      <c r="AA1068" s="276"/>
      <c r="AB1068" s="276"/>
      <c r="AC1068" s="276"/>
    </row>
    <row r="1069">
      <c r="A1069" s="108" t="s">
        <v>12097</v>
      </c>
      <c r="B1069" s="173">
        <v>46076.0</v>
      </c>
      <c r="C1069" s="374">
        <v>8.07000035198E11</v>
      </c>
      <c r="D1069" s="374" t="s">
        <v>12098</v>
      </c>
      <c r="E1069" s="374" t="s">
        <v>12099</v>
      </c>
      <c r="F1069" s="145" t="s">
        <v>12100</v>
      </c>
      <c r="G1069" s="177" t="s">
        <v>20</v>
      </c>
      <c r="H1069" s="177">
        <v>4400.0</v>
      </c>
      <c r="I1069" s="374" t="s">
        <v>8532</v>
      </c>
      <c r="J1069" s="374" t="s">
        <v>8533</v>
      </c>
      <c r="K1069" s="177">
        <v>1.0</v>
      </c>
      <c r="L1069" s="174">
        <v>3.874525933E9</v>
      </c>
      <c r="M1069" s="367"/>
      <c r="N1069" s="206"/>
      <c r="O1069" s="206"/>
      <c r="P1069" s="206"/>
      <c r="Q1069" s="206"/>
      <c r="R1069" s="206"/>
      <c r="S1069" s="367"/>
      <c r="T1069" s="276"/>
      <c r="U1069" s="276"/>
      <c r="V1069" s="276"/>
      <c r="W1069" s="276"/>
      <c r="X1069" s="276"/>
      <c r="Y1069" s="276"/>
      <c r="Z1069" s="276"/>
      <c r="AA1069" s="276"/>
      <c r="AB1069" s="276"/>
      <c r="AC1069" s="276"/>
    </row>
    <row r="1070">
      <c r="A1070" s="108" t="s">
        <v>12101</v>
      </c>
      <c r="B1070" s="173"/>
      <c r="C1070" s="374">
        <v>8.070000352E11</v>
      </c>
      <c r="D1070" s="374" t="s">
        <v>12102</v>
      </c>
      <c r="E1070" s="374" t="s">
        <v>12103</v>
      </c>
      <c r="F1070" s="177" t="s">
        <v>12104</v>
      </c>
      <c r="G1070" s="177" t="s">
        <v>127</v>
      </c>
      <c r="H1070" s="177">
        <v>4400.0</v>
      </c>
      <c r="I1070" s="374" t="s">
        <v>4070</v>
      </c>
      <c r="J1070" s="374" t="s">
        <v>6264</v>
      </c>
      <c r="K1070" s="177">
        <v>1.0</v>
      </c>
      <c r="L1070" s="174">
        <v>3.87459426E9</v>
      </c>
      <c r="M1070" s="367"/>
      <c r="N1070" s="486">
        <v>46076.0</v>
      </c>
      <c r="O1070" s="487" t="s">
        <v>9011</v>
      </c>
      <c r="P1070" s="488"/>
      <c r="Q1070" s="489" t="s">
        <v>13850</v>
      </c>
      <c r="R1070" s="490" t="s">
        <v>13851</v>
      </c>
      <c r="S1070" s="367"/>
      <c r="T1070" s="276"/>
      <c r="U1070" s="276"/>
      <c r="V1070" s="276"/>
      <c r="W1070" s="276"/>
      <c r="X1070" s="276"/>
      <c r="Y1070" s="276"/>
      <c r="Z1070" s="276"/>
      <c r="AA1070" s="276"/>
      <c r="AB1070" s="276"/>
      <c r="AC1070" s="276"/>
    </row>
    <row r="1071">
      <c r="A1071" s="108" t="s">
        <v>12101</v>
      </c>
      <c r="B1071" s="173"/>
      <c r="C1071" s="374">
        <v>8.07000035199E11</v>
      </c>
      <c r="D1071" s="374" t="s">
        <v>12102</v>
      </c>
      <c r="E1071" s="374" t="s">
        <v>12103</v>
      </c>
      <c r="F1071" s="177" t="s">
        <v>12104</v>
      </c>
      <c r="G1071" s="177" t="s">
        <v>127</v>
      </c>
      <c r="H1071" s="177">
        <v>4400.0</v>
      </c>
      <c r="I1071" s="374" t="s">
        <v>2397</v>
      </c>
      <c r="J1071" s="374" t="s">
        <v>5040</v>
      </c>
      <c r="K1071" s="177">
        <v>1.0</v>
      </c>
      <c r="L1071" s="174">
        <v>3.87459426E9</v>
      </c>
      <c r="M1071" s="367"/>
      <c r="N1071" s="206"/>
      <c r="O1071" s="206"/>
      <c r="P1071" s="206"/>
      <c r="Q1071" s="206"/>
      <c r="R1071" s="206"/>
      <c r="S1071" s="367"/>
      <c r="T1071" s="276"/>
      <c r="U1071" s="276"/>
      <c r="V1071" s="276"/>
      <c r="W1071" s="276"/>
      <c r="X1071" s="276"/>
      <c r="Y1071" s="276"/>
      <c r="Z1071" s="276"/>
      <c r="AA1071" s="276"/>
      <c r="AB1071" s="276"/>
      <c r="AC1071" s="276"/>
    </row>
    <row r="1072">
      <c r="A1072" s="382" t="s">
        <v>13852</v>
      </c>
      <c r="B1072" s="491">
        <v>46078.0</v>
      </c>
      <c r="C1072" s="380"/>
      <c r="D1072" s="381"/>
      <c r="E1072" s="492" t="s">
        <v>13853</v>
      </c>
      <c r="F1072" s="493" t="s">
        <v>13854</v>
      </c>
      <c r="G1072" s="493" t="s">
        <v>11028</v>
      </c>
      <c r="H1072" s="493">
        <v>4400.0</v>
      </c>
      <c r="I1072" s="492" t="s">
        <v>9491</v>
      </c>
      <c r="J1072" s="374" t="s">
        <v>513</v>
      </c>
      <c r="K1072" s="493">
        <v>6.0</v>
      </c>
      <c r="L1072" s="494">
        <v>3.874810405E9</v>
      </c>
      <c r="M1072" s="453"/>
      <c r="N1072" s="495">
        <v>46078.0</v>
      </c>
      <c r="O1072" s="496" t="s">
        <v>13338</v>
      </c>
      <c r="P1072" s="488"/>
      <c r="Q1072" s="497" t="s">
        <v>13339</v>
      </c>
      <c r="R1072" s="498" t="s">
        <v>13855</v>
      </c>
      <c r="S1072" s="367"/>
      <c r="T1072" s="276"/>
      <c r="U1072" s="276"/>
      <c r="V1072" s="276"/>
      <c r="W1072" s="276"/>
      <c r="X1072" s="276"/>
      <c r="Y1072" s="276"/>
      <c r="Z1072" s="276"/>
      <c r="AA1072" s="276"/>
      <c r="AB1072" s="276"/>
      <c r="AC1072" s="276"/>
    </row>
    <row r="1073">
      <c r="A1073" s="382" t="s">
        <v>13852</v>
      </c>
      <c r="B1073" s="491">
        <v>46078.0</v>
      </c>
      <c r="C1073" s="380"/>
      <c r="D1073" s="381"/>
      <c r="E1073" s="492" t="s">
        <v>13853</v>
      </c>
      <c r="F1073" s="493" t="s">
        <v>13854</v>
      </c>
      <c r="G1073" s="493" t="s">
        <v>11028</v>
      </c>
      <c r="H1073" s="493">
        <v>4400.0</v>
      </c>
      <c r="I1073" s="492">
        <v>125813.0</v>
      </c>
      <c r="J1073" s="492" t="s">
        <v>5703</v>
      </c>
      <c r="K1073" s="493">
        <v>2.0</v>
      </c>
      <c r="L1073" s="494">
        <v>3.874810405E9</v>
      </c>
      <c r="M1073" s="453"/>
      <c r="N1073" s="209"/>
      <c r="O1073" s="209"/>
      <c r="P1073" s="209"/>
      <c r="Q1073" s="209"/>
      <c r="R1073" s="209"/>
      <c r="S1073" s="367"/>
      <c r="T1073" s="276"/>
      <c r="U1073" s="276"/>
      <c r="V1073" s="276"/>
      <c r="W1073" s="276"/>
      <c r="X1073" s="276"/>
      <c r="Y1073" s="276"/>
      <c r="Z1073" s="276"/>
      <c r="AA1073" s="276"/>
      <c r="AB1073" s="276"/>
      <c r="AC1073" s="276"/>
    </row>
    <row r="1074">
      <c r="A1074" s="382" t="s">
        <v>13852</v>
      </c>
      <c r="B1074" s="491">
        <v>46078.0</v>
      </c>
      <c r="C1074" s="380"/>
      <c r="D1074" s="381"/>
      <c r="E1074" s="492" t="s">
        <v>13853</v>
      </c>
      <c r="F1074" s="493" t="s">
        <v>13854</v>
      </c>
      <c r="G1074" s="493" t="s">
        <v>11028</v>
      </c>
      <c r="H1074" s="493">
        <v>4400.0</v>
      </c>
      <c r="I1074" s="492" t="s">
        <v>35</v>
      </c>
      <c r="J1074" s="492" t="s">
        <v>3188</v>
      </c>
      <c r="K1074" s="493">
        <v>1.0</v>
      </c>
      <c r="L1074" s="494">
        <v>3.874810405E9</v>
      </c>
      <c r="M1074" s="453"/>
      <c r="N1074" s="209"/>
      <c r="O1074" s="209"/>
      <c r="P1074" s="209"/>
      <c r="Q1074" s="209"/>
      <c r="R1074" s="209"/>
      <c r="S1074" s="367"/>
      <c r="T1074" s="276"/>
      <c r="U1074" s="276"/>
      <c r="V1074" s="276"/>
      <c r="W1074" s="276"/>
      <c r="X1074" s="276"/>
      <c r="Y1074" s="276"/>
      <c r="Z1074" s="276"/>
      <c r="AA1074" s="276"/>
      <c r="AB1074" s="276"/>
      <c r="AC1074" s="276"/>
    </row>
    <row r="1075">
      <c r="A1075" s="382" t="s">
        <v>13852</v>
      </c>
      <c r="B1075" s="491">
        <v>46078.0</v>
      </c>
      <c r="C1075" s="380"/>
      <c r="D1075" s="381"/>
      <c r="E1075" s="492" t="s">
        <v>13853</v>
      </c>
      <c r="F1075" s="493" t="s">
        <v>13854</v>
      </c>
      <c r="G1075" s="493" t="s">
        <v>11028</v>
      </c>
      <c r="H1075" s="493">
        <v>4400.0</v>
      </c>
      <c r="I1075" s="492" t="s">
        <v>812</v>
      </c>
      <c r="J1075" s="492" t="s">
        <v>3564</v>
      </c>
      <c r="K1075" s="493">
        <v>1.0</v>
      </c>
      <c r="L1075" s="494">
        <v>3.874810405E9</v>
      </c>
      <c r="M1075" s="453"/>
      <c r="N1075" s="206"/>
      <c r="O1075" s="206"/>
      <c r="P1075" s="206"/>
      <c r="Q1075" s="206"/>
      <c r="R1075" s="206"/>
      <c r="S1075" s="367"/>
      <c r="T1075" s="276"/>
      <c r="U1075" s="276"/>
      <c r="V1075" s="276"/>
      <c r="W1075" s="276"/>
      <c r="X1075" s="276"/>
      <c r="Y1075" s="276"/>
      <c r="Z1075" s="276"/>
      <c r="AA1075" s="276"/>
      <c r="AB1075" s="276"/>
      <c r="AC1075" s="276"/>
    </row>
    <row r="1076">
      <c r="A1076" s="379" t="s">
        <v>12105</v>
      </c>
      <c r="B1076" s="499">
        <v>46079.0</v>
      </c>
      <c r="C1076" s="380">
        <v>8.07000034928E11</v>
      </c>
      <c r="D1076" s="381" t="s">
        <v>12000</v>
      </c>
      <c r="E1076" s="381" t="s">
        <v>12001</v>
      </c>
      <c r="F1076" s="451" t="s">
        <v>12106</v>
      </c>
      <c r="G1076" s="451" t="s">
        <v>127</v>
      </c>
      <c r="H1076" s="451">
        <v>4400.0</v>
      </c>
      <c r="I1076" s="381" t="s">
        <v>11020</v>
      </c>
      <c r="J1076" s="381" t="s">
        <v>11799</v>
      </c>
      <c r="K1076" s="451">
        <v>1.0</v>
      </c>
      <c r="L1076" s="452">
        <v>3.876053448E9</v>
      </c>
      <c r="M1076" s="453"/>
      <c r="N1076" s="454">
        <v>46079.0</v>
      </c>
      <c r="O1076" s="455" t="s">
        <v>13338</v>
      </c>
      <c r="P1076" s="456"/>
      <c r="Q1076" s="254" t="s">
        <v>13856</v>
      </c>
      <c r="R1076" s="457" t="s">
        <v>13857</v>
      </c>
      <c r="S1076" s="367"/>
      <c r="T1076" s="276"/>
      <c r="U1076" s="276"/>
      <c r="V1076" s="276"/>
      <c r="W1076" s="276"/>
      <c r="X1076" s="276"/>
      <c r="Y1076" s="276"/>
      <c r="Z1076" s="276"/>
      <c r="AA1076" s="276"/>
      <c r="AB1076" s="276"/>
      <c r="AC1076" s="276"/>
    </row>
    <row r="1077">
      <c r="A1077" s="379" t="s">
        <v>12107</v>
      </c>
      <c r="B1077" s="499">
        <v>46079.0</v>
      </c>
      <c r="C1077" s="380">
        <v>8.05011571612E11</v>
      </c>
      <c r="D1077" s="381" t="s">
        <v>12108</v>
      </c>
      <c r="E1077" s="381" t="s">
        <v>12109</v>
      </c>
      <c r="F1077" s="500" t="s">
        <v>12110</v>
      </c>
      <c r="G1077" s="451" t="s">
        <v>127</v>
      </c>
      <c r="H1077" s="451">
        <v>4400.0</v>
      </c>
      <c r="I1077" s="381" t="s">
        <v>5034</v>
      </c>
      <c r="J1077" s="381" t="s">
        <v>5035</v>
      </c>
      <c r="K1077" s="451">
        <v>1.0</v>
      </c>
      <c r="L1077" s="452">
        <v>3.875188321E9</v>
      </c>
      <c r="M1077" s="453"/>
      <c r="N1077" s="444">
        <v>46079.0</v>
      </c>
      <c r="O1077" s="445" t="s">
        <v>13338</v>
      </c>
      <c r="P1077" s="458"/>
      <c r="Q1077" s="462" t="s">
        <v>13858</v>
      </c>
      <c r="R1077" s="460" t="s">
        <v>13859</v>
      </c>
      <c r="S1077" s="367"/>
      <c r="T1077" s="276"/>
      <c r="U1077" s="276"/>
      <c r="V1077" s="276"/>
      <c r="W1077" s="276"/>
      <c r="X1077" s="276"/>
      <c r="Y1077" s="276"/>
      <c r="Z1077" s="276"/>
      <c r="AA1077" s="276"/>
      <c r="AB1077" s="276"/>
      <c r="AC1077" s="276"/>
    </row>
    <row r="1078">
      <c r="A1078" s="379" t="s">
        <v>12107</v>
      </c>
      <c r="B1078" s="499">
        <v>46079.0</v>
      </c>
      <c r="C1078" s="380">
        <v>8.05011571612E11</v>
      </c>
      <c r="D1078" s="381" t="s">
        <v>12108</v>
      </c>
      <c r="E1078" s="381" t="s">
        <v>12109</v>
      </c>
      <c r="F1078" s="500" t="s">
        <v>12110</v>
      </c>
      <c r="G1078" s="451" t="s">
        <v>127</v>
      </c>
      <c r="H1078" s="451">
        <v>4400.0</v>
      </c>
      <c r="I1078" s="381" t="s">
        <v>512</v>
      </c>
      <c r="J1078" s="381" t="s">
        <v>513</v>
      </c>
      <c r="K1078" s="451">
        <v>6.0</v>
      </c>
      <c r="L1078" s="452">
        <v>3.875188321E9</v>
      </c>
      <c r="M1078" s="453"/>
      <c r="N1078" s="209"/>
      <c r="O1078" s="209"/>
      <c r="P1078" s="209"/>
      <c r="Q1078" s="209"/>
      <c r="R1078" s="209"/>
      <c r="S1078" s="367"/>
      <c r="T1078" s="276"/>
      <c r="U1078" s="276"/>
      <c r="V1078" s="276"/>
      <c r="W1078" s="276"/>
      <c r="X1078" s="276"/>
      <c r="Y1078" s="276"/>
      <c r="Z1078" s="276"/>
      <c r="AA1078" s="276"/>
      <c r="AB1078" s="276"/>
      <c r="AC1078" s="276"/>
    </row>
    <row r="1079">
      <c r="A1079" s="379" t="s">
        <v>12107</v>
      </c>
      <c r="B1079" s="499">
        <v>46079.0</v>
      </c>
      <c r="C1079" s="380">
        <v>8.05011571612E11</v>
      </c>
      <c r="D1079" s="381" t="s">
        <v>12108</v>
      </c>
      <c r="E1079" s="381" t="s">
        <v>12109</v>
      </c>
      <c r="F1079" s="500" t="s">
        <v>12110</v>
      </c>
      <c r="G1079" s="451" t="s">
        <v>127</v>
      </c>
      <c r="H1079" s="451">
        <v>4400.0</v>
      </c>
      <c r="I1079" s="381" t="s">
        <v>670</v>
      </c>
      <c r="J1079" s="381" t="s">
        <v>3410</v>
      </c>
      <c r="K1079" s="451">
        <v>1.0</v>
      </c>
      <c r="L1079" s="452">
        <v>3.875188321E9</v>
      </c>
      <c r="M1079" s="453"/>
      <c r="N1079" s="206"/>
      <c r="O1079" s="206"/>
      <c r="P1079" s="206"/>
      <c r="Q1079" s="206"/>
      <c r="R1079" s="206"/>
      <c r="S1079" s="367"/>
      <c r="T1079" s="276"/>
      <c r="U1079" s="276"/>
      <c r="V1079" s="276"/>
      <c r="W1079" s="276"/>
      <c r="X1079" s="276"/>
      <c r="Y1079" s="276"/>
      <c r="Z1079" s="276"/>
      <c r="AA1079" s="276"/>
      <c r="AB1079" s="276"/>
      <c r="AC1079" s="276"/>
    </row>
    <row r="1080">
      <c r="A1080" s="501"/>
      <c r="B1080" s="502"/>
      <c r="C1080" s="503"/>
      <c r="D1080" s="503"/>
      <c r="E1080" s="503"/>
      <c r="F1080" s="504"/>
      <c r="G1080" s="504"/>
      <c r="H1080" s="504"/>
      <c r="I1080" s="505"/>
      <c r="J1080" s="503"/>
      <c r="K1080" s="504"/>
      <c r="L1080" s="506"/>
      <c r="M1080" s="367"/>
      <c r="N1080" s="433"/>
      <c r="O1080" s="261"/>
      <c r="P1080" s="367"/>
      <c r="Q1080" s="261"/>
      <c r="R1080" s="449"/>
      <c r="S1080" s="367"/>
      <c r="T1080" s="276"/>
      <c r="U1080" s="276"/>
      <c r="V1080" s="276"/>
      <c r="W1080" s="276"/>
      <c r="X1080" s="276"/>
      <c r="Y1080" s="276"/>
      <c r="Z1080" s="276"/>
      <c r="AA1080" s="276"/>
      <c r="AB1080" s="276"/>
      <c r="AC1080" s="276"/>
    </row>
    <row r="1081">
      <c r="A1081" s="33" t="s">
        <v>12111</v>
      </c>
      <c r="B1081" s="173">
        <v>46083.0</v>
      </c>
      <c r="C1081" s="374">
        <v>8.07000035227E11</v>
      </c>
      <c r="D1081" s="374" t="s">
        <v>12112</v>
      </c>
      <c r="E1081" s="374" t="s">
        <v>12113</v>
      </c>
      <c r="F1081" s="177" t="s">
        <v>12114</v>
      </c>
      <c r="G1081" s="177" t="s">
        <v>127</v>
      </c>
      <c r="H1081" s="177">
        <v>4400.0</v>
      </c>
      <c r="I1081" s="176" t="s">
        <v>6573</v>
      </c>
      <c r="J1081" s="374" t="s">
        <v>6574</v>
      </c>
      <c r="K1081" s="177">
        <v>1.0</v>
      </c>
      <c r="L1081" s="174">
        <v>3.874810044E9</v>
      </c>
      <c r="M1081" s="367"/>
      <c r="N1081" s="429">
        <v>46083.0</v>
      </c>
      <c r="O1081" s="430" t="s">
        <v>13338</v>
      </c>
      <c r="P1081" s="431"/>
      <c r="Q1081" s="430" t="s">
        <v>13860</v>
      </c>
      <c r="R1081" s="432" t="s">
        <v>13861</v>
      </c>
      <c r="S1081" s="367"/>
      <c r="T1081" s="276"/>
      <c r="U1081" s="276"/>
      <c r="V1081" s="276"/>
      <c r="W1081" s="276"/>
      <c r="X1081" s="276"/>
      <c r="Y1081" s="276"/>
      <c r="Z1081" s="276"/>
      <c r="AA1081" s="276"/>
      <c r="AB1081" s="276"/>
      <c r="AC1081" s="276"/>
    </row>
    <row r="1082">
      <c r="A1082" s="33" t="s">
        <v>12115</v>
      </c>
      <c r="B1082" s="173">
        <v>46083.0</v>
      </c>
      <c r="C1082" s="374">
        <v>8.07000035229E11</v>
      </c>
      <c r="D1082" s="374" t="s">
        <v>12112</v>
      </c>
      <c r="E1082" s="374" t="s">
        <v>12113</v>
      </c>
      <c r="F1082" s="177" t="s">
        <v>12114</v>
      </c>
      <c r="G1082" s="177" t="s">
        <v>127</v>
      </c>
      <c r="H1082" s="177">
        <v>4400.0</v>
      </c>
      <c r="I1082" s="176" t="s">
        <v>5842</v>
      </c>
      <c r="J1082" s="374" t="s">
        <v>5843</v>
      </c>
      <c r="K1082" s="177">
        <v>1.0</v>
      </c>
      <c r="L1082" s="174">
        <v>3.874810044E9</v>
      </c>
      <c r="M1082" s="367"/>
      <c r="N1082" s="206"/>
      <c r="O1082" s="206"/>
      <c r="P1082" s="206"/>
      <c r="Q1082" s="206"/>
      <c r="R1082" s="206"/>
      <c r="S1082" s="367"/>
      <c r="T1082" s="276"/>
      <c r="U1082" s="276"/>
      <c r="V1082" s="276"/>
      <c r="W1082" s="276"/>
      <c r="X1082" s="276"/>
      <c r="Y1082" s="276"/>
      <c r="Z1082" s="276"/>
      <c r="AA1082" s="276"/>
      <c r="AB1082" s="276"/>
      <c r="AC1082" s="276"/>
    </row>
    <row r="1083">
      <c r="A1083" s="33" t="s">
        <v>12116</v>
      </c>
      <c r="B1083" s="173">
        <v>46083.0</v>
      </c>
      <c r="C1083" s="374">
        <v>8.0700003523E11</v>
      </c>
      <c r="D1083" s="374" t="s">
        <v>12117</v>
      </c>
      <c r="E1083" s="374" t="s">
        <v>12118</v>
      </c>
      <c r="F1083" s="177" t="s">
        <v>12119</v>
      </c>
      <c r="G1083" s="177" t="s">
        <v>104</v>
      </c>
      <c r="H1083" s="177">
        <v>4400.0</v>
      </c>
      <c r="I1083" s="176" t="s">
        <v>2537</v>
      </c>
      <c r="J1083" s="374" t="s">
        <v>3955</v>
      </c>
      <c r="K1083" s="177">
        <v>1.0</v>
      </c>
      <c r="L1083" s="174">
        <v>3.875501897E9</v>
      </c>
      <c r="M1083" s="367"/>
      <c r="N1083" s="433">
        <v>46083.0</v>
      </c>
      <c r="O1083" s="261" t="s">
        <v>13338</v>
      </c>
      <c r="P1083" s="367"/>
      <c r="Q1083" s="261" t="s">
        <v>13339</v>
      </c>
      <c r="R1083" s="434" t="s">
        <v>13862</v>
      </c>
      <c r="S1083" s="367"/>
      <c r="T1083" s="276"/>
      <c r="U1083" s="276"/>
      <c r="V1083" s="276"/>
      <c r="W1083" s="276"/>
      <c r="X1083" s="276"/>
      <c r="Y1083" s="276"/>
      <c r="Z1083" s="276"/>
      <c r="AA1083" s="276"/>
      <c r="AB1083" s="276"/>
      <c r="AC1083" s="276"/>
    </row>
    <row r="1084">
      <c r="A1084" s="33" t="s">
        <v>12120</v>
      </c>
      <c r="B1084" s="173">
        <v>46083.0</v>
      </c>
      <c r="C1084" s="374">
        <v>8.07000035231E11</v>
      </c>
      <c r="D1084" s="374" t="s">
        <v>12121</v>
      </c>
      <c r="E1084" s="374" t="s">
        <v>12122</v>
      </c>
      <c r="F1084" s="177" t="s">
        <v>12123</v>
      </c>
      <c r="G1084" s="177" t="s">
        <v>4645</v>
      </c>
      <c r="H1084" s="177">
        <v>4400.0</v>
      </c>
      <c r="I1084" s="176" t="s">
        <v>5970</v>
      </c>
      <c r="J1084" s="374" t="s">
        <v>5347</v>
      </c>
      <c r="K1084" s="177">
        <v>1.0</v>
      </c>
      <c r="L1084" s="174">
        <v>3.875757029E9</v>
      </c>
      <c r="M1084" s="367"/>
      <c r="N1084" s="429">
        <v>46083.0</v>
      </c>
      <c r="O1084" s="430" t="s">
        <v>13338</v>
      </c>
      <c r="P1084" s="431"/>
      <c r="Q1084" s="430" t="s">
        <v>13863</v>
      </c>
      <c r="R1084" s="432" t="s">
        <v>13864</v>
      </c>
      <c r="S1084" s="367"/>
      <c r="T1084" s="276"/>
      <c r="U1084" s="276"/>
      <c r="V1084" s="276"/>
      <c r="W1084" s="276"/>
      <c r="X1084" s="276"/>
      <c r="Y1084" s="276"/>
      <c r="Z1084" s="276"/>
      <c r="AA1084" s="276"/>
      <c r="AB1084" s="276"/>
      <c r="AC1084" s="276"/>
    </row>
    <row r="1085">
      <c r="A1085" s="33" t="s">
        <v>12120</v>
      </c>
      <c r="B1085" s="173">
        <v>46083.0</v>
      </c>
      <c r="C1085" s="374">
        <v>8.07000035232E11</v>
      </c>
      <c r="D1085" s="374" t="s">
        <v>12121</v>
      </c>
      <c r="E1085" s="374" t="s">
        <v>12122</v>
      </c>
      <c r="F1085" s="177" t="s">
        <v>12123</v>
      </c>
      <c r="G1085" s="177" t="s">
        <v>4645</v>
      </c>
      <c r="H1085" s="177">
        <v>4400.0</v>
      </c>
      <c r="I1085" s="176" t="s">
        <v>2294</v>
      </c>
      <c r="J1085" s="374" t="s">
        <v>5415</v>
      </c>
      <c r="K1085" s="177">
        <v>1.0</v>
      </c>
      <c r="L1085" s="174">
        <v>3.875757029E9</v>
      </c>
      <c r="M1085" s="367"/>
      <c r="N1085" s="209"/>
      <c r="O1085" s="209"/>
      <c r="P1085" s="209"/>
      <c r="Q1085" s="209"/>
      <c r="R1085" s="209"/>
      <c r="S1085" s="367"/>
      <c r="T1085" s="276"/>
      <c r="U1085" s="276"/>
      <c r="V1085" s="276"/>
      <c r="W1085" s="276"/>
      <c r="X1085" s="276"/>
      <c r="Y1085" s="276"/>
      <c r="Z1085" s="276"/>
      <c r="AA1085" s="276"/>
      <c r="AB1085" s="276"/>
      <c r="AC1085" s="276"/>
    </row>
    <row r="1086">
      <c r="A1086" s="33" t="s">
        <v>12120</v>
      </c>
      <c r="B1086" s="173">
        <v>46083.0</v>
      </c>
      <c r="C1086" s="374">
        <v>8.07000035233E11</v>
      </c>
      <c r="D1086" s="374" t="s">
        <v>12121</v>
      </c>
      <c r="E1086" s="374" t="s">
        <v>12122</v>
      </c>
      <c r="F1086" s="177" t="s">
        <v>12123</v>
      </c>
      <c r="G1086" s="177" t="s">
        <v>4645</v>
      </c>
      <c r="H1086" s="177">
        <v>4400.0</v>
      </c>
      <c r="I1086" s="176" t="s">
        <v>5817</v>
      </c>
      <c r="J1086" s="374" t="s">
        <v>5417</v>
      </c>
      <c r="K1086" s="177">
        <v>1.0</v>
      </c>
      <c r="L1086" s="174">
        <v>3.875757029E9</v>
      </c>
      <c r="M1086" s="367"/>
      <c r="N1086" s="206"/>
      <c r="O1086" s="206"/>
      <c r="P1086" s="206"/>
      <c r="Q1086" s="206"/>
      <c r="R1086" s="206"/>
      <c r="S1086" s="367"/>
      <c r="T1086" s="276"/>
      <c r="U1086" s="276"/>
      <c r="V1086" s="276"/>
      <c r="W1086" s="276"/>
      <c r="X1086" s="276"/>
      <c r="Y1086" s="276"/>
      <c r="Z1086" s="276"/>
      <c r="AA1086" s="276"/>
      <c r="AB1086" s="276"/>
      <c r="AC1086" s="276"/>
    </row>
    <row r="1087">
      <c r="A1087" s="33" t="s">
        <v>12124</v>
      </c>
      <c r="B1087" s="173">
        <v>46083.0</v>
      </c>
      <c r="C1087" s="374">
        <v>8.05011571816E11</v>
      </c>
      <c r="D1087" s="374" t="s">
        <v>12125</v>
      </c>
      <c r="E1087" s="374" t="s">
        <v>12126</v>
      </c>
      <c r="F1087" s="177" t="s">
        <v>12127</v>
      </c>
      <c r="G1087" s="177" t="s">
        <v>247</v>
      </c>
      <c r="H1087" s="177">
        <v>4400.0</v>
      </c>
      <c r="I1087" s="176" t="s">
        <v>289</v>
      </c>
      <c r="J1087" s="374" t="s">
        <v>290</v>
      </c>
      <c r="K1087" s="177">
        <v>1.0</v>
      </c>
      <c r="L1087" s="174">
        <v>3.875937745E9</v>
      </c>
      <c r="M1087" s="367"/>
      <c r="N1087" s="433">
        <v>46083.0</v>
      </c>
      <c r="O1087" s="261" t="s">
        <v>13338</v>
      </c>
      <c r="P1087" s="367"/>
      <c r="Q1087" s="261" t="s">
        <v>13865</v>
      </c>
      <c r="R1087" s="434" t="s">
        <v>13866</v>
      </c>
      <c r="S1087" s="367"/>
      <c r="T1087" s="276"/>
      <c r="U1087" s="276"/>
      <c r="V1087" s="276"/>
      <c r="W1087" s="276"/>
      <c r="X1087" s="276"/>
      <c r="Y1087" s="276"/>
      <c r="Z1087" s="276"/>
      <c r="AA1087" s="276"/>
      <c r="AB1087" s="276"/>
      <c r="AC1087" s="276"/>
    </row>
    <row r="1088">
      <c r="A1088" s="33" t="s">
        <v>12128</v>
      </c>
      <c r="B1088" s="173">
        <v>46083.0</v>
      </c>
      <c r="C1088" s="374">
        <v>8.07000035258E11</v>
      </c>
      <c r="D1088" s="374" t="s">
        <v>12129</v>
      </c>
      <c r="E1088" s="374" t="s">
        <v>12130</v>
      </c>
      <c r="F1088" s="177" t="s">
        <v>12131</v>
      </c>
      <c r="G1088" s="177" t="s">
        <v>127</v>
      </c>
      <c r="H1088" s="177">
        <v>4400.0</v>
      </c>
      <c r="I1088" s="176" t="s">
        <v>1040</v>
      </c>
      <c r="J1088" s="374" t="s">
        <v>3294</v>
      </c>
      <c r="K1088" s="177">
        <v>2.0</v>
      </c>
      <c r="L1088" s="174">
        <v>3.875831843E9</v>
      </c>
      <c r="M1088" s="367"/>
      <c r="N1088" s="429">
        <v>46083.0</v>
      </c>
      <c r="O1088" s="430" t="s">
        <v>13338</v>
      </c>
      <c r="P1088" s="431"/>
      <c r="Q1088" s="430" t="s">
        <v>13867</v>
      </c>
      <c r="R1088" s="432" t="s">
        <v>13868</v>
      </c>
      <c r="S1088" s="367"/>
      <c r="T1088" s="276"/>
      <c r="U1088" s="276"/>
      <c r="V1088" s="276"/>
      <c r="W1088" s="276"/>
      <c r="X1088" s="276"/>
      <c r="Y1088" s="276"/>
      <c r="Z1088" s="276"/>
      <c r="AA1088" s="276"/>
      <c r="AB1088" s="276"/>
      <c r="AC1088" s="276"/>
    </row>
    <row r="1089">
      <c r="A1089" s="33" t="s">
        <v>12128</v>
      </c>
      <c r="B1089" s="173">
        <v>46083.0</v>
      </c>
      <c r="C1089" s="374">
        <v>8.07000035258E11</v>
      </c>
      <c r="D1089" s="374" t="s">
        <v>12129</v>
      </c>
      <c r="E1089" s="374" t="s">
        <v>12130</v>
      </c>
      <c r="F1089" s="177" t="s">
        <v>12131</v>
      </c>
      <c r="G1089" s="177" t="s">
        <v>127</v>
      </c>
      <c r="H1089" s="177">
        <v>4400.0</v>
      </c>
      <c r="I1089" s="176" t="s">
        <v>512</v>
      </c>
      <c r="J1089" s="374" t="s">
        <v>513</v>
      </c>
      <c r="K1089" s="177">
        <v>12.0</v>
      </c>
      <c r="L1089" s="174">
        <v>3.875831843E9</v>
      </c>
      <c r="M1089" s="367"/>
      <c r="N1089" s="209"/>
      <c r="O1089" s="209"/>
      <c r="P1089" s="209"/>
      <c r="Q1089" s="209"/>
      <c r="R1089" s="209"/>
      <c r="S1089" s="367"/>
      <c r="T1089" s="276"/>
      <c r="U1089" s="276"/>
      <c r="V1089" s="276"/>
      <c r="W1089" s="276"/>
      <c r="X1089" s="276"/>
      <c r="Y1089" s="276"/>
      <c r="Z1089" s="276"/>
      <c r="AA1089" s="276"/>
      <c r="AB1089" s="276"/>
      <c r="AC1089" s="276"/>
    </row>
    <row r="1090">
      <c r="A1090" s="33" t="s">
        <v>12128</v>
      </c>
      <c r="B1090" s="173">
        <v>46083.0</v>
      </c>
      <c r="C1090" s="374">
        <v>8.07000035259E11</v>
      </c>
      <c r="D1090" s="374" t="s">
        <v>12129</v>
      </c>
      <c r="E1090" s="374" t="s">
        <v>12130</v>
      </c>
      <c r="F1090" s="177" t="s">
        <v>12131</v>
      </c>
      <c r="G1090" s="177" t="s">
        <v>127</v>
      </c>
      <c r="H1090" s="177">
        <v>4400.0</v>
      </c>
      <c r="I1090" s="176" t="s">
        <v>969</v>
      </c>
      <c r="J1090" s="374" t="s">
        <v>3296</v>
      </c>
      <c r="K1090" s="177">
        <v>2.0</v>
      </c>
      <c r="L1090" s="174">
        <v>3.875831843E9</v>
      </c>
      <c r="M1090" s="367"/>
      <c r="N1090" s="206"/>
      <c r="O1090" s="206"/>
      <c r="P1090" s="206"/>
      <c r="Q1090" s="206"/>
      <c r="R1090" s="206"/>
      <c r="S1090" s="367"/>
      <c r="T1090" s="276"/>
      <c r="U1090" s="276"/>
      <c r="V1090" s="276"/>
      <c r="W1090" s="276"/>
      <c r="X1090" s="276"/>
      <c r="Y1090" s="276"/>
      <c r="Z1090" s="276"/>
      <c r="AA1090" s="276"/>
      <c r="AB1090" s="276"/>
      <c r="AC1090" s="276"/>
    </row>
    <row r="1091">
      <c r="A1091" s="33" t="s">
        <v>12132</v>
      </c>
      <c r="B1091" s="173">
        <v>46083.0</v>
      </c>
      <c r="C1091" s="374">
        <v>8.07000035206E11</v>
      </c>
      <c r="D1091" s="374" t="s">
        <v>12133</v>
      </c>
      <c r="E1091" s="374" t="s">
        <v>12134</v>
      </c>
      <c r="F1091" s="177" t="s">
        <v>1877</v>
      </c>
      <c r="G1091" s="177" t="s">
        <v>20</v>
      </c>
      <c r="H1091" s="177" t="s">
        <v>1878</v>
      </c>
      <c r="I1091" s="176">
        <v>208502.0</v>
      </c>
      <c r="J1091" s="374" t="s">
        <v>4551</v>
      </c>
      <c r="K1091" s="177">
        <v>2.0</v>
      </c>
      <c r="L1091" s="174">
        <v>3.872175656E9</v>
      </c>
      <c r="M1091" s="367"/>
      <c r="N1091" s="429">
        <v>46083.0</v>
      </c>
      <c r="O1091" s="430" t="s">
        <v>13338</v>
      </c>
      <c r="P1091" s="431"/>
      <c r="Q1091" s="430" t="s">
        <v>13339</v>
      </c>
      <c r="R1091" s="432" t="s">
        <v>13869</v>
      </c>
      <c r="S1091" s="431"/>
      <c r="T1091" s="276"/>
      <c r="U1091" s="276"/>
      <c r="V1091" s="276"/>
      <c r="W1091" s="276"/>
      <c r="X1091" s="276"/>
      <c r="Y1091" s="276"/>
      <c r="Z1091" s="276"/>
      <c r="AA1091" s="276"/>
      <c r="AB1091" s="276"/>
      <c r="AC1091" s="276"/>
    </row>
    <row r="1092">
      <c r="A1092" s="33" t="s">
        <v>12135</v>
      </c>
      <c r="B1092" s="173">
        <v>46083.0</v>
      </c>
      <c r="C1092" s="374">
        <v>8.07000035207E11</v>
      </c>
      <c r="D1092" s="374" t="s">
        <v>12133</v>
      </c>
      <c r="E1092" s="374" t="s">
        <v>12134</v>
      </c>
      <c r="F1092" s="177" t="s">
        <v>1877</v>
      </c>
      <c r="G1092" s="177" t="s">
        <v>20</v>
      </c>
      <c r="H1092" s="177" t="s">
        <v>1878</v>
      </c>
      <c r="I1092" s="176">
        <v>203707.0</v>
      </c>
      <c r="J1092" s="374" t="s">
        <v>2986</v>
      </c>
      <c r="K1092" s="177">
        <v>1.0</v>
      </c>
      <c r="L1092" s="174">
        <v>3.872175656E9</v>
      </c>
      <c r="M1092" s="367"/>
      <c r="N1092" s="209"/>
      <c r="O1092" s="209"/>
      <c r="P1092" s="209"/>
      <c r="Q1092" s="209"/>
      <c r="R1092" s="209"/>
      <c r="S1092" s="435"/>
      <c r="T1092" s="276"/>
      <c r="U1092" s="276"/>
      <c r="V1092" s="276"/>
      <c r="W1092" s="276"/>
      <c r="X1092" s="276"/>
      <c r="Y1092" s="276"/>
      <c r="Z1092" s="276"/>
      <c r="AA1092" s="276"/>
      <c r="AB1092" s="276"/>
      <c r="AC1092" s="276"/>
    </row>
    <row r="1093">
      <c r="A1093" s="33" t="s">
        <v>12135</v>
      </c>
      <c r="B1093" s="173">
        <v>46083.0</v>
      </c>
      <c r="C1093" s="374">
        <v>8.07000035208E11</v>
      </c>
      <c r="D1093" s="374" t="s">
        <v>12133</v>
      </c>
      <c r="E1093" s="374" t="s">
        <v>12134</v>
      </c>
      <c r="F1093" s="177" t="s">
        <v>1877</v>
      </c>
      <c r="G1093" s="177" t="s">
        <v>20</v>
      </c>
      <c r="H1093" s="177" t="s">
        <v>1878</v>
      </c>
      <c r="I1093" s="176">
        <v>204210.0</v>
      </c>
      <c r="J1093" s="374" t="s">
        <v>10068</v>
      </c>
      <c r="K1093" s="177">
        <v>2.0</v>
      </c>
      <c r="L1093" s="174">
        <v>3.872175656E9</v>
      </c>
      <c r="M1093" s="367"/>
      <c r="N1093" s="206"/>
      <c r="O1093" s="206"/>
      <c r="P1093" s="206"/>
      <c r="Q1093" s="206"/>
      <c r="R1093" s="206"/>
      <c r="S1093" s="507"/>
      <c r="T1093" s="276"/>
      <c r="U1093" s="276"/>
      <c r="V1093" s="276"/>
      <c r="W1093" s="276"/>
      <c r="X1093" s="276"/>
      <c r="Y1093" s="276"/>
      <c r="Z1093" s="276"/>
      <c r="AA1093" s="276"/>
      <c r="AB1093" s="276"/>
      <c r="AC1093" s="276"/>
    </row>
    <row r="1094">
      <c r="A1094" s="508"/>
      <c r="B1094" s="509"/>
      <c r="C1094" s="510"/>
      <c r="D1094" s="510"/>
      <c r="E1094" s="510"/>
      <c r="F1094" s="511"/>
      <c r="G1094" s="511"/>
      <c r="H1094" s="511"/>
      <c r="I1094" s="512"/>
      <c r="J1094" s="510"/>
      <c r="K1094" s="511"/>
      <c r="L1094" s="513"/>
      <c r="M1094" s="367"/>
      <c r="N1094" s="433"/>
      <c r="O1094" s="261"/>
      <c r="P1094" s="367"/>
      <c r="Q1094" s="261"/>
      <c r="R1094" s="449"/>
      <c r="S1094" s="367"/>
      <c r="T1094" s="276"/>
      <c r="U1094" s="276"/>
      <c r="V1094" s="276"/>
      <c r="W1094" s="276"/>
      <c r="X1094" s="276"/>
      <c r="Y1094" s="276"/>
      <c r="Z1094" s="276"/>
      <c r="AA1094" s="276"/>
      <c r="AB1094" s="276"/>
      <c r="AC1094" s="276"/>
    </row>
    <row r="1095">
      <c r="A1095" s="33" t="s">
        <v>12136</v>
      </c>
      <c r="B1095" s="173">
        <v>46085.0</v>
      </c>
      <c r="C1095" s="374">
        <v>8.0501157146E11</v>
      </c>
      <c r="D1095" s="374" t="s">
        <v>12137</v>
      </c>
      <c r="E1095" s="374" t="s">
        <v>12138</v>
      </c>
      <c r="F1095" s="177" t="s">
        <v>12139</v>
      </c>
      <c r="G1095" s="177" t="s">
        <v>1017</v>
      </c>
      <c r="H1095" s="177">
        <v>4562.0</v>
      </c>
      <c r="I1095" s="176" t="s">
        <v>11325</v>
      </c>
      <c r="J1095" s="374" t="s">
        <v>11326</v>
      </c>
      <c r="K1095" s="177">
        <v>1.0</v>
      </c>
      <c r="L1095" s="174">
        <v>3.873651981E9</v>
      </c>
      <c r="M1095" s="367"/>
      <c r="N1095" s="433">
        <v>46091.0</v>
      </c>
      <c r="O1095" s="261" t="s">
        <v>13338</v>
      </c>
      <c r="P1095" s="367"/>
      <c r="Q1095" s="261" t="s">
        <v>13870</v>
      </c>
      <c r="R1095" s="434" t="s">
        <v>13871</v>
      </c>
      <c r="S1095" s="367"/>
      <c r="T1095" s="276"/>
      <c r="U1095" s="276"/>
      <c r="V1095" s="276"/>
      <c r="W1095" s="276"/>
      <c r="X1095" s="276"/>
      <c r="Y1095" s="276"/>
      <c r="Z1095" s="276"/>
      <c r="AA1095" s="276"/>
      <c r="AB1095" s="276"/>
      <c r="AC1095" s="276"/>
    </row>
    <row r="1096">
      <c r="A1096" s="33" t="s">
        <v>12140</v>
      </c>
      <c r="B1096" s="173">
        <v>46085.0</v>
      </c>
      <c r="C1096" s="374">
        <v>8.05011571509E11</v>
      </c>
      <c r="D1096" s="374" t="s">
        <v>12141</v>
      </c>
      <c r="E1096" s="374" t="s">
        <v>12142</v>
      </c>
      <c r="F1096" s="177" t="s">
        <v>12143</v>
      </c>
      <c r="G1096" s="177" t="s">
        <v>41</v>
      </c>
      <c r="H1096" s="177">
        <v>4560.0</v>
      </c>
      <c r="I1096" s="176" t="s">
        <v>761</v>
      </c>
      <c r="J1096" s="374" t="s">
        <v>3761</v>
      </c>
      <c r="K1096" s="177">
        <v>1.0</v>
      </c>
      <c r="L1096" s="174">
        <v>3.8735533E9</v>
      </c>
      <c r="M1096" s="367"/>
      <c r="N1096" s="429">
        <v>46091.0</v>
      </c>
      <c r="O1096" s="430" t="s">
        <v>13338</v>
      </c>
      <c r="P1096" s="431"/>
      <c r="Q1096" s="430" t="s">
        <v>13870</v>
      </c>
      <c r="R1096" s="432" t="s">
        <v>13872</v>
      </c>
      <c r="S1096" s="367"/>
      <c r="T1096" s="276"/>
      <c r="U1096" s="276"/>
      <c r="V1096" s="276"/>
      <c r="W1096" s="276"/>
      <c r="X1096" s="276"/>
      <c r="Y1096" s="276"/>
      <c r="Z1096" s="276"/>
      <c r="AA1096" s="276"/>
      <c r="AB1096" s="276"/>
      <c r="AC1096" s="276"/>
    </row>
    <row r="1097">
      <c r="A1097" s="33" t="s">
        <v>12140</v>
      </c>
      <c r="B1097" s="173">
        <v>46085.0</v>
      </c>
      <c r="C1097" s="374">
        <v>8.05011571509E11</v>
      </c>
      <c r="D1097" s="374" t="s">
        <v>12141</v>
      </c>
      <c r="E1097" s="374" t="s">
        <v>12142</v>
      </c>
      <c r="F1097" s="177" t="s">
        <v>12143</v>
      </c>
      <c r="G1097" s="177" t="s">
        <v>41</v>
      </c>
      <c r="H1097" s="177">
        <v>4560.0</v>
      </c>
      <c r="I1097" s="176" t="s">
        <v>512</v>
      </c>
      <c r="J1097" s="374" t="s">
        <v>513</v>
      </c>
      <c r="K1097" s="177">
        <v>12.0</v>
      </c>
      <c r="L1097" s="174">
        <v>3.8735533E9</v>
      </c>
      <c r="M1097" s="367"/>
      <c r="N1097" s="209"/>
      <c r="O1097" s="209"/>
      <c r="P1097" s="209"/>
      <c r="Q1097" s="209"/>
      <c r="R1097" s="209"/>
      <c r="S1097" s="367"/>
      <c r="T1097" s="276"/>
      <c r="U1097" s="276"/>
      <c r="V1097" s="276"/>
      <c r="W1097" s="276"/>
      <c r="X1097" s="276"/>
      <c r="Y1097" s="276"/>
      <c r="Z1097" s="276"/>
      <c r="AA1097" s="276"/>
      <c r="AB1097" s="276"/>
      <c r="AC1097" s="276"/>
    </row>
    <row r="1098">
      <c r="A1098" s="33" t="s">
        <v>12140</v>
      </c>
      <c r="B1098" s="173">
        <v>46085.0</v>
      </c>
      <c r="C1098" s="374">
        <v>8.05011571509E11</v>
      </c>
      <c r="D1098" s="374" t="s">
        <v>12141</v>
      </c>
      <c r="E1098" s="374" t="s">
        <v>12142</v>
      </c>
      <c r="F1098" s="177" t="s">
        <v>12143</v>
      </c>
      <c r="G1098" s="177" t="s">
        <v>41</v>
      </c>
      <c r="H1098" s="177">
        <v>4560.0</v>
      </c>
      <c r="I1098" s="176" t="s">
        <v>758</v>
      </c>
      <c r="J1098" s="374" t="s">
        <v>3574</v>
      </c>
      <c r="K1098" s="177">
        <v>2.0</v>
      </c>
      <c r="L1098" s="174">
        <v>3.8735533E9</v>
      </c>
      <c r="M1098" s="367"/>
      <c r="N1098" s="206"/>
      <c r="O1098" s="206"/>
      <c r="P1098" s="206"/>
      <c r="Q1098" s="206"/>
      <c r="R1098" s="206"/>
      <c r="S1098" s="367"/>
      <c r="T1098" s="276"/>
      <c r="U1098" s="276"/>
      <c r="V1098" s="276"/>
      <c r="W1098" s="276"/>
      <c r="X1098" s="276"/>
      <c r="Y1098" s="276"/>
      <c r="Z1098" s="276"/>
      <c r="AA1098" s="276"/>
      <c r="AB1098" s="276"/>
      <c r="AC1098" s="276"/>
    </row>
    <row r="1099">
      <c r="A1099" s="33" t="s">
        <v>12144</v>
      </c>
      <c r="B1099" s="173">
        <v>46085.0</v>
      </c>
      <c r="C1099" s="374">
        <v>8.07940000133E11</v>
      </c>
      <c r="D1099" s="374" t="s">
        <v>12145</v>
      </c>
      <c r="E1099" s="374" t="s">
        <v>12146</v>
      </c>
      <c r="F1099" s="177" t="s">
        <v>12147</v>
      </c>
      <c r="G1099" s="177" t="s">
        <v>12148</v>
      </c>
      <c r="H1099" s="177">
        <v>4530.0</v>
      </c>
      <c r="I1099" s="176" t="s">
        <v>5185</v>
      </c>
      <c r="J1099" s="374" t="s">
        <v>5186</v>
      </c>
      <c r="K1099" s="177">
        <v>1.0</v>
      </c>
      <c r="L1099" s="174">
        <v>3.878516374E9</v>
      </c>
      <c r="M1099" s="367"/>
      <c r="N1099" s="433">
        <v>46091.0</v>
      </c>
      <c r="O1099" s="261" t="s">
        <v>13338</v>
      </c>
      <c r="P1099" s="367"/>
      <c r="Q1099" s="261" t="s">
        <v>13339</v>
      </c>
      <c r="R1099" s="434" t="s">
        <v>13873</v>
      </c>
      <c r="S1099" s="367"/>
      <c r="T1099" s="276"/>
      <c r="U1099" s="276"/>
      <c r="V1099" s="276"/>
      <c r="W1099" s="276"/>
      <c r="X1099" s="276"/>
      <c r="Y1099" s="276"/>
      <c r="Z1099" s="276"/>
      <c r="AA1099" s="276"/>
      <c r="AB1099" s="276"/>
      <c r="AC1099" s="276"/>
    </row>
    <row r="1100">
      <c r="A1100" s="33" t="s">
        <v>12144</v>
      </c>
      <c r="B1100" s="173">
        <v>46085.0</v>
      </c>
      <c r="C1100" s="374">
        <v>8.05011571894E11</v>
      </c>
      <c r="D1100" s="374" t="s">
        <v>12125</v>
      </c>
      <c r="E1100" s="374" t="s">
        <v>12126</v>
      </c>
      <c r="F1100" s="177" t="s">
        <v>12149</v>
      </c>
      <c r="G1100" s="177" t="s">
        <v>13874</v>
      </c>
      <c r="H1100" s="177">
        <v>4400.0</v>
      </c>
      <c r="I1100" s="176" t="s">
        <v>634</v>
      </c>
      <c r="J1100" s="374" t="s">
        <v>635</v>
      </c>
      <c r="K1100" s="177">
        <v>1.0</v>
      </c>
      <c r="L1100" s="174">
        <v>3.875937745E9</v>
      </c>
      <c r="M1100" s="367"/>
      <c r="N1100" s="433">
        <v>46106.0</v>
      </c>
      <c r="O1100" s="261" t="s">
        <v>13338</v>
      </c>
      <c r="P1100" s="367"/>
      <c r="Q1100" s="261" t="s">
        <v>13865</v>
      </c>
      <c r="R1100" s="434" t="s">
        <v>13875</v>
      </c>
      <c r="S1100" s="367"/>
      <c r="T1100" s="276"/>
      <c r="U1100" s="276"/>
      <c r="V1100" s="276"/>
      <c r="W1100" s="276"/>
      <c r="X1100" s="276"/>
      <c r="Y1100" s="276"/>
      <c r="Z1100" s="276"/>
      <c r="AA1100" s="276"/>
      <c r="AB1100" s="276"/>
      <c r="AC1100" s="276"/>
    </row>
    <row r="1101">
      <c r="A1101" s="33" t="s">
        <v>12150</v>
      </c>
      <c r="B1101" s="173">
        <v>46085.0</v>
      </c>
      <c r="C1101" s="374">
        <v>8.07000035262E11</v>
      </c>
      <c r="D1101" s="374" t="s">
        <v>12151</v>
      </c>
      <c r="E1101" s="374" t="s">
        <v>12152</v>
      </c>
      <c r="F1101" s="177" t="s">
        <v>12153</v>
      </c>
      <c r="G1101" s="177" t="s">
        <v>11809</v>
      </c>
      <c r="H1101" s="177">
        <v>4440.0</v>
      </c>
      <c r="I1101" s="176" t="s">
        <v>512</v>
      </c>
      <c r="J1101" s="374" t="s">
        <v>513</v>
      </c>
      <c r="K1101" s="177">
        <v>12.0</v>
      </c>
      <c r="L1101" s="174">
        <v>3.876522272E9</v>
      </c>
      <c r="M1101" s="367"/>
      <c r="N1101" s="429">
        <v>46091.0</v>
      </c>
      <c r="O1101" s="430" t="s">
        <v>13338</v>
      </c>
      <c r="P1101" s="431"/>
      <c r="Q1101" s="430" t="s">
        <v>13876</v>
      </c>
      <c r="R1101" s="432" t="s">
        <v>13877</v>
      </c>
      <c r="S1101" s="367"/>
      <c r="T1101" s="276"/>
      <c r="U1101" s="276"/>
      <c r="V1101" s="276"/>
      <c r="W1101" s="276"/>
      <c r="X1101" s="276"/>
      <c r="Y1101" s="276"/>
      <c r="Z1101" s="276"/>
      <c r="AA1101" s="276"/>
      <c r="AB1101" s="276"/>
      <c r="AC1101" s="276"/>
    </row>
    <row r="1102">
      <c r="A1102" s="33" t="s">
        <v>12150</v>
      </c>
      <c r="B1102" s="173">
        <v>46085.0</v>
      </c>
      <c r="C1102" s="374">
        <v>8.07000035263E11</v>
      </c>
      <c r="D1102" s="374" t="s">
        <v>12151</v>
      </c>
      <c r="E1102" s="374" t="s">
        <v>12152</v>
      </c>
      <c r="F1102" s="177" t="s">
        <v>12153</v>
      </c>
      <c r="G1102" s="177" t="s">
        <v>11809</v>
      </c>
      <c r="H1102" s="177">
        <v>4440.0</v>
      </c>
      <c r="I1102" s="176" t="s">
        <v>218</v>
      </c>
      <c r="J1102" s="374" t="s">
        <v>8664</v>
      </c>
      <c r="K1102" s="177">
        <v>1.0</v>
      </c>
      <c r="L1102" s="174">
        <v>3.876522272E9</v>
      </c>
      <c r="M1102" s="367"/>
      <c r="N1102" s="209"/>
      <c r="O1102" s="209"/>
      <c r="P1102" s="209"/>
      <c r="Q1102" s="209"/>
      <c r="R1102" s="209"/>
      <c r="S1102" s="367"/>
      <c r="T1102" s="276"/>
      <c r="U1102" s="276"/>
      <c r="V1102" s="276"/>
      <c r="W1102" s="276"/>
      <c r="X1102" s="276"/>
      <c r="Y1102" s="276"/>
      <c r="Z1102" s="276"/>
      <c r="AA1102" s="276"/>
      <c r="AB1102" s="276"/>
      <c r="AC1102" s="276"/>
    </row>
    <row r="1103">
      <c r="A1103" s="33" t="s">
        <v>12150</v>
      </c>
      <c r="B1103" s="173">
        <v>46085.0</v>
      </c>
      <c r="C1103" s="374">
        <v>8.07000035263E11</v>
      </c>
      <c r="D1103" s="374" t="s">
        <v>12151</v>
      </c>
      <c r="E1103" s="374" t="s">
        <v>12152</v>
      </c>
      <c r="F1103" s="177" t="s">
        <v>12153</v>
      </c>
      <c r="G1103" s="177" t="s">
        <v>11809</v>
      </c>
      <c r="H1103" s="177">
        <v>4440.0</v>
      </c>
      <c r="I1103" s="176" t="s">
        <v>121</v>
      </c>
      <c r="J1103" s="374" t="s">
        <v>3199</v>
      </c>
      <c r="K1103" s="177">
        <v>2.0</v>
      </c>
      <c r="L1103" s="174">
        <v>3.876522272E9</v>
      </c>
      <c r="M1103" s="367"/>
      <c r="N1103" s="209"/>
      <c r="O1103" s="209"/>
      <c r="P1103" s="209"/>
      <c r="Q1103" s="209"/>
      <c r="R1103" s="209"/>
      <c r="S1103" s="367"/>
      <c r="T1103" s="276"/>
      <c r="U1103" s="276"/>
      <c r="V1103" s="276"/>
      <c r="W1103" s="276"/>
      <c r="X1103" s="276"/>
      <c r="Y1103" s="276"/>
      <c r="Z1103" s="276"/>
      <c r="AA1103" s="276"/>
      <c r="AB1103" s="276"/>
      <c r="AC1103" s="276"/>
    </row>
    <row r="1104">
      <c r="A1104" s="33" t="s">
        <v>12150</v>
      </c>
      <c r="B1104" s="173">
        <v>46085.0</v>
      </c>
      <c r="C1104" s="374">
        <v>8.07000035264E11</v>
      </c>
      <c r="D1104" s="374" t="s">
        <v>12151</v>
      </c>
      <c r="E1104" s="374" t="s">
        <v>12152</v>
      </c>
      <c r="F1104" s="177" t="s">
        <v>12153</v>
      </c>
      <c r="G1104" s="177" t="s">
        <v>11809</v>
      </c>
      <c r="H1104" s="177">
        <v>4440.0</v>
      </c>
      <c r="I1104" s="176">
        <v>125811.0</v>
      </c>
      <c r="J1104" s="374" t="s">
        <v>6073</v>
      </c>
      <c r="K1104" s="177">
        <v>2.0</v>
      </c>
      <c r="L1104" s="174">
        <v>3.876522272E9</v>
      </c>
      <c r="M1104" s="367"/>
      <c r="N1104" s="206"/>
      <c r="O1104" s="206"/>
      <c r="P1104" s="206"/>
      <c r="Q1104" s="206"/>
      <c r="R1104" s="206"/>
      <c r="S1104" s="367"/>
      <c r="T1104" s="276"/>
      <c r="U1104" s="276"/>
      <c r="V1104" s="276"/>
      <c r="W1104" s="276"/>
      <c r="X1104" s="276"/>
      <c r="Y1104" s="276"/>
      <c r="Z1104" s="276"/>
      <c r="AA1104" s="276"/>
      <c r="AB1104" s="276"/>
      <c r="AC1104" s="276"/>
    </row>
    <row r="1105">
      <c r="A1105" s="33" t="s">
        <v>12154</v>
      </c>
      <c r="B1105" s="173">
        <v>46085.0</v>
      </c>
      <c r="C1105" s="374">
        <v>8.07000035269E11</v>
      </c>
      <c r="D1105" s="374" t="s">
        <v>12155</v>
      </c>
      <c r="E1105" s="374" t="s">
        <v>12156</v>
      </c>
      <c r="F1105" s="177" t="s">
        <v>12157</v>
      </c>
      <c r="G1105" s="177" t="s">
        <v>104</v>
      </c>
      <c r="H1105" s="177">
        <v>4400.0</v>
      </c>
      <c r="I1105" s="176">
        <v>125818.0</v>
      </c>
      <c r="J1105" s="374" t="s">
        <v>4334</v>
      </c>
      <c r="K1105" s="177">
        <v>2.0</v>
      </c>
      <c r="L1105" s="174">
        <v>1.542245123E9</v>
      </c>
      <c r="M1105" s="367"/>
      <c r="N1105" s="429">
        <v>46085.0</v>
      </c>
      <c r="O1105" s="430" t="s">
        <v>13338</v>
      </c>
      <c r="P1105" s="431"/>
      <c r="Q1105" s="430" t="s">
        <v>13339</v>
      </c>
      <c r="R1105" s="432" t="s">
        <v>13878</v>
      </c>
      <c r="S1105" s="367"/>
      <c r="T1105" s="276"/>
      <c r="U1105" s="276"/>
      <c r="V1105" s="276"/>
      <c r="W1105" s="276"/>
      <c r="X1105" s="276"/>
      <c r="Y1105" s="276"/>
      <c r="Z1105" s="276"/>
      <c r="AA1105" s="276"/>
      <c r="AB1105" s="276"/>
      <c r="AC1105" s="276"/>
    </row>
    <row r="1106">
      <c r="A1106" s="33" t="s">
        <v>12154</v>
      </c>
      <c r="B1106" s="173">
        <v>46085.0</v>
      </c>
      <c r="C1106" s="374">
        <v>8.07000035269E11</v>
      </c>
      <c r="D1106" s="374" t="s">
        <v>12155</v>
      </c>
      <c r="E1106" s="374" t="s">
        <v>12156</v>
      </c>
      <c r="F1106" s="177" t="s">
        <v>12157</v>
      </c>
      <c r="G1106" s="177" t="s">
        <v>104</v>
      </c>
      <c r="H1106" s="177">
        <v>4400.0</v>
      </c>
      <c r="I1106" s="176">
        <v>2.2346229141E10</v>
      </c>
      <c r="J1106" s="374" t="s">
        <v>12158</v>
      </c>
      <c r="K1106" s="177">
        <v>1.0</v>
      </c>
      <c r="L1106" s="174">
        <v>1.542245123E9</v>
      </c>
      <c r="M1106" s="367"/>
      <c r="N1106" s="209"/>
      <c r="O1106" s="209"/>
      <c r="P1106" s="209"/>
      <c r="Q1106" s="209"/>
      <c r="R1106" s="209"/>
      <c r="S1106" s="367"/>
      <c r="T1106" s="276"/>
      <c r="U1106" s="276"/>
      <c r="V1106" s="276"/>
      <c r="W1106" s="276"/>
      <c r="X1106" s="276"/>
      <c r="Y1106" s="276"/>
      <c r="Z1106" s="276"/>
      <c r="AA1106" s="276"/>
      <c r="AB1106" s="276"/>
      <c r="AC1106" s="276"/>
    </row>
    <row r="1107">
      <c r="A1107" s="33" t="s">
        <v>12154</v>
      </c>
      <c r="B1107" s="173">
        <v>46085.0</v>
      </c>
      <c r="C1107" s="374">
        <v>8.07000035269E11</v>
      </c>
      <c r="D1107" s="374" t="s">
        <v>12155</v>
      </c>
      <c r="E1107" s="374" t="s">
        <v>12156</v>
      </c>
      <c r="F1107" s="177" t="s">
        <v>12157</v>
      </c>
      <c r="G1107" s="177" t="s">
        <v>104</v>
      </c>
      <c r="H1107" s="177">
        <v>4400.0</v>
      </c>
      <c r="I1107" s="176" t="s">
        <v>4335</v>
      </c>
      <c r="J1107" s="374" t="s">
        <v>4336</v>
      </c>
      <c r="K1107" s="177">
        <v>1.0</v>
      </c>
      <c r="L1107" s="174">
        <v>1.542245123E9</v>
      </c>
      <c r="M1107" s="367"/>
      <c r="N1107" s="209"/>
      <c r="O1107" s="209"/>
      <c r="P1107" s="209"/>
      <c r="Q1107" s="209"/>
      <c r="R1107" s="209"/>
      <c r="S1107" s="367"/>
      <c r="T1107" s="276"/>
      <c r="U1107" s="276"/>
      <c r="V1107" s="276"/>
      <c r="W1107" s="276"/>
      <c r="X1107" s="276"/>
      <c r="Y1107" s="276"/>
      <c r="Z1107" s="276"/>
      <c r="AA1107" s="276"/>
      <c r="AB1107" s="276"/>
      <c r="AC1107" s="276"/>
    </row>
    <row r="1108">
      <c r="A1108" s="33" t="s">
        <v>12154</v>
      </c>
      <c r="B1108" s="173">
        <v>46085.0</v>
      </c>
      <c r="C1108" s="374">
        <v>8.0700003527E11</v>
      </c>
      <c r="D1108" s="374" t="s">
        <v>12155</v>
      </c>
      <c r="E1108" s="374" t="s">
        <v>12156</v>
      </c>
      <c r="F1108" s="177" t="s">
        <v>12157</v>
      </c>
      <c r="G1108" s="177" t="s">
        <v>104</v>
      </c>
      <c r="H1108" s="177">
        <v>4400.0</v>
      </c>
      <c r="I1108" s="176" t="s">
        <v>2372</v>
      </c>
      <c r="J1108" s="374" t="s">
        <v>8140</v>
      </c>
      <c r="K1108" s="177">
        <v>1.0</v>
      </c>
      <c r="L1108" s="174">
        <v>1.542245123E9</v>
      </c>
      <c r="M1108" s="367"/>
      <c r="N1108" s="206"/>
      <c r="O1108" s="206"/>
      <c r="P1108" s="206"/>
      <c r="Q1108" s="206"/>
      <c r="R1108" s="206"/>
      <c r="S1108" s="367"/>
      <c r="T1108" s="276"/>
      <c r="U1108" s="276"/>
      <c r="V1108" s="276"/>
      <c r="W1108" s="276"/>
      <c r="X1108" s="276"/>
      <c r="Y1108" s="276"/>
      <c r="Z1108" s="276"/>
      <c r="AA1108" s="276"/>
      <c r="AB1108" s="276"/>
      <c r="AC1108" s="276"/>
    </row>
    <row r="1109">
      <c r="A1109" s="33" t="s">
        <v>12159</v>
      </c>
      <c r="B1109" s="173">
        <v>46085.0</v>
      </c>
      <c r="C1109" s="374">
        <v>8.07000035261E11</v>
      </c>
      <c r="D1109" s="374" t="s">
        <v>12160</v>
      </c>
      <c r="E1109" s="374" t="s">
        <v>12161</v>
      </c>
      <c r="F1109" s="177" t="s">
        <v>12162</v>
      </c>
      <c r="G1109" s="177" t="s">
        <v>127</v>
      </c>
      <c r="H1109" s="177">
        <v>4400.0</v>
      </c>
      <c r="I1109" s="176" t="s">
        <v>4220</v>
      </c>
      <c r="J1109" s="374" t="s">
        <v>4221</v>
      </c>
      <c r="K1109" s="177">
        <v>1.0</v>
      </c>
      <c r="L1109" s="174">
        <v>3.878539477E9</v>
      </c>
      <c r="M1109" s="367"/>
      <c r="N1109" s="429">
        <v>46085.0</v>
      </c>
      <c r="O1109" s="430" t="s">
        <v>13879</v>
      </c>
      <c r="P1109" s="431"/>
      <c r="Q1109" s="430" t="s">
        <v>9012</v>
      </c>
      <c r="R1109" s="432" t="s">
        <v>13880</v>
      </c>
      <c r="S1109" s="367"/>
      <c r="T1109" s="276"/>
      <c r="U1109" s="276"/>
      <c r="V1109" s="276"/>
      <c r="W1109" s="276"/>
      <c r="X1109" s="276"/>
      <c r="Y1109" s="276"/>
      <c r="Z1109" s="276"/>
      <c r="AA1109" s="276"/>
      <c r="AB1109" s="276"/>
      <c r="AC1109" s="276"/>
    </row>
    <row r="1110">
      <c r="A1110" s="33" t="s">
        <v>12159</v>
      </c>
      <c r="B1110" s="173">
        <v>46085.0</v>
      </c>
      <c r="C1110" s="374">
        <v>8.07000035261E11</v>
      </c>
      <c r="D1110" s="374" t="s">
        <v>12160</v>
      </c>
      <c r="E1110" s="374" t="s">
        <v>12161</v>
      </c>
      <c r="F1110" s="177" t="s">
        <v>12162</v>
      </c>
      <c r="G1110" s="177" t="s">
        <v>127</v>
      </c>
      <c r="H1110" s="177">
        <v>4400.0</v>
      </c>
      <c r="I1110" s="176" t="s">
        <v>512</v>
      </c>
      <c r="J1110" s="374" t="s">
        <v>513</v>
      </c>
      <c r="K1110" s="177">
        <v>6.0</v>
      </c>
      <c r="L1110" s="174">
        <v>3.878539477E9</v>
      </c>
      <c r="M1110" s="367"/>
      <c r="N1110" s="209"/>
      <c r="O1110" s="209"/>
      <c r="P1110" s="209"/>
      <c r="Q1110" s="209"/>
      <c r="R1110" s="209"/>
      <c r="S1110" s="367"/>
      <c r="T1110" s="276"/>
      <c r="U1110" s="276"/>
      <c r="V1110" s="276"/>
      <c r="W1110" s="276"/>
      <c r="X1110" s="276"/>
      <c r="Y1110" s="276"/>
      <c r="Z1110" s="276"/>
      <c r="AA1110" s="276"/>
      <c r="AB1110" s="276"/>
      <c r="AC1110" s="276"/>
    </row>
    <row r="1111">
      <c r="A1111" s="33" t="s">
        <v>12159</v>
      </c>
      <c r="B1111" s="173">
        <v>46085.0</v>
      </c>
      <c r="C1111" s="374">
        <v>8.07000035261E11</v>
      </c>
      <c r="D1111" s="374" t="s">
        <v>12160</v>
      </c>
      <c r="E1111" s="374" t="s">
        <v>12161</v>
      </c>
      <c r="F1111" s="177" t="s">
        <v>12162</v>
      </c>
      <c r="G1111" s="177" t="s">
        <v>127</v>
      </c>
      <c r="H1111" s="177">
        <v>4400.0</v>
      </c>
      <c r="I1111" s="176" t="s">
        <v>969</v>
      </c>
      <c r="J1111" s="374" t="s">
        <v>3296</v>
      </c>
      <c r="K1111" s="177">
        <v>1.0</v>
      </c>
      <c r="L1111" s="174">
        <v>3.878539477E9</v>
      </c>
      <c r="M1111" s="367"/>
      <c r="N1111" s="206"/>
      <c r="O1111" s="206"/>
      <c r="P1111" s="206"/>
      <c r="Q1111" s="206"/>
      <c r="R1111" s="206"/>
      <c r="S1111" s="367"/>
      <c r="T1111" s="276"/>
      <c r="U1111" s="276"/>
      <c r="V1111" s="276"/>
      <c r="W1111" s="276"/>
      <c r="X1111" s="276"/>
      <c r="Y1111" s="276"/>
      <c r="Z1111" s="276"/>
      <c r="AA1111" s="276"/>
      <c r="AB1111" s="276"/>
      <c r="AC1111" s="276"/>
    </row>
    <row r="1112">
      <c r="A1112" s="33" t="s">
        <v>12163</v>
      </c>
      <c r="B1112" s="173">
        <v>46085.0</v>
      </c>
      <c r="C1112" s="374">
        <v>8.07000035279E11</v>
      </c>
      <c r="D1112" s="374" t="s">
        <v>12164</v>
      </c>
      <c r="E1112" s="374" t="s">
        <v>12165</v>
      </c>
      <c r="F1112" s="177" t="s">
        <v>12166</v>
      </c>
      <c r="G1112" s="177" t="s">
        <v>127</v>
      </c>
      <c r="H1112" s="177">
        <v>4400.0</v>
      </c>
      <c r="I1112" s="176" t="s">
        <v>512</v>
      </c>
      <c r="J1112" s="374" t="s">
        <v>513</v>
      </c>
      <c r="K1112" s="177">
        <v>12.0</v>
      </c>
      <c r="L1112" s="174">
        <v>3.87500588E9</v>
      </c>
      <c r="M1112" s="367"/>
      <c r="N1112" s="429">
        <v>46087.0</v>
      </c>
      <c r="O1112" s="430" t="s">
        <v>13338</v>
      </c>
      <c r="P1112" s="431"/>
      <c r="Q1112" s="430" t="s">
        <v>13881</v>
      </c>
      <c r="R1112" s="432" t="s">
        <v>13882</v>
      </c>
      <c r="S1112" s="367"/>
      <c r="T1112" s="276"/>
      <c r="U1112" s="276"/>
      <c r="V1112" s="276"/>
      <c r="W1112" s="276"/>
      <c r="X1112" s="276"/>
      <c r="Y1112" s="276"/>
      <c r="Z1112" s="276"/>
      <c r="AA1112" s="276"/>
      <c r="AB1112" s="276"/>
      <c r="AC1112" s="276"/>
    </row>
    <row r="1113">
      <c r="A1113" s="33" t="s">
        <v>12163</v>
      </c>
      <c r="B1113" s="173">
        <v>46085.0</v>
      </c>
      <c r="C1113" s="374">
        <v>8.0700003528E11</v>
      </c>
      <c r="D1113" s="374" t="s">
        <v>12164</v>
      </c>
      <c r="E1113" s="374" t="s">
        <v>12165</v>
      </c>
      <c r="F1113" s="177" t="s">
        <v>12166</v>
      </c>
      <c r="G1113" s="177" t="s">
        <v>127</v>
      </c>
      <c r="H1113" s="177">
        <v>4400.0</v>
      </c>
      <c r="I1113" s="176" t="s">
        <v>249</v>
      </c>
      <c r="J1113" s="374" t="s">
        <v>9324</v>
      </c>
      <c r="K1113" s="177">
        <v>1.0</v>
      </c>
      <c r="L1113" s="174">
        <v>3.87500588E9</v>
      </c>
      <c r="M1113" s="367"/>
      <c r="N1113" s="209"/>
      <c r="O1113" s="209"/>
      <c r="P1113" s="209"/>
      <c r="Q1113" s="209"/>
      <c r="R1113" s="209"/>
      <c r="S1113" s="367"/>
      <c r="T1113" s="276"/>
      <c r="U1113" s="276"/>
      <c r="V1113" s="276"/>
      <c r="W1113" s="276"/>
      <c r="X1113" s="276"/>
      <c r="Y1113" s="276"/>
      <c r="Z1113" s="276"/>
      <c r="AA1113" s="276"/>
      <c r="AB1113" s="276"/>
      <c r="AC1113" s="276"/>
    </row>
    <row r="1114">
      <c r="A1114" s="33" t="s">
        <v>12163</v>
      </c>
      <c r="B1114" s="173">
        <v>46085.0</v>
      </c>
      <c r="C1114" s="374">
        <v>8.0700003528E11</v>
      </c>
      <c r="D1114" s="374" t="s">
        <v>12164</v>
      </c>
      <c r="E1114" s="374" t="s">
        <v>12165</v>
      </c>
      <c r="F1114" s="177" t="s">
        <v>12166</v>
      </c>
      <c r="G1114" s="177" t="s">
        <v>127</v>
      </c>
      <c r="H1114" s="177">
        <v>4400.0</v>
      </c>
      <c r="I1114" s="176" t="s">
        <v>233</v>
      </c>
      <c r="J1114" s="374" t="s">
        <v>3459</v>
      </c>
      <c r="K1114" s="177">
        <v>2.0</v>
      </c>
      <c r="L1114" s="174">
        <v>3.87500588E9</v>
      </c>
      <c r="M1114" s="367"/>
      <c r="N1114" s="206"/>
      <c r="O1114" s="206"/>
      <c r="P1114" s="206"/>
      <c r="Q1114" s="206"/>
      <c r="R1114" s="206"/>
      <c r="S1114" s="367"/>
      <c r="T1114" s="276"/>
      <c r="U1114" s="276"/>
      <c r="V1114" s="276"/>
      <c r="W1114" s="276"/>
      <c r="X1114" s="276"/>
      <c r="Y1114" s="276"/>
      <c r="Z1114" s="276"/>
      <c r="AA1114" s="276"/>
      <c r="AB1114" s="276"/>
      <c r="AC1114" s="276"/>
    </row>
    <row r="1115">
      <c r="A1115" s="514"/>
      <c r="B1115" s="515"/>
      <c r="C1115" s="516"/>
      <c r="D1115" s="516"/>
      <c r="E1115" s="516"/>
      <c r="F1115" s="517"/>
      <c r="G1115" s="518"/>
      <c r="H1115" s="518"/>
      <c r="I1115" s="519"/>
      <c r="J1115" s="516"/>
      <c r="K1115" s="518"/>
      <c r="L1115" s="520"/>
      <c r="M1115" s="367"/>
      <c r="N1115" s="433"/>
      <c r="O1115" s="261"/>
      <c r="P1115" s="367"/>
      <c r="Q1115" s="261"/>
      <c r="R1115" s="449"/>
      <c r="S1115" s="367"/>
      <c r="T1115" s="276"/>
      <c r="U1115" s="276"/>
      <c r="V1115" s="276"/>
      <c r="W1115" s="276"/>
      <c r="X1115" s="276"/>
      <c r="Y1115" s="276"/>
      <c r="Z1115" s="276"/>
      <c r="AA1115" s="276"/>
      <c r="AB1115" s="276"/>
      <c r="AC1115" s="276"/>
    </row>
    <row r="1116">
      <c r="A1116" s="108" t="s">
        <v>12167</v>
      </c>
      <c r="B1116" s="173">
        <v>46087.0</v>
      </c>
      <c r="C1116" s="374">
        <v>8.07000035234E11</v>
      </c>
      <c r="D1116" s="374" t="s">
        <v>5862</v>
      </c>
      <c r="E1116" s="374" t="s">
        <v>5863</v>
      </c>
      <c r="F1116" s="177" t="s">
        <v>12168</v>
      </c>
      <c r="G1116" s="177" t="s">
        <v>1986</v>
      </c>
      <c r="H1116" s="177">
        <v>4400.0</v>
      </c>
      <c r="I1116" s="176">
        <v>208501.0</v>
      </c>
      <c r="J1116" s="374" t="s">
        <v>481</v>
      </c>
      <c r="K1116" s="177">
        <v>2.0</v>
      </c>
      <c r="L1116" s="174">
        <v>3.874035148E9</v>
      </c>
      <c r="M1116" s="367"/>
      <c r="N1116" s="433">
        <v>46087.0</v>
      </c>
      <c r="O1116" s="261" t="s">
        <v>13338</v>
      </c>
      <c r="P1116" s="367"/>
      <c r="Q1116" s="261" t="s">
        <v>13883</v>
      </c>
      <c r="R1116" s="449"/>
      <c r="S1116" s="367"/>
      <c r="T1116" s="276"/>
      <c r="U1116" s="276"/>
      <c r="V1116" s="276"/>
      <c r="W1116" s="276"/>
      <c r="X1116" s="276"/>
      <c r="Y1116" s="276"/>
      <c r="Z1116" s="276"/>
      <c r="AA1116" s="276"/>
      <c r="AB1116" s="276"/>
      <c r="AC1116" s="276"/>
    </row>
    <row r="1117">
      <c r="A1117" s="108" t="s">
        <v>12169</v>
      </c>
      <c r="B1117" s="173">
        <v>46087.0</v>
      </c>
      <c r="C1117" s="374">
        <v>8.07000035293E11</v>
      </c>
      <c r="D1117" s="374" t="s">
        <v>12170</v>
      </c>
      <c r="E1117" s="374" t="s">
        <v>12171</v>
      </c>
      <c r="F1117" s="177" t="s">
        <v>12172</v>
      </c>
      <c r="G1117" s="177" t="s">
        <v>1986</v>
      </c>
      <c r="H1117" s="177">
        <v>4403.0</v>
      </c>
      <c r="I1117" s="176" t="s">
        <v>512</v>
      </c>
      <c r="J1117" s="374" t="s">
        <v>513</v>
      </c>
      <c r="K1117" s="177">
        <v>6.0</v>
      </c>
      <c r="L1117" s="174">
        <v>3.875347268E9</v>
      </c>
      <c r="M1117" s="367"/>
      <c r="N1117" s="429">
        <v>46087.0</v>
      </c>
      <c r="O1117" s="430" t="s">
        <v>13338</v>
      </c>
      <c r="P1117" s="431"/>
      <c r="Q1117" s="430" t="s">
        <v>13884</v>
      </c>
      <c r="R1117" s="432" t="s">
        <v>13885</v>
      </c>
      <c r="S1117" s="367"/>
      <c r="T1117" s="276"/>
      <c r="U1117" s="276"/>
      <c r="V1117" s="276"/>
      <c r="W1117" s="276"/>
      <c r="X1117" s="276"/>
      <c r="Y1117" s="276"/>
      <c r="Z1117" s="276"/>
      <c r="AA1117" s="276"/>
      <c r="AB1117" s="276"/>
      <c r="AC1117" s="276"/>
    </row>
    <row r="1118">
      <c r="A1118" s="108" t="s">
        <v>12169</v>
      </c>
      <c r="B1118" s="173">
        <v>46087.0</v>
      </c>
      <c r="C1118" s="374">
        <v>8.07000035294E11</v>
      </c>
      <c r="D1118" s="374" t="s">
        <v>12170</v>
      </c>
      <c r="E1118" s="374" t="s">
        <v>12171</v>
      </c>
      <c r="F1118" s="177" t="s">
        <v>12172</v>
      </c>
      <c r="G1118" s="177" t="s">
        <v>1986</v>
      </c>
      <c r="H1118" s="177">
        <v>4403.0</v>
      </c>
      <c r="I1118" s="176" t="s">
        <v>2956</v>
      </c>
      <c r="J1118" s="374" t="s">
        <v>3327</v>
      </c>
      <c r="K1118" s="177">
        <v>1.0</v>
      </c>
      <c r="L1118" s="174">
        <v>3.875347268E9</v>
      </c>
      <c r="M1118" s="367"/>
      <c r="N1118" s="209"/>
      <c r="O1118" s="209"/>
      <c r="P1118" s="209"/>
      <c r="Q1118" s="209"/>
      <c r="R1118" s="209"/>
      <c r="S1118" s="367"/>
      <c r="T1118" s="276"/>
      <c r="U1118" s="276"/>
      <c r="V1118" s="276"/>
      <c r="W1118" s="276"/>
      <c r="X1118" s="276"/>
      <c r="Y1118" s="276"/>
      <c r="Z1118" s="276"/>
      <c r="AA1118" s="276"/>
      <c r="AB1118" s="276"/>
      <c r="AC1118" s="276"/>
    </row>
    <row r="1119">
      <c r="A1119" s="108" t="s">
        <v>12169</v>
      </c>
      <c r="B1119" s="173">
        <v>46087.0</v>
      </c>
      <c r="C1119" s="374">
        <v>8.07000035294E11</v>
      </c>
      <c r="D1119" s="374" t="s">
        <v>12170</v>
      </c>
      <c r="E1119" s="374" t="s">
        <v>12171</v>
      </c>
      <c r="F1119" s="177" t="s">
        <v>12172</v>
      </c>
      <c r="G1119" s="177" t="s">
        <v>1986</v>
      </c>
      <c r="H1119" s="177">
        <v>4403.0</v>
      </c>
      <c r="I1119" s="176" t="s">
        <v>670</v>
      </c>
      <c r="J1119" s="374" t="s">
        <v>3410</v>
      </c>
      <c r="K1119" s="177">
        <v>1.0</v>
      </c>
      <c r="L1119" s="174">
        <v>3.875347268E9</v>
      </c>
      <c r="M1119" s="367"/>
      <c r="N1119" s="206"/>
      <c r="O1119" s="206"/>
      <c r="P1119" s="206"/>
      <c r="Q1119" s="206"/>
      <c r="R1119" s="206"/>
      <c r="S1119" s="367"/>
      <c r="T1119" s="276"/>
      <c r="U1119" s="276"/>
      <c r="V1119" s="276"/>
      <c r="W1119" s="276"/>
      <c r="X1119" s="276"/>
      <c r="Y1119" s="276"/>
      <c r="Z1119" s="276"/>
      <c r="AA1119" s="276"/>
      <c r="AB1119" s="276"/>
      <c r="AC1119" s="276"/>
    </row>
    <row r="1120">
      <c r="A1120" s="108" t="s">
        <v>12173</v>
      </c>
      <c r="B1120" s="173">
        <v>46087.0</v>
      </c>
      <c r="C1120" s="374">
        <v>8.07000035299E11</v>
      </c>
      <c r="D1120" s="374" t="s">
        <v>12174</v>
      </c>
      <c r="E1120" s="374" t="s">
        <v>12175</v>
      </c>
      <c r="F1120" s="177" t="s">
        <v>12176</v>
      </c>
      <c r="G1120" s="177" t="s">
        <v>127</v>
      </c>
      <c r="H1120" s="177">
        <v>4400.0</v>
      </c>
      <c r="I1120" s="176" t="s">
        <v>5817</v>
      </c>
      <c r="J1120" s="374" t="s">
        <v>5417</v>
      </c>
      <c r="K1120" s="177">
        <v>1.0</v>
      </c>
      <c r="L1120" s="174">
        <v>3.876840902E9</v>
      </c>
      <c r="M1120" s="367"/>
      <c r="N1120" s="429">
        <v>46090.0</v>
      </c>
      <c r="O1120" s="430" t="s">
        <v>13338</v>
      </c>
      <c r="P1120" s="431"/>
      <c r="Q1120" s="430" t="s">
        <v>13886</v>
      </c>
      <c r="R1120" s="432" t="s">
        <v>13887</v>
      </c>
      <c r="S1120" s="367"/>
      <c r="T1120" s="276"/>
      <c r="U1120" s="276"/>
      <c r="V1120" s="276"/>
      <c r="W1120" s="276"/>
      <c r="X1120" s="276"/>
      <c r="Y1120" s="276"/>
      <c r="Z1120" s="276"/>
      <c r="AA1120" s="276"/>
      <c r="AB1120" s="276"/>
      <c r="AC1120" s="276"/>
    </row>
    <row r="1121">
      <c r="A1121" s="108" t="s">
        <v>12173</v>
      </c>
      <c r="B1121" s="173">
        <v>46087.0</v>
      </c>
      <c r="C1121" s="374">
        <v>8.07000035299E11</v>
      </c>
      <c r="D1121" s="374" t="s">
        <v>12174</v>
      </c>
      <c r="E1121" s="374" t="s">
        <v>12175</v>
      </c>
      <c r="F1121" s="177" t="s">
        <v>12176</v>
      </c>
      <c r="G1121" s="177" t="s">
        <v>127</v>
      </c>
      <c r="H1121" s="177">
        <v>4400.0</v>
      </c>
      <c r="I1121" s="176" t="s">
        <v>6548</v>
      </c>
      <c r="J1121" s="374" t="s">
        <v>6549</v>
      </c>
      <c r="K1121" s="177">
        <v>1.0</v>
      </c>
      <c r="L1121" s="174">
        <v>3.876840902E9</v>
      </c>
      <c r="M1121" s="367"/>
      <c r="N1121" s="206"/>
      <c r="O1121" s="206"/>
      <c r="P1121" s="206"/>
      <c r="Q1121" s="206"/>
      <c r="R1121" s="206"/>
      <c r="S1121" s="367"/>
      <c r="T1121" s="276"/>
      <c r="U1121" s="276"/>
      <c r="V1121" s="276"/>
      <c r="W1121" s="276"/>
      <c r="X1121" s="276"/>
      <c r="Y1121" s="276"/>
      <c r="Z1121" s="276"/>
      <c r="AA1121" s="276"/>
      <c r="AB1121" s="276"/>
      <c r="AC1121" s="276"/>
    </row>
    <row r="1122">
      <c r="A1122" s="108" t="s">
        <v>12177</v>
      </c>
      <c r="B1122" s="173">
        <v>46087.0</v>
      </c>
      <c r="C1122" s="374">
        <v>8.07000035306E11</v>
      </c>
      <c r="D1122" s="374" t="s">
        <v>12178</v>
      </c>
      <c r="E1122" s="374" t="s">
        <v>12179</v>
      </c>
      <c r="F1122" s="177" t="s">
        <v>12180</v>
      </c>
      <c r="G1122" s="177" t="s">
        <v>127</v>
      </c>
      <c r="H1122" s="177">
        <v>4400.0</v>
      </c>
      <c r="I1122" s="176" t="s">
        <v>512</v>
      </c>
      <c r="J1122" s="374" t="s">
        <v>513</v>
      </c>
      <c r="K1122" s="177">
        <v>12.0</v>
      </c>
      <c r="L1122" s="174">
        <v>3.875829049E9</v>
      </c>
      <c r="M1122" s="367"/>
      <c r="N1122" s="429">
        <v>46087.0</v>
      </c>
      <c r="O1122" s="430" t="s">
        <v>13338</v>
      </c>
      <c r="P1122" s="431"/>
      <c r="Q1122" s="430" t="s">
        <v>13339</v>
      </c>
      <c r="R1122" s="432" t="s">
        <v>13888</v>
      </c>
      <c r="S1122" s="367"/>
      <c r="T1122" s="276"/>
      <c r="U1122" s="276"/>
      <c r="V1122" s="276"/>
      <c r="W1122" s="276"/>
      <c r="X1122" s="276"/>
      <c r="Y1122" s="276"/>
      <c r="Z1122" s="276"/>
      <c r="AA1122" s="276"/>
      <c r="AB1122" s="276"/>
      <c r="AC1122" s="276"/>
    </row>
    <row r="1123">
      <c r="A1123" s="108" t="s">
        <v>12181</v>
      </c>
      <c r="B1123" s="173">
        <v>46087.0</v>
      </c>
      <c r="C1123" s="374">
        <v>8.07000035307E11</v>
      </c>
      <c r="D1123" s="374" t="s">
        <v>12178</v>
      </c>
      <c r="E1123" s="374" t="s">
        <v>12179</v>
      </c>
      <c r="F1123" s="177" t="s">
        <v>12180</v>
      </c>
      <c r="G1123" s="177" t="s">
        <v>127</v>
      </c>
      <c r="H1123" s="177">
        <v>4400.0</v>
      </c>
      <c r="I1123" s="176" t="s">
        <v>659</v>
      </c>
      <c r="J1123" s="374" t="s">
        <v>3468</v>
      </c>
      <c r="K1123" s="177">
        <v>1.0</v>
      </c>
      <c r="L1123" s="174">
        <v>3.875829049E9</v>
      </c>
      <c r="M1123" s="367"/>
      <c r="N1123" s="209"/>
      <c r="O1123" s="209"/>
      <c r="P1123" s="209"/>
      <c r="Q1123" s="209"/>
      <c r="R1123" s="209"/>
      <c r="S1123" s="367"/>
      <c r="T1123" s="276"/>
      <c r="U1123" s="276"/>
      <c r="V1123" s="276"/>
      <c r="W1123" s="276"/>
      <c r="X1123" s="276"/>
      <c r="Y1123" s="276"/>
      <c r="Z1123" s="276"/>
      <c r="AA1123" s="276"/>
      <c r="AB1123" s="276"/>
      <c r="AC1123" s="276"/>
    </row>
    <row r="1124">
      <c r="A1124" s="108" t="s">
        <v>12181</v>
      </c>
      <c r="B1124" s="173">
        <v>46087.0</v>
      </c>
      <c r="C1124" s="374">
        <v>8.07000035309E11</v>
      </c>
      <c r="D1124" s="374" t="s">
        <v>12178</v>
      </c>
      <c r="E1124" s="374" t="s">
        <v>12179</v>
      </c>
      <c r="F1124" s="177" t="s">
        <v>12180</v>
      </c>
      <c r="G1124" s="177" t="s">
        <v>127</v>
      </c>
      <c r="H1124" s="177">
        <v>4400.0</v>
      </c>
      <c r="I1124" s="176" t="s">
        <v>659</v>
      </c>
      <c r="J1124" s="374" t="s">
        <v>3468</v>
      </c>
      <c r="K1124" s="177">
        <v>1.0</v>
      </c>
      <c r="L1124" s="174">
        <v>3.875829049E9</v>
      </c>
      <c r="M1124" s="367"/>
      <c r="N1124" s="209"/>
      <c r="O1124" s="209"/>
      <c r="P1124" s="209"/>
      <c r="Q1124" s="209"/>
      <c r="R1124" s="209"/>
      <c r="S1124" s="367"/>
      <c r="T1124" s="276"/>
      <c r="U1124" s="276"/>
      <c r="V1124" s="276"/>
      <c r="W1124" s="276"/>
      <c r="X1124" s="276"/>
      <c r="Y1124" s="276"/>
      <c r="Z1124" s="276"/>
      <c r="AA1124" s="276"/>
      <c r="AB1124" s="276"/>
      <c r="AC1124" s="276"/>
    </row>
    <row r="1125">
      <c r="A1125" s="108" t="s">
        <v>12177</v>
      </c>
      <c r="B1125" s="173">
        <v>46087.0</v>
      </c>
      <c r="C1125" s="374">
        <v>8.0700003531E11</v>
      </c>
      <c r="D1125" s="374" t="s">
        <v>12178</v>
      </c>
      <c r="E1125" s="374" t="s">
        <v>12179</v>
      </c>
      <c r="F1125" s="177" t="s">
        <v>12180</v>
      </c>
      <c r="G1125" s="177" t="s">
        <v>127</v>
      </c>
      <c r="H1125" s="177">
        <v>4400.0</v>
      </c>
      <c r="I1125" s="176" t="s">
        <v>35</v>
      </c>
      <c r="J1125" s="374" t="s">
        <v>3188</v>
      </c>
      <c r="K1125" s="177">
        <v>2.0</v>
      </c>
      <c r="L1125" s="174">
        <v>3.875829049E9</v>
      </c>
      <c r="M1125" s="367"/>
      <c r="N1125" s="206"/>
      <c r="O1125" s="206"/>
      <c r="P1125" s="206"/>
      <c r="Q1125" s="206"/>
      <c r="R1125" s="206"/>
      <c r="S1125" s="367"/>
      <c r="T1125" s="276"/>
      <c r="U1125" s="276"/>
      <c r="V1125" s="276"/>
      <c r="W1125" s="276"/>
      <c r="X1125" s="276"/>
      <c r="Y1125" s="276"/>
      <c r="Z1125" s="276"/>
      <c r="AA1125" s="276"/>
      <c r="AB1125" s="276"/>
      <c r="AC1125" s="276"/>
    </row>
    <row r="1126">
      <c r="A1126" s="108" t="s">
        <v>12182</v>
      </c>
      <c r="B1126" s="173">
        <v>46087.0</v>
      </c>
      <c r="C1126" s="374">
        <v>8.07000035311E11</v>
      </c>
      <c r="D1126" s="374" t="s">
        <v>12183</v>
      </c>
      <c r="E1126" s="374" t="s">
        <v>12184</v>
      </c>
      <c r="F1126" s="177" t="s">
        <v>12185</v>
      </c>
      <c r="G1126" s="177" t="s">
        <v>127</v>
      </c>
      <c r="H1126" s="177">
        <v>4400.0</v>
      </c>
      <c r="I1126" s="176" t="s">
        <v>98</v>
      </c>
      <c r="J1126" s="374" t="s">
        <v>3187</v>
      </c>
      <c r="K1126" s="177">
        <v>1.0</v>
      </c>
      <c r="L1126" s="174">
        <v>3.874737017E9</v>
      </c>
      <c r="M1126" s="367"/>
      <c r="N1126" s="433">
        <v>46087.0</v>
      </c>
      <c r="O1126" s="261" t="s">
        <v>13338</v>
      </c>
      <c r="P1126" s="367"/>
      <c r="Q1126" s="261" t="s">
        <v>9012</v>
      </c>
      <c r="R1126" s="434" t="s">
        <v>13889</v>
      </c>
      <c r="S1126" s="367"/>
      <c r="T1126" s="276"/>
      <c r="U1126" s="276"/>
      <c r="V1126" s="276"/>
      <c r="W1126" s="276"/>
      <c r="X1126" s="276"/>
      <c r="Y1126" s="276"/>
      <c r="Z1126" s="276"/>
      <c r="AA1126" s="276"/>
      <c r="AB1126" s="276"/>
      <c r="AC1126" s="276"/>
    </row>
    <row r="1127">
      <c r="A1127" s="108" t="s">
        <v>12186</v>
      </c>
      <c r="B1127" s="173">
        <v>46087.0</v>
      </c>
      <c r="C1127" s="374">
        <v>8.07000035284E11</v>
      </c>
      <c r="D1127" s="374" t="s">
        <v>12187</v>
      </c>
      <c r="E1127" s="374" t="s">
        <v>12188</v>
      </c>
      <c r="F1127" s="177" t="s">
        <v>12189</v>
      </c>
      <c r="G1127" s="177" t="s">
        <v>127</v>
      </c>
      <c r="H1127" s="177">
        <v>4400.0</v>
      </c>
      <c r="I1127" s="176" t="s">
        <v>512</v>
      </c>
      <c r="J1127" s="374" t="s">
        <v>513</v>
      </c>
      <c r="K1127" s="177">
        <v>12.0</v>
      </c>
      <c r="L1127" s="174">
        <v>3.874593332E9</v>
      </c>
      <c r="M1127" s="367"/>
      <c r="N1127" s="429">
        <v>46087.0</v>
      </c>
      <c r="O1127" s="430" t="s">
        <v>13338</v>
      </c>
      <c r="P1127" s="431"/>
      <c r="Q1127" s="430" t="s">
        <v>9012</v>
      </c>
      <c r="R1127" s="432" t="s">
        <v>13890</v>
      </c>
      <c r="S1127" s="367"/>
      <c r="T1127" s="276"/>
      <c r="U1127" s="276"/>
      <c r="V1127" s="276"/>
      <c r="W1127" s="276"/>
      <c r="X1127" s="276"/>
      <c r="Y1127" s="276"/>
      <c r="Z1127" s="276"/>
      <c r="AA1127" s="276"/>
      <c r="AB1127" s="276"/>
      <c r="AC1127" s="276"/>
    </row>
    <row r="1128">
      <c r="A1128" s="108" t="s">
        <v>12186</v>
      </c>
      <c r="B1128" s="173">
        <v>46087.0</v>
      </c>
      <c r="C1128" s="374">
        <v>8.07000035285E11</v>
      </c>
      <c r="D1128" s="374" t="s">
        <v>12187</v>
      </c>
      <c r="E1128" s="374" t="s">
        <v>12188</v>
      </c>
      <c r="F1128" s="177" t="s">
        <v>12189</v>
      </c>
      <c r="G1128" s="177" t="s">
        <v>127</v>
      </c>
      <c r="H1128" s="177">
        <v>4400.0</v>
      </c>
      <c r="I1128" s="176" t="s">
        <v>8295</v>
      </c>
      <c r="J1128" s="374" t="s">
        <v>8296</v>
      </c>
      <c r="K1128" s="177">
        <v>2.0</v>
      </c>
      <c r="L1128" s="174">
        <v>3.874593332E9</v>
      </c>
      <c r="M1128" s="367"/>
      <c r="N1128" s="209"/>
      <c r="O1128" s="209"/>
      <c r="P1128" s="209"/>
      <c r="Q1128" s="209"/>
      <c r="R1128" s="209"/>
      <c r="S1128" s="367"/>
      <c r="T1128" s="276"/>
      <c r="U1128" s="276"/>
      <c r="V1128" s="276"/>
      <c r="W1128" s="276"/>
      <c r="X1128" s="276"/>
      <c r="Y1128" s="276"/>
      <c r="Z1128" s="276"/>
      <c r="AA1128" s="276"/>
      <c r="AB1128" s="276"/>
      <c r="AC1128" s="276"/>
    </row>
    <row r="1129">
      <c r="A1129" s="108" t="s">
        <v>12186</v>
      </c>
      <c r="B1129" s="173">
        <v>46087.0</v>
      </c>
      <c r="C1129" s="374">
        <v>8.07000035285E11</v>
      </c>
      <c r="D1129" s="374" t="s">
        <v>12187</v>
      </c>
      <c r="E1129" s="374" t="s">
        <v>12188</v>
      </c>
      <c r="F1129" s="177" t="s">
        <v>12189</v>
      </c>
      <c r="G1129" s="177" t="s">
        <v>127</v>
      </c>
      <c r="H1129" s="177">
        <v>4400.0</v>
      </c>
      <c r="I1129" s="176" t="s">
        <v>169</v>
      </c>
      <c r="J1129" s="374" t="s">
        <v>4514</v>
      </c>
      <c r="K1129" s="177">
        <v>2.0</v>
      </c>
      <c r="L1129" s="174">
        <v>3.874593332E9</v>
      </c>
      <c r="M1129" s="367"/>
      <c r="N1129" s="206"/>
      <c r="O1129" s="206"/>
      <c r="P1129" s="206"/>
      <c r="Q1129" s="206"/>
      <c r="R1129" s="206"/>
      <c r="S1129" s="367"/>
      <c r="T1129" s="276"/>
      <c r="U1129" s="276"/>
      <c r="V1129" s="276"/>
      <c r="W1129" s="276"/>
      <c r="X1129" s="276"/>
      <c r="Y1129" s="276"/>
      <c r="Z1129" s="276"/>
      <c r="AA1129" s="276"/>
      <c r="AB1129" s="276"/>
      <c r="AC1129" s="276"/>
    </row>
    <row r="1130">
      <c r="A1130" s="108" t="s">
        <v>12190</v>
      </c>
      <c r="B1130" s="173">
        <v>46088.0</v>
      </c>
      <c r="C1130" s="374">
        <v>8.07000035324E11</v>
      </c>
      <c r="D1130" s="374" t="s">
        <v>12191</v>
      </c>
      <c r="E1130" s="374" t="s">
        <v>12192</v>
      </c>
      <c r="F1130" s="145" t="s">
        <v>12193</v>
      </c>
      <c r="G1130" s="177" t="s">
        <v>127</v>
      </c>
      <c r="H1130" s="145">
        <v>4400.0</v>
      </c>
      <c r="I1130" s="176" t="s">
        <v>4368</v>
      </c>
      <c r="J1130" s="374" t="s">
        <v>4369</v>
      </c>
      <c r="K1130" s="177">
        <v>1.0</v>
      </c>
      <c r="L1130" s="174">
        <v>3.875023407E9</v>
      </c>
      <c r="M1130" s="367"/>
      <c r="N1130" s="433">
        <v>46088.0</v>
      </c>
      <c r="O1130" s="261" t="s">
        <v>13338</v>
      </c>
      <c r="P1130" s="367"/>
      <c r="Q1130" s="261" t="s">
        <v>13891</v>
      </c>
      <c r="R1130" s="434" t="s">
        <v>13892</v>
      </c>
      <c r="S1130" s="367"/>
      <c r="T1130" s="276"/>
      <c r="U1130" s="276"/>
      <c r="V1130" s="276"/>
      <c r="W1130" s="276"/>
      <c r="X1130" s="276"/>
      <c r="Y1130" s="276"/>
      <c r="Z1130" s="276"/>
      <c r="AA1130" s="276"/>
      <c r="AB1130" s="276"/>
      <c r="AC1130" s="276"/>
    </row>
    <row r="1131">
      <c r="A1131" s="108" t="s">
        <v>12194</v>
      </c>
      <c r="B1131" s="173">
        <v>46088.0</v>
      </c>
      <c r="C1131" s="374">
        <v>8.07000035316E11</v>
      </c>
      <c r="D1131" s="374" t="s">
        <v>12195</v>
      </c>
      <c r="E1131" s="374" t="s">
        <v>12196</v>
      </c>
      <c r="F1131" s="145" t="s">
        <v>12197</v>
      </c>
      <c r="G1131" s="177" t="s">
        <v>127</v>
      </c>
      <c r="H1131" s="177">
        <v>4400.0</v>
      </c>
      <c r="I1131" s="176" t="s">
        <v>512</v>
      </c>
      <c r="J1131" s="374" t="s">
        <v>513</v>
      </c>
      <c r="K1131" s="177">
        <v>6.0</v>
      </c>
      <c r="L1131" s="174">
        <v>1.134121009E9</v>
      </c>
      <c r="M1131" s="367"/>
      <c r="N1131" s="429">
        <v>46088.0</v>
      </c>
      <c r="O1131" s="430" t="s">
        <v>13338</v>
      </c>
      <c r="P1131" s="431"/>
      <c r="Q1131" s="430" t="s">
        <v>13893</v>
      </c>
      <c r="R1131" s="432" t="s">
        <v>13894</v>
      </c>
      <c r="S1131" s="367"/>
      <c r="T1131" s="276"/>
      <c r="U1131" s="276"/>
      <c r="V1131" s="276"/>
      <c r="W1131" s="276"/>
      <c r="X1131" s="276"/>
      <c r="Y1131" s="276"/>
      <c r="Z1131" s="276"/>
      <c r="AA1131" s="276"/>
      <c r="AB1131" s="276"/>
      <c r="AC1131" s="276"/>
    </row>
    <row r="1132">
      <c r="A1132" s="108" t="s">
        <v>12194</v>
      </c>
      <c r="B1132" s="173">
        <v>46088.0</v>
      </c>
      <c r="C1132" s="374">
        <v>8.07000035317E11</v>
      </c>
      <c r="D1132" s="374" t="s">
        <v>12195</v>
      </c>
      <c r="E1132" s="374" t="s">
        <v>12196</v>
      </c>
      <c r="F1132" s="145" t="s">
        <v>12197</v>
      </c>
      <c r="G1132" s="177" t="s">
        <v>127</v>
      </c>
      <c r="H1132" s="177">
        <v>4400.0</v>
      </c>
      <c r="I1132" s="176" t="s">
        <v>3154</v>
      </c>
      <c r="J1132" s="374" t="s">
        <v>4564</v>
      </c>
      <c r="K1132" s="177">
        <v>1.0</v>
      </c>
      <c r="L1132" s="174">
        <v>1.134121009E9</v>
      </c>
      <c r="M1132" s="367"/>
      <c r="N1132" s="209"/>
      <c r="O1132" s="209"/>
      <c r="P1132" s="209"/>
      <c r="Q1132" s="209"/>
      <c r="R1132" s="209"/>
      <c r="S1132" s="367"/>
      <c r="T1132" s="276"/>
      <c r="U1132" s="276"/>
      <c r="V1132" s="276"/>
      <c r="W1132" s="276"/>
      <c r="X1132" s="276"/>
      <c r="Y1132" s="276"/>
      <c r="Z1132" s="276"/>
      <c r="AA1132" s="276"/>
      <c r="AB1132" s="276"/>
      <c r="AC1132" s="276"/>
    </row>
    <row r="1133">
      <c r="A1133" s="108" t="s">
        <v>12194</v>
      </c>
      <c r="B1133" s="173">
        <v>46088.0</v>
      </c>
      <c r="C1133" s="374">
        <v>8.07000035317E11</v>
      </c>
      <c r="D1133" s="374" t="s">
        <v>12195</v>
      </c>
      <c r="E1133" s="374" t="s">
        <v>12196</v>
      </c>
      <c r="F1133" s="145" t="s">
        <v>12197</v>
      </c>
      <c r="G1133" s="177" t="s">
        <v>127</v>
      </c>
      <c r="H1133" s="145">
        <v>4400.0</v>
      </c>
      <c r="I1133" s="176" t="s">
        <v>2031</v>
      </c>
      <c r="J1133" s="374" t="s">
        <v>3348</v>
      </c>
      <c r="K1133" s="177">
        <v>1.0</v>
      </c>
      <c r="L1133" s="174">
        <v>1.134121009E9</v>
      </c>
      <c r="M1133" s="367"/>
      <c r="N1133" s="206"/>
      <c r="O1133" s="206"/>
      <c r="P1133" s="206"/>
      <c r="Q1133" s="206"/>
      <c r="R1133" s="206"/>
      <c r="S1133" s="367"/>
      <c r="T1133" s="276"/>
      <c r="U1133" s="276"/>
      <c r="V1133" s="276"/>
      <c r="W1133" s="276"/>
      <c r="X1133" s="276"/>
      <c r="Y1133" s="276"/>
      <c r="Z1133" s="276"/>
      <c r="AA1133" s="276"/>
      <c r="AB1133" s="276"/>
      <c r="AC1133" s="276"/>
    </row>
    <row r="1134">
      <c r="A1134" s="108" t="s">
        <v>12198</v>
      </c>
      <c r="B1134" s="173">
        <v>46088.0</v>
      </c>
      <c r="C1134" s="374">
        <v>8.07000035314E11</v>
      </c>
      <c r="D1134" s="374" t="s">
        <v>12117</v>
      </c>
      <c r="E1134" s="374" t="s">
        <v>12118</v>
      </c>
      <c r="F1134" s="145" t="s">
        <v>12199</v>
      </c>
      <c r="G1134" s="177" t="s">
        <v>127</v>
      </c>
      <c r="H1134" s="145">
        <v>4400.0</v>
      </c>
      <c r="I1134" s="176" t="s">
        <v>280</v>
      </c>
      <c r="J1134" s="374" t="s">
        <v>5669</v>
      </c>
      <c r="K1134" s="177">
        <v>1.0</v>
      </c>
      <c r="L1134" s="174">
        <v>3.875501897E9</v>
      </c>
      <c r="M1134" s="367"/>
      <c r="N1134" s="433">
        <v>46088.0</v>
      </c>
      <c r="O1134" s="261" t="s">
        <v>13338</v>
      </c>
      <c r="P1134" s="367"/>
      <c r="Q1134" s="261" t="s">
        <v>13895</v>
      </c>
      <c r="R1134" s="434" t="s">
        <v>13896</v>
      </c>
      <c r="S1134" s="367"/>
      <c r="T1134" s="276"/>
      <c r="U1134" s="276"/>
      <c r="V1134" s="276"/>
      <c r="W1134" s="276"/>
      <c r="X1134" s="276"/>
      <c r="Y1134" s="276"/>
      <c r="Z1134" s="276"/>
      <c r="AA1134" s="276"/>
      <c r="AB1134" s="276"/>
      <c r="AC1134" s="276"/>
    </row>
    <row r="1135">
      <c r="A1135" s="514"/>
      <c r="B1135" s="515"/>
      <c r="C1135" s="516"/>
      <c r="D1135" s="516"/>
      <c r="E1135" s="516"/>
      <c r="F1135" s="517"/>
      <c r="G1135" s="518"/>
      <c r="H1135" s="518"/>
      <c r="I1135" s="519"/>
      <c r="J1135" s="516"/>
      <c r="K1135" s="518"/>
      <c r="L1135" s="520"/>
      <c r="M1135" s="367"/>
      <c r="N1135" s="433"/>
      <c r="O1135" s="261"/>
      <c r="P1135" s="367"/>
      <c r="Q1135" s="261"/>
      <c r="R1135" s="449"/>
      <c r="S1135" s="367"/>
      <c r="T1135" s="276"/>
      <c r="U1135" s="276"/>
      <c r="V1135" s="276"/>
      <c r="W1135" s="276"/>
      <c r="X1135" s="276"/>
      <c r="Y1135" s="276"/>
      <c r="Z1135" s="276"/>
      <c r="AA1135" s="276"/>
      <c r="AB1135" s="276"/>
      <c r="AC1135" s="276"/>
    </row>
    <row r="1136">
      <c r="A1136" s="108" t="s">
        <v>12200</v>
      </c>
      <c r="B1136" s="173">
        <v>46090.0</v>
      </c>
      <c r="C1136" s="374">
        <v>8.05011571991E11</v>
      </c>
      <c r="D1136" s="374" t="s">
        <v>12201</v>
      </c>
      <c r="E1136" s="374" t="s">
        <v>12202</v>
      </c>
      <c r="F1136" s="177" t="s">
        <v>12203</v>
      </c>
      <c r="G1136" s="177" t="s">
        <v>20</v>
      </c>
      <c r="H1136" s="177">
        <v>4400.0</v>
      </c>
      <c r="I1136" s="176" t="s">
        <v>3451</v>
      </c>
      <c r="J1136" s="374" t="s">
        <v>3452</v>
      </c>
      <c r="K1136" s="177">
        <v>1.0</v>
      </c>
      <c r="L1136" s="174">
        <v>3.875811118E9</v>
      </c>
      <c r="M1136" s="367"/>
      <c r="N1136" s="433">
        <v>46090.0</v>
      </c>
      <c r="O1136" s="261" t="s">
        <v>13338</v>
      </c>
      <c r="P1136" s="367"/>
      <c r="Q1136" s="261" t="s">
        <v>13897</v>
      </c>
      <c r="R1136" s="434" t="s">
        <v>13898</v>
      </c>
      <c r="S1136" s="367"/>
      <c r="T1136" s="276"/>
      <c r="U1136" s="276"/>
      <c r="V1136" s="276"/>
      <c r="W1136" s="276"/>
      <c r="X1136" s="276"/>
      <c r="Y1136" s="276"/>
      <c r="Z1136" s="276"/>
      <c r="AA1136" s="276"/>
      <c r="AB1136" s="276"/>
      <c r="AC1136" s="276"/>
    </row>
    <row r="1137">
      <c r="A1137" s="108" t="s">
        <v>12204</v>
      </c>
      <c r="B1137" s="173">
        <v>46090.0</v>
      </c>
      <c r="C1137" s="374">
        <v>8.07000035328E11</v>
      </c>
      <c r="D1137" s="374" t="s">
        <v>12205</v>
      </c>
      <c r="E1137" s="374" t="s">
        <v>12206</v>
      </c>
      <c r="F1137" s="177" t="s">
        <v>12207</v>
      </c>
      <c r="G1137" s="177" t="s">
        <v>4645</v>
      </c>
      <c r="H1137" s="177">
        <v>4400.0</v>
      </c>
      <c r="I1137" s="176" t="s">
        <v>512</v>
      </c>
      <c r="J1137" s="374" t="s">
        <v>513</v>
      </c>
      <c r="K1137" s="177">
        <v>12.0</v>
      </c>
      <c r="L1137" s="174">
        <v>3.875143737E9</v>
      </c>
      <c r="M1137" s="367"/>
      <c r="N1137" s="429">
        <v>46090.0</v>
      </c>
      <c r="O1137" s="430" t="s">
        <v>13338</v>
      </c>
      <c r="P1137" s="431"/>
      <c r="Q1137" s="430" t="s">
        <v>13339</v>
      </c>
      <c r="R1137" s="432" t="s">
        <v>13899</v>
      </c>
      <c r="S1137" s="367"/>
      <c r="T1137" s="276"/>
      <c r="U1137" s="276"/>
      <c r="V1137" s="276"/>
      <c r="W1137" s="276"/>
      <c r="X1137" s="276"/>
      <c r="Y1137" s="276"/>
      <c r="Z1137" s="276"/>
      <c r="AA1137" s="276"/>
      <c r="AB1137" s="276"/>
      <c r="AC1137" s="276"/>
    </row>
    <row r="1138">
      <c r="A1138" s="108" t="s">
        <v>12204</v>
      </c>
      <c r="B1138" s="173">
        <v>46090.0</v>
      </c>
      <c r="C1138" s="374">
        <v>8.07000035329E11</v>
      </c>
      <c r="D1138" s="374" t="s">
        <v>12205</v>
      </c>
      <c r="E1138" s="374" t="s">
        <v>12206</v>
      </c>
      <c r="F1138" s="177" t="s">
        <v>12207</v>
      </c>
      <c r="G1138" s="177" t="s">
        <v>4645</v>
      </c>
      <c r="H1138" s="177">
        <v>4400.0</v>
      </c>
      <c r="I1138" s="176">
        <v>208502.0</v>
      </c>
      <c r="J1138" s="374" t="s">
        <v>4551</v>
      </c>
      <c r="K1138" s="177">
        <v>2.0</v>
      </c>
      <c r="L1138" s="174">
        <v>3.875143737E9</v>
      </c>
      <c r="M1138" s="367"/>
      <c r="N1138" s="209"/>
      <c r="O1138" s="209"/>
      <c r="P1138" s="209"/>
      <c r="Q1138" s="209"/>
      <c r="R1138" s="209"/>
      <c r="S1138" s="367"/>
      <c r="T1138" s="276"/>
      <c r="U1138" s="276"/>
      <c r="V1138" s="276"/>
      <c r="W1138" s="276"/>
      <c r="X1138" s="276"/>
      <c r="Y1138" s="276"/>
      <c r="Z1138" s="276"/>
      <c r="AA1138" s="276"/>
      <c r="AB1138" s="276"/>
      <c r="AC1138" s="276"/>
    </row>
    <row r="1139">
      <c r="A1139" s="108" t="s">
        <v>12208</v>
      </c>
      <c r="B1139" s="173">
        <v>46090.0</v>
      </c>
      <c r="C1139" s="374">
        <v>8.07000035331E11</v>
      </c>
      <c r="D1139" s="374" t="s">
        <v>12205</v>
      </c>
      <c r="E1139" s="374" t="s">
        <v>12206</v>
      </c>
      <c r="F1139" s="177" t="s">
        <v>12207</v>
      </c>
      <c r="G1139" s="177" t="s">
        <v>4645</v>
      </c>
      <c r="H1139" s="177">
        <v>4400.0</v>
      </c>
      <c r="I1139" s="176" t="s">
        <v>8099</v>
      </c>
      <c r="J1139" s="374" t="s">
        <v>8100</v>
      </c>
      <c r="K1139" s="177">
        <v>1.0</v>
      </c>
      <c r="L1139" s="174">
        <v>3.875143737E9</v>
      </c>
      <c r="M1139" s="367"/>
      <c r="N1139" s="209"/>
      <c r="O1139" s="209"/>
      <c r="P1139" s="209"/>
      <c r="Q1139" s="209"/>
      <c r="R1139" s="209"/>
      <c r="S1139" s="367"/>
      <c r="T1139" s="276"/>
      <c r="U1139" s="276"/>
      <c r="V1139" s="276"/>
      <c r="W1139" s="276"/>
      <c r="X1139" s="276"/>
      <c r="Y1139" s="276"/>
      <c r="Z1139" s="276"/>
      <c r="AA1139" s="276"/>
      <c r="AB1139" s="276"/>
      <c r="AC1139" s="276"/>
    </row>
    <row r="1140">
      <c r="A1140" s="108" t="s">
        <v>12208</v>
      </c>
      <c r="B1140" s="173">
        <v>46090.0</v>
      </c>
      <c r="C1140" s="374">
        <v>8.07000035331E11</v>
      </c>
      <c r="D1140" s="374" t="s">
        <v>12205</v>
      </c>
      <c r="E1140" s="374" t="s">
        <v>12206</v>
      </c>
      <c r="F1140" s="177" t="s">
        <v>12207</v>
      </c>
      <c r="G1140" s="177" t="s">
        <v>4645</v>
      </c>
      <c r="H1140" s="177">
        <v>4400.0</v>
      </c>
      <c r="I1140" s="176" t="s">
        <v>121</v>
      </c>
      <c r="J1140" s="374" t="s">
        <v>3199</v>
      </c>
      <c r="K1140" s="177">
        <v>2.0</v>
      </c>
      <c r="L1140" s="174">
        <v>3.875143737E9</v>
      </c>
      <c r="M1140" s="367"/>
      <c r="N1140" s="206"/>
      <c r="O1140" s="206"/>
      <c r="P1140" s="206"/>
      <c r="Q1140" s="206"/>
      <c r="R1140" s="206"/>
      <c r="S1140" s="367"/>
      <c r="T1140" s="276"/>
      <c r="U1140" s="276"/>
      <c r="V1140" s="276"/>
      <c r="W1140" s="276"/>
      <c r="X1140" s="276"/>
      <c r="Y1140" s="276"/>
      <c r="Z1140" s="276"/>
      <c r="AA1140" s="276"/>
      <c r="AB1140" s="276"/>
      <c r="AC1140" s="276"/>
    </row>
    <row r="1141">
      <c r="A1141" s="108" t="s">
        <v>12209</v>
      </c>
      <c r="B1141" s="173">
        <v>46090.0</v>
      </c>
      <c r="C1141" s="374">
        <v>8.07000035339E11</v>
      </c>
      <c r="D1141" s="374" t="s">
        <v>12210</v>
      </c>
      <c r="E1141" s="374" t="s">
        <v>12211</v>
      </c>
      <c r="F1141" s="177" t="s">
        <v>12212</v>
      </c>
      <c r="G1141" s="177" t="s">
        <v>127</v>
      </c>
      <c r="H1141" s="177">
        <v>4400.0</v>
      </c>
      <c r="I1141" s="176" t="s">
        <v>512</v>
      </c>
      <c r="J1141" s="374" t="s">
        <v>513</v>
      </c>
      <c r="K1141" s="177">
        <v>12.0</v>
      </c>
      <c r="L1141" s="174">
        <v>3.87571394E9</v>
      </c>
      <c r="M1141" s="367"/>
      <c r="N1141" s="429">
        <v>46090.0</v>
      </c>
      <c r="O1141" s="430" t="s">
        <v>13338</v>
      </c>
      <c r="P1141" s="431"/>
      <c r="Q1141" s="430" t="s">
        <v>13339</v>
      </c>
      <c r="R1141" s="432" t="s">
        <v>13900</v>
      </c>
      <c r="S1141" s="367"/>
      <c r="T1141" s="276"/>
      <c r="U1141" s="276"/>
      <c r="V1141" s="276"/>
      <c r="W1141" s="276"/>
      <c r="X1141" s="276"/>
      <c r="Y1141" s="276"/>
      <c r="Z1141" s="276"/>
      <c r="AA1141" s="276"/>
      <c r="AB1141" s="276"/>
      <c r="AC1141" s="276"/>
    </row>
    <row r="1142">
      <c r="A1142" s="108" t="s">
        <v>12209</v>
      </c>
      <c r="B1142" s="173">
        <v>46090.0</v>
      </c>
      <c r="C1142" s="374">
        <v>8.0700003534E11</v>
      </c>
      <c r="D1142" s="374" t="s">
        <v>12210</v>
      </c>
      <c r="E1142" s="374" t="s">
        <v>12211</v>
      </c>
      <c r="F1142" s="177" t="s">
        <v>12212</v>
      </c>
      <c r="G1142" s="177" t="s">
        <v>127</v>
      </c>
      <c r="H1142" s="177">
        <v>4400.0</v>
      </c>
      <c r="I1142" s="176" t="s">
        <v>2537</v>
      </c>
      <c r="J1142" s="374" t="s">
        <v>3955</v>
      </c>
      <c r="K1142" s="177">
        <v>1.0</v>
      </c>
      <c r="L1142" s="174">
        <v>3.87571394E9</v>
      </c>
      <c r="M1142" s="367"/>
      <c r="N1142" s="209"/>
      <c r="O1142" s="209"/>
      <c r="P1142" s="209"/>
      <c r="Q1142" s="209"/>
      <c r="R1142" s="209"/>
      <c r="S1142" s="367"/>
      <c r="T1142" s="276"/>
      <c r="U1142" s="276"/>
      <c r="V1142" s="276"/>
      <c r="W1142" s="276"/>
      <c r="X1142" s="276"/>
      <c r="Y1142" s="276"/>
      <c r="Z1142" s="276"/>
      <c r="AA1142" s="276"/>
      <c r="AB1142" s="276"/>
      <c r="AC1142" s="276"/>
    </row>
    <row r="1143">
      <c r="A1143" s="108" t="s">
        <v>12209</v>
      </c>
      <c r="B1143" s="173">
        <v>46090.0</v>
      </c>
      <c r="C1143" s="374">
        <v>8.0700003534E11</v>
      </c>
      <c r="D1143" s="374" t="s">
        <v>12210</v>
      </c>
      <c r="E1143" s="374" t="s">
        <v>12211</v>
      </c>
      <c r="F1143" s="177" t="s">
        <v>12212</v>
      </c>
      <c r="G1143" s="177" t="s">
        <v>127</v>
      </c>
      <c r="H1143" s="177">
        <v>4400.0</v>
      </c>
      <c r="I1143" s="176" t="s">
        <v>340</v>
      </c>
      <c r="J1143" s="374" t="s">
        <v>3486</v>
      </c>
      <c r="K1143" s="177">
        <v>2.0</v>
      </c>
      <c r="L1143" s="174">
        <v>3.87571394E9</v>
      </c>
      <c r="M1143" s="367"/>
      <c r="N1143" s="209"/>
      <c r="O1143" s="209"/>
      <c r="P1143" s="209"/>
      <c r="Q1143" s="209"/>
      <c r="R1143" s="209"/>
      <c r="S1143" s="367"/>
      <c r="T1143" s="276"/>
      <c r="U1143" s="276"/>
      <c r="V1143" s="276"/>
      <c r="W1143" s="276"/>
      <c r="X1143" s="276"/>
      <c r="Y1143" s="276"/>
      <c r="Z1143" s="276"/>
      <c r="AA1143" s="276"/>
      <c r="AB1143" s="276"/>
      <c r="AC1143" s="276"/>
    </row>
    <row r="1144">
      <c r="A1144" s="108" t="s">
        <v>12213</v>
      </c>
      <c r="B1144" s="173">
        <v>46090.0</v>
      </c>
      <c r="C1144" s="374">
        <v>8.07000035341E11</v>
      </c>
      <c r="D1144" s="374" t="s">
        <v>12210</v>
      </c>
      <c r="E1144" s="374" t="s">
        <v>12211</v>
      </c>
      <c r="F1144" s="177" t="s">
        <v>12212</v>
      </c>
      <c r="G1144" s="177" t="s">
        <v>127</v>
      </c>
      <c r="H1144" s="177">
        <v>4400.0</v>
      </c>
      <c r="I1144" s="176" t="s">
        <v>3912</v>
      </c>
      <c r="J1144" s="374" t="s">
        <v>3913</v>
      </c>
      <c r="K1144" s="177">
        <v>1.0</v>
      </c>
      <c r="L1144" s="174">
        <v>3.87571394E9</v>
      </c>
      <c r="M1144" s="367"/>
      <c r="N1144" s="206"/>
      <c r="O1144" s="206"/>
      <c r="P1144" s="206"/>
      <c r="Q1144" s="206"/>
      <c r="R1144" s="206"/>
      <c r="S1144" s="367"/>
      <c r="T1144" s="276"/>
      <c r="U1144" s="276"/>
      <c r="V1144" s="276"/>
      <c r="W1144" s="276"/>
      <c r="X1144" s="276"/>
      <c r="Y1144" s="276"/>
      <c r="Z1144" s="276"/>
      <c r="AA1144" s="276"/>
      <c r="AB1144" s="276"/>
      <c r="AC1144" s="276"/>
    </row>
    <row r="1145">
      <c r="A1145" s="108" t="s">
        <v>12214</v>
      </c>
      <c r="B1145" s="173">
        <v>46090.0</v>
      </c>
      <c r="C1145" s="374">
        <v>8.0700003535E11</v>
      </c>
      <c r="D1145" s="374" t="s">
        <v>12215</v>
      </c>
      <c r="E1145" s="374" t="s">
        <v>12216</v>
      </c>
      <c r="F1145" s="177" t="s">
        <v>12217</v>
      </c>
      <c r="G1145" s="177" t="s">
        <v>127</v>
      </c>
      <c r="H1145" s="177">
        <v>4400.0</v>
      </c>
      <c r="I1145" s="176" t="s">
        <v>2956</v>
      </c>
      <c r="J1145" s="374" t="s">
        <v>3327</v>
      </c>
      <c r="K1145" s="177">
        <v>1.0</v>
      </c>
      <c r="L1145" s="174">
        <v>3.873635212E9</v>
      </c>
      <c r="M1145" s="367"/>
      <c r="N1145" s="429">
        <v>46090.0</v>
      </c>
      <c r="O1145" s="430" t="s">
        <v>13338</v>
      </c>
      <c r="P1145" s="431"/>
      <c r="Q1145" s="430" t="s">
        <v>13901</v>
      </c>
      <c r="R1145" s="432" t="s">
        <v>13902</v>
      </c>
      <c r="S1145" s="367"/>
      <c r="T1145" s="276"/>
      <c r="U1145" s="276"/>
      <c r="V1145" s="276"/>
      <c r="W1145" s="276"/>
      <c r="X1145" s="276"/>
      <c r="Y1145" s="276"/>
      <c r="Z1145" s="276"/>
      <c r="AA1145" s="276"/>
      <c r="AB1145" s="276"/>
      <c r="AC1145" s="276"/>
    </row>
    <row r="1146">
      <c r="A1146" s="108" t="s">
        <v>12218</v>
      </c>
      <c r="B1146" s="173">
        <v>46090.0</v>
      </c>
      <c r="C1146" s="374">
        <v>8.07000035351E11</v>
      </c>
      <c r="D1146" s="374" t="s">
        <v>12215</v>
      </c>
      <c r="E1146" s="374" t="s">
        <v>12216</v>
      </c>
      <c r="F1146" s="177" t="s">
        <v>12217</v>
      </c>
      <c r="G1146" s="177" t="s">
        <v>127</v>
      </c>
      <c r="H1146" s="177">
        <v>4400.0</v>
      </c>
      <c r="I1146" s="176" t="s">
        <v>2956</v>
      </c>
      <c r="J1146" s="374" t="s">
        <v>3327</v>
      </c>
      <c r="K1146" s="177">
        <v>1.0</v>
      </c>
      <c r="L1146" s="174">
        <v>3.873635212E9</v>
      </c>
      <c r="M1146" s="367"/>
      <c r="N1146" s="206"/>
      <c r="O1146" s="206"/>
      <c r="P1146" s="206"/>
      <c r="Q1146" s="206"/>
      <c r="R1146" s="206"/>
      <c r="S1146" s="367"/>
      <c r="T1146" s="276"/>
      <c r="U1146" s="276"/>
      <c r="V1146" s="276"/>
      <c r="W1146" s="276"/>
      <c r="X1146" s="276"/>
      <c r="Y1146" s="276"/>
      <c r="Z1146" s="276"/>
      <c r="AA1146" s="276"/>
      <c r="AB1146" s="276"/>
      <c r="AC1146" s="276"/>
    </row>
    <row r="1147">
      <c r="A1147" s="108" t="s">
        <v>12219</v>
      </c>
      <c r="B1147" s="173">
        <v>46090.0</v>
      </c>
      <c r="C1147" s="374">
        <v>8.07000035327E11</v>
      </c>
      <c r="D1147" s="374" t="s">
        <v>12220</v>
      </c>
      <c r="E1147" s="374" t="s">
        <v>12221</v>
      </c>
      <c r="F1147" s="177" t="s">
        <v>12222</v>
      </c>
      <c r="G1147" s="177" t="s">
        <v>127</v>
      </c>
      <c r="H1147" s="177">
        <v>4400.0</v>
      </c>
      <c r="I1147" s="176" t="s">
        <v>4220</v>
      </c>
      <c r="J1147" s="374" t="s">
        <v>4221</v>
      </c>
      <c r="K1147" s="177">
        <v>1.0</v>
      </c>
      <c r="L1147" s="174">
        <v>3.874480004E9</v>
      </c>
      <c r="M1147" s="367"/>
      <c r="N1147" s="429">
        <v>46090.0</v>
      </c>
      <c r="O1147" s="430" t="s">
        <v>13338</v>
      </c>
      <c r="P1147" s="431"/>
      <c r="Q1147" s="430" t="s">
        <v>13339</v>
      </c>
      <c r="R1147" s="432" t="s">
        <v>13903</v>
      </c>
      <c r="S1147" s="367"/>
      <c r="T1147" s="276"/>
      <c r="U1147" s="276"/>
      <c r="V1147" s="276"/>
      <c r="W1147" s="276"/>
      <c r="X1147" s="276"/>
      <c r="Y1147" s="276"/>
      <c r="Z1147" s="276"/>
      <c r="AA1147" s="276"/>
      <c r="AB1147" s="276"/>
      <c r="AC1147" s="276"/>
    </row>
    <row r="1148">
      <c r="A1148" s="108" t="s">
        <v>12219</v>
      </c>
      <c r="B1148" s="173">
        <v>46090.0</v>
      </c>
      <c r="C1148" s="374">
        <v>8.07000035327E11</v>
      </c>
      <c r="D1148" s="374" t="s">
        <v>12220</v>
      </c>
      <c r="E1148" s="374" t="s">
        <v>12221</v>
      </c>
      <c r="F1148" s="177" t="s">
        <v>12222</v>
      </c>
      <c r="G1148" s="177" t="s">
        <v>127</v>
      </c>
      <c r="H1148" s="177">
        <v>4400.0</v>
      </c>
      <c r="I1148" s="176" t="s">
        <v>3154</v>
      </c>
      <c r="J1148" s="374" t="s">
        <v>4564</v>
      </c>
      <c r="K1148" s="177">
        <v>1.0</v>
      </c>
      <c r="L1148" s="174">
        <v>3.874480004E9</v>
      </c>
      <c r="M1148" s="367"/>
      <c r="N1148" s="209"/>
      <c r="O1148" s="209"/>
      <c r="P1148" s="209"/>
      <c r="Q1148" s="209"/>
      <c r="R1148" s="209"/>
      <c r="S1148" s="367"/>
      <c r="T1148" s="276"/>
      <c r="U1148" s="276"/>
      <c r="V1148" s="276"/>
      <c r="W1148" s="276"/>
      <c r="X1148" s="276"/>
      <c r="Y1148" s="276"/>
      <c r="Z1148" s="276"/>
      <c r="AA1148" s="276"/>
      <c r="AB1148" s="276"/>
      <c r="AC1148" s="276"/>
    </row>
    <row r="1149">
      <c r="A1149" s="108" t="s">
        <v>12219</v>
      </c>
      <c r="B1149" s="173">
        <v>46090.0</v>
      </c>
      <c r="C1149" s="374">
        <v>8.07000035327E11</v>
      </c>
      <c r="D1149" s="374" t="s">
        <v>12220</v>
      </c>
      <c r="E1149" s="374" t="s">
        <v>12221</v>
      </c>
      <c r="F1149" s="177" t="s">
        <v>12222</v>
      </c>
      <c r="G1149" s="177" t="s">
        <v>127</v>
      </c>
      <c r="H1149" s="177">
        <v>4400.0</v>
      </c>
      <c r="I1149" s="176" t="s">
        <v>512</v>
      </c>
      <c r="J1149" s="374" t="s">
        <v>513</v>
      </c>
      <c r="K1149" s="177">
        <v>6.0</v>
      </c>
      <c r="L1149" s="174">
        <v>3.874480004E9</v>
      </c>
      <c r="M1149" s="367"/>
      <c r="N1149" s="209"/>
      <c r="O1149" s="209"/>
      <c r="P1149" s="209"/>
      <c r="Q1149" s="209"/>
      <c r="R1149" s="209"/>
      <c r="S1149" s="367"/>
      <c r="T1149" s="276"/>
      <c r="U1149" s="276"/>
      <c r="V1149" s="276"/>
      <c r="W1149" s="276"/>
      <c r="X1149" s="276"/>
      <c r="Y1149" s="276"/>
      <c r="Z1149" s="276"/>
      <c r="AA1149" s="276"/>
      <c r="AB1149" s="276"/>
      <c r="AC1149" s="276"/>
    </row>
    <row r="1150">
      <c r="A1150" s="108" t="s">
        <v>12219</v>
      </c>
      <c r="B1150" s="173">
        <v>46090.0</v>
      </c>
      <c r="C1150" s="374">
        <v>8.07000035327E11</v>
      </c>
      <c r="D1150" s="374" t="s">
        <v>12220</v>
      </c>
      <c r="E1150" s="374" t="s">
        <v>12221</v>
      </c>
      <c r="F1150" s="177" t="s">
        <v>12222</v>
      </c>
      <c r="G1150" s="177" t="s">
        <v>127</v>
      </c>
      <c r="H1150" s="177">
        <v>4400.0</v>
      </c>
      <c r="I1150" s="176" t="s">
        <v>2031</v>
      </c>
      <c r="J1150" s="374" t="s">
        <v>3348</v>
      </c>
      <c r="K1150" s="177">
        <v>1.0</v>
      </c>
      <c r="L1150" s="174">
        <v>3.874480004E9</v>
      </c>
      <c r="M1150" s="367"/>
      <c r="N1150" s="206"/>
      <c r="O1150" s="206"/>
      <c r="P1150" s="206"/>
      <c r="Q1150" s="206"/>
      <c r="R1150" s="206"/>
      <c r="S1150" s="367"/>
      <c r="T1150" s="276"/>
      <c r="U1150" s="276"/>
      <c r="V1150" s="276"/>
      <c r="W1150" s="276"/>
      <c r="X1150" s="276"/>
      <c r="Y1150" s="276"/>
      <c r="Z1150" s="276"/>
      <c r="AA1150" s="276"/>
      <c r="AB1150" s="276"/>
      <c r="AC1150" s="276"/>
    </row>
    <row r="1151">
      <c r="A1151" s="108" t="s">
        <v>12223</v>
      </c>
      <c r="B1151" s="173">
        <v>46090.0</v>
      </c>
      <c r="C1151" s="374">
        <v>8.07000035335E11</v>
      </c>
      <c r="D1151" s="374" t="s">
        <v>12224</v>
      </c>
      <c r="E1151" s="374" t="s">
        <v>12225</v>
      </c>
      <c r="F1151" s="177" t="s">
        <v>12226</v>
      </c>
      <c r="G1151" s="177" t="s">
        <v>12227</v>
      </c>
      <c r="H1151" s="177">
        <v>4400.0</v>
      </c>
      <c r="I1151" s="176" t="s">
        <v>1083</v>
      </c>
      <c r="J1151" s="374" t="s">
        <v>4426</v>
      </c>
      <c r="K1151" s="177">
        <v>1.0</v>
      </c>
      <c r="L1151" s="174">
        <v>3.874873111E9</v>
      </c>
      <c r="M1151" s="367"/>
      <c r="N1151" s="429">
        <v>46090.0</v>
      </c>
      <c r="O1151" s="430" t="s">
        <v>13338</v>
      </c>
      <c r="P1151" s="431"/>
      <c r="Q1151" s="430" t="s">
        <v>13339</v>
      </c>
      <c r="R1151" s="432" t="s">
        <v>13904</v>
      </c>
      <c r="S1151" s="367"/>
      <c r="T1151" s="276"/>
      <c r="U1151" s="276"/>
      <c r="V1151" s="276"/>
      <c r="W1151" s="276"/>
      <c r="X1151" s="276"/>
      <c r="Y1151" s="276"/>
      <c r="Z1151" s="276"/>
      <c r="AA1151" s="276"/>
      <c r="AB1151" s="276"/>
      <c r="AC1151" s="276"/>
    </row>
    <row r="1152">
      <c r="A1152" s="108" t="s">
        <v>12223</v>
      </c>
      <c r="B1152" s="173">
        <v>46090.0</v>
      </c>
      <c r="C1152" s="374">
        <v>8.07000035335E11</v>
      </c>
      <c r="D1152" s="374" t="s">
        <v>12224</v>
      </c>
      <c r="E1152" s="374" t="s">
        <v>12225</v>
      </c>
      <c r="F1152" s="177" t="s">
        <v>12226</v>
      </c>
      <c r="G1152" s="177" t="s">
        <v>12227</v>
      </c>
      <c r="H1152" s="177">
        <v>4400.0</v>
      </c>
      <c r="I1152" s="176" t="s">
        <v>512</v>
      </c>
      <c r="J1152" s="374" t="s">
        <v>513</v>
      </c>
      <c r="K1152" s="177">
        <v>12.0</v>
      </c>
      <c r="L1152" s="174">
        <v>3.874873111E9</v>
      </c>
      <c r="M1152" s="367"/>
      <c r="N1152" s="209"/>
      <c r="O1152" s="209"/>
      <c r="P1152" s="209"/>
      <c r="Q1152" s="209"/>
      <c r="R1152" s="209"/>
      <c r="S1152" s="367"/>
      <c r="T1152" s="276"/>
      <c r="U1152" s="276"/>
      <c r="V1152" s="276"/>
      <c r="W1152" s="276"/>
      <c r="X1152" s="276"/>
      <c r="Y1152" s="276"/>
      <c r="Z1152" s="276"/>
      <c r="AA1152" s="276"/>
      <c r="AB1152" s="276"/>
      <c r="AC1152" s="276"/>
    </row>
    <row r="1153">
      <c r="A1153" s="108" t="s">
        <v>12223</v>
      </c>
      <c r="B1153" s="173">
        <v>46090.0</v>
      </c>
      <c r="C1153" s="374">
        <v>8.07000035335E11</v>
      </c>
      <c r="D1153" s="374" t="s">
        <v>12224</v>
      </c>
      <c r="E1153" s="374" t="s">
        <v>12225</v>
      </c>
      <c r="F1153" s="177" t="s">
        <v>12226</v>
      </c>
      <c r="G1153" s="177" t="s">
        <v>12227</v>
      </c>
      <c r="H1153" s="177">
        <v>4400.0</v>
      </c>
      <c r="I1153" s="176" t="s">
        <v>121</v>
      </c>
      <c r="J1153" s="374" t="s">
        <v>3199</v>
      </c>
      <c r="K1153" s="177">
        <v>2.0</v>
      </c>
      <c r="L1153" s="174">
        <v>3.874873111E9</v>
      </c>
      <c r="M1153" s="367"/>
      <c r="N1153" s="206"/>
      <c r="O1153" s="206"/>
      <c r="P1153" s="206"/>
      <c r="Q1153" s="206"/>
      <c r="R1153" s="206"/>
      <c r="S1153" s="367"/>
      <c r="T1153" s="276"/>
      <c r="U1153" s="276"/>
      <c r="V1153" s="276"/>
      <c r="W1153" s="276"/>
      <c r="X1153" s="276"/>
      <c r="Y1153" s="276"/>
      <c r="Z1153" s="276"/>
      <c r="AA1153" s="276"/>
      <c r="AB1153" s="276"/>
      <c r="AC1153" s="276"/>
    </row>
    <row r="1154">
      <c r="A1154" s="108" t="s">
        <v>12228</v>
      </c>
      <c r="B1154" s="173">
        <v>46090.0</v>
      </c>
      <c r="C1154" s="374">
        <v>8.07000035353E11</v>
      </c>
      <c r="D1154" s="374" t="s">
        <v>12229</v>
      </c>
      <c r="E1154" s="374" t="s">
        <v>12230</v>
      </c>
      <c r="F1154" s="177" t="s">
        <v>12231</v>
      </c>
      <c r="G1154" s="177" t="s">
        <v>4645</v>
      </c>
      <c r="H1154" s="177">
        <v>4400.0</v>
      </c>
      <c r="I1154" s="176" t="s">
        <v>2956</v>
      </c>
      <c r="J1154" s="374" t="s">
        <v>3327</v>
      </c>
      <c r="K1154" s="177">
        <v>2.0</v>
      </c>
      <c r="L1154" s="174">
        <v>3.874634721E9</v>
      </c>
      <c r="M1154" s="367"/>
      <c r="N1154" s="433">
        <v>46093.0</v>
      </c>
      <c r="O1154" s="261" t="s">
        <v>13338</v>
      </c>
      <c r="P1154" s="367"/>
      <c r="Q1154" s="261" t="s">
        <v>9012</v>
      </c>
      <c r="R1154" s="434" t="s">
        <v>13905</v>
      </c>
      <c r="S1154" s="367"/>
      <c r="T1154" s="276"/>
      <c r="U1154" s="276"/>
      <c r="V1154" s="276"/>
      <c r="W1154" s="276"/>
      <c r="X1154" s="276"/>
      <c r="Y1154" s="276"/>
      <c r="Z1154" s="276"/>
      <c r="AA1154" s="276"/>
      <c r="AB1154" s="276"/>
      <c r="AC1154" s="276"/>
    </row>
    <row r="1155">
      <c r="A1155" s="108" t="s">
        <v>12232</v>
      </c>
      <c r="B1155" s="173">
        <v>46092.0</v>
      </c>
      <c r="C1155" s="374">
        <v>8.07000035338E11</v>
      </c>
      <c r="D1155" s="374" t="s">
        <v>12233</v>
      </c>
      <c r="E1155" s="374" t="s">
        <v>12234</v>
      </c>
      <c r="F1155" s="177" t="s">
        <v>12235</v>
      </c>
      <c r="G1155" s="177" t="s">
        <v>104</v>
      </c>
      <c r="H1155" s="177">
        <v>4400.0</v>
      </c>
      <c r="I1155" s="176" t="s">
        <v>3131</v>
      </c>
      <c r="J1155" s="374" t="s">
        <v>3416</v>
      </c>
      <c r="K1155" s="177">
        <v>1.0</v>
      </c>
      <c r="L1155" s="174">
        <v>3.874851904E9</v>
      </c>
      <c r="M1155" s="367"/>
      <c r="N1155" s="429">
        <v>46093.0</v>
      </c>
      <c r="O1155" s="430" t="s">
        <v>13338</v>
      </c>
      <c r="P1155" s="431"/>
      <c r="Q1155" s="430" t="s">
        <v>9012</v>
      </c>
      <c r="R1155" s="432" t="s">
        <v>13906</v>
      </c>
      <c r="S1155" s="367"/>
      <c r="T1155" s="276"/>
      <c r="U1155" s="276"/>
      <c r="V1155" s="276"/>
      <c r="W1155" s="276"/>
      <c r="X1155" s="276"/>
      <c r="Y1155" s="276"/>
      <c r="Z1155" s="276"/>
      <c r="AA1155" s="276"/>
      <c r="AB1155" s="276"/>
      <c r="AC1155" s="276"/>
    </row>
    <row r="1156">
      <c r="A1156" s="108" t="s">
        <v>12232</v>
      </c>
      <c r="B1156" s="173">
        <v>46092.0</v>
      </c>
      <c r="C1156" s="374">
        <v>8.07000035338E11</v>
      </c>
      <c r="D1156" s="374" t="s">
        <v>12233</v>
      </c>
      <c r="E1156" s="374" t="s">
        <v>12234</v>
      </c>
      <c r="F1156" s="177" t="s">
        <v>12235</v>
      </c>
      <c r="G1156" s="177" t="s">
        <v>104</v>
      </c>
      <c r="H1156" s="177">
        <v>4400.0</v>
      </c>
      <c r="I1156" s="176" t="s">
        <v>3817</v>
      </c>
      <c r="J1156" s="374" t="s">
        <v>3818</v>
      </c>
      <c r="K1156" s="177">
        <v>1.0</v>
      </c>
      <c r="L1156" s="174">
        <v>3.874851904E9</v>
      </c>
      <c r="M1156" s="367"/>
      <c r="N1156" s="209"/>
      <c r="O1156" s="209"/>
      <c r="P1156" s="209"/>
      <c r="Q1156" s="209"/>
      <c r="R1156" s="209"/>
      <c r="S1156" s="367"/>
      <c r="T1156" s="276"/>
      <c r="U1156" s="276"/>
      <c r="V1156" s="276"/>
      <c r="W1156" s="276"/>
      <c r="X1156" s="276"/>
      <c r="Y1156" s="276"/>
      <c r="Z1156" s="276"/>
      <c r="AA1156" s="276"/>
      <c r="AB1156" s="276"/>
      <c r="AC1156" s="276"/>
    </row>
    <row r="1157">
      <c r="A1157" s="108" t="s">
        <v>12232</v>
      </c>
      <c r="B1157" s="173">
        <v>46092.0</v>
      </c>
      <c r="C1157" s="374">
        <v>8.07000035338E11</v>
      </c>
      <c r="D1157" s="374" t="s">
        <v>12233</v>
      </c>
      <c r="E1157" s="374" t="s">
        <v>12234</v>
      </c>
      <c r="F1157" s="177" t="s">
        <v>12235</v>
      </c>
      <c r="G1157" s="177" t="s">
        <v>104</v>
      </c>
      <c r="H1157" s="177">
        <v>4400.0</v>
      </c>
      <c r="I1157" s="176" t="s">
        <v>512</v>
      </c>
      <c r="J1157" s="374" t="s">
        <v>513</v>
      </c>
      <c r="K1157" s="177">
        <v>18.0</v>
      </c>
      <c r="L1157" s="174">
        <v>3.874851904E9</v>
      </c>
      <c r="M1157" s="367"/>
      <c r="N1157" s="209"/>
      <c r="O1157" s="209"/>
      <c r="P1157" s="209"/>
      <c r="Q1157" s="209"/>
      <c r="R1157" s="209"/>
      <c r="S1157" s="367"/>
      <c r="T1157" s="276"/>
      <c r="U1157" s="276"/>
      <c r="V1157" s="276"/>
      <c r="W1157" s="276"/>
      <c r="X1157" s="276"/>
      <c r="Y1157" s="276"/>
      <c r="Z1157" s="276"/>
      <c r="AA1157" s="276"/>
      <c r="AB1157" s="276"/>
      <c r="AC1157" s="276"/>
    </row>
    <row r="1158">
      <c r="A1158" s="108" t="s">
        <v>12232</v>
      </c>
      <c r="B1158" s="173">
        <v>46092.0</v>
      </c>
      <c r="C1158" s="374">
        <v>8.07000035338E11</v>
      </c>
      <c r="D1158" s="374" t="s">
        <v>12233</v>
      </c>
      <c r="E1158" s="374" t="s">
        <v>12234</v>
      </c>
      <c r="F1158" s="177" t="s">
        <v>12235</v>
      </c>
      <c r="G1158" s="177" t="s">
        <v>104</v>
      </c>
      <c r="H1158" s="177">
        <v>4400.0</v>
      </c>
      <c r="I1158" s="176" t="s">
        <v>340</v>
      </c>
      <c r="J1158" s="374" t="s">
        <v>3486</v>
      </c>
      <c r="K1158" s="177">
        <v>2.0</v>
      </c>
      <c r="L1158" s="174">
        <v>3.874851904E9</v>
      </c>
      <c r="M1158" s="367"/>
      <c r="N1158" s="209"/>
      <c r="O1158" s="209"/>
      <c r="P1158" s="209"/>
      <c r="Q1158" s="209"/>
      <c r="R1158" s="209"/>
      <c r="S1158" s="367"/>
      <c r="T1158" s="276"/>
      <c r="U1158" s="276"/>
      <c r="V1158" s="276"/>
      <c r="W1158" s="276"/>
      <c r="X1158" s="276"/>
      <c r="Y1158" s="276"/>
      <c r="Z1158" s="276"/>
      <c r="AA1158" s="276"/>
      <c r="AB1158" s="276"/>
      <c r="AC1158" s="276"/>
    </row>
    <row r="1159">
      <c r="A1159" s="108" t="s">
        <v>12232</v>
      </c>
      <c r="B1159" s="173">
        <v>46092.0</v>
      </c>
      <c r="C1159" s="374">
        <v>8.07000035338E11</v>
      </c>
      <c r="D1159" s="374" t="s">
        <v>12233</v>
      </c>
      <c r="E1159" s="374" t="s">
        <v>12234</v>
      </c>
      <c r="F1159" s="177" t="s">
        <v>12235</v>
      </c>
      <c r="G1159" s="177" t="s">
        <v>104</v>
      </c>
      <c r="H1159" s="177">
        <v>4400.0</v>
      </c>
      <c r="I1159" s="176" t="s">
        <v>35</v>
      </c>
      <c r="J1159" s="374" t="s">
        <v>3188</v>
      </c>
      <c r="K1159" s="177">
        <v>1.0</v>
      </c>
      <c r="L1159" s="174">
        <v>3.874851904E9</v>
      </c>
      <c r="M1159" s="367"/>
      <c r="N1159" s="206"/>
      <c r="O1159" s="206"/>
      <c r="P1159" s="206"/>
      <c r="Q1159" s="206"/>
      <c r="R1159" s="206"/>
      <c r="S1159" s="367"/>
      <c r="T1159" s="276"/>
      <c r="U1159" s="276"/>
      <c r="V1159" s="276"/>
      <c r="W1159" s="276"/>
      <c r="X1159" s="276"/>
      <c r="Y1159" s="276"/>
      <c r="Z1159" s="276"/>
      <c r="AA1159" s="276"/>
      <c r="AB1159" s="276"/>
      <c r="AC1159" s="276"/>
    </row>
    <row r="1160">
      <c r="A1160" s="108" t="s">
        <v>12236</v>
      </c>
      <c r="B1160" s="173">
        <v>46092.0</v>
      </c>
      <c r="C1160" s="374">
        <v>8.0700003524E11</v>
      </c>
      <c r="D1160" s="374" t="s">
        <v>12237</v>
      </c>
      <c r="E1160" s="374" t="s">
        <v>12238</v>
      </c>
      <c r="F1160" s="145" t="s">
        <v>12239</v>
      </c>
      <c r="G1160" s="145" t="s">
        <v>127</v>
      </c>
      <c r="H1160" s="145">
        <v>4400.0</v>
      </c>
      <c r="I1160" s="176" t="s">
        <v>512</v>
      </c>
      <c r="J1160" s="374" t="s">
        <v>513</v>
      </c>
      <c r="K1160" s="177">
        <v>12.0</v>
      </c>
      <c r="L1160" s="174">
        <v>3.8741679E9</v>
      </c>
      <c r="M1160" s="367"/>
      <c r="N1160" s="429">
        <v>46093.0</v>
      </c>
      <c r="O1160" s="430" t="s">
        <v>9011</v>
      </c>
      <c r="P1160" s="431"/>
      <c r="Q1160" s="430" t="s">
        <v>13339</v>
      </c>
      <c r="R1160" s="432" t="s">
        <v>13907</v>
      </c>
      <c r="S1160" s="367"/>
      <c r="T1160" s="276"/>
      <c r="U1160" s="276"/>
      <c r="V1160" s="276"/>
      <c r="W1160" s="276"/>
      <c r="X1160" s="276"/>
      <c r="Y1160" s="276"/>
      <c r="Z1160" s="276"/>
      <c r="AA1160" s="276"/>
      <c r="AB1160" s="276"/>
      <c r="AC1160" s="276"/>
    </row>
    <row r="1161">
      <c r="A1161" s="108" t="s">
        <v>12236</v>
      </c>
      <c r="B1161" s="173">
        <v>46092.0</v>
      </c>
      <c r="C1161" s="374">
        <v>8.07000035241E11</v>
      </c>
      <c r="D1161" s="374" t="s">
        <v>12237</v>
      </c>
      <c r="E1161" s="374" t="s">
        <v>12238</v>
      </c>
      <c r="F1161" s="145" t="s">
        <v>12239</v>
      </c>
      <c r="G1161" s="145" t="s">
        <v>127</v>
      </c>
      <c r="H1161" s="145">
        <v>4400.0</v>
      </c>
      <c r="I1161" s="176" t="s">
        <v>233</v>
      </c>
      <c r="J1161" s="374" t="s">
        <v>3459</v>
      </c>
      <c r="K1161" s="177">
        <v>2.0</v>
      </c>
      <c r="L1161" s="174">
        <v>3.8741679E9</v>
      </c>
      <c r="M1161" s="367"/>
      <c r="N1161" s="206"/>
      <c r="O1161" s="206"/>
      <c r="P1161" s="206"/>
      <c r="Q1161" s="206"/>
      <c r="R1161" s="206"/>
      <c r="S1161" s="367"/>
      <c r="T1161" s="276"/>
      <c r="U1161" s="276"/>
      <c r="V1161" s="276"/>
      <c r="W1161" s="276"/>
      <c r="X1161" s="276"/>
      <c r="Y1161" s="276"/>
      <c r="Z1161" s="276"/>
      <c r="AA1161" s="276"/>
      <c r="AB1161" s="276"/>
      <c r="AC1161" s="276"/>
    </row>
    <row r="1162">
      <c r="A1162" s="108" t="s">
        <v>12240</v>
      </c>
      <c r="B1162" s="173">
        <v>46094.0</v>
      </c>
      <c r="C1162" s="374">
        <v>8.07000035394E11</v>
      </c>
      <c r="D1162" s="374" t="s">
        <v>12241</v>
      </c>
      <c r="E1162" s="374" t="s">
        <v>12242</v>
      </c>
      <c r="F1162" s="177" t="s">
        <v>12243</v>
      </c>
      <c r="G1162" s="177" t="s">
        <v>127</v>
      </c>
      <c r="H1162" s="177">
        <v>4400.0</v>
      </c>
      <c r="I1162" s="176" t="s">
        <v>512</v>
      </c>
      <c r="J1162" s="374" t="s">
        <v>513</v>
      </c>
      <c r="K1162" s="177">
        <v>12.0</v>
      </c>
      <c r="L1162" s="174">
        <v>3.875420331E9</v>
      </c>
      <c r="M1162" s="367"/>
      <c r="N1162" s="429">
        <v>46095.0</v>
      </c>
      <c r="O1162" s="430" t="s">
        <v>13338</v>
      </c>
      <c r="P1162" s="431"/>
      <c r="Q1162" s="430" t="s">
        <v>13908</v>
      </c>
      <c r="R1162" s="432" t="s">
        <v>13909</v>
      </c>
      <c r="S1162" s="367"/>
      <c r="T1162" s="276"/>
      <c r="U1162" s="276"/>
      <c r="V1162" s="276"/>
      <c r="W1162" s="276"/>
      <c r="X1162" s="276"/>
      <c r="Y1162" s="276"/>
      <c r="Z1162" s="276"/>
      <c r="AA1162" s="276"/>
      <c r="AB1162" s="276"/>
      <c r="AC1162" s="276"/>
    </row>
    <row r="1163">
      <c r="A1163" s="108" t="s">
        <v>12240</v>
      </c>
      <c r="B1163" s="173">
        <v>46094.0</v>
      </c>
      <c r="C1163" s="374">
        <v>8.07000035395E11</v>
      </c>
      <c r="D1163" s="374" t="s">
        <v>12241</v>
      </c>
      <c r="E1163" s="374" t="s">
        <v>12242</v>
      </c>
      <c r="F1163" s="177" t="s">
        <v>12243</v>
      </c>
      <c r="G1163" s="177" t="s">
        <v>127</v>
      </c>
      <c r="H1163" s="177">
        <v>4400.0</v>
      </c>
      <c r="I1163" s="176" t="s">
        <v>7955</v>
      </c>
      <c r="J1163" s="374" t="s">
        <v>7956</v>
      </c>
      <c r="K1163" s="177">
        <v>1.0</v>
      </c>
      <c r="L1163" s="174">
        <v>3.875420331E9</v>
      </c>
      <c r="M1163" s="367"/>
      <c r="N1163" s="209"/>
      <c r="O1163" s="209"/>
      <c r="P1163" s="209"/>
      <c r="Q1163" s="209"/>
      <c r="R1163" s="209"/>
      <c r="S1163" s="367"/>
      <c r="T1163" s="276"/>
      <c r="U1163" s="276"/>
      <c r="V1163" s="276"/>
      <c r="W1163" s="276"/>
      <c r="X1163" s="276"/>
      <c r="Y1163" s="276"/>
      <c r="Z1163" s="276"/>
      <c r="AA1163" s="276"/>
      <c r="AB1163" s="276"/>
      <c r="AC1163" s="276"/>
    </row>
    <row r="1164">
      <c r="A1164" s="108" t="s">
        <v>12240</v>
      </c>
      <c r="B1164" s="173">
        <v>46094.0</v>
      </c>
      <c r="C1164" s="374">
        <v>8.07000035395E11</v>
      </c>
      <c r="D1164" s="374" t="s">
        <v>12241</v>
      </c>
      <c r="E1164" s="374" t="s">
        <v>12242</v>
      </c>
      <c r="F1164" s="177" t="s">
        <v>12243</v>
      </c>
      <c r="G1164" s="177" t="s">
        <v>127</v>
      </c>
      <c r="H1164" s="177">
        <v>4400.0</v>
      </c>
      <c r="I1164" s="176" t="s">
        <v>758</v>
      </c>
      <c r="J1164" s="374" t="s">
        <v>3574</v>
      </c>
      <c r="K1164" s="177">
        <v>2.0</v>
      </c>
      <c r="L1164" s="174">
        <v>3.875420331E9</v>
      </c>
      <c r="M1164" s="367"/>
      <c r="N1164" s="206"/>
      <c r="O1164" s="206"/>
      <c r="P1164" s="206"/>
      <c r="Q1164" s="206"/>
      <c r="R1164" s="206"/>
      <c r="S1164" s="367"/>
      <c r="T1164" s="276"/>
      <c r="U1164" s="276"/>
      <c r="V1164" s="276"/>
      <c r="W1164" s="276"/>
      <c r="X1164" s="276"/>
      <c r="Y1164" s="276"/>
      <c r="Z1164" s="276"/>
      <c r="AA1164" s="276"/>
      <c r="AB1164" s="276"/>
      <c r="AC1164" s="276"/>
    </row>
    <row r="1165">
      <c r="A1165" s="108" t="s">
        <v>12244</v>
      </c>
      <c r="B1165" s="173">
        <v>46094.0</v>
      </c>
      <c r="C1165" s="374">
        <v>8.070000354E11</v>
      </c>
      <c r="D1165" s="374" t="s">
        <v>12245</v>
      </c>
      <c r="E1165" s="374" t="s">
        <v>12246</v>
      </c>
      <c r="F1165" s="177" t="s">
        <v>12247</v>
      </c>
      <c r="G1165" s="177" t="s">
        <v>3047</v>
      </c>
      <c r="H1165" s="177">
        <v>4400.0</v>
      </c>
      <c r="I1165" s="176">
        <v>125819.0</v>
      </c>
      <c r="J1165" s="374" t="s">
        <v>9858</v>
      </c>
      <c r="K1165" s="177">
        <v>2.0</v>
      </c>
      <c r="L1165" s="174">
        <v>1.164554839E9</v>
      </c>
      <c r="M1165" s="367"/>
      <c r="N1165" s="429">
        <v>46095.0</v>
      </c>
      <c r="O1165" s="430" t="s">
        <v>13338</v>
      </c>
      <c r="P1165" s="431"/>
      <c r="Q1165" s="430" t="s">
        <v>13339</v>
      </c>
      <c r="R1165" s="432" t="s">
        <v>13910</v>
      </c>
      <c r="S1165" s="367"/>
      <c r="T1165" s="276"/>
      <c r="U1165" s="276"/>
      <c r="V1165" s="276"/>
      <c r="W1165" s="276"/>
      <c r="X1165" s="276"/>
      <c r="Y1165" s="276"/>
      <c r="Z1165" s="276"/>
      <c r="AA1165" s="276"/>
      <c r="AB1165" s="276"/>
      <c r="AC1165" s="276"/>
    </row>
    <row r="1166">
      <c r="A1166" s="108" t="s">
        <v>12244</v>
      </c>
      <c r="B1166" s="173">
        <v>46094.0</v>
      </c>
      <c r="C1166" s="374">
        <v>8.070000354E11</v>
      </c>
      <c r="D1166" s="374" t="s">
        <v>12245</v>
      </c>
      <c r="E1166" s="374" t="s">
        <v>12246</v>
      </c>
      <c r="F1166" s="177" t="s">
        <v>12247</v>
      </c>
      <c r="G1166" s="177" t="s">
        <v>3047</v>
      </c>
      <c r="H1166" s="177">
        <v>4400.0</v>
      </c>
      <c r="I1166" s="176" t="s">
        <v>512</v>
      </c>
      <c r="J1166" s="374" t="s">
        <v>513</v>
      </c>
      <c r="K1166" s="177">
        <v>6.0</v>
      </c>
      <c r="L1166" s="174">
        <v>1.164554839E9</v>
      </c>
      <c r="M1166" s="367"/>
      <c r="N1166" s="209"/>
      <c r="O1166" s="209"/>
      <c r="P1166" s="209"/>
      <c r="Q1166" s="209"/>
      <c r="R1166" s="209"/>
      <c r="S1166" s="367"/>
      <c r="T1166" s="276"/>
      <c r="U1166" s="276"/>
      <c r="V1166" s="276"/>
      <c r="W1166" s="276"/>
      <c r="X1166" s="276"/>
      <c r="Y1166" s="276"/>
      <c r="Z1166" s="276"/>
      <c r="AA1166" s="276"/>
      <c r="AB1166" s="276"/>
      <c r="AC1166" s="276"/>
    </row>
    <row r="1167">
      <c r="A1167" s="108" t="s">
        <v>12244</v>
      </c>
      <c r="B1167" s="173">
        <v>46094.0</v>
      </c>
      <c r="C1167" s="374">
        <v>8.07000035401E11</v>
      </c>
      <c r="D1167" s="374" t="s">
        <v>12245</v>
      </c>
      <c r="E1167" s="374" t="s">
        <v>12246</v>
      </c>
      <c r="F1167" s="177" t="s">
        <v>12247</v>
      </c>
      <c r="G1167" s="177" t="s">
        <v>3047</v>
      </c>
      <c r="H1167" s="177">
        <v>4400.0</v>
      </c>
      <c r="I1167" s="176" t="s">
        <v>947</v>
      </c>
      <c r="J1167" s="374" t="s">
        <v>3750</v>
      </c>
      <c r="K1167" s="177">
        <v>1.0</v>
      </c>
      <c r="L1167" s="174">
        <v>1.164554839E9</v>
      </c>
      <c r="M1167" s="367"/>
      <c r="N1167" s="209"/>
      <c r="O1167" s="209"/>
      <c r="P1167" s="209"/>
      <c r="Q1167" s="209"/>
      <c r="R1167" s="209"/>
      <c r="S1167" s="367"/>
      <c r="T1167" s="276"/>
      <c r="U1167" s="276"/>
      <c r="V1167" s="276"/>
      <c r="W1167" s="276"/>
      <c r="X1167" s="276"/>
      <c r="Y1167" s="276"/>
      <c r="Z1167" s="276"/>
      <c r="AA1167" s="276"/>
      <c r="AB1167" s="276"/>
      <c r="AC1167" s="276"/>
    </row>
    <row r="1168">
      <c r="A1168" s="108" t="s">
        <v>12244</v>
      </c>
      <c r="B1168" s="173">
        <v>46094.0</v>
      </c>
      <c r="C1168" s="374">
        <v>8.07000035401E11</v>
      </c>
      <c r="D1168" s="374" t="s">
        <v>12245</v>
      </c>
      <c r="E1168" s="374" t="s">
        <v>12246</v>
      </c>
      <c r="F1168" s="177" t="s">
        <v>12247</v>
      </c>
      <c r="G1168" s="177" t="s">
        <v>3047</v>
      </c>
      <c r="H1168" s="177">
        <v>4400.0</v>
      </c>
      <c r="I1168" s="176" t="s">
        <v>35</v>
      </c>
      <c r="J1168" s="374" t="s">
        <v>3188</v>
      </c>
      <c r="K1168" s="177">
        <v>1.0</v>
      </c>
      <c r="L1168" s="174">
        <v>1.164554839E9</v>
      </c>
      <c r="M1168" s="367"/>
      <c r="N1168" s="206"/>
      <c r="O1168" s="206"/>
      <c r="P1168" s="206"/>
      <c r="Q1168" s="206"/>
      <c r="R1168" s="206"/>
      <c r="S1168" s="367"/>
      <c r="T1168" s="276"/>
      <c r="U1168" s="276"/>
      <c r="V1168" s="276"/>
      <c r="W1168" s="276"/>
      <c r="X1168" s="276"/>
      <c r="Y1168" s="276"/>
      <c r="Z1168" s="276"/>
      <c r="AA1168" s="276"/>
      <c r="AB1168" s="276"/>
      <c r="AC1168" s="276"/>
    </row>
    <row r="1169">
      <c r="A1169" s="108" t="s">
        <v>12248</v>
      </c>
      <c r="B1169" s="173">
        <v>46095.0</v>
      </c>
      <c r="C1169" s="374">
        <v>8.07000035409E11</v>
      </c>
      <c r="D1169" s="374" t="s">
        <v>12249</v>
      </c>
      <c r="E1169" s="374" t="s">
        <v>12250</v>
      </c>
      <c r="F1169" s="145" t="s">
        <v>12251</v>
      </c>
      <c r="G1169" s="177" t="s">
        <v>127</v>
      </c>
      <c r="H1169" s="145">
        <v>4400.0</v>
      </c>
      <c r="I1169" s="176" t="s">
        <v>11325</v>
      </c>
      <c r="J1169" s="374" t="s">
        <v>11326</v>
      </c>
      <c r="K1169" s="177">
        <v>1.0</v>
      </c>
      <c r="L1169" s="174">
        <v>1.168723227E9</v>
      </c>
      <c r="M1169" s="367"/>
      <c r="N1169" s="429">
        <v>46098.0</v>
      </c>
      <c r="O1169" s="430" t="s">
        <v>13338</v>
      </c>
      <c r="P1169" s="431"/>
      <c r="Q1169" s="430" t="s">
        <v>13911</v>
      </c>
      <c r="R1169" s="432" t="s">
        <v>13912</v>
      </c>
      <c r="S1169" s="367"/>
      <c r="T1169" s="276"/>
      <c r="U1169" s="276"/>
      <c r="V1169" s="276"/>
      <c r="W1169" s="276"/>
      <c r="X1169" s="276"/>
      <c r="Y1169" s="276"/>
      <c r="Z1169" s="276"/>
      <c r="AA1169" s="276"/>
      <c r="AB1169" s="276"/>
      <c r="AC1169" s="276"/>
    </row>
    <row r="1170">
      <c r="A1170" s="108" t="s">
        <v>12248</v>
      </c>
      <c r="B1170" s="173">
        <v>46095.0</v>
      </c>
      <c r="C1170" s="374">
        <v>8.07000035409E11</v>
      </c>
      <c r="D1170" s="374" t="s">
        <v>12249</v>
      </c>
      <c r="E1170" s="374" t="s">
        <v>12250</v>
      </c>
      <c r="F1170" s="145" t="s">
        <v>12251</v>
      </c>
      <c r="G1170" s="177" t="s">
        <v>127</v>
      </c>
      <c r="H1170" s="145">
        <v>4400.0</v>
      </c>
      <c r="I1170" s="176" t="s">
        <v>512</v>
      </c>
      <c r="J1170" s="374" t="s">
        <v>513</v>
      </c>
      <c r="K1170" s="177">
        <v>12.0</v>
      </c>
      <c r="L1170" s="174">
        <v>1.168723227E9</v>
      </c>
      <c r="M1170" s="367"/>
      <c r="N1170" s="209"/>
      <c r="O1170" s="209"/>
      <c r="P1170" s="209"/>
      <c r="Q1170" s="209"/>
      <c r="R1170" s="209"/>
      <c r="S1170" s="367"/>
      <c r="T1170" s="276"/>
      <c r="U1170" s="276"/>
      <c r="V1170" s="276"/>
      <c r="W1170" s="276"/>
      <c r="X1170" s="276"/>
      <c r="Y1170" s="276"/>
      <c r="Z1170" s="276"/>
      <c r="AA1170" s="276"/>
      <c r="AB1170" s="276"/>
      <c r="AC1170" s="276"/>
    </row>
    <row r="1171">
      <c r="A1171" s="108" t="s">
        <v>12248</v>
      </c>
      <c r="B1171" s="173">
        <v>46095.0</v>
      </c>
      <c r="C1171" s="374">
        <v>8.07000035409E11</v>
      </c>
      <c r="D1171" s="374" t="s">
        <v>12249</v>
      </c>
      <c r="E1171" s="374" t="s">
        <v>12250</v>
      </c>
      <c r="F1171" s="145" t="s">
        <v>12251</v>
      </c>
      <c r="G1171" s="177" t="s">
        <v>127</v>
      </c>
      <c r="H1171" s="145">
        <v>4400.0</v>
      </c>
      <c r="I1171" s="176" t="s">
        <v>758</v>
      </c>
      <c r="J1171" s="374" t="s">
        <v>3574</v>
      </c>
      <c r="K1171" s="177">
        <v>2.0</v>
      </c>
      <c r="L1171" s="174">
        <v>1.168723227E9</v>
      </c>
      <c r="M1171" s="367"/>
      <c r="N1171" s="206"/>
      <c r="O1171" s="206"/>
      <c r="P1171" s="206"/>
      <c r="Q1171" s="206"/>
      <c r="R1171" s="206"/>
      <c r="S1171" s="367"/>
      <c r="T1171" s="276"/>
      <c r="U1171" s="276"/>
      <c r="V1171" s="276"/>
      <c r="W1171" s="276"/>
      <c r="X1171" s="276"/>
      <c r="Y1171" s="276"/>
      <c r="Z1171" s="276"/>
      <c r="AA1171" s="276"/>
      <c r="AB1171" s="276"/>
      <c r="AC1171" s="276"/>
    </row>
    <row r="1172">
      <c r="A1172" s="108" t="s">
        <v>12252</v>
      </c>
      <c r="B1172" s="173">
        <v>46095.0</v>
      </c>
      <c r="C1172" s="374">
        <v>8.07000035414E11</v>
      </c>
      <c r="D1172" s="374" t="s">
        <v>12253</v>
      </c>
      <c r="E1172" s="374" t="s">
        <v>12254</v>
      </c>
      <c r="F1172" s="145" t="s">
        <v>12255</v>
      </c>
      <c r="G1172" s="177" t="s">
        <v>127</v>
      </c>
      <c r="H1172" s="145">
        <v>4400.0</v>
      </c>
      <c r="I1172" s="176">
        <v>125812.0</v>
      </c>
      <c r="J1172" s="374" t="s">
        <v>9317</v>
      </c>
      <c r="K1172" s="177">
        <v>2.0</v>
      </c>
      <c r="L1172" s="174">
        <v>3.876111735E9</v>
      </c>
      <c r="M1172" s="367"/>
      <c r="N1172" s="429">
        <v>46098.0</v>
      </c>
      <c r="O1172" s="430" t="s">
        <v>13338</v>
      </c>
      <c r="P1172" s="431"/>
      <c r="Q1172" s="430" t="s">
        <v>13339</v>
      </c>
      <c r="R1172" s="432" t="s">
        <v>13913</v>
      </c>
      <c r="S1172" s="367"/>
      <c r="T1172" s="276"/>
      <c r="U1172" s="276"/>
      <c r="V1172" s="276"/>
      <c r="W1172" s="276"/>
      <c r="X1172" s="276"/>
      <c r="Y1172" s="276"/>
      <c r="Z1172" s="276"/>
      <c r="AA1172" s="276"/>
      <c r="AB1172" s="276"/>
      <c r="AC1172" s="276"/>
    </row>
    <row r="1173">
      <c r="A1173" s="108" t="s">
        <v>12256</v>
      </c>
      <c r="B1173" s="173">
        <v>46095.0</v>
      </c>
      <c r="C1173" s="374">
        <v>8.07000035415E11</v>
      </c>
      <c r="D1173" s="374" t="s">
        <v>12253</v>
      </c>
      <c r="E1173" s="374" t="s">
        <v>12254</v>
      </c>
      <c r="F1173" s="145" t="s">
        <v>12255</v>
      </c>
      <c r="G1173" s="177" t="s">
        <v>127</v>
      </c>
      <c r="H1173" s="145">
        <v>4400.0</v>
      </c>
      <c r="I1173" s="176" t="s">
        <v>512</v>
      </c>
      <c r="J1173" s="374" t="s">
        <v>513</v>
      </c>
      <c r="K1173" s="177">
        <v>6.0</v>
      </c>
      <c r="L1173" s="174">
        <v>3.876111735E9</v>
      </c>
      <c r="M1173" s="367"/>
      <c r="N1173" s="209"/>
      <c r="O1173" s="209"/>
      <c r="P1173" s="209"/>
      <c r="Q1173" s="209"/>
      <c r="R1173" s="209"/>
      <c r="S1173" s="367"/>
      <c r="T1173" s="276"/>
      <c r="U1173" s="276"/>
      <c r="V1173" s="276"/>
      <c r="W1173" s="276"/>
      <c r="X1173" s="276"/>
      <c r="Y1173" s="276"/>
      <c r="Z1173" s="276"/>
      <c r="AA1173" s="276"/>
      <c r="AB1173" s="276"/>
      <c r="AC1173" s="276"/>
    </row>
    <row r="1174">
      <c r="A1174" s="108" t="s">
        <v>12256</v>
      </c>
      <c r="B1174" s="173">
        <v>46095.0</v>
      </c>
      <c r="C1174" s="374">
        <v>8.07000035416E11</v>
      </c>
      <c r="D1174" s="374" t="s">
        <v>12253</v>
      </c>
      <c r="E1174" s="374" t="s">
        <v>12254</v>
      </c>
      <c r="F1174" s="145" t="s">
        <v>12255</v>
      </c>
      <c r="G1174" s="177" t="s">
        <v>127</v>
      </c>
      <c r="H1174" s="145">
        <v>4400.0</v>
      </c>
      <c r="I1174" s="176" t="s">
        <v>5034</v>
      </c>
      <c r="J1174" s="374" t="s">
        <v>5035</v>
      </c>
      <c r="K1174" s="177">
        <v>1.0</v>
      </c>
      <c r="L1174" s="174">
        <v>3.876111735E9</v>
      </c>
      <c r="M1174" s="367"/>
      <c r="N1174" s="209"/>
      <c r="O1174" s="209"/>
      <c r="P1174" s="209"/>
      <c r="Q1174" s="209"/>
      <c r="R1174" s="209"/>
      <c r="S1174" s="367"/>
      <c r="T1174" s="276"/>
      <c r="U1174" s="276"/>
      <c r="V1174" s="276"/>
      <c r="W1174" s="276"/>
      <c r="X1174" s="276"/>
      <c r="Y1174" s="276"/>
      <c r="Z1174" s="276"/>
      <c r="AA1174" s="276"/>
      <c r="AB1174" s="276"/>
      <c r="AC1174" s="276"/>
    </row>
    <row r="1175">
      <c r="A1175" s="108" t="s">
        <v>12256</v>
      </c>
      <c r="B1175" s="173">
        <v>46095.0</v>
      </c>
      <c r="C1175" s="374">
        <v>8.07000035416E11</v>
      </c>
      <c r="D1175" s="374" t="s">
        <v>12253</v>
      </c>
      <c r="E1175" s="384" t="s">
        <v>12254</v>
      </c>
      <c r="F1175" s="145" t="s">
        <v>12255</v>
      </c>
      <c r="G1175" s="177" t="s">
        <v>127</v>
      </c>
      <c r="H1175" s="145">
        <v>4400.0</v>
      </c>
      <c r="I1175" s="176" t="s">
        <v>670</v>
      </c>
      <c r="J1175" s="374" t="s">
        <v>3410</v>
      </c>
      <c r="K1175" s="177">
        <v>1.0</v>
      </c>
      <c r="L1175" s="174">
        <v>3.876111735E9</v>
      </c>
      <c r="M1175" s="367"/>
      <c r="N1175" s="206"/>
      <c r="O1175" s="206"/>
      <c r="P1175" s="206"/>
      <c r="Q1175" s="206"/>
      <c r="R1175" s="206"/>
      <c r="S1175" s="367"/>
      <c r="T1175" s="276"/>
      <c r="U1175" s="276"/>
      <c r="V1175" s="276"/>
      <c r="W1175" s="276"/>
      <c r="X1175" s="276"/>
      <c r="Y1175" s="276"/>
      <c r="Z1175" s="276"/>
      <c r="AA1175" s="276"/>
      <c r="AB1175" s="276"/>
      <c r="AC1175" s="276"/>
    </row>
    <row r="1176">
      <c r="A1176" s="514"/>
      <c r="B1176" s="515"/>
      <c r="C1176" s="516"/>
      <c r="D1176" s="516"/>
      <c r="E1176" s="516"/>
      <c r="F1176" s="517"/>
      <c r="G1176" s="518"/>
      <c r="H1176" s="518"/>
      <c r="I1176" s="519"/>
      <c r="J1176" s="516"/>
      <c r="K1176" s="518"/>
      <c r="L1176" s="520"/>
      <c r="M1176" s="367"/>
      <c r="N1176" s="433"/>
      <c r="O1176" s="261"/>
      <c r="P1176" s="367"/>
      <c r="Q1176" s="261"/>
      <c r="R1176" s="449"/>
      <c r="S1176" s="367"/>
      <c r="T1176" s="276"/>
      <c r="U1176" s="276"/>
      <c r="V1176" s="276"/>
      <c r="W1176" s="276"/>
      <c r="X1176" s="276"/>
      <c r="Y1176" s="276"/>
      <c r="Z1176" s="276"/>
      <c r="AA1176" s="276"/>
      <c r="AB1176" s="276"/>
      <c r="AC1176" s="276"/>
    </row>
    <row r="1177">
      <c r="A1177" s="381" t="s">
        <v>13914</v>
      </c>
      <c r="B1177" s="521">
        <v>46097.0</v>
      </c>
      <c r="C1177" s="380">
        <v>8.07000035404E11</v>
      </c>
      <c r="D1177" s="381" t="s">
        <v>13915</v>
      </c>
      <c r="E1177" s="381" t="s">
        <v>13916</v>
      </c>
      <c r="F1177" s="451" t="s">
        <v>13917</v>
      </c>
      <c r="G1177" s="451" t="s">
        <v>127</v>
      </c>
      <c r="H1177" s="451">
        <v>4400.0</v>
      </c>
      <c r="I1177" s="380">
        <v>2.2346229137E10</v>
      </c>
      <c r="J1177" s="451" t="s">
        <v>13918</v>
      </c>
      <c r="K1177" s="380">
        <v>1.0</v>
      </c>
      <c r="L1177" s="451">
        <v>3.874669469E9</v>
      </c>
      <c r="M1177" s="367"/>
      <c r="N1177" s="429">
        <v>46097.0</v>
      </c>
      <c r="O1177" s="430" t="s">
        <v>13338</v>
      </c>
      <c r="P1177" s="431"/>
      <c r="Q1177" s="430" t="s">
        <v>13339</v>
      </c>
      <c r="R1177" s="432" t="s">
        <v>13919</v>
      </c>
      <c r="S1177" s="367"/>
      <c r="T1177" s="276"/>
      <c r="U1177" s="276"/>
      <c r="V1177" s="276"/>
      <c r="W1177" s="276"/>
      <c r="X1177" s="276"/>
      <c r="Y1177" s="276"/>
      <c r="Z1177" s="276"/>
      <c r="AA1177" s="276"/>
      <c r="AB1177" s="276"/>
      <c r="AC1177" s="276"/>
    </row>
    <row r="1178">
      <c r="A1178" s="381" t="s">
        <v>13914</v>
      </c>
      <c r="B1178" s="521">
        <v>46097.0</v>
      </c>
      <c r="C1178" s="380">
        <v>8.07000035405E11</v>
      </c>
      <c r="D1178" s="381" t="s">
        <v>13915</v>
      </c>
      <c r="E1178" s="381" t="s">
        <v>13916</v>
      </c>
      <c r="F1178" s="451" t="s">
        <v>13917</v>
      </c>
      <c r="G1178" s="451" t="s">
        <v>127</v>
      </c>
      <c r="H1178" s="451">
        <v>4400.0</v>
      </c>
      <c r="I1178" s="381" t="s">
        <v>2956</v>
      </c>
      <c r="J1178" s="381" t="s">
        <v>13920</v>
      </c>
      <c r="K1178" s="451">
        <v>1.0</v>
      </c>
      <c r="L1178" s="451">
        <v>3.874669469E9</v>
      </c>
      <c r="M1178" s="367"/>
      <c r="N1178" s="206"/>
      <c r="O1178" s="206"/>
      <c r="P1178" s="206"/>
      <c r="Q1178" s="206"/>
      <c r="R1178" s="206"/>
      <c r="S1178" s="367"/>
      <c r="T1178" s="276"/>
      <c r="U1178" s="276"/>
      <c r="V1178" s="276"/>
      <c r="W1178" s="276"/>
      <c r="X1178" s="276"/>
      <c r="Y1178" s="276"/>
      <c r="Z1178" s="276"/>
      <c r="AA1178" s="276"/>
      <c r="AB1178" s="276"/>
      <c r="AC1178" s="276"/>
    </row>
    <row r="1179">
      <c r="A1179" s="381" t="s">
        <v>13921</v>
      </c>
      <c r="B1179" s="522">
        <v>46097.0</v>
      </c>
      <c r="C1179" s="380">
        <v>8.0700003542E11</v>
      </c>
      <c r="D1179" s="381" t="s">
        <v>13922</v>
      </c>
      <c r="E1179" s="381" t="s">
        <v>13923</v>
      </c>
      <c r="F1179" s="381" t="s">
        <v>13924</v>
      </c>
      <c r="G1179" s="451" t="s">
        <v>127</v>
      </c>
      <c r="H1179" s="451">
        <v>4400.0</v>
      </c>
      <c r="I1179" s="381" t="s">
        <v>670</v>
      </c>
      <c r="J1179" s="381" t="s">
        <v>13925</v>
      </c>
      <c r="K1179" s="451">
        <v>1.0</v>
      </c>
      <c r="L1179" s="452">
        <v>3.874314846E9</v>
      </c>
      <c r="M1179" s="367"/>
      <c r="N1179" s="429">
        <v>46098.0</v>
      </c>
      <c r="O1179" s="430" t="s">
        <v>13338</v>
      </c>
      <c r="P1179" s="431"/>
      <c r="Q1179" s="430" t="s">
        <v>13339</v>
      </c>
      <c r="R1179" s="432" t="s">
        <v>13926</v>
      </c>
      <c r="S1179" s="367"/>
      <c r="T1179" s="276"/>
      <c r="U1179" s="276"/>
      <c r="V1179" s="276"/>
      <c r="W1179" s="276"/>
      <c r="X1179" s="276"/>
      <c r="Y1179" s="276"/>
      <c r="Z1179" s="276"/>
      <c r="AA1179" s="276"/>
      <c r="AB1179" s="276"/>
      <c r="AC1179" s="276"/>
    </row>
    <row r="1180">
      <c r="A1180" s="381" t="s">
        <v>13921</v>
      </c>
      <c r="B1180" s="522">
        <v>46097.0</v>
      </c>
      <c r="C1180" s="380">
        <v>8.0700003542E11</v>
      </c>
      <c r="D1180" s="381" t="s">
        <v>13922</v>
      </c>
      <c r="E1180" s="381" t="s">
        <v>13923</v>
      </c>
      <c r="F1180" s="381" t="s">
        <v>13924</v>
      </c>
      <c r="G1180" s="451" t="s">
        <v>127</v>
      </c>
      <c r="H1180" s="451">
        <v>4400.0</v>
      </c>
      <c r="I1180" s="381" t="s">
        <v>2956</v>
      </c>
      <c r="J1180" s="381" t="s">
        <v>13920</v>
      </c>
      <c r="K1180" s="451">
        <v>1.0</v>
      </c>
      <c r="L1180" s="452">
        <v>3.874314846E9</v>
      </c>
      <c r="M1180" s="367"/>
      <c r="N1180" s="206"/>
      <c r="O1180" s="206"/>
      <c r="P1180" s="206"/>
      <c r="Q1180" s="206"/>
      <c r="R1180" s="206"/>
      <c r="S1180" s="367"/>
      <c r="T1180" s="276"/>
      <c r="U1180" s="276"/>
      <c r="V1180" s="276"/>
      <c r="W1180" s="276"/>
      <c r="X1180" s="276"/>
      <c r="Y1180" s="276"/>
      <c r="Z1180" s="276"/>
      <c r="AA1180" s="276"/>
      <c r="AB1180" s="276"/>
      <c r="AC1180" s="276"/>
    </row>
    <row r="1181">
      <c r="A1181" s="379" t="s">
        <v>13927</v>
      </c>
      <c r="B1181" s="522">
        <v>46097.0</v>
      </c>
      <c r="C1181" s="380">
        <v>8.07000035419E11</v>
      </c>
      <c r="D1181" s="381" t="s">
        <v>13928</v>
      </c>
      <c r="E1181" s="381" t="s">
        <v>13929</v>
      </c>
      <c r="F1181" s="500" t="s">
        <v>13930</v>
      </c>
      <c r="G1181" s="451" t="s">
        <v>127</v>
      </c>
      <c r="H1181" s="451">
        <v>4400.0</v>
      </c>
      <c r="I1181" s="381" t="s">
        <v>1766</v>
      </c>
      <c r="J1181" s="381" t="s">
        <v>13931</v>
      </c>
      <c r="K1181" s="451">
        <v>1.0</v>
      </c>
      <c r="L1181" s="452">
        <v>3.875069935E9</v>
      </c>
      <c r="M1181" s="367"/>
      <c r="N1181" s="433">
        <v>46101.0</v>
      </c>
      <c r="O1181" s="261" t="s">
        <v>13338</v>
      </c>
      <c r="P1181" s="367"/>
      <c r="Q1181" s="261" t="s">
        <v>9012</v>
      </c>
      <c r="R1181" s="434" t="s">
        <v>13932</v>
      </c>
      <c r="S1181" s="367"/>
      <c r="T1181" s="276"/>
      <c r="U1181" s="276"/>
      <c r="V1181" s="276"/>
      <c r="W1181" s="276"/>
      <c r="X1181" s="276"/>
      <c r="Y1181" s="276"/>
      <c r="Z1181" s="276"/>
      <c r="AA1181" s="276"/>
      <c r="AB1181" s="276"/>
      <c r="AC1181" s="276"/>
    </row>
    <row r="1182">
      <c r="A1182" s="379" t="s">
        <v>13933</v>
      </c>
      <c r="B1182" s="522">
        <v>46097.0</v>
      </c>
      <c r="C1182" s="380">
        <v>8.05011572411E11</v>
      </c>
      <c r="D1182" s="381" t="s">
        <v>13934</v>
      </c>
      <c r="E1182" s="381" t="s">
        <v>13935</v>
      </c>
      <c r="F1182" s="500" t="s">
        <v>13936</v>
      </c>
      <c r="G1182" s="451" t="s">
        <v>127</v>
      </c>
      <c r="H1182" s="451">
        <v>4400.0</v>
      </c>
      <c r="I1182" s="381" t="s">
        <v>5551</v>
      </c>
      <c r="J1182" s="381" t="s">
        <v>13937</v>
      </c>
      <c r="K1182" s="451">
        <v>1.0</v>
      </c>
      <c r="L1182" s="452">
        <v>3.872219267E9</v>
      </c>
      <c r="M1182" s="367"/>
      <c r="N1182" s="433">
        <v>46097.0</v>
      </c>
      <c r="O1182" s="261" t="s">
        <v>13338</v>
      </c>
      <c r="P1182" s="367"/>
      <c r="Q1182" s="261" t="s">
        <v>9012</v>
      </c>
      <c r="R1182" s="434" t="s">
        <v>13938</v>
      </c>
      <c r="S1182" s="367"/>
      <c r="T1182" s="276"/>
      <c r="U1182" s="276"/>
      <c r="V1182" s="276"/>
      <c r="W1182" s="276"/>
      <c r="X1182" s="276"/>
      <c r="Y1182" s="276"/>
      <c r="Z1182" s="276"/>
      <c r="AA1182" s="276"/>
      <c r="AB1182" s="276"/>
      <c r="AC1182" s="276"/>
    </row>
    <row r="1183">
      <c r="A1183" s="379" t="s">
        <v>12261</v>
      </c>
      <c r="B1183" s="522" t="s">
        <v>13939</v>
      </c>
      <c r="C1183" s="380">
        <v>8.07000035447E11</v>
      </c>
      <c r="D1183" s="381" t="s">
        <v>13940</v>
      </c>
      <c r="E1183" s="381" t="s">
        <v>12258</v>
      </c>
      <c r="F1183" s="500" t="s">
        <v>13941</v>
      </c>
      <c r="G1183" s="451" t="s">
        <v>127</v>
      </c>
      <c r="H1183" s="451">
        <v>4400.0</v>
      </c>
      <c r="I1183" s="380">
        <v>2.2346259149E10</v>
      </c>
      <c r="J1183" s="381" t="s">
        <v>12260</v>
      </c>
      <c r="K1183" s="451">
        <v>1.0</v>
      </c>
      <c r="L1183" s="452">
        <v>3.8734244215E10</v>
      </c>
      <c r="M1183" s="367"/>
      <c r="N1183" s="429">
        <v>46098.0</v>
      </c>
      <c r="O1183" s="430" t="s">
        <v>13338</v>
      </c>
      <c r="P1183" s="431"/>
      <c r="Q1183" s="430" t="s">
        <v>9012</v>
      </c>
      <c r="R1183" s="432" t="s">
        <v>13942</v>
      </c>
      <c r="S1183" s="367"/>
      <c r="T1183" s="276"/>
      <c r="U1183" s="276"/>
      <c r="V1183" s="276"/>
      <c r="W1183" s="276"/>
      <c r="X1183" s="276"/>
      <c r="Y1183" s="276"/>
      <c r="Z1183" s="276"/>
      <c r="AA1183" s="276"/>
      <c r="AB1183" s="276"/>
      <c r="AC1183" s="276"/>
    </row>
    <row r="1184">
      <c r="A1184" s="379" t="s">
        <v>12257</v>
      </c>
      <c r="B1184" s="522" t="s">
        <v>13939</v>
      </c>
      <c r="C1184" s="380">
        <v>8.07000035447E11</v>
      </c>
      <c r="D1184" s="381" t="s">
        <v>13940</v>
      </c>
      <c r="E1184" s="381" t="s">
        <v>12258</v>
      </c>
      <c r="F1184" s="500" t="s">
        <v>13941</v>
      </c>
      <c r="G1184" s="451" t="s">
        <v>127</v>
      </c>
      <c r="H1184" s="451">
        <v>4400.0</v>
      </c>
      <c r="I1184" s="380">
        <v>2.234625915E10</v>
      </c>
      <c r="J1184" s="381" t="s">
        <v>9048</v>
      </c>
      <c r="K1184" s="451">
        <v>1.0</v>
      </c>
      <c r="L1184" s="452">
        <v>3.8734244215E10</v>
      </c>
      <c r="M1184" s="367"/>
      <c r="N1184" s="209"/>
      <c r="O1184" s="209"/>
      <c r="P1184" s="209"/>
      <c r="Q1184" s="209"/>
      <c r="R1184" s="209"/>
      <c r="S1184" s="367"/>
      <c r="T1184" s="276"/>
      <c r="U1184" s="276"/>
      <c r="V1184" s="276"/>
      <c r="W1184" s="276"/>
      <c r="X1184" s="276"/>
      <c r="Y1184" s="276"/>
      <c r="Z1184" s="276"/>
      <c r="AA1184" s="276"/>
      <c r="AB1184" s="276"/>
      <c r="AC1184" s="276"/>
    </row>
    <row r="1185">
      <c r="A1185" s="379" t="s">
        <v>12257</v>
      </c>
      <c r="B1185" s="522" t="s">
        <v>13939</v>
      </c>
      <c r="C1185" s="380">
        <v>8.07000035448E11</v>
      </c>
      <c r="D1185" s="381" t="s">
        <v>13940</v>
      </c>
      <c r="E1185" s="381" t="s">
        <v>12258</v>
      </c>
      <c r="F1185" s="500" t="s">
        <v>13941</v>
      </c>
      <c r="G1185" s="451" t="s">
        <v>127</v>
      </c>
      <c r="H1185" s="451">
        <v>4400.0</v>
      </c>
      <c r="I1185" s="381" t="s">
        <v>4899</v>
      </c>
      <c r="J1185" s="381" t="s">
        <v>4900</v>
      </c>
      <c r="K1185" s="451">
        <v>1.0</v>
      </c>
      <c r="L1185" s="452">
        <v>3.8734244215E10</v>
      </c>
      <c r="M1185" s="367"/>
      <c r="N1185" s="209"/>
      <c r="O1185" s="209"/>
      <c r="P1185" s="209"/>
      <c r="Q1185" s="209"/>
      <c r="R1185" s="209"/>
      <c r="S1185" s="367"/>
      <c r="T1185" s="276"/>
      <c r="U1185" s="276"/>
      <c r="V1185" s="276"/>
      <c r="W1185" s="276"/>
      <c r="X1185" s="276"/>
      <c r="Y1185" s="276"/>
      <c r="Z1185" s="276"/>
      <c r="AA1185" s="276"/>
      <c r="AB1185" s="276"/>
      <c r="AC1185" s="276"/>
    </row>
    <row r="1186">
      <c r="A1186" s="379" t="s">
        <v>12257</v>
      </c>
      <c r="B1186" s="522">
        <v>46099.0</v>
      </c>
      <c r="C1186" s="380">
        <v>8.07000035448E11</v>
      </c>
      <c r="D1186" s="381" t="s">
        <v>13940</v>
      </c>
      <c r="E1186" s="381" t="s">
        <v>12258</v>
      </c>
      <c r="F1186" s="500" t="s">
        <v>13941</v>
      </c>
      <c r="G1186" s="451" t="s">
        <v>127</v>
      </c>
      <c r="H1186" s="451">
        <v>4400.0</v>
      </c>
      <c r="I1186" s="381" t="s">
        <v>233</v>
      </c>
      <c r="J1186" s="381" t="s">
        <v>3459</v>
      </c>
      <c r="K1186" s="451">
        <v>2.0</v>
      </c>
      <c r="L1186" s="452">
        <v>3.8734244215E10</v>
      </c>
      <c r="M1186" s="367"/>
      <c r="N1186" s="206"/>
      <c r="O1186" s="206"/>
      <c r="P1186" s="206"/>
      <c r="Q1186" s="206"/>
      <c r="R1186" s="206"/>
      <c r="S1186" s="367"/>
      <c r="T1186" s="276"/>
      <c r="U1186" s="276"/>
      <c r="V1186" s="276"/>
      <c r="W1186" s="276"/>
      <c r="X1186" s="276"/>
      <c r="Y1186" s="276"/>
      <c r="Z1186" s="276"/>
      <c r="AA1186" s="276"/>
      <c r="AB1186" s="276"/>
      <c r="AC1186" s="276"/>
    </row>
    <row r="1187">
      <c r="A1187" s="508"/>
      <c r="B1187" s="508"/>
      <c r="C1187" s="510"/>
      <c r="D1187" s="510"/>
      <c r="E1187" s="510"/>
      <c r="F1187" s="523"/>
      <c r="G1187" s="511"/>
      <c r="H1187" s="511"/>
      <c r="I1187" s="510"/>
      <c r="J1187" s="510"/>
      <c r="K1187" s="511"/>
      <c r="L1187" s="513"/>
      <c r="M1187" s="367"/>
      <c r="N1187" s="433"/>
      <c r="O1187" s="261"/>
      <c r="P1187" s="367"/>
      <c r="Q1187" s="261"/>
      <c r="R1187" s="449"/>
      <c r="S1187" s="367"/>
      <c r="T1187" s="276"/>
      <c r="U1187" s="276"/>
      <c r="V1187" s="276"/>
      <c r="W1187" s="276"/>
      <c r="X1187" s="276"/>
      <c r="Y1187" s="276"/>
      <c r="Z1187" s="276"/>
      <c r="AA1187" s="276"/>
      <c r="AB1187" s="276"/>
      <c r="AC1187" s="276"/>
    </row>
    <row r="1188">
      <c r="A1188" s="85">
        <v>46085.0</v>
      </c>
      <c r="B1188" s="31" t="s">
        <v>5860</v>
      </c>
      <c r="C1188" s="31">
        <v>8.0702503518E11</v>
      </c>
      <c r="D1188" s="31" t="s">
        <v>5808</v>
      </c>
      <c r="E1188" s="31" t="s">
        <v>5809</v>
      </c>
      <c r="F1188" s="145" t="s">
        <v>13943</v>
      </c>
      <c r="G1188" s="177" t="s">
        <v>11028</v>
      </c>
      <c r="H1188" s="177">
        <v>4400.0</v>
      </c>
      <c r="I1188" s="374" t="s">
        <v>5817</v>
      </c>
      <c r="J1188" s="374" t="s">
        <v>5417</v>
      </c>
      <c r="K1188" s="177">
        <v>1.0</v>
      </c>
      <c r="L1188" s="174">
        <v>3.874068039E9</v>
      </c>
      <c r="M1188" s="367"/>
      <c r="N1188" s="429">
        <v>46087.0</v>
      </c>
      <c r="O1188" s="430" t="s">
        <v>13338</v>
      </c>
      <c r="P1188" s="431"/>
      <c r="Q1188" s="430" t="s">
        <v>13339</v>
      </c>
      <c r="R1188" s="432" t="s">
        <v>13944</v>
      </c>
      <c r="S1188" s="367"/>
      <c r="T1188" s="276"/>
      <c r="U1188" s="276"/>
      <c r="V1188" s="276"/>
      <c r="W1188" s="276"/>
      <c r="X1188" s="276"/>
      <c r="Y1188" s="276"/>
      <c r="Z1188" s="276"/>
      <c r="AA1188" s="276"/>
      <c r="AB1188" s="276"/>
      <c r="AC1188" s="276"/>
    </row>
    <row r="1189">
      <c r="A1189" s="85">
        <v>46085.0</v>
      </c>
      <c r="B1189" s="31" t="s">
        <v>5879</v>
      </c>
      <c r="C1189" s="31">
        <v>8.07025035179E11</v>
      </c>
      <c r="D1189" s="31" t="s">
        <v>5808</v>
      </c>
      <c r="E1189" s="31" t="s">
        <v>5809</v>
      </c>
      <c r="F1189" s="145" t="s">
        <v>13943</v>
      </c>
      <c r="G1189" s="177" t="s">
        <v>11028</v>
      </c>
      <c r="H1189" s="177">
        <v>4400.0</v>
      </c>
      <c r="I1189" s="374" t="s">
        <v>1756</v>
      </c>
      <c r="J1189" s="374" t="s">
        <v>5005</v>
      </c>
      <c r="K1189" s="177">
        <v>1.0</v>
      </c>
      <c r="L1189" s="174">
        <v>3.874068039E9</v>
      </c>
      <c r="M1189" s="367"/>
      <c r="N1189" s="206"/>
      <c r="O1189" s="206"/>
      <c r="P1189" s="206"/>
      <c r="Q1189" s="206"/>
      <c r="R1189" s="206"/>
      <c r="S1189" s="367"/>
      <c r="T1189" s="276"/>
      <c r="U1189" s="276"/>
      <c r="V1189" s="276"/>
      <c r="W1189" s="276"/>
      <c r="X1189" s="276"/>
      <c r="Y1189" s="276"/>
      <c r="Z1189" s="276"/>
      <c r="AA1189" s="276"/>
      <c r="AB1189" s="276"/>
      <c r="AC1189" s="276"/>
    </row>
    <row r="1190">
      <c r="A1190" s="85">
        <v>46085.0</v>
      </c>
      <c r="B1190" s="31" t="s">
        <v>5861</v>
      </c>
      <c r="C1190" s="31">
        <v>8.07025035235E11</v>
      </c>
      <c r="D1190" s="31" t="s">
        <v>5862</v>
      </c>
      <c r="E1190" s="31" t="s">
        <v>5863</v>
      </c>
      <c r="F1190" s="145" t="s">
        <v>13945</v>
      </c>
      <c r="G1190" s="177" t="s">
        <v>10763</v>
      </c>
      <c r="H1190" s="177">
        <v>4400.0</v>
      </c>
      <c r="I1190" s="374" t="s">
        <v>969</v>
      </c>
      <c r="J1190" s="374" t="s">
        <v>3296</v>
      </c>
      <c r="K1190" s="177">
        <v>2.0</v>
      </c>
      <c r="L1190" s="174">
        <v>3.874035148E9</v>
      </c>
      <c r="M1190" s="367"/>
      <c r="N1190" s="429">
        <v>46087.0</v>
      </c>
      <c r="O1190" s="430" t="s">
        <v>13338</v>
      </c>
      <c r="P1190" s="431"/>
      <c r="Q1190" s="430" t="s">
        <v>13339</v>
      </c>
      <c r="R1190" s="432" t="s">
        <v>13946</v>
      </c>
      <c r="S1190" s="367"/>
      <c r="T1190" s="276"/>
      <c r="U1190" s="276"/>
      <c r="V1190" s="276"/>
      <c r="W1190" s="276"/>
      <c r="X1190" s="276"/>
      <c r="Y1190" s="276"/>
      <c r="Z1190" s="276"/>
      <c r="AA1190" s="276"/>
      <c r="AB1190" s="276"/>
      <c r="AC1190" s="276"/>
    </row>
    <row r="1191">
      <c r="A1191" s="85">
        <v>46085.0</v>
      </c>
      <c r="B1191" s="31" t="s">
        <v>5861</v>
      </c>
      <c r="C1191" s="31">
        <v>8.07025035235E11</v>
      </c>
      <c r="D1191" s="31" t="s">
        <v>5862</v>
      </c>
      <c r="E1191" s="31" t="s">
        <v>5863</v>
      </c>
      <c r="F1191" s="145" t="s">
        <v>13945</v>
      </c>
      <c r="G1191" s="177" t="s">
        <v>10763</v>
      </c>
      <c r="H1191" s="177">
        <v>4400.0</v>
      </c>
      <c r="I1191" s="176" t="s">
        <v>512</v>
      </c>
      <c r="J1191" s="374" t="s">
        <v>12648</v>
      </c>
      <c r="K1191" s="177">
        <v>12.0</v>
      </c>
      <c r="L1191" s="174">
        <v>3.874035148E9</v>
      </c>
      <c r="M1191" s="367"/>
      <c r="N1191" s="209"/>
      <c r="O1191" s="209"/>
      <c r="P1191" s="209"/>
      <c r="Q1191" s="209"/>
      <c r="R1191" s="209"/>
      <c r="S1191" s="367"/>
      <c r="T1191" s="276"/>
      <c r="U1191" s="276"/>
      <c r="V1191" s="276"/>
      <c r="W1191" s="276"/>
      <c r="X1191" s="276"/>
      <c r="Y1191" s="276"/>
      <c r="Z1191" s="276"/>
      <c r="AA1191" s="276"/>
      <c r="AB1191" s="276"/>
      <c r="AC1191" s="276"/>
    </row>
    <row r="1192">
      <c r="A1192" s="85">
        <v>46085.0</v>
      </c>
      <c r="B1192" s="31" t="s">
        <v>5861</v>
      </c>
      <c r="C1192" s="31">
        <v>8.07025035235E11</v>
      </c>
      <c r="D1192" s="31" t="s">
        <v>5862</v>
      </c>
      <c r="E1192" s="31" t="s">
        <v>5863</v>
      </c>
      <c r="F1192" s="145" t="s">
        <v>13945</v>
      </c>
      <c r="G1192" s="177" t="s">
        <v>10763</v>
      </c>
      <c r="H1192" s="177">
        <v>4400.0</v>
      </c>
      <c r="I1192" s="176" t="s">
        <v>2397</v>
      </c>
      <c r="J1192" s="374" t="s">
        <v>5040</v>
      </c>
      <c r="K1192" s="177">
        <v>2.0</v>
      </c>
      <c r="L1192" s="174">
        <v>3.874035148E9</v>
      </c>
      <c r="M1192" s="367"/>
      <c r="N1192" s="209"/>
      <c r="O1192" s="209"/>
      <c r="P1192" s="209"/>
      <c r="Q1192" s="209"/>
      <c r="R1192" s="209"/>
      <c r="S1192" s="367"/>
      <c r="T1192" s="276"/>
      <c r="U1192" s="276"/>
      <c r="V1192" s="276"/>
      <c r="W1192" s="276"/>
      <c r="X1192" s="276"/>
      <c r="Y1192" s="276"/>
      <c r="Z1192" s="276"/>
      <c r="AA1192" s="276"/>
      <c r="AB1192" s="276"/>
      <c r="AC1192" s="276"/>
    </row>
    <row r="1193">
      <c r="A1193" s="85">
        <v>46085.0</v>
      </c>
      <c r="B1193" s="31" t="s">
        <v>5861</v>
      </c>
      <c r="C1193" s="31">
        <v>8.07025035235E11</v>
      </c>
      <c r="D1193" s="31" t="s">
        <v>5862</v>
      </c>
      <c r="E1193" s="31" t="s">
        <v>5863</v>
      </c>
      <c r="F1193" s="145" t="s">
        <v>13945</v>
      </c>
      <c r="G1193" s="177" t="s">
        <v>10763</v>
      </c>
      <c r="H1193" s="177">
        <v>4400.0</v>
      </c>
      <c r="I1193" s="176"/>
      <c r="J1193" s="374" t="s">
        <v>481</v>
      </c>
      <c r="K1193" s="177">
        <v>2.0</v>
      </c>
      <c r="L1193" s="174">
        <v>3.874035148E9</v>
      </c>
      <c r="M1193" s="367"/>
      <c r="N1193" s="206"/>
      <c r="O1193" s="206"/>
      <c r="P1193" s="206"/>
      <c r="Q1193" s="206"/>
      <c r="R1193" s="206"/>
      <c r="S1193" s="367"/>
      <c r="T1193" s="276"/>
      <c r="U1193" s="276"/>
      <c r="V1193" s="276"/>
      <c r="W1193" s="276"/>
      <c r="X1193" s="276"/>
      <c r="Y1193" s="276"/>
      <c r="Z1193" s="276"/>
      <c r="AA1193" s="276"/>
      <c r="AB1193" s="276"/>
      <c r="AC1193" s="276"/>
    </row>
    <row r="1194">
      <c r="A1194" s="85">
        <v>46085.0</v>
      </c>
      <c r="B1194" s="31" t="s">
        <v>5870</v>
      </c>
      <c r="C1194" s="31">
        <v>8.05011571794E11</v>
      </c>
      <c r="D1194" s="31" t="s">
        <v>5871</v>
      </c>
      <c r="E1194" s="31" t="s">
        <v>5872</v>
      </c>
      <c r="F1194" s="145" t="s">
        <v>13947</v>
      </c>
      <c r="G1194" s="177" t="s">
        <v>127</v>
      </c>
      <c r="H1194" s="177">
        <v>4400.0</v>
      </c>
      <c r="I1194" s="176" t="s">
        <v>5551</v>
      </c>
      <c r="J1194" s="374" t="s">
        <v>13948</v>
      </c>
      <c r="K1194" s="177">
        <v>1.0</v>
      </c>
      <c r="L1194" s="124">
        <v>3.877409478E9</v>
      </c>
      <c r="M1194" s="367"/>
      <c r="N1194" s="433">
        <v>46087.0</v>
      </c>
      <c r="O1194" s="261" t="s">
        <v>13338</v>
      </c>
      <c r="P1194" s="367"/>
      <c r="Q1194" s="261" t="s">
        <v>9012</v>
      </c>
      <c r="R1194" s="434" t="s">
        <v>13949</v>
      </c>
      <c r="S1194" s="367"/>
      <c r="T1194" s="276"/>
      <c r="U1194" s="276"/>
      <c r="V1194" s="276"/>
      <c r="W1194" s="276"/>
      <c r="X1194" s="276"/>
      <c r="Y1194" s="276"/>
      <c r="Z1194" s="276"/>
      <c r="AA1194" s="276"/>
      <c r="AB1194" s="276"/>
      <c r="AC1194" s="276"/>
    </row>
    <row r="1195">
      <c r="A1195" s="85">
        <v>46085.0</v>
      </c>
      <c r="B1195" s="31" t="s">
        <v>5873</v>
      </c>
      <c r="C1195" s="31">
        <v>8.07025035219E11</v>
      </c>
      <c r="D1195" s="31" t="s">
        <v>5874</v>
      </c>
      <c r="E1195" s="31" t="s">
        <v>5875</v>
      </c>
      <c r="F1195" s="214" t="s">
        <v>13950</v>
      </c>
      <c r="G1195" s="419" t="s">
        <v>1885</v>
      </c>
      <c r="H1195" s="419">
        <v>4421.0</v>
      </c>
      <c r="I1195" s="385" t="s">
        <v>3154</v>
      </c>
      <c r="J1195" s="384" t="s">
        <v>4564</v>
      </c>
      <c r="K1195" s="419">
        <v>1.0</v>
      </c>
      <c r="L1195" s="210">
        <v>3.874488045E9</v>
      </c>
      <c r="M1195" s="367"/>
      <c r="N1195" s="433">
        <v>46087.0</v>
      </c>
      <c r="O1195" s="261" t="s">
        <v>13338</v>
      </c>
      <c r="P1195" s="367"/>
      <c r="Q1195" s="261" t="s">
        <v>9012</v>
      </c>
      <c r="R1195" s="434" t="s">
        <v>13951</v>
      </c>
      <c r="S1195" s="367"/>
      <c r="T1195" s="276"/>
      <c r="U1195" s="276"/>
      <c r="V1195" s="276"/>
      <c r="W1195" s="276"/>
      <c r="X1195" s="276"/>
      <c r="Y1195" s="276"/>
      <c r="Z1195" s="276"/>
      <c r="AA1195" s="276"/>
      <c r="AB1195" s="276"/>
      <c r="AC1195" s="276"/>
    </row>
    <row r="1196">
      <c r="A1196" s="85">
        <v>46085.0</v>
      </c>
      <c r="B1196" s="31" t="s">
        <v>5876</v>
      </c>
      <c r="C1196" s="31">
        <v>8.0601509907E11</v>
      </c>
      <c r="D1196" s="31" t="s">
        <v>5877</v>
      </c>
      <c r="E1196" s="31" t="s">
        <v>5878</v>
      </c>
      <c r="F1196" s="145" t="s">
        <v>13952</v>
      </c>
      <c r="G1196" s="177" t="s">
        <v>127</v>
      </c>
      <c r="H1196" s="177">
        <v>4400.0</v>
      </c>
      <c r="I1196" s="176" t="s">
        <v>969</v>
      </c>
      <c r="J1196" s="374" t="s">
        <v>3296</v>
      </c>
      <c r="K1196" s="177">
        <v>1.0</v>
      </c>
      <c r="L1196" s="124">
        <v>3.874084307E9</v>
      </c>
      <c r="M1196" s="367"/>
      <c r="N1196" s="429">
        <v>46087.0</v>
      </c>
      <c r="O1196" s="430" t="s">
        <v>13338</v>
      </c>
      <c r="P1196" s="431"/>
      <c r="Q1196" s="430" t="s">
        <v>13953</v>
      </c>
      <c r="R1196" s="432" t="s">
        <v>13954</v>
      </c>
      <c r="S1196" s="367"/>
      <c r="T1196" s="276"/>
      <c r="U1196" s="276"/>
      <c r="V1196" s="276"/>
      <c r="W1196" s="276"/>
      <c r="X1196" s="276"/>
      <c r="Y1196" s="276"/>
      <c r="Z1196" s="276"/>
      <c r="AA1196" s="276"/>
      <c r="AB1196" s="276"/>
      <c r="AC1196" s="276"/>
    </row>
    <row r="1197">
      <c r="A1197" s="85">
        <v>46085.0</v>
      </c>
      <c r="B1197" s="31" t="s">
        <v>5880</v>
      </c>
      <c r="C1197" s="31">
        <v>8.06015099069E11</v>
      </c>
      <c r="D1197" s="31" t="s">
        <v>5877</v>
      </c>
      <c r="E1197" s="31" t="s">
        <v>5878</v>
      </c>
      <c r="F1197" s="145" t="s">
        <v>13952</v>
      </c>
      <c r="G1197" s="177" t="s">
        <v>127</v>
      </c>
      <c r="H1197" s="177">
        <v>4400.0</v>
      </c>
      <c r="I1197" s="176" t="s">
        <v>971</v>
      </c>
      <c r="J1197" s="374" t="s">
        <v>13955</v>
      </c>
      <c r="K1197" s="177">
        <v>1.0</v>
      </c>
      <c r="L1197" s="124">
        <v>3.874084307E9</v>
      </c>
      <c r="M1197" s="367"/>
      <c r="N1197" s="206"/>
      <c r="O1197" s="206"/>
      <c r="P1197" s="206"/>
      <c r="Q1197" s="206"/>
      <c r="R1197" s="206"/>
      <c r="S1197" s="367"/>
      <c r="T1197" s="276"/>
      <c r="U1197" s="276"/>
      <c r="V1197" s="276"/>
      <c r="W1197" s="276"/>
      <c r="X1197" s="276"/>
      <c r="Y1197" s="276"/>
      <c r="Z1197" s="276"/>
      <c r="AA1197" s="276"/>
      <c r="AB1197" s="276"/>
      <c r="AC1197" s="276"/>
    </row>
    <row r="1198">
      <c r="A1198" s="85">
        <v>46085.0</v>
      </c>
      <c r="B1198" s="31" t="s">
        <v>5867</v>
      </c>
      <c r="C1198" s="31">
        <v>8.05011571664E11</v>
      </c>
      <c r="D1198" s="31" t="s">
        <v>5868</v>
      </c>
      <c r="E1198" s="31" t="s">
        <v>5869</v>
      </c>
      <c r="F1198" s="145" t="s">
        <v>13956</v>
      </c>
      <c r="G1198" s="177" t="s">
        <v>1529</v>
      </c>
      <c r="H1198" s="177">
        <v>4407.0</v>
      </c>
      <c r="I1198" s="176" t="s">
        <v>617</v>
      </c>
      <c r="J1198" s="374" t="s">
        <v>3867</v>
      </c>
      <c r="K1198" s="177">
        <v>1.0</v>
      </c>
      <c r="L1198" s="124">
        <v>3.875532424E9</v>
      </c>
      <c r="M1198" s="367"/>
      <c r="N1198" s="429">
        <v>46087.0</v>
      </c>
      <c r="O1198" s="430" t="s">
        <v>13338</v>
      </c>
      <c r="P1198" s="431"/>
      <c r="Q1198" s="430" t="s">
        <v>13339</v>
      </c>
      <c r="R1198" s="432" t="s">
        <v>13957</v>
      </c>
      <c r="S1198" s="367"/>
      <c r="T1198" s="276"/>
      <c r="U1198" s="276"/>
      <c r="V1198" s="276"/>
      <c r="W1198" s="276"/>
      <c r="X1198" s="276"/>
      <c r="Y1198" s="276"/>
      <c r="Z1198" s="276"/>
      <c r="AA1198" s="276"/>
      <c r="AB1198" s="276"/>
      <c r="AC1198" s="276"/>
    </row>
    <row r="1199">
      <c r="A1199" s="85">
        <v>46085.0</v>
      </c>
      <c r="B1199" s="31" t="s">
        <v>5867</v>
      </c>
      <c r="C1199" s="31">
        <v>8.05011571664E11</v>
      </c>
      <c r="D1199" s="31" t="s">
        <v>5868</v>
      </c>
      <c r="E1199" s="31" t="s">
        <v>5869</v>
      </c>
      <c r="F1199" s="145" t="s">
        <v>13956</v>
      </c>
      <c r="G1199" s="177" t="s">
        <v>1529</v>
      </c>
      <c r="H1199" s="177">
        <v>4407.0</v>
      </c>
      <c r="I1199" s="176" t="s">
        <v>645</v>
      </c>
      <c r="J1199" s="374" t="s">
        <v>3253</v>
      </c>
      <c r="K1199" s="177">
        <v>2.0</v>
      </c>
      <c r="L1199" s="124">
        <v>3.875532424E9</v>
      </c>
      <c r="M1199" s="367"/>
      <c r="N1199" s="209"/>
      <c r="O1199" s="209"/>
      <c r="P1199" s="209"/>
      <c r="Q1199" s="209"/>
      <c r="R1199" s="209"/>
      <c r="S1199" s="367"/>
      <c r="T1199" s="276"/>
      <c r="U1199" s="276"/>
      <c r="V1199" s="276"/>
      <c r="W1199" s="276"/>
      <c r="X1199" s="276"/>
      <c r="Y1199" s="276"/>
      <c r="Z1199" s="276"/>
      <c r="AA1199" s="276"/>
      <c r="AB1199" s="276"/>
      <c r="AC1199" s="276"/>
    </row>
    <row r="1200">
      <c r="A1200" s="85">
        <v>46085.0</v>
      </c>
      <c r="B1200" s="31" t="s">
        <v>5867</v>
      </c>
      <c r="C1200" s="31">
        <v>8.05011571664E11</v>
      </c>
      <c r="D1200" s="31" t="s">
        <v>5868</v>
      </c>
      <c r="E1200" s="31" t="s">
        <v>5869</v>
      </c>
      <c r="F1200" s="145" t="s">
        <v>13956</v>
      </c>
      <c r="G1200" s="177" t="s">
        <v>1529</v>
      </c>
      <c r="H1200" s="177">
        <v>4407.0</v>
      </c>
      <c r="I1200" s="176" t="s">
        <v>512</v>
      </c>
      <c r="J1200" s="374" t="s">
        <v>12648</v>
      </c>
      <c r="K1200" s="177">
        <v>1.0</v>
      </c>
      <c r="L1200" s="124">
        <v>3.875532424E9</v>
      </c>
      <c r="M1200" s="367"/>
      <c r="N1200" s="206"/>
      <c r="O1200" s="206"/>
      <c r="P1200" s="206"/>
      <c r="Q1200" s="206"/>
      <c r="R1200" s="206"/>
      <c r="S1200" s="367"/>
      <c r="T1200" s="276"/>
      <c r="U1200" s="276"/>
      <c r="V1200" s="276"/>
      <c r="W1200" s="276"/>
      <c r="X1200" s="276"/>
      <c r="Y1200" s="276"/>
      <c r="Z1200" s="276"/>
      <c r="AA1200" s="276"/>
      <c r="AB1200" s="276"/>
      <c r="AC1200" s="276"/>
    </row>
    <row r="1201">
      <c r="A1201" s="85">
        <v>46085.0</v>
      </c>
      <c r="B1201" s="31" t="s">
        <v>5864</v>
      </c>
      <c r="C1201" s="31">
        <v>8.07839000612E11</v>
      </c>
      <c r="D1201" s="31" t="s">
        <v>5865</v>
      </c>
      <c r="E1201" s="31" t="s">
        <v>5866</v>
      </c>
      <c r="F1201" s="145" t="s">
        <v>13958</v>
      </c>
      <c r="G1201" s="177" t="s">
        <v>13959</v>
      </c>
      <c r="H1201" s="177">
        <v>4440.0</v>
      </c>
      <c r="I1201" s="176" t="s">
        <v>35</v>
      </c>
      <c r="J1201" s="374" t="s">
        <v>3188</v>
      </c>
      <c r="K1201" s="177">
        <v>1.0</v>
      </c>
      <c r="L1201" s="124">
        <v>3.876472084E9</v>
      </c>
      <c r="M1201" s="367"/>
      <c r="N1201" s="429">
        <v>46091.0</v>
      </c>
      <c r="O1201" s="430" t="s">
        <v>13338</v>
      </c>
      <c r="P1201" s="431"/>
      <c r="Q1201" s="430" t="s">
        <v>13960</v>
      </c>
      <c r="R1201" s="432" t="s">
        <v>13961</v>
      </c>
      <c r="S1201" s="367"/>
      <c r="T1201" s="276"/>
      <c r="U1201" s="276"/>
      <c r="V1201" s="276"/>
      <c r="W1201" s="276"/>
      <c r="X1201" s="276"/>
      <c r="Y1201" s="276"/>
      <c r="Z1201" s="276"/>
      <c r="AA1201" s="276"/>
      <c r="AB1201" s="276"/>
      <c r="AC1201" s="276"/>
    </row>
    <row r="1202">
      <c r="A1202" s="85">
        <v>46085.0</v>
      </c>
      <c r="B1202" s="31" t="s">
        <v>5864</v>
      </c>
      <c r="C1202" s="31">
        <v>8.07839000612E11</v>
      </c>
      <c r="D1202" s="31" t="s">
        <v>5865</v>
      </c>
      <c r="E1202" s="31" t="s">
        <v>5866</v>
      </c>
      <c r="F1202" s="145" t="s">
        <v>13958</v>
      </c>
      <c r="G1202" s="177" t="s">
        <v>13959</v>
      </c>
      <c r="H1202" s="177">
        <v>4440.0</v>
      </c>
      <c r="I1202" s="176" t="s">
        <v>32</v>
      </c>
      <c r="J1202" s="374" t="s">
        <v>13962</v>
      </c>
      <c r="K1202" s="177">
        <v>1.0</v>
      </c>
      <c r="L1202" s="124">
        <v>3.876472084E9</v>
      </c>
      <c r="M1202" s="367"/>
      <c r="N1202" s="209"/>
      <c r="O1202" s="209"/>
      <c r="P1202" s="209"/>
      <c r="Q1202" s="209"/>
      <c r="R1202" s="209"/>
      <c r="S1202" s="367"/>
      <c r="T1202" s="276"/>
      <c r="U1202" s="276"/>
      <c r="V1202" s="276"/>
      <c r="W1202" s="276"/>
      <c r="X1202" s="276"/>
      <c r="Y1202" s="276"/>
      <c r="Z1202" s="276"/>
      <c r="AA1202" s="276"/>
      <c r="AB1202" s="276"/>
      <c r="AC1202" s="276"/>
    </row>
    <row r="1203">
      <c r="A1203" s="524">
        <v>46085.0</v>
      </c>
      <c r="B1203" s="250" t="s">
        <v>5864</v>
      </c>
      <c r="C1203" s="185">
        <v>8.07839000612E11</v>
      </c>
      <c r="D1203" s="250" t="s">
        <v>5865</v>
      </c>
      <c r="E1203" s="250" t="s">
        <v>5866</v>
      </c>
      <c r="F1203" s="145" t="s">
        <v>13958</v>
      </c>
      <c r="G1203" s="177" t="s">
        <v>13959</v>
      </c>
      <c r="H1203" s="177">
        <v>4440.0</v>
      </c>
      <c r="I1203" s="176" t="s">
        <v>512</v>
      </c>
      <c r="J1203" s="374" t="s">
        <v>12648</v>
      </c>
      <c r="K1203" s="177">
        <v>6.0</v>
      </c>
      <c r="L1203" s="124">
        <v>3.876472084E9</v>
      </c>
      <c r="M1203" s="367"/>
      <c r="N1203" s="206"/>
      <c r="O1203" s="206"/>
      <c r="P1203" s="206"/>
      <c r="Q1203" s="206"/>
      <c r="R1203" s="206"/>
      <c r="S1203" s="367"/>
      <c r="T1203" s="276"/>
      <c r="U1203" s="276"/>
      <c r="V1203" s="276"/>
      <c r="W1203" s="276"/>
      <c r="X1203" s="276"/>
      <c r="Y1203" s="276"/>
      <c r="Z1203" s="276"/>
      <c r="AA1203" s="276"/>
      <c r="AB1203" s="276"/>
      <c r="AC1203" s="276"/>
    </row>
    <row r="1204">
      <c r="A1204" s="285"/>
      <c r="B1204" s="285"/>
      <c r="C1204" s="287"/>
      <c r="D1204" s="287"/>
      <c r="E1204" s="287"/>
      <c r="F1204" s="288"/>
      <c r="G1204" s="290"/>
      <c r="H1204" s="290"/>
      <c r="I1204" s="289"/>
      <c r="J1204" s="287"/>
      <c r="K1204" s="290"/>
      <c r="L1204" s="291"/>
      <c r="M1204" s="367"/>
      <c r="N1204" s="433"/>
      <c r="O1204" s="261"/>
      <c r="P1204" s="367"/>
      <c r="Q1204" s="261"/>
      <c r="R1204" s="449"/>
      <c r="S1204" s="367"/>
      <c r="T1204" s="276"/>
      <c r="U1204" s="276"/>
      <c r="V1204" s="276"/>
      <c r="W1204" s="276"/>
      <c r="X1204" s="276"/>
      <c r="Y1204" s="276"/>
      <c r="Z1204" s="276"/>
      <c r="AA1204" s="276"/>
      <c r="AB1204" s="276"/>
      <c r="AC1204" s="276"/>
    </row>
    <row r="1205">
      <c r="A1205" s="85">
        <v>46099.0</v>
      </c>
      <c r="B1205" s="31" t="s">
        <v>5881</v>
      </c>
      <c r="C1205" s="31">
        <v>8.07839000864E11</v>
      </c>
      <c r="D1205" s="31" t="s">
        <v>5882</v>
      </c>
      <c r="E1205" s="31" t="s">
        <v>5883</v>
      </c>
      <c r="F1205" s="31" t="s">
        <v>5884</v>
      </c>
      <c r="G1205" s="31" t="s">
        <v>127</v>
      </c>
      <c r="H1205" s="31" t="s">
        <v>20</v>
      </c>
      <c r="I1205" s="31">
        <v>4400.0</v>
      </c>
      <c r="J1205" s="31">
        <v>3.877410328E9</v>
      </c>
      <c r="K1205" s="31" t="s">
        <v>340</v>
      </c>
      <c r="L1205" s="31" t="s">
        <v>3486</v>
      </c>
      <c r="M1205" s="33">
        <v>2.0</v>
      </c>
      <c r="N1205" s="429">
        <v>46101.0</v>
      </c>
      <c r="O1205" s="430" t="s">
        <v>13338</v>
      </c>
      <c r="P1205" s="431"/>
      <c r="Q1205" s="430" t="s">
        <v>13339</v>
      </c>
      <c r="R1205" s="432" t="s">
        <v>13963</v>
      </c>
      <c r="S1205" s="367"/>
      <c r="T1205" s="276"/>
      <c r="U1205" s="276"/>
      <c r="V1205" s="276"/>
      <c r="W1205" s="276"/>
      <c r="X1205" s="276"/>
      <c r="Y1205" s="276"/>
      <c r="Z1205" s="276"/>
      <c r="AA1205" s="276"/>
      <c r="AB1205" s="276"/>
      <c r="AC1205" s="276"/>
    </row>
    <row r="1206">
      <c r="A1206" s="85">
        <v>46099.0</v>
      </c>
      <c r="B1206" s="31" t="s">
        <v>5881</v>
      </c>
      <c r="C1206" s="31">
        <v>8.07839000864E11</v>
      </c>
      <c r="D1206" s="31" t="s">
        <v>5882</v>
      </c>
      <c r="E1206" s="31" t="s">
        <v>5883</v>
      </c>
      <c r="F1206" s="31" t="s">
        <v>5884</v>
      </c>
      <c r="G1206" s="31" t="s">
        <v>127</v>
      </c>
      <c r="H1206" s="31" t="s">
        <v>20</v>
      </c>
      <c r="I1206" s="31">
        <v>4400.0</v>
      </c>
      <c r="J1206" s="31">
        <v>3.877410328E9</v>
      </c>
      <c r="K1206" s="31" t="s">
        <v>761</v>
      </c>
      <c r="L1206" s="31" t="s">
        <v>3761</v>
      </c>
      <c r="M1206" s="33">
        <v>1.0</v>
      </c>
      <c r="N1206" s="209"/>
      <c r="O1206" s="209"/>
      <c r="P1206" s="209"/>
      <c r="Q1206" s="209"/>
      <c r="R1206" s="209"/>
      <c r="S1206" s="367"/>
      <c r="T1206" s="276"/>
      <c r="U1206" s="276"/>
      <c r="V1206" s="276"/>
      <c r="W1206" s="276"/>
      <c r="X1206" s="276"/>
      <c r="Y1206" s="276"/>
      <c r="Z1206" s="276"/>
      <c r="AA1206" s="276"/>
      <c r="AB1206" s="276"/>
      <c r="AC1206" s="276"/>
    </row>
    <row r="1207">
      <c r="A1207" s="85">
        <v>46099.0</v>
      </c>
      <c r="B1207" s="31" t="s">
        <v>5881</v>
      </c>
      <c r="C1207" s="31">
        <v>8.07839000864E11</v>
      </c>
      <c r="D1207" s="31" t="s">
        <v>5882</v>
      </c>
      <c r="E1207" s="31" t="s">
        <v>5883</v>
      </c>
      <c r="F1207" s="31" t="s">
        <v>5884</v>
      </c>
      <c r="G1207" s="31" t="s">
        <v>127</v>
      </c>
      <c r="H1207" s="31" t="s">
        <v>20</v>
      </c>
      <c r="I1207" s="31">
        <v>4400.0</v>
      </c>
      <c r="J1207" s="31">
        <v>3.877410328E9</v>
      </c>
      <c r="K1207" s="31" t="s">
        <v>512</v>
      </c>
      <c r="L1207" s="31" t="s">
        <v>513</v>
      </c>
      <c r="M1207" s="33">
        <v>2.0</v>
      </c>
      <c r="N1207" s="206"/>
      <c r="O1207" s="206"/>
      <c r="P1207" s="206"/>
      <c r="Q1207" s="206"/>
      <c r="R1207" s="206"/>
      <c r="S1207" s="367"/>
      <c r="T1207" s="276"/>
      <c r="U1207" s="276"/>
      <c r="V1207" s="276"/>
      <c r="W1207" s="276"/>
      <c r="X1207" s="276"/>
      <c r="Y1207" s="276"/>
      <c r="Z1207" s="276"/>
      <c r="AA1207" s="276"/>
      <c r="AB1207" s="276"/>
      <c r="AC1207" s="276"/>
    </row>
    <row r="1208">
      <c r="A1208" s="85">
        <v>46099.0</v>
      </c>
      <c r="B1208" s="31" t="s">
        <v>5885</v>
      </c>
      <c r="C1208" s="31">
        <v>8.07940000254E11</v>
      </c>
      <c r="D1208" s="31" t="s">
        <v>5062</v>
      </c>
      <c r="E1208" s="31" t="s">
        <v>5063</v>
      </c>
      <c r="F1208" s="31" t="s">
        <v>5064</v>
      </c>
      <c r="G1208" s="31" t="s">
        <v>127</v>
      </c>
      <c r="H1208" s="31" t="s">
        <v>20</v>
      </c>
      <c r="I1208" s="31">
        <v>4400.0</v>
      </c>
      <c r="J1208" s="31">
        <v>3.875037357E9</v>
      </c>
      <c r="K1208" s="31" t="s">
        <v>512</v>
      </c>
      <c r="L1208" s="31" t="s">
        <v>513</v>
      </c>
      <c r="M1208" s="33">
        <v>2.0</v>
      </c>
      <c r="N1208" s="429">
        <v>46101.0</v>
      </c>
      <c r="O1208" s="430" t="s">
        <v>13338</v>
      </c>
      <c r="P1208" s="431"/>
      <c r="Q1208" s="430" t="s">
        <v>13964</v>
      </c>
      <c r="R1208" s="432" t="s">
        <v>13965</v>
      </c>
      <c r="S1208" s="367"/>
      <c r="T1208" s="276"/>
      <c r="U1208" s="276"/>
      <c r="V1208" s="276"/>
      <c r="W1208" s="276"/>
      <c r="X1208" s="276"/>
      <c r="Y1208" s="276"/>
      <c r="Z1208" s="276"/>
      <c r="AA1208" s="276"/>
      <c r="AB1208" s="276"/>
      <c r="AC1208" s="276"/>
    </row>
    <row r="1209">
      <c r="A1209" s="85">
        <v>46099.0</v>
      </c>
      <c r="B1209" s="31" t="s">
        <v>5885</v>
      </c>
      <c r="C1209" s="31">
        <v>8.07940000254E11</v>
      </c>
      <c r="D1209" s="31" t="s">
        <v>5062</v>
      </c>
      <c r="E1209" s="31" t="s">
        <v>5063</v>
      </c>
      <c r="F1209" s="31" t="s">
        <v>5064</v>
      </c>
      <c r="G1209" s="31" t="s">
        <v>127</v>
      </c>
      <c r="H1209" s="31" t="s">
        <v>20</v>
      </c>
      <c r="I1209" s="31">
        <v>4400.0</v>
      </c>
      <c r="J1209" s="31">
        <v>3.875037357E9</v>
      </c>
      <c r="K1209" s="31" t="s">
        <v>1345</v>
      </c>
      <c r="L1209" s="31" t="s">
        <v>3639</v>
      </c>
      <c r="M1209" s="33">
        <v>2.0</v>
      </c>
      <c r="N1209" s="209"/>
      <c r="O1209" s="209"/>
      <c r="P1209" s="209"/>
      <c r="Q1209" s="209"/>
      <c r="R1209" s="209"/>
      <c r="S1209" s="367"/>
      <c r="T1209" s="276"/>
      <c r="U1209" s="276"/>
      <c r="V1209" s="276"/>
      <c r="W1209" s="276"/>
      <c r="X1209" s="276"/>
      <c r="Y1209" s="276"/>
      <c r="Z1209" s="276"/>
      <c r="AA1209" s="276"/>
      <c r="AB1209" s="276"/>
      <c r="AC1209" s="276"/>
    </row>
    <row r="1210">
      <c r="A1210" s="85">
        <v>46099.0</v>
      </c>
      <c r="B1210" s="31" t="s">
        <v>5885</v>
      </c>
      <c r="C1210" s="31">
        <v>8.07940000254E11</v>
      </c>
      <c r="D1210" s="31" t="s">
        <v>5062</v>
      </c>
      <c r="E1210" s="31" t="s">
        <v>5063</v>
      </c>
      <c r="F1210" s="31" t="s">
        <v>5064</v>
      </c>
      <c r="G1210" s="31" t="s">
        <v>127</v>
      </c>
      <c r="H1210" s="31" t="s">
        <v>20</v>
      </c>
      <c r="I1210" s="31">
        <v>4400.0</v>
      </c>
      <c r="J1210" s="31">
        <v>3.875037357E9</v>
      </c>
      <c r="K1210" s="31" t="s">
        <v>3641</v>
      </c>
      <c r="L1210" s="31" t="s">
        <v>3642</v>
      </c>
      <c r="M1210" s="33">
        <v>2.0</v>
      </c>
      <c r="N1210" s="206"/>
      <c r="O1210" s="206"/>
      <c r="P1210" s="206"/>
      <c r="Q1210" s="206"/>
      <c r="R1210" s="206"/>
      <c r="S1210" s="367"/>
      <c r="T1210" s="276"/>
      <c r="U1210" s="276"/>
      <c r="V1210" s="276"/>
      <c r="W1210" s="276"/>
      <c r="X1210" s="276"/>
      <c r="Y1210" s="276"/>
      <c r="Z1210" s="276"/>
      <c r="AA1210" s="276"/>
      <c r="AB1210" s="276"/>
      <c r="AC1210" s="276"/>
    </row>
    <row r="1211">
      <c r="A1211" s="525">
        <v>46099.0</v>
      </c>
      <c r="B1211" s="526" t="s">
        <v>5886</v>
      </c>
      <c r="C1211" s="526">
        <v>8.07025035281E11</v>
      </c>
      <c r="D1211" s="526" t="s">
        <v>5887</v>
      </c>
      <c r="E1211" s="526" t="s">
        <v>5888</v>
      </c>
      <c r="F1211" s="526" t="s">
        <v>5889</v>
      </c>
      <c r="G1211" s="526" t="s">
        <v>127</v>
      </c>
      <c r="H1211" s="526" t="s">
        <v>20</v>
      </c>
      <c r="I1211" s="526">
        <v>4400.0</v>
      </c>
      <c r="J1211" s="526">
        <v>3.875007245E9</v>
      </c>
      <c r="K1211" s="526" t="s">
        <v>4974</v>
      </c>
      <c r="L1211" s="526" t="s">
        <v>4975</v>
      </c>
      <c r="M1211" s="527">
        <v>1.0</v>
      </c>
      <c r="N1211" s="528"/>
      <c r="O1211" s="529" t="s">
        <v>13283</v>
      </c>
      <c r="P1211" s="528"/>
      <c r="Q1211" s="529" t="s">
        <v>13966</v>
      </c>
      <c r="R1211" s="530"/>
      <c r="S1211" s="367"/>
      <c r="T1211" s="276"/>
      <c r="U1211" s="276"/>
      <c r="V1211" s="276"/>
      <c r="W1211" s="276"/>
      <c r="X1211" s="276"/>
      <c r="Y1211" s="276"/>
      <c r="Z1211" s="276"/>
      <c r="AA1211" s="276"/>
      <c r="AB1211" s="276"/>
      <c r="AC1211" s="276"/>
    </row>
    <row r="1212">
      <c r="A1212" s="92">
        <v>46099.0</v>
      </c>
      <c r="B1212" s="107" t="s">
        <v>5890</v>
      </c>
      <c r="C1212" s="107">
        <v>8.07839001391E11</v>
      </c>
      <c r="D1212" s="107" t="s">
        <v>5891</v>
      </c>
      <c r="E1212" s="107" t="s">
        <v>5892</v>
      </c>
      <c r="F1212" s="107" t="s">
        <v>5893</v>
      </c>
      <c r="G1212" s="107" t="s">
        <v>5894</v>
      </c>
      <c r="H1212" s="107" t="s">
        <v>20</v>
      </c>
      <c r="I1212" s="107">
        <v>4430.0</v>
      </c>
      <c r="J1212" s="107">
        <v>3.875654043E9</v>
      </c>
      <c r="K1212" s="107" t="s">
        <v>698</v>
      </c>
      <c r="L1212" s="107" t="s">
        <v>699</v>
      </c>
      <c r="M1212" s="108">
        <v>1.0</v>
      </c>
      <c r="N1212" s="481">
        <v>46106.0</v>
      </c>
      <c r="O1212" s="531" t="s">
        <v>13338</v>
      </c>
      <c r="P1212" s="387"/>
      <c r="Q1212" s="531" t="s">
        <v>13339</v>
      </c>
      <c r="R1212" s="532" t="s">
        <v>13967</v>
      </c>
      <c r="S1212" s="367"/>
      <c r="T1212" s="276"/>
      <c r="U1212" s="276"/>
      <c r="V1212" s="276"/>
      <c r="W1212" s="276"/>
      <c r="X1212" s="276"/>
      <c r="Y1212" s="276"/>
      <c r="Z1212" s="276"/>
      <c r="AA1212" s="276"/>
      <c r="AB1212" s="276"/>
      <c r="AC1212" s="276"/>
    </row>
    <row r="1213">
      <c r="A1213" s="92">
        <v>46099.0</v>
      </c>
      <c r="B1213" s="107" t="s">
        <v>5895</v>
      </c>
      <c r="C1213" s="107">
        <v>8.07839001472E11</v>
      </c>
      <c r="D1213" s="107" t="s">
        <v>5896</v>
      </c>
      <c r="E1213" s="107" t="s">
        <v>5897</v>
      </c>
      <c r="F1213" s="107" t="s">
        <v>5898</v>
      </c>
      <c r="G1213" s="107" t="s">
        <v>5899</v>
      </c>
      <c r="H1213" s="107" t="s">
        <v>20</v>
      </c>
      <c r="I1213" s="107">
        <v>4411.0</v>
      </c>
      <c r="J1213" s="107">
        <v>3.875750816E9</v>
      </c>
      <c r="K1213" s="107" t="s">
        <v>670</v>
      </c>
      <c r="L1213" s="107" t="s">
        <v>3410</v>
      </c>
      <c r="M1213" s="108">
        <v>1.0</v>
      </c>
      <c r="N1213" s="533">
        <v>46108.0</v>
      </c>
      <c r="O1213" s="402" t="s">
        <v>13338</v>
      </c>
      <c r="P1213" s="534"/>
      <c r="Q1213" s="402" t="s">
        <v>13339</v>
      </c>
      <c r="R1213" s="535" t="s">
        <v>13968</v>
      </c>
      <c r="S1213" s="367"/>
      <c r="T1213" s="276"/>
      <c r="U1213" s="276"/>
      <c r="V1213" s="276"/>
      <c r="W1213" s="276"/>
      <c r="X1213" s="276"/>
      <c r="Y1213" s="276"/>
      <c r="Z1213" s="276"/>
      <c r="AA1213" s="276"/>
      <c r="AB1213" s="276"/>
      <c r="AC1213" s="276"/>
    </row>
    <row r="1214">
      <c r="A1214" s="92">
        <v>46099.0</v>
      </c>
      <c r="B1214" s="107" t="s">
        <v>5895</v>
      </c>
      <c r="C1214" s="107">
        <v>8.07839001472E11</v>
      </c>
      <c r="D1214" s="107" t="s">
        <v>5896</v>
      </c>
      <c r="E1214" s="107" t="s">
        <v>5897</v>
      </c>
      <c r="F1214" s="107" t="s">
        <v>5898</v>
      </c>
      <c r="G1214" s="107" t="s">
        <v>5899</v>
      </c>
      <c r="H1214" s="107" t="s">
        <v>20</v>
      </c>
      <c r="I1214" s="107">
        <v>4411.0</v>
      </c>
      <c r="J1214" s="107">
        <v>3.875750816E9</v>
      </c>
      <c r="K1214" s="107" t="s">
        <v>512</v>
      </c>
      <c r="L1214" s="107" t="s">
        <v>513</v>
      </c>
      <c r="M1214" s="108">
        <v>1.0</v>
      </c>
      <c r="N1214" s="209"/>
      <c r="O1214" s="209"/>
      <c r="P1214" s="209"/>
      <c r="Q1214" s="209"/>
      <c r="R1214" s="209"/>
      <c r="S1214" s="367"/>
      <c r="T1214" s="275"/>
      <c r="U1214" s="276"/>
      <c r="V1214" s="276"/>
      <c r="W1214" s="276"/>
      <c r="X1214" s="276"/>
      <c r="Y1214" s="276"/>
      <c r="Z1214" s="276"/>
      <c r="AA1214" s="276"/>
      <c r="AB1214" s="276"/>
      <c r="AC1214" s="276"/>
    </row>
    <row r="1215">
      <c r="A1215" s="92">
        <v>46099.0</v>
      </c>
      <c r="B1215" s="107" t="s">
        <v>5895</v>
      </c>
      <c r="C1215" s="107">
        <v>8.07839001472E11</v>
      </c>
      <c r="D1215" s="107" t="s">
        <v>5896</v>
      </c>
      <c r="E1215" s="107" t="s">
        <v>5897</v>
      </c>
      <c r="F1215" s="107" t="s">
        <v>5898</v>
      </c>
      <c r="G1215" s="107" t="s">
        <v>5899</v>
      </c>
      <c r="H1215" s="107" t="s">
        <v>20</v>
      </c>
      <c r="I1215" s="107">
        <v>4411.0</v>
      </c>
      <c r="J1215" s="107">
        <v>3.875750816E9</v>
      </c>
      <c r="K1215" s="107" t="s">
        <v>98</v>
      </c>
      <c r="L1215" s="107" t="s">
        <v>3187</v>
      </c>
      <c r="M1215" s="108">
        <v>1.0</v>
      </c>
      <c r="N1215" s="206"/>
      <c r="O1215" s="206"/>
      <c r="P1215" s="206"/>
      <c r="Q1215" s="206"/>
      <c r="R1215" s="206"/>
      <c r="S1215" s="367"/>
      <c r="T1215" s="276"/>
      <c r="U1215" s="276"/>
      <c r="V1215" s="276"/>
      <c r="W1215" s="276"/>
      <c r="X1215" s="276"/>
      <c r="Y1215" s="276"/>
      <c r="Z1215" s="276"/>
      <c r="AA1215" s="276"/>
      <c r="AB1215" s="276"/>
      <c r="AC1215" s="276"/>
    </row>
    <row r="1216">
      <c r="A1216" s="85">
        <v>46099.0</v>
      </c>
      <c r="B1216" s="31" t="s">
        <v>5900</v>
      </c>
      <c r="C1216" s="31">
        <v>8.07227014118E11</v>
      </c>
      <c r="D1216" s="31" t="s">
        <v>5901</v>
      </c>
      <c r="E1216" s="31" t="s">
        <v>5902</v>
      </c>
      <c r="F1216" s="31" t="s">
        <v>5903</v>
      </c>
      <c r="G1216" s="31" t="s">
        <v>127</v>
      </c>
      <c r="H1216" s="31" t="s">
        <v>20</v>
      </c>
      <c r="I1216" s="31">
        <v>4400.0</v>
      </c>
      <c r="J1216" s="31">
        <v>3.517517987E9</v>
      </c>
      <c r="K1216" s="31" t="s">
        <v>5658</v>
      </c>
      <c r="L1216" s="31" t="s">
        <v>5659</v>
      </c>
      <c r="M1216" s="33">
        <v>1.0</v>
      </c>
      <c r="N1216" s="433">
        <v>46101.0</v>
      </c>
      <c r="O1216" s="261" t="s">
        <v>13338</v>
      </c>
      <c r="P1216" s="367"/>
      <c r="Q1216" s="261" t="s">
        <v>9012</v>
      </c>
      <c r="R1216" s="434" t="s">
        <v>13969</v>
      </c>
      <c r="S1216" s="367"/>
      <c r="T1216" s="276"/>
      <c r="U1216" s="276"/>
      <c r="V1216" s="276"/>
      <c r="W1216" s="276"/>
      <c r="X1216" s="276"/>
      <c r="Y1216" s="276"/>
      <c r="Z1216" s="276"/>
      <c r="AA1216" s="276"/>
      <c r="AB1216" s="276"/>
      <c r="AC1216" s="276"/>
    </row>
    <row r="1217">
      <c r="A1217" s="536"/>
      <c r="B1217" s="537"/>
      <c r="C1217" s="538"/>
      <c r="D1217" s="538"/>
      <c r="E1217" s="538"/>
      <c r="F1217" s="539"/>
      <c r="G1217" s="540"/>
      <c r="H1217" s="540"/>
      <c r="I1217" s="541"/>
      <c r="J1217" s="538"/>
      <c r="K1217" s="540"/>
      <c r="L1217" s="542"/>
      <c r="M1217" s="367"/>
      <c r="N1217" s="433"/>
      <c r="O1217" s="261"/>
      <c r="P1217" s="367"/>
      <c r="Q1217" s="261"/>
      <c r="R1217" s="449"/>
      <c r="S1217" s="367"/>
      <c r="T1217" s="276"/>
      <c r="U1217" s="276"/>
      <c r="V1217" s="276"/>
      <c r="W1217" s="276"/>
      <c r="X1217" s="276"/>
      <c r="Y1217" s="276"/>
      <c r="Z1217" s="276"/>
      <c r="AA1217" s="276"/>
      <c r="AB1217" s="276"/>
      <c r="AC1217" s="276"/>
    </row>
    <row r="1218">
      <c r="A1218" s="108" t="s">
        <v>12262</v>
      </c>
      <c r="B1218" s="173">
        <v>46100.0</v>
      </c>
      <c r="C1218" s="374">
        <v>8.07000035454E11</v>
      </c>
      <c r="D1218" s="374" t="s">
        <v>12263</v>
      </c>
      <c r="E1218" s="374" t="s">
        <v>12264</v>
      </c>
      <c r="F1218" s="145" t="s">
        <v>12265</v>
      </c>
      <c r="G1218" s="177" t="s">
        <v>127</v>
      </c>
      <c r="H1218" s="145">
        <v>4400.0</v>
      </c>
      <c r="I1218" s="176">
        <v>208501.0</v>
      </c>
      <c r="J1218" s="374" t="s">
        <v>481</v>
      </c>
      <c r="K1218" s="177">
        <v>2.0</v>
      </c>
      <c r="L1218" s="174">
        <v>3.8755641574E10</v>
      </c>
      <c r="M1218" s="367"/>
      <c r="N1218" s="429">
        <v>46101.0</v>
      </c>
      <c r="O1218" s="430" t="s">
        <v>13338</v>
      </c>
      <c r="P1218" s="431"/>
      <c r="Q1218" s="430" t="s">
        <v>13970</v>
      </c>
      <c r="R1218" s="432" t="s">
        <v>13971</v>
      </c>
      <c r="S1218" s="367"/>
      <c r="T1218" s="276"/>
      <c r="U1218" s="276"/>
      <c r="V1218" s="276"/>
      <c r="W1218" s="276"/>
      <c r="X1218" s="276"/>
      <c r="Y1218" s="276"/>
      <c r="Z1218" s="276"/>
      <c r="AA1218" s="276"/>
      <c r="AB1218" s="276"/>
      <c r="AC1218" s="276"/>
    </row>
    <row r="1219">
      <c r="A1219" s="108" t="s">
        <v>12262</v>
      </c>
      <c r="B1219" s="173">
        <v>46100.0</v>
      </c>
      <c r="C1219" s="374">
        <v>8.07000035454E11</v>
      </c>
      <c r="D1219" s="374" t="s">
        <v>12263</v>
      </c>
      <c r="E1219" s="374" t="s">
        <v>12264</v>
      </c>
      <c r="F1219" s="145" t="s">
        <v>12265</v>
      </c>
      <c r="G1219" s="177" t="s">
        <v>127</v>
      </c>
      <c r="H1219" s="145">
        <v>4400.0</v>
      </c>
      <c r="I1219" s="176" t="s">
        <v>512</v>
      </c>
      <c r="J1219" s="374" t="s">
        <v>513</v>
      </c>
      <c r="K1219" s="177">
        <v>12.0</v>
      </c>
      <c r="L1219" s="174">
        <v>3.8755641574E10</v>
      </c>
      <c r="M1219" s="367"/>
      <c r="N1219" s="209"/>
      <c r="O1219" s="209"/>
      <c r="P1219" s="209"/>
      <c r="Q1219" s="209"/>
      <c r="R1219" s="209"/>
      <c r="S1219" s="367"/>
      <c r="T1219" s="276"/>
      <c r="U1219" s="276"/>
      <c r="V1219" s="276"/>
      <c r="W1219" s="276"/>
      <c r="X1219" s="276"/>
      <c r="Y1219" s="276"/>
      <c r="Z1219" s="276"/>
      <c r="AA1219" s="276"/>
      <c r="AB1219" s="276"/>
      <c r="AC1219" s="276"/>
    </row>
    <row r="1220">
      <c r="A1220" s="108" t="s">
        <v>12262</v>
      </c>
      <c r="B1220" s="173">
        <v>46100.0</v>
      </c>
      <c r="C1220" s="374">
        <v>8.07000035455E11</v>
      </c>
      <c r="D1220" s="374" t="s">
        <v>12263</v>
      </c>
      <c r="E1220" s="374" t="s">
        <v>12264</v>
      </c>
      <c r="F1220" s="145" t="s">
        <v>12265</v>
      </c>
      <c r="G1220" s="177" t="s">
        <v>127</v>
      </c>
      <c r="H1220" s="145">
        <v>4400.0</v>
      </c>
      <c r="I1220" s="176" t="s">
        <v>8532</v>
      </c>
      <c r="J1220" s="374" t="s">
        <v>8533</v>
      </c>
      <c r="K1220" s="177">
        <v>2.0</v>
      </c>
      <c r="L1220" s="174">
        <v>3.8755641574E10</v>
      </c>
      <c r="M1220" s="367"/>
      <c r="N1220" s="209"/>
      <c r="O1220" s="209"/>
      <c r="P1220" s="209"/>
      <c r="Q1220" s="209"/>
      <c r="R1220" s="209"/>
      <c r="S1220" s="367"/>
      <c r="T1220" s="276"/>
      <c r="U1220" s="276"/>
      <c r="V1220" s="276"/>
      <c r="W1220" s="276"/>
      <c r="X1220" s="276"/>
      <c r="Y1220" s="276"/>
      <c r="Z1220" s="276"/>
      <c r="AA1220" s="276"/>
      <c r="AB1220" s="276"/>
      <c r="AC1220" s="276"/>
    </row>
    <row r="1221">
      <c r="A1221" s="108" t="s">
        <v>12262</v>
      </c>
      <c r="B1221" s="173">
        <v>46100.0</v>
      </c>
      <c r="C1221" s="374">
        <v>8.07000035455E11</v>
      </c>
      <c r="D1221" s="374" t="s">
        <v>12263</v>
      </c>
      <c r="E1221" s="374" t="s">
        <v>12264</v>
      </c>
      <c r="F1221" s="145" t="s">
        <v>12265</v>
      </c>
      <c r="G1221" s="177" t="s">
        <v>127</v>
      </c>
      <c r="H1221" s="145">
        <v>4400.0</v>
      </c>
      <c r="I1221" s="176" t="s">
        <v>1749</v>
      </c>
      <c r="J1221" s="374" t="s">
        <v>3240</v>
      </c>
      <c r="K1221" s="177">
        <v>2.0</v>
      </c>
      <c r="L1221" s="174">
        <v>3.8755641574E10</v>
      </c>
      <c r="M1221" s="367"/>
      <c r="N1221" s="206"/>
      <c r="O1221" s="206"/>
      <c r="P1221" s="206"/>
      <c r="Q1221" s="206"/>
      <c r="R1221" s="206"/>
      <c r="S1221" s="367"/>
      <c r="T1221" s="276"/>
      <c r="U1221" s="276"/>
      <c r="V1221" s="276"/>
      <c r="W1221" s="276"/>
      <c r="X1221" s="276"/>
      <c r="Y1221" s="276"/>
      <c r="Z1221" s="276"/>
      <c r="AA1221" s="276"/>
      <c r="AB1221" s="276"/>
      <c r="AC1221" s="276"/>
    </row>
    <row r="1222">
      <c r="A1222" s="108" t="s">
        <v>12266</v>
      </c>
      <c r="B1222" s="173">
        <v>46100.0</v>
      </c>
      <c r="C1222" s="374">
        <v>8.07000035456E11</v>
      </c>
      <c r="D1222" s="374" t="s">
        <v>12267</v>
      </c>
      <c r="E1222" s="374" t="s">
        <v>12268</v>
      </c>
      <c r="F1222" s="145" t="s">
        <v>12269</v>
      </c>
      <c r="G1222" s="145" t="s">
        <v>11689</v>
      </c>
      <c r="H1222" s="145">
        <v>4407.0</v>
      </c>
      <c r="I1222" s="176" t="s">
        <v>22</v>
      </c>
      <c r="J1222" s="374" t="s">
        <v>4013</v>
      </c>
      <c r="K1222" s="177">
        <v>1.0</v>
      </c>
      <c r="L1222" s="174">
        <v>3.874123144E9</v>
      </c>
      <c r="M1222" s="367"/>
      <c r="N1222" s="429">
        <v>46102.0</v>
      </c>
      <c r="O1222" s="430" t="s">
        <v>13338</v>
      </c>
      <c r="P1222" s="431"/>
      <c r="Q1222" s="430" t="s">
        <v>13972</v>
      </c>
      <c r="R1222" s="432" t="s">
        <v>13973</v>
      </c>
      <c r="S1222" s="367"/>
      <c r="T1222" s="276"/>
      <c r="U1222" s="276"/>
      <c r="V1222" s="276"/>
      <c r="W1222" s="276"/>
      <c r="X1222" s="276"/>
      <c r="Y1222" s="276"/>
      <c r="Z1222" s="276"/>
      <c r="AA1222" s="276"/>
      <c r="AB1222" s="276"/>
      <c r="AC1222" s="276"/>
    </row>
    <row r="1223">
      <c r="A1223" s="108" t="s">
        <v>12266</v>
      </c>
      <c r="B1223" s="173">
        <v>46100.0</v>
      </c>
      <c r="C1223" s="374">
        <v>8.07000035456E11</v>
      </c>
      <c r="D1223" s="374" t="s">
        <v>12267</v>
      </c>
      <c r="E1223" s="374" t="s">
        <v>12268</v>
      </c>
      <c r="F1223" s="145" t="s">
        <v>12269</v>
      </c>
      <c r="G1223" s="145" t="s">
        <v>11689</v>
      </c>
      <c r="H1223" s="145">
        <v>4407.0</v>
      </c>
      <c r="I1223" s="176" t="s">
        <v>512</v>
      </c>
      <c r="J1223" s="374" t="s">
        <v>513</v>
      </c>
      <c r="K1223" s="177">
        <v>6.0</v>
      </c>
      <c r="L1223" s="174">
        <v>3.874123144E9</v>
      </c>
      <c r="M1223" s="367"/>
      <c r="N1223" s="209"/>
      <c r="O1223" s="209"/>
      <c r="P1223" s="209"/>
      <c r="Q1223" s="209"/>
      <c r="R1223" s="209"/>
      <c r="S1223" s="367"/>
      <c r="T1223" s="276"/>
      <c r="U1223" s="276"/>
      <c r="V1223" s="276"/>
      <c r="W1223" s="276"/>
      <c r="X1223" s="276"/>
      <c r="Y1223" s="276"/>
      <c r="Z1223" s="276"/>
      <c r="AA1223" s="276"/>
      <c r="AB1223" s="276"/>
      <c r="AC1223" s="276"/>
    </row>
    <row r="1224">
      <c r="A1224" s="108" t="s">
        <v>12266</v>
      </c>
      <c r="B1224" s="173">
        <v>46100.0</v>
      </c>
      <c r="C1224" s="374">
        <v>8.07000035456E11</v>
      </c>
      <c r="D1224" s="374" t="s">
        <v>12267</v>
      </c>
      <c r="E1224" s="374" t="s">
        <v>12268</v>
      </c>
      <c r="F1224" s="145" t="s">
        <v>12269</v>
      </c>
      <c r="G1224" s="145" t="s">
        <v>11689</v>
      </c>
      <c r="H1224" s="145">
        <v>4407.0</v>
      </c>
      <c r="I1224" s="176" t="s">
        <v>25</v>
      </c>
      <c r="J1224" s="374" t="s">
        <v>3401</v>
      </c>
      <c r="K1224" s="177">
        <v>1.0</v>
      </c>
      <c r="L1224" s="174">
        <v>3.874123144E9</v>
      </c>
      <c r="M1224" s="367"/>
      <c r="N1224" s="206"/>
      <c r="O1224" s="206"/>
      <c r="P1224" s="206"/>
      <c r="Q1224" s="206"/>
      <c r="R1224" s="206"/>
      <c r="S1224" s="367"/>
      <c r="T1224" s="276"/>
      <c r="U1224" s="276"/>
      <c r="V1224" s="276"/>
      <c r="W1224" s="276"/>
      <c r="X1224" s="276"/>
      <c r="Y1224" s="276"/>
      <c r="Z1224" s="276"/>
      <c r="AA1224" s="276"/>
      <c r="AB1224" s="276"/>
      <c r="AC1224" s="276"/>
    </row>
    <row r="1225">
      <c r="A1225" s="108" t="s">
        <v>12270</v>
      </c>
      <c r="B1225" s="173">
        <v>46100.0</v>
      </c>
      <c r="C1225" s="374">
        <v>8.07000035432E11</v>
      </c>
      <c r="D1225" s="374" t="s">
        <v>12271</v>
      </c>
      <c r="E1225" s="374" t="s">
        <v>12272</v>
      </c>
      <c r="F1225" s="145" t="s">
        <v>12273</v>
      </c>
      <c r="G1225" s="177" t="s">
        <v>127</v>
      </c>
      <c r="H1225" s="145">
        <v>4400.0</v>
      </c>
      <c r="I1225" s="176">
        <v>125814.0</v>
      </c>
      <c r="J1225" s="374" t="s">
        <v>9798</v>
      </c>
      <c r="K1225" s="177">
        <v>2.0</v>
      </c>
      <c r="L1225" s="174">
        <v>3.874588016E9</v>
      </c>
      <c r="M1225" s="367"/>
      <c r="N1225" s="429">
        <v>46102.0</v>
      </c>
      <c r="O1225" s="430" t="s">
        <v>13338</v>
      </c>
      <c r="P1225" s="431"/>
      <c r="Q1225" s="430" t="s">
        <v>13339</v>
      </c>
      <c r="R1225" s="432" t="s">
        <v>13974</v>
      </c>
      <c r="S1225" s="367"/>
      <c r="T1225" s="276"/>
      <c r="U1225" s="276"/>
      <c r="V1225" s="276"/>
      <c r="W1225" s="276"/>
      <c r="X1225" s="276"/>
      <c r="Y1225" s="276"/>
      <c r="Z1225" s="276"/>
      <c r="AA1225" s="276"/>
      <c r="AB1225" s="276"/>
      <c r="AC1225" s="276"/>
    </row>
    <row r="1226">
      <c r="A1226" s="108" t="s">
        <v>12270</v>
      </c>
      <c r="B1226" s="173">
        <v>46100.0</v>
      </c>
      <c r="C1226" s="374">
        <v>8.07000035433E11</v>
      </c>
      <c r="D1226" s="374" t="s">
        <v>12271</v>
      </c>
      <c r="E1226" s="374" t="s">
        <v>12272</v>
      </c>
      <c r="F1226" s="145" t="s">
        <v>12273</v>
      </c>
      <c r="G1226" s="177" t="s">
        <v>127</v>
      </c>
      <c r="H1226" s="145">
        <v>4400.0</v>
      </c>
      <c r="I1226" s="176" t="s">
        <v>512</v>
      </c>
      <c r="J1226" s="374" t="s">
        <v>513</v>
      </c>
      <c r="K1226" s="177">
        <v>12.0</v>
      </c>
      <c r="L1226" s="174">
        <v>3.874588016E9</v>
      </c>
      <c r="M1226" s="367"/>
      <c r="N1226" s="209"/>
      <c r="O1226" s="209"/>
      <c r="P1226" s="209"/>
      <c r="Q1226" s="209"/>
      <c r="R1226" s="209"/>
      <c r="S1226" s="367"/>
      <c r="T1226" s="276"/>
      <c r="U1226" s="276"/>
      <c r="V1226" s="276"/>
      <c r="W1226" s="276"/>
      <c r="X1226" s="276"/>
      <c r="Y1226" s="276"/>
      <c r="Z1226" s="276"/>
      <c r="AA1226" s="276"/>
      <c r="AB1226" s="276"/>
      <c r="AC1226" s="276"/>
    </row>
    <row r="1227">
      <c r="A1227" s="108" t="s">
        <v>12270</v>
      </c>
      <c r="B1227" s="173">
        <v>46100.0</v>
      </c>
      <c r="C1227" s="374">
        <v>8.07000035434E11</v>
      </c>
      <c r="D1227" s="374" t="s">
        <v>12271</v>
      </c>
      <c r="E1227" s="374" t="s">
        <v>12272</v>
      </c>
      <c r="F1227" s="145" t="s">
        <v>12273</v>
      </c>
      <c r="G1227" s="177" t="s">
        <v>127</v>
      </c>
      <c r="H1227" s="145">
        <v>4400.0</v>
      </c>
      <c r="I1227" s="176" t="s">
        <v>7839</v>
      </c>
      <c r="J1227" s="374" t="s">
        <v>7840</v>
      </c>
      <c r="K1227" s="177">
        <v>1.0</v>
      </c>
      <c r="L1227" s="174">
        <v>3.874588016E9</v>
      </c>
      <c r="M1227" s="367"/>
      <c r="N1227" s="209"/>
      <c r="O1227" s="209"/>
      <c r="P1227" s="209"/>
      <c r="Q1227" s="209"/>
      <c r="R1227" s="209"/>
      <c r="S1227" s="367"/>
      <c r="T1227" s="276"/>
      <c r="U1227" s="276"/>
      <c r="V1227" s="276"/>
      <c r="W1227" s="276"/>
      <c r="X1227" s="276"/>
      <c r="Y1227" s="276"/>
      <c r="Z1227" s="276"/>
      <c r="AA1227" s="276"/>
      <c r="AB1227" s="276"/>
      <c r="AC1227" s="276"/>
    </row>
    <row r="1228">
      <c r="A1228" s="108" t="s">
        <v>12270</v>
      </c>
      <c r="B1228" s="173">
        <v>46100.0</v>
      </c>
      <c r="C1228" s="374">
        <v>8.07000035435E11</v>
      </c>
      <c r="D1228" s="374" t="s">
        <v>12271</v>
      </c>
      <c r="E1228" s="374" t="s">
        <v>12272</v>
      </c>
      <c r="F1228" s="145" t="s">
        <v>12273</v>
      </c>
      <c r="G1228" s="177" t="s">
        <v>127</v>
      </c>
      <c r="H1228" s="145">
        <v>4400.0</v>
      </c>
      <c r="I1228" s="176" t="s">
        <v>340</v>
      </c>
      <c r="J1228" s="374" t="s">
        <v>3486</v>
      </c>
      <c r="K1228" s="177">
        <v>2.0</v>
      </c>
      <c r="L1228" s="174">
        <v>3.874588016E9</v>
      </c>
      <c r="M1228" s="367"/>
      <c r="N1228" s="206"/>
      <c r="O1228" s="206"/>
      <c r="P1228" s="206"/>
      <c r="Q1228" s="206"/>
      <c r="R1228" s="206"/>
      <c r="S1228" s="367"/>
      <c r="T1228" s="276"/>
      <c r="U1228" s="276"/>
      <c r="V1228" s="276"/>
      <c r="W1228" s="276"/>
      <c r="X1228" s="276"/>
      <c r="Y1228" s="276"/>
      <c r="Z1228" s="276"/>
      <c r="AA1228" s="276"/>
      <c r="AB1228" s="276"/>
      <c r="AC1228" s="276"/>
    </row>
    <row r="1229">
      <c r="A1229" s="108" t="s">
        <v>12274</v>
      </c>
      <c r="B1229" s="173">
        <v>46101.0</v>
      </c>
      <c r="C1229" s="374">
        <v>8.07000035457E11</v>
      </c>
      <c r="D1229" s="374" t="s">
        <v>12275</v>
      </c>
      <c r="E1229" s="374" t="s">
        <v>12276</v>
      </c>
      <c r="F1229" s="145" t="s">
        <v>12277</v>
      </c>
      <c r="G1229" s="177" t="s">
        <v>127</v>
      </c>
      <c r="H1229" s="145">
        <v>4400.0</v>
      </c>
      <c r="I1229" s="176" t="s">
        <v>867</v>
      </c>
      <c r="J1229" s="374" t="s">
        <v>9669</v>
      </c>
      <c r="K1229" s="177">
        <v>2.0</v>
      </c>
      <c r="L1229" s="174">
        <v>3.87843769E9</v>
      </c>
      <c r="M1229" s="367"/>
      <c r="N1229" s="429">
        <v>46102.0</v>
      </c>
      <c r="O1229" s="430" t="s">
        <v>9011</v>
      </c>
      <c r="P1229" s="431"/>
      <c r="Q1229" s="430" t="s">
        <v>13975</v>
      </c>
      <c r="R1229" s="432" t="s">
        <v>13976</v>
      </c>
      <c r="S1229" s="367"/>
      <c r="T1229" s="276"/>
      <c r="U1229" s="276"/>
      <c r="V1229" s="276"/>
      <c r="W1229" s="276"/>
      <c r="X1229" s="276"/>
      <c r="Y1229" s="276"/>
      <c r="Z1229" s="276"/>
      <c r="AA1229" s="276"/>
      <c r="AB1229" s="276"/>
      <c r="AC1229" s="276"/>
    </row>
    <row r="1230">
      <c r="A1230" s="108" t="s">
        <v>12274</v>
      </c>
      <c r="B1230" s="173">
        <v>46101.0</v>
      </c>
      <c r="C1230" s="374">
        <v>8.07000035457E11</v>
      </c>
      <c r="D1230" s="374" t="s">
        <v>12275</v>
      </c>
      <c r="E1230" s="374" t="s">
        <v>12276</v>
      </c>
      <c r="F1230" s="145" t="s">
        <v>12277</v>
      </c>
      <c r="G1230" s="177" t="s">
        <v>127</v>
      </c>
      <c r="H1230" s="145">
        <v>4400.0</v>
      </c>
      <c r="I1230" s="176" t="s">
        <v>1408</v>
      </c>
      <c r="J1230" s="374" t="s">
        <v>7680</v>
      </c>
      <c r="K1230" s="177">
        <v>1.0</v>
      </c>
      <c r="L1230" s="174">
        <v>3.87843769E9</v>
      </c>
      <c r="M1230" s="367"/>
      <c r="N1230" s="206"/>
      <c r="O1230" s="206"/>
      <c r="P1230" s="206"/>
      <c r="Q1230" s="206"/>
      <c r="R1230" s="206"/>
      <c r="S1230" s="367"/>
      <c r="T1230" s="276"/>
      <c r="U1230" s="276"/>
      <c r="V1230" s="276"/>
      <c r="W1230" s="276"/>
      <c r="X1230" s="276"/>
      <c r="Y1230" s="276"/>
      <c r="Z1230" s="276"/>
      <c r="AA1230" s="276"/>
      <c r="AB1230" s="276"/>
      <c r="AC1230" s="276"/>
    </row>
    <row r="1231">
      <c r="A1231" s="108" t="s">
        <v>12278</v>
      </c>
      <c r="B1231" s="173">
        <v>46101.0</v>
      </c>
      <c r="C1231" s="374">
        <v>8.07000035459E11</v>
      </c>
      <c r="D1231" s="374" t="s">
        <v>12279</v>
      </c>
      <c r="E1231" s="374" t="s">
        <v>12280</v>
      </c>
      <c r="F1231" s="145" t="s">
        <v>12281</v>
      </c>
      <c r="G1231" s="177" t="s">
        <v>127</v>
      </c>
      <c r="H1231" s="145">
        <v>4400.0</v>
      </c>
      <c r="I1231" s="176" t="s">
        <v>3285</v>
      </c>
      <c r="J1231" s="374" t="s">
        <v>3286</v>
      </c>
      <c r="K1231" s="177">
        <v>1.0</v>
      </c>
      <c r="L1231" s="174">
        <v>1.122871635E9</v>
      </c>
      <c r="M1231" s="367"/>
      <c r="N1231" s="429">
        <v>46101.0</v>
      </c>
      <c r="O1231" s="430" t="s">
        <v>13338</v>
      </c>
      <c r="P1231" s="431"/>
      <c r="Q1231" s="430" t="s">
        <v>13977</v>
      </c>
      <c r="R1231" s="432" t="s">
        <v>13978</v>
      </c>
      <c r="S1231" s="367"/>
      <c r="T1231" s="276"/>
      <c r="U1231" s="276"/>
      <c r="V1231" s="276"/>
      <c r="W1231" s="276"/>
      <c r="X1231" s="276"/>
      <c r="Y1231" s="276"/>
      <c r="Z1231" s="276"/>
      <c r="AA1231" s="276"/>
      <c r="AB1231" s="276"/>
      <c r="AC1231" s="276"/>
    </row>
    <row r="1232">
      <c r="A1232" s="108" t="s">
        <v>12278</v>
      </c>
      <c r="B1232" s="173">
        <v>46101.0</v>
      </c>
      <c r="C1232" s="374">
        <v>8.07000035459E11</v>
      </c>
      <c r="D1232" s="374" t="s">
        <v>12279</v>
      </c>
      <c r="E1232" s="374" t="s">
        <v>12280</v>
      </c>
      <c r="F1232" s="145" t="s">
        <v>12281</v>
      </c>
      <c r="G1232" s="177" t="s">
        <v>127</v>
      </c>
      <c r="H1232" s="145">
        <v>4400.0</v>
      </c>
      <c r="I1232" s="176" t="s">
        <v>512</v>
      </c>
      <c r="J1232" s="374" t="s">
        <v>513</v>
      </c>
      <c r="K1232" s="177">
        <v>6.0</v>
      </c>
      <c r="L1232" s="174">
        <v>1.122871635E9</v>
      </c>
      <c r="M1232" s="367"/>
      <c r="N1232" s="209"/>
      <c r="O1232" s="209"/>
      <c r="P1232" s="209"/>
      <c r="Q1232" s="209"/>
      <c r="R1232" s="209"/>
      <c r="S1232" s="367"/>
      <c r="T1232" s="276"/>
      <c r="U1232" s="276"/>
      <c r="V1232" s="276"/>
      <c r="W1232" s="276"/>
      <c r="X1232" s="276"/>
      <c r="Y1232" s="276"/>
      <c r="Z1232" s="276"/>
      <c r="AA1232" s="276"/>
      <c r="AB1232" s="276"/>
      <c r="AC1232" s="276"/>
    </row>
    <row r="1233">
      <c r="A1233" s="108" t="s">
        <v>12278</v>
      </c>
      <c r="B1233" s="173">
        <v>46101.0</v>
      </c>
      <c r="C1233" s="374">
        <v>8.07000035459E11</v>
      </c>
      <c r="D1233" s="374" t="s">
        <v>12279</v>
      </c>
      <c r="E1233" s="374" t="s">
        <v>12280</v>
      </c>
      <c r="F1233" s="145" t="s">
        <v>12281</v>
      </c>
      <c r="G1233" s="177" t="s">
        <v>127</v>
      </c>
      <c r="H1233" s="145">
        <v>4400.0</v>
      </c>
      <c r="I1233" s="176" t="s">
        <v>670</v>
      </c>
      <c r="J1233" s="374" t="s">
        <v>3410</v>
      </c>
      <c r="K1233" s="177">
        <v>1.0</v>
      </c>
      <c r="L1233" s="174">
        <v>1.122871635E9</v>
      </c>
      <c r="M1233" s="367"/>
      <c r="N1233" s="209"/>
      <c r="O1233" s="209"/>
      <c r="P1233" s="209"/>
      <c r="Q1233" s="209"/>
      <c r="R1233" s="209"/>
      <c r="S1233" s="367"/>
      <c r="T1233" s="276"/>
      <c r="U1233" s="276"/>
      <c r="V1233" s="276"/>
      <c r="W1233" s="276"/>
      <c r="X1233" s="276"/>
      <c r="Y1233" s="276"/>
      <c r="Z1233" s="276"/>
      <c r="AA1233" s="276"/>
      <c r="AB1233" s="276"/>
      <c r="AC1233" s="276"/>
    </row>
    <row r="1234">
      <c r="A1234" s="108" t="s">
        <v>12282</v>
      </c>
      <c r="B1234" s="173">
        <v>46101.0</v>
      </c>
      <c r="C1234" s="374">
        <v>8.0700003546E11</v>
      </c>
      <c r="D1234" s="374" t="s">
        <v>12279</v>
      </c>
      <c r="E1234" s="374" t="s">
        <v>12280</v>
      </c>
      <c r="F1234" s="145" t="s">
        <v>12281</v>
      </c>
      <c r="G1234" s="177" t="s">
        <v>127</v>
      </c>
      <c r="H1234" s="145">
        <v>4400.0</v>
      </c>
      <c r="I1234" s="176">
        <v>125813.0</v>
      </c>
      <c r="J1234" s="374" t="s">
        <v>5703</v>
      </c>
      <c r="K1234" s="177">
        <v>2.0</v>
      </c>
      <c r="L1234" s="174">
        <v>1.122871635E9</v>
      </c>
      <c r="M1234" s="367"/>
      <c r="N1234" s="206"/>
      <c r="O1234" s="206"/>
      <c r="P1234" s="206"/>
      <c r="Q1234" s="206"/>
      <c r="R1234" s="206"/>
      <c r="S1234" s="367"/>
      <c r="T1234" s="276"/>
      <c r="U1234" s="276"/>
      <c r="V1234" s="276"/>
      <c r="W1234" s="276"/>
      <c r="X1234" s="276"/>
      <c r="Y1234" s="276"/>
      <c r="Z1234" s="276"/>
      <c r="AA1234" s="276"/>
      <c r="AB1234" s="276"/>
      <c r="AC1234" s="276"/>
    </row>
    <row r="1235">
      <c r="A1235" s="108" t="s">
        <v>13979</v>
      </c>
      <c r="B1235" s="173">
        <v>46101.0</v>
      </c>
      <c r="C1235" s="374">
        <v>8.07000035278E11</v>
      </c>
      <c r="D1235" s="374" t="s">
        <v>12284</v>
      </c>
      <c r="E1235" s="374" t="s">
        <v>12285</v>
      </c>
      <c r="F1235" s="145" t="s">
        <v>12286</v>
      </c>
      <c r="G1235" s="177" t="s">
        <v>127</v>
      </c>
      <c r="H1235" s="145">
        <v>4400.0</v>
      </c>
      <c r="I1235" s="374" t="s">
        <v>2233</v>
      </c>
      <c r="J1235" s="374" t="s">
        <v>4158</v>
      </c>
      <c r="K1235" s="177">
        <v>1.0</v>
      </c>
      <c r="L1235" s="174">
        <v>3.875815096E9</v>
      </c>
      <c r="M1235" s="367"/>
      <c r="N1235" s="433">
        <v>46101.0</v>
      </c>
      <c r="O1235" s="261" t="s">
        <v>13338</v>
      </c>
      <c r="P1235" s="367"/>
      <c r="Q1235" s="261" t="s">
        <v>13980</v>
      </c>
      <c r="R1235" s="434" t="s">
        <v>13981</v>
      </c>
      <c r="S1235" s="367"/>
      <c r="T1235" s="276"/>
      <c r="U1235" s="276"/>
      <c r="V1235" s="276"/>
      <c r="W1235" s="276"/>
      <c r="X1235" s="276"/>
      <c r="Y1235" s="276"/>
      <c r="Z1235" s="276"/>
      <c r="AA1235" s="276"/>
      <c r="AB1235" s="276"/>
      <c r="AC1235" s="276"/>
    </row>
    <row r="1236">
      <c r="A1236" s="108" t="s">
        <v>12287</v>
      </c>
      <c r="B1236" s="173">
        <v>46102.0</v>
      </c>
      <c r="C1236" s="374">
        <v>8.07000035465E11</v>
      </c>
      <c r="D1236" s="374" t="s">
        <v>12288</v>
      </c>
      <c r="E1236" s="374" t="s">
        <v>12289</v>
      </c>
      <c r="F1236" s="145" t="s">
        <v>12290</v>
      </c>
      <c r="G1236" s="177" t="s">
        <v>127</v>
      </c>
      <c r="H1236" s="145">
        <v>4400.0</v>
      </c>
      <c r="I1236" s="176" t="s">
        <v>12291</v>
      </c>
      <c r="J1236" s="176" t="s">
        <v>12292</v>
      </c>
      <c r="K1236" s="177">
        <v>2.0</v>
      </c>
      <c r="L1236" s="174">
        <v>3.875820004E9</v>
      </c>
      <c r="M1236" s="367"/>
      <c r="N1236" s="429">
        <v>46102.0</v>
      </c>
      <c r="O1236" s="430" t="s">
        <v>13338</v>
      </c>
      <c r="P1236" s="431"/>
      <c r="Q1236" s="430" t="s">
        <v>13982</v>
      </c>
      <c r="R1236" s="432" t="s">
        <v>13983</v>
      </c>
      <c r="S1236" s="367"/>
      <c r="T1236" s="276"/>
      <c r="U1236" s="276"/>
      <c r="V1236" s="276"/>
      <c r="W1236" s="276"/>
      <c r="X1236" s="276"/>
      <c r="Y1236" s="276"/>
      <c r="Z1236" s="276"/>
      <c r="AA1236" s="276"/>
      <c r="AB1236" s="276"/>
      <c r="AC1236" s="276"/>
    </row>
    <row r="1237">
      <c r="A1237" s="108" t="s">
        <v>12287</v>
      </c>
      <c r="B1237" s="173">
        <v>46102.0</v>
      </c>
      <c r="C1237" s="374">
        <v>8.07000035465E11</v>
      </c>
      <c r="D1237" s="374" t="s">
        <v>12288</v>
      </c>
      <c r="E1237" s="374" t="s">
        <v>12289</v>
      </c>
      <c r="F1237" s="145" t="s">
        <v>12290</v>
      </c>
      <c r="G1237" s="177" t="s">
        <v>127</v>
      </c>
      <c r="H1237" s="145">
        <v>4400.0</v>
      </c>
      <c r="I1237" s="176" t="s">
        <v>512</v>
      </c>
      <c r="J1237" s="374" t="s">
        <v>513</v>
      </c>
      <c r="K1237" s="177">
        <v>12.0</v>
      </c>
      <c r="L1237" s="174">
        <v>3.875820004E9</v>
      </c>
      <c r="M1237" s="367"/>
      <c r="N1237" s="209"/>
      <c r="O1237" s="209"/>
      <c r="P1237" s="209"/>
      <c r="Q1237" s="209"/>
      <c r="R1237" s="209"/>
      <c r="S1237" s="367"/>
      <c r="T1237" s="276"/>
      <c r="U1237" s="276"/>
      <c r="V1237" s="276"/>
      <c r="W1237" s="276"/>
      <c r="X1237" s="276"/>
      <c r="Y1237" s="276"/>
      <c r="Z1237" s="276"/>
      <c r="AA1237" s="276"/>
      <c r="AB1237" s="276"/>
      <c r="AC1237" s="276"/>
    </row>
    <row r="1238">
      <c r="A1238" s="108" t="s">
        <v>12287</v>
      </c>
      <c r="B1238" s="173">
        <v>46102.0</v>
      </c>
      <c r="C1238" s="374">
        <v>8.07000035465E11</v>
      </c>
      <c r="D1238" s="374" t="s">
        <v>12288</v>
      </c>
      <c r="E1238" s="374" t="s">
        <v>12289</v>
      </c>
      <c r="F1238" s="145" t="s">
        <v>12290</v>
      </c>
      <c r="G1238" s="177" t="s">
        <v>127</v>
      </c>
      <c r="H1238" s="145">
        <v>4400.0</v>
      </c>
      <c r="I1238" s="176" t="s">
        <v>4543</v>
      </c>
      <c r="J1238" s="176" t="s">
        <v>12293</v>
      </c>
      <c r="K1238" s="177">
        <v>1.0</v>
      </c>
      <c r="L1238" s="174">
        <v>3.875820004E9</v>
      </c>
      <c r="M1238" s="367"/>
      <c r="N1238" s="206"/>
      <c r="O1238" s="206"/>
      <c r="P1238" s="206"/>
      <c r="Q1238" s="206"/>
      <c r="R1238" s="206"/>
      <c r="S1238" s="367"/>
      <c r="T1238" s="276"/>
      <c r="U1238" s="276"/>
      <c r="V1238" s="276"/>
      <c r="W1238" s="276"/>
      <c r="X1238" s="276"/>
      <c r="Y1238" s="276"/>
      <c r="Z1238" s="276"/>
      <c r="AA1238" s="276"/>
      <c r="AB1238" s="276"/>
      <c r="AC1238" s="276"/>
    </row>
    <row r="1239">
      <c r="A1239" s="108" t="s">
        <v>12294</v>
      </c>
      <c r="B1239" s="173">
        <v>46102.0</v>
      </c>
      <c r="C1239" s="374">
        <v>8.07000035466E11</v>
      </c>
      <c r="D1239" s="374" t="s">
        <v>1303</v>
      </c>
      <c r="E1239" s="374" t="s">
        <v>12295</v>
      </c>
      <c r="F1239" s="145" t="s">
        <v>12296</v>
      </c>
      <c r="G1239" s="177" t="s">
        <v>127</v>
      </c>
      <c r="H1239" s="145">
        <v>4400.0</v>
      </c>
      <c r="I1239" s="374" t="s">
        <v>1115</v>
      </c>
      <c r="J1239" s="374" t="s">
        <v>8215</v>
      </c>
      <c r="K1239" s="177">
        <v>1.0</v>
      </c>
      <c r="L1239" s="174">
        <v>3.875056145E9</v>
      </c>
      <c r="M1239" s="367"/>
      <c r="N1239" s="433">
        <v>46102.0</v>
      </c>
      <c r="O1239" s="261" t="s">
        <v>13338</v>
      </c>
      <c r="P1239" s="367"/>
      <c r="Q1239" s="261" t="s">
        <v>13339</v>
      </c>
      <c r="R1239" s="434" t="s">
        <v>13984</v>
      </c>
      <c r="S1239" s="367"/>
      <c r="T1239" s="276"/>
      <c r="U1239" s="276"/>
      <c r="V1239" s="276"/>
      <c r="W1239" s="276"/>
      <c r="X1239" s="276"/>
      <c r="Y1239" s="276"/>
      <c r="Z1239" s="276"/>
      <c r="AA1239" s="276"/>
      <c r="AB1239" s="276"/>
      <c r="AC1239" s="276"/>
    </row>
    <row r="1240">
      <c r="A1240" s="108" t="s">
        <v>12297</v>
      </c>
      <c r="B1240" s="173">
        <v>46104.0</v>
      </c>
      <c r="C1240" s="365">
        <v>8.07000035468E11</v>
      </c>
      <c r="D1240" s="365" t="s">
        <v>12298</v>
      </c>
      <c r="E1240" s="365" t="s">
        <v>12299</v>
      </c>
      <c r="F1240" s="145" t="s">
        <v>12300</v>
      </c>
      <c r="G1240" s="145"/>
      <c r="H1240" s="145"/>
      <c r="I1240" s="365" t="s">
        <v>32</v>
      </c>
      <c r="J1240" s="365" t="s">
        <v>3225</v>
      </c>
      <c r="K1240" s="400">
        <v>1.0</v>
      </c>
      <c r="L1240" s="174">
        <v>3.874205725E9</v>
      </c>
      <c r="M1240" s="367"/>
      <c r="N1240" s="433">
        <v>46102.0</v>
      </c>
      <c r="O1240" s="261" t="s">
        <v>13338</v>
      </c>
      <c r="P1240" s="367"/>
      <c r="Q1240" s="261" t="s">
        <v>13339</v>
      </c>
      <c r="R1240" s="434" t="s">
        <v>13985</v>
      </c>
      <c r="S1240" s="367"/>
      <c r="T1240" s="276"/>
      <c r="U1240" s="276"/>
      <c r="V1240" s="276"/>
      <c r="W1240" s="276"/>
      <c r="X1240" s="276"/>
      <c r="Y1240" s="276"/>
      <c r="Z1240" s="276"/>
      <c r="AA1240" s="276"/>
      <c r="AB1240" s="276"/>
      <c r="AC1240" s="276"/>
    </row>
    <row r="1241">
      <c r="A1241" s="108" t="s">
        <v>12301</v>
      </c>
      <c r="B1241" s="173">
        <v>46104.0</v>
      </c>
      <c r="C1241" s="374">
        <v>8.05011572723E11</v>
      </c>
      <c r="D1241" s="374" t="s">
        <v>12302</v>
      </c>
      <c r="E1241" s="374" t="s">
        <v>12303</v>
      </c>
      <c r="F1241" s="145" t="s">
        <v>12304</v>
      </c>
      <c r="G1241" s="177" t="s">
        <v>127</v>
      </c>
      <c r="H1241" s="145">
        <v>4400.0</v>
      </c>
      <c r="I1241" s="374" t="s">
        <v>3641</v>
      </c>
      <c r="J1241" s="374" t="s">
        <v>3642</v>
      </c>
      <c r="K1241" s="177">
        <v>1.0</v>
      </c>
      <c r="L1241" s="174">
        <v>3.874649377E9</v>
      </c>
      <c r="M1241" s="174"/>
      <c r="N1241" s="429">
        <v>46102.0</v>
      </c>
      <c r="O1241" s="430" t="s">
        <v>13338</v>
      </c>
      <c r="P1241" s="431"/>
      <c r="Q1241" s="430" t="s">
        <v>13986</v>
      </c>
      <c r="R1241" s="432" t="s">
        <v>13987</v>
      </c>
      <c r="S1241" s="367"/>
      <c r="T1241" s="276"/>
      <c r="U1241" s="276"/>
      <c r="V1241" s="276"/>
      <c r="W1241" s="276"/>
      <c r="X1241" s="276"/>
      <c r="Y1241" s="276"/>
      <c r="Z1241" s="276"/>
      <c r="AA1241" s="276"/>
      <c r="AB1241" s="276"/>
      <c r="AC1241" s="276"/>
    </row>
    <row r="1242">
      <c r="A1242" s="108" t="s">
        <v>12301</v>
      </c>
      <c r="B1242" s="173">
        <v>46104.0</v>
      </c>
      <c r="C1242" s="374">
        <v>8.05011572723E11</v>
      </c>
      <c r="D1242" s="374" t="s">
        <v>12302</v>
      </c>
      <c r="E1242" s="374" t="s">
        <v>12303</v>
      </c>
      <c r="F1242" s="145" t="s">
        <v>12304</v>
      </c>
      <c r="G1242" s="177" t="s">
        <v>127</v>
      </c>
      <c r="H1242" s="145">
        <v>4400.0</v>
      </c>
      <c r="I1242" s="374" t="s">
        <v>512</v>
      </c>
      <c r="J1242" s="374" t="s">
        <v>513</v>
      </c>
      <c r="K1242" s="177">
        <v>6.0</v>
      </c>
      <c r="L1242" s="174">
        <v>3.874649377E9</v>
      </c>
      <c r="M1242" s="174"/>
      <c r="N1242" s="209"/>
      <c r="O1242" s="209"/>
      <c r="P1242" s="209"/>
      <c r="Q1242" s="209"/>
      <c r="R1242" s="209"/>
      <c r="S1242" s="367"/>
      <c r="T1242" s="276"/>
      <c r="U1242" s="276"/>
      <c r="V1242" s="276"/>
      <c r="W1242" s="276"/>
      <c r="X1242" s="276"/>
      <c r="Y1242" s="276"/>
      <c r="Z1242" s="276"/>
      <c r="AA1242" s="276"/>
      <c r="AB1242" s="276"/>
      <c r="AC1242" s="276"/>
    </row>
    <row r="1243">
      <c r="A1243" s="108" t="s">
        <v>12301</v>
      </c>
      <c r="B1243" s="173">
        <v>46104.0</v>
      </c>
      <c r="C1243" s="374">
        <v>8.05011572723E11</v>
      </c>
      <c r="D1243" s="374" t="s">
        <v>12302</v>
      </c>
      <c r="E1243" s="374" t="s">
        <v>12303</v>
      </c>
      <c r="F1243" s="145" t="s">
        <v>12304</v>
      </c>
      <c r="G1243" s="177" t="s">
        <v>127</v>
      </c>
      <c r="H1243" s="145">
        <v>4400.0</v>
      </c>
      <c r="I1243" s="374" t="s">
        <v>1345</v>
      </c>
      <c r="J1243" s="374" t="s">
        <v>3639</v>
      </c>
      <c r="K1243" s="177">
        <v>1.0</v>
      </c>
      <c r="L1243" s="174">
        <v>3.874649377E9</v>
      </c>
      <c r="M1243" s="174"/>
      <c r="N1243" s="206"/>
      <c r="O1243" s="206"/>
      <c r="P1243" s="206"/>
      <c r="Q1243" s="206"/>
      <c r="R1243" s="206"/>
      <c r="S1243" s="367"/>
      <c r="T1243" s="276"/>
      <c r="U1243" s="276"/>
      <c r="V1243" s="276"/>
      <c r="W1243" s="276"/>
      <c r="X1243" s="276"/>
      <c r="Y1243" s="276"/>
      <c r="Z1243" s="276"/>
      <c r="AA1243" s="276"/>
      <c r="AB1243" s="276"/>
      <c r="AC1243" s="276"/>
    </row>
    <row r="1244">
      <c r="A1244" s="108" t="s">
        <v>12305</v>
      </c>
      <c r="B1244" s="173">
        <v>46104.0</v>
      </c>
      <c r="C1244" s="374">
        <v>8.07000035475E11</v>
      </c>
      <c r="D1244" s="374" t="s">
        <v>12306</v>
      </c>
      <c r="E1244" s="374" t="s">
        <v>12307</v>
      </c>
      <c r="F1244" s="145" t="s">
        <v>12308</v>
      </c>
      <c r="G1244" s="177" t="s">
        <v>127</v>
      </c>
      <c r="H1244" s="145">
        <v>4400.0</v>
      </c>
      <c r="I1244" s="103" t="s">
        <v>3154</v>
      </c>
      <c r="J1244" s="374" t="s">
        <v>4564</v>
      </c>
      <c r="K1244" s="177">
        <v>2.0</v>
      </c>
      <c r="L1244" s="174">
        <v>3.875284027E9</v>
      </c>
      <c r="M1244" s="174"/>
      <c r="N1244" s="433">
        <v>46102.0</v>
      </c>
      <c r="O1244" s="261" t="s">
        <v>13338</v>
      </c>
      <c r="P1244" s="367"/>
      <c r="Q1244" s="261" t="s">
        <v>13339</v>
      </c>
      <c r="R1244" s="434" t="s">
        <v>13988</v>
      </c>
      <c r="S1244" s="367"/>
      <c r="T1244" s="276"/>
      <c r="U1244" s="276"/>
      <c r="V1244" s="276"/>
      <c r="W1244" s="276"/>
      <c r="X1244" s="276"/>
      <c r="Y1244" s="276"/>
      <c r="Z1244" s="276"/>
      <c r="AA1244" s="276"/>
      <c r="AB1244" s="276"/>
      <c r="AC1244" s="276"/>
    </row>
    <row r="1245">
      <c r="A1245" s="108" t="s">
        <v>12309</v>
      </c>
      <c r="B1245" s="173">
        <v>46105.0</v>
      </c>
      <c r="C1245" s="374">
        <v>8.07000035493E11</v>
      </c>
      <c r="D1245" s="374" t="s">
        <v>12310</v>
      </c>
      <c r="E1245" s="374" t="s">
        <v>12311</v>
      </c>
      <c r="F1245" s="145" t="s">
        <v>12312</v>
      </c>
      <c r="G1245" s="177" t="s">
        <v>127</v>
      </c>
      <c r="H1245" s="145">
        <v>4400.0</v>
      </c>
      <c r="I1245" s="176" t="s">
        <v>2372</v>
      </c>
      <c r="J1245" s="374" t="s">
        <v>8140</v>
      </c>
      <c r="K1245" s="177">
        <v>1.0</v>
      </c>
      <c r="L1245" s="174">
        <v>3.8750725E8</v>
      </c>
      <c r="M1245" s="367"/>
      <c r="N1245" s="429">
        <v>46106.0</v>
      </c>
      <c r="O1245" s="430" t="s">
        <v>13338</v>
      </c>
      <c r="P1245" s="431"/>
      <c r="Q1245" s="430" t="s">
        <v>13339</v>
      </c>
      <c r="R1245" s="432" t="s">
        <v>13989</v>
      </c>
      <c r="S1245" s="367"/>
      <c r="T1245" s="276"/>
      <c r="U1245" s="276"/>
      <c r="V1245" s="276"/>
      <c r="W1245" s="276"/>
      <c r="X1245" s="276"/>
      <c r="Y1245" s="276"/>
      <c r="Z1245" s="276"/>
      <c r="AA1245" s="276"/>
      <c r="AB1245" s="276"/>
      <c r="AC1245" s="276"/>
    </row>
    <row r="1246">
      <c r="A1246" s="108" t="s">
        <v>12309</v>
      </c>
      <c r="B1246" s="173">
        <v>46105.0</v>
      </c>
      <c r="C1246" s="374">
        <v>8.07000035493E11</v>
      </c>
      <c r="D1246" s="374" t="s">
        <v>12310</v>
      </c>
      <c r="E1246" s="374" t="s">
        <v>12311</v>
      </c>
      <c r="F1246" s="145" t="s">
        <v>12312</v>
      </c>
      <c r="G1246" s="177" t="s">
        <v>127</v>
      </c>
      <c r="H1246" s="145">
        <v>4400.0</v>
      </c>
      <c r="I1246" s="176">
        <v>208501.0</v>
      </c>
      <c r="J1246" s="176" t="s">
        <v>12313</v>
      </c>
      <c r="K1246" s="177">
        <v>2.0</v>
      </c>
      <c r="L1246" s="174">
        <v>3.8750725E8</v>
      </c>
      <c r="M1246" s="367"/>
      <c r="N1246" s="206"/>
      <c r="O1246" s="206"/>
      <c r="P1246" s="206"/>
      <c r="Q1246" s="206"/>
      <c r="R1246" s="206"/>
      <c r="S1246" s="367"/>
      <c r="T1246" s="276"/>
      <c r="U1246" s="276"/>
      <c r="V1246" s="276"/>
      <c r="W1246" s="276"/>
      <c r="X1246" s="276"/>
      <c r="Y1246" s="276"/>
      <c r="Z1246" s="276"/>
      <c r="AA1246" s="276"/>
      <c r="AB1246" s="276"/>
      <c r="AC1246" s="276"/>
    </row>
    <row r="1247">
      <c r="A1247" s="108" t="s">
        <v>12314</v>
      </c>
      <c r="B1247" s="173">
        <v>46105.0</v>
      </c>
      <c r="C1247" s="374">
        <v>8.07000035492E11</v>
      </c>
      <c r="D1247" s="374" t="s">
        <v>12315</v>
      </c>
      <c r="E1247" s="374" t="s">
        <v>12316</v>
      </c>
      <c r="F1247" s="145" t="s">
        <v>12317</v>
      </c>
      <c r="G1247" s="145" t="s">
        <v>12318</v>
      </c>
      <c r="H1247" s="145">
        <v>4400.0</v>
      </c>
      <c r="I1247" s="108" t="s">
        <v>3641</v>
      </c>
      <c r="J1247" s="107" t="s">
        <v>3642</v>
      </c>
      <c r="K1247" s="177">
        <v>1.0</v>
      </c>
      <c r="L1247" s="174">
        <v>3.87479065E9</v>
      </c>
      <c r="M1247" s="367"/>
      <c r="N1247" s="429">
        <v>46106.0</v>
      </c>
      <c r="O1247" s="430" t="s">
        <v>13338</v>
      </c>
      <c r="P1247" s="431"/>
      <c r="Q1247" s="430" t="s">
        <v>9012</v>
      </c>
      <c r="R1247" s="432" t="s">
        <v>13990</v>
      </c>
      <c r="S1247" s="367"/>
      <c r="T1247" s="276"/>
      <c r="U1247" s="276"/>
      <c r="V1247" s="276"/>
      <c r="W1247" s="276"/>
      <c r="X1247" s="276"/>
      <c r="Y1247" s="276"/>
      <c r="Z1247" s="276"/>
      <c r="AA1247" s="276"/>
      <c r="AB1247" s="276"/>
      <c r="AC1247" s="276"/>
    </row>
    <row r="1248">
      <c r="A1248" s="108" t="s">
        <v>12314</v>
      </c>
      <c r="B1248" s="173">
        <v>46105.0</v>
      </c>
      <c r="C1248" s="374">
        <v>8.07000035492E11</v>
      </c>
      <c r="D1248" s="374" t="s">
        <v>12315</v>
      </c>
      <c r="E1248" s="374" t="s">
        <v>12316</v>
      </c>
      <c r="F1248" s="145" t="s">
        <v>12317</v>
      </c>
      <c r="G1248" s="145" t="s">
        <v>12318</v>
      </c>
      <c r="H1248" s="145">
        <v>4400.0</v>
      </c>
      <c r="I1248" s="108" t="s">
        <v>512</v>
      </c>
      <c r="J1248" s="107" t="s">
        <v>513</v>
      </c>
      <c r="K1248" s="177">
        <v>6.0</v>
      </c>
      <c r="L1248" s="174">
        <v>3.87479065E9</v>
      </c>
      <c r="M1248" s="367"/>
      <c r="N1248" s="209"/>
      <c r="O1248" s="209"/>
      <c r="P1248" s="209"/>
      <c r="Q1248" s="209"/>
      <c r="R1248" s="209"/>
      <c r="S1248" s="367"/>
      <c r="T1248" s="276"/>
      <c r="U1248" s="276"/>
      <c r="V1248" s="276"/>
      <c r="W1248" s="276"/>
      <c r="X1248" s="276"/>
      <c r="Y1248" s="276"/>
      <c r="Z1248" s="276"/>
      <c r="AA1248" s="276"/>
      <c r="AB1248" s="276"/>
      <c r="AC1248" s="276"/>
    </row>
    <row r="1249">
      <c r="A1249" s="108" t="s">
        <v>12314</v>
      </c>
      <c r="B1249" s="173">
        <v>46105.0</v>
      </c>
      <c r="C1249" s="374">
        <v>8.07000035492E11</v>
      </c>
      <c r="D1249" s="374" t="s">
        <v>12315</v>
      </c>
      <c r="E1249" s="374" t="s">
        <v>12316</v>
      </c>
      <c r="F1249" s="145" t="s">
        <v>12317</v>
      </c>
      <c r="G1249" s="145" t="s">
        <v>12318</v>
      </c>
      <c r="H1249" s="145">
        <v>4400.0</v>
      </c>
      <c r="I1249" s="108" t="s">
        <v>1345</v>
      </c>
      <c r="J1249" s="107" t="s">
        <v>3639</v>
      </c>
      <c r="K1249" s="177">
        <v>1.0</v>
      </c>
      <c r="L1249" s="174">
        <v>3.87479065E9</v>
      </c>
      <c r="M1249" s="367"/>
      <c r="N1249" s="206"/>
      <c r="O1249" s="206"/>
      <c r="P1249" s="206"/>
      <c r="Q1249" s="206"/>
      <c r="R1249" s="206"/>
      <c r="S1249" s="367"/>
      <c r="T1249" s="276"/>
      <c r="U1249" s="276"/>
      <c r="V1249" s="276"/>
      <c r="W1249" s="276"/>
      <c r="X1249" s="276"/>
      <c r="Y1249" s="276"/>
      <c r="Z1249" s="276"/>
      <c r="AA1249" s="276"/>
      <c r="AB1249" s="276"/>
      <c r="AC1249" s="276"/>
    </row>
    <row r="1250">
      <c r="A1250" s="108" t="s">
        <v>12319</v>
      </c>
      <c r="B1250" s="173">
        <v>46105.0</v>
      </c>
      <c r="C1250" s="374">
        <v>8.07000035486E11</v>
      </c>
      <c r="D1250" s="374" t="s">
        <v>12320</v>
      </c>
      <c r="E1250" s="374" t="s">
        <v>12321</v>
      </c>
      <c r="F1250" s="145" t="s">
        <v>12322</v>
      </c>
      <c r="G1250" s="177" t="s">
        <v>127</v>
      </c>
      <c r="H1250" s="145">
        <v>4400.0</v>
      </c>
      <c r="I1250" s="108" t="s">
        <v>6548</v>
      </c>
      <c r="J1250" s="107" t="s">
        <v>6549</v>
      </c>
      <c r="K1250" s="177">
        <v>1.0</v>
      </c>
      <c r="L1250" s="174">
        <v>3.874408475E9</v>
      </c>
      <c r="M1250" s="367"/>
      <c r="N1250" s="429">
        <v>46106.0</v>
      </c>
      <c r="O1250" s="430" t="s">
        <v>13338</v>
      </c>
      <c r="P1250" s="431"/>
      <c r="Q1250" s="430" t="s">
        <v>13339</v>
      </c>
      <c r="R1250" s="432" t="s">
        <v>13991</v>
      </c>
      <c r="S1250" s="367"/>
      <c r="T1250" s="276"/>
      <c r="U1250" s="276"/>
      <c r="V1250" s="276"/>
      <c r="W1250" s="276"/>
      <c r="X1250" s="276"/>
      <c r="Y1250" s="276"/>
      <c r="Z1250" s="276"/>
      <c r="AA1250" s="276"/>
      <c r="AB1250" s="276"/>
      <c r="AC1250" s="276"/>
    </row>
    <row r="1251">
      <c r="A1251" s="108" t="s">
        <v>12319</v>
      </c>
      <c r="B1251" s="173">
        <v>46105.0</v>
      </c>
      <c r="C1251" s="374">
        <v>8.07000035486E11</v>
      </c>
      <c r="D1251" s="374" t="s">
        <v>12320</v>
      </c>
      <c r="E1251" s="374" t="s">
        <v>12321</v>
      </c>
      <c r="F1251" s="145" t="s">
        <v>12322</v>
      </c>
      <c r="G1251" s="177" t="s">
        <v>127</v>
      </c>
      <c r="H1251" s="145">
        <v>4400.0</v>
      </c>
      <c r="I1251" s="108" t="s">
        <v>3218</v>
      </c>
      <c r="J1251" s="107" t="s">
        <v>3219</v>
      </c>
      <c r="K1251" s="177">
        <v>1.0</v>
      </c>
      <c r="L1251" s="174">
        <v>3.874408475E9</v>
      </c>
      <c r="M1251" s="367"/>
      <c r="N1251" s="209"/>
      <c r="O1251" s="209"/>
      <c r="P1251" s="209"/>
      <c r="Q1251" s="209"/>
      <c r="R1251" s="209"/>
      <c r="S1251" s="367"/>
      <c r="T1251" s="276"/>
      <c r="U1251" s="276"/>
      <c r="V1251" s="276"/>
      <c r="W1251" s="276"/>
      <c r="X1251" s="276"/>
      <c r="Y1251" s="276"/>
      <c r="Z1251" s="276"/>
      <c r="AA1251" s="276"/>
      <c r="AB1251" s="276"/>
      <c r="AC1251" s="276"/>
    </row>
    <row r="1252">
      <c r="A1252" s="108" t="s">
        <v>12319</v>
      </c>
      <c r="B1252" s="173">
        <v>46105.0</v>
      </c>
      <c r="C1252" s="374">
        <v>8.07000035486E11</v>
      </c>
      <c r="D1252" s="374" t="s">
        <v>12320</v>
      </c>
      <c r="E1252" s="374" t="s">
        <v>12321</v>
      </c>
      <c r="F1252" s="145" t="s">
        <v>12322</v>
      </c>
      <c r="G1252" s="177" t="s">
        <v>127</v>
      </c>
      <c r="H1252" s="145">
        <v>4400.0</v>
      </c>
      <c r="I1252" s="108" t="s">
        <v>12323</v>
      </c>
      <c r="J1252" s="107" t="s">
        <v>12324</v>
      </c>
      <c r="K1252" s="177">
        <v>2.0</v>
      </c>
      <c r="L1252" s="174">
        <v>3.874408475E9</v>
      </c>
      <c r="M1252" s="367"/>
      <c r="N1252" s="206"/>
      <c r="O1252" s="206"/>
      <c r="P1252" s="206"/>
      <c r="Q1252" s="206"/>
      <c r="R1252" s="206"/>
      <c r="S1252" s="367"/>
      <c r="T1252" s="276"/>
      <c r="U1252" s="276"/>
      <c r="V1252" s="276"/>
      <c r="W1252" s="276"/>
      <c r="X1252" s="276"/>
      <c r="Y1252" s="276"/>
      <c r="Z1252" s="276"/>
      <c r="AA1252" s="276"/>
      <c r="AB1252" s="276"/>
      <c r="AC1252" s="276"/>
    </row>
    <row r="1253">
      <c r="A1253" s="108" t="s">
        <v>12325</v>
      </c>
      <c r="B1253" s="173">
        <v>46105.0</v>
      </c>
      <c r="C1253" s="374">
        <v>8.07000035494E11</v>
      </c>
      <c r="D1253" s="374" t="s">
        <v>12326</v>
      </c>
      <c r="E1253" s="374" t="s">
        <v>12327</v>
      </c>
      <c r="F1253" s="145" t="s">
        <v>12328</v>
      </c>
      <c r="G1253" s="177" t="s">
        <v>127</v>
      </c>
      <c r="H1253" s="145">
        <v>4400.0</v>
      </c>
      <c r="I1253" s="108" t="s">
        <v>1241</v>
      </c>
      <c r="J1253" s="107" t="s">
        <v>3500</v>
      </c>
      <c r="K1253" s="177">
        <v>1.0</v>
      </c>
      <c r="L1253" s="174">
        <v>3.872262646E9</v>
      </c>
      <c r="M1253" s="367"/>
      <c r="N1253" s="429">
        <v>46106.0</v>
      </c>
      <c r="O1253" s="430" t="s">
        <v>13338</v>
      </c>
      <c r="P1253" s="431"/>
      <c r="Q1253" s="430" t="s">
        <v>13992</v>
      </c>
      <c r="R1253" s="432" t="s">
        <v>13993</v>
      </c>
      <c r="S1253" s="367"/>
      <c r="T1253" s="276"/>
      <c r="U1253" s="276"/>
      <c r="V1253" s="276"/>
      <c r="W1253" s="276"/>
      <c r="X1253" s="276"/>
      <c r="Y1253" s="276"/>
      <c r="Z1253" s="276"/>
      <c r="AA1253" s="276"/>
      <c r="AB1253" s="276"/>
      <c r="AC1253" s="276"/>
    </row>
    <row r="1254">
      <c r="A1254" s="108" t="s">
        <v>12325</v>
      </c>
      <c r="B1254" s="173">
        <v>46105.0</v>
      </c>
      <c r="C1254" s="374">
        <v>8.07000035494E11</v>
      </c>
      <c r="D1254" s="374" t="s">
        <v>12326</v>
      </c>
      <c r="E1254" s="374" t="s">
        <v>12327</v>
      </c>
      <c r="F1254" s="145" t="s">
        <v>12328</v>
      </c>
      <c r="G1254" s="177" t="s">
        <v>127</v>
      </c>
      <c r="H1254" s="145">
        <v>4400.0</v>
      </c>
      <c r="I1254" s="108">
        <v>125811.0</v>
      </c>
      <c r="J1254" s="108" t="s">
        <v>6073</v>
      </c>
      <c r="K1254" s="177">
        <v>4.0</v>
      </c>
      <c r="L1254" s="174">
        <v>3.872262646E9</v>
      </c>
      <c r="M1254" s="367"/>
      <c r="N1254" s="206"/>
      <c r="O1254" s="206"/>
      <c r="P1254" s="206"/>
      <c r="Q1254" s="206"/>
      <c r="R1254" s="206"/>
      <c r="S1254" s="367"/>
      <c r="T1254" s="276"/>
      <c r="U1254" s="276"/>
      <c r="V1254" s="276"/>
      <c r="W1254" s="276"/>
      <c r="X1254" s="276"/>
      <c r="Y1254" s="276"/>
      <c r="Z1254" s="276"/>
      <c r="AA1254" s="276"/>
      <c r="AB1254" s="276"/>
      <c r="AC1254" s="276"/>
    </row>
    <row r="1255">
      <c r="A1255" s="108" t="s">
        <v>12329</v>
      </c>
      <c r="B1255" s="173">
        <v>46105.0</v>
      </c>
      <c r="C1255" s="374">
        <v>8.07000035496E11</v>
      </c>
      <c r="D1255" s="374" t="s">
        <v>12330</v>
      </c>
      <c r="E1255" s="374" t="s">
        <v>12331</v>
      </c>
      <c r="F1255" s="145" t="s">
        <v>12332</v>
      </c>
      <c r="G1255" s="177" t="s">
        <v>127</v>
      </c>
      <c r="H1255" s="145">
        <v>4400.0</v>
      </c>
      <c r="I1255" s="176">
        <v>125820.0</v>
      </c>
      <c r="J1255" s="374" t="s">
        <v>10252</v>
      </c>
      <c r="K1255" s="177">
        <v>4.0</v>
      </c>
      <c r="L1255" s="174">
        <v>3.876054209E9</v>
      </c>
      <c r="M1255" s="367"/>
      <c r="N1255" s="429">
        <v>46106.0</v>
      </c>
      <c r="O1255" s="430" t="s">
        <v>13338</v>
      </c>
      <c r="P1255" s="431"/>
      <c r="Q1255" s="430" t="s">
        <v>13339</v>
      </c>
      <c r="R1255" s="432" t="s">
        <v>13994</v>
      </c>
      <c r="S1255" s="367"/>
      <c r="T1255" s="276"/>
      <c r="U1255" s="276"/>
      <c r="V1255" s="276"/>
      <c r="W1255" s="276"/>
      <c r="X1255" s="276"/>
      <c r="Y1255" s="276"/>
      <c r="Z1255" s="276"/>
      <c r="AA1255" s="276"/>
      <c r="AB1255" s="276"/>
      <c r="AC1255" s="276"/>
    </row>
    <row r="1256">
      <c r="A1256" s="108" t="s">
        <v>12329</v>
      </c>
      <c r="B1256" s="173">
        <v>46105.0</v>
      </c>
      <c r="C1256" s="374">
        <v>8.07000035496E11</v>
      </c>
      <c r="D1256" s="374" t="s">
        <v>12330</v>
      </c>
      <c r="E1256" s="374" t="s">
        <v>12331</v>
      </c>
      <c r="F1256" s="145" t="s">
        <v>12332</v>
      </c>
      <c r="G1256" s="177" t="s">
        <v>127</v>
      </c>
      <c r="H1256" s="145">
        <v>4400.0</v>
      </c>
      <c r="I1256" s="176" t="s">
        <v>512</v>
      </c>
      <c r="J1256" s="374" t="s">
        <v>513</v>
      </c>
      <c r="K1256" s="177">
        <v>12.0</v>
      </c>
      <c r="L1256" s="174">
        <v>3.876054209E9</v>
      </c>
      <c r="M1256" s="367"/>
      <c r="N1256" s="209"/>
      <c r="O1256" s="209"/>
      <c r="P1256" s="209"/>
      <c r="Q1256" s="209"/>
      <c r="R1256" s="209"/>
      <c r="S1256" s="367"/>
      <c r="T1256" s="276"/>
      <c r="U1256" s="276"/>
      <c r="V1256" s="276"/>
      <c r="W1256" s="276"/>
      <c r="X1256" s="276"/>
      <c r="Y1256" s="276"/>
      <c r="Z1256" s="276"/>
      <c r="AA1256" s="276"/>
      <c r="AB1256" s="276"/>
      <c r="AC1256" s="276"/>
    </row>
    <row r="1257">
      <c r="A1257" s="108" t="s">
        <v>12329</v>
      </c>
      <c r="B1257" s="173">
        <v>46105.0</v>
      </c>
      <c r="C1257" s="374">
        <v>8.07000035497E11</v>
      </c>
      <c r="D1257" s="374" t="s">
        <v>12330</v>
      </c>
      <c r="E1257" s="374" t="s">
        <v>12331</v>
      </c>
      <c r="F1257" s="145" t="s">
        <v>12332</v>
      </c>
      <c r="G1257" s="177" t="s">
        <v>127</v>
      </c>
      <c r="H1257" s="145">
        <v>4400.0</v>
      </c>
      <c r="I1257" s="176" t="s">
        <v>1766</v>
      </c>
      <c r="J1257" s="374" t="s">
        <v>8008</v>
      </c>
      <c r="K1257" s="177">
        <v>1.0</v>
      </c>
      <c r="L1257" s="174">
        <v>3.876054209E9</v>
      </c>
      <c r="M1257" s="367"/>
      <c r="N1257" s="209"/>
      <c r="O1257" s="209"/>
      <c r="P1257" s="209"/>
      <c r="Q1257" s="209"/>
      <c r="R1257" s="209"/>
      <c r="S1257" s="367"/>
      <c r="T1257" s="276"/>
      <c r="U1257" s="276"/>
      <c r="V1257" s="276"/>
      <c r="W1257" s="276"/>
      <c r="X1257" s="276"/>
      <c r="Y1257" s="276"/>
      <c r="Z1257" s="276"/>
      <c r="AA1257" s="276"/>
      <c r="AB1257" s="276"/>
      <c r="AC1257" s="276"/>
    </row>
    <row r="1258">
      <c r="A1258" s="108" t="s">
        <v>12329</v>
      </c>
      <c r="B1258" s="173">
        <v>46105.0</v>
      </c>
      <c r="C1258" s="374">
        <v>8.07000035497E11</v>
      </c>
      <c r="D1258" s="374" t="s">
        <v>12330</v>
      </c>
      <c r="E1258" s="374" t="s">
        <v>12331</v>
      </c>
      <c r="F1258" s="145" t="s">
        <v>12332</v>
      </c>
      <c r="G1258" s="177" t="s">
        <v>127</v>
      </c>
      <c r="H1258" s="145">
        <v>4400.0</v>
      </c>
      <c r="I1258" s="176" t="s">
        <v>233</v>
      </c>
      <c r="J1258" s="374" t="s">
        <v>3459</v>
      </c>
      <c r="K1258" s="177">
        <v>2.0</v>
      </c>
      <c r="L1258" s="174">
        <v>3.876054209E9</v>
      </c>
      <c r="M1258" s="367"/>
      <c r="N1258" s="209"/>
      <c r="O1258" s="209"/>
      <c r="P1258" s="209"/>
      <c r="Q1258" s="209"/>
      <c r="R1258" s="543" t="s">
        <v>13995</v>
      </c>
      <c r="S1258" s="367"/>
      <c r="T1258" s="276"/>
      <c r="U1258" s="276"/>
      <c r="V1258" s="276"/>
      <c r="W1258" s="276"/>
      <c r="X1258" s="276"/>
      <c r="Y1258" s="276"/>
      <c r="Z1258" s="276"/>
      <c r="AA1258" s="276"/>
      <c r="AB1258" s="276"/>
      <c r="AC1258" s="276"/>
    </row>
    <row r="1259">
      <c r="A1259" s="108" t="s">
        <v>12333</v>
      </c>
      <c r="B1259" s="173">
        <v>46105.0</v>
      </c>
      <c r="C1259" s="374">
        <v>8.07000035505E11</v>
      </c>
      <c r="D1259" s="374" t="s">
        <v>12330</v>
      </c>
      <c r="E1259" s="374" t="s">
        <v>12331</v>
      </c>
      <c r="F1259" s="145" t="s">
        <v>12332</v>
      </c>
      <c r="G1259" s="177" t="s">
        <v>127</v>
      </c>
      <c r="H1259" s="145">
        <v>4400.0</v>
      </c>
      <c r="I1259" s="176" t="s">
        <v>3649</v>
      </c>
      <c r="J1259" s="374" t="s">
        <v>3650</v>
      </c>
      <c r="K1259" s="177">
        <v>1.0</v>
      </c>
      <c r="L1259" s="174">
        <v>3.876054209E9</v>
      </c>
      <c r="M1259" s="367"/>
      <c r="N1259" s="206"/>
      <c r="O1259" s="206"/>
      <c r="P1259" s="206"/>
      <c r="Q1259" s="206"/>
      <c r="R1259" s="206"/>
      <c r="S1259" s="367"/>
      <c r="T1259" s="276"/>
      <c r="U1259" s="276"/>
      <c r="V1259" s="276"/>
      <c r="W1259" s="276"/>
      <c r="X1259" s="276"/>
      <c r="Y1259" s="276"/>
      <c r="Z1259" s="276"/>
      <c r="AA1259" s="276"/>
      <c r="AB1259" s="276"/>
      <c r="AC1259" s="276"/>
    </row>
    <row r="1260">
      <c r="A1260" s="112"/>
      <c r="B1260" s="316"/>
      <c r="C1260" s="317"/>
      <c r="D1260" s="317"/>
      <c r="E1260" s="317"/>
      <c r="F1260" s="318"/>
      <c r="G1260" s="318"/>
      <c r="H1260" s="544"/>
      <c r="I1260" s="319"/>
      <c r="J1260" s="317"/>
      <c r="K1260" s="318"/>
      <c r="L1260" s="320"/>
      <c r="M1260" s="367"/>
      <c r="N1260" s="433"/>
      <c r="O1260" s="261"/>
      <c r="P1260" s="367"/>
      <c r="Q1260" s="261"/>
      <c r="R1260" s="449"/>
      <c r="S1260" s="367"/>
      <c r="T1260" s="276"/>
      <c r="U1260" s="276"/>
      <c r="V1260" s="276"/>
      <c r="W1260" s="276"/>
      <c r="X1260" s="276"/>
      <c r="Y1260" s="276"/>
      <c r="Z1260" s="276"/>
      <c r="AA1260" s="276"/>
      <c r="AB1260" s="276"/>
      <c r="AC1260" s="276"/>
    </row>
    <row r="1261">
      <c r="A1261" s="33" t="s">
        <v>12334</v>
      </c>
      <c r="B1261" s="122">
        <v>46106.0</v>
      </c>
      <c r="C1261" s="103">
        <v>8.0700003551E11</v>
      </c>
      <c r="D1261" s="103" t="s">
        <v>12335</v>
      </c>
      <c r="E1261" s="103" t="s">
        <v>12336</v>
      </c>
      <c r="F1261" s="241" t="s">
        <v>12337</v>
      </c>
      <c r="G1261" s="241" t="s">
        <v>127</v>
      </c>
      <c r="H1261" s="123">
        <v>4400.0</v>
      </c>
      <c r="I1261" s="211" t="s">
        <v>298</v>
      </c>
      <c r="J1261" s="103" t="s">
        <v>6035</v>
      </c>
      <c r="K1261" s="177">
        <v>1.0</v>
      </c>
      <c r="L1261" s="124">
        <v>3.874620044E9</v>
      </c>
      <c r="M1261" s="367"/>
      <c r="N1261" s="433">
        <v>46106.0</v>
      </c>
      <c r="O1261" s="261" t="s">
        <v>9011</v>
      </c>
      <c r="P1261" s="261"/>
      <c r="Q1261" s="261" t="s">
        <v>13996</v>
      </c>
      <c r="R1261" s="434" t="s">
        <v>13997</v>
      </c>
      <c r="S1261" s="367"/>
      <c r="T1261" s="276"/>
      <c r="U1261" s="276"/>
      <c r="V1261" s="276"/>
      <c r="W1261" s="276"/>
      <c r="X1261" s="276"/>
      <c r="Y1261" s="276"/>
      <c r="Z1261" s="276"/>
      <c r="AA1261" s="276"/>
      <c r="AB1261" s="276"/>
      <c r="AC1261" s="276"/>
    </row>
    <row r="1262">
      <c r="A1262" s="108" t="s">
        <v>12338</v>
      </c>
      <c r="B1262" s="173">
        <v>46106.0</v>
      </c>
      <c r="C1262" s="374">
        <v>8.070000355E11</v>
      </c>
      <c r="D1262" s="374" t="s">
        <v>5995</v>
      </c>
      <c r="E1262" s="374" t="s">
        <v>5996</v>
      </c>
      <c r="F1262" s="145" t="s">
        <v>5997</v>
      </c>
      <c r="G1262" s="145" t="s">
        <v>127</v>
      </c>
      <c r="H1262" s="145">
        <v>4400.0</v>
      </c>
      <c r="I1262" s="176" t="s">
        <v>512</v>
      </c>
      <c r="J1262" s="374" t="s">
        <v>513</v>
      </c>
      <c r="K1262" s="177">
        <v>12.0</v>
      </c>
      <c r="L1262" s="174">
        <v>3.875923578E9</v>
      </c>
      <c r="M1262" s="367"/>
      <c r="N1262" s="480">
        <v>46116.0</v>
      </c>
      <c r="O1262" s="402" t="s">
        <v>13338</v>
      </c>
      <c r="P1262" s="431"/>
      <c r="Q1262" s="430" t="s">
        <v>13998</v>
      </c>
      <c r="R1262" s="432" t="s">
        <v>13999</v>
      </c>
      <c r="S1262" s="367"/>
      <c r="T1262" s="276"/>
      <c r="U1262" s="276"/>
      <c r="V1262" s="276"/>
      <c r="W1262" s="276"/>
      <c r="X1262" s="276"/>
      <c r="Y1262" s="276"/>
      <c r="Z1262" s="276"/>
      <c r="AA1262" s="276"/>
      <c r="AB1262" s="276"/>
      <c r="AC1262" s="276"/>
    </row>
    <row r="1263">
      <c r="A1263" s="108" t="s">
        <v>12338</v>
      </c>
      <c r="B1263" s="173">
        <v>46106.0</v>
      </c>
      <c r="C1263" s="374">
        <v>8.07000035501E11</v>
      </c>
      <c r="D1263" s="374" t="s">
        <v>5995</v>
      </c>
      <c r="E1263" s="374" t="s">
        <v>5996</v>
      </c>
      <c r="F1263" s="145" t="s">
        <v>5997</v>
      </c>
      <c r="G1263" s="145" t="s">
        <v>127</v>
      </c>
      <c r="H1263" s="145">
        <v>4400.0</v>
      </c>
      <c r="I1263" s="176" t="s">
        <v>2956</v>
      </c>
      <c r="J1263" s="374" t="s">
        <v>3327</v>
      </c>
      <c r="K1263" s="177">
        <v>1.0</v>
      </c>
      <c r="L1263" s="174">
        <v>3.875923578E9</v>
      </c>
      <c r="M1263" s="367"/>
      <c r="N1263" s="209"/>
      <c r="O1263" s="209"/>
      <c r="P1263" s="209"/>
      <c r="Q1263" s="209"/>
      <c r="R1263" s="209"/>
      <c r="S1263" s="367"/>
      <c r="T1263" s="276"/>
      <c r="U1263" s="276"/>
      <c r="V1263" s="276"/>
      <c r="W1263" s="276"/>
      <c r="X1263" s="276"/>
      <c r="Y1263" s="276"/>
      <c r="Z1263" s="276"/>
      <c r="AA1263" s="276"/>
      <c r="AB1263" s="276"/>
      <c r="AC1263" s="276"/>
    </row>
    <row r="1264">
      <c r="A1264" s="108" t="s">
        <v>12338</v>
      </c>
      <c r="B1264" s="173">
        <v>46106.0</v>
      </c>
      <c r="C1264" s="374">
        <v>8.07000035501E11</v>
      </c>
      <c r="D1264" s="374" t="s">
        <v>5995</v>
      </c>
      <c r="E1264" s="374" t="s">
        <v>5996</v>
      </c>
      <c r="F1264" s="145" t="s">
        <v>5997</v>
      </c>
      <c r="G1264" s="145" t="s">
        <v>127</v>
      </c>
      <c r="H1264" s="145">
        <v>4400.0</v>
      </c>
      <c r="I1264" s="176" t="s">
        <v>670</v>
      </c>
      <c r="J1264" s="374" t="s">
        <v>3410</v>
      </c>
      <c r="K1264" s="177">
        <v>1.0</v>
      </c>
      <c r="L1264" s="174">
        <v>3.875923578E9</v>
      </c>
      <c r="M1264" s="367"/>
      <c r="N1264" s="206"/>
      <c r="O1264" s="206"/>
      <c r="P1264" s="206"/>
      <c r="Q1264" s="206"/>
      <c r="R1264" s="206"/>
      <c r="S1264" s="367"/>
      <c r="T1264" s="276"/>
      <c r="U1264" s="276"/>
      <c r="V1264" s="276"/>
      <c r="W1264" s="276"/>
      <c r="X1264" s="276"/>
      <c r="Y1264" s="276"/>
      <c r="Z1264" s="276"/>
      <c r="AA1264" s="276"/>
      <c r="AB1264" s="276"/>
      <c r="AC1264" s="276"/>
    </row>
    <row r="1265">
      <c r="A1265" s="545"/>
      <c r="B1265" s="546"/>
      <c r="C1265" s="547"/>
      <c r="D1265" s="547"/>
      <c r="E1265" s="547"/>
      <c r="F1265" s="548"/>
      <c r="G1265" s="548"/>
      <c r="H1265" s="548"/>
      <c r="I1265" s="549"/>
      <c r="J1265" s="549"/>
      <c r="K1265" s="550"/>
      <c r="L1265" s="551"/>
      <c r="M1265" s="367"/>
      <c r="N1265" s="433"/>
      <c r="O1265" s="261"/>
      <c r="P1265" s="367"/>
      <c r="Q1265" s="261"/>
      <c r="R1265" s="449"/>
      <c r="S1265" s="367"/>
      <c r="T1265" s="276"/>
      <c r="U1265" s="276"/>
      <c r="V1265" s="276"/>
      <c r="W1265" s="276"/>
      <c r="X1265" s="276"/>
      <c r="Y1265" s="276"/>
      <c r="Z1265" s="276"/>
      <c r="AA1265" s="276"/>
      <c r="AB1265" s="276"/>
      <c r="AC1265" s="276"/>
    </row>
    <row r="1266">
      <c r="A1266" s="108" t="s">
        <v>12339</v>
      </c>
      <c r="B1266" s="173">
        <v>46107.0</v>
      </c>
      <c r="C1266" s="374">
        <v>8.07000035247E11</v>
      </c>
      <c r="D1266" s="374" t="s">
        <v>12340</v>
      </c>
      <c r="E1266" s="374" t="s">
        <v>12341</v>
      </c>
      <c r="F1266" s="145" t="s">
        <v>12342</v>
      </c>
      <c r="G1266" s="177" t="s">
        <v>127</v>
      </c>
      <c r="H1266" s="145">
        <v>4400.0</v>
      </c>
      <c r="I1266" s="176">
        <v>2.2346259137E10</v>
      </c>
      <c r="J1266" s="374" t="s">
        <v>7164</v>
      </c>
      <c r="K1266" s="177">
        <v>1.0</v>
      </c>
      <c r="L1266" s="174">
        <v>3.874023348E9</v>
      </c>
      <c r="M1266" s="367"/>
      <c r="N1266" s="429">
        <v>46108.0</v>
      </c>
      <c r="O1266" s="430" t="s">
        <v>13338</v>
      </c>
      <c r="P1266" s="431"/>
      <c r="Q1266" s="430" t="s">
        <v>13339</v>
      </c>
      <c r="R1266" s="432" t="s">
        <v>14000</v>
      </c>
      <c r="S1266" s="367"/>
      <c r="T1266" s="276"/>
      <c r="U1266" s="276"/>
      <c r="V1266" s="276"/>
      <c r="W1266" s="276"/>
      <c r="X1266" s="276"/>
      <c r="Y1266" s="276"/>
      <c r="Z1266" s="276"/>
      <c r="AA1266" s="276"/>
      <c r="AB1266" s="276"/>
      <c r="AC1266" s="276"/>
    </row>
    <row r="1267">
      <c r="A1267" s="108" t="s">
        <v>12339</v>
      </c>
      <c r="B1267" s="173">
        <v>46107.0</v>
      </c>
      <c r="C1267" s="374">
        <v>8.07000035247E11</v>
      </c>
      <c r="D1267" s="374" t="s">
        <v>12340</v>
      </c>
      <c r="E1267" s="374" t="s">
        <v>12341</v>
      </c>
      <c r="F1267" s="145" t="s">
        <v>12342</v>
      </c>
      <c r="G1267" s="177" t="s">
        <v>127</v>
      </c>
      <c r="H1267" s="145">
        <v>4400.0</v>
      </c>
      <c r="I1267" s="176">
        <v>2.2346259143E10</v>
      </c>
      <c r="J1267" s="374" t="s">
        <v>11618</v>
      </c>
      <c r="K1267" s="177">
        <v>1.0</v>
      </c>
      <c r="L1267" s="174">
        <v>3.874023348E9</v>
      </c>
      <c r="M1267" s="367"/>
      <c r="N1267" s="209"/>
      <c r="O1267" s="209"/>
      <c r="P1267" s="209"/>
      <c r="Q1267" s="209"/>
      <c r="R1267" s="209"/>
      <c r="S1267" s="367"/>
      <c r="T1267" s="276"/>
      <c r="U1267" s="276"/>
      <c r="V1267" s="276"/>
      <c r="W1267" s="276"/>
      <c r="X1267" s="276"/>
      <c r="Y1267" s="276"/>
      <c r="Z1267" s="276"/>
      <c r="AA1267" s="276"/>
      <c r="AB1267" s="276"/>
      <c r="AC1267" s="276"/>
    </row>
    <row r="1268">
      <c r="A1268" s="108" t="s">
        <v>12339</v>
      </c>
      <c r="B1268" s="173">
        <v>46107.0</v>
      </c>
      <c r="C1268" s="374">
        <v>8.07000035247E11</v>
      </c>
      <c r="D1268" s="374" t="s">
        <v>12340</v>
      </c>
      <c r="E1268" s="374" t="s">
        <v>12341</v>
      </c>
      <c r="F1268" s="145" t="s">
        <v>12342</v>
      </c>
      <c r="G1268" s="177" t="s">
        <v>127</v>
      </c>
      <c r="H1268" s="145">
        <v>4400.0</v>
      </c>
      <c r="I1268" s="176" t="s">
        <v>5185</v>
      </c>
      <c r="J1268" s="374" t="s">
        <v>5186</v>
      </c>
      <c r="K1268" s="177">
        <v>2.0</v>
      </c>
      <c r="L1268" s="174">
        <v>3.874023348E9</v>
      </c>
      <c r="M1268" s="367"/>
      <c r="N1268" s="209"/>
      <c r="O1268" s="209"/>
      <c r="P1268" s="209"/>
      <c r="Q1268" s="209"/>
      <c r="R1268" s="209"/>
      <c r="S1268" s="367"/>
      <c r="T1268" s="276"/>
      <c r="U1268" s="276"/>
      <c r="V1268" s="276"/>
      <c r="W1268" s="276"/>
      <c r="X1268" s="276"/>
      <c r="Y1268" s="276"/>
      <c r="Z1268" s="276"/>
      <c r="AA1268" s="276"/>
      <c r="AB1268" s="276"/>
      <c r="AC1268" s="276"/>
    </row>
    <row r="1269">
      <c r="A1269" s="108" t="s">
        <v>12339</v>
      </c>
      <c r="B1269" s="173">
        <v>46107.0</v>
      </c>
      <c r="C1269" s="374">
        <v>8.07000035247E11</v>
      </c>
      <c r="D1269" s="374" t="s">
        <v>12340</v>
      </c>
      <c r="E1269" s="374" t="s">
        <v>12341</v>
      </c>
      <c r="F1269" s="145" t="s">
        <v>12342</v>
      </c>
      <c r="G1269" s="177" t="s">
        <v>127</v>
      </c>
      <c r="H1269" s="145">
        <v>4400.0</v>
      </c>
      <c r="I1269" s="176" t="s">
        <v>298</v>
      </c>
      <c r="J1269" s="374" t="s">
        <v>6035</v>
      </c>
      <c r="K1269" s="177">
        <v>1.0</v>
      </c>
      <c r="L1269" s="174">
        <v>3.874023348E9</v>
      </c>
      <c r="M1269" s="367"/>
      <c r="N1269" s="209"/>
      <c r="O1269" s="209"/>
      <c r="P1269" s="209"/>
      <c r="Q1269" s="209"/>
      <c r="R1269" s="209"/>
      <c r="S1269" s="367"/>
      <c r="T1269" s="276"/>
      <c r="U1269" s="276"/>
      <c r="V1269" s="276"/>
      <c r="W1269" s="276"/>
      <c r="X1269" s="276"/>
      <c r="Y1269" s="276"/>
      <c r="Z1269" s="276"/>
      <c r="AA1269" s="276"/>
      <c r="AB1269" s="276"/>
      <c r="AC1269" s="276"/>
    </row>
    <row r="1270">
      <c r="A1270" s="108" t="s">
        <v>12339</v>
      </c>
      <c r="B1270" s="173">
        <v>46107.0</v>
      </c>
      <c r="C1270" s="374">
        <v>8.07000035247E11</v>
      </c>
      <c r="D1270" s="374" t="s">
        <v>12340</v>
      </c>
      <c r="E1270" s="374" t="s">
        <v>12341</v>
      </c>
      <c r="F1270" s="145" t="s">
        <v>12342</v>
      </c>
      <c r="G1270" s="177" t="s">
        <v>127</v>
      </c>
      <c r="H1270" s="145">
        <v>4400.0</v>
      </c>
      <c r="I1270" s="176" t="s">
        <v>512</v>
      </c>
      <c r="J1270" s="374" t="s">
        <v>513</v>
      </c>
      <c r="K1270" s="177">
        <v>24.0</v>
      </c>
      <c r="L1270" s="174">
        <v>3.874023348E9</v>
      </c>
      <c r="M1270" s="367"/>
      <c r="N1270" s="209"/>
      <c r="O1270" s="209"/>
      <c r="P1270" s="209"/>
      <c r="Q1270" s="209"/>
      <c r="R1270" s="209"/>
      <c r="S1270" s="367"/>
      <c r="T1270" s="276"/>
      <c r="U1270" s="276"/>
      <c r="V1270" s="276"/>
      <c r="W1270" s="276"/>
      <c r="X1270" s="276"/>
      <c r="Y1270" s="276"/>
      <c r="Z1270" s="276"/>
      <c r="AA1270" s="276"/>
      <c r="AB1270" s="276"/>
      <c r="AC1270" s="276"/>
    </row>
    <row r="1271">
      <c r="A1271" s="108" t="s">
        <v>12339</v>
      </c>
      <c r="B1271" s="173">
        <v>46107.0</v>
      </c>
      <c r="C1271" s="374">
        <v>8.07000035247E11</v>
      </c>
      <c r="D1271" s="374" t="s">
        <v>12340</v>
      </c>
      <c r="E1271" s="374" t="s">
        <v>12341</v>
      </c>
      <c r="F1271" s="145" t="s">
        <v>12342</v>
      </c>
      <c r="G1271" s="177" t="s">
        <v>127</v>
      </c>
      <c r="H1271" s="145">
        <v>4400.0</v>
      </c>
      <c r="I1271" s="176" t="s">
        <v>340</v>
      </c>
      <c r="J1271" s="374" t="s">
        <v>3486</v>
      </c>
      <c r="K1271" s="177">
        <v>2.0</v>
      </c>
      <c r="L1271" s="174">
        <v>3.874023348E9</v>
      </c>
      <c r="M1271" s="367"/>
      <c r="N1271" s="209"/>
      <c r="O1271" s="209"/>
      <c r="P1271" s="209"/>
      <c r="Q1271" s="209"/>
      <c r="R1271" s="209"/>
      <c r="S1271" s="367"/>
      <c r="T1271" s="276"/>
      <c r="U1271" s="276"/>
      <c r="V1271" s="276"/>
      <c r="W1271" s="276"/>
      <c r="X1271" s="276"/>
      <c r="Y1271" s="276"/>
      <c r="Z1271" s="276"/>
      <c r="AA1271" s="276"/>
      <c r="AB1271" s="276"/>
      <c r="AC1271" s="276"/>
    </row>
    <row r="1272">
      <c r="A1272" s="108" t="s">
        <v>12339</v>
      </c>
      <c r="B1272" s="173">
        <v>46107.0</v>
      </c>
      <c r="C1272" s="374">
        <v>8.07000035247E11</v>
      </c>
      <c r="D1272" s="374" t="s">
        <v>12340</v>
      </c>
      <c r="E1272" s="374" t="s">
        <v>12341</v>
      </c>
      <c r="F1272" s="145" t="s">
        <v>12342</v>
      </c>
      <c r="G1272" s="177" t="s">
        <v>127</v>
      </c>
      <c r="H1272" s="145">
        <v>4400.0</v>
      </c>
      <c r="I1272" s="176" t="s">
        <v>2031</v>
      </c>
      <c r="J1272" s="374" t="s">
        <v>3348</v>
      </c>
      <c r="K1272" s="177">
        <v>2.0</v>
      </c>
      <c r="L1272" s="174">
        <v>3.874023348E9</v>
      </c>
      <c r="M1272" s="367"/>
      <c r="N1272" s="206"/>
      <c r="O1272" s="206"/>
      <c r="P1272" s="206"/>
      <c r="Q1272" s="206"/>
      <c r="R1272" s="206"/>
      <c r="S1272" s="367"/>
      <c r="T1272" s="276"/>
      <c r="U1272" s="276"/>
      <c r="V1272" s="276"/>
      <c r="W1272" s="276"/>
      <c r="X1272" s="276"/>
      <c r="Y1272" s="276"/>
      <c r="Z1272" s="276"/>
      <c r="AA1272" s="276"/>
      <c r="AB1272" s="276"/>
      <c r="AC1272" s="276"/>
    </row>
    <row r="1273">
      <c r="A1273" s="108" t="s">
        <v>12343</v>
      </c>
      <c r="B1273" s="173">
        <v>46107.0</v>
      </c>
      <c r="C1273" s="374">
        <v>8.07000035322E11</v>
      </c>
      <c r="D1273" s="374" t="s">
        <v>12344</v>
      </c>
      <c r="E1273" s="374" t="s">
        <v>12345</v>
      </c>
      <c r="F1273" s="145" t="s">
        <v>12346</v>
      </c>
      <c r="G1273" s="145" t="s">
        <v>127</v>
      </c>
      <c r="H1273" s="145">
        <v>4400.0</v>
      </c>
      <c r="I1273" s="176" t="s">
        <v>298</v>
      </c>
      <c r="J1273" s="374" t="s">
        <v>6035</v>
      </c>
      <c r="K1273" s="177">
        <v>1.0</v>
      </c>
      <c r="L1273" s="174">
        <v>3.873513592E9</v>
      </c>
      <c r="M1273" s="367"/>
      <c r="N1273" s="429">
        <v>46107.0</v>
      </c>
      <c r="O1273" s="430" t="s">
        <v>13338</v>
      </c>
      <c r="P1273" s="431"/>
      <c r="Q1273" s="430" t="s">
        <v>9012</v>
      </c>
      <c r="R1273" s="432" t="s">
        <v>14001</v>
      </c>
      <c r="S1273" s="367"/>
      <c r="T1273" s="276"/>
      <c r="U1273" s="276"/>
      <c r="V1273" s="276"/>
      <c r="W1273" s="276"/>
      <c r="X1273" s="276"/>
      <c r="Y1273" s="276"/>
      <c r="Z1273" s="276"/>
      <c r="AA1273" s="276"/>
      <c r="AB1273" s="276"/>
      <c r="AC1273" s="276"/>
    </row>
    <row r="1274">
      <c r="A1274" s="108" t="s">
        <v>12343</v>
      </c>
      <c r="B1274" s="173">
        <v>46107.0</v>
      </c>
      <c r="C1274" s="374">
        <v>8.07000035322E11</v>
      </c>
      <c r="D1274" s="374" t="s">
        <v>12344</v>
      </c>
      <c r="E1274" s="374" t="s">
        <v>12345</v>
      </c>
      <c r="F1274" s="145" t="s">
        <v>12346</v>
      </c>
      <c r="G1274" s="145" t="s">
        <v>127</v>
      </c>
      <c r="H1274" s="145">
        <v>4400.0</v>
      </c>
      <c r="I1274" s="176" t="s">
        <v>512</v>
      </c>
      <c r="J1274" s="374" t="s">
        <v>513</v>
      </c>
      <c r="K1274" s="177">
        <v>12.0</v>
      </c>
      <c r="L1274" s="174">
        <v>3.873513592E9</v>
      </c>
      <c r="M1274" s="367"/>
      <c r="N1274" s="209"/>
      <c r="O1274" s="209"/>
      <c r="P1274" s="209"/>
      <c r="Q1274" s="209"/>
      <c r="R1274" s="209"/>
      <c r="S1274" s="367"/>
      <c r="T1274" s="276"/>
      <c r="U1274" s="276"/>
      <c r="V1274" s="276"/>
      <c r="W1274" s="276"/>
      <c r="X1274" s="276"/>
      <c r="Y1274" s="276"/>
      <c r="Z1274" s="276"/>
      <c r="AA1274" s="276"/>
      <c r="AB1274" s="276"/>
      <c r="AC1274" s="276"/>
    </row>
    <row r="1275">
      <c r="A1275" s="108" t="s">
        <v>12343</v>
      </c>
      <c r="B1275" s="173">
        <v>46107.0</v>
      </c>
      <c r="C1275" s="374">
        <v>8.07000035322E11</v>
      </c>
      <c r="D1275" s="374" t="s">
        <v>12344</v>
      </c>
      <c r="E1275" s="374" t="s">
        <v>12345</v>
      </c>
      <c r="F1275" s="145" t="s">
        <v>12346</v>
      </c>
      <c r="G1275" s="145" t="s">
        <v>127</v>
      </c>
      <c r="H1275" s="145">
        <v>4400.0</v>
      </c>
      <c r="I1275" s="176" t="s">
        <v>340</v>
      </c>
      <c r="J1275" s="374" t="s">
        <v>3486</v>
      </c>
      <c r="K1275" s="177">
        <v>2.0</v>
      </c>
      <c r="L1275" s="174">
        <v>3.873513592E9</v>
      </c>
      <c r="M1275" s="367"/>
      <c r="N1275" s="206"/>
      <c r="O1275" s="206"/>
      <c r="P1275" s="206"/>
      <c r="Q1275" s="206"/>
      <c r="R1275" s="206"/>
      <c r="S1275" s="367"/>
      <c r="T1275" s="276"/>
      <c r="U1275" s="276"/>
      <c r="V1275" s="276"/>
      <c r="W1275" s="276"/>
      <c r="X1275" s="276"/>
      <c r="Y1275" s="276"/>
      <c r="Z1275" s="276"/>
      <c r="AA1275" s="276"/>
      <c r="AB1275" s="276"/>
      <c r="AC1275" s="276"/>
    </row>
    <row r="1276">
      <c r="A1276" s="108" t="s">
        <v>12347</v>
      </c>
      <c r="B1276" s="173">
        <v>46107.0</v>
      </c>
      <c r="C1276" s="374">
        <v>8.07000035515E11</v>
      </c>
      <c r="D1276" s="374" t="s">
        <v>12348</v>
      </c>
      <c r="E1276" s="374" t="s">
        <v>12349</v>
      </c>
      <c r="F1276" s="145" t="s">
        <v>12350</v>
      </c>
      <c r="G1276" s="145" t="s">
        <v>127</v>
      </c>
      <c r="H1276" s="145">
        <v>4400.0</v>
      </c>
      <c r="I1276" s="176" t="s">
        <v>512</v>
      </c>
      <c r="J1276" s="374" t="s">
        <v>513</v>
      </c>
      <c r="K1276" s="177">
        <v>12.0</v>
      </c>
      <c r="L1276" s="174">
        <v>3.624779431E9</v>
      </c>
      <c r="M1276" s="367"/>
      <c r="N1276" s="429">
        <v>46107.0</v>
      </c>
      <c r="O1276" s="430" t="s">
        <v>13338</v>
      </c>
      <c r="P1276" s="431"/>
      <c r="Q1276" s="430" t="s">
        <v>14002</v>
      </c>
      <c r="R1276" s="432" t="s">
        <v>14003</v>
      </c>
      <c r="S1276" s="431"/>
      <c r="T1276" s="276"/>
      <c r="U1276" s="276"/>
      <c r="V1276" s="276"/>
      <c r="W1276" s="276"/>
      <c r="X1276" s="276"/>
      <c r="Y1276" s="276"/>
      <c r="Z1276" s="276"/>
      <c r="AA1276" s="276"/>
      <c r="AB1276" s="276"/>
      <c r="AC1276" s="276"/>
    </row>
    <row r="1277">
      <c r="A1277" s="108" t="s">
        <v>12347</v>
      </c>
      <c r="B1277" s="173">
        <v>46107.0</v>
      </c>
      <c r="C1277" s="374">
        <v>8.07000035516E11</v>
      </c>
      <c r="D1277" s="374" t="s">
        <v>12348</v>
      </c>
      <c r="E1277" s="374" t="s">
        <v>12349</v>
      </c>
      <c r="F1277" s="145" t="s">
        <v>12350</v>
      </c>
      <c r="G1277" s="145" t="s">
        <v>127</v>
      </c>
      <c r="H1277" s="145">
        <v>4400.0</v>
      </c>
      <c r="I1277" s="176" t="s">
        <v>218</v>
      </c>
      <c r="J1277" s="374" t="s">
        <v>8664</v>
      </c>
      <c r="K1277" s="177">
        <v>1.0</v>
      </c>
      <c r="L1277" s="174">
        <v>3.624779431E9</v>
      </c>
      <c r="M1277" s="367"/>
      <c r="N1277" s="209"/>
      <c r="O1277" s="209"/>
      <c r="P1277" s="209"/>
      <c r="Q1277" s="209"/>
      <c r="R1277" s="209"/>
      <c r="S1277" s="209"/>
      <c r="T1277" s="276"/>
      <c r="U1277" s="276"/>
      <c r="V1277" s="276"/>
      <c r="W1277" s="276"/>
      <c r="X1277" s="276"/>
      <c r="Y1277" s="276"/>
      <c r="Z1277" s="276"/>
      <c r="AA1277" s="276"/>
      <c r="AB1277" s="276"/>
      <c r="AC1277" s="276"/>
    </row>
    <row r="1278">
      <c r="A1278" s="108" t="s">
        <v>12347</v>
      </c>
      <c r="B1278" s="173">
        <v>46107.0</v>
      </c>
      <c r="C1278" s="374">
        <v>8.07000035516E11</v>
      </c>
      <c r="D1278" s="374" t="s">
        <v>12348</v>
      </c>
      <c r="E1278" s="374" t="s">
        <v>12349</v>
      </c>
      <c r="F1278" s="145" t="s">
        <v>12350</v>
      </c>
      <c r="G1278" s="145" t="s">
        <v>127</v>
      </c>
      <c r="H1278" s="145">
        <v>4400.0</v>
      </c>
      <c r="I1278" s="176" t="s">
        <v>121</v>
      </c>
      <c r="J1278" s="374" t="s">
        <v>3199</v>
      </c>
      <c r="K1278" s="177">
        <v>2.0</v>
      </c>
      <c r="L1278" s="174">
        <v>3.624779431E9</v>
      </c>
      <c r="M1278" s="367"/>
      <c r="N1278" s="206"/>
      <c r="O1278" s="206"/>
      <c r="P1278" s="206"/>
      <c r="Q1278" s="206"/>
      <c r="R1278" s="206"/>
      <c r="S1278" s="206"/>
      <c r="T1278" s="276"/>
      <c r="U1278" s="276"/>
      <c r="V1278" s="276"/>
      <c r="W1278" s="276"/>
      <c r="X1278" s="276"/>
      <c r="Y1278" s="276"/>
      <c r="Z1278" s="276"/>
      <c r="AA1278" s="276"/>
      <c r="AB1278" s="276"/>
      <c r="AC1278" s="276"/>
    </row>
    <row r="1279">
      <c r="A1279" s="108" t="s">
        <v>12351</v>
      </c>
      <c r="B1279" s="173">
        <v>46108.0</v>
      </c>
      <c r="C1279" s="374">
        <v>8.07000035525E11</v>
      </c>
      <c r="D1279" s="374" t="s">
        <v>12352</v>
      </c>
      <c r="E1279" s="374" t="s">
        <v>12353</v>
      </c>
      <c r="F1279" s="145" t="s">
        <v>12354</v>
      </c>
      <c r="G1279" s="145" t="s">
        <v>127</v>
      </c>
      <c r="H1279" s="145">
        <v>4400.0</v>
      </c>
      <c r="I1279" s="176">
        <v>125812.0</v>
      </c>
      <c r="J1279" s="374" t="s">
        <v>9317</v>
      </c>
      <c r="K1279" s="177">
        <v>4.0</v>
      </c>
      <c r="L1279" s="174">
        <v>4.16479E7</v>
      </c>
      <c r="M1279" s="367"/>
      <c r="N1279" s="429">
        <v>46109.0</v>
      </c>
      <c r="O1279" s="430" t="s">
        <v>13338</v>
      </c>
      <c r="P1279" s="431"/>
      <c r="Q1279" s="430" t="s">
        <v>13339</v>
      </c>
      <c r="R1279" s="432" t="s">
        <v>14004</v>
      </c>
      <c r="S1279" s="367"/>
      <c r="T1279" s="276"/>
      <c r="U1279" s="276"/>
      <c r="V1279" s="276"/>
      <c r="W1279" s="276"/>
      <c r="X1279" s="276"/>
      <c r="Y1279" s="276"/>
      <c r="Z1279" s="276"/>
      <c r="AA1279" s="276"/>
      <c r="AB1279" s="276"/>
      <c r="AC1279" s="276"/>
    </row>
    <row r="1280">
      <c r="A1280" s="108" t="s">
        <v>12351</v>
      </c>
      <c r="B1280" s="173">
        <v>46108.0</v>
      </c>
      <c r="C1280" s="374">
        <v>8.07000035525E11</v>
      </c>
      <c r="D1280" s="374" t="s">
        <v>12352</v>
      </c>
      <c r="E1280" s="374" t="s">
        <v>12353</v>
      </c>
      <c r="F1280" s="145" t="s">
        <v>12354</v>
      </c>
      <c r="G1280" s="145" t="s">
        <v>127</v>
      </c>
      <c r="H1280" s="145">
        <v>4400.0</v>
      </c>
      <c r="I1280" s="176" t="s">
        <v>3131</v>
      </c>
      <c r="J1280" s="374" t="s">
        <v>3416</v>
      </c>
      <c r="K1280" s="177">
        <v>2.0</v>
      </c>
      <c r="L1280" s="174">
        <v>4.16479E7</v>
      </c>
      <c r="M1280" s="367"/>
      <c r="N1280" s="206"/>
      <c r="O1280" s="206"/>
      <c r="P1280" s="206"/>
      <c r="Q1280" s="206"/>
      <c r="R1280" s="206"/>
      <c r="S1280" s="367"/>
      <c r="T1280" s="276"/>
      <c r="U1280" s="276"/>
      <c r="V1280" s="276"/>
      <c r="W1280" s="276"/>
      <c r="X1280" s="276"/>
      <c r="Y1280" s="276"/>
      <c r="Z1280" s="276"/>
      <c r="AA1280" s="276"/>
      <c r="AB1280" s="276"/>
      <c r="AC1280" s="276"/>
    </row>
    <row r="1281">
      <c r="A1281" s="108" t="s">
        <v>12355</v>
      </c>
      <c r="B1281" s="173">
        <v>46108.0</v>
      </c>
      <c r="C1281" s="374">
        <v>8.07000035522E11</v>
      </c>
      <c r="D1281" s="374" t="s">
        <v>12356</v>
      </c>
      <c r="E1281" s="374" t="s">
        <v>12357</v>
      </c>
      <c r="F1281" s="145" t="s">
        <v>12358</v>
      </c>
      <c r="G1281" s="145" t="s">
        <v>127</v>
      </c>
      <c r="H1281" s="145">
        <v>4400.0</v>
      </c>
      <c r="I1281" s="176" t="s">
        <v>3285</v>
      </c>
      <c r="J1281" s="374" t="s">
        <v>3286</v>
      </c>
      <c r="K1281" s="177">
        <v>1.0</v>
      </c>
      <c r="L1281" s="174">
        <v>3.875911142E9</v>
      </c>
      <c r="M1281" s="367"/>
      <c r="N1281" s="433">
        <v>46109.0</v>
      </c>
      <c r="O1281" s="261" t="s">
        <v>13338</v>
      </c>
      <c r="P1281" s="367"/>
      <c r="Q1281" s="261" t="s">
        <v>13339</v>
      </c>
      <c r="R1281" s="434" t="s">
        <v>14005</v>
      </c>
      <c r="S1281" s="367"/>
      <c r="T1281" s="276"/>
      <c r="U1281" s="276"/>
      <c r="V1281" s="276"/>
      <c r="W1281" s="276"/>
      <c r="X1281" s="276"/>
      <c r="Y1281" s="276"/>
      <c r="Z1281" s="276"/>
      <c r="AA1281" s="276"/>
      <c r="AB1281" s="276"/>
      <c r="AC1281" s="276"/>
    </row>
    <row r="1282">
      <c r="A1282" s="108" t="s">
        <v>12359</v>
      </c>
      <c r="B1282" s="173">
        <v>46108.0</v>
      </c>
      <c r="C1282" s="374">
        <v>8.05011572927E11</v>
      </c>
      <c r="D1282" s="374" t="s">
        <v>12360</v>
      </c>
      <c r="E1282" s="374" t="s">
        <v>12361</v>
      </c>
      <c r="F1282" s="145" t="s">
        <v>12362</v>
      </c>
      <c r="G1282" s="145" t="s">
        <v>127</v>
      </c>
      <c r="H1282" s="145">
        <v>4400.0</v>
      </c>
      <c r="I1282" s="176" t="s">
        <v>60</v>
      </c>
      <c r="J1282" s="374" t="s">
        <v>3706</v>
      </c>
      <c r="K1282" s="177">
        <v>1.0</v>
      </c>
      <c r="L1282" s="174">
        <v>3.878463299E9</v>
      </c>
      <c r="M1282" s="367"/>
      <c r="N1282" s="433">
        <v>46109.0</v>
      </c>
      <c r="O1282" s="261" t="s">
        <v>13338</v>
      </c>
      <c r="P1282" s="367"/>
      <c r="Q1282" s="261" t="s">
        <v>13339</v>
      </c>
      <c r="R1282" s="434" t="s">
        <v>14006</v>
      </c>
      <c r="S1282" s="367"/>
      <c r="T1282" s="276"/>
      <c r="U1282" s="276"/>
      <c r="V1282" s="276"/>
      <c r="W1282" s="276"/>
      <c r="X1282" s="276"/>
      <c r="Y1282" s="276"/>
      <c r="Z1282" s="276"/>
      <c r="AA1282" s="276"/>
      <c r="AB1282" s="276"/>
      <c r="AC1282" s="276"/>
    </row>
    <row r="1283">
      <c r="A1283" s="108" t="s">
        <v>12363</v>
      </c>
      <c r="B1283" s="173">
        <v>46108.0</v>
      </c>
      <c r="C1283" s="374">
        <v>8.07000035491E11</v>
      </c>
      <c r="D1283" s="374" t="s">
        <v>12364</v>
      </c>
      <c r="E1283" s="374" t="s">
        <v>12365</v>
      </c>
      <c r="F1283" s="145" t="s">
        <v>12366</v>
      </c>
      <c r="G1283" s="145" t="s">
        <v>4611</v>
      </c>
      <c r="H1283" s="145">
        <v>4520.0</v>
      </c>
      <c r="I1283" s="176" t="s">
        <v>2372</v>
      </c>
      <c r="J1283" s="374" t="s">
        <v>8140</v>
      </c>
      <c r="K1283" s="177">
        <v>1.0</v>
      </c>
      <c r="L1283" s="174">
        <v>3.878353632E9</v>
      </c>
      <c r="M1283" s="367"/>
      <c r="N1283" s="433">
        <v>46120.0</v>
      </c>
      <c r="O1283" s="261" t="s">
        <v>13338</v>
      </c>
      <c r="P1283" s="367"/>
      <c r="Q1283" s="261" t="s">
        <v>14007</v>
      </c>
      <c r="R1283" s="434" t="s">
        <v>14008</v>
      </c>
      <c r="S1283" s="367"/>
      <c r="T1283" s="276"/>
      <c r="U1283" s="276"/>
      <c r="V1283" s="276"/>
      <c r="W1283" s="276"/>
      <c r="X1283" s="276"/>
      <c r="Y1283" s="276"/>
      <c r="Z1283" s="276"/>
      <c r="AA1283" s="276"/>
      <c r="AB1283" s="276"/>
      <c r="AC1283" s="276"/>
    </row>
    <row r="1284">
      <c r="A1284" s="108" t="s">
        <v>12367</v>
      </c>
      <c r="B1284" s="173">
        <v>46108.0</v>
      </c>
      <c r="C1284" s="374">
        <v>8.07940000415E11</v>
      </c>
      <c r="D1284" s="374" t="s">
        <v>12368</v>
      </c>
      <c r="E1284" s="374" t="s">
        <v>12369</v>
      </c>
      <c r="F1284" s="145" t="s">
        <v>12370</v>
      </c>
      <c r="G1284" s="145" t="s">
        <v>48</v>
      </c>
      <c r="H1284" s="145">
        <v>4427.0</v>
      </c>
      <c r="I1284" s="176" t="s">
        <v>4790</v>
      </c>
      <c r="J1284" s="374" t="s">
        <v>4791</v>
      </c>
      <c r="K1284" s="177">
        <v>1.0</v>
      </c>
      <c r="L1284" s="174">
        <v>3.815179598E9</v>
      </c>
      <c r="M1284" s="367"/>
      <c r="N1284" s="429">
        <v>46119.0</v>
      </c>
      <c r="O1284" s="430" t="s">
        <v>13338</v>
      </c>
      <c r="P1284" s="431"/>
      <c r="Q1284" s="430" t="s">
        <v>14009</v>
      </c>
      <c r="R1284" s="432" t="s">
        <v>14010</v>
      </c>
      <c r="S1284" s="367"/>
      <c r="T1284" s="276"/>
      <c r="U1284" s="276"/>
      <c r="V1284" s="276"/>
      <c r="W1284" s="276"/>
      <c r="X1284" s="276"/>
      <c r="Y1284" s="276"/>
      <c r="Z1284" s="276"/>
      <c r="AA1284" s="276"/>
      <c r="AB1284" s="276"/>
      <c r="AC1284" s="276"/>
    </row>
    <row r="1285">
      <c r="A1285" s="108" t="s">
        <v>12367</v>
      </c>
      <c r="B1285" s="173">
        <v>46108.0</v>
      </c>
      <c r="C1285" s="374">
        <v>8.07940000415E11</v>
      </c>
      <c r="D1285" s="374" t="s">
        <v>12368</v>
      </c>
      <c r="E1285" s="374" t="s">
        <v>12369</v>
      </c>
      <c r="F1285" s="145" t="s">
        <v>12370</v>
      </c>
      <c r="G1285" s="145" t="s">
        <v>48</v>
      </c>
      <c r="H1285" s="145">
        <v>4427.0</v>
      </c>
      <c r="I1285" s="176" t="s">
        <v>4793</v>
      </c>
      <c r="J1285" s="374" t="s">
        <v>4794</v>
      </c>
      <c r="K1285" s="177">
        <v>1.0</v>
      </c>
      <c r="L1285" s="174">
        <v>3.815179598E9</v>
      </c>
      <c r="M1285" s="367"/>
      <c r="N1285" s="206"/>
      <c r="O1285" s="206"/>
      <c r="P1285" s="206"/>
      <c r="Q1285" s="206"/>
      <c r="R1285" s="206"/>
      <c r="S1285" s="367"/>
      <c r="T1285" s="276"/>
      <c r="U1285" s="276"/>
      <c r="V1285" s="276"/>
      <c r="W1285" s="276"/>
      <c r="X1285" s="276"/>
      <c r="Y1285" s="276"/>
      <c r="Z1285" s="276"/>
      <c r="AA1285" s="276"/>
      <c r="AB1285" s="276"/>
      <c r="AC1285" s="276"/>
    </row>
    <row r="1286">
      <c r="A1286" s="108" t="s">
        <v>12371</v>
      </c>
      <c r="B1286" s="173">
        <v>46108.0</v>
      </c>
      <c r="C1286" s="374">
        <v>8.07000035533E11</v>
      </c>
      <c r="D1286" s="374" t="s">
        <v>12372</v>
      </c>
      <c r="E1286" s="374" t="s">
        <v>12373</v>
      </c>
      <c r="F1286" s="145" t="s">
        <v>12374</v>
      </c>
      <c r="G1286" s="145" t="s">
        <v>127</v>
      </c>
      <c r="H1286" s="145">
        <v>4400.0</v>
      </c>
      <c r="I1286" s="176" t="s">
        <v>4512</v>
      </c>
      <c r="J1286" s="374" t="s">
        <v>4513</v>
      </c>
      <c r="K1286" s="177">
        <v>1.0</v>
      </c>
      <c r="L1286" s="174">
        <v>3.876851612E9</v>
      </c>
      <c r="M1286" s="367"/>
      <c r="N1286" s="433">
        <v>46109.0</v>
      </c>
      <c r="O1286" s="261" t="s">
        <v>13338</v>
      </c>
      <c r="P1286" s="367"/>
      <c r="Q1286" s="261" t="s">
        <v>14011</v>
      </c>
      <c r="R1286" s="434" t="s">
        <v>14012</v>
      </c>
      <c r="S1286" s="367"/>
      <c r="T1286" s="276"/>
      <c r="U1286" s="276"/>
      <c r="V1286" s="276"/>
      <c r="W1286" s="276"/>
      <c r="X1286" s="276"/>
      <c r="Y1286" s="276"/>
      <c r="Z1286" s="276"/>
      <c r="AA1286" s="276"/>
      <c r="AB1286" s="276"/>
      <c r="AC1286" s="276"/>
    </row>
    <row r="1287">
      <c r="A1287" s="108" t="s">
        <v>12375</v>
      </c>
      <c r="B1287" s="173">
        <v>46108.0</v>
      </c>
      <c r="C1287" s="374">
        <v>8.07000035536E11</v>
      </c>
      <c r="D1287" s="374" t="s">
        <v>12376</v>
      </c>
      <c r="E1287" s="374" t="s">
        <v>12377</v>
      </c>
      <c r="F1287" s="145" t="s">
        <v>12378</v>
      </c>
      <c r="G1287" s="145" t="s">
        <v>127</v>
      </c>
      <c r="H1287" s="145">
        <v>4400.0</v>
      </c>
      <c r="I1287" s="176" t="s">
        <v>761</v>
      </c>
      <c r="J1287" s="374" t="s">
        <v>3761</v>
      </c>
      <c r="K1287" s="177">
        <v>1.0</v>
      </c>
      <c r="L1287" s="174">
        <v>3.875601243E9</v>
      </c>
      <c r="M1287" s="367"/>
      <c r="N1287" s="429">
        <v>46109.0</v>
      </c>
      <c r="O1287" s="430" t="s">
        <v>13338</v>
      </c>
      <c r="P1287" s="431"/>
      <c r="Q1287" s="430" t="s">
        <v>13339</v>
      </c>
      <c r="R1287" s="432" t="s">
        <v>14013</v>
      </c>
      <c r="S1287" s="367"/>
      <c r="T1287" s="276"/>
      <c r="U1287" s="276"/>
      <c r="V1287" s="276"/>
      <c r="W1287" s="276"/>
      <c r="X1287" s="276"/>
      <c r="Y1287" s="276"/>
      <c r="Z1287" s="276"/>
      <c r="AA1287" s="276"/>
      <c r="AB1287" s="276"/>
      <c r="AC1287" s="276"/>
    </row>
    <row r="1288">
      <c r="A1288" s="108" t="s">
        <v>12375</v>
      </c>
      <c r="B1288" s="173">
        <v>46108.0</v>
      </c>
      <c r="C1288" s="374">
        <v>8.07000035536E11</v>
      </c>
      <c r="D1288" s="374" t="s">
        <v>12376</v>
      </c>
      <c r="E1288" s="374" t="s">
        <v>12377</v>
      </c>
      <c r="F1288" s="145" t="s">
        <v>12378</v>
      </c>
      <c r="G1288" s="145" t="s">
        <v>127</v>
      </c>
      <c r="H1288" s="145">
        <v>4400.0</v>
      </c>
      <c r="I1288" s="176" t="s">
        <v>512</v>
      </c>
      <c r="J1288" s="374" t="s">
        <v>513</v>
      </c>
      <c r="K1288" s="177">
        <v>12.0</v>
      </c>
      <c r="L1288" s="174">
        <v>3.875601243E9</v>
      </c>
      <c r="M1288" s="367"/>
      <c r="N1288" s="209"/>
      <c r="O1288" s="209"/>
      <c r="P1288" s="209"/>
      <c r="Q1288" s="209"/>
      <c r="R1288" s="209"/>
      <c r="S1288" s="367"/>
      <c r="T1288" s="276"/>
      <c r="U1288" s="276"/>
      <c r="V1288" s="276"/>
      <c r="W1288" s="276"/>
      <c r="X1288" s="276"/>
      <c r="Y1288" s="276"/>
      <c r="Z1288" s="276"/>
      <c r="AA1288" s="276"/>
      <c r="AB1288" s="276"/>
      <c r="AC1288" s="276"/>
    </row>
    <row r="1289">
      <c r="A1289" s="108" t="s">
        <v>12375</v>
      </c>
      <c r="B1289" s="173">
        <v>46108.0</v>
      </c>
      <c r="C1289" s="374">
        <v>8.07000035536E11</v>
      </c>
      <c r="D1289" s="374" t="s">
        <v>12376</v>
      </c>
      <c r="E1289" s="374" t="s">
        <v>12377</v>
      </c>
      <c r="F1289" s="145" t="s">
        <v>12378</v>
      </c>
      <c r="G1289" s="145" t="s">
        <v>127</v>
      </c>
      <c r="H1289" s="145">
        <v>4400.0</v>
      </c>
      <c r="I1289" s="176" t="s">
        <v>758</v>
      </c>
      <c r="J1289" s="374" t="s">
        <v>3574</v>
      </c>
      <c r="K1289" s="177">
        <v>2.0</v>
      </c>
      <c r="L1289" s="174">
        <v>3.875601243E9</v>
      </c>
      <c r="M1289" s="367"/>
      <c r="N1289" s="206"/>
      <c r="O1289" s="206"/>
      <c r="P1289" s="206"/>
      <c r="Q1289" s="206"/>
      <c r="R1289" s="206"/>
      <c r="S1289" s="367"/>
      <c r="T1289" s="276"/>
      <c r="U1289" s="276"/>
      <c r="V1289" s="276"/>
      <c r="W1289" s="276"/>
      <c r="X1289" s="276"/>
      <c r="Y1289" s="276"/>
      <c r="Z1289" s="276"/>
      <c r="AA1289" s="276"/>
      <c r="AB1289" s="276"/>
      <c r="AC1289" s="276"/>
    </row>
    <row r="1290">
      <c r="A1290" s="108" t="s">
        <v>12379</v>
      </c>
      <c r="B1290" s="173">
        <v>46109.0</v>
      </c>
      <c r="C1290" s="374">
        <v>8.07000035544E11</v>
      </c>
      <c r="D1290" s="374" t="s">
        <v>11450</v>
      </c>
      <c r="E1290" s="374" t="s">
        <v>11451</v>
      </c>
      <c r="F1290" s="145" t="s">
        <v>11452</v>
      </c>
      <c r="G1290" s="145" t="s">
        <v>127</v>
      </c>
      <c r="H1290" s="145">
        <v>4400.0</v>
      </c>
      <c r="I1290" s="176" t="s">
        <v>2171</v>
      </c>
      <c r="J1290" s="374" t="s">
        <v>3446</v>
      </c>
      <c r="K1290" s="177">
        <v>1.0</v>
      </c>
      <c r="L1290" s="174">
        <v>3.875004233E9</v>
      </c>
      <c r="M1290" s="367"/>
      <c r="N1290" s="433">
        <v>46109.0</v>
      </c>
      <c r="O1290" s="261" t="s">
        <v>13338</v>
      </c>
      <c r="P1290" s="367"/>
      <c r="Q1290" s="261" t="s">
        <v>14014</v>
      </c>
      <c r="R1290" s="434" t="s">
        <v>14015</v>
      </c>
      <c r="S1290" s="367"/>
      <c r="T1290" s="276"/>
      <c r="U1290" s="276"/>
      <c r="V1290" s="276"/>
      <c r="W1290" s="276"/>
      <c r="X1290" s="276"/>
      <c r="Y1290" s="276"/>
      <c r="Z1290" s="276"/>
      <c r="AA1290" s="276"/>
      <c r="AB1290" s="276"/>
      <c r="AC1290" s="276"/>
    </row>
    <row r="1291">
      <c r="A1291" s="108" t="s">
        <v>12380</v>
      </c>
      <c r="B1291" s="173">
        <v>46109.0</v>
      </c>
      <c r="C1291" s="374">
        <v>8.07000035546E11</v>
      </c>
      <c r="D1291" s="374" t="s">
        <v>12381</v>
      </c>
      <c r="E1291" s="374" t="s">
        <v>12382</v>
      </c>
      <c r="F1291" s="145" t="s">
        <v>12383</v>
      </c>
      <c r="G1291" s="145" t="s">
        <v>127</v>
      </c>
      <c r="H1291" s="145">
        <v>4400.0</v>
      </c>
      <c r="I1291" s="176" t="s">
        <v>1379</v>
      </c>
      <c r="J1291" s="374" t="s">
        <v>7653</v>
      </c>
      <c r="K1291" s="177">
        <v>1.0</v>
      </c>
      <c r="L1291" s="174">
        <v>3.875314358E9</v>
      </c>
      <c r="M1291" s="367"/>
      <c r="N1291" s="433">
        <v>46109.0</v>
      </c>
      <c r="O1291" s="261" t="s">
        <v>13338</v>
      </c>
      <c r="P1291" s="367"/>
      <c r="Q1291" s="261" t="s">
        <v>13339</v>
      </c>
      <c r="R1291" s="434" t="s">
        <v>14016</v>
      </c>
      <c r="S1291" s="367"/>
      <c r="T1291" s="276"/>
      <c r="U1291" s="276"/>
      <c r="V1291" s="276"/>
      <c r="W1291" s="276"/>
      <c r="X1291" s="276"/>
      <c r="Y1291" s="276"/>
      <c r="Z1291" s="276"/>
      <c r="AA1291" s="276"/>
      <c r="AB1291" s="276"/>
      <c r="AC1291" s="276"/>
    </row>
    <row r="1292">
      <c r="A1292" s="374" t="s">
        <v>12384</v>
      </c>
      <c r="B1292" s="173">
        <v>46109.0</v>
      </c>
      <c r="C1292" s="374">
        <v>8.0700003554E11</v>
      </c>
      <c r="D1292" s="374" t="s">
        <v>5887</v>
      </c>
      <c r="E1292" s="374" t="s">
        <v>5888</v>
      </c>
      <c r="F1292" s="145" t="s">
        <v>12385</v>
      </c>
      <c r="G1292" s="145" t="s">
        <v>127</v>
      </c>
      <c r="H1292" s="145">
        <v>4400.0</v>
      </c>
      <c r="I1292" s="176">
        <v>125801.0</v>
      </c>
      <c r="J1292" s="374" t="s">
        <v>5192</v>
      </c>
      <c r="K1292" s="177">
        <v>6.0</v>
      </c>
      <c r="L1292" s="174">
        <v>3.875007245E9</v>
      </c>
      <c r="M1292" s="367"/>
      <c r="N1292" s="429">
        <v>46109.0</v>
      </c>
      <c r="O1292" s="430" t="s">
        <v>13338</v>
      </c>
      <c r="P1292" s="431"/>
      <c r="Q1292" s="430" t="s">
        <v>14017</v>
      </c>
      <c r="R1292" s="432" t="s">
        <v>14018</v>
      </c>
      <c r="S1292" s="367"/>
      <c r="T1292" s="276"/>
      <c r="U1292" s="276"/>
      <c r="V1292" s="276"/>
      <c r="W1292" s="276"/>
      <c r="X1292" s="276"/>
      <c r="Y1292" s="276"/>
      <c r="Z1292" s="276"/>
      <c r="AA1292" s="276"/>
      <c r="AB1292" s="276"/>
      <c r="AC1292" s="276"/>
    </row>
    <row r="1293">
      <c r="A1293" s="374" t="s">
        <v>12384</v>
      </c>
      <c r="B1293" s="173">
        <v>46109.0</v>
      </c>
      <c r="C1293" s="374">
        <v>8.0700003554E11</v>
      </c>
      <c r="D1293" s="374" t="s">
        <v>5887</v>
      </c>
      <c r="E1293" s="374" t="s">
        <v>5888</v>
      </c>
      <c r="F1293" s="145" t="s">
        <v>12385</v>
      </c>
      <c r="G1293" s="145" t="s">
        <v>127</v>
      </c>
      <c r="H1293" s="145">
        <v>4400.0</v>
      </c>
      <c r="I1293" s="176" t="s">
        <v>3054</v>
      </c>
      <c r="J1293" s="374" t="s">
        <v>3346</v>
      </c>
      <c r="K1293" s="177">
        <v>1.0</v>
      </c>
      <c r="L1293" s="174">
        <v>3.875007245E9</v>
      </c>
      <c r="M1293" s="367"/>
      <c r="N1293" s="209"/>
      <c r="O1293" s="209"/>
      <c r="P1293" s="209"/>
      <c r="Q1293" s="209"/>
      <c r="R1293" s="209"/>
      <c r="S1293" s="367"/>
      <c r="T1293" s="276"/>
      <c r="U1293" s="276"/>
      <c r="V1293" s="276"/>
      <c r="W1293" s="276"/>
      <c r="X1293" s="276"/>
      <c r="Y1293" s="276"/>
      <c r="Z1293" s="276"/>
      <c r="AA1293" s="276"/>
      <c r="AB1293" s="276"/>
      <c r="AC1293" s="276"/>
    </row>
    <row r="1294">
      <c r="A1294" s="374" t="s">
        <v>12384</v>
      </c>
      <c r="B1294" s="173">
        <v>46109.0</v>
      </c>
      <c r="C1294" s="374">
        <v>8.0700003554E11</v>
      </c>
      <c r="D1294" s="374" t="s">
        <v>5887</v>
      </c>
      <c r="E1294" s="374" t="s">
        <v>5888</v>
      </c>
      <c r="F1294" s="145" t="s">
        <v>12385</v>
      </c>
      <c r="G1294" s="145" t="s">
        <v>127</v>
      </c>
      <c r="H1294" s="145">
        <v>4400.0</v>
      </c>
      <c r="I1294" s="176" t="s">
        <v>3451</v>
      </c>
      <c r="J1294" s="374" t="s">
        <v>3452</v>
      </c>
      <c r="K1294" s="177">
        <v>4.0</v>
      </c>
      <c r="L1294" s="174">
        <v>3.875007245E9</v>
      </c>
      <c r="M1294" s="367"/>
      <c r="N1294" s="209"/>
      <c r="O1294" s="209"/>
      <c r="P1294" s="209"/>
      <c r="Q1294" s="209"/>
      <c r="R1294" s="209"/>
      <c r="S1294" s="367"/>
      <c r="T1294" s="276"/>
      <c r="U1294" s="276"/>
      <c r="V1294" s="276"/>
      <c r="W1294" s="276"/>
      <c r="X1294" s="276"/>
      <c r="Y1294" s="276"/>
      <c r="Z1294" s="276"/>
      <c r="AA1294" s="276"/>
      <c r="AB1294" s="276"/>
      <c r="AC1294" s="276"/>
    </row>
    <row r="1295">
      <c r="A1295" s="374" t="s">
        <v>12384</v>
      </c>
      <c r="B1295" s="173">
        <v>46109.0</v>
      </c>
      <c r="C1295" s="374">
        <v>8.0700003554E11</v>
      </c>
      <c r="D1295" s="374" t="s">
        <v>5887</v>
      </c>
      <c r="E1295" s="374" t="s">
        <v>5888</v>
      </c>
      <c r="F1295" s="145" t="s">
        <v>12385</v>
      </c>
      <c r="G1295" s="145" t="s">
        <v>127</v>
      </c>
      <c r="H1295" s="145">
        <v>4400.0</v>
      </c>
      <c r="I1295" s="176" t="s">
        <v>512</v>
      </c>
      <c r="J1295" s="374" t="s">
        <v>513</v>
      </c>
      <c r="K1295" s="177">
        <v>18.0</v>
      </c>
      <c r="L1295" s="174">
        <v>3.875007245E9</v>
      </c>
      <c r="M1295" s="367"/>
      <c r="N1295" s="209"/>
      <c r="O1295" s="209"/>
      <c r="P1295" s="209"/>
      <c r="Q1295" s="209"/>
      <c r="R1295" s="209"/>
      <c r="S1295" s="367"/>
      <c r="T1295" s="276"/>
      <c r="U1295" s="276"/>
      <c r="V1295" s="276"/>
      <c r="W1295" s="276"/>
      <c r="X1295" s="276"/>
      <c r="Y1295" s="276"/>
      <c r="Z1295" s="276"/>
      <c r="AA1295" s="276"/>
      <c r="AB1295" s="276"/>
      <c r="AC1295" s="276"/>
    </row>
    <row r="1296">
      <c r="A1296" s="374" t="s">
        <v>12384</v>
      </c>
      <c r="B1296" s="173">
        <v>46109.0</v>
      </c>
      <c r="C1296" s="374">
        <v>8.0700003554E11</v>
      </c>
      <c r="D1296" s="374" t="s">
        <v>5887</v>
      </c>
      <c r="E1296" s="374" t="s">
        <v>5888</v>
      </c>
      <c r="F1296" s="145" t="s">
        <v>12385</v>
      </c>
      <c r="G1296" s="145" t="s">
        <v>127</v>
      </c>
      <c r="H1296" s="145">
        <v>4400.0</v>
      </c>
      <c r="I1296" s="176" t="s">
        <v>2031</v>
      </c>
      <c r="J1296" s="374" t="s">
        <v>3348</v>
      </c>
      <c r="K1296" s="177">
        <v>1.0</v>
      </c>
      <c r="L1296" s="174">
        <v>3.875007245E9</v>
      </c>
      <c r="M1296" s="367"/>
      <c r="N1296" s="209"/>
      <c r="O1296" s="209"/>
      <c r="P1296" s="209"/>
      <c r="Q1296" s="209"/>
      <c r="R1296" s="209"/>
      <c r="S1296" s="367"/>
      <c r="T1296" s="276"/>
      <c r="U1296" s="276"/>
      <c r="V1296" s="276"/>
      <c r="W1296" s="276"/>
      <c r="X1296" s="276"/>
      <c r="Y1296" s="276"/>
      <c r="Z1296" s="276"/>
      <c r="AA1296" s="276"/>
      <c r="AB1296" s="276"/>
      <c r="AC1296" s="276"/>
    </row>
    <row r="1297">
      <c r="A1297" s="374" t="s">
        <v>12384</v>
      </c>
      <c r="B1297" s="173">
        <v>46109.0</v>
      </c>
      <c r="C1297" s="374">
        <v>8.0700003554E11</v>
      </c>
      <c r="D1297" s="374" t="s">
        <v>5887</v>
      </c>
      <c r="E1297" s="374" t="s">
        <v>5888</v>
      </c>
      <c r="F1297" s="145" t="s">
        <v>12385</v>
      </c>
      <c r="G1297" s="145" t="s">
        <v>127</v>
      </c>
      <c r="H1297" s="145">
        <v>4400.0</v>
      </c>
      <c r="I1297" s="176" t="s">
        <v>670</v>
      </c>
      <c r="J1297" s="374" t="s">
        <v>3410</v>
      </c>
      <c r="K1297" s="177">
        <v>2.0</v>
      </c>
      <c r="L1297" s="174">
        <v>3.875007245E9</v>
      </c>
      <c r="M1297" s="367"/>
      <c r="N1297" s="209"/>
      <c r="O1297" s="209"/>
      <c r="P1297" s="209"/>
      <c r="Q1297" s="209"/>
      <c r="R1297" s="209"/>
      <c r="S1297" s="367"/>
      <c r="T1297" s="276"/>
      <c r="U1297" s="276"/>
      <c r="V1297" s="276"/>
      <c r="W1297" s="276"/>
      <c r="X1297" s="276"/>
      <c r="Y1297" s="276"/>
      <c r="Z1297" s="276"/>
      <c r="AA1297" s="276"/>
      <c r="AB1297" s="276"/>
      <c r="AC1297" s="276"/>
    </row>
    <row r="1298">
      <c r="A1298" s="374" t="s">
        <v>12386</v>
      </c>
      <c r="B1298" s="173">
        <v>46109.0</v>
      </c>
      <c r="C1298" s="374">
        <v>8.07000035541E11</v>
      </c>
      <c r="D1298" s="374" t="s">
        <v>5887</v>
      </c>
      <c r="E1298" s="374" t="s">
        <v>5888</v>
      </c>
      <c r="F1298" s="145" t="s">
        <v>12385</v>
      </c>
      <c r="G1298" s="145" t="s">
        <v>127</v>
      </c>
      <c r="H1298" s="145">
        <v>4400.0</v>
      </c>
      <c r="I1298" s="176" t="s">
        <v>110</v>
      </c>
      <c r="J1298" s="374" t="s">
        <v>3673</v>
      </c>
      <c r="K1298" s="177">
        <v>2.0</v>
      </c>
      <c r="L1298" s="174">
        <v>3.875007245E9</v>
      </c>
      <c r="M1298" s="367"/>
      <c r="N1298" s="206"/>
      <c r="O1298" s="206"/>
      <c r="P1298" s="206"/>
      <c r="Q1298" s="206"/>
      <c r="R1298" s="206"/>
      <c r="S1298" s="367"/>
      <c r="T1298" s="276"/>
      <c r="U1298" s="276"/>
      <c r="V1298" s="276"/>
      <c r="W1298" s="276"/>
      <c r="X1298" s="276"/>
      <c r="Y1298" s="276"/>
      <c r="Z1298" s="276"/>
      <c r="AA1298" s="276"/>
      <c r="AB1298" s="276"/>
      <c r="AC1298" s="276"/>
    </row>
    <row r="1299">
      <c r="A1299" s="374" t="s">
        <v>12387</v>
      </c>
      <c r="B1299" s="173">
        <v>46109.0</v>
      </c>
      <c r="C1299" s="374">
        <v>8.07000035547E11</v>
      </c>
      <c r="D1299" s="374" t="s">
        <v>12388</v>
      </c>
      <c r="E1299" s="374" t="s">
        <v>12389</v>
      </c>
      <c r="F1299" s="145" t="s">
        <v>12390</v>
      </c>
      <c r="G1299" s="145" t="s">
        <v>127</v>
      </c>
      <c r="H1299" s="145">
        <v>4400.0</v>
      </c>
      <c r="I1299" s="176">
        <v>125815.0</v>
      </c>
      <c r="J1299" s="374" t="s">
        <v>569</v>
      </c>
      <c r="K1299" s="177">
        <v>2.0</v>
      </c>
      <c r="L1299" s="174">
        <v>3.87547165E9</v>
      </c>
      <c r="M1299" s="367"/>
      <c r="N1299" s="429">
        <v>46109.0</v>
      </c>
      <c r="O1299" s="430" t="s">
        <v>13338</v>
      </c>
      <c r="P1299" s="431"/>
      <c r="Q1299" s="430" t="s">
        <v>13339</v>
      </c>
      <c r="R1299" s="432" t="s">
        <v>14019</v>
      </c>
      <c r="S1299" s="367"/>
      <c r="T1299" s="276"/>
      <c r="U1299" s="276"/>
      <c r="V1299" s="276"/>
      <c r="W1299" s="276"/>
      <c r="X1299" s="276"/>
      <c r="Y1299" s="276"/>
      <c r="Z1299" s="276"/>
      <c r="AA1299" s="276"/>
      <c r="AB1299" s="276"/>
      <c r="AC1299" s="276"/>
    </row>
    <row r="1300">
      <c r="A1300" s="374" t="s">
        <v>12387</v>
      </c>
      <c r="B1300" s="173">
        <v>46109.0</v>
      </c>
      <c r="C1300" s="374">
        <v>8.07000035548E11</v>
      </c>
      <c r="D1300" s="374" t="s">
        <v>12388</v>
      </c>
      <c r="E1300" s="374" t="s">
        <v>12389</v>
      </c>
      <c r="F1300" s="145" t="s">
        <v>12390</v>
      </c>
      <c r="G1300" s="145" t="s">
        <v>127</v>
      </c>
      <c r="H1300" s="145">
        <v>4400.0</v>
      </c>
      <c r="I1300" s="176" t="s">
        <v>512</v>
      </c>
      <c r="J1300" s="374" t="s">
        <v>513</v>
      </c>
      <c r="K1300" s="177">
        <v>6.0</v>
      </c>
      <c r="L1300" s="174">
        <v>3.87547165E9</v>
      </c>
      <c r="M1300" s="367"/>
      <c r="N1300" s="209"/>
      <c r="O1300" s="209"/>
      <c r="P1300" s="209"/>
      <c r="Q1300" s="209"/>
      <c r="R1300" s="209"/>
      <c r="S1300" s="367"/>
      <c r="T1300" s="276"/>
      <c r="U1300" s="276"/>
      <c r="V1300" s="276"/>
      <c r="W1300" s="276"/>
      <c r="X1300" s="276"/>
      <c r="Y1300" s="276"/>
      <c r="Z1300" s="276"/>
      <c r="AA1300" s="276"/>
      <c r="AB1300" s="276"/>
      <c r="AC1300" s="276"/>
    </row>
    <row r="1301">
      <c r="A1301" s="374" t="s">
        <v>12387</v>
      </c>
      <c r="B1301" s="173">
        <v>46109.0</v>
      </c>
      <c r="C1301" s="374">
        <v>8.07000035549E11</v>
      </c>
      <c r="D1301" s="374" t="s">
        <v>12388</v>
      </c>
      <c r="E1301" s="374" t="s">
        <v>12389</v>
      </c>
      <c r="F1301" s="145" t="s">
        <v>12390</v>
      </c>
      <c r="G1301" s="145" t="s">
        <v>127</v>
      </c>
      <c r="H1301" s="145">
        <v>4400.0</v>
      </c>
      <c r="I1301" s="176" t="s">
        <v>812</v>
      </c>
      <c r="J1301" s="374" t="s">
        <v>3564</v>
      </c>
      <c r="K1301" s="177">
        <v>1.0</v>
      </c>
      <c r="L1301" s="174">
        <v>3.87547165E9</v>
      </c>
      <c r="M1301" s="367"/>
      <c r="N1301" s="209"/>
      <c r="O1301" s="209"/>
      <c r="P1301" s="209"/>
      <c r="Q1301" s="209"/>
      <c r="R1301" s="209"/>
      <c r="S1301" s="367"/>
      <c r="T1301" s="276"/>
      <c r="U1301" s="276"/>
      <c r="V1301" s="276"/>
      <c r="W1301" s="276"/>
      <c r="X1301" s="276"/>
      <c r="Y1301" s="276"/>
      <c r="Z1301" s="276"/>
      <c r="AA1301" s="276"/>
      <c r="AB1301" s="276"/>
      <c r="AC1301" s="276"/>
    </row>
    <row r="1302">
      <c r="A1302" s="374" t="s">
        <v>12387</v>
      </c>
      <c r="B1302" s="173">
        <v>46109.0</v>
      </c>
      <c r="C1302" s="374">
        <v>8.07000035549E11</v>
      </c>
      <c r="D1302" s="374" t="s">
        <v>12388</v>
      </c>
      <c r="E1302" s="374" t="s">
        <v>12389</v>
      </c>
      <c r="F1302" s="145" t="s">
        <v>12390</v>
      </c>
      <c r="G1302" s="145" t="s">
        <v>127</v>
      </c>
      <c r="H1302" s="145">
        <v>4400.0</v>
      </c>
      <c r="I1302" s="176" t="s">
        <v>35</v>
      </c>
      <c r="J1302" s="374" t="s">
        <v>3188</v>
      </c>
      <c r="K1302" s="177">
        <v>1.0</v>
      </c>
      <c r="L1302" s="174">
        <v>3.87547165E9</v>
      </c>
      <c r="M1302" s="367"/>
      <c r="N1302" s="206"/>
      <c r="O1302" s="206"/>
      <c r="P1302" s="206"/>
      <c r="Q1302" s="206"/>
      <c r="R1302" s="206"/>
      <c r="S1302" s="367"/>
      <c r="T1302" s="276"/>
      <c r="U1302" s="276"/>
      <c r="V1302" s="276"/>
      <c r="W1302" s="276"/>
      <c r="X1302" s="276"/>
      <c r="Y1302" s="276"/>
      <c r="Z1302" s="276"/>
      <c r="AA1302" s="276"/>
      <c r="AB1302" s="276"/>
      <c r="AC1302" s="276"/>
    </row>
    <row r="1303">
      <c r="A1303" s="108" t="s">
        <v>12391</v>
      </c>
      <c r="B1303" s="173">
        <v>46109.0</v>
      </c>
      <c r="C1303" s="374">
        <v>8.0700003555E11</v>
      </c>
      <c r="D1303" s="374" t="s">
        <v>12392</v>
      </c>
      <c r="E1303" s="374" t="s">
        <v>12393</v>
      </c>
      <c r="F1303" s="145" t="s">
        <v>12394</v>
      </c>
      <c r="G1303" s="145" t="s">
        <v>127</v>
      </c>
      <c r="H1303" s="145">
        <v>4400.0</v>
      </c>
      <c r="I1303" s="176" t="s">
        <v>2956</v>
      </c>
      <c r="J1303" s="374" t="s">
        <v>3327</v>
      </c>
      <c r="K1303" s="177">
        <v>1.0</v>
      </c>
      <c r="L1303" s="174">
        <v>3.874487151E9</v>
      </c>
      <c r="M1303" s="367"/>
      <c r="N1303" s="429">
        <v>46109.0</v>
      </c>
      <c r="O1303" s="430" t="s">
        <v>13338</v>
      </c>
      <c r="P1303" s="431"/>
      <c r="Q1303" s="430" t="s">
        <v>13339</v>
      </c>
      <c r="R1303" s="432" t="s">
        <v>14020</v>
      </c>
      <c r="S1303" s="367"/>
      <c r="T1303" s="276"/>
      <c r="U1303" s="276"/>
      <c r="V1303" s="276"/>
      <c r="W1303" s="276"/>
      <c r="X1303" s="276"/>
      <c r="Y1303" s="276"/>
      <c r="Z1303" s="276"/>
      <c r="AA1303" s="276"/>
      <c r="AB1303" s="276"/>
      <c r="AC1303" s="276"/>
    </row>
    <row r="1304">
      <c r="A1304" s="108" t="s">
        <v>12391</v>
      </c>
      <c r="B1304" s="173">
        <v>46109.0</v>
      </c>
      <c r="C1304" s="374">
        <v>8.0700003555E11</v>
      </c>
      <c r="D1304" s="374" t="s">
        <v>12392</v>
      </c>
      <c r="E1304" s="374" t="s">
        <v>12393</v>
      </c>
      <c r="F1304" s="145" t="s">
        <v>12394</v>
      </c>
      <c r="G1304" s="145" t="s">
        <v>127</v>
      </c>
      <c r="H1304" s="145">
        <v>4400.0</v>
      </c>
      <c r="I1304" s="176" t="s">
        <v>512</v>
      </c>
      <c r="J1304" s="374" t="s">
        <v>513</v>
      </c>
      <c r="K1304" s="177">
        <v>6.0</v>
      </c>
      <c r="L1304" s="174">
        <v>3.874487151E9</v>
      </c>
      <c r="M1304" s="367"/>
      <c r="N1304" s="209"/>
      <c r="O1304" s="209"/>
      <c r="P1304" s="209"/>
      <c r="Q1304" s="209"/>
      <c r="R1304" s="209"/>
      <c r="S1304" s="367"/>
      <c r="T1304" s="276"/>
      <c r="U1304" s="276"/>
      <c r="V1304" s="276"/>
      <c r="W1304" s="276"/>
      <c r="X1304" s="276"/>
      <c r="Y1304" s="276"/>
      <c r="Z1304" s="276"/>
      <c r="AA1304" s="276"/>
      <c r="AB1304" s="276"/>
      <c r="AC1304" s="276"/>
    </row>
    <row r="1305">
      <c r="A1305" s="108" t="s">
        <v>12391</v>
      </c>
      <c r="B1305" s="173">
        <v>46109.0</v>
      </c>
      <c r="C1305" s="374">
        <v>8.0700003555E11</v>
      </c>
      <c r="D1305" s="374" t="s">
        <v>12392</v>
      </c>
      <c r="E1305" s="374" t="s">
        <v>12393</v>
      </c>
      <c r="F1305" s="145" t="s">
        <v>12394</v>
      </c>
      <c r="G1305" s="145" t="s">
        <v>127</v>
      </c>
      <c r="H1305" s="145">
        <v>4400.0</v>
      </c>
      <c r="I1305" s="176" t="s">
        <v>670</v>
      </c>
      <c r="J1305" s="374" t="s">
        <v>3410</v>
      </c>
      <c r="K1305" s="177">
        <v>1.0</v>
      </c>
      <c r="L1305" s="174">
        <v>3.874487151E9</v>
      </c>
      <c r="M1305" s="367"/>
      <c r="N1305" s="206"/>
      <c r="O1305" s="206"/>
      <c r="P1305" s="206"/>
      <c r="Q1305" s="206"/>
      <c r="R1305" s="206"/>
      <c r="S1305" s="367"/>
      <c r="T1305" s="276"/>
      <c r="U1305" s="276"/>
      <c r="V1305" s="276"/>
      <c r="W1305" s="276"/>
      <c r="X1305" s="276"/>
      <c r="Y1305" s="276"/>
      <c r="Z1305" s="276"/>
      <c r="AA1305" s="276"/>
      <c r="AB1305" s="276"/>
      <c r="AC1305" s="276"/>
    </row>
    <row r="1306">
      <c r="A1306" s="108" t="s">
        <v>12395</v>
      </c>
      <c r="B1306" s="173">
        <v>46109.0</v>
      </c>
      <c r="C1306" s="374">
        <v>8.07000035551E11</v>
      </c>
      <c r="D1306" s="374" t="s">
        <v>12396</v>
      </c>
      <c r="E1306" s="374" t="s">
        <v>12397</v>
      </c>
      <c r="F1306" s="145" t="s">
        <v>12398</v>
      </c>
      <c r="G1306" s="145" t="s">
        <v>127</v>
      </c>
      <c r="H1306" s="145">
        <v>4400.0</v>
      </c>
      <c r="I1306" s="176" t="s">
        <v>9295</v>
      </c>
      <c r="J1306" s="374" t="s">
        <v>9296</v>
      </c>
      <c r="K1306" s="177">
        <v>1.0</v>
      </c>
      <c r="L1306" s="174">
        <v>3.874530053E9</v>
      </c>
      <c r="M1306" s="367"/>
      <c r="N1306" s="433">
        <v>46109.0</v>
      </c>
      <c r="O1306" s="261" t="s">
        <v>13338</v>
      </c>
      <c r="P1306" s="367"/>
      <c r="Q1306" s="261" t="s">
        <v>13339</v>
      </c>
      <c r="R1306" s="434" t="s">
        <v>14021</v>
      </c>
      <c r="S1306" s="367"/>
      <c r="T1306" s="276"/>
      <c r="U1306" s="276"/>
      <c r="V1306" s="276"/>
      <c r="W1306" s="276"/>
      <c r="X1306" s="276"/>
      <c r="Y1306" s="276"/>
      <c r="Z1306" s="276"/>
      <c r="AA1306" s="276"/>
      <c r="AB1306" s="276"/>
      <c r="AC1306" s="276"/>
    </row>
    <row r="1307">
      <c r="A1307" s="552"/>
      <c r="B1307" s="553"/>
      <c r="C1307" s="554"/>
      <c r="D1307" s="554"/>
      <c r="E1307" s="554"/>
      <c r="F1307" s="555"/>
      <c r="G1307" s="555"/>
      <c r="H1307" s="555"/>
      <c r="I1307" s="556"/>
      <c r="J1307" s="556"/>
      <c r="K1307" s="557"/>
      <c r="L1307" s="558"/>
      <c r="M1307" s="367"/>
      <c r="N1307" s="433"/>
      <c r="O1307" s="261"/>
      <c r="P1307" s="367"/>
      <c r="Q1307" s="261"/>
      <c r="R1307" s="449"/>
      <c r="S1307" s="367"/>
      <c r="T1307" s="276"/>
      <c r="U1307" s="276"/>
      <c r="V1307" s="276"/>
      <c r="W1307" s="276"/>
      <c r="X1307" s="276"/>
      <c r="Y1307" s="276"/>
      <c r="Z1307" s="276"/>
      <c r="AA1307" s="276"/>
      <c r="AB1307" s="276"/>
      <c r="AC1307" s="276"/>
    </row>
    <row r="1308">
      <c r="A1308" s="108" t="s">
        <v>12399</v>
      </c>
      <c r="B1308" s="173">
        <v>46111.0</v>
      </c>
      <c r="C1308" s="374">
        <v>8.07000035565E11</v>
      </c>
      <c r="D1308" s="374" t="s">
        <v>12400</v>
      </c>
      <c r="E1308" s="374" t="s">
        <v>12401</v>
      </c>
      <c r="F1308" s="177" t="s">
        <v>12402</v>
      </c>
      <c r="G1308" s="177" t="s">
        <v>127</v>
      </c>
      <c r="H1308" s="177">
        <v>4400.0</v>
      </c>
      <c r="I1308" s="176" t="s">
        <v>1379</v>
      </c>
      <c r="J1308" s="374" t="s">
        <v>7653</v>
      </c>
      <c r="K1308" s="177">
        <v>1.0</v>
      </c>
      <c r="L1308" s="174">
        <v>3.872220188E9</v>
      </c>
      <c r="M1308" s="367"/>
      <c r="N1308" s="433">
        <v>46111.0</v>
      </c>
      <c r="O1308" s="261" t="s">
        <v>13338</v>
      </c>
      <c r="P1308" s="367"/>
      <c r="Q1308" s="261" t="s">
        <v>13339</v>
      </c>
      <c r="R1308" s="434" t="s">
        <v>14022</v>
      </c>
      <c r="S1308" s="367"/>
      <c r="T1308" s="276"/>
      <c r="U1308" s="276"/>
      <c r="V1308" s="276"/>
      <c r="W1308" s="276"/>
      <c r="X1308" s="276"/>
      <c r="Y1308" s="276"/>
      <c r="Z1308" s="276"/>
      <c r="AA1308" s="276"/>
      <c r="AB1308" s="276"/>
      <c r="AC1308" s="276"/>
    </row>
    <row r="1309">
      <c r="A1309" s="108" t="s">
        <v>12403</v>
      </c>
      <c r="B1309" s="173">
        <v>46111.0</v>
      </c>
      <c r="C1309" s="374">
        <v>8.07000035566E11</v>
      </c>
      <c r="D1309" s="374" t="s">
        <v>12404</v>
      </c>
      <c r="E1309" s="374" t="s">
        <v>12405</v>
      </c>
      <c r="F1309" s="177" t="s">
        <v>12406</v>
      </c>
      <c r="G1309" s="177" t="s">
        <v>127</v>
      </c>
      <c r="H1309" s="177">
        <v>4400.0</v>
      </c>
      <c r="I1309" s="176" t="s">
        <v>2397</v>
      </c>
      <c r="J1309" s="374" t="s">
        <v>5040</v>
      </c>
      <c r="K1309" s="177">
        <v>1.0</v>
      </c>
      <c r="L1309" s="174">
        <v>3.87406931E9</v>
      </c>
      <c r="M1309" s="367"/>
      <c r="N1309" s="429">
        <v>46111.0</v>
      </c>
      <c r="O1309" s="430" t="s">
        <v>9011</v>
      </c>
      <c r="P1309" s="431"/>
      <c r="Q1309" s="430" t="s">
        <v>13339</v>
      </c>
      <c r="R1309" s="432" t="s">
        <v>14023</v>
      </c>
      <c r="S1309" s="367"/>
      <c r="T1309" s="276"/>
      <c r="U1309" s="276"/>
      <c r="V1309" s="276"/>
      <c r="W1309" s="276"/>
      <c r="X1309" s="276"/>
      <c r="Y1309" s="276"/>
      <c r="Z1309" s="276"/>
      <c r="AA1309" s="276"/>
      <c r="AB1309" s="276"/>
      <c r="AC1309" s="276"/>
    </row>
    <row r="1310">
      <c r="A1310" s="108" t="s">
        <v>12403</v>
      </c>
      <c r="B1310" s="173">
        <v>46111.0</v>
      </c>
      <c r="C1310" s="374">
        <v>8.07000035566E11</v>
      </c>
      <c r="D1310" s="374" t="s">
        <v>12404</v>
      </c>
      <c r="E1310" s="374" t="s">
        <v>12405</v>
      </c>
      <c r="F1310" s="177" t="s">
        <v>12406</v>
      </c>
      <c r="G1310" s="177" t="s">
        <v>127</v>
      </c>
      <c r="H1310" s="177">
        <v>4400.0</v>
      </c>
      <c r="I1310" s="176" t="s">
        <v>985</v>
      </c>
      <c r="J1310" s="374" t="s">
        <v>3600</v>
      </c>
      <c r="K1310" s="177">
        <v>1.0</v>
      </c>
      <c r="L1310" s="174">
        <v>3.87406931E9</v>
      </c>
      <c r="M1310" s="367"/>
      <c r="N1310" s="206"/>
      <c r="O1310" s="206"/>
      <c r="P1310" s="206"/>
      <c r="Q1310" s="206"/>
      <c r="R1310" s="206"/>
      <c r="S1310" s="367"/>
      <c r="T1310" s="276"/>
      <c r="U1310" s="276"/>
      <c r="V1310" s="276"/>
      <c r="W1310" s="276"/>
      <c r="X1310" s="276"/>
      <c r="Y1310" s="276"/>
      <c r="Z1310" s="276"/>
      <c r="AA1310" s="276"/>
      <c r="AB1310" s="276"/>
      <c r="AC1310" s="276"/>
    </row>
    <row r="1311">
      <c r="A1311" s="108" t="s">
        <v>12407</v>
      </c>
      <c r="B1311" s="173">
        <v>46111.0</v>
      </c>
      <c r="C1311" s="374">
        <v>8.0700003557E11</v>
      </c>
      <c r="D1311" s="374" t="s">
        <v>12408</v>
      </c>
      <c r="E1311" s="374" t="s">
        <v>12409</v>
      </c>
      <c r="F1311" s="177" t="s">
        <v>12410</v>
      </c>
      <c r="G1311" s="177" t="s">
        <v>127</v>
      </c>
      <c r="H1311" s="177">
        <v>4400.0</v>
      </c>
      <c r="I1311" s="176" t="s">
        <v>512</v>
      </c>
      <c r="J1311" s="374" t="s">
        <v>513</v>
      </c>
      <c r="K1311" s="177">
        <v>12.0</v>
      </c>
      <c r="L1311" s="174">
        <v>3.874821908E9</v>
      </c>
      <c r="M1311" s="367"/>
      <c r="N1311" s="429">
        <v>46111.0</v>
      </c>
      <c r="O1311" s="430" t="s">
        <v>13338</v>
      </c>
      <c r="P1311" s="431"/>
      <c r="Q1311" s="430" t="s">
        <v>13339</v>
      </c>
      <c r="R1311" s="432" t="s">
        <v>14024</v>
      </c>
      <c r="S1311" s="367"/>
      <c r="T1311" s="276"/>
      <c r="U1311" s="276"/>
      <c r="V1311" s="276"/>
      <c r="W1311" s="276"/>
      <c r="X1311" s="276"/>
      <c r="Y1311" s="276"/>
      <c r="Z1311" s="276"/>
      <c r="AA1311" s="276"/>
      <c r="AB1311" s="276"/>
      <c r="AC1311" s="276"/>
    </row>
    <row r="1312">
      <c r="A1312" s="108" t="s">
        <v>12407</v>
      </c>
      <c r="B1312" s="173">
        <v>46111.0</v>
      </c>
      <c r="C1312" s="374">
        <v>8.07000035571E11</v>
      </c>
      <c r="D1312" s="374" t="s">
        <v>12408</v>
      </c>
      <c r="E1312" s="374" t="s">
        <v>12409</v>
      </c>
      <c r="F1312" s="177" t="s">
        <v>12410</v>
      </c>
      <c r="G1312" s="177" t="s">
        <v>127</v>
      </c>
      <c r="H1312" s="177">
        <v>4400.0</v>
      </c>
      <c r="I1312" s="176" t="s">
        <v>218</v>
      </c>
      <c r="J1312" s="374" t="s">
        <v>8664</v>
      </c>
      <c r="K1312" s="177">
        <v>1.0</v>
      </c>
      <c r="L1312" s="174">
        <v>3.874821908E9</v>
      </c>
      <c r="M1312" s="367"/>
      <c r="N1312" s="209"/>
      <c r="O1312" s="209"/>
      <c r="P1312" s="209"/>
      <c r="Q1312" s="209"/>
      <c r="R1312" s="209"/>
      <c r="S1312" s="367"/>
      <c r="T1312" s="276"/>
      <c r="U1312" s="276"/>
      <c r="V1312" s="276"/>
      <c r="W1312" s="276"/>
      <c r="X1312" s="276"/>
      <c r="Y1312" s="276"/>
      <c r="Z1312" s="276"/>
      <c r="AA1312" s="276"/>
      <c r="AB1312" s="276"/>
      <c r="AC1312" s="276"/>
    </row>
    <row r="1313">
      <c r="A1313" s="108" t="s">
        <v>12407</v>
      </c>
      <c r="B1313" s="173">
        <v>46111.0</v>
      </c>
      <c r="C1313" s="374">
        <v>8.07000035571E11</v>
      </c>
      <c r="D1313" s="374" t="s">
        <v>12408</v>
      </c>
      <c r="E1313" s="374" t="s">
        <v>12409</v>
      </c>
      <c r="F1313" s="177" t="s">
        <v>12410</v>
      </c>
      <c r="G1313" s="177" t="s">
        <v>127</v>
      </c>
      <c r="H1313" s="177">
        <v>4400.0</v>
      </c>
      <c r="I1313" s="176" t="s">
        <v>121</v>
      </c>
      <c r="J1313" s="374" t="s">
        <v>3199</v>
      </c>
      <c r="K1313" s="177">
        <v>2.0</v>
      </c>
      <c r="L1313" s="174">
        <v>3.874821908E9</v>
      </c>
      <c r="M1313" s="367"/>
      <c r="N1313" s="206"/>
      <c r="O1313" s="206"/>
      <c r="P1313" s="206"/>
      <c r="Q1313" s="206"/>
      <c r="R1313" s="206"/>
      <c r="S1313" s="367"/>
      <c r="T1313" s="276"/>
      <c r="U1313" s="276"/>
      <c r="V1313" s="276"/>
      <c r="W1313" s="276"/>
      <c r="X1313" s="276"/>
      <c r="Y1313" s="276"/>
      <c r="Z1313" s="276"/>
      <c r="AA1313" s="276"/>
      <c r="AB1313" s="276"/>
      <c r="AC1313" s="276"/>
    </row>
    <row r="1314">
      <c r="A1314" s="108" t="s">
        <v>12411</v>
      </c>
      <c r="B1314" s="173">
        <v>46111.0</v>
      </c>
      <c r="C1314" s="374">
        <v>8.07000035572E11</v>
      </c>
      <c r="D1314" s="374" t="s">
        <v>12412</v>
      </c>
      <c r="E1314" s="374" t="s">
        <v>12413</v>
      </c>
      <c r="F1314" s="177" t="s">
        <v>12414</v>
      </c>
      <c r="G1314" s="177" t="s">
        <v>127</v>
      </c>
      <c r="H1314" s="177">
        <v>4400.0</v>
      </c>
      <c r="I1314" s="176" t="s">
        <v>8371</v>
      </c>
      <c r="J1314" s="374" t="s">
        <v>8372</v>
      </c>
      <c r="K1314" s="177">
        <v>1.0</v>
      </c>
      <c r="L1314" s="174">
        <v>3.875353288E9</v>
      </c>
      <c r="M1314" s="367"/>
      <c r="N1314" s="433">
        <v>46112.0</v>
      </c>
      <c r="O1314" s="261" t="s">
        <v>13338</v>
      </c>
      <c r="P1314" s="367"/>
      <c r="Q1314" s="261" t="s">
        <v>13339</v>
      </c>
      <c r="R1314" s="434" t="s">
        <v>14025</v>
      </c>
      <c r="S1314" s="367"/>
      <c r="T1314" s="276"/>
      <c r="U1314" s="276"/>
      <c r="V1314" s="276"/>
      <c r="W1314" s="276"/>
      <c r="X1314" s="276"/>
      <c r="Y1314" s="276"/>
      <c r="Z1314" s="276"/>
      <c r="AA1314" s="276"/>
      <c r="AB1314" s="276"/>
      <c r="AC1314" s="276"/>
    </row>
    <row r="1315">
      <c r="A1315" s="108" t="s">
        <v>12415</v>
      </c>
      <c r="B1315" s="173">
        <v>46111.0</v>
      </c>
      <c r="C1315" s="374">
        <v>8.07000035574E11</v>
      </c>
      <c r="D1315" s="374" t="s">
        <v>12416</v>
      </c>
      <c r="E1315" s="374" t="s">
        <v>12417</v>
      </c>
      <c r="F1315" s="177" t="s">
        <v>12418</v>
      </c>
      <c r="G1315" s="177" t="s">
        <v>2811</v>
      </c>
      <c r="H1315" s="177">
        <v>4400.0</v>
      </c>
      <c r="I1315" s="176" t="s">
        <v>512</v>
      </c>
      <c r="J1315" s="374" t="s">
        <v>513</v>
      </c>
      <c r="K1315" s="177">
        <v>18.0</v>
      </c>
      <c r="L1315" s="174">
        <v>3.874041387E9</v>
      </c>
      <c r="M1315" s="367"/>
      <c r="N1315" s="429">
        <v>46111.0</v>
      </c>
      <c r="O1315" s="430" t="s">
        <v>13338</v>
      </c>
      <c r="P1315" s="431"/>
      <c r="Q1315" s="430" t="s">
        <v>14026</v>
      </c>
      <c r="R1315" s="432" t="s">
        <v>14027</v>
      </c>
      <c r="S1315" s="367"/>
      <c r="T1315" s="276"/>
      <c r="U1315" s="276"/>
      <c r="V1315" s="276"/>
      <c r="W1315" s="276"/>
      <c r="X1315" s="276"/>
      <c r="Y1315" s="276"/>
      <c r="Z1315" s="276"/>
      <c r="AA1315" s="276"/>
      <c r="AB1315" s="276"/>
      <c r="AC1315" s="276"/>
    </row>
    <row r="1316">
      <c r="A1316" s="108" t="s">
        <v>12415</v>
      </c>
      <c r="B1316" s="173">
        <v>46111.0</v>
      </c>
      <c r="C1316" s="374">
        <v>8.07000035575E11</v>
      </c>
      <c r="D1316" s="374" t="s">
        <v>12416</v>
      </c>
      <c r="E1316" s="374" t="s">
        <v>12417</v>
      </c>
      <c r="F1316" s="177" t="s">
        <v>12418</v>
      </c>
      <c r="G1316" s="177" t="s">
        <v>2811</v>
      </c>
      <c r="H1316" s="177">
        <v>4400.0</v>
      </c>
      <c r="I1316" s="176" t="s">
        <v>98</v>
      </c>
      <c r="J1316" s="374" t="s">
        <v>3187</v>
      </c>
      <c r="K1316" s="177">
        <v>1.0</v>
      </c>
      <c r="L1316" s="174">
        <v>3.874041387E9</v>
      </c>
      <c r="M1316" s="367"/>
      <c r="N1316" s="209"/>
      <c r="O1316" s="209"/>
      <c r="P1316" s="209"/>
      <c r="Q1316" s="209"/>
      <c r="R1316" s="209"/>
      <c r="S1316" s="367"/>
      <c r="T1316" s="276"/>
      <c r="U1316" s="276"/>
      <c r="V1316" s="276"/>
      <c r="W1316" s="276"/>
      <c r="X1316" s="276"/>
      <c r="Y1316" s="276"/>
      <c r="Z1316" s="276"/>
      <c r="AA1316" s="276"/>
      <c r="AB1316" s="276"/>
      <c r="AC1316" s="276"/>
    </row>
    <row r="1317">
      <c r="A1317" s="108" t="s">
        <v>12415</v>
      </c>
      <c r="B1317" s="173">
        <v>46111.0</v>
      </c>
      <c r="C1317" s="374">
        <v>8.07000035575E11</v>
      </c>
      <c r="D1317" s="374" t="s">
        <v>12416</v>
      </c>
      <c r="E1317" s="374" t="s">
        <v>12417</v>
      </c>
      <c r="F1317" s="177" t="s">
        <v>12418</v>
      </c>
      <c r="G1317" s="177" t="s">
        <v>2811</v>
      </c>
      <c r="H1317" s="177">
        <v>4400.0</v>
      </c>
      <c r="I1317" s="176" t="s">
        <v>1115</v>
      </c>
      <c r="J1317" s="374" t="s">
        <v>8215</v>
      </c>
      <c r="K1317" s="177">
        <v>1.0</v>
      </c>
      <c r="L1317" s="174">
        <v>3.874041387E9</v>
      </c>
      <c r="M1317" s="367"/>
      <c r="N1317" s="209"/>
      <c r="O1317" s="209"/>
      <c r="P1317" s="209"/>
      <c r="Q1317" s="209"/>
      <c r="R1317" s="209"/>
      <c r="S1317" s="367"/>
      <c r="T1317" s="276"/>
      <c r="U1317" s="276"/>
      <c r="V1317" s="276"/>
      <c r="W1317" s="276"/>
      <c r="X1317" s="276"/>
      <c r="Y1317" s="276"/>
      <c r="Z1317" s="276"/>
      <c r="AA1317" s="276"/>
      <c r="AB1317" s="276"/>
      <c r="AC1317" s="276"/>
    </row>
    <row r="1318">
      <c r="A1318" s="108" t="s">
        <v>12415</v>
      </c>
      <c r="B1318" s="173">
        <v>46111.0</v>
      </c>
      <c r="C1318" s="374">
        <v>8.07000035575E11</v>
      </c>
      <c r="D1318" s="374" t="s">
        <v>12416</v>
      </c>
      <c r="E1318" s="374" t="s">
        <v>12417</v>
      </c>
      <c r="F1318" s="177" t="s">
        <v>12418</v>
      </c>
      <c r="G1318" s="177" t="s">
        <v>2811</v>
      </c>
      <c r="H1318" s="177">
        <v>4400.0</v>
      </c>
      <c r="I1318" s="176" t="s">
        <v>340</v>
      </c>
      <c r="J1318" s="374" t="s">
        <v>3486</v>
      </c>
      <c r="K1318" s="177">
        <v>2.0</v>
      </c>
      <c r="L1318" s="174">
        <v>3.874041387E9</v>
      </c>
      <c r="M1318" s="367"/>
      <c r="N1318" s="209"/>
      <c r="O1318" s="209"/>
      <c r="P1318" s="209"/>
      <c r="Q1318" s="209"/>
      <c r="R1318" s="209"/>
      <c r="S1318" s="367"/>
      <c r="T1318" s="276"/>
      <c r="U1318" s="276"/>
      <c r="V1318" s="276"/>
      <c r="W1318" s="276"/>
      <c r="X1318" s="276"/>
      <c r="Y1318" s="276"/>
      <c r="Z1318" s="276"/>
      <c r="AA1318" s="276"/>
      <c r="AB1318" s="276"/>
      <c r="AC1318" s="276"/>
    </row>
    <row r="1319">
      <c r="A1319" s="108" t="s">
        <v>12415</v>
      </c>
      <c r="B1319" s="173">
        <v>46111.0</v>
      </c>
      <c r="C1319" s="374">
        <v>8.07000035575E11</v>
      </c>
      <c r="D1319" s="374" t="s">
        <v>12416</v>
      </c>
      <c r="E1319" s="374" t="s">
        <v>12417</v>
      </c>
      <c r="F1319" s="177" t="s">
        <v>12418</v>
      </c>
      <c r="G1319" s="177" t="s">
        <v>2811</v>
      </c>
      <c r="H1319" s="177">
        <v>4400.0</v>
      </c>
      <c r="I1319" s="176" t="s">
        <v>670</v>
      </c>
      <c r="J1319" s="374" t="s">
        <v>3410</v>
      </c>
      <c r="K1319" s="177">
        <v>1.0</v>
      </c>
      <c r="L1319" s="174">
        <v>3.874041387E9</v>
      </c>
      <c r="M1319" s="367"/>
      <c r="N1319" s="209"/>
      <c r="O1319" s="209"/>
      <c r="P1319" s="209"/>
      <c r="Q1319" s="209"/>
      <c r="R1319" s="209"/>
      <c r="S1319" s="367"/>
      <c r="T1319" s="276"/>
      <c r="U1319" s="276"/>
      <c r="V1319" s="276"/>
      <c r="W1319" s="276"/>
      <c r="X1319" s="276"/>
      <c r="Y1319" s="276"/>
      <c r="Z1319" s="276"/>
      <c r="AA1319" s="276"/>
      <c r="AB1319" s="276"/>
      <c r="AC1319" s="276"/>
    </row>
    <row r="1320">
      <c r="A1320" s="108" t="s">
        <v>12415</v>
      </c>
      <c r="B1320" s="173">
        <v>46111.0</v>
      </c>
      <c r="C1320" s="374">
        <v>8.07000035584E11</v>
      </c>
      <c r="D1320" s="374" t="s">
        <v>12416</v>
      </c>
      <c r="E1320" s="374" t="s">
        <v>12417</v>
      </c>
      <c r="F1320" s="177" t="s">
        <v>12418</v>
      </c>
      <c r="G1320" s="177" t="s">
        <v>2811</v>
      </c>
      <c r="H1320" s="177">
        <v>4400.0</v>
      </c>
      <c r="I1320" s="176" t="s">
        <v>659</v>
      </c>
      <c r="J1320" s="374" t="s">
        <v>3468</v>
      </c>
      <c r="K1320" s="177">
        <v>1.0</v>
      </c>
      <c r="L1320" s="174">
        <v>3.874041387E9</v>
      </c>
      <c r="M1320" s="367"/>
      <c r="N1320" s="206"/>
      <c r="O1320" s="206"/>
      <c r="P1320" s="206"/>
      <c r="Q1320" s="206"/>
      <c r="R1320" s="206"/>
      <c r="S1320" s="367"/>
      <c r="T1320" s="276"/>
      <c r="U1320" s="276"/>
      <c r="V1320" s="276"/>
      <c r="W1320" s="276"/>
      <c r="X1320" s="276"/>
      <c r="Y1320" s="276"/>
      <c r="Z1320" s="276"/>
      <c r="AA1320" s="276"/>
      <c r="AB1320" s="276"/>
      <c r="AC1320" s="276"/>
    </row>
    <row r="1321">
      <c r="A1321" s="108" t="s">
        <v>12419</v>
      </c>
      <c r="B1321" s="173">
        <v>46111.0</v>
      </c>
      <c r="C1321" s="374">
        <v>8.07000035578E11</v>
      </c>
      <c r="D1321" s="374" t="s">
        <v>12420</v>
      </c>
      <c r="E1321" s="374" t="s">
        <v>12421</v>
      </c>
      <c r="F1321" s="177" t="s">
        <v>12422</v>
      </c>
      <c r="G1321" s="177" t="s">
        <v>2907</v>
      </c>
      <c r="H1321" s="177">
        <v>4400.0</v>
      </c>
      <c r="I1321" s="176">
        <v>125822.0</v>
      </c>
      <c r="J1321" s="374" t="s">
        <v>6030</v>
      </c>
      <c r="K1321" s="177">
        <v>2.0</v>
      </c>
      <c r="L1321" s="174">
        <v>3.872138512E9</v>
      </c>
      <c r="M1321" s="367"/>
      <c r="N1321" s="429">
        <v>46112.0</v>
      </c>
      <c r="O1321" s="430" t="s">
        <v>13338</v>
      </c>
      <c r="P1321" s="431"/>
      <c r="Q1321" s="430" t="s">
        <v>14028</v>
      </c>
      <c r="R1321" s="432" t="s">
        <v>14029</v>
      </c>
      <c r="S1321" s="367"/>
      <c r="T1321" s="276"/>
      <c r="U1321" s="276"/>
      <c r="V1321" s="276"/>
      <c r="W1321" s="276"/>
      <c r="X1321" s="276"/>
      <c r="Y1321" s="276"/>
      <c r="Z1321" s="276"/>
      <c r="AA1321" s="276"/>
      <c r="AB1321" s="276"/>
      <c r="AC1321" s="276"/>
    </row>
    <row r="1322">
      <c r="A1322" s="108" t="s">
        <v>12419</v>
      </c>
      <c r="B1322" s="173">
        <v>46111.0</v>
      </c>
      <c r="C1322" s="374">
        <v>8.07000035578E11</v>
      </c>
      <c r="D1322" s="374" t="s">
        <v>12420</v>
      </c>
      <c r="E1322" s="374" t="s">
        <v>12421</v>
      </c>
      <c r="F1322" s="177" t="s">
        <v>12422</v>
      </c>
      <c r="G1322" s="177" t="s">
        <v>2907</v>
      </c>
      <c r="H1322" s="177">
        <v>4400.0</v>
      </c>
      <c r="I1322" s="176" t="s">
        <v>3154</v>
      </c>
      <c r="J1322" s="374" t="s">
        <v>4564</v>
      </c>
      <c r="K1322" s="177">
        <v>1.0</v>
      </c>
      <c r="L1322" s="174">
        <v>3.872138512E9</v>
      </c>
      <c r="M1322" s="367"/>
      <c r="N1322" s="206"/>
      <c r="O1322" s="206"/>
      <c r="P1322" s="206"/>
      <c r="Q1322" s="206"/>
      <c r="R1322" s="206"/>
      <c r="S1322" s="367"/>
      <c r="T1322" s="276"/>
      <c r="U1322" s="276"/>
      <c r="V1322" s="276"/>
      <c r="W1322" s="276"/>
      <c r="X1322" s="276"/>
      <c r="Y1322" s="276"/>
      <c r="Z1322" s="276"/>
      <c r="AA1322" s="276"/>
      <c r="AB1322" s="276"/>
      <c r="AC1322" s="276"/>
    </row>
    <row r="1323">
      <c r="A1323" s="108" t="s">
        <v>12423</v>
      </c>
      <c r="B1323" s="173">
        <v>46111.0</v>
      </c>
      <c r="C1323" s="374">
        <v>8.05011573302E11</v>
      </c>
      <c r="D1323" s="374" t="s">
        <v>12424</v>
      </c>
      <c r="E1323" s="374" t="s">
        <v>12425</v>
      </c>
      <c r="F1323" s="177" t="s">
        <v>12426</v>
      </c>
      <c r="G1323" s="177" t="s">
        <v>20</v>
      </c>
      <c r="H1323" s="177">
        <v>4401.0</v>
      </c>
      <c r="I1323" s="176" t="s">
        <v>2171</v>
      </c>
      <c r="J1323" s="374" t="s">
        <v>3446</v>
      </c>
      <c r="K1323" s="177">
        <v>1.0</v>
      </c>
      <c r="L1323" s="174">
        <v>3.872774444E9</v>
      </c>
      <c r="M1323" s="367"/>
      <c r="N1323" s="429">
        <v>46111.0</v>
      </c>
      <c r="O1323" s="430" t="s">
        <v>13338</v>
      </c>
      <c r="P1323" s="431"/>
      <c r="Q1323" s="430" t="s">
        <v>14030</v>
      </c>
      <c r="R1323" s="432" t="s">
        <v>14031</v>
      </c>
      <c r="S1323" s="367"/>
      <c r="T1323" s="276"/>
      <c r="U1323" s="276"/>
      <c r="V1323" s="276"/>
      <c r="W1323" s="276"/>
      <c r="X1323" s="276"/>
      <c r="Y1323" s="276"/>
      <c r="Z1323" s="276"/>
      <c r="AA1323" s="276"/>
      <c r="AB1323" s="276"/>
      <c r="AC1323" s="276"/>
    </row>
    <row r="1324">
      <c r="A1324" s="108" t="s">
        <v>12423</v>
      </c>
      <c r="B1324" s="173">
        <v>46111.0</v>
      </c>
      <c r="C1324" s="374">
        <v>8.05011573302E11</v>
      </c>
      <c r="D1324" s="374" t="s">
        <v>12424</v>
      </c>
      <c r="E1324" s="374" t="s">
        <v>12425</v>
      </c>
      <c r="F1324" s="177" t="s">
        <v>12426</v>
      </c>
      <c r="G1324" s="177" t="s">
        <v>20</v>
      </c>
      <c r="H1324" s="177">
        <v>4401.0</v>
      </c>
      <c r="I1324" s="176" t="s">
        <v>512</v>
      </c>
      <c r="J1324" s="374" t="s">
        <v>513</v>
      </c>
      <c r="K1324" s="177">
        <v>6.0</v>
      </c>
      <c r="L1324" s="174">
        <v>3.872774444E9</v>
      </c>
      <c r="M1324" s="367"/>
      <c r="N1324" s="209"/>
      <c r="O1324" s="209"/>
      <c r="P1324" s="209"/>
      <c r="Q1324" s="209"/>
      <c r="R1324" s="209"/>
      <c r="S1324" s="367"/>
      <c r="T1324" s="276"/>
      <c r="U1324" s="276"/>
      <c r="V1324" s="276"/>
      <c r="W1324" s="276"/>
      <c r="X1324" s="276"/>
      <c r="Y1324" s="276"/>
      <c r="Z1324" s="276"/>
      <c r="AA1324" s="276"/>
      <c r="AB1324" s="276"/>
      <c r="AC1324" s="276"/>
    </row>
    <row r="1325">
      <c r="A1325" s="108" t="s">
        <v>12423</v>
      </c>
      <c r="B1325" s="173">
        <v>46111.0</v>
      </c>
      <c r="C1325" s="374">
        <v>8.05011573302E11</v>
      </c>
      <c r="D1325" s="374" t="s">
        <v>12424</v>
      </c>
      <c r="E1325" s="374" t="s">
        <v>12425</v>
      </c>
      <c r="F1325" s="177" t="s">
        <v>12426</v>
      </c>
      <c r="G1325" s="177" t="s">
        <v>20</v>
      </c>
      <c r="H1325" s="177">
        <v>4401.0</v>
      </c>
      <c r="I1325" s="176" t="s">
        <v>3447</v>
      </c>
      <c r="J1325" s="374" t="s">
        <v>3448</v>
      </c>
      <c r="K1325" s="177">
        <v>1.0</v>
      </c>
      <c r="L1325" s="174">
        <v>3.872774444E9</v>
      </c>
      <c r="M1325" s="367"/>
      <c r="N1325" s="206"/>
      <c r="O1325" s="206"/>
      <c r="P1325" s="206"/>
      <c r="Q1325" s="206"/>
      <c r="R1325" s="206"/>
      <c r="S1325" s="367"/>
      <c r="T1325" s="276"/>
      <c r="U1325" s="276"/>
      <c r="V1325" s="276"/>
      <c r="W1325" s="276"/>
      <c r="X1325" s="276"/>
      <c r="Y1325" s="276"/>
      <c r="Z1325" s="276"/>
      <c r="AA1325" s="276"/>
      <c r="AB1325" s="276"/>
      <c r="AC1325" s="276"/>
    </row>
    <row r="1326">
      <c r="A1326" s="552"/>
      <c r="B1326" s="553"/>
      <c r="C1326" s="554"/>
      <c r="D1326" s="554"/>
      <c r="E1326" s="554"/>
      <c r="F1326" s="557"/>
      <c r="G1326" s="557"/>
      <c r="H1326" s="557"/>
      <c r="I1326" s="556"/>
      <c r="J1326" s="554"/>
      <c r="K1326" s="557"/>
      <c r="L1326" s="558"/>
      <c r="M1326" s="367"/>
      <c r="N1326" s="433"/>
      <c r="O1326" s="261"/>
      <c r="P1326" s="367"/>
      <c r="Q1326" s="261"/>
      <c r="R1326" s="449"/>
      <c r="S1326" s="367"/>
      <c r="T1326" s="276"/>
      <c r="U1326" s="276"/>
      <c r="V1326" s="276"/>
      <c r="W1326" s="276"/>
      <c r="X1326" s="276"/>
      <c r="Y1326" s="276"/>
      <c r="Z1326" s="276"/>
      <c r="AA1326" s="276"/>
      <c r="AB1326" s="276"/>
      <c r="AC1326" s="276"/>
    </row>
    <row r="1327">
      <c r="A1327" s="108" t="s">
        <v>12427</v>
      </c>
      <c r="B1327" s="173">
        <v>46112.0</v>
      </c>
      <c r="C1327" s="374">
        <v>8.07000035586E11</v>
      </c>
      <c r="D1327" s="374" t="s">
        <v>12428</v>
      </c>
      <c r="E1327" s="374" t="s">
        <v>12429</v>
      </c>
      <c r="F1327" s="177" t="s">
        <v>12430</v>
      </c>
      <c r="G1327" s="177" t="s">
        <v>127</v>
      </c>
      <c r="H1327" s="177">
        <v>4400.0</v>
      </c>
      <c r="I1327" s="374" t="s">
        <v>11303</v>
      </c>
      <c r="J1327" s="374" t="s">
        <v>11304</v>
      </c>
      <c r="K1327" s="177">
        <v>1.0</v>
      </c>
      <c r="L1327" s="174">
        <v>3.87605802E9</v>
      </c>
      <c r="M1327" s="367"/>
      <c r="N1327" s="429">
        <v>46112.0</v>
      </c>
      <c r="O1327" s="430" t="s">
        <v>13338</v>
      </c>
      <c r="P1327" s="431"/>
      <c r="Q1327" s="430" t="s">
        <v>13339</v>
      </c>
      <c r="R1327" s="432" t="s">
        <v>14032</v>
      </c>
      <c r="S1327" s="367"/>
      <c r="T1327" s="276"/>
      <c r="U1327" s="276"/>
      <c r="V1327" s="276"/>
      <c r="W1327" s="276"/>
      <c r="X1327" s="276"/>
      <c r="Y1327" s="276"/>
      <c r="Z1327" s="276"/>
      <c r="AA1327" s="276"/>
      <c r="AB1327" s="276"/>
      <c r="AC1327" s="276"/>
    </row>
    <row r="1328">
      <c r="A1328" s="108" t="s">
        <v>12427</v>
      </c>
      <c r="B1328" s="173">
        <v>46112.0</v>
      </c>
      <c r="C1328" s="374">
        <v>8.07000035586E11</v>
      </c>
      <c r="D1328" s="374" t="s">
        <v>12428</v>
      </c>
      <c r="E1328" s="374" t="s">
        <v>12429</v>
      </c>
      <c r="F1328" s="177" t="s">
        <v>12430</v>
      </c>
      <c r="G1328" s="177" t="s">
        <v>127</v>
      </c>
      <c r="H1328" s="177">
        <v>4400.0</v>
      </c>
      <c r="I1328" s="374" t="s">
        <v>795</v>
      </c>
      <c r="J1328" s="374" t="s">
        <v>8913</v>
      </c>
      <c r="K1328" s="177">
        <v>1.0</v>
      </c>
      <c r="L1328" s="174">
        <v>3.87605802E9</v>
      </c>
      <c r="M1328" s="367"/>
      <c r="N1328" s="206"/>
      <c r="O1328" s="206"/>
      <c r="P1328" s="206"/>
      <c r="Q1328" s="206"/>
      <c r="R1328" s="206"/>
      <c r="S1328" s="367"/>
      <c r="T1328" s="276"/>
      <c r="U1328" s="276"/>
      <c r="V1328" s="276"/>
      <c r="W1328" s="276"/>
      <c r="X1328" s="276"/>
      <c r="Y1328" s="276"/>
      <c r="Z1328" s="276"/>
      <c r="AA1328" s="276"/>
      <c r="AB1328" s="276"/>
      <c r="AC1328" s="276"/>
    </row>
    <row r="1329">
      <c r="A1329" s="108" t="s">
        <v>12431</v>
      </c>
      <c r="B1329" s="173">
        <v>46112.0</v>
      </c>
      <c r="C1329" s="374">
        <v>8.07000035587E11</v>
      </c>
      <c r="D1329" s="374" t="s">
        <v>12432</v>
      </c>
      <c r="E1329" s="374" t="s">
        <v>12433</v>
      </c>
      <c r="F1329" s="177" t="s">
        <v>12434</v>
      </c>
      <c r="G1329" s="177" t="s">
        <v>127</v>
      </c>
      <c r="H1329" s="177">
        <v>4400.0</v>
      </c>
      <c r="I1329" s="374" t="s">
        <v>512</v>
      </c>
      <c r="J1329" s="374" t="s">
        <v>513</v>
      </c>
      <c r="K1329" s="177">
        <v>6.0</v>
      </c>
      <c r="L1329" s="174">
        <v>3.875879974E9</v>
      </c>
      <c r="M1329" s="367"/>
      <c r="N1329" s="429">
        <v>46112.0</v>
      </c>
      <c r="O1329" s="430" t="s">
        <v>13338</v>
      </c>
      <c r="P1329" s="431"/>
      <c r="Q1329" s="430" t="s">
        <v>13870</v>
      </c>
      <c r="R1329" s="432" t="s">
        <v>14033</v>
      </c>
      <c r="S1329" s="367"/>
      <c r="T1329" s="276"/>
      <c r="U1329" s="276"/>
      <c r="V1329" s="276"/>
      <c r="W1329" s="276"/>
      <c r="X1329" s="276"/>
      <c r="Y1329" s="276"/>
      <c r="Z1329" s="276"/>
      <c r="AA1329" s="276"/>
      <c r="AB1329" s="276"/>
      <c r="AC1329" s="276"/>
    </row>
    <row r="1330">
      <c r="A1330" s="108" t="s">
        <v>12431</v>
      </c>
      <c r="B1330" s="173">
        <v>46112.0</v>
      </c>
      <c r="C1330" s="374">
        <v>8.07000035588E11</v>
      </c>
      <c r="D1330" s="374" t="s">
        <v>12432</v>
      </c>
      <c r="E1330" s="374" t="s">
        <v>12433</v>
      </c>
      <c r="F1330" s="177" t="s">
        <v>12434</v>
      </c>
      <c r="G1330" s="177" t="s">
        <v>127</v>
      </c>
      <c r="H1330" s="177">
        <v>4400.0</v>
      </c>
      <c r="I1330" s="374" t="s">
        <v>2956</v>
      </c>
      <c r="J1330" s="374" t="s">
        <v>3327</v>
      </c>
      <c r="K1330" s="177">
        <v>1.0</v>
      </c>
      <c r="L1330" s="174">
        <v>3.875879974E9</v>
      </c>
      <c r="M1330" s="367"/>
      <c r="N1330" s="209"/>
      <c r="O1330" s="209"/>
      <c r="P1330" s="209"/>
      <c r="Q1330" s="209"/>
      <c r="R1330" s="209"/>
      <c r="S1330" s="367"/>
      <c r="T1330" s="276"/>
      <c r="U1330" s="276"/>
      <c r="V1330" s="276"/>
      <c r="W1330" s="276"/>
      <c r="X1330" s="276"/>
      <c r="Y1330" s="276"/>
      <c r="Z1330" s="276"/>
      <c r="AA1330" s="276"/>
      <c r="AB1330" s="276"/>
      <c r="AC1330" s="276"/>
    </row>
    <row r="1331">
      <c r="A1331" s="108" t="s">
        <v>12431</v>
      </c>
      <c r="B1331" s="173">
        <v>46112.0</v>
      </c>
      <c r="C1331" s="374">
        <v>8.07000035588E11</v>
      </c>
      <c r="D1331" s="374" t="s">
        <v>12432</v>
      </c>
      <c r="E1331" s="374" t="s">
        <v>12433</v>
      </c>
      <c r="F1331" s="177" t="s">
        <v>12434</v>
      </c>
      <c r="G1331" s="177" t="s">
        <v>127</v>
      </c>
      <c r="H1331" s="177">
        <v>4400.0</v>
      </c>
      <c r="I1331" s="374" t="s">
        <v>670</v>
      </c>
      <c r="J1331" s="374" t="s">
        <v>3410</v>
      </c>
      <c r="K1331" s="177">
        <v>1.0</v>
      </c>
      <c r="L1331" s="174">
        <v>3.875879974E9</v>
      </c>
      <c r="M1331" s="367"/>
      <c r="N1331" s="206"/>
      <c r="O1331" s="206"/>
      <c r="P1331" s="206"/>
      <c r="Q1331" s="206"/>
      <c r="R1331" s="206"/>
      <c r="S1331" s="367"/>
      <c r="T1331" s="276"/>
      <c r="U1331" s="276"/>
      <c r="V1331" s="276"/>
      <c r="W1331" s="276"/>
      <c r="X1331" s="276"/>
      <c r="Y1331" s="276"/>
      <c r="Z1331" s="276"/>
      <c r="AA1331" s="276"/>
      <c r="AB1331" s="276"/>
      <c r="AC1331" s="276"/>
    </row>
    <row r="1332">
      <c r="A1332" s="108" t="s">
        <v>12435</v>
      </c>
      <c r="B1332" s="173">
        <v>46112.0</v>
      </c>
      <c r="C1332" s="374">
        <v>8.0700003559E11</v>
      </c>
      <c r="D1332" s="374" t="s">
        <v>12436</v>
      </c>
      <c r="E1332" s="374" t="s">
        <v>12437</v>
      </c>
      <c r="F1332" s="177" t="s">
        <v>12438</v>
      </c>
      <c r="G1332" s="177" t="s">
        <v>127</v>
      </c>
      <c r="H1332" s="177">
        <v>4400.0</v>
      </c>
      <c r="I1332" s="374" t="s">
        <v>5817</v>
      </c>
      <c r="J1332" s="374" t="s">
        <v>5417</v>
      </c>
      <c r="K1332" s="177">
        <v>1.0</v>
      </c>
      <c r="L1332" s="174">
        <v>3.875020036E9</v>
      </c>
      <c r="M1332" s="367"/>
      <c r="N1332" s="429">
        <v>46112.0</v>
      </c>
      <c r="O1332" s="430" t="s">
        <v>13338</v>
      </c>
      <c r="P1332" s="431"/>
      <c r="Q1332" s="430" t="s">
        <v>13339</v>
      </c>
      <c r="R1332" s="432" t="s">
        <v>14034</v>
      </c>
      <c r="S1332" s="367"/>
      <c r="T1332" s="276"/>
      <c r="U1332" s="276"/>
      <c r="V1332" s="276"/>
      <c r="W1332" s="276"/>
      <c r="X1332" s="276"/>
      <c r="Y1332" s="276"/>
      <c r="Z1332" s="276"/>
      <c r="AA1332" s="276"/>
      <c r="AB1332" s="276"/>
      <c r="AC1332" s="276"/>
    </row>
    <row r="1333">
      <c r="A1333" s="108" t="s">
        <v>12435</v>
      </c>
      <c r="B1333" s="173">
        <v>46112.0</v>
      </c>
      <c r="C1333" s="374">
        <v>8.0700003559E11</v>
      </c>
      <c r="D1333" s="374" t="s">
        <v>12436</v>
      </c>
      <c r="E1333" s="374" t="s">
        <v>12437</v>
      </c>
      <c r="F1333" s="177" t="s">
        <v>12438</v>
      </c>
      <c r="G1333" s="177" t="s">
        <v>127</v>
      </c>
      <c r="H1333" s="177">
        <v>4400.0</v>
      </c>
      <c r="I1333" s="374" t="s">
        <v>2294</v>
      </c>
      <c r="J1333" s="374" t="s">
        <v>5415</v>
      </c>
      <c r="K1333" s="177">
        <v>1.0</v>
      </c>
      <c r="L1333" s="174">
        <v>3.875020036E9</v>
      </c>
      <c r="M1333" s="367"/>
      <c r="N1333" s="206"/>
      <c r="O1333" s="206"/>
      <c r="P1333" s="206"/>
      <c r="Q1333" s="206"/>
      <c r="R1333" s="206"/>
      <c r="S1333" s="367"/>
      <c r="T1333" s="276"/>
      <c r="U1333" s="276"/>
      <c r="V1333" s="276"/>
      <c r="W1333" s="276"/>
      <c r="X1333" s="276"/>
      <c r="Y1333" s="276"/>
      <c r="Z1333" s="276"/>
      <c r="AA1333" s="276"/>
      <c r="AB1333" s="276"/>
      <c r="AC1333" s="276"/>
    </row>
    <row r="1334">
      <c r="A1334" s="108" t="s">
        <v>12439</v>
      </c>
      <c r="B1334" s="173">
        <v>46112.0</v>
      </c>
      <c r="C1334" s="374">
        <v>8.07000035593E11</v>
      </c>
      <c r="D1334" s="374" t="s">
        <v>12440</v>
      </c>
      <c r="E1334" s="374" t="s">
        <v>12441</v>
      </c>
      <c r="F1334" s="177" t="s">
        <v>12442</v>
      </c>
      <c r="G1334" s="177" t="s">
        <v>127</v>
      </c>
      <c r="H1334" s="177">
        <v>4400.0</v>
      </c>
      <c r="I1334" s="374" t="s">
        <v>512</v>
      </c>
      <c r="J1334" s="374" t="s">
        <v>513</v>
      </c>
      <c r="K1334" s="177">
        <v>12.0</v>
      </c>
      <c r="L1334" s="174">
        <v>3.874103007E9</v>
      </c>
      <c r="M1334" s="367"/>
      <c r="N1334" s="429">
        <v>46112.0</v>
      </c>
      <c r="O1334" s="430" t="s">
        <v>13338</v>
      </c>
      <c r="P1334" s="431"/>
      <c r="Q1334" s="430" t="s">
        <v>13339</v>
      </c>
      <c r="R1334" s="432" t="s">
        <v>14035</v>
      </c>
      <c r="S1334" s="367"/>
      <c r="T1334" s="276"/>
      <c r="U1334" s="276"/>
      <c r="V1334" s="276"/>
      <c r="W1334" s="276"/>
      <c r="X1334" s="276"/>
      <c r="Y1334" s="276"/>
      <c r="Z1334" s="276"/>
      <c r="AA1334" s="276"/>
      <c r="AB1334" s="276"/>
      <c r="AC1334" s="276"/>
    </row>
    <row r="1335">
      <c r="A1335" s="108" t="s">
        <v>12439</v>
      </c>
      <c r="B1335" s="173">
        <v>46112.0</v>
      </c>
      <c r="C1335" s="374">
        <v>8.07000035594E11</v>
      </c>
      <c r="D1335" s="374" t="s">
        <v>12440</v>
      </c>
      <c r="E1335" s="374" t="s">
        <v>12441</v>
      </c>
      <c r="F1335" s="177" t="s">
        <v>12442</v>
      </c>
      <c r="G1335" s="177" t="s">
        <v>127</v>
      </c>
      <c r="H1335" s="177">
        <v>4400.0</v>
      </c>
      <c r="I1335" s="374" t="s">
        <v>761</v>
      </c>
      <c r="J1335" s="374" t="s">
        <v>3761</v>
      </c>
      <c r="K1335" s="177">
        <v>1.0</v>
      </c>
      <c r="L1335" s="174">
        <v>3.874103007E9</v>
      </c>
      <c r="M1335" s="367"/>
      <c r="N1335" s="209"/>
      <c r="O1335" s="209"/>
      <c r="P1335" s="209"/>
      <c r="Q1335" s="209"/>
      <c r="R1335" s="209"/>
      <c r="S1335" s="367"/>
      <c r="T1335" s="276"/>
      <c r="U1335" s="276"/>
      <c r="V1335" s="276"/>
      <c r="W1335" s="276"/>
      <c r="X1335" s="276"/>
      <c r="Y1335" s="276"/>
      <c r="Z1335" s="276"/>
      <c r="AA1335" s="276"/>
      <c r="AB1335" s="276"/>
      <c r="AC1335" s="276"/>
    </row>
    <row r="1336">
      <c r="A1336" s="108" t="s">
        <v>12439</v>
      </c>
      <c r="B1336" s="173">
        <v>46112.0</v>
      </c>
      <c r="C1336" s="374">
        <v>8.07000035594E11</v>
      </c>
      <c r="D1336" s="374" t="s">
        <v>12440</v>
      </c>
      <c r="E1336" s="374" t="s">
        <v>12441</v>
      </c>
      <c r="F1336" s="177" t="s">
        <v>12442</v>
      </c>
      <c r="G1336" s="177" t="s">
        <v>127</v>
      </c>
      <c r="H1336" s="177">
        <v>4400.0</v>
      </c>
      <c r="I1336" s="374" t="s">
        <v>758</v>
      </c>
      <c r="J1336" s="374" t="s">
        <v>3574</v>
      </c>
      <c r="K1336" s="177">
        <v>2.0</v>
      </c>
      <c r="L1336" s="174">
        <v>3.874103007E9</v>
      </c>
      <c r="M1336" s="367"/>
      <c r="N1336" s="206"/>
      <c r="O1336" s="206"/>
      <c r="P1336" s="206"/>
      <c r="Q1336" s="206"/>
      <c r="R1336" s="206"/>
      <c r="S1336" s="367"/>
      <c r="T1336" s="276"/>
      <c r="U1336" s="276"/>
      <c r="V1336" s="276"/>
      <c r="W1336" s="276"/>
      <c r="X1336" s="276"/>
      <c r="Y1336" s="276"/>
      <c r="Z1336" s="276"/>
      <c r="AA1336" s="276"/>
      <c r="AB1336" s="276"/>
      <c r="AC1336" s="276"/>
    </row>
    <row r="1337">
      <c r="A1337" s="108" t="s">
        <v>12443</v>
      </c>
      <c r="B1337" s="173">
        <v>46112.0</v>
      </c>
      <c r="C1337" s="374">
        <v>8.07000035595E11</v>
      </c>
      <c r="D1337" s="374" t="s">
        <v>12444</v>
      </c>
      <c r="E1337" s="374" t="s">
        <v>12445</v>
      </c>
      <c r="F1337" s="177" t="s">
        <v>12446</v>
      </c>
      <c r="G1337" s="177" t="s">
        <v>127</v>
      </c>
      <c r="H1337" s="177">
        <v>4400.0</v>
      </c>
      <c r="I1337" s="374" t="s">
        <v>3817</v>
      </c>
      <c r="J1337" s="374" t="s">
        <v>3818</v>
      </c>
      <c r="K1337" s="177">
        <v>1.0</v>
      </c>
      <c r="L1337" s="174">
        <v>3.875149203E9</v>
      </c>
      <c r="M1337" s="367"/>
      <c r="N1337" s="429">
        <v>46113.0</v>
      </c>
      <c r="O1337" s="430" t="s">
        <v>13338</v>
      </c>
      <c r="P1337" s="431"/>
      <c r="Q1337" s="430" t="s">
        <v>13339</v>
      </c>
      <c r="R1337" s="432" t="s">
        <v>14036</v>
      </c>
      <c r="S1337" s="367"/>
      <c r="T1337" s="276"/>
      <c r="U1337" s="276"/>
      <c r="V1337" s="276"/>
      <c r="W1337" s="276"/>
      <c r="X1337" s="276"/>
      <c r="Y1337" s="276"/>
      <c r="Z1337" s="276"/>
      <c r="AA1337" s="276"/>
      <c r="AB1337" s="276"/>
      <c r="AC1337" s="276"/>
    </row>
    <row r="1338">
      <c r="A1338" s="108" t="s">
        <v>12443</v>
      </c>
      <c r="B1338" s="173">
        <v>46112.0</v>
      </c>
      <c r="C1338" s="374">
        <v>8.07000035595E11</v>
      </c>
      <c r="D1338" s="374" t="s">
        <v>12444</v>
      </c>
      <c r="E1338" s="374" t="s">
        <v>12445</v>
      </c>
      <c r="F1338" s="177" t="s">
        <v>12446</v>
      </c>
      <c r="G1338" s="177" t="s">
        <v>127</v>
      </c>
      <c r="H1338" s="177">
        <v>4400.0</v>
      </c>
      <c r="I1338" s="374" t="s">
        <v>512</v>
      </c>
      <c r="J1338" s="374" t="s">
        <v>513</v>
      </c>
      <c r="K1338" s="177">
        <v>12.0</v>
      </c>
      <c r="L1338" s="174">
        <v>3.875149203E9</v>
      </c>
      <c r="M1338" s="367"/>
      <c r="N1338" s="209"/>
      <c r="O1338" s="209"/>
      <c r="P1338" s="209"/>
      <c r="Q1338" s="209"/>
      <c r="R1338" s="209"/>
      <c r="S1338" s="367"/>
      <c r="T1338" s="276"/>
      <c r="U1338" s="276"/>
      <c r="V1338" s="276"/>
      <c r="W1338" s="276"/>
      <c r="X1338" s="276"/>
      <c r="Y1338" s="276"/>
      <c r="Z1338" s="276"/>
      <c r="AA1338" s="276"/>
      <c r="AB1338" s="276"/>
      <c r="AC1338" s="276"/>
    </row>
    <row r="1339">
      <c r="A1339" s="108" t="s">
        <v>12443</v>
      </c>
      <c r="B1339" s="173">
        <v>46112.0</v>
      </c>
      <c r="C1339" s="374">
        <v>8.07000035595E11</v>
      </c>
      <c r="D1339" s="374" t="s">
        <v>12444</v>
      </c>
      <c r="E1339" s="374" t="s">
        <v>12445</v>
      </c>
      <c r="F1339" s="177" t="s">
        <v>12446</v>
      </c>
      <c r="G1339" s="177" t="s">
        <v>127</v>
      </c>
      <c r="H1339" s="177">
        <v>4400.0</v>
      </c>
      <c r="I1339" s="374" t="s">
        <v>340</v>
      </c>
      <c r="J1339" s="374" t="s">
        <v>3486</v>
      </c>
      <c r="K1339" s="177">
        <v>2.0</v>
      </c>
      <c r="L1339" s="174">
        <v>3.875149203E9</v>
      </c>
      <c r="M1339" s="367"/>
      <c r="N1339" s="206"/>
      <c r="O1339" s="206"/>
      <c r="P1339" s="206"/>
      <c r="Q1339" s="206"/>
      <c r="R1339" s="206"/>
      <c r="S1339" s="367"/>
      <c r="T1339" s="276"/>
      <c r="U1339" s="276"/>
      <c r="V1339" s="276"/>
      <c r="W1339" s="276"/>
      <c r="X1339" s="276"/>
      <c r="Y1339" s="276"/>
      <c r="Z1339" s="276"/>
      <c r="AA1339" s="276"/>
      <c r="AB1339" s="276"/>
      <c r="AC1339" s="276"/>
    </row>
    <row r="1340">
      <c r="A1340" s="108" t="s">
        <v>14037</v>
      </c>
      <c r="B1340" s="173">
        <v>46112.0</v>
      </c>
      <c r="C1340" s="374"/>
      <c r="D1340" s="374"/>
      <c r="E1340" s="374" t="s">
        <v>14038</v>
      </c>
      <c r="F1340" s="177" t="s">
        <v>14039</v>
      </c>
      <c r="G1340" s="177" t="s">
        <v>127</v>
      </c>
      <c r="H1340" s="177">
        <v>4400.0</v>
      </c>
      <c r="I1340" s="374" t="s">
        <v>60</v>
      </c>
      <c r="J1340" s="374" t="s">
        <v>3706</v>
      </c>
      <c r="K1340" s="177">
        <v>1.0</v>
      </c>
      <c r="L1340" s="174">
        <v>3.875711916E9</v>
      </c>
      <c r="M1340" s="367"/>
      <c r="N1340" s="429">
        <v>46112.0</v>
      </c>
      <c r="O1340" s="430" t="s">
        <v>13338</v>
      </c>
      <c r="P1340" s="431"/>
      <c r="Q1340" s="430" t="s">
        <v>13339</v>
      </c>
      <c r="R1340" s="432" t="s">
        <v>14040</v>
      </c>
      <c r="S1340" s="367"/>
      <c r="T1340" s="276"/>
      <c r="U1340" s="276"/>
      <c r="V1340" s="276"/>
      <c r="W1340" s="276"/>
      <c r="X1340" s="276"/>
      <c r="Y1340" s="276"/>
      <c r="Z1340" s="276"/>
      <c r="AA1340" s="276"/>
      <c r="AB1340" s="276"/>
      <c r="AC1340" s="276"/>
    </row>
    <row r="1341">
      <c r="A1341" s="108" t="s">
        <v>14037</v>
      </c>
      <c r="B1341" s="173">
        <v>46112.0</v>
      </c>
      <c r="C1341" s="374"/>
      <c r="D1341" s="374"/>
      <c r="E1341" s="374" t="s">
        <v>14038</v>
      </c>
      <c r="F1341" s="177" t="s">
        <v>14039</v>
      </c>
      <c r="G1341" s="177" t="s">
        <v>127</v>
      </c>
      <c r="H1341" s="177">
        <v>4400.0</v>
      </c>
      <c r="I1341" s="374" t="s">
        <v>64</v>
      </c>
      <c r="J1341" s="374" t="s">
        <v>3708</v>
      </c>
      <c r="K1341" s="177">
        <v>1.0</v>
      </c>
      <c r="L1341" s="174">
        <v>3.875711916E9</v>
      </c>
      <c r="M1341" s="367"/>
      <c r="N1341" s="206"/>
      <c r="O1341" s="206"/>
      <c r="P1341" s="206"/>
      <c r="Q1341" s="206"/>
      <c r="R1341" s="206"/>
      <c r="S1341" s="367"/>
      <c r="T1341" s="276"/>
      <c r="U1341" s="276"/>
      <c r="V1341" s="276"/>
      <c r="W1341" s="276"/>
      <c r="X1341" s="276"/>
      <c r="Y1341" s="276"/>
      <c r="Z1341" s="276"/>
      <c r="AA1341" s="276"/>
      <c r="AB1341" s="276"/>
      <c r="AC1341" s="276"/>
    </row>
    <row r="1342">
      <c r="A1342" s="108" t="s">
        <v>12447</v>
      </c>
      <c r="B1342" s="173">
        <v>46113.0</v>
      </c>
      <c r="C1342" s="374">
        <v>8.07000035605E11</v>
      </c>
      <c r="D1342" s="374" t="s">
        <v>12448</v>
      </c>
      <c r="E1342" s="374" t="s">
        <v>12449</v>
      </c>
      <c r="F1342" s="177" t="s">
        <v>12450</v>
      </c>
      <c r="G1342" s="177" t="s">
        <v>127</v>
      </c>
      <c r="H1342" s="177">
        <v>4400.0</v>
      </c>
      <c r="I1342" s="374" t="s">
        <v>98</v>
      </c>
      <c r="J1342" s="374" t="s">
        <v>3187</v>
      </c>
      <c r="K1342" s="177">
        <v>1.0</v>
      </c>
      <c r="L1342" s="174">
        <v>3.874528368E9</v>
      </c>
      <c r="M1342" s="367"/>
      <c r="N1342" s="429">
        <v>46112.0</v>
      </c>
      <c r="O1342" s="430" t="s">
        <v>13338</v>
      </c>
      <c r="P1342" s="431"/>
      <c r="Q1342" s="430" t="s">
        <v>14041</v>
      </c>
      <c r="R1342" s="432" t="s">
        <v>14042</v>
      </c>
      <c r="S1342" s="367"/>
      <c r="T1342" s="276"/>
      <c r="U1342" s="276"/>
      <c r="V1342" s="276"/>
      <c r="W1342" s="276"/>
      <c r="X1342" s="276"/>
      <c r="Y1342" s="276"/>
      <c r="Z1342" s="276"/>
      <c r="AA1342" s="276"/>
      <c r="AB1342" s="276"/>
      <c r="AC1342" s="276"/>
    </row>
    <row r="1343">
      <c r="A1343" s="108" t="s">
        <v>12447</v>
      </c>
      <c r="B1343" s="173">
        <v>46113.0</v>
      </c>
      <c r="C1343" s="374">
        <v>8.07000035605E11</v>
      </c>
      <c r="D1343" s="374" t="s">
        <v>12448</v>
      </c>
      <c r="E1343" s="374" t="s">
        <v>12449</v>
      </c>
      <c r="F1343" s="177" t="s">
        <v>12450</v>
      </c>
      <c r="G1343" s="177" t="s">
        <v>127</v>
      </c>
      <c r="H1343" s="177">
        <v>4400.0</v>
      </c>
      <c r="I1343" s="374" t="s">
        <v>512</v>
      </c>
      <c r="J1343" s="374" t="s">
        <v>513</v>
      </c>
      <c r="K1343" s="177">
        <v>6.0</v>
      </c>
      <c r="L1343" s="174">
        <v>3.874528368E9</v>
      </c>
      <c r="M1343" s="367"/>
      <c r="N1343" s="209"/>
      <c r="O1343" s="209"/>
      <c r="P1343" s="209"/>
      <c r="Q1343" s="209"/>
      <c r="R1343" s="209"/>
      <c r="S1343" s="367"/>
      <c r="T1343" s="276"/>
      <c r="U1343" s="276"/>
      <c r="V1343" s="276"/>
      <c r="W1343" s="276"/>
      <c r="X1343" s="276"/>
      <c r="Y1343" s="276"/>
      <c r="Z1343" s="276"/>
      <c r="AA1343" s="276"/>
      <c r="AB1343" s="276"/>
      <c r="AC1343" s="276"/>
    </row>
    <row r="1344">
      <c r="A1344" s="108" t="s">
        <v>12447</v>
      </c>
      <c r="B1344" s="173">
        <v>46113.0</v>
      </c>
      <c r="C1344" s="374">
        <v>8.07000035605E11</v>
      </c>
      <c r="D1344" s="374" t="s">
        <v>12448</v>
      </c>
      <c r="E1344" s="374" t="s">
        <v>12449</v>
      </c>
      <c r="F1344" s="177" t="s">
        <v>12450</v>
      </c>
      <c r="G1344" s="177" t="s">
        <v>127</v>
      </c>
      <c r="H1344" s="177">
        <v>4400.0</v>
      </c>
      <c r="I1344" s="374" t="s">
        <v>35</v>
      </c>
      <c r="J1344" s="374" t="s">
        <v>3188</v>
      </c>
      <c r="K1344" s="177">
        <v>1.0</v>
      </c>
      <c r="L1344" s="174">
        <v>3.874528368E9</v>
      </c>
      <c r="M1344" s="367"/>
      <c r="N1344" s="206"/>
      <c r="O1344" s="206"/>
      <c r="P1344" s="206"/>
      <c r="Q1344" s="206"/>
      <c r="R1344" s="206"/>
      <c r="S1344" s="367"/>
      <c r="T1344" s="276"/>
      <c r="U1344" s="276"/>
      <c r="V1344" s="276"/>
      <c r="W1344" s="276"/>
      <c r="X1344" s="276"/>
      <c r="Y1344" s="276"/>
      <c r="Z1344" s="276"/>
      <c r="AA1344" s="276"/>
      <c r="AB1344" s="276"/>
      <c r="AC1344" s="276"/>
    </row>
    <row r="1345">
      <c r="A1345" s="108" t="s">
        <v>12451</v>
      </c>
      <c r="B1345" s="173">
        <v>46113.0</v>
      </c>
      <c r="C1345" s="374">
        <v>8.07000035615E11</v>
      </c>
      <c r="D1345" s="374" t="s">
        <v>12452</v>
      </c>
      <c r="E1345" s="374" t="s">
        <v>12453</v>
      </c>
      <c r="F1345" s="177" t="s">
        <v>12454</v>
      </c>
      <c r="G1345" s="177" t="s">
        <v>127</v>
      </c>
      <c r="H1345" s="177">
        <v>4400.0</v>
      </c>
      <c r="I1345" s="374" t="s">
        <v>3218</v>
      </c>
      <c r="J1345" s="374" t="s">
        <v>3219</v>
      </c>
      <c r="K1345" s="177">
        <v>1.0</v>
      </c>
      <c r="L1345" s="174">
        <v>3.874328594E9</v>
      </c>
      <c r="M1345" s="367"/>
      <c r="N1345" s="429">
        <v>46112.0</v>
      </c>
      <c r="O1345" s="430" t="s">
        <v>13338</v>
      </c>
      <c r="P1345" s="431"/>
      <c r="Q1345" s="430" t="s">
        <v>14043</v>
      </c>
      <c r="R1345" s="432" t="s">
        <v>14044</v>
      </c>
      <c r="S1345" s="367"/>
      <c r="T1345" s="276"/>
      <c r="U1345" s="276"/>
      <c r="V1345" s="276"/>
      <c r="W1345" s="276"/>
      <c r="X1345" s="276"/>
      <c r="Y1345" s="276"/>
      <c r="Z1345" s="276"/>
      <c r="AA1345" s="276"/>
      <c r="AB1345" s="276"/>
      <c r="AC1345" s="276"/>
    </row>
    <row r="1346">
      <c r="A1346" s="108" t="s">
        <v>12451</v>
      </c>
      <c r="B1346" s="173">
        <v>46113.0</v>
      </c>
      <c r="C1346" s="374">
        <v>8.07000035615E11</v>
      </c>
      <c r="D1346" s="374" t="s">
        <v>12452</v>
      </c>
      <c r="E1346" s="374" t="s">
        <v>12453</v>
      </c>
      <c r="F1346" s="177" t="s">
        <v>12454</v>
      </c>
      <c r="G1346" s="177" t="s">
        <v>127</v>
      </c>
      <c r="H1346" s="177">
        <v>4400.0</v>
      </c>
      <c r="I1346" s="374" t="s">
        <v>6548</v>
      </c>
      <c r="J1346" s="374" t="s">
        <v>6549</v>
      </c>
      <c r="K1346" s="177">
        <v>1.0</v>
      </c>
      <c r="L1346" s="174">
        <v>3.874328594E9</v>
      </c>
      <c r="M1346" s="367"/>
      <c r="N1346" s="206"/>
      <c r="O1346" s="206"/>
      <c r="P1346" s="206"/>
      <c r="Q1346" s="206"/>
      <c r="R1346" s="206"/>
      <c r="S1346" s="367"/>
      <c r="T1346" s="276"/>
      <c r="U1346" s="276"/>
      <c r="V1346" s="276"/>
      <c r="W1346" s="276"/>
      <c r="X1346" s="276"/>
      <c r="Y1346" s="276"/>
      <c r="Z1346" s="276"/>
      <c r="AA1346" s="276"/>
      <c r="AB1346" s="276"/>
      <c r="AC1346" s="276"/>
    </row>
    <row r="1347">
      <c r="A1347" s="545" t="s">
        <v>12455</v>
      </c>
      <c r="B1347" s="546">
        <v>46114.0</v>
      </c>
      <c r="C1347" s="547">
        <v>8.07000035617E11</v>
      </c>
      <c r="D1347" s="547" t="s">
        <v>12456</v>
      </c>
      <c r="E1347" s="547" t="s">
        <v>12457</v>
      </c>
      <c r="F1347" s="550" t="s">
        <v>12458</v>
      </c>
      <c r="G1347" s="550" t="s">
        <v>12459</v>
      </c>
      <c r="H1347" s="550">
        <v>4427.0</v>
      </c>
      <c r="I1347" s="547" t="s">
        <v>3451</v>
      </c>
      <c r="J1347" s="547" t="s">
        <v>3452</v>
      </c>
      <c r="K1347" s="550">
        <v>1.0</v>
      </c>
      <c r="L1347" s="551">
        <v>3.874148189E9</v>
      </c>
      <c r="M1347" s="545"/>
      <c r="N1347" s="559">
        <v>46125.0</v>
      </c>
      <c r="O1347" s="560" t="s">
        <v>13338</v>
      </c>
      <c r="P1347" s="561"/>
      <c r="Q1347" s="560" t="s">
        <v>13339</v>
      </c>
      <c r="R1347" s="562" t="s">
        <v>14045</v>
      </c>
      <c r="S1347" s="367"/>
      <c r="T1347" s="276"/>
      <c r="U1347" s="276"/>
      <c r="V1347" s="276"/>
      <c r="W1347" s="276"/>
      <c r="X1347" s="276"/>
      <c r="Y1347" s="276"/>
      <c r="Z1347" s="276"/>
      <c r="AA1347" s="276"/>
      <c r="AB1347" s="276"/>
      <c r="AC1347" s="276"/>
    </row>
    <row r="1348">
      <c r="A1348" s="545" t="s">
        <v>12455</v>
      </c>
      <c r="B1348" s="546">
        <v>46114.0</v>
      </c>
      <c r="C1348" s="547">
        <v>8.07000035617E11</v>
      </c>
      <c r="D1348" s="547" t="s">
        <v>12456</v>
      </c>
      <c r="E1348" s="547" t="s">
        <v>12457</v>
      </c>
      <c r="F1348" s="550" t="s">
        <v>12458</v>
      </c>
      <c r="G1348" s="550" t="s">
        <v>12459</v>
      </c>
      <c r="H1348" s="550">
        <v>4427.0</v>
      </c>
      <c r="I1348" s="547" t="s">
        <v>512</v>
      </c>
      <c r="J1348" s="547" t="s">
        <v>513</v>
      </c>
      <c r="K1348" s="550">
        <v>6.0</v>
      </c>
      <c r="L1348" s="551">
        <v>3.874148189E9</v>
      </c>
      <c r="M1348" s="545"/>
      <c r="N1348" s="209"/>
      <c r="O1348" s="209"/>
      <c r="P1348" s="209"/>
      <c r="Q1348" s="209"/>
      <c r="R1348" s="209"/>
      <c r="S1348" s="367"/>
      <c r="T1348" s="276"/>
      <c r="U1348" s="276"/>
      <c r="V1348" s="276"/>
      <c r="W1348" s="276"/>
      <c r="X1348" s="276"/>
      <c r="Y1348" s="276"/>
      <c r="Z1348" s="276"/>
      <c r="AA1348" s="276"/>
      <c r="AB1348" s="276"/>
      <c r="AC1348" s="276"/>
    </row>
    <row r="1349">
      <c r="A1349" s="545" t="s">
        <v>12455</v>
      </c>
      <c r="B1349" s="546">
        <v>46114.0</v>
      </c>
      <c r="C1349" s="547">
        <v>8.07000035617E11</v>
      </c>
      <c r="D1349" s="547" t="s">
        <v>12456</v>
      </c>
      <c r="E1349" s="547" t="s">
        <v>12457</v>
      </c>
      <c r="F1349" s="550" t="s">
        <v>12458</v>
      </c>
      <c r="G1349" s="550" t="s">
        <v>12459</v>
      </c>
      <c r="H1349" s="550">
        <v>4427.0</v>
      </c>
      <c r="I1349" s="547" t="s">
        <v>670</v>
      </c>
      <c r="J1349" s="547" t="s">
        <v>3410</v>
      </c>
      <c r="K1349" s="550">
        <v>1.0</v>
      </c>
      <c r="L1349" s="551">
        <v>3.874148189E9</v>
      </c>
      <c r="M1349" s="545"/>
      <c r="N1349" s="206"/>
      <c r="O1349" s="206"/>
      <c r="P1349" s="206"/>
      <c r="Q1349" s="206"/>
      <c r="R1349" s="206"/>
      <c r="S1349" s="367"/>
      <c r="T1349" s="276"/>
      <c r="U1349" s="276"/>
      <c r="V1349" s="276"/>
      <c r="W1349" s="276"/>
      <c r="X1349" s="276"/>
      <c r="Y1349" s="276"/>
      <c r="Z1349" s="276"/>
      <c r="AA1349" s="276"/>
      <c r="AB1349" s="276"/>
      <c r="AC1349" s="276"/>
    </row>
    <row r="1350">
      <c r="A1350" s="545" t="s">
        <v>12460</v>
      </c>
      <c r="B1350" s="546">
        <v>46116.0</v>
      </c>
      <c r="C1350" s="547">
        <v>8.07000035626E11</v>
      </c>
      <c r="D1350" s="547" t="s">
        <v>12461</v>
      </c>
      <c r="E1350" s="547" t="s">
        <v>12462</v>
      </c>
      <c r="F1350" s="550" t="s">
        <v>12463</v>
      </c>
      <c r="G1350" s="550" t="s">
        <v>127</v>
      </c>
      <c r="H1350" s="550">
        <v>4400.0</v>
      </c>
      <c r="I1350" s="547" t="s">
        <v>2956</v>
      </c>
      <c r="J1350" s="547" t="s">
        <v>3327</v>
      </c>
      <c r="K1350" s="550">
        <v>1.0</v>
      </c>
      <c r="L1350" s="551">
        <v>3.875619318E9</v>
      </c>
      <c r="M1350" s="545"/>
      <c r="N1350" s="559">
        <v>46125.0</v>
      </c>
      <c r="O1350" s="560" t="s">
        <v>13338</v>
      </c>
      <c r="P1350" s="561"/>
      <c r="Q1350" s="560" t="s">
        <v>14046</v>
      </c>
      <c r="R1350" s="562" t="s">
        <v>14047</v>
      </c>
      <c r="S1350" s="367"/>
      <c r="T1350" s="276"/>
      <c r="U1350" s="276"/>
      <c r="V1350" s="276"/>
      <c r="W1350" s="276"/>
      <c r="X1350" s="276"/>
      <c r="Y1350" s="276"/>
      <c r="Z1350" s="276"/>
      <c r="AA1350" s="276"/>
      <c r="AB1350" s="276"/>
      <c r="AC1350" s="276"/>
    </row>
    <row r="1351">
      <c r="A1351" s="545" t="s">
        <v>12460</v>
      </c>
      <c r="B1351" s="546">
        <v>46116.0</v>
      </c>
      <c r="C1351" s="547">
        <v>8.07000035627E11</v>
      </c>
      <c r="D1351" s="547" t="s">
        <v>12461</v>
      </c>
      <c r="E1351" s="547" t="s">
        <v>12462</v>
      </c>
      <c r="F1351" s="550" t="s">
        <v>12463</v>
      </c>
      <c r="G1351" s="550" t="s">
        <v>127</v>
      </c>
      <c r="H1351" s="550">
        <v>4400.0</v>
      </c>
      <c r="I1351" s="547" t="s">
        <v>4335</v>
      </c>
      <c r="J1351" s="547" t="s">
        <v>4336</v>
      </c>
      <c r="K1351" s="550">
        <v>1.0</v>
      </c>
      <c r="L1351" s="551">
        <v>3.875619318E9</v>
      </c>
      <c r="M1351" s="545"/>
      <c r="N1351" s="209"/>
      <c r="O1351" s="209"/>
      <c r="P1351" s="209"/>
      <c r="Q1351" s="209"/>
      <c r="R1351" s="209"/>
      <c r="S1351" s="367"/>
      <c r="T1351" s="276"/>
      <c r="U1351" s="276"/>
      <c r="V1351" s="276"/>
      <c r="W1351" s="276"/>
      <c r="X1351" s="276"/>
      <c r="Y1351" s="276"/>
      <c r="Z1351" s="276"/>
      <c r="AA1351" s="276"/>
      <c r="AB1351" s="276"/>
      <c r="AC1351" s="276"/>
    </row>
    <row r="1352">
      <c r="A1352" s="545" t="s">
        <v>12464</v>
      </c>
      <c r="B1352" s="546">
        <v>46116.0</v>
      </c>
      <c r="C1352" s="547">
        <v>8.07000035628E11</v>
      </c>
      <c r="D1352" s="547" t="s">
        <v>12461</v>
      </c>
      <c r="E1352" s="547" t="s">
        <v>12462</v>
      </c>
      <c r="F1352" s="550" t="s">
        <v>12463</v>
      </c>
      <c r="G1352" s="550" t="s">
        <v>127</v>
      </c>
      <c r="H1352" s="550">
        <v>4400.0</v>
      </c>
      <c r="I1352" s="547" t="s">
        <v>512</v>
      </c>
      <c r="J1352" s="547" t="s">
        <v>513</v>
      </c>
      <c r="K1352" s="550">
        <v>6.0</v>
      </c>
      <c r="L1352" s="551">
        <v>3.875619318E9</v>
      </c>
      <c r="M1352" s="545"/>
      <c r="N1352" s="209"/>
      <c r="O1352" s="209"/>
      <c r="P1352" s="209"/>
      <c r="Q1352" s="209"/>
      <c r="R1352" s="209"/>
      <c r="S1352" s="367"/>
      <c r="T1352" s="276"/>
      <c r="U1352" s="276"/>
      <c r="V1352" s="276"/>
      <c r="W1352" s="276"/>
      <c r="X1352" s="276"/>
      <c r="Y1352" s="276"/>
      <c r="Z1352" s="276"/>
      <c r="AA1352" s="276"/>
      <c r="AB1352" s="276"/>
      <c r="AC1352" s="276"/>
    </row>
    <row r="1353">
      <c r="A1353" s="545" t="s">
        <v>12464</v>
      </c>
      <c r="B1353" s="546">
        <v>46116.0</v>
      </c>
      <c r="C1353" s="547">
        <v>8.07000035629E11</v>
      </c>
      <c r="D1353" s="547" t="s">
        <v>12461</v>
      </c>
      <c r="E1353" s="547" t="s">
        <v>12462</v>
      </c>
      <c r="F1353" s="550" t="s">
        <v>12463</v>
      </c>
      <c r="G1353" s="550" t="s">
        <v>127</v>
      </c>
      <c r="H1353" s="550">
        <v>4400.0</v>
      </c>
      <c r="I1353" s="547" t="s">
        <v>2956</v>
      </c>
      <c r="J1353" s="547" t="s">
        <v>3327</v>
      </c>
      <c r="K1353" s="550">
        <v>1.0</v>
      </c>
      <c r="L1353" s="551">
        <v>3.875619318E9</v>
      </c>
      <c r="M1353" s="545"/>
      <c r="N1353" s="209"/>
      <c r="O1353" s="209"/>
      <c r="P1353" s="209"/>
      <c r="Q1353" s="209"/>
      <c r="R1353" s="209"/>
      <c r="S1353" s="367"/>
      <c r="T1353" s="276"/>
      <c r="U1353" s="276"/>
      <c r="V1353" s="276"/>
      <c r="W1353" s="276"/>
      <c r="X1353" s="276"/>
      <c r="Y1353" s="276"/>
      <c r="Z1353" s="276"/>
      <c r="AA1353" s="276"/>
      <c r="AB1353" s="276"/>
      <c r="AC1353" s="276"/>
    </row>
    <row r="1354">
      <c r="A1354" s="545" t="s">
        <v>12464</v>
      </c>
      <c r="B1354" s="546">
        <v>46116.0</v>
      </c>
      <c r="C1354" s="547">
        <v>8.07000035629E11</v>
      </c>
      <c r="D1354" s="547" t="s">
        <v>12461</v>
      </c>
      <c r="E1354" s="547" t="s">
        <v>12462</v>
      </c>
      <c r="F1354" s="550" t="s">
        <v>12463</v>
      </c>
      <c r="G1354" s="550" t="s">
        <v>127</v>
      </c>
      <c r="H1354" s="550">
        <v>4400.0</v>
      </c>
      <c r="I1354" s="547" t="s">
        <v>670</v>
      </c>
      <c r="J1354" s="547" t="s">
        <v>3410</v>
      </c>
      <c r="K1354" s="550">
        <v>1.0</v>
      </c>
      <c r="L1354" s="551">
        <v>3.875619318E9</v>
      </c>
      <c r="M1354" s="545"/>
      <c r="N1354" s="206"/>
      <c r="O1354" s="206"/>
      <c r="P1354" s="206"/>
      <c r="Q1354" s="206"/>
      <c r="R1354" s="206"/>
      <c r="S1354" s="367"/>
      <c r="T1354" s="276"/>
      <c r="U1354" s="276"/>
      <c r="V1354" s="276"/>
      <c r="W1354" s="276"/>
      <c r="X1354" s="276"/>
      <c r="Y1354" s="276"/>
      <c r="Z1354" s="276"/>
      <c r="AA1354" s="276"/>
      <c r="AB1354" s="276"/>
      <c r="AC1354" s="276"/>
    </row>
    <row r="1355">
      <c r="A1355" s="545" t="s">
        <v>12465</v>
      </c>
      <c r="B1355" s="546">
        <v>46116.0</v>
      </c>
      <c r="C1355" s="547">
        <v>8.07000035638E11</v>
      </c>
      <c r="D1355" s="547" t="s">
        <v>12466</v>
      </c>
      <c r="E1355" s="547" t="s">
        <v>12467</v>
      </c>
      <c r="F1355" s="550" t="s">
        <v>12468</v>
      </c>
      <c r="G1355" s="550" t="s">
        <v>127</v>
      </c>
      <c r="H1355" s="550">
        <v>4400.0</v>
      </c>
      <c r="I1355" s="547" t="s">
        <v>6343</v>
      </c>
      <c r="J1355" s="547" t="s">
        <v>6435</v>
      </c>
      <c r="K1355" s="550">
        <v>1.0</v>
      </c>
      <c r="L1355" s="551">
        <v>3.874553107E9</v>
      </c>
      <c r="M1355" s="545"/>
      <c r="N1355" s="559">
        <v>46125.0</v>
      </c>
      <c r="O1355" s="560" t="s">
        <v>9011</v>
      </c>
      <c r="P1355" s="561"/>
      <c r="Q1355" s="560" t="s">
        <v>13339</v>
      </c>
      <c r="R1355" s="562" t="s">
        <v>14048</v>
      </c>
      <c r="S1355" s="367"/>
      <c r="T1355" s="276"/>
      <c r="U1355" s="276"/>
      <c r="V1355" s="276"/>
      <c r="W1355" s="276"/>
      <c r="X1355" s="276"/>
      <c r="Y1355" s="276"/>
      <c r="Z1355" s="276"/>
      <c r="AA1355" s="276"/>
      <c r="AB1355" s="276"/>
      <c r="AC1355" s="276"/>
    </row>
    <row r="1356">
      <c r="A1356" s="545" t="s">
        <v>12465</v>
      </c>
      <c r="B1356" s="546">
        <v>46116.0</v>
      </c>
      <c r="C1356" s="547">
        <v>8.07000035638E11</v>
      </c>
      <c r="D1356" s="547" t="s">
        <v>12466</v>
      </c>
      <c r="E1356" s="547" t="s">
        <v>12467</v>
      </c>
      <c r="F1356" s="550" t="s">
        <v>12468</v>
      </c>
      <c r="G1356" s="550" t="s">
        <v>127</v>
      </c>
      <c r="H1356" s="550">
        <v>4400.0</v>
      </c>
      <c r="I1356" s="547" t="s">
        <v>512</v>
      </c>
      <c r="J1356" s="547" t="s">
        <v>513</v>
      </c>
      <c r="K1356" s="550">
        <v>12.0</v>
      </c>
      <c r="L1356" s="551">
        <v>3.874553107E9</v>
      </c>
      <c r="M1356" s="545"/>
      <c r="N1356" s="209"/>
      <c r="O1356" s="209"/>
      <c r="P1356" s="209"/>
      <c r="Q1356" s="209"/>
      <c r="R1356" s="209"/>
      <c r="S1356" s="367"/>
      <c r="T1356" s="276"/>
      <c r="U1356" s="276"/>
      <c r="V1356" s="276"/>
      <c r="W1356" s="276"/>
      <c r="X1356" s="276"/>
      <c r="Y1356" s="276"/>
      <c r="Z1356" s="276"/>
      <c r="AA1356" s="276"/>
      <c r="AB1356" s="276"/>
      <c r="AC1356" s="276"/>
    </row>
    <row r="1357">
      <c r="A1357" s="545" t="s">
        <v>12465</v>
      </c>
      <c r="B1357" s="546">
        <v>46116.0</v>
      </c>
      <c r="C1357" s="547">
        <v>8.07000035638E11</v>
      </c>
      <c r="D1357" s="547" t="s">
        <v>12466</v>
      </c>
      <c r="E1357" s="547" t="s">
        <v>12467</v>
      </c>
      <c r="F1357" s="550" t="s">
        <v>12468</v>
      </c>
      <c r="G1357" s="550" t="s">
        <v>127</v>
      </c>
      <c r="H1357" s="550">
        <v>4400.0</v>
      </c>
      <c r="I1357" s="547" t="s">
        <v>233</v>
      </c>
      <c r="J1357" s="547" t="s">
        <v>3459</v>
      </c>
      <c r="K1357" s="550">
        <v>2.0</v>
      </c>
      <c r="L1357" s="551">
        <v>3.874553107E9</v>
      </c>
      <c r="M1357" s="545"/>
      <c r="N1357" s="206"/>
      <c r="O1357" s="206"/>
      <c r="P1357" s="206"/>
      <c r="Q1357" s="206"/>
      <c r="R1357" s="206"/>
      <c r="S1357" s="367"/>
      <c r="T1357" s="276"/>
      <c r="U1357" s="276"/>
      <c r="V1357" s="276"/>
      <c r="W1357" s="276"/>
      <c r="X1357" s="276"/>
      <c r="Y1357" s="276"/>
      <c r="Z1357" s="276"/>
      <c r="AA1357" s="276"/>
      <c r="AB1357" s="276"/>
      <c r="AC1357" s="276"/>
    </row>
    <row r="1358">
      <c r="A1358" s="108">
        <v>1.7200024307E10</v>
      </c>
      <c r="B1358" s="173">
        <v>46118.0</v>
      </c>
      <c r="C1358" s="374">
        <v>8.07000035657E11</v>
      </c>
      <c r="D1358" s="374" t="s">
        <v>12469</v>
      </c>
      <c r="E1358" s="374" t="s">
        <v>12470</v>
      </c>
      <c r="F1358" s="177" t="s">
        <v>12471</v>
      </c>
      <c r="G1358" s="177" t="s">
        <v>127</v>
      </c>
      <c r="H1358" s="177">
        <v>4400.0</v>
      </c>
      <c r="I1358" s="374" t="s">
        <v>4133</v>
      </c>
      <c r="J1358" s="374" t="s">
        <v>4134</v>
      </c>
      <c r="K1358" s="177">
        <v>1.0</v>
      </c>
      <c r="L1358" s="174">
        <v>3.874596035E9</v>
      </c>
      <c r="M1358" s="108"/>
      <c r="N1358" s="480">
        <v>46118.0</v>
      </c>
      <c r="O1358" s="402" t="s">
        <v>13338</v>
      </c>
      <c r="P1358" s="431"/>
      <c r="Q1358" s="430" t="s">
        <v>13339</v>
      </c>
      <c r="R1358" s="432" t="s">
        <v>14049</v>
      </c>
      <c r="S1358" s="367"/>
      <c r="T1358" s="276"/>
      <c r="U1358" s="276"/>
      <c r="V1358" s="276"/>
      <c r="W1358" s="276"/>
      <c r="X1358" s="276"/>
      <c r="Y1358" s="276"/>
      <c r="Z1358" s="276"/>
      <c r="AA1358" s="276"/>
      <c r="AB1358" s="276"/>
      <c r="AC1358" s="276"/>
    </row>
    <row r="1359">
      <c r="A1359" s="108">
        <v>1.7200024307E10</v>
      </c>
      <c r="B1359" s="173">
        <v>46118.0</v>
      </c>
      <c r="C1359" s="374">
        <v>8.07000035657E11</v>
      </c>
      <c r="D1359" s="374" t="s">
        <v>12469</v>
      </c>
      <c r="E1359" s="374" t="s">
        <v>12470</v>
      </c>
      <c r="F1359" s="177" t="s">
        <v>12471</v>
      </c>
      <c r="G1359" s="177" t="s">
        <v>127</v>
      </c>
      <c r="H1359" s="177">
        <v>4400.0</v>
      </c>
      <c r="I1359" s="374" t="s">
        <v>512</v>
      </c>
      <c r="J1359" s="374" t="s">
        <v>513</v>
      </c>
      <c r="K1359" s="177">
        <v>12.0</v>
      </c>
      <c r="L1359" s="174">
        <v>3.874596035E9</v>
      </c>
      <c r="M1359" s="108"/>
      <c r="N1359" s="209"/>
      <c r="O1359" s="209"/>
      <c r="P1359" s="209"/>
      <c r="Q1359" s="209"/>
      <c r="R1359" s="209"/>
      <c r="S1359" s="367"/>
      <c r="T1359" s="276"/>
      <c r="U1359" s="276"/>
      <c r="V1359" s="276"/>
      <c r="W1359" s="276"/>
      <c r="X1359" s="276"/>
      <c r="Y1359" s="276"/>
      <c r="Z1359" s="276"/>
      <c r="AA1359" s="276"/>
      <c r="AB1359" s="276"/>
      <c r="AC1359" s="276"/>
    </row>
    <row r="1360">
      <c r="A1360" s="108">
        <v>1.7200024307E10</v>
      </c>
      <c r="B1360" s="173">
        <v>46118.0</v>
      </c>
      <c r="C1360" s="374">
        <v>8.07000035657E11</v>
      </c>
      <c r="D1360" s="374" t="s">
        <v>12469</v>
      </c>
      <c r="E1360" s="374" t="s">
        <v>12470</v>
      </c>
      <c r="F1360" s="177" t="s">
        <v>12471</v>
      </c>
      <c r="G1360" s="177" t="s">
        <v>127</v>
      </c>
      <c r="H1360" s="177">
        <v>4400.0</v>
      </c>
      <c r="I1360" s="374" t="s">
        <v>340</v>
      </c>
      <c r="J1360" s="374" t="s">
        <v>3486</v>
      </c>
      <c r="K1360" s="177">
        <v>2.0</v>
      </c>
      <c r="L1360" s="174">
        <v>3.874596035E9</v>
      </c>
      <c r="M1360" s="108"/>
      <c r="N1360" s="206"/>
      <c r="O1360" s="206"/>
      <c r="P1360" s="206"/>
      <c r="Q1360" s="206"/>
      <c r="R1360" s="206"/>
      <c r="S1360" s="367"/>
      <c r="T1360" s="276"/>
      <c r="U1360" s="276"/>
      <c r="V1360" s="276"/>
      <c r="W1360" s="276"/>
      <c r="X1360" s="276"/>
      <c r="Y1360" s="276"/>
      <c r="Z1360" s="276"/>
      <c r="AA1360" s="276"/>
      <c r="AB1360" s="276"/>
      <c r="AC1360" s="276"/>
    </row>
    <row r="1361">
      <c r="A1361" s="108">
        <v>1.7200024308E10</v>
      </c>
      <c r="B1361" s="173">
        <v>46118.0</v>
      </c>
      <c r="C1361" s="374">
        <v>8.07000035644E11</v>
      </c>
      <c r="D1361" s="374" t="s">
        <v>12472</v>
      </c>
      <c r="E1361" s="374" t="s">
        <v>12473</v>
      </c>
      <c r="F1361" s="177" t="s">
        <v>12474</v>
      </c>
      <c r="G1361" s="177" t="s">
        <v>127</v>
      </c>
      <c r="H1361" s="177">
        <v>4400.0</v>
      </c>
      <c r="I1361" s="374" t="s">
        <v>3205</v>
      </c>
      <c r="J1361" s="374" t="s">
        <v>3206</v>
      </c>
      <c r="K1361" s="177">
        <v>1.0</v>
      </c>
      <c r="L1361" s="174">
        <v>3.872247915E9</v>
      </c>
      <c r="M1361" s="108"/>
      <c r="N1361" s="480">
        <v>46118.0</v>
      </c>
      <c r="O1361" s="402" t="s">
        <v>13338</v>
      </c>
      <c r="P1361" s="431"/>
      <c r="Q1361" s="430" t="s">
        <v>14050</v>
      </c>
      <c r="R1361" s="432" t="s">
        <v>14051</v>
      </c>
      <c r="S1361" s="367"/>
      <c r="T1361" s="276"/>
      <c r="U1361" s="276"/>
      <c r="V1361" s="276"/>
      <c r="W1361" s="276"/>
      <c r="X1361" s="276"/>
      <c r="Y1361" s="276"/>
      <c r="Z1361" s="276"/>
      <c r="AA1361" s="276"/>
      <c r="AB1361" s="276"/>
      <c r="AC1361" s="276"/>
    </row>
    <row r="1362">
      <c r="A1362" s="108">
        <v>1.7200024308E10</v>
      </c>
      <c r="B1362" s="173">
        <v>46118.0</v>
      </c>
      <c r="C1362" s="374">
        <v>8.07000035644E11</v>
      </c>
      <c r="D1362" s="374" t="s">
        <v>12472</v>
      </c>
      <c r="E1362" s="374" t="s">
        <v>12473</v>
      </c>
      <c r="F1362" s="177" t="s">
        <v>12474</v>
      </c>
      <c r="G1362" s="177" t="s">
        <v>127</v>
      </c>
      <c r="H1362" s="177">
        <v>4400.0</v>
      </c>
      <c r="I1362" s="374" t="s">
        <v>512</v>
      </c>
      <c r="J1362" s="374" t="s">
        <v>513</v>
      </c>
      <c r="K1362" s="177">
        <v>6.0</v>
      </c>
      <c r="L1362" s="174">
        <v>3.872247915E9</v>
      </c>
      <c r="M1362" s="108"/>
      <c r="N1362" s="209"/>
      <c r="O1362" s="209"/>
      <c r="P1362" s="209"/>
      <c r="Q1362" s="209"/>
      <c r="R1362" s="209"/>
      <c r="S1362" s="367"/>
      <c r="T1362" s="276"/>
      <c r="U1362" s="276"/>
      <c r="V1362" s="276"/>
      <c r="W1362" s="276"/>
      <c r="X1362" s="276"/>
      <c r="Y1362" s="276"/>
      <c r="Z1362" s="276"/>
      <c r="AA1362" s="276"/>
      <c r="AB1362" s="276"/>
      <c r="AC1362" s="276"/>
    </row>
    <row r="1363">
      <c r="A1363" s="108">
        <v>1.7200024308E10</v>
      </c>
      <c r="B1363" s="173">
        <v>46118.0</v>
      </c>
      <c r="C1363" s="374">
        <v>8.07000035644E11</v>
      </c>
      <c r="D1363" s="374" t="s">
        <v>12472</v>
      </c>
      <c r="E1363" s="374" t="s">
        <v>12473</v>
      </c>
      <c r="F1363" s="177" t="s">
        <v>12474</v>
      </c>
      <c r="G1363" s="177" t="s">
        <v>127</v>
      </c>
      <c r="H1363" s="177">
        <v>4400.0</v>
      </c>
      <c r="I1363" s="374" t="s">
        <v>1749</v>
      </c>
      <c r="J1363" s="374" t="s">
        <v>3240</v>
      </c>
      <c r="K1363" s="177">
        <v>1.0</v>
      </c>
      <c r="L1363" s="174">
        <v>3.872247915E9</v>
      </c>
      <c r="M1363" s="108"/>
      <c r="N1363" s="206"/>
      <c r="O1363" s="206"/>
      <c r="P1363" s="206"/>
      <c r="Q1363" s="206"/>
      <c r="R1363" s="206"/>
      <c r="S1363" s="367"/>
      <c r="T1363" s="276"/>
      <c r="U1363" s="276"/>
      <c r="V1363" s="276"/>
      <c r="W1363" s="276"/>
      <c r="X1363" s="276"/>
      <c r="Y1363" s="276"/>
      <c r="Z1363" s="276"/>
      <c r="AA1363" s="276"/>
      <c r="AB1363" s="276"/>
      <c r="AC1363" s="276"/>
    </row>
    <row r="1364">
      <c r="A1364" s="108">
        <v>1.7200024312E10</v>
      </c>
      <c r="B1364" s="173">
        <v>46119.0</v>
      </c>
      <c r="C1364" s="374">
        <v>8.05011573744E11</v>
      </c>
      <c r="D1364" s="374" t="s">
        <v>12475</v>
      </c>
      <c r="E1364" s="374" t="s">
        <v>12476</v>
      </c>
      <c r="F1364" s="177" t="s">
        <v>12477</v>
      </c>
      <c r="G1364" s="177" t="s">
        <v>20</v>
      </c>
      <c r="H1364" s="177">
        <v>4400.0</v>
      </c>
      <c r="I1364" s="374" t="s">
        <v>3451</v>
      </c>
      <c r="J1364" s="374" t="s">
        <v>3452</v>
      </c>
      <c r="K1364" s="177">
        <v>1.0</v>
      </c>
      <c r="L1364" s="174">
        <v>3.875533007E9</v>
      </c>
      <c r="M1364" s="108"/>
      <c r="N1364" s="563">
        <v>46119.0</v>
      </c>
      <c r="O1364" s="145" t="s">
        <v>13338</v>
      </c>
      <c r="P1364" s="367"/>
      <c r="Q1364" s="261" t="s">
        <v>14052</v>
      </c>
      <c r="R1364" s="434" t="s">
        <v>14053</v>
      </c>
      <c r="S1364" s="367"/>
      <c r="T1364" s="276"/>
      <c r="U1364" s="276"/>
      <c r="V1364" s="276"/>
      <c r="W1364" s="276"/>
      <c r="X1364" s="276"/>
      <c r="Y1364" s="276"/>
      <c r="Z1364" s="276"/>
      <c r="AA1364" s="276"/>
      <c r="AB1364" s="276"/>
      <c r="AC1364" s="276"/>
    </row>
    <row r="1365">
      <c r="A1365" s="108">
        <v>1.7200024313E10</v>
      </c>
      <c r="B1365" s="173">
        <v>46119.0</v>
      </c>
      <c r="C1365" s="374">
        <v>8.07000035671E11</v>
      </c>
      <c r="D1365" s="374" t="s">
        <v>3264</v>
      </c>
      <c r="E1365" s="374" t="s">
        <v>3265</v>
      </c>
      <c r="F1365" s="177" t="s">
        <v>3266</v>
      </c>
      <c r="G1365" s="177" t="s">
        <v>127</v>
      </c>
      <c r="H1365" s="177">
        <v>4400.0</v>
      </c>
      <c r="I1365" s="374" t="s">
        <v>947</v>
      </c>
      <c r="J1365" s="374" t="s">
        <v>3750</v>
      </c>
      <c r="K1365" s="177">
        <v>1.0</v>
      </c>
      <c r="L1365" s="174">
        <v>3.875671512E9</v>
      </c>
      <c r="M1365" s="108"/>
      <c r="N1365" s="563">
        <v>46119.0</v>
      </c>
      <c r="O1365" s="145" t="s">
        <v>13338</v>
      </c>
      <c r="P1365" s="367"/>
      <c r="Q1365" s="261" t="s">
        <v>14054</v>
      </c>
      <c r="R1365" s="434" t="s">
        <v>14055</v>
      </c>
      <c r="S1365" s="367"/>
      <c r="T1365" s="276"/>
      <c r="U1365" s="276"/>
      <c r="V1365" s="276"/>
      <c r="W1365" s="276"/>
      <c r="X1365" s="276"/>
      <c r="Y1365" s="276"/>
      <c r="Z1365" s="276"/>
      <c r="AA1365" s="276"/>
      <c r="AB1365" s="276"/>
      <c r="AC1365" s="276"/>
    </row>
    <row r="1366">
      <c r="A1366" s="108">
        <v>1.7200024314E10</v>
      </c>
      <c r="B1366" s="173">
        <v>46119.0</v>
      </c>
      <c r="C1366" s="374">
        <v>8.07000035672E11</v>
      </c>
      <c r="D1366" s="374" t="s">
        <v>12478</v>
      </c>
      <c r="E1366" s="374" t="s">
        <v>12479</v>
      </c>
      <c r="F1366" s="177" t="s">
        <v>12480</v>
      </c>
      <c r="G1366" s="177" t="s">
        <v>4645</v>
      </c>
      <c r="H1366" s="177">
        <v>4400.0</v>
      </c>
      <c r="I1366" s="374" t="s">
        <v>3285</v>
      </c>
      <c r="J1366" s="374" t="s">
        <v>3286</v>
      </c>
      <c r="K1366" s="177">
        <v>1.0</v>
      </c>
      <c r="L1366" s="174">
        <v>3.875040711E9</v>
      </c>
      <c r="M1366" s="108"/>
      <c r="N1366" s="563">
        <v>46119.0</v>
      </c>
      <c r="O1366" s="145" t="s">
        <v>13338</v>
      </c>
      <c r="P1366" s="367"/>
      <c r="Q1366" s="261" t="s">
        <v>13339</v>
      </c>
      <c r="R1366" s="434" t="s">
        <v>14056</v>
      </c>
      <c r="S1366" s="367"/>
      <c r="T1366" s="276"/>
      <c r="U1366" s="276"/>
      <c r="V1366" s="276"/>
      <c r="W1366" s="276"/>
      <c r="X1366" s="276"/>
      <c r="Y1366" s="276"/>
      <c r="Z1366" s="276"/>
      <c r="AA1366" s="276"/>
      <c r="AB1366" s="276"/>
      <c r="AC1366" s="276"/>
    </row>
    <row r="1367">
      <c r="A1367" s="108">
        <v>1.7200024315E10</v>
      </c>
      <c r="B1367" s="173">
        <v>46119.0</v>
      </c>
      <c r="C1367" s="374">
        <v>8.07000035673E11</v>
      </c>
      <c r="D1367" s="374" t="s">
        <v>12481</v>
      </c>
      <c r="E1367" s="374" t="s">
        <v>12482</v>
      </c>
      <c r="F1367" s="177" t="s">
        <v>12483</v>
      </c>
      <c r="G1367" s="177" t="s">
        <v>127</v>
      </c>
      <c r="H1367" s="177">
        <v>4400.0</v>
      </c>
      <c r="I1367" s="374" t="s">
        <v>3334</v>
      </c>
      <c r="J1367" s="374" t="s">
        <v>3575</v>
      </c>
      <c r="K1367" s="177">
        <v>1.0</v>
      </c>
      <c r="L1367" s="174">
        <v>3.87501033E9</v>
      </c>
      <c r="M1367" s="108"/>
      <c r="N1367" s="563">
        <v>46119.0</v>
      </c>
      <c r="O1367" s="145" t="s">
        <v>13338</v>
      </c>
      <c r="P1367" s="367"/>
      <c r="Q1367" s="261" t="s">
        <v>13339</v>
      </c>
      <c r="R1367" s="434" t="s">
        <v>14057</v>
      </c>
      <c r="S1367" s="367"/>
      <c r="T1367" s="276"/>
      <c r="U1367" s="276"/>
      <c r="V1367" s="276"/>
      <c r="W1367" s="276"/>
      <c r="X1367" s="276"/>
      <c r="Y1367" s="276"/>
      <c r="Z1367" s="276"/>
      <c r="AA1367" s="276"/>
      <c r="AB1367" s="276"/>
      <c r="AC1367" s="276"/>
    </row>
    <row r="1368">
      <c r="A1368" s="108">
        <v>1.7200024315E10</v>
      </c>
      <c r="B1368" s="173">
        <v>46119.0</v>
      </c>
      <c r="C1368" s="374">
        <v>8.07000035674E11</v>
      </c>
      <c r="D1368" s="374" t="s">
        <v>12484</v>
      </c>
      <c r="E1368" s="374" t="s">
        <v>12485</v>
      </c>
      <c r="F1368" s="177" t="s">
        <v>12486</v>
      </c>
      <c r="G1368" s="177" t="s">
        <v>127</v>
      </c>
      <c r="H1368" s="177">
        <v>4400.0</v>
      </c>
      <c r="I1368" s="374">
        <v>131.0</v>
      </c>
      <c r="J1368" s="374" t="s">
        <v>12487</v>
      </c>
      <c r="K1368" s="177">
        <v>1.0</v>
      </c>
      <c r="L1368" s="174">
        <v>3.875176803E9</v>
      </c>
      <c r="M1368" s="108"/>
      <c r="N1368" s="480">
        <v>46119.0</v>
      </c>
      <c r="O1368" s="402" t="s">
        <v>13338</v>
      </c>
      <c r="P1368" s="431"/>
      <c r="Q1368" s="430" t="s">
        <v>13339</v>
      </c>
      <c r="R1368" s="432" t="s">
        <v>14058</v>
      </c>
      <c r="S1368" s="367"/>
      <c r="T1368" s="276"/>
      <c r="U1368" s="276"/>
      <c r="V1368" s="276"/>
      <c r="W1368" s="276"/>
      <c r="X1368" s="276"/>
      <c r="Y1368" s="276"/>
      <c r="Z1368" s="276"/>
      <c r="AA1368" s="276"/>
      <c r="AB1368" s="276"/>
      <c r="AC1368" s="276"/>
    </row>
    <row r="1369">
      <c r="A1369" s="108">
        <v>1.7200024316E10</v>
      </c>
      <c r="B1369" s="173">
        <v>46119.0</v>
      </c>
      <c r="C1369" s="374">
        <v>8.07000035674E11</v>
      </c>
      <c r="D1369" s="374" t="s">
        <v>12484</v>
      </c>
      <c r="E1369" s="374" t="s">
        <v>12485</v>
      </c>
      <c r="F1369" s="177" t="s">
        <v>12486</v>
      </c>
      <c r="G1369" s="177" t="s">
        <v>127</v>
      </c>
      <c r="H1369" s="177">
        <v>4400.0</v>
      </c>
      <c r="I1369" s="374" t="s">
        <v>512</v>
      </c>
      <c r="J1369" s="374" t="s">
        <v>513</v>
      </c>
      <c r="K1369" s="177">
        <v>12.0</v>
      </c>
      <c r="L1369" s="174">
        <v>3.875176803E9</v>
      </c>
      <c r="M1369" s="108"/>
      <c r="N1369" s="209"/>
      <c r="O1369" s="209"/>
      <c r="P1369" s="209"/>
      <c r="Q1369" s="209"/>
      <c r="R1369" s="209"/>
      <c r="S1369" s="367"/>
      <c r="T1369" s="276"/>
      <c r="U1369" s="276"/>
      <c r="V1369" s="276"/>
      <c r="W1369" s="276"/>
      <c r="X1369" s="276"/>
      <c r="Y1369" s="276"/>
      <c r="Z1369" s="276"/>
      <c r="AA1369" s="276"/>
      <c r="AB1369" s="276"/>
      <c r="AC1369" s="276"/>
    </row>
    <row r="1370">
      <c r="A1370" s="108">
        <v>1.7200024317E10</v>
      </c>
      <c r="B1370" s="173">
        <v>46119.0</v>
      </c>
      <c r="C1370" s="374">
        <v>8.07000035675E11</v>
      </c>
      <c r="D1370" s="374" t="s">
        <v>12484</v>
      </c>
      <c r="E1370" s="374" t="s">
        <v>12485</v>
      </c>
      <c r="F1370" s="177" t="s">
        <v>12486</v>
      </c>
      <c r="G1370" s="177" t="s">
        <v>127</v>
      </c>
      <c r="H1370" s="177">
        <v>4400.0</v>
      </c>
      <c r="I1370" s="374">
        <v>125816.0</v>
      </c>
      <c r="J1370" s="374" t="s">
        <v>7713</v>
      </c>
      <c r="K1370" s="177">
        <v>2.0</v>
      </c>
      <c r="L1370" s="174">
        <v>3.875176803E9</v>
      </c>
      <c r="M1370" s="108"/>
      <c r="N1370" s="209"/>
      <c r="O1370" s="209"/>
      <c r="P1370" s="209"/>
      <c r="Q1370" s="209"/>
      <c r="R1370" s="209"/>
      <c r="S1370" s="367"/>
      <c r="T1370" s="276"/>
      <c r="U1370" s="276"/>
      <c r="V1370" s="276"/>
      <c r="W1370" s="276"/>
      <c r="X1370" s="276"/>
      <c r="Y1370" s="276"/>
      <c r="Z1370" s="276"/>
      <c r="AA1370" s="276"/>
      <c r="AB1370" s="276"/>
      <c r="AC1370" s="276"/>
    </row>
    <row r="1371">
      <c r="A1371" s="108">
        <v>1.7200024317E10</v>
      </c>
      <c r="B1371" s="173">
        <v>46119.0</v>
      </c>
      <c r="C1371" s="374">
        <v>8.07000035675E11</v>
      </c>
      <c r="D1371" s="374" t="s">
        <v>12484</v>
      </c>
      <c r="E1371" s="374" t="s">
        <v>12485</v>
      </c>
      <c r="F1371" s="177" t="s">
        <v>12486</v>
      </c>
      <c r="G1371" s="177" t="s">
        <v>127</v>
      </c>
      <c r="H1371" s="177">
        <v>4400.0</v>
      </c>
      <c r="I1371" s="374">
        <v>125818.0</v>
      </c>
      <c r="J1371" s="374" t="s">
        <v>4334</v>
      </c>
      <c r="K1371" s="177">
        <v>2.0</v>
      </c>
      <c r="L1371" s="174">
        <v>3.875176803E9</v>
      </c>
      <c r="M1371" s="108"/>
      <c r="N1371" s="209"/>
      <c r="O1371" s="209"/>
      <c r="P1371" s="209"/>
      <c r="Q1371" s="209"/>
      <c r="R1371" s="209"/>
      <c r="S1371" s="367"/>
      <c r="T1371" s="276"/>
      <c r="U1371" s="276"/>
      <c r="V1371" s="276"/>
      <c r="W1371" s="276"/>
      <c r="X1371" s="276"/>
      <c r="Y1371" s="276"/>
      <c r="Z1371" s="276"/>
      <c r="AA1371" s="276"/>
      <c r="AB1371" s="276"/>
      <c r="AC1371" s="276"/>
    </row>
    <row r="1372">
      <c r="A1372" s="108">
        <v>1.7200024318E10</v>
      </c>
      <c r="B1372" s="173">
        <v>46119.0</v>
      </c>
      <c r="C1372" s="374">
        <v>8.07000035676E11</v>
      </c>
      <c r="D1372" s="374" t="s">
        <v>12484</v>
      </c>
      <c r="E1372" s="374" t="s">
        <v>12485</v>
      </c>
      <c r="F1372" s="177" t="s">
        <v>12486</v>
      </c>
      <c r="G1372" s="177" t="s">
        <v>127</v>
      </c>
      <c r="H1372" s="177">
        <v>4400.0</v>
      </c>
      <c r="I1372" s="374" t="s">
        <v>3649</v>
      </c>
      <c r="J1372" s="374" t="s">
        <v>3650</v>
      </c>
      <c r="K1372" s="177">
        <v>1.0</v>
      </c>
      <c r="L1372" s="174">
        <v>3.875176803E9</v>
      </c>
      <c r="M1372" s="108"/>
      <c r="N1372" s="209"/>
      <c r="O1372" s="209"/>
      <c r="P1372" s="209"/>
      <c r="Q1372" s="209"/>
      <c r="R1372" s="209"/>
      <c r="S1372" s="367"/>
      <c r="T1372" s="276"/>
      <c r="U1372" s="276"/>
      <c r="V1372" s="276"/>
      <c r="W1372" s="276"/>
      <c r="X1372" s="276"/>
      <c r="Y1372" s="276"/>
      <c r="Z1372" s="276"/>
      <c r="AA1372" s="276"/>
      <c r="AB1372" s="276"/>
      <c r="AC1372" s="276"/>
    </row>
    <row r="1373">
      <c r="A1373" s="108">
        <v>1.7200024318E10</v>
      </c>
      <c r="B1373" s="173">
        <v>46119.0</v>
      </c>
      <c r="C1373" s="374">
        <v>8.07000035676E11</v>
      </c>
      <c r="D1373" s="374" t="s">
        <v>12484</v>
      </c>
      <c r="E1373" s="374" t="s">
        <v>12485</v>
      </c>
      <c r="F1373" s="177" t="s">
        <v>12486</v>
      </c>
      <c r="G1373" s="177" t="s">
        <v>127</v>
      </c>
      <c r="H1373" s="177">
        <v>4400.0</v>
      </c>
      <c r="I1373" s="374" t="s">
        <v>218</v>
      </c>
      <c r="J1373" s="374" t="s">
        <v>8664</v>
      </c>
      <c r="K1373" s="177">
        <v>1.0</v>
      </c>
      <c r="L1373" s="174">
        <v>3.875176803E9</v>
      </c>
      <c r="M1373" s="108"/>
      <c r="N1373" s="209"/>
      <c r="O1373" s="209"/>
      <c r="P1373" s="209"/>
      <c r="Q1373" s="209"/>
      <c r="R1373" s="209"/>
      <c r="S1373" s="367"/>
      <c r="T1373" s="276"/>
      <c r="U1373" s="276"/>
      <c r="V1373" s="276"/>
      <c r="W1373" s="276"/>
      <c r="X1373" s="276"/>
      <c r="Y1373" s="276"/>
      <c r="Z1373" s="276"/>
      <c r="AA1373" s="276"/>
      <c r="AB1373" s="276"/>
      <c r="AC1373" s="276"/>
    </row>
    <row r="1374">
      <c r="A1374" s="108">
        <v>1.7200024318E10</v>
      </c>
      <c r="B1374" s="173">
        <v>46119.0</v>
      </c>
      <c r="C1374" s="374">
        <v>8.07000035676E11</v>
      </c>
      <c r="D1374" s="374" t="s">
        <v>12484</v>
      </c>
      <c r="E1374" s="374" t="s">
        <v>12485</v>
      </c>
      <c r="F1374" s="177" t="s">
        <v>12486</v>
      </c>
      <c r="G1374" s="177" t="s">
        <v>127</v>
      </c>
      <c r="H1374" s="177">
        <v>4400.0</v>
      </c>
      <c r="I1374" s="374" t="s">
        <v>121</v>
      </c>
      <c r="J1374" s="374" t="s">
        <v>3199</v>
      </c>
      <c r="K1374" s="177">
        <v>2.0</v>
      </c>
      <c r="L1374" s="174">
        <v>3.875176803E9</v>
      </c>
      <c r="M1374" s="108"/>
      <c r="N1374" s="206"/>
      <c r="O1374" s="206"/>
      <c r="P1374" s="206"/>
      <c r="Q1374" s="206"/>
      <c r="R1374" s="206"/>
      <c r="S1374" s="367"/>
      <c r="T1374" s="276"/>
      <c r="U1374" s="276"/>
      <c r="V1374" s="276"/>
      <c r="W1374" s="276"/>
      <c r="X1374" s="276"/>
      <c r="Y1374" s="276"/>
      <c r="Z1374" s="276"/>
      <c r="AA1374" s="276"/>
      <c r="AB1374" s="276"/>
      <c r="AC1374" s="276"/>
    </row>
    <row r="1375">
      <c r="A1375" s="108">
        <v>1.720002432E10</v>
      </c>
      <c r="B1375" s="173">
        <v>46119.0</v>
      </c>
      <c r="C1375" s="374">
        <v>8.07000035599E11</v>
      </c>
      <c r="D1375" s="374" t="s">
        <v>12488</v>
      </c>
      <c r="E1375" s="374" t="s">
        <v>12489</v>
      </c>
      <c r="F1375" s="177" t="s">
        <v>12490</v>
      </c>
      <c r="G1375" s="177" t="s">
        <v>127</v>
      </c>
      <c r="H1375" s="177">
        <v>4400.0</v>
      </c>
      <c r="I1375" s="374">
        <v>125810.0</v>
      </c>
      <c r="J1375" s="374" t="s">
        <v>4672</v>
      </c>
      <c r="K1375" s="177">
        <v>2.0</v>
      </c>
      <c r="L1375" s="174">
        <v>3.876055904E9</v>
      </c>
      <c r="M1375" s="108"/>
      <c r="N1375" s="563">
        <v>46119.0</v>
      </c>
      <c r="O1375" s="145" t="s">
        <v>13338</v>
      </c>
      <c r="P1375" s="367"/>
      <c r="Q1375" s="261" t="s">
        <v>13339</v>
      </c>
      <c r="R1375" s="434" t="s">
        <v>14059</v>
      </c>
      <c r="S1375" s="367"/>
      <c r="T1375" s="276"/>
      <c r="U1375" s="276"/>
      <c r="V1375" s="276"/>
      <c r="W1375" s="276"/>
      <c r="X1375" s="276"/>
      <c r="Y1375" s="276"/>
      <c r="Z1375" s="276"/>
      <c r="AA1375" s="276"/>
      <c r="AB1375" s="276"/>
      <c r="AC1375" s="276"/>
    </row>
    <row r="1376">
      <c r="A1376" s="545" t="s">
        <v>12491</v>
      </c>
      <c r="B1376" s="546">
        <v>46121.0</v>
      </c>
      <c r="C1376" s="547">
        <v>8.07000035603E11</v>
      </c>
      <c r="D1376" s="547" t="s">
        <v>6047</v>
      </c>
      <c r="E1376" s="547" t="s">
        <v>6048</v>
      </c>
      <c r="F1376" s="550" t="s">
        <v>12492</v>
      </c>
      <c r="G1376" s="550" t="s">
        <v>127</v>
      </c>
      <c r="H1376" s="550">
        <v>4400.0</v>
      </c>
      <c r="I1376" s="547" t="s">
        <v>3285</v>
      </c>
      <c r="J1376" s="547" t="s">
        <v>3286</v>
      </c>
      <c r="K1376" s="550">
        <v>1.0</v>
      </c>
      <c r="L1376" s="551">
        <v>3.874737373E9</v>
      </c>
      <c r="M1376" s="545"/>
      <c r="N1376" s="564">
        <v>46122.0</v>
      </c>
      <c r="O1376" s="548" t="s">
        <v>13338</v>
      </c>
      <c r="P1376" s="565"/>
      <c r="Q1376" s="566" t="s">
        <v>14060</v>
      </c>
      <c r="R1376" s="567" t="s">
        <v>14061</v>
      </c>
      <c r="S1376" s="367"/>
      <c r="T1376" s="276"/>
      <c r="U1376" s="276"/>
      <c r="V1376" s="276"/>
      <c r="W1376" s="276"/>
      <c r="X1376" s="276"/>
      <c r="Y1376" s="276"/>
      <c r="Z1376" s="276"/>
      <c r="AA1376" s="276"/>
      <c r="AB1376" s="276"/>
      <c r="AC1376" s="276"/>
    </row>
    <row r="1377">
      <c r="A1377" s="568"/>
      <c r="B1377" s="569"/>
      <c r="C1377" s="569"/>
      <c r="D1377" s="569"/>
      <c r="E1377" s="569"/>
      <c r="F1377" s="569"/>
      <c r="G1377" s="569"/>
      <c r="H1377" s="569"/>
      <c r="I1377" s="569"/>
      <c r="J1377" s="569"/>
      <c r="K1377" s="569"/>
      <c r="L1377" s="569"/>
      <c r="M1377" s="108"/>
      <c r="N1377" s="109"/>
      <c r="O1377" s="109"/>
      <c r="P1377" s="367"/>
      <c r="Q1377" s="261"/>
      <c r="R1377" s="449"/>
      <c r="S1377" s="367"/>
      <c r="T1377" s="276"/>
      <c r="U1377" s="276"/>
      <c r="V1377" s="276"/>
      <c r="W1377" s="276"/>
      <c r="X1377" s="276"/>
      <c r="Y1377" s="276"/>
      <c r="Z1377" s="276"/>
      <c r="AA1377" s="276"/>
      <c r="AB1377" s="276"/>
      <c r="AC1377" s="276"/>
    </row>
    <row r="1378">
      <c r="A1378" s="92">
        <v>46107.0</v>
      </c>
      <c r="B1378" s="107" t="s">
        <v>5905</v>
      </c>
      <c r="C1378" s="107">
        <v>8.05011571378E11</v>
      </c>
      <c r="D1378" s="107" t="s">
        <v>5906</v>
      </c>
      <c r="E1378" s="107" t="s">
        <v>5907</v>
      </c>
      <c r="F1378" s="107" t="s">
        <v>5908</v>
      </c>
      <c r="G1378" s="107" t="s">
        <v>58</v>
      </c>
      <c r="H1378" s="107">
        <v>4403.0</v>
      </c>
      <c r="I1378" s="107" t="s">
        <v>5817</v>
      </c>
      <c r="J1378" s="107" t="s">
        <v>5417</v>
      </c>
      <c r="K1378" s="108">
        <v>1.0</v>
      </c>
      <c r="L1378" s="107">
        <v>3.875164183E9</v>
      </c>
      <c r="M1378" s="108"/>
      <c r="N1378" s="570">
        <v>46109.0</v>
      </c>
      <c r="O1378" s="571" t="s">
        <v>13338</v>
      </c>
      <c r="P1378" s="431"/>
      <c r="Q1378" s="430" t="s">
        <v>14062</v>
      </c>
      <c r="R1378" s="432" t="s">
        <v>14063</v>
      </c>
      <c r="S1378" s="367"/>
      <c r="T1378" s="276"/>
      <c r="U1378" s="276"/>
      <c r="V1378" s="276"/>
      <c r="W1378" s="276"/>
      <c r="X1378" s="276"/>
      <c r="Y1378" s="276"/>
      <c r="Z1378" s="276"/>
      <c r="AA1378" s="276"/>
      <c r="AB1378" s="276"/>
      <c r="AC1378" s="276"/>
    </row>
    <row r="1379">
      <c r="A1379" s="92">
        <v>46107.0</v>
      </c>
      <c r="B1379" s="107" t="s">
        <v>5905</v>
      </c>
      <c r="C1379" s="107">
        <v>8.05011571378E11</v>
      </c>
      <c r="D1379" s="107" t="s">
        <v>5906</v>
      </c>
      <c r="E1379" s="107" t="s">
        <v>5907</v>
      </c>
      <c r="F1379" s="107" t="s">
        <v>5908</v>
      </c>
      <c r="G1379" s="107" t="s">
        <v>58</v>
      </c>
      <c r="H1379" s="107">
        <v>4403.0</v>
      </c>
      <c r="I1379" s="107" t="s">
        <v>1756</v>
      </c>
      <c r="J1379" s="107" t="s">
        <v>5005</v>
      </c>
      <c r="K1379" s="108">
        <v>1.0</v>
      </c>
      <c r="L1379" s="107">
        <v>3.875164183E9</v>
      </c>
      <c r="M1379" s="108"/>
      <c r="N1379" s="206"/>
      <c r="O1379" s="206"/>
      <c r="P1379" s="206"/>
      <c r="Q1379" s="206"/>
      <c r="R1379" s="206"/>
      <c r="S1379" s="367"/>
      <c r="T1379" s="276"/>
      <c r="U1379" s="276"/>
      <c r="V1379" s="276"/>
      <c r="W1379" s="276"/>
      <c r="X1379" s="276"/>
      <c r="Y1379" s="276"/>
      <c r="Z1379" s="276"/>
      <c r="AA1379" s="276"/>
      <c r="AB1379" s="276"/>
      <c r="AC1379" s="276"/>
    </row>
    <row r="1380">
      <c r="A1380" s="92">
        <v>46107.0</v>
      </c>
      <c r="B1380" s="107" t="s">
        <v>5909</v>
      </c>
      <c r="C1380" s="107">
        <v>8.0501157215E11</v>
      </c>
      <c r="D1380" s="107" t="s">
        <v>5910</v>
      </c>
      <c r="E1380" s="107" t="s">
        <v>5911</v>
      </c>
      <c r="F1380" s="107" t="s">
        <v>5912</v>
      </c>
      <c r="G1380" s="107" t="s">
        <v>20</v>
      </c>
      <c r="H1380" s="107">
        <v>4400.0</v>
      </c>
      <c r="I1380" s="107" t="s">
        <v>1241</v>
      </c>
      <c r="J1380" s="107" t="s">
        <v>3500</v>
      </c>
      <c r="K1380" s="108">
        <v>2.0</v>
      </c>
      <c r="L1380" s="107">
        <v>3.88517411E9</v>
      </c>
      <c r="M1380" s="108"/>
      <c r="N1380" s="533">
        <v>46109.0</v>
      </c>
      <c r="O1380" s="402" t="s">
        <v>13338</v>
      </c>
      <c r="P1380" s="431"/>
      <c r="Q1380" s="430" t="s">
        <v>14064</v>
      </c>
      <c r="R1380" s="432" t="s">
        <v>14065</v>
      </c>
      <c r="S1380" s="367"/>
      <c r="T1380" s="276"/>
      <c r="U1380" s="276"/>
      <c r="V1380" s="276"/>
      <c r="W1380" s="276"/>
      <c r="X1380" s="276"/>
      <c r="Y1380" s="276"/>
      <c r="Z1380" s="276"/>
      <c r="AA1380" s="276"/>
      <c r="AB1380" s="276"/>
      <c r="AC1380" s="276"/>
    </row>
    <row r="1381">
      <c r="A1381" s="92">
        <v>46107.0</v>
      </c>
      <c r="B1381" s="107" t="s">
        <v>5909</v>
      </c>
      <c r="C1381" s="107">
        <v>8.0501157215E11</v>
      </c>
      <c r="D1381" s="107" t="s">
        <v>5910</v>
      </c>
      <c r="E1381" s="107" t="s">
        <v>5911</v>
      </c>
      <c r="F1381" s="107" t="s">
        <v>5912</v>
      </c>
      <c r="G1381" s="107" t="s">
        <v>20</v>
      </c>
      <c r="H1381" s="107">
        <v>4400.0</v>
      </c>
      <c r="I1381" s="107" t="s">
        <v>512</v>
      </c>
      <c r="J1381" s="107" t="s">
        <v>513</v>
      </c>
      <c r="K1381" s="108">
        <v>2.0</v>
      </c>
      <c r="L1381" s="107">
        <v>3.88517411E9</v>
      </c>
      <c r="M1381" s="108"/>
      <c r="N1381" s="209"/>
      <c r="O1381" s="209"/>
      <c r="P1381" s="209"/>
      <c r="Q1381" s="209"/>
      <c r="R1381" s="209"/>
      <c r="S1381" s="367"/>
      <c r="T1381" s="276"/>
      <c r="U1381" s="276"/>
      <c r="V1381" s="276"/>
      <c r="W1381" s="276"/>
      <c r="X1381" s="276"/>
      <c r="Y1381" s="276"/>
      <c r="Z1381" s="276"/>
      <c r="AA1381" s="276"/>
      <c r="AB1381" s="276"/>
      <c r="AC1381" s="276"/>
    </row>
    <row r="1382">
      <c r="A1382" s="92">
        <v>46107.0</v>
      </c>
      <c r="B1382" s="107" t="s">
        <v>5909</v>
      </c>
      <c r="C1382" s="107">
        <v>8.0501157215E11</v>
      </c>
      <c r="D1382" s="107" t="s">
        <v>5910</v>
      </c>
      <c r="E1382" s="107" t="s">
        <v>5911</v>
      </c>
      <c r="F1382" s="107" t="s">
        <v>5912</v>
      </c>
      <c r="G1382" s="107" t="s">
        <v>20</v>
      </c>
      <c r="H1382" s="107">
        <v>4400.0</v>
      </c>
      <c r="I1382" s="107" t="s">
        <v>1749</v>
      </c>
      <c r="J1382" s="107" t="s">
        <v>3240</v>
      </c>
      <c r="K1382" s="108">
        <v>2.0</v>
      </c>
      <c r="L1382" s="107">
        <v>3.88517411E9</v>
      </c>
      <c r="M1382" s="108"/>
      <c r="N1382" s="206"/>
      <c r="O1382" s="206"/>
      <c r="P1382" s="206"/>
      <c r="Q1382" s="206"/>
      <c r="R1382" s="206"/>
      <c r="S1382" s="367"/>
      <c r="T1382" s="276"/>
      <c r="U1382" s="276"/>
      <c r="V1382" s="276"/>
      <c r="W1382" s="276"/>
      <c r="X1382" s="276"/>
      <c r="Y1382" s="276"/>
      <c r="Z1382" s="276"/>
      <c r="AA1382" s="276"/>
      <c r="AB1382" s="276"/>
      <c r="AC1382" s="276"/>
    </row>
    <row r="1383">
      <c r="A1383" s="92">
        <v>46107.0</v>
      </c>
      <c r="B1383" s="107" t="s">
        <v>5914</v>
      </c>
      <c r="C1383" s="107">
        <v>8.0783900139E11</v>
      </c>
      <c r="D1383" s="107" t="s">
        <v>5915</v>
      </c>
      <c r="E1383" s="107" t="s">
        <v>5916</v>
      </c>
      <c r="F1383" s="107" t="s">
        <v>5917</v>
      </c>
      <c r="G1383" s="107" t="s">
        <v>20</v>
      </c>
      <c r="H1383" s="107">
        <v>4400.0</v>
      </c>
      <c r="I1383" s="107" t="s">
        <v>659</v>
      </c>
      <c r="J1383" s="107" t="s">
        <v>3468</v>
      </c>
      <c r="K1383" s="108">
        <v>1.0</v>
      </c>
      <c r="L1383" s="107">
        <v>3.872111282E9</v>
      </c>
      <c r="M1383" s="108"/>
      <c r="N1383" s="572">
        <v>46109.0</v>
      </c>
      <c r="O1383" s="145" t="s">
        <v>13338</v>
      </c>
      <c r="P1383" s="367"/>
      <c r="Q1383" s="261" t="s">
        <v>13339</v>
      </c>
      <c r="R1383" s="434" t="s">
        <v>14066</v>
      </c>
      <c r="S1383" s="367"/>
      <c r="T1383" s="276"/>
      <c r="U1383" s="276"/>
      <c r="V1383" s="276"/>
      <c r="W1383" s="276"/>
      <c r="X1383" s="276"/>
      <c r="Y1383" s="276"/>
      <c r="Z1383" s="276"/>
      <c r="AA1383" s="276"/>
      <c r="AB1383" s="276"/>
      <c r="AC1383" s="276"/>
    </row>
    <row r="1384">
      <c r="A1384" s="92">
        <v>46107.0</v>
      </c>
      <c r="B1384" s="107" t="s">
        <v>5919</v>
      </c>
      <c r="C1384" s="107">
        <v>8.07839001717E11</v>
      </c>
      <c r="D1384" s="107" t="s">
        <v>5920</v>
      </c>
      <c r="E1384" s="107" t="s">
        <v>5921</v>
      </c>
      <c r="F1384" s="107" t="s">
        <v>5922</v>
      </c>
      <c r="G1384" s="107" t="s">
        <v>5923</v>
      </c>
      <c r="H1384" s="107">
        <v>4530.0</v>
      </c>
      <c r="I1384" s="107" t="s">
        <v>698</v>
      </c>
      <c r="J1384" s="107" t="s">
        <v>699</v>
      </c>
      <c r="K1384" s="108">
        <v>1.0</v>
      </c>
      <c r="L1384" s="107">
        <v>3.878775111E9</v>
      </c>
      <c r="M1384" s="108"/>
      <c r="N1384" s="573">
        <v>46120.0</v>
      </c>
      <c r="O1384" s="571" t="s">
        <v>13338</v>
      </c>
      <c r="P1384" s="431"/>
      <c r="Q1384" s="430" t="s">
        <v>13339</v>
      </c>
      <c r="R1384" s="432" t="s">
        <v>14067</v>
      </c>
      <c r="S1384" s="367"/>
      <c r="T1384" s="276"/>
      <c r="U1384" s="276"/>
      <c r="V1384" s="276"/>
      <c r="W1384" s="276"/>
      <c r="X1384" s="276"/>
      <c r="Y1384" s="276"/>
      <c r="Z1384" s="276"/>
      <c r="AA1384" s="276"/>
      <c r="AB1384" s="276"/>
      <c r="AC1384" s="276"/>
    </row>
    <row r="1385">
      <c r="A1385" s="92">
        <v>46107.0</v>
      </c>
      <c r="B1385" s="107" t="s">
        <v>5925</v>
      </c>
      <c r="C1385" s="107">
        <v>8.0783900172E11</v>
      </c>
      <c r="D1385" s="107" t="s">
        <v>5920</v>
      </c>
      <c r="E1385" s="107" t="s">
        <v>5921</v>
      </c>
      <c r="F1385" s="107" t="s">
        <v>5926</v>
      </c>
      <c r="G1385" s="107" t="s">
        <v>5923</v>
      </c>
      <c r="H1385" s="107">
        <v>4530.0</v>
      </c>
      <c r="I1385" s="107" t="s">
        <v>698</v>
      </c>
      <c r="J1385" s="107" t="s">
        <v>699</v>
      </c>
      <c r="K1385" s="108">
        <v>1.0</v>
      </c>
      <c r="L1385" s="107">
        <v>3.878775111E9</v>
      </c>
      <c r="M1385" s="108"/>
      <c r="N1385" s="206"/>
      <c r="O1385" s="206"/>
      <c r="P1385" s="206"/>
      <c r="Q1385" s="206"/>
      <c r="R1385" s="206"/>
      <c r="S1385" s="367"/>
      <c r="T1385" s="276"/>
      <c r="U1385" s="276"/>
      <c r="V1385" s="276"/>
      <c r="W1385" s="276"/>
      <c r="X1385" s="276"/>
      <c r="Y1385" s="276"/>
      <c r="Z1385" s="276"/>
      <c r="AA1385" s="276"/>
      <c r="AB1385" s="276"/>
      <c r="AC1385" s="276"/>
    </row>
    <row r="1386">
      <c r="A1386" s="92">
        <v>46107.0</v>
      </c>
      <c r="B1386" s="107" t="s">
        <v>5928</v>
      </c>
      <c r="C1386" s="107">
        <v>8.05011572454E11</v>
      </c>
      <c r="D1386" s="107" t="s">
        <v>5929</v>
      </c>
      <c r="E1386" s="107" t="s">
        <v>5930</v>
      </c>
      <c r="F1386" s="107" t="s">
        <v>5931</v>
      </c>
      <c r="G1386" s="107" t="s">
        <v>20</v>
      </c>
      <c r="H1386" s="107">
        <v>4400.0</v>
      </c>
      <c r="I1386" s="107" t="s">
        <v>3641</v>
      </c>
      <c r="J1386" s="107" t="s">
        <v>3642</v>
      </c>
      <c r="K1386" s="108">
        <v>1.0</v>
      </c>
      <c r="L1386" s="107">
        <v>3.873551866E9</v>
      </c>
      <c r="M1386" s="108"/>
      <c r="N1386" s="563">
        <v>46111.0</v>
      </c>
      <c r="O1386" s="145" t="s">
        <v>13338</v>
      </c>
      <c r="P1386" s="367"/>
      <c r="Q1386" s="261" t="s">
        <v>13339</v>
      </c>
      <c r="R1386" s="434" t="s">
        <v>14068</v>
      </c>
      <c r="S1386" s="367"/>
      <c r="T1386" s="276"/>
      <c r="U1386" s="276"/>
      <c r="V1386" s="276"/>
      <c r="W1386" s="276"/>
      <c r="X1386" s="276"/>
      <c r="Y1386" s="276"/>
      <c r="Z1386" s="276"/>
      <c r="AA1386" s="276"/>
      <c r="AB1386" s="276"/>
      <c r="AC1386" s="276"/>
    </row>
    <row r="1387">
      <c r="A1387" s="92">
        <v>46107.0</v>
      </c>
      <c r="B1387" s="107" t="s">
        <v>5932</v>
      </c>
      <c r="C1387" s="107">
        <v>8.05011572479E11</v>
      </c>
      <c r="D1387" s="107" t="s">
        <v>5933</v>
      </c>
      <c r="E1387" s="107" t="s">
        <v>5934</v>
      </c>
      <c r="F1387" s="107" t="s">
        <v>5935</v>
      </c>
      <c r="G1387" s="107" t="s">
        <v>5936</v>
      </c>
      <c r="H1387" s="107">
        <v>4542.0</v>
      </c>
      <c r="I1387" s="107" t="s">
        <v>106</v>
      </c>
      <c r="J1387" s="107" t="s">
        <v>3670</v>
      </c>
      <c r="K1387" s="108">
        <v>1.0</v>
      </c>
      <c r="L1387" s="107">
        <v>3.875800897E9</v>
      </c>
      <c r="M1387" s="108"/>
      <c r="N1387" s="563">
        <v>46120.0</v>
      </c>
      <c r="O1387" s="145" t="s">
        <v>13338</v>
      </c>
      <c r="P1387" s="367"/>
      <c r="Q1387" s="261" t="s">
        <v>13339</v>
      </c>
      <c r="R1387" s="434" t="s">
        <v>14069</v>
      </c>
      <c r="S1387" s="367"/>
      <c r="T1387" s="276"/>
      <c r="U1387" s="276"/>
      <c r="V1387" s="276"/>
      <c r="W1387" s="276"/>
      <c r="X1387" s="276"/>
      <c r="Y1387" s="276"/>
      <c r="Z1387" s="276"/>
      <c r="AA1387" s="276"/>
      <c r="AB1387" s="276"/>
      <c r="AC1387" s="276"/>
    </row>
    <row r="1388">
      <c r="A1388" s="92">
        <v>46107.0</v>
      </c>
      <c r="B1388" s="107" t="s">
        <v>5937</v>
      </c>
      <c r="C1388" s="107">
        <v>8.05011572458E11</v>
      </c>
      <c r="D1388" s="107" t="s">
        <v>5938</v>
      </c>
      <c r="E1388" s="107" t="s">
        <v>5939</v>
      </c>
      <c r="F1388" s="107" t="s">
        <v>5940</v>
      </c>
      <c r="G1388" s="107" t="s">
        <v>20</v>
      </c>
      <c r="H1388" s="107">
        <v>4400.0</v>
      </c>
      <c r="I1388" s="107" t="s">
        <v>2135</v>
      </c>
      <c r="J1388" s="107" t="s">
        <v>5094</v>
      </c>
      <c r="K1388" s="108">
        <v>4.0</v>
      </c>
      <c r="L1388" s="107">
        <v>3.8745311E9</v>
      </c>
      <c r="M1388" s="108"/>
      <c r="N1388" s="563">
        <v>46109.0</v>
      </c>
      <c r="O1388" s="145" t="s">
        <v>13338</v>
      </c>
      <c r="P1388" s="367"/>
      <c r="Q1388" s="261" t="s">
        <v>13339</v>
      </c>
      <c r="R1388" s="434" t="s">
        <v>14070</v>
      </c>
      <c r="S1388" s="367"/>
      <c r="T1388" s="276"/>
      <c r="U1388" s="276"/>
      <c r="V1388" s="276"/>
      <c r="W1388" s="276"/>
      <c r="X1388" s="276"/>
      <c r="Y1388" s="276"/>
      <c r="Z1388" s="276"/>
      <c r="AA1388" s="276"/>
      <c r="AB1388" s="276"/>
      <c r="AC1388" s="276"/>
    </row>
    <row r="1389">
      <c r="A1389" s="92">
        <v>46107.0</v>
      </c>
      <c r="B1389" s="107" t="s">
        <v>5941</v>
      </c>
      <c r="C1389" s="107">
        <v>8.07839001832E11</v>
      </c>
      <c r="D1389" s="107" t="s">
        <v>5942</v>
      </c>
      <c r="E1389" s="107" t="s">
        <v>5943</v>
      </c>
      <c r="F1389" s="107" t="s">
        <v>5944</v>
      </c>
      <c r="G1389" s="107" t="s">
        <v>5945</v>
      </c>
      <c r="H1389" s="107">
        <v>4190.0</v>
      </c>
      <c r="I1389" s="107" t="s">
        <v>32</v>
      </c>
      <c r="J1389" s="107" t="s">
        <v>3225</v>
      </c>
      <c r="K1389" s="108">
        <v>1.0</v>
      </c>
      <c r="L1389" s="107">
        <v>3.876401899E9</v>
      </c>
      <c r="M1389" s="108"/>
      <c r="N1389" s="563">
        <v>46118.0</v>
      </c>
      <c r="O1389" s="145" t="s">
        <v>13338</v>
      </c>
      <c r="P1389" s="367"/>
      <c r="Q1389" s="261" t="s">
        <v>14071</v>
      </c>
      <c r="R1389" s="434" t="s">
        <v>14072</v>
      </c>
      <c r="S1389" s="367"/>
      <c r="T1389" s="276"/>
      <c r="U1389" s="276"/>
      <c r="V1389" s="276"/>
      <c r="W1389" s="276"/>
      <c r="X1389" s="276"/>
      <c r="Y1389" s="276"/>
      <c r="Z1389" s="276"/>
      <c r="AA1389" s="276"/>
      <c r="AB1389" s="276"/>
      <c r="AC1389" s="276"/>
    </row>
    <row r="1390">
      <c r="A1390" s="92">
        <v>46107.0</v>
      </c>
      <c r="B1390" s="107" t="s">
        <v>5947</v>
      </c>
      <c r="C1390" s="107">
        <v>8.07839002094E11</v>
      </c>
      <c r="D1390" s="107" t="s">
        <v>5948</v>
      </c>
      <c r="E1390" s="107" t="s">
        <v>5949</v>
      </c>
      <c r="F1390" s="107" t="s">
        <v>5950</v>
      </c>
      <c r="G1390" s="107" t="s">
        <v>20</v>
      </c>
      <c r="H1390" s="107">
        <v>4400.0</v>
      </c>
      <c r="I1390" s="107" t="s">
        <v>634</v>
      </c>
      <c r="J1390" s="107" t="s">
        <v>635</v>
      </c>
      <c r="K1390" s="108">
        <v>3.0</v>
      </c>
      <c r="L1390" s="107">
        <v>3.874570809E9</v>
      </c>
      <c r="M1390" s="108"/>
      <c r="N1390" s="572">
        <v>46109.0</v>
      </c>
      <c r="O1390" s="145" t="s">
        <v>13338</v>
      </c>
      <c r="P1390" s="367"/>
      <c r="Q1390" s="261" t="s">
        <v>13339</v>
      </c>
      <c r="R1390" s="434" t="s">
        <v>14073</v>
      </c>
      <c r="S1390" s="367"/>
      <c r="T1390" s="276"/>
      <c r="U1390" s="276"/>
      <c r="V1390" s="276"/>
      <c r="W1390" s="276"/>
      <c r="X1390" s="276"/>
      <c r="Y1390" s="276"/>
      <c r="Z1390" s="276"/>
      <c r="AA1390" s="276"/>
      <c r="AB1390" s="276"/>
      <c r="AC1390" s="276"/>
    </row>
    <row r="1391">
      <c r="A1391" s="92">
        <v>46107.0</v>
      </c>
      <c r="B1391" s="107" t="s">
        <v>5951</v>
      </c>
      <c r="C1391" s="107">
        <v>8.07839002144E11</v>
      </c>
      <c r="D1391" s="107" t="s">
        <v>5952</v>
      </c>
      <c r="E1391" s="107" t="s">
        <v>5953</v>
      </c>
      <c r="F1391" s="107" t="s">
        <v>5954</v>
      </c>
      <c r="G1391" s="107" t="s">
        <v>5955</v>
      </c>
      <c r="H1391" s="107">
        <v>4530.0</v>
      </c>
      <c r="I1391" s="107" t="s">
        <v>289</v>
      </c>
      <c r="J1391" s="107" t="s">
        <v>290</v>
      </c>
      <c r="K1391" s="108">
        <v>1.0</v>
      </c>
      <c r="L1391" s="107">
        <v>3.878503214E9</v>
      </c>
      <c r="M1391" s="108"/>
      <c r="N1391" s="563">
        <v>46120.0</v>
      </c>
      <c r="O1391" s="145" t="s">
        <v>13338</v>
      </c>
      <c r="P1391" s="367"/>
      <c r="Q1391" s="261" t="s">
        <v>14074</v>
      </c>
      <c r="R1391" s="434" t="s">
        <v>14075</v>
      </c>
      <c r="S1391" s="367"/>
      <c r="T1391" s="276"/>
      <c r="U1391" s="276"/>
      <c r="V1391" s="276"/>
      <c r="W1391" s="276"/>
      <c r="X1391" s="276"/>
      <c r="Y1391" s="276"/>
      <c r="Z1391" s="276"/>
      <c r="AA1391" s="276"/>
      <c r="AB1391" s="276"/>
      <c r="AC1391" s="276"/>
    </row>
    <row r="1392">
      <c r="A1392" s="574"/>
      <c r="B1392" s="575"/>
      <c r="C1392" s="575"/>
      <c r="D1392" s="575"/>
      <c r="E1392" s="575"/>
      <c r="F1392" s="575"/>
      <c r="G1392" s="575"/>
      <c r="H1392" s="575"/>
      <c r="I1392" s="575"/>
      <c r="J1392" s="575"/>
      <c r="K1392" s="576"/>
      <c r="L1392" s="575"/>
      <c r="M1392" s="108"/>
      <c r="N1392" s="577"/>
      <c r="O1392" s="577"/>
      <c r="P1392" s="367"/>
      <c r="Q1392" s="261"/>
      <c r="R1392" s="449"/>
      <c r="S1392" s="367"/>
      <c r="T1392" s="276"/>
      <c r="U1392" s="276"/>
      <c r="V1392" s="276"/>
      <c r="W1392" s="276"/>
      <c r="X1392" s="276"/>
      <c r="Y1392" s="276"/>
      <c r="Z1392" s="276"/>
      <c r="AA1392" s="276"/>
      <c r="AB1392" s="276"/>
      <c r="AC1392" s="276"/>
    </row>
    <row r="1393">
      <c r="A1393" s="92">
        <v>46112.0</v>
      </c>
      <c r="B1393" s="107" t="s">
        <v>5957</v>
      </c>
      <c r="C1393" s="107">
        <v>8.05011572183E11</v>
      </c>
      <c r="D1393" s="107" t="s">
        <v>5958</v>
      </c>
      <c r="E1393" s="107" t="s">
        <v>5959</v>
      </c>
      <c r="F1393" s="107" t="s">
        <v>5960</v>
      </c>
      <c r="G1393" s="107" t="s">
        <v>20</v>
      </c>
      <c r="H1393" s="107">
        <v>4400.0</v>
      </c>
      <c r="I1393" s="107" t="s">
        <v>5289</v>
      </c>
      <c r="J1393" s="107" t="s">
        <v>5290</v>
      </c>
      <c r="K1393" s="108">
        <v>1.0</v>
      </c>
      <c r="L1393" s="107">
        <v>3.874685945E9</v>
      </c>
      <c r="M1393" s="108"/>
      <c r="N1393" s="480">
        <v>46115.0</v>
      </c>
      <c r="O1393" s="402" t="s">
        <v>13338</v>
      </c>
      <c r="P1393" s="431"/>
      <c r="Q1393" s="430" t="s">
        <v>14076</v>
      </c>
      <c r="R1393" s="432" t="s">
        <v>14077</v>
      </c>
      <c r="S1393" s="367"/>
      <c r="T1393" s="276"/>
      <c r="U1393" s="276"/>
      <c r="V1393" s="276"/>
      <c r="W1393" s="276"/>
      <c r="X1393" s="276"/>
      <c r="Y1393" s="276"/>
      <c r="Z1393" s="276"/>
      <c r="AA1393" s="276"/>
      <c r="AB1393" s="276"/>
      <c r="AC1393" s="276"/>
    </row>
    <row r="1394">
      <c r="A1394" s="92">
        <v>46112.0</v>
      </c>
      <c r="B1394" s="107" t="s">
        <v>5957</v>
      </c>
      <c r="C1394" s="107">
        <v>8.05011572183E11</v>
      </c>
      <c r="D1394" s="107" t="s">
        <v>5958</v>
      </c>
      <c r="E1394" s="107" t="s">
        <v>5959</v>
      </c>
      <c r="F1394" s="107" t="s">
        <v>5960</v>
      </c>
      <c r="G1394" s="107" t="s">
        <v>20</v>
      </c>
      <c r="H1394" s="107">
        <v>4400.0</v>
      </c>
      <c r="I1394" s="107" t="s">
        <v>512</v>
      </c>
      <c r="J1394" s="107" t="s">
        <v>513</v>
      </c>
      <c r="K1394" s="108">
        <v>12.0</v>
      </c>
      <c r="L1394" s="107">
        <v>3.874685945E9</v>
      </c>
      <c r="M1394" s="108"/>
      <c r="N1394" s="209"/>
      <c r="O1394" s="209"/>
      <c r="P1394" s="209"/>
      <c r="Q1394" s="209"/>
      <c r="R1394" s="209"/>
      <c r="S1394" s="367"/>
      <c r="T1394" s="276"/>
      <c r="U1394" s="276"/>
      <c r="V1394" s="276"/>
      <c r="W1394" s="276"/>
      <c r="X1394" s="276"/>
      <c r="Y1394" s="276"/>
      <c r="Z1394" s="276"/>
      <c r="AA1394" s="276"/>
      <c r="AB1394" s="276"/>
      <c r="AC1394" s="276"/>
    </row>
    <row r="1395">
      <c r="A1395" s="92">
        <v>46112.0</v>
      </c>
      <c r="B1395" s="107" t="s">
        <v>5957</v>
      </c>
      <c r="C1395" s="107">
        <v>8.05011572183E11</v>
      </c>
      <c r="D1395" s="107" t="s">
        <v>5958</v>
      </c>
      <c r="E1395" s="107" t="s">
        <v>5959</v>
      </c>
      <c r="F1395" s="107" t="s">
        <v>5960</v>
      </c>
      <c r="G1395" s="107" t="s">
        <v>20</v>
      </c>
      <c r="H1395" s="107">
        <v>4400.0</v>
      </c>
      <c r="I1395" s="107" t="s">
        <v>645</v>
      </c>
      <c r="J1395" s="107" t="s">
        <v>3253</v>
      </c>
      <c r="K1395" s="108">
        <v>2.0</v>
      </c>
      <c r="L1395" s="107">
        <v>3.874685945E9</v>
      </c>
      <c r="M1395" s="108"/>
      <c r="N1395" s="206"/>
      <c r="O1395" s="206"/>
      <c r="P1395" s="206"/>
      <c r="Q1395" s="206"/>
      <c r="R1395" s="206"/>
      <c r="S1395" s="367"/>
      <c r="T1395" s="276"/>
      <c r="U1395" s="276"/>
      <c r="V1395" s="276"/>
      <c r="W1395" s="276"/>
      <c r="X1395" s="276"/>
      <c r="Y1395" s="276"/>
      <c r="Z1395" s="276"/>
      <c r="AA1395" s="276"/>
      <c r="AB1395" s="276"/>
      <c r="AC1395" s="276"/>
    </row>
    <row r="1396">
      <c r="A1396" s="92">
        <v>46112.0</v>
      </c>
      <c r="B1396" s="107" t="s">
        <v>5962</v>
      </c>
      <c r="C1396" s="107">
        <v>8.05011572369E11</v>
      </c>
      <c r="D1396" s="107" t="s">
        <v>5963</v>
      </c>
      <c r="E1396" s="107" t="s">
        <v>5964</v>
      </c>
      <c r="F1396" s="107" t="s">
        <v>5965</v>
      </c>
      <c r="G1396" s="107" t="s">
        <v>20</v>
      </c>
      <c r="H1396" s="107">
        <v>4400.0</v>
      </c>
      <c r="I1396" s="107" t="s">
        <v>106</v>
      </c>
      <c r="J1396" s="107" t="s">
        <v>3670</v>
      </c>
      <c r="K1396" s="108">
        <v>1.0</v>
      </c>
      <c r="L1396" s="107">
        <v>3.516217414E9</v>
      </c>
      <c r="M1396" s="108"/>
      <c r="N1396" s="563">
        <v>46114.0</v>
      </c>
      <c r="O1396" s="145" t="s">
        <v>13338</v>
      </c>
      <c r="P1396" s="367"/>
      <c r="Q1396" s="261" t="s">
        <v>14078</v>
      </c>
      <c r="R1396" s="434" t="s">
        <v>14079</v>
      </c>
      <c r="S1396" s="367"/>
      <c r="T1396" s="276"/>
      <c r="U1396" s="276"/>
      <c r="V1396" s="276"/>
      <c r="W1396" s="276"/>
      <c r="X1396" s="276"/>
      <c r="Y1396" s="276"/>
      <c r="Z1396" s="276"/>
      <c r="AA1396" s="276"/>
      <c r="AB1396" s="276"/>
      <c r="AC1396" s="276"/>
    </row>
    <row r="1397">
      <c r="A1397" s="92">
        <v>46112.0</v>
      </c>
      <c r="B1397" s="107" t="s">
        <v>5966</v>
      </c>
      <c r="C1397" s="107">
        <v>8.05011572416E11</v>
      </c>
      <c r="D1397" s="107" t="s">
        <v>5967</v>
      </c>
      <c r="E1397" s="107" t="s">
        <v>5968</v>
      </c>
      <c r="F1397" s="107" t="s">
        <v>5969</v>
      </c>
      <c r="G1397" s="107" t="s">
        <v>3945</v>
      </c>
      <c r="H1397" s="107">
        <v>4401.0</v>
      </c>
      <c r="I1397" s="107" t="s">
        <v>5970</v>
      </c>
      <c r="J1397" s="107" t="s">
        <v>5347</v>
      </c>
      <c r="K1397" s="108">
        <v>1.0</v>
      </c>
      <c r="L1397" s="107">
        <v>3.875275964E9</v>
      </c>
      <c r="M1397" s="108"/>
      <c r="N1397" s="563">
        <v>46115.0</v>
      </c>
      <c r="O1397" s="145" t="s">
        <v>13338</v>
      </c>
      <c r="P1397" s="367"/>
      <c r="Q1397" s="261" t="s">
        <v>14080</v>
      </c>
      <c r="R1397" s="434" t="s">
        <v>14081</v>
      </c>
      <c r="S1397" s="367"/>
      <c r="T1397" s="276"/>
      <c r="U1397" s="276"/>
      <c r="V1397" s="276"/>
      <c r="W1397" s="276"/>
      <c r="X1397" s="276"/>
      <c r="Y1397" s="276"/>
      <c r="Z1397" s="276"/>
      <c r="AA1397" s="276"/>
      <c r="AB1397" s="276"/>
      <c r="AC1397" s="276"/>
    </row>
    <row r="1398">
      <c r="A1398" s="92">
        <v>46112.0</v>
      </c>
      <c r="B1398" s="107" t="s">
        <v>5971</v>
      </c>
      <c r="C1398" s="107">
        <v>8.07839002332E11</v>
      </c>
      <c r="D1398" s="107" t="s">
        <v>5972</v>
      </c>
      <c r="E1398" s="107" t="s">
        <v>5973</v>
      </c>
      <c r="F1398" s="362" t="s">
        <v>5974</v>
      </c>
      <c r="G1398" s="107" t="s">
        <v>3850</v>
      </c>
      <c r="H1398" s="107">
        <v>4421.0</v>
      </c>
      <c r="I1398" s="107" t="s">
        <v>32</v>
      </c>
      <c r="J1398" s="107" t="s">
        <v>3225</v>
      </c>
      <c r="K1398" s="108">
        <v>1.0</v>
      </c>
      <c r="L1398" s="107" t="s">
        <v>5479</v>
      </c>
      <c r="M1398" s="108"/>
      <c r="N1398" s="481">
        <v>46115.0</v>
      </c>
      <c r="O1398" s="531" t="s">
        <v>13338</v>
      </c>
      <c r="P1398" s="367"/>
      <c r="Q1398" s="261" t="s">
        <v>13339</v>
      </c>
      <c r="R1398" s="434" t="s">
        <v>14082</v>
      </c>
      <c r="S1398" s="367"/>
      <c r="T1398" s="276"/>
      <c r="U1398" s="276"/>
      <c r="V1398" s="276"/>
      <c r="W1398" s="276"/>
      <c r="X1398" s="276"/>
      <c r="Y1398" s="276"/>
      <c r="Z1398" s="276"/>
      <c r="AA1398" s="276"/>
      <c r="AB1398" s="276"/>
      <c r="AC1398" s="276"/>
    </row>
    <row r="1399">
      <c r="A1399" s="92">
        <v>46112.0</v>
      </c>
      <c r="B1399" s="107" t="s">
        <v>5976</v>
      </c>
      <c r="C1399" s="107">
        <v>8.07839002396E11</v>
      </c>
      <c r="D1399" s="107" t="s">
        <v>5977</v>
      </c>
      <c r="E1399" s="107" t="s">
        <v>5978</v>
      </c>
      <c r="F1399" s="107" t="s">
        <v>5979</v>
      </c>
      <c r="G1399" s="107" t="s">
        <v>247</v>
      </c>
      <c r="H1399" s="107">
        <v>4400.0</v>
      </c>
      <c r="I1399" s="107" t="s">
        <v>698</v>
      </c>
      <c r="J1399" s="107" t="s">
        <v>699</v>
      </c>
      <c r="K1399" s="108">
        <v>1.0</v>
      </c>
      <c r="L1399" s="107">
        <v>3.874423869E9</v>
      </c>
      <c r="M1399" s="108"/>
      <c r="N1399" s="481">
        <v>46115.0</v>
      </c>
      <c r="O1399" s="531" t="s">
        <v>13338</v>
      </c>
      <c r="P1399" s="367"/>
      <c r="Q1399" s="261" t="s">
        <v>13339</v>
      </c>
      <c r="R1399" s="434" t="s">
        <v>14083</v>
      </c>
      <c r="S1399" s="367"/>
      <c r="T1399" s="276"/>
      <c r="U1399" s="276"/>
      <c r="V1399" s="276"/>
      <c r="W1399" s="276"/>
      <c r="X1399" s="276"/>
      <c r="Y1399" s="276"/>
      <c r="Z1399" s="276"/>
      <c r="AA1399" s="276"/>
      <c r="AB1399" s="276"/>
      <c r="AC1399" s="276"/>
    </row>
    <row r="1400">
      <c r="A1400" s="92">
        <v>46112.0</v>
      </c>
      <c r="B1400" s="107" t="s">
        <v>5981</v>
      </c>
      <c r="C1400" s="107">
        <v>8.07839002417E11</v>
      </c>
      <c r="D1400" s="107" t="s">
        <v>5982</v>
      </c>
      <c r="E1400" s="107" t="s">
        <v>5983</v>
      </c>
      <c r="F1400" s="107" t="s">
        <v>5984</v>
      </c>
      <c r="G1400" s="107" t="s">
        <v>278</v>
      </c>
      <c r="H1400" s="107">
        <v>4400.0</v>
      </c>
      <c r="I1400" s="107" t="s">
        <v>32</v>
      </c>
      <c r="J1400" s="107" t="s">
        <v>3225</v>
      </c>
      <c r="K1400" s="108">
        <v>1.0</v>
      </c>
      <c r="L1400" s="107">
        <v>3.876833983E9</v>
      </c>
      <c r="M1400" s="108"/>
      <c r="N1400" s="481">
        <v>46115.0</v>
      </c>
      <c r="O1400" s="531" t="s">
        <v>13338</v>
      </c>
      <c r="P1400" s="367"/>
      <c r="Q1400" s="261" t="s">
        <v>14084</v>
      </c>
      <c r="R1400" s="434" t="s">
        <v>14085</v>
      </c>
      <c r="S1400" s="367"/>
      <c r="T1400" s="276"/>
      <c r="U1400" s="276"/>
      <c r="V1400" s="276"/>
      <c r="W1400" s="276"/>
      <c r="X1400" s="276"/>
      <c r="Y1400" s="276"/>
      <c r="Z1400" s="276"/>
      <c r="AA1400" s="276"/>
      <c r="AB1400" s="276"/>
      <c r="AC1400" s="276"/>
    </row>
    <row r="1401">
      <c r="A1401" s="92">
        <v>46112.0</v>
      </c>
      <c r="B1401" s="107" t="s">
        <v>5986</v>
      </c>
      <c r="C1401" s="107">
        <v>8.05011572809E11</v>
      </c>
      <c r="D1401" s="107" t="s">
        <v>5987</v>
      </c>
      <c r="E1401" s="107" t="s">
        <v>5988</v>
      </c>
      <c r="F1401" s="107" t="s">
        <v>5989</v>
      </c>
      <c r="G1401" s="107" t="s">
        <v>20</v>
      </c>
      <c r="H1401" s="107">
        <v>4400.0</v>
      </c>
      <c r="I1401" s="107" t="s">
        <v>22</v>
      </c>
      <c r="J1401" s="107" t="s">
        <v>4013</v>
      </c>
      <c r="K1401" s="108">
        <v>1.0</v>
      </c>
      <c r="L1401" s="107">
        <v>3.872288762E9</v>
      </c>
      <c r="M1401" s="108"/>
      <c r="N1401" s="480">
        <v>46118.0</v>
      </c>
      <c r="O1401" s="402" t="s">
        <v>13338</v>
      </c>
      <c r="P1401" s="431"/>
      <c r="Q1401" s="430" t="s">
        <v>13339</v>
      </c>
      <c r="R1401" s="432" t="s">
        <v>14086</v>
      </c>
      <c r="S1401" s="367"/>
      <c r="T1401" s="276"/>
      <c r="U1401" s="276"/>
      <c r="V1401" s="276"/>
      <c r="W1401" s="276"/>
      <c r="X1401" s="276"/>
      <c r="Y1401" s="276"/>
      <c r="Z1401" s="276"/>
      <c r="AA1401" s="276"/>
      <c r="AB1401" s="276"/>
      <c r="AC1401" s="276"/>
    </row>
    <row r="1402">
      <c r="A1402" s="92">
        <v>46112.0</v>
      </c>
      <c r="B1402" s="107" t="s">
        <v>5986</v>
      </c>
      <c r="C1402" s="107">
        <v>8.05011572809E11</v>
      </c>
      <c r="D1402" s="107" t="s">
        <v>5987</v>
      </c>
      <c r="E1402" s="107" t="s">
        <v>5988</v>
      </c>
      <c r="F1402" s="107" t="s">
        <v>5989</v>
      </c>
      <c r="G1402" s="107" t="s">
        <v>20</v>
      </c>
      <c r="H1402" s="107">
        <v>4400.0</v>
      </c>
      <c r="I1402" s="107" t="s">
        <v>512</v>
      </c>
      <c r="J1402" s="107" t="s">
        <v>513</v>
      </c>
      <c r="K1402" s="108">
        <v>6.0</v>
      </c>
      <c r="L1402" s="107">
        <v>3.872288762E9</v>
      </c>
      <c r="M1402" s="108"/>
      <c r="N1402" s="209"/>
      <c r="O1402" s="209"/>
      <c r="P1402" s="209"/>
      <c r="Q1402" s="209"/>
      <c r="R1402" s="209"/>
      <c r="S1402" s="367"/>
      <c r="T1402" s="276"/>
      <c r="U1402" s="276"/>
      <c r="V1402" s="276"/>
      <c r="W1402" s="276"/>
      <c r="X1402" s="276"/>
      <c r="Y1402" s="276"/>
      <c r="Z1402" s="276"/>
      <c r="AA1402" s="276"/>
      <c r="AB1402" s="276"/>
      <c r="AC1402" s="276"/>
    </row>
    <row r="1403">
      <c r="A1403" s="92">
        <v>46112.0</v>
      </c>
      <c r="B1403" s="107" t="s">
        <v>5986</v>
      </c>
      <c r="C1403" s="107">
        <v>8.05011572809E11</v>
      </c>
      <c r="D1403" s="107" t="s">
        <v>5987</v>
      </c>
      <c r="E1403" s="107" t="s">
        <v>5988</v>
      </c>
      <c r="F1403" s="107" t="s">
        <v>5989</v>
      </c>
      <c r="G1403" s="107" t="s">
        <v>20</v>
      </c>
      <c r="H1403" s="107">
        <v>4400.0</v>
      </c>
      <c r="I1403" s="107" t="s">
        <v>25</v>
      </c>
      <c r="J1403" s="107" t="s">
        <v>3401</v>
      </c>
      <c r="K1403" s="108">
        <v>1.0</v>
      </c>
      <c r="L1403" s="107">
        <v>3.872288762E9</v>
      </c>
      <c r="M1403" s="108"/>
      <c r="N1403" s="206"/>
      <c r="O1403" s="206"/>
      <c r="P1403" s="206"/>
      <c r="Q1403" s="206"/>
      <c r="R1403" s="206"/>
      <c r="S1403" s="367"/>
      <c r="T1403" s="276"/>
      <c r="U1403" s="276"/>
      <c r="V1403" s="276"/>
      <c r="W1403" s="276"/>
      <c r="X1403" s="276"/>
      <c r="Y1403" s="276"/>
      <c r="Z1403" s="276"/>
      <c r="AA1403" s="276"/>
      <c r="AB1403" s="276"/>
      <c r="AC1403" s="276"/>
    </row>
    <row r="1404">
      <c r="A1404" s="92">
        <v>46112.0</v>
      </c>
      <c r="B1404" s="107" t="s">
        <v>5990</v>
      </c>
      <c r="C1404" s="107">
        <v>8.05011572813E11</v>
      </c>
      <c r="D1404" s="107" t="s">
        <v>5991</v>
      </c>
      <c r="E1404" s="107" t="s">
        <v>5992</v>
      </c>
      <c r="F1404" s="107" t="s">
        <v>5993</v>
      </c>
      <c r="G1404" s="107" t="s">
        <v>20</v>
      </c>
      <c r="H1404" s="107">
        <v>4400.0</v>
      </c>
      <c r="I1404" s="107" t="s">
        <v>60</v>
      </c>
      <c r="J1404" s="107" t="s">
        <v>3706</v>
      </c>
      <c r="K1404" s="108">
        <v>1.0</v>
      </c>
      <c r="L1404" s="107">
        <v>3.872157448E9</v>
      </c>
      <c r="M1404" s="108"/>
      <c r="N1404" s="480">
        <v>46115.0</v>
      </c>
      <c r="O1404" s="402" t="s">
        <v>13338</v>
      </c>
      <c r="P1404" s="431"/>
      <c r="Q1404" s="430" t="s">
        <v>13339</v>
      </c>
      <c r="R1404" s="432" t="s">
        <v>14087</v>
      </c>
      <c r="S1404" s="367"/>
      <c r="T1404" s="276"/>
      <c r="U1404" s="276"/>
      <c r="V1404" s="276"/>
      <c r="W1404" s="276"/>
      <c r="X1404" s="276"/>
      <c r="Y1404" s="276"/>
      <c r="Z1404" s="276"/>
      <c r="AA1404" s="276"/>
      <c r="AB1404" s="276"/>
      <c r="AC1404" s="276"/>
    </row>
    <row r="1405">
      <c r="A1405" s="92">
        <v>46112.0</v>
      </c>
      <c r="B1405" s="107" t="s">
        <v>5990</v>
      </c>
      <c r="C1405" s="107">
        <v>8.05011572813E11</v>
      </c>
      <c r="D1405" s="107" t="s">
        <v>5991</v>
      </c>
      <c r="E1405" s="107" t="s">
        <v>5992</v>
      </c>
      <c r="F1405" s="107" t="s">
        <v>5993</v>
      </c>
      <c r="G1405" s="107" t="s">
        <v>20</v>
      </c>
      <c r="H1405" s="107">
        <v>4400.0</v>
      </c>
      <c r="I1405" s="107" t="s">
        <v>22</v>
      </c>
      <c r="J1405" s="107" t="s">
        <v>4013</v>
      </c>
      <c r="K1405" s="108">
        <v>1.0</v>
      </c>
      <c r="L1405" s="107">
        <v>3.872157448E9</v>
      </c>
      <c r="M1405" s="108"/>
      <c r="N1405" s="209"/>
      <c r="O1405" s="209"/>
      <c r="P1405" s="209"/>
      <c r="Q1405" s="209"/>
      <c r="R1405" s="209"/>
      <c r="S1405" s="367"/>
      <c r="T1405" s="276"/>
      <c r="U1405" s="276"/>
      <c r="V1405" s="276"/>
      <c r="W1405" s="276"/>
      <c r="X1405" s="276"/>
      <c r="Y1405" s="276"/>
      <c r="Z1405" s="276"/>
      <c r="AA1405" s="276"/>
      <c r="AB1405" s="276"/>
      <c r="AC1405" s="276"/>
    </row>
    <row r="1406">
      <c r="A1406" s="92">
        <v>46112.0</v>
      </c>
      <c r="B1406" s="107" t="s">
        <v>5990</v>
      </c>
      <c r="C1406" s="107">
        <v>8.05011572813E11</v>
      </c>
      <c r="D1406" s="107" t="s">
        <v>5991</v>
      </c>
      <c r="E1406" s="107" t="s">
        <v>5992</v>
      </c>
      <c r="F1406" s="107" t="s">
        <v>5993</v>
      </c>
      <c r="G1406" s="107" t="s">
        <v>20</v>
      </c>
      <c r="H1406" s="107">
        <v>4400.0</v>
      </c>
      <c r="I1406" s="107" t="s">
        <v>512</v>
      </c>
      <c r="J1406" s="107" t="s">
        <v>513</v>
      </c>
      <c r="K1406" s="108">
        <v>6.0</v>
      </c>
      <c r="L1406" s="107">
        <v>3.872157448E9</v>
      </c>
      <c r="M1406" s="108"/>
      <c r="N1406" s="209"/>
      <c r="O1406" s="209"/>
      <c r="P1406" s="209"/>
      <c r="Q1406" s="209"/>
      <c r="R1406" s="209"/>
      <c r="S1406" s="367"/>
      <c r="T1406" s="276"/>
      <c r="U1406" s="276"/>
      <c r="V1406" s="276"/>
      <c r="W1406" s="276"/>
      <c r="X1406" s="276"/>
      <c r="Y1406" s="276"/>
      <c r="Z1406" s="276"/>
      <c r="AA1406" s="276"/>
      <c r="AB1406" s="276"/>
      <c r="AC1406" s="276"/>
    </row>
    <row r="1407">
      <c r="A1407" s="92">
        <v>46112.0</v>
      </c>
      <c r="B1407" s="107" t="s">
        <v>5990</v>
      </c>
      <c r="C1407" s="107">
        <v>8.05011572813E11</v>
      </c>
      <c r="D1407" s="107" t="s">
        <v>5991</v>
      </c>
      <c r="E1407" s="107" t="s">
        <v>5992</v>
      </c>
      <c r="F1407" s="107" t="s">
        <v>5993</v>
      </c>
      <c r="G1407" s="107" t="s">
        <v>20</v>
      </c>
      <c r="H1407" s="107">
        <v>4400.0</v>
      </c>
      <c r="I1407" s="107" t="s">
        <v>512</v>
      </c>
      <c r="J1407" s="107" t="s">
        <v>513</v>
      </c>
      <c r="K1407" s="108">
        <v>6.0</v>
      </c>
      <c r="L1407" s="107">
        <v>3.872157448E9</v>
      </c>
      <c r="M1407" s="108"/>
      <c r="N1407" s="209"/>
      <c r="O1407" s="209"/>
      <c r="P1407" s="209"/>
      <c r="Q1407" s="209"/>
      <c r="R1407" s="209"/>
      <c r="S1407" s="367"/>
      <c r="T1407" s="276"/>
      <c r="U1407" s="276"/>
      <c r="V1407" s="276"/>
      <c r="W1407" s="276"/>
      <c r="X1407" s="276"/>
      <c r="Y1407" s="276"/>
      <c r="Z1407" s="276"/>
      <c r="AA1407" s="276"/>
      <c r="AB1407" s="276"/>
      <c r="AC1407" s="276"/>
    </row>
    <row r="1408">
      <c r="A1408" s="92">
        <v>46112.0</v>
      </c>
      <c r="B1408" s="107" t="s">
        <v>5990</v>
      </c>
      <c r="C1408" s="107">
        <v>8.05011572813E11</v>
      </c>
      <c r="D1408" s="107" t="s">
        <v>5991</v>
      </c>
      <c r="E1408" s="107" t="s">
        <v>5992</v>
      </c>
      <c r="F1408" s="107" t="s">
        <v>5993</v>
      </c>
      <c r="G1408" s="107" t="s">
        <v>20</v>
      </c>
      <c r="H1408" s="107">
        <v>4400.0</v>
      </c>
      <c r="I1408" s="107" t="s">
        <v>64</v>
      </c>
      <c r="J1408" s="107" t="s">
        <v>3708</v>
      </c>
      <c r="K1408" s="108">
        <v>1.0</v>
      </c>
      <c r="L1408" s="107">
        <v>3.872157448E9</v>
      </c>
      <c r="M1408" s="108"/>
      <c r="N1408" s="209"/>
      <c r="O1408" s="209"/>
      <c r="P1408" s="209"/>
      <c r="Q1408" s="209"/>
      <c r="R1408" s="209"/>
      <c r="S1408" s="367"/>
      <c r="T1408" s="276"/>
      <c r="U1408" s="276"/>
      <c r="V1408" s="276"/>
      <c r="W1408" s="276"/>
      <c r="X1408" s="276"/>
      <c r="Y1408" s="276"/>
      <c r="Z1408" s="276"/>
      <c r="AA1408" s="276"/>
      <c r="AB1408" s="276"/>
      <c r="AC1408" s="276"/>
    </row>
    <row r="1409">
      <c r="A1409" s="92">
        <v>46112.0</v>
      </c>
      <c r="B1409" s="107" t="s">
        <v>5990</v>
      </c>
      <c r="C1409" s="107">
        <v>8.05011572813E11</v>
      </c>
      <c r="D1409" s="107" t="s">
        <v>5991</v>
      </c>
      <c r="E1409" s="107" t="s">
        <v>5992</v>
      </c>
      <c r="F1409" s="107" t="s">
        <v>5993</v>
      </c>
      <c r="G1409" s="107" t="s">
        <v>20</v>
      </c>
      <c r="H1409" s="107">
        <v>4400.0</v>
      </c>
      <c r="I1409" s="107" t="s">
        <v>25</v>
      </c>
      <c r="J1409" s="107" t="s">
        <v>3401</v>
      </c>
      <c r="K1409" s="108">
        <v>1.0</v>
      </c>
      <c r="L1409" s="107">
        <v>3.872157448E9</v>
      </c>
      <c r="M1409" s="108"/>
      <c r="N1409" s="206"/>
      <c r="O1409" s="206"/>
      <c r="P1409" s="206"/>
      <c r="Q1409" s="206"/>
      <c r="R1409" s="206"/>
      <c r="S1409" s="367"/>
      <c r="T1409" s="276"/>
      <c r="U1409" s="276"/>
      <c r="V1409" s="276"/>
      <c r="W1409" s="276"/>
      <c r="X1409" s="276"/>
      <c r="Y1409" s="276"/>
      <c r="Z1409" s="276"/>
      <c r="AA1409" s="276"/>
      <c r="AB1409" s="276"/>
      <c r="AC1409" s="276"/>
    </row>
    <row r="1410">
      <c r="A1410" s="92">
        <v>46112.0</v>
      </c>
      <c r="B1410" s="107" t="s">
        <v>5994</v>
      </c>
      <c r="C1410" s="107">
        <v>8.07025035502E11</v>
      </c>
      <c r="D1410" s="107" t="s">
        <v>5995</v>
      </c>
      <c r="E1410" s="107" t="s">
        <v>5996</v>
      </c>
      <c r="F1410" s="107" t="s">
        <v>5997</v>
      </c>
      <c r="G1410" s="107" t="s">
        <v>4041</v>
      </c>
      <c r="H1410" s="107">
        <v>4400.0</v>
      </c>
      <c r="I1410" s="107" t="s">
        <v>3154</v>
      </c>
      <c r="J1410" s="107" t="s">
        <v>4564</v>
      </c>
      <c r="K1410" s="108">
        <v>2.0</v>
      </c>
      <c r="L1410" s="107">
        <v>3.875923578E9</v>
      </c>
      <c r="M1410" s="108"/>
      <c r="N1410" s="480">
        <v>46115.0</v>
      </c>
      <c r="O1410" s="402" t="s">
        <v>13338</v>
      </c>
      <c r="P1410" s="431"/>
      <c r="Q1410" s="430" t="s">
        <v>14088</v>
      </c>
      <c r="R1410" s="432" t="s">
        <v>14089</v>
      </c>
      <c r="S1410" s="367"/>
      <c r="T1410" s="276"/>
      <c r="U1410" s="276"/>
      <c r="V1410" s="276"/>
      <c r="W1410" s="276"/>
      <c r="X1410" s="276"/>
      <c r="Y1410" s="276"/>
      <c r="Z1410" s="276"/>
      <c r="AA1410" s="276"/>
      <c r="AB1410" s="276"/>
      <c r="AC1410" s="276"/>
    </row>
    <row r="1411">
      <c r="A1411" s="92">
        <v>46112.0</v>
      </c>
      <c r="B1411" s="107" t="s">
        <v>5994</v>
      </c>
      <c r="C1411" s="107">
        <v>8.07025035502E11</v>
      </c>
      <c r="D1411" s="107" t="s">
        <v>5995</v>
      </c>
      <c r="E1411" s="107" t="s">
        <v>5996</v>
      </c>
      <c r="F1411" s="107" t="s">
        <v>5997</v>
      </c>
      <c r="G1411" s="107" t="s">
        <v>4041</v>
      </c>
      <c r="H1411" s="107">
        <v>4400.0</v>
      </c>
      <c r="I1411" s="107" t="s">
        <v>512</v>
      </c>
      <c r="J1411" s="107" t="s">
        <v>513</v>
      </c>
      <c r="K1411" s="108">
        <v>12.0</v>
      </c>
      <c r="L1411" s="107">
        <v>3.875923578E9</v>
      </c>
      <c r="M1411" s="108"/>
      <c r="N1411" s="209"/>
      <c r="O1411" s="209"/>
      <c r="P1411" s="209"/>
      <c r="Q1411" s="209"/>
      <c r="R1411" s="209"/>
      <c r="S1411" s="367"/>
      <c r="T1411" s="276"/>
      <c r="U1411" s="276"/>
      <c r="V1411" s="276"/>
      <c r="W1411" s="276"/>
      <c r="X1411" s="276"/>
      <c r="Y1411" s="276"/>
      <c r="Z1411" s="276"/>
      <c r="AA1411" s="276"/>
      <c r="AB1411" s="276"/>
      <c r="AC1411" s="276"/>
    </row>
    <row r="1412">
      <c r="A1412" s="92">
        <v>46112.0</v>
      </c>
      <c r="B1412" s="107" t="s">
        <v>5994</v>
      </c>
      <c r="C1412" s="107">
        <v>8.07025035502E11</v>
      </c>
      <c r="D1412" s="107" t="s">
        <v>5995</v>
      </c>
      <c r="E1412" s="107" t="s">
        <v>5996</v>
      </c>
      <c r="F1412" s="107" t="s">
        <v>5997</v>
      </c>
      <c r="G1412" s="107" t="s">
        <v>4041</v>
      </c>
      <c r="H1412" s="107">
        <v>4400.0</v>
      </c>
      <c r="I1412" s="107" t="s">
        <v>2031</v>
      </c>
      <c r="J1412" s="107" t="s">
        <v>3348</v>
      </c>
      <c r="K1412" s="108">
        <v>2.0</v>
      </c>
      <c r="L1412" s="107">
        <v>3.875923578E9</v>
      </c>
      <c r="M1412" s="108"/>
      <c r="N1412" s="206"/>
      <c r="O1412" s="206"/>
      <c r="P1412" s="206"/>
      <c r="Q1412" s="206"/>
      <c r="R1412" s="206"/>
      <c r="S1412" s="367"/>
      <c r="T1412" s="276"/>
      <c r="U1412" s="276"/>
      <c r="V1412" s="276"/>
      <c r="W1412" s="276"/>
      <c r="X1412" s="276"/>
      <c r="Y1412" s="276"/>
      <c r="Z1412" s="276"/>
      <c r="AA1412" s="276"/>
      <c r="AB1412" s="276"/>
      <c r="AC1412" s="276"/>
    </row>
    <row r="1413">
      <c r="A1413" s="578">
        <v>46112.0</v>
      </c>
      <c r="B1413" s="579" t="s">
        <v>5998</v>
      </c>
      <c r="C1413" s="579">
        <v>8.07839002651E11</v>
      </c>
      <c r="D1413" s="579" t="s">
        <v>5999</v>
      </c>
      <c r="E1413" s="579" t="s">
        <v>6000</v>
      </c>
      <c r="F1413" s="579" t="s">
        <v>6001</v>
      </c>
      <c r="G1413" s="579" t="s">
        <v>4025</v>
      </c>
      <c r="H1413" s="579">
        <v>4401.0</v>
      </c>
      <c r="I1413" s="579" t="s">
        <v>32</v>
      </c>
      <c r="J1413" s="579" t="s">
        <v>3225</v>
      </c>
      <c r="K1413" s="545">
        <v>1.0</v>
      </c>
      <c r="L1413" s="579">
        <v>3.875153956E9</v>
      </c>
      <c r="M1413" s="545"/>
      <c r="N1413" s="580">
        <v>46115.0</v>
      </c>
      <c r="O1413" s="566" t="s">
        <v>13338</v>
      </c>
      <c r="P1413" s="565"/>
      <c r="Q1413" s="566" t="s">
        <v>14090</v>
      </c>
      <c r="R1413" s="567" t="s">
        <v>14091</v>
      </c>
      <c r="S1413" s="367"/>
      <c r="T1413" s="276"/>
      <c r="U1413" s="276"/>
      <c r="V1413" s="276"/>
      <c r="W1413" s="276"/>
      <c r="X1413" s="276"/>
      <c r="Y1413" s="276"/>
      <c r="Z1413" s="276"/>
      <c r="AA1413" s="276"/>
      <c r="AB1413" s="276"/>
      <c r="AC1413" s="276"/>
    </row>
    <row r="1414">
      <c r="A1414" s="92">
        <v>46112.0</v>
      </c>
      <c r="B1414" s="107" t="s">
        <v>6003</v>
      </c>
      <c r="C1414" s="107">
        <v>8.07025035527E11</v>
      </c>
      <c r="D1414" s="107" t="s">
        <v>6004</v>
      </c>
      <c r="E1414" s="107" t="s">
        <v>6005</v>
      </c>
      <c r="F1414" s="107" t="s">
        <v>6006</v>
      </c>
      <c r="G1414" s="107" t="s">
        <v>127</v>
      </c>
      <c r="H1414" s="107">
        <v>4400.0</v>
      </c>
      <c r="I1414" s="107" t="s">
        <v>6007</v>
      </c>
      <c r="J1414" s="107" t="s">
        <v>6008</v>
      </c>
      <c r="K1414" s="108">
        <v>1.0</v>
      </c>
      <c r="L1414" s="107">
        <v>3.874810405E9</v>
      </c>
      <c r="M1414" s="108"/>
      <c r="N1414" s="480">
        <v>46114.0</v>
      </c>
      <c r="O1414" s="402" t="s">
        <v>9011</v>
      </c>
      <c r="P1414" s="431"/>
      <c r="Q1414" s="430" t="s">
        <v>14092</v>
      </c>
      <c r="R1414" s="432" t="s">
        <v>14093</v>
      </c>
      <c r="S1414" s="367"/>
      <c r="T1414" s="276"/>
      <c r="U1414" s="276"/>
      <c r="V1414" s="276"/>
      <c r="W1414" s="276"/>
      <c r="X1414" s="276"/>
      <c r="Y1414" s="276"/>
      <c r="Z1414" s="276"/>
      <c r="AA1414" s="276"/>
      <c r="AB1414" s="276"/>
      <c r="AC1414" s="276"/>
    </row>
    <row r="1415">
      <c r="A1415" s="92">
        <v>46112.0</v>
      </c>
      <c r="B1415" s="107" t="s">
        <v>6003</v>
      </c>
      <c r="C1415" s="107">
        <v>8.07025035527E11</v>
      </c>
      <c r="D1415" s="107" t="s">
        <v>6004</v>
      </c>
      <c r="E1415" s="107" t="s">
        <v>6005</v>
      </c>
      <c r="F1415" s="107" t="s">
        <v>6006</v>
      </c>
      <c r="G1415" s="107" t="s">
        <v>127</v>
      </c>
      <c r="H1415" s="107">
        <v>4400.0</v>
      </c>
      <c r="I1415" s="107" t="s">
        <v>3510</v>
      </c>
      <c r="J1415" s="107" t="s">
        <v>3511</v>
      </c>
      <c r="K1415" s="108">
        <v>1.0</v>
      </c>
      <c r="L1415" s="107">
        <v>3.874810405E9</v>
      </c>
      <c r="M1415" s="108"/>
      <c r="N1415" s="209"/>
      <c r="O1415" s="209"/>
      <c r="P1415" s="209"/>
      <c r="Q1415" s="209"/>
      <c r="R1415" s="209"/>
      <c r="S1415" s="367"/>
      <c r="T1415" s="276"/>
      <c r="U1415" s="276"/>
      <c r="V1415" s="276"/>
      <c r="W1415" s="276"/>
      <c r="X1415" s="276"/>
      <c r="Y1415" s="276"/>
      <c r="Z1415" s="276"/>
      <c r="AA1415" s="276"/>
      <c r="AB1415" s="276"/>
      <c r="AC1415" s="276"/>
    </row>
    <row r="1416">
      <c r="A1416" s="92">
        <v>46112.0</v>
      </c>
      <c r="B1416" s="107" t="s">
        <v>6009</v>
      </c>
      <c r="C1416" s="107">
        <v>8.07025035526E11</v>
      </c>
      <c r="D1416" s="107" t="s">
        <v>6004</v>
      </c>
      <c r="E1416" s="107" t="s">
        <v>6005</v>
      </c>
      <c r="F1416" s="107" t="s">
        <v>6006</v>
      </c>
      <c r="G1416" s="107" t="s">
        <v>127</v>
      </c>
      <c r="H1416" s="107">
        <v>4400.0</v>
      </c>
      <c r="I1416" s="107" t="s">
        <v>3512</v>
      </c>
      <c r="J1416" s="107" t="s">
        <v>3513</v>
      </c>
      <c r="K1416" s="108">
        <v>6.0</v>
      </c>
      <c r="L1416" s="107">
        <v>3.874810405E9</v>
      </c>
      <c r="M1416" s="108"/>
      <c r="N1416" s="206"/>
      <c r="O1416" s="206"/>
      <c r="P1416" s="206"/>
      <c r="Q1416" s="206"/>
      <c r="R1416" s="206"/>
      <c r="S1416" s="367"/>
      <c r="T1416" s="276"/>
      <c r="U1416" s="276"/>
      <c r="V1416" s="276"/>
      <c r="W1416" s="276"/>
      <c r="X1416" s="276"/>
      <c r="Y1416" s="276"/>
      <c r="Z1416" s="276"/>
      <c r="AA1416" s="276"/>
      <c r="AB1416" s="276"/>
      <c r="AC1416" s="276"/>
    </row>
    <row r="1417">
      <c r="A1417" s="92">
        <v>46112.0</v>
      </c>
      <c r="B1417" s="107" t="s">
        <v>6010</v>
      </c>
      <c r="C1417" s="107">
        <v>8.07025035528E11</v>
      </c>
      <c r="D1417" s="107" t="s">
        <v>6011</v>
      </c>
      <c r="E1417" s="107" t="s">
        <v>6012</v>
      </c>
      <c r="F1417" s="107" t="s">
        <v>6013</v>
      </c>
      <c r="G1417" s="107" t="s">
        <v>4496</v>
      </c>
      <c r="H1417" s="107">
        <v>4401.0</v>
      </c>
      <c r="I1417" s="107" t="s">
        <v>3641</v>
      </c>
      <c r="J1417" s="107" t="s">
        <v>3642</v>
      </c>
      <c r="K1417" s="108">
        <v>2.0</v>
      </c>
      <c r="L1417" s="107">
        <v>1.168886479E9</v>
      </c>
      <c r="M1417" s="108"/>
      <c r="N1417" s="480">
        <v>46118.0</v>
      </c>
      <c r="O1417" s="402" t="s">
        <v>13338</v>
      </c>
      <c r="P1417" s="431"/>
      <c r="Q1417" s="430" t="s">
        <v>9012</v>
      </c>
      <c r="R1417" s="432" t="s">
        <v>14094</v>
      </c>
      <c r="S1417" s="367"/>
      <c r="T1417" s="276"/>
      <c r="U1417" s="276"/>
      <c r="V1417" s="276"/>
      <c r="W1417" s="276"/>
      <c r="X1417" s="276"/>
      <c r="Y1417" s="276"/>
      <c r="Z1417" s="276"/>
      <c r="AA1417" s="276"/>
      <c r="AB1417" s="276"/>
      <c r="AC1417" s="276"/>
    </row>
    <row r="1418">
      <c r="A1418" s="92">
        <v>46112.0</v>
      </c>
      <c r="B1418" s="107" t="s">
        <v>6010</v>
      </c>
      <c r="C1418" s="107">
        <v>8.07025035528E11</v>
      </c>
      <c r="D1418" s="107" t="s">
        <v>6011</v>
      </c>
      <c r="E1418" s="107" t="s">
        <v>6012</v>
      </c>
      <c r="F1418" s="107" t="s">
        <v>6013</v>
      </c>
      <c r="G1418" s="107" t="s">
        <v>4496</v>
      </c>
      <c r="H1418" s="107">
        <v>4401.0</v>
      </c>
      <c r="I1418" s="107" t="s">
        <v>4793</v>
      </c>
      <c r="J1418" s="107" t="s">
        <v>4794</v>
      </c>
      <c r="K1418" s="108">
        <v>2.0</v>
      </c>
      <c r="L1418" s="107">
        <v>1.168886479E9</v>
      </c>
      <c r="M1418" s="108"/>
      <c r="N1418" s="206"/>
      <c r="O1418" s="206"/>
      <c r="P1418" s="206"/>
      <c r="Q1418" s="206"/>
      <c r="R1418" s="206"/>
      <c r="S1418" s="367"/>
      <c r="T1418" s="276"/>
      <c r="U1418" s="276"/>
      <c r="V1418" s="276"/>
      <c r="W1418" s="276"/>
      <c r="X1418" s="276"/>
      <c r="Y1418" s="276"/>
      <c r="Z1418" s="276"/>
      <c r="AA1418" s="276"/>
      <c r="AB1418" s="276"/>
      <c r="AC1418" s="276"/>
    </row>
    <row r="1419">
      <c r="A1419" s="92">
        <v>46112.0</v>
      </c>
      <c r="B1419" s="107" t="s">
        <v>6015</v>
      </c>
      <c r="C1419" s="107">
        <v>8.0501157305E11</v>
      </c>
      <c r="D1419" s="107" t="s">
        <v>6016</v>
      </c>
      <c r="E1419" s="107" t="s">
        <v>6017</v>
      </c>
      <c r="F1419" s="107" t="s">
        <v>6018</v>
      </c>
      <c r="G1419" s="107" t="s">
        <v>20</v>
      </c>
      <c r="H1419" s="107">
        <v>4400.0</v>
      </c>
      <c r="I1419" s="107" t="s">
        <v>22</v>
      </c>
      <c r="J1419" s="107" t="s">
        <v>4013</v>
      </c>
      <c r="K1419" s="108">
        <v>1.0</v>
      </c>
      <c r="L1419" s="107">
        <f t="shared" ref="L1419:L1421" si="3">+5493875215062</f>
        <v>5493875215062</v>
      </c>
      <c r="M1419" s="108"/>
      <c r="N1419" s="480">
        <v>46116.0</v>
      </c>
      <c r="O1419" s="402" t="s">
        <v>13338</v>
      </c>
      <c r="P1419" s="431"/>
      <c r="Q1419" s="430" t="s">
        <v>13339</v>
      </c>
      <c r="R1419" s="432" t="s">
        <v>14095</v>
      </c>
      <c r="S1419" s="367"/>
      <c r="T1419" s="276"/>
      <c r="U1419" s="276"/>
      <c r="V1419" s="276"/>
      <c r="W1419" s="276"/>
      <c r="X1419" s="276"/>
      <c r="Y1419" s="276"/>
      <c r="Z1419" s="276"/>
      <c r="AA1419" s="276"/>
      <c r="AB1419" s="276"/>
      <c r="AC1419" s="276"/>
    </row>
    <row r="1420">
      <c r="A1420" s="92">
        <v>46112.0</v>
      </c>
      <c r="B1420" s="107" t="s">
        <v>6015</v>
      </c>
      <c r="C1420" s="107">
        <v>8.0501157305E11</v>
      </c>
      <c r="D1420" s="107" t="s">
        <v>6016</v>
      </c>
      <c r="E1420" s="107" t="s">
        <v>6017</v>
      </c>
      <c r="F1420" s="107" t="s">
        <v>6018</v>
      </c>
      <c r="G1420" s="107" t="s">
        <v>20</v>
      </c>
      <c r="H1420" s="107">
        <v>4400.0</v>
      </c>
      <c r="I1420" s="107" t="s">
        <v>512</v>
      </c>
      <c r="J1420" s="107" t="s">
        <v>513</v>
      </c>
      <c r="K1420" s="108">
        <v>1.0</v>
      </c>
      <c r="L1420" s="107">
        <f t="shared" si="3"/>
        <v>5493875215062</v>
      </c>
      <c r="M1420" s="108"/>
      <c r="N1420" s="209"/>
      <c r="O1420" s="209"/>
      <c r="P1420" s="209"/>
      <c r="Q1420" s="209"/>
      <c r="R1420" s="209"/>
      <c r="S1420" s="367"/>
      <c r="T1420" s="276"/>
      <c r="U1420" s="276"/>
      <c r="V1420" s="276"/>
      <c r="W1420" s="276"/>
      <c r="X1420" s="276"/>
      <c r="Y1420" s="276"/>
      <c r="Z1420" s="276"/>
      <c r="AA1420" s="276"/>
      <c r="AB1420" s="276"/>
      <c r="AC1420" s="276"/>
    </row>
    <row r="1421">
      <c r="A1421" s="92">
        <v>46112.0</v>
      </c>
      <c r="B1421" s="107" t="s">
        <v>6015</v>
      </c>
      <c r="C1421" s="107">
        <v>8.0501157305E11</v>
      </c>
      <c r="D1421" s="107" t="s">
        <v>6016</v>
      </c>
      <c r="E1421" s="107" t="s">
        <v>6017</v>
      </c>
      <c r="F1421" s="107" t="s">
        <v>6018</v>
      </c>
      <c r="G1421" s="107" t="s">
        <v>20</v>
      </c>
      <c r="H1421" s="107">
        <v>4400.0</v>
      </c>
      <c r="I1421" s="107" t="s">
        <v>25</v>
      </c>
      <c r="J1421" s="107" t="s">
        <v>3401</v>
      </c>
      <c r="K1421" s="108">
        <v>1.0</v>
      </c>
      <c r="L1421" s="107">
        <f t="shared" si="3"/>
        <v>5493875215062</v>
      </c>
      <c r="M1421" s="108"/>
      <c r="N1421" s="206"/>
      <c r="O1421" s="206"/>
      <c r="P1421" s="206"/>
      <c r="Q1421" s="206"/>
      <c r="R1421" s="206"/>
      <c r="S1421" s="367"/>
      <c r="T1421" s="276"/>
      <c r="U1421" s="276"/>
      <c r="V1421" s="276"/>
      <c r="W1421" s="276"/>
      <c r="X1421" s="276"/>
      <c r="Y1421" s="276"/>
      <c r="Z1421" s="276"/>
      <c r="AA1421" s="276"/>
      <c r="AB1421" s="276"/>
      <c r="AC1421" s="276"/>
    </row>
    <row r="1422">
      <c r="A1422" s="92">
        <v>46112.0</v>
      </c>
      <c r="B1422" s="107" t="s">
        <v>6019</v>
      </c>
      <c r="C1422" s="107">
        <v>8.05011573111E11</v>
      </c>
      <c r="D1422" s="107" t="s">
        <v>6020</v>
      </c>
      <c r="E1422" s="107" t="s">
        <v>6021</v>
      </c>
      <c r="F1422" s="107" t="s">
        <v>6022</v>
      </c>
      <c r="G1422" s="107" t="s">
        <v>624</v>
      </c>
      <c r="H1422" s="107">
        <v>4403.0</v>
      </c>
      <c r="I1422" s="107" t="s">
        <v>2956</v>
      </c>
      <c r="J1422" s="107" t="s">
        <v>3327</v>
      </c>
      <c r="K1422" s="108">
        <v>1.0</v>
      </c>
      <c r="L1422" s="107">
        <v>2.213058695E9</v>
      </c>
      <c r="M1422" s="108"/>
      <c r="N1422" s="480">
        <v>46115.0</v>
      </c>
      <c r="O1422" s="402" t="s">
        <v>13338</v>
      </c>
      <c r="P1422" s="431"/>
      <c r="Q1422" s="430" t="s">
        <v>13339</v>
      </c>
      <c r="R1422" s="432" t="s">
        <v>14096</v>
      </c>
      <c r="S1422" s="367"/>
      <c r="T1422" s="276"/>
      <c r="U1422" s="276"/>
      <c r="V1422" s="276"/>
      <c r="W1422" s="276"/>
      <c r="X1422" s="276"/>
      <c r="Y1422" s="276"/>
      <c r="Z1422" s="276"/>
      <c r="AA1422" s="276"/>
      <c r="AB1422" s="276"/>
      <c r="AC1422" s="276"/>
    </row>
    <row r="1423">
      <c r="A1423" s="92">
        <v>46112.0</v>
      </c>
      <c r="B1423" s="107" t="s">
        <v>6019</v>
      </c>
      <c r="C1423" s="107">
        <v>8.05011573111E11</v>
      </c>
      <c r="D1423" s="107" t="s">
        <v>6020</v>
      </c>
      <c r="E1423" s="107" t="s">
        <v>6021</v>
      </c>
      <c r="F1423" s="107" t="s">
        <v>6022</v>
      </c>
      <c r="G1423" s="107" t="s">
        <v>624</v>
      </c>
      <c r="H1423" s="107">
        <v>4403.0</v>
      </c>
      <c r="I1423" s="107" t="s">
        <v>3054</v>
      </c>
      <c r="J1423" s="107" t="s">
        <v>3346</v>
      </c>
      <c r="K1423" s="108">
        <v>1.0</v>
      </c>
      <c r="L1423" s="107">
        <v>2.213058695E9</v>
      </c>
      <c r="M1423" s="108"/>
      <c r="N1423" s="206"/>
      <c r="O1423" s="206"/>
      <c r="P1423" s="206"/>
      <c r="Q1423" s="206"/>
      <c r="R1423" s="206"/>
      <c r="S1423" s="367"/>
      <c r="T1423" s="276"/>
      <c r="U1423" s="276"/>
      <c r="V1423" s="276"/>
      <c r="W1423" s="276"/>
      <c r="X1423" s="276"/>
      <c r="Y1423" s="276"/>
      <c r="Z1423" s="276"/>
      <c r="AA1423" s="276"/>
      <c r="AB1423" s="276"/>
      <c r="AC1423" s="276"/>
    </row>
    <row r="1424">
      <c r="A1424" s="92">
        <v>46112.0</v>
      </c>
      <c r="B1424" s="107" t="s">
        <v>6023</v>
      </c>
      <c r="C1424" s="107">
        <v>8.07839002885E11</v>
      </c>
      <c r="D1424" s="107" t="s">
        <v>6024</v>
      </c>
      <c r="E1424" s="107" t="s">
        <v>6025</v>
      </c>
      <c r="F1424" s="107" t="s">
        <v>6026</v>
      </c>
      <c r="G1424" s="107" t="s">
        <v>582</v>
      </c>
      <c r="H1424" s="107">
        <v>4407.0</v>
      </c>
      <c r="I1424" s="107" t="s">
        <v>1040</v>
      </c>
      <c r="J1424" s="107" t="s">
        <v>3294</v>
      </c>
      <c r="K1424" s="108">
        <v>1.0</v>
      </c>
      <c r="L1424" s="107">
        <v>3.874149914E9</v>
      </c>
      <c r="M1424" s="108"/>
      <c r="N1424" s="480">
        <v>46115.0</v>
      </c>
      <c r="O1424" s="402" t="s">
        <v>13338</v>
      </c>
      <c r="P1424" s="431"/>
      <c r="Q1424" s="430" t="s">
        <v>9012</v>
      </c>
      <c r="R1424" s="432" t="s">
        <v>14097</v>
      </c>
      <c r="S1424" s="367"/>
      <c r="T1424" s="276"/>
      <c r="U1424" s="276"/>
      <c r="V1424" s="276"/>
      <c r="W1424" s="276"/>
      <c r="X1424" s="276"/>
      <c r="Y1424" s="276"/>
      <c r="Z1424" s="276"/>
      <c r="AA1424" s="276"/>
      <c r="AB1424" s="276"/>
      <c r="AC1424" s="276"/>
    </row>
    <row r="1425">
      <c r="A1425" s="92">
        <v>46112.0</v>
      </c>
      <c r="B1425" s="107" t="s">
        <v>6023</v>
      </c>
      <c r="C1425" s="107">
        <v>8.07839002885E11</v>
      </c>
      <c r="D1425" s="107" t="s">
        <v>6024</v>
      </c>
      <c r="E1425" s="107" t="s">
        <v>6025</v>
      </c>
      <c r="F1425" s="107" t="s">
        <v>6026</v>
      </c>
      <c r="G1425" s="107" t="s">
        <v>582</v>
      </c>
      <c r="H1425" s="107">
        <v>4407.0</v>
      </c>
      <c r="I1425" s="107" t="s">
        <v>512</v>
      </c>
      <c r="J1425" s="107" t="s">
        <v>513</v>
      </c>
      <c r="K1425" s="108">
        <v>1.0</v>
      </c>
      <c r="L1425" s="107">
        <v>3.874149914E9</v>
      </c>
      <c r="M1425" s="108"/>
      <c r="N1425" s="209"/>
      <c r="O1425" s="209"/>
      <c r="P1425" s="209"/>
      <c r="Q1425" s="209"/>
      <c r="R1425" s="209"/>
      <c r="S1425" s="367"/>
      <c r="T1425" s="276"/>
      <c r="U1425" s="276"/>
      <c r="V1425" s="276"/>
      <c r="W1425" s="276"/>
      <c r="X1425" s="276"/>
      <c r="Y1425" s="276"/>
      <c r="Z1425" s="276"/>
      <c r="AA1425" s="276"/>
      <c r="AB1425" s="276"/>
      <c r="AC1425" s="276"/>
    </row>
    <row r="1426">
      <c r="A1426" s="92">
        <v>46112.0</v>
      </c>
      <c r="B1426" s="107" t="s">
        <v>6023</v>
      </c>
      <c r="C1426" s="107">
        <v>8.07839002885E11</v>
      </c>
      <c r="D1426" s="107" t="s">
        <v>6024</v>
      </c>
      <c r="E1426" s="107" t="s">
        <v>6025</v>
      </c>
      <c r="F1426" s="107" t="s">
        <v>6026</v>
      </c>
      <c r="G1426" s="107" t="s">
        <v>582</v>
      </c>
      <c r="H1426" s="107">
        <v>4407.0</v>
      </c>
      <c r="I1426" s="107" t="s">
        <v>969</v>
      </c>
      <c r="J1426" s="107" t="s">
        <v>3296</v>
      </c>
      <c r="K1426" s="108">
        <v>1.0</v>
      </c>
      <c r="L1426" s="107">
        <v>3.874149914E9</v>
      </c>
      <c r="M1426" s="108"/>
      <c r="N1426" s="206"/>
      <c r="O1426" s="206"/>
      <c r="P1426" s="206"/>
      <c r="Q1426" s="206"/>
      <c r="R1426" s="206"/>
      <c r="S1426" s="367"/>
      <c r="T1426" s="276"/>
      <c r="U1426" s="276"/>
      <c r="V1426" s="276"/>
      <c r="W1426" s="276"/>
      <c r="X1426" s="276"/>
      <c r="Y1426" s="276"/>
      <c r="Z1426" s="276"/>
      <c r="AA1426" s="276"/>
      <c r="AB1426" s="276"/>
      <c r="AC1426" s="276"/>
    </row>
    <row r="1427">
      <c r="A1427" s="578">
        <v>46119.0</v>
      </c>
      <c r="B1427" s="579" t="s">
        <v>6027</v>
      </c>
      <c r="C1427" s="579">
        <v>8.05011572902E11</v>
      </c>
      <c r="D1427" s="579" t="s">
        <v>6028</v>
      </c>
      <c r="E1427" s="579" t="s">
        <v>6029</v>
      </c>
      <c r="F1427" s="579" t="s">
        <v>1877</v>
      </c>
      <c r="G1427" s="579" t="s">
        <v>20</v>
      </c>
      <c r="H1427" s="579" t="s">
        <v>20</v>
      </c>
      <c r="I1427" s="579" t="s">
        <v>1878</v>
      </c>
      <c r="J1427" s="579">
        <v>3.875705307E9</v>
      </c>
      <c r="K1427" s="579">
        <v>125822.0</v>
      </c>
      <c r="L1427" s="579" t="s">
        <v>6030</v>
      </c>
      <c r="M1427" s="545">
        <v>2.0</v>
      </c>
      <c r="N1427" s="581"/>
      <c r="O1427" s="581"/>
      <c r="P1427" s="565"/>
      <c r="Q1427" s="566"/>
      <c r="R1427" s="582"/>
      <c r="S1427" s="367"/>
      <c r="T1427" s="276"/>
      <c r="U1427" s="276"/>
      <c r="V1427" s="276"/>
      <c r="W1427" s="276"/>
      <c r="X1427" s="276"/>
      <c r="Y1427" s="276"/>
      <c r="Z1427" s="276"/>
      <c r="AA1427" s="276"/>
      <c r="AB1427" s="276"/>
      <c r="AC1427" s="276"/>
    </row>
    <row r="1428">
      <c r="A1428" s="85">
        <v>46119.0</v>
      </c>
      <c r="B1428" s="31" t="s">
        <v>6031</v>
      </c>
      <c r="C1428" s="31">
        <v>8.07025035579E11</v>
      </c>
      <c r="D1428" s="31" t="s">
        <v>6032</v>
      </c>
      <c r="E1428" s="31" t="s">
        <v>6033</v>
      </c>
      <c r="F1428" s="31" t="s">
        <v>6034</v>
      </c>
      <c r="G1428" s="31" t="s">
        <v>127</v>
      </c>
      <c r="H1428" s="31" t="s">
        <v>20</v>
      </c>
      <c r="I1428" s="31">
        <v>4400.0</v>
      </c>
      <c r="J1428" s="31">
        <v>3.874852971E9</v>
      </c>
      <c r="K1428" s="31" t="s">
        <v>302</v>
      </c>
      <c r="L1428" s="31" t="s">
        <v>303</v>
      </c>
      <c r="M1428" s="33">
        <v>1.0</v>
      </c>
      <c r="N1428" s="429">
        <v>46122.0</v>
      </c>
      <c r="O1428" s="430" t="s">
        <v>13338</v>
      </c>
      <c r="P1428" s="534"/>
      <c r="Q1428" s="430" t="s">
        <v>13339</v>
      </c>
      <c r="R1428" s="432" t="s">
        <v>14098</v>
      </c>
      <c r="S1428" s="367"/>
      <c r="T1428" s="276"/>
      <c r="U1428" s="276"/>
      <c r="V1428" s="276"/>
      <c r="W1428" s="276"/>
      <c r="X1428" s="276"/>
      <c r="Y1428" s="276"/>
      <c r="Z1428" s="276"/>
      <c r="AA1428" s="276"/>
      <c r="AB1428" s="276"/>
      <c r="AC1428" s="276"/>
    </row>
    <row r="1429">
      <c r="A1429" s="85">
        <v>46119.0</v>
      </c>
      <c r="B1429" s="31" t="s">
        <v>6031</v>
      </c>
      <c r="C1429" s="31">
        <v>8.07025035579E11</v>
      </c>
      <c r="D1429" s="31" t="s">
        <v>6032</v>
      </c>
      <c r="E1429" s="31" t="s">
        <v>6033</v>
      </c>
      <c r="F1429" s="31" t="s">
        <v>6034</v>
      </c>
      <c r="G1429" s="31" t="s">
        <v>127</v>
      </c>
      <c r="H1429" s="31" t="s">
        <v>20</v>
      </c>
      <c r="I1429" s="31">
        <v>4400.0</v>
      </c>
      <c r="J1429" s="31">
        <v>3.874852971E9</v>
      </c>
      <c r="K1429" s="31" t="s">
        <v>298</v>
      </c>
      <c r="L1429" s="31" t="s">
        <v>6035</v>
      </c>
      <c r="M1429" s="33">
        <v>1.0</v>
      </c>
      <c r="N1429" s="206"/>
      <c r="O1429" s="206"/>
      <c r="P1429" s="206"/>
      <c r="Q1429" s="206"/>
      <c r="R1429" s="206"/>
      <c r="S1429" s="367"/>
      <c r="T1429" s="276"/>
      <c r="U1429" s="276"/>
      <c r="V1429" s="276"/>
      <c r="W1429" s="276"/>
      <c r="X1429" s="276"/>
      <c r="Y1429" s="276"/>
      <c r="Z1429" s="276"/>
      <c r="AA1429" s="276"/>
      <c r="AB1429" s="276"/>
      <c r="AC1429" s="276"/>
    </row>
    <row r="1430">
      <c r="A1430" s="85">
        <v>46119.0</v>
      </c>
      <c r="B1430" s="31" t="s">
        <v>6036</v>
      </c>
      <c r="C1430" s="31">
        <v>8.05011572142E11</v>
      </c>
      <c r="D1430" s="31" t="s">
        <v>6037</v>
      </c>
      <c r="E1430" s="31" t="s">
        <v>6038</v>
      </c>
      <c r="F1430" s="31" t="s">
        <v>6039</v>
      </c>
      <c r="G1430" s="31" t="s">
        <v>20</v>
      </c>
      <c r="H1430" s="31" t="s">
        <v>20</v>
      </c>
      <c r="I1430" s="31">
        <v>4400.0</v>
      </c>
      <c r="J1430" s="31">
        <v>3.875108362E9</v>
      </c>
      <c r="K1430" s="31" t="s">
        <v>5185</v>
      </c>
      <c r="L1430" s="31" t="s">
        <v>5186</v>
      </c>
      <c r="M1430" s="33">
        <v>1.0</v>
      </c>
      <c r="N1430" s="429">
        <v>46122.0</v>
      </c>
      <c r="O1430" s="430" t="s">
        <v>13338</v>
      </c>
      <c r="P1430" s="534"/>
      <c r="Q1430" s="430" t="s">
        <v>14099</v>
      </c>
      <c r="R1430" s="432" t="s">
        <v>14100</v>
      </c>
      <c r="S1430" s="367"/>
      <c r="T1430" s="276"/>
      <c r="U1430" s="276"/>
      <c r="V1430" s="276"/>
      <c r="W1430" s="276"/>
      <c r="X1430" s="276"/>
      <c r="Y1430" s="276"/>
      <c r="Z1430" s="276"/>
      <c r="AA1430" s="276"/>
      <c r="AB1430" s="276"/>
      <c r="AC1430" s="276"/>
    </row>
    <row r="1431">
      <c r="A1431" s="85">
        <v>46119.0</v>
      </c>
      <c r="B1431" s="31" t="s">
        <v>6036</v>
      </c>
      <c r="C1431" s="31">
        <v>8.05011572142E11</v>
      </c>
      <c r="D1431" s="31" t="s">
        <v>6037</v>
      </c>
      <c r="E1431" s="31" t="s">
        <v>6038</v>
      </c>
      <c r="F1431" s="31" t="s">
        <v>6039</v>
      </c>
      <c r="G1431" s="31" t="s">
        <v>20</v>
      </c>
      <c r="H1431" s="31" t="s">
        <v>20</v>
      </c>
      <c r="I1431" s="31">
        <v>4400.0</v>
      </c>
      <c r="J1431" s="31">
        <v>3.875108362E9</v>
      </c>
      <c r="K1431" s="31" t="s">
        <v>512</v>
      </c>
      <c r="L1431" s="31" t="s">
        <v>513</v>
      </c>
      <c r="M1431" s="33">
        <v>6.0</v>
      </c>
      <c r="N1431" s="209"/>
      <c r="O1431" s="209"/>
      <c r="P1431" s="209"/>
      <c r="Q1431" s="209"/>
      <c r="R1431" s="209"/>
      <c r="S1431" s="367"/>
      <c r="T1431" s="276"/>
      <c r="U1431" s="276"/>
      <c r="V1431" s="276"/>
      <c r="W1431" s="276"/>
      <c r="X1431" s="276"/>
      <c r="Y1431" s="276"/>
      <c r="Z1431" s="276"/>
      <c r="AA1431" s="276"/>
      <c r="AB1431" s="276"/>
      <c r="AC1431" s="276"/>
    </row>
    <row r="1432">
      <c r="A1432" s="85">
        <v>46119.0</v>
      </c>
      <c r="B1432" s="31" t="s">
        <v>6036</v>
      </c>
      <c r="C1432" s="31">
        <v>8.05011572142E11</v>
      </c>
      <c r="D1432" s="31" t="s">
        <v>6037</v>
      </c>
      <c r="E1432" s="31" t="s">
        <v>6038</v>
      </c>
      <c r="F1432" s="31" t="s">
        <v>6039</v>
      </c>
      <c r="G1432" s="31" t="s">
        <v>20</v>
      </c>
      <c r="H1432" s="31" t="s">
        <v>20</v>
      </c>
      <c r="I1432" s="31">
        <v>4400.0</v>
      </c>
      <c r="J1432" s="31">
        <v>3.875108362E9</v>
      </c>
      <c r="K1432" s="31" t="s">
        <v>2031</v>
      </c>
      <c r="L1432" s="31" t="s">
        <v>3348</v>
      </c>
      <c r="M1432" s="33">
        <v>1.0</v>
      </c>
      <c r="N1432" s="206"/>
      <c r="O1432" s="206"/>
      <c r="P1432" s="206"/>
      <c r="Q1432" s="206"/>
      <c r="R1432" s="206"/>
      <c r="S1432" s="367"/>
      <c r="T1432" s="276"/>
      <c r="U1432" s="276"/>
      <c r="V1432" s="276"/>
      <c r="W1432" s="276"/>
      <c r="X1432" s="276"/>
      <c r="Y1432" s="276"/>
      <c r="Z1432" s="276"/>
      <c r="AA1432" s="276"/>
      <c r="AB1432" s="276"/>
      <c r="AC1432" s="276"/>
    </row>
    <row r="1433">
      <c r="A1433" s="583">
        <v>46119.0</v>
      </c>
      <c r="B1433" s="470" t="s">
        <v>6041</v>
      </c>
      <c r="C1433" s="470">
        <v>8.0501157234E11</v>
      </c>
      <c r="D1433" s="470" t="s">
        <v>6042</v>
      </c>
      <c r="E1433" s="470" t="s">
        <v>6043</v>
      </c>
      <c r="F1433" s="470" t="s">
        <v>6044</v>
      </c>
      <c r="G1433" s="470" t="s">
        <v>6045</v>
      </c>
      <c r="H1433" s="470" t="s">
        <v>20</v>
      </c>
      <c r="I1433" s="470">
        <v>4440.0</v>
      </c>
      <c r="J1433" s="470">
        <v>2.984791433E9</v>
      </c>
      <c r="K1433" s="470" t="s">
        <v>5185</v>
      </c>
      <c r="L1433" s="470" t="s">
        <v>5186</v>
      </c>
      <c r="M1433" s="471">
        <v>1.0</v>
      </c>
      <c r="N1433" s="584">
        <v>46127.0</v>
      </c>
      <c r="O1433" s="585" t="s">
        <v>13338</v>
      </c>
      <c r="P1433" s="586"/>
      <c r="Q1433" s="585" t="s">
        <v>13339</v>
      </c>
      <c r="R1433" s="587" t="s">
        <v>14101</v>
      </c>
      <c r="S1433" s="367"/>
      <c r="T1433" s="276"/>
      <c r="U1433" s="276"/>
      <c r="V1433" s="276"/>
      <c r="W1433" s="276"/>
      <c r="X1433" s="276"/>
      <c r="Y1433" s="276"/>
      <c r="Z1433" s="276"/>
      <c r="AA1433" s="276"/>
      <c r="AB1433" s="276"/>
      <c r="AC1433" s="276"/>
    </row>
    <row r="1434">
      <c r="A1434" s="583">
        <v>46119.0</v>
      </c>
      <c r="B1434" s="470" t="s">
        <v>6041</v>
      </c>
      <c r="C1434" s="470">
        <v>8.0501157234E11</v>
      </c>
      <c r="D1434" s="470" t="s">
        <v>6042</v>
      </c>
      <c r="E1434" s="470" t="s">
        <v>6043</v>
      </c>
      <c r="F1434" s="470" t="s">
        <v>6044</v>
      </c>
      <c r="G1434" s="470" t="s">
        <v>6045</v>
      </c>
      <c r="H1434" s="470" t="s">
        <v>20</v>
      </c>
      <c r="I1434" s="470">
        <v>4440.0</v>
      </c>
      <c r="J1434" s="470">
        <v>2.984791433E9</v>
      </c>
      <c r="K1434" s="470" t="s">
        <v>512</v>
      </c>
      <c r="L1434" s="470" t="s">
        <v>513</v>
      </c>
      <c r="M1434" s="471">
        <v>6.0</v>
      </c>
      <c r="N1434" s="209"/>
      <c r="O1434" s="209"/>
      <c r="P1434" s="209"/>
      <c r="Q1434" s="209"/>
      <c r="R1434" s="209"/>
      <c r="S1434" s="367"/>
      <c r="T1434" s="276"/>
      <c r="U1434" s="276"/>
      <c r="V1434" s="276"/>
      <c r="W1434" s="276"/>
      <c r="X1434" s="276"/>
      <c r="Y1434" s="276"/>
      <c r="Z1434" s="276"/>
      <c r="AA1434" s="276"/>
      <c r="AB1434" s="276"/>
      <c r="AC1434" s="276"/>
    </row>
    <row r="1435">
      <c r="A1435" s="583">
        <v>46119.0</v>
      </c>
      <c r="B1435" s="470" t="s">
        <v>6041</v>
      </c>
      <c r="C1435" s="470">
        <v>8.0501157234E11</v>
      </c>
      <c r="D1435" s="470" t="s">
        <v>6042</v>
      </c>
      <c r="E1435" s="470" t="s">
        <v>6043</v>
      </c>
      <c r="F1435" s="470" t="s">
        <v>6044</v>
      </c>
      <c r="G1435" s="470" t="s">
        <v>6045</v>
      </c>
      <c r="H1435" s="470" t="s">
        <v>20</v>
      </c>
      <c r="I1435" s="470">
        <v>4440.0</v>
      </c>
      <c r="J1435" s="470">
        <v>2.984791433E9</v>
      </c>
      <c r="K1435" s="470" t="s">
        <v>2031</v>
      </c>
      <c r="L1435" s="470" t="s">
        <v>3348</v>
      </c>
      <c r="M1435" s="471">
        <v>1.0</v>
      </c>
      <c r="N1435" s="206"/>
      <c r="O1435" s="206"/>
      <c r="P1435" s="206"/>
      <c r="Q1435" s="206"/>
      <c r="R1435" s="206"/>
      <c r="S1435" s="367"/>
      <c r="T1435" s="276"/>
      <c r="U1435" s="276"/>
      <c r="V1435" s="276"/>
      <c r="W1435" s="276"/>
      <c r="X1435" s="276"/>
      <c r="Y1435" s="276"/>
      <c r="Z1435" s="276"/>
      <c r="AA1435" s="276"/>
      <c r="AB1435" s="276"/>
      <c r="AC1435" s="276"/>
    </row>
    <row r="1436">
      <c r="A1436" s="583">
        <v>46119.0</v>
      </c>
      <c r="B1436" s="470" t="s">
        <v>6046</v>
      </c>
      <c r="C1436" s="470">
        <v>8.07025035602E11</v>
      </c>
      <c r="D1436" s="470" t="s">
        <v>6047</v>
      </c>
      <c r="E1436" s="470" t="s">
        <v>6048</v>
      </c>
      <c r="F1436" s="470" t="s">
        <v>6049</v>
      </c>
      <c r="G1436" s="470" t="s">
        <v>127</v>
      </c>
      <c r="H1436" s="470" t="s">
        <v>20</v>
      </c>
      <c r="I1436" s="470">
        <v>4400.0</v>
      </c>
      <c r="J1436" s="470">
        <v>3.874737373E9</v>
      </c>
      <c r="K1436" s="470" t="s">
        <v>5262</v>
      </c>
      <c r="L1436" s="470" t="s">
        <v>5263</v>
      </c>
      <c r="M1436" s="471">
        <v>1.0</v>
      </c>
      <c r="N1436" s="588">
        <v>46122.0</v>
      </c>
      <c r="O1436" s="213" t="s">
        <v>13338</v>
      </c>
      <c r="P1436" s="589"/>
      <c r="Q1436" s="590" t="s">
        <v>14060</v>
      </c>
      <c r="R1436" s="591" t="s">
        <v>14102</v>
      </c>
      <c r="S1436" s="367"/>
      <c r="T1436" s="276"/>
      <c r="U1436" s="276"/>
      <c r="V1436" s="276"/>
      <c r="W1436" s="276"/>
      <c r="X1436" s="276"/>
      <c r="Y1436" s="276"/>
      <c r="Z1436" s="276"/>
      <c r="AA1436" s="276"/>
      <c r="AB1436" s="276"/>
      <c r="AC1436" s="276"/>
    </row>
    <row r="1437">
      <c r="A1437" s="85">
        <v>46119.0</v>
      </c>
      <c r="B1437" s="31" t="s">
        <v>6051</v>
      </c>
      <c r="C1437" s="31">
        <v>8.0702503561E11</v>
      </c>
      <c r="D1437" s="31" t="s">
        <v>6052</v>
      </c>
      <c r="E1437" s="31" t="s">
        <v>6053</v>
      </c>
      <c r="F1437" s="31" t="s">
        <v>6054</v>
      </c>
      <c r="G1437" s="31" t="s">
        <v>127</v>
      </c>
      <c r="H1437" s="31" t="s">
        <v>20</v>
      </c>
      <c r="I1437" s="31">
        <v>4400.0</v>
      </c>
      <c r="J1437" s="31">
        <v>3.875843195E9</v>
      </c>
      <c r="K1437" s="31" t="s">
        <v>4695</v>
      </c>
      <c r="L1437" s="31" t="s">
        <v>4696</v>
      </c>
      <c r="M1437" s="33">
        <v>1.0</v>
      </c>
      <c r="N1437" s="429">
        <v>46122.0</v>
      </c>
      <c r="O1437" s="430" t="s">
        <v>13338</v>
      </c>
      <c r="P1437" s="534"/>
      <c r="Q1437" s="430" t="s">
        <v>9012</v>
      </c>
      <c r="R1437" s="432" t="s">
        <v>14103</v>
      </c>
      <c r="S1437" s="367"/>
      <c r="T1437" s="276"/>
      <c r="U1437" s="276"/>
      <c r="V1437" s="276"/>
      <c r="W1437" s="276"/>
      <c r="X1437" s="276"/>
      <c r="Y1437" s="276"/>
      <c r="Z1437" s="276"/>
      <c r="AA1437" s="276"/>
      <c r="AB1437" s="276"/>
      <c r="AC1437" s="276"/>
    </row>
    <row r="1438">
      <c r="A1438" s="85">
        <v>46119.0</v>
      </c>
      <c r="B1438" s="31" t="s">
        <v>6051</v>
      </c>
      <c r="C1438" s="31">
        <v>8.0702503561E11</v>
      </c>
      <c r="D1438" s="31" t="s">
        <v>6052</v>
      </c>
      <c r="E1438" s="31" t="s">
        <v>6053</v>
      </c>
      <c r="F1438" s="31" t="s">
        <v>6054</v>
      </c>
      <c r="G1438" s="31" t="s">
        <v>127</v>
      </c>
      <c r="H1438" s="31" t="s">
        <v>20</v>
      </c>
      <c r="I1438" s="31">
        <v>4400.0</v>
      </c>
      <c r="J1438" s="31">
        <v>3.875843195E9</v>
      </c>
      <c r="K1438" s="31" t="s">
        <v>4133</v>
      </c>
      <c r="L1438" s="31" t="s">
        <v>4134</v>
      </c>
      <c r="M1438" s="33">
        <v>1.0</v>
      </c>
      <c r="N1438" s="206"/>
      <c r="O1438" s="206"/>
      <c r="P1438" s="206"/>
      <c r="Q1438" s="206"/>
      <c r="R1438" s="206"/>
      <c r="S1438" s="367"/>
      <c r="T1438" s="276"/>
      <c r="U1438" s="276"/>
      <c r="V1438" s="276"/>
      <c r="W1438" s="276"/>
      <c r="X1438" s="276"/>
      <c r="Y1438" s="276"/>
      <c r="Z1438" s="276"/>
      <c r="AA1438" s="276"/>
      <c r="AB1438" s="276"/>
      <c r="AC1438" s="276"/>
    </row>
    <row r="1439">
      <c r="A1439" s="576"/>
      <c r="B1439" s="592"/>
      <c r="C1439" s="593"/>
      <c r="D1439" s="593"/>
      <c r="E1439" s="593"/>
      <c r="F1439" s="594"/>
      <c r="G1439" s="595"/>
      <c r="H1439" s="595"/>
      <c r="I1439" s="596"/>
      <c r="J1439" s="593"/>
      <c r="K1439" s="595"/>
      <c r="L1439" s="595"/>
      <c r="M1439" s="597"/>
      <c r="N1439" s="481"/>
      <c r="O1439" s="531"/>
      <c r="P1439" s="387"/>
      <c r="Q1439" s="261"/>
      <c r="R1439" s="449"/>
      <c r="S1439" s="367"/>
      <c r="T1439" s="276"/>
      <c r="U1439" s="276"/>
      <c r="V1439" s="276"/>
      <c r="W1439" s="276"/>
      <c r="X1439" s="276"/>
      <c r="Y1439" s="276"/>
      <c r="Z1439" s="276"/>
      <c r="AA1439" s="276"/>
      <c r="AB1439" s="276"/>
      <c r="AC1439" s="276"/>
    </row>
    <row r="1440">
      <c r="A1440" s="108" t="s">
        <v>12493</v>
      </c>
      <c r="B1440" s="173">
        <v>46123.0</v>
      </c>
      <c r="C1440" s="374">
        <v>8.07000035693E11</v>
      </c>
      <c r="D1440" s="374" t="s">
        <v>12494</v>
      </c>
      <c r="E1440" s="374" t="s">
        <v>12495</v>
      </c>
      <c r="F1440" s="177" t="s">
        <v>12496</v>
      </c>
      <c r="G1440" s="177" t="s">
        <v>127</v>
      </c>
      <c r="H1440" s="177">
        <v>4400.0</v>
      </c>
      <c r="I1440" s="176" t="s">
        <v>512</v>
      </c>
      <c r="J1440" s="374" t="s">
        <v>513</v>
      </c>
      <c r="K1440" s="177">
        <v>6.0</v>
      </c>
      <c r="L1440" s="174">
        <v>3.875670108E9</v>
      </c>
      <c r="M1440" s="387"/>
      <c r="N1440" s="480">
        <v>46123.0</v>
      </c>
      <c r="O1440" s="402" t="s">
        <v>13338</v>
      </c>
      <c r="P1440" s="534"/>
      <c r="Q1440" s="430" t="s">
        <v>13339</v>
      </c>
      <c r="R1440" s="432" t="s">
        <v>14104</v>
      </c>
      <c r="S1440" s="367"/>
      <c r="T1440" s="276"/>
      <c r="U1440" s="276"/>
      <c r="V1440" s="276"/>
      <c r="W1440" s="276"/>
      <c r="X1440" s="276"/>
      <c r="Y1440" s="276"/>
      <c r="Z1440" s="276"/>
      <c r="AA1440" s="276"/>
      <c r="AB1440" s="276"/>
      <c r="AC1440" s="276"/>
    </row>
    <row r="1441">
      <c r="A1441" s="108" t="s">
        <v>12493</v>
      </c>
      <c r="B1441" s="173">
        <v>46123.0</v>
      </c>
      <c r="C1441" s="374">
        <v>8.07000035694E11</v>
      </c>
      <c r="D1441" s="374" t="s">
        <v>12494</v>
      </c>
      <c r="E1441" s="374" t="s">
        <v>12495</v>
      </c>
      <c r="F1441" s="177" t="s">
        <v>12496</v>
      </c>
      <c r="G1441" s="177" t="s">
        <v>127</v>
      </c>
      <c r="H1441" s="177">
        <v>4400.0</v>
      </c>
      <c r="I1441" s="176" t="s">
        <v>6573</v>
      </c>
      <c r="J1441" s="374" t="s">
        <v>6574</v>
      </c>
      <c r="K1441" s="177">
        <v>1.0</v>
      </c>
      <c r="L1441" s="174">
        <v>3.875670108E9</v>
      </c>
      <c r="M1441" s="387"/>
      <c r="N1441" s="209"/>
      <c r="O1441" s="209"/>
      <c r="P1441" s="209"/>
      <c r="Q1441" s="209"/>
      <c r="R1441" s="209"/>
      <c r="S1441" s="367"/>
      <c r="T1441" s="276"/>
      <c r="U1441" s="276"/>
      <c r="V1441" s="276"/>
      <c r="W1441" s="276"/>
      <c r="X1441" s="276"/>
      <c r="Y1441" s="276"/>
      <c r="Z1441" s="276"/>
      <c r="AA1441" s="276"/>
      <c r="AB1441" s="276"/>
      <c r="AC1441" s="276"/>
    </row>
    <row r="1442">
      <c r="A1442" s="108" t="s">
        <v>12493</v>
      </c>
      <c r="B1442" s="173">
        <v>46123.0</v>
      </c>
      <c r="C1442" s="374">
        <v>8.07000035694E11</v>
      </c>
      <c r="D1442" s="374" t="s">
        <v>12494</v>
      </c>
      <c r="E1442" s="374" t="s">
        <v>12495</v>
      </c>
      <c r="F1442" s="177" t="s">
        <v>12496</v>
      </c>
      <c r="G1442" s="177" t="s">
        <v>127</v>
      </c>
      <c r="H1442" s="177">
        <v>4400.0</v>
      </c>
      <c r="I1442" s="176" t="s">
        <v>35</v>
      </c>
      <c r="J1442" s="374" t="s">
        <v>3188</v>
      </c>
      <c r="K1442" s="177">
        <v>1.0</v>
      </c>
      <c r="L1442" s="174">
        <v>3.875670108E9</v>
      </c>
      <c r="M1442" s="387"/>
      <c r="N1442" s="206"/>
      <c r="O1442" s="206"/>
      <c r="P1442" s="206"/>
      <c r="Q1442" s="206"/>
      <c r="R1442" s="206"/>
      <c r="S1442" s="367"/>
      <c r="T1442" s="276"/>
      <c r="U1442" s="276"/>
      <c r="V1442" s="276"/>
      <c r="W1442" s="276"/>
      <c r="X1442" s="276"/>
      <c r="Y1442" s="276"/>
      <c r="Z1442" s="276"/>
      <c r="AA1442" s="276"/>
      <c r="AB1442" s="276"/>
      <c r="AC1442" s="276"/>
    </row>
    <row r="1443">
      <c r="A1443" s="108" t="s">
        <v>12497</v>
      </c>
      <c r="B1443" s="173">
        <v>46123.0</v>
      </c>
      <c r="C1443" s="374">
        <v>8.07000035701E11</v>
      </c>
      <c r="D1443" s="374" t="s">
        <v>12498</v>
      </c>
      <c r="E1443" s="374" t="s">
        <v>12499</v>
      </c>
      <c r="F1443" s="177" t="s">
        <v>12500</v>
      </c>
      <c r="G1443" s="177" t="s">
        <v>127</v>
      </c>
      <c r="H1443" s="177">
        <v>4400.0</v>
      </c>
      <c r="I1443" s="176">
        <v>208501.0</v>
      </c>
      <c r="J1443" s="374" t="s">
        <v>481</v>
      </c>
      <c r="K1443" s="177">
        <v>1.0</v>
      </c>
      <c r="L1443" s="174">
        <v>3.874206731E9</v>
      </c>
      <c r="M1443" s="387"/>
      <c r="N1443" s="480">
        <v>46123.0</v>
      </c>
      <c r="O1443" s="402" t="s">
        <v>13338</v>
      </c>
      <c r="P1443" s="534"/>
      <c r="Q1443" s="430" t="s">
        <v>13339</v>
      </c>
      <c r="R1443" s="432" t="s">
        <v>14105</v>
      </c>
      <c r="S1443" s="367"/>
      <c r="T1443" s="276"/>
      <c r="U1443" s="276"/>
      <c r="V1443" s="276"/>
      <c r="W1443" s="276"/>
      <c r="X1443" s="276"/>
      <c r="Y1443" s="276"/>
      <c r="Z1443" s="276"/>
      <c r="AA1443" s="276"/>
      <c r="AB1443" s="276"/>
      <c r="AC1443" s="276"/>
    </row>
    <row r="1444">
      <c r="A1444" s="108" t="s">
        <v>12497</v>
      </c>
      <c r="B1444" s="173">
        <v>46123.0</v>
      </c>
      <c r="C1444" s="374">
        <v>8.07000035701E11</v>
      </c>
      <c r="D1444" s="374" t="s">
        <v>12498</v>
      </c>
      <c r="E1444" s="374" t="s">
        <v>12499</v>
      </c>
      <c r="F1444" s="177" t="s">
        <v>12500</v>
      </c>
      <c r="G1444" s="177" t="s">
        <v>127</v>
      </c>
      <c r="H1444" s="177">
        <v>4400.0</v>
      </c>
      <c r="I1444" s="176">
        <v>208502.0</v>
      </c>
      <c r="J1444" s="374" t="s">
        <v>4551</v>
      </c>
      <c r="K1444" s="177">
        <v>2.0</v>
      </c>
      <c r="L1444" s="174">
        <v>3.874206731E9</v>
      </c>
      <c r="M1444" s="387"/>
      <c r="N1444" s="209"/>
      <c r="O1444" s="209"/>
      <c r="P1444" s="209"/>
      <c r="Q1444" s="209"/>
      <c r="R1444" s="209"/>
      <c r="S1444" s="367"/>
      <c r="T1444" s="276"/>
      <c r="U1444" s="276"/>
      <c r="V1444" s="276"/>
      <c r="W1444" s="276"/>
      <c r="X1444" s="276"/>
      <c r="Y1444" s="276"/>
      <c r="Z1444" s="276"/>
      <c r="AA1444" s="276"/>
      <c r="AB1444" s="276"/>
      <c r="AC1444" s="276"/>
    </row>
    <row r="1445">
      <c r="A1445" s="108" t="s">
        <v>12497</v>
      </c>
      <c r="B1445" s="173">
        <v>46123.0</v>
      </c>
      <c r="C1445" s="374">
        <v>8.07000035701E11</v>
      </c>
      <c r="D1445" s="374" t="s">
        <v>12498</v>
      </c>
      <c r="E1445" s="374" t="s">
        <v>12499</v>
      </c>
      <c r="F1445" s="177" t="s">
        <v>12500</v>
      </c>
      <c r="G1445" s="177" t="s">
        <v>127</v>
      </c>
      <c r="H1445" s="177">
        <v>4400.0</v>
      </c>
      <c r="I1445" s="176" t="s">
        <v>3512</v>
      </c>
      <c r="J1445" s="374" t="s">
        <v>3513</v>
      </c>
      <c r="K1445" s="177">
        <v>12.0</v>
      </c>
      <c r="L1445" s="174">
        <v>3.874206731E9</v>
      </c>
      <c r="M1445" s="387"/>
      <c r="N1445" s="209"/>
      <c r="O1445" s="209"/>
      <c r="P1445" s="209"/>
      <c r="Q1445" s="209"/>
      <c r="R1445" s="209"/>
      <c r="S1445" s="367"/>
      <c r="T1445" s="276"/>
      <c r="U1445" s="276"/>
      <c r="V1445" s="276"/>
      <c r="W1445" s="276"/>
      <c r="X1445" s="276"/>
      <c r="Y1445" s="276"/>
      <c r="Z1445" s="276"/>
      <c r="AA1445" s="276"/>
      <c r="AB1445" s="276"/>
      <c r="AC1445" s="276"/>
    </row>
    <row r="1446">
      <c r="A1446" s="108" t="s">
        <v>12501</v>
      </c>
      <c r="B1446" s="173">
        <v>46123.0</v>
      </c>
      <c r="C1446" s="374">
        <v>8.07000035703E11</v>
      </c>
      <c r="D1446" s="374" t="s">
        <v>12498</v>
      </c>
      <c r="E1446" s="374" t="s">
        <v>12499</v>
      </c>
      <c r="F1446" s="177" t="s">
        <v>12500</v>
      </c>
      <c r="G1446" s="177" t="s">
        <v>127</v>
      </c>
      <c r="H1446" s="177">
        <v>4400.0</v>
      </c>
      <c r="I1446" s="176" t="s">
        <v>9725</v>
      </c>
      <c r="J1446" s="374" t="s">
        <v>9726</v>
      </c>
      <c r="K1446" s="177">
        <v>1.0</v>
      </c>
      <c r="L1446" s="174">
        <v>3.874206731E9</v>
      </c>
      <c r="M1446" s="387"/>
      <c r="N1446" s="209"/>
      <c r="O1446" s="209"/>
      <c r="P1446" s="209"/>
      <c r="Q1446" s="209"/>
      <c r="R1446" s="209"/>
      <c r="S1446" s="367"/>
      <c r="T1446" s="276"/>
      <c r="U1446" s="276"/>
      <c r="V1446" s="276"/>
      <c r="W1446" s="276"/>
      <c r="X1446" s="276"/>
      <c r="Y1446" s="276"/>
      <c r="Z1446" s="276"/>
      <c r="AA1446" s="276"/>
      <c r="AB1446" s="276"/>
      <c r="AC1446" s="276"/>
    </row>
    <row r="1447">
      <c r="A1447" s="108" t="s">
        <v>12501</v>
      </c>
      <c r="B1447" s="173">
        <v>46123.0</v>
      </c>
      <c r="C1447" s="374">
        <v>8.07000035703E11</v>
      </c>
      <c r="D1447" s="374" t="s">
        <v>12498</v>
      </c>
      <c r="E1447" s="374" t="s">
        <v>12499</v>
      </c>
      <c r="F1447" s="177" t="s">
        <v>12500</v>
      </c>
      <c r="G1447" s="177" t="s">
        <v>127</v>
      </c>
      <c r="H1447" s="177">
        <v>4400.0</v>
      </c>
      <c r="I1447" s="176" t="s">
        <v>6835</v>
      </c>
      <c r="J1447" s="374" t="s">
        <v>8150</v>
      </c>
      <c r="K1447" s="177">
        <v>2.0</v>
      </c>
      <c r="L1447" s="174">
        <v>3.874206731E9</v>
      </c>
      <c r="M1447" s="387"/>
      <c r="N1447" s="206"/>
      <c r="O1447" s="206"/>
      <c r="P1447" s="206"/>
      <c r="Q1447" s="206"/>
      <c r="R1447" s="206"/>
      <c r="S1447" s="367"/>
      <c r="T1447" s="276"/>
      <c r="U1447" s="276"/>
      <c r="V1447" s="276"/>
      <c r="W1447" s="276"/>
      <c r="X1447" s="276"/>
      <c r="Y1447" s="276"/>
      <c r="Z1447" s="276"/>
      <c r="AA1447" s="276"/>
      <c r="AB1447" s="276"/>
      <c r="AC1447" s="276"/>
    </row>
    <row r="1448">
      <c r="A1448" s="108" t="s">
        <v>12502</v>
      </c>
      <c r="B1448" s="173">
        <v>46123.0</v>
      </c>
      <c r="C1448" s="374">
        <v>8.07000035704E11</v>
      </c>
      <c r="D1448" s="374" t="s">
        <v>12503</v>
      </c>
      <c r="E1448" s="374" t="s">
        <v>12504</v>
      </c>
      <c r="F1448" s="177" t="s">
        <v>12505</v>
      </c>
      <c r="G1448" s="177" t="s">
        <v>127</v>
      </c>
      <c r="H1448" s="177">
        <v>4400.0</v>
      </c>
      <c r="I1448" s="374" t="s">
        <v>512</v>
      </c>
      <c r="J1448" s="374" t="s">
        <v>513</v>
      </c>
      <c r="K1448" s="177">
        <v>12.0</v>
      </c>
      <c r="L1448" s="174">
        <v>3.874672874E9</v>
      </c>
      <c r="M1448" s="387"/>
      <c r="N1448" s="480">
        <v>46123.0</v>
      </c>
      <c r="O1448" s="402" t="s">
        <v>13338</v>
      </c>
      <c r="P1448" s="534"/>
      <c r="Q1448" s="430" t="s">
        <v>13339</v>
      </c>
      <c r="R1448" s="432" t="s">
        <v>14106</v>
      </c>
      <c r="S1448" s="367"/>
      <c r="T1448" s="276"/>
      <c r="U1448" s="276"/>
      <c r="V1448" s="276"/>
      <c r="W1448" s="276"/>
      <c r="X1448" s="276"/>
      <c r="Y1448" s="276"/>
      <c r="Z1448" s="276"/>
      <c r="AA1448" s="276"/>
      <c r="AB1448" s="276"/>
      <c r="AC1448" s="276"/>
    </row>
    <row r="1449">
      <c r="A1449" s="108" t="s">
        <v>12502</v>
      </c>
      <c r="B1449" s="173">
        <v>46123.0</v>
      </c>
      <c r="C1449" s="374">
        <v>8.07000035705E11</v>
      </c>
      <c r="D1449" s="374" t="s">
        <v>12503</v>
      </c>
      <c r="E1449" s="374" t="s">
        <v>12504</v>
      </c>
      <c r="F1449" s="177" t="s">
        <v>12505</v>
      </c>
      <c r="G1449" s="177" t="s">
        <v>127</v>
      </c>
      <c r="H1449" s="177">
        <v>4400.0</v>
      </c>
      <c r="I1449" s="374" t="s">
        <v>8763</v>
      </c>
      <c r="J1449" s="374" t="s">
        <v>8764</v>
      </c>
      <c r="K1449" s="177">
        <v>1.0</v>
      </c>
      <c r="L1449" s="174">
        <v>3.874672874E9</v>
      </c>
      <c r="M1449" s="387"/>
      <c r="N1449" s="209"/>
      <c r="O1449" s="209"/>
      <c r="P1449" s="209"/>
      <c r="Q1449" s="209"/>
      <c r="R1449" s="209"/>
      <c r="S1449" s="367"/>
      <c r="T1449" s="276"/>
      <c r="U1449" s="276"/>
      <c r="V1449" s="276"/>
      <c r="W1449" s="276"/>
      <c r="X1449" s="276"/>
      <c r="Y1449" s="276"/>
      <c r="Z1449" s="276"/>
      <c r="AA1449" s="276"/>
      <c r="AB1449" s="276"/>
      <c r="AC1449" s="276"/>
    </row>
    <row r="1450">
      <c r="A1450" s="108" t="s">
        <v>12502</v>
      </c>
      <c r="B1450" s="173">
        <v>46123.0</v>
      </c>
      <c r="C1450" s="374">
        <v>8.07000035705E11</v>
      </c>
      <c r="D1450" s="374" t="s">
        <v>12503</v>
      </c>
      <c r="E1450" s="374" t="s">
        <v>12504</v>
      </c>
      <c r="F1450" s="177" t="s">
        <v>12505</v>
      </c>
      <c r="G1450" s="177" t="s">
        <v>127</v>
      </c>
      <c r="H1450" s="177">
        <v>4400.0</v>
      </c>
      <c r="I1450" s="374" t="s">
        <v>233</v>
      </c>
      <c r="J1450" s="374" t="s">
        <v>3459</v>
      </c>
      <c r="K1450" s="177">
        <v>2.0</v>
      </c>
      <c r="L1450" s="174">
        <v>3.874672874E9</v>
      </c>
      <c r="M1450" s="387"/>
      <c r="N1450" s="206"/>
      <c r="O1450" s="206"/>
      <c r="P1450" s="206"/>
      <c r="Q1450" s="206"/>
      <c r="R1450" s="206"/>
      <c r="S1450" s="367"/>
      <c r="T1450" s="276"/>
      <c r="U1450" s="276"/>
      <c r="V1450" s="276"/>
      <c r="W1450" s="276"/>
      <c r="X1450" s="276"/>
      <c r="Y1450" s="276"/>
      <c r="Z1450" s="276"/>
      <c r="AA1450" s="276"/>
      <c r="AB1450" s="276"/>
      <c r="AC1450" s="276"/>
    </row>
    <row r="1451">
      <c r="A1451" s="108" t="s">
        <v>12506</v>
      </c>
      <c r="B1451" s="173">
        <v>46123.0</v>
      </c>
      <c r="C1451" s="374">
        <v>8.07000035707E11</v>
      </c>
      <c r="D1451" s="374" t="s">
        <v>12507</v>
      </c>
      <c r="E1451" s="374" t="s">
        <v>12508</v>
      </c>
      <c r="F1451" s="177" t="s">
        <v>12509</v>
      </c>
      <c r="G1451" s="177" t="s">
        <v>127</v>
      </c>
      <c r="H1451" s="177">
        <v>4400.0</v>
      </c>
      <c r="I1451" s="374" t="s">
        <v>512</v>
      </c>
      <c r="J1451" s="374" t="s">
        <v>513</v>
      </c>
      <c r="K1451" s="177">
        <v>6.0</v>
      </c>
      <c r="L1451" s="174">
        <v>3.512732871E9</v>
      </c>
      <c r="M1451" s="387"/>
      <c r="N1451" s="480">
        <v>46123.0</v>
      </c>
      <c r="O1451" s="402" t="s">
        <v>13338</v>
      </c>
      <c r="P1451" s="534"/>
      <c r="Q1451" s="430" t="s">
        <v>13339</v>
      </c>
      <c r="R1451" s="432" t="s">
        <v>14107</v>
      </c>
      <c r="S1451" s="367"/>
      <c r="T1451" s="276"/>
      <c r="U1451" s="276"/>
      <c r="V1451" s="276"/>
      <c r="W1451" s="276"/>
      <c r="X1451" s="276"/>
      <c r="Y1451" s="276"/>
      <c r="Z1451" s="276"/>
      <c r="AA1451" s="276"/>
      <c r="AB1451" s="276"/>
      <c r="AC1451" s="276"/>
    </row>
    <row r="1452">
      <c r="A1452" s="108" t="s">
        <v>12510</v>
      </c>
      <c r="B1452" s="173">
        <v>46123.0</v>
      </c>
      <c r="C1452" s="374">
        <v>8.07000035708E11</v>
      </c>
      <c r="D1452" s="374" t="s">
        <v>12507</v>
      </c>
      <c r="E1452" s="374" t="s">
        <v>12508</v>
      </c>
      <c r="F1452" s="177" t="s">
        <v>12509</v>
      </c>
      <c r="G1452" s="177" t="s">
        <v>127</v>
      </c>
      <c r="H1452" s="177">
        <v>4400.0</v>
      </c>
      <c r="I1452" s="374" t="s">
        <v>659</v>
      </c>
      <c r="J1452" s="374" t="s">
        <v>3468</v>
      </c>
      <c r="K1452" s="177">
        <v>1.0</v>
      </c>
      <c r="L1452" s="174">
        <v>3.512732871E9</v>
      </c>
      <c r="M1452" s="387"/>
      <c r="N1452" s="209"/>
      <c r="O1452" s="209"/>
      <c r="P1452" s="209"/>
      <c r="Q1452" s="209"/>
      <c r="R1452" s="209"/>
      <c r="S1452" s="367"/>
      <c r="T1452" s="276"/>
      <c r="U1452" s="276"/>
      <c r="V1452" s="276"/>
      <c r="W1452" s="276"/>
      <c r="X1452" s="276"/>
      <c r="Y1452" s="276"/>
      <c r="Z1452" s="276"/>
      <c r="AA1452" s="276"/>
      <c r="AB1452" s="276"/>
      <c r="AC1452" s="276"/>
    </row>
    <row r="1453">
      <c r="A1453" s="108" t="s">
        <v>12510</v>
      </c>
      <c r="B1453" s="173">
        <v>46123.0</v>
      </c>
      <c r="C1453" s="374">
        <v>8.07000035708E11</v>
      </c>
      <c r="D1453" s="374" t="s">
        <v>12507</v>
      </c>
      <c r="E1453" s="374" t="s">
        <v>12508</v>
      </c>
      <c r="F1453" s="177" t="s">
        <v>12509</v>
      </c>
      <c r="G1453" s="177" t="s">
        <v>127</v>
      </c>
      <c r="H1453" s="177">
        <v>4400.0</v>
      </c>
      <c r="I1453" s="374" t="s">
        <v>35</v>
      </c>
      <c r="J1453" s="374" t="s">
        <v>3188</v>
      </c>
      <c r="K1453" s="177">
        <v>1.0</v>
      </c>
      <c r="L1453" s="174">
        <v>3.512732871E9</v>
      </c>
      <c r="M1453" s="387"/>
      <c r="N1453" s="206"/>
      <c r="O1453" s="206"/>
      <c r="P1453" s="206"/>
      <c r="Q1453" s="206"/>
      <c r="R1453" s="206"/>
      <c r="S1453" s="367"/>
      <c r="T1453" s="276"/>
      <c r="U1453" s="276"/>
      <c r="V1453" s="276"/>
      <c r="W1453" s="276"/>
      <c r="X1453" s="276"/>
      <c r="Y1453" s="276"/>
      <c r="Z1453" s="276"/>
      <c r="AA1453" s="276"/>
      <c r="AB1453" s="276"/>
      <c r="AC1453" s="276"/>
    </row>
    <row r="1454">
      <c r="A1454" s="108" t="s">
        <v>12511</v>
      </c>
      <c r="B1454" s="173">
        <v>46125.0</v>
      </c>
      <c r="C1454" s="374">
        <v>8.0700003571E11</v>
      </c>
      <c r="D1454" s="374" t="s">
        <v>12512</v>
      </c>
      <c r="E1454" s="374" t="s">
        <v>12513</v>
      </c>
      <c r="F1454" s="177" t="s">
        <v>12514</v>
      </c>
      <c r="G1454" s="177" t="s">
        <v>4645</v>
      </c>
      <c r="H1454" s="177">
        <v>4400.0</v>
      </c>
      <c r="I1454" s="374" t="s">
        <v>6343</v>
      </c>
      <c r="J1454" s="374" t="s">
        <v>6435</v>
      </c>
      <c r="K1454" s="177">
        <v>1.0</v>
      </c>
      <c r="L1454" s="174">
        <v>3.874579383E9</v>
      </c>
      <c r="M1454" s="387"/>
      <c r="N1454" s="481">
        <v>46126.0</v>
      </c>
      <c r="O1454" s="531" t="s">
        <v>13338</v>
      </c>
      <c r="P1454" s="387"/>
      <c r="Q1454" s="261" t="s">
        <v>14108</v>
      </c>
      <c r="R1454" s="434" t="s">
        <v>14109</v>
      </c>
      <c r="S1454" s="367"/>
      <c r="T1454" s="276"/>
      <c r="U1454" s="276"/>
      <c r="V1454" s="276"/>
      <c r="W1454" s="276"/>
      <c r="X1454" s="276"/>
      <c r="Y1454" s="276"/>
      <c r="Z1454" s="276"/>
      <c r="AA1454" s="276"/>
      <c r="AB1454" s="276"/>
      <c r="AC1454" s="276"/>
    </row>
    <row r="1455">
      <c r="A1455" s="108" t="s">
        <v>12515</v>
      </c>
      <c r="B1455" s="173">
        <v>46125.0</v>
      </c>
      <c r="C1455" s="374">
        <v>8.07000035713E11</v>
      </c>
      <c r="D1455" s="374" t="s">
        <v>8402</v>
      </c>
      <c r="E1455" s="374" t="s">
        <v>8403</v>
      </c>
      <c r="F1455" s="177" t="s">
        <v>12516</v>
      </c>
      <c r="G1455" s="177" t="s">
        <v>127</v>
      </c>
      <c r="H1455" s="177">
        <v>4400.0</v>
      </c>
      <c r="I1455" s="374" t="s">
        <v>512</v>
      </c>
      <c r="J1455" s="374" t="s">
        <v>513</v>
      </c>
      <c r="K1455" s="177">
        <v>6.0</v>
      </c>
      <c r="L1455" s="174">
        <v>1.124768701E9</v>
      </c>
      <c r="M1455" s="387"/>
      <c r="N1455" s="480">
        <v>46126.0</v>
      </c>
      <c r="O1455" s="402" t="s">
        <v>13338</v>
      </c>
      <c r="P1455" s="534"/>
      <c r="Q1455" s="430" t="s">
        <v>13339</v>
      </c>
      <c r="R1455" s="432" t="s">
        <v>14110</v>
      </c>
      <c r="S1455" s="367"/>
      <c r="T1455" s="276"/>
      <c r="U1455" s="276"/>
      <c r="V1455" s="276"/>
      <c r="W1455" s="276"/>
      <c r="X1455" s="276"/>
      <c r="Y1455" s="276"/>
      <c r="Z1455" s="276"/>
      <c r="AA1455" s="276"/>
      <c r="AB1455" s="276"/>
      <c r="AC1455" s="276"/>
    </row>
    <row r="1456">
      <c r="A1456" s="108" t="s">
        <v>12515</v>
      </c>
      <c r="B1456" s="173">
        <v>46125.0</v>
      </c>
      <c r="C1456" s="374">
        <v>8.07000035713E11</v>
      </c>
      <c r="D1456" s="374" t="s">
        <v>8402</v>
      </c>
      <c r="E1456" s="374" t="s">
        <v>8403</v>
      </c>
      <c r="F1456" s="177" t="s">
        <v>12516</v>
      </c>
      <c r="G1456" s="177" t="s">
        <v>127</v>
      </c>
      <c r="H1456" s="177">
        <v>4400.0</v>
      </c>
      <c r="I1456" s="374" t="s">
        <v>110</v>
      </c>
      <c r="J1456" s="374" t="s">
        <v>3673</v>
      </c>
      <c r="K1456" s="177">
        <v>1.0</v>
      </c>
      <c r="L1456" s="174">
        <v>1.124768701E9</v>
      </c>
      <c r="M1456" s="387"/>
      <c r="N1456" s="209"/>
      <c r="O1456" s="209"/>
      <c r="P1456" s="209"/>
      <c r="Q1456" s="209"/>
      <c r="R1456" s="209"/>
      <c r="S1456" s="367"/>
      <c r="T1456" s="276"/>
      <c r="U1456" s="276"/>
      <c r="V1456" s="276"/>
      <c r="W1456" s="276"/>
      <c r="X1456" s="276"/>
      <c r="Y1456" s="276"/>
      <c r="Z1456" s="276"/>
      <c r="AA1456" s="276"/>
      <c r="AB1456" s="276"/>
      <c r="AC1456" s="276"/>
    </row>
    <row r="1457">
      <c r="A1457" s="108" t="s">
        <v>12515</v>
      </c>
      <c r="B1457" s="173">
        <v>46125.0</v>
      </c>
      <c r="C1457" s="374">
        <v>8.07000035714E11</v>
      </c>
      <c r="D1457" s="374" t="s">
        <v>8402</v>
      </c>
      <c r="E1457" s="374" t="s">
        <v>8403</v>
      </c>
      <c r="F1457" s="177" t="s">
        <v>12516</v>
      </c>
      <c r="G1457" s="177" t="s">
        <v>127</v>
      </c>
      <c r="H1457" s="177">
        <v>4400.0</v>
      </c>
      <c r="I1457" s="374" t="s">
        <v>5034</v>
      </c>
      <c r="J1457" s="374" t="s">
        <v>5035</v>
      </c>
      <c r="K1457" s="177">
        <v>1.0</v>
      </c>
      <c r="L1457" s="174">
        <v>1.124768701E9</v>
      </c>
      <c r="M1457" s="387"/>
      <c r="N1457" s="206"/>
      <c r="O1457" s="206"/>
      <c r="P1457" s="206"/>
      <c r="Q1457" s="206"/>
      <c r="R1457" s="206"/>
      <c r="S1457" s="367"/>
      <c r="T1457" s="276"/>
      <c r="U1457" s="276"/>
      <c r="V1457" s="276"/>
      <c r="W1457" s="276"/>
      <c r="X1457" s="276"/>
      <c r="Y1457" s="276"/>
      <c r="Z1457" s="276"/>
      <c r="AA1457" s="276"/>
      <c r="AB1457" s="276"/>
      <c r="AC1457" s="276"/>
    </row>
    <row r="1458">
      <c r="A1458" s="374" t="s">
        <v>12517</v>
      </c>
      <c r="B1458" s="173">
        <v>46125.0</v>
      </c>
      <c r="C1458" s="374">
        <v>8.07000035712E11</v>
      </c>
      <c r="D1458" s="374" t="s">
        <v>12518</v>
      </c>
      <c r="E1458" s="374" t="s">
        <v>12519</v>
      </c>
      <c r="F1458" s="177" t="s">
        <v>12520</v>
      </c>
      <c r="G1458" s="177" t="s">
        <v>127</v>
      </c>
      <c r="H1458" s="177">
        <v>4400.0</v>
      </c>
      <c r="I1458" s="374">
        <v>125810.0</v>
      </c>
      <c r="J1458" s="374" t="s">
        <v>4672</v>
      </c>
      <c r="K1458" s="177">
        <v>2.0</v>
      </c>
      <c r="L1458" s="174">
        <v>3.875047903E9</v>
      </c>
      <c r="M1458" s="387"/>
      <c r="N1458" s="480">
        <v>46126.0</v>
      </c>
      <c r="O1458" s="402" t="s">
        <v>13338</v>
      </c>
      <c r="P1458" s="534"/>
      <c r="Q1458" s="430" t="s">
        <v>13339</v>
      </c>
      <c r="R1458" s="432" t="s">
        <v>14111</v>
      </c>
      <c r="S1458" s="367"/>
      <c r="T1458" s="276"/>
      <c r="U1458" s="276"/>
      <c r="V1458" s="276"/>
      <c r="W1458" s="276"/>
      <c r="X1458" s="276"/>
      <c r="Y1458" s="276"/>
      <c r="Z1458" s="276"/>
      <c r="AA1458" s="276"/>
      <c r="AB1458" s="276"/>
      <c r="AC1458" s="276"/>
    </row>
    <row r="1459">
      <c r="A1459" s="374" t="s">
        <v>12517</v>
      </c>
      <c r="B1459" s="173">
        <v>46125.0</v>
      </c>
      <c r="C1459" s="374">
        <v>8.07000035712E11</v>
      </c>
      <c r="D1459" s="374" t="s">
        <v>12518</v>
      </c>
      <c r="E1459" s="374" t="s">
        <v>12519</v>
      </c>
      <c r="F1459" s="177" t="s">
        <v>12520</v>
      </c>
      <c r="G1459" s="177" t="s">
        <v>127</v>
      </c>
      <c r="H1459" s="177">
        <v>4400.0</v>
      </c>
      <c r="I1459" s="374">
        <v>2.2346229143E10</v>
      </c>
      <c r="J1459" s="374" t="s">
        <v>8720</v>
      </c>
      <c r="K1459" s="177">
        <v>1.0</v>
      </c>
      <c r="L1459" s="174">
        <v>3.875047903E9</v>
      </c>
      <c r="M1459" s="387"/>
      <c r="N1459" s="209"/>
      <c r="O1459" s="209"/>
      <c r="P1459" s="209"/>
      <c r="Q1459" s="209"/>
      <c r="R1459" s="209"/>
      <c r="S1459" s="367"/>
      <c r="T1459" s="276"/>
      <c r="U1459" s="276"/>
      <c r="V1459" s="276"/>
      <c r="W1459" s="276"/>
      <c r="X1459" s="276"/>
      <c r="Y1459" s="276"/>
      <c r="Z1459" s="276"/>
      <c r="AA1459" s="276"/>
      <c r="AB1459" s="276"/>
      <c r="AC1459" s="276"/>
    </row>
    <row r="1460">
      <c r="A1460" s="374" t="s">
        <v>12517</v>
      </c>
      <c r="B1460" s="173">
        <v>46125.0</v>
      </c>
      <c r="C1460" s="374">
        <v>8.07000035712E11</v>
      </c>
      <c r="D1460" s="374" t="s">
        <v>12518</v>
      </c>
      <c r="E1460" s="374" t="s">
        <v>12519</v>
      </c>
      <c r="F1460" s="177" t="s">
        <v>12520</v>
      </c>
      <c r="G1460" s="177" t="s">
        <v>127</v>
      </c>
      <c r="H1460" s="177">
        <v>4400.0</v>
      </c>
      <c r="I1460" s="374" t="s">
        <v>947</v>
      </c>
      <c r="J1460" s="374" t="s">
        <v>3750</v>
      </c>
      <c r="K1460" s="177">
        <v>1.0</v>
      </c>
      <c r="L1460" s="174">
        <v>3.875047903E9</v>
      </c>
      <c r="M1460" s="387"/>
      <c r="N1460" s="209"/>
      <c r="O1460" s="209"/>
      <c r="P1460" s="209"/>
      <c r="Q1460" s="209"/>
      <c r="R1460" s="209"/>
      <c r="S1460" s="367"/>
      <c r="T1460" s="276"/>
      <c r="U1460" s="276"/>
      <c r="V1460" s="276"/>
      <c r="W1460" s="276"/>
      <c r="X1460" s="276"/>
      <c r="Y1460" s="276"/>
      <c r="Z1460" s="276"/>
      <c r="AA1460" s="276"/>
      <c r="AB1460" s="276"/>
      <c r="AC1460" s="276"/>
    </row>
    <row r="1461">
      <c r="A1461" s="374" t="s">
        <v>12517</v>
      </c>
      <c r="B1461" s="173">
        <v>46125.0</v>
      </c>
      <c r="C1461" s="374">
        <v>8.07000035712E11</v>
      </c>
      <c r="D1461" s="374" t="s">
        <v>12518</v>
      </c>
      <c r="E1461" s="374" t="s">
        <v>12519</v>
      </c>
      <c r="F1461" s="177" t="s">
        <v>12520</v>
      </c>
      <c r="G1461" s="177" t="s">
        <v>127</v>
      </c>
      <c r="H1461" s="177">
        <v>4400.0</v>
      </c>
      <c r="I1461" s="374" t="s">
        <v>512</v>
      </c>
      <c r="J1461" s="374" t="s">
        <v>513</v>
      </c>
      <c r="K1461" s="177">
        <v>6.0</v>
      </c>
      <c r="L1461" s="174">
        <v>3.875047903E9</v>
      </c>
      <c r="M1461" s="387"/>
      <c r="N1461" s="209"/>
      <c r="O1461" s="209"/>
      <c r="P1461" s="209"/>
      <c r="Q1461" s="209"/>
      <c r="R1461" s="209"/>
      <c r="S1461" s="367"/>
      <c r="T1461" s="276"/>
      <c r="U1461" s="276"/>
      <c r="V1461" s="276"/>
      <c r="W1461" s="276"/>
      <c r="X1461" s="276"/>
      <c r="Y1461" s="276"/>
      <c r="Z1461" s="276"/>
      <c r="AA1461" s="276"/>
      <c r="AB1461" s="276"/>
      <c r="AC1461" s="276"/>
    </row>
    <row r="1462">
      <c r="A1462" s="374" t="s">
        <v>12517</v>
      </c>
      <c r="B1462" s="173">
        <v>46125.0</v>
      </c>
      <c r="C1462" s="374">
        <v>8.07000035712E11</v>
      </c>
      <c r="D1462" s="374" t="s">
        <v>12518</v>
      </c>
      <c r="E1462" s="374" t="s">
        <v>12519</v>
      </c>
      <c r="F1462" s="177" t="s">
        <v>12520</v>
      </c>
      <c r="G1462" s="177" t="s">
        <v>127</v>
      </c>
      <c r="H1462" s="177">
        <v>4400.0</v>
      </c>
      <c r="I1462" s="374" t="s">
        <v>35</v>
      </c>
      <c r="J1462" s="374" t="s">
        <v>3188</v>
      </c>
      <c r="K1462" s="177">
        <v>1.0</v>
      </c>
      <c r="L1462" s="174">
        <v>3.875047903E9</v>
      </c>
      <c r="M1462" s="387"/>
      <c r="N1462" s="206"/>
      <c r="O1462" s="206"/>
      <c r="P1462" s="206"/>
      <c r="Q1462" s="206"/>
      <c r="R1462" s="206"/>
      <c r="S1462" s="367"/>
      <c r="T1462" s="276"/>
      <c r="U1462" s="276"/>
      <c r="V1462" s="276"/>
      <c r="W1462" s="276"/>
      <c r="X1462" s="276"/>
      <c r="Y1462" s="276"/>
      <c r="Z1462" s="276"/>
      <c r="AA1462" s="276"/>
      <c r="AB1462" s="276"/>
      <c r="AC1462" s="276"/>
    </row>
    <row r="1463">
      <c r="A1463" s="108" t="s">
        <v>12521</v>
      </c>
      <c r="B1463" s="173">
        <v>46125.0</v>
      </c>
      <c r="C1463" s="374">
        <v>8.07000035718E11</v>
      </c>
      <c r="D1463" s="374" t="s">
        <v>12522</v>
      </c>
      <c r="E1463" s="374" t="s">
        <v>12523</v>
      </c>
      <c r="F1463" s="177" t="s">
        <v>12524</v>
      </c>
      <c r="G1463" s="177" t="s">
        <v>127</v>
      </c>
      <c r="H1463" s="177">
        <v>4400.0</v>
      </c>
      <c r="I1463" s="374" t="s">
        <v>12525</v>
      </c>
      <c r="J1463" s="374" t="s">
        <v>12526</v>
      </c>
      <c r="K1463" s="177">
        <v>1.0</v>
      </c>
      <c r="L1463" s="174">
        <v>3.874538543E9</v>
      </c>
      <c r="M1463" s="387"/>
      <c r="N1463" s="480">
        <v>46126.0</v>
      </c>
      <c r="O1463" s="402" t="s">
        <v>13338</v>
      </c>
      <c r="P1463" s="534"/>
      <c r="Q1463" s="430" t="s">
        <v>13339</v>
      </c>
      <c r="R1463" s="432" t="s">
        <v>14112</v>
      </c>
      <c r="S1463" s="367"/>
      <c r="T1463" s="276"/>
      <c r="U1463" s="276"/>
      <c r="V1463" s="276"/>
      <c r="W1463" s="276"/>
      <c r="X1463" s="276"/>
      <c r="Y1463" s="276"/>
      <c r="Z1463" s="276"/>
      <c r="AA1463" s="276"/>
      <c r="AB1463" s="276"/>
      <c r="AC1463" s="276"/>
    </row>
    <row r="1464">
      <c r="A1464" s="108" t="s">
        <v>12521</v>
      </c>
      <c r="B1464" s="173">
        <v>46125.0</v>
      </c>
      <c r="C1464" s="374">
        <v>8.07000035719E11</v>
      </c>
      <c r="D1464" s="374" t="s">
        <v>12522</v>
      </c>
      <c r="E1464" s="374" t="s">
        <v>12523</v>
      </c>
      <c r="F1464" s="177" t="s">
        <v>12524</v>
      </c>
      <c r="G1464" s="177" t="s">
        <v>127</v>
      </c>
      <c r="H1464" s="177">
        <v>4400.0</v>
      </c>
      <c r="I1464" s="374" t="s">
        <v>110</v>
      </c>
      <c r="J1464" s="374" t="s">
        <v>3673</v>
      </c>
      <c r="K1464" s="177">
        <v>1.0</v>
      </c>
      <c r="L1464" s="174">
        <v>3.874538543E9</v>
      </c>
      <c r="M1464" s="387"/>
      <c r="N1464" s="209"/>
      <c r="O1464" s="209"/>
      <c r="P1464" s="209"/>
      <c r="Q1464" s="209"/>
      <c r="R1464" s="209"/>
      <c r="S1464" s="367"/>
      <c r="T1464" s="276"/>
      <c r="U1464" s="276"/>
      <c r="V1464" s="276"/>
      <c r="W1464" s="276"/>
      <c r="X1464" s="276"/>
      <c r="Y1464" s="276"/>
      <c r="Z1464" s="276"/>
      <c r="AA1464" s="276"/>
      <c r="AB1464" s="276"/>
      <c r="AC1464" s="276"/>
    </row>
    <row r="1465">
      <c r="A1465" s="108" t="s">
        <v>12527</v>
      </c>
      <c r="B1465" s="173">
        <v>46125.0</v>
      </c>
      <c r="C1465" s="374">
        <v>8.0700003572E11</v>
      </c>
      <c r="D1465" s="374" t="s">
        <v>12522</v>
      </c>
      <c r="E1465" s="374" t="s">
        <v>12523</v>
      </c>
      <c r="F1465" s="177" t="s">
        <v>12524</v>
      </c>
      <c r="G1465" s="177" t="s">
        <v>127</v>
      </c>
      <c r="H1465" s="177">
        <v>4400.0</v>
      </c>
      <c r="I1465" s="374">
        <v>125810.0</v>
      </c>
      <c r="J1465" s="374" t="s">
        <v>4672</v>
      </c>
      <c r="K1465" s="177">
        <v>2.0</v>
      </c>
      <c r="L1465" s="174">
        <v>3.874538543E9</v>
      </c>
      <c r="M1465" s="387"/>
      <c r="N1465" s="209"/>
      <c r="O1465" s="209"/>
      <c r="P1465" s="209"/>
      <c r="Q1465" s="209"/>
      <c r="R1465" s="209"/>
      <c r="S1465" s="367"/>
      <c r="T1465" s="276"/>
      <c r="U1465" s="276"/>
      <c r="V1465" s="276"/>
      <c r="W1465" s="276"/>
      <c r="X1465" s="276"/>
      <c r="Y1465" s="276"/>
      <c r="Z1465" s="276"/>
      <c r="AA1465" s="276"/>
      <c r="AB1465" s="276"/>
      <c r="AC1465" s="276"/>
    </row>
    <row r="1466">
      <c r="A1466" s="108" t="s">
        <v>12527</v>
      </c>
      <c r="B1466" s="173">
        <v>46125.0</v>
      </c>
      <c r="C1466" s="374">
        <v>8.07000035721E11</v>
      </c>
      <c r="D1466" s="374" t="s">
        <v>12522</v>
      </c>
      <c r="E1466" s="374" t="s">
        <v>12523</v>
      </c>
      <c r="F1466" s="177" t="s">
        <v>12524</v>
      </c>
      <c r="G1466" s="177" t="s">
        <v>127</v>
      </c>
      <c r="H1466" s="177">
        <v>4400.0</v>
      </c>
      <c r="I1466" s="374" t="s">
        <v>50</v>
      </c>
      <c r="J1466" s="374" t="s">
        <v>51</v>
      </c>
      <c r="K1466" s="177">
        <v>1.0</v>
      </c>
      <c r="L1466" s="174">
        <v>3.874538543E9</v>
      </c>
      <c r="M1466" s="387"/>
      <c r="N1466" s="206"/>
      <c r="O1466" s="206"/>
      <c r="P1466" s="206"/>
      <c r="Q1466" s="206"/>
      <c r="R1466" s="206"/>
      <c r="S1466" s="367"/>
      <c r="T1466" s="276"/>
      <c r="U1466" s="276"/>
      <c r="V1466" s="276"/>
      <c r="W1466" s="276"/>
      <c r="X1466" s="276"/>
      <c r="Y1466" s="276"/>
      <c r="Z1466" s="276"/>
      <c r="AA1466" s="276"/>
      <c r="AB1466" s="276"/>
      <c r="AC1466" s="276"/>
    </row>
    <row r="1467">
      <c r="A1467" s="108" t="s">
        <v>12528</v>
      </c>
      <c r="B1467" s="173">
        <v>46125.0</v>
      </c>
      <c r="C1467" s="374">
        <v>8.07000035726E11</v>
      </c>
      <c r="D1467" s="374" t="s">
        <v>12529</v>
      </c>
      <c r="E1467" s="374" t="s">
        <v>12530</v>
      </c>
      <c r="F1467" s="177" t="s">
        <v>12531</v>
      </c>
      <c r="G1467" s="177" t="s">
        <v>3047</v>
      </c>
      <c r="H1467" s="177">
        <v>4400.0</v>
      </c>
      <c r="I1467" s="374" t="s">
        <v>3162</v>
      </c>
      <c r="J1467" s="374" t="s">
        <v>3885</v>
      </c>
      <c r="K1467" s="177">
        <v>2.0</v>
      </c>
      <c r="L1467" s="174">
        <v>3.875223271E9</v>
      </c>
      <c r="M1467" s="387"/>
      <c r="N1467" s="480">
        <v>46126.0</v>
      </c>
      <c r="O1467" s="402" t="s">
        <v>13338</v>
      </c>
      <c r="P1467" s="534"/>
      <c r="Q1467" s="430" t="s">
        <v>13339</v>
      </c>
      <c r="R1467" s="432" t="s">
        <v>14113</v>
      </c>
      <c r="S1467" s="367"/>
      <c r="T1467" s="276"/>
      <c r="U1467" s="276"/>
      <c r="V1467" s="276"/>
      <c r="W1467" s="276"/>
      <c r="X1467" s="276"/>
      <c r="Y1467" s="276"/>
      <c r="Z1467" s="276"/>
      <c r="AA1467" s="276"/>
      <c r="AB1467" s="276"/>
      <c r="AC1467" s="276"/>
    </row>
    <row r="1468">
      <c r="A1468" s="108" t="s">
        <v>12528</v>
      </c>
      <c r="B1468" s="173">
        <v>46125.0</v>
      </c>
      <c r="C1468" s="374">
        <v>8.07000035726E11</v>
      </c>
      <c r="D1468" s="374" t="s">
        <v>12529</v>
      </c>
      <c r="E1468" s="374" t="s">
        <v>12530</v>
      </c>
      <c r="F1468" s="177" t="s">
        <v>12531</v>
      </c>
      <c r="G1468" s="177" t="s">
        <v>3047</v>
      </c>
      <c r="H1468" s="177">
        <v>4400.0</v>
      </c>
      <c r="I1468" s="374" t="s">
        <v>512</v>
      </c>
      <c r="J1468" s="374" t="s">
        <v>513</v>
      </c>
      <c r="K1468" s="177">
        <v>12.0</v>
      </c>
      <c r="L1468" s="174">
        <v>3.875223271E9</v>
      </c>
      <c r="M1468" s="387"/>
      <c r="N1468" s="209"/>
      <c r="O1468" s="209"/>
      <c r="P1468" s="209"/>
      <c r="Q1468" s="209"/>
      <c r="R1468" s="209"/>
      <c r="S1468" s="367"/>
      <c r="T1468" s="276"/>
      <c r="U1468" s="276"/>
      <c r="V1468" s="276"/>
      <c r="W1468" s="276"/>
      <c r="X1468" s="276"/>
      <c r="Y1468" s="276"/>
      <c r="Z1468" s="276"/>
      <c r="AA1468" s="276"/>
      <c r="AB1468" s="276"/>
      <c r="AC1468" s="276"/>
    </row>
    <row r="1469">
      <c r="A1469" s="108" t="s">
        <v>12528</v>
      </c>
      <c r="B1469" s="173">
        <v>46125.0</v>
      </c>
      <c r="C1469" s="374">
        <v>8.07000035726E11</v>
      </c>
      <c r="D1469" s="374" t="s">
        <v>12529</v>
      </c>
      <c r="E1469" s="374" t="s">
        <v>12530</v>
      </c>
      <c r="F1469" s="177" t="s">
        <v>12531</v>
      </c>
      <c r="G1469" s="177" t="s">
        <v>3047</v>
      </c>
      <c r="H1469" s="177">
        <v>4400.0</v>
      </c>
      <c r="I1469" s="374" t="s">
        <v>2031</v>
      </c>
      <c r="J1469" s="374" t="s">
        <v>3348</v>
      </c>
      <c r="K1469" s="177">
        <v>2.0</v>
      </c>
      <c r="L1469" s="174">
        <v>3.875223271E9</v>
      </c>
      <c r="M1469" s="387"/>
      <c r="N1469" s="206"/>
      <c r="O1469" s="206"/>
      <c r="P1469" s="206"/>
      <c r="Q1469" s="206"/>
      <c r="R1469" s="206"/>
      <c r="S1469" s="367"/>
      <c r="T1469" s="276"/>
      <c r="U1469" s="276"/>
      <c r="V1469" s="276"/>
      <c r="W1469" s="276"/>
      <c r="X1469" s="276"/>
      <c r="Y1469" s="276"/>
      <c r="Z1469" s="276"/>
      <c r="AA1469" s="276"/>
      <c r="AB1469" s="276"/>
      <c r="AC1469" s="276"/>
    </row>
    <row r="1470">
      <c r="A1470" s="108" t="s">
        <v>12532</v>
      </c>
      <c r="B1470" s="173">
        <v>46126.0</v>
      </c>
      <c r="C1470" s="374">
        <v>8.07000035727E11</v>
      </c>
      <c r="D1470" s="374" t="s">
        <v>12533</v>
      </c>
      <c r="E1470" s="374" t="s">
        <v>12534</v>
      </c>
      <c r="F1470" s="177" t="s">
        <v>12535</v>
      </c>
      <c r="G1470" s="177" t="s">
        <v>4496</v>
      </c>
      <c r="H1470" s="177">
        <v>4400.0</v>
      </c>
      <c r="I1470" s="374">
        <v>125803.0</v>
      </c>
      <c r="J1470" s="374" t="s">
        <v>5805</v>
      </c>
      <c r="K1470" s="177">
        <v>2.0</v>
      </c>
      <c r="L1470" s="174">
        <v>3.876853126E9</v>
      </c>
      <c r="M1470" s="387"/>
      <c r="N1470" s="480">
        <v>46126.0</v>
      </c>
      <c r="O1470" s="402" t="s">
        <v>13338</v>
      </c>
      <c r="P1470" s="534"/>
      <c r="Q1470" s="430" t="s">
        <v>14114</v>
      </c>
      <c r="R1470" s="432" t="s">
        <v>14115</v>
      </c>
      <c r="S1470" s="367"/>
      <c r="T1470" s="276"/>
      <c r="U1470" s="276"/>
      <c r="V1470" s="276"/>
      <c r="W1470" s="276"/>
      <c r="X1470" s="276"/>
      <c r="Y1470" s="276"/>
      <c r="Z1470" s="276"/>
      <c r="AA1470" s="276"/>
      <c r="AB1470" s="276"/>
      <c r="AC1470" s="276"/>
    </row>
    <row r="1471">
      <c r="A1471" s="108" t="s">
        <v>12532</v>
      </c>
      <c r="B1471" s="173">
        <v>46126.0</v>
      </c>
      <c r="C1471" s="374">
        <v>8.07000035727E11</v>
      </c>
      <c r="D1471" s="374" t="s">
        <v>12533</v>
      </c>
      <c r="E1471" s="374" t="s">
        <v>12534</v>
      </c>
      <c r="F1471" s="177" t="s">
        <v>12535</v>
      </c>
      <c r="G1471" s="177" t="s">
        <v>4496</v>
      </c>
      <c r="H1471" s="177">
        <v>4400.0</v>
      </c>
      <c r="I1471" s="374">
        <v>125811.0</v>
      </c>
      <c r="J1471" s="374" t="s">
        <v>6073</v>
      </c>
      <c r="K1471" s="177">
        <v>2.0</v>
      </c>
      <c r="L1471" s="174">
        <v>3.876853126E9</v>
      </c>
      <c r="M1471" s="387"/>
      <c r="N1471" s="209"/>
      <c r="O1471" s="209"/>
      <c r="P1471" s="209"/>
      <c r="Q1471" s="209"/>
      <c r="R1471" s="209"/>
      <c r="S1471" s="367"/>
      <c r="T1471" s="276"/>
      <c r="U1471" s="276"/>
      <c r="V1471" s="276"/>
      <c r="W1471" s="276"/>
      <c r="X1471" s="276"/>
      <c r="Y1471" s="276"/>
      <c r="Z1471" s="276"/>
      <c r="AA1471" s="276"/>
      <c r="AB1471" s="276"/>
      <c r="AC1471" s="276"/>
    </row>
    <row r="1472">
      <c r="A1472" s="108" t="s">
        <v>12532</v>
      </c>
      <c r="B1472" s="173">
        <v>46126.0</v>
      </c>
      <c r="C1472" s="374">
        <v>8.07000035727E11</v>
      </c>
      <c r="D1472" s="374" t="s">
        <v>12533</v>
      </c>
      <c r="E1472" s="374" t="s">
        <v>12534</v>
      </c>
      <c r="F1472" s="177" t="s">
        <v>12535</v>
      </c>
      <c r="G1472" s="177" t="s">
        <v>4496</v>
      </c>
      <c r="H1472" s="177">
        <v>4400.0</v>
      </c>
      <c r="I1472" s="374" t="s">
        <v>1766</v>
      </c>
      <c r="J1472" s="374" t="s">
        <v>8008</v>
      </c>
      <c r="K1472" s="177">
        <v>1.0</v>
      </c>
      <c r="L1472" s="174">
        <v>3.876853126E9</v>
      </c>
      <c r="M1472" s="387"/>
      <c r="N1472" s="206"/>
      <c r="O1472" s="206"/>
      <c r="P1472" s="206"/>
      <c r="Q1472" s="206"/>
      <c r="R1472" s="206"/>
      <c r="S1472" s="367"/>
      <c r="T1472" s="276"/>
      <c r="U1472" s="276"/>
      <c r="V1472" s="276"/>
      <c r="W1472" s="276"/>
      <c r="X1472" s="276"/>
      <c r="Y1472" s="276"/>
      <c r="Z1472" s="276"/>
      <c r="AA1472" s="276"/>
      <c r="AB1472" s="276"/>
      <c r="AC1472" s="276"/>
    </row>
    <row r="1473">
      <c r="A1473" s="108" t="s">
        <v>12536</v>
      </c>
      <c r="B1473" s="173">
        <v>46126.0</v>
      </c>
      <c r="C1473" s="176">
        <v>8.0700003573E11</v>
      </c>
      <c r="D1473" s="176" t="s">
        <v>12537</v>
      </c>
      <c r="E1473" s="176" t="s">
        <v>12538</v>
      </c>
      <c r="F1473" s="176" t="s">
        <v>12539</v>
      </c>
      <c r="G1473" s="176" t="s">
        <v>127</v>
      </c>
      <c r="H1473" s="176">
        <v>4400.0</v>
      </c>
      <c r="I1473" s="176">
        <v>208502.0</v>
      </c>
      <c r="J1473" s="176" t="s">
        <v>4551</v>
      </c>
      <c r="K1473" s="176">
        <v>2.0</v>
      </c>
      <c r="L1473" s="108"/>
      <c r="M1473" s="387"/>
      <c r="N1473" s="486">
        <v>46126.0</v>
      </c>
      <c r="O1473" s="487" t="s">
        <v>13338</v>
      </c>
      <c r="P1473" s="598"/>
      <c r="Q1473" s="489" t="s">
        <v>14116</v>
      </c>
      <c r="R1473" s="490" t="s">
        <v>14117</v>
      </c>
      <c r="S1473" s="367"/>
      <c r="T1473" s="276"/>
      <c r="U1473" s="276"/>
      <c r="V1473" s="276"/>
      <c r="W1473" s="276"/>
      <c r="X1473" s="276"/>
      <c r="Y1473" s="276"/>
      <c r="Z1473" s="276"/>
      <c r="AA1473" s="276"/>
      <c r="AB1473" s="276"/>
      <c r="AC1473" s="276"/>
    </row>
    <row r="1474">
      <c r="A1474" s="108" t="s">
        <v>12536</v>
      </c>
      <c r="B1474" s="173">
        <v>46126.0</v>
      </c>
      <c r="C1474" s="176">
        <v>8.0700003573E11</v>
      </c>
      <c r="D1474" s="176" t="s">
        <v>12537</v>
      </c>
      <c r="E1474" s="176" t="s">
        <v>12538</v>
      </c>
      <c r="F1474" s="176" t="s">
        <v>12539</v>
      </c>
      <c r="G1474" s="176" t="s">
        <v>127</v>
      </c>
      <c r="H1474" s="176">
        <v>4400.0</v>
      </c>
      <c r="I1474" s="176" t="s">
        <v>3512</v>
      </c>
      <c r="J1474" s="176" t="s">
        <v>3513</v>
      </c>
      <c r="K1474" s="176">
        <v>12.0</v>
      </c>
      <c r="L1474" s="108"/>
      <c r="M1474" s="387"/>
      <c r="N1474" s="209"/>
      <c r="O1474" s="209"/>
      <c r="P1474" s="209"/>
      <c r="Q1474" s="209"/>
      <c r="R1474" s="209"/>
      <c r="S1474" s="367"/>
      <c r="T1474" s="276"/>
      <c r="U1474" s="276"/>
      <c r="V1474" s="276"/>
      <c r="W1474" s="276"/>
      <c r="X1474" s="276"/>
      <c r="Y1474" s="276"/>
      <c r="Z1474" s="276"/>
      <c r="AA1474" s="276"/>
      <c r="AB1474" s="276"/>
      <c r="AC1474" s="276"/>
    </row>
    <row r="1475">
      <c r="A1475" s="108" t="s">
        <v>12536</v>
      </c>
      <c r="B1475" s="173">
        <v>46126.0</v>
      </c>
      <c r="C1475" s="176">
        <v>8.07000035731E11</v>
      </c>
      <c r="D1475" s="176" t="s">
        <v>12537</v>
      </c>
      <c r="E1475" s="176" t="s">
        <v>12538</v>
      </c>
      <c r="F1475" s="176" t="s">
        <v>12539</v>
      </c>
      <c r="G1475" s="176" t="s">
        <v>127</v>
      </c>
      <c r="H1475" s="176">
        <v>4400.0</v>
      </c>
      <c r="I1475" s="176" t="s">
        <v>12540</v>
      </c>
      <c r="J1475" s="176" t="s">
        <v>12541</v>
      </c>
      <c r="K1475" s="176">
        <v>1.0</v>
      </c>
      <c r="L1475" s="108"/>
      <c r="M1475" s="387"/>
      <c r="N1475" s="209"/>
      <c r="O1475" s="209"/>
      <c r="P1475" s="209"/>
      <c r="Q1475" s="209"/>
      <c r="R1475" s="209"/>
      <c r="S1475" s="367"/>
      <c r="T1475" s="276"/>
      <c r="U1475" s="276"/>
      <c r="V1475" s="276"/>
      <c r="W1475" s="276"/>
      <c r="X1475" s="276"/>
      <c r="Y1475" s="276"/>
      <c r="Z1475" s="276"/>
      <c r="AA1475" s="276"/>
      <c r="AB1475" s="276"/>
      <c r="AC1475" s="276"/>
    </row>
    <row r="1476">
      <c r="A1476" s="108" t="s">
        <v>12536</v>
      </c>
      <c r="B1476" s="173">
        <v>46126.0</v>
      </c>
      <c r="C1476" s="176">
        <v>8.07000035731E11</v>
      </c>
      <c r="D1476" s="176" t="s">
        <v>12537</v>
      </c>
      <c r="E1476" s="176" t="s">
        <v>12538</v>
      </c>
      <c r="F1476" s="176" t="s">
        <v>12539</v>
      </c>
      <c r="G1476" s="176" t="s">
        <v>127</v>
      </c>
      <c r="H1476" s="176">
        <v>4400.0</v>
      </c>
      <c r="I1476" s="176" t="s">
        <v>6835</v>
      </c>
      <c r="J1476" s="176" t="s">
        <v>8150</v>
      </c>
      <c r="K1476" s="176">
        <v>2.0</v>
      </c>
      <c r="L1476" s="108"/>
      <c r="M1476" s="387"/>
      <c r="N1476" s="206"/>
      <c r="O1476" s="206"/>
      <c r="P1476" s="206"/>
      <c r="Q1476" s="206"/>
      <c r="R1476" s="206"/>
      <c r="S1476" s="367"/>
      <c r="T1476" s="276"/>
      <c r="U1476" s="276"/>
      <c r="V1476" s="276"/>
      <c r="W1476" s="276"/>
      <c r="X1476" s="276"/>
      <c r="Y1476" s="276"/>
      <c r="Z1476" s="276"/>
      <c r="AA1476" s="276"/>
      <c r="AB1476" s="276"/>
      <c r="AC1476" s="276"/>
    </row>
    <row r="1477">
      <c r="A1477" s="108" t="s">
        <v>12542</v>
      </c>
      <c r="B1477" s="173">
        <v>46126.0</v>
      </c>
      <c r="C1477" s="176">
        <v>8.07000035732E11</v>
      </c>
      <c r="D1477" s="176" t="s">
        <v>12543</v>
      </c>
      <c r="E1477" s="176" t="s">
        <v>12544</v>
      </c>
      <c r="F1477" s="176" t="s">
        <v>12545</v>
      </c>
      <c r="G1477" s="176" t="s">
        <v>127</v>
      </c>
      <c r="H1477" s="176">
        <v>4400.0</v>
      </c>
      <c r="I1477" s="176" t="s">
        <v>3512</v>
      </c>
      <c r="J1477" s="176" t="s">
        <v>3513</v>
      </c>
      <c r="K1477" s="176">
        <v>10.0</v>
      </c>
      <c r="L1477" s="108"/>
      <c r="M1477" s="387"/>
      <c r="N1477" s="486">
        <v>46126.0</v>
      </c>
      <c r="O1477" s="487" t="s">
        <v>13338</v>
      </c>
      <c r="P1477" s="598"/>
      <c r="Q1477" s="489" t="s">
        <v>14118</v>
      </c>
      <c r="R1477" s="490" t="s">
        <v>14119</v>
      </c>
      <c r="S1477" s="367"/>
      <c r="T1477" s="276"/>
      <c r="U1477" s="276"/>
      <c r="V1477" s="276"/>
      <c r="W1477" s="276"/>
      <c r="X1477" s="276"/>
      <c r="Y1477" s="276"/>
      <c r="Z1477" s="276"/>
      <c r="AA1477" s="276"/>
      <c r="AB1477" s="276"/>
      <c r="AC1477" s="276"/>
    </row>
    <row r="1478">
      <c r="A1478" s="108" t="s">
        <v>12542</v>
      </c>
      <c r="B1478" s="173">
        <v>46126.0</v>
      </c>
      <c r="C1478" s="176">
        <v>8.07000035733E11</v>
      </c>
      <c r="D1478" s="176" t="s">
        <v>12543</v>
      </c>
      <c r="E1478" s="176" t="s">
        <v>12544</v>
      </c>
      <c r="F1478" s="176" t="s">
        <v>12545</v>
      </c>
      <c r="G1478" s="176" t="s">
        <v>127</v>
      </c>
      <c r="H1478" s="176">
        <v>4400.0</v>
      </c>
      <c r="I1478" s="176">
        <v>125811.0</v>
      </c>
      <c r="J1478" s="176" t="s">
        <v>6073</v>
      </c>
      <c r="K1478" s="176">
        <v>2.0</v>
      </c>
      <c r="L1478" s="108"/>
      <c r="M1478" s="387"/>
      <c r="N1478" s="209"/>
      <c r="O1478" s="209"/>
      <c r="P1478" s="209"/>
      <c r="Q1478" s="209"/>
      <c r="R1478" s="209"/>
      <c r="S1478" s="367"/>
      <c r="T1478" s="276"/>
      <c r="U1478" s="276"/>
      <c r="V1478" s="276"/>
      <c r="W1478" s="276"/>
      <c r="X1478" s="276"/>
      <c r="Y1478" s="276"/>
      <c r="Z1478" s="276"/>
      <c r="AA1478" s="276"/>
      <c r="AB1478" s="276"/>
      <c r="AC1478" s="276"/>
    </row>
    <row r="1479">
      <c r="A1479" s="108" t="s">
        <v>12542</v>
      </c>
      <c r="B1479" s="173">
        <v>46126.0</v>
      </c>
      <c r="C1479" s="176">
        <v>8.07000035734E11</v>
      </c>
      <c r="D1479" s="176" t="s">
        <v>12543</v>
      </c>
      <c r="E1479" s="176" t="s">
        <v>12544</v>
      </c>
      <c r="F1479" s="176" t="s">
        <v>12545</v>
      </c>
      <c r="G1479" s="176" t="s">
        <v>127</v>
      </c>
      <c r="H1479" s="176">
        <v>4400.0</v>
      </c>
      <c r="I1479" s="176">
        <v>125811.0</v>
      </c>
      <c r="J1479" s="176" t="s">
        <v>6073</v>
      </c>
      <c r="K1479" s="176">
        <v>2.0</v>
      </c>
      <c r="L1479" s="108"/>
      <c r="M1479" s="387"/>
      <c r="N1479" s="209"/>
      <c r="O1479" s="209"/>
      <c r="P1479" s="209"/>
      <c r="Q1479" s="209"/>
      <c r="R1479" s="209"/>
      <c r="S1479" s="367"/>
      <c r="T1479" s="276"/>
      <c r="U1479" s="276"/>
      <c r="V1479" s="276"/>
      <c r="W1479" s="276"/>
      <c r="X1479" s="276"/>
      <c r="Y1479" s="276"/>
      <c r="Z1479" s="276"/>
      <c r="AA1479" s="276"/>
      <c r="AB1479" s="276"/>
      <c r="AC1479" s="276"/>
    </row>
    <row r="1480">
      <c r="A1480" s="108" t="s">
        <v>12542</v>
      </c>
      <c r="B1480" s="173">
        <v>46126.0</v>
      </c>
      <c r="C1480" s="176">
        <v>8.07000035735E11</v>
      </c>
      <c r="D1480" s="176" t="s">
        <v>12543</v>
      </c>
      <c r="E1480" s="176" t="s">
        <v>12544</v>
      </c>
      <c r="F1480" s="176" t="s">
        <v>12545</v>
      </c>
      <c r="G1480" s="176" t="s">
        <v>127</v>
      </c>
      <c r="H1480" s="176">
        <v>4400.0</v>
      </c>
      <c r="I1480" s="176" t="s">
        <v>6665</v>
      </c>
      <c r="J1480" s="176" t="s">
        <v>11095</v>
      </c>
      <c r="K1480" s="176">
        <v>1.0</v>
      </c>
      <c r="L1480" s="108"/>
      <c r="M1480" s="387"/>
      <c r="N1480" s="209"/>
      <c r="O1480" s="209"/>
      <c r="P1480" s="209"/>
      <c r="Q1480" s="209"/>
      <c r="R1480" s="209"/>
      <c r="S1480" s="367"/>
      <c r="T1480" s="276"/>
      <c r="U1480" s="276"/>
      <c r="V1480" s="276"/>
      <c r="W1480" s="276"/>
      <c r="X1480" s="276"/>
      <c r="Y1480" s="276"/>
      <c r="Z1480" s="276"/>
      <c r="AA1480" s="276"/>
      <c r="AB1480" s="276"/>
      <c r="AC1480" s="276"/>
    </row>
    <row r="1481">
      <c r="A1481" s="108" t="s">
        <v>12542</v>
      </c>
      <c r="B1481" s="173">
        <v>46126.0</v>
      </c>
      <c r="C1481" s="176">
        <v>8.07000035736E11</v>
      </c>
      <c r="D1481" s="176" t="s">
        <v>12543</v>
      </c>
      <c r="E1481" s="176" t="s">
        <v>12544</v>
      </c>
      <c r="F1481" s="176" t="s">
        <v>12545</v>
      </c>
      <c r="G1481" s="176" t="s">
        <v>127</v>
      </c>
      <c r="H1481" s="176">
        <v>4400.0</v>
      </c>
      <c r="I1481" s="176" t="s">
        <v>10959</v>
      </c>
      <c r="J1481" s="176" t="s">
        <v>10960</v>
      </c>
      <c r="K1481" s="176">
        <v>1.0</v>
      </c>
      <c r="L1481" s="108"/>
      <c r="M1481" s="387"/>
      <c r="N1481" s="209"/>
      <c r="O1481" s="209"/>
      <c r="P1481" s="209"/>
      <c r="Q1481" s="209"/>
      <c r="R1481" s="209"/>
      <c r="S1481" s="367"/>
      <c r="T1481" s="276"/>
      <c r="U1481" s="276"/>
      <c r="V1481" s="276"/>
      <c r="W1481" s="276"/>
      <c r="X1481" s="276"/>
      <c r="Y1481" s="276"/>
      <c r="Z1481" s="276"/>
      <c r="AA1481" s="276"/>
      <c r="AB1481" s="276"/>
      <c r="AC1481" s="276"/>
    </row>
    <row r="1482">
      <c r="A1482" s="108" t="s">
        <v>12542</v>
      </c>
      <c r="B1482" s="173">
        <v>46126.0</v>
      </c>
      <c r="C1482" s="176">
        <v>8.07000035736E11</v>
      </c>
      <c r="D1482" s="176" t="s">
        <v>12543</v>
      </c>
      <c r="E1482" s="176" t="s">
        <v>12544</v>
      </c>
      <c r="F1482" s="176" t="s">
        <v>12545</v>
      </c>
      <c r="G1482" s="176" t="s">
        <v>127</v>
      </c>
      <c r="H1482" s="176">
        <v>4400.0</v>
      </c>
      <c r="I1482" s="176" t="s">
        <v>4250</v>
      </c>
      <c r="J1482" s="176" t="s">
        <v>4251</v>
      </c>
      <c r="K1482" s="176">
        <v>2.0</v>
      </c>
      <c r="L1482" s="108"/>
      <c r="M1482" s="387"/>
      <c r="N1482" s="206"/>
      <c r="O1482" s="206"/>
      <c r="P1482" s="206"/>
      <c r="Q1482" s="206"/>
      <c r="R1482" s="206"/>
      <c r="S1482" s="367"/>
      <c r="T1482" s="276"/>
      <c r="U1482" s="276"/>
      <c r="V1482" s="276"/>
      <c r="W1482" s="276"/>
      <c r="X1482" s="276"/>
      <c r="Y1482" s="276"/>
      <c r="Z1482" s="276"/>
      <c r="AA1482" s="276"/>
      <c r="AB1482" s="276"/>
      <c r="AC1482" s="276"/>
    </row>
    <row r="1483">
      <c r="A1483" s="294"/>
      <c r="B1483" s="295"/>
      <c r="C1483" s="296"/>
      <c r="D1483" s="296"/>
      <c r="E1483" s="296"/>
      <c r="F1483" s="297"/>
      <c r="G1483" s="297"/>
      <c r="H1483" s="297"/>
      <c r="I1483" s="296"/>
      <c r="J1483" s="296"/>
      <c r="K1483" s="297"/>
      <c r="L1483" s="299"/>
      <c r="M1483" s="440"/>
      <c r="N1483" s="481"/>
      <c r="O1483" s="531"/>
      <c r="P1483" s="387"/>
      <c r="Q1483" s="261"/>
      <c r="R1483" s="449"/>
      <c r="S1483" s="367"/>
      <c r="T1483" s="276"/>
      <c r="U1483" s="276"/>
      <c r="V1483" s="276"/>
      <c r="W1483" s="276"/>
      <c r="X1483" s="276"/>
      <c r="Y1483" s="276"/>
      <c r="Z1483" s="276"/>
      <c r="AA1483" s="276"/>
      <c r="AB1483" s="276"/>
      <c r="AC1483" s="276"/>
    </row>
    <row r="1484">
      <c r="A1484" s="31" t="s">
        <v>6055</v>
      </c>
      <c r="B1484" s="599">
        <v>46133.0</v>
      </c>
      <c r="C1484" s="31">
        <v>8.078390034E11</v>
      </c>
      <c r="D1484" s="31" t="s">
        <v>6056</v>
      </c>
      <c r="E1484" s="31" t="s">
        <v>6057</v>
      </c>
      <c r="F1484" s="31" t="s">
        <v>6058</v>
      </c>
      <c r="G1484" s="31" t="s">
        <v>127</v>
      </c>
      <c r="H1484" s="31" t="s">
        <v>20</v>
      </c>
      <c r="I1484" s="31">
        <v>4400.0</v>
      </c>
      <c r="J1484" s="31">
        <v>3.87521609E9</v>
      </c>
      <c r="K1484" s="31" t="s">
        <v>1241</v>
      </c>
      <c r="L1484" s="31" t="s">
        <v>3500</v>
      </c>
      <c r="M1484" s="33">
        <v>1.0</v>
      </c>
      <c r="N1484" s="429">
        <v>46135.0</v>
      </c>
      <c r="O1484" s="430" t="s">
        <v>13338</v>
      </c>
      <c r="P1484" s="534"/>
      <c r="Q1484" s="430" t="s">
        <v>13339</v>
      </c>
      <c r="R1484" s="432" t="s">
        <v>14120</v>
      </c>
      <c r="S1484" s="367"/>
      <c r="T1484" s="276"/>
      <c r="U1484" s="276"/>
      <c r="V1484" s="276"/>
      <c r="W1484" s="276"/>
      <c r="X1484" s="276"/>
      <c r="Y1484" s="276"/>
      <c r="Z1484" s="276"/>
      <c r="AA1484" s="276"/>
      <c r="AB1484" s="276"/>
      <c r="AC1484" s="276"/>
    </row>
    <row r="1485">
      <c r="A1485" s="31" t="s">
        <v>6055</v>
      </c>
      <c r="B1485" s="599">
        <v>46133.0</v>
      </c>
      <c r="C1485" s="31">
        <v>8.078390034E11</v>
      </c>
      <c r="D1485" s="31" t="s">
        <v>6056</v>
      </c>
      <c r="E1485" s="31" t="s">
        <v>6057</v>
      </c>
      <c r="F1485" s="31" t="s">
        <v>6058</v>
      </c>
      <c r="G1485" s="31" t="s">
        <v>127</v>
      </c>
      <c r="H1485" s="31" t="s">
        <v>20</v>
      </c>
      <c r="I1485" s="31">
        <v>4400.0</v>
      </c>
      <c r="J1485" s="31">
        <v>3.87521609E9</v>
      </c>
      <c r="K1485" s="31" t="s">
        <v>512</v>
      </c>
      <c r="L1485" s="31" t="s">
        <v>513</v>
      </c>
      <c r="M1485" s="33">
        <v>6.0</v>
      </c>
      <c r="N1485" s="209"/>
      <c r="O1485" s="209"/>
      <c r="P1485" s="209"/>
      <c r="Q1485" s="209"/>
      <c r="R1485" s="209"/>
      <c r="S1485" s="367"/>
      <c r="T1485" s="276"/>
      <c r="U1485" s="276"/>
      <c r="V1485" s="276"/>
      <c r="W1485" s="276"/>
      <c r="X1485" s="276"/>
      <c r="Y1485" s="276"/>
      <c r="Z1485" s="276"/>
      <c r="AA1485" s="276"/>
      <c r="AB1485" s="276"/>
      <c r="AC1485" s="276"/>
    </row>
    <row r="1486">
      <c r="A1486" s="31" t="s">
        <v>6055</v>
      </c>
      <c r="B1486" s="599">
        <v>46133.0</v>
      </c>
      <c r="C1486" s="31">
        <v>8.078390034E11</v>
      </c>
      <c r="D1486" s="31" t="s">
        <v>6056</v>
      </c>
      <c r="E1486" s="31" t="s">
        <v>6057</v>
      </c>
      <c r="F1486" s="31" t="s">
        <v>6058</v>
      </c>
      <c r="G1486" s="31" t="s">
        <v>127</v>
      </c>
      <c r="H1486" s="31" t="s">
        <v>20</v>
      </c>
      <c r="I1486" s="31">
        <v>4400.0</v>
      </c>
      <c r="J1486" s="31">
        <v>3.87521609E9</v>
      </c>
      <c r="K1486" s="31" t="s">
        <v>1749</v>
      </c>
      <c r="L1486" s="31" t="s">
        <v>3240</v>
      </c>
      <c r="M1486" s="33">
        <v>1.0</v>
      </c>
      <c r="N1486" s="206"/>
      <c r="O1486" s="206"/>
      <c r="P1486" s="206"/>
      <c r="Q1486" s="206"/>
      <c r="R1486" s="206"/>
      <c r="S1486" s="367"/>
      <c r="T1486" s="276"/>
      <c r="U1486" s="276"/>
      <c r="V1486" s="276"/>
      <c r="W1486" s="276"/>
      <c r="X1486" s="276"/>
      <c r="Y1486" s="276"/>
      <c r="Z1486" s="276"/>
      <c r="AA1486" s="276"/>
      <c r="AB1486" s="276"/>
      <c r="AC1486" s="276"/>
    </row>
    <row r="1487">
      <c r="A1487" s="31" t="s">
        <v>6060</v>
      </c>
      <c r="B1487" s="599">
        <v>46133.0</v>
      </c>
      <c r="C1487" s="31">
        <v>8.05011573619E11</v>
      </c>
      <c r="D1487" s="31" t="s">
        <v>6061</v>
      </c>
      <c r="E1487" s="31" t="s">
        <v>6062</v>
      </c>
      <c r="F1487" s="31" t="s">
        <v>6063</v>
      </c>
      <c r="G1487" s="31" t="s">
        <v>20</v>
      </c>
      <c r="H1487" s="31" t="s">
        <v>20</v>
      </c>
      <c r="I1487" s="31">
        <v>4400.0</v>
      </c>
      <c r="J1487" s="31">
        <v>3.875614284E9</v>
      </c>
      <c r="K1487" s="31" t="s">
        <v>4790</v>
      </c>
      <c r="L1487" s="31" t="s">
        <v>4791</v>
      </c>
      <c r="M1487" s="33">
        <v>1.0</v>
      </c>
      <c r="N1487" s="429">
        <v>46135.0</v>
      </c>
      <c r="O1487" s="430" t="s">
        <v>13338</v>
      </c>
      <c r="P1487" s="534"/>
      <c r="Q1487" s="430" t="s">
        <v>14121</v>
      </c>
      <c r="R1487" s="432" t="s">
        <v>14122</v>
      </c>
      <c r="S1487" s="367"/>
      <c r="T1487" s="276"/>
      <c r="U1487" s="276"/>
      <c r="V1487" s="276"/>
      <c r="W1487" s="276"/>
      <c r="X1487" s="276"/>
      <c r="Y1487" s="276"/>
      <c r="Z1487" s="276"/>
      <c r="AA1487" s="276"/>
      <c r="AB1487" s="276"/>
      <c r="AC1487" s="276"/>
    </row>
    <row r="1488">
      <c r="A1488" s="31" t="s">
        <v>6060</v>
      </c>
      <c r="B1488" s="599">
        <v>46133.0</v>
      </c>
      <c r="C1488" s="31">
        <v>8.05011573619E11</v>
      </c>
      <c r="D1488" s="31" t="s">
        <v>6061</v>
      </c>
      <c r="E1488" s="31" t="s">
        <v>6062</v>
      </c>
      <c r="F1488" s="31" t="s">
        <v>6063</v>
      </c>
      <c r="G1488" s="31" t="s">
        <v>20</v>
      </c>
      <c r="H1488" s="31" t="s">
        <v>20</v>
      </c>
      <c r="I1488" s="31">
        <v>4400.0</v>
      </c>
      <c r="J1488" s="31">
        <v>3.875614284E9</v>
      </c>
      <c r="K1488" s="31" t="s">
        <v>512</v>
      </c>
      <c r="L1488" s="31" t="s">
        <v>513</v>
      </c>
      <c r="M1488" s="33">
        <v>6.0</v>
      </c>
      <c r="N1488" s="209"/>
      <c r="O1488" s="209"/>
      <c r="P1488" s="209"/>
      <c r="Q1488" s="209"/>
      <c r="R1488" s="209"/>
      <c r="S1488" s="367"/>
      <c r="T1488" s="276"/>
      <c r="U1488" s="276"/>
      <c r="V1488" s="276"/>
      <c r="W1488" s="276"/>
      <c r="X1488" s="276"/>
      <c r="Y1488" s="276"/>
      <c r="Z1488" s="276"/>
      <c r="AA1488" s="276"/>
      <c r="AB1488" s="276"/>
      <c r="AC1488" s="276"/>
    </row>
    <row r="1489">
      <c r="A1489" s="31" t="s">
        <v>6060</v>
      </c>
      <c r="B1489" s="599">
        <v>46133.0</v>
      </c>
      <c r="C1489" s="31">
        <v>8.05011573619E11</v>
      </c>
      <c r="D1489" s="31" t="s">
        <v>6061</v>
      </c>
      <c r="E1489" s="31" t="s">
        <v>6062</v>
      </c>
      <c r="F1489" s="31" t="s">
        <v>6063</v>
      </c>
      <c r="G1489" s="31" t="s">
        <v>20</v>
      </c>
      <c r="H1489" s="31" t="s">
        <v>20</v>
      </c>
      <c r="I1489" s="31">
        <v>4400.0</v>
      </c>
      <c r="J1489" s="31">
        <v>3.875614284E9</v>
      </c>
      <c r="K1489" s="31" t="s">
        <v>1345</v>
      </c>
      <c r="L1489" s="31" t="s">
        <v>3639</v>
      </c>
      <c r="M1489" s="33">
        <v>1.0</v>
      </c>
      <c r="N1489" s="206"/>
      <c r="O1489" s="206"/>
      <c r="P1489" s="206"/>
      <c r="Q1489" s="206"/>
      <c r="R1489" s="206"/>
      <c r="S1489" s="367"/>
      <c r="T1489" s="276"/>
      <c r="U1489" s="276"/>
      <c r="V1489" s="276"/>
      <c r="W1489" s="276"/>
      <c r="X1489" s="276"/>
      <c r="Y1489" s="276"/>
      <c r="Z1489" s="276"/>
      <c r="AA1489" s="276"/>
      <c r="AB1489" s="276"/>
      <c r="AC1489" s="276"/>
    </row>
    <row r="1490">
      <c r="A1490" s="31" t="s">
        <v>6064</v>
      </c>
      <c r="B1490" s="599">
        <v>46133.0</v>
      </c>
      <c r="C1490" s="31">
        <v>8.05011573778E11</v>
      </c>
      <c r="D1490" s="31" t="s">
        <v>6065</v>
      </c>
      <c r="E1490" s="31" t="s">
        <v>6066</v>
      </c>
      <c r="F1490" s="31" t="s">
        <v>6067</v>
      </c>
      <c r="G1490" s="31" t="s">
        <v>5534</v>
      </c>
      <c r="H1490" s="31" t="s">
        <v>20</v>
      </c>
      <c r="I1490" s="31">
        <v>4440.0</v>
      </c>
      <c r="J1490" s="31">
        <v>3.876408536E9</v>
      </c>
      <c r="K1490" s="31" t="s">
        <v>617</v>
      </c>
      <c r="L1490" s="31" t="s">
        <v>3867</v>
      </c>
      <c r="M1490" s="33">
        <v>1.0</v>
      </c>
      <c r="N1490" s="429">
        <v>46139.0</v>
      </c>
      <c r="O1490" s="430" t="s">
        <v>13338</v>
      </c>
      <c r="P1490" s="534"/>
      <c r="Q1490" s="430" t="s">
        <v>14123</v>
      </c>
      <c r="R1490" s="432" t="s">
        <v>14124</v>
      </c>
      <c r="S1490" s="367"/>
      <c r="T1490" s="276"/>
      <c r="U1490" s="276"/>
      <c r="V1490" s="276"/>
      <c r="W1490" s="276"/>
      <c r="X1490" s="276"/>
      <c r="Y1490" s="276"/>
      <c r="Z1490" s="276"/>
      <c r="AA1490" s="276"/>
      <c r="AB1490" s="276"/>
      <c r="AC1490" s="276"/>
    </row>
    <row r="1491">
      <c r="A1491" s="31" t="s">
        <v>6064</v>
      </c>
      <c r="B1491" s="599">
        <v>46133.0</v>
      </c>
      <c r="C1491" s="31">
        <v>8.05011573778E11</v>
      </c>
      <c r="D1491" s="31" t="s">
        <v>6065</v>
      </c>
      <c r="E1491" s="31" t="s">
        <v>6066</v>
      </c>
      <c r="F1491" s="31" t="s">
        <v>6067</v>
      </c>
      <c r="G1491" s="31" t="s">
        <v>5534</v>
      </c>
      <c r="H1491" s="31" t="s">
        <v>20</v>
      </c>
      <c r="I1491" s="31">
        <v>4440.0</v>
      </c>
      <c r="J1491" s="31">
        <v>3.876408536E9</v>
      </c>
      <c r="K1491" s="31" t="s">
        <v>512</v>
      </c>
      <c r="L1491" s="31" t="s">
        <v>513</v>
      </c>
      <c r="M1491" s="33">
        <v>12.0</v>
      </c>
      <c r="N1491" s="209"/>
      <c r="O1491" s="209"/>
      <c r="P1491" s="209"/>
      <c r="Q1491" s="209"/>
      <c r="R1491" s="209"/>
      <c r="S1491" s="367"/>
      <c r="T1491" s="276"/>
      <c r="U1491" s="276"/>
      <c r="V1491" s="276"/>
      <c r="W1491" s="276"/>
      <c r="X1491" s="276"/>
      <c r="Y1491" s="276"/>
      <c r="Z1491" s="276"/>
      <c r="AA1491" s="276"/>
      <c r="AB1491" s="276"/>
      <c r="AC1491" s="276"/>
    </row>
    <row r="1492">
      <c r="A1492" s="31" t="s">
        <v>6064</v>
      </c>
      <c r="B1492" s="599">
        <v>46133.0</v>
      </c>
      <c r="C1492" s="31">
        <v>8.05011573778E11</v>
      </c>
      <c r="D1492" s="31" t="s">
        <v>6065</v>
      </c>
      <c r="E1492" s="31" t="s">
        <v>6066</v>
      </c>
      <c r="F1492" s="31" t="s">
        <v>6067</v>
      </c>
      <c r="G1492" s="31" t="s">
        <v>5534</v>
      </c>
      <c r="H1492" s="31" t="s">
        <v>20</v>
      </c>
      <c r="I1492" s="31">
        <v>4440.0</v>
      </c>
      <c r="J1492" s="31">
        <v>3.876408536E9</v>
      </c>
      <c r="K1492" s="31" t="s">
        <v>645</v>
      </c>
      <c r="L1492" s="31" t="s">
        <v>3253</v>
      </c>
      <c r="M1492" s="33">
        <v>2.0</v>
      </c>
      <c r="N1492" s="206"/>
      <c r="O1492" s="206"/>
      <c r="P1492" s="206"/>
      <c r="Q1492" s="206"/>
      <c r="R1492" s="206"/>
      <c r="S1492" s="367"/>
      <c r="T1492" s="276"/>
      <c r="U1492" s="276"/>
      <c r="V1492" s="276"/>
      <c r="W1492" s="276"/>
      <c r="X1492" s="276"/>
      <c r="Y1492" s="276"/>
      <c r="Z1492" s="276"/>
      <c r="AA1492" s="276"/>
      <c r="AB1492" s="276"/>
      <c r="AC1492" s="276"/>
    </row>
    <row r="1493">
      <c r="A1493" s="31" t="s">
        <v>6075</v>
      </c>
      <c r="B1493" s="599">
        <v>46133.0</v>
      </c>
      <c r="C1493" s="31">
        <v>8.07839003939E11</v>
      </c>
      <c r="D1493" s="31" t="s">
        <v>6076</v>
      </c>
      <c r="E1493" s="31" t="s">
        <v>6077</v>
      </c>
      <c r="F1493" s="31" t="s">
        <v>6078</v>
      </c>
      <c r="G1493" s="31" t="s">
        <v>20</v>
      </c>
      <c r="H1493" s="31" t="s">
        <v>20</v>
      </c>
      <c r="I1493" s="31">
        <v>4400.0</v>
      </c>
      <c r="J1493" s="31">
        <v>3.87553564E9</v>
      </c>
      <c r="K1493" s="31" t="s">
        <v>262</v>
      </c>
      <c r="L1493" s="31" t="s">
        <v>3461</v>
      </c>
      <c r="M1493" s="33">
        <v>1.0</v>
      </c>
      <c r="N1493" s="207">
        <v>46135.0</v>
      </c>
      <c r="O1493" s="123" t="s">
        <v>9011</v>
      </c>
      <c r="P1493" s="387"/>
      <c r="Q1493" s="261" t="s">
        <v>14125</v>
      </c>
      <c r="R1493" s="434" t="s">
        <v>14126</v>
      </c>
      <c r="S1493" s="367"/>
      <c r="T1493" s="276"/>
      <c r="U1493" s="276"/>
      <c r="V1493" s="276"/>
      <c r="W1493" s="276"/>
      <c r="X1493" s="276"/>
      <c r="Y1493" s="276"/>
      <c r="Z1493" s="276"/>
      <c r="AA1493" s="276"/>
      <c r="AB1493" s="276"/>
      <c r="AC1493" s="276"/>
    </row>
    <row r="1494">
      <c r="A1494" s="31" t="s">
        <v>6080</v>
      </c>
      <c r="B1494" s="599">
        <v>46133.0</v>
      </c>
      <c r="C1494" s="31">
        <v>8.07839004035E11</v>
      </c>
      <c r="D1494" s="31" t="s">
        <v>6081</v>
      </c>
      <c r="E1494" s="31" t="s">
        <v>6082</v>
      </c>
      <c r="F1494" s="31" t="s">
        <v>6083</v>
      </c>
      <c r="G1494" s="31" t="s">
        <v>1142</v>
      </c>
      <c r="H1494" s="31" t="s">
        <v>20</v>
      </c>
      <c r="I1494" s="31">
        <v>4430.0</v>
      </c>
      <c r="J1494" s="31">
        <v>3.874431086E9</v>
      </c>
      <c r="K1494" s="31" t="s">
        <v>98</v>
      </c>
      <c r="L1494" s="31" t="s">
        <v>3187</v>
      </c>
      <c r="M1494" s="33">
        <v>1.0</v>
      </c>
      <c r="N1494" s="429">
        <v>46141.0</v>
      </c>
      <c r="O1494" s="430" t="s">
        <v>9011</v>
      </c>
      <c r="P1494" s="534"/>
      <c r="Q1494" s="430" t="s">
        <v>14127</v>
      </c>
      <c r="R1494" s="432" t="s">
        <v>14128</v>
      </c>
      <c r="S1494" s="367"/>
      <c r="T1494" s="276"/>
      <c r="U1494" s="276"/>
      <c r="V1494" s="276"/>
      <c r="W1494" s="276"/>
      <c r="X1494" s="276"/>
      <c r="Y1494" s="276"/>
      <c r="Z1494" s="276"/>
      <c r="AA1494" s="276"/>
      <c r="AB1494" s="276"/>
      <c r="AC1494" s="276"/>
    </row>
    <row r="1495">
      <c r="A1495" s="31" t="s">
        <v>6080</v>
      </c>
      <c r="B1495" s="599">
        <v>46133.0</v>
      </c>
      <c r="C1495" s="31">
        <v>8.07839004035E11</v>
      </c>
      <c r="D1495" s="31" t="s">
        <v>6081</v>
      </c>
      <c r="E1495" s="31" t="s">
        <v>6082</v>
      </c>
      <c r="F1495" s="31" t="s">
        <v>6083</v>
      </c>
      <c r="G1495" s="31" t="s">
        <v>1142</v>
      </c>
      <c r="H1495" s="31" t="s">
        <v>20</v>
      </c>
      <c r="I1495" s="31">
        <v>4430.0</v>
      </c>
      <c r="J1495" s="31">
        <v>3.874431086E9</v>
      </c>
      <c r="K1495" s="31" t="s">
        <v>512</v>
      </c>
      <c r="L1495" s="31" t="s">
        <v>513</v>
      </c>
      <c r="M1495" s="33">
        <v>6.0</v>
      </c>
      <c r="N1495" s="209"/>
      <c r="O1495" s="209"/>
      <c r="P1495" s="209"/>
      <c r="Q1495" s="209"/>
      <c r="R1495" s="209"/>
      <c r="S1495" s="367"/>
      <c r="T1495" s="276"/>
      <c r="U1495" s="276"/>
      <c r="V1495" s="276"/>
      <c r="W1495" s="276"/>
      <c r="X1495" s="276"/>
      <c r="Y1495" s="276"/>
      <c r="Z1495" s="276"/>
      <c r="AA1495" s="276"/>
      <c r="AB1495" s="276"/>
      <c r="AC1495" s="276"/>
    </row>
    <row r="1496">
      <c r="A1496" s="31" t="s">
        <v>6080</v>
      </c>
      <c r="B1496" s="599">
        <v>46133.0</v>
      </c>
      <c r="C1496" s="31">
        <v>8.07839004035E11</v>
      </c>
      <c r="D1496" s="31" t="s">
        <v>6081</v>
      </c>
      <c r="E1496" s="31" t="s">
        <v>6082</v>
      </c>
      <c r="F1496" s="31" t="s">
        <v>6083</v>
      </c>
      <c r="G1496" s="31" t="s">
        <v>1142</v>
      </c>
      <c r="H1496" s="31" t="s">
        <v>20</v>
      </c>
      <c r="I1496" s="31">
        <v>4430.0</v>
      </c>
      <c r="J1496" s="31">
        <v>3.874431086E9</v>
      </c>
      <c r="K1496" s="31" t="s">
        <v>670</v>
      </c>
      <c r="L1496" s="31" t="s">
        <v>3410</v>
      </c>
      <c r="M1496" s="33">
        <v>1.0</v>
      </c>
      <c r="N1496" s="206"/>
      <c r="O1496" s="206"/>
      <c r="P1496" s="206"/>
      <c r="Q1496" s="206"/>
      <c r="R1496" s="206"/>
      <c r="S1496" s="367"/>
      <c r="T1496" s="276"/>
      <c r="U1496" s="276"/>
      <c r="V1496" s="276"/>
      <c r="W1496" s="276"/>
      <c r="X1496" s="276"/>
      <c r="Y1496" s="276"/>
      <c r="Z1496" s="276"/>
      <c r="AA1496" s="276"/>
      <c r="AB1496" s="276"/>
      <c r="AC1496" s="276"/>
    </row>
    <row r="1497">
      <c r="A1497" s="31" t="s">
        <v>6085</v>
      </c>
      <c r="B1497" s="599">
        <v>46133.0</v>
      </c>
      <c r="C1497" s="31">
        <v>8.07025035582E11</v>
      </c>
      <c r="D1497" s="31" t="s">
        <v>6070</v>
      </c>
      <c r="E1497" s="31" t="s">
        <v>6071</v>
      </c>
      <c r="F1497" s="31" t="s">
        <v>6072</v>
      </c>
      <c r="G1497" s="31" t="s">
        <v>127</v>
      </c>
      <c r="H1497" s="31" t="s">
        <v>20</v>
      </c>
      <c r="I1497" s="31">
        <v>4400.0</v>
      </c>
      <c r="J1497" s="31">
        <v>1.165206266E9</v>
      </c>
      <c r="K1497" s="31" t="s">
        <v>6086</v>
      </c>
      <c r="L1497" s="31" t="s">
        <v>6087</v>
      </c>
      <c r="M1497" s="33">
        <v>6.0</v>
      </c>
      <c r="N1497" s="429">
        <v>46140.0</v>
      </c>
      <c r="O1497" s="430" t="s">
        <v>9011</v>
      </c>
      <c r="P1497" s="534"/>
      <c r="Q1497" s="430" t="s">
        <v>14129</v>
      </c>
      <c r="R1497" s="432" t="s">
        <v>14130</v>
      </c>
      <c r="S1497" s="367"/>
      <c r="T1497" s="276"/>
      <c r="U1497" s="276"/>
      <c r="V1497" s="276"/>
      <c r="W1497" s="276"/>
      <c r="X1497" s="276"/>
      <c r="Y1497" s="276"/>
      <c r="Z1497" s="276"/>
      <c r="AA1497" s="276"/>
      <c r="AB1497" s="276"/>
      <c r="AC1497" s="276"/>
    </row>
    <row r="1498">
      <c r="A1498" s="31" t="s">
        <v>6085</v>
      </c>
      <c r="B1498" s="599">
        <v>46133.0</v>
      </c>
      <c r="C1498" s="31">
        <v>8.07025035582E11</v>
      </c>
      <c r="D1498" s="31" t="s">
        <v>6070</v>
      </c>
      <c r="E1498" s="31" t="s">
        <v>6071</v>
      </c>
      <c r="F1498" s="31" t="s">
        <v>6072</v>
      </c>
      <c r="G1498" s="31" t="s">
        <v>127</v>
      </c>
      <c r="H1498" s="31" t="s">
        <v>20</v>
      </c>
      <c r="I1498" s="31">
        <v>4400.0</v>
      </c>
      <c r="J1498" s="31">
        <v>1.165206266E9</v>
      </c>
      <c r="K1498" s="31" t="s">
        <v>512</v>
      </c>
      <c r="L1498" s="31" t="s">
        <v>513</v>
      </c>
      <c r="M1498" s="33">
        <v>36.0</v>
      </c>
      <c r="N1498" s="209"/>
      <c r="O1498" s="209"/>
      <c r="P1498" s="209"/>
      <c r="Q1498" s="209"/>
      <c r="R1498" s="209"/>
      <c r="S1498" s="367"/>
      <c r="T1498" s="276"/>
      <c r="U1498" s="276"/>
      <c r="V1498" s="276"/>
      <c r="W1498" s="276"/>
      <c r="X1498" s="276"/>
      <c r="Y1498" s="276"/>
      <c r="Z1498" s="276"/>
      <c r="AA1498" s="276"/>
      <c r="AB1498" s="276"/>
      <c r="AC1498" s="276"/>
    </row>
    <row r="1499">
      <c r="A1499" s="31" t="s">
        <v>6085</v>
      </c>
      <c r="B1499" s="599">
        <v>46133.0</v>
      </c>
      <c r="C1499" s="31">
        <v>8.07025035582E11</v>
      </c>
      <c r="D1499" s="31" t="s">
        <v>6070</v>
      </c>
      <c r="E1499" s="31" t="s">
        <v>6071</v>
      </c>
      <c r="F1499" s="31" t="s">
        <v>6072</v>
      </c>
      <c r="G1499" s="31" t="s">
        <v>127</v>
      </c>
      <c r="H1499" s="31" t="s">
        <v>20</v>
      </c>
      <c r="I1499" s="31">
        <v>4400.0</v>
      </c>
      <c r="J1499" s="31">
        <v>1.165206266E9</v>
      </c>
      <c r="K1499" s="31" t="s">
        <v>121</v>
      </c>
      <c r="L1499" s="31" t="s">
        <v>3199</v>
      </c>
      <c r="M1499" s="33">
        <v>6.0</v>
      </c>
      <c r="N1499" s="209"/>
      <c r="O1499" s="209"/>
      <c r="P1499" s="209"/>
      <c r="Q1499" s="209"/>
      <c r="R1499" s="209"/>
      <c r="S1499" s="367"/>
      <c r="T1499" s="276"/>
      <c r="U1499" s="276"/>
      <c r="V1499" s="276"/>
      <c r="W1499" s="276"/>
      <c r="X1499" s="276"/>
      <c r="Y1499" s="276"/>
      <c r="Z1499" s="276"/>
      <c r="AA1499" s="276"/>
      <c r="AB1499" s="276"/>
      <c r="AC1499" s="276"/>
    </row>
    <row r="1500">
      <c r="A1500" s="31" t="s">
        <v>6069</v>
      </c>
      <c r="B1500" s="599">
        <v>46133.0</v>
      </c>
      <c r="C1500" s="31">
        <v>8.07025035581E11</v>
      </c>
      <c r="D1500" s="31" t="s">
        <v>6070</v>
      </c>
      <c r="E1500" s="31" t="s">
        <v>6071</v>
      </c>
      <c r="F1500" s="31" t="s">
        <v>6072</v>
      </c>
      <c r="G1500" s="31" t="s">
        <v>127</v>
      </c>
      <c r="H1500" s="31" t="s">
        <v>20</v>
      </c>
      <c r="I1500" s="31">
        <v>4400.0</v>
      </c>
      <c r="J1500" s="31">
        <v>1.165206266E9</v>
      </c>
      <c r="K1500" s="31">
        <v>125811.0</v>
      </c>
      <c r="L1500" s="31" t="s">
        <v>6073</v>
      </c>
      <c r="M1500" s="33">
        <v>4.0</v>
      </c>
      <c r="N1500" s="209"/>
      <c r="O1500" s="209"/>
      <c r="P1500" s="209"/>
      <c r="Q1500" s="209"/>
      <c r="R1500" s="209"/>
      <c r="S1500" s="367"/>
      <c r="T1500" s="276"/>
      <c r="U1500" s="276"/>
      <c r="V1500" s="276"/>
      <c r="W1500" s="276"/>
      <c r="X1500" s="276"/>
      <c r="Y1500" s="276"/>
      <c r="Z1500" s="276"/>
      <c r="AA1500" s="276"/>
      <c r="AB1500" s="276"/>
      <c r="AC1500" s="276"/>
    </row>
    <row r="1501">
      <c r="A1501" s="108" t="s">
        <v>12583</v>
      </c>
      <c r="B1501" s="173">
        <v>46134.0</v>
      </c>
      <c r="C1501" s="374">
        <v>8.07000035583E11</v>
      </c>
      <c r="D1501" s="374" t="s">
        <v>6070</v>
      </c>
      <c r="E1501" s="374" t="s">
        <v>6071</v>
      </c>
      <c r="F1501" s="177" t="s">
        <v>6072</v>
      </c>
      <c r="G1501" s="177" t="s">
        <v>127</v>
      </c>
      <c r="H1501" s="177">
        <v>4400.0</v>
      </c>
      <c r="I1501" s="176">
        <v>125811.0</v>
      </c>
      <c r="J1501" s="374" t="s">
        <v>6073</v>
      </c>
      <c r="K1501" s="177">
        <v>2.0</v>
      </c>
      <c r="L1501" s="174">
        <v>1.165206266E9</v>
      </c>
      <c r="M1501" s="387"/>
      <c r="N1501" s="206"/>
      <c r="O1501" s="206"/>
      <c r="P1501" s="206"/>
      <c r="Q1501" s="206"/>
      <c r="R1501" s="206"/>
      <c r="S1501" s="367"/>
      <c r="T1501" s="276"/>
      <c r="U1501" s="276"/>
      <c r="V1501" s="276"/>
      <c r="W1501" s="276"/>
      <c r="X1501" s="276"/>
      <c r="Y1501" s="276"/>
      <c r="Z1501" s="276"/>
      <c r="AA1501" s="276"/>
      <c r="AB1501" s="276"/>
      <c r="AC1501" s="276"/>
    </row>
    <row r="1502">
      <c r="A1502" s="31" t="s">
        <v>6092</v>
      </c>
      <c r="B1502" s="599">
        <v>46133.0</v>
      </c>
      <c r="C1502" s="31">
        <v>8.0702503574E11</v>
      </c>
      <c r="D1502" s="31" t="s">
        <v>6093</v>
      </c>
      <c r="E1502" s="31" t="s">
        <v>6094</v>
      </c>
      <c r="F1502" s="31" t="s">
        <v>6095</v>
      </c>
      <c r="G1502" s="31" t="s">
        <v>127</v>
      </c>
      <c r="H1502" s="31" t="s">
        <v>20</v>
      </c>
      <c r="I1502" s="31">
        <v>4400.0</v>
      </c>
      <c r="J1502" s="31">
        <v>3.875385097E9</v>
      </c>
      <c r="K1502" s="31" t="s">
        <v>3512</v>
      </c>
      <c r="L1502" s="31" t="s">
        <v>3513</v>
      </c>
      <c r="M1502" s="33">
        <v>12.0</v>
      </c>
      <c r="N1502" s="367"/>
      <c r="O1502" s="261"/>
      <c r="P1502" s="387"/>
      <c r="Q1502" s="261"/>
      <c r="R1502" s="449"/>
      <c r="S1502" s="367"/>
      <c r="T1502" s="276"/>
      <c r="U1502" s="276"/>
      <c r="V1502" s="276"/>
      <c r="W1502" s="276"/>
      <c r="X1502" s="276"/>
      <c r="Y1502" s="276"/>
      <c r="Z1502" s="276"/>
      <c r="AA1502" s="276"/>
      <c r="AB1502" s="276"/>
      <c r="AC1502" s="276"/>
    </row>
    <row r="1503">
      <c r="A1503" s="107" t="s">
        <v>6097</v>
      </c>
      <c r="B1503" s="599">
        <v>46133.0</v>
      </c>
      <c r="C1503" s="107">
        <v>8.05011574168E11</v>
      </c>
      <c r="D1503" s="107" t="s">
        <v>6098</v>
      </c>
      <c r="E1503" s="107" t="s">
        <v>6099</v>
      </c>
      <c r="F1503" s="107" t="s">
        <v>6100</v>
      </c>
      <c r="G1503" s="107" t="s">
        <v>20</v>
      </c>
      <c r="H1503" s="107" t="s">
        <v>20</v>
      </c>
      <c r="I1503" s="107">
        <v>4400.0</v>
      </c>
      <c r="J1503" s="107">
        <v>3.875723601E9</v>
      </c>
      <c r="K1503" s="107" t="s">
        <v>50</v>
      </c>
      <c r="L1503" s="107" t="s">
        <v>51</v>
      </c>
      <c r="M1503" s="108">
        <v>1.0</v>
      </c>
      <c r="N1503" s="480">
        <v>46135.0</v>
      </c>
      <c r="O1503" s="402" t="s">
        <v>13338</v>
      </c>
      <c r="P1503" s="534"/>
      <c r="Q1503" s="430" t="s">
        <v>9012</v>
      </c>
      <c r="R1503" s="432" t="s">
        <v>14131</v>
      </c>
      <c r="S1503" s="367"/>
      <c r="T1503" s="276"/>
      <c r="U1503" s="276"/>
      <c r="V1503" s="276"/>
      <c r="W1503" s="276"/>
      <c r="X1503" s="276"/>
      <c r="Y1503" s="276"/>
      <c r="Z1503" s="276"/>
      <c r="AA1503" s="276"/>
      <c r="AB1503" s="276"/>
      <c r="AC1503" s="276"/>
    </row>
    <row r="1504">
      <c r="A1504" s="31" t="s">
        <v>6097</v>
      </c>
      <c r="B1504" s="599">
        <v>46133.0</v>
      </c>
      <c r="C1504" s="31">
        <v>8.05011574168E11</v>
      </c>
      <c r="D1504" s="31" t="s">
        <v>6098</v>
      </c>
      <c r="E1504" s="31" t="s">
        <v>6099</v>
      </c>
      <c r="F1504" s="31" t="s">
        <v>6100</v>
      </c>
      <c r="G1504" s="31" t="s">
        <v>20</v>
      </c>
      <c r="H1504" s="31" t="s">
        <v>20</v>
      </c>
      <c r="I1504" s="31">
        <v>4400.0</v>
      </c>
      <c r="J1504" s="31">
        <v>3.875723601E9</v>
      </c>
      <c r="K1504" s="31" t="s">
        <v>512</v>
      </c>
      <c r="L1504" s="31" t="s">
        <v>513</v>
      </c>
      <c r="M1504" s="33">
        <v>6.0</v>
      </c>
      <c r="N1504" s="209"/>
      <c r="O1504" s="209"/>
      <c r="P1504" s="209"/>
      <c r="Q1504" s="209"/>
      <c r="R1504" s="209"/>
      <c r="S1504" s="367"/>
      <c r="T1504" s="276"/>
      <c r="U1504" s="276"/>
      <c r="V1504" s="276"/>
      <c r="W1504" s="276"/>
      <c r="X1504" s="276"/>
      <c r="Y1504" s="276"/>
      <c r="Z1504" s="276"/>
      <c r="AA1504" s="276"/>
      <c r="AB1504" s="276"/>
      <c r="AC1504" s="276"/>
    </row>
    <row r="1505">
      <c r="A1505" s="31" t="s">
        <v>6097</v>
      </c>
      <c r="B1505" s="599">
        <v>46133.0</v>
      </c>
      <c r="C1505" s="31">
        <v>8.05011574168E11</v>
      </c>
      <c r="D1505" s="31" t="s">
        <v>6098</v>
      </c>
      <c r="E1505" s="31" t="s">
        <v>6099</v>
      </c>
      <c r="F1505" s="31" t="s">
        <v>6100</v>
      </c>
      <c r="G1505" s="31" t="s">
        <v>20</v>
      </c>
      <c r="H1505" s="31" t="s">
        <v>20</v>
      </c>
      <c r="I1505" s="31">
        <v>4400.0</v>
      </c>
      <c r="J1505" s="31">
        <v>3.875723601E9</v>
      </c>
      <c r="K1505" s="31" t="s">
        <v>25</v>
      </c>
      <c r="L1505" s="31" t="s">
        <v>3401</v>
      </c>
      <c r="M1505" s="33">
        <v>1.0</v>
      </c>
      <c r="N1505" s="206"/>
      <c r="O1505" s="206"/>
      <c r="P1505" s="206"/>
      <c r="Q1505" s="206"/>
      <c r="R1505" s="206"/>
      <c r="S1505" s="367"/>
      <c r="T1505" s="276"/>
      <c r="U1505" s="276"/>
      <c r="V1505" s="276"/>
      <c r="W1505" s="276"/>
      <c r="X1505" s="276"/>
      <c r="Y1505" s="276"/>
      <c r="Z1505" s="276"/>
      <c r="AA1505" s="276"/>
      <c r="AB1505" s="276"/>
      <c r="AC1505" s="276"/>
    </row>
    <row r="1506">
      <c r="A1506" s="600"/>
      <c r="B1506" s="601"/>
      <c r="C1506" s="601"/>
      <c r="D1506" s="601"/>
      <c r="E1506" s="601"/>
      <c r="F1506" s="601"/>
      <c r="G1506" s="601"/>
      <c r="H1506" s="601"/>
      <c r="I1506" s="601"/>
      <c r="J1506" s="601"/>
      <c r="K1506" s="601"/>
      <c r="L1506" s="601"/>
      <c r="M1506" s="602"/>
      <c r="N1506" s="109"/>
      <c r="O1506" s="109"/>
      <c r="P1506" s="387"/>
      <c r="Q1506" s="261"/>
      <c r="R1506" s="449"/>
      <c r="S1506" s="367"/>
      <c r="T1506" s="276"/>
      <c r="U1506" s="276"/>
      <c r="V1506" s="276"/>
      <c r="W1506" s="276"/>
      <c r="X1506" s="276"/>
      <c r="Y1506" s="276"/>
      <c r="Z1506" s="276"/>
      <c r="AA1506" s="276"/>
      <c r="AB1506" s="276"/>
      <c r="AC1506" s="276"/>
    </row>
    <row r="1507">
      <c r="A1507" s="108" t="s">
        <v>12546</v>
      </c>
      <c r="B1507" s="173">
        <v>45763.0</v>
      </c>
      <c r="C1507" s="176">
        <v>8.07000035743E11</v>
      </c>
      <c r="D1507" s="176" t="s">
        <v>12547</v>
      </c>
      <c r="E1507" s="176" t="s">
        <v>12548</v>
      </c>
      <c r="F1507" s="177" t="s">
        <v>12549</v>
      </c>
      <c r="G1507" s="176" t="s">
        <v>127</v>
      </c>
      <c r="H1507" s="176">
        <v>4400.0</v>
      </c>
      <c r="I1507" s="176" t="s">
        <v>5842</v>
      </c>
      <c r="J1507" s="176" t="s">
        <v>5843</v>
      </c>
      <c r="K1507" s="176">
        <v>1.0</v>
      </c>
      <c r="L1507" s="108">
        <v>3.875437499E9</v>
      </c>
      <c r="M1507" s="33"/>
      <c r="N1507" s="429">
        <v>46128.0</v>
      </c>
      <c r="O1507" s="430" t="s">
        <v>13338</v>
      </c>
      <c r="P1507" s="534"/>
      <c r="Q1507" s="430" t="s">
        <v>13339</v>
      </c>
      <c r="R1507" s="432" t="s">
        <v>14132</v>
      </c>
      <c r="S1507" s="367"/>
      <c r="T1507" s="276"/>
      <c r="U1507" s="276"/>
      <c r="V1507" s="276"/>
      <c r="W1507" s="276"/>
      <c r="X1507" s="276"/>
      <c r="Y1507" s="276"/>
      <c r="Z1507" s="276"/>
      <c r="AA1507" s="276"/>
      <c r="AB1507" s="276"/>
      <c r="AC1507" s="276"/>
    </row>
    <row r="1508">
      <c r="A1508" s="108" t="s">
        <v>12546</v>
      </c>
      <c r="B1508" s="173">
        <v>45763.0</v>
      </c>
      <c r="C1508" s="176">
        <v>8.07000035743E11</v>
      </c>
      <c r="D1508" s="176" t="s">
        <v>12547</v>
      </c>
      <c r="E1508" s="176" t="s">
        <v>12548</v>
      </c>
      <c r="F1508" s="177" t="s">
        <v>12549</v>
      </c>
      <c r="G1508" s="176" t="s">
        <v>127</v>
      </c>
      <c r="H1508" s="176">
        <v>4400.0</v>
      </c>
      <c r="I1508" s="176" t="s">
        <v>3131</v>
      </c>
      <c r="J1508" s="176" t="s">
        <v>3416</v>
      </c>
      <c r="K1508" s="176">
        <v>1.0</v>
      </c>
      <c r="L1508" s="108">
        <v>3.875437499E9</v>
      </c>
      <c r="M1508" s="33"/>
      <c r="N1508" s="206"/>
      <c r="O1508" s="206"/>
      <c r="P1508" s="206"/>
      <c r="Q1508" s="206"/>
      <c r="R1508" s="206"/>
      <c r="S1508" s="367"/>
      <c r="T1508" s="276"/>
      <c r="U1508" s="276"/>
      <c r="V1508" s="276"/>
      <c r="W1508" s="276"/>
      <c r="X1508" s="276"/>
      <c r="Y1508" s="276"/>
      <c r="Z1508" s="276"/>
      <c r="AA1508" s="276"/>
      <c r="AB1508" s="276"/>
      <c r="AC1508" s="276"/>
    </row>
    <row r="1509">
      <c r="A1509" s="108" t="s">
        <v>12550</v>
      </c>
      <c r="B1509" s="173">
        <v>45763.0</v>
      </c>
      <c r="C1509" s="176">
        <v>8.05011574078E11</v>
      </c>
      <c r="D1509" s="176" t="s">
        <v>12551</v>
      </c>
      <c r="E1509" s="176" t="s">
        <v>12552</v>
      </c>
      <c r="F1509" s="177" t="s">
        <v>12553</v>
      </c>
      <c r="G1509" s="176" t="s">
        <v>2943</v>
      </c>
      <c r="H1509" s="176">
        <v>4407.0</v>
      </c>
      <c r="I1509" s="176" t="s">
        <v>2372</v>
      </c>
      <c r="J1509" s="176" t="s">
        <v>8140</v>
      </c>
      <c r="K1509" s="176">
        <v>1.0</v>
      </c>
      <c r="L1509" s="108">
        <v>3.875180998E9</v>
      </c>
      <c r="M1509" s="33"/>
      <c r="N1509" s="429">
        <v>46128.0</v>
      </c>
      <c r="O1509" s="430" t="s">
        <v>13338</v>
      </c>
      <c r="P1509" s="534"/>
      <c r="Q1509" s="430" t="s">
        <v>13339</v>
      </c>
      <c r="R1509" s="432" t="s">
        <v>14133</v>
      </c>
      <c r="S1509" s="367"/>
      <c r="T1509" s="276"/>
      <c r="U1509" s="276"/>
      <c r="V1509" s="276"/>
      <c r="W1509" s="276"/>
      <c r="X1509" s="276"/>
      <c r="Y1509" s="276"/>
      <c r="Z1509" s="276"/>
      <c r="AA1509" s="276"/>
      <c r="AB1509" s="276"/>
      <c r="AC1509" s="276"/>
    </row>
    <row r="1510">
      <c r="A1510" s="108" t="s">
        <v>12550</v>
      </c>
      <c r="B1510" s="173">
        <v>45763.0</v>
      </c>
      <c r="C1510" s="176">
        <v>8.05011574078E11</v>
      </c>
      <c r="D1510" s="176" t="s">
        <v>12551</v>
      </c>
      <c r="E1510" s="176" t="s">
        <v>12552</v>
      </c>
      <c r="F1510" s="177" t="s">
        <v>12553</v>
      </c>
      <c r="G1510" s="176" t="s">
        <v>2943</v>
      </c>
      <c r="H1510" s="176">
        <v>4407.0</v>
      </c>
      <c r="I1510" s="176" t="s">
        <v>512</v>
      </c>
      <c r="J1510" s="176" t="s">
        <v>513</v>
      </c>
      <c r="K1510" s="176">
        <v>6.0</v>
      </c>
      <c r="L1510" s="108">
        <v>3.875180998E9</v>
      </c>
      <c r="M1510" s="33"/>
      <c r="N1510" s="209"/>
      <c r="O1510" s="209"/>
      <c r="P1510" s="209"/>
      <c r="Q1510" s="209"/>
      <c r="R1510" s="209"/>
      <c r="S1510" s="367"/>
      <c r="T1510" s="276"/>
      <c r="U1510" s="276"/>
      <c r="V1510" s="276"/>
      <c r="W1510" s="276"/>
      <c r="X1510" s="276"/>
      <c r="Y1510" s="276"/>
      <c r="Z1510" s="276"/>
      <c r="AA1510" s="276"/>
      <c r="AB1510" s="276"/>
      <c r="AC1510" s="276"/>
    </row>
    <row r="1511">
      <c r="A1511" s="108" t="s">
        <v>12550</v>
      </c>
      <c r="B1511" s="173">
        <v>45763.0</v>
      </c>
      <c r="C1511" s="176">
        <v>8.05011574078E11</v>
      </c>
      <c r="D1511" s="176" t="s">
        <v>12551</v>
      </c>
      <c r="E1511" s="176" t="s">
        <v>12552</v>
      </c>
      <c r="F1511" s="177" t="s">
        <v>12553</v>
      </c>
      <c r="G1511" s="176" t="s">
        <v>2943</v>
      </c>
      <c r="H1511" s="176">
        <v>4407.0</v>
      </c>
      <c r="I1511" s="176" t="s">
        <v>35</v>
      </c>
      <c r="J1511" s="176" t="s">
        <v>3188</v>
      </c>
      <c r="K1511" s="176">
        <v>1.0</v>
      </c>
      <c r="L1511" s="108">
        <v>3.875180998E9</v>
      </c>
      <c r="M1511" s="33"/>
      <c r="N1511" s="206"/>
      <c r="O1511" s="206"/>
      <c r="P1511" s="206"/>
      <c r="Q1511" s="206"/>
      <c r="R1511" s="206"/>
      <c r="S1511" s="367"/>
      <c r="T1511" s="276"/>
      <c r="U1511" s="276"/>
      <c r="V1511" s="276"/>
      <c r="W1511" s="276"/>
      <c r="X1511" s="276"/>
      <c r="Y1511" s="276"/>
      <c r="Z1511" s="276"/>
      <c r="AA1511" s="276"/>
      <c r="AB1511" s="276"/>
      <c r="AC1511" s="276"/>
    </row>
    <row r="1512">
      <c r="A1512" s="108" t="s">
        <v>12554</v>
      </c>
      <c r="B1512" s="173">
        <v>45763.0</v>
      </c>
      <c r="C1512" s="176">
        <v>8.07000035764E11</v>
      </c>
      <c r="D1512" s="176" t="s">
        <v>12555</v>
      </c>
      <c r="E1512" s="176" t="s">
        <v>12556</v>
      </c>
      <c r="F1512" s="177" t="s">
        <v>12557</v>
      </c>
      <c r="G1512" s="176" t="s">
        <v>127</v>
      </c>
      <c r="H1512" s="176">
        <v>4400.0</v>
      </c>
      <c r="I1512" s="108" t="s">
        <v>233</v>
      </c>
      <c r="J1512" s="108" t="s">
        <v>3459</v>
      </c>
      <c r="K1512" s="176">
        <v>2.0</v>
      </c>
      <c r="L1512" s="108">
        <v>1.134321564E9</v>
      </c>
      <c r="M1512" s="33"/>
      <c r="N1512" s="429">
        <v>46128.0</v>
      </c>
      <c r="O1512" s="430" t="s">
        <v>13338</v>
      </c>
      <c r="P1512" s="534"/>
      <c r="Q1512" s="430" t="s">
        <v>9012</v>
      </c>
      <c r="R1512" s="432" t="s">
        <v>14134</v>
      </c>
      <c r="S1512" s="367"/>
      <c r="T1512" s="276"/>
      <c r="U1512" s="276"/>
      <c r="V1512" s="276"/>
      <c r="W1512" s="276"/>
      <c r="X1512" s="276"/>
      <c r="Y1512" s="276"/>
      <c r="Z1512" s="276"/>
      <c r="AA1512" s="276"/>
      <c r="AB1512" s="276"/>
      <c r="AC1512" s="276"/>
    </row>
    <row r="1513">
      <c r="A1513" s="108" t="s">
        <v>12558</v>
      </c>
      <c r="B1513" s="173">
        <v>45763.0</v>
      </c>
      <c r="C1513" s="176">
        <v>8.07000035764E11</v>
      </c>
      <c r="D1513" s="176" t="s">
        <v>12555</v>
      </c>
      <c r="E1513" s="176" t="s">
        <v>12556</v>
      </c>
      <c r="F1513" s="177" t="s">
        <v>12557</v>
      </c>
      <c r="G1513" s="176" t="s">
        <v>127</v>
      </c>
      <c r="H1513" s="176">
        <v>4400.0</v>
      </c>
      <c r="I1513" s="108" t="s">
        <v>8763</v>
      </c>
      <c r="J1513" s="108" t="s">
        <v>12559</v>
      </c>
      <c r="K1513" s="176">
        <v>1.0</v>
      </c>
      <c r="L1513" s="108">
        <v>1.134321564E9</v>
      </c>
      <c r="M1513" s="33"/>
      <c r="N1513" s="209"/>
      <c r="O1513" s="209"/>
      <c r="P1513" s="209"/>
      <c r="Q1513" s="209"/>
      <c r="R1513" s="209"/>
      <c r="S1513" s="367"/>
      <c r="T1513" s="276"/>
      <c r="U1513" s="276"/>
      <c r="V1513" s="276"/>
      <c r="W1513" s="276"/>
      <c r="X1513" s="276"/>
      <c r="Y1513" s="276"/>
      <c r="Z1513" s="276"/>
      <c r="AA1513" s="276"/>
      <c r="AB1513" s="276"/>
      <c r="AC1513" s="276"/>
    </row>
    <row r="1514">
      <c r="A1514" s="108" t="s">
        <v>12558</v>
      </c>
      <c r="B1514" s="173">
        <v>45763.0</v>
      </c>
      <c r="C1514" s="176">
        <v>8.07000035764E11</v>
      </c>
      <c r="D1514" s="176" t="s">
        <v>12555</v>
      </c>
      <c r="E1514" s="176" t="s">
        <v>12556</v>
      </c>
      <c r="F1514" s="177" t="s">
        <v>12557</v>
      </c>
      <c r="G1514" s="176" t="s">
        <v>127</v>
      </c>
      <c r="H1514" s="176">
        <v>4400.0</v>
      </c>
      <c r="I1514" s="176" t="s">
        <v>512</v>
      </c>
      <c r="J1514" s="176" t="s">
        <v>513</v>
      </c>
      <c r="K1514" s="176">
        <v>12.0</v>
      </c>
      <c r="L1514" s="108">
        <v>1.134321564E9</v>
      </c>
      <c r="M1514" s="33"/>
      <c r="N1514" s="209"/>
      <c r="O1514" s="209"/>
      <c r="P1514" s="209"/>
      <c r="Q1514" s="209"/>
      <c r="R1514" s="209"/>
      <c r="S1514" s="367"/>
      <c r="T1514" s="276"/>
      <c r="U1514" s="276"/>
      <c r="V1514" s="276"/>
      <c r="W1514" s="276"/>
      <c r="X1514" s="276"/>
      <c r="Y1514" s="276"/>
      <c r="Z1514" s="276"/>
      <c r="AA1514" s="276"/>
      <c r="AB1514" s="276"/>
      <c r="AC1514" s="276"/>
    </row>
    <row r="1515">
      <c r="A1515" s="108" t="s">
        <v>12560</v>
      </c>
      <c r="B1515" s="173">
        <v>45763.0</v>
      </c>
      <c r="C1515" s="176">
        <v>8.0700000356E11</v>
      </c>
      <c r="D1515" s="176" t="s">
        <v>12555</v>
      </c>
      <c r="E1515" s="176" t="s">
        <v>12556</v>
      </c>
      <c r="F1515" s="177" t="s">
        <v>12557</v>
      </c>
      <c r="G1515" s="176" t="s">
        <v>127</v>
      </c>
      <c r="H1515" s="176">
        <v>4400.0</v>
      </c>
      <c r="I1515" s="176">
        <v>125822.0</v>
      </c>
      <c r="J1515" s="108" t="s">
        <v>6030</v>
      </c>
      <c r="K1515" s="176">
        <v>1.0</v>
      </c>
      <c r="L1515" s="108">
        <v>1.134321564E9</v>
      </c>
      <c r="M1515" s="33"/>
      <c r="N1515" s="209"/>
      <c r="O1515" s="209"/>
      <c r="P1515" s="209"/>
      <c r="Q1515" s="209"/>
      <c r="R1515" s="209"/>
      <c r="S1515" s="367"/>
      <c r="T1515" s="276"/>
      <c r="U1515" s="276"/>
      <c r="V1515" s="276"/>
      <c r="W1515" s="276"/>
      <c r="X1515" s="276"/>
      <c r="Y1515" s="276"/>
      <c r="Z1515" s="276"/>
      <c r="AA1515" s="276"/>
      <c r="AB1515" s="276"/>
      <c r="AC1515" s="276"/>
    </row>
    <row r="1516">
      <c r="A1516" s="108" t="s">
        <v>12560</v>
      </c>
      <c r="B1516" s="173">
        <v>45763.0</v>
      </c>
      <c r="C1516" s="176">
        <v>8.0700000356E11</v>
      </c>
      <c r="D1516" s="176" t="s">
        <v>12555</v>
      </c>
      <c r="E1516" s="176" t="s">
        <v>12556</v>
      </c>
      <c r="F1516" s="177" t="s">
        <v>12557</v>
      </c>
      <c r="G1516" s="176" t="s">
        <v>127</v>
      </c>
      <c r="H1516" s="176">
        <v>4400.0</v>
      </c>
      <c r="I1516" s="176">
        <v>208502.0</v>
      </c>
      <c r="J1516" s="108" t="s">
        <v>4551</v>
      </c>
      <c r="K1516" s="176">
        <v>2.0</v>
      </c>
      <c r="L1516" s="108">
        <v>1.134321564E9</v>
      </c>
      <c r="M1516" s="387"/>
      <c r="N1516" s="206"/>
      <c r="O1516" s="206"/>
      <c r="P1516" s="206"/>
      <c r="Q1516" s="206"/>
      <c r="R1516" s="206"/>
      <c r="S1516" s="367"/>
      <c r="T1516" s="276"/>
      <c r="U1516" s="276"/>
      <c r="V1516" s="276"/>
      <c r="W1516" s="276"/>
      <c r="X1516" s="276"/>
      <c r="Y1516" s="276"/>
      <c r="Z1516" s="276"/>
      <c r="AA1516" s="276"/>
      <c r="AB1516" s="276"/>
      <c r="AC1516" s="276"/>
    </row>
    <row r="1517">
      <c r="A1517" s="108" t="s">
        <v>12561</v>
      </c>
      <c r="B1517" s="173">
        <v>46129.0</v>
      </c>
      <c r="C1517" s="176">
        <v>8.07000035645E11</v>
      </c>
      <c r="D1517" s="176" t="s">
        <v>12562</v>
      </c>
      <c r="E1517" s="176" t="s">
        <v>12563</v>
      </c>
      <c r="F1517" s="177" t="s">
        <v>12564</v>
      </c>
      <c r="G1517" s="176" t="s">
        <v>127</v>
      </c>
      <c r="H1517" s="176">
        <v>4400.0</v>
      </c>
      <c r="I1517" s="176" t="s">
        <v>512</v>
      </c>
      <c r="J1517" s="176" t="s">
        <v>513</v>
      </c>
      <c r="K1517" s="176">
        <v>12.0</v>
      </c>
      <c r="L1517" s="108"/>
      <c r="M1517" s="387"/>
      <c r="N1517" s="480">
        <v>46129.0</v>
      </c>
      <c r="O1517" s="402" t="s">
        <v>13338</v>
      </c>
      <c r="P1517" s="534"/>
      <c r="Q1517" s="430" t="s">
        <v>13339</v>
      </c>
      <c r="R1517" s="432" t="s">
        <v>14135</v>
      </c>
      <c r="S1517" s="367"/>
      <c r="T1517" s="276"/>
      <c r="U1517" s="276"/>
      <c r="V1517" s="276"/>
      <c r="W1517" s="276"/>
      <c r="X1517" s="276"/>
      <c r="Y1517" s="276"/>
      <c r="Z1517" s="276"/>
      <c r="AA1517" s="276"/>
      <c r="AB1517" s="276"/>
      <c r="AC1517" s="276"/>
    </row>
    <row r="1518">
      <c r="A1518" s="108" t="s">
        <v>12561</v>
      </c>
      <c r="B1518" s="173">
        <v>46129.0</v>
      </c>
      <c r="C1518" s="176">
        <v>8.07000035646E11</v>
      </c>
      <c r="D1518" s="176" t="s">
        <v>12562</v>
      </c>
      <c r="E1518" s="176" t="s">
        <v>12563</v>
      </c>
      <c r="F1518" s="177" t="s">
        <v>12564</v>
      </c>
      <c r="G1518" s="176" t="s">
        <v>127</v>
      </c>
      <c r="H1518" s="176">
        <v>4400.0</v>
      </c>
      <c r="I1518" s="176">
        <v>125810.0</v>
      </c>
      <c r="J1518" s="176" t="s">
        <v>4672</v>
      </c>
      <c r="K1518" s="176">
        <v>2.0</v>
      </c>
      <c r="L1518" s="108"/>
      <c r="M1518" s="387"/>
      <c r="N1518" s="209"/>
      <c r="O1518" s="209"/>
      <c r="P1518" s="209"/>
      <c r="Q1518" s="209"/>
      <c r="R1518" s="209"/>
      <c r="S1518" s="367"/>
      <c r="T1518" s="276"/>
      <c r="U1518" s="276"/>
      <c r="V1518" s="276"/>
      <c r="W1518" s="276"/>
      <c r="X1518" s="276"/>
      <c r="Y1518" s="276"/>
      <c r="Z1518" s="276"/>
      <c r="AA1518" s="276"/>
      <c r="AB1518" s="276"/>
      <c r="AC1518" s="276"/>
    </row>
    <row r="1519">
      <c r="A1519" s="108" t="s">
        <v>12561</v>
      </c>
      <c r="B1519" s="173">
        <v>46129.0</v>
      </c>
      <c r="C1519" s="176">
        <v>8.07000035646E11</v>
      </c>
      <c r="D1519" s="176" t="s">
        <v>12562</v>
      </c>
      <c r="E1519" s="176" t="s">
        <v>12563</v>
      </c>
      <c r="F1519" s="177" t="s">
        <v>12564</v>
      </c>
      <c r="G1519" s="176" t="s">
        <v>127</v>
      </c>
      <c r="H1519" s="176">
        <v>4400.0</v>
      </c>
      <c r="I1519" s="176" t="s">
        <v>4133</v>
      </c>
      <c r="J1519" s="176" t="s">
        <v>4134</v>
      </c>
      <c r="K1519" s="176">
        <v>1.0</v>
      </c>
      <c r="L1519" s="108"/>
      <c r="M1519" s="387"/>
      <c r="N1519" s="209"/>
      <c r="O1519" s="209"/>
      <c r="P1519" s="209"/>
      <c r="Q1519" s="209"/>
      <c r="R1519" s="209"/>
      <c r="S1519" s="367"/>
      <c r="T1519" s="276"/>
      <c r="U1519" s="276"/>
      <c r="V1519" s="276"/>
      <c r="W1519" s="276"/>
      <c r="X1519" s="276"/>
      <c r="Y1519" s="276"/>
      <c r="Z1519" s="276"/>
      <c r="AA1519" s="276"/>
      <c r="AB1519" s="276"/>
      <c r="AC1519" s="276"/>
    </row>
    <row r="1520">
      <c r="A1520" s="108" t="s">
        <v>12561</v>
      </c>
      <c r="B1520" s="173">
        <v>46129.0</v>
      </c>
      <c r="C1520" s="176">
        <v>8.07000035646E11</v>
      </c>
      <c r="D1520" s="176" t="s">
        <v>12562</v>
      </c>
      <c r="E1520" s="176" t="s">
        <v>12563</v>
      </c>
      <c r="F1520" s="177" t="s">
        <v>12564</v>
      </c>
      <c r="G1520" s="176" t="s">
        <v>127</v>
      </c>
      <c r="H1520" s="176">
        <v>4400.0</v>
      </c>
      <c r="I1520" s="176" t="s">
        <v>340</v>
      </c>
      <c r="J1520" s="176" t="s">
        <v>3486</v>
      </c>
      <c r="K1520" s="176">
        <v>2.0</v>
      </c>
      <c r="L1520" s="108"/>
      <c r="M1520" s="387"/>
      <c r="N1520" s="206"/>
      <c r="O1520" s="206"/>
      <c r="P1520" s="206"/>
      <c r="Q1520" s="206"/>
      <c r="R1520" s="206"/>
      <c r="S1520" s="367"/>
      <c r="T1520" s="276"/>
      <c r="U1520" s="276"/>
      <c r="V1520" s="276"/>
      <c r="W1520" s="276"/>
      <c r="X1520" s="276"/>
      <c r="Y1520" s="276"/>
      <c r="Z1520" s="276"/>
      <c r="AA1520" s="276"/>
      <c r="AB1520" s="276"/>
      <c r="AC1520" s="276"/>
    </row>
    <row r="1521">
      <c r="A1521" s="108" t="s">
        <v>12565</v>
      </c>
      <c r="B1521" s="173">
        <v>46129.0</v>
      </c>
      <c r="C1521" s="176">
        <v>8.07000035757E11</v>
      </c>
      <c r="D1521" s="176" t="s">
        <v>12566</v>
      </c>
      <c r="E1521" s="176" t="s">
        <v>12567</v>
      </c>
      <c r="F1521" s="177" t="s">
        <v>12568</v>
      </c>
      <c r="G1521" s="176" t="s">
        <v>127</v>
      </c>
      <c r="H1521" s="176">
        <v>4400.0</v>
      </c>
      <c r="I1521" s="176" t="s">
        <v>7955</v>
      </c>
      <c r="J1521" s="176" t="s">
        <v>7956</v>
      </c>
      <c r="K1521" s="176">
        <v>1.0</v>
      </c>
      <c r="L1521" s="108">
        <v>3.87482855E9</v>
      </c>
      <c r="M1521" s="387"/>
      <c r="N1521" s="480">
        <v>46129.0</v>
      </c>
      <c r="O1521" s="402" t="s">
        <v>13338</v>
      </c>
      <c r="P1521" s="534"/>
      <c r="Q1521" s="430" t="s">
        <v>13339</v>
      </c>
      <c r="R1521" s="432" t="s">
        <v>14136</v>
      </c>
      <c r="S1521" s="367"/>
      <c r="T1521" s="276"/>
      <c r="U1521" s="276"/>
      <c r="V1521" s="276"/>
      <c r="W1521" s="276"/>
      <c r="X1521" s="276"/>
      <c r="Y1521" s="276"/>
      <c r="Z1521" s="276"/>
      <c r="AA1521" s="276"/>
      <c r="AB1521" s="276"/>
      <c r="AC1521" s="276"/>
    </row>
    <row r="1522">
      <c r="A1522" s="108" t="s">
        <v>12565</v>
      </c>
      <c r="B1522" s="173">
        <v>46129.0</v>
      </c>
      <c r="C1522" s="176">
        <v>8.07000035757E11</v>
      </c>
      <c r="D1522" s="176" t="s">
        <v>12566</v>
      </c>
      <c r="E1522" s="176" t="s">
        <v>12567</v>
      </c>
      <c r="F1522" s="177" t="s">
        <v>12568</v>
      </c>
      <c r="G1522" s="176" t="s">
        <v>127</v>
      </c>
      <c r="H1522" s="176">
        <v>4400.0</v>
      </c>
      <c r="I1522" s="176" t="s">
        <v>512</v>
      </c>
      <c r="J1522" s="176" t="s">
        <v>513</v>
      </c>
      <c r="K1522" s="176">
        <v>12.0</v>
      </c>
      <c r="L1522" s="108">
        <v>3.87482855E9</v>
      </c>
      <c r="M1522" s="387"/>
      <c r="N1522" s="209"/>
      <c r="O1522" s="209"/>
      <c r="P1522" s="209"/>
      <c r="Q1522" s="209"/>
      <c r="R1522" s="209"/>
      <c r="S1522" s="367"/>
      <c r="T1522" s="276"/>
      <c r="U1522" s="276"/>
      <c r="V1522" s="276"/>
      <c r="W1522" s="276"/>
      <c r="X1522" s="276"/>
      <c r="Y1522" s="276"/>
      <c r="Z1522" s="276"/>
      <c r="AA1522" s="276"/>
      <c r="AB1522" s="276"/>
      <c r="AC1522" s="276"/>
    </row>
    <row r="1523">
      <c r="A1523" s="108" t="s">
        <v>12569</v>
      </c>
      <c r="B1523" s="173">
        <v>46129.0</v>
      </c>
      <c r="C1523" s="176">
        <v>8.07000035759E11</v>
      </c>
      <c r="D1523" s="176" t="s">
        <v>12566</v>
      </c>
      <c r="E1523" s="176" t="s">
        <v>12567</v>
      </c>
      <c r="F1523" s="177" t="s">
        <v>12568</v>
      </c>
      <c r="G1523" s="176" t="s">
        <v>127</v>
      </c>
      <c r="H1523" s="176">
        <v>4400.0</v>
      </c>
      <c r="I1523" s="176" t="s">
        <v>758</v>
      </c>
      <c r="J1523" s="176" t="s">
        <v>3574</v>
      </c>
      <c r="K1523" s="176">
        <v>2.0</v>
      </c>
      <c r="L1523" s="108">
        <v>3.87482855E9</v>
      </c>
      <c r="M1523" s="387"/>
      <c r="N1523" s="206"/>
      <c r="O1523" s="206"/>
      <c r="P1523" s="206"/>
      <c r="Q1523" s="206"/>
      <c r="R1523" s="206"/>
      <c r="S1523" s="367"/>
      <c r="T1523" s="276"/>
      <c r="U1523" s="276"/>
      <c r="V1523" s="276"/>
      <c r="W1523" s="276"/>
      <c r="X1523" s="276"/>
      <c r="Y1523" s="276"/>
      <c r="Z1523" s="276"/>
      <c r="AA1523" s="276"/>
      <c r="AB1523" s="276"/>
      <c r="AC1523" s="276"/>
    </row>
    <row r="1524">
      <c r="A1524" s="108" t="s">
        <v>12570</v>
      </c>
      <c r="B1524" s="173">
        <v>46129.0</v>
      </c>
      <c r="C1524" s="176">
        <v>8.05011574137E11</v>
      </c>
      <c r="D1524" s="176" t="s">
        <v>12571</v>
      </c>
      <c r="E1524" s="176" t="s">
        <v>12572</v>
      </c>
      <c r="F1524" s="177" t="s">
        <v>12573</v>
      </c>
      <c r="G1524" s="176" t="s">
        <v>20</v>
      </c>
      <c r="H1524" s="176">
        <v>4400.0</v>
      </c>
      <c r="I1524" s="176" t="s">
        <v>634</v>
      </c>
      <c r="J1524" s="176" t="s">
        <v>635</v>
      </c>
      <c r="K1524" s="176">
        <v>2.0</v>
      </c>
      <c r="L1524" s="108">
        <v>3.873692595E9</v>
      </c>
      <c r="M1524" s="387"/>
      <c r="N1524" s="481">
        <v>46129.0</v>
      </c>
      <c r="O1524" s="531" t="s">
        <v>13338</v>
      </c>
      <c r="P1524" s="387"/>
      <c r="Q1524" s="261" t="s">
        <v>13339</v>
      </c>
      <c r="R1524" s="434" t="s">
        <v>14137</v>
      </c>
      <c r="S1524" s="367"/>
      <c r="T1524" s="276"/>
      <c r="U1524" s="276"/>
      <c r="V1524" s="276"/>
      <c r="W1524" s="276"/>
      <c r="X1524" s="276"/>
      <c r="Y1524" s="276"/>
      <c r="Z1524" s="276"/>
      <c r="AA1524" s="276"/>
      <c r="AB1524" s="276"/>
      <c r="AC1524" s="276"/>
    </row>
    <row r="1525">
      <c r="A1525" s="108" t="s">
        <v>12574</v>
      </c>
      <c r="B1525" s="173">
        <v>46129.0</v>
      </c>
      <c r="C1525" s="176">
        <v>8.07000035767E11</v>
      </c>
      <c r="D1525" s="176" t="s">
        <v>12575</v>
      </c>
      <c r="E1525" s="176" t="s">
        <v>12576</v>
      </c>
      <c r="F1525" s="177" t="s">
        <v>12577</v>
      </c>
      <c r="G1525" s="176" t="s">
        <v>127</v>
      </c>
      <c r="H1525" s="176">
        <v>4400.0</v>
      </c>
      <c r="I1525" s="176" t="s">
        <v>512</v>
      </c>
      <c r="J1525" s="176" t="s">
        <v>513</v>
      </c>
      <c r="K1525" s="176">
        <v>12.0</v>
      </c>
      <c r="L1525" s="108">
        <v>3.876308844E9</v>
      </c>
      <c r="M1525" s="387"/>
      <c r="N1525" s="480">
        <v>46129.0</v>
      </c>
      <c r="O1525" s="402" t="s">
        <v>13338</v>
      </c>
      <c r="P1525" s="534"/>
      <c r="Q1525" s="430" t="s">
        <v>14138</v>
      </c>
      <c r="R1525" s="432" t="s">
        <v>14139</v>
      </c>
      <c r="S1525" s="367"/>
      <c r="T1525" s="276"/>
      <c r="U1525" s="276"/>
      <c r="V1525" s="276"/>
      <c r="W1525" s="276"/>
      <c r="X1525" s="276"/>
      <c r="Y1525" s="276"/>
      <c r="Z1525" s="276"/>
      <c r="AA1525" s="276"/>
      <c r="AB1525" s="276"/>
      <c r="AC1525" s="276"/>
    </row>
    <row r="1526">
      <c r="A1526" s="108" t="s">
        <v>12574</v>
      </c>
      <c r="B1526" s="173">
        <v>46129.0</v>
      </c>
      <c r="C1526" s="176">
        <v>8.07000035768E11</v>
      </c>
      <c r="D1526" s="176" t="s">
        <v>12575</v>
      </c>
      <c r="E1526" s="176" t="s">
        <v>12576</v>
      </c>
      <c r="F1526" s="177" t="s">
        <v>12577</v>
      </c>
      <c r="G1526" s="176" t="s">
        <v>127</v>
      </c>
      <c r="H1526" s="176">
        <v>4400.0</v>
      </c>
      <c r="I1526" s="176" t="s">
        <v>7741</v>
      </c>
      <c r="J1526" s="176" t="s">
        <v>7742</v>
      </c>
      <c r="K1526" s="176">
        <v>1.0</v>
      </c>
      <c r="L1526" s="108">
        <v>3.876308844E9</v>
      </c>
      <c r="M1526" s="387"/>
      <c r="N1526" s="209"/>
      <c r="O1526" s="209"/>
      <c r="P1526" s="209"/>
      <c r="Q1526" s="209"/>
      <c r="R1526" s="209"/>
      <c r="S1526" s="367"/>
      <c r="T1526" s="276"/>
      <c r="U1526" s="276"/>
      <c r="V1526" s="276"/>
      <c r="W1526" s="276"/>
      <c r="X1526" s="276"/>
      <c r="Y1526" s="276"/>
      <c r="Z1526" s="276"/>
      <c r="AA1526" s="276"/>
      <c r="AB1526" s="276"/>
      <c r="AC1526" s="276"/>
    </row>
    <row r="1527">
      <c r="A1527" s="108" t="s">
        <v>12574</v>
      </c>
      <c r="B1527" s="173">
        <v>46129.0</v>
      </c>
      <c r="C1527" s="176">
        <v>8.07000035768E11</v>
      </c>
      <c r="D1527" s="176" t="s">
        <v>12575</v>
      </c>
      <c r="E1527" s="176" t="s">
        <v>12576</v>
      </c>
      <c r="F1527" s="177" t="s">
        <v>12577</v>
      </c>
      <c r="G1527" s="176" t="s">
        <v>127</v>
      </c>
      <c r="H1527" s="176">
        <v>4400.0</v>
      </c>
      <c r="I1527" s="176" t="s">
        <v>772</v>
      </c>
      <c r="J1527" s="176" t="s">
        <v>3363</v>
      </c>
      <c r="K1527" s="176">
        <v>2.0</v>
      </c>
      <c r="L1527" s="108">
        <v>3.876308844E9</v>
      </c>
      <c r="M1527" s="387"/>
      <c r="N1527" s="206"/>
      <c r="O1527" s="206"/>
      <c r="P1527" s="206"/>
      <c r="Q1527" s="206"/>
      <c r="R1527" s="206"/>
      <c r="S1527" s="367"/>
      <c r="T1527" s="276"/>
      <c r="U1527" s="276"/>
      <c r="V1527" s="276"/>
      <c r="W1527" s="276"/>
      <c r="X1527" s="276"/>
      <c r="Y1527" s="276"/>
      <c r="Z1527" s="276"/>
      <c r="AA1527" s="276"/>
      <c r="AB1527" s="276"/>
      <c r="AC1527" s="276"/>
    </row>
    <row r="1528">
      <c r="A1528" s="602"/>
      <c r="B1528" s="603"/>
      <c r="C1528" s="604"/>
      <c r="D1528" s="604"/>
      <c r="E1528" s="604"/>
      <c r="F1528" s="605"/>
      <c r="G1528" s="605"/>
      <c r="H1528" s="605"/>
      <c r="I1528" s="606"/>
      <c r="J1528" s="604"/>
      <c r="K1528" s="605"/>
      <c r="L1528" s="607"/>
      <c r="M1528" s="387"/>
      <c r="N1528" s="481"/>
      <c r="O1528" s="531"/>
      <c r="P1528" s="387"/>
      <c r="Q1528" s="261"/>
      <c r="R1528" s="449"/>
      <c r="S1528" s="367"/>
      <c r="T1528" s="276"/>
      <c r="U1528" s="276"/>
      <c r="V1528" s="276"/>
      <c r="W1528" s="276"/>
      <c r="X1528" s="276"/>
      <c r="Y1528" s="276"/>
      <c r="Z1528" s="276"/>
      <c r="AA1528" s="276"/>
      <c r="AB1528" s="276"/>
      <c r="AC1528" s="276"/>
    </row>
    <row r="1529">
      <c r="A1529" s="108" t="s">
        <v>12578</v>
      </c>
      <c r="B1529" s="173">
        <v>46133.0</v>
      </c>
      <c r="C1529" s="374">
        <v>8.07000035739E11</v>
      </c>
      <c r="D1529" s="374" t="s">
        <v>6093</v>
      </c>
      <c r="E1529" s="374" t="s">
        <v>6094</v>
      </c>
      <c r="F1529" s="177" t="s">
        <v>6095</v>
      </c>
      <c r="G1529" s="177" t="s">
        <v>127</v>
      </c>
      <c r="H1529" s="177">
        <v>4400.0</v>
      </c>
      <c r="I1529" s="176" t="s">
        <v>4250</v>
      </c>
      <c r="J1529" s="374" t="s">
        <v>4251</v>
      </c>
      <c r="K1529" s="177">
        <v>2.0</v>
      </c>
      <c r="L1529" s="174">
        <v>3.875385097E9</v>
      </c>
      <c r="M1529" s="387"/>
      <c r="N1529" s="480">
        <v>46133.0</v>
      </c>
      <c r="O1529" s="402" t="s">
        <v>13338</v>
      </c>
      <c r="P1529" s="534"/>
      <c r="Q1529" s="430" t="s">
        <v>13339</v>
      </c>
      <c r="R1529" s="432" t="s">
        <v>14140</v>
      </c>
      <c r="S1529" s="367"/>
      <c r="T1529" s="276"/>
      <c r="U1529" s="276"/>
      <c r="V1529" s="276"/>
      <c r="W1529" s="276"/>
      <c r="X1529" s="276"/>
      <c r="Y1529" s="276"/>
      <c r="Z1529" s="276"/>
      <c r="AA1529" s="276"/>
      <c r="AB1529" s="276"/>
      <c r="AC1529" s="276"/>
    </row>
    <row r="1530">
      <c r="A1530" s="108" t="s">
        <v>12578</v>
      </c>
      <c r="B1530" s="173">
        <v>46133.0</v>
      </c>
      <c r="C1530" s="374">
        <v>8.07000035741E11</v>
      </c>
      <c r="D1530" s="374" t="s">
        <v>6093</v>
      </c>
      <c r="E1530" s="374" t="s">
        <v>6094</v>
      </c>
      <c r="F1530" s="177" t="s">
        <v>6095</v>
      </c>
      <c r="G1530" s="177" t="s">
        <v>127</v>
      </c>
      <c r="H1530" s="177">
        <v>4400.0</v>
      </c>
      <c r="I1530" s="176" t="s">
        <v>4248</v>
      </c>
      <c r="J1530" s="374" t="s">
        <v>4249</v>
      </c>
      <c r="K1530" s="177">
        <v>1.0</v>
      </c>
      <c r="L1530" s="174">
        <v>3.875385097E9</v>
      </c>
      <c r="M1530" s="387"/>
      <c r="N1530" s="206"/>
      <c r="O1530" s="206"/>
      <c r="P1530" s="206"/>
      <c r="Q1530" s="206"/>
      <c r="R1530" s="206"/>
      <c r="S1530" s="367"/>
      <c r="T1530" s="276"/>
      <c r="U1530" s="276"/>
      <c r="V1530" s="276"/>
      <c r="W1530" s="276"/>
      <c r="X1530" s="276"/>
      <c r="Y1530" s="276"/>
      <c r="Z1530" s="276"/>
      <c r="AA1530" s="276"/>
      <c r="AB1530" s="276"/>
      <c r="AC1530" s="276"/>
    </row>
    <row r="1531">
      <c r="A1531" s="108" t="s">
        <v>12579</v>
      </c>
      <c r="B1531" s="173">
        <v>46133.0</v>
      </c>
      <c r="C1531" s="374">
        <v>8.07000035793E11</v>
      </c>
      <c r="D1531" s="374" t="s">
        <v>12580</v>
      </c>
      <c r="E1531" s="374" t="s">
        <v>12581</v>
      </c>
      <c r="F1531" s="177" t="s">
        <v>12582</v>
      </c>
      <c r="G1531" s="177" t="s">
        <v>127</v>
      </c>
      <c r="H1531" s="177">
        <v>4400.0</v>
      </c>
      <c r="I1531" s="176" t="s">
        <v>512</v>
      </c>
      <c r="J1531" s="374" t="s">
        <v>513</v>
      </c>
      <c r="K1531" s="177">
        <v>12.0</v>
      </c>
      <c r="L1531" s="174">
        <v>3.875467514E9</v>
      </c>
      <c r="M1531" s="387"/>
      <c r="N1531" s="480">
        <v>46133.0</v>
      </c>
      <c r="O1531" s="402" t="s">
        <v>13338</v>
      </c>
      <c r="P1531" s="534"/>
      <c r="Q1531" s="430" t="s">
        <v>9012</v>
      </c>
      <c r="R1531" s="432" t="s">
        <v>14141</v>
      </c>
      <c r="S1531" s="367"/>
      <c r="T1531" s="276"/>
      <c r="U1531" s="276"/>
      <c r="V1531" s="276"/>
      <c r="W1531" s="276"/>
      <c r="X1531" s="276"/>
      <c r="Y1531" s="276"/>
      <c r="Z1531" s="276"/>
      <c r="AA1531" s="276"/>
      <c r="AB1531" s="276"/>
      <c r="AC1531" s="276"/>
    </row>
    <row r="1532">
      <c r="A1532" s="108" t="s">
        <v>12579</v>
      </c>
      <c r="B1532" s="173">
        <v>46133.0</v>
      </c>
      <c r="C1532" s="374">
        <v>8.07000035794E11</v>
      </c>
      <c r="D1532" s="374" t="s">
        <v>12580</v>
      </c>
      <c r="E1532" s="374" t="s">
        <v>12581</v>
      </c>
      <c r="F1532" s="177" t="s">
        <v>12582</v>
      </c>
      <c r="G1532" s="177" t="s">
        <v>127</v>
      </c>
      <c r="H1532" s="177">
        <v>4400.0</v>
      </c>
      <c r="I1532" s="176" t="s">
        <v>3484</v>
      </c>
      <c r="J1532" s="374" t="s">
        <v>3485</v>
      </c>
      <c r="K1532" s="177">
        <v>1.0</v>
      </c>
      <c r="L1532" s="174">
        <v>3.875467514E9</v>
      </c>
      <c r="M1532" s="387"/>
      <c r="N1532" s="209"/>
      <c r="O1532" s="209"/>
      <c r="P1532" s="209"/>
      <c r="Q1532" s="209"/>
      <c r="R1532" s="209"/>
      <c r="S1532" s="367"/>
      <c r="T1532" s="276"/>
      <c r="U1532" s="276"/>
      <c r="V1532" s="276"/>
      <c r="W1532" s="276"/>
      <c r="X1532" s="276"/>
      <c r="Y1532" s="276"/>
      <c r="Z1532" s="276"/>
      <c r="AA1532" s="276"/>
      <c r="AB1532" s="276"/>
      <c r="AC1532" s="276"/>
    </row>
    <row r="1533">
      <c r="A1533" s="108" t="s">
        <v>12579</v>
      </c>
      <c r="B1533" s="173">
        <v>46133.0</v>
      </c>
      <c r="C1533" s="374">
        <v>8.07000035795E11</v>
      </c>
      <c r="D1533" s="374" t="s">
        <v>12580</v>
      </c>
      <c r="E1533" s="374" t="s">
        <v>12581</v>
      </c>
      <c r="F1533" s="177" t="s">
        <v>12582</v>
      </c>
      <c r="G1533" s="177" t="s">
        <v>127</v>
      </c>
      <c r="H1533" s="177">
        <v>4400.0</v>
      </c>
      <c r="I1533" s="176" t="s">
        <v>340</v>
      </c>
      <c r="J1533" s="374" t="s">
        <v>3486</v>
      </c>
      <c r="K1533" s="177">
        <v>2.0</v>
      </c>
      <c r="L1533" s="174">
        <v>3.875467514E9</v>
      </c>
      <c r="M1533" s="387"/>
      <c r="N1533" s="206"/>
      <c r="O1533" s="206"/>
      <c r="P1533" s="206"/>
      <c r="Q1533" s="206"/>
      <c r="R1533" s="206"/>
      <c r="S1533" s="367"/>
      <c r="T1533" s="276"/>
      <c r="U1533" s="276"/>
      <c r="V1533" s="276"/>
      <c r="W1533" s="276"/>
      <c r="X1533" s="276"/>
      <c r="Y1533" s="276"/>
      <c r="Z1533" s="276"/>
      <c r="AA1533" s="276"/>
      <c r="AB1533" s="276"/>
      <c r="AC1533" s="276"/>
    </row>
    <row r="1534">
      <c r="A1534" s="108" t="s">
        <v>12583</v>
      </c>
      <c r="B1534" s="173">
        <v>46134.0</v>
      </c>
      <c r="C1534" s="374">
        <v>8.07000035583E11</v>
      </c>
      <c r="D1534" s="374" t="s">
        <v>6070</v>
      </c>
      <c r="E1534" s="374" t="s">
        <v>6071</v>
      </c>
      <c r="F1534" s="177" t="s">
        <v>6072</v>
      </c>
      <c r="G1534" s="177" t="s">
        <v>127</v>
      </c>
      <c r="H1534" s="177">
        <v>4400.0</v>
      </c>
      <c r="I1534" s="176">
        <v>125811.0</v>
      </c>
      <c r="J1534" s="374" t="s">
        <v>6073</v>
      </c>
      <c r="K1534" s="177">
        <v>2.0</v>
      </c>
      <c r="L1534" s="174">
        <v>1.165206266E9</v>
      </c>
      <c r="M1534" s="387"/>
      <c r="N1534" s="481"/>
      <c r="O1534" s="531"/>
      <c r="P1534" s="387"/>
      <c r="Q1534" s="261"/>
      <c r="R1534" s="449"/>
      <c r="S1534" s="367"/>
      <c r="T1534" s="276"/>
      <c r="U1534" s="276"/>
      <c r="V1534" s="276"/>
      <c r="W1534" s="276"/>
      <c r="X1534" s="276"/>
      <c r="Y1534" s="276"/>
      <c r="Z1534" s="276"/>
      <c r="AA1534" s="276"/>
      <c r="AB1534" s="276"/>
      <c r="AC1534" s="276"/>
    </row>
    <row r="1535">
      <c r="A1535" s="108" t="s">
        <v>12584</v>
      </c>
      <c r="B1535" s="173">
        <v>46134.0</v>
      </c>
      <c r="C1535" s="374">
        <v>8.0501157396E11</v>
      </c>
      <c r="D1535" s="374" t="s">
        <v>12585</v>
      </c>
      <c r="E1535" s="374" t="s">
        <v>12586</v>
      </c>
      <c r="F1535" s="177" t="s">
        <v>12587</v>
      </c>
      <c r="G1535" s="177" t="s">
        <v>12588</v>
      </c>
      <c r="H1535" s="177">
        <v>4530.0</v>
      </c>
      <c r="I1535" s="176" t="s">
        <v>3339</v>
      </c>
      <c r="J1535" s="374" t="s">
        <v>3340</v>
      </c>
      <c r="K1535" s="177">
        <v>1.0</v>
      </c>
      <c r="L1535" s="174">
        <v>3.584245292E9</v>
      </c>
      <c r="M1535" s="387"/>
      <c r="N1535" s="481">
        <v>46156.0</v>
      </c>
      <c r="O1535" s="531" t="s">
        <v>13338</v>
      </c>
      <c r="P1535" s="387"/>
      <c r="Q1535" s="261" t="s">
        <v>14142</v>
      </c>
      <c r="R1535" s="434" t="s">
        <v>14143</v>
      </c>
      <c r="S1535" s="367"/>
      <c r="T1535" s="276"/>
      <c r="U1535" s="276"/>
      <c r="V1535" s="276"/>
      <c r="W1535" s="276"/>
      <c r="X1535" s="276"/>
      <c r="Y1535" s="276"/>
      <c r="Z1535" s="276"/>
      <c r="AA1535" s="276"/>
      <c r="AB1535" s="276"/>
      <c r="AC1535" s="276"/>
    </row>
    <row r="1536">
      <c r="A1536" s="108" t="s">
        <v>12589</v>
      </c>
      <c r="B1536" s="173">
        <v>46135.0</v>
      </c>
      <c r="C1536" s="374">
        <v>8.07000035801E11</v>
      </c>
      <c r="D1536" s="374" t="s">
        <v>12590</v>
      </c>
      <c r="E1536" s="374" t="s">
        <v>12591</v>
      </c>
      <c r="F1536" s="177" t="s">
        <v>12592</v>
      </c>
      <c r="G1536" s="177" t="s">
        <v>104</v>
      </c>
      <c r="H1536" s="177">
        <v>4400.0</v>
      </c>
      <c r="I1536" s="176" t="s">
        <v>8532</v>
      </c>
      <c r="J1536" s="374" t="s">
        <v>8533</v>
      </c>
      <c r="K1536" s="177">
        <v>1.0</v>
      </c>
      <c r="L1536" s="174">
        <v>3.874779573E9</v>
      </c>
      <c r="M1536" s="387"/>
      <c r="N1536" s="481">
        <v>46135.0</v>
      </c>
      <c r="O1536" s="531" t="s">
        <v>13338</v>
      </c>
      <c r="P1536" s="387"/>
      <c r="Q1536" s="261" t="s">
        <v>13339</v>
      </c>
      <c r="R1536" s="434" t="s">
        <v>14144</v>
      </c>
      <c r="S1536" s="367"/>
      <c r="T1536" s="276"/>
      <c r="U1536" s="276"/>
      <c r="V1536" s="276"/>
      <c r="W1536" s="276"/>
      <c r="X1536" s="276"/>
      <c r="Y1536" s="276"/>
      <c r="Z1536" s="276"/>
      <c r="AA1536" s="276"/>
      <c r="AB1536" s="276"/>
      <c r="AC1536" s="276"/>
    </row>
    <row r="1537">
      <c r="A1537" s="108" t="s">
        <v>12593</v>
      </c>
      <c r="B1537" s="173">
        <v>46136.0</v>
      </c>
      <c r="C1537" s="374">
        <v>8.07000035803E11</v>
      </c>
      <c r="D1537" s="374" t="s">
        <v>12594</v>
      </c>
      <c r="E1537" s="374" t="s">
        <v>12595</v>
      </c>
      <c r="F1537" s="177" t="s">
        <v>12596</v>
      </c>
      <c r="G1537" s="177" t="s">
        <v>104</v>
      </c>
      <c r="H1537" s="177">
        <v>4400.0</v>
      </c>
      <c r="I1537" s="176" t="s">
        <v>5551</v>
      </c>
      <c r="J1537" s="374" t="s">
        <v>5552</v>
      </c>
      <c r="K1537" s="177">
        <v>1.0</v>
      </c>
      <c r="L1537" s="174">
        <v>3.874128912E9</v>
      </c>
      <c r="M1537" s="387"/>
      <c r="N1537" s="480">
        <v>46136.0</v>
      </c>
      <c r="O1537" s="402" t="s">
        <v>13338</v>
      </c>
      <c r="P1537" s="534"/>
      <c r="Q1537" s="430" t="s">
        <v>13339</v>
      </c>
      <c r="R1537" s="432" t="s">
        <v>14145</v>
      </c>
      <c r="S1537" s="367"/>
      <c r="T1537" s="276"/>
      <c r="U1537" s="276"/>
      <c r="V1537" s="276"/>
      <c r="W1537" s="276"/>
      <c r="X1537" s="276"/>
      <c r="Y1537" s="276"/>
      <c r="Z1537" s="276"/>
      <c r="AA1537" s="276"/>
      <c r="AB1537" s="276"/>
      <c r="AC1537" s="276"/>
    </row>
    <row r="1538">
      <c r="A1538" s="108" t="s">
        <v>12593</v>
      </c>
      <c r="B1538" s="173">
        <v>46136.0</v>
      </c>
      <c r="C1538" s="374">
        <v>8.07000035803E11</v>
      </c>
      <c r="D1538" s="374" t="s">
        <v>12594</v>
      </c>
      <c r="E1538" s="374" t="s">
        <v>12595</v>
      </c>
      <c r="F1538" s="177" t="s">
        <v>12596</v>
      </c>
      <c r="G1538" s="177" t="s">
        <v>104</v>
      </c>
      <c r="H1538" s="177">
        <v>4400.0</v>
      </c>
      <c r="I1538" s="176" t="s">
        <v>110</v>
      </c>
      <c r="J1538" s="374" t="s">
        <v>3673</v>
      </c>
      <c r="K1538" s="177">
        <v>1.0</v>
      </c>
      <c r="L1538" s="174">
        <v>3.874128912E9</v>
      </c>
      <c r="M1538" s="387"/>
      <c r="N1538" s="206"/>
      <c r="O1538" s="206"/>
      <c r="P1538" s="206"/>
      <c r="Q1538" s="206"/>
      <c r="R1538" s="206"/>
      <c r="S1538" s="367"/>
      <c r="T1538" s="276"/>
      <c r="U1538" s="276"/>
      <c r="V1538" s="276"/>
      <c r="W1538" s="276"/>
      <c r="X1538" s="276"/>
      <c r="Y1538" s="276"/>
      <c r="Z1538" s="276"/>
      <c r="AA1538" s="276"/>
      <c r="AB1538" s="276"/>
      <c r="AC1538" s="276"/>
    </row>
    <row r="1539">
      <c r="A1539" s="108" t="s">
        <v>12597</v>
      </c>
      <c r="B1539" s="173">
        <v>46136.0</v>
      </c>
      <c r="C1539" s="374">
        <v>8.05011574391E11</v>
      </c>
      <c r="D1539" s="374" t="s">
        <v>12598</v>
      </c>
      <c r="E1539" s="374" t="s">
        <v>12599</v>
      </c>
      <c r="F1539" s="177" t="s">
        <v>12600</v>
      </c>
      <c r="G1539" s="177" t="s">
        <v>104</v>
      </c>
      <c r="H1539" s="177">
        <v>4400.0</v>
      </c>
      <c r="I1539" s="176" t="s">
        <v>3451</v>
      </c>
      <c r="J1539" s="374" t="s">
        <v>3452</v>
      </c>
      <c r="K1539" s="177">
        <v>1.0</v>
      </c>
      <c r="L1539" s="174">
        <v>3.875919671E9</v>
      </c>
      <c r="M1539" s="387"/>
      <c r="N1539" s="481">
        <v>46136.0</v>
      </c>
      <c r="O1539" s="531" t="s">
        <v>9011</v>
      </c>
      <c r="P1539" s="387"/>
      <c r="Q1539" s="261" t="s">
        <v>14146</v>
      </c>
      <c r="R1539" s="434" t="s">
        <v>14147</v>
      </c>
      <c r="S1539" s="367"/>
      <c r="T1539" s="276"/>
      <c r="U1539" s="276"/>
      <c r="V1539" s="276"/>
      <c r="W1539" s="276"/>
      <c r="X1539" s="276"/>
      <c r="Y1539" s="276"/>
      <c r="Z1539" s="276"/>
      <c r="AA1539" s="276"/>
      <c r="AB1539" s="276"/>
      <c r="AC1539" s="276"/>
    </row>
    <row r="1540">
      <c r="A1540" s="608"/>
      <c r="B1540" s="609"/>
      <c r="C1540" s="610"/>
      <c r="D1540" s="610"/>
      <c r="E1540" s="610"/>
      <c r="F1540" s="611"/>
      <c r="G1540" s="611"/>
      <c r="H1540" s="611"/>
      <c r="I1540" s="612"/>
      <c r="J1540" s="610"/>
      <c r="K1540" s="611"/>
      <c r="L1540" s="613"/>
      <c r="M1540" s="387"/>
      <c r="N1540" s="481"/>
      <c r="O1540" s="531"/>
      <c r="P1540" s="387"/>
      <c r="Q1540" s="261"/>
      <c r="R1540" s="449"/>
      <c r="S1540" s="367"/>
      <c r="T1540" s="276"/>
      <c r="U1540" s="276"/>
      <c r="V1540" s="276"/>
      <c r="W1540" s="276"/>
      <c r="X1540" s="276"/>
      <c r="Y1540" s="276"/>
      <c r="Z1540" s="276"/>
      <c r="AA1540" s="276"/>
      <c r="AB1540" s="276"/>
      <c r="AC1540" s="276"/>
    </row>
    <row r="1541">
      <c r="A1541" s="108" t="s">
        <v>12601</v>
      </c>
      <c r="B1541" s="173">
        <v>46138.0</v>
      </c>
      <c r="C1541" s="374"/>
      <c r="D1541" s="374" t="s">
        <v>12602</v>
      </c>
      <c r="E1541" s="374" t="s">
        <v>12603</v>
      </c>
      <c r="F1541" s="177" t="s">
        <v>12604</v>
      </c>
      <c r="G1541" s="177" t="s">
        <v>11028</v>
      </c>
      <c r="H1541" s="177">
        <v>4400.0</v>
      </c>
      <c r="I1541" s="176" t="s">
        <v>812</v>
      </c>
      <c r="J1541" s="374" t="s">
        <v>12605</v>
      </c>
      <c r="K1541" s="177">
        <v>1.0</v>
      </c>
      <c r="L1541" s="174">
        <v>3.87453533E9</v>
      </c>
      <c r="M1541" s="387"/>
      <c r="N1541" s="481">
        <v>46138.0</v>
      </c>
      <c r="O1541" s="531" t="s">
        <v>13338</v>
      </c>
      <c r="P1541" s="387"/>
      <c r="Q1541" s="261" t="s">
        <v>14148</v>
      </c>
      <c r="R1541" s="434" t="s">
        <v>14149</v>
      </c>
      <c r="S1541" s="367"/>
      <c r="T1541" s="276"/>
      <c r="U1541" s="276"/>
      <c r="V1541" s="276"/>
      <c r="W1541" s="276"/>
      <c r="X1541" s="276"/>
      <c r="Y1541" s="276"/>
      <c r="Z1541" s="276"/>
      <c r="AA1541" s="276"/>
      <c r="AB1541" s="276"/>
      <c r="AC1541" s="276"/>
    </row>
    <row r="1542">
      <c r="A1542" s="108" t="s">
        <v>12606</v>
      </c>
      <c r="B1542" s="173">
        <v>46138.0</v>
      </c>
      <c r="C1542" s="374"/>
      <c r="D1542" s="374" t="s">
        <v>12607</v>
      </c>
      <c r="E1542" s="374" t="s">
        <v>12608</v>
      </c>
      <c r="F1542" s="177" t="s">
        <v>12609</v>
      </c>
      <c r="G1542" s="177" t="s">
        <v>11028</v>
      </c>
      <c r="H1542" s="177">
        <v>4400.0</v>
      </c>
      <c r="I1542" s="176" t="s">
        <v>1379</v>
      </c>
      <c r="J1542" s="374" t="s">
        <v>12610</v>
      </c>
      <c r="K1542" s="177">
        <v>1.0</v>
      </c>
      <c r="L1542" s="174">
        <v>3.875338411E9</v>
      </c>
      <c r="M1542" s="387"/>
      <c r="N1542" s="480">
        <v>46138.0</v>
      </c>
      <c r="O1542" s="402" t="s">
        <v>13338</v>
      </c>
      <c r="P1542" s="534"/>
      <c r="Q1542" s="430" t="s">
        <v>13339</v>
      </c>
      <c r="R1542" s="432" t="s">
        <v>14150</v>
      </c>
      <c r="S1542" s="367"/>
      <c r="T1542" s="276"/>
      <c r="U1542" s="276"/>
      <c r="V1542" s="276"/>
      <c r="W1542" s="276"/>
      <c r="X1542" s="276"/>
      <c r="Y1542" s="276"/>
      <c r="Z1542" s="276"/>
      <c r="AA1542" s="276"/>
      <c r="AB1542" s="276"/>
      <c r="AC1542" s="276"/>
    </row>
    <row r="1543">
      <c r="A1543" s="108" t="s">
        <v>12606</v>
      </c>
      <c r="B1543" s="173">
        <v>46138.0</v>
      </c>
      <c r="C1543" s="374"/>
      <c r="D1543" s="374" t="s">
        <v>12607</v>
      </c>
      <c r="E1543" s="374" t="s">
        <v>12608</v>
      </c>
      <c r="F1543" s="177" t="s">
        <v>12609</v>
      </c>
      <c r="G1543" s="177" t="s">
        <v>11028</v>
      </c>
      <c r="H1543" s="177">
        <v>4400.0</v>
      </c>
      <c r="I1543" s="176" t="s">
        <v>35</v>
      </c>
      <c r="J1543" s="374" t="s">
        <v>12611</v>
      </c>
      <c r="K1543" s="177">
        <v>1.0</v>
      </c>
      <c r="L1543" s="174">
        <v>3.875338411E9</v>
      </c>
      <c r="M1543" s="387"/>
      <c r="N1543" s="209"/>
      <c r="O1543" s="209"/>
      <c r="P1543" s="209"/>
      <c r="Q1543" s="209"/>
      <c r="R1543" s="209"/>
      <c r="S1543" s="367"/>
      <c r="T1543" s="276"/>
      <c r="U1543" s="276"/>
      <c r="V1543" s="276"/>
      <c r="W1543" s="276"/>
      <c r="X1543" s="276"/>
      <c r="Y1543" s="276"/>
      <c r="Z1543" s="276"/>
      <c r="AA1543" s="276"/>
      <c r="AB1543" s="276"/>
      <c r="AC1543" s="276"/>
    </row>
    <row r="1544">
      <c r="A1544" s="108" t="s">
        <v>12612</v>
      </c>
      <c r="B1544" s="173">
        <v>46138.0</v>
      </c>
      <c r="C1544" s="374"/>
      <c r="D1544" s="374" t="s">
        <v>12607</v>
      </c>
      <c r="E1544" s="374" t="s">
        <v>12608</v>
      </c>
      <c r="F1544" s="177" t="s">
        <v>12609</v>
      </c>
      <c r="G1544" s="177" t="s">
        <v>11028</v>
      </c>
      <c r="H1544" s="177">
        <v>4400.0</v>
      </c>
      <c r="I1544" s="176">
        <v>125811.0</v>
      </c>
      <c r="J1544" s="374" t="s">
        <v>12613</v>
      </c>
      <c r="K1544" s="177">
        <v>1.0</v>
      </c>
      <c r="L1544" s="174">
        <v>3.875338411E9</v>
      </c>
      <c r="M1544" s="387"/>
      <c r="N1544" s="209"/>
      <c r="O1544" s="209"/>
      <c r="P1544" s="209"/>
      <c r="Q1544" s="209"/>
      <c r="R1544" s="209"/>
      <c r="S1544" s="367"/>
      <c r="T1544" s="276"/>
      <c r="U1544" s="276"/>
      <c r="V1544" s="276"/>
      <c r="W1544" s="276"/>
      <c r="X1544" s="276"/>
      <c r="Y1544" s="276"/>
      <c r="Z1544" s="276"/>
      <c r="AA1544" s="276"/>
      <c r="AB1544" s="276"/>
      <c r="AC1544" s="276"/>
    </row>
    <row r="1545">
      <c r="A1545" s="108" t="s">
        <v>12614</v>
      </c>
      <c r="B1545" s="173">
        <v>46138.0</v>
      </c>
      <c r="C1545" s="374"/>
      <c r="D1545" s="374" t="s">
        <v>12607</v>
      </c>
      <c r="E1545" s="374" t="s">
        <v>12608</v>
      </c>
      <c r="F1545" s="177" t="s">
        <v>12609</v>
      </c>
      <c r="G1545" s="177" t="s">
        <v>11028</v>
      </c>
      <c r="H1545" s="177">
        <v>4400.0</v>
      </c>
      <c r="I1545" s="176" t="s">
        <v>969</v>
      </c>
      <c r="J1545" s="374" t="s">
        <v>12615</v>
      </c>
      <c r="K1545" s="177">
        <v>1.0</v>
      </c>
      <c r="L1545" s="174">
        <v>3.875338411E9</v>
      </c>
      <c r="M1545" s="387"/>
      <c r="N1545" s="209"/>
      <c r="O1545" s="209"/>
      <c r="P1545" s="209"/>
      <c r="Q1545" s="209"/>
      <c r="R1545" s="209"/>
      <c r="S1545" s="367"/>
      <c r="T1545" s="276"/>
      <c r="U1545" s="276"/>
      <c r="V1545" s="276"/>
      <c r="W1545" s="276"/>
      <c r="X1545" s="276"/>
      <c r="Y1545" s="276"/>
      <c r="Z1545" s="276"/>
      <c r="AA1545" s="276"/>
      <c r="AB1545" s="276"/>
      <c r="AC1545" s="276"/>
    </row>
    <row r="1546">
      <c r="A1546" s="108" t="s">
        <v>12614</v>
      </c>
      <c r="B1546" s="173">
        <v>46138.0</v>
      </c>
      <c r="C1546" s="374"/>
      <c r="D1546" s="374" t="s">
        <v>12607</v>
      </c>
      <c r="E1546" s="374" t="s">
        <v>12608</v>
      </c>
      <c r="F1546" s="177" t="s">
        <v>12609</v>
      </c>
      <c r="G1546" s="177" t="s">
        <v>11028</v>
      </c>
      <c r="H1546" s="177">
        <v>4400.0</v>
      </c>
      <c r="I1546" s="176" t="s">
        <v>9359</v>
      </c>
      <c r="J1546" s="374" t="s">
        <v>12616</v>
      </c>
      <c r="K1546" s="177">
        <v>1.0</v>
      </c>
      <c r="L1546" s="174">
        <v>3.875338411E9</v>
      </c>
      <c r="M1546" s="387"/>
      <c r="N1546" s="206"/>
      <c r="O1546" s="206"/>
      <c r="P1546" s="206"/>
      <c r="Q1546" s="206"/>
      <c r="R1546" s="206"/>
      <c r="S1546" s="367"/>
      <c r="T1546" s="276"/>
      <c r="U1546" s="276"/>
      <c r="V1546" s="276"/>
      <c r="W1546" s="276"/>
      <c r="X1546" s="276"/>
      <c r="Y1546" s="276"/>
      <c r="Z1546" s="276"/>
      <c r="AA1546" s="276"/>
      <c r="AB1546" s="276"/>
      <c r="AC1546" s="276"/>
    </row>
    <row r="1547">
      <c r="A1547" s="108" t="s">
        <v>12617</v>
      </c>
      <c r="B1547" s="173">
        <v>46138.0</v>
      </c>
      <c r="C1547" s="374"/>
      <c r="D1547" s="374" t="s">
        <v>12618</v>
      </c>
      <c r="E1547" s="374" t="s">
        <v>12619</v>
      </c>
      <c r="F1547" s="177" t="s">
        <v>12620</v>
      </c>
      <c r="G1547" s="177" t="s">
        <v>11028</v>
      </c>
      <c r="H1547" s="177">
        <v>4400.0</v>
      </c>
      <c r="I1547" s="176" t="s">
        <v>218</v>
      </c>
      <c r="J1547" s="374" t="s">
        <v>12621</v>
      </c>
      <c r="K1547" s="177">
        <v>1.0</v>
      </c>
      <c r="L1547" s="174">
        <v>3.874650504E9</v>
      </c>
      <c r="M1547" s="387"/>
      <c r="N1547" s="481">
        <v>46140.0</v>
      </c>
      <c r="O1547" s="531" t="s">
        <v>13338</v>
      </c>
      <c r="P1547" s="387"/>
      <c r="Q1547" s="261" t="s">
        <v>13339</v>
      </c>
      <c r="R1547" s="434" t="s">
        <v>14151</v>
      </c>
      <c r="S1547" s="367"/>
      <c r="T1547" s="276"/>
      <c r="U1547" s="276"/>
      <c r="V1547" s="276"/>
      <c r="W1547" s="276"/>
      <c r="X1547" s="276"/>
      <c r="Y1547" s="276"/>
      <c r="Z1547" s="276"/>
      <c r="AA1547" s="276"/>
      <c r="AB1547" s="276"/>
      <c r="AC1547" s="276"/>
    </row>
    <row r="1548">
      <c r="A1548" s="108" t="s">
        <v>12622</v>
      </c>
      <c r="B1548" s="173">
        <v>46139.0</v>
      </c>
      <c r="C1548" s="374">
        <v>8.07000035832E11</v>
      </c>
      <c r="D1548" s="374" t="s">
        <v>10639</v>
      </c>
      <c r="E1548" s="374" t="s">
        <v>10640</v>
      </c>
      <c r="F1548" s="177" t="s">
        <v>12623</v>
      </c>
      <c r="G1548" s="177" t="s">
        <v>4645</v>
      </c>
      <c r="H1548" s="177">
        <v>4400.0</v>
      </c>
      <c r="I1548" s="374" t="s">
        <v>12624</v>
      </c>
      <c r="J1548" s="374" t="s">
        <v>12625</v>
      </c>
      <c r="K1548" s="177">
        <v>1.0</v>
      </c>
      <c r="L1548" s="174">
        <v>3.874728079E9</v>
      </c>
      <c r="M1548" s="387"/>
      <c r="N1548" s="481">
        <v>46140.0</v>
      </c>
      <c r="O1548" s="531" t="s">
        <v>13338</v>
      </c>
      <c r="P1548" s="387"/>
      <c r="Q1548" s="261" t="s">
        <v>14152</v>
      </c>
      <c r="R1548" s="434" t="s">
        <v>14153</v>
      </c>
      <c r="S1548" s="367"/>
      <c r="T1548" s="276"/>
      <c r="U1548" s="276"/>
      <c r="V1548" s="276"/>
      <c r="W1548" s="276"/>
      <c r="X1548" s="276"/>
      <c r="Y1548" s="276"/>
      <c r="Z1548" s="276"/>
      <c r="AA1548" s="276"/>
      <c r="AB1548" s="276"/>
      <c r="AC1548" s="276"/>
    </row>
    <row r="1549">
      <c r="A1549" s="108" t="s">
        <v>12626</v>
      </c>
      <c r="B1549" s="173">
        <v>46139.0</v>
      </c>
      <c r="C1549" s="374">
        <v>8.07000035842E11</v>
      </c>
      <c r="D1549" s="374" t="s">
        <v>11849</v>
      </c>
      <c r="E1549" s="374" t="s">
        <v>11850</v>
      </c>
      <c r="F1549" s="177" t="s">
        <v>12627</v>
      </c>
      <c r="G1549" s="177" t="s">
        <v>116</v>
      </c>
      <c r="H1549" s="177">
        <v>4400.0</v>
      </c>
      <c r="I1549" s="176" t="s">
        <v>512</v>
      </c>
      <c r="J1549" s="374" t="s">
        <v>513</v>
      </c>
      <c r="K1549" s="177">
        <v>6.0</v>
      </c>
      <c r="L1549" s="174">
        <v>3.874551969E9</v>
      </c>
      <c r="M1549" s="387"/>
      <c r="N1549" s="480">
        <v>46141.0</v>
      </c>
      <c r="O1549" s="402" t="s">
        <v>13338</v>
      </c>
      <c r="P1549" s="534"/>
      <c r="Q1549" s="430" t="s">
        <v>14154</v>
      </c>
      <c r="R1549" s="432" t="s">
        <v>14155</v>
      </c>
      <c r="S1549" s="367"/>
      <c r="T1549" s="276"/>
      <c r="U1549" s="276"/>
      <c r="V1549" s="276"/>
      <c r="W1549" s="276"/>
      <c r="X1549" s="276"/>
      <c r="Y1549" s="276"/>
      <c r="Z1549" s="276"/>
      <c r="AA1549" s="276"/>
      <c r="AB1549" s="276"/>
      <c r="AC1549" s="276"/>
    </row>
    <row r="1550">
      <c r="A1550" s="108" t="s">
        <v>12626</v>
      </c>
      <c r="B1550" s="173">
        <v>46139.0</v>
      </c>
      <c r="C1550" s="374">
        <v>8.07000035843E11</v>
      </c>
      <c r="D1550" s="374" t="s">
        <v>11849</v>
      </c>
      <c r="E1550" s="374" t="s">
        <v>11850</v>
      </c>
      <c r="F1550" s="177" t="s">
        <v>12627</v>
      </c>
      <c r="G1550" s="177" t="s">
        <v>116</v>
      </c>
      <c r="H1550" s="177">
        <v>4400.0</v>
      </c>
      <c r="I1550" s="176" t="s">
        <v>5436</v>
      </c>
      <c r="J1550" s="374" t="s">
        <v>5437</v>
      </c>
      <c r="K1550" s="177">
        <v>1.0</v>
      </c>
      <c r="L1550" s="174">
        <v>3.874551969E9</v>
      </c>
      <c r="M1550" s="387"/>
      <c r="N1550" s="209"/>
      <c r="O1550" s="209"/>
      <c r="P1550" s="209"/>
      <c r="Q1550" s="209"/>
      <c r="R1550" s="209"/>
      <c r="S1550" s="367"/>
      <c r="T1550" s="276"/>
      <c r="U1550" s="276"/>
      <c r="V1550" s="276"/>
      <c r="W1550" s="276"/>
      <c r="X1550" s="276"/>
      <c r="Y1550" s="276"/>
      <c r="Z1550" s="276"/>
      <c r="AA1550" s="276"/>
      <c r="AB1550" s="276"/>
      <c r="AC1550" s="276"/>
    </row>
    <row r="1551">
      <c r="A1551" s="108" t="s">
        <v>12626</v>
      </c>
      <c r="B1551" s="173">
        <v>46139.0</v>
      </c>
      <c r="C1551" s="374">
        <v>8.07000035844E11</v>
      </c>
      <c r="D1551" s="374" t="s">
        <v>11849</v>
      </c>
      <c r="E1551" s="374" t="s">
        <v>11850</v>
      </c>
      <c r="F1551" s="177" t="s">
        <v>12627</v>
      </c>
      <c r="G1551" s="177" t="s">
        <v>116</v>
      </c>
      <c r="H1551" s="177">
        <v>4400.0</v>
      </c>
      <c r="I1551" s="176" t="s">
        <v>233</v>
      </c>
      <c r="J1551" s="374" t="s">
        <v>3459</v>
      </c>
      <c r="K1551" s="177">
        <v>1.0</v>
      </c>
      <c r="L1551" s="174">
        <v>3.874551969E9</v>
      </c>
      <c r="M1551" s="387"/>
      <c r="N1551" s="206"/>
      <c r="O1551" s="206"/>
      <c r="P1551" s="206"/>
      <c r="Q1551" s="206"/>
      <c r="R1551" s="206"/>
      <c r="S1551" s="367"/>
      <c r="T1551" s="276"/>
      <c r="U1551" s="276"/>
      <c r="V1551" s="276"/>
      <c r="W1551" s="276"/>
      <c r="X1551" s="276"/>
      <c r="Y1551" s="276"/>
      <c r="Z1551" s="276"/>
      <c r="AA1551" s="276"/>
      <c r="AB1551" s="276"/>
      <c r="AC1551" s="276"/>
    </row>
    <row r="1552">
      <c r="A1552" s="108" t="s">
        <v>12628</v>
      </c>
      <c r="B1552" s="173">
        <v>46139.0</v>
      </c>
      <c r="C1552" s="374">
        <v>8.07000035839E11</v>
      </c>
      <c r="D1552" s="374" t="s">
        <v>12629</v>
      </c>
      <c r="E1552" s="374" t="s">
        <v>12630</v>
      </c>
      <c r="F1552" s="177" t="s">
        <v>12631</v>
      </c>
      <c r="G1552" s="177" t="s">
        <v>12632</v>
      </c>
      <c r="H1552" s="177">
        <v>4421.0</v>
      </c>
      <c r="I1552" s="614">
        <v>841702.0</v>
      </c>
      <c r="J1552" s="374" t="s">
        <v>7685</v>
      </c>
      <c r="K1552" s="177">
        <v>1.0</v>
      </c>
      <c r="L1552" s="174">
        <v>1.158550962E9</v>
      </c>
      <c r="M1552" s="387"/>
      <c r="N1552" s="481">
        <v>46147.0</v>
      </c>
      <c r="O1552" s="531" t="s">
        <v>9011</v>
      </c>
      <c r="P1552" s="387"/>
      <c r="Q1552" s="261" t="s">
        <v>14156</v>
      </c>
      <c r="R1552" s="434" t="s">
        <v>14157</v>
      </c>
      <c r="S1552" s="367"/>
      <c r="T1552" s="276"/>
      <c r="U1552" s="276"/>
      <c r="V1552" s="276"/>
      <c r="W1552" s="276"/>
      <c r="X1552" s="276"/>
      <c r="Y1552" s="276"/>
      <c r="Z1552" s="276"/>
      <c r="AA1552" s="276"/>
      <c r="AB1552" s="276"/>
      <c r="AC1552" s="276"/>
    </row>
    <row r="1553">
      <c r="A1553" s="108" t="s">
        <v>12633</v>
      </c>
      <c r="B1553" s="173">
        <v>46139.0</v>
      </c>
      <c r="C1553" s="374">
        <v>8.0700003585E11</v>
      </c>
      <c r="D1553" s="374" t="s">
        <v>12634</v>
      </c>
      <c r="E1553" s="374" t="s">
        <v>12635</v>
      </c>
      <c r="F1553" s="177" t="s">
        <v>12636</v>
      </c>
      <c r="G1553" s="177" t="s">
        <v>127</v>
      </c>
      <c r="H1553" s="177">
        <v>4400.0</v>
      </c>
      <c r="I1553" s="176" t="s">
        <v>3817</v>
      </c>
      <c r="J1553" s="374" t="s">
        <v>3818</v>
      </c>
      <c r="K1553" s="177">
        <v>1.0</v>
      </c>
      <c r="L1553" s="174">
        <v>1.13334263E9</v>
      </c>
      <c r="M1553" s="387"/>
      <c r="N1553" s="480">
        <v>46144.0</v>
      </c>
      <c r="O1553" s="402" t="s">
        <v>9011</v>
      </c>
      <c r="P1553" s="534"/>
      <c r="Q1553" s="430" t="s">
        <v>14158</v>
      </c>
      <c r="R1553" s="432" t="s">
        <v>14159</v>
      </c>
      <c r="S1553" s="367"/>
      <c r="T1553" s="276"/>
      <c r="U1553" s="276"/>
      <c r="V1553" s="276"/>
      <c r="W1553" s="276"/>
      <c r="X1553" s="276"/>
      <c r="Y1553" s="276"/>
      <c r="Z1553" s="276"/>
      <c r="AA1553" s="276"/>
      <c r="AB1553" s="276"/>
      <c r="AC1553" s="276"/>
    </row>
    <row r="1554">
      <c r="A1554" s="108" t="s">
        <v>12633</v>
      </c>
      <c r="B1554" s="173">
        <v>46139.0</v>
      </c>
      <c r="C1554" s="374">
        <v>8.0700003585E11</v>
      </c>
      <c r="D1554" s="374" t="s">
        <v>12634</v>
      </c>
      <c r="E1554" s="374" t="s">
        <v>12635</v>
      </c>
      <c r="F1554" s="177" t="s">
        <v>12636</v>
      </c>
      <c r="G1554" s="177" t="s">
        <v>127</v>
      </c>
      <c r="H1554" s="177">
        <v>4400.0</v>
      </c>
      <c r="I1554" s="176" t="s">
        <v>512</v>
      </c>
      <c r="J1554" s="374" t="s">
        <v>513</v>
      </c>
      <c r="K1554" s="177">
        <v>12.0</v>
      </c>
      <c r="L1554" s="174">
        <v>1.13334263E9</v>
      </c>
      <c r="M1554" s="387"/>
      <c r="N1554" s="209"/>
      <c r="O1554" s="209"/>
      <c r="P1554" s="209"/>
      <c r="Q1554" s="209"/>
      <c r="R1554" s="209"/>
      <c r="S1554" s="367"/>
      <c r="T1554" s="276"/>
      <c r="U1554" s="276"/>
      <c r="V1554" s="276"/>
      <c r="W1554" s="276"/>
      <c r="X1554" s="276"/>
      <c r="Y1554" s="276"/>
      <c r="Z1554" s="276"/>
      <c r="AA1554" s="276"/>
      <c r="AB1554" s="276"/>
      <c r="AC1554" s="276"/>
    </row>
    <row r="1555">
      <c r="A1555" s="108" t="s">
        <v>12633</v>
      </c>
      <c r="B1555" s="173">
        <v>46139.0</v>
      </c>
      <c r="C1555" s="374">
        <v>8.0700003585E11</v>
      </c>
      <c r="D1555" s="374" t="s">
        <v>12634</v>
      </c>
      <c r="E1555" s="374" t="s">
        <v>12635</v>
      </c>
      <c r="F1555" s="177" t="s">
        <v>12636</v>
      </c>
      <c r="G1555" s="177" t="s">
        <v>127</v>
      </c>
      <c r="H1555" s="177">
        <v>4400.0</v>
      </c>
      <c r="I1555" s="176" t="s">
        <v>340</v>
      </c>
      <c r="J1555" s="374" t="s">
        <v>3486</v>
      </c>
      <c r="K1555" s="177">
        <v>2.0</v>
      </c>
      <c r="L1555" s="174">
        <v>1.13334263E9</v>
      </c>
      <c r="M1555" s="387"/>
      <c r="N1555" s="209"/>
      <c r="O1555" s="209"/>
      <c r="P1555" s="209"/>
      <c r="Q1555" s="209"/>
      <c r="R1555" s="209"/>
      <c r="S1555" s="367"/>
      <c r="T1555" s="276"/>
      <c r="U1555" s="276"/>
      <c r="V1555" s="276"/>
      <c r="W1555" s="276"/>
      <c r="X1555" s="276"/>
      <c r="Y1555" s="276"/>
      <c r="Z1555" s="276"/>
      <c r="AA1555" s="276"/>
      <c r="AB1555" s="276"/>
      <c r="AC1555" s="276"/>
    </row>
    <row r="1556">
      <c r="A1556" s="108" t="s">
        <v>12637</v>
      </c>
      <c r="B1556" s="173">
        <v>46139.0</v>
      </c>
      <c r="C1556" s="374">
        <v>8.07000035851E11</v>
      </c>
      <c r="D1556" s="374" t="s">
        <v>12634</v>
      </c>
      <c r="E1556" s="374" t="s">
        <v>12635</v>
      </c>
      <c r="F1556" s="177" t="s">
        <v>12636</v>
      </c>
      <c r="G1556" s="177" t="s">
        <v>127</v>
      </c>
      <c r="H1556" s="177">
        <v>4400.0</v>
      </c>
      <c r="I1556" s="176" t="s">
        <v>4790</v>
      </c>
      <c r="J1556" s="374" t="s">
        <v>4791</v>
      </c>
      <c r="K1556" s="177">
        <v>1.0</v>
      </c>
      <c r="L1556" s="174">
        <v>1.13334263E9</v>
      </c>
      <c r="M1556" s="387"/>
      <c r="N1556" s="209"/>
      <c r="O1556" s="209"/>
      <c r="P1556" s="209"/>
      <c r="Q1556" s="209"/>
      <c r="R1556" s="209"/>
      <c r="S1556" s="367"/>
      <c r="T1556" s="276"/>
      <c r="U1556" s="276"/>
      <c r="V1556" s="276"/>
      <c r="W1556" s="276"/>
      <c r="X1556" s="276"/>
      <c r="Y1556" s="276"/>
      <c r="Z1556" s="276"/>
      <c r="AA1556" s="276"/>
      <c r="AB1556" s="276"/>
      <c r="AC1556" s="276"/>
    </row>
    <row r="1557">
      <c r="A1557" s="108" t="s">
        <v>12637</v>
      </c>
      <c r="B1557" s="173">
        <v>46139.0</v>
      </c>
      <c r="C1557" s="374">
        <v>8.07000035851E11</v>
      </c>
      <c r="D1557" s="374" t="s">
        <v>12634</v>
      </c>
      <c r="E1557" s="374" t="s">
        <v>12635</v>
      </c>
      <c r="F1557" s="177" t="s">
        <v>12636</v>
      </c>
      <c r="G1557" s="177" t="s">
        <v>127</v>
      </c>
      <c r="H1557" s="177">
        <v>4400.0</v>
      </c>
      <c r="I1557" s="176" t="s">
        <v>4793</v>
      </c>
      <c r="J1557" s="374" t="s">
        <v>4794</v>
      </c>
      <c r="K1557" s="177">
        <v>1.0</v>
      </c>
      <c r="L1557" s="174">
        <v>1.13334263E9</v>
      </c>
      <c r="M1557" s="387"/>
      <c r="N1557" s="206"/>
      <c r="O1557" s="206"/>
      <c r="P1557" s="206"/>
      <c r="Q1557" s="206"/>
      <c r="R1557" s="206"/>
      <c r="S1557" s="367"/>
      <c r="T1557" s="276"/>
      <c r="U1557" s="276"/>
      <c r="V1557" s="276"/>
      <c r="W1557" s="276"/>
      <c r="X1557" s="276"/>
      <c r="Y1557" s="276"/>
      <c r="Z1557" s="276"/>
      <c r="AA1557" s="276"/>
      <c r="AB1557" s="276"/>
      <c r="AC1557" s="276"/>
    </row>
    <row r="1558">
      <c r="A1558" s="108" t="s">
        <v>12638</v>
      </c>
      <c r="B1558" s="173">
        <v>46139.0</v>
      </c>
      <c r="C1558" s="374">
        <v>8.07000035854E11</v>
      </c>
      <c r="D1558" s="374" t="s">
        <v>12639</v>
      </c>
      <c r="E1558" s="374" t="s">
        <v>12640</v>
      </c>
      <c r="F1558" s="177" t="s">
        <v>12641</v>
      </c>
      <c r="G1558" s="177" t="s">
        <v>127</v>
      </c>
      <c r="H1558" s="177">
        <v>4400.0</v>
      </c>
      <c r="I1558" s="176" t="s">
        <v>512</v>
      </c>
      <c r="J1558" s="374" t="s">
        <v>513</v>
      </c>
      <c r="K1558" s="177">
        <v>6.0</v>
      </c>
      <c r="L1558" s="174">
        <v>3.875357768E9</v>
      </c>
      <c r="M1558" s="387"/>
      <c r="N1558" s="480">
        <v>46141.0</v>
      </c>
      <c r="O1558" s="402" t="s">
        <v>9011</v>
      </c>
      <c r="P1558" s="534"/>
      <c r="Q1558" s="430" t="s">
        <v>14160</v>
      </c>
      <c r="R1558" s="432" t="s">
        <v>14161</v>
      </c>
      <c r="S1558" s="367"/>
      <c r="T1558" s="276"/>
      <c r="U1558" s="276"/>
      <c r="V1558" s="276"/>
      <c r="W1558" s="276"/>
      <c r="X1558" s="276"/>
      <c r="Y1558" s="276"/>
      <c r="Z1558" s="276"/>
      <c r="AA1558" s="276"/>
      <c r="AB1558" s="276"/>
      <c r="AC1558" s="276"/>
    </row>
    <row r="1559">
      <c r="A1559" s="108" t="s">
        <v>12638</v>
      </c>
      <c r="B1559" s="173">
        <v>46139.0</v>
      </c>
      <c r="C1559" s="374">
        <v>8.07000035855E11</v>
      </c>
      <c r="D1559" s="374" t="s">
        <v>12639</v>
      </c>
      <c r="E1559" s="374" t="s">
        <v>12640</v>
      </c>
      <c r="F1559" s="177" t="s">
        <v>12641</v>
      </c>
      <c r="G1559" s="177" t="s">
        <v>127</v>
      </c>
      <c r="H1559" s="177">
        <v>4400.0</v>
      </c>
      <c r="I1559" s="176" t="s">
        <v>1559</v>
      </c>
      <c r="J1559" s="374" t="s">
        <v>8503</v>
      </c>
      <c r="K1559" s="177">
        <v>1.0</v>
      </c>
      <c r="L1559" s="174">
        <v>3.875357768E9</v>
      </c>
      <c r="M1559" s="387"/>
      <c r="N1559" s="209"/>
      <c r="O1559" s="209"/>
      <c r="P1559" s="209"/>
      <c r="Q1559" s="209"/>
      <c r="R1559" s="209"/>
      <c r="S1559" s="367"/>
      <c r="T1559" s="276"/>
      <c r="U1559" s="276"/>
      <c r="V1559" s="276"/>
      <c r="W1559" s="276"/>
      <c r="X1559" s="276"/>
      <c r="Y1559" s="276"/>
      <c r="Z1559" s="276"/>
      <c r="AA1559" s="276"/>
      <c r="AB1559" s="276"/>
      <c r="AC1559" s="276"/>
    </row>
    <row r="1560">
      <c r="A1560" s="108" t="s">
        <v>12638</v>
      </c>
      <c r="B1560" s="173">
        <v>46139.0</v>
      </c>
      <c r="C1560" s="374">
        <v>8.07000035855E11</v>
      </c>
      <c r="D1560" s="374" t="s">
        <v>12639</v>
      </c>
      <c r="E1560" s="374" t="s">
        <v>12640</v>
      </c>
      <c r="F1560" s="177" t="s">
        <v>12641</v>
      </c>
      <c r="G1560" s="177" t="s">
        <v>127</v>
      </c>
      <c r="H1560" s="177">
        <v>4400.0</v>
      </c>
      <c r="I1560" s="176" t="s">
        <v>1827</v>
      </c>
      <c r="J1560" s="374" t="s">
        <v>4367</v>
      </c>
      <c r="K1560" s="177">
        <v>1.0</v>
      </c>
      <c r="L1560" s="174">
        <v>3.875357768E9</v>
      </c>
      <c r="M1560" s="387"/>
      <c r="N1560" s="209"/>
      <c r="O1560" s="209"/>
      <c r="P1560" s="209"/>
      <c r="Q1560" s="209"/>
      <c r="R1560" s="209"/>
      <c r="S1560" s="367"/>
      <c r="T1560" s="276"/>
      <c r="U1560" s="276"/>
      <c r="V1560" s="276"/>
      <c r="W1560" s="276"/>
      <c r="X1560" s="276"/>
      <c r="Y1560" s="276"/>
      <c r="Z1560" s="276"/>
      <c r="AA1560" s="276"/>
      <c r="AB1560" s="276"/>
      <c r="AC1560" s="276"/>
    </row>
    <row r="1561">
      <c r="A1561" s="108" t="s">
        <v>12642</v>
      </c>
      <c r="B1561" s="173">
        <v>46139.0</v>
      </c>
      <c r="C1561" s="374">
        <v>8.07000035856E11</v>
      </c>
      <c r="D1561" s="374" t="s">
        <v>12639</v>
      </c>
      <c r="E1561" s="374" t="s">
        <v>12640</v>
      </c>
      <c r="F1561" s="177" t="s">
        <v>12641</v>
      </c>
      <c r="G1561" s="177" t="s">
        <v>127</v>
      </c>
      <c r="H1561" s="177">
        <v>4400.0</v>
      </c>
      <c r="I1561" s="176" t="s">
        <v>10687</v>
      </c>
      <c r="J1561" s="374" t="s">
        <v>10688</v>
      </c>
      <c r="K1561" s="177">
        <v>1.0</v>
      </c>
      <c r="L1561" s="174">
        <v>3.875357768E9</v>
      </c>
      <c r="M1561" s="387"/>
      <c r="N1561" s="209"/>
      <c r="O1561" s="209"/>
      <c r="P1561" s="209"/>
      <c r="Q1561" s="209"/>
      <c r="R1561" s="209"/>
      <c r="S1561" s="367"/>
      <c r="T1561" s="276"/>
      <c r="U1561" s="276"/>
      <c r="V1561" s="276"/>
      <c r="W1561" s="276"/>
      <c r="X1561" s="276"/>
      <c r="Y1561" s="276"/>
      <c r="Z1561" s="276"/>
      <c r="AA1561" s="276"/>
      <c r="AB1561" s="276"/>
      <c r="AC1561" s="276"/>
    </row>
    <row r="1562">
      <c r="A1562" s="108" t="s">
        <v>12643</v>
      </c>
      <c r="B1562" s="173">
        <v>46144.0</v>
      </c>
      <c r="C1562" s="374">
        <v>8.07000035867E11</v>
      </c>
      <c r="D1562" s="374" t="s">
        <v>12639</v>
      </c>
      <c r="E1562" s="374" t="s">
        <v>12640</v>
      </c>
      <c r="F1562" s="177" t="s">
        <v>12641</v>
      </c>
      <c r="G1562" s="177" t="s">
        <v>127</v>
      </c>
      <c r="H1562" s="177">
        <v>4400.0</v>
      </c>
      <c r="I1562" s="176" t="s">
        <v>2233</v>
      </c>
      <c r="J1562" s="374" t="s">
        <v>4158</v>
      </c>
      <c r="K1562" s="177">
        <v>1.0</v>
      </c>
      <c r="L1562" s="174">
        <v>3.875357768E9</v>
      </c>
      <c r="M1562" s="387"/>
      <c r="N1562" s="481">
        <v>46144.0</v>
      </c>
      <c r="O1562" s="531" t="s">
        <v>9011</v>
      </c>
      <c r="P1562" s="387"/>
      <c r="Q1562" s="261" t="s">
        <v>14162</v>
      </c>
      <c r="R1562" s="434" t="s">
        <v>14163</v>
      </c>
      <c r="S1562" s="367"/>
      <c r="T1562" s="276"/>
      <c r="U1562" s="276"/>
      <c r="V1562" s="276"/>
      <c r="W1562" s="276"/>
      <c r="X1562" s="276"/>
      <c r="Y1562" s="276"/>
      <c r="Z1562" s="276"/>
      <c r="AA1562" s="276"/>
      <c r="AB1562" s="276"/>
      <c r="AC1562" s="276"/>
    </row>
    <row r="1563">
      <c r="A1563" s="108" t="s">
        <v>12644</v>
      </c>
      <c r="B1563" s="173">
        <v>46131.0</v>
      </c>
      <c r="C1563" s="374"/>
      <c r="D1563" s="374"/>
      <c r="E1563" s="374" t="s">
        <v>12645</v>
      </c>
      <c r="F1563" s="177" t="s">
        <v>12646</v>
      </c>
      <c r="G1563" s="177" t="s">
        <v>127</v>
      </c>
      <c r="H1563" s="177">
        <v>4400.0</v>
      </c>
      <c r="I1563" s="176">
        <v>125819.0</v>
      </c>
      <c r="J1563" s="374" t="s">
        <v>12647</v>
      </c>
      <c r="K1563" s="177">
        <v>2.0</v>
      </c>
      <c r="L1563" s="174">
        <v>4167900.0</v>
      </c>
      <c r="M1563" s="387"/>
      <c r="N1563" s="480">
        <v>46144.0</v>
      </c>
      <c r="O1563" s="402" t="s">
        <v>9011</v>
      </c>
      <c r="P1563" s="534"/>
      <c r="Q1563" s="430" t="s">
        <v>14164</v>
      </c>
      <c r="R1563" s="432" t="s">
        <v>14165</v>
      </c>
      <c r="S1563" s="367"/>
      <c r="T1563" s="276"/>
      <c r="U1563" s="276"/>
      <c r="V1563" s="276"/>
      <c r="W1563" s="276"/>
      <c r="X1563" s="276"/>
      <c r="Y1563" s="276"/>
      <c r="Z1563" s="276"/>
      <c r="AA1563" s="276"/>
      <c r="AB1563" s="276"/>
      <c r="AC1563" s="276"/>
    </row>
    <row r="1564">
      <c r="A1564" s="108" t="s">
        <v>12644</v>
      </c>
      <c r="B1564" s="173">
        <v>46131.0</v>
      </c>
      <c r="C1564" s="374"/>
      <c r="D1564" s="374"/>
      <c r="E1564" s="374" t="s">
        <v>12645</v>
      </c>
      <c r="F1564" s="177" t="s">
        <v>12646</v>
      </c>
      <c r="G1564" s="177" t="s">
        <v>127</v>
      </c>
      <c r="H1564" s="177">
        <v>4400.0</v>
      </c>
      <c r="I1564" s="176" t="s">
        <v>512</v>
      </c>
      <c r="J1564" s="374" t="s">
        <v>12648</v>
      </c>
      <c r="K1564" s="177">
        <v>6.0</v>
      </c>
      <c r="L1564" s="174">
        <v>4167900.0</v>
      </c>
      <c r="M1564" s="387"/>
      <c r="N1564" s="209"/>
      <c r="O1564" s="209"/>
      <c r="P1564" s="209"/>
      <c r="Q1564" s="209"/>
      <c r="R1564" s="209"/>
      <c r="S1564" s="367"/>
      <c r="T1564" s="276"/>
      <c r="U1564" s="276"/>
      <c r="V1564" s="276"/>
      <c r="W1564" s="276"/>
      <c r="X1564" s="276"/>
      <c r="Y1564" s="276"/>
      <c r="Z1564" s="276"/>
      <c r="AA1564" s="276"/>
      <c r="AB1564" s="276"/>
      <c r="AC1564" s="276"/>
    </row>
    <row r="1565">
      <c r="A1565" s="108" t="s">
        <v>12644</v>
      </c>
      <c r="B1565" s="173">
        <v>46131.0</v>
      </c>
      <c r="C1565" s="374"/>
      <c r="D1565" s="374"/>
      <c r="E1565" s="374" t="s">
        <v>12645</v>
      </c>
      <c r="F1565" s="177" t="s">
        <v>12646</v>
      </c>
      <c r="G1565" s="177" t="s">
        <v>127</v>
      </c>
      <c r="H1565" s="177">
        <v>4400.0</v>
      </c>
      <c r="I1565" s="176" t="s">
        <v>7460</v>
      </c>
      <c r="J1565" s="374" t="s">
        <v>7461</v>
      </c>
      <c r="K1565" s="177">
        <v>1.0</v>
      </c>
      <c r="L1565" s="174">
        <v>4167900.0</v>
      </c>
      <c r="M1565" s="387"/>
      <c r="N1565" s="209"/>
      <c r="O1565" s="209"/>
      <c r="P1565" s="209"/>
      <c r="Q1565" s="209"/>
      <c r="R1565" s="209"/>
      <c r="S1565" s="367"/>
      <c r="T1565" s="276"/>
      <c r="U1565" s="276"/>
      <c r="V1565" s="276"/>
      <c r="W1565" s="276"/>
      <c r="X1565" s="276"/>
      <c r="Y1565" s="276"/>
      <c r="Z1565" s="276"/>
      <c r="AA1565" s="276"/>
      <c r="AB1565" s="276"/>
      <c r="AC1565" s="276"/>
    </row>
    <row r="1566">
      <c r="A1566" s="108" t="s">
        <v>12644</v>
      </c>
      <c r="B1566" s="173">
        <v>46131.0</v>
      </c>
      <c r="C1566" s="374"/>
      <c r="D1566" s="374"/>
      <c r="E1566" s="374" t="s">
        <v>12645</v>
      </c>
      <c r="F1566" s="177" t="s">
        <v>12646</v>
      </c>
      <c r="G1566" s="177" t="s">
        <v>127</v>
      </c>
      <c r="H1566" s="177">
        <v>4400.0</v>
      </c>
      <c r="I1566" s="176" t="s">
        <v>35</v>
      </c>
      <c r="J1566" s="374" t="s">
        <v>12649</v>
      </c>
      <c r="K1566" s="177">
        <v>1.0</v>
      </c>
      <c r="L1566" s="174">
        <v>4167900.0</v>
      </c>
      <c r="M1566" s="387"/>
      <c r="N1566" s="206"/>
      <c r="O1566" s="206"/>
      <c r="P1566" s="206"/>
      <c r="Q1566" s="206"/>
      <c r="R1566" s="206"/>
      <c r="S1566" s="367"/>
      <c r="T1566" s="276"/>
      <c r="U1566" s="276"/>
      <c r="V1566" s="276"/>
      <c r="W1566" s="276"/>
      <c r="X1566" s="276"/>
      <c r="Y1566" s="276"/>
      <c r="Z1566" s="276"/>
      <c r="AA1566" s="276"/>
      <c r="AB1566" s="276"/>
      <c r="AC1566" s="276"/>
    </row>
    <row r="1567">
      <c r="A1567" s="108" t="s">
        <v>12650</v>
      </c>
      <c r="B1567" s="173">
        <v>46144.0</v>
      </c>
      <c r="C1567" s="374">
        <v>8.07000035869E11</v>
      </c>
      <c r="D1567" s="374" t="s">
        <v>12651</v>
      </c>
      <c r="E1567" s="374" t="s">
        <v>12652</v>
      </c>
      <c r="F1567" s="177" t="s">
        <v>12653</v>
      </c>
      <c r="G1567" s="177" t="s">
        <v>127</v>
      </c>
      <c r="H1567" s="177">
        <v>4400.0</v>
      </c>
      <c r="I1567" s="176" t="s">
        <v>12654</v>
      </c>
      <c r="J1567" s="374" t="s">
        <v>12655</v>
      </c>
      <c r="K1567" s="177">
        <v>1.0</v>
      </c>
      <c r="L1567" s="174">
        <v>3.875374732E9</v>
      </c>
      <c r="M1567" s="387"/>
      <c r="N1567" s="481">
        <v>46144.0</v>
      </c>
      <c r="O1567" s="531" t="s">
        <v>9011</v>
      </c>
      <c r="P1567" s="387"/>
      <c r="Q1567" s="261" t="s">
        <v>9012</v>
      </c>
      <c r="R1567" s="434" t="s">
        <v>14166</v>
      </c>
      <c r="S1567" s="367"/>
      <c r="T1567" s="276"/>
      <c r="U1567" s="276"/>
      <c r="V1567" s="276"/>
      <c r="W1567" s="276"/>
      <c r="X1567" s="276"/>
      <c r="Y1567" s="276"/>
      <c r="Z1567" s="276"/>
      <c r="AA1567" s="276"/>
      <c r="AB1567" s="276"/>
      <c r="AC1567" s="276"/>
    </row>
    <row r="1568">
      <c r="A1568" s="108" t="s">
        <v>12656</v>
      </c>
      <c r="B1568" s="173">
        <v>46144.0</v>
      </c>
      <c r="C1568" s="374">
        <v>8.0700003587E11</v>
      </c>
      <c r="D1568" s="374" t="s">
        <v>12657</v>
      </c>
      <c r="E1568" s="374" t="s">
        <v>12658</v>
      </c>
      <c r="F1568" s="177" t="s">
        <v>12659</v>
      </c>
      <c r="G1568" s="177" t="s">
        <v>127</v>
      </c>
      <c r="H1568" s="177">
        <v>4400.0</v>
      </c>
      <c r="I1568" s="176" t="s">
        <v>6153</v>
      </c>
      <c r="J1568" s="374" t="s">
        <v>6154</v>
      </c>
      <c r="K1568" s="177">
        <v>1.0</v>
      </c>
      <c r="L1568" s="174">
        <v>2.97635085E8</v>
      </c>
      <c r="M1568" s="387"/>
      <c r="N1568" s="480">
        <v>46144.0</v>
      </c>
      <c r="O1568" s="402" t="s">
        <v>9011</v>
      </c>
      <c r="P1568" s="534"/>
      <c r="Q1568" s="430" t="s">
        <v>9012</v>
      </c>
      <c r="R1568" s="432" t="s">
        <v>14167</v>
      </c>
      <c r="S1568" s="367"/>
      <c r="T1568" s="276"/>
      <c r="U1568" s="276"/>
      <c r="V1568" s="276"/>
      <c r="W1568" s="276"/>
      <c r="X1568" s="276"/>
      <c r="Y1568" s="276"/>
      <c r="Z1568" s="276"/>
      <c r="AA1568" s="276"/>
      <c r="AB1568" s="276"/>
      <c r="AC1568" s="276"/>
    </row>
    <row r="1569">
      <c r="A1569" s="108" t="s">
        <v>12656</v>
      </c>
      <c r="B1569" s="173">
        <v>46144.0</v>
      </c>
      <c r="C1569" s="374">
        <v>8.0700003587E11</v>
      </c>
      <c r="D1569" s="374" t="s">
        <v>12657</v>
      </c>
      <c r="E1569" s="374" t="s">
        <v>12658</v>
      </c>
      <c r="F1569" s="177" t="s">
        <v>12659</v>
      </c>
      <c r="G1569" s="177" t="s">
        <v>127</v>
      </c>
      <c r="H1569" s="177">
        <v>4400.0</v>
      </c>
      <c r="I1569" s="176" t="s">
        <v>512</v>
      </c>
      <c r="J1569" s="374" t="s">
        <v>513</v>
      </c>
      <c r="K1569" s="177">
        <v>6.0</v>
      </c>
      <c r="L1569" s="174">
        <v>2.97635085E8</v>
      </c>
      <c r="M1569" s="387"/>
      <c r="N1569" s="209"/>
      <c r="O1569" s="209"/>
      <c r="P1569" s="209"/>
      <c r="Q1569" s="209"/>
      <c r="R1569" s="209"/>
      <c r="S1569" s="367"/>
      <c r="T1569" s="276"/>
      <c r="U1569" s="276"/>
      <c r="V1569" s="276"/>
      <c r="W1569" s="276"/>
      <c r="X1569" s="276"/>
      <c r="Y1569" s="276"/>
      <c r="Z1569" s="276"/>
      <c r="AA1569" s="276"/>
      <c r="AB1569" s="276"/>
      <c r="AC1569" s="276"/>
    </row>
    <row r="1570">
      <c r="A1570" s="108" t="s">
        <v>12656</v>
      </c>
      <c r="B1570" s="173">
        <v>46144.0</v>
      </c>
      <c r="C1570" s="374">
        <v>8.0700003587E11</v>
      </c>
      <c r="D1570" s="374" t="s">
        <v>12657</v>
      </c>
      <c r="E1570" s="374" t="s">
        <v>12658</v>
      </c>
      <c r="F1570" s="177" t="s">
        <v>12659</v>
      </c>
      <c r="G1570" s="177" t="s">
        <v>127</v>
      </c>
      <c r="H1570" s="177">
        <v>4400.0</v>
      </c>
      <c r="I1570" s="176" t="s">
        <v>2031</v>
      </c>
      <c r="J1570" s="374" t="s">
        <v>3348</v>
      </c>
      <c r="K1570" s="177">
        <v>1.0</v>
      </c>
      <c r="L1570" s="174">
        <v>2.97635085E8</v>
      </c>
      <c r="M1570" s="387"/>
      <c r="N1570" s="206"/>
      <c r="O1570" s="206"/>
      <c r="P1570" s="206"/>
      <c r="Q1570" s="206"/>
      <c r="R1570" s="206"/>
      <c r="S1570" s="367"/>
      <c r="T1570" s="276"/>
      <c r="U1570" s="276"/>
      <c r="V1570" s="276"/>
      <c r="W1570" s="276"/>
      <c r="X1570" s="276"/>
      <c r="Y1570" s="276"/>
      <c r="Z1570" s="276"/>
      <c r="AA1570" s="276"/>
      <c r="AB1570" s="276"/>
      <c r="AC1570" s="276"/>
    </row>
    <row r="1571">
      <c r="A1571" s="108" t="s">
        <v>12660</v>
      </c>
      <c r="B1571" s="173">
        <v>46144.0</v>
      </c>
      <c r="C1571" s="374">
        <v>8.07000035871E11</v>
      </c>
      <c r="D1571" s="374" t="s">
        <v>12661</v>
      </c>
      <c r="E1571" s="374" t="s">
        <v>12662</v>
      </c>
      <c r="F1571" s="177" t="s">
        <v>12663</v>
      </c>
      <c r="G1571" s="177" t="s">
        <v>127</v>
      </c>
      <c r="H1571" s="177">
        <v>4400.0</v>
      </c>
      <c r="I1571" s="176" t="s">
        <v>512</v>
      </c>
      <c r="J1571" s="374" t="s">
        <v>513</v>
      </c>
      <c r="K1571" s="177">
        <v>12.0</v>
      </c>
      <c r="L1571" s="174">
        <v>3.87461001E9</v>
      </c>
      <c r="M1571" s="387"/>
      <c r="N1571" s="480">
        <v>46144.0</v>
      </c>
      <c r="O1571" s="402" t="s">
        <v>9011</v>
      </c>
      <c r="P1571" s="534"/>
      <c r="Q1571" s="430" t="s">
        <v>14168</v>
      </c>
      <c r="R1571" s="432" t="s">
        <v>14169</v>
      </c>
      <c r="S1571" s="367"/>
      <c r="T1571" s="276"/>
      <c r="U1571" s="276"/>
      <c r="V1571" s="276"/>
      <c r="W1571" s="276"/>
      <c r="X1571" s="276"/>
      <c r="Y1571" s="276"/>
      <c r="Z1571" s="276"/>
      <c r="AA1571" s="276"/>
      <c r="AB1571" s="276"/>
      <c r="AC1571" s="276"/>
    </row>
    <row r="1572">
      <c r="A1572" s="108" t="s">
        <v>12660</v>
      </c>
      <c r="B1572" s="173">
        <v>46144.0</v>
      </c>
      <c r="C1572" s="374">
        <v>8.07000035872E11</v>
      </c>
      <c r="D1572" s="374" t="s">
        <v>12661</v>
      </c>
      <c r="E1572" s="374" t="s">
        <v>12662</v>
      </c>
      <c r="F1572" s="177" t="s">
        <v>12663</v>
      </c>
      <c r="G1572" s="177" t="s">
        <v>127</v>
      </c>
      <c r="H1572" s="177">
        <v>4400.0</v>
      </c>
      <c r="I1572" s="176" t="s">
        <v>340</v>
      </c>
      <c r="J1572" s="374" t="s">
        <v>3486</v>
      </c>
      <c r="K1572" s="177">
        <v>2.0</v>
      </c>
      <c r="L1572" s="174">
        <v>3.87461001E9</v>
      </c>
      <c r="M1572" s="387"/>
      <c r="N1572" s="209"/>
      <c r="O1572" s="209"/>
      <c r="P1572" s="209"/>
      <c r="Q1572" s="209"/>
      <c r="R1572" s="209"/>
      <c r="S1572" s="367"/>
      <c r="T1572" s="276"/>
      <c r="U1572" s="276"/>
      <c r="V1572" s="276"/>
      <c r="W1572" s="276"/>
      <c r="X1572" s="276"/>
      <c r="Y1572" s="276"/>
      <c r="Z1572" s="276"/>
      <c r="AA1572" s="276"/>
      <c r="AB1572" s="276"/>
      <c r="AC1572" s="276"/>
    </row>
    <row r="1573">
      <c r="A1573" s="108" t="s">
        <v>12660</v>
      </c>
      <c r="B1573" s="173">
        <v>46144.0</v>
      </c>
      <c r="C1573" s="374">
        <v>8.07000035873E11</v>
      </c>
      <c r="D1573" s="374" t="s">
        <v>12661</v>
      </c>
      <c r="E1573" s="374" t="s">
        <v>12662</v>
      </c>
      <c r="F1573" s="177" t="s">
        <v>12663</v>
      </c>
      <c r="G1573" s="177" t="s">
        <v>127</v>
      </c>
      <c r="H1573" s="177">
        <v>4400.0</v>
      </c>
      <c r="I1573" s="176" t="s">
        <v>1115</v>
      </c>
      <c r="J1573" s="374" t="s">
        <v>8215</v>
      </c>
      <c r="K1573" s="177">
        <v>1.0</v>
      </c>
      <c r="L1573" s="174">
        <v>3.87461001E9</v>
      </c>
      <c r="M1573" s="387"/>
      <c r="N1573" s="206"/>
      <c r="O1573" s="206"/>
      <c r="P1573" s="206"/>
      <c r="Q1573" s="206"/>
      <c r="R1573" s="206"/>
      <c r="S1573" s="367"/>
      <c r="T1573" s="276"/>
      <c r="U1573" s="276"/>
      <c r="V1573" s="276"/>
      <c r="W1573" s="276"/>
      <c r="X1573" s="276"/>
      <c r="Y1573" s="276"/>
      <c r="Z1573" s="276"/>
      <c r="AA1573" s="276"/>
      <c r="AB1573" s="276"/>
      <c r="AC1573" s="276"/>
    </row>
    <row r="1574">
      <c r="A1574" s="108" t="s">
        <v>12664</v>
      </c>
      <c r="B1574" s="173">
        <v>46144.0</v>
      </c>
      <c r="C1574" s="374">
        <v>8.07000035875E11</v>
      </c>
      <c r="D1574" s="374" t="s">
        <v>12665</v>
      </c>
      <c r="E1574" s="374" t="s">
        <v>12666</v>
      </c>
      <c r="F1574" s="177" t="s">
        <v>12667</v>
      </c>
      <c r="G1574" s="177" t="s">
        <v>127</v>
      </c>
      <c r="H1574" s="177">
        <v>4400.0</v>
      </c>
      <c r="I1574" s="176">
        <v>125824.0</v>
      </c>
      <c r="J1574" s="374" t="s">
        <v>12668</v>
      </c>
      <c r="K1574" s="177">
        <v>2.0</v>
      </c>
      <c r="L1574" s="174">
        <v>3.875382391E9</v>
      </c>
      <c r="M1574" s="387"/>
      <c r="N1574" s="480">
        <v>46144.0</v>
      </c>
      <c r="O1574" s="402" t="s">
        <v>9011</v>
      </c>
      <c r="P1574" s="534"/>
      <c r="Q1574" s="430" t="s">
        <v>9012</v>
      </c>
      <c r="R1574" s="432" t="s">
        <v>14170</v>
      </c>
      <c r="S1574" s="367"/>
      <c r="T1574" s="276"/>
      <c r="U1574" s="276"/>
      <c r="V1574" s="276"/>
      <c r="W1574" s="276"/>
      <c r="X1574" s="276"/>
      <c r="Y1574" s="276"/>
      <c r="Z1574" s="276"/>
      <c r="AA1574" s="276"/>
      <c r="AB1574" s="276"/>
      <c r="AC1574" s="276"/>
    </row>
    <row r="1575">
      <c r="A1575" s="108" t="s">
        <v>12664</v>
      </c>
      <c r="B1575" s="173">
        <v>46144.0</v>
      </c>
      <c r="C1575" s="374">
        <v>8.07000035875E11</v>
      </c>
      <c r="D1575" s="374" t="s">
        <v>12665</v>
      </c>
      <c r="E1575" s="374" t="s">
        <v>12666</v>
      </c>
      <c r="F1575" s="177" t="s">
        <v>12667</v>
      </c>
      <c r="G1575" s="177" t="s">
        <v>127</v>
      </c>
      <c r="H1575" s="177">
        <v>4400.0</v>
      </c>
      <c r="I1575" s="176" t="s">
        <v>1937</v>
      </c>
      <c r="J1575" s="374" t="s">
        <v>4036</v>
      </c>
      <c r="K1575" s="177">
        <v>1.0</v>
      </c>
      <c r="L1575" s="174">
        <v>3.875382391E9</v>
      </c>
      <c r="M1575" s="387"/>
      <c r="N1575" s="206"/>
      <c r="O1575" s="206"/>
      <c r="P1575" s="206"/>
      <c r="Q1575" s="206"/>
      <c r="R1575" s="206"/>
      <c r="S1575" s="367"/>
      <c r="T1575" s="276"/>
      <c r="U1575" s="276"/>
      <c r="V1575" s="276"/>
      <c r="W1575" s="276"/>
      <c r="X1575" s="276"/>
      <c r="Y1575" s="276"/>
      <c r="Z1575" s="276"/>
      <c r="AA1575" s="276"/>
      <c r="AB1575" s="276"/>
      <c r="AC1575" s="276"/>
    </row>
    <row r="1576">
      <c r="A1576" s="108" t="s">
        <v>12669</v>
      </c>
      <c r="B1576" s="173">
        <v>46146.0</v>
      </c>
      <c r="C1576" s="374">
        <v>8.07000035889E11</v>
      </c>
      <c r="D1576" s="374" t="s">
        <v>12518</v>
      </c>
      <c r="E1576" s="374" t="s">
        <v>12519</v>
      </c>
      <c r="F1576" s="177" t="s">
        <v>12520</v>
      </c>
      <c r="G1576" s="177" t="s">
        <v>127</v>
      </c>
      <c r="H1576" s="177">
        <v>4400.0</v>
      </c>
      <c r="I1576" s="374" t="s">
        <v>5262</v>
      </c>
      <c r="J1576" s="374" t="s">
        <v>5263</v>
      </c>
      <c r="K1576" s="177">
        <v>1.0</v>
      </c>
      <c r="L1576" s="174">
        <v>3.875047903E9</v>
      </c>
      <c r="M1576" s="387"/>
      <c r="N1576" s="481">
        <v>46146.0</v>
      </c>
      <c r="O1576" s="531" t="s">
        <v>9011</v>
      </c>
      <c r="P1576" s="387"/>
      <c r="Q1576" s="261" t="s">
        <v>14171</v>
      </c>
      <c r="R1576" s="434" t="s">
        <v>14172</v>
      </c>
      <c r="S1576" s="367"/>
      <c r="T1576" s="276"/>
      <c r="U1576" s="276"/>
      <c r="V1576" s="276"/>
      <c r="W1576" s="276"/>
      <c r="X1576" s="276"/>
      <c r="Y1576" s="276"/>
      <c r="Z1576" s="276"/>
      <c r="AA1576" s="276"/>
      <c r="AB1576" s="276"/>
      <c r="AC1576" s="276"/>
    </row>
    <row r="1577">
      <c r="A1577" s="108" t="s">
        <v>12670</v>
      </c>
      <c r="B1577" s="173">
        <v>46146.0</v>
      </c>
      <c r="C1577" s="374">
        <v>8.07000035881E11</v>
      </c>
      <c r="D1577" s="374" t="s">
        <v>12671</v>
      </c>
      <c r="E1577" s="374" t="s">
        <v>12672</v>
      </c>
      <c r="F1577" s="177" t="s">
        <v>12673</v>
      </c>
      <c r="G1577" s="177" t="s">
        <v>104</v>
      </c>
      <c r="H1577" s="177">
        <v>4400.0</v>
      </c>
      <c r="I1577" s="374" t="s">
        <v>1040</v>
      </c>
      <c r="J1577" s="374" t="s">
        <v>3294</v>
      </c>
      <c r="K1577" s="177">
        <v>1.0</v>
      </c>
      <c r="L1577" s="174">
        <v>3.875005347E9</v>
      </c>
      <c r="M1577" s="387"/>
      <c r="N1577" s="481">
        <v>46146.0</v>
      </c>
      <c r="O1577" s="531" t="s">
        <v>9011</v>
      </c>
      <c r="P1577" s="387"/>
      <c r="Q1577" s="261" t="s">
        <v>13339</v>
      </c>
      <c r="R1577" s="434" t="s">
        <v>14173</v>
      </c>
      <c r="S1577" s="367"/>
      <c r="T1577" s="276"/>
      <c r="U1577" s="276"/>
      <c r="V1577" s="276"/>
      <c r="W1577" s="276"/>
      <c r="X1577" s="276"/>
      <c r="Y1577" s="276"/>
      <c r="Z1577" s="276"/>
      <c r="AA1577" s="276"/>
      <c r="AB1577" s="276"/>
      <c r="AC1577" s="276"/>
    </row>
    <row r="1578">
      <c r="A1578" s="108" t="s">
        <v>12674</v>
      </c>
      <c r="B1578" s="173"/>
      <c r="C1578" s="374">
        <v>8.070000359E11</v>
      </c>
      <c r="D1578" s="374" t="s">
        <v>12675</v>
      </c>
      <c r="E1578" s="374" t="s">
        <v>12676</v>
      </c>
      <c r="F1578" s="177" t="s">
        <v>12677</v>
      </c>
      <c r="G1578" s="177" t="s">
        <v>12678</v>
      </c>
      <c r="H1578" s="177">
        <v>4400.0</v>
      </c>
      <c r="I1578" s="374" t="s">
        <v>2956</v>
      </c>
      <c r="J1578" s="374" t="s">
        <v>3327</v>
      </c>
      <c r="K1578" s="177">
        <v>1.0</v>
      </c>
      <c r="L1578" s="174">
        <v>1.166119266E9</v>
      </c>
      <c r="M1578" s="387"/>
      <c r="N1578" s="481">
        <v>46147.0</v>
      </c>
      <c r="O1578" s="531" t="s">
        <v>9011</v>
      </c>
      <c r="P1578" s="387"/>
      <c r="Q1578" s="261" t="s">
        <v>14174</v>
      </c>
      <c r="R1578" s="434" t="s">
        <v>14175</v>
      </c>
      <c r="S1578" s="367"/>
      <c r="T1578" s="276"/>
      <c r="U1578" s="276"/>
      <c r="V1578" s="276"/>
      <c r="W1578" s="276"/>
      <c r="X1578" s="276"/>
      <c r="Y1578" s="276"/>
      <c r="Z1578" s="276"/>
      <c r="AA1578" s="276"/>
      <c r="AB1578" s="276"/>
      <c r="AC1578" s="276"/>
    </row>
    <row r="1579">
      <c r="A1579" s="108" t="s">
        <v>12679</v>
      </c>
      <c r="B1579" s="173">
        <v>46148.0</v>
      </c>
      <c r="C1579" s="374">
        <v>8.07000035903E11</v>
      </c>
      <c r="D1579" s="374" t="s">
        <v>12680</v>
      </c>
      <c r="E1579" s="374" t="s">
        <v>12681</v>
      </c>
      <c r="F1579" s="177" t="s">
        <v>12682</v>
      </c>
      <c r="G1579" s="177" t="s">
        <v>127</v>
      </c>
      <c r="H1579" s="177">
        <v>4400.0</v>
      </c>
      <c r="I1579" s="614">
        <v>915846.0</v>
      </c>
      <c r="J1579" s="374" t="s">
        <v>9900</v>
      </c>
      <c r="K1579" s="177">
        <v>1.0</v>
      </c>
      <c r="L1579" s="174">
        <v>3.875604032E9</v>
      </c>
      <c r="M1579" s="387"/>
      <c r="N1579" s="480">
        <v>46148.0</v>
      </c>
      <c r="O1579" s="402" t="s">
        <v>9011</v>
      </c>
      <c r="P1579" s="534"/>
      <c r="Q1579" s="430" t="s">
        <v>14176</v>
      </c>
      <c r="R1579" s="432" t="s">
        <v>14177</v>
      </c>
      <c r="S1579" s="367"/>
      <c r="T1579" s="276"/>
      <c r="U1579" s="276"/>
      <c r="V1579" s="276"/>
      <c r="W1579" s="276"/>
      <c r="X1579" s="276"/>
      <c r="Y1579" s="276"/>
      <c r="Z1579" s="276"/>
      <c r="AA1579" s="276"/>
      <c r="AB1579" s="276"/>
      <c r="AC1579" s="276"/>
    </row>
    <row r="1580">
      <c r="A1580" s="108" t="s">
        <v>12679</v>
      </c>
      <c r="B1580" s="173">
        <v>46148.0</v>
      </c>
      <c r="C1580" s="374">
        <v>8.07000035903E11</v>
      </c>
      <c r="D1580" s="374" t="s">
        <v>12680</v>
      </c>
      <c r="E1580" s="374" t="s">
        <v>12681</v>
      </c>
      <c r="F1580" s="177" t="s">
        <v>12682</v>
      </c>
      <c r="G1580" s="177" t="s">
        <v>127</v>
      </c>
      <c r="H1580" s="177">
        <v>4400.0</v>
      </c>
      <c r="I1580" s="176">
        <v>87610.0</v>
      </c>
      <c r="J1580" s="374" t="s">
        <v>12683</v>
      </c>
      <c r="K1580" s="177">
        <v>2.0</v>
      </c>
      <c r="L1580" s="174">
        <v>3.875604032E9</v>
      </c>
      <c r="M1580" s="387"/>
      <c r="N1580" s="206"/>
      <c r="O1580" s="206"/>
      <c r="P1580" s="206"/>
      <c r="Q1580" s="206"/>
      <c r="R1580" s="206"/>
      <c r="S1580" s="367"/>
      <c r="T1580" s="276"/>
      <c r="U1580" s="276"/>
      <c r="V1580" s="276"/>
      <c r="W1580" s="276"/>
      <c r="X1580" s="276"/>
      <c r="Y1580" s="276"/>
      <c r="Z1580" s="276"/>
      <c r="AA1580" s="276"/>
      <c r="AB1580" s="276"/>
      <c r="AC1580" s="276"/>
    </row>
    <row r="1581">
      <c r="A1581" s="108" t="s">
        <v>12684</v>
      </c>
      <c r="B1581" s="173">
        <v>46148.0</v>
      </c>
      <c r="C1581" s="374">
        <v>8.0700003591E11</v>
      </c>
      <c r="D1581" s="374" t="s">
        <v>12685</v>
      </c>
      <c r="E1581" s="374" t="s">
        <v>12686</v>
      </c>
      <c r="F1581" s="177" t="s">
        <v>12687</v>
      </c>
      <c r="G1581" s="177" t="s">
        <v>127</v>
      </c>
      <c r="H1581" s="177">
        <v>4400.0</v>
      </c>
      <c r="I1581" s="374" t="s">
        <v>11890</v>
      </c>
      <c r="J1581" s="374" t="s">
        <v>11891</v>
      </c>
      <c r="K1581" s="177">
        <v>2.0</v>
      </c>
      <c r="L1581" s="174">
        <v>3.874102399E9</v>
      </c>
      <c r="M1581" s="387"/>
      <c r="N1581" s="480">
        <v>46148.0</v>
      </c>
      <c r="O1581" s="402" t="s">
        <v>9011</v>
      </c>
      <c r="P1581" s="534"/>
      <c r="Q1581" s="430" t="s">
        <v>14178</v>
      </c>
      <c r="R1581" s="432" t="s">
        <v>14179</v>
      </c>
      <c r="S1581" s="367"/>
      <c r="T1581" s="276"/>
      <c r="U1581" s="276"/>
      <c r="V1581" s="276"/>
      <c r="W1581" s="276"/>
      <c r="X1581" s="276"/>
      <c r="Y1581" s="276"/>
      <c r="Z1581" s="276"/>
      <c r="AA1581" s="276"/>
      <c r="AB1581" s="276"/>
      <c r="AC1581" s="276"/>
    </row>
    <row r="1582">
      <c r="A1582" s="108" t="s">
        <v>12684</v>
      </c>
      <c r="B1582" s="173">
        <v>46148.0</v>
      </c>
      <c r="C1582" s="374">
        <v>8.0700003591E11</v>
      </c>
      <c r="D1582" s="374" t="s">
        <v>12685</v>
      </c>
      <c r="E1582" s="374" t="s">
        <v>12686</v>
      </c>
      <c r="F1582" s="177" t="s">
        <v>12687</v>
      </c>
      <c r="G1582" s="177" t="s">
        <v>127</v>
      </c>
      <c r="H1582" s="177">
        <v>4400.0</v>
      </c>
      <c r="I1582" s="374" t="s">
        <v>1115</v>
      </c>
      <c r="J1582" s="374" t="s">
        <v>8215</v>
      </c>
      <c r="K1582" s="177">
        <v>1.0</v>
      </c>
      <c r="L1582" s="174">
        <v>3.874102399E9</v>
      </c>
      <c r="M1582" s="387"/>
      <c r="N1582" s="209"/>
      <c r="O1582" s="209"/>
      <c r="P1582" s="209"/>
      <c r="Q1582" s="209"/>
      <c r="R1582" s="209"/>
      <c r="S1582" s="367"/>
      <c r="T1582" s="276"/>
      <c r="U1582" s="276"/>
      <c r="V1582" s="276"/>
      <c r="W1582" s="276"/>
      <c r="X1582" s="276"/>
      <c r="Y1582" s="276"/>
      <c r="Z1582" s="276"/>
      <c r="AA1582" s="276"/>
      <c r="AB1582" s="276"/>
      <c r="AC1582" s="276"/>
    </row>
    <row r="1583">
      <c r="A1583" s="108" t="s">
        <v>12684</v>
      </c>
      <c r="B1583" s="173">
        <v>46148.0</v>
      </c>
      <c r="C1583" s="374">
        <v>8.0700003591E11</v>
      </c>
      <c r="D1583" s="374" t="s">
        <v>12685</v>
      </c>
      <c r="E1583" s="374" t="s">
        <v>12686</v>
      </c>
      <c r="F1583" s="177" t="s">
        <v>12687</v>
      </c>
      <c r="G1583" s="177" t="s">
        <v>127</v>
      </c>
      <c r="H1583" s="177">
        <v>4400.0</v>
      </c>
      <c r="I1583" s="374" t="s">
        <v>512</v>
      </c>
      <c r="J1583" s="374" t="s">
        <v>513</v>
      </c>
      <c r="K1583" s="177">
        <v>12.0</v>
      </c>
      <c r="L1583" s="174">
        <v>3.874102399E9</v>
      </c>
      <c r="M1583" s="387"/>
      <c r="N1583" s="209"/>
      <c r="O1583" s="209"/>
      <c r="P1583" s="209"/>
      <c r="Q1583" s="209"/>
      <c r="R1583" s="209"/>
      <c r="S1583" s="367"/>
      <c r="T1583" s="276"/>
      <c r="U1583" s="276"/>
      <c r="V1583" s="276"/>
      <c r="W1583" s="276"/>
      <c r="X1583" s="276"/>
      <c r="Y1583" s="276"/>
      <c r="Z1583" s="276"/>
      <c r="AA1583" s="276"/>
      <c r="AB1583" s="276"/>
      <c r="AC1583" s="276"/>
    </row>
    <row r="1584">
      <c r="A1584" s="108" t="s">
        <v>12684</v>
      </c>
      <c r="B1584" s="173">
        <v>46148.0</v>
      </c>
      <c r="C1584" s="374">
        <v>8.0700003591E11</v>
      </c>
      <c r="D1584" s="374" t="s">
        <v>12685</v>
      </c>
      <c r="E1584" s="374" t="s">
        <v>12686</v>
      </c>
      <c r="F1584" s="177" t="s">
        <v>12687</v>
      </c>
      <c r="G1584" s="177" t="s">
        <v>127</v>
      </c>
      <c r="H1584" s="177">
        <v>4400.0</v>
      </c>
      <c r="I1584" s="374" t="s">
        <v>340</v>
      </c>
      <c r="J1584" s="374" t="s">
        <v>3486</v>
      </c>
      <c r="K1584" s="177">
        <v>2.0</v>
      </c>
      <c r="L1584" s="174">
        <v>3.874102399E9</v>
      </c>
      <c r="M1584" s="387"/>
      <c r="N1584" s="206"/>
      <c r="O1584" s="206"/>
      <c r="P1584" s="206"/>
      <c r="Q1584" s="206"/>
      <c r="R1584" s="206"/>
      <c r="S1584" s="367"/>
      <c r="T1584" s="276"/>
      <c r="U1584" s="276"/>
      <c r="V1584" s="276"/>
      <c r="W1584" s="276"/>
      <c r="X1584" s="276"/>
      <c r="Y1584" s="276"/>
      <c r="Z1584" s="276"/>
      <c r="AA1584" s="276"/>
      <c r="AB1584" s="276"/>
      <c r="AC1584" s="276"/>
    </row>
    <row r="1585">
      <c r="A1585" s="615"/>
      <c r="B1585" s="616"/>
      <c r="C1585" s="617"/>
      <c r="D1585" s="617"/>
      <c r="E1585" s="617"/>
      <c r="F1585" s="618"/>
      <c r="G1585" s="618"/>
      <c r="H1585" s="618"/>
      <c r="I1585" s="617"/>
      <c r="J1585" s="617"/>
      <c r="K1585" s="618"/>
      <c r="L1585" s="619"/>
      <c r="M1585" s="389"/>
      <c r="N1585" s="481"/>
      <c r="O1585" s="531"/>
      <c r="P1585" s="387"/>
      <c r="Q1585" s="261"/>
      <c r="R1585" s="449"/>
      <c r="S1585" s="367"/>
      <c r="T1585" s="276"/>
      <c r="U1585" s="276"/>
      <c r="V1585" s="276"/>
      <c r="W1585" s="276"/>
      <c r="X1585" s="276"/>
      <c r="Y1585" s="276"/>
      <c r="Z1585" s="276"/>
      <c r="AA1585" s="276"/>
      <c r="AB1585" s="276"/>
      <c r="AC1585" s="276"/>
    </row>
    <row r="1586">
      <c r="A1586" s="568">
        <v>46150.0</v>
      </c>
      <c r="B1586" s="569" t="s">
        <v>6101</v>
      </c>
      <c r="C1586" s="569">
        <v>8.07940000748E11</v>
      </c>
      <c r="D1586" s="569" t="s">
        <v>6102</v>
      </c>
      <c r="E1586" s="569" t="s">
        <v>6103</v>
      </c>
      <c r="F1586" s="569" t="s">
        <v>6104</v>
      </c>
      <c r="G1586" s="569" t="s">
        <v>20</v>
      </c>
      <c r="H1586" s="569" t="s">
        <v>20</v>
      </c>
      <c r="I1586" s="569" t="s">
        <v>4086</v>
      </c>
      <c r="J1586" s="569">
        <v>3.87529834E9</v>
      </c>
      <c r="K1586" s="569" t="s">
        <v>6105</v>
      </c>
      <c r="L1586" s="569" t="s">
        <v>6106</v>
      </c>
      <c r="M1586" s="108">
        <v>1.0</v>
      </c>
      <c r="N1586" s="620"/>
      <c r="O1586" s="621"/>
      <c r="P1586" s="534"/>
      <c r="Q1586" s="430" t="s">
        <v>6107</v>
      </c>
      <c r="R1586" s="622"/>
      <c r="S1586" s="367"/>
      <c r="T1586" s="276"/>
      <c r="U1586" s="276"/>
      <c r="V1586" s="276"/>
      <c r="W1586" s="276"/>
      <c r="X1586" s="276"/>
      <c r="Y1586" s="276"/>
      <c r="Z1586" s="276"/>
      <c r="AA1586" s="276"/>
      <c r="AB1586" s="276"/>
      <c r="AC1586" s="276"/>
    </row>
    <row r="1587">
      <c r="A1587" s="568">
        <v>46150.0</v>
      </c>
      <c r="B1587" s="569" t="s">
        <v>6101</v>
      </c>
      <c r="C1587" s="569">
        <v>8.07940000748E11</v>
      </c>
      <c r="D1587" s="569" t="s">
        <v>6102</v>
      </c>
      <c r="E1587" s="569" t="s">
        <v>6103</v>
      </c>
      <c r="F1587" s="569" t="s">
        <v>6104</v>
      </c>
      <c r="G1587" s="569" t="s">
        <v>20</v>
      </c>
      <c r="H1587" s="569" t="s">
        <v>20</v>
      </c>
      <c r="I1587" s="569" t="s">
        <v>4086</v>
      </c>
      <c r="J1587" s="569">
        <v>3.87529834E9</v>
      </c>
      <c r="K1587" s="569" t="s">
        <v>512</v>
      </c>
      <c r="L1587" s="569" t="s">
        <v>513</v>
      </c>
      <c r="M1587" s="108">
        <v>12.0</v>
      </c>
      <c r="N1587" s="209"/>
      <c r="O1587" s="209"/>
      <c r="P1587" s="209"/>
      <c r="Q1587" s="209"/>
      <c r="R1587" s="209"/>
      <c r="S1587" s="367"/>
      <c r="T1587" s="276"/>
      <c r="U1587" s="276"/>
      <c r="V1587" s="276"/>
      <c r="W1587" s="276"/>
      <c r="X1587" s="276"/>
      <c r="Y1587" s="276"/>
      <c r="Z1587" s="276"/>
      <c r="AA1587" s="276"/>
      <c r="AB1587" s="276"/>
      <c r="AC1587" s="276"/>
    </row>
    <row r="1588">
      <c r="A1588" s="568">
        <v>46150.0</v>
      </c>
      <c r="B1588" s="569" t="s">
        <v>6101</v>
      </c>
      <c r="C1588" s="569">
        <v>8.07940000748E11</v>
      </c>
      <c r="D1588" s="569" t="s">
        <v>6102</v>
      </c>
      <c r="E1588" s="569" t="s">
        <v>6103</v>
      </c>
      <c r="F1588" s="569" t="s">
        <v>6104</v>
      </c>
      <c r="G1588" s="569" t="s">
        <v>20</v>
      </c>
      <c r="H1588" s="569" t="s">
        <v>20</v>
      </c>
      <c r="I1588" s="569" t="s">
        <v>4086</v>
      </c>
      <c r="J1588" s="569">
        <v>3.87529834E9</v>
      </c>
      <c r="K1588" s="569" t="s">
        <v>758</v>
      </c>
      <c r="L1588" s="569" t="s">
        <v>3574</v>
      </c>
      <c r="M1588" s="108">
        <v>2.0</v>
      </c>
      <c r="N1588" s="206"/>
      <c r="O1588" s="206"/>
      <c r="P1588" s="206"/>
      <c r="Q1588" s="206"/>
      <c r="R1588" s="206"/>
      <c r="S1588" s="367"/>
      <c r="T1588" s="276"/>
      <c r="U1588" s="276"/>
      <c r="V1588" s="276"/>
      <c r="W1588" s="276"/>
      <c r="X1588" s="276"/>
      <c r="Y1588" s="276"/>
      <c r="Z1588" s="276"/>
      <c r="AA1588" s="276"/>
      <c r="AB1588" s="276"/>
      <c r="AC1588" s="276"/>
    </row>
    <row r="1589">
      <c r="A1589" s="92">
        <v>46150.0</v>
      </c>
      <c r="B1589" s="107" t="s">
        <v>6108</v>
      </c>
      <c r="C1589" s="107">
        <v>8.07025035809E11</v>
      </c>
      <c r="D1589" s="107" t="s">
        <v>6109</v>
      </c>
      <c r="E1589" s="107" t="s">
        <v>6110</v>
      </c>
      <c r="F1589" s="107" t="s">
        <v>6111</v>
      </c>
      <c r="G1589" s="107" t="s">
        <v>127</v>
      </c>
      <c r="H1589" s="107" t="s">
        <v>20</v>
      </c>
      <c r="I1589" s="107">
        <v>4400.0</v>
      </c>
      <c r="J1589" s="107">
        <v>3.875098628E9</v>
      </c>
      <c r="K1589" s="107" t="s">
        <v>5262</v>
      </c>
      <c r="L1589" s="107" t="s">
        <v>5263</v>
      </c>
      <c r="M1589" s="108">
        <v>1.0</v>
      </c>
      <c r="N1589" s="480">
        <v>46151.0</v>
      </c>
      <c r="O1589" s="402" t="s">
        <v>9011</v>
      </c>
      <c r="P1589" s="534"/>
      <c r="Q1589" s="430" t="s">
        <v>13339</v>
      </c>
      <c r="R1589" s="432" t="s">
        <v>14180</v>
      </c>
      <c r="S1589" s="367"/>
      <c r="T1589" s="276"/>
      <c r="U1589" s="276"/>
      <c r="V1589" s="276"/>
      <c r="W1589" s="276"/>
      <c r="X1589" s="276"/>
      <c r="Y1589" s="276"/>
      <c r="Z1589" s="276"/>
      <c r="AA1589" s="276"/>
      <c r="AB1589" s="276"/>
      <c r="AC1589" s="276"/>
    </row>
    <row r="1590">
      <c r="A1590" s="92">
        <v>46150.0</v>
      </c>
      <c r="B1590" s="107" t="s">
        <v>6112</v>
      </c>
      <c r="C1590" s="107">
        <v>8.07025035808E11</v>
      </c>
      <c r="D1590" s="107" t="s">
        <v>6109</v>
      </c>
      <c r="E1590" s="107" t="s">
        <v>6110</v>
      </c>
      <c r="F1590" s="107" t="s">
        <v>6111</v>
      </c>
      <c r="G1590" s="107" t="s">
        <v>127</v>
      </c>
      <c r="H1590" s="107" t="s">
        <v>20</v>
      </c>
      <c r="I1590" s="107">
        <v>4400.0</v>
      </c>
      <c r="J1590" s="107">
        <v>3.875098628E9</v>
      </c>
      <c r="K1590" s="107" t="s">
        <v>6113</v>
      </c>
      <c r="L1590" s="107" t="s">
        <v>6114</v>
      </c>
      <c r="M1590" s="108">
        <v>1.0</v>
      </c>
      <c r="N1590" s="206"/>
      <c r="O1590" s="206"/>
      <c r="P1590" s="206"/>
      <c r="Q1590" s="206"/>
      <c r="R1590" s="206"/>
      <c r="S1590" s="367"/>
      <c r="T1590" s="276"/>
      <c r="U1590" s="276"/>
      <c r="V1590" s="276"/>
      <c r="W1590" s="276"/>
      <c r="X1590" s="276"/>
      <c r="Y1590" s="276"/>
      <c r="Z1590" s="276"/>
      <c r="AA1590" s="276"/>
      <c r="AB1590" s="276"/>
      <c r="AC1590" s="276"/>
    </row>
    <row r="1591">
      <c r="A1591" s="92">
        <v>46150.0</v>
      </c>
      <c r="B1591" s="107" t="s">
        <v>6115</v>
      </c>
      <c r="C1591" s="107">
        <v>8.07025035811E11</v>
      </c>
      <c r="D1591" s="107" t="s">
        <v>6116</v>
      </c>
      <c r="E1591" s="107" t="s">
        <v>6117</v>
      </c>
      <c r="F1591" s="107" t="s">
        <v>6118</v>
      </c>
      <c r="G1591" s="107" t="s">
        <v>127</v>
      </c>
      <c r="H1591" s="107" t="s">
        <v>20</v>
      </c>
      <c r="I1591" s="107">
        <v>4400.0</v>
      </c>
      <c r="J1591" s="107">
        <v>3.874150381E9</v>
      </c>
      <c r="K1591" s="107" t="s">
        <v>6119</v>
      </c>
      <c r="L1591" s="107" t="s">
        <v>6120</v>
      </c>
      <c r="M1591" s="108">
        <v>1.0</v>
      </c>
      <c r="N1591" s="480">
        <v>46151.0</v>
      </c>
      <c r="O1591" s="402" t="s">
        <v>9011</v>
      </c>
      <c r="P1591" s="534"/>
      <c r="Q1591" s="430" t="s">
        <v>13339</v>
      </c>
      <c r="R1591" s="432" t="s">
        <v>14181</v>
      </c>
      <c r="S1591" s="367"/>
      <c r="T1591" s="276"/>
      <c r="U1591" s="276"/>
      <c r="V1591" s="276"/>
      <c r="W1591" s="276"/>
      <c r="X1591" s="276"/>
      <c r="Y1591" s="276"/>
      <c r="Z1591" s="276"/>
      <c r="AA1591" s="276"/>
      <c r="AB1591" s="276"/>
      <c r="AC1591" s="276"/>
    </row>
    <row r="1592">
      <c r="A1592" s="92">
        <v>46150.0</v>
      </c>
      <c r="B1592" s="107" t="s">
        <v>6115</v>
      </c>
      <c r="C1592" s="107">
        <v>8.07025035811E11</v>
      </c>
      <c r="D1592" s="107" t="s">
        <v>6116</v>
      </c>
      <c r="E1592" s="107" t="s">
        <v>6117</v>
      </c>
      <c r="F1592" s="107" t="s">
        <v>6118</v>
      </c>
      <c r="G1592" s="107" t="s">
        <v>127</v>
      </c>
      <c r="H1592" s="107" t="s">
        <v>20</v>
      </c>
      <c r="I1592" s="107">
        <v>4400.0</v>
      </c>
      <c r="J1592" s="107">
        <v>3.874150381E9</v>
      </c>
      <c r="K1592" s="107" t="s">
        <v>512</v>
      </c>
      <c r="L1592" s="107" t="s">
        <v>513</v>
      </c>
      <c r="M1592" s="108">
        <v>12.0</v>
      </c>
      <c r="N1592" s="209"/>
      <c r="O1592" s="209"/>
      <c r="P1592" s="209"/>
      <c r="Q1592" s="209"/>
      <c r="R1592" s="209"/>
      <c r="S1592" s="367"/>
      <c r="T1592" s="276"/>
      <c r="U1592" s="276"/>
      <c r="V1592" s="276"/>
      <c r="W1592" s="276"/>
      <c r="X1592" s="276"/>
      <c r="Y1592" s="276"/>
      <c r="Z1592" s="276"/>
      <c r="AA1592" s="276"/>
      <c r="AB1592" s="276"/>
      <c r="AC1592" s="276"/>
    </row>
    <row r="1593" ht="16.5" customHeight="1">
      <c r="A1593" s="92">
        <v>46150.0</v>
      </c>
      <c r="B1593" s="107" t="s">
        <v>6115</v>
      </c>
      <c r="C1593" s="107">
        <v>8.07025035811E11</v>
      </c>
      <c r="D1593" s="107" t="s">
        <v>6116</v>
      </c>
      <c r="E1593" s="107" t="s">
        <v>6117</v>
      </c>
      <c r="F1593" s="107" t="s">
        <v>6118</v>
      </c>
      <c r="G1593" s="107" t="s">
        <v>127</v>
      </c>
      <c r="H1593" s="107" t="s">
        <v>20</v>
      </c>
      <c r="I1593" s="107">
        <v>4400.0</v>
      </c>
      <c r="J1593" s="107">
        <v>3.874150381E9</v>
      </c>
      <c r="K1593" s="107" t="s">
        <v>772</v>
      </c>
      <c r="L1593" s="107" t="s">
        <v>3363</v>
      </c>
      <c r="M1593" s="108">
        <v>2.0</v>
      </c>
      <c r="N1593" s="206"/>
      <c r="O1593" s="206"/>
      <c r="P1593" s="206"/>
      <c r="Q1593" s="206"/>
      <c r="R1593" s="206"/>
      <c r="S1593" s="367"/>
      <c r="T1593" s="276"/>
      <c r="U1593" s="276"/>
      <c r="V1593" s="276"/>
      <c r="W1593" s="276"/>
      <c r="X1593" s="276"/>
      <c r="Y1593" s="276"/>
      <c r="Z1593" s="276"/>
      <c r="AA1593" s="276"/>
      <c r="AB1593" s="276"/>
      <c r="AC1593" s="276"/>
    </row>
    <row r="1594">
      <c r="A1594" s="92">
        <v>46150.0</v>
      </c>
      <c r="B1594" s="107" t="s">
        <v>6122</v>
      </c>
      <c r="C1594" s="107">
        <v>8.07839004858E11</v>
      </c>
      <c r="D1594" s="107" t="s">
        <v>6123</v>
      </c>
      <c r="E1594" s="107" t="s">
        <v>6124</v>
      </c>
      <c r="F1594" s="107" t="s">
        <v>6125</v>
      </c>
      <c r="G1594" s="107" t="s">
        <v>1142</v>
      </c>
      <c r="H1594" s="107" t="s">
        <v>20</v>
      </c>
      <c r="I1594" s="107">
        <v>4430.0</v>
      </c>
      <c r="J1594" s="107">
        <v>3.875676783E9</v>
      </c>
      <c r="K1594" s="107" t="s">
        <v>98</v>
      </c>
      <c r="L1594" s="107" t="s">
        <v>3187</v>
      </c>
      <c r="M1594" s="108">
        <v>1.0</v>
      </c>
      <c r="N1594" s="480">
        <v>46153.0</v>
      </c>
      <c r="O1594" s="402" t="s">
        <v>9011</v>
      </c>
      <c r="P1594" s="534"/>
      <c r="Q1594" s="430" t="s">
        <v>14182</v>
      </c>
      <c r="R1594" s="432" t="s">
        <v>14183</v>
      </c>
      <c r="S1594" s="367"/>
      <c r="T1594" s="276"/>
      <c r="U1594" s="276"/>
      <c r="V1594" s="276"/>
      <c r="W1594" s="276"/>
      <c r="X1594" s="276"/>
      <c r="Y1594" s="276"/>
      <c r="Z1594" s="276"/>
      <c r="AA1594" s="276"/>
      <c r="AB1594" s="276"/>
      <c r="AC1594" s="276"/>
    </row>
    <row r="1595">
      <c r="A1595" s="92">
        <v>46150.0</v>
      </c>
      <c r="B1595" s="107" t="s">
        <v>6122</v>
      </c>
      <c r="C1595" s="107">
        <v>8.07839004858E11</v>
      </c>
      <c r="D1595" s="107" t="s">
        <v>6123</v>
      </c>
      <c r="E1595" s="107" t="s">
        <v>6124</v>
      </c>
      <c r="F1595" s="107" t="s">
        <v>6125</v>
      </c>
      <c r="G1595" s="107" t="s">
        <v>1142</v>
      </c>
      <c r="H1595" s="107" t="s">
        <v>20</v>
      </c>
      <c r="I1595" s="107">
        <v>4430.0</v>
      </c>
      <c r="J1595" s="107">
        <v>3.875676783E9</v>
      </c>
      <c r="K1595" s="107" t="s">
        <v>512</v>
      </c>
      <c r="L1595" s="107" t="s">
        <v>513</v>
      </c>
      <c r="M1595" s="108">
        <v>6.0</v>
      </c>
      <c r="N1595" s="209"/>
      <c r="O1595" s="209"/>
      <c r="P1595" s="209"/>
      <c r="Q1595" s="209"/>
      <c r="R1595" s="209"/>
      <c r="S1595" s="367"/>
      <c r="T1595" s="276"/>
      <c r="U1595" s="276"/>
      <c r="V1595" s="276"/>
      <c r="W1595" s="276"/>
      <c r="X1595" s="276"/>
      <c r="Y1595" s="276"/>
      <c r="Z1595" s="276"/>
      <c r="AA1595" s="276"/>
      <c r="AB1595" s="276"/>
      <c r="AC1595" s="276"/>
    </row>
    <row r="1596">
      <c r="A1596" s="92">
        <v>46150.0</v>
      </c>
      <c r="B1596" s="107" t="s">
        <v>6122</v>
      </c>
      <c r="C1596" s="107">
        <v>8.07839004858E11</v>
      </c>
      <c r="D1596" s="107" t="s">
        <v>6123</v>
      </c>
      <c r="E1596" s="107" t="s">
        <v>6124</v>
      </c>
      <c r="F1596" s="107" t="s">
        <v>6125</v>
      </c>
      <c r="G1596" s="107" t="s">
        <v>1142</v>
      </c>
      <c r="H1596" s="107" t="s">
        <v>20</v>
      </c>
      <c r="I1596" s="107">
        <v>4430.0</v>
      </c>
      <c r="J1596" s="107">
        <v>3.875676783E9</v>
      </c>
      <c r="K1596" s="107" t="s">
        <v>670</v>
      </c>
      <c r="L1596" s="107" t="s">
        <v>3410</v>
      </c>
      <c r="M1596" s="108">
        <v>1.0</v>
      </c>
      <c r="N1596" s="206"/>
      <c r="O1596" s="206"/>
      <c r="P1596" s="206"/>
      <c r="Q1596" s="206"/>
      <c r="R1596" s="206"/>
      <c r="S1596" s="367"/>
      <c r="T1596" s="276"/>
      <c r="U1596" s="276"/>
      <c r="V1596" s="276"/>
      <c r="W1596" s="276"/>
      <c r="X1596" s="276"/>
      <c r="Y1596" s="276"/>
      <c r="Z1596" s="276"/>
      <c r="AA1596" s="276"/>
      <c r="AB1596" s="276"/>
      <c r="AC1596" s="276"/>
    </row>
    <row r="1597">
      <c r="A1597" s="600"/>
      <c r="B1597" s="601"/>
      <c r="C1597" s="601"/>
      <c r="D1597" s="601"/>
      <c r="E1597" s="601"/>
      <c r="F1597" s="601"/>
      <c r="G1597" s="601"/>
      <c r="H1597" s="601"/>
      <c r="I1597" s="601"/>
      <c r="J1597" s="601"/>
      <c r="K1597" s="601"/>
      <c r="L1597" s="601"/>
      <c r="M1597" s="370"/>
      <c r="N1597" s="387"/>
      <c r="O1597" s="387"/>
      <c r="P1597" s="387"/>
      <c r="Q1597" s="261"/>
      <c r="R1597" s="449"/>
      <c r="S1597" s="367"/>
      <c r="T1597" s="276"/>
      <c r="U1597" s="276"/>
      <c r="V1597" s="276"/>
      <c r="W1597" s="276"/>
      <c r="X1597" s="276"/>
      <c r="Y1597" s="276"/>
      <c r="Z1597" s="276"/>
      <c r="AA1597" s="276"/>
      <c r="AB1597" s="276"/>
      <c r="AC1597" s="276"/>
    </row>
    <row r="1598">
      <c r="A1598" s="92">
        <v>46153.0</v>
      </c>
      <c r="B1598" s="107" t="s">
        <v>6126</v>
      </c>
      <c r="C1598" s="107">
        <v>8.06015100582E11</v>
      </c>
      <c r="D1598" s="107" t="s">
        <v>6127</v>
      </c>
      <c r="E1598" s="107" t="s">
        <v>6128</v>
      </c>
      <c r="F1598" s="107" t="s">
        <v>6129</v>
      </c>
      <c r="G1598" s="107" t="s">
        <v>6130</v>
      </c>
      <c r="H1598" s="107" t="s">
        <v>20</v>
      </c>
      <c r="I1598" s="107">
        <v>4452.0</v>
      </c>
      <c r="J1598" s="107">
        <v>3.875119725E9</v>
      </c>
      <c r="K1598" s="107" t="s">
        <v>6131</v>
      </c>
      <c r="L1598" s="107" t="s">
        <v>6132</v>
      </c>
      <c r="M1598" s="108">
        <v>1.0</v>
      </c>
      <c r="N1598" s="486">
        <v>46162.0</v>
      </c>
      <c r="O1598" s="487" t="s">
        <v>9011</v>
      </c>
      <c r="P1598" s="598"/>
      <c r="Q1598" s="487" t="s">
        <v>14184</v>
      </c>
      <c r="R1598" s="623" t="s">
        <v>14185</v>
      </c>
      <c r="S1598" s="367"/>
      <c r="T1598" s="276"/>
      <c r="U1598" s="276"/>
      <c r="V1598" s="276"/>
      <c r="W1598" s="276"/>
      <c r="X1598" s="276"/>
      <c r="Y1598" s="276"/>
      <c r="Z1598" s="276"/>
      <c r="AA1598" s="276"/>
      <c r="AB1598" s="276"/>
      <c r="AC1598" s="276"/>
    </row>
    <row r="1599">
      <c r="A1599" s="92">
        <v>46153.0</v>
      </c>
      <c r="B1599" s="107" t="s">
        <v>6126</v>
      </c>
      <c r="C1599" s="107">
        <v>8.06015100582E11</v>
      </c>
      <c r="D1599" s="107" t="s">
        <v>6127</v>
      </c>
      <c r="E1599" s="107" t="s">
        <v>6128</v>
      </c>
      <c r="F1599" s="107" t="s">
        <v>6129</v>
      </c>
      <c r="G1599" s="107" t="s">
        <v>6130</v>
      </c>
      <c r="H1599" s="107" t="s">
        <v>20</v>
      </c>
      <c r="I1599" s="107">
        <v>4452.0</v>
      </c>
      <c r="J1599" s="107">
        <v>3.875119725E9</v>
      </c>
      <c r="K1599" s="107" t="s">
        <v>512</v>
      </c>
      <c r="L1599" s="107" t="s">
        <v>513</v>
      </c>
      <c r="M1599" s="108">
        <v>12.0</v>
      </c>
      <c r="N1599" s="209"/>
      <c r="O1599" s="209"/>
      <c r="P1599" s="209"/>
      <c r="Q1599" s="209"/>
      <c r="R1599" s="209"/>
      <c r="S1599" s="367"/>
      <c r="T1599" s="276"/>
      <c r="U1599" s="276"/>
      <c r="V1599" s="276"/>
      <c r="W1599" s="276"/>
      <c r="X1599" s="276"/>
      <c r="Y1599" s="276"/>
      <c r="Z1599" s="276"/>
      <c r="AA1599" s="276"/>
      <c r="AB1599" s="276"/>
      <c r="AC1599" s="276"/>
    </row>
    <row r="1600">
      <c r="A1600" s="92">
        <v>46153.0</v>
      </c>
      <c r="B1600" s="107" t="s">
        <v>6126</v>
      </c>
      <c r="C1600" s="107">
        <v>8.06015100582E11</v>
      </c>
      <c r="D1600" s="107" t="s">
        <v>6127</v>
      </c>
      <c r="E1600" s="107" t="s">
        <v>6128</v>
      </c>
      <c r="F1600" s="107" t="s">
        <v>6129</v>
      </c>
      <c r="G1600" s="107" t="s">
        <v>6130</v>
      </c>
      <c r="H1600" s="107" t="s">
        <v>20</v>
      </c>
      <c r="I1600" s="107">
        <v>4452.0</v>
      </c>
      <c r="J1600" s="107">
        <v>3.875119725E9</v>
      </c>
      <c r="K1600" s="107" t="s">
        <v>645</v>
      </c>
      <c r="L1600" s="107" t="s">
        <v>3253</v>
      </c>
      <c r="M1600" s="108">
        <v>2.0</v>
      </c>
      <c r="N1600" s="206"/>
      <c r="O1600" s="206"/>
      <c r="P1600" s="206"/>
      <c r="Q1600" s="206"/>
      <c r="R1600" s="206"/>
      <c r="S1600" s="367"/>
      <c r="T1600" s="276"/>
      <c r="U1600" s="276"/>
      <c r="V1600" s="276"/>
      <c r="W1600" s="276"/>
      <c r="X1600" s="276"/>
      <c r="Y1600" s="276"/>
      <c r="Z1600" s="276"/>
      <c r="AA1600" s="276"/>
      <c r="AB1600" s="276"/>
      <c r="AC1600" s="276"/>
    </row>
    <row r="1601">
      <c r="A1601" s="92">
        <v>46153.0</v>
      </c>
      <c r="B1601" s="107" t="s">
        <v>6134</v>
      </c>
      <c r="C1601" s="107">
        <v>8.07839004913E11</v>
      </c>
      <c r="D1601" s="107" t="s">
        <v>6135</v>
      </c>
      <c r="E1601" s="107" t="s">
        <v>6136</v>
      </c>
      <c r="F1601" s="107" t="s">
        <v>6137</v>
      </c>
      <c r="G1601" s="107" t="s">
        <v>6138</v>
      </c>
      <c r="H1601" s="107" t="s">
        <v>20</v>
      </c>
      <c r="I1601" s="107">
        <v>4411.0</v>
      </c>
      <c r="J1601" s="107">
        <v>3.875297378E9</v>
      </c>
      <c r="K1601" s="107" t="s">
        <v>32</v>
      </c>
      <c r="L1601" s="107" t="s">
        <v>3225</v>
      </c>
      <c r="M1601" s="108">
        <v>1.0</v>
      </c>
      <c r="N1601" s="480">
        <v>46167.0</v>
      </c>
      <c r="O1601" s="402" t="s">
        <v>9011</v>
      </c>
      <c r="P1601" s="534"/>
      <c r="Q1601" s="430" t="s">
        <v>13339</v>
      </c>
      <c r="R1601" s="432" t="s">
        <v>14186</v>
      </c>
      <c r="S1601" s="367"/>
      <c r="T1601" s="276"/>
      <c r="U1601" s="276"/>
      <c r="V1601" s="276"/>
      <c r="W1601" s="276"/>
      <c r="X1601" s="276"/>
      <c r="Y1601" s="276"/>
      <c r="Z1601" s="276"/>
      <c r="AA1601" s="276"/>
      <c r="AB1601" s="276"/>
      <c r="AC1601" s="276"/>
    </row>
    <row r="1602">
      <c r="A1602" s="92">
        <v>46153.0</v>
      </c>
      <c r="B1602" s="107" t="s">
        <v>6134</v>
      </c>
      <c r="C1602" s="107">
        <v>8.07839004913E11</v>
      </c>
      <c r="D1602" s="107" t="s">
        <v>6135</v>
      </c>
      <c r="E1602" s="107" t="s">
        <v>6136</v>
      </c>
      <c r="F1602" s="107" t="s">
        <v>6137</v>
      </c>
      <c r="G1602" s="107" t="s">
        <v>6138</v>
      </c>
      <c r="H1602" s="107" t="s">
        <v>20</v>
      </c>
      <c r="I1602" s="107">
        <v>4411.0</v>
      </c>
      <c r="J1602" s="107">
        <v>3.875297378E9</v>
      </c>
      <c r="K1602" s="107" t="s">
        <v>512</v>
      </c>
      <c r="L1602" s="107" t="s">
        <v>513</v>
      </c>
      <c r="M1602" s="108">
        <v>6.0</v>
      </c>
      <c r="N1602" s="209"/>
      <c r="O1602" s="209"/>
      <c r="P1602" s="209"/>
      <c r="Q1602" s="209"/>
      <c r="R1602" s="209"/>
      <c r="S1602" s="367"/>
      <c r="T1602" s="276"/>
      <c r="U1602" s="276"/>
      <c r="V1602" s="276"/>
      <c r="W1602" s="276"/>
      <c r="X1602" s="276"/>
      <c r="Y1602" s="276"/>
      <c r="Z1602" s="276"/>
      <c r="AA1602" s="276"/>
      <c r="AB1602" s="276"/>
      <c r="AC1602" s="276"/>
    </row>
    <row r="1603">
      <c r="A1603" s="92">
        <v>46153.0</v>
      </c>
      <c r="B1603" s="107" t="s">
        <v>6134</v>
      </c>
      <c r="C1603" s="107">
        <v>8.07839004913E11</v>
      </c>
      <c r="D1603" s="107" t="s">
        <v>6135</v>
      </c>
      <c r="E1603" s="107" t="s">
        <v>6136</v>
      </c>
      <c r="F1603" s="107" t="s">
        <v>6137</v>
      </c>
      <c r="G1603" s="107" t="s">
        <v>6138</v>
      </c>
      <c r="H1603" s="107" t="s">
        <v>20</v>
      </c>
      <c r="I1603" s="107">
        <v>4411.0</v>
      </c>
      <c r="J1603" s="107">
        <v>3.875297378E9</v>
      </c>
      <c r="K1603" s="107" t="s">
        <v>670</v>
      </c>
      <c r="L1603" s="107" t="s">
        <v>3410</v>
      </c>
      <c r="M1603" s="108">
        <v>1.0</v>
      </c>
      <c r="N1603" s="206"/>
      <c r="O1603" s="206"/>
      <c r="P1603" s="206"/>
      <c r="Q1603" s="206"/>
      <c r="R1603" s="206"/>
      <c r="S1603" s="367"/>
      <c r="T1603" s="276"/>
      <c r="U1603" s="276"/>
      <c r="V1603" s="276"/>
      <c r="W1603" s="276"/>
      <c r="X1603" s="276"/>
      <c r="Y1603" s="276"/>
      <c r="Z1603" s="276"/>
      <c r="AA1603" s="276"/>
      <c r="AB1603" s="276"/>
      <c r="AC1603" s="276"/>
    </row>
    <row r="1604">
      <c r="A1604" s="92">
        <v>46153.0</v>
      </c>
      <c r="B1604" s="107" t="s">
        <v>6140</v>
      </c>
      <c r="C1604" s="107">
        <v>8.07839005094E11</v>
      </c>
      <c r="D1604" s="107" t="s">
        <v>6141</v>
      </c>
      <c r="E1604" s="107" t="s">
        <v>6142</v>
      </c>
      <c r="F1604" s="107" t="s">
        <v>6143</v>
      </c>
      <c r="G1604" s="107" t="s">
        <v>6144</v>
      </c>
      <c r="H1604" s="107" t="s">
        <v>20</v>
      </c>
      <c r="I1604" s="107">
        <v>4533.0</v>
      </c>
      <c r="J1604" s="107">
        <v>3.878406993E9</v>
      </c>
      <c r="K1604" s="107" t="s">
        <v>289</v>
      </c>
      <c r="L1604" s="107" t="s">
        <v>290</v>
      </c>
      <c r="M1604" s="108">
        <v>1.0</v>
      </c>
      <c r="N1604" s="481">
        <v>46157.0</v>
      </c>
      <c r="O1604" s="531" t="s">
        <v>9011</v>
      </c>
      <c r="P1604" s="387"/>
      <c r="Q1604" s="261" t="s">
        <v>13339</v>
      </c>
      <c r="R1604" s="434" t="s">
        <v>14187</v>
      </c>
      <c r="S1604" s="367"/>
      <c r="T1604" s="276"/>
      <c r="U1604" s="276"/>
      <c r="V1604" s="276"/>
      <c r="W1604" s="276"/>
      <c r="X1604" s="276"/>
      <c r="Y1604" s="276"/>
      <c r="Z1604" s="276"/>
      <c r="AA1604" s="276"/>
      <c r="AB1604" s="276"/>
      <c r="AC1604" s="276"/>
    </row>
    <row r="1605">
      <c r="A1605" s="92">
        <v>46153.0</v>
      </c>
      <c r="B1605" s="107" t="s">
        <v>6145</v>
      </c>
      <c r="C1605" s="107">
        <v>8.05011574605E11</v>
      </c>
      <c r="D1605" s="107" t="s">
        <v>6146</v>
      </c>
      <c r="E1605" s="107" t="s">
        <v>6147</v>
      </c>
      <c r="F1605" s="107" t="s">
        <v>6148</v>
      </c>
      <c r="G1605" s="107" t="s">
        <v>20</v>
      </c>
      <c r="H1605" s="107" t="s">
        <v>20</v>
      </c>
      <c r="I1605" s="107">
        <v>4400.0</v>
      </c>
      <c r="J1605" s="107">
        <v>3.876836977E9</v>
      </c>
      <c r="K1605" s="107" t="s">
        <v>5289</v>
      </c>
      <c r="L1605" s="107" t="s">
        <v>5290</v>
      </c>
      <c r="M1605" s="108">
        <v>1.0</v>
      </c>
      <c r="N1605" s="480">
        <v>46155.0</v>
      </c>
      <c r="O1605" s="402" t="s">
        <v>9011</v>
      </c>
      <c r="P1605" s="534"/>
      <c r="Q1605" s="430" t="s">
        <v>13339</v>
      </c>
      <c r="R1605" s="432" t="s">
        <v>14188</v>
      </c>
      <c r="S1605" s="367"/>
      <c r="T1605" s="276"/>
      <c r="U1605" s="276"/>
      <c r="V1605" s="276"/>
      <c r="W1605" s="276"/>
      <c r="X1605" s="276"/>
      <c r="Y1605" s="276"/>
      <c r="Z1605" s="276"/>
      <c r="AA1605" s="276"/>
      <c r="AB1605" s="276"/>
      <c r="AC1605" s="276"/>
    </row>
    <row r="1606">
      <c r="A1606" s="92">
        <v>46153.0</v>
      </c>
      <c r="B1606" s="107" t="s">
        <v>6145</v>
      </c>
      <c r="C1606" s="107">
        <v>8.05011574605E11</v>
      </c>
      <c r="D1606" s="107" t="s">
        <v>6146</v>
      </c>
      <c r="E1606" s="107" t="s">
        <v>6147</v>
      </c>
      <c r="F1606" s="107" t="s">
        <v>6148</v>
      </c>
      <c r="G1606" s="107" t="s">
        <v>20</v>
      </c>
      <c r="H1606" s="107" t="s">
        <v>20</v>
      </c>
      <c r="I1606" s="107">
        <v>4400.0</v>
      </c>
      <c r="J1606" s="107">
        <v>3.876836977E9</v>
      </c>
      <c r="K1606" s="107" t="s">
        <v>512</v>
      </c>
      <c r="L1606" s="107" t="s">
        <v>513</v>
      </c>
      <c r="M1606" s="108">
        <v>12.0</v>
      </c>
      <c r="N1606" s="209"/>
      <c r="O1606" s="209"/>
      <c r="P1606" s="209"/>
      <c r="Q1606" s="209"/>
      <c r="R1606" s="209"/>
      <c r="S1606" s="367"/>
      <c r="T1606" s="276"/>
      <c r="U1606" s="276"/>
      <c r="V1606" s="276"/>
      <c r="W1606" s="276"/>
      <c r="X1606" s="276"/>
      <c r="Y1606" s="276"/>
      <c r="Z1606" s="276"/>
      <c r="AA1606" s="276"/>
      <c r="AB1606" s="276"/>
      <c r="AC1606" s="276"/>
    </row>
    <row r="1607">
      <c r="A1607" s="92">
        <v>46153.0</v>
      </c>
      <c r="B1607" s="107" t="s">
        <v>6145</v>
      </c>
      <c r="C1607" s="107">
        <v>8.05011574605E11</v>
      </c>
      <c r="D1607" s="107" t="s">
        <v>6146</v>
      </c>
      <c r="E1607" s="107" t="s">
        <v>6147</v>
      </c>
      <c r="F1607" s="107" t="s">
        <v>6148</v>
      </c>
      <c r="G1607" s="107" t="s">
        <v>20</v>
      </c>
      <c r="H1607" s="107" t="s">
        <v>20</v>
      </c>
      <c r="I1607" s="107">
        <v>4400.0</v>
      </c>
      <c r="J1607" s="107">
        <v>3.876836977E9</v>
      </c>
      <c r="K1607" s="107" t="s">
        <v>645</v>
      </c>
      <c r="L1607" s="107" t="s">
        <v>3253</v>
      </c>
      <c r="M1607" s="108">
        <v>2.0</v>
      </c>
      <c r="N1607" s="206"/>
      <c r="O1607" s="206"/>
      <c r="P1607" s="206"/>
      <c r="Q1607" s="206"/>
      <c r="R1607" s="206"/>
      <c r="S1607" s="367"/>
      <c r="T1607" s="276"/>
      <c r="U1607" s="276"/>
      <c r="V1607" s="276"/>
      <c r="W1607" s="276"/>
      <c r="X1607" s="276"/>
      <c r="Y1607" s="276"/>
      <c r="Z1607" s="276"/>
      <c r="AA1607" s="276"/>
      <c r="AB1607" s="276"/>
      <c r="AC1607" s="276"/>
    </row>
    <row r="1608">
      <c r="A1608" s="92">
        <v>46153.0</v>
      </c>
      <c r="B1608" s="107" t="s">
        <v>6149</v>
      </c>
      <c r="C1608" s="107">
        <v>8.07025035883E11</v>
      </c>
      <c r="D1608" s="107" t="s">
        <v>6150</v>
      </c>
      <c r="E1608" s="107" t="s">
        <v>6151</v>
      </c>
      <c r="F1608" s="107" t="s">
        <v>6152</v>
      </c>
      <c r="G1608" s="107" t="s">
        <v>2907</v>
      </c>
      <c r="H1608" s="107" t="s">
        <v>20</v>
      </c>
      <c r="I1608" s="107">
        <v>4400.0</v>
      </c>
      <c r="J1608" s="107">
        <v>3.87442644E9</v>
      </c>
      <c r="K1608" s="107" t="s">
        <v>6153</v>
      </c>
      <c r="L1608" s="107" t="s">
        <v>6154</v>
      </c>
      <c r="M1608" s="108">
        <v>1.0</v>
      </c>
      <c r="N1608" s="480">
        <v>46155.0</v>
      </c>
      <c r="O1608" s="402" t="s">
        <v>9011</v>
      </c>
      <c r="P1608" s="534"/>
      <c r="Q1608" s="430" t="s">
        <v>14189</v>
      </c>
      <c r="R1608" s="432" t="s">
        <v>14190</v>
      </c>
      <c r="S1608" s="367"/>
      <c r="T1608" s="276"/>
      <c r="U1608" s="276"/>
      <c r="V1608" s="276"/>
      <c r="W1608" s="276"/>
      <c r="X1608" s="276"/>
      <c r="Y1608" s="276"/>
      <c r="Z1608" s="276"/>
      <c r="AA1608" s="276"/>
      <c r="AB1608" s="276"/>
      <c r="AC1608" s="276"/>
    </row>
    <row r="1609">
      <c r="A1609" s="92">
        <v>46153.0</v>
      </c>
      <c r="B1609" s="107" t="s">
        <v>6149</v>
      </c>
      <c r="C1609" s="107">
        <v>8.07025035883E11</v>
      </c>
      <c r="D1609" s="107" t="s">
        <v>6150</v>
      </c>
      <c r="E1609" s="107" t="s">
        <v>6151</v>
      </c>
      <c r="F1609" s="107" t="s">
        <v>6152</v>
      </c>
      <c r="G1609" s="107" t="s">
        <v>2907</v>
      </c>
      <c r="H1609" s="107" t="s">
        <v>20</v>
      </c>
      <c r="I1609" s="107">
        <v>4400.0</v>
      </c>
      <c r="J1609" s="107">
        <v>3.87442644E9</v>
      </c>
      <c r="K1609" s="107" t="s">
        <v>512</v>
      </c>
      <c r="L1609" s="107" t="s">
        <v>513</v>
      </c>
      <c r="M1609" s="108">
        <v>6.0</v>
      </c>
      <c r="N1609" s="209"/>
      <c r="O1609" s="209"/>
      <c r="P1609" s="209"/>
      <c r="Q1609" s="209"/>
      <c r="R1609" s="209"/>
      <c r="S1609" s="367"/>
      <c r="T1609" s="276"/>
      <c r="U1609" s="276"/>
      <c r="V1609" s="276"/>
      <c r="W1609" s="276"/>
      <c r="X1609" s="276"/>
      <c r="Y1609" s="276"/>
      <c r="Z1609" s="276"/>
      <c r="AA1609" s="276"/>
      <c r="AB1609" s="276"/>
      <c r="AC1609" s="276"/>
    </row>
    <row r="1610">
      <c r="A1610" s="92">
        <v>46153.0</v>
      </c>
      <c r="B1610" s="107" t="s">
        <v>6149</v>
      </c>
      <c r="C1610" s="107">
        <v>8.07025035883E11</v>
      </c>
      <c r="D1610" s="107" t="s">
        <v>6150</v>
      </c>
      <c r="E1610" s="107" t="s">
        <v>6151</v>
      </c>
      <c r="F1610" s="107" t="s">
        <v>6152</v>
      </c>
      <c r="G1610" s="107" t="s">
        <v>2907</v>
      </c>
      <c r="H1610" s="107" t="s">
        <v>20</v>
      </c>
      <c r="I1610" s="107">
        <v>4400.0</v>
      </c>
      <c r="J1610" s="107">
        <v>3.87442644E9</v>
      </c>
      <c r="K1610" s="107" t="s">
        <v>2031</v>
      </c>
      <c r="L1610" s="107" t="s">
        <v>3348</v>
      </c>
      <c r="M1610" s="108">
        <v>1.0</v>
      </c>
      <c r="N1610" s="206"/>
      <c r="O1610" s="206"/>
      <c r="P1610" s="206"/>
      <c r="Q1610" s="206"/>
      <c r="R1610" s="206"/>
      <c r="S1610" s="367"/>
      <c r="T1610" s="276"/>
      <c r="U1610" s="276"/>
      <c r="V1610" s="276"/>
      <c r="W1610" s="276"/>
      <c r="X1610" s="276"/>
      <c r="Y1610" s="276"/>
      <c r="Z1610" s="276"/>
      <c r="AA1610" s="276"/>
      <c r="AB1610" s="276"/>
      <c r="AC1610" s="276"/>
    </row>
    <row r="1611">
      <c r="A1611" s="568">
        <v>46153.0</v>
      </c>
      <c r="B1611" s="569" t="s">
        <v>6155</v>
      </c>
      <c r="C1611" s="569">
        <v>8.07839005248E11</v>
      </c>
      <c r="D1611" s="569" t="s">
        <v>6156</v>
      </c>
      <c r="E1611" s="569" t="s">
        <v>6157</v>
      </c>
      <c r="F1611" s="569" t="s">
        <v>6158</v>
      </c>
      <c r="G1611" s="569" t="s">
        <v>5576</v>
      </c>
      <c r="H1611" s="569" t="s">
        <v>20</v>
      </c>
      <c r="I1611" s="569">
        <v>4561.0</v>
      </c>
      <c r="J1611" s="569">
        <v>3.873219909E9</v>
      </c>
      <c r="K1611" s="569" t="s">
        <v>289</v>
      </c>
      <c r="L1611" s="569" t="s">
        <v>290</v>
      </c>
      <c r="M1611" s="108">
        <v>1.0</v>
      </c>
      <c r="N1611" s="387"/>
      <c r="O1611" s="531" t="s">
        <v>6159</v>
      </c>
      <c r="P1611" s="387"/>
      <c r="Q1611" s="261" t="s">
        <v>14191</v>
      </c>
      <c r="R1611" s="434" t="s">
        <v>14192</v>
      </c>
      <c r="S1611" s="367"/>
      <c r="T1611" s="276"/>
      <c r="U1611" s="276"/>
      <c r="V1611" s="276"/>
      <c r="W1611" s="276"/>
      <c r="X1611" s="276"/>
      <c r="Y1611" s="276"/>
      <c r="Z1611" s="276"/>
      <c r="AA1611" s="276"/>
      <c r="AB1611" s="276"/>
      <c r="AC1611" s="276"/>
    </row>
    <row r="1612">
      <c r="A1612" s="92">
        <v>46153.0</v>
      </c>
      <c r="B1612" s="107" t="s">
        <v>6160</v>
      </c>
      <c r="C1612" s="107">
        <v>8.07839005264E11</v>
      </c>
      <c r="D1612" s="107" t="s">
        <v>6161</v>
      </c>
      <c r="E1612" s="107" t="s">
        <v>6162</v>
      </c>
      <c r="F1612" s="107" t="s">
        <v>6163</v>
      </c>
      <c r="G1612" s="107" t="s">
        <v>6164</v>
      </c>
      <c r="H1612" s="107" t="s">
        <v>20</v>
      </c>
      <c r="I1612" s="107">
        <v>4554.0</v>
      </c>
      <c r="J1612" s="107">
        <v>3.878823562E9</v>
      </c>
      <c r="K1612" s="107" t="s">
        <v>32</v>
      </c>
      <c r="L1612" s="107" t="s">
        <v>3225</v>
      </c>
      <c r="M1612" s="108">
        <v>1.0</v>
      </c>
      <c r="N1612" s="480">
        <v>46165.0</v>
      </c>
      <c r="O1612" s="402" t="s">
        <v>9011</v>
      </c>
      <c r="P1612" s="534"/>
      <c r="Q1612" s="430" t="s">
        <v>13339</v>
      </c>
      <c r="R1612" s="432" t="s">
        <v>14193</v>
      </c>
      <c r="S1612" s="367"/>
      <c r="T1612" s="276"/>
      <c r="U1612" s="276"/>
      <c r="V1612" s="276"/>
      <c r="W1612" s="276"/>
      <c r="X1612" s="276"/>
      <c r="Y1612" s="276"/>
      <c r="Z1612" s="276"/>
      <c r="AA1612" s="276"/>
      <c r="AB1612" s="276"/>
      <c r="AC1612" s="276"/>
    </row>
    <row r="1613">
      <c r="A1613" s="92">
        <v>46153.0</v>
      </c>
      <c r="B1613" s="107" t="s">
        <v>6160</v>
      </c>
      <c r="C1613" s="107">
        <v>8.07839005264E11</v>
      </c>
      <c r="D1613" s="107" t="s">
        <v>6161</v>
      </c>
      <c r="E1613" s="107" t="s">
        <v>6162</v>
      </c>
      <c r="F1613" s="107" t="s">
        <v>6163</v>
      </c>
      <c r="G1613" s="107" t="s">
        <v>6164</v>
      </c>
      <c r="H1613" s="107" t="s">
        <v>20</v>
      </c>
      <c r="I1613" s="107">
        <v>4554.0</v>
      </c>
      <c r="J1613" s="107">
        <v>3.878823562E9</v>
      </c>
      <c r="K1613" s="107" t="s">
        <v>512</v>
      </c>
      <c r="L1613" s="107" t="s">
        <v>513</v>
      </c>
      <c r="M1613" s="108">
        <v>6.0</v>
      </c>
      <c r="N1613" s="209"/>
      <c r="O1613" s="209"/>
      <c r="P1613" s="209"/>
      <c r="Q1613" s="209"/>
      <c r="R1613" s="209"/>
      <c r="S1613" s="367"/>
      <c r="T1613" s="276"/>
      <c r="U1613" s="276"/>
      <c r="V1613" s="276"/>
      <c r="W1613" s="276"/>
      <c r="X1613" s="276"/>
      <c r="Y1613" s="276"/>
      <c r="Z1613" s="276"/>
      <c r="AA1613" s="276"/>
      <c r="AB1613" s="276"/>
      <c r="AC1613" s="276"/>
    </row>
    <row r="1614">
      <c r="A1614" s="92">
        <v>46153.0</v>
      </c>
      <c r="B1614" s="107" t="s">
        <v>6160</v>
      </c>
      <c r="C1614" s="107">
        <v>8.07839005264E11</v>
      </c>
      <c r="D1614" s="107" t="s">
        <v>6161</v>
      </c>
      <c r="E1614" s="107" t="s">
        <v>6162</v>
      </c>
      <c r="F1614" s="107" t="s">
        <v>6163</v>
      </c>
      <c r="G1614" s="107" t="s">
        <v>6164</v>
      </c>
      <c r="H1614" s="107" t="s">
        <v>20</v>
      </c>
      <c r="I1614" s="107">
        <v>4554.0</v>
      </c>
      <c r="J1614" s="107">
        <v>3.878823562E9</v>
      </c>
      <c r="K1614" s="107" t="s">
        <v>670</v>
      </c>
      <c r="L1614" s="107" t="s">
        <v>3410</v>
      </c>
      <c r="M1614" s="108">
        <v>1.0</v>
      </c>
      <c r="N1614" s="206"/>
      <c r="O1614" s="206"/>
      <c r="P1614" s="206"/>
      <c r="Q1614" s="206"/>
      <c r="R1614" s="206"/>
      <c r="S1614" s="367"/>
      <c r="T1614" s="276"/>
      <c r="U1614" s="276"/>
      <c r="V1614" s="276"/>
      <c r="W1614" s="276"/>
      <c r="X1614" s="276"/>
      <c r="Y1614" s="276"/>
      <c r="Z1614" s="276"/>
      <c r="AA1614" s="276"/>
      <c r="AB1614" s="276"/>
      <c r="AC1614" s="276"/>
    </row>
    <row r="1615">
      <c r="A1615" s="92">
        <v>46153.0</v>
      </c>
      <c r="B1615" s="107" t="s">
        <v>6165</v>
      </c>
      <c r="C1615" s="107">
        <v>8.05011574675E11</v>
      </c>
      <c r="D1615" s="107" t="s">
        <v>6166</v>
      </c>
      <c r="E1615" s="107" t="s">
        <v>6167</v>
      </c>
      <c r="F1615" s="406" t="s">
        <v>6168</v>
      </c>
      <c r="G1615" s="107" t="s">
        <v>5534</v>
      </c>
      <c r="H1615" s="107" t="s">
        <v>20</v>
      </c>
      <c r="I1615" s="107">
        <v>4440.0</v>
      </c>
      <c r="J1615" s="107">
        <v>3.876415203E9</v>
      </c>
      <c r="K1615" s="107" t="s">
        <v>32</v>
      </c>
      <c r="L1615" s="107" t="s">
        <v>3225</v>
      </c>
      <c r="M1615" s="108">
        <v>1.0</v>
      </c>
      <c r="N1615" s="481">
        <v>46160.0</v>
      </c>
      <c r="O1615" s="531" t="s">
        <v>9011</v>
      </c>
      <c r="P1615" s="387"/>
      <c r="Q1615" s="261" t="s">
        <v>14194</v>
      </c>
      <c r="R1615" s="434" t="s">
        <v>14195</v>
      </c>
      <c r="S1615" s="367"/>
      <c r="T1615" s="276"/>
      <c r="U1615" s="276"/>
      <c r="V1615" s="276"/>
      <c r="W1615" s="276"/>
      <c r="X1615" s="276"/>
      <c r="Y1615" s="276"/>
      <c r="Z1615" s="276"/>
      <c r="AA1615" s="276"/>
      <c r="AB1615" s="276"/>
      <c r="AC1615" s="276"/>
    </row>
    <row r="1616">
      <c r="A1616" s="92">
        <v>46153.0</v>
      </c>
      <c r="B1616" s="107" t="s">
        <v>6169</v>
      </c>
      <c r="C1616" s="107">
        <v>8.05011574662E11</v>
      </c>
      <c r="D1616" s="107" t="s">
        <v>6170</v>
      </c>
      <c r="E1616" s="107" t="s">
        <v>6171</v>
      </c>
      <c r="F1616" s="107" t="s">
        <v>6172</v>
      </c>
      <c r="G1616" s="107" t="s">
        <v>58</v>
      </c>
      <c r="H1616" s="107" t="s">
        <v>20</v>
      </c>
      <c r="I1616" s="107">
        <v>4400.0</v>
      </c>
      <c r="J1616" s="107">
        <v>3.876051181E9</v>
      </c>
      <c r="K1616" s="107" t="s">
        <v>50</v>
      </c>
      <c r="L1616" s="107" t="s">
        <v>51</v>
      </c>
      <c r="M1616" s="108">
        <v>1.0</v>
      </c>
      <c r="N1616" s="480">
        <v>46156.0</v>
      </c>
      <c r="O1616" s="402" t="s">
        <v>9011</v>
      </c>
      <c r="P1616" s="534"/>
      <c r="Q1616" s="430" t="s">
        <v>14196</v>
      </c>
      <c r="R1616" s="432" t="s">
        <v>14197</v>
      </c>
      <c r="S1616" s="367"/>
      <c r="T1616" s="276"/>
      <c r="U1616" s="276"/>
      <c r="V1616" s="276"/>
      <c r="W1616" s="276"/>
      <c r="X1616" s="276"/>
      <c r="Y1616" s="276"/>
      <c r="Z1616" s="276"/>
      <c r="AA1616" s="276"/>
      <c r="AB1616" s="276"/>
      <c r="AC1616" s="276"/>
    </row>
    <row r="1617">
      <c r="A1617" s="92">
        <v>46153.0</v>
      </c>
      <c r="B1617" s="107" t="s">
        <v>6169</v>
      </c>
      <c r="C1617" s="107">
        <v>8.05011574662E11</v>
      </c>
      <c r="D1617" s="107" t="s">
        <v>6170</v>
      </c>
      <c r="E1617" s="107" t="s">
        <v>6171</v>
      </c>
      <c r="F1617" s="107" t="s">
        <v>6172</v>
      </c>
      <c r="G1617" s="107" t="s">
        <v>58</v>
      </c>
      <c r="H1617" s="107" t="s">
        <v>20</v>
      </c>
      <c r="I1617" s="107">
        <v>4400.0</v>
      </c>
      <c r="J1617" s="107">
        <v>3.876051181E9</v>
      </c>
      <c r="K1617" s="107" t="s">
        <v>512</v>
      </c>
      <c r="L1617" s="107" t="s">
        <v>513</v>
      </c>
      <c r="M1617" s="108">
        <v>6.0</v>
      </c>
      <c r="N1617" s="209"/>
      <c r="O1617" s="209"/>
      <c r="P1617" s="209"/>
      <c r="Q1617" s="209"/>
      <c r="R1617" s="209"/>
      <c r="S1617" s="367"/>
      <c r="T1617" s="276"/>
      <c r="U1617" s="276"/>
      <c r="V1617" s="276"/>
      <c r="W1617" s="276"/>
      <c r="X1617" s="276"/>
      <c r="Y1617" s="276"/>
      <c r="Z1617" s="276"/>
      <c r="AA1617" s="276"/>
      <c r="AB1617" s="276"/>
      <c r="AC1617" s="276"/>
    </row>
    <row r="1618">
      <c r="A1618" s="92">
        <v>46153.0</v>
      </c>
      <c r="B1618" s="107" t="s">
        <v>6169</v>
      </c>
      <c r="C1618" s="107">
        <v>8.05011574662E11</v>
      </c>
      <c r="D1618" s="107" t="s">
        <v>6170</v>
      </c>
      <c r="E1618" s="107" t="s">
        <v>6171</v>
      </c>
      <c r="F1618" s="107" t="s">
        <v>6172</v>
      </c>
      <c r="G1618" s="107" t="s">
        <v>58</v>
      </c>
      <c r="H1618" s="107" t="s">
        <v>20</v>
      </c>
      <c r="I1618" s="107">
        <v>4400.0</v>
      </c>
      <c r="J1618" s="107">
        <v>3.876051181E9</v>
      </c>
      <c r="K1618" s="107" t="s">
        <v>25</v>
      </c>
      <c r="L1618" s="107" t="s">
        <v>3401</v>
      </c>
      <c r="M1618" s="108">
        <v>1.0</v>
      </c>
      <c r="N1618" s="206"/>
      <c r="O1618" s="206"/>
      <c r="P1618" s="206"/>
      <c r="Q1618" s="206"/>
      <c r="R1618" s="206"/>
      <c r="S1618" s="367"/>
      <c r="T1618" s="276"/>
      <c r="U1618" s="276"/>
      <c r="V1618" s="276"/>
      <c r="W1618" s="276"/>
      <c r="X1618" s="276"/>
      <c r="Y1618" s="276"/>
      <c r="Z1618" s="276"/>
      <c r="AA1618" s="276"/>
      <c r="AB1618" s="276"/>
      <c r="AC1618" s="276"/>
    </row>
    <row r="1619">
      <c r="A1619" s="92">
        <v>46153.0</v>
      </c>
      <c r="B1619" s="107" t="s">
        <v>6173</v>
      </c>
      <c r="C1619" s="107">
        <v>8.07839004908E11</v>
      </c>
      <c r="D1619" s="107" t="s">
        <v>6174</v>
      </c>
      <c r="E1619" s="107" t="s">
        <v>6175</v>
      </c>
      <c r="F1619" s="107" t="s">
        <v>6176</v>
      </c>
      <c r="G1619" s="107" t="s">
        <v>20</v>
      </c>
      <c r="H1619" s="107" t="s">
        <v>20</v>
      </c>
      <c r="I1619" s="107">
        <v>4400.0</v>
      </c>
      <c r="J1619" s="107">
        <v>3.876556784E9</v>
      </c>
      <c r="K1619" s="107" t="s">
        <v>98</v>
      </c>
      <c r="L1619" s="107" t="s">
        <v>3187</v>
      </c>
      <c r="M1619" s="108">
        <v>1.0</v>
      </c>
      <c r="N1619" s="480">
        <v>46155.0</v>
      </c>
      <c r="O1619" s="402" t="s">
        <v>9011</v>
      </c>
      <c r="P1619" s="534"/>
      <c r="Q1619" s="430" t="s">
        <v>14198</v>
      </c>
      <c r="R1619" s="432" t="s">
        <v>14199</v>
      </c>
      <c r="S1619" s="367"/>
      <c r="T1619" s="276"/>
      <c r="U1619" s="276"/>
      <c r="V1619" s="276"/>
      <c r="W1619" s="276"/>
      <c r="X1619" s="276"/>
      <c r="Y1619" s="276"/>
      <c r="Z1619" s="276"/>
      <c r="AA1619" s="276"/>
      <c r="AB1619" s="276"/>
      <c r="AC1619" s="276"/>
    </row>
    <row r="1620">
      <c r="A1620" s="92">
        <v>46153.0</v>
      </c>
      <c r="B1620" s="107" t="s">
        <v>6173</v>
      </c>
      <c r="C1620" s="107">
        <v>8.07839004908E11</v>
      </c>
      <c r="D1620" s="107" t="s">
        <v>6174</v>
      </c>
      <c r="E1620" s="107" t="s">
        <v>6175</v>
      </c>
      <c r="F1620" s="107" t="s">
        <v>6176</v>
      </c>
      <c r="G1620" s="107" t="s">
        <v>20</v>
      </c>
      <c r="H1620" s="107" t="s">
        <v>20</v>
      </c>
      <c r="I1620" s="107">
        <v>4400.0</v>
      </c>
      <c r="J1620" s="107">
        <v>3.876556784E9</v>
      </c>
      <c r="K1620" s="107" t="s">
        <v>512</v>
      </c>
      <c r="L1620" s="107" t="s">
        <v>513</v>
      </c>
      <c r="M1620" s="108">
        <v>6.0</v>
      </c>
      <c r="N1620" s="209"/>
      <c r="O1620" s="209"/>
      <c r="P1620" s="209"/>
      <c r="Q1620" s="209"/>
      <c r="R1620" s="209"/>
      <c r="S1620" s="367"/>
      <c r="T1620" s="276"/>
      <c r="U1620" s="276"/>
      <c r="V1620" s="276"/>
      <c r="W1620" s="276"/>
      <c r="X1620" s="276"/>
      <c r="Y1620" s="276"/>
      <c r="Z1620" s="276"/>
      <c r="AA1620" s="276"/>
      <c r="AB1620" s="276"/>
      <c r="AC1620" s="276"/>
    </row>
    <row r="1621">
      <c r="A1621" s="92">
        <v>46153.0</v>
      </c>
      <c r="B1621" s="107" t="s">
        <v>6173</v>
      </c>
      <c r="C1621" s="107">
        <v>8.07839004908E11</v>
      </c>
      <c r="D1621" s="107" t="s">
        <v>6174</v>
      </c>
      <c r="E1621" s="107" t="s">
        <v>6175</v>
      </c>
      <c r="F1621" s="107" t="s">
        <v>6176</v>
      </c>
      <c r="G1621" s="107" t="s">
        <v>20</v>
      </c>
      <c r="H1621" s="107" t="s">
        <v>20</v>
      </c>
      <c r="I1621" s="107">
        <v>4400.0</v>
      </c>
      <c r="J1621" s="107">
        <v>3.876556784E9</v>
      </c>
      <c r="K1621" s="107" t="s">
        <v>670</v>
      </c>
      <c r="L1621" s="107" t="s">
        <v>3410</v>
      </c>
      <c r="M1621" s="108">
        <v>1.0</v>
      </c>
      <c r="N1621" s="206"/>
      <c r="O1621" s="206"/>
      <c r="P1621" s="206"/>
      <c r="Q1621" s="206"/>
      <c r="R1621" s="206"/>
      <c r="S1621" s="367"/>
      <c r="T1621" s="276"/>
      <c r="U1621" s="276"/>
      <c r="V1621" s="276"/>
      <c r="W1621" s="276"/>
      <c r="X1621" s="276"/>
      <c r="Y1621" s="276"/>
      <c r="Z1621" s="276"/>
      <c r="AA1621" s="276"/>
      <c r="AB1621" s="276"/>
      <c r="AC1621" s="276"/>
    </row>
    <row r="1622">
      <c r="A1622" s="600"/>
      <c r="B1622" s="601"/>
      <c r="C1622" s="601"/>
      <c r="D1622" s="601"/>
      <c r="E1622" s="601"/>
      <c r="F1622" s="601"/>
      <c r="G1622" s="601"/>
      <c r="H1622" s="601"/>
      <c r="I1622" s="601"/>
      <c r="J1622" s="601"/>
      <c r="K1622" s="601"/>
      <c r="L1622" s="601"/>
      <c r="M1622" s="108"/>
      <c r="N1622" s="387"/>
      <c r="O1622" s="387"/>
      <c r="P1622" s="387"/>
      <c r="Q1622" s="261"/>
      <c r="R1622" s="449"/>
      <c r="S1622" s="367"/>
      <c r="T1622" s="276"/>
      <c r="U1622" s="276"/>
      <c r="V1622" s="276"/>
      <c r="W1622" s="276"/>
      <c r="X1622" s="276"/>
      <c r="Y1622" s="276"/>
      <c r="Z1622" s="276"/>
      <c r="AA1622" s="276"/>
      <c r="AB1622" s="276"/>
      <c r="AC1622" s="276"/>
    </row>
    <row r="1623">
      <c r="A1623" s="624" t="s">
        <v>12688</v>
      </c>
      <c r="B1623" s="625">
        <v>46149.0</v>
      </c>
      <c r="C1623" s="626">
        <v>8.07000035862E11</v>
      </c>
      <c r="D1623" s="626" t="s">
        <v>12689</v>
      </c>
      <c r="E1623" s="626" t="s">
        <v>12690</v>
      </c>
      <c r="F1623" s="627" t="s">
        <v>12691</v>
      </c>
      <c r="G1623" s="627" t="s">
        <v>127</v>
      </c>
      <c r="H1623" s="627">
        <v>4126.0</v>
      </c>
      <c r="I1623" s="628" t="s">
        <v>12013</v>
      </c>
      <c r="J1623" s="626" t="s">
        <v>12014</v>
      </c>
      <c r="K1623" s="627">
        <v>1.0</v>
      </c>
      <c r="L1623" s="629">
        <v>3.816403644E9</v>
      </c>
      <c r="M1623" s="387"/>
      <c r="N1623" s="486">
        <v>46162.0</v>
      </c>
      <c r="O1623" s="487" t="s">
        <v>9011</v>
      </c>
      <c r="P1623" s="598"/>
      <c r="Q1623" s="487" t="s">
        <v>14200</v>
      </c>
      <c r="R1623" s="623" t="s">
        <v>14201</v>
      </c>
      <c r="S1623" s="367"/>
      <c r="T1623" s="276"/>
      <c r="U1623" s="276"/>
      <c r="V1623" s="276"/>
      <c r="W1623" s="276"/>
      <c r="X1623" s="276"/>
      <c r="Y1623" s="276"/>
      <c r="Z1623" s="276"/>
      <c r="AA1623" s="276"/>
      <c r="AB1623" s="276"/>
      <c r="AC1623" s="276"/>
    </row>
    <row r="1624">
      <c r="A1624" s="624" t="s">
        <v>12688</v>
      </c>
      <c r="B1624" s="625">
        <v>46149.0</v>
      </c>
      <c r="C1624" s="626">
        <v>8.07000035863E11</v>
      </c>
      <c r="D1624" s="626" t="s">
        <v>12689</v>
      </c>
      <c r="E1624" s="626" t="s">
        <v>12690</v>
      </c>
      <c r="F1624" s="627" t="s">
        <v>12691</v>
      </c>
      <c r="G1624" s="627" t="s">
        <v>127</v>
      </c>
      <c r="H1624" s="627">
        <v>4126.0</v>
      </c>
      <c r="I1624" s="628">
        <v>125823.0</v>
      </c>
      <c r="J1624" s="626" t="s">
        <v>11232</v>
      </c>
      <c r="K1624" s="627">
        <v>1.0</v>
      </c>
      <c r="L1624" s="629">
        <v>3.816403644E9</v>
      </c>
      <c r="M1624" s="387"/>
      <c r="N1624" s="209"/>
      <c r="O1624" s="209"/>
      <c r="P1624" s="209"/>
      <c r="Q1624" s="209"/>
      <c r="R1624" s="209"/>
      <c r="S1624" s="367"/>
      <c r="T1624" s="276"/>
      <c r="U1624" s="276"/>
      <c r="V1624" s="276"/>
      <c r="W1624" s="276"/>
      <c r="X1624" s="276"/>
      <c r="Y1624" s="276"/>
      <c r="Z1624" s="276"/>
      <c r="AA1624" s="276"/>
      <c r="AB1624" s="276"/>
      <c r="AC1624" s="276"/>
    </row>
    <row r="1625">
      <c r="A1625" s="624" t="s">
        <v>12688</v>
      </c>
      <c r="B1625" s="625">
        <v>46149.0</v>
      </c>
      <c r="C1625" s="626">
        <v>8.07000035864E11</v>
      </c>
      <c r="D1625" s="626" t="s">
        <v>12689</v>
      </c>
      <c r="E1625" s="626" t="s">
        <v>12690</v>
      </c>
      <c r="F1625" s="627" t="s">
        <v>12691</v>
      </c>
      <c r="G1625" s="627" t="s">
        <v>127</v>
      </c>
      <c r="H1625" s="627">
        <v>4126.0</v>
      </c>
      <c r="I1625" s="628" t="s">
        <v>512</v>
      </c>
      <c r="J1625" s="626" t="s">
        <v>513</v>
      </c>
      <c r="K1625" s="627">
        <v>6.0</v>
      </c>
      <c r="L1625" s="629">
        <v>3.816403644E9</v>
      </c>
      <c r="M1625" s="387"/>
      <c r="N1625" s="209"/>
      <c r="O1625" s="209"/>
      <c r="P1625" s="209"/>
      <c r="Q1625" s="209"/>
      <c r="R1625" s="209"/>
      <c r="S1625" s="367"/>
      <c r="T1625" s="276"/>
      <c r="U1625" s="276"/>
      <c r="V1625" s="276"/>
      <c r="W1625" s="276"/>
      <c r="X1625" s="276"/>
      <c r="Y1625" s="276"/>
      <c r="Z1625" s="276"/>
      <c r="AA1625" s="276"/>
      <c r="AB1625" s="276"/>
      <c r="AC1625" s="276"/>
    </row>
    <row r="1626">
      <c r="A1626" s="624" t="s">
        <v>12688</v>
      </c>
      <c r="B1626" s="625">
        <v>46149.0</v>
      </c>
      <c r="C1626" s="626">
        <v>8.07000035865E11</v>
      </c>
      <c r="D1626" s="626" t="s">
        <v>12689</v>
      </c>
      <c r="E1626" s="626" t="s">
        <v>12690</v>
      </c>
      <c r="F1626" s="627" t="s">
        <v>12691</v>
      </c>
      <c r="G1626" s="627" t="s">
        <v>127</v>
      </c>
      <c r="H1626" s="627">
        <v>4126.0</v>
      </c>
      <c r="I1626" s="628" t="s">
        <v>4220</v>
      </c>
      <c r="J1626" s="626" t="s">
        <v>4221</v>
      </c>
      <c r="K1626" s="627">
        <v>1.0</v>
      </c>
      <c r="L1626" s="629">
        <v>3.816403644E9</v>
      </c>
      <c r="M1626" s="387"/>
      <c r="N1626" s="209"/>
      <c r="O1626" s="209"/>
      <c r="P1626" s="209"/>
      <c r="Q1626" s="209"/>
      <c r="R1626" s="209"/>
      <c r="S1626" s="367"/>
      <c r="T1626" s="276"/>
      <c r="U1626" s="276"/>
      <c r="V1626" s="276"/>
      <c r="W1626" s="276"/>
      <c r="X1626" s="276"/>
      <c r="Y1626" s="276"/>
      <c r="Z1626" s="276"/>
      <c r="AA1626" s="276"/>
      <c r="AB1626" s="276"/>
      <c r="AC1626" s="276"/>
    </row>
    <row r="1627">
      <c r="A1627" s="624" t="s">
        <v>12688</v>
      </c>
      <c r="B1627" s="625">
        <v>46149.0</v>
      </c>
      <c r="C1627" s="626">
        <v>8.07000035865E11</v>
      </c>
      <c r="D1627" s="626" t="s">
        <v>12689</v>
      </c>
      <c r="E1627" s="626" t="s">
        <v>12690</v>
      </c>
      <c r="F1627" s="627" t="s">
        <v>12691</v>
      </c>
      <c r="G1627" s="627" t="s">
        <v>127</v>
      </c>
      <c r="H1627" s="627">
        <v>4126.0</v>
      </c>
      <c r="I1627" s="628" t="s">
        <v>969</v>
      </c>
      <c r="J1627" s="626" t="s">
        <v>3296</v>
      </c>
      <c r="K1627" s="627">
        <v>1.0</v>
      </c>
      <c r="L1627" s="629">
        <v>3.816403644E9</v>
      </c>
      <c r="M1627" s="387"/>
      <c r="N1627" s="206"/>
      <c r="O1627" s="206"/>
      <c r="P1627" s="206"/>
      <c r="Q1627" s="206"/>
      <c r="R1627" s="206"/>
      <c r="S1627" s="367"/>
      <c r="T1627" s="276"/>
      <c r="U1627" s="276"/>
      <c r="V1627" s="276"/>
      <c r="W1627" s="276"/>
      <c r="X1627" s="276"/>
      <c r="Y1627" s="276"/>
      <c r="Z1627" s="276"/>
      <c r="AA1627" s="276"/>
      <c r="AB1627" s="276"/>
      <c r="AC1627" s="276"/>
    </row>
    <row r="1628">
      <c r="A1628" s="624" t="s">
        <v>12692</v>
      </c>
      <c r="B1628" s="625">
        <v>46149.0</v>
      </c>
      <c r="C1628" s="626">
        <v>8.07000035915E11</v>
      </c>
      <c r="D1628" s="626" t="s">
        <v>12693</v>
      </c>
      <c r="E1628" s="626" t="s">
        <v>12694</v>
      </c>
      <c r="F1628" s="627" t="s">
        <v>12695</v>
      </c>
      <c r="G1628" s="627" t="s">
        <v>4496</v>
      </c>
      <c r="H1628" s="627">
        <v>4401.0</v>
      </c>
      <c r="I1628" s="628" t="s">
        <v>1379</v>
      </c>
      <c r="J1628" s="626" t="s">
        <v>7653</v>
      </c>
      <c r="K1628" s="627">
        <v>1.0</v>
      </c>
      <c r="L1628" s="629">
        <v>3.874830114E9</v>
      </c>
      <c r="M1628" s="387"/>
      <c r="N1628" s="480">
        <v>46150.0</v>
      </c>
      <c r="O1628" s="402" t="s">
        <v>9011</v>
      </c>
      <c r="P1628" s="534"/>
      <c r="Q1628" s="430" t="s">
        <v>14202</v>
      </c>
      <c r="R1628" s="432" t="s">
        <v>14203</v>
      </c>
      <c r="S1628" s="431"/>
      <c r="T1628" s="276"/>
      <c r="U1628" s="276"/>
      <c r="V1628" s="276"/>
      <c r="W1628" s="276"/>
      <c r="X1628" s="276"/>
      <c r="Y1628" s="276"/>
      <c r="Z1628" s="276"/>
      <c r="AA1628" s="276"/>
      <c r="AB1628" s="276"/>
      <c r="AC1628" s="276"/>
    </row>
    <row r="1629">
      <c r="A1629" s="624" t="s">
        <v>12692</v>
      </c>
      <c r="B1629" s="625">
        <v>46149.0</v>
      </c>
      <c r="C1629" s="626">
        <v>8.07000035915E11</v>
      </c>
      <c r="D1629" s="626" t="s">
        <v>12693</v>
      </c>
      <c r="E1629" s="626" t="s">
        <v>12694</v>
      </c>
      <c r="F1629" s="627" t="s">
        <v>12695</v>
      </c>
      <c r="G1629" s="627" t="s">
        <v>4496</v>
      </c>
      <c r="H1629" s="627">
        <v>4401.0</v>
      </c>
      <c r="I1629" s="628" t="s">
        <v>512</v>
      </c>
      <c r="J1629" s="626" t="s">
        <v>513</v>
      </c>
      <c r="K1629" s="627">
        <v>6.0</v>
      </c>
      <c r="L1629" s="629">
        <v>3.874830114E9</v>
      </c>
      <c r="M1629" s="387"/>
      <c r="N1629" s="209"/>
      <c r="O1629" s="209"/>
      <c r="P1629" s="209"/>
      <c r="Q1629" s="209"/>
      <c r="R1629" s="209"/>
      <c r="S1629" s="209"/>
      <c r="T1629" s="276"/>
      <c r="U1629" s="276"/>
      <c r="V1629" s="276"/>
      <c r="W1629" s="276"/>
      <c r="X1629" s="276"/>
      <c r="Y1629" s="276"/>
      <c r="Z1629" s="276"/>
      <c r="AA1629" s="276"/>
      <c r="AB1629" s="276"/>
      <c r="AC1629" s="276"/>
    </row>
    <row r="1630">
      <c r="A1630" s="624" t="s">
        <v>12692</v>
      </c>
      <c r="B1630" s="625">
        <v>46149.0</v>
      </c>
      <c r="C1630" s="626">
        <v>8.07000035915E11</v>
      </c>
      <c r="D1630" s="626" t="s">
        <v>12693</v>
      </c>
      <c r="E1630" s="626" t="s">
        <v>12694</v>
      </c>
      <c r="F1630" s="627" t="s">
        <v>12695</v>
      </c>
      <c r="G1630" s="627" t="s">
        <v>4496</v>
      </c>
      <c r="H1630" s="627">
        <v>4401.0</v>
      </c>
      <c r="I1630" s="628" t="s">
        <v>35</v>
      </c>
      <c r="J1630" s="626" t="s">
        <v>3188</v>
      </c>
      <c r="K1630" s="627">
        <v>1.0</v>
      </c>
      <c r="L1630" s="629">
        <v>3.874830114E9</v>
      </c>
      <c r="M1630" s="387"/>
      <c r="N1630" s="206"/>
      <c r="O1630" s="206"/>
      <c r="P1630" s="206"/>
      <c r="Q1630" s="206"/>
      <c r="R1630" s="206"/>
      <c r="S1630" s="206"/>
      <c r="T1630" s="276"/>
      <c r="U1630" s="276"/>
      <c r="V1630" s="276"/>
      <c r="W1630" s="276"/>
      <c r="X1630" s="276"/>
      <c r="Y1630" s="276"/>
      <c r="Z1630" s="276"/>
      <c r="AA1630" s="276"/>
      <c r="AB1630" s="276"/>
      <c r="AC1630" s="276"/>
    </row>
    <row r="1631">
      <c r="A1631" s="624" t="s">
        <v>12696</v>
      </c>
      <c r="B1631" s="625">
        <v>46150.0</v>
      </c>
      <c r="C1631" s="626">
        <v>8.07000035921E11</v>
      </c>
      <c r="D1631" s="626" t="s">
        <v>12697</v>
      </c>
      <c r="E1631" s="626" t="s">
        <v>12698</v>
      </c>
      <c r="F1631" s="627" t="s">
        <v>12699</v>
      </c>
      <c r="G1631" s="627" t="s">
        <v>127</v>
      </c>
      <c r="H1631" s="627">
        <v>4400.0</v>
      </c>
      <c r="I1631" s="628" t="s">
        <v>3979</v>
      </c>
      <c r="J1631" s="626" t="s">
        <v>3980</v>
      </c>
      <c r="K1631" s="627">
        <v>1.0</v>
      </c>
      <c r="L1631" s="629">
        <v>3.874192666E9</v>
      </c>
      <c r="M1631" s="387"/>
      <c r="N1631" s="480">
        <v>46150.0</v>
      </c>
      <c r="O1631" s="402" t="s">
        <v>9011</v>
      </c>
      <c r="P1631" s="534"/>
      <c r="Q1631" s="430" t="s">
        <v>14204</v>
      </c>
      <c r="R1631" s="432" t="s">
        <v>14205</v>
      </c>
      <c r="S1631" s="367"/>
      <c r="T1631" s="276"/>
      <c r="U1631" s="276"/>
      <c r="V1631" s="276"/>
      <c r="W1631" s="276"/>
      <c r="X1631" s="276"/>
      <c r="Y1631" s="276"/>
      <c r="Z1631" s="276"/>
      <c r="AA1631" s="276"/>
      <c r="AB1631" s="276"/>
      <c r="AC1631" s="276"/>
    </row>
    <row r="1632">
      <c r="A1632" s="624" t="s">
        <v>12696</v>
      </c>
      <c r="B1632" s="625">
        <v>46150.0</v>
      </c>
      <c r="C1632" s="626">
        <v>8.07000035922E11</v>
      </c>
      <c r="D1632" s="626" t="s">
        <v>12697</v>
      </c>
      <c r="E1632" s="626" t="s">
        <v>12698</v>
      </c>
      <c r="F1632" s="627" t="s">
        <v>12699</v>
      </c>
      <c r="G1632" s="627" t="s">
        <v>127</v>
      </c>
      <c r="H1632" s="627">
        <v>4400.0</v>
      </c>
      <c r="I1632" s="628" t="s">
        <v>12700</v>
      </c>
      <c r="J1632" s="626" t="s">
        <v>12701</v>
      </c>
      <c r="K1632" s="627">
        <v>2.0</v>
      </c>
      <c r="L1632" s="629">
        <v>3.874192666E9</v>
      </c>
      <c r="M1632" s="387"/>
      <c r="N1632" s="206"/>
      <c r="O1632" s="206"/>
      <c r="P1632" s="206"/>
      <c r="Q1632" s="206"/>
      <c r="R1632" s="206"/>
      <c r="S1632" s="367"/>
      <c r="T1632" s="276"/>
      <c r="U1632" s="276"/>
      <c r="V1632" s="276"/>
      <c r="W1632" s="276"/>
      <c r="X1632" s="276"/>
      <c r="Y1632" s="276"/>
      <c r="Z1632" s="276"/>
      <c r="AA1632" s="276"/>
      <c r="AB1632" s="276"/>
      <c r="AC1632" s="276"/>
    </row>
    <row r="1633">
      <c r="A1633" s="624" t="s">
        <v>12702</v>
      </c>
      <c r="B1633" s="625">
        <v>46150.0</v>
      </c>
      <c r="C1633" s="626">
        <v>8.07000035923E11</v>
      </c>
      <c r="D1633" s="626" t="s">
        <v>12703</v>
      </c>
      <c r="E1633" s="626" t="s">
        <v>12704</v>
      </c>
      <c r="F1633" s="627" t="s">
        <v>12705</v>
      </c>
      <c r="G1633" s="627" t="s">
        <v>127</v>
      </c>
      <c r="H1633" s="627">
        <v>4400.0</v>
      </c>
      <c r="I1633" s="628" t="s">
        <v>1115</v>
      </c>
      <c r="J1633" s="626" t="s">
        <v>8215</v>
      </c>
      <c r="K1633" s="627">
        <v>1.0</v>
      </c>
      <c r="L1633" s="629">
        <v>3.874654219E9</v>
      </c>
      <c r="M1633" s="387"/>
      <c r="N1633" s="480">
        <v>46150.0</v>
      </c>
      <c r="O1633" s="402" t="s">
        <v>9011</v>
      </c>
      <c r="P1633" s="534"/>
      <c r="Q1633" s="430" t="s">
        <v>13339</v>
      </c>
      <c r="R1633" s="432" t="s">
        <v>14206</v>
      </c>
      <c r="S1633" s="367"/>
      <c r="T1633" s="276"/>
      <c r="U1633" s="276"/>
      <c r="V1633" s="276"/>
      <c r="W1633" s="276"/>
      <c r="X1633" s="276"/>
      <c r="Y1633" s="276"/>
      <c r="Z1633" s="276"/>
      <c r="AA1633" s="276"/>
      <c r="AB1633" s="276"/>
      <c r="AC1633" s="276"/>
    </row>
    <row r="1634">
      <c r="A1634" s="624" t="s">
        <v>12702</v>
      </c>
      <c r="B1634" s="625">
        <v>46150.0</v>
      </c>
      <c r="C1634" s="626">
        <v>8.07000035923E11</v>
      </c>
      <c r="D1634" s="626" t="s">
        <v>12703</v>
      </c>
      <c r="E1634" s="626" t="s">
        <v>12704</v>
      </c>
      <c r="F1634" s="627" t="s">
        <v>12705</v>
      </c>
      <c r="G1634" s="627" t="s">
        <v>127</v>
      </c>
      <c r="H1634" s="627">
        <v>4400.0</v>
      </c>
      <c r="I1634" s="628" t="s">
        <v>512</v>
      </c>
      <c r="J1634" s="626" t="s">
        <v>513</v>
      </c>
      <c r="K1634" s="627">
        <v>12.0</v>
      </c>
      <c r="L1634" s="629">
        <v>3.874654219E9</v>
      </c>
      <c r="M1634" s="387"/>
      <c r="N1634" s="209"/>
      <c r="O1634" s="209"/>
      <c r="P1634" s="209"/>
      <c r="Q1634" s="209"/>
      <c r="R1634" s="209"/>
      <c r="S1634" s="367"/>
      <c r="T1634" s="276"/>
      <c r="U1634" s="276"/>
      <c r="V1634" s="276"/>
      <c r="W1634" s="276"/>
      <c r="X1634" s="276"/>
      <c r="Y1634" s="276"/>
      <c r="Z1634" s="276"/>
      <c r="AA1634" s="276"/>
      <c r="AB1634" s="276"/>
      <c r="AC1634" s="276"/>
    </row>
    <row r="1635">
      <c r="A1635" s="624" t="s">
        <v>12702</v>
      </c>
      <c r="B1635" s="625">
        <v>46150.0</v>
      </c>
      <c r="C1635" s="626">
        <v>8.07000035923E11</v>
      </c>
      <c r="D1635" s="626" t="s">
        <v>12703</v>
      </c>
      <c r="E1635" s="626" t="s">
        <v>12704</v>
      </c>
      <c r="F1635" s="627" t="s">
        <v>12705</v>
      </c>
      <c r="G1635" s="627" t="s">
        <v>127</v>
      </c>
      <c r="H1635" s="627">
        <v>4400.0</v>
      </c>
      <c r="I1635" s="628" t="s">
        <v>340</v>
      </c>
      <c r="J1635" s="626" t="s">
        <v>3486</v>
      </c>
      <c r="K1635" s="627">
        <v>2.0</v>
      </c>
      <c r="L1635" s="629">
        <v>3.874654219E9</v>
      </c>
      <c r="M1635" s="387"/>
      <c r="N1635" s="206"/>
      <c r="O1635" s="206"/>
      <c r="P1635" s="206"/>
      <c r="Q1635" s="206"/>
      <c r="R1635" s="206"/>
      <c r="S1635" s="367"/>
      <c r="T1635" s="276"/>
      <c r="U1635" s="276"/>
      <c r="V1635" s="276"/>
      <c r="W1635" s="276"/>
      <c r="X1635" s="276"/>
      <c r="Y1635" s="276"/>
      <c r="Z1635" s="276"/>
      <c r="AA1635" s="276"/>
      <c r="AB1635" s="276"/>
      <c r="AC1635" s="276"/>
    </row>
    <row r="1636">
      <c r="A1636" s="624" t="s">
        <v>12706</v>
      </c>
      <c r="B1636" s="625">
        <v>46150.0</v>
      </c>
      <c r="C1636" s="626">
        <v>8.07000035924E11</v>
      </c>
      <c r="D1636" s="626" t="s">
        <v>12707</v>
      </c>
      <c r="E1636" s="626" t="s">
        <v>12708</v>
      </c>
      <c r="F1636" s="627" t="s">
        <v>12709</v>
      </c>
      <c r="G1636" s="627" t="s">
        <v>127</v>
      </c>
      <c r="H1636" s="627">
        <v>4400.0</v>
      </c>
      <c r="I1636" s="628" t="s">
        <v>5970</v>
      </c>
      <c r="J1636" s="626" t="s">
        <v>5347</v>
      </c>
      <c r="K1636" s="627">
        <v>1.0</v>
      </c>
      <c r="L1636" s="629">
        <v>3.874458208E9</v>
      </c>
      <c r="M1636" s="387"/>
      <c r="N1636" s="480">
        <v>46151.0</v>
      </c>
      <c r="O1636" s="402" t="s">
        <v>13338</v>
      </c>
      <c r="P1636" s="534"/>
      <c r="Q1636" s="430" t="s">
        <v>13339</v>
      </c>
      <c r="R1636" s="432" t="s">
        <v>14207</v>
      </c>
      <c r="S1636" s="367"/>
      <c r="T1636" s="276"/>
      <c r="U1636" s="276"/>
      <c r="V1636" s="276"/>
      <c r="W1636" s="276"/>
      <c r="X1636" s="276"/>
      <c r="Y1636" s="276"/>
      <c r="Z1636" s="276"/>
      <c r="AA1636" s="276"/>
      <c r="AB1636" s="276"/>
      <c r="AC1636" s="276"/>
    </row>
    <row r="1637">
      <c r="A1637" s="624" t="s">
        <v>12706</v>
      </c>
      <c r="B1637" s="625">
        <v>46150.0</v>
      </c>
      <c r="C1637" s="626">
        <v>8.07000035925E11</v>
      </c>
      <c r="D1637" s="626" t="s">
        <v>12707</v>
      </c>
      <c r="E1637" s="626" t="s">
        <v>12708</v>
      </c>
      <c r="F1637" s="627" t="s">
        <v>12709</v>
      </c>
      <c r="G1637" s="627" t="s">
        <v>127</v>
      </c>
      <c r="H1637" s="627">
        <v>4400.0</v>
      </c>
      <c r="I1637" s="628" t="s">
        <v>512</v>
      </c>
      <c r="J1637" s="626" t="s">
        <v>513</v>
      </c>
      <c r="K1637" s="627">
        <v>12.0</v>
      </c>
      <c r="L1637" s="629">
        <v>3.874458208E9</v>
      </c>
      <c r="M1637" s="387"/>
      <c r="N1637" s="209"/>
      <c r="O1637" s="209"/>
      <c r="P1637" s="209"/>
      <c r="Q1637" s="209"/>
      <c r="R1637" s="209"/>
      <c r="S1637" s="367"/>
      <c r="T1637" s="276"/>
      <c r="U1637" s="276"/>
      <c r="V1637" s="276"/>
      <c r="W1637" s="276"/>
      <c r="X1637" s="276"/>
      <c r="Y1637" s="276"/>
      <c r="Z1637" s="276"/>
      <c r="AA1637" s="276"/>
      <c r="AB1637" s="276"/>
      <c r="AC1637" s="276"/>
    </row>
    <row r="1638">
      <c r="A1638" s="624" t="s">
        <v>12706</v>
      </c>
      <c r="B1638" s="625">
        <v>46150.0</v>
      </c>
      <c r="C1638" s="626">
        <v>8.07000035926E11</v>
      </c>
      <c r="D1638" s="626" t="s">
        <v>12707</v>
      </c>
      <c r="E1638" s="626" t="s">
        <v>12708</v>
      </c>
      <c r="F1638" s="627" t="s">
        <v>12709</v>
      </c>
      <c r="G1638" s="627" t="s">
        <v>127</v>
      </c>
      <c r="H1638" s="627">
        <v>4400.0</v>
      </c>
      <c r="I1638" s="628" t="s">
        <v>5185</v>
      </c>
      <c r="J1638" s="626" t="s">
        <v>5186</v>
      </c>
      <c r="K1638" s="627">
        <v>2.0</v>
      </c>
      <c r="L1638" s="629">
        <v>3.874458208E9</v>
      </c>
      <c r="M1638" s="387"/>
      <c r="N1638" s="209"/>
      <c r="O1638" s="209"/>
      <c r="P1638" s="209"/>
      <c r="Q1638" s="209"/>
      <c r="R1638" s="209"/>
      <c r="S1638" s="367"/>
      <c r="T1638" s="276"/>
      <c r="U1638" s="276"/>
      <c r="V1638" s="276"/>
      <c r="W1638" s="276"/>
      <c r="X1638" s="276"/>
      <c r="Y1638" s="276"/>
      <c r="Z1638" s="276"/>
      <c r="AA1638" s="276"/>
      <c r="AB1638" s="276"/>
      <c r="AC1638" s="276"/>
    </row>
    <row r="1639">
      <c r="A1639" s="624" t="s">
        <v>12706</v>
      </c>
      <c r="B1639" s="625">
        <v>46150.0</v>
      </c>
      <c r="C1639" s="626">
        <v>8.07000035926E11</v>
      </c>
      <c r="D1639" s="626" t="s">
        <v>12707</v>
      </c>
      <c r="E1639" s="626" t="s">
        <v>12708</v>
      </c>
      <c r="F1639" s="627" t="s">
        <v>12709</v>
      </c>
      <c r="G1639" s="627" t="s">
        <v>127</v>
      </c>
      <c r="H1639" s="627">
        <v>4400.0</v>
      </c>
      <c r="I1639" s="628" t="s">
        <v>2031</v>
      </c>
      <c r="J1639" s="626" t="s">
        <v>3348</v>
      </c>
      <c r="K1639" s="627">
        <v>2.0</v>
      </c>
      <c r="L1639" s="629">
        <v>3.874458208E9</v>
      </c>
      <c r="M1639" s="387"/>
      <c r="N1639" s="206"/>
      <c r="O1639" s="206"/>
      <c r="P1639" s="206"/>
      <c r="Q1639" s="206"/>
      <c r="R1639" s="206"/>
      <c r="S1639" s="367"/>
      <c r="T1639" s="276"/>
      <c r="U1639" s="276"/>
      <c r="V1639" s="276"/>
      <c r="W1639" s="276"/>
      <c r="X1639" s="276"/>
      <c r="Y1639" s="276"/>
      <c r="Z1639" s="276"/>
      <c r="AA1639" s="276"/>
      <c r="AB1639" s="276"/>
      <c r="AC1639" s="276"/>
    </row>
    <row r="1640">
      <c r="A1640" s="602"/>
      <c r="B1640" s="603"/>
      <c r="C1640" s="604"/>
      <c r="D1640" s="604"/>
      <c r="E1640" s="604"/>
      <c r="F1640" s="605"/>
      <c r="G1640" s="605"/>
      <c r="H1640" s="605"/>
      <c r="I1640" s="606"/>
      <c r="J1640" s="604"/>
      <c r="K1640" s="605"/>
      <c r="L1640" s="607"/>
      <c r="M1640" s="387"/>
      <c r="N1640" s="481"/>
      <c r="O1640" s="531"/>
      <c r="P1640" s="387"/>
      <c r="Q1640" s="261"/>
      <c r="R1640" s="449"/>
      <c r="S1640" s="367"/>
      <c r="T1640" s="276"/>
      <c r="U1640" s="276"/>
      <c r="V1640" s="276"/>
      <c r="W1640" s="276"/>
      <c r="X1640" s="276"/>
      <c r="Y1640" s="276"/>
      <c r="Z1640" s="276"/>
      <c r="AA1640" s="276"/>
      <c r="AB1640" s="276"/>
      <c r="AC1640" s="276"/>
    </row>
    <row r="1641">
      <c r="A1641" s="624" t="s">
        <v>12710</v>
      </c>
      <c r="B1641" s="625">
        <v>46151.0</v>
      </c>
      <c r="C1641" s="626">
        <v>8.07000035884E11</v>
      </c>
      <c r="D1641" s="626" t="s">
        <v>6150</v>
      </c>
      <c r="E1641" s="626" t="s">
        <v>6151</v>
      </c>
      <c r="F1641" s="627" t="s">
        <v>6152</v>
      </c>
      <c r="G1641" s="627" t="s">
        <v>2907</v>
      </c>
      <c r="H1641" s="627">
        <v>4400.0</v>
      </c>
      <c r="I1641" s="628" t="s">
        <v>3649</v>
      </c>
      <c r="J1641" s="626" t="s">
        <v>3650</v>
      </c>
      <c r="K1641" s="627">
        <v>1.0</v>
      </c>
      <c r="L1641" s="629">
        <v>3.87442644E9</v>
      </c>
      <c r="M1641" s="387"/>
      <c r="N1641" s="480">
        <v>46151.0</v>
      </c>
      <c r="O1641" s="402" t="s">
        <v>9011</v>
      </c>
      <c r="P1641" s="534"/>
      <c r="Q1641" s="430" t="s">
        <v>13339</v>
      </c>
      <c r="R1641" s="432" t="s">
        <v>14208</v>
      </c>
      <c r="S1641" s="367"/>
      <c r="T1641" s="276"/>
      <c r="U1641" s="276"/>
      <c r="V1641" s="276"/>
      <c r="W1641" s="276"/>
      <c r="X1641" s="276"/>
      <c r="Y1641" s="276"/>
      <c r="Z1641" s="276"/>
      <c r="AA1641" s="276"/>
      <c r="AB1641" s="276"/>
      <c r="AC1641" s="276"/>
    </row>
    <row r="1642">
      <c r="A1642" s="624" t="s">
        <v>12710</v>
      </c>
      <c r="B1642" s="625">
        <v>46151.0</v>
      </c>
      <c r="C1642" s="626">
        <v>8.07000035885E11</v>
      </c>
      <c r="D1642" s="626" t="s">
        <v>6150</v>
      </c>
      <c r="E1642" s="626" t="s">
        <v>6151</v>
      </c>
      <c r="F1642" s="627" t="s">
        <v>6152</v>
      </c>
      <c r="G1642" s="627" t="s">
        <v>2907</v>
      </c>
      <c r="H1642" s="627">
        <v>4400.0</v>
      </c>
      <c r="I1642" s="628" t="s">
        <v>110</v>
      </c>
      <c r="J1642" s="626" t="s">
        <v>3673</v>
      </c>
      <c r="K1642" s="627">
        <v>1.0</v>
      </c>
      <c r="L1642" s="629">
        <v>3.87442644E9</v>
      </c>
      <c r="M1642" s="387"/>
      <c r="N1642" s="206"/>
      <c r="O1642" s="206"/>
      <c r="P1642" s="206"/>
      <c r="Q1642" s="206"/>
      <c r="R1642" s="206"/>
      <c r="S1642" s="367"/>
      <c r="T1642" s="276"/>
      <c r="U1642" s="276"/>
      <c r="V1642" s="276"/>
      <c r="W1642" s="276"/>
      <c r="X1642" s="276"/>
      <c r="Y1642" s="276"/>
      <c r="Z1642" s="276"/>
      <c r="AA1642" s="276"/>
      <c r="AB1642" s="276"/>
      <c r="AC1642" s="276"/>
    </row>
    <row r="1643">
      <c r="A1643" s="624" t="s">
        <v>12711</v>
      </c>
      <c r="B1643" s="625">
        <v>46151.0</v>
      </c>
      <c r="C1643" s="626">
        <v>8.0700003594E11</v>
      </c>
      <c r="D1643" s="626" t="s">
        <v>12712</v>
      </c>
      <c r="E1643" s="626" t="s">
        <v>12713</v>
      </c>
      <c r="F1643" s="627" t="s">
        <v>12714</v>
      </c>
      <c r="G1643" s="627" t="s">
        <v>4645</v>
      </c>
      <c r="H1643" s="627">
        <v>4400.0</v>
      </c>
      <c r="I1643" s="628" t="s">
        <v>12715</v>
      </c>
      <c r="J1643" s="626" t="s">
        <v>12716</v>
      </c>
      <c r="K1643" s="627">
        <v>1.0</v>
      </c>
      <c r="L1643" s="629" t="s">
        <v>4529</v>
      </c>
      <c r="M1643" s="387"/>
      <c r="N1643" s="481">
        <v>46151.0</v>
      </c>
      <c r="O1643" s="531" t="s">
        <v>9011</v>
      </c>
      <c r="P1643" s="387"/>
      <c r="Q1643" s="261" t="s">
        <v>14209</v>
      </c>
      <c r="R1643" s="434" t="s">
        <v>14210</v>
      </c>
      <c r="S1643" s="367"/>
      <c r="T1643" s="276"/>
      <c r="U1643" s="276"/>
      <c r="V1643" s="276"/>
      <c r="W1643" s="276"/>
      <c r="X1643" s="276"/>
      <c r="Y1643" s="276"/>
      <c r="Z1643" s="276"/>
      <c r="AA1643" s="276"/>
      <c r="AB1643" s="276"/>
      <c r="AC1643" s="276"/>
    </row>
    <row r="1644">
      <c r="A1644" s="624" t="s">
        <v>12717</v>
      </c>
      <c r="B1644" s="625">
        <v>46153.0</v>
      </c>
      <c r="C1644" s="626">
        <v>8.07000035968E11</v>
      </c>
      <c r="D1644" s="626" t="s">
        <v>12718</v>
      </c>
      <c r="E1644" s="626" t="s">
        <v>12719</v>
      </c>
      <c r="F1644" s="627" t="s">
        <v>12720</v>
      </c>
      <c r="G1644" s="627" t="s">
        <v>104</v>
      </c>
      <c r="H1644" s="627">
        <v>4400.0</v>
      </c>
      <c r="I1644" s="628" t="s">
        <v>512</v>
      </c>
      <c r="J1644" s="626" t="s">
        <v>513</v>
      </c>
      <c r="K1644" s="627">
        <v>12.0</v>
      </c>
      <c r="L1644" s="629">
        <v>3.874871125E9</v>
      </c>
      <c r="M1644" s="387"/>
      <c r="N1644" s="480">
        <v>46153.0</v>
      </c>
      <c r="O1644" s="402" t="s">
        <v>9011</v>
      </c>
      <c r="P1644" s="534"/>
      <c r="Q1644" s="430" t="s">
        <v>13339</v>
      </c>
      <c r="R1644" s="432" t="s">
        <v>14211</v>
      </c>
      <c r="S1644" s="367"/>
      <c r="T1644" s="276"/>
      <c r="U1644" s="276"/>
      <c r="V1644" s="276"/>
      <c r="W1644" s="276"/>
      <c r="X1644" s="276"/>
      <c r="Y1644" s="276"/>
      <c r="Z1644" s="276"/>
      <c r="AA1644" s="276"/>
      <c r="AB1644" s="276"/>
      <c r="AC1644" s="276"/>
    </row>
    <row r="1645">
      <c r="A1645" s="624" t="s">
        <v>12717</v>
      </c>
      <c r="B1645" s="625">
        <v>46153.0</v>
      </c>
      <c r="C1645" s="626">
        <v>8.07000035969E11</v>
      </c>
      <c r="D1645" s="626" t="s">
        <v>12718</v>
      </c>
      <c r="E1645" s="626" t="s">
        <v>12719</v>
      </c>
      <c r="F1645" s="627" t="s">
        <v>12720</v>
      </c>
      <c r="G1645" s="627" t="s">
        <v>104</v>
      </c>
      <c r="H1645" s="627">
        <v>4400.0</v>
      </c>
      <c r="I1645" s="628" t="s">
        <v>4899</v>
      </c>
      <c r="J1645" s="626" t="s">
        <v>4900</v>
      </c>
      <c r="K1645" s="627">
        <v>1.0</v>
      </c>
      <c r="L1645" s="629">
        <v>3.874871125E9</v>
      </c>
      <c r="M1645" s="387"/>
      <c r="N1645" s="209"/>
      <c r="O1645" s="209"/>
      <c r="P1645" s="209"/>
      <c r="Q1645" s="209"/>
      <c r="R1645" s="209"/>
      <c r="S1645" s="367"/>
      <c r="T1645" s="276"/>
      <c r="U1645" s="276"/>
      <c r="V1645" s="276"/>
      <c r="W1645" s="276"/>
      <c r="X1645" s="276"/>
      <c r="Y1645" s="276"/>
      <c r="Z1645" s="276"/>
      <c r="AA1645" s="276"/>
      <c r="AB1645" s="276"/>
      <c r="AC1645" s="276"/>
    </row>
    <row r="1646">
      <c r="A1646" s="624" t="s">
        <v>12717</v>
      </c>
      <c r="B1646" s="625">
        <v>46153.0</v>
      </c>
      <c r="C1646" s="626">
        <v>8.07000035969E11</v>
      </c>
      <c r="D1646" s="626" t="s">
        <v>12718</v>
      </c>
      <c r="E1646" s="626" t="s">
        <v>12719</v>
      </c>
      <c r="F1646" s="627" t="s">
        <v>12720</v>
      </c>
      <c r="G1646" s="627" t="s">
        <v>104</v>
      </c>
      <c r="H1646" s="627">
        <v>4400.0</v>
      </c>
      <c r="I1646" s="628" t="s">
        <v>233</v>
      </c>
      <c r="J1646" s="626" t="s">
        <v>3459</v>
      </c>
      <c r="K1646" s="627">
        <v>2.0</v>
      </c>
      <c r="L1646" s="629">
        <v>3.874871125E9</v>
      </c>
      <c r="M1646" s="387"/>
      <c r="N1646" s="206"/>
      <c r="O1646" s="206"/>
      <c r="P1646" s="206"/>
      <c r="Q1646" s="206"/>
      <c r="R1646" s="206"/>
      <c r="S1646" s="367"/>
      <c r="T1646" s="276"/>
      <c r="U1646" s="276"/>
      <c r="V1646" s="276"/>
      <c r="W1646" s="276"/>
      <c r="X1646" s="276"/>
      <c r="Y1646" s="276"/>
      <c r="Z1646" s="276"/>
      <c r="AA1646" s="276"/>
      <c r="AB1646" s="276"/>
      <c r="AC1646" s="276"/>
    </row>
    <row r="1647">
      <c r="A1647" s="624" t="s">
        <v>12721</v>
      </c>
      <c r="B1647" s="625">
        <v>46153.0</v>
      </c>
      <c r="C1647" s="626">
        <v>8.07000035955E11</v>
      </c>
      <c r="D1647" s="626" t="s">
        <v>12722</v>
      </c>
      <c r="E1647" s="626" t="s">
        <v>12723</v>
      </c>
      <c r="F1647" s="627" t="s">
        <v>12724</v>
      </c>
      <c r="G1647" s="627" t="s">
        <v>127</v>
      </c>
      <c r="H1647" s="627">
        <v>4400.0</v>
      </c>
      <c r="I1647" s="628" t="s">
        <v>512</v>
      </c>
      <c r="J1647" s="626" t="s">
        <v>513</v>
      </c>
      <c r="K1647" s="627">
        <v>18.0</v>
      </c>
      <c r="L1647" s="629">
        <v>3.875327673E9</v>
      </c>
      <c r="M1647" s="387"/>
      <c r="N1647" s="480">
        <v>46153.0</v>
      </c>
      <c r="O1647" s="402" t="s">
        <v>9011</v>
      </c>
      <c r="P1647" s="534"/>
      <c r="Q1647" s="430" t="s">
        <v>9012</v>
      </c>
      <c r="R1647" s="432" t="s">
        <v>14212</v>
      </c>
      <c r="S1647" s="367"/>
      <c r="T1647" s="276"/>
      <c r="U1647" s="276"/>
      <c r="V1647" s="276"/>
      <c r="W1647" s="276"/>
      <c r="X1647" s="276"/>
      <c r="Y1647" s="276"/>
      <c r="Z1647" s="276"/>
      <c r="AA1647" s="276"/>
      <c r="AB1647" s="276"/>
      <c r="AC1647" s="276"/>
    </row>
    <row r="1648">
      <c r="A1648" s="624" t="s">
        <v>12721</v>
      </c>
      <c r="B1648" s="625">
        <v>46153.0</v>
      </c>
      <c r="C1648" s="626">
        <v>8.07000035957E11</v>
      </c>
      <c r="D1648" s="626" t="s">
        <v>12722</v>
      </c>
      <c r="E1648" s="626" t="s">
        <v>12723</v>
      </c>
      <c r="F1648" s="627" t="s">
        <v>12724</v>
      </c>
      <c r="G1648" s="627" t="s">
        <v>127</v>
      </c>
      <c r="H1648" s="627">
        <v>4400.0</v>
      </c>
      <c r="I1648" s="628" t="s">
        <v>3979</v>
      </c>
      <c r="J1648" s="626" t="s">
        <v>3980</v>
      </c>
      <c r="K1648" s="627">
        <v>1.0</v>
      </c>
      <c r="L1648" s="629">
        <v>3.875327673E9</v>
      </c>
      <c r="M1648" s="387"/>
      <c r="N1648" s="209"/>
      <c r="O1648" s="209"/>
      <c r="P1648" s="209"/>
      <c r="Q1648" s="209"/>
      <c r="R1648" s="209"/>
      <c r="S1648" s="367"/>
      <c r="T1648" s="276"/>
      <c r="U1648" s="276"/>
      <c r="V1648" s="276"/>
      <c r="W1648" s="276"/>
      <c r="X1648" s="276"/>
      <c r="Y1648" s="276"/>
      <c r="Z1648" s="276"/>
      <c r="AA1648" s="276"/>
      <c r="AB1648" s="276"/>
      <c r="AC1648" s="276"/>
    </row>
    <row r="1649">
      <c r="A1649" s="624" t="s">
        <v>12725</v>
      </c>
      <c r="B1649" s="625">
        <v>46153.0</v>
      </c>
      <c r="C1649" s="626">
        <v>8.07000035957E11</v>
      </c>
      <c r="D1649" s="626" t="s">
        <v>12722</v>
      </c>
      <c r="E1649" s="626" t="s">
        <v>12723</v>
      </c>
      <c r="F1649" s="627" t="s">
        <v>12726</v>
      </c>
      <c r="G1649" s="627" t="s">
        <v>127</v>
      </c>
      <c r="H1649" s="627">
        <v>4400.0</v>
      </c>
      <c r="I1649" s="628" t="s">
        <v>106</v>
      </c>
      <c r="J1649" s="626" t="s">
        <v>3670</v>
      </c>
      <c r="K1649" s="627">
        <v>1.0</v>
      </c>
      <c r="L1649" s="629">
        <v>3.875327673E9</v>
      </c>
      <c r="M1649" s="387"/>
      <c r="N1649" s="209"/>
      <c r="O1649" s="209"/>
      <c r="P1649" s="209"/>
      <c r="Q1649" s="209"/>
      <c r="R1649" s="209"/>
      <c r="S1649" s="367"/>
      <c r="T1649" s="276"/>
      <c r="U1649" s="276"/>
      <c r="V1649" s="276"/>
      <c r="W1649" s="276"/>
      <c r="X1649" s="276"/>
      <c r="Y1649" s="276"/>
      <c r="Z1649" s="276"/>
      <c r="AA1649" s="276"/>
      <c r="AB1649" s="276"/>
      <c r="AC1649" s="276"/>
    </row>
    <row r="1650">
      <c r="A1650" s="624" t="s">
        <v>12725</v>
      </c>
      <c r="B1650" s="625">
        <v>46153.0</v>
      </c>
      <c r="C1650" s="626">
        <v>8.07000035957E11</v>
      </c>
      <c r="D1650" s="626" t="s">
        <v>12722</v>
      </c>
      <c r="E1650" s="626" t="s">
        <v>12723</v>
      </c>
      <c r="F1650" s="627" t="s">
        <v>12726</v>
      </c>
      <c r="G1650" s="627" t="s">
        <v>127</v>
      </c>
      <c r="H1650" s="627">
        <v>4400.0</v>
      </c>
      <c r="I1650" s="628" t="s">
        <v>110</v>
      </c>
      <c r="J1650" s="626" t="s">
        <v>3673</v>
      </c>
      <c r="K1650" s="627">
        <v>1.0</v>
      </c>
      <c r="L1650" s="629">
        <v>3.875327673E9</v>
      </c>
      <c r="M1650" s="387"/>
      <c r="N1650" s="209"/>
      <c r="O1650" s="209"/>
      <c r="P1650" s="209"/>
      <c r="Q1650" s="209"/>
      <c r="R1650" s="209"/>
      <c r="S1650" s="367"/>
      <c r="T1650" s="276"/>
      <c r="U1650" s="276"/>
      <c r="V1650" s="276"/>
      <c r="W1650" s="276"/>
      <c r="X1650" s="276"/>
      <c r="Y1650" s="276"/>
      <c r="Z1650" s="276"/>
      <c r="AA1650" s="276"/>
      <c r="AB1650" s="276"/>
      <c r="AC1650" s="276"/>
    </row>
    <row r="1651">
      <c r="A1651" s="624" t="s">
        <v>12721</v>
      </c>
      <c r="B1651" s="625">
        <v>46153.0</v>
      </c>
      <c r="C1651" s="626">
        <v>8.07000035957E11</v>
      </c>
      <c r="D1651" s="626" t="s">
        <v>12722</v>
      </c>
      <c r="E1651" s="626" t="s">
        <v>12723</v>
      </c>
      <c r="F1651" s="627" t="s">
        <v>12724</v>
      </c>
      <c r="G1651" s="627" t="s">
        <v>127</v>
      </c>
      <c r="H1651" s="627">
        <v>4400.0</v>
      </c>
      <c r="I1651" s="628" t="s">
        <v>758</v>
      </c>
      <c r="J1651" s="626" t="s">
        <v>3574</v>
      </c>
      <c r="K1651" s="627">
        <v>2.0</v>
      </c>
      <c r="L1651" s="629">
        <v>3.875327673E9</v>
      </c>
      <c r="M1651" s="387"/>
      <c r="N1651" s="206"/>
      <c r="O1651" s="206"/>
      <c r="P1651" s="206"/>
      <c r="Q1651" s="206"/>
      <c r="R1651" s="206"/>
      <c r="S1651" s="367"/>
      <c r="T1651" s="276"/>
      <c r="U1651" s="276"/>
      <c r="V1651" s="276"/>
      <c r="W1651" s="276"/>
      <c r="X1651" s="276"/>
      <c r="Y1651" s="276"/>
      <c r="Z1651" s="276"/>
      <c r="AA1651" s="276"/>
      <c r="AB1651" s="276"/>
      <c r="AC1651" s="276"/>
    </row>
    <row r="1652">
      <c r="A1652" s="624" t="s">
        <v>12727</v>
      </c>
      <c r="B1652" s="625">
        <v>46153.0</v>
      </c>
      <c r="C1652" s="626">
        <v>8.07000035949E11</v>
      </c>
      <c r="D1652" s="626" t="s">
        <v>12728</v>
      </c>
      <c r="E1652" s="626" t="s">
        <v>12729</v>
      </c>
      <c r="F1652" s="627" t="s">
        <v>12730</v>
      </c>
      <c r="G1652" s="627" t="s">
        <v>127</v>
      </c>
      <c r="H1652" s="627">
        <v>4400.0</v>
      </c>
      <c r="I1652" s="628" t="s">
        <v>3131</v>
      </c>
      <c r="J1652" s="626" t="s">
        <v>3416</v>
      </c>
      <c r="K1652" s="627">
        <v>1.0</v>
      </c>
      <c r="L1652" s="629">
        <v>3.875744405E9</v>
      </c>
      <c r="M1652" s="387"/>
      <c r="N1652" s="481">
        <v>46153.0</v>
      </c>
      <c r="O1652" s="531" t="s">
        <v>9011</v>
      </c>
      <c r="P1652" s="387"/>
      <c r="Q1652" s="261" t="s">
        <v>13339</v>
      </c>
      <c r="R1652" s="434" t="s">
        <v>14213</v>
      </c>
      <c r="S1652" s="367"/>
      <c r="T1652" s="276"/>
      <c r="U1652" s="276"/>
      <c r="V1652" s="276"/>
      <c r="W1652" s="276"/>
      <c r="X1652" s="276"/>
      <c r="Y1652" s="276"/>
      <c r="Z1652" s="276"/>
      <c r="AA1652" s="276"/>
      <c r="AB1652" s="276"/>
      <c r="AC1652" s="276"/>
    </row>
    <row r="1653">
      <c r="A1653" s="624" t="s">
        <v>12731</v>
      </c>
      <c r="B1653" s="625">
        <v>46153.0</v>
      </c>
      <c r="C1653" s="626">
        <v>8.07000035978E11</v>
      </c>
      <c r="D1653" s="626" t="s">
        <v>12732</v>
      </c>
      <c r="E1653" s="626" t="s">
        <v>12733</v>
      </c>
      <c r="F1653" s="627" t="s">
        <v>12734</v>
      </c>
      <c r="G1653" s="627" t="s">
        <v>127</v>
      </c>
      <c r="H1653" s="627">
        <v>4400.0</v>
      </c>
      <c r="I1653" s="630">
        <v>914751.0</v>
      </c>
      <c r="J1653" s="626" t="s">
        <v>7853</v>
      </c>
      <c r="K1653" s="627">
        <v>1.0</v>
      </c>
      <c r="L1653" s="629">
        <v>3.875820057E9</v>
      </c>
      <c r="M1653" s="387"/>
      <c r="N1653" s="480">
        <v>46154.0</v>
      </c>
      <c r="O1653" s="402" t="s">
        <v>9011</v>
      </c>
      <c r="P1653" s="534"/>
      <c r="Q1653" s="430" t="s">
        <v>13339</v>
      </c>
      <c r="R1653" s="432" t="s">
        <v>14214</v>
      </c>
      <c r="S1653" s="367"/>
      <c r="T1653" s="276"/>
      <c r="U1653" s="276"/>
      <c r="V1653" s="276"/>
      <c r="W1653" s="276"/>
      <c r="X1653" s="276"/>
      <c r="Y1653" s="276"/>
      <c r="Z1653" s="276"/>
      <c r="AA1653" s="276"/>
      <c r="AB1653" s="276"/>
      <c r="AC1653" s="276"/>
    </row>
    <row r="1654">
      <c r="A1654" s="624" t="s">
        <v>12731</v>
      </c>
      <c r="B1654" s="625">
        <v>46153.0</v>
      </c>
      <c r="C1654" s="626">
        <v>8.07000035979E11</v>
      </c>
      <c r="D1654" s="626" t="s">
        <v>12732</v>
      </c>
      <c r="E1654" s="626" t="s">
        <v>12733</v>
      </c>
      <c r="F1654" s="627" t="s">
        <v>12734</v>
      </c>
      <c r="G1654" s="627" t="s">
        <v>127</v>
      </c>
      <c r="H1654" s="627">
        <v>4400.0</v>
      </c>
      <c r="I1654" s="628" t="s">
        <v>25</v>
      </c>
      <c r="J1654" s="626" t="s">
        <v>3401</v>
      </c>
      <c r="K1654" s="627">
        <v>1.0</v>
      </c>
      <c r="L1654" s="629">
        <v>3.875820057E9</v>
      </c>
      <c r="M1654" s="387"/>
      <c r="N1654" s="206"/>
      <c r="O1654" s="206"/>
      <c r="P1654" s="206"/>
      <c r="Q1654" s="206"/>
      <c r="R1654" s="206"/>
      <c r="S1654" s="367"/>
      <c r="T1654" s="276"/>
      <c r="U1654" s="276"/>
      <c r="V1654" s="276"/>
      <c r="W1654" s="276"/>
      <c r="X1654" s="276"/>
      <c r="Y1654" s="276"/>
      <c r="Z1654" s="276"/>
      <c r="AA1654" s="276"/>
      <c r="AB1654" s="276"/>
      <c r="AC1654" s="276"/>
    </row>
    <row r="1655">
      <c r="A1655" s="624" t="s">
        <v>12735</v>
      </c>
      <c r="B1655" s="625">
        <v>46153.0</v>
      </c>
      <c r="C1655" s="626">
        <v>8.07000035984E11</v>
      </c>
      <c r="D1655" s="626" t="s">
        <v>6428</v>
      </c>
      <c r="E1655" s="626" t="s">
        <v>6429</v>
      </c>
      <c r="F1655" s="627" t="s">
        <v>12736</v>
      </c>
      <c r="G1655" s="627" t="s">
        <v>20</v>
      </c>
      <c r="H1655" s="627" t="s">
        <v>1878</v>
      </c>
      <c r="I1655" s="628">
        <v>208501.0</v>
      </c>
      <c r="J1655" s="626" t="s">
        <v>481</v>
      </c>
      <c r="K1655" s="627">
        <v>2.0</v>
      </c>
      <c r="L1655" s="629">
        <v>3.876022283E9</v>
      </c>
      <c r="M1655" s="387"/>
      <c r="N1655" s="480">
        <v>46153.0</v>
      </c>
      <c r="O1655" s="402" t="s">
        <v>9011</v>
      </c>
      <c r="P1655" s="534"/>
      <c r="Q1655" s="430" t="s">
        <v>14215</v>
      </c>
      <c r="R1655" s="432" t="s">
        <v>14216</v>
      </c>
      <c r="S1655" s="367"/>
      <c r="T1655" s="276"/>
      <c r="U1655" s="276"/>
      <c r="V1655" s="276"/>
      <c r="W1655" s="276"/>
      <c r="X1655" s="276"/>
      <c r="Y1655" s="276"/>
      <c r="Z1655" s="276"/>
      <c r="AA1655" s="276"/>
      <c r="AB1655" s="276"/>
      <c r="AC1655" s="276"/>
    </row>
    <row r="1656">
      <c r="A1656" s="624" t="s">
        <v>12735</v>
      </c>
      <c r="B1656" s="625">
        <v>46153.0</v>
      </c>
      <c r="C1656" s="626">
        <v>8.07000035985E11</v>
      </c>
      <c r="D1656" s="626" t="s">
        <v>6428</v>
      </c>
      <c r="E1656" s="626" t="s">
        <v>6429</v>
      </c>
      <c r="F1656" s="627" t="s">
        <v>12736</v>
      </c>
      <c r="G1656" s="627" t="s">
        <v>20</v>
      </c>
      <c r="H1656" s="627" t="s">
        <v>1878</v>
      </c>
      <c r="I1656" s="628" t="s">
        <v>5262</v>
      </c>
      <c r="J1656" s="626" t="s">
        <v>5263</v>
      </c>
      <c r="K1656" s="627">
        <v>1.0</v>
      </c>
      <c r="L1656" s="629">
        <v>3.876022283E9</v>
      </c>
      <c r="M1656" s="387"/>
      <c r="N1656" s="209"/>
      <c r="O1656" s="209"/>
      <c r="P1656" s="209"/>
      <c r="Q1656" s="209"/>
      <c r="R1656" s="209"/>
      <c r="S1656" s="367"/>
      <c r="T1656" s="276"/>
      <c r="U1656" s="276"/>
      <c r="V1656" s="276"/>
      <c r="W1656" s="276"/>
      <c r="X1656" s="276"/>
      <c r="Y1656" s="276"/>
      <c r="Z1656" s="276"/>
      <c r="AA1656" s="276"/>
      <c r="AB1656" s="276"/>
      <c r="AC1656" s="276"/>
    </row>
    <row r="1657">
      <c r="A1657" s="624" t="s">
        <v>12735</v>
      </c>
      <c r="B1657" s="625">
        <v>46153.0</v>
      </c>
      <c r="C1657" s="626">
        <v>8.07000035985E11</v>
      </c>
      <c r="D1657" s="626" t="s">
        <v>6428</v>
      </c>
      <c r="E1657" s="626" t="s">
        <v>6429</v>
      </c>
      <c r="F1657" s="627" t="s">
        <v>12736</v>
      </c>
      <c r="G1657" s="627" t="s">
        <v>20</v>
      </c>
      <c r="H1657" s="627" t="s">
        <v>1878</v>
      </c>
      <c r="I1657" s="628" t="s">
        <v>6113</v>
      </c>
      <c r="J1657" s="626" t="s">
        <v>6114</v>
      </c>
      <c r="K1657" s="627">
        <v>1.0</v>
      </c>
      <c r="L1657" s="629">
        <v>3.876022283E9</v>
      </c>
      <c r="M1657" s="387"/>
      <c r="N1657" s="206"/>
      <c r="O1657" s="206"/>
      <c r="P1657" s="206"/>
      <c r="Q1657" s="206"/>
      <c r="R1657" s="206"/>
      <c r="S1657" s="367"/>
      <c r="T1657" s="276"/>
      <c r="U1657" s="276"/>
      <c r="V1657" s="276"/>
      <c r="W1657" s="276"/>
      <c r="X1657" s="276"/>
      <c r="Y1657" s="276"/>
      <c r="Z1657" s="276"/>
      <c r="AA1657" s="276"/>
      <c r="AB1657" s="276"/>
      <c r="AC1657" s="276"/>
    </row>
    <row r="1658">
      <c r="A1658" s="602"/>
      <c r="B1658" s="603"/>
      <c r="C1658" s="604"/>
      <c r="D1658" s="604"/>
      <c r="E1658" s="604"/>
      <c r="F1658" s="605"/>
      <c r="G1658" s="605"/>
      <c r="H1658" s="605"/>
      <c r="I1658" s="631"/>
      <c r="J1658" s="604"/>
      <c r="K1658" s="605"/>
      <c r="L1658" s="607"/>
      <c r="M1658" s="387"/>
      <c r="N1658" s="481"/>
      <c r="O1658" s="531"/>
      <c r="P1658" s="387"/>
      <c r="Q1658" s="261"/>
      <c r="R1658" s="449"/>
      <c r="S1658" s="367"/>
      <c r="T1658" s="276"/>
      <c r="U1658" s="276"/>
      <c r="V1658" s="276"/>
      <c r="W1658" s="276"/>
      <c r="X1658" s="276"/>
      <c r="Y1658" s="276"/>
      <c r="Z1658" s="276"/>
      <c r="AA1658" s="276"/>
      <c r="AB1658" s="276"/>
      <c r="AC1658" s="276"/>
    </row>
    <row r="1659">
      <c r="A1659" s="624" t="s">
        <v>12737</v>
      </c>
      <c r="B1659" s="625">
        <v>46154.0</v>
      </c>
      <c r="C1659" s="626">
        <v>8.07000036E11</v>
      </c>
      <c r="D1659" s="626" t="s">
        <v>12738</v>
      </c>
      <c r="E1659" s="626" t="s">
        <v>12739</v>
      </c>
      <c r="F1659" s="627" t="s">
        <v>12740</v>
      </c>
      <c r="G1659" s="627" t="s">
        <v>127</v>
      </c>
      <c r="H1659" s="627">
        <v>4400.0</v>
      </c>
      <c r="I1659" s="630">
        <v>914751.0</v>
      </c>
      <c r="J1659" s="626" t="s">
        <v>7853</v>
      </c>
      <c r="K1659" s="627">
        <v>1.0</v>
      </c>
      <c r="L1659" s="629">
        <v>3.873077546E9</v>
      </c>
      <c r="M1659" s="387"/>
      <c r="N1659" s="481">
        <v>46155.0</v>
      </c>
      <c r="O1659" s="531" t="s">
        <v>9011</v>
      </c>
      <c r="P1659" s="387"/>
      <c r="Q1659" s="261" t="s">
        <v>9012</v>
      </c>
      <c r="R1659" s="434" t="s">
        <v>14217</v>
      </c>
      <c r="S1659" s="367"/>
      <c r="T1659" s="276"/>
      <c r="U1659" s="276"/>
      <c r="V1659" s="276"/>
      <c r="W1659" s="276"/>
      <c r="X1659" s="276"/>
      <c r="Y1659" s="276"/>
      <c r="Z1659" s="276"/>
      <c r="AA1659" s="276"/>
      <c r="AB1659" s="276"/>
      <c r="AC1659" s="276"/>
    </row>
    <row r="1660">
      <c r="A1660" s="624" t="s">
        <v>12741</v>
      </c>
      <c r="B1660" s="625">
        <v>46154.0</v>
      </c>
      <c r="C1660" s="626">
        <v>8.07000035989E11</v>
      </c>
      <c r="D1660" s="626" t="s">
        <v>12742</v>
      </c>
      <c r="E1660" s="626" t="s">
        <v>12743</v>
      </c>
      <c r="F1660" s="627" t="s">
        <v>12744</v>
      </c>
      <c r="G1660" s="627" t="s">
        <v>127</v>
      </c>
      <c r="H1660" s="627">
        <v>4400.0</v>
      </c>
      <c r="I1660" s="628">
        <v>125820.0</v>
      </c>
      <c r="J1660" s="626" t="s">
        <v>10252</v>
      </c>
      <c r="K1660" s="627">
        <v>2.0</v>
      </c>
      <c r="L1660" s="629">
        <v>3.874887788E9</v>
      </c>
      <c r="M1660" s="387"/>
      <c r="N1660" s="480">
        <v>46154.0</v>
      </c>
      <c r="O1660" s="402" t="s">
        <v>9011</v>
      </c>
      <c r="P1660" s="534"/>
      <c r="Q1660" s="430" t="s">
        <v>14218</v>
      </c>
      <c r="R1660" s="432" t="s">
        <v>14219</v>
      </c>
      <c r="S1660" s="367"/>
      <c r="T1660" s="276"/>
      <c r="U1660" s="276"/>
      <c r="V1660" s="276"/>
      <c r="W1660" s="276"/>
      <c r="X1660" s="276"/>
      <c r="Y1660" s="276"/>
      <c r="Z1660" s="276"/>
      <c r="AA1660" s="276"/>
      <c r="AB1660" s="276"/>
      <c r="AC1660" s="276"/>
    </row>
    <row r="1661">
      <c r="A1661" s="624" t="s">
        <v>12741</v>
      </c>
      <c r="B1661" s="625">
        <v>46154.0</v>
      </c>
      <c r="C1661" s="626">
        <v>8.07000035989E11</v>
      </c>
      <c r="D1661" s="626" t="s">
        <v>12742</v>
      </c>
      <c r="E1661" s="626" t="s">
        <v>12743</v>
      </c>
      <c r="F1661" s="627" t="s">
        <v>12744</v>
      </c>
      <c r="G1661" s="627" t="s">
        <v>127</v>
      </c>
      <c r="H1661" s="627">
        <v>4400.0</v>
      </c>
      <c r="I1661" s="630">
        <v>916212.0</v>
      </c>
      <c r="J1661" s="626" t="s">
        <v>9868</v>
      </c>
      <c r="K1661" s="627">
        <v>1.0</v>
      </c>
      <c r="L1661" s="629">
        <v>3.874887788E9</v>
      </c>
      <c r="M1661" s="387"/>
      <c r="N1661" s="209"/>
      <c r="O1661" s="209"/>
      <c r="P1661" s="209"/>
      <c r="Q1661" s="209"/>
      <c r="R1661" s="209"/>
      <c r="S1661" s="367"/>
      <c r="T1661" s="276"/>
      <c r="U1661" s="276"/>
      <c r="V1661" s="276"/>
      <c r="W1661" s="276"/>
      <c r="X1661" s="276"/>
      <c r="Y1661" s="276"/>
      <c r="Z1661" s="276"/>
      <c r="AA1661" s="276"/>
      <c r="AB1661" s="276"/>
      <c r="AC1661" s="276"/>
    </row>
    <row r="1662">
      <c r="A1662" s="624" t="s">
        <v>12741</v>
      </c>
      <c r="B1662" s="625">
        <v>46154.0</v>
      </c>
      <c r="C1662" s="626">
        <v>8.07000035989E11</v>
      </c>
      <c r="D1662" s="626" t="s">
        <v>12742</v>
      </c>
      <c r="E1662" s="626" t="s">
        <v>12743</v>
      </c>
      <c r="F1662" s="627" t="s">
        <v>12744</v>
      </c>
      <c r="G1662" s="627" t="s">
        <v>127</v>
      </c>
      <c r="H1662" s="627">
        <v>4400.0</v>
      </c>
      <c r="I1662" s="628">
        <v>87611.0</v>
      </c>
      <c r="J1662" s="626" t="s">
        <v>9869</v>
      </c>
      <c r="K1662" s="627">
        <v>2.0</v>
      </c>
      <c r="L1662" s="629">
        <v>3.874887788E9</v>
      </c>
      <c r="M1662" s="387"/>
      <c r="N1662" s="206"/>
      <c r="O1662" s="206"/>
      <c r="P1662" s="206"/>
      <c r="Q1662" s="206"/>
      <c r="R1662" s="206"/>
      <c r="S1662" s="367"/>
      <c r="T1662" s="276"/>
      <c r="U1662" s="276"/>
      <c r="V1662" s="276"/>
      <c r="W1662" s="276"/>
      <c r="X1662" s="276"/>
      <c r="Y1662" s="276"/>
      <c r="Z1662" s="276"/>
      <c r="AA1662" s="276"/>
      <c r="AB1662" s="276"/>
      <c r="AC1662" s="276"/>
    </row>
    <row r="1663">
      <c r="A1663" s="624" t="s">
        <v>12745</v>
      </c>
      <c r="B1663" s="625">
        <v>46154.0</v>
      </c>
      <c r="C1663" s="626">
        <v>8.07000035995E11</v>
      </c>
      <c r="D1663" s="626" t="s">
        <v>12746</v>
      </c>
      <c r="E1663" s="626" t="s">
        <v>12747</v>
      </c>
      <c r="F1663" s="627" t="s">
        <v>12748</v>
      </c>
      <c r="G1663" s="627" t="s">
        <v>127</v>
      </c>
      <c r="H1663" s="627">
        <v>4400.0</v>
      </c>
      <c r="I1663" s="628" t="s">
        <v>3679</v>
      </c>
      <c r="J1663" s="626" t="s">
        <v>3680</v>
      </c>
      <c r="K1663" s="627">
        <v>1.0</v>
      </c>
      <c r="L1663" s="629">
        <v>3.875769922E9</v>
      </c>
      <c r="M1663" s="387"/>
      <c r="N1663" s="480">
        <v>46154.0</v>
      </c>
      <c r="O1663" s="402" t="s">
        <v>9011</v>
      </c>
      <c r="P1663" s="534"/>
      <c r="Q1663" s="430" t="s">
        <v>13339</v>
      </c>
      <c r="R1663" s="432" t="s">
        <v>14220</v>
      </c>
      <c r="S1663" s="367"/>
      <c r="T1663" s="276"/>
      <c r="U1663" s="276"/>
      <c r="V1663" s="276"/>
      <c r="W1663" s="276"/>
      <c r="X1663" s="276"/>
      <c r="Y1663" s="276"/>
      <c r="Z1663" s="276"/>
      <c r="AA1663" s="276"/>
      <c r="AB1663" s="276"/>
      <c r="AC1663" s="276"/>
    </row>
    <row r="1664">
      <c r="A1664" s="624" t="s">
        <v>12745</v>
      </c>
      <c r="B1664" s="625">
        <v>46154.0</v>
      </c>
      <c r="C1664" s="626">
        <v>8.07000035995E11</v>
      </c>
      <c r="D1664" s="626" t="s">
        <v>12746</v>
      </c>
      <c r="E1664" s="626" t="s">
        <v>12747</v>
      </c>
      <c r="F1664" s="627" t="s">
        <v>12748</v>
      </c>
      <c r="G1664" s="627" t="s">
        <v>127</v>
      </c>
      <c r="H1664" s="627">
        <v>4400.0</v>
      </c>
      <c r="I1664" s="628" t="s">
        <v>512</v>
      </c>
      <c r="J1664" s="626" t="s">
        <v>513</v>
      </c>
      <c r="K1664" s="627">
        <v>12.0</v>
      </c>
      <c r="L1664" s="629">
        <v>3.875769922E9</v>
      </c>
      <c r="M1664" s="387"/>
      <c r="N1664" s="209"/>
      <c r="O1664" s="209"/>
      <c r="P1664" s="209"/>
      <c r="Q1664" s="209"/>
      <c r="R1664" s="209"/>
      <c r="S1664" s="367"/>
      <c r="T1664" s="276"/>
      <c r="U1664" s="276"/>
      <c r="V1664" s="276"/>
      <c r="W1664" s="276"/>
      <c r="X1664" s="276"/>
      <c r="Y1664" s="276"/>
      <c r="Z1664" s="276"/>
      <c r="AA1664" s="276"/>
      <c r="AB1664" s="276"/>
      <c r="AC1664" s="276"/>
    </row>
    <row r="1665">
      <c r="A1665" s="624" t="s">
        <v>12745</v>
      </c>
      <c r="B1665" s="625">
        <v>46154.0</v>
      </c>
      <c r="C1665" s="626">
        <v>8.07000035995E11</v>
      </c>
      <c r="D1665" s="626" t="s">
        <v>12746</v>
      </c>
      <c r="E1665" s="626" t="s">
        <v>12747</v>
      </c>
      <c r="F1665" s="627" t="s">
        <v>12748</v>
      </c>
      <c r="G1665" s="627" t="s">
        <v>127</v>
      </c>
      <c r="H1665" s="627">
        <v>4400.0</v>
      </c>
      <c r="I1665" s="628" t="s">
        <v>645</v>
      </c>
      <c r="J1665" s="626" t="s">
        <v>3253</v>
      </c>
      <c r="K1665" s="627">
        <v>2.0</v>
      </c>
      <c r="L1665" s="629">
        <v>3.875769922E9</v>
      </c>
      <c r="M1665" s="387"/>
      <c r="N1665" s="206"/>
      <c r="O1665" s="206"/>
      <c r="P1665" s="206"/>
      <c r="Q1665" s="206"/>
      <c r="R1665" s="206"/>
      <c r="S1665" s="367"/>
      <c r="T1665" s="276"/>
      <c r="U1665" s="276"/>
      <c r="V1665" s="276"/>
      <c r="W1665" s="276"/>
      <c r="X1665" s="276"/>
      <c r="Y1665" s="276"/>
      <c r="Z1665" s="276"/>
      <c r="AA1665" s="276"/>
      <c r="AB1665" s="276"/>
      <c r="AC1665" s="276"/>
    </row>
    <row r="1666">
      <c r="A1666" s="624" t="s">
        <v>12749</v>
      </c>
      <c r="B1666" s="625">
        <v>46154.0</v>
      </c>
      <c r="C1666" s="626">
        <v>8.07000035998E11</v>
      </c>
      <c r="D1666" s="626" t="s">
        <v>12484</v>
      </c>
      <c r="E1666" s="626" t="s">
        <v>12485</v>
      </c>
      <c r="F1666" s="627" t="s">
        <v>12750</v>
      </c>
      <c r="G1666" s="627" t="s">
        <v>104</v>
      </c>
      <c r="H1666" s="627">
        <v>4400.0</v>
      </c>
      <c r="I1666" s="628">
        <v>125801.0</v>
      </c>
      <c r="J1666" s="626" t="s">
        <v>5192</v>
      </c>
      <c r="K1666" s="627">
        <v>2.0</v>
      </c>
      <c r="L1666" s="629">
        <v>1.153201077E9</v>
      </c>
      <c r="M1666" s="387"/>
      <c r="N1666" s="480">
        <v>46154.0</v>
      </c>
      <c r="O1666" s="402" t="s">
        <v>9011</v>
      </c>
      <c r="P1666" s="534"/>
      <c r="Q1666" s="430" t="s">
        <v>9012</v>
      </c>
      <c r="R1666" s="432" t="s">
        <v>14221</v>
      </c>
      <c r="S1666" s="367"/>
      <c r="T1666" s="276"/>
      <c r="U1666" s="276"/>
      <c r="V1666" s="276"/>
      <c r="W1666" s="276"/>
      <c r="X1666" s="276"/>
      <c r="Y1666" s="276"/>
      <c r="Z1666" s="276"/>
      <c r="AA1666" s="276"/>
      <c r="AB1666" s="276"/>
      <c r="AC1666" s="276"/>
    </row>
    <row r="1667">
      <c r="A1667" s="624" t="s">
        <v>12749</v>
      </c>
      <c r="B1667" s="625">
        <v>46154.0</v>
      </c>
      <c r="C1667" s="626">
        <v>8.07000035998E11</v>
      </c>
      <c r="D1667" s="626" t="s">
        <v>12484</v>
      </c>
      <c r="E1667" s="626" t="s">
        <v>12485</v>
      </c>
      <c r="F1667" s="627" t="s">
        <v>12750</v>
      </c>
      <c r="G1667" s="627" t="s">
        <v>104</v>
      </c>
      <c r="H1667" s="627">
        <v>4400.0</v>
      </c>
      <c r="I1667" s="628" t="s">
        <v>512</v>
      </c>
      <c r="J1667" s="626" t="s">
        <v>513</v>
      </c>
      <c r="K1667" s="627">
        <v>6.0</v>
      </c>
      <c r="L1667" s="629">
        <v>1.153201077E9</v>
      </c>
      <c r="M1667" s="387"/>
      <c r="N1667" s="209"/>
      <c r="O1667" s="209"/>
      <c r="P1667" s="209"/>
      <c r="Q1667" s="209"/>
      <c r="R1667" s="209"/>
      <c r="S1667" s="367"/>
      <c r="T1667" s="276"/>
      <c r="U1667" s="276"/>
      <c r="V1667" s="276"/>
      <c r="W1667" s="276"/>
      <c r="X1667" s="276"/>
      <c r="Y1667" s="276"/>
      <c r="Z1667" s="276"/>
      <c r="AA1667" s="276"/>
      <c r="AB1667" s="276"/>
      <c r="AC1667" s="276"/>
    </row>
    <row r="1668">
      <c r="A1668" s="624" t="s">
        <v>12749</v>
      </c>
      <c r="B1668" s="625">
        <v>46154.0</v>
      </c>
      <c r="C1668" s="626">
        <v>8.07000035999E11</v>
      </c>
      <c r="D1668" s="626" t="s">
        <v>12484</v>
      </c>
      <c r="E1668" s="626" t="s">
        <v>12485</v>
      </c>
      <c r="F1668" s="627" t="s">
        <v>12750</v>
      </c>
      <c r="G1668" s="627" t="s">
        <v>104</v>
      </c>
      <c r="H1668" s="627">
        <v>4400.0</v>
      </c>
      <c r="I1668" s="628" t="s">
        <v>5551</v>
      </c>
      <c r="J1668" s="626" t="s">
        <v>5552</v>
      </c>
      <c r="K1668" s="627">
        <v>1.0</v>
      </c>
      <c r="L1668" s="629">
        <v>1.153201077E9</v>
      </c>
      <c r="M1668" s="387"/>
      <c r="N1668" s="209"/>
      <c r="O1668" s="209"/>
      <c r="P1668" s="209"/>
      <c r="Q1668" s="209"/>
      <c r="R1668" s="209"/>
      <c r="S1668" s="367"/>
      <c r="T1668" s="276"/>
      <c r="U1668" s="276"/>
      <c r="V1668" s="276"/>
      <c r="W1668" s="276"/>
      <c r="X1668" s="276"/>
      <c r="Y1668" s="276"/>
      <c r="Z1668" s="276"/>
      <c r="AA1668" s="276"/>
      <c r="AB1668" s="276"/>
      <c r="AC1668" s="276"/>
    </row>
    <row r="1669">
      <c r="A1669" s="624" t="s">
        <v>12749</v>
      </c>
      <c r="B1669" s="625">
        <v>46154.0</v>
      </c>
      <c r="C1669" s="626">
        <v>8.07000035999E11</v>
      </c>
      <c r="D1669" s="626" t="s">
        <v>12484</v>
      </c>
      <c r="E1669" s="626" t="s">
        <v>12485</v>
      </c>
      <c r="F1669" s="627" t="s">
        <v>12750</v>
      </c>
      <c r="G1669" s="627" t="s">
        <v>104</v>
      </c>
      <c r="H1669" s="627">
        <v>4400.0</v>
      </c>
      <c r="I1669" s="628" t="s">
        <v>25</v>
      </c>
      <c r="J1669" s="626" t="s">
        <v>3401</v>
      </c>
      <c r="K1669" s="627">
        <v>1.0</v>
      </c>
      <c r="L1669" s="629">
        <v>1.153201077E9</v>
      </c>
      <c r="M1669" s="387"/>
      <c r="N1669" s="206"/>
      <c r="O1669" s="206"/>
      <c r="P1669" s="206"/>
      <c r="Q1669" s="206"/>
      <c r="R1669" s="206"/>
      <c r="S1669" s="367"/>
      <c r="T1669" s="276"/>
      <c r="U1669" s="276"/>
      <c r="V1669" s="276"/>
      <c r="W1669" s="276"/>
      <c r="X1669" s="276"/>
      <c r="Y1669" s="276"/>
      <c r="Z1669" s="276"/>
      <c r="AA1669" s="276"/>
      <c r="AB1669" s="276"/>
      <c r="AC1669" s="276"/>
    </row>
    <row r="1670">
      <c r="A1670" s="624" t="s">
        <v>12751</v>
      </c>
      <c r="B1670" s="625">
        <v>46154.0</v>
      </c>
      <c r="C1670" s="626">
        <v>8.07000036006E11</v>
      </c>
      <c r="D1670" s="626" t="s">
        <v>12752</v>
      </c>
      <c r="E1670" s="626" t="s">
        <v>12753</v>
      </c>
      <c r="F1670" s="627" t="s">
        <v>12754</v>
      </c>
      <c r="G1670" s="627" t="s">
        <v>127</v>
      </c>
      <c r="H1670" s="627">
        <v>4400.0</v>
      </c>
      <c r="I1670" s="628" t="s">
        <v>512</v>
      </c>
      <c r="J1670" s="626" t="s">
        <v>513</v>
      </c>
      <c r="K1670" s="627">
        <v>6.0</v>
      </c>
      <c r="L1670" s="629">
        <v>3.874866148E9</v>
      </c>
      <c r="M1670" s="387"/>
      <c r="N1670" s="480">
        <v>46154.0</v>
      </c>
      <c r="O1670" s="402" t="s">
        <v>9011</v>
      </c>
      <c r="P1670" s="534"/>
      <c r="Q1670" s="430" t="s">
        <v>13339</v>
      </c>
      <c r="R1670" s="432" t="s">
        <v>14222</v>
      </c>
      <c r="S1670" s="367"/>
      <c r="T1670" s="276"/>
      <c r="U1670" s="276"/>
      <c r="V1670" s="276"/>
      <c r="W1670" s="276"/>
      <c r="X1670" s="276"/>
      <c r="Y1670" s="276"/>
      <c r="Z1670" s="276"/>
      <c r="AA1670" s="276"/>
      <c r="AB1670" s="276"/>
      <c r="AC1670" s="276"/>
    </row>
    <row r="1671">
      <c r="A1671" s="624" t="s">
        <v>12751</v>
      </c>
      <c r="B1671" s="625">
        <v>46154.0</v>
      </c>
      <c r="C1671" s="626">
        <v>8.07000036007E11</v>
      </c>
      <c r="D1671" s="626" t="s">
        <v>12752</v>
      </c>
      <c r="E1671" s="626" t="s">
        <v>12753</v>
      </c>
      <c r="F1671" s="627" t="s">
        <v>12754</v>
      </c>
      <c r="G1671" s="627" t="s">
        <v>127</v>
      </c>
      <c r="H1671" s="627">
        <v>4400.0</v>
      </c>
      <c r="I1671" s="628" t="s">
        <v>3285</v>
      </c>
      <c r="J1671" s="626" t="s">
        <v>3286</v>
      </c>
      <c r="K1671" s="627">
        <v>1.0</v>
      </c>
      <c r="L1671" s="629">
        <v>3.874866148E9</v>
      </c>
      <c r="M1671" s="387"/>
      <c r="N1671" s="209"/>
      <c r="O1671" s="209"/>
      <c r="P1671" s="209"/>
      <c r="Q1671" s="209"/>
      <c r="R1671" s="209"/>
      <c r="S1671" s="367"/>
      <c r="T1671" s="276"/>
      <c r="U1671" s="276"/>
      <c r="V1671" s="276"/>
      <c r="W1671" s="276"/>
      <c r="X1671" s="276"/>
      <c r="Y1671" s="276"/>
      <c r="Z1671" s="276"/>
      <c r="AA1671" s="276"/>
      <c r="AB1671" s="276"/>
      <c r="AC1671" s="276"/>
    </row>
    <row r="1672">
      <c r="A1672" s="624" t="s">
        <v>12751</v>
      </c>
      <c r="B1672" s="625">
        <v>46154.0</v>
      </c>
      <c r="C1672" s="626">
        <v>8.07000036007E11</v>
      </c>
      <c r="D1672" s="626" t="s">
        <v>12752</v>
      </c>
      <c r="E1672" s="626" t="s">
        <v>12753</v>
      </c>
      <c r="F1672" s="627" t="s">
        <v>12754</v>
      </c>
      <c r="G1672" s="627" t="s">
        <v>127</v>
      </c>
      <c r="H1672" s="627">
        <v>4400.0</v>
      </c>
      <c r="I1672" s="628" t="s">
        <v>670</v>
      </c>
      <c r="J1672" s="626" t="s">
        <v>3410</v>
      </c>
      <c r="K1672" s="627">
        <v>1.0</v>
      </c>
      <c r="L1672" s="629">
        <v>3.874866148E9</v>
      </c>
      <c r="M1672" s="387"/>
      <c r="N1672" s="206"/>
      <c r="O1672" s="206"/>
      <c r="P1672" s="206"/>
      <c r="Q1672" s="206"/>
      <c r="R1672" s="206"/>
      <c r="S1672" s="367"/>
      <c r="T1672" s="276"/>
      <c r="U1672" s="276"/>
      <c r="V1672" s="276"/>
      <c r="W1672" s="276"/>
      <c r="X1672" s="276"/>
      <c r="Y1672" s="276"/>
      <c r="Z1672" s="276"/>
      <c r="AA1672" s="276"/>
      <c r="AB1672" s="276"/>
      <c r="AC1672" s="276"/>
    </row>
    <row r="1673">
      <c r="A1673" s="624" t="s">
        <v>12755</v>
      </c>
      <c r="B1673" s="625">
        <v>46154.0</v>
      </c>
      <c r="C1673" s="626">
        <v>8.07000036012E11</v>
      </c>
      <c r="D1673" s="626" t="s">
        <v>12756</v>
      </c>
      <c r="E1673" s="626" t="s">
        <v>12757</v>
      </c>
      <c r="F1673" s="627" t="s">
        <v>12758</v>
      </c>
      <c r="G1673" s="627" t="s">
        <v>127</v>
      </c>
      <c r="H1673" s="627">
        <v>4400.0</v>
      </c>
      <c r="I1673" s="630">
        <v>841702.0</v>
      </c>
      <c r="J1673" s="626" t="s">
        <v>7685</v>
      </c>
      <c r="K1673" s="627">
        <v>1.0</v>
      </c>
      <c r="L1673" s="629"/>
      <c r="M1673" s="387"/>
      <c r="N1673" s="481">
        <v>46154.0</v>
      </c>
      <c r="O1673" s="531" t="s">
        <v>13338</v>
      </c>
      <c r="P1673" s="387"/>
      <c r="Q1673" s="261" t="s">
        <v>9012</v>
      </c>
      <c r="R1673" s="434" t="s">
        <v>14223</v>
      </c>
      <c r="S1673" s="367"/>
      <c r="T1673" s="276"/>
      <c r="U1673" s="276"/>
      <c r="V1673" s="276"/>
      <c r="W1673" s="276"/>
      <c r="X1673" s="276"/>
      <c r="Y1673" s="276"/>
      <c r="Z1673" s="276"/>
      <c r="AA1673" s="276"/>
      <c r="AB1673" s="276"/>
      <c r="AC1673" s="276"/>
    </row>
    <row r="1674">
      <c r="A1674" s="624" t="s">
        <v>12759</v>
      </c>
      <c r="B1674" s="625">
        <v>46154.0</v>
      </c>
      <c r="C1674" s="626">
        <v>8.07000036015E11</v>
      </c>
      <c r="D1674" s="626" t="s">
        <v>12760</v>
      </c>
      <c r="E1674" s="626" t="s">
        <v>12761</v>
      </c>
      <c r="F1674" s="627" t="s">
        <v>12762</v>
      </c>
      <c r="G1674" s="627" t="s">
        <v>4496</v>
      </c>
      <c r="H1674" s="627">
        <v>4401.0</v>
      </c>
      <c r="I1674" s="628">
        <v>125801.0</v>
      </c>
      <c r="J1674" s="626" t="s">
        <v>5192</v>
      </c>
      <c r="K1674" s="627">
        <v>4.0</v>
      </c>
      <c r="L1674" s="629">
        <v>3.875093923E9</v>
      </c>
      <c r="M1674" s="387"/>
      <c r="N1674" s="480">
        <v>46154.0</v>
      </c>
      <c r="O1674" s="402" t="s">
        <v>13338</v>
      </c>
      <c r="P1674" s="534"/>
      <c r="Q1674" s="430" t="s">
        <v>14224</v>
      </c>
      <c r="R1674" s="432" t="s">
        <v>14225</v>
      </c>
      <c r="S1674" s="367"/>
      <c r="T1674" s="276"/>
      <c r="U1674" s="276"/>
      <c r="V1674" s="276"/>
      <c r="W1674" s="276"/>
      <c r="X1674" s="276"/>
      <c r="Y1674" s="276"/>
      <c r="Z1674" s="276"/>
      <c r="AA1674" s="276"/>
      <c r="AB1674" s="276"/>
      <c r="AC1674" s="276"/>
    </row>
    <row r="1675">
      <c r="A1675" s="626" t="s">
        <v>12759</v>
      </c>
      <c r="B1675" s="625">
        <v>46154.0</v>
      </c>
      <c r="C1675" s="626">
        <v>8.07000036016E11</v>
      </c>
      <c r="D1675" s="626" t="s">
        <v>12760</v>
      </c>
      <c r="E1675" s="626" t="s">
        <v>12761</v>
      </c>
      <c r="F1675" s="627" t="s">
        <v>12762</v>
      </c>
      <c r="G1675" s="627" t="s">
        <v>4496</v>
      </c>
      <c r="H1675" s="627">
        <v>4401.0</v>
      </c>
      <c r="I1675" s="628" t="s">
        <v>6113</v>
      </c>
      <c r="J1675" s="626" t="s">
        <v>6114</v>
      </c>
      <c r="K1675" s="627">
        <v>1.0</v>
      </c>
      <c r="L1675" s="629">
        <v>3.875093923E9</v>
      </c>
      <c r="M1675" s="387"/>
      <c r="N1675" s="209"/>
      <c r="O1675" s="209"/>
      <c r="P1675" s="209"/>
      <c r="Q1675" s="209"/>
      <c r="R1675" s="209"/>
      <c r="S1675" s="367"/>
      <c r="T1675" s="276"/>
      <c r="U1675" s="276"/>
      <c r="V1675" s="276"/>
      <c r="W1675" s="276"/>
      <c r="X1675" s="276"/>
      <c r="Y1675" s="276"/>
      <c r="Z1675" s="276"/>
      <c r="AA1675" s="276"/>
      <c r="AB1675" s="276"/>
      <c r="AC1675" s="276"/>
    </row>
    <row r="1676">
      <c r="A1676" s="626" t="s">
        <v>12759</v>
      </c>
      <c r="B1676" s="625">
        <v>46154.0</v>
      </c>
      <c r="C1676" s="626">
        <v>8.07000036016E11</v>
      </c>
      <c r="D1676" s="626" t="s">
        <v>12760</v>
      </c>
      <c r="E1676" s="626" t="s">
        <v>12761</v>
      </c>
      <c r="F1676" s="627" t="s">
        <v>12762</v>
      </c>
      <c r="G1676" s="627" t="s">
        <v>4496</v>
      </c>
      <c r="H1676" s="627">
        <v>4401.0</v>
      </c>
      <c r="I1676" s="628" t="s">
        <v>3649</v>
      </c>
      <c r="J1676" s="626" t="s">
        <v>3650</v>
      </c>
      <c r="K1676" s="627">
        <v>1.0</v>
      </c>
      <c r="L1676" s="629">
        <v>3.875093923E9</v>
      </c>
      <c r="M1676" s="387"/>
      <c r="N1676" s="206"/>
      <c r="O1676" s="206"/>
      <c r="P1676" s="206"/>
      <c r="Q1676" s="206"/>
      <c r="R1676" s="206"/>
      <c r="S1676" s="367"/>
      <c r="T1676" s="276"/>
      <c r="U1676" s="276"/>
      <c r="V1676" s="276"/>
      <c r="W1676" s="276"/>
      <c r="X1676" s="276"/>
      <c r="Y1676" s="276"/>
      <c r="Z1676" s="276"/>
      <c r="AA1676" s="276"/>
      <c r="AB1676" s="276"/>
      <c r="AC1676" s="276"/>
    </row>
    <row r="1677">
      <c r="A1677" s="624" t="s">
        <v>12763</v>
      </c>
      <c r="B1677" s="625">
        <v>46154.0</v>
      </c>
      <c r="C1677" s="626">
        <v>8.0700003601E11</v>
      </c>
      <c r="D1677" s="626" t="s">
        <v>12764</v>
      </c>
      <c r="E1677" s="626" t="s">
        <v>12765</v>
      </c>
      <c r="F1677" s="627" t="s">
        <v>12766</v>
      </c>
      <c r="G1677" s="627" t="s">
        <v>127</v>
      </c>
      <c r="H1677" s="627">
        <v>4400.0</v>
      </c>
      <c r="I1677" s="630">
        <v>915481.0</v>
      </c>
      <c r="J1677" s="626" t="s">
        <v>8241</v>
      </c>
      <c r="K1677" s="627">
        <v>1.0</v>
      </c>
      <c r="L1677" s="629">
        <v>3.87441377E9</v>
      </c>
      <c r="M1677" s="387"/>
      <c r="N1677" s="480">
        <v>46155.0</v>
      </c>
      <c r="O1677" s="402" t="s">
        <v>9011</v>
      </c>
      <c r="P1677" s="534"/>
      <c r="Q1677" s="430" t="s">
        <v>13339</v>
      </c>
      <c r="R1677" s="432" t="s">
        <v>14226</v>
      </c>
      <c r="S1677" s="367"/>
      <c r="T1677" s="276"/>
      <c r="U1677" s="276"/>
      <c r="V1677" s="276"/>
      <c r="W1677" s="276"/>
      <c r="X1677" s="276"/>
      <c r="Y1677" s="276"/>
      <c r="Z1677" s="276"/>
      <c r="AA1677" s="276"/>
      <c r="AB1677" s="276"/>
      <c r="AC1677" s="276"/>
    </row>
    <row r="1678">
      <c r="A1678" s="624" t="s">
        <v>12763</v>
      </c>
      <c r="B1678" s="625">
        <v>46154.0</v>
      </c>
      <c r="C1678" s="626">
        <v>8.07000036011E11</v>
      </c>
      <c r="D1678" s="626" t="s">
        <v>12764</v>
      </c>
      <c r="E1678" s="626" t="s">
        <v>12765</v>
      </c>
      <c r="F1678" s="627" t="s">
        <v>12766</v>
      </c>
      <c r="G1678" s="627" t="s">
        <v>127</v>
      </c>
      <c r="H1678" s="627">
        <v>4400.0</v>
      </c>
      <c r="I1678" s="628" t="s">
        <v>758</v>
      </c>
      <c r="J1678" s="626" t="s">
        <v>3574</v>
      </c>
      <c r="K1678" s="627">
        <v>2.0</v>
      </c>
      <c r="L1678" s="629">
        <v>3.87441377E9</v>
      </c>
      <c r="M1678" s="387"/>
      <c r="N1678" s="206"/>
      <c r="O1678" s="206"/>
      <c r="P1678" s="206"/>
      <c r="Q1678" s="206"/>
      <c r="R1678" s="206"/>
      <c r="S1678" s="367"/>
      <c r="T1678" s="276"/>
      <c r="U1678" s="276"/>
      <c r="V1678" s="276"/>
      <c r="W1678" s="276"/>
      <c r="X1678" s="276"/>
      <c r="Y1678" s="276"/>
      <c r="Z1678" s="276"/>
      <c r="AA1678" s="276"/>
      <c r="AB1678" s="276"/>
      <c r="AC1678" s="276"/>
    </row>
    <row r="1679">
      <c r="A1679" s="624" t="s">
        <v>12767</v>
      </c>
      <c r="B1679" s="625">
        <v>46154.0</v>
      </c>
      <c r="C1679" s="626">
        <v>8.07000036017E11</v>
      </c>
      <c r="D1679" s="626" t="s">
        <v>12768</v>
      </c>
      <c r="E1679" s="626" t="s">
        <v>12769</v>
      </c>
      <c r="F1679" s="627" t="s">
        <v>12770</v>
      </c>
      <c r="G1679" s="627" t="s">
        <v>127</v>
      </c>
      <c r="H1679" s="627">
        <v>4400.0</v>
      </c>
      <c r="I1679" s="628">
        <v>125813.0</v>
      </c>
      <c r="J1679" s="626" t="s">
        <v>5703</v>
      </c>
      <c r="K1679" s="627">
        <v>2.0</v>
      </c>
      <c r="L1679" s="629">
        <v>3.874581453E9</v>
      </c>
      <c r="M1679" s="387"/>
      <c r="N1679" s="480">
        <v>46154.0</v>
      </c>
      <c r="O1679" s="402" t="s">
        <v>9011</v>
      </c>
      <c r="P1679" s="534"/>
      <c r="Q1679" s="430" t="s">
        <v>13339</v>
      </c>
      <c r="R1679" s="432" t="s">
        <v>14227</v>
      </c>
      <c r="S1679" s="367"/>
      <c r="T1679" s="276"/>
      <c r="U1679" s="276"/>
      <c r="V1679" s="276"/>
      <c r="W1679" s="276"/>
      <c r="X1679" s="276"/>
      <c r="Y1679" s="276"/>
      <c r="Z1679" s="276"/>
      <c r="AA1679" s="276"/>
      <c r="AB1679" s="276"/>
      <c r="AC1679" s="276"/>
    </row>
    <row r="1680">
      <c r="A1680" s="624" t="s">
        <v>12767</v>
      </c>
      <c r="B1680" s="625">
        <v>46154.0</v>
      </c>
      <c r="C1680" s="626">
        <v>8.07000036017E11</v>
      </c>
      <c r="D1680" s="626" t="s">
        <v>12768</v>
      </c>
      <c r="E1680" s="626" t="s">
        <v>12769</v>
      </c>
      <c r="F1680" s="627" t="s">
        <v>12770</v>
      </c>
      <c r="G1680" s="627" t="s">
        <v>127</v>
      </c>
      <c r="H1680" s="627">
        <v>4400.0</v>
      </c>
      <c r="I1680" s="628">
        <v>125818.0</v>
      </c>
      <c r="J1680" s="626" t="s">
        <v>4334</v>
      </c>
      <c r="K1680" s="627">
        <v>2.0</v>
      </c>
      <c r="L1680" s="629">
        <v>3.874581453E9</v>
      </c>
      <c r="M1680" s="387"/>
      <c r="N1680" s="209"/>
      <c r="O1680" s="209"/>
      <c r="P1680" s="209"/>
      <c r="Q1680" s="209"/>
      <c r="R1680" s="209"/>
      <c r="S1680" s="367"/>
      <c r="T1680" s="276"/>
      <c r="U1680" s="276"/>
      <c r="V1680" s="276"/>
      <c r="W1680" s="276"/>
      <c r="X1680" s="276"/>
      <c r="Y1680" s="276"/>
      <c r="Z1680" s="276"/>
      <c r="AA1680" s="276"/>
      <c r="AB1680" s="276"/>
      <c r="AC1680" s="276"/>
    </row>
    <row r="1681">
      <c r="A1681" s="624" t="s">
        <v>12767</v>
      </c>
      <c r="B1681" s="625">
        <v>46154.0</v>
      </c>
      <c r="C1681" s="626">
        <v>8.07000036017E11</v>
      </c>
      <c r="D1681" s="626" t="s">
        <v>12768</v>
      </c>
      <c r="E1681" s="626" t="s">
        <v>12769</v>
      </c>
      <c r="F1681" s="627" t="s">
        <v>12770</v>
      </c>
      <c r="G1681" s="627" t="s">
        <v>127</v>
      </c>
      <c r="H1681" s="627">
        <v>4400.0</v>
      </c>
      <c r="I1681" s="628" t="s">
        <v>7955</v>
      </c>
      <c r="J1681" s="626" t="s">
        <v>7956</v>
      </c>
      <c r="K1681" s="627">
        <v>1.0</v>
      </c>
      <c r="L1681" s="629">
        <v>3.874581453E9</v>
      </c>
      <c r="M1681" s="387"/>
      <c r="N1681" s="209"/>
      <c r="O1681" s="209"/>
      <c r="P1681" s="209"/>
      <c r="Q1681" s="209"/>
      <c r="R1681" s="209"/>
      <c r="S1681" s="367"/>
      <c r="T1681" s="276"/>
      <c r="U1681" s="276"/>
      <c r="V1681" s="276"/>
      <c r="W1681" s="276"/>
      <c r="X1681" s="276"/>
      <c r="Y1681" s="276"/>
      <c r="Z1681" s="276"/>
      <c r="AA1681" s="276"/>
      <c r="AB1681" s="276"/>
      <c r="AC1681" s="276"/>
    </row>
    <row r="1682">
      <c r="A1682" s="624" t="s">
        <v>12767</v>
      </c>
      <c r="B1682" s="625">
        <v>46154.0</v>
      </c>
      <c r="C1682" s="626">
        <v>8.07000036017E11</v>
      </c>
      <c r="D1682" s="626" t="s">
        <v>12768</v>
      </c>
      <c r="E1682" s="626" t="s">
        <v>12769</v>
      </c>
      <c r="F1682" s="627" t="s">
        <v>12770</v>
      </c>
      <c r="G1682" s="627" t="s">
        <v>127</v>
      </c>
      <c r="H1682" s="627">
        <v>4400.0</v>
      </c>
      <c r="I1682" s="628" t="s">
        <v>512</v>
      </c>
      <c r="J1682" s="626" t="s">
        <v>513</v>
      </c>
      <c r="K1682" s="627">
        <v>12.0</v>
      </c>
      <c r="L1682" s="629">
        <v>3.874581453E9</v>
      </c>
      <c r="M1682" s="387"/>
      <c r="N1682" s="209"/>
      <c r="O1682" s="209"/>
      <c r="P1682" s="209"/>
      <c r="Q1682" s="209"/>
      <c r="R1682" s="209"/>
      <c r="S1682" s="367"/>
      <c r="T1682" s="276"/>
      <c r="U1682" s="276"/>
      <c r="V1682" s="276"/>
      <c r="W1682" s="276"/>
      <c r="X1682" s="276"/>
      <c r="Y1682" s="276"/>
      <c r="Z1682" s="276"/>
      <c r="AA1682" s="276"/>
      <c r="AB1682" s="276"/>
      <c r="AC1682" s="276"/>
    </row>
    <row r="1683">
      <c r="A1683" s="624" t="s">
        <v>12767</v>
      </c>
      <c r="B1683" s="625">
        <v>46154.0</v>
      </c>
      <c r="C1683" s="626">
        <v>8.07000036017E11</v>
      </c>
      <c r="D1683" s="626" t="s">
        <v>12768</v>
      </c>
      <c r="E1683" s="626" t="s">
        <v>12769</v>
      </c>
      <c r="F1683" s="627" t="s">
        <v>12770</v>
      </c>
      <c r="G1683" s="627" t="s">
        <v>127</v>
      </c>
      <c r="H1683" s="627">
        <v>4400.0</v>
      </c>
      <c r="I1683" s="628" t="s">
        <v>12771</v>
      </c>
      <c r="J1683" s="626" t="s">
        <v>12772</v>
      </c>
      <c r="K1683" s="627">
        <v>1.0</v>
      </c>
      <c r="L1683" s="629">
        <v>3.874581453E9</v>
      </c>
      <c r="M1683" s="387"/>
      <c r="N1683" s="209"/>
      <c r="O1683" s="209"/>
      <c r="P1683" s="209"/>
      <c r="Q1683" s="209"/>
      <c r="R1683" s="209"/>
      <c r="S1683" s="367"/>
      <c r="T1683" s="276"/>
      <c r="U1683" s="276"/>
      <c r="V1683" s="276"/>
      <c r="W1683" s="276"/>
      <c r="X1683" s="276"/>
      <c r="Y1683" s="276"/>
      <c r="Z1683" s="276"/>
      <c r="AA1683" s="276"/>
      <c r="AB1683" s="276"/>
      <c r="AC1683" s="276"/>
    </row>
    <row r="1684">
      <c r="A1684" s="624" t="s">
        <v>12767</v>
      </c>
      <c r="B1684" s="625">
        <v>46154.0</v>
      </c>
      <c r="C1684" s="626">
        <v>8.07000036017E11</v>
      </c>
      <c r="D1684" s="626" t="s">
        <v>12768</v>
      </c>
      <c r="E1684" s="626" t="s">
        <v>12769</v>
      </c>
      <c r="F1684" s="627" t="s">
        <v>12770</v>
      </c>
      <c r="G1684" s="627" t="s">
        <v>127</v>
      </c>
      <c r="H1684" s="627">
        <v>4400.0</v>
      </c>
      <c r="I1684" s="628" t="s">
        <v>758</v>
      </c>
      <c r="J1684" s="626" t="s">
        <v>3574</v>
      </c>
      <c r="K1684" s="627">
        <v>2.0</v>
      </c>
      <c r="L1684" s="629">
        <v>3.874581453E9</v>
      </c>
      <c r="M1684" s="387"/>
      <c r="N1684" s="206"/>
      <c r="O1684" s="206"/>
      <c r="P1684" s="206"/>
      <c r="Q1684" s="206"/>
      <c r="R1684" s="206"/>
      <c r="S1684" s="367"/>
      <c r="T1684" s="276"/>
      <c r="U1684" s="276"/>
      <c r="V1684" s="276"/>
      <c r="W1684" s="276"/>
      <c r="X1684" s="276"/>
      <c r="Y1684" s="276"/>
      <c r="Z1684" s="276"/>
      <c r="AA1684" s="276"/>
      <c r="AB1684" s="276"/>
      <c r="AC1684" s="276"/>
    </row>
    <row r="1685">
      <c r="A1685" s="632" t="s">
        <v>12773</v>
      </c>
      <c r="B1685" s="633"/>
      <c r="C1685" s="634">
        <v>8.07000036018E11</v>
      </c>
      <c r="D1685" s="634" t="s">
        <v>12774</v>
      </c>
      <c r="E1685" s="634" t="s">
        <v>12775</v>
      </c>
      <c r="F1685" s="635" t="s">
        <v>12776</v>
      </c>
      <c r="G1685" s="635" t="s">
        <v>127</v>
      </c>
      <c r="H1685" s="635">
        <v>4400.0</v>
      </c>
      <c r="I1685" s="636" t="s">
        <v>50</v>
      </c>
      <c r="J1685" s="634" t="s">
        <v>51</v>
      </c>
      <c r="K1685" s="635">
        <v>1.0</v>
      </c>
      <c r="L1685" s="637">
        <v>3.875923738E9</v>
      </c>
      <c r="M1685" s="387"/>
      <c r="N1685" s="481">
        <v>46154.0</v>
      </c>
      <c r="O1685" s="531" t="s">
        <v>9011</v>
      </c>
      <c r="P1685" s="387"/>
      <c r="Q1685" s="261" t="s">
        <v>9012</v>
      </c>
      <c r="R1685" s="434" t="s">
        <v>14228</v>
      </c>
      <c r="S1685" s="367"/>
      <c r="T1685" s="276"/>
      <c r="U1685" s="276"/>
      <c r="V1685" s="276"/>
      <c r="W1685" s="276"/>
      <c r="X1685" s="276"/>
      <c r="Y1685" s="276"/>
      <c r="Z1685" s="276"/>
      <c r="AA1685" s="276"/>
      <c r="AB1685" s="276"/>
      <c r="AC1685" s="276"/>
    </row>
    <row r="1686">
      <c r="A1686" s="602"/>
      <c r="B1686" s="603"/>
      <c r="C1686" s="604"/>
      <c r="D1686" s="604"/>
      <c r="E1686" s="604"/>
      <c r="F1686" s="605"/>
      <c r="G1686" s="605"/>
      <c r="H1686" s="605"/>
      <c r="I1686" s="606"/>
      <c r="J1686" s="604"/>
      <c r="K1686" s="605"/>
      <c r="L1686" s="607"/>
      <c r="M1686" s="387"/>
      <c r="N1686" s="481"/>
      <c r="O1686" s="531"/>
      <c r="P1686" s="387"/>
      <c r="Q1686" s="261"/>
      <c r="R1686" s="449"/>
      <c r="S1686" s="367"/>
      <c r="T1686" s="276"/>
      <c r="U1686" s="276"/>
      <c r="V1686" s="276"/>
      <c r="W1686" s="276"/>
      <c r="X1686" s="276"/>
      <c r="Y1686" s="276"/>
      <c r="Z1686" s="276"/>
      <c r="AA1686" s="276"/>
      <c r="AB1686" s="276"/>
      <c r="AC1686" s="276"/>
    </row>
    <row r="1687">
      <c r="A1687" s="624" t="s">
        <v>12777</v>
      </c>
      <c r="B1687" s="625">
        <v>46155.0</v>
      </c>
      <c r="C1687" s="626">
        <v>8.05011575217E11</v>
      </c>
      <c r="D1687" s="626" t="s">
        <v>11718</v>
      </c>
      <c r="E1687" s="626" t="s">
        <v>11719</v>
      </c>
      <c r="F1687" s="627" t="s">
        <v>12778</v>
      </c>
      <c r="G1687" s="627" t="s">
        <v>5139</v>
      </c>
      <c r="H1687" s="627">
        <v>4568.0</v>
      </c>
      <c r="I1687" s="628" t="s">
        <v>32</v>
      </c>
      <c r="J1687" s="626" t="s">
        <v>3225</v>
      </c>
      <c r="K1687" s="627">
        <v>2.0</v>
      </c>
      <c r="L1687" s="629">
        <v>3.873458711E9</v>
      </c>
      <c r="M1687" s="387"/>
      <c r="N1687" s="480">
        <v>46165.0</v>
      </c>
      <c r="O1687" s="402" t="s">
        <v>9011</v>
      </c>
      <c r="P1687" s="534"/>
      <c r="Q1687" s="430" t="s">
        <v>9012</v>
      </c>
      <c r="R1687" s="432" t="s">
        <v>14229</v>
      </c>
      <c r="S1687" s="367"/>
      <c r="T1687" s="276"/>
      <c r="U1687" s="276"/>
      <c r="V1687" s="276"/>
      <c r="W1687" s="276"/>
      <c r="X1687" s="276"/>
      <c r="Y1687" s="276"/>
      <c r="Z1687" s="276"/>
      <c r="AA1687" s="276"/>
      <c r="AB1687" s="276"/>
      <c r="AC1687" s="276"/>
    </row>
    <row r="1688">
      <c r="A1688" s="624" t="s">
        <v>12777</v>
      </c>
      <c r="B1688" s="625">
        <v>46155.0</v>
      </c>
      <c r="C1688" s="626">
        <v>8.05011575217E11</v>
      </c>
      <c r="D1688" s="626" t="s">
        <v>11718</v>
      </c>
      <c r="E1688" s="626" t="s">
        <v>11719</v>
      </c>
      <c r="F1688" s="627" t="s">
        <v>12778</v>
      </c>
      <c r="G1688" s="627" t="s">
        <v>5139</v>
      </c>
      <c r="H1688" s="627">
        <v>4568.0</v>
      </c>
      <c r="I1688" s="628" t="s">
        <v>512</v>
      </c>
      <c r="J1688" s="626" t="s">
        <v>513</v>
      </c>
      <c r="K1688" s="627">
        <v>12.0</v>
      </c>
      <c r="L1688" s="629">
        <v>3.873458711E9</v>
      </c>
      <c r="M1688" s="387"/>
      <c r="N1688" s="209"/>
      <c r="O1688" s="209"/>
      <c r="P1688" s="209"/>
      <c r="Q1688" s="209"/>
      <c r="R1688" s="209"/>
      <c r="S1688" s="367"/>
      <c r="T1688" s="276"/>
      <c r="U1688" s="276"/>
      <c r="V1688" s="276"/>
      <c r="W1688" s="276"/>
      <c r="X1688" s="276"/>
      <c r="Y1688" s="276"/>
      <c r="Z1688" s="276"/>
      <c r="AA1688" s="276"/>
      <c r="AB1688" s="276"/>
      <c r="AC1688" s="276"/>
    </row>
    <row r="1689">
      <c r="A1689" s="624" t="s">
        <v>12777</v>
      </c>
      <c r="B1689" s="625">
        <v>46155.0</v>
      </c>
      <c r="C1689" s="626">
        <v>8.05011575217E11</v>
      </c>
      <c r="D1689" s="626" t="s">
        <v>11718</v>
      </c>
      <c r="E1689" s="626" t="s">
        <v>11719</v>
      </c>
      <c r="F1689" s="627" t="s">
        <v>12778</v>
      </c>
      <c r="G1689" s="627" t="s">
        <v>5139</v>
      </c>
      <c r="H1689" s="627">
        <v>4568.0</v>
      </c>
      <c r="I1689" s="628" t="s">
        <v>670</v>
      </c>
      <c r="J1689" s="626" t="s">
        <v>3410</v>
      </c>
      <c r="K1689" s="627">
        <v>2.0</v>
      </c>
      <c r="L1689" s="629">
        <v>3.873458711E9</v>
      </c>
      <c r="M1689" s="387"/>
      <c r="N1689" s="206"/>
      <c r="O1689" s="206"/>
      <c r="P1689" s="206"/>
      <c r="Q1689" s="206"/>
      <c r="R1689" s="206"/>
      <c r="S1689" s="367"/>
      <c r="T1689" s="276"/>
      <c r="U1689" s="276"/>
      <c r="V1689" s="276"/>
      <c r="W1689" s="276"/>
      <c r="X1689" s="276"/>
      <c r="Y1689" s="276"/>
      <c r="Z1689" s="276"/>
      <c r="AA1689" s="276"/>
      <c r="AB1689" s="276"/>
      <c r="AC1689" s="276"/>
    </row>
    <row r="1690">
      <c r="A1690" s="624" t="s">
        <v>12779</v>
      </c>
      <c r="B1690" s="625">
        <v>46155.0</v>
      </c>
      <c r="C1690" s="626">
        <v>8.0700003602E11</v>
      </c>
      <c r="D1690" s="626" t="s">
        <v>12780</v>
      </c>
      <c r="E1690" s="626" t="s">
        <v>12781</v>
      </c>
      <c r="F1690" s="627" t="s">
        <v>12782</v>
      </c>
      <c r="G1690" s="627" t="s">
        <v>4645</v>
      </c>
      <c r="H1690" s="627">
        <v>4400.0</v>
      </c>
      <c r="I1690" s="628" t="s">
        <v>512</v>
      </c>
      <c r="J1690" s="626" t="s">
        <v>513</v>
      </c>
      <c r="K1690" s="627">
        <v>12.0</v>
      </c>
      <c r="L1690" s="629">
        <v>3.874876851E9</v>
      </c>
      <c r="M1690" s="387"/>
      <c r="N1690" s="480">
        <v>46155.0</v>
      </c>
      <c r="O1690" s="402" t="s">
        <v>9011</v>
      </c>
      <c r="P1690" s="534"/>
      <c r="Q1690" s="430" t="s">
        <v>14230</v>
      </c>
      <c r="R1690" s="432" t="s">
        <v>14231</v>
      </c>
      <c r="S1690" s="367"/>
      <c r="T1690" s="276"/>
      <c r="U1690" s="276"/>
      <c r="V1690" s="276"/>
      <c r="W1690" s="276"/>
      <c r="X1690" s="276"/>
      <c r="Y1690" s="276"/>
      <c r="Z1690" s="276"/>
      <c r="AA1690" s="276"/>
      <c r="AB1690" s="276"/>
      <c r="AC1690" s="276"/>
    </row>
    <row r="1691">
      <c r="A1691" s="624" t="s">
        <v>12779</v>
      </c>
      <c r="B1691" s="625">
        <v>46155.0</v>
      </c>
      <c r="C1691" s="626">
        <v>8.07000036021E11</v>
      </c>
      <c r="D1691" s="626" t="s">
        <v>12780</v>
      </c>
      <c r="E1691" s="626" t="s">
        <v>12781</v>
      </c>
      <c r="F1691" s="627" t="s">
        <v>12782</v>
      </c>
      <c r="G1691" s="627" t="s">
        <v>4645</v>
      </c>
      <c r="H1691" s="627">
        <v>4400.0</v>
      </c>
      <c r="I1691" s="628" t="s">
        <v>3979</v>
      </c>
      <c r="J1691" s="626" t="s">
        <v>3980</v>
      </c>
      <c r="K1691" s="627">
        <v>1.0</v>
      </c>
      <c r="L1691" s="629">
        <v>3.874876851E9</v>
      </c>
      <c r="M1691" s="387"/>
      <c r="N1691" s="209"/>
      <c r="O1691" s="209"/>
      <c r="P1691" s="209"/>
      <c r="Q1691" s="209"/>
      <c r="R1691" s="209"/>
      <c r="S1691" s="367"/>
      <c r="T1691" s="276"/>
      <c r="U1691" s="276"/>
      <c r="V1691" s="276"/>
      <c r="W1691" s="276"/>
      <c r="X1691" s="276"/>
      <c r="Y1691" s="276"/>
      <c r="Z1691" s="276"/>
      <c r="AA1691" s="276"/>
      <c r="AB1691" s="276"/>
      <c r="AC1691" s="276"/>
    </row>
    <row r="1692">
      <c r="A1692" s="624" t="s">
        <v>12779</v>
      </c>
      <c r="B1692" s="625">
        <v>46155.0</v>
      </c>
      <c r="C1692" s="626">
        <v>8.07000036021E11</v>
      </c>
      <c r="D1692" s="626" t="s">
        <v>12780</v>
      </c>
      <c r="E1692" s="626" t="s">
        <v>12781</v>
      </c>
      <c r="F1692" s="627" t="s">
        <v>12782</v>
      </c>
      <c r="G1692" s="627" t="s">
        <v>4645</v>
      </c>
      <c r="H1692" s="627">
        <v>4400.0</v>
      </c>
      <c r="I1692" s="628" t="s">
        <v>758</v>
      </c>
      <c r="J1692" s="626" t="s">
        <v>3574</v>
      </c>
      <c r="K1692" s="627">
        <v>2.0</v>
      </c>
      <c r="L1692" s="629">
        <v>3.874876851E9</v>
      </c>
      <c r="M1692" s="387"/>
      <c r="N1692" s="206"/>
      <c r="O1692" s="206"/>
      <c r="P1692" s="206"/>
      <c r="Q1692" s="206"/>
      <c r="R1692" s="206"/>
      <c r="S1692" s="367"/>
      <c r="T1692" s="276"/>
      <c r="U1692" s="276"/>
      <c r="V1692" s="276"/>
      <c r="W1692" s="276"/>
      <c r="X1692" s="276"/>
      <c r="Y1692" s="276"/>
      <c r="Z1692" s="276"/>
      <c r="AA1692" s="276"/>
      <c r="AB1692" s="276"/>
      <c r="AC1692" s="276"/>
    </row>
    <row r="1693">
      <c r="A1693" s="624" t="s">
        <v>12779</v>
      </c>
      <c r="B1693" s="625">
        <v>46155.0</v>
      </c>
      <c r="C1693" s="626">
        <v>8.0700003603E11</v>
      </c>
      <c r="D1693" s="626" t="s">
        <v>12783</v>
      </c>
      <c r="E1693" s="626" t="s">
        <v>12784</v>
      </c>
      <c r="F1693" s="627" t="s">
        <v>12785</v>
      </c>
      <c r="G1693" s="627" t="s">
        <v>127</v>
      </c>
      <c r="H1693" s="627">
        <v>4400.0</v>
      </c>
      <c r="I1693" s="628" t="s">
        <v>512</v>
      </c>
      <c r="J1693" s="626" t="s">
        <v>513</v>
      </c>
      <c r="K1693" s="627">
        <v>12.0</v>
      </c>
      <c r="L1693" s="629">
        <v>3.874623944E9</v>
      </c>
      <c r="M1693" s="387"/>
      <c r="N1693" s="480">
        <v>46155.0</v>
      </c>
      <c r="O1693" s="402" t="s">
        <v>9011</v>
      </c>
      <c r="P1693" s="534"/>
      <c r="Q1693" s="430" t="s">
        <v>9012</v>
      </c>
      <c r="R1693" s="432" t="s">
        <v>14232</v>
      </c>
      <c r="S1693" s="367"/>
      <c r="T1693" s="276"/>
      <c r="U1693" s="276"/>
      <c r="V1693" s="276"/>
      <c r="W1693" s="276"/>
      <c r="X1693" s="276"/>
      <c r="Y1693" s="276"/>
      <c r="Z1693" s="276"/>
      <c r="AA1693" s="276"/>
      <c r="AB1693" s="276"/>
      <c r="AC1693" s="276"/>
    </row>
    <row r="1694">
      <c r="A1694" s="624" t="s">
        <v>12779</v>
      </c>
      <c r="B1694" s="625">
        <v>46155.0</v>
      </c>
      <c r="C1694" s="626">
        <v>8.07000036031E11</v>
      </c>
      <c r="D1694" s="626" t="s">
        <v>12783</v>
      </c>
      <c r="E1694" s="626" t="s">
        <v>12784</v>
      </c>
      <c r="F1694" s="627" t="s">
        <v>12785</v>
      </c>
      <c r="G1694" s="627" t="s">
        <v>127</v>
      </c>
      <c r="H1694" s="627">
        <v>4400.0</v>
      </c>
      <c r="I1694" s="628" t="s">
        <v>6343</v>
      </c>
      <c r="J1694" s="626" t="s">
        <v>6435</v>
      </c>
      <c r="K1694" s="627">
        <v>1.0</v>
      </c>
      <c r="L1694" s="629">
        <v>3.874623944E9</v>
      </c>
      <c r="M1694" s="387"/>
      <c r="N1694" s="209"/>
      <c r="O1694" s="209"/>
      <c r="P1694" s="209"/>
      <c r="Q1694" s="209"/>
      <c r="R1694" s="209"/>
      <c r="S1694" s="367"/>
      <c r="T1694" s="276"/>
      <c r="U1694" s="276"/>
      <c r="V1694" s="276"/>
      <c r="W1694" s="276"/>
      <c r="X1694" s="276"/>
      <c r="Y1694" s="276"/>
      <c r="Z1694" s="276"/>
      <c r="AA1694" s="276"/>
      <c r="AB1694" s="276"/>
      <c r="AC1694" s="276"/>
    </row>
    <row r="1695">
      <c r="A1695" s="624" t="s">
        <v>12779</v>
      </c>
      <c r="B1695" s="625">
        <v>46155.0</v>
      </c>
      <c r="C1695" s="626">
        <v>8.07000036031E11</v>
      </c>
      <c r="D1695" s="626" t="s">
        <v>12783</v>
      </c>
      <c r="E1695" s="626" t="s">
        <v>12784</v>
      </c>
      <c r="F1695" s="627" t="s">
        <v>12785</v>
      </c>
      <c r="G1695" s="627" t="s">
        <v>127</v>
      </c>
      <c r="H1695" s="627">
        <v>4400.0</v>
      </c>
      <c r="I1695" s="628" t="s">
        <v>233</v>
      </c>
      <c r="J1695" s="626" t="s">
        <v>3459</v>
      </c>
      <c r="K1695" s="627">
        <v>2.0</v>
      </c>
      <c r="L1695" s="629">
        <v>3.874623944E9</v>
      </c>
      <c r="M1695" s="387"/>
      <c r="N1695" s="206"/>
      <c r="O1695" s="206"/>
      <c r="P1695" s="206"/>
      <c r="Q1695" s="206"/>
      <c r="R1695" s="206"/>
      <c r="S1695" s="367"/>
      <c r="T1695" s="276"/>
      <c r="U1695" s="276"/>
      <c r="V1695" s="276"/>
      <c r="W1695" s="276"/>
      <c r="X1695" s="276"/>
      <c r="Y1695" s="276"/>
      <c r="Z1695" s="276"/>
      <c r="AA1695" s="276"/>
      <c r="AB1695" s="276"/>
      <c r="AC1695" s="276"/>
    </row>
    <row r="1696">
      <c r="A1696" s="624" t="s">
        <v>12786</v>
      </c>
      <c r="B1696" s="625">
        <v>46155.0</v>
      </c>
      <c r="C1696" s="626">
        <v>8.07000036019E11</v>
      </c>
      <c r="D1696" s="626" t="s">
        <v>12787</v>
      </c>
      <c r="E1696" s="626" t="s">
        <v>12788</v>
      </c>
      <c r="F1696" s="627" t="s">
        <v>12789</v>
      </c>
      <c r="G1696" s="627" t="s">
        <v>8902</v>
      </c>
      <c r="H1696" s="627">
        <v>4421.0</v>
      </c>
      <c r="I1696" s="628" t="s">
        <v>12790</v>
      </c>
      <c r="J1696" s="626" t="s">
        <v>12791</v>
      </c>
      <c r="K1696" s="627">
        <v>1.0</v>
      </c>
      <c r="L1696" s="629">
        <v>3.87547394E9</v>
      </c>
      <c r="M1696" s="387"/>
      <c r="N1696" s="481">
        <v>46155.0</v>
      </c>
      <c r="O1696" s="531" t="s">
        <v>13338</v>
      </c>
      <c r="P1696" s="387"/>
      <c r="Q1696" s="261" t="s">
        <v>13339</v>
      </c>
      <c r="R1696" s="434" t="s">
        <v>14233</v>
      </c>
      <c r="S1696" s="367"/>
      <c r="T1696" s="276"/>
      <c r="U1696" s="276"/>
      <c r="V1696" s="276"/>
      <c r="W1696" s="276"/>
      <c r="X1696" s="276"/>
      <c r="Y1696" s="276"/>
      <c r="Z1696" s="276"/>
      <c r="AA1696" s="276"/>
      <c r="AB1696" s="276"/>
      <c r="AC1696" s="276"/>
    </row>
    <row r="1697">
      <c r="A1697" s="624" t="s">
        <v>12792</v>
      </c>
      <c r="B1697" s="625">
        <v>46155.0</v>
      </c>
      <c r="C1697" s="626">
        <v>8.07000036027E11</v>
      </c>
      <c r="D1697" s="626" t="s">
        <v>12793</v>
      </c>
      <c r="E1697" s="626" t="s">
        <v>12794</v>
      </c>
      <c r="F1697" s="627" t="s">
        <v>12795</v>
      </c>
      <c r="G1697" s="627" t="s">
        <v>3047</v>
      </c>
      <c r="H1697" s="627">
        <v>4400.0</v>
      </c>
      <c r="I1697" s="628" t="s">
        <v>512</v>
      </c>
      <c r="J1697" s="626" t="s">
        <v>513</v>
      </c>
      <c r="K1697" s="627">
        <v>6.0</v>
      </c>
      <c r="L1697" s="629">
        <v>3.874404547E9</v>
      </c>
      <c r="M1697" s="387"/>
      <c r="N1697" s="480">
        <v>46155.0</v>
      </c>
      <c r="O1697" s="402" t="s">
        <v>9011</v>
      </c>
      <c r="P1697" s="534"/>
      <c r="Q1697" s="430" t="s">
        <v>14234</v>
      </c>
      <c r="R1697" s="432" t="s">
        <v>14229</v>
      </c>
      <c r="S1697" s="367"/>
      <c r="T1697" s="276"/>
      <c r="U1697" s="276"/>
      <c r="V1697" s="276"/>
      <c r="W1697" s="276"/>
      <c r="X1697" s="276"/>
      <c r="Y1697" s="276"/>
      <c r="Z1697" s="276"/>
      <c r="AA1697" s="276"/>
      <c r="AB1697" s="276"/>
      <c r="AC1697" s="276"/>
    </row>
    <row r="1698">
      <c r="A1698" s="624" t="s">
        <v>12792</v>
      </c>
      <c r="B1698" s="625">
        <v>46155.0</v>
      </c>
      <c r="C1698" s="626">
        <v>8.07000036028E11</v>
      </c>
      <c r="D1698" s="626" t="s">
        <v>12793</v>
      </c>
      <c r="E1698" s="626" t="s">
        <v>12794</v>
      </c>
      <c r="F1698" s="627" t="s">
        <v>12795</v>
      </c>
      <c r="G1698" s="627" t="s">
        <v>3047</v>
      </c>
      <c r="H1698" s="627">
        <v>4400.0</v>
      </c>
      <c r="I1698" s="628">
        <v>125818.0</v>
      </c>
      <c r="J1698" s="626" t="s">
        <v>4334</v>
      </c>
      <c r="K1698" s="627">
        <v>2.0</v>
      </c>
      <c r="L1698" s="629">
        <v>3.874404547E9</v>
      </c>
      <c r="M1698" s="387"/>
      <c r="N1698" s="209"/>
      <c r="O1698" s="209"/>
      <c r="P1698" s="209"/>
      <c r="Q1698" s="209"/>
      <c r="R1698" s="209"/>
      <c r="S1698" s="367"/>
      <c r="T1698" s="276"/>
      <c r="U1698" s="276"/>
      <c r="V1698" s="276"/>
      <c r="W1698" s="276"/>
      <c r="X1698" s="276"/>
      <c r="Y1698" s="276"/>
      <c r="Z1698" s="276"/>
      <c r="AA1698" s="276"/>
      <c r="AB1698" s="276"/>
      <c r="AC1698" s="276"/>
    </row>
    <row r="1699">
      <c r="A1699" s="624" t="s">
        <v>12792</v>
      </c>
      <c r="B1699" s="625">
        <v>46155.0</v>
      </c>
      <c r="C1699" s="626">
        <v>8.07000036029E11</v>
      </c>
      <c r="D1699" s="626" t="s">
        <v>12793</v>
      </c>
      <c r="E1699" s="626" t="s">
        <v>12794</v>
      </c>
      <c r="F1699" s="627" t="s">
        <v>12795</v>
      </c>
      <c r="G1699" s="627" t="s">
        <v>3047</v>
      </c>
      <c r="H1699" s="627">
        <v>4400.0</v>
      </c>
      <c r="I1699" s="628" t="s">
        <v>6573</v>
      </c>
      <c r="J1699" s="626" t="s">
        <v>6574</v>
      </c>
      <c r="K1699" s="627">
        <v>1.0</v>
      </c>
      <c r="L1699" s="629">
        <v>3.874404547E9</v>
      </c>
      <c r="M1699" s="387"/>
      <c r="N1699" s="209"/>
      <c r="O1699" s="209"/>
      <c r="P1699" s="209"/>
      <c r="Q1699" s="209"/>
      <c r="R1699" s="209"/>
      <c r="S1699" s="367"/>
      <c r="T1699" s="276"/>
      <c r="U1699" s="276"/>
      <c r="V1699" s="276"/>
      <c r="W1699" s="276"/>
      <c r="X1699" s="276"/>
      <c r="Y1699" s="276"/>
      <c r="Z1699" s="276"/>
      <c r="AA1699" s="276"/>
      <c r="AB1699" s="276"/>
      <c r="AC1699" s="276"/>
    </row>
    <row r="1700">
      <c r="A1700" s="624" t="s">
        <v>12792</v>
      </c>
      <c r="B1700" s="625">
        <v>46155.0</v>
      </c>
      <c r="C1700" s="626">
        <v>8.07000036029E11</v>
      </c>
      <c r="D1700" s="626" t="s">
        <v>12793</v>
      </c>
      <c r="E1700" s="626" t="s">
        <v>12794</v>
      </c>
      <c r="F1700" s="627" t="s">
        <v>12795</v>
      </c>
      <c r="G1700" s="627" t="s">
        <v>3047</v>
      </c>
      <c r="H1700" s="627">
        <v>4400.0</v>
      </c>
      <c r="I1700" s="628" t="s">
        <v>35</v>
      </c>
      <c r="J1700" s="626" t="s">
        <v>3188</v>
      </c>
      <c r="K1700" s="627">
        <v>1.0</v>
      </c>
      <c r="L1700" s="629">
        <v>3.874404547E9</v>
      </c>
      <c r="M1700" s="387"/>
      <c r="N1700" s="206"/>
      <c r="O1700" s="206"/>
      <c r="P1700" s="206"/>
      <c r="Q1700" s="206"/>
      <c r="R1700" s="206"/>
      <c r="S1700" s="367"/>
      <c r="T1700" s="276"/>
      <c r="U1700" s="276"/>
      <c r="V1700" s="276"/>
      <c r="W1700" s="276"/>
      <c r="X1700" s="276"/>
      <c r="Y1700" s="276"/>
      <c r="Z1700" s="276"/>
      <c r="AA1700" s="276"/>
      <c r="AB1700" s="276"/>
      <c r="AC1700" s="276"/>
    </row>
    <row r="1701">
      <c r="A1701" s="624" t="s">
        <v>12796</v>
      </c>
      <c r="B1701" s="625">
        <v>46155.0</v>
      </c>
      <c r="C1701" s="626">
        <v>8.07000036033E11</v>
      </c>
      <c r="D1701" s="626" t="s">
        <v>11746</v>
      </c>
      <c r="E1701" s="626" t="s">
        <v>11747</v>
      </c>
      <c r="F1701" s="627" t="s">
        <v>12797</v>
      </c>
      <c r="G1701" s="627" t="s">
        <v>127</v>
      </c>
      <c r="H1701" s="627">
        <v>4400.0</v>
      </c>
      <c r="I1701" s="628" t="s">
        <v>512</v>
      </c>
      <c r="J1701" s="626" t="s">
        <v>513</v>
      </c>
      <c r="K1701" s="627">
        <v>6.0</v>
      </c>
      <c r="L1701" s="629">
        <v>3.876056887E9</v>
      </c>
      <c r="M1701" s="387"/>
      <c r="N1701" s="480">
        <v>46155.0</v>
      </c>
      <c r="O1701" s="402" t="s">
        <v>9011</v>
      </c>
      <c r="P1701" s="534"/>
      <c r="Q1701" s="430" t="s">
        <v>14235</v>
      </c>
      <c r="R1701" s="432" t="s">
        <v>14236</v>
      </c>
      <c r="S1701" s="367"/>
      <c r="T1701" s="276"/>
      <c r="U1701" s="276"/>
      <c r="V1701" s="276"/>
      <c r="W1701" s="276"/>
      <c r="X1701" s="276"/>
      <c r="Y1701" s="276"/>
      <c r="Z1701" s="276"/>
      <c r="AA1701" s="276"/>
      <c r="AB1701" s="276"/>
      <c r="AC1701" s="276"/>
    </row>
    <row r="1702">
      <c r="A1702" s="624" t="s">
        <v>12796</v>
      </c>
      <c r="B1702" s="625">
        <v>46155.0</v>
      </c>
      <c r="C1702" s="626">
        <v>8.07000036034E11</v>
      </c>
      <c r="D1702" s="626" t="s">
        <v>11746</v>
      </c>
      <c r="E1702" s="626" t="s">
        <v>11747</v>
      </c>
      <c r="F1702" s="627" t="s">
        <v>12797</v>
      </c>
      <c r="G1702" s="627" t="s">
        <v>127</v>
      </c>
      <c r="H1702" s="627">
        <v>4400.0</v>
      </c>
      <c r="I1702" s="628" t="s">
        <v>2372</v>
      </c>
      <c r="J1702" s="626" t="s">
        <v>8140</v>
      </c>
      <c r="K1702" s="627">
        <v>1.0</v>
      </c>
      <c r="L1702" s="629">
        <v>3.876056887E9</v>
      </c>
      <c r="M1702" s="387"/>
      <c r="N1702" s="209"/>
      <c r="O1702" s="209"/>
      <c r="P1702" s="209"/>
      <c r="Q1702" s="209"/>
      <c r="R1702" s="209"/>
      <c r="S1702" s="367"/>
      <c r="T1702" s="276"/>
      <c r="U1702" s="276"/>
      <c r="V1702" s="276"/>
      <c r="W1702" s="276"/>
      <c r="X1702" s="276"/>
      <c r="Y1702" s="276"/>
      <c r="Z1702" s="276"/>
      <c r="AA1702" s="276"/>
      <c r="AB1702" s="276"/>
      <c r="AC1702" s="276"/>
    </row>
    <row r="1703">
      <c r="A1703" s="624" t="s">
        <v>12798</v>
      </c>
      <c r="B1703" s="625">
        <v>46155.0</v>
      </c>
      <c r="C1703" s="626">
        <v>8.07000036035E11</v>
      </c>
      <c r="D1703" s="626" t="s">
        <v>11746</v>
      </c>
      <c r="E1703" s="626" t="s">
        <v>11747</v>
      </c>
      <c r="F1703" s="627" t="s">
        <v>12797</v>
      </c>
      <c r="G1703" s="627" t="s">
        <v>127</v>
      </c>
      <c r="H1703" s="627">
        <v>4400.0</v>
      </c>
      <c r="I1703" s="628" t="s">
        <v>35</v>
      </c>
      <c r="J1703" s="626" t="s">
        <v>3188</v>
      </c>
      <c r="K1703" s="627">
        <v>1.0</v>
      </c>
      <c r="L1703" s="629">
        <v>3.876056887E9</v>
      </c>
      <c r="M1703" s="387"/>
      <c r="N1703" s="206"/>
      <c r="O1703" s="206"/>
      <c r="P1703" s="206"/>
      <c r="Q1703" s="206"/>
      <c r="R1703" s="206"/>
      <c r="S1703" s="367"/>
      <c r="T1703" s="276"/>
      <c r="U1703" s="276"/>
      <c r="V1703" s="276"/>
      <c r="W1703" s="276"/>
      <c r="X1703" s="276"/>
      <c r="Y1703" s="276"/>
      <c r="Z1703" s="276"/>
      <c r="AA1703" s="276"/>
      <c r="AB1703" s="276"/>
      <c r="AC1703" s="276"/>
    </row>
    <row r="1704">
      <c r="A1704" s="624" t="s">
        <v>12799</v>
      </c>
      <c r="B1704" s="625">
        <v>46155.0</v>
      </c>
      <c r="C1704" s="626">
        <v>8.07000036037E11</v>
      </c>
      <c r="D1704" s="626" t="s">
        <v>12800</v>
      </c>
      <c r="E1704" s="626" t="s">
        <v>12801</v>
      </c>
      <c r="F1704" s="627" t="s">
        <v>12802</v>
      </c>
      <c r="G1704" s="627" t="s">
        <v>127</v>
      </c>
      <c r="H1704" s="627">
        <v>4400.0</v>
      </c>
      <c r="I1704" s="630">
        <v>841702.0</v>
      </c>
      <c r="J1704" s="626" t="s">
        <v>7685</v>
      </c>
      <c r="K1704" s="627">
        <v>1.0</v>
      </c>
      <c r="L1704" s="629">
        <v>3.874481949E9</v>
      </c>
      <c r="M1704" s="387"/>
      <c r="N1704" s="481">
        <v>46155.0</v>
      </c>
      <c r="O1704" s="531" t="s">
        <v>9011</v>
      </c>
      <c r="P1704" s="387"/>
      <c r="Q1704" s="261" t="s">
        <v>9012</v>
      </c>
      <c r="R1704" s="434" t="s">
        <v>14237</v>
      </c>
      <c r="S1704" s="367"/>
      <c r="T1704" s="276"/>
      <c r="U1704" s="276"/>
      <c r="V1704" s="276"/>
      <c r="W1704" s="276"/>
      <c r="X1704" s="276"/>
      <c r="Y1704" s="276"/>
      <c r="Z1704" s="276"/>
      <c r="AA1704" s="276"/>
      <c r="AB1704" s="276"/>
      <c r="AC1704" s="276"/>
    </row>
    <row r="1705">
      <c r="A1705" s="624" t="s">
        <v>12803</v>
      </c>
      <c r="B1705" s="625">
        <v>46156.0</v>
      </c>
      <c r="C1705" s="626">
        <v>8.07000036042E11</v>
      </c>
      <c r="D1705" s="626" t="s">
        <v>12804</v>
      </c>
      <c r="E1705" s="626" t="s">
        <v>12805</v>
      </c>
      <c r="F1705" s="627" t="s">
        <v>12806</v>
      </c>
      <c r="G1705" s="627" t="s">
        <v>127</v>
      </c>
      <c r="H1705" s="627">
        <v>4400.0</v>
      </c>
      <c r="I1705" s="628" t="s">
        <v>3979</v>
      </c>
      <c r="J1705" s="626" t="s">
        <v>3980</v>
      </c>
      <c r="K1705" s="627">
        <v>1.0</v>
      </c>
      <c r="L1705" s="629">
        <v>3.875098776E9</v>
      </c>
      <c r="M1705" s="387"/>
      <c r="N1705" s="480">
        <v>46155.0</v>
      </c>
      <c r="O1705" s="402" t="s">
        <v>9011</v>
      </c>
      <c r="P1705" s="534"/>
      <c r="Q1705" s="430" t="s">
        <v>14238</v>
      </c>
      <c r="R1705" s="432" t="s">
        <v>14239</v>
      </c>
      <c r="S1705" s="367"/>
      <c r="T1705" s="276"/>
      <c r="U1705" s="276"/>
      <c r="V1705" s="276"/>
      <c r="W1705" s="276"/>
      <c r="X1705" s="276"/>
      <c r="Y1705" s="276"/>
      <c r="Z1705" s="276"/>
      <c r="AA1705" s="276"/>
      <c r="AB1705" s="276"/>
      <c r="AC1705" s="276"/>
    </row>
    <row r="1706">
      <c r="A1706" s="624" t="s">
        <v>12803</v>
      </c>
      <c r="B1706" s="625">
        <v>46156.0</v>
      </c>
      <c r="C1706" s="626">
        <v>8.07000036042E11</v>
      </c>
      <c r="D1706" s="626" t="s">
        <v>12804</v>
      </c>
      <c r="E1706" s="626" t="s">
        <v>12805</v>
      </c>
      <c r="F1706" s="627" t="s">
        <v>12806</v>
      </c>
      <c r="G1706" s="627" t="s">
        <v>127</v>
      </c>
      <c r="H1706" s="627">
        <v>4400.0</v>
      </c>
      <c r="I1706" s="628" t="s">
        <v>512</v>
      </c>
      <c r="J1706" s="626" t="s">
        <v>513</v>
      </c>
      <c r="K1706" s="627">
        <v>12.0</v>
      </c>
      <c r="L1706" s="629">
        <v>3.875098776E9</v>
      </c>
      <c r="M1706" s="387"/>
      <c r="N1706" s="209"/>
      <c r="O1706" s="209"/>
      <c r="P1706" s="209"/>
      <c r="Q1706" s="209"/>
      <c r="R1706" s="209"/>
      <c r="S1706" s="367"/>
      <c r="T1706" s="276"/>
      <c r="U1706" s="276"/>
      <c r="V1706" s="276"/>
      <c r="W1706" s="276"/>
      <c r="X1706" s="276"/>
      <c r="Y1706" s="276"/>
      <c r="Z1706" s="276"/>
      <c r="AA1706" s="276"/>
      <c r="AB1706" s="276"/>
      <c r="AC1706" s="276"/>
    </row>
    <row r="1707">
      <c r="A1707" s="624" t="s">
        <v>12803</v>
      </c>
      <c r="B1707" s="625">
        <v>46156.0</v>
      </c>
      <c r="C1707" s="626">
        <v>8.07000036042E11</v>
      </c>
      <c r="D1707" s="626" t="s">
        <v>12804</v>
      </c>
      <c r="E1707" s="626" t="s">
        <v>12805</v>
      </c>
      <c r="F1707" s="627" t="s">
        <v>12806</v>
      </c>
      <c r="G1707" s="627" t="s">
        <v>127</v>
      </c>
      <c r="H1707" s="627">
        <v>4400.0</v>
      </c>
      <c r="I1707" s="628" t="s">
        <v>758</v>
      </c>
      <c r="J1707" s="626" t="s">
        <v>3574</v>
      </c>
      <c r="K1707" s="627">
        <v>2.0</v>
      </c>
      <c r="L1707" s="629">
        <v>3.875098776E9</v>
      </c>
      <c r="M1707" s="387"/>
      <c r="N1707" s="206"/>
      <c r="O1707" s="206"/>
      <c r="P1707" s="206"/>
      <c r="Q1707" s="206"/>
      <c r="R1707" s="206"/>
      <c r="S1707" s="367"/>
      <c r="T1707" s="276"/>
      <c r="U1707" s="276"/>
      <c r="V1707" s="276"/>
      <c r="W1707" s="276"/>
      <c r="X1707" s="276"/>
      <c r="Y1707" s="276"/>
      <c r="Z1707" s="276"/>
      <c r="AA1707" s="276"/>
      <c r="AB1707" s="276"/>
      <c r="AC1707" s="276"/>
    </row>
    <row r="1708">
      <c r="A1708" s="624" t="s">
        <v>12807</v>
      </c>
      <c r="B1708" s="625">
        <v>46156.0</v>
      </c>
      <c r="C1708" s="626">
        <v>8.07000036058E11</v>
      </c>
      <c r="D1708" s="626" t="s">
        <v>12808</v>
      </c>
      <c r="E1708" s="626" t="s">
        <v>12809</v>
      </c>
      <c r="F1708" s="627" t="s">
        <v>12810</v>
      </c>
      <c r="G1708" s="627" t="s">
        <v>127</v>
      </c>
      <c r="H1708" s="627">
        <v>4400.0</v>
      </c>
      <c r="I1708" s="628" t="s">
        <v>4070</v>
      </c>
      <c r="J1708" s="626" t="s">
        <v>6264</v>
      </c>
      <c r="K1708" s="627">
        <v>1.0</v>
      </c>
      <c r="L1708" s="629">
        <v>3.875439694E9</v>
      </c>
      <c r="M1708" s="387"/>
      <c r="N1708" s="480">
        <v>46156.0</v>
      </c>
      <c r="O1708" s="402" t="s">
        <v>9011</v>
      </c>
      <c r="P1708" s="534"/>
      <c r="Q1708" s="430" t="s">
        <v>14240</v>
      </c>
      <c r="R1708" s="432" t="s">
        <v>14241</v>
      </c>
      <c r="S1708" s="367"/>
      <c r="T1708" s="276"/>
      <c r="U1708" s="276"/>
      <c r="V1708" s="276"/>
      <c r="W1708" s="276"/>
      <c r="X1708" s="276"/>
      <c r="Y1708" s="276"/>
      <c r="Z1708" s="276"/>
      <c r="AA1708" s="276"/>
      <c r="AB1708" s="276"/>
      <c r="AC1708" s="276"/>
    </row>
    <row r="1709">
      <c r="A1709" s="624" t="s">
        <v>12807</v>
      </c>
      <c r="B1709" s="625">
        <v>46156.0</v>
      </c>
      <c r="C1709" s="626">
        <v>8.07000036059E11</v>
      </c>
      <c r="D1709" s="626" t="s">
        <v>12808</v>
      </c>
      <c r="E1709" s="626" t="s">
        <v>12809</v>
      </c>
      <c r="F1709" s="627" t="s">
        <v>12810</v>
      </c>
      <c r="G1709" s="627" t="s">
        <v>127</v>
      </c>
      <c r="H1709" s="627">
        <v>4400.0</v>
      </c>
      <c r="I1709" s="628" t="s">
        <v>512</v>
      </c>
      <c r="J1709" s="626" t="s">
        <v>513</v>
      </c>
      <c r="K1709" s="627">
        <v>6.0</v>
      </c>
      <c r="L1709" s="629">
        <v>3.875439694E9</v>
      </c>
      <c r="M1709" s="387"/>
      <c r="N1709" s="209"/>
      <c r="O1709" s="209"/>
      <c r="P1709" s="209"/>
      <c r="Q1709" s="209"/>
      <c r="R1709" s="209"/>
      <c r="S1709" s="367"/>
      <c r="T1709" s="276"/>
      <c r="U1709" s="276"/>
      <c r="V1709" s="276"/>
      <c r="W1709" s="276"/>
      <c r="X1709" s="276"/>
      <c r="Y1709" s="276"/>
      <c r="Z1709" s="276"/>
      <c r="AA1709" s="276"/>
      <c r="AB1709" s="276"/>
      <c r="AC1709" s="276"/>
    </row>
    <row r="1710">
      <c r="A1710" s="624" t="s">
        <v>12807</v>
      </c>
      <c r="B1710" s="625">
        <v>46156.0</v>
      </c>
      <c r="C1710" s="626">
        <v>8.0700003606E11</v>
      </c>
      <c r="D1710" s="626" t="s">
        <v>12808</v>
      </c>
      <c r="E1710" s="626" t="s">
        <v>12809</v>
      </c>
      <c r="F1710" s="627" t="s">
        <v>12810</v>
      </c>
      <c r="G1710" s="627" t="s">
        <v>127</v>
      </c>
      <c r="H1710" s="627">
        <v>4400.0</v>
      </c>
      <c r="I1710" s="628" t="s">
        <v>106</v>
      </c>
      <c r="J1710" s="626" t="s">
        <v>3670</v>
      </c>
      <c r="K1710" s="627">
        <v>1.0</v>
      </c>
      <c r="L1710" s="629">
        <v>3.875439694E9</v>
      </c>
      <c r="M1710" s="387"/>
      <c r="N1710" s="209"/>
      <c r="O1710" s="209"/>
      <c r="P1710" s="209"/>
      <c r="Q1710" s="209"/>
      <c r="R1710" s="209"/>
      <c r="S1710" s="367"/>
      <c r="T1710" s="276"/>
      <c r="U1710" s="276"/>
      <c r="V1710" s="276"/>
      <c r="W1710" s="276"/>
      <c r="X1710" s="276"/>
      <c r="Y1710" s="276"/>
      <c r="Z1710" s="276"/>
      <c r="AA1710" s="276"/>
      <c r="AB1710" s="276"/>
      <c r="AC1710" s="276"/>
    </row>
    <row r="1711">
      <c r="A1711" s="624" t="s">
        <v>12807</v>
      </c>
      <c r="B1711" s="625">
        <v>46156.0</v>
      </c>
      <c r="C1711" s="626">
        <v>8.0700003606E11</v>
      </c>
      <c r="D1711" s="626" t="s">
        <v>12808</v>
      </c>
      <c r="E1711" s="626" t="s">
        <v>12809</v>
      </c>
      <c r="F1711" s="627" t="s">
        <v>12810</v>
      </c>
      <c r="G1711" s="627" t="s">
        <v>127</v>
      </c>
      <c r="H1711" s="627">
        <v>4400.0</v>
      </c>
      <c r="I1711" s="628" t="s">
        <v>110</v>
      </c>
      <c r="J1711" s="626" t="s">
        <v>3673</v>
      </c>
      <c r="K1711" s="627">
        <v>1.0</v>
      </c>
      <c r="L1711" s="629">
        <v>3.875439694E9</v>
      </c>
      <c r="M1711" s="387"/>
      <c r="N1711" s="206"/>
      <c r="O1711" s="206"/>
      <c r="P1711" s="206"/>
      <c r="Q1711" s="206"/>
      <c r="R1711" s="206"/>
      <c r="S1711" s="367"/>
      <c r="T1711" s="276"/>
      <c r="U1711" s="276"/>
      <c r="V1711" s="276"/>
      <c r="W1711" s="276"/>
      <c r="X1711" s="276"/>
      <c r="Y1711" s="276"/>
      <c r="Z1711" s="276"/>
      <c r="AA1711" s="276"/>
      <c r="AB1711" s="276"/>
      <c r="AC1711" s="276"/>
    </row>
    <row r="1712">
      <c r="A1712" s="624" t="s">
        <v>12811</v>
      </c>
      <c r="B1712" s="625">
        <v>46156.0</v>
      </c>
      <c r="C1712" s="626">
        <v>8.0700003609E11</v>
      </c>
      <c r="D1712" s="626" t="s">
        <v>12812</v>
      </c>
      <c r="E1712" s="626" t="s">
        <v>12813</v>
      </c>
      <c r="F1712" s="627" t="s">
        <v>12814</v>
      </c>
      <c r="G1712" s="627" t="s">
        <v>2907</v>
      </c>
      <c r="H1712" s="627">
        <v>4400.0</v>
      </c>
      <c r="I1712" s="628">
        <v>125814.0</v>
      </c>
      <c r="J1712" s="626" t="s">
        <v>9798</v>
      </c>
      <c r="K1712" s="627">
        <v>2.0</v>
      </c>
      <c r="L1712" s="629">
        <v>3.875899797E9</v>
      </c>
      <c r="M1712" s="387"/>
      <c r="N1712" s="480">
        <v>46156.0</v>
      </c>
      <c r="O1712" s="402" t="s">
        <v>9011</v>
      </c>
      <c r="P1712" s="534"/>
      <c r="Q1712" s="430" t="s">
        <v>14242</v>
      </c>
      <c r="R1712" s="498" t="s">
        <v>14243</v>
      </c>
      <c r="S1712" s="367"/>
      <c r="T1712" s="276"/>
      <c r="U1712" s="276"/>
      <c r="V1712" s="276"/>
      <c r="W1712" s="276"/>
      <c r="X1712" s="276"/>
      <c r="Y1712" s="276"/>
      <c r="Z1712" s="276"/>
      <c r="AA1712" s="276"/>
      <c r="AB1712" s="276"/>
      <c r="AC1712" s="276"/>
    </row>
    <row r="1713">
      <c r="A1713" s="624" t="s">
        <v>12811</v>
      </c>
      <c r="B1713" s="625">
        <v>46156.0</v>
      </c>
      <c r="C1713" s="626">
        <v>8.0700003609E11</v>
      </c>
      <c r="D1713" s="626" t="s">
        <v>12812</v>
      </c>
      <c r="E1713" s="626" t="s">
        <v>12813</v>
      </c>
      <c r="F1713" s="627" t="s">
        <v>12814</v>
      </c>
      <c r="G1713" s="627" t="s">
        <v>2907</v>
      </c>
      <c r="H1713" s="627">
        <v>4400.0</v>
      </c>
      <c r="I1713" s="628" t="s">
        <v>512</v>
      </c>
      <c r="J1713" s="626" t="s">
        <v>513</v>
      </c>
      <c r="K1713" s="627">
        <v>12.0</v>
      </c>
      <c r="L1713" s="629">
        <v>3.875899797E9</v>
      </c>
      <c r="M1713" s="387"/>
      <c r="N1713" s="209"/>
      <c r="O1713" s="209"/>
      <c r="P1713" s="209"/>
      <c r="Q1713" s="209"/>
      <c r="R1713" s="209"/>
      <c r="S1713" s="367"/>
      <c r="T1713" s="276"/>
      <c r="U1713" s="276"/>
      <c r="V1713" s="276"/>
      <c r="W1713" s="276"/>
      <c r="X1713" s="276"/>
      <c r="Y1713" s="276"/>
      <c r="Z1713" s="276"/>
      <c r="AA1713" s="276"/>
      <c r="AB1713" s="276"/>
      <c r="AC1713" s="276"/>
    </row>
    <row r="1714">
      <c r="A1714" s="624" t="s">
        <v>12811</v>
      </c>
      <c r="B1714" s="625">
        <v>46156.0</v>
      </c>
      <c r="C1714" s="626">
        <v>8.0700003609E11</v>
      </c>
      <c r="D1714" s="626" t="s">
        <v>12812</v>
      </c>
      <c r="E1714" s="626" t="s">
        <v>12813</v>
      </c>
      <c r="F1714" s="627" t="s">
        <v>12814</v>
      </c>
      <c r="G1714" s="627" t="s">
        <v>2907</v>
      </c>
      <c r="H1714" s="627">
        <v>4400.0</v>
      </c>
      <c r="I1714" s="628" t="s">
        <v>12771</v>
      </c>
      <c r="J1714" s="626" t="s">
        <v>12772</v>
      </c>
      <c r="K1714" s="627">
        <v>1.0</v>
      </c>
      <c r="L1714" s="629">
        <v>3.875899797E9</v>
      </c>
      <c r="M1714" s="387"/>
      <c r="N1714" s="209"/>
      <c r="O1714" s="209"/>
      <c r="P1714" s="209"/>
      <c r="Q1714" s="209"/>
      <c r="R1714" s="209"/>
      <c r="S1714" s="367"/>
      <c r="T1714" s="276"/>
      <c r="U1714" s="276"/>
      <c r="V1714" s="276"/>
      <c r="W1714" s="276"/>
      <c r="X1714" s="276"/>
      <c r="Y1714" s="276"/>
      <c r="Z1714" s="276"/>
      <c r="AA1714" s="276"/>
      <c r="AB1714" s="276"/>
      <c r="AC1714" s="276"/>
    </row>
    <row r="1715">
      <c r="A1715" s="624" t="s">
        <v>12815</v>
      </c>
      <c r="B1715" s="625">
        <v>46156.0</v>
      </c>
      <c r="C1715" s="626">
        <v>8.07000036091E11</v>
      </c>
      <c r="D1715" s="626" t="s">
        <v>12812</v>
      </c>
      <c r="E1715" s="626" t="s">
        <v>12813</v>
      </c>
      <c r="F1715" s="627" t="s">
        <v>12814</v>
      </c>
      <c r="G1715" s="627" t="s">
        <v>2907</v>
      </c>
      <c r="H1715" s="627">
        <v>4400.0</v>
      </c>
      <c r="I1715" s="628" t="s">
        <v>7741</v>
      </c>
      <c r="J1715" s="626" t="s">
        <v>7742</v>
      </c>
      <c r="K1715" s="627">
        <v>1.0</v>
      </c>
      <c r="L1715" s="629">
        <v>3.875899797E9</v>
      </c>
      <c r="M1715" s="387"/>
      <c r="N1715" s="209"/>
      <c r="O1715" s="209"/>
      <c r="P1715" s="209"/>
      <c r="Q1715" s="209"/>
      <c r="R1715" s="209"/>
      <c r="S1715" s="367"/>
      <c r="T1715" s="276"/>
      <c r="U1715" s="276"/>
      <c r="V1715" s="276"/>
      <c r="W1715" s="276"/>
      <c r="X1715" s="276"/>
      <c r="Y1715" s="276"/>
      <c r="Z1715" s="276"/>
      <c r="AA1715" s="276"/>
      <c r="AB1715" s="276"/>
      <c r="AC1715" s="276"/>
    </row>
    <row r="1716">
      <c r="A1716" s="624" t="s">
        <v>12815</v>
      </c>
      <c r="B1716" s="625">
        <v>46156.0</v>
      </c>
      <c r="C1716" s="626">
        <v>8.07000036091E11</v>
      </c>
      <c r="D1716" s="626" t="s">
        <v>12812</v>
      </c>
      <c r="E1716" s="626" t="s">
        <v>12813</v>
      </c>
      <c r="F1716" s="627" t="s">
        <v>12814</v>
      </c>
      <c r="G1716" s="627" t="s">
        <v>2907</v>
      </c>
      <c r="H1716" s="627">
        <v>4400.0</v>
      </c>
      <c r="I1716" s="628" t="s">
        <v>772</v>
      </c>
      <c r="J1716" s="626" t="s">
        <v>3363</v>
      </c>
      <c r="K1716" s="627">
        <v>2.0</v>
      </c>
      <c r="L1716" s="629">
        <v>3.875899797E9</v>
      </c>
      <c r="M1716" s="387"/>
      <c r="N1716" s="206"/>
      <c r="O1716" s="206"/>
      <c r="P1716" s="206"/>
      <c r="Q1716" s="206"/>
      <c r="R1716" s="206"/>
      <c r="S1716" s="367"/>
      <c r="T1716" s="276"/>
      <c r="U1716" s="276"/>
      <c r="V1716" s="276"/>
      <c r="W1716" s="276"/>
      <c r="X1716" s="276"/>
      <c r="Y1716" s="276"/>
      <c r="Z1716" s="276"/>
      <c r="AA1716" s="276"/>
      <c r="AB1716" s="276"/>
      <c r="AC1716" s="276"/>
    </row>
    <row r="1717">
      <c r="A1717" s="624" t="s">
        <v>12816</v>
      </c>
      <c r="B1717" s="625">
        <v>46156.0</v>
      </c>
      <c r="C1717" s="626">
        <v>8.07000036047E11</v>
      </c>
      <c r="D1717" s="626" t="s">
        <v>12817</v>
      </c>
      <c r="E1717" s="626" t="s">
        <v>12818</v>
      </c>
      <c r="F1717" s="627" t="s">
        <v>12819</v>
      </c>
      <c r="G1717" s="627" t="s">
        <v>127</v>
      </c>
      <c r="H1717" s="627">
        <v>4400.0</v>
      </c>
      <c r="I1717" s="628" t="s">
        <v>512</v>
      </c>
      <c r="J1717" s="626" t="s">
        <v>513</v>
      </c>
      <c r="K1717" s="627">
        <v>12.0</v>
      </c>
      <c r="L1717" s="629">
        <v>3.87575949E9</v>
      </c>
      <c r="M1717" s="387"/>
      <c r="N1717" s="480">
        <v>46156.0</v>
      </c>
      <c r="O1717" s="402" t="s">
        <v>9011</v>
      </c>
      <c r="P1717" s="534"/>
      <c r="Q1717" s="430" t="s">
        <v>13339</v>
      </c>
      <c r="R1717" s="432" t="s">
        <v>14244</v>
      </c>
      <c r="S1717" s="367"/>
      <c r="T1717" s="276"/>
      <c r="U1717" s="276"/>
      <c r="V1717" s="276"/>
      <c r="W1717" s="276"/>
      <c r="X1717" s="276"/>
      <c r="Y1717" s="276"/>
      <c r="Z1717" s="276"/>
      <c r="AA1717" s="276"/>
      <c r="AB1717" s="276"/>
      <c r="AC1717" s="276"/>
    </row>
    <row r="1718">
      <c r="A1718" s="624" t="s">
        <v>12816</v>
      </c>
      <c r="B1718" s="625">
        <v>46156.0</v>
      </c>
      <c r="C1718" s="626">
        <v>8.07000036048E11</v>
      </c>
      <c r="D1718" s="626" t="s">
        <v>12817</v>
      </c>
      <c r="E1718" s="626" t="s">
        <v>12818</v>
      </c>
      <c r="F1718" s="627" t="s">
        <v>12819</v>
      </c>
      <c r="G1718" s="627" t="s">
        <v>127</v>
      </c>
      <c r="H1718" s="627">
        <v>4400.0</v>
      </c>
      <c r="I1718" s="628" t="s">
        <v>7955</v>
      </c>
      <c r="J1718" s="626" t="s">
        <v>7956</v>
      </c>
      <c r="K1718" s="627">
        <v>1.0</v>
      </c>
      <c r="L1718" s="629">
        <v>3.87575949E9</v>
      </c>
      <c r="M1718" s="387"/>
      <c r="N1718" s="209"/>
      <c r="O1718" s="209"/>
      <c r="P1718" s="209"/>
      <c r="Q1718" s="209"/>
      <c r="R1718" s="209"/>
      <c r="S1718" s="367"/>
      <c r="T1718" s="276"/>
      <c r="U1718" s="276"/>
      <c r="V1718" s="276"/>
      <c r="W1718" s="276"/>
      <c r="X1718" s="276"/>
      <c r="Y1718" s="276"/>
      <c r="Z1718" s="276"/>
      <c r="AA1718" s="276"/>
      <c r="AB1718" s="276"/>
      <c r="AC1718" s="276"/>
    </row>
    <row r="1719">
      <c r="A1719" s="624" t="s">
        <v>12820</v>
      </c>
      <c r="B1719" s="625">
        <v>46156.0</v>
      </c>
      <c r="C1719" s="626">
        <v>8.07000036049E11</v>
      </c>
      <c r="D1719" s="626" t="s">
        <v>12817</v>
      </c>
      <c r="E1719" s="626" t="s">
        <v>12818</v>
      </c>
      <c r="F1719" s="627" t="s">
        <v>12819</v>
      </c>
      <c r="G1719" s="627" t="s">
        <v>127</v>
      </c>
      <c r="H1719" s="627">
        <v>4400.0</v>
      </c>
      <c r="I1719" s="628" t="s">
        <v>758</v>
      </c>
      <c r="J1719" s="626" t="s">
        <v>3574</v>
      </c>
      <c r="K1719" s="627">
        <v>2.0</v>
      </c>
      <c r="L1719" s="629">
        <v>3.87575949E9</v>
      </c>
      <c r="M1719" s="387"/>
      <c r="N1719" s="206"/>
      <c r="O1719" s="206"/>
      <c r="P1719" s="206"/>
      <c r="Q1719" s="206"/>
      <c r="R1719" s="206"/>
      <c r="S1719" s="367"/>
      <c r="T1719" s="276"/>
      <c r="U1719" s="276"/>
      <c r="V1719" s="276"/>
      <c r="W1719" s="276"/>
      <c r="X1719" s="276"/>
      <c r="Y1719" s="276"/>
      <c r="Z1719" s="276"/>
      <c r="AA1719" s="276"/>
      <c r="AB1719" s="276"/>
      <c r="AC1719" s="276"/>
    </row>
    <row r="1720">
      <c r="A1720" s="624" t="s">
        <v>12821</v>
      </c>
      <c r="B1720" s="625">
        <v>46156.0</v>
      </c>
      <c r="C1720" s="626">
        <v>8.07000036057E11</v>
      </c>
      <c r="D1720" s="626" t="s">
        <v>12822</v>
      </c>
      <c r="E1720" s="626" t="s">
        <v>12823</v>
      </c>
      <c r="F1720" s="627" t="s">
        <v>12824</v>
      </c>
      <c r="G1720" s="627" t="s">
        <v>127</v>
      </c>
      <c r="H1720" s="627">
        <v>4400.0</v>
      </c>
      <c r="I1720" s="628" t="s">
        <v>298</v>
      </c>
      <c r="J1720" s="626" t="s">
        <v>6035</v>
      </c>
      <c r="K1720" s="627">
        <v>1.0</v>
      </c>
      <c r="L1720" s="629">
        <v>3.87605507E9</v>
      </c>
      <c r="M1720" s="387"/>
      <c r="N1720" s="481">
        <v>46156.0</v>
      </c>
      <c r="O1720" s="531" t="s">
        <v>9011</v>
      </c>
      <c r="P1720" s="387"/>
      <c r="Q1720" s="261" t="s">
        <v>14245</v>
      </c>
      <c r="R1720" s="434" t="s">
        <v>14246</v>
      </c>
      <c r="S1720" s="367"/>
      <c r="T1720" s="276"/>
      <c r="U1720" s="276"/>
      <c r="V1720" s="276"/>
      <c r="W1720" s="276"/>
      <c r="X1720" s="276"/>
      <c r="Y1720" s="276"/>
      <c r="Z1720" s="276"/>
      <c r="AA1720" s="276"/>
      <c r="AB1720" s="276"/>
      <c r="AC1720" s="276"/>
    </row>
    <row r="1721">
      <c r="A1721" s="624" t="s">
        <v>12825</v>
      </c>
      <c r="B1721" s="625">
        <v>46156.0</v>
      </c>
      <c r="C1721" s="626">
        <v>8.07000036061E11</v>
      </c>
      <c r="D1721" s="626" t="s">
        <v>12826</v>
      </c>
      <c r="E1721" s="626" t="s">
        <v>12827</v>
      </c>
      <c r="F1721" s="627" t="s">
        <v>12828</v>
      </c>
      <c r="G1721" s="627" t="s">
        <v>127</v>
      </c>
      <c r="H1721" s="627">
        <v>4400.0</v>
      </c>
      <c r="I1721" s="628">
        <v>125812.0</v>
      </c>
      <c r="J1721" s="626" t="s">
        <v>9317</v>
      </c>
      <c r="K1721" s="627">
        <v>2.0</v>
      </c>
      <c r="L1721" s="629">
        <v>3.875373115E9</v>
      </c>
      <c r="M1721" s="387"/>
      <c r="N1721" s="480">
        <v>46156.0</v>
      </c>
      <c r="O1721" s="402" t="s">
        <v>9011</v>
      </c>
      <c r="P1721" s="534"/>
      <c r="Q1721" s="430" t="s">
        <v>14247</v>
      </c>
      <c r="R1721" s="432" t="s">
        <v>14248</v>
      </c>
      <c r="S1721" s="367"/>
      <c r="T1721" s="276"/>
      <c r="U1721" s="276"/>
      <c r="V1721" s="276"/>
      <c r="W1721" s="276"/>
      <c r="X1721" s="276"/>
      <c r="Y1721" s="276"/>
      <c r="Z1721" s="276"/>
      <c r="AA1721" s="276"/>
      <c r="AB1721" s="276"/>
      <c r="AC1721" s="276"/>
    </row>
    <row r="1722">
      <c r="A1722" s="624" t="s">
        <v>12825</v>
      </c>
      <c r="B1722" s="625">
        <v>46156.0</v>
      </c>
      <c r="C1722" s="626">
        <v>8.07000036062E11</v>
      </c>
      <c r="D1722" s="626" t="s">
        <v>12826</v>
      </c>
      <c r="E1722" s="626" t="s">
        <v>12827</v>
      </c>
      <c r="F1722" s="627" t="s">
        <v>12828</v>
      </c>
      <c r="G1722" s="627" t="s">
        <v>127</v>
      </c>
      <c r="H1722" s="627">
        <v>4400.0</v>
      </c>
      <c r="I1722" s="628" t="s">
        <v>25</v>
      </c>
      <c r="J1722" s="626" t="s">
        <v>3401</v>
      </c>
      <c r="K1722" s="627">
        <v>1.0</v>
      </c>
      <c r="L1722" s="629">
        <v>3.875373115E9</v>
      </c>
      <c r="M1722" s="387"/>
      <c r="N1722" s="209"/>
      <c r="O1722" s="209"/>
      <c r="P1722" s="209"/>
      <c r="Q1722" s="209"/>
      <c r="R1722" s="209"/>
      <c r="S1722" s="367"/>
      <c r="T1722" s="276"/>
      <c r="U1722" s="276"/>
      <c r="V1722" s="276"/>
      <c r="W1722" s="276"/>
      <c r="X1722" s="276"/>
      <c r="Y1722" s="276"/>
      <c r="Z1722" s="276"/>
      <c r="AA1722" s="276"/>
      <c r="AB1722" s="276"/>
      <c r="AC1722" s="276"/>
    </row>
    <row r="1723">
      <c r="A1723" s="624" t="s">
        <v>12829</v>
      </c>
      <c r="B1723" s="625">
        <v>46156.0</v>
      </c>
      <c r="C1723" s="626">
        <v>8.07000036063E11</v>
      </c>
      <c r="D1723" s="626" t="s">
        <v>12826</v>
      </c>
      <c r="E1723" s="626" t="s">
        <v>12827</v>
      </c>
      <c r="F1723" s="627" t="s">
        <v>12828</v>
      </c>
      <c r="G1723" s="627" t="s">
        <v>127</v>
      </c>
      <c r="H1723" s="627">
        <v>4400.0</v>
      </c>
      <c r="I1723" s="628" t="s">
        <v>512</v>
      </c>
      <c r="J1723" s="626" t="s">
        <v>513</v>
      </c>
      <c r="K1723" s="627">
        <v>6.0</v>
      </c>
      <c r="L1723" s="629">
        <v>3.875373115E9</v>
      </c>
      <c r="M1723" s="387"/>
      <c r="N1723" s="209"/>
      <c r="O1723" s="209"/>
      <c r="P1723" s="209"/>
      <c r="Q1723" s="209"/>
      <c r="R1723" s="209"/>
      <c r="S1723" s="367"/>
      <c r="T1723" s="276"/>
      <c r="U1723" s="276"/>
      <c r="V1723" s="276"/>
      <c r="W1723" s="276"/>
      <c r="X1723" s="276"/>
      <c r="Y1723" s="276"/>
      <c r="Z1723" s="276"/>
      <c r="AA1723" s="276"/>
      <c r="AB1723" s="276"/>
      <c r="AC1723" s="276"/>
    </row>
    <row r="1724">
      <c r="A1724" s="624" t="s">
        <v>12829</v>
      </c>
      <c r="B1724" s="625">
        <v>46156.0</v>
      </c>
      <c r="C1724" s="626">
        <v>8.07000036064E11</v>
      </c>
      <c r="D1724" s="626" t="s">
        <v>12826</v>
      </c>
      <c r="E1724" s="626" t="s">
        <v>12827</v>
      </c>
      <c r="F1724" s="627" t="s">
        <v>12828</v>
      </c>
      <c r="G1724" s="627" t="s">
        <v>127</v>
      </c>
      <c r="H1724" s="627">
        <v>4400.0</v>
      </c>
      <c r="I1724" s="628" t="s">
        <v>50</v>
      </c>
      <c r="J1724" s="626" t="s">
        <v>51</v>
      </c>
      <c r="K1724" s="627">
        <v>1.0</v>
      </c>
      <c r="L1724" s="629">
        <v>3.875373115E9</v>
      </c>
      <c r="M1724" s="387"/>
      <c r="N1724" s="206"/>
      <c r="O1724" s="206"/>
      <c r="P1724" s="206"/>
      <c r="Q1724" s="206"/>
      <c r="R1724" s="206"/>
      <c r="S1724" s="367"/>
      <c r="T1724" s="276"/>
      <c r="U1724" s="276"/>
      <c r="V1724" s="276"/>
      <c r="W1724" s="276"/>
      <c r="X1724" s="276"/>
      <c r="Y1724" s="276"/>
      <c r="Z1724" s="276"/>
      <c r="AA1724" s="276"/>
      <c r="AB1724" s="276"/>
      <c r="AC1724" s="276"/>
    </row>
    <row r="1725">
      <c r="A1725" s="624" t="s">
        <v>12830</v>
      </c>
      <c r="B1725" s="625">
        <v>46156.0</v>
      </c>
      <c r="C1725" s="626">
        <v>8.07000036079E11</v>
      </c>
      <c r="D1725" s="626" t="s">
        <v>12831</v>
      </c>
      <c r="E1725" s="626" t="s">
        <v>12832</v>
      </c>
      <c r="F1725" s="627" t="s">
        <v>12833</v>
      </c>
      <c r="G1725" s="627" t="s">
        <v>127</v>
      </c>
      <c r="H1725" s="627">
        <v>4400.0</v>
      </c>
      <c r="I1725" s="628">
        <v>120.0</v>
      </c>
      <c r="J1725" s="626" t="s">
        <v>12834</v>
      </c>
      <c r="K1725" s="627">
        <v>1.0</v>
      </c>
      <c r="L1725" s="629">
        <v>3.875072721E9</v>
      </c>
      <c r="M1725" s="387"/>
      <c r="N1725" s="480">
        <v>46156.0</v>
      </c>
      <c r="O1725" s="402" t="s">
        <v>9011</v>
      </c>
      <c r="P1725" s="534"/>
      <c r="Q1725" s="430" t="s">
        <v>13339</v>
      </c>
      <c r="R1725" s="432" t="s">
        <v>14249</v>
      </c>
      <c r="S1725" s="367"/>
      <c r="T1725" s="276"/>
      <c r="U1725" s="276"/>
      <c r="V1725" s="276"/>
      <c r="W1725" s="276"/>
      <c r="X1725" s="276"/>
      <c r="Y1725" s="276"/>
      <c r="Z1725" s="276"/>
      <c r="AA1725" s="276"/>
      <c r="AB1725" s="276"/>
      <c r="AC1725" s="276"/>
    </row>
    <row r="1726">
      <c r="A1726" s="624" t="s">
        <v>12830</v>
      </c>
      <c r="B1726" s="625">
        <v>46156.0</v>
      </c>
      <c r="C1726" s="626">
        <v>8.07000036079E11</v>
      </c>
      <c r="D1726" s="626" t="s">
        <v>12831</v>
      </c>
      <c r="E1726" s="626" t="s">
        <v>12832</v>
      </c>
      <c r="F1726" s="627" t="s">
        <v>12833</v>
      </c>
      <c r="G1726" s="627" t="s">
        <v>127</v>
      </c>
      <c r="H1726" s="627">
        <v>4400.0</v>
      </c>
      <c r="I1726" s="628" t="s">
        <v>4070</v>
      </c>
      <c r="J1726" s="626" t="s">
        <v>6264</v>
      </c>
      <c r="K1726" s="627">
        <v>1.0</v>
      </c>
      <c r="L1726" s="629">
        <v>3.875072721E9</v>
      </c>
      <c r="M1726" s="387"/>
      <c r="N1726" s="209"/>
      <c r="O1726" s="209"/>
      <c r="P1726" s="209"/>
      <c r="Q1726" s="209"/>
      <c r="R1726" s="209"/>
      <c r="S1726" s="367"/>
      <c r="T1726" s="276"/>
      <c r="U1726" s="276"/>
      <c r="V1726" s="276"/>
      <c r="W1726" s="276"/>
      <c r="X1726" s="276"/>
      <c r="Y1726" s="276"/>
      <c r="Z1726" s="276"/>
      <c r="AA1726" s="276"/>
      <c r="AB1726" s="276"/>
      <c r="AC1726" s="276"/>
    </row>
    <row r="1727">
      <c r="A1727" s="624" t="s">
        <v>12830</v>
      </c>
      <c r="B1727" s="625">
        <v>46156.0</v>
      </c>
      <c r="C1727" s="626">
        <v>8.07000036079E11</v>
      </c>
      <c r="D1727" s="626" t="s">
        <v>12831</v>
      </c>
      <c r="E1727" s="626" t="s">
        <v>12832</v>
      </c>
      <c r="F1727" s="627" t="s">
        <v>12833</v>
      </c>
      <c r="G1727" s="627" t="s">
        <v>127</v>
      </c>
      <c r="H1727" s="627">
        <v>4400.0</v>
      </c>
      <c r="I1727" s="628" t="s">
        <v>6265</v>
      </c>
      <c r="J1727" s="626" t="s">
        <v>6266</v>
      </c>
      <c r="K1727" s="627">
        <v>1.0</v>
      </c>
      <c r="L1727" s="629">
        <v>3.875072721E9</v>
      </c>
      <c r="M1727" s="387"/>
      <c r="N1727" s="209"/>
      <c r="O1727" s="209"/>
      <c r="P1727" s="209"/>
      <c r="Q1727" s="209"/>
      <c r="R1727" s="209"/>
      <c r="S1727" s="367"/>
      <c r="T1727" s="276"/>
      <c r="U1727" s="276"/>
      <c r="V1727" s="276"/>
      <c r="W1727" s="276"/>
      <c r="X1727" s="276"/>
      <c r="Y1727" s="276"/>
      <c r="Z1727" s="276"/>
      <c r="AA1727" s="276"/>
      <c r="AB1727" s="276"/>
      <c r="AC1727" s="276"/>
    </row>
    <row r="1728">
      <c r="A1728" s="624" t="s">
        <v>12830</v>
      </c>
      <c r="B1728" s="625">
        <v>46156.0</v>
      </c>
      <c r="C1728" s="626">
        <v>8.0700003608E11</v>
      </c>
      <c r="D1728" s="626" t="s">
        <v>12831</v>
      </c>
      <c r="E1728" s="626" t="s">
        <v>12832</v>
      </c>
      <c r="F1728" s="627" t="s">
        <v>12833</v>
      </c>
      <c r="G1728" s="627" t="s">
        <v>127</v>
      </c>
      <c r="H1728" s="627">
        <v>4400.0</v>
      </c>
      <c r="I1728" s="628" t="s">
        <v>761</v>
      </c>
      <c r="J1728" s="626" t="s">
        <v>3761</v>
      </c>
      <c r="K1728" s="627">
        <v>1.0</v>
      </c>
      <c r="L1728" s="629">
        <v>3.875072721E9</v>
      </c>
      <c r="M1728" s="387"/>
      <c r="N1728" s="209"/>
      <c r="O1728" s="209"/>
      <c r="P1728" s="209"/>
      <c r="Q1728" s="209"/>
      <c r="R1728" s="209"/>
      <c r="S1728" s="367"/>
      <c r="T1728" s="276"/>
      <c r="U1728" s="276"/>
      <c r="V1728" s="276"/>
      <c r="W1728" s="276"/>
      <c r="X1728" s="276"/>
      <c r="Y1728" s="276"/>
      <c r="Z1728" s="276"/>
      <c r="AA1728" s="276"/>
      <c r="AB1728" s="276"/>
      <c r="AC1728" s="276"/>
    </row>
    <row r="1729">
      <c r="A1729" s="624" t="s">
        <v>12830</v>
      </c>
      <c r="B1729" s="625">
        <v>46156.0</v>
      </c>
      <c r="C1729" s="626">
        <v>8.07000036081E11</v>
      </c>
      <c r="D1729" s="626" t="s">
        <v>12831</v>
      </c>
      <c r="E1729" s="626" t="s">
        <v>12832</v>
      </c>
      <c r="F1729" s="627" t="s">
        <v>12833</v>
      </c>
      <c r="G1729" s="627" t="s">
        <v>127</v>
      </c>
      <c r="H1729" s="627">
        <v>4400.0</v>
      </c>
      <c r="I1729" s="628" t="s">
        <v>4695</v>
      </c>
      <c r="J1729" s="626" t="s">
        <v>4696</v>
      </c>
      <c r="K1729" s="627">
        <v>1.0</v>
      </c>
      <c r="L1729" s="629">
        <v>3.875072721E9</v>
      </c>
      <c r="M1729" s="387"/>
      <c r="N1729" s="206"/>
      <c r="O1729" s="206"/>
      <c r="P1729" s="206"/>
      <c r="Q1729" s="206"/>
      <c r="R1729" s="206"/>
      <c r="S1729" s="367"/>
      <c r="T1729" s="276"/>
      <c r="U1729" s="276"/>
      <c r="V1729" s="276"/>
      <c r="W1729" s="276"/>
      <c r="X1729" s="276"/>
      <c r="Y1729" s="276"/>
      <c r="Z1729" s="276"/>
      <c r="AA1729" s="276"/>
      <c r="AB1729" s="276"/>
      <c r="AC1729" s="276"/>
    </row>
    <row r="1730">
      <c r="A1730" s="624" t="s">
        <v>12835</v>
      </c>
      <c r="B1730" s="625">
        <v>46156.0</v>
      </c>
      <c r="C1730" s="626">
        <v>8.07000036074E11</v>
      </c>
      <c r="D1730" s="626" t="s">
        <v>12836</v>
      </c>
      <c r="E1730" s="626" t="s">
        <v>12837</v>
      </c>
      <c r="F1730" s="627" t="s">
        <v>12838</v>
      </c>
      <c r="G1730" s="627" t="s">
        <v>127</v>
      </c>
      <c r="H1730" s="627">
        <v>4400.0</v>
      </c>
      <c r="I1730" s="628" t="s">
        <v>512</v>
      </c>
      <c r="J1730" s="626" t="s">
        <v>513</v>
      </c>
      <c r="K1730" s="627">
        <v>12.0</v>
      </c>
      <c r="L1730" s="629">
        <v>3.875315146E9</v>
      </c>
      <c r="M1730" s="387"/>
      <c r="N1730" s="480">
        <v>46156.0</v>
      </c>
      <c r="O1730" s="402" t="s">
        <v>9011</v>
      </c>
      <c r="P1730" s="534"/>
      <c r="Q1730" s="430" t="s">
        <v>13339</v>
      </c>
      <c r="R1730" s="432" t="s">
        <v>14250</v>
      </c>
      <c r="S1730" s="367"/>
      <c r="T1730" s="276"/>
      <c r="U1730" s="276"/>
      <c r="V1730" s="276"/>
      <c r="W1730" s="276"/>
      <c r="X1730" s="276"/>
      <c r="Y1730" s="276"/>
      <c r="Z1730" s="276"/>
      <c r="AA1730" s="276"/>
      <c r="AB1730" s="276"/>
      <c r="AC1730" s="276"/>
    </row>
    <row r="1731">
      <c r="A1731" s="624" t="s">
        <v>12835</v>
      </c>
      <c r="B1731" s="625">
        <v>46156.0</v>
      </c>
      <c r="C1731" s="626">
        <v>8.07000036075E11</v>
      </c>
      <c r="D1731" s="626" t="s">
        <v>12836</v>
      </c>
      <c r="E1731" s="626" t="s">
        <v>12837</v>
      </c>
      <c r="F1731" s="627" t="s">
        <v>12838</v>
      </c>
      <c r="G1731" s="627" t="s">
        <v>127</v>
      </c>
      <c r="H1731" s="627">
        <v>4400.0</v>
      </c>
      <c r="I1731" s="628" t="s">
        <v>1115</v>
      </c>
      <c r="J1731" s="626" t="s">
        <v>8215</v>
      </c>
      <c r="K1731" s="627">
        <v>1.0</v>
      </c>
      <c r="L1731" s="629">
        <v>3.875315146E9</v>
      </c>
      <c r="M1731" s="387"/>
      <c r="N1731" s="209"/>
      <c r="O1731" s="209"/>
      <c r="P1731" s="209"/>
      <c r="Q1731" s="209"/>
      <c r="R1731" s="209"/>
      <c r="S1731" s="367"/>
      <c r="T1731" s="276"/>
      <c r="U1731" s="276"/>
      <c r="V1731" s="276"/>
      <c r="W1731" s="276"/>
      <c r="X1731" s="276"/>
      <c r="Y1731" s="276"/>
      <c r="Z1731" s="276"/>
      <c r="AA1731" s="276"/>
      <c r="AB1731" s="276"/>
      <c r="AC1731" s="276"/>
    </row>
    <row r="1732">
      <c r="A1732" s="624" t="s">
        <v>12835</v>
      </c>
      <c r="B1732" s="625">
        <v>46156.0</v>
      </c>
      <c r="C1732" s="626">
        <v>8.07000036075E11</v>
      </c>
      <c r="D1732" s="626" t="s">
        <v>12836</v>
      </c>
      <c r="E1732" s="626" t="s">
        <v>12837</v>
      </c>
      <c r="F1732" s="627" t="s">
        <v>12838</v>
      </c>
      <c r="G1732" s="627" t="s">
        <v>127</v>
      </c>
      <c r="H1732" s="627">
        <v>4400.0</v>
      </c>
      <c r="I1732" s="628" t="s">
        <v>340</v>
      </c>
      <c r="J1732" s="626" t="s">
        <v>3486</v>
      </c>
      <c r="K1732" s="627">
        <v>2.0</v>
      </c>
      <c r="L1732" s="629">
        <v>3.875315146E9</v>
      </c>
      <c r="M1732" s="387"/>
      <c r="N1732" s="206"/>
      <c r="O1732" s="206"/>
      <c r="P1732" s="206"/>
      <c r="Q1732" s="206"/>
      <c r="R1732" s="206"/>
      <c r="S1732" s="367"/>
      <c r="T1732" s="276"/>
      <c r="U1732" s="276"/>
      <c r="V1732" s="276"/>
      <c r="W1732" s="276"/>
      <c r="X1732" s="276"/>
      <c r="Y1732" s="276"/>
      <c r="Z1732" s="276"/>
      <c r="AA1732" s="276"/>
      <c r="AB1732" s="276"/>
      <c r="AC1732" s="276"/>
    </row>
    <row r="1733">
      <c r="A1733" s="624" t="s">
        <v>12839</v>
      </c>
      <c r="B1733" s="625">
        <v>46156.0</v>
      </c>
      <c r="C1733" s="626">
        <v>8.07000036025E11</v>
      </c>
      <c r="D1733" s="626" t="s">
        <v>12728</v>
      </c>
      <c r="E1733" s="626" t="s">
        <v>12729</v>
      </c>
      <c r="F1733" s="627" t="s">
        <v>12730</v>
      </c>
      <c r="G1733" s="627" t="s">
        <v>127</v>
      </c>
      <c r="H1733" s="627">
        <v>4400.0</v>
      </c>
      <c r="I1733" s="628" t="s">
        <v>4976</v>
      </c>
      <c r="J1733" s="626" t="s">
        <v>4977</v>
      </c>
      <c r="K1733" s="627">
        <v>1.0</v>
      </c>
      <c r="L1733" s="629">
        <v>3.875744405E9</v>
      </c>
      <c r="M1733" s="387"/>
      <c r="N1733" s="480">
        <v>46156.0</v>
      </c>
      <c r="O1733" s="402" t="s">
        <v>9011</v>
      </c>
      <c r="P1733" s="534"/>
      <c r="Q1733" s="430" t="s">
        <v>14251</v>
      </c>
      <c r="R1733" s="432" t="s">
        <v>14252</v>
      </c>
      <c r="S1733" s="367"/>
      <c r="T1733" s="276"/>
      <c r="U1733" s="276"/>
      <c r="V1733" s="276"/>
      <c r="W1733" s="276"/>
      <c r="X1733" s="276"/>
      <c r="Y1733" s="276"/>
      <c r="Z1733" s="276"/>
      <c r="AA1733" s="276"/>
      <c r="AB1733" s="276"/>
      <c r="AC1733" s="276"/>
    </row>
    <row r="1734">
      <c r="A1734" s="624" t="s">
        <v>12840</v>
      </c>
      <c r="B1734" s="625">
        <v>46156.0</v>
      </c>
      <c r="C1734" s="626">
        <v>8.07000035948E11</v>
      </c>
      <c r="D1734" s="626" t="s">
        <v>12728</v>
      </c>
      <c r="E1734" s="626" t="s">
        <v>12729</v>
      </c>
      <c r="F1734" s="627" t="s">
        <v>12730</v>
      </c>
      <c r="G1734" s="627" t="s">
        <v>127</v>
      </c>
      <c r="H1734" s="627">
        <v>4400.0</v>
      </c>
      <c r="I1734" s="628" t="s">
        <v>9389</v>
      </c>
      <c r="J1734" s="626" t="s">
        <v>9390</v>
      </c>
      <c r="K1734" s="627">
        <v>1.0</v>
      </c>
      <c r="L1734" s="629">
        <v>3.875744405E9</v>
      </c>
      <c r="M1734" s="387"/>
      <c r="N1734" s="206"/>
      <c r="O1734" s="206"/>
      <c r="P1734" s="206"/>
      <c r="Q1734" s="206"/>
      <c r="R1734" s="206"/>
      <c r="S1734" s="367"/>
      <c r="T1734" s="276"/>
      <c r="U1734" s="276"/>
      <c r="V1734" s="276"/>
      <c r="W1734" s="276"/>
      <c r="X1734" s="276"/>
      <c r="Y1734" s="276"/>
      <c r="Z1734" s="276"/>
      <c r="AA1734" s="276"/>
      <c r="AB1734" s="276"/>
      <c r="AC1734" s="276"/>
    </row>
    <row r="1735">
      <c r="A1735" s="624" t="s">
        <v>12841</v>
      </c>
      <c r="B1735" s="625">
        <v>46156.0</v>
      </c>
      <c r="C1735" s="626">
        <v>8.07000035982E11</v>
      </c>
      <c r="D1735" s="626" t="s">
        <v>12842</v>
      </c>
      <c r="E1735" s="626" t="s">
        <v>12843</v>
      </c>
      <c r="F1735" s="627"/>
      <c r="G1735" s="627" t="s">
        <v>127</v>
      </c>
      <c r="H1735" s="627">
        <v>4400.0</v>
      </c>
      <c r="I1735" s="628">
        <v>125811.0</v>
      </c>
      <c r="J1735" s="626" t="s">
        <v>6073</v>
      </c>
      <c r="K1735" s="627">
        <v>6.0</v>
      </c>
      <c r="L1735" s="629">
        <v>3.875712344E9</v>
      </c>
      <c r="M1735" s="387"/>
      <c r="N1735" s="480">
        <v>46157.0</v>
      </c>
      <c r="O1735" s="402" t="s">
        <v>9011</v>
      </c>
      <c r="P1735" s="534"/>
      <c r="Q1735" s="430" t="s">
        <v>9012</v>
      </c>
      <c r="R1735" s="432" t="s">
        <v>14253</v>
      </c>
      <c r="S1735" s="367"/>
      <c r="T1735" s="276"/>
      <c r="U1735" s="276"/>
      <c r="V1735" s="276"/>
      <c r="W1735" s="276"/>
      <c r="X1735" s="276"/>
      <c r="Y1735" s="276"/>
      <c r="Z1735" s="276"/>
      <c r="AA1735" s="276"/>
      <c r="AB1735" s="276"/>
      <c r="AC1735" s="276"/>
    </row>
    <row r="1736">
      <c r="A1736" s="624" t="s">
        <v>12841</v>
      </c>
      <c r="B1736" s="625">
        <v>46156.0</v>
      </c>
      <c r="C1736" s="626">
        <v>8.07000035982E11</v>
      </c>
      <c r="D1736" s="626" t="s">
        <v>12842</v>
      </c>
      <c r="E1736" s="626" t="s">
        <v>12843</v>
      </c>
      <c r="F1736" s="627"/>
      <c r="G1736" s="627" t="s">
        <v>127</v>
      </c>
      <c r="H1736" s="627">
        <v>4400.0</v>
      </c>
      <c r="I1736" s="628" t="s">
        <v>3162</v>
      </c>
      <c r="J1736" s="626" t="s">
        <v>3885</v>
      </c>
      <c r="K1736" s="627">
        <v>4.0</v>
      </c>
      <c r="L1736" s="629">
        <v>3.875712344E9</v>
      </c>
      <c r="M1736" s="387"/>
      <c r="N1736" s="209"/>
      <c r="O1736" s="209"/>
      <c r="P1736" s="209"/>
      <c r="Q1736" s="209"/>
      <c r="R1736" s="209"/>
      <c r="S1736" s="367"/>
      <c r="T1736" s="276"/>
      <c r="U1736" s="276"/>
      <c r="V1736" s="276"/>
      <c r="W1736" s="276"/>
      <c r="X1736" s="276"/>
      <c r="Y1736" s="276"/>
      <c r="Z1736" s="276"/>
      <c r="AA1736" s="276"/>
      <c r="AB1736" s="276"/>
      <c r="AC1736" s="276"/>
    </row>
    <row r="1737">
      <c r="A1737" s="624" t="s">
        <v>12841</v>
      </c>
      <c r="B1737" s="625">
        <v>46156.0</v>
      </c>
      <c r="C1737" s="626">
        <v>8.07000035982E11</v>
      </c>
      <c r="D1737" s="626" t="s">
        <v>12842</v>
      </c>
      <c r="E1737" s="626" t="s">
        <v>12843</v>
      </c>
      <c r="F1737" s="627"/>
      <c r="G1737" s="627" t="s">
        <v>127</v>
      </c>
      <c r="H1737" s="627">
        <v>4400.0</v>
      </c>
      <c r="I1737" s="628" t="s">
        <v>6343</v>
      </c>
      <c r="J1737" s="626" t="s">
        <v>6435</v>
      </c>
      <c r="K1737" s="627">
        <v>1.0</v>
      </c>
      <c r="L1737" s="629">
        <v>3.875712344E9</v>
      </c>
      <c r="M1737" s="387"/>
      <c r="N1737" s="209"/>
      <c r="O1737" s="209"/>
      <c r="P1737" s="209"/>
      <c r="Q1737" s="209"/>
      <c r="R1737" s="209"/>
      <c r="S1737" s="367"/>
      <c r="T1737" s="276"/>
      <c r="U1737" s="276"/>
      <c r="V1737" s="276"/>
      <c r="W1737" s="276"/>
      <c r="X1737" s="276"/>
      <c r="Y1737" s="276"/>
      <c r="Z1737" s="276"/>
      <c r="AA1737" s="276"/>
      <c r="AB1737" s="276"/>
      <c r="AC1737" s="276"/>
    </row>
    <row r="1738">
      <c r="A1738" s="624" t="s">
        <v>12841</v>
      </c>
      <c r="B1738" s="625">
        <v>46156.0</v>
      </c>
      <c r="C1738" s="626">
        <v>8.07000035982E11</v>
      </c>
      <c r="D1738" s="626" t="s">
        <v>12842</v>
      </c>
      <c r="E1738" s="626" t="s">
        <v>12843</v>
      </c>
      <c r="F1738" s="627"/>
      <c r="G1738" s="627" t="s">
        <v>127</v>
      </c>
      <c r="H1738" s="627">
        <v>4400.0</v>
      </c>
      <c r="I1738" s="628" t="s">
        <v>512</v>
      </c>
      <c r="J1738" s="626" t="s">
        <v>513</v>
      </c>
      <c r="K1738" s="627">
        <v>12.0</v>
      </c>
      <c r="L1738" s="629">
        <v>3.875712344E9</v>
      </c>
      <c r="M1738" s="387"/>
      <c r="N1738" s="209"/>
      <c r="O1738" s="209"/>
      <c r="P1738" s="209"/>
      <c r="Q1738" s="209"/>
      <c r="R1738" s="209"/>
      <c r="S1738" s="367"/>
      <c r="T1738" s="276"/>
      <c r="U1738" s="276"/>
      <c r="V1738" s="276"/>
      <c r="W1738" s="276"/>
      <c r="X1738" s="276"/>
      <c r="Y1738" s="276"/>
      <c r="Z1738" s="276"/>
      <c r="AA1738" s="276"/>
      <c r="AB1738" s="276"/>
      <c r="AC1738" s="276"/>
    </row>
    <row r="1739">
      <c r="A1739" s="624" t="s">
        <v>12841</v>
      </c>
      <c r="B1739" s="625">
        <v>46156.0</v>
      </c>
      <c r="C1739" s="626">
        <v>8.07000035982E11</v>
      </c>
      <c r="D1739" s="626" t="s">
        <v>12842</v>
      </c>
      <c r="E1739" s="626" t="s">
        <v>12843</v>
      </c>
      <c r="F1739" s="627"/>
      <c r="G1739" s="627" t="s">
        <v>127</v>
      </c>
      <c r="H1739" s="627">
        <v>4400.0</v>
      </c>
      <c r="I1739" s="628" t="s">
        <v>233</v>
      </c>
      <c r="J1739" s="626" t="s">
        <v>3459</v>
      </c>
      <c r="K1739" s="627">
        <v>2.0</v>
      </c>
      <c r="L1739" s="629">
        <v>3.875712344E9</v>
      </c>
      <c r="M1739" s="387"/>
      <c r="N1739" s="209"/>
      <c r="O1739" s="209"/>
      <c r="P1739" s="209"/>
      <c r="Q1739" s="209"/>
      <c r="R1739" s="209"/>
      <c r="S1739" s="367"/>
      <c r="T1739" s="276"/>
      <c r="U1739" s="276"/>
      <c r="V1739" s="276"/>
      <c r="W1739" s="276"/>
      <c r="X1739" s="276"/>
      <c r="Y1739" s="276"/>
      <c r="Z1739" s="276"/>
      <c r="AA1739" s="276"/>
      <c r="AB1739" s="276"/>
      <c r="AC1739" s="276"/>
    </row>
    <row r="1740">
      <c r="A1740" s="624" t="s">
        <v>12841</v>
      </c>
      <c r="B1740" s="625">
        <v>46156.0</v>
      </c>
      <c r="C1740" s="626">
        <v>8.07000035983E11</v>
      </c>
      <c r="D1740" s="626" t="s">
        <v>12842</v>
      </c>
      <c r="E1740" s="626" t="s">
        <v>12843</v>
      </c>
      <c r="F1740" s="627"/>
      <c r="G1740" s="627" t="s">
        <v>127</v>
      </c>
      <c r="H1740" s="627">
        <v>4400.0</v>
      </c>
      <c r="I1740" s="628" t="s">
        <v>969</v>
      </c>
      <c r="J1740" s="626" t="s">
        <v>3296</v>
      </c>
      <c r="K1740" s="627">
        <v>4.0</v>
      </c>
      <c r="L1740" s="629">
        <v>3.875712344E9</v>
      </c>
      <c r="M1740" s="387"/>
      <c r="N1740" s="206"/>
      <c r="O1740" s="206"/>
      <c r="P1740" s="206"/>
      <c r="Q1740" s="206"/>
      <c r="R1740" s="206"/>
      <c r="S1740" s="367"/>
      <c r="T1740" s="276"/>
      <c r="U1740" s="276"/>
      <c r="V1740" s="276"/>
      <c r="W1740" s="276"/>
      <c r="X1740" s="276"/>
      <c r="Y1740" s="276"/>
      <c r="Z1740" s="276"/>
      <c r="AA1740" s="276"/>
      <c r="AB1740" s="276"/>
      <c r="AC1740" s="276"/>
    </row>
    <row r="1741">
      <c r="A1741" s="624" t="s">
        <v>12844</v>
      </c>
      <c r="B1741" s="625">
        <v>46156.0</v>
      </c>
      <c r="C1741" s="626">
        <v>8.07000036084E11</v>
      </c>
      <c r="D1741" s="626" t="s">
        <v>12845</v>
      </c>
      <c r="E1741" s="626" t="s">
        <v>12846</v>
      </c>
      <c r="F1741" s="627" t="s">
        <v>12847</v>
      </c>
      <c r="G1741" s="627" t="s">
        <v>127</v>
      </c>
      <c r="H1741" s="627">
        <v>4400.0</v>
      </c>
      <c r="I1741" s="628" t="s">
        <v>659</v>
      </c>
      <c r="J1741" s="626" t="s">
        <v>3468</v>
      </c>
      <c r="K1741" s="627">
        <v>1.0</v>
      </c>
      <c r="L1741" s="629">
        <v>2.614609506E9</v>
      </c>
      <c r="M1741" s="387"/>
      <c r="N1741" s="480">
        <v>46156.0</v>
      </c>
      <c r="O1741" s="402" t="s">
        <v>9011</v>
      </c>
      <c r="P1741" s="534"/>
      <c r="Q1741" s="430" t="s">
        <v>13339</v>
      </c>
      <c r="R1741" s="432" t="s">
        <v>14254</v>
      </c>
      <c r="S1741" s="367"/>
      <c r="T1741" s="276"/>
      <c r="U1741" s="276"/>
      <c r="V1741" s="276"/>
      <c r="W1741" s="276"/>
      <c r="X1741" s="276"/>
      <c r="Y1741" s="276"/>
      <c r="Z1741" s="276"/>
      <c r="AA1741" s="276"/>
      <c r="AB1741" s="276"/>
      <c r="AC1741" s="276"/>
    </row>
    <row r="1742">
      <c r="A1742" s="624" t="s">
        <v>12844</v>
      </c>
      <c r="B1742" s="625">
        <v>46156.0</v>
      </c>
      <c r="C1742" s="626">
        <v>8.07000036084E11</v>
      </c>
      <c r="D1742" s="626" t="s">
        <v>12845</v>
      </c>
      <c r="E1742" s="626" t="s">
        <v>12846</v>
      </c>
      <c r="F1742" s="627" t="s">
        <v>12847</v>
      </c>
      <c r="G1742" s="627" t="s">
        <v>127</v>
      </c>
      <c r="H1742" s="627">
        <v>4400.0</v>
      </c>
      <c r="I1742" s="628" t="s">
        <v>512</v>
      </c>
      <c r="J1742" s="626" t="s">
        <v>513</v>
      </c>
      <c r="K1742" s="627">
        <v>6.0</v>
      </c>
      <c r="L1742" s="629">
        <v>2.614609506E9</v>
      </c>
      <c r="M1742" s="387"/>
      <c r="N1742" s="209"/>
      <c r="O1742" s="209"/>
      <c r="P1742" s="209"/>
      <c r="Q1742" s="209"/>
      <c r="R1742" s="209"/>
      <c r="S1742" s="367"/>
      <c r="T1742" s="276"/>
      <c r="U1742" s="276"/>
      <c r="V1742" s="276"/>
      <c r="W1742" s="276"/>
      <c r="X1742" s="276"/>
      <c r="Y1742" s="276"/>
      <c r="Z1742" s="276"/>
      <c r="AA1742" s="276"/>
      <c r="AB1742" s="276"/>
      <c r="AC1742" s="276"/>
    </row>
    <row r="1743">
      <c r="A1743" s="624" t="s">
        <v>12848</v>
      </c>
      <c r="B1743" s="625">
        <v>46156.0</v>
      </c>
      <c r="C1743" s="626">
        <v>8.07000036085E11</v>
      </c>
      <c r="D1743" s="626" t="s">
        <v>12845</v>
      </c>
      <c r="E1743" s="626" t="s">
        <v>12846</v>
      </c>
      <c r="F1743" s="627" t="s">
        <v>12847</v>
      </c>
      <c r="G1743" s="627" t="s">
        <v>127</v>
      </c>
      <c r="H1743" s="627">
        <v>4400.0</v>
      </c>
      <c r="I1743" s="628" t="s">
        <v>35</v>
      </c>
      <c r="J1743" s="626" t="s">
        <v>3188</v>
      </c>
      <c r="K1743" s="627">
        <v>1.0</v>
      </c>
      <c r="L1743" s="629">
        <v>2.614609506E9</v>
      </c>
      <c r="M1743" s="387"/>
      <c r="N1743" s="206"/>
      <c r="O1743" s="206"/>
      <c r="P1743" s="206"/>
      <c r="Q1743" s="206"/>
      <c r="R1743" s="206"/>
      <c r="S1743" s="367"/>
      <c r="T1743" s="276"/>
      <c r="U1743" s="276"/>
      <c r="V1743" s="276"/>
      <c r="W1743" s="276"/>
      <c r="X1743" s="276"/>
      <c r="Y1743" s="276"/>
      <c r="Z1743" s="276"/>
      <c r="AA1743" s="276"/>
      <c r="AB1743" s="276"/>
      <c r="AC1743" s="276"/>
    </row>
    <row r="1744">
      <c r="A1744" s="624" t="s">
        <v>12849</v>
      </c>
      <c r="B1744" s="625">
        <v>46156.0</v>
      </c>
      <c r="C1744" s="626">
        <v>8.07000036092E11</v>
      </c>
      <c r="D1744" s="626" t="s">
        <v>12850</v>
      </c>
      <c r="E1744" s="626" t="s">
        <v>12851</v>
      </c>
      <c r="F1744" s="627" t="s">
        <v>12852</v>
      </c>
      <c r="G1744" s="627" t="s">
        <v>127</v>
      </c>
      <c r="H1744" s="627">
        <v>4400.0</v>
      </c>
      <c r="I1744" s="628" t="s">
        <v>1044</v>
      </c>
      <c r="J1744" s="626" t="s">
        <v>8493</v>
      </c>
      <c r="K1744" s="627">
        <v>1.0</v>
      </c>
      <c r="L1744" s="629">
        <v>3.875348737E9</v>
      </c>
      <c r="M1744" s="387"/>
      <c r="N1744" s="481">
        <v>46157.0</v>
      </c>
      <c r="O1744" s="531" t="s">
        <v>9011</v>
      </c>
      <c r="P1744" s="387"/>
      <c r="Q1744" s="261" t="s">
        <v>14255</v>
      </c>
      <c r="R1744" s="434" t="s">
        <v>14256</v>
      </c>
      <c r="S1744" s="367"/>
      <c r="T1744" s="276"/>
      <c r="U1744" s="276"/>
      <c r="V1744" s="276"/>
      <c r="W1744" s="276"/>
      <c r="X1744" s="276"/>
      <c r="Y1744" s="276"/>
      <c r="Z1744" s="276"/>
      <c r="AA1744" s="276"/>
      <c r="AB1744" s="276"/>
      <c r="AC1744" s="276"/>
    </row>
    <row r="1745">
      <c r="A1745" s="624" t="s">
        <v>12853</v>
      </c>
      <c r="B1745" s="625">
        <v>46156.0</v>
      </c>
      <c r="C1745" s="626">
        <v>8.07000036087E11</v>
      </c>
      <c r="D1745" s="626" t="s">
        <v>12854</v>
      </c>
      <c r="E1745" s="626" t="s">
        <v>12855</v>
      </c>
      <c r="F1745" s="627" t="s">
        <v>12856</v>
      </c>
      <c r="G1745" s="627" t="s">
        <v>127</v>
      </c>
      <c r="H1745" s="627">
        <v>4400.0</v>
      </c>
      <c r="I1745" s="628">
        <v>125818.0</v>
      </c>
      <c r="J1745" s="626" t="s">
        <v>4334</v>
      </c>
      <c r="K1745" s="627">
        <v>2.0</v>
      </c>
      <c r="L1745" s="629">
        <v>3.875366391E9</v>
      </c>
      <c r="M1745" s="387"/>
      <c r="N1745" s="480">
        <v>46156.0</v>
      </c>
      <c r="O1745" s="402" t="s">
        <v>9011</v>
      </c>
      <c r="P1745" s="534"/>
      <c r="Q1745" s="430" t="s">
        <v>14257</v>
      </c>
      <c r="R1745" s="432" t="s">
        <v>14258</v>
      </c>
      <c r="S1745" s="367"/>
      <c r="T1745" s="276"/>
      <c r="U1745" s="276"/>
      <c r="V1745" s="276"/>
      <c r="W1745" s="276"/>
      <c r="X1745" s="276"/>
      <c r="Y1745" s="276"/>
      <c r="Z1745" s="276"/>
      <c r="AA1745" s="276"/>
      <c r="AB1745" s="276"/>
      <c r="AC1745" s="276"/>
    </row>
    <row r="1746">
      <c r="A1746" s="624" t="s">
        <v>12857</v>
      </c>
      <c r="B1746" s="625">
        <v>46156.0</v>
      </c>
      <c r="C1746" s="626">
        <v>8.07000036088E11</v>
      </c>
      <c r="D1746" s="626" t="s">
        <v>12854</v>
      </c>
      <c r="E1746" s="626" t="s">
        <v>12855</v>
      </c>
      <c r="F1746" s="627" t="s">
        <v>12856</v>
      </c>
      <c r="G1746" s="627" t="s">
        <v>127</v>
      </c>
      <c r="H1746" s="627">
        <v>4400.0</v>
      </c>
      <c r="I1746" s="628" t="s">
        <v>512</v>
      </c>
      <c r="J1746" s="626" t="s">
        <v>513</v>
      </c>
      <c r="K1746" s="627">
        <v>6.0</v>
      </c>
      <c r="L1746" s="629">
        <v>3.875366391E9</v>
      </c>
      <c r="M1746" s="387"/>
      <c r="N1746" s="209"/>
      <c r="O1746" s="209"/>
      <c r="P1746" s="209"/>
      <c r="Q1746" s="209"/>
      <c r="R1746" s="209"/>
      <c r="S1746" s="367"/>
      <c r="T1746" s="276"/>
      <c r="U1746" s="276"/>
      <c r="V1746" s="276"/>
      <c r="W1746" s="276"/>
      <c r="X1746" s="276"/>
      <c r="Y1746" s="276"/>
      <c r="Z1746" s="276"/>
      <c r="AA1746" s="276"/>
      <c r="AB1746" s="276"/>
      <c r="AC1746" s="276"/>
    </row>
    <row r="1747">
      <c r="A1747" s="624" t="s">
        <v>12857</v>
      </c>
      <c r="B1747" s="625">
        <v>46156.0</v>
      </c>
      <c r="C1747" s="626">
        <v>8.07000036089E11</v>
      </c>
      <c r="D1747" s="626" t="s">
        <v>12854</v>
      </c>
      <c r="E1747" s="626" t="s">
        <v>12855</v>
      </c>
      <c r="F1747" s="627" t="s">
        <v>12856</v>
      </c>
      <c r="G1747" s="627" t="s">
        <v>127</v>
      </c>
      <c r="H1747" s="627">
        <v>4400.0</v>
      </c>
      <c r="I1747" s="628" t="s">
        <v>32</v>
      </c>
      <c r="J1747" s="626" t="s">
        <v>3225</v>
      </c>
      <c r="K1747" s="627">
        <v>1.0</v>
      </c>
      <c r="L1747" s="629">
        <v>3.875366391E9</v>
      </c>
      <c r="M1747" s="387"/>
      <c r="N1747" s="209"/>
      <c r="O1747" s="209"/>
      <c r="P1747" s="209"/>
      <c r="Q1747" s="209"/>
      <c r="R1747" s="209"/>
      <c r="S1747" s="367"/>
      <c r="T1747" s="276"/>
      <c r="U1747" s="276"/>
      <c r="V1747" s="276"/>
      <c r="W1747" s="276"/>
      <c r="X1747" s="276"/>
      <c r="Y1747" s="276"/>
      <c r="Z1747" s="276"/>
      <c r="AA1747" s="276"/>
      <c r="AB1747" s="276"/>
      <c r="AC1747" s="276"/>
    </row>
    <row r="1748">
      <c r="A1748" s="624" t="s">
        <v>12857</v>
      </c>
      <c r="B1748" s="625">
        <v>46156.0</v>
      </c>
      <c r="C1748" s="626">
        <v>8.07000036089E11</v>
      </c>
      <c r="D1748" s="626" t="s">
        <v>12854</v>
      </c>
      <c r="E1748" s="626" t="s">
        <v>12855</v>
      </c>
      <c r="F1748" s="627" t="s">
        <v>12856</v>
      </c>
      <c r="G1748" s="627" t="s">
        <v>127</v>
      </c>
      <c r="H1748" s="627">
        <v>4400.0</v>
      </c>
      <c r="I1748" s="628" t="s">
        <v>670</v>
      </c>
      <c r="J1748" s="626" t="s">
        <v>3410</v>
      </c>
      <c r="K1748" s="627">
        <v>1.0</v>
      </c>
      <c r="L1748" s="629">
        <v>3.875366391E9</v>
      </c>
      <c r="M1748" s="387"/>
      <c r="N1748" s="206"/>
      <c r="O1748" s="206"/>
      <c r="P1748" s="206"/>
      <c r="Q1748" s="206"/>
      <c r="R1748" s="206"/>
      <c r="S1748" s="367"/>
      <c r="T1748" s="276"/>
      <c r="U1748" s="276"/>
      <c r="V1748" s="276"/>
      <c r="W1748" s="276"/>
      <c r="X1748" s="276"/>
      <c r="Y1748" s="276"/>
      <c r="Z1748" s="276"/>
      <c r="AA1748" s="276"/>
      <c r="AB1748" s="276"/>
      <c r="AC1748" s="276"/>
    </row>
    <row r="1749">
      <c r="A1749" s="624" t="s">
        <v>12858</v>
      </c>
      <c r="B1749" s="625">
        <v>46156.0</v>
      </c>
      <c r="C1749" s="626">
        <v>8.07000036098E11</v>
      </c>
      <c r="D1749" s="626" t="s">
        <v>12859</v>
      </c>
      <c r="E1749" s="626" t="s">
        <v>12860</v>
      </c>
      <c r="F1749" s="627" t="s">
        <v>12861</v>
      </c>
      <c r="G1749" s="627" t="s">
        <v>127</v>
      </c>
      <c r="H1749" s="627">
        <v>4400.0</v>
      </c>
      <c r="I1749" s="628" t="s">
        <v>512</v>
      </c>
      <c r="J1749" s="626" t="s">
        <v>513</v>
      </c>
      <c r="K1749" s="627">
        <v>12.0</v>
      </c>
      <c r="L1749" s="627">
        <v>3.872262776E9</v>
      </c>
      <c r="M1749" s="387"/>
      <c r="N1749" s="480">
        <v>46157.0</v>
      </c>
      <c r="O1749" s="402" t="s">
        <v>9011</v>
      </c>
      <c r="P1749" s="534"/>
      <c r="Q1749" s="430" t="s">
        <v>13339</v>
      </c>
      <c r="R1749" s="432" t="s">
        <v>14259</v>
      </c>
      <c r="S1749" s="367"/>
      <c r="T1749" s="276"/>
      <c r="U1749" s="276"/>
      <c r="V1749" s="276"/>
      <c r="W1749" s="276"/>
      <c r="X1749" s="276"/>
      <c r="Y1749" s="276"/>
      <c r="Z1749" s="276"/>
      <c r="AA1749" s="276"/>
      <c r="AB1749" s="276"/>
      <c r="AC1749" s="276"/>
    </row>
    <row r="1750">
      <c r="A1750" s="624" t="s">
        <v>12858</v>
      </c>
      <c r="B1750" s="625">
        <v>46156.0</v>
      </c>
      <c r="C1750" s="626">
        <v>8.07000036099E11</v>
      </c>
      <c r="D1750" s="626" t="s">
        <v>12859</v>
      </c>
      <c r="E1750" s="626" t="s">
        <v>12860</v>
      </c>
      <c r="F1750" s="627" t="s">
        <v>12861</v>
      </c>
      <c r="G1750" s="627" t="s">
        <v>127</v>
      </c>
      <c r="H1750" s="627">
        <v>4400.0</v>
      </c>
      <c r="I1750" s="628" t="s">
        <v>10484</v>
      </c>
      <c r="J1750" s="626" t="s">
        <v>10485</v>
      </c>
      <c r="K1750" s="627">
        <v>1.0</v>
      </c>
      <c r="L1750" s="627">
        <v>3.872262776E9</v>
      </c>
      <c r="M1750" s="387"/>
      <c r="N1750" s="209"/>
      <c r="O1750" s="209"/>
      <c r="P1750" s="209"/>
      <c r="Q1750" s="209"/>
      <c r="R1750" s="209"/>
      <c r="S1750" s="367"/>
      <c r="T1750" s="276"/>
      <c r="U1750" s="276"/>
      <c r="V1750" s="276"/>
      <c r="W1750" s="276"/>
      <c r="X1750" s="276"/>
      <c r="Y1750" s="276"/>
      <c r="Z1750" s="276"/>
      <c r="AA1750" s="276"/>
      <c r="AB1750" s="276"/>
      <c r="AC1750" s="276"/>
    </row>
    <row r="1751">
      <c r="A1751" s="624" t="s">
        <v>12858</v>
      </c>
      <c r="B1751" s="625">
        <v>46156.0</v>
      </c>
      <c r="C1751" s="626">
        <v>8.07000036099E11</v>
      </c>
      <c r="D1751" s="626" t="s">
        <v>12859</v>
      </c>
      <c r="E1751" s="626" t="s">
        <v>12860</v>
      </c>
      <c r="F1751" s="627" t="s">
        <v>12861</v>
      </c>
      <c r="G1751" s="627" t="s">
        <v>127</v>
      </c>
      <c r="H1751" s="627">
        <v>4400.0</v>
      </c>
      <c r="I1751" s="628" t="s">
        <v>121</v>
      </c>
      <c r="J1751" s="626" t="s">
        <v>3199</v>
      </c>
      <c r="K1751" s="627">
        <v>2.0</v>
      </c>
      <c r="L1751" s="627">
        <v>3.872262776E9</v>
      </c>
      <c r="M1751" s="387"/>
      <c r="N1751" s="206"/>
      <c r="O1751" s="206"/>
      <c r="P1751" s="206"/>
      <c r="Q1751" s="206"/>
      <c r="R1751" s="206"/>
      <c r="S1751" s="367"/>
      <c r="T1751" s="276"/>
      <c r="U1751" s="276"/>
      <c r="V1751" s="276"/>
      <c r="W1751" s="276"/>
      <c r="X1751" s="276"/>
      <c r="Y1751" s="276"/>
      <c r="Z1751" s="276"/>
      <c r="AA1751" s="276"/>
      <c r="AB1751" s="276"/>
      <c r="AC1751" s="276"/>
    </row>
    <row r="1752">
      <c r="A1752" s="624" t="s">
        <v>12862</v>
      </c>
      <c r="B1752" s="625">
        <v>46156.0</v>
      </c>
      <c r="C1752" s="626">
        <v>8.07000036101E11</v>
      </c>
      <c r="D1752" s="626" t="s">
        <v>12863</v>
      </c>
      <c r="E1752" s="626" t="s">
        <v>12864</v>
      </c>
      <c r="F1752" s="627" t="s">
        <v>12865</v>
      </c>
      <c r="G1752" s="627" t="s">
        <v>292</v>
      </c>
      <c r="H1752" s="627">
        <v>4400.0</v>
      </c>
      <c r="I1752" s="628" t="s">
        <v>3154</v>
      </c>
      <c r="J1752" s="626" t="s">
        <v>4564</v>
      </c>
      <c r="K1752" s="627">
        <v>2.0</v>
      </c>
      <c r="L1752" s="629">
        <v>3.875155763E9</v>
      </c>
      <c r="M1752" s="387"/>
      <c r="N1752" s="480">
        <v>46157.0</v>
      </c>
      <c r="O1752" s="402" t="s">
        <v>9011</v>
      </c>
      <c r="P1752" s="534"/>
      <c r="Q1752" s="430" t="s">
        <v>14260</v>
      </c>
      <c r="R1752" s="432" t="s">
        <v>14261</v>
      </c>
      <c r="S1752" s="367"/>
      <c r="T1752" s="276"/>
      <c r="U1752" s="276"/>
      <c r="V1752" s="276"/>
      <c r="W1752" s="276"/>
      <c r="X1752" s="276"/>
      <c r="Y1752" s="276"/>
      <c r="Z1752" s="276"/>
      <c r="AA1752" s="276"/>
      <c r="AB1752" s="276"/>
      <c r="AC1752" s="276"/>
    </row>
    <row r="1753">
      <c r="A1753" s="624" t="s">
        <v>12862</v>
      </c>
      <c r="B1753" s="625">
        <v>46156.0</v>
      </c>
      <c r="C1753" s="626">
        <v>8.07000036101E11</v>
      </c>
      <c r="D1753" s="626" t="s">
        <v>12863</v>
      </c>
      <c r="E1753" s="626" t="s">
        <v>12864</v>
      </c>
      <c r="F1753" s="627" t="s">
        <v>12865</v>
      </c>
      <c r="G1753" s="627" t="s">
        <v>292</v>
      </c>
      <c r="H1753" s="627">
        <v>4400.0</v>
      </c>
      <c r="I1753" s="628" t="s">
        <v>512</v>
      </c>
      <c r="J1753" s="626" t="s">
        <v>513</v>
      </c>
      <c r="K1753" s="627">
        <v>12.0</v>
      </c>
      <c r="L1753" s="629">
        <v>3.875155763E9</v>
      </c>
      <c r="M1753" s="387"/>
      <c r="N1753" s="209"/>
      <c r="O1753" s="209"/>
      <c r="P1753" s="209"/>
      <c r="Q1753" s="209"/>
      <c r="R1753" s="209"/>
      <c r="S1753" s="367"/>
      <c r="T1753" s="276"/>
      <c r="U1753" s="276"/>
      <c r="V1753" s="276"/>
      <c r="W1753" s="276"/>
      <c r="X1753" s="276"/>
      <c r="Y1753" s="276"/>
      <c r="Z1753" s="276"/>
      <c r="AA1753" s="276"/>
      <c r="AB1753" s="276"/>
      <c r="AC1753" s="276"/>
    </row>
    <row r="1754">
      <c r="A1754" s="624" t="s">
        <v>12862</v>
      </c>
      <c r="B1754" s="625">
        <v>46156.0</v>
      </c>
      <c r="C1754" s="626">
        <v>8.07000036101E11</v>
      </c>
      <c r="D1754" s="626" t="s">
        <v>12863</v>
      </c>
      <c r="E1754" s="626" t="s">
        <v>12864</v>
      </c>
      <c r="F1754" s="627" t="s">
        <v>12865</v>
      </c>
      <c r="G1754" s="627" t="s">
        <v>292</v>
      </c>
      <c r="H1754" s="627">
        <v>4400.0</v>
      </c>
      <c r="I1754" s="628" t="s">
        <v>2031</v>
      </c>
      <c r="J1754" s="626" t="s">
        <v>3348</v>
      </c>
      <c r="K1754" s="627">
        <v>2.0</v>
      </c>
      <c r="L1754" s="629">
        <v>3.875155763E9</v>
      </c>
      <c r="M1754" s="387"/>
      <c r="N1754" s="206"/>
      <c r="O1754" s="206"/>
      <c r="P1754" s="206"/>
      <c r="Q1754" s="206"/>
      <c r="R1754" s="206"/>
      <c r="S1754" s="367"/>
      <c r="T1754" s="276"/>
      <c r="U1754" s="276"/>
      <c r="V1754" s="276"/>
      <c r="W1754" s="276"/>
      <c r="X1754" s="276"/>
      <c r="Y1754" s="276"/>
      <c r="Z1754" s="276"/>
      <c r="AA1754" s="276"/>
      <c r="AB1754" s="276"/>
      <c r="AC1754" s="276"/>
    </row>
    <row r="1755">
      <c r="A1755" s="624" t="s">
        <v>12866</v>
      </c>
      <c r="B1755" s="625">
        <v>46157.0</v>
      </c>
      <c r="C1755" s="626">
        <v>8.07000035964E11</v>
      </c>
      <c r="D1755" s="626" t="s">
        <v>3528</v>
      </c>
      <c r="E1755" s="626" t="s">
        <v>3529</v>
      </c>
      <c r="F1755" s="627" t="s">
        <v>12867</v>
      </c>
      <c r="G1755" s="627" t="s">
        <v>1986</v>
      </c>
      <c r="H1755" s="627">
        <v>4400.0</v>
      </c>
      <c r="I1755" s="628" t="s">
        <v>512</v>
      </c>
      <c r="J1755" s="626" t="s">
        <v>513</v>
      </c>
      <c r="K1755" s="627">
        <v>6.0</v>
      </c>
      <c r="L1755" s="629">
        <v>3.875124813E9</v>
      </c>
      <c r="M1755" s="387"/>
      <c r="N1755" s="480">
        <v>46158.0</v>
      </c>
      <c r="O1755" s="402" t="s">
        <v>9011</v>
      </c>
      <c r="P1755" s="534"/>
      <c r="Q1755" s="430" t="s">
        <v>14262</v>
      </c>
      <c r="R1755" s="432" t="s">
        <v>14263</v>
      </c>
      <c r="S1755" s="367"/>
      <c r="T1755" s="276"/>
      <c r="U1755" s="276"/>
      <c r="V1755" s="276"/>
      <c r="W1755" s="276"/>
      <c r="X1755" s="276"/>
      <c r="Y1755" s="276"/>
      <c r="Z1755" s="276"/>
      <c r="AA1755" s="276"/>
      <c r="AB1755" s="276"/>
      <c r="AC1755" s="276"/>
    </row>
    <row r="1756">
      <c r="A1756" s="624" t="s">
        <v>12866</v>
      </c>
      <c r="B1756" s="625">
        <v>46157.0</v>
      </c>
      <c r="C1756" s="626">
        <v>8.07000035965E11</v>
      </c>
      <c r="D1756" s="626" t="s">
        <v>3528</v>
      </c>
      <c r="E1756" s="626" t="s">
        <v>3529</v>
      </c>
      <c r="F1756" s="627" t="s">
        <v>12867</v>
      </c>
      <c r="G1756" s="627" t="s">
        <v>1986</v>
      </c>
      <c r="H1756" s="627">
        <v>4400.0</v>
      </c>
      <c r="I1756" s="628" t="s">
        <v>4976</v>
      </c>
      <c r="J1756" s="626" t="s">
        <v>4977</v>
      </c>
      <c r="K1756" s="627">
        <v>1.0</v>
      </c>
      <c r="L1756" s="629">
        <v>3.875124813E9</v>
      </c>
      <c r="M1756" s="387"/>
      <c r="N1756" s="209"/>
      <c r="O1756" s="209"/>
      <c r="P1756" s="209"/>
      <c r="Q1756" s="209"/>
      <c r="R1756" s="209"/>
      <c r="S1756" s="367"/>
      <c r="T1756" s="276"/>
      <c r="U1756" s="276"/>
      <c r="V1756" s="276"/>
      <c r="W1756" s="276"/>
      <c r="X1756" s="276"/>
      <c r="Y1756" s="276"/>
      <c r="Z1756" s="276"/>
      <c r="AA1756" s="276"/>
      <c r="AB1756" s="276"/>
      <c r="AC1756" s="276"/>
    </row>
    <row r="1757">
      <c r="A1757" s="624" t="s">
        <v>12866</v>
      </c>
      <c r="B1757" s="625">
        <v>46157.0</v>
      </c>
      <c r="C1757" s="626">
        <v>8.07000035965E11</v>
      </c>
      <c r="D1757" s="626" t="s">
        <v>3528</v>
      </c>
      <c r="E1757" s="626" t="s">
        <v>3529</v>
      </c>
      <c r="F1757" s="627" t="s">
        <v>12867</v>
      </c>
      <c r="G1757" s="627" t="s">
        <v>1986</v>
      </c>
      <c r="H1757" s="627">
        <v>4400.0</v>
      </c>
      <c r="I1757" s="628" t="s">
        <v>35</v>
      </c>
      <c r="J1757" s="626" t="s">
        <v>3188</v>
      </c>
      <c r="K1757" s="627">
        <v>1.0</v>
      </c>
      <c r="L1757" s="629">
        <v>3.875124813E9</v>
      </c>
      <c r="M1757" s="387"/>
      <c r="N1757" s="209"/>
      <c r="O1757" s="209"/>
      <c r="P1757" s="209"/>
      <c r="Q1757" s="209"/>
      <c r="R1757" s="209"/>
      <c r="S1757" s="367"/>
      <c r="T1757" s="276"/>
      <c r="U1757" s="276"/>
      <c r="V1757" s="276"/>
      <c r="W1757" s="276"/>
      <c r="X1757" s="276"/>
      <c r="Y1757" s="276"/>
      <c r="Z1757" s="276"/>
      <c r="AA1757" s="276"/>
      <c r="AB1757" s="276"/>
      <c r="AC1757" s="276"/>
    </row>
    <row r="1758">
      <c r="A1758" s="624" t="s">
        <v>12868</v>
      </c>
      <c r="B1758" s="625">
        <v>46157.0</v>
      </c>
      <c r="C1758" s="626">
        <v>8.07000035966E11</v>
      </c>
      <c r="D1758" s="626" t="s">
        <v>3528</v>
      </c>
      <c r="E1758" s="626" t="s">
        <v>3529</v>
      </c>
      <c r="F1758" s="627" t="s">
        <v>12867</v>
      </c>
      <c r="G1758" s="627" t="s">
        <v>1986</v>
      </c>
      <c r="H1758" s="627">
        <v>4400.0</v>
      </c>
      <c r="I1758" s="628" t="s">
        <v>9389</v>
      </c>
      <c r="J1758" s="626" t="s">
        <v>9390</v>
      </c>
      <c r="K1758" s="627">
        <v>1.0</v>
      </c>
      <c r="L1758" s="629">
        <v>3.875124813E9</v>
      </c>
      <c r="M1758" s="387"/>
      <c r="N1758" s="206"/>
      <c r="O1758" s="206"/>
      <c r="P1758" s="206"/>
      <c r="Q1758" s="206"/>
      <c r="R1758" s="206"/>
      <c r="S1758" s="367"/>
      <c r="T1758" s="276"/>
      <c r="U1758" s="276"/>
      <c r="V1758" s="276"/>
      <c r="W1758" s="276"/>
      <c r="X1758" s="276"/>
      <c r="Y1758" s="276"/>
      <c r="Z1758" s="276"/>
      <c r="AA1758" s="276"/>
      <c r="AB1758" s="276"/>
      <c r="AC1758" s="276"/>
    </row>
    <row r="1759">
      <c r="A1759" s="624" t="s">
        <v>12869</v>
      </c>
      <c r="B1759" s="625">
        <v>46157.0</v>
      </c>
      <c r="C1759" s="626">
        <v>8.07000036106E11</v>
      </c>
      <c r="D1759" s="626" t="s">
        <v>12870</v>
      </c>
      <c r="E1759" s="626" t="s">
        <v>12871</v>
      </c>
      <c r="F1759" s="627" t="s">
        <v>12872</v>
      </c>
      <c r="G1759" s="627" t="s">
        <v>2943</v>
      </c>
      <c r="H1759" s="627">
        <v>4400.0</v>
      </c>
      <c r="I1759" s="628" t="s">
        <v>32</v>
      </c>
      <c r="J1759" s="626" t="s">
        <v>3225</v>
      </c>
      <c r="K1759" s="627">
        <v>1.0</v>
      </c>
      <c r="L1759" s="629">
        <v>3.874638826E9</v>
      </c>
      <c r="M1759" s="387"/>
      <c r="N1759" s="480">
        <v>46157.0</v>
      </c>
      <c r="O1759" s="402" t="s">
        <v>9011</v>
      </c>
      <c r="P1759" s="534"/>
      <c r="Q1759" s="430" t="s">
        <v>9012</v>
      </c>
      <c r="R1759" s="432" t="s">
        <v>14264</v>
      </c>
      <c r="S1759" s="367"/>
      <c r="T1759" s="276"/>
      <c r="U1759" s="276"/>
      <c r="V1759" s="276"/>
      <c r="W1759" s="276"/>
      <c r="X1759" s="276"/>
      <c r="Y1759" s="276"/>
      <c r="Z1759" s="276"/>
      <c r="AA1759" s="276"/>
      <c r="AB1759" s="276"/>
      <c r="AC1759" s="276"/>
    </row>
    <row r="1760">
      <c r="A1760" s="624" t="s">
        <v>12873</v>
      </c>
      <c r="B1760" s="625">
        <v>46157.0</v>
      </c>
      <c r="C1760" s="626">
        <v>8.07000036108E11</v>
      </c>
      <c r="D1760" s="626" t="s">
        <v>12870</v>
      </c>
      <c r="E1760" s="626" t="s">
        <v>12871</v>
      </c>
      <c r="F1760" s="627" t="s">
        <v>12872</v>
      </c>
      <c r="G1760" s="627" t="s">
        <v>2943</v>
      </c>
      <c r="H1760" s="627">
        <v>4400.0</v>
      </c>
      <c r="I1760" s="628">
        <v>125822.0</v>
      </c>
      <c r="J1760" s="626" t="s">
        <v>6030</v>
      </c>
      <c r="K1760" s="627">
        <v>2.0</v>
      </c>
      <c r="L1760" s="629">
        <v>3.874638826E9</v>
      </c>
      <c r="M1760" s="387"/>
      <c r="N1760" s="209"/>
      <c r="O1760" s="209"/>
      <c r="P1760" s="209"/>
      <c r="Q1760" s="209"/>
      <c r="R1760" s="209"/>
      <c r="S1760" s="367"/>
      <c r="T1760" s="276"/>
      <c r="U1760" s="276"/>
      <c r="V1760" s="276"/>
      <c r="W1760" s="276"/>
      <c r="X1760" s="276"/>
      <c r="Y1760" s="276"/>
      <c r="Z1760" s="276"/>
      <c r="AA1760" s="276"/>
      <c r="AB1760" s="276"/>
      <c r="AC1760" s="276"/>
    </row>
    <row r="1761">
      <c r="A1761" s="624" t="s">
        <v>12873</v>
      </c>
      <c r="B1761" s="625">
        <v>46157.0</v>
      </c>
      <c r="C1761" s="626">
        <v>8.07000036109E11</v>
      </c>
      <c r="D1761" s="626" t="s">
        <v>12870</v>
      </c>
      <c r="E1761" s="626" t="s">
        <v>12871</v>
      </c>
      <c r="F1761" s="627" t="s">
        <v>12872</v>
      </c>
      <c r="G1761" s="627" t="s">
        <v>2943</v>
      </c>
      <c r="H1761" s="627">
        <v>4400.0</v>
      </c>
      <c r="I1761" s="628" t="s">
        <v>5262</v>
      </c>
      <c r="J1761" s="626" t="s">
        <v>5263</v>
      </c>
      <c r="K1761" s="627">
        <v>1.0</v>
      </c>
      <c r="L1761" s="629">
        <v>3.874638826E9</v>
      </c>
      <c r="M1761" s="387"/>
      <c r="N1761" s="209"/>
      <c r="O1761" s="209"/>
      <c r="P1761" s="209"/>
      <c r="Q1761" s="209"/>
      <c r="R1761" s="209"/>
      <c r="S1761" s="367"/>
      <c r="T1761" s="276"/>
      <c r="U1761" s="276"/>
      <c r="V1761" s="276"/>
      <c r="W1761" s="276"/>
      <c r="X1761" s="276"/>
      <c r="Y1761" s="276"/>
      <c r="Z1761" s="276"/>
      <c r="AA1761" s="276"/>
      <c r="AB1761" s="276"/>
      <c r="AC1761" s="276"/>
    </row>
    <row r="1762">
      <c r="A1762" s="624" t="s">
        <v>12869</v>
      </c>
      <c r="B1762" s="625">
        <v>46157.0</v>
      </c>
      <c r="C1762" s="626">
        <v>8.0700003611E11</v>
      </c>
      <c r="D1762" s="626" t="s">
        <v>12870</v>
      </c>
      <c r="E1762" s="626" t="s">
        <v>12871</v>
      </c>
      <c r="F1762" s="627" t="s">
        <v>12872</v>
      </c>
      <c r="G1762" s="627" t="s">
        <v>2943</v>
      </c>
      <c r="H1762" s="627">
        <v>4400.0</v>
      </c>
      <c r="I1762" s="630">
        <v>841702.0</v>
      </c>
      <c r="J1762" s="626" t="s">
        <v>7685</v>
      </c>
      <c r="K1762" s="627">
        <v>1.0</v>
      </c>
      <c r="L1762" s="629">
        <v>3.874638826E9</v>
      </c>
      <c r="M1762" s="387"/>
      <c r="N1762" s="206"/>
      <c r="O1762" s="206"/>
      <c r="P1762" s="206"/>
      <c r="Q1762" s="206"/>
      <c r="R1762" s="206"/>
      <c r="S1762" s="367"/>
      <c r="T1762" s="276"/>
      <c r="U1762" s="276"/>
      <c r="V1762" s="276"/>
      <c r="W1762" s="276"/>
      <c r="X1762" s="276"/>
      <c r="Y1762" s="276"/>
      <c r="Z1762" s="276"/>
      <c r="AA1762" s="276"/>
      <c r="AB1762" s="276"/>
      <c r="AC1762" s="276"/>
    </row>
    <row r="1763">
      <c r="A1763" s="624" t="s">
        <v>12874</v>
      </c>
      <c r="B1763" s="625">
        <v>46157.0</v>
      </c>
      <c r="C1763" s="626">
        <v>8.07000036113E11</v>
      </c>
      <c r="D1763" s="626" t="s">
        <v>12875</v>
      </c>
      <c r="E1763" s="626" t="s">
        <v>12876</v>
      </c>
      <c r="F1763" s="627" t="s">
        <v>12877</v>
      </c>
      <c r="G1763" s="627" t="s">
        <v>4645</v>
      </c>
      <c r="H1763" s="627">
        <v>4400.0</v>
      </c>
      <c r="I1763" s="628">
        <v>125808.0</v>
      </c>
      <c r="J1763" s="626" t="s">
        <v>7199</v>
      </c>
      <c r="K1763" s="627">
        <v>1.0</v>
      </c>
      <c r="L1763" s="629">
        <v>3.875510161E9</v>
      </c>
      <c r="M1763" s="387"/>
      <c r="N1763" s="480">
        <v>46157.0</v>
      </c>
      <c r="O1763" s="402" t="s">
        <v>9011</v>
      </c>
      <c r="P1763" s="534"/>
      <c r="Q1763" s="430" t="s">
        <v>9012</v>
      </c>
      <c r="R1763" s="432" t="s">
        <v>14265</v>
      </c>
      <c r="S1763" s="367"/>
      <c r="T1763" s="276"/>
      <c r="U1763" s="276"/>
      <c r="V1763" s="276"/>
      <c r="W1763" s="276"/>
      <c r="X1763" s="276"/>
      <c r="Y1763" s="276"/>
      <c r="Z1763" s="276"/>
      <c r="AA1763" s="276"/>
      <c r="AB1763" s="276"/>
      <c r="AC1763" s="276"/>
    </row>
    <row r="1764">
      <c r="A1764" s="624" t="s">
        <v>12874</v>
      </c>
      <c r="B1764" s="625">
        <v>46157.0</v>
      </c>
      <c r="C1764" s="626">
        <v>8.07000036113E11</v>
      </c>
      <c r="D1764" s="626" t="s">
        <v>12875</v>
      </c>
      <c r="E1764" s="626" t="s">
        <v>12876</v>
      </c>
      <c r="F1764" s="627" t="s">
        <v>12877</v>
      </c>
      <c r="G1764" s="627" t="s">
        <v>4645</v>
      </c>
      <c r="H1764" s="627">
        <v>4400.0</v>
      </c>
      <c r="I1764" s="630">
        <v>914020.0</v>
      </c>
      <c r="J1764" s="626" t="s">
        <v>7880</v>
      </c>
      <c r="K1764" s="627">
        <v>1.0</v>
      </c>
      <c r="L1764" s="629">
        <v>3.875510161E9</v>
      </c>
      <c r="M1764" s="387"/>
      <c r="N1764" s="206"/>
      <c r="O1764" s="206"/>
      <c r="P1764" s="206"/>
      <c r="Q1764" s="206"/>
      <c r="R1764" s="206"/>
      <c r="S1764" s="367"/>
      <c r="T1764" s="276"/>
      <c r="U1764" s="276"/>
      <c r="V1764" s="276"/>
      <c r="W1764" s="276"/>
      <c r="X1764" s="276"/>
      <c r="Y1764" s="276"/>
      <c r="Z1764" s="276"/>
      <c r="AA1764" s="276"/>
      <c r="AB1764" s="276"/>
      <c r="AC1764" s="276"/>
    </row>
    <row r="1765">
      <c r="A1765" s="626" t="s">
        <v>12878</v>
      </c>
      <c r="B1765" s="625">
        <v>46157.0</v>
      </c>
      <c r="C1765" s="626">
        <v>8.07000036114E11</v>
      </c>
      <c r="D1765" s="626" t="s">
        <v>12879</v>
      </c>
      <c r="E1765" s="626" t="s">
        <v>12880</v>
      </c>
      <c r="F1765" s="627" t="s">
        <v>12881</v>
      </c>
      <c r="G1765" s="627" t="s">
        <v>20</v>
      </c>
      <c r="H1765" s="627" t="s">
        <v>4086</v>
      </c>
      <c r="I1765" s="628">
        <v>125822.0</v>
      </c>
      <c r="J1765" s="626" t="s">
        <v>6030</v>
      </c>
      <c r="K1765" s="627">
        <v>2.0</v>
      </c>
      <c r="L1765" s="629">
        <v>3.875508276E9</v>
      </c>
      <c r="M1765" s="387"/>
      <c r="N1765" s="480">
        <v>46157.0</v>
      </c>
      <c r="O1765" s="402" t="s">
        <v>9011</v>
      </c>
      <c r="P1765" s="534"/>
      <c r="Q1765" s="430" t="s">
        <v>14266</v>
      </c>
      <c r="R1765" s="432" t="s">
        <v>14267</v>
      </c>
      <c r="S1765" s="367"/>
      <c r="T1765" s="276"/>
      <c r="U1765" s="276"/>
      <c r="V1765" s="276"/>
      <c r="W1765" s="276"/>
      <c r="X1765" s="276"/>
      <c r="Y1765" s="276"/>
      <c r="Z1765" s="276"/>
      <c r="AA1765" s="276"/>
      <c r="AB1765" s="276"/>
      <c r="AC1765" s="276"/>
    </row>
    <row r="1766">
      <c r="A1766" s="626" t="s">
        <v>12878</v>
      </c>
      <c r="B1766" s="625">
        <v>46157.0</v>
      </c>
      <c r="C1766" s="626">
        <v>8.07000036115E11</v>
      </c>
      <c r="D1766" s="626" t="s">
        <v>12879</v>
      </c>
      <c r="E1766" s="626" t="s">
        <v>12880</v>
      </c>
      <c r="F1766" s="627" t="s">
        <v>12881</v>
      </c>
      <c r="G1766" s="627" t="s">
        <v>20</v>
      </c>
      <c r="H1766" s="627" t="s">
        <v>4086</v>
      </c>
      <c r="I1766" s="628" t="s">
        <v>110</v>
      </c>
      <c r="J1766" s="626" t="s">
        <v>3673</v>
      </c>
      <c r="K1766" s="627">
        <v>1.0</v>
      </c>
      <c r="L1766" s="629">
        <v>3.875508276E9</v>
      </c>
      <c r="M1766" s="387"/>
      <c r="N1766" s="209"/>
      <c r="O1766" s="209"/>
      <c r="P1766" s="209"/>
      <c r="Q1766" s="209"/>
      <c r="R1766" s="209"/>
      <c r="S1766" s="367"/>
      <c r="T1766" s="276"/>
      <c r="U1766" s="276"/>
      <c r="V1766" s="276"/>
      <c r="W1766" s="276"/>
      <c r="X1766" s="276"/>
      <c r="Y1766" s="276"/>
      <c r="Z1766" s="276"/>
      <c r="AA1766" s="276"/>
      <c r="AB1766" s="276"/>
      <c r="AC1766" s="276"/>
    </row>
    <row r="1767">
      <c r="A1767" s="626" t="s">
        <v>12882</v>
      </c>
      <c r="B1767" s="625">
        <v>46157.0</v>
      </c>
      <c r="C1767" s="626">
        <v>8.07000036116E11</v>
      </c>
      <c r="D1767" s="626" t="s">
        <v>12879</v>
      </c>
      <c r="E1767" s="626" t="s">
        <v>12880</v>
      </c>
      <c r="F1767" s="627" t="s">
        <v>12881</v>
      </c>
      <c r="G1767" s="627" t="s">
        <v>20</v>
      </c>
      <c r="H1767" s="627" t="s">
        <v>4086</v>
      </c>
      <c r="I1767" s="628" t="s">
        <v>32</v>
      </c>
      <c r="J1767" s="626" t="s">
        <v>3225</v>
      </c>
      <c r="K1767" s="627">
        <v>1.0</v>
      </c>
      <c r="L1767" s="629">
        <v>3.875508276E9</v>
      </c>
      <c r="M1767" s="387"/>
      <c r="N1767" s="206"/>
      <c r="O1767" s="206"/>
      <c r="P1767" s="206"/>
      <c r="Q1767" s="206"/>
      <c r="R1767" s="206"/>
      <c r="S1767" s="367"/>
      <c r="T1767" s="276"/>
      <c r="U1767" s="276"/>
      <c r="V1767" s="276"/>
      <c r="W1767" s="276"/>
      <c r="X1767" s="276"/>
      <c r="Y1767" s="276"/>
      <c r="Z1767" s="276"/>
      <c r="AA1767" s="276"/>
      <c r="AB1767" s="276"/>
      <c r="AC1767" s="276"/>
    </row>
    <row r="1768">
      <c r="A1768" s="624" t="s">
        <v>12883</v>
      </c>
      <c r="B1768" s="625">
        <v>46189.0</v>
      </c>
      <c r="C1768" s="626">
        <v>8.07000036117E11</v>
      </c>
      <c r="D1768" s="626" t="s">
        <v>12885</v>
      </c>
      <c r="E1768" s="626" t="s">
        <v>12886</v>
      </c>
      <c r="F1768" s="627" t="s">
        <v>12887</v>
      </c>
      <c r="G1768" s="627" t="s">
        <v>127</v>
      </c>
      <c r="H1768" s="627">
        <v>4400.0</v>
      </c>
      <c r="I1768" s="630">
        <v>914751.0</v>
      </c>
      <c r="J1768" s="626" t="s">
        <v>7853</v>
      </c>
      <c r="K1768" s="627">
        <v>1.0</v>
      </c>
      <c r="L1768" s="629">
        <v>3.875015629E9</v>
      </c>
      <c r="M1768" s="387"/>
      <c r="N1768" s="481">
        <v>46158.0</v>
      </c>
      <c r="O1768" s="531" t="s">
        <v>9011</v>
      </c>
      <c r="P1768" s="387"/>
      <c r="Q1768" s="261" t="s">
        <v>14268</v>
      </c>
      <c r="R1768" s="434" t="s">
        <v>14269</v>
      </c>
      <c r="S1768" s="367"/>
      <c r="T1768" s="276"/>
      <c r="U1768" s="276"/>
      <c r="V1768" s="276"/>
      <c r="W1768" s="276"/>
      <c r="X1768" s="276"/>
      <c r="Y1768" s="276"/>
      <c r="Z1768" s="276"/>
      <c r="AA1768" s="276"/>
      <c r="AB1768" s="276"/>
      <c r="AC1768" s="276"/>
    </row>
    <row r="1769">
      <c r="A1769" s="624" t="s">
        <v>12888</v>
      </c>
      <c r="B1769" s="625">
        <v>46189.0</v>
      </c>
      <c r="C1769" s="626">
        <v>8.07000036118E11</v>
      </c>
      <c r="D1769" s="626" t="s">
        <v>12889</v>
      </c>
      <c r="E1769" s="626" t="s">
        <v>12890</v>
      </c>
      <c r="F1769" s="627" t="s">
        <v>12891</v>
      </c>
      <c r="G1769" s="627" t="s">
        <v>425</v>
      </c>
      <c r="H1769" s="627">
        <v>4400.0</v>
      </c>
      <c r="I1769" s="628" t="s">
        <v>5262</v>
      </c>
      <c r="J1769" s="626" t="s">
        <v>5263</v>
      </c>
      <c r="K1769" s="627">
        <v>1.0</v>
      </c>
      <c r="L1769" s="629">
        <v>3.875207954E9</v>
      </c>
      <c r="M1769" s="387"/>
      <c r="N1769" s="480">
        <v>46158.0</v>
      </c>
      <c r="O1769" s="402" t="s">
        <v>9011</v>
      </c>
      <c r="P1769" s="534"/>
      <c r="Q1769" s="430" t="s">
        <v>13339</v>
      </c>
      <c r="R1769" s="432" t="s">
        <v>14270</v>
      </c>
      <c r="S1769" s="367"/>
      <c r="T1769" s="276"/>
      <c r="U1769" s="276"/>
      <c r="V1769" s="276"/>
      <c r="W1769" s="276"/>
      <c r="X1769" s="276"/>
      <c r="Y1769" s="276"/>
      <c r="Z1769" s="276"/>
      <c r="AA1769" s="276"/>
      <c r="AB1769" s="276"/>
      <c r="AC1769" s="276"/>
    </row>
    <row r="1770">
      <c r="A1770" s="624" t="s">
        <v>12892</v>
      </c>
      <c r="B1770" s="625">
        <v>46189.0</v>
      </c>
      <c r="C1770" s="626">
        <v>8.07000036118E11</v>
      </c>
      <c r="D1770" s="626" t="s">
        <v>12889</v>
      </c>
      <c r="E1770" s="626" t="s">
        <v>12890</v>
      </c>
      <c r="F1770" s="627" t="s">
        <v>12891</v>
      </c>
      <c r="G1770" s="627" t="s">
        <v>425</v>
      </c>
      <c r="H1770" s="627">
        <v>4400.0</v>
      </c>
      <c r="I1770" s="628" t="s">
        <v>98</v>
      </c>
      <c r="J1770" s="626" t="s">
        <v>3187</v>
      </c>
      <c r="K1770" s="627">
        <v>1.0</v>
      </c>
      <c r="L1770" s="629">
        <v>3.875207954E9</v>
      </c>
      <c r="M1770" s="387"/>
      <c r="N1770" s="206"/>
      <c r="O1770" s="206"/>
      <c r="P1770" s="206"/>
      <c r="Q1770" s="206"/>
      <c r="R1770" s="206"/>
      <c r="S1770" s="367"/>
      <c r="T1770" s="276"/>
      <c r="U1770" s="276"/>
      <c r="V1770" s="276"/>
      <c r="W1770" s="276"/>
      <c r="X1770" s="276"/>
      <c r="Y1770" s="276"/>
      <c r="Z1770" s="276"/>
      <c r="AA1770" s="276"/>
      <c r="AB1770" s="276"/>
      <c r="AC1770" s="276"/>
    </row>
    <row r="1771">
      <c r="A1771" s="624" t="s">
        <v>12893</v>
      </c>
      <c r="B1771" s="625">
        <v>46189.0</v>
      </c>
      <c r="C1771" s="626">
        <v>8.0700003612E11</v>
      </c>
      <c r="D1771" s="626" t="s">
        <v>12894</v>
      </c>
      <c r="E1771" s="626" t="s">
        <v>12895</v>
      </c>
      <c r="F1771" s="627" t="s">
        <v>12896</v>
      </c>
      <c r="G1771" s="627" t="s">
        <v>4496</v>
      </c>
      <c r="H1771" s="627">
        <v>4400.0</v>
      </c>
      <c r="I1771" s="628" t="s">
        <v>10974</v>
      </c>
      <c r="J1771" s="626" t="s">
        <v>10975</v>
      </c>
      <c r="K1771" s="627">
        <v>2.0</v>
      </c>
      <c r="L1771" s="629">
        <v>3.874032797E9</v>
      </c>
      <c r="M1771" s="387"/>
      <c r="N1771" s="480">
        <v>46158.0</v>
      </c>
      <c r="O1771" s="402" t="s">
        <v>9011</v>
      </c>
      <c r="P1771" s="534"/>
      <c r="Q1771" s="430" t="s">
        <v>13339</v>
      </c>
      <c r="R1771" s="432" t="s">
        <v>14271</v>
      </c>
      <c r="S1771" s="367"/>
      <c r="T1771" s="276"/>
      <c r="U1771" s="276"/>
      <c r="V1771" s="276"/>
      <c r="W1771" s="276"/>
      <c r="X1771" s="276"/>
      <c r="Y1771" s="276"/>
      <c r="Z1771" s="276"/>
      <c r="AA1771" s="276"/>
      <c r="AB1771" s="276"/>
      <c r="AC1771" s="276"/>
    </row>
    <row r="1772">
      <c r="A1772" s="624" t="s">
        <v>12897</v>
      </c>
      <c r="B1772" s="625">
        <v>46189.0</v>
      </c>
      <c r="C1772" s="626">
        <v>8.07000036121E11</v>
      </c>
      <c r="D1772" s="626" t="s">
        <v>12894</v>
      </c>
      <c r="E1772" s="626" t="s">
        <v>12895</v>
      </c>
      <c r="F1772" s="627" t="s">
        <v>12896</v>
      </c>
      <c r="G1772" s="627" t="s">
        <v>4496</v>
      </c>
      <c r="H1772" s="627">
        <v>4400.0</v>
      </c>
      <c r="I1772" s="628" t="s">
        <v>1533</v>
      </c>
      <c r="J1772" s="626" t="s">
        <v>8151</v>
      </c>
      <c r="K1772" s="627">
        <v>1.0</v>
      </c>
      <c r="L1772" s="629">
        <v>3.874032797E9</v>
      </c>
      <c r="M1772" s="387"/>
      <c r="N1772" s="209"/>
      <c r="O1772" s="209"/>
      <c r="P1772" s="209"/>
      <c r="Q1772" s="209"/>
      <c r="R1772" s="209"/>
      <c r="S1772" s="367"/>
      <c r="T1772" s="276"/>
      <c r="U1772" s="276"/>
      <c r="V1772" s="276"/>
      <c r="W1772" s="276"/>
      <c r="X1772" s="276"/>
      <c r="Y1772" s="276"/>
      <c r="Z1772" s="276"/>
      <c r="AA1772" s="276"/>
      <c r="AB1772" s="276"/>
      <c r="AC1772" s="276"/>
    </row>
    <row r="1773">
      <c r="A1773" s="624" t="s">
        <v>12898</v>
      </c>
      <c r="B1773" s="625">
        <v>46189.0</v>
      </c>
      <c r="C1773" s="626">
        <v>8.07000036122E11</v>
      </c>
      <c r="D1773" s="626" t="s">
        <v>12894</v>
      </c>
      <c r="E1773" s="626" t="s">
        <v>12895</v>
      </c>
      <c r="F1773" s="627" t="s">
        <v>12896</v>
      </c>
      <c r="G1773" s="627" t="s">
        <v>4496</v>
      </c>
      <c r="H1773" s="627">
        <v>4400.0</v>
      </c>
      <c r="I1773" s="628" t="s">
        <v>10959</v>
      </c>
      <c r="J1773" s="626" t="s">
        <v>10960</v>
      </c>
      <c r="K1773" s="627">
        <v>1.0</v>
      </c>
      <c r="L1773" s="629">
        <v>3.874032797E9</v>
      </c>
      <c r="M1773" s="387"/>
      <c r="N1773" s="206"/>
      <c r="O1773" s="206"/>
      <c r="P1773" s="206"/>
      <c r="Q1773" s="206"/>
      <c r="R1773" s="206"/>
      <c r="S1773" s="367"/>
      <c r="T1773" s="276"/>
      <c r="U1773" s="276"/>
      <c r="V1773" s="276"/>
      <c r="W1773" s="276"/>
      <c r="X1773" s="276"/>
      <c r="Y1773" s="276"/>
      <c r="Z1773" s="276"/>
      <c r="AA1773" s="276"/>
      <c r="AB1773" s="276"/>
      <c r="AC1773" s="276"/>
    </row>
    <row r="1774">
      <c r="A1774" s="624" t="s">
        <v>12899</v>
      </c>
      <c r="B1774" s="625">
        <v>46189.0</v>
      </c>
      <c r="C1774" s="626">
        <v>8.07000036125E11</v>
      </c>
      <c r="D1774" s="626" t="s">
        <v>12900</v>
      </c>
      <c r="E1774" s="626" t="s">
        <v>12901</v>
      </c>
      <c r="F1774" s="627" t="s">
        <v>12902</v>
      </c>
      <c r="G1774" s="627" t="s">
        <v>127</v>
      </c>
      <c r="H1774" s="627">
        <v>4400.0</v>
      </c>
      <c r="I1774" s="628" t="s">
        <v>512</v>
      </c>
      <c r="J1774" s="626" t="s">
        <v>513</v>
      </c>
      <c r="K1774" s="627">
        <v>12.0</v>
      </c>
      <c r="L1774" s="629">
        <v>3.874650953E9</v>
      </c>
      <c r="M1774" s="387"/>
      <c r="N1774" s="480">
        <v>46158.0</v>
      </c>
      <c r="O1774" s="402" t="s">
        <v>9011</v>
      </c>
      <c r="P1774" s="534"/>
      <c r="Q1774" s="430" t="s">
        <v>14272</v>
      </c>
      <c r="R1774" s="432" t="s">
        <v>14273</v>
      </c>
      <c r="S1774" s="367"/>
      <c r="T1774" s="276"/>
      <c r="U1774" s="276"/>
      <c r="V1774" s="276"/>
      <c r="W1774" s="276"/>
      <c r="X1774" s="276"/>
      <c r="Y1774" s="276"/>
      <c r="Z1774" s="276"/>
      <c r="AA1774" s="276"/>
      <c r="AB1774" s="276"/>
      <c r="AC1774" s="276"/>
    </row>
    <row r="1775">
      <c r="A1775" s="624" t="s">
        <v>12899</v>
      </c>
      <c r="B1775" s="625">
        <v>46189.0</v>
      </c>
      <c r="C1775" s="626">
        <v>8.07000036126E11</v>
      </c>
      <c r="D1775" s="626" t="s">
        <v>12900</v>
      </c>
      <c r="E1775" s="626" t="s">
        <v>12901</v>
      </c>
      <c r="F1775" s="627" t="s">
        <v>12902</v>
      </c>
      <c r="G1775" s="627" t="s">
        <v>127</v>
      </c>
      <c r="H1775" s="627">
        <v>4400.0</v>
      </c>
      <c r="I1775" s="628" t="s">
        <v>7955</v>
      </c>
      <c r="J1775" s="626" t="s">
        <v>7956</v>
      </c>
      <c r="K1775" s="627">
        <v>1.0</v>
      </c>
      <c r="L1775" s="629">
        <v>3.874650953E9</v>
      </c>
      <c r="M1775" s="387"/>
      <c r="N1775" s="209"/>
      <c r="O1775" s="209"/>
      <c r="P1775" s="209"/>
      <c r="Q1775" s="209"/>
      <c r="R1775" s="209"/>
      <c r="S1775" s="367"/>
      <c r="T1775" s="276"/>
      <c r="U1775" s="276"/>
      <c r="V1775" s="276"/>
      <c r="W1775" s="276"/>
      <c r="X1775" s="276"/>
      <c r="Y1775" s="276"/>
      <c r="Z1775" s="276"/>
      <c r="AA1775" s="276"/>
      <c r="AB1775" s="276"/>
      <c r="AC1775" s="276"/>
    </row>
    <row r="1776">
      <c r="A1776" s="624" t="s">
        <v>12899</v>
      </c>
      <c r="B1776" s="625">
        <v>46189.0</v>
      </c>
      <c r="C1776" s="626">
        <v>8.07000036126E11</v>
      </c>
      <c r="D1776" s="626" t="s">
        <v>12900</v>
      </c>
      <c r="E1776" s="626" t="s">
        <v>12901</v>
      </c>
      <c r="F1776" s="627" t="s">
        <v>12902</v>
      </c>
      <c r="G1776" s="627" t="s">
        <v>127</v>
      </c>
      <c r="H1776" s="627">
        <v>4400.0</v>
      </c>
      <c r="I1776" s="628" t="s">
        <v>758</v>
      </c>
      <c r="J1776" s="626" t="s">
        <v>3574</v>
      </c>
      <c r="K1776" s="627">
        <v>2.0</v>
      </c>
      <c r="L1776" s="629">
        <v>3.874650953E9</v>
      </c>
      <c r="M1776" s="387"/>
      <c r="N1776" s="206"/>
      <c r="O1776" s="206"/>
      <c r="P1776" s="206"/>
      <c r="Q1776" s="206"/>
      <c r="R1776" s="206"/>
      <c r="S1776" s="367"/>
      <c r="T1776" s="276"/>
      <c r="U1776" s="276"/>
      <c r="V1776" s="276"/>
      <c r="W1776" s="276"/>
      <c r="X1776" s="276"/>
      <c r="Y1776" s="276"/>
      <c r="Z1776" s="276"/>
      <c r="AA1776" s="276"/>
      <c r="AB1776" s="276"/>
      <c r="AC1776" s="276"/>
    </row>
    <row r="1777">
      <c r="A1777" s="624" t="s">
        <v>12903</v>
      </c>
      <c r="B1777" s="625">
        <v>46189.0</v>
      </c>
      <c r="C1777" s="626">
        <v>8.07000036128E11</v>
      </c>
      <c r="D1777" s="626" t="s">
        <v>12904</v>
      </c>
      <c r="E1777" s="626" t="s">
        <v>12905</v>
      </c>
      <c r="F1777" s="627" t="s">
        <v>12906</v>
      </c>
      <c r="G1777" s="627" t="s">
        <v>127</v>
      </c>
      <c r="H1777" s="627">
        <v>4400.0</v>
      </c>
      <c r="I1777" s="628">
        <v>125810.0</v>
      </c>
      <c r="J1777" s="626" t="s">
        <v>4672</v>
      </c>
      <c r="K1777" s="627">
        <v>2.0</v>
      </c>
      <c r="L1777" s="629">
        <v>3.874292929E9</v>
      </c>
      <c r="M1777" s="387"/>
      <c r="N1777" s="480">
        <v>46158.0</v>
      </c>
      <c r="O1777" s="402" t="s">
        <v>9011</v>
      </c>
      <c r="P1777" s="534"/>
      <c r="Q1777" s="430" t="s">
        <v>13339</v>
      </c>
      <c r="R1777" s="432" t="s">
        <v>14274</v>
      </c>
      <c r="S1777" s="367"/>
      <c r="T1777" s="276"/>
      <c r="U1777" s="276"/>
      <c r="V1777" s="276"/>
      <c r="W1777" s="276"/>
      <c r="X1777" s="276"/>
      <c r="Y1777" s="276"/>
      <c r="Z1777" s="276"/>
      <c r="AA1777" s="276"/>
      <c r="AB1777" s="276"/>
      <c r="AC1777" s="276"/>
    </row>
    <row r="1778">
      <c r="A1778" s="624" t="s">
        <v>12903</v>
      </c>
      <c r="B1778" s="625">
        <v>46189.0</v>
      </c>
      <c r="C1778" s="626">
        <v>8.07000036129E11</v>
      </c>
      <c r="D1778" s="626" t="s">
        <v>12904</v>
      </c>
      <c r="E1778" s="626" t="s">
        <v>12905</v>
      </c>
      <c r="F1778" s="627" t="s">
        <v>12906</v>
      </c>
      <c r="G1778" s="627" t="s">
        <v>127</v>
      </c>
      <c r="H1778" s="627">
        <v>4400.0</v>
      </c>
      <c r="I1778" s="628" t="s">
        <v>110</v>
      </c>
      <c r="J1778" s="626" t="s">
        <v>3673</v>
      </c>
      <c r="K1778" s="627">
        <v>1.0</v>
      </c>
      <c r="L1778" s="629">
        <v>3.874292929E9</v>
      </c>
      <c r="M1778" s="387"/>
      <c r="N1778" s="209"/>
      <c r="O1778" s="209"/>
      <c r="P1778" s="209"/>
      <c r="Q1778" s="209"/>
      <c r="R1778" s="209"/>
      <c r="S1778" s="367"/>
      <c r="T1778" s="276"/>
      <c r="U1778" s="276"/>
      <c r="V1778" s="276"/>
      <c r="W1778" s="276"/>
      <c r="X1778" s="276"/>
      <c r="Y1778" s="276"/>
      <c r="Z1778" s="276"/>
      <c r="AA1778" s="276"/>
      <c r="AB1778" s="276"/>
      <c r="AC1778" s="276"/>
    </row>
    <row r="1779">
      <c r="A1779" s="624" t="s">
        <v>12903</v>
      </c>
      <c r="B1779" s="625">
        <v>46189.0</v>
      </c>
      <c r="C1779" s="626">
        <v>8.0700003613E11</v>
      </c>
      <c r="D1779" s="626" t="s">
        <v>12904</v>
      </c>
      <c r="E1779" s="626" t="s">
        <v>12905</v>
      </c>
      <c r="F1779" s="627" t="s">
        <v>12906</v>
      </c>
      <c r="G1779" s="627" t="s">
        <v>127</v>
      </c>
      <c r="H1779" s="627">
        <v>4400.0</v>
      </c>
      <c r="I1779" s="628" t="s">
        <v>32</v>
      </c>
      <c r="J1779" s="626" t="s">
        <v>3225</v>
      </c>
      <c r="K1779" s="627">
        <v>1.0</v>
      </c>
      <c r="L1779" s="629">
        <v>3.874292929E9</v>
      </c>
      <c r="M1779" s="387"/>
      <c r="N1779" s="206"/>
      <c r="O1779" s="206"/>
      <c r="P1779" s="206"/>
      <c r="Q1779" s="206"/>
      <c r="R1779" s="206"/>
      <c r="S1779" s="367"/>
      <c r="T1779" s="276"/>
      <c r="U1779" s="276"/>
      <c r="V1779" s="276"/>
      <c r="W1779" s="276"/>
      <c r="X1779" s="276"/>
      <c r="Y1779" s="276"/>
      <c r="Z1779" s="276"/>
      <c r="AA1779" s="276"/>
      <c r="AB1779" s="276"/>
      <c r="AC1779" s="276"/>
    </row>
    <row r="1780">
      <c r="A1780" s="602"/>
      <c r="B1780" s="603"/>
      <c r="C1780" s="604"/>
      <c r="D1780" s="604"/>
      <c r="E1780" s="604"/>
      <c r="F1780" s="605"/>
      <c r="G1780" s="605"/>
      <c r="H1780" s="605"/>
      <c r="I1780" s="606"/>
      <c r="J1780" s="604"/>
      <c r="K1780" s="605"/>
      <c r="L1780" s="607"/>
      <c r="M1780" s="387"/>
      <c r="N1780" s="481"/>
      <c r="O1780" s="531"/>
      <c r="P1780" s="387"/>
      <c r="Q1780" s="261"/>
      <c r="R1780" s="449"/>
      <c r="S1780" s="367"/>
      <c r="T1780" s="276"/>
      <c r="U1780" s="276"/>
      <c r="V1780" s="276"/>
      <c r="W1780" s="276"/>
      <c r="X1780" s="276"/>
      <c r="Y1780" s="276"/>
      <c r="Z1780" s="276"/>
      <c r="AA1780" s="276"/>
      <c r="AB1780" s="276"/>
      <c r="AC1780" s="276"/>
    </row>
    <row r="1781">
      <c r="A1781" s="108" t="s">
        <v>12907</v>
      </c>
      <c r="B1781" s="173">
        <v>46161.0</v>
      </c>
      <c r="C1781" s="374">
        <v>8.07000036136E11</v>
      </c>
      <c r="D1781" s="374" t="s">
        <v>12908</v>
      </c>
      <c r="E1781" s="374" t="s">
        <v>12909</v>
      </c>
      <c r="F1781" s="177" t="s">
        <v>12910</v>
      </c>
      <c r="G1781" s="177" t="s">
        <v>127</v>
      </c>
      <c r="H1781" s="177">
        <v>4400.0</v>
      </c>
      <c r="I1781" s="374" t="s">
        <v>7329</v>
      </c>
      <c r="J1781" s="374" t="s">
        <v>9785</v>
      </c>
      <c r="K1781" s="177">
        <v>1.0</v>
      </c>
      <c r="L1781" s="174">
        <v>1.161835868E9</v>
      </c>
      <c r="M1781" s="387"/>
      <c r="N1781" s="481">
        <v>46161.0</v>
      </c>
      <c r="O1781" s="531" t="s">
        <v>9011</v>
      </c>
      <c r="P1781" s="387"/>
      <c r="Q1781" s="261" t="s">
        <v>13339</v>
      </c>
      <c r="R1781" s="434" t="s">
        <v>14275</v>
      </c>
      <c r="S1781" s="367"/>
      <c r="T1781" s="276"/>
      <c r="U1781" s="276"/>
      <c r="V1781" s="276"/>
      <c r="W1781" s="276"/>
      <c r="X1781" s="276"/>
      <c r="Y1781" s="276"/>
      <c r="Z1781" s="276"/>
      <c r="AA1781" s="276"/>
      <c r="AB1781" s="276"/>
      <c r="AC1781" s="276"/>
    </row>
    <row r="1782">
      <c r="A1782" s="108" t="s">
        <v>12911</v>
      </c>
      <c r="B1782" s="173">
        <v>46161.0</v>
      </c>
      <c r="C1782" s="374">
        <v>8.07000036137E11</v>
      </c>
      <c r="D1782" s="374" t="s">
        <v>12912</v>
      </c>
      <c r="E1782" s="374" t="s">
        <v>12913</v>
      </c>
      <c r="F1782" s="177" t="s">
        <v>12914</v>
      </c>
      <c r="G1782" s="177" t="s">
        <v>4645</v>
      </c>
      <c r="H1782" s="177">
        <v>4400.0</v>
      </c>
      <c r="I1782" s="374" t="s">
        <v>98</v>
      </c>
      <c r="J1782" s="374" t="s">
        <v>3187</v>
      </c>
      <c r="K1782" s="177">
        <v>1.0</v>
      </c>
      <c r="L1782" s="174">
        <v>3.874657598E9</v>
      </c>
      <c r="M1782" s="387"/>
      <c r="N1782" s="480">
        <v>46161.0</v>
      </c>
      <c r="O1782" s="402" t="s">
        <v>9011</v>
      </c>
      <c r="P1782" s="534"/>
      <c r="Q1782" s="430" t="s">
        <v>14276</v>
      </c>
      <c r="R1782" s="432" t="s">
        <v>14277</v>
      </c>
      <c r="S1782" s="367"/>
      <c r="T1782" s="276"/>
      <c r="U1782" s="276"/>
      <c r="V1782" s="276"/>
      <c r="W1782" s="276"/>
      <c r="X1782" s="276"/>
      <c r="Y1782" s="276"/>
      <c r="Z1782" s="276"/>
      <c r="AA1782" s="276"/>
      <c r="AB1782" s="276"/>
      <c r="AC1782" s="276"/>
    </row>
    <row r="1783">
      <c r="A1783" s="108" t="s">
        <v>12915</v>
      </c>
      <c r="B1783" s="173">
        <v>46161.0</v>
      </c>
      <c r="C1783" s="374">
        <v>8.07000036138E11</v>
      </c>
      <c r="D1783" s="374" t="s">
        <v>12912</v>
      </c>
      <c r="E1783" s="374" t="s">
        <v>12913</v>
      </c>
      <c r="F1783" s="177" t="s">
        <v>12914</v>
      </c>
      <c r="G1783" s="177" t="s">
        <v>4645</v>
      </c>
      <c r="H1783" s="177">
        <v>4400.0</v>
      </c>
      <c r="I1783" s="374" t="s">
        <v>5262</v>
      </c>
      <c r="J1783" s="374" t="s">
        <v>5263</v>
      </c>
      <c r="K1783" s="177">
        <v>1.0</v>
      </c>
      <c r="L1783" s="174">
        <v>3.874657598E9</v>
      </c>
      <c r="M1783" s="387"/>
      <c r="N1783" s="206"/>
      <c r="O1783" s="206"/>
      <c r="P1783" s="206"/>
      <c r="Q1783" s="206"/>
      <c r="R1783" s="206"/>
      <c r="S1783" s="367"/>
      <c r="T1783" s="276"/>
      <c r="U1783" s="276"/>
      <c r="V1783" s="276"/>
      <c r="W1783" s="276"/>
      <c r="X1783" s="276"/>
      <c r="Y1783" s="276"/>
      <c r="Z1783" s="276"/>
      <c r="AA1783" s="276"/>
      <c r="AB1783" s="276"/>
      <c r="AC1783" s="276"/>
    </row>
    <row r="1784">
      <c r="A1784" s="108" t="s">
        <v>12916</v>
      </c>
      <c r="B1784" s="173">
        <v>46161.0</v>
      </c>
      <c r="C1784" s="374">
        <v>8.07000036139E11</v>
      </c>
      <c r="D1784" s="374" t="s">
        <v>12917</v>
      </c>
      <c r="E1784" s="374" t="s">
        <v>12918</v>
      </c>
      <c r="F1784" s="177" t="s">
        <v>12919</v>
      </c>
      <c r="G1784" s="177" t="s">
        <v>127</v>
      </c>
      <c r="H1784" s="177">
        <v>4400.0</v>
      </c>
      <c r="I1784" s="374" t="s">
        <v>1241</v>
      </c>
      <c r="J1784" s="374" t="s">
        <v>3500</v>
      </c>
      <c r="K1784" s="177">
        <v>1.0</v>
      </c>
      <c r="L1784" s="174">
        <v>3.874450671E9</v>
      </c>
      <c r="M1784" s="387"/>
      <c r="N1784" s="481">
        <v>46161.0</v>
      </c>
      <c r="O1784" s="531" t="s">
        <v>9011</v>
      </c>
      <c r="P1784" s="387"/>
      <c r="Q1784" s="261" t="s">
        <v>14278</v>
      </c>
      <c r="R1784" s="434" t="s">
        <v>14279</v>
      </c>
      <c r="S1784" s="367"/>
      <c r="T1784" s="276"/>
      <c r="U1784" s="276"/>
      <c r="V1784" s="276"/>
      <c r="W1784" s="276"/>
      <c r="X1784" s="276"/>
      <c r="Y1784" s="276"/>
      <c r="Z1784" s="276"/>
      <c r="AA1784" s="276"/>
      <c r="AB1784" s="276"/>
      <c r="AC1784" s="276"/>
    </row>
    <row r="1785">
      <c r="A1785" s="108" t="s">
        <v>12920</v>
      </c>
      <c r="B1785" s="173">
        <v>46161.0</v>
      </c>
      <c r="C1785" s="374">
        <v>8.07000036151E11</v>
      </c>
      <c r="D1785" s="374" t="s">
        <v>12921</v>
      </c>
      <c r="E1785" s="374" t="s">
        <v>12922</v>
      </c>
      <c r="F1785" s="177" t="s">
        <v>12923</v>
      </c>
      <c r="G1785" s="177" t="s">
        <v>127</v>
      </c>
      <c r="H1785" s="177">
        <v>4400.0</v>
      </c>
      <c r="I1785" s="374" t="s">
        <v>512</v>
      </c>
      <c r="J1785" s="374" t="s">
        <v>513</v>
      </c>
      <c r="K1785" s="177">
        <v>6.0</v>
      </c>
      <c r="L1785" s="174">
        <v>3.872201939E9</v>
      </c>
      <c r="M1785" s="387"/>
      <c r="N1785" s="480">
        <v>46161.0</v>
      </c>
      <c r="O1785" s="402" t="s">
        <v>9011</v>
      </c>
      <c r="P1785" s="534"/>
      <c r="Q1785" s="430" t="s">
        <v>14280</v>
      </c>
      <c r="R1785" s="432" t="s">
        <v>14281</v>
      </c>
      <c r="S1785" s="367"/>
      <c r="T1785" s="276"/>
      <c r="U1785" s="276"/>
      <c r="V1785" s="276"/>
      <c r="W1785" s="276"/>
      <c r="X1785" s="276"/>
      <c r="Y1785" s="276"/>
      <c r="Z1785" s="276"/>
      <c r="AA1785" s="276"/>
      <c r="AB1785" s="276"/>
      <c r="AC1785" s="276"/>
    </row>
    <row r="1786">
      <c r="A1786" s="108" t="s">
        <v>12920</v>
      </c>
      <c r="B1786" s="173">
        <v>46161.0</v>
      </c>
      <c r="C1786" s="374">
        <v>8.07000036152E11</v>
      </c>
      <c r="D1786" s="374" t="s">
        <v>12921</v>
      </c>
      <c r="E1786" s="374" t="s">
        <v>12922</v>
      </c>
      <c r="F1786" s="177" t="s">
        <v>12923</v>
      </c>
      <c r="G1786" s="177" t="s">
        <v>127</v>
      </c>
      <c r="H1786" s="177">
        <v>4400.0</v>
      </c>
      <c r="I1786" s="374" t="s">
        <v>3154</v>
      </c>
      <c r="J1786" s="374" t="s">
        <v>4564</v>
      </c>
      <c r="K1786" s="177">
        <v>1.0</v>
      </c>
      <c r="L1786" s="174">
        <v>3.872201939E9</v>
      </c>
      <c r="M1786" s="387"/>
      <c r="N1786" s="209"/>
      <c r="O1786" s="209"/>
      <c r="P1786" s="209"/>
      <c r="Q1786" s="209"/>
      <c r="R1786" s="209"/>
      <c r="S1786" s="367"/>
      <c r="T1786" s="276"/>
      <c r="U1786" s="276"/>
      <c r="V1786" s="276"/>
      <c r="W1786" s="276"/>
      <c r="X1786" s="276"/>
      <c r="Y1786" s="276"/>
      <c r="Z1786" s="276"/>
      <c r="AA1786" s="276"/>
      <c r="AB1786" s="276"/>
      <c r="AC1786" s="276"/>
    </row>
    <row r="1787">
      <c r="A1787" s="108" t="s">
        <v>12920</v>
      </c>
      <c r="B1787" s="173">
        <v>46161.0</v>
      </c>
      <c r="C1787" s="374">
        <v>8.07000036152E11</v>
      </c>
      <c r="D1787" s="374" t="s">
        <v>12921</v>
      </c>
      <c r="E1787" s="374" t="s">
        <v>12922</v>
      </c>
      <c r="F1787" s="177" t="s">
        <v>12923</v>
      </c>
      <c r="G1787" s="177" t="s">
        <v>127</v>
      </c>
      <c r="H1787" s="177">
        <v>4400.0</v>
      </c>
      <c r="I1787" s="374" t="s">
        <v>2031</v>
      </c>
      <c r="J1787" s="374" t="s">
        <v>3348</v>
      </c>
      <c r="K1787" s="177">
        <v>1.0</v>
      </c>
      <c r="L1787" s="174">
        <v>3.872201939E9</v>
      </c>
      <c r="M1787" s="387"/>
      <c r="N1787" s="206"/>
      <c r="O1787" s="206"/>
      <c r="P1787" s="206"/>
      <c r="Q1787" s="206"/>
      <c r="R1787" s="206"/>
      <c r="S1787" s="367"/>
      <c r="T1787" s="276"/>
      <c r="U1787" s="276"/>
      <c r="V1787" s="276"/>
      <c r="W1787" s="276"/>
      <c r="X1787" s="276"/>
      <c r="Y1787" s="276"/>
      <c r="Z1787" s="276"/>
      <c r="AA1787" s="276"/>
      <c r="AB1787" s="276"/>
      <c r="AC1787" s="276"/>
    </row>
    <row r="1788">
      <c r="A1788" s="108" t="s">
        <v>12924</v>
      </c>
      <c r="B1788" s="173">
        <v>46161.0</v>
      </c>
      <c r="C1788" s="374">
        <v>8.07000036153E11</v>
      </c>
      <c r="D1788" s="374" t="s">
        <v>12925</v>
      </c>
      <c r="E1788" s="374" t="s">
        <v>12926</v>
      </c>
      <c r="F1788" s="177" t="s">
        <v>12927</v>
      </c>
      <c r="G1788" s="177" t="s">
        <v>127</v>
      </c>
      <c r="H1788" s="177">
        <v>4400.0</v>
      </c>
      <c r="I1788" s="374" t="s">
        <v>512</v>
      </c>
      <c r="J1788" s="374" t="s">
        <v>513</v>
      </c>
      <c r="K1788" s="177">
        <v>12.0</v>
      </c>
      <c r="L1788" s="174">
        <v>3.874405661E9</v>
      </c>
      <c r="M1788" s="387"/>
      <c r="N1788" s="480">
        <v>46161.0</v>
      </c>
      <c r="O1788" s="402" t="s">
        <v>9011</v>
      </c>
      <c r="P1788" s="534"/>
      <c r="Q1788" s="430" t="s">
        <v>13339</v>
      </c>
      <c r="R1788" s="432" t="s">
        <v>14282</v>
      </c>
      <c r="S1788" s="367"/>
      <c r="T1788" s="276"/>
      <c r="U1788" s="276"/>
      <c r="V1788" s="276"/>
      <c r="W1788" s="276"/>
      <c r="X1788" s="276"/>
      <c r="Y1788" s="276"/>
      <c r="Z1788" s="276"/>
      <c r="AA1788" s="276"/>
      <c r="AB1788" s="276"/>
      <c r="AC1788" s="276"/>
    </row>
    <row r="1789">
      <c r="A1789" s="108" t="s">
        <v>12924</v>
      </c>
      <c r="B1789" s="173">
        <v>46161.0</v>
      </c>
      <c r="C1789" s="374">
        <v>8.07000036154E11</v>
      </c>
      <c r="D1789" s="374" t="s">
        <v>12925</v>
      </c>
      <c r="E1789" s="374" t="s">
        <v>12926</v>
      </c>
      <c r="F1789" s="177" t="s">
        <v>12927</v>
      </c>
      <c r="G1789" s="177" t="s">
        <v>127</v>
      </c>
      <c r="H1789" s="177">
        <v>4400.0</v>
      </c>
      <c r="I1789" s="374" t="s">
        <v>1408</v>
      </c>
      <c r="J1789" s="374" t="s">
        <v>7680</v>
      </c>
      <c r="K1789" s="177">
        <v>1.0</v>
      </c>
      <c r="L1789" s="174">
        <v>3.874405661E9</v>
      </c>
      <c r="M1789" s="387"/>
      <c r="N1789" s="209"/>
      <c r="O1789" s="209"/>
      <c r="P1789" s="209"/>
      <c r="Q1789" s="209"/>
      <c r="R1789" s="209"/>
      <c r="S1789" s="367"/>
      <c r="T1789" s="276"/>
      <c r="U1789" s="276"/>
      <c r="V1789" s="276"/>
      <c r="W1789" s="276"/>
      <c r="X1789" s="276"/>
      <c r="Y1789" s="276"/>
      <c r="Z1789" s="276"/>
      <c r="AA1789" s="276"/>
      <c r="AB1789" s="276"/>
      <c r="AC1789" s="276"/>
    </row>
    <row r="1790">
      <c r="A1790" s="108" t="s">
        <v>12924</v>
      </c>
      <c r="B1790" s="173">
        <v>46161.0</v>
      </c>
      <c r="C1790" s="374">
        <v>8.07000036154E11</v>
      </c>
      <c r="D1790" s="374" t="s">
        <v>12925</v>
      </c>
      <c r="E1790" s="374" t="s">
        <v>12926</v>
      </c>
      <c r="F1790" s="177" t="s">
        <v>12927</v>
      </c>
      <c r="G1790" s="177" t="s">
        <v>127</v>
      </c>
      <c r="H1790" s="177">
        <v>4400.0</v>
      </c>
      <c r="I1790" s="374" t="s">
        <v>121</v>
      </c>
      <c r="J1790" s="374" t="s">
        <v>3199</v>
      </c>
      <c r="K1790" s="177">
        <v>2.0</v>
      </c>
      <c r="L1790" s="174">
        <v>3.874405661E9</v>
      </c>
      <c r="M1790" s="387"/>
      <c r="N1790" s="206"/>
      <c r="O1790" s="206"/>
      <c r="P1790" s="206"/>
      <c r="Q1790" s="206"/>
      <c r="R1790" s="206"/>
      <c r="S1790" s="367"/>
      <c r="T1790" s="276"/>
      <c r="U1790" s="276"/>
      <c r="V1790" s="276"/>
      <c r="W1790" s="276"/>
      <c r="X1790" s="276"/>
      <c r="Y1790" s="276"/>
      <c r="Z1790" s="276"/>
      <c r="AA1790" s="276"/>
      <c r="AB1790" s="276"/>
      <c r="AC1790" s="276"/>
    </row>
    <row r="1791">
      <c r="A1791" s="108" t="s">
        <v>12928</v>
      </c>
      <c r="B1791" s="173">
        <v>46161.0</v>
      </c>
      <c r="C1791" s="374">
        <v>8.07000036147E11</v>
      </c>
      <c r="D1791" s="374" t="s">
        <v>12929</v>
      </c>
      <c r="E1791" s="374" t="s">
        <v>12930</v>
      </c>
      <c r="F1791" s="177" t="s">
        <v>12931</v>
      </c>
      <c r="G1791" s="177" t="s">
        <v>127</v>
      </c>
      <c r="H1791" s="177">
        <v>4400.0</v>
      </c>
      <c r="I1791" s="374" t="s">
        <v>1533</v>
      </c>
      <c r="J1791" s="374" t="s">
        <v>8151</v>
      </c>
      <c r="K1791" s="177">
        <v>1.0</v>
      </c>
      <c r="L1791" s="174">
        <v>1.127652456E9</v>
      </c>
      <c r="M1791" s="387"/>
      <c r="N1791" s="480">
        <v>46161.0</v>
      </c>
      <c r="O1791" s="402" t="s">
        <v>9011</v>
      </c>
      <c r="P1791" s="534"/>
      <c r="Q1791" s="430" t="s">
        <v>14283</v>
      </c>
      <c r="R1791" s="432" t="s">
        <v>14284</v>
      </c>
      <c r="S1791" s="367"/>
      <c r="T1791" s="276"/>
      <c r="U1791" s="276"/>
      <c r="V1791" s="276"/>
      <c r="W1791" s="276"/>
      <c r="X1791" s="276"/>
      <c r="Y1791" s="276"/>
      <c r="Z1791" s="276"/>
      <c r="AA1791" s="276"/>
      <c r="AB1791" s="276"/>
      <c r="AC1791" s="276"/>
    </row>
    <row r="1792">
      <c r="A1792" s="108" t="s">
        <v>12928</v>
      </c>
      <c r="B1792" s="173">
        <v>46161.0</v>
      </c>
      <c r="C1792" s="374">
        <v>8.07000036147E11</v>
      </c>
      <c r="D1792" s="374" t="s">
        <v>12929</v>
      </c>
      <c r="E1792" s="374" t="s">
        <v>12930</v>
      </c>
      <c r="F1792" s="177" t="s">
        <v>12931</v>
      </c>
      <c r="G1792" s="177" t="s">
        <v>127</v>
      </c>
      <c r="H1792" s="177">
        <v>4400.0</v>
      </c>
      <c r="I1792" s="374" t="s">
        <v>512</v>
      </c>
      <c r="J1792" s="374" t="s">
        <v>513</v>
      </c>
      <c r="K1792" s="177">
        <v>12.0</v>
      </c>
      <c r="L1792" s="174">
        <v>1.127652456E9</v>
      </c>
      <c r="M1792" s="387"/>
      <c r="N1792" s="209"/>
      <c r="O1792" s="209"/>
      <c r="P1792" s="209"/>
      <c r="Q1792" s="209"/>
      <c r="R1792" s="209"/>
      <c r="S1792" s="367"/>
      <c r="T1792" s="276"/>
      <c r="U1792" s="276"/>
      <c r="V1792" s="276"/>
      <c r="W1792" s="276"/>
      <c r="X1792" s="276"/>
      <c r="Y1792" s="276"/>
      <c r="Z1792" s="276"/>
      <c r="AA1792" s="276"/>
      <c r="AB1792" s="276"/>
      <c r="AC1792" s="276"/>
    </row>
    <row r="1793">
      <c r="A1793" s="108" t="s">
        <v>12928</v>
      </c>
      <c r="B1793" s="173">
        <v>46161.0</v>
      </c>
      <c r="C1793" s="374">
        <v>8.07000036147E11</v>
      </c>
      <c r="D1793" s="374" t="s">
        <v>12929</v>
      </c>
      <c r="E1793" s="374" t="s">
        <v>12930</v>
      </c>
      <c r="F1793" s="177" t="s">
        <v>12931</v>
      </c>
      <c r="G1793" s="177" t="s">
        <v>127</v>
      </c>
      <c r="H1793" s="177">
        <v>4400.0</v>
      </c>
      <c r="I1793" s="374" t="s">
        <v>121</v>
      </c>
      <c r="J1793" s="374" t="s">
        <v>3199</v>
      </c>
      <c r="K1793" s="177">
        <v>2.0</v>
      </c>
      <c r="L1793" s="174">
        <v>1.127652456E9</v>
      </c>
      <c r="M1793" s="387"/>
      <c r="N1793" s="206"/>
      <c r="O1793" s="206"/>
      <c r="P1793" s="206"/>
      <c r="Q1793" s="206"/>
      <c r="R1793" s="206"/>
      <c r="S1793" s="367"/>
      <c r="T1793" s="276"/>
      <c r="U1793" s="276"/>
      <c r="V1793" s="276"/>
      <c r="W1793" s="276"/>
      <c r="X1793" s="276"/>
      <c r="Y1793" s="276"/>
      <c r="Z1793" s="276"/>
      <c r="AA1793" s="276"/>
      <c r="AB1793" s="276"/>
      <c r="AC1793" s="276"/>
    </row>
    <row r="1794">
      <c r="A1794" s="108" t="s">
        <v>12932</v>
      </c>
      <c r="B1794" s="173">
        <v>46161.0</v>
      </c>
      <c r="C1794" s="374">
        <v>8.07000036165E11</v>
      </c>
      <c r="D1794" s="374" t="s">
        <v>12933</v>
      </c>
      <c r="E1794" s="374" t="s">
        <v>12934</v>
      </c>
      <c r="F1794" s="177" t="s">
        <v>12935</v>
      </c>
      <c r="G1794" s="177" t="s">
        <v>1885</v>
      </c>
      <c r="H1794" s="177">
        <v>4400.0</v>
      </c>
      <c r="I1794" s="374">
        <v>87610.0</v>
      </c>
      <c r="J1794" s="374" t="s">
        <v>12683</v>
      </c>
      <c r="K1794" s="177">
        <v>2.0</v>
      </c>
      <c r="L1794" s="174">
        <v>3.875319022E9</v>
      </c>
      <c r="M1794" s="387"/>
      <c r="N1794" s="480">
        <v>46161.0</v>
      </c>
      <c r="O1794" s="402" t="s">
        <v>9011</v>
      </c>
      <c r="P1794" s="402"/>
      <c r="Q1794" s="430" t="s">
        <v>13339</v>
      </c>
      <c r="R1794" s="432" t="s">
        <v>14285</v>
      </c>
      <c r="S1794" s="367"/>
      <c r="T1794" s="276"/>
      <c r="U1794" s="276"/>
      <c r="V1794" s="276"/>
      <c r="W1794" s="276"/>
      <c r="X1794" s="276"/>
      <c r="Y1794" s="276"/>
      <c r="Z1794" s="276"/>
      <c r="AA1794" s="276"/>
      <c r="AB1794" s="276"/>
      <c r="AC1794" s="276"/>
    </row>
    <row r="1795">
      <c r="A1795" s="108" t="s">
        <v>12936</v>
      </c>
      <c r="B1795" s="173">
        <v>46161.0</v>
      </c>
      <c r="C1795" s="374">
        <v>8.07000036166E11</v>
      </c>
      <c r="D1795" s="374" t="s">
        <v>12933</v>
      </c>
      <c r="E1795" s="374" t="s">
        <v>12934</v>
      </c>
      <c r="F1795" s="177" t="s">
        <v>12935</v>
      </c>
      <c r="G1795" s="177" t="s">
        <v>1885</v>
      </c>
      <c r="H1795" s="177">
        <v>4400.0</v>
      </c>
      <c r="I1795" s="374" t="s">
        <v>768</v>
      </c>
      <c r="J1795" s="374" t="s">
        <v>3386</v>
      </c>
      <c r="K1795" s="177">
        <v>1.0</v>
      </c>
      <c r="L1795" s="174">
        <v>3.875319022E9</v>
      </c>
      <c r="M1795" s="387"/>
      <c r="N1795" s="206"/>
      <c r="O1795" s="206"/>
      <c r="P1795" s="206"/>
      <c r="Q1795" s="206"/>
      <c r="R1795" s="206"/>
      <c r="S1795" s="367"/>
      <c r="T1795" s="276"/>
      <c r="U1795" s="276"/>
      <c r="V1795" s="276"/>
      <c r="W1795" s="276"/>
      <c r="X1795" s="276"/>
      <c r="Y1795" s="276"/>
      <c r="Z1795" s="276"/>
      <c r="AA1795" s="276"/>
      <c r="AB1795" s="276"/>
      <c r="AC1795" s="276"/>
    </row>
    <row r="1796">
      <c r="A1796" s="108" t="s">
        <v>12937</v>
      </c>
      <c r="B1796" s="173">
        <v>46161.0</v>
      </c>
      <c r="C1796" s="374">
        <v>8.07000036167E11</v>
      </c>
      <c r="D1796" s="374" t="s">
        <v>12938</v>
      </c>
      <c r="E1796" s="374" t="s">
        <v>12939</v>
      </c>
      <c r="F1796" s="177" t="s">
        <v>12940</v>
      </c>
      <c r="G1796" s="177" t="s">
        <v>3047</v>
      </c>
      <c r="H1796" s="177">
        <v>4405.0</v>
      </c>
      <c r="I1796" s="374" t="s">
        <v>6265</v>
      </c>
      <c r="J1796" s="374" t="s">
        <v>6266</v>
      </c>
      <c r="K1796" s="177">
        <v>1.0</v>
      </c>
      <c r="L1796" s="174">
        <v>3.873036692E9</v>
      </c>
      <c r="M1796" s="387"/>
      <c r="N1796" s="480">
        <v>46161.0</v>
      </c>
      <c r="O1796" s="402" t="s">
        <v>9011</v>
      </c>
      <c r="P1796" s="534"/>
      <c r="Q1796" s="430" t="s">
        <v>14286</v>
      </c>
      <c r="R1796" s="432" t="s">
        <v>14287</v>
      </c>
      <c r="S1796" s="367"/>
      <c r="T1796" s="276"/>
      <c r="U1796" s="276"/>
      <c r="V1796" s="276"/>
      <c r="W1796" s="276"/>
      <c r="X1796" s="276"/>
      <c r="Y1796" s="276"/>
      <c r="Z1796" s="276"/>
      <c r="AA1796" s="276"/>
      <c r="AB1796" s="276"/>
      <c r="AC1796" s="276"/>
    </row>
    <row r="1797">
      <c r="A1797" s="108" t="s">
        <v>12937</v>
      </c>
      <c r="B1797" s="173">
        <v>46161.0</v>
      </c>
      <c r="C1797" s="374">
        <v>8.07000036168E11</v>
      </c>
      <c r="D1797" s="374" t="s">
        <v>12938</v>
      </c>
      <c r="E1797" s="374" t="s">
        <v>12939</v>
      </c>
      <c r="F1797" s="177" t="s">
        <v>12940</v>
      </c>
      <c r="G1797" s="177" t="s">
        <v>3047</v>
      </c>
      <c r="H1797" s="177">
        <v>4405.0</v>
      </c>
      <c r="I1797" s="374" t="s">
        <v>4695</v>
      </c>
      <c r="J1797" s="374" t="s">
        <v>4696</v>
      </c>
      <c r="K1797" s="177">
        <v>1.0</v>
      </c>
      <c r="L1797" s="174">
        <v>3.873036692E9</v>
      </c>
      <c r="M1797" s="387"/>
      <c r="N1797" s="209"/>
      <c r="O1797" s="209"/>
      <c r="P1797" s="209"/>
      <c r="Q1797" s="209"/>
      <c r="R1797" s="209"/>
      <c r="S1797" s="367"/>
      <c r="T1797" s="276"/>
      <c r="U1797" s="276"/>
      <c r="V1797" s="276"/>
      <c r="W1797" s="276"/>
      <c r="X1797" s="276"/>
      <c r="Y1797" s="276"/>
      <c r="Z1797" s="276"/>
      <c r="AA1797" s="276"/>
      <c r="AB1797" s="276"/>
      <c r="AC1797" s="276"/>
    </row>
    <row r="1798">
      <c r="A1798" s="108" t="s">
        <v>12937</v>
      </c>
      <c r="B1798" s="173">
        <v>46161.0</v>
      </c>
      <c r="C1798" s="374">
        <v>8.07000036168E11</v>
      </c>
      <c r="D1798" s="374" t="s">
        <v>12938</v>
      </c>
      <c r="E1798" s="374" t="s">
        <v>12939</v>
      </c>
      <c r="F1798" s="177" t="s">
        <v>12940</v>
      </c>
      <c r="G1798" s="177" t="s">
        <v>3047</v>
      </c>
      <c r="H1798" s="177">
        <v>4405.0</v>
      </c>
      <c r="I1798" s="374" t="s">
        <v>761</v>
      </c>
      <c r="J1798" s="374" t="s">
        <v>3761</v>
      </c>
      <c r="K1798" s="177">
        <v>1.0</v>
      </c>
      <c r="L1798" s="174">
        <v>3.873036692E9</v>
      </c>
      <c r="M1798" s="387"/>
      <c r="N1798" s="206"/>
      <c r="O1798" s="206"/>
      <c r="P1798" s="206"/>
      <c r="Q1798" s="206"/>
      <c r="R1798" s="206"/>
      <c r="S1798" s="367"/>
      <c r="T1798" s="276"/>
      <c r="U1798" s="276"/>
      <c r="V1798" s="276"/>
      <c r="W1798" s="276"/>
      <c r="X1798" s="276"/>
      <c r="Y1798" s="276"/>
      <c r="Z1798" s="276"/>
      <c r="AA1798" s="276"/>
      <c r="AB1798" s="276"/>
      <c r="AC1798" s="276"/>
    </row>
    <row r="1799">
      <c r="A1799" s="108" t="s">
        <v>12941</v>
      </c>
      <c r="B1799" s="173">
        <v>46161.0</v>
      </c>
      <c r="C1799" s="374">
        <v>8.0700003618E11</v>
      </c>
      <c r="D1799" s="374" t="s">
        <v>12942</v>
      </c>
      <c r="E1799" s="374" t="s">
        <v>12943</v>
      </c>
      <c r="F1799" s="177" t="s">
        <v>12944</v>
      </c>
      <c r="G1799" s="177" t="s">
        <v>4496</v>
      </c>
      <c r="H1799" s="177">
        <v>4400.0</v>
      </c>
      <c r="I1799" s="374">
        <v>125813.0</v>
      </c>
      <c r="J1799" s="374" t="s">
        <v>5703</v>
      </c>
      <c r="K1799" s="177">
        <v>2.0</v>
      </c>
      <c r="L1799" s="174">
        <v>3.8750009E9</v>
      </c>
      <c r="M1799" s="387"/>
      <c r="N1799" s="480">
        <v>46161.0</v>
      </c>
      <c r="O1799" s="402" t="s">
        <v>9011</v>
      </c>
      <c r="P1799" s="534"/>
      <c r="Q1799" s="430" t="s">
        <v>14288</v>
      </c>
      <c r="R1799" s="432" t="s">
        <v>14289</v>
      </c>
      <c r="S1799" s="367"/>
      <c r="T1799" s="276"/>
      <c r="U1799" s="276"/>
      <c r="V1799" s="276"/>
      <c r="W1799" s="276"/>
      <c r="X1799" s="276"/>
      <c r="Y1799" s="276"/>
      <c r="Z1799" s="276"/>
      <c r="AA1799" s="276"/>
      <c r="AB1799" s="276"/>
      <c r="AC1799" s="276"/>
    </row>
    <row r="1800">
      <c r="A1800" s="108" t="s">
        <v>12941</v>
      </c>
      <c r="B1800" s="173">
        <v>46161.0</v>
      </c>
      <c r="C1800" s="374">
        <v>8.07000036181E11</v>
      </c>
      <c r="D1800" s="374" t="s">
        <v>12942</v>
      </c>
      <c r="E1800" s="374" t="s">
        <v>12943</v>
      </c>
      <c r="F1800" s="177" t="s">
        <v>12944</v>
      </c>
      <c r="G1800" s="177" t="s">
        <v>4496</v>
      </c>
      <c r="H1800" s="177">
        <v>4400.0</v>
      </c>
      <c r="I1800" s="374" t="s">
        <v>512</v>
      </c>
      <c r="J1800" s="374" t="s">
        <v>513</v>
      </c>
      <c r="K1800" s="177">
        <v>12.0</v>
      </c>
      <c r="L1800" s="174">
        <v>3.8750009E9</v>
      </c>
      <c r="M1800" s="387"/>
      <c r="N1800" s="209"/>
      <c r="O1800" s="209"/>
      <c r="P1800" s="209"/>
      <c r="Q1800" s="209"/>
      <c r="R1800" s="209"/>
      <c r="S1800" s="367"/>
      <c r="T1800" s="276"/>
      <c r="U1800" s="276"/>
      <c r="V1800" s="276"/>
      <c r="W1800" s="276"/>
      <c r="X1800" s="276"/>
      <c r="Y1800" s="276"/>
      <c r="Z1800" s="276"/>
      <c r="AA1800" s="276"/>
      <c r="AB1800" s="276"/>
      <c r="AC1800" s="276"/>
    </row>
    <row r="1801">
      <c r="A1801" s="108" t="s">
        <v>12941</v>
      </c>
      <c r="B1801" s="173">
        <v>46161.0</v>
      </c>
      <c r="C1801" s="374">
        <v>8.07000036182E11</v>
      </c>
      <c r="D1801" s="374" t="s">
        <v>12942</v>
      </c>
      <c r="E1801" s="374" t="s">
        <v>12943</v>
      </c>
      <c r="F1801" s="177" t="s">
        <v>12944</v>
      </c>
      <c r="G1801" s="177" t="s">
        <v>4496</v>
      </c>
      <c r="H1801" s="177">
        <v>4400.0</v>
      </c>
      <c r="I1801" s="374" t="s">
        <v>8604</v>
      </c>
      <c r="J1801" s="374" t="s">
        <v>8605</v>
      </c>
      <c r="K1801" s="177">
        <v>2.0</v>
      </c>
      <c r="L1801" s="174">
        <v>3.8750009E9</v>
      </c>
      <c r="M1801" s="387"/>
      <c r="N1801" s="209"/>
      <c r="O1801" s="209"/>
      <c r="P1801" s="209"/>
      <c r="Q1801" s="209"/>
      <c r="R1801" s="209"/>
      <c r="S1801" s="367"/>
      <c r="T1801" s="276"/>
      <c r="U1801" s="276"/>
      <c r="V1801" s="276"/>
      <c r="W1801" s="276"/>
      <c r="X1801" s="276"/>
      <c r="Y1801" s="276"/>
      <c r="Z1801" s="276"/>
      <c r="AA1801" s="276"/>
      <c r="AB1801" s="276"/>
      <c r="AC1801" s="276"/>
    </row>
    <row r="1802">
      <c r="A1802" s="108" t="s">
        <v>12941</v>
      </c>
      <c r="B1802" s="173">
        <v>46161.0</v>
      </c>
      <c r="C1802" s="374">
        <v>8.07000036182E11</v>
      </c>
      <c r="D1802" s="374" t="s">
        <v>12942</v>
      </c>
      <c r="E1802" s="374" t="s">
        <v>12943</v>
      </c>
      <c r="F1802" s="177" t="s">
        <v>12944</v>
      </c>
      <c r="G1802" s="177" t="s">
        <v>4496</v>
      </c>
      <c r="H1802" s="177">
        <v>4400.0</v>
      </c>
      <c r="I1802" s="374" t="s">
        <v>1345</v>
      </c>
      <c r="J1802" s="374" t="s">
        <v>3639</v>
      </c>
      <c r="K1802" s="177">
        <v>2.0</v>
      </c>
      <c r="L1802" s="174">
        <v>3.8750009E9</v>
      </c>
      <c r="M1802" s="387"/>
      <c r="N1802" s="209"/>
      <c r="O1802" s="209"/>
      <c r="P1802" s="209"/>
      <c r="Q1802" s="209"/>
      <c r="R1802" s="209"/>
      <c r="S1802" s="367"/>
      <c r="T1802" s="276"/>
      <c r="U1802" s="276"/>
      <c r="V1802" s="276"/>
      <c r="W1802" s="276"/>
      <c r="X1802" s="276"/>
      <c r="Y1802" s="276"/>
      <c r="Z1802" s="276"/>
      <c r="AA1802" s="276"/>
      <c r="AB1802" s="276"/>
      <c r="AC1802" s="276"/>
    </row>
    <row r="1803">
      <c r="A1803" s="108" t="s">
        <v>12941</v>
      </c>
      <c r="B1803" s="173">
        <v>46161.0</v>
      </c>
      <c r="C1803" s="374">
        <v>8.07000036183E11</v>
      </c>
      <c r="D1803" s="374" t="s">
        <v>12942</v>
      </c>
      <c r="E1803" s="374" t="s">
        <v>12943</v>
      </c>
      <c r="F1803" s="177" t="s">
        <v>12944</v>
      </c>
      <c r="G1803" s="177" t="s">
        <v>4496</v>
      </c>
      <c r="H1803" s="177">
        <v>4400.0</v>
      </c>
      <c r="I1803" s="374" t="s">
        <v>5817</v>
      </c>
      <c r="J1803" s="374" t="s">
        <v>5417</v>
      </c>
      <c r="K1803" s="177">
        <v>1.0</v>
      </c>
      <c r="L1803" s="174">
        <v>3.8750009E9</v>
      </c>
      <c r="M1803" s="387"/>
      <c r="N1803" s="209"/>
      <c r="O1803" s="209"/>
      <c r="P1803" s="209"/>
      <c r="Q1803" s="209"/>
      <c r="R1803" s="209"/>
      <c r="S1803" s="367"/>
      <c r="T1803" s="276"/>
      <c r="U1803" s="276"/>
      <c r="V1803" s="276"/>
      <c r="W1803" s="276"/>
      <c r="X1803" s="276"/>
      <c r="Y1803" s="276"/>
      <c r="Z1803" s="276"/>
      <c r="AA1803" s="276"/>
      <c r="AB1803" s="276"/>
      <c r="AC1803" s="276"/>
    </row>
    <row r="1804">
      <c r="A1804" s="108" t="s">
        <v>12945</v>
      </c>
      <c r="B1804" s="173">
        <v>46161.0</v>
      </c>
      <c r="C1804" s="374">
        <v>8.07000036184E11</v>
      </c>
      <c r="D1804" s="374" t="s">
        <v>12942</v>
      </c>
      <c r="E1804" s="374" t="s">
        <v>12943</v>
      </c>
      <c r="F1804" s="177" t="s">
        <v>12944</v>
      </c>
      <c r="G1804" s="177" t="s">
        <v>4496</v>
      </c>
      <c r="H1804" s="177">
        <v>4400.0</v>
      </c>
      <c r="I1804" s="374" t="s">
        <v>2294</v>
      </c>
      <c r="J1804" s="374" t="s">
        <v>5415</v>
      </c>
      <c r="K1804" s="177">
        <v>1.0</v>
      </c>
      <c r="L1804" s="174">
        <v>3.8750009E9</v>
      </c>
      <c r="M1804" s="387"/>
      <c r="N1804" s="206"/>
      <c r="O1804" s="206"/>
      <c r="P1804" s="206"/>
      <c r="Q1804" s="206"/>
      <c r="R1804" s="206"/>
      <c r="S1804" s="367"/>
      <c r="T1804" s="276"/>
      <c r="U1804" s="276"/>
      <c r="V1804" s="276"/>
      <c r="W1804" s="276"/>
      <c r="X1804" s="276"/>
      <c r="Y1804" s="276"/>
      <c r="Z1804" s="276"/>
      <c r="AA1804" s="276"/>
      <c r="AB1804" s="276"/>
      <c r="AC1804" s="276"/>
    </row>
    <row r="1805">
      <c r="A1805" s="108" t="s">
        <v>12946</v>
      </c>
      <c r="B1805" s="173">
        <v>46161.0</v>
      </c>
      <c r="C1805" s="374">
        <v>8.07000036174E11</v>
      </c>
      <c r="D1805" s="374" t="s">
        <v>12947</v>
      </c>
      <c r="E1805" s="374" t="s">
        <v>12948</v>
      </c>
      <c r="F1805" s="177" t="s">
        <v>12949</v>
      </c>
      <c r="G1805" s="177" t="s">
        <v>127</v>
      </c>
      <c r="H1805" s="177">
        <v>4400.0</v>
      </c>
      <c r="I1805" s="638">
        <v>915481.0</v>
      </c>
      <c r="J1805" s="374" t="s">
        <v>8241</v>
      </c>
      <c r="K1805" s="177">
        <v>1.0</v>
      </c>
      <c r="L1805" s="174">
        <v>3.875353413E9</v>
      </c>
      <c r="M1805" s="387"/>
      <c r="N1805" s="480">
        <v>46161.0</v>
      </c>
      <c r="O1805" s="402" t="s">
        <v>9011</v>
      </c>
      <c r="P1805" s="534"/>
      <c r="Q1805" s="430" t="s">
        <v>14290</v>
      </c>
      <c r="R1805" s="432" t="s">
        <v>14291</v>
      </c>
      <c r="S1805" s="367"/>
      <c r="T1805" s="276"/>
      <c r="U1805" s="276"/>
      <c r="V1805" s="276"/>
      <c r="W1805" s="276"/>
      <c r="X1805" s="276"/>
      <c r="Y1805" s="276"/>
      <c r="Z1805" s="276"/>
      <c r="AA1805" s="276"/>
      <c r="AB1805" s="276"/>
      <c r="AC1805" s="276"/>
    </row>
    <row r="1806">
      <c r="A1806" s="108" t="s">
        <v>12946</v>
      </c>
      <c r="B1806" s="173">
        <v>46161.0</v>
      </c>
      <c r="C1806" s="374">
        <v>8.07000036175E11</v>
      </c>
      <c r="D1806" s="374" t="s">
        <v>12947</v>
      </c>
      <c r="E1806" s="374" t="s">
        <v>12948</v>
      </c>
      <c r="F1806" s="177" t="s">
        <v>12949</v>
      </c>
      <c r="G1806" s="177" t="s">
        <v>127</v>
      </c>
      <c r="H1806" s="177">
        <v>4400.0</v>
      </c>
      <c r="I1806" s="374" t="s">
        <v>10560</v>
      </c>
      <c r="J1806" s="374" t="s">
        <v>10561</v>
      </c>
      <c r="K1806" s="177">
        <v>2.0</v>
      </c>
      <c r="L1806" s="174">
        <v>3.875353413E9</v>
      </c>
      <c r="M1806" s="387"/>
      <c r="N1806" s="206"/>
      <c r="O1806" s="206"/>
      <c r="P1806" s="206"/>
      <c r="Q1806" s="206"/>
      <c r="R1806" s="206"/>
      <c r="S1806" s="367"/>
      <c r="T1806" s="276"/>
      <c r="U1806" s="276"/>
      <c r="V1806" s="276"/>
      <c r="W1806" s="276"/>
      <c r="X1806" s="276"/>
      <c r="Y1806" s="276"/>
      <c r="Z1806" s="276"/>
      <c r="AA1806" s="276"/>
      <c r="AB1806" s="276"/>
      <c r="AC1806" s="276"/>
    </row>
    <row r="1807">
      <c r="A1807" s="108" t="s">
        <v>12950</v>
      </c>
      <c r="B1807" s="173">
        <v>46161.0</v>
      </c>
      <c r="C1807" s="374">
        <v>8.07000036185E11</v>
      </c>
      <c r="D1807" s="374" t="s">
        <v>12951</v>
      </c>
      <c r="E1807" s="374" t="s">
        <v>12952</v>
      </c>
      <c r="F1807" s="177" t="s">
        <v>12953</v>
      </c>
      <c r="G1807" s="177" t="s">
        <v>127</v>
      </c>
      <c r="H1807" s="177">
        <v>4400.0</v>
      </c>
      <c r="I1807" s="374">
        <v>125818.0</v>
      </c>
      <c r="J1807" s="374" t="s">
        <v>4334</v>
      </c>
      <c r="K1807" s="177">
        <v>2.0</v>
      </c>
      <c r="L1807" s="174">
        <v>3.872182908E9</v>
      </c>
      <c r="M1807" s="387"/>
      <c r="N1807" s="480">
        <v>46161.0</v>
      </c>
      <c r="O1807" s="402" t="s">
        <v>9011</v>
      </c>
      <c r="P1807" s="534"/>
      <c r="Q1807" s="430" t="s">
        <v>14292</v>
      </c>
      <c r="R1807" s="432" t="s">
        <v>14293</v>
      </c>
      <c r="S1807" s="367"/>
      <c r="T1807" s="276"/>
      <c r="U1807" s="276"/>
      <c r="V1807" s="276"/>
      <c r="W1807" s="276"/>
      <c r="X1807" s="276"/>
      <c r="Y1807" s="276"/>
      <c r="Z1807" s="276"/>
      <c r="AA1807" s="276"/>
      <c r="AB1807" s="276"/>
      <c r="AC1807" s="276"/>
    </row>
    <row r="1808">
      <c r="A1808" s="108" t="s">
        <v>12950</v>
      </c>
      <c r="B1808" s="173">
        <v>46161.0</v>
      </c>
      <c r="C1808" s="374">
        <v>8.07000036186E11</v>
      </c>
      <c r="D1808" s="374" t="s">
        <v>12951</v>
      </c>
      <c r="E1808" s="374" t="s">
        <v>12952</v>
      </c>
      <c r="F1808" s="177" t="s">
        <v>12953</v>
      </c>
      <c r="G1808" s="177" t="s">
        <v>127</v>
      </c>
      <c r="H1808" s="177">
        <v>4400.0</v>
      </c>
      <c r="I1808" s="374">
        <v>237408.0</v>
      </c>
      <c r="J1808" s="374" t="s">
        <v>12954</v>
      </c>
      <c r="K1808" s="177">
        <v>1.0</v>
      </c>
      <c r="L1808" s="174">
        <v>3.872182908E9</v>
      </c>
      <c r="M1808" s="387"/>
      <c r="N1808" s="209"/>
      <c r="O1808" s="209"/>
      <c r="P1808" s="209"/>
      <c r="Q1808" s="209"/>
      <c r="R1808" s="209"/>
      <c r="S1808" s="367"/>
      <c r="T1808" s="276"/>
      <c r="U1808" s="276"/>
      <c r="V1808" s="276"/>
      <c r="W1808" s="276"/>
      <c r="X1808" s="276"/>
      <c r="Y1808" s="276"/>
      <c r="Z1808" s="276"/>
      <c r="AA1808" s="276"/>
      <c r="AB1808" s="276"/>
      <c r="AC1808" s="276"/>
    </row>
    <row r="1809">
      <c r="A1809" s="108" t="s">
        <v>12955</v>
      </c>
      <c r="B1809" s="173">
        <v>46161.0</v>
      </c>
      <c r="C1809" s="374">
        <v>8.07000036187E11</v>
      </c>
      <c r="D1809" s="374" t="s">
        <v>12951</v>
      </c>
      <c r="E1809" s="374" t="s">
        <v>12952</v>
      </c>
      <c r="F1809" s="177" t="s">
        <v>12953</v>
      </c>
      <c r="G1809" s="177" t="s">
        <v>127</v>
      </c>
      <c r="H1809" s="177">
        <v>4400.0</v>
      </c>
      <c r="I1809" s="374" t="s">
        <v>258</v>
      </c>
      <c r="J1809" s="374" t="s">
        <v>259</v>
      </c>
      <c r="K1809" s="177">
        <v>2.0</v>
      </c>
      <c r="L1809" s="174">
        <v>3.872182908E9</v>
      </c>
      <c r="M1809" s="387"/>
      <c r="N1809" s="206"/>
      <c r="O1809" s="206"/>
      <c r="P1809" s="206"/>
      <c r="Q1809" s="206"/>
      <c r="R1809" s="206"/>
      <c r="S1809" s="367"/>
      <c r="T1809" s="276"/>
      <c r="U1809" s="276"/>
      <c r="V1809" s="276"/>
      <c r="W1809" s="276"/>
      <c r="X1809" s="276"/>
      <c r="Y1809" s="276"/>
      <c r="Z1809" s="276"/>
      <c r="AA1809" s="276"/>
      <c r="AB1809" s="276"/>
      <c r="AC1809" s="276"/>
    </row>
    <row r="1810">
      <c r="A1810" s="108" t="s">
        <v>12956</v>
      </c>
      <c r="B1810" s="173"/>
      <c r="C1810" s="374">
        <v>8.0700003619E11</v>
      </c>
      <c r="D1810" s="374" t="s">
        <v>12957</v>
      </c>
      <c r="E1810" s="374" t="s">
        <v>12958</v>
      </c>
      <c r="F1810" s="177" t="s">
        <v>12959</v>
      </c>
      <c r="G1810" s="177" t="s">
        <v>4645</v>
      </c>
      <c r="H1810" s="177">
        <v>4400.0</v>
      </c>
      <c r="I1810" s="374" t="s">
        <v>512</v>
      </c>
      <c r="J1810" s="374" t="s">
        <v>513</v>
      </c>
      <c r="K1810" s="177">
        <v>12.0</v>
      </c>
      <c r="L1810" s="174">
        <v>3.876053334E9</v>
      </c>
      <c r="M1810" s="387"/>
      <c r="N1810" s="480">
        <v>46161.0</v>
      </c>
      <c r="O1810" s="402" t="s">
        <v>9011</v>
      </c>
      <c r="P1810" s="534"/>
      <c r="Q1810" s="430" t="s">
        <v>13339</v>
      </c>
      <c r="R1810" s="432" t="s">
        <v>14294</v>
      </c>
      <c r="S1810" s="367"/>
      <c r="T1810" s="276"/>
      <c r="U1810" s="276"/>
      <c r="V1810" s="276"/>
      <c r="W1810" s="276"/>
      <c r="X1810" s="276"/>
      <c r="Y1810" s="276"/>
      <c r="Z1810" s="276"/>
      <c r="AA1810" s="276"/>
      <c r="AB1810" s="276"/>
      <c r="AC1810" s="276"/>
    </row>
    <row r="1811">
      <c r="A1811" s="108" t="s">
        <v>12956</v>
      </c>
      <c r="B1811" s="173"/>
      <c r="C1811" s="374">
        <v>8.07000036191E11</v>
      </c>
      <c r="D1811" s="374" t="s">
        <v>12957</v>
      </c>
      <c r="E1811" s="374" t="s">
        <v>12958</v>
      </c>
      <c r="F1811" s="177" t="s">
        <v>12959</v>
      </c>
      <c r="G1811" s="177" t="s">
        <v>4645</v>
      </c>
      <c r="H1811" s="177">
        <v>4400.0</v>
      </c>
      <c r="I1811" s="374">
        <v>125813.0</v>
      </c>
      <c r="J1811" s="374" t="s">
        <v>5703</v>
      </c>
      <c r="K1811" s="177">
        <v>2.0</v>
      </c>
      <c r="L1811" s="174">
        <v>3.876053334E9</v>
      </c>
      <c r="M1811" s="387"/>
      <c r="N1811" s="209"/>
      <c r="O1811" s="209"/>
      <c r="P1811" s="209"/>
      <c r="Q1811" s="209"/>
      <c r="R1811" s="209"/>
      <c r="S1811" s="367"/>
      <c r="T1811" s="276"/>
      <c r="U1811" s="276"/>
      <c r="V1811" s="276"/>
      <c r="W1811" s="276"/>
      <c r="X1811" s="276"/>
      <c r="Y1811" s="276"/>
      <c r="Z1811" s="276"/>
      <c r="AA1811" s="276"/>
      <c r="AB1811" s="276"/>
      <c r="AC1811" s="276"/>
    </row>
    <row r="1812">
      <c r="A1812" s="108" t="s">
        <v>12956</v>
      </c>
      <c r="B1812" s="173"/>
      <c r="C1812" s="374">
        <v>8.07000036192E11</v>
      </c>
      <c r="D1812" s="374" t="s">
        <v>12957</v>
      </c>
      <c r="E1812" s="374" t="s">
        <v>12958</v>
      </c>
      <c r="F1812" s="177" t="s">
        <v>12959</v>
      </c>
      <c r="G1812" s="177" t="s">
        <v>4645</v>
      </c>
      <c r="H1812" s="177">
        <v>4400.0</v>
      </c>
      <c r="I1812" s="374" t="s">
        <v>758</v>
      </c>
      <c r="J1812" s="374" t="s">
        <v>3574</v>
      </c>
      <c r="K1812" s="177">
        <v>2.0</v>
      </c>
      <c r="L1812" s="174">
        <v>3.876053334E9</v>
      </c>
      <c r="M1812" s="387"/>
      <c r="N1812" s="209"/>
      <c r="O1812" s="209"/>
      <c r="P1812" s="209"/>
      <c r="Q1812" s="209"/>
      <c r="R1812" s="209"/>
      <c r="S1812" s="367"/>
      <c r="T1812" s="276"/>
      <c r="U1812" s="276"/>
      <c r="V1812" s="276"/>
      <c r="W1812" s="276"/>
      <c r="X1812" s="276"/>
      <c r="Y1812" s="276"/>
      <c r="Z1812" s="276"/>
      <c r="AA1812" s="276"/>
      <c r="AB1812" s="276"/>
      <c r="AC1812" s="276"/>
    </row>
    <row r="1813">
      <c r="A1813" s="108" t="s">
        <v>12960</v>
      </c>
      <c r="B1813" s="173"/>
      <c r="C1813" s="374">
        <v>8.07000036193E11</v>
      </c>
      <c r="D1813" s="374" t="s">
        <v>12957</v>
      </c>
      <c r="E1813" s="374" t="s">
        <v>12958</v>
      </c>
      <c r="F1813" s="177" t="s">
        <v>12959</v>
      </c>
      <c r="G1813" s="177" t="s">
        <v>4645</v>
      </c>
      <c r="H1813" s="177">
        <v>4400.0</v>
      </c>
      <c r="I1813" s="374" t="s">
        <v>761</v>
      </c>
      <c r="J1813" s="374" t="s">
        <v>3761</v>
      </c>
      <c r="K1813" s="177">
        <v>1.0</v>
      </c>
      <c r="L1813" s="174">
        <v>3.876053334E9</v>
      </c>
      <c r="M1813" s="387"/>
      <c r="N1813" s="206"/>
      <c r="O1813" s="206"/>
      <c r="P1813" s="206"/>
      <c r="Q1813" s="206"/>
      <c r="R1813" s="206"/>
      <c r="S1813" s="367"/>
      <c r="T1813" s="276"/>
      <c r="U1813" s="276"/>
      <c r="V1813" s="276"/>
      <c r="W1813" s="276"/>
      <c r="X1813" s="276"/>
      <c r="Y1813" s="276"/>
      <c r="Z1813" s="276"/>
      <c r="AA1813" s="276"/>
      <c r="AB1813" s="276"/>
      <c r="AC1813" s="276"/>
    </row>
    <row r="1814">
      <c r="A1814" s="639"/>
      <c r="B1814" s="640"/>
      <c r="C1814" s="641"/>
      <c r="D1814" s="641"/>
      <c r="E1814" s="641"/>
      <c r="F1814" s="641"/>
      <c r="G1814" s="641"/>
      <c r="H1814" s="641"/>
      <c r="I1814" s="641"/>
      <c r="J1814" s="641"/>
      <c r="K1814" s="642"/>
      <c r="L1814" s="643"/>
      <c r="M1814" s="387"/>
      <c r="N1814" s="481"/>
      <c r="O1814" s="531"/>
      <c r="P1814" s="387"/>
      <c r="Q1814" s="261"/>
      <c r="R1814" s="449"/>
      <c r="S1814" s="367"/>
      <c r="T1814" s="276"/>
      <c r="U1814" s="276"/>
      <c r="V1814" s="276"/>
      <c r="W1814" s="276"/>
      <c r="X1814" s="276"/>
      <c r="Y1814" s="276"/>
      <c r="Z1814" s="276"/>
      <c r="AA1814" s="276"/>
      <c r="AB1814" s="276"/>
      <c r="AC1814" s="276"/>
    </row>
    <row r="1815">
      <c r="A1815" s="644">
        <v>46161.0</v>
      </c>
      <c r="B1815" s="177" t="s">
        <v>6178</v>
      </c>
      <c r="C1815" s="374">
        <v>8.07839005715E11</v>
      </c>
      <c r="D1815" s="374" t="s">
        <v>6179</v>
      </c>
      <c r="E1815" s="374" t="s">
        <v>6180</v>
      </c>
      <c r="F1815" s="374" t="s">
        <v>6181</v>
      </c>
      <c r="G1815" s="374" t="s">
        <v>20</v>
      </c>
      <c r="H1815" s="374" t="s">
        <v>20</v>
      </c>
      <c r="I1815" s="374">
        <v>4400.0</v>
      </c>
      <c r="J1815" s="374">
        <v>2.804604847E9</v>
      </c>
      <c r="K1815" s="177" t="s">
        <v>32</v>
      </c>
      <c r="L1815" s="174" t="s">
        <v>3225</v>
      </c>
      <c r="M1815" s="531">
        <v>1.0</v>
      </c>
      <c r="N1815" s="481">
        <v>46162.0</v>
      </c>
      <c r="O1815" s="531" t="s">
        <v>9011</v>
      </c>
      <c r="P1815" s="387"/>
      <c r="Q1815" s="261" t="s">
        <v>14295</v>
      </c>
      <c r="R1815" s="434" t="s">
        <v>14296</v>
      </c>
      <c r="S1815" s="367"/>
      <c r="T1815" s="276"/>
      <c r="U1815" s="276"/>
      <c r="V1815" s="276"/>
      <c r="W1815" s="276"/>
      <c r="X1815" s="276"/>
      <c r="Y1815" s="276"/>
      <c r="Z1815" s="276"/>
      <c r="AA1815" s="276"/>
      <c r="AB1815" s="276"/>
      <c r="AC1815" s="276"/>
    </row>
    <row r="1816">
      <c r="A1816" s="645">
        <v>46161.0</v>
      </c>
      <c r="B1816" s="108" t="s">
        <v>6183</v>
      </c>
      <c r="C1816" s="374">
        <v>8.0783900579E11</v>
      </c>
      <c r="D1816" s="374" t="s">
        <v>6184</v>
      </c>
      <c r="E1816" s="374" t="s">
        <v>6185</v>
      </c>
      <c r="F1816" s="177" t="s">
        <v>6186</v>
      </c>
      <c r="G1816" s="177" t="s">
        <v>3234</v>
      </c>
      <c r="H1816" s="177" t="s">
        <v>20</v>
      </c>
      <c r="I1816" s="374">
        <v>4403.0</v>
      </c>
      <c r="J1816" s="374">
        <v>3.875039877E9</v>
      </c>
      <c r="K1816" s="177" t="s">
        <v>32</v>
      </c>
      <c r="L1816" s="174" t="s">
        <v>3225</v>
      </c>
      <c r="M1816" s="531">
        <v>1.0</v>
      </c>
      <c r="N1816" s="486">
        <v>46162.0</v>
      </c>
      <c r="O1816" s="487" t="s">
        <v>9011</v>
      </c>
      <c r="P1816" s="598"/>
      <c r="Q1816" s="487" t="s">
        <v>14297</v>
      </c>
      <c r="R1816" s="623" t="s">
        <v>14298</v>
      </c>
      <c r="S1816" s="367"/>
      <c r="T1816" s="276"/>
      <c r="U1816" s="276"/>
      <c r="V1816" s="276"/>
      <c r="W1816" s="276"/>
      <c r="X1816" s="276"/>
      <c r="Y1816" s="276"/>
      <c r="Z1816" s="276"/>
      <c r="AA1816" s="276"/>
      <c r="AB1816" s="276"/>
      <c r="AC1816" s="276"/>
    </row>
    <row r="1817">
      <c r="A1817" s="645">
        <v>46161.0</v>
      </c>
      <c r="B1817" s="108" t="s">
        <v>6183</v>
      </c>
      <c r="C1817" s="374">
        <v>8.0783900579E11</v>
      </c>
      <c r="D1817" s="374" t="s">
        <v>6184</v>
      </c>
      <c r="E1817" s="374" t="s">
        <v>6185</v>
      </c>
      <c r="F1817" s="177" t="s">
        <v>6186</v>
      </c>
      <c r="G1817" s="177" t="s">
        <v>3234</v>
      </c>
      <c r="H1817" s="177" t="s">
        <v>20</v>
      </c>
      <c r="I1817" s="374">
        <v>4403.0</v>
      </c>
      <c r="J1817" s="374">
        <v>3.875039877E9</v>
      </c>
      <c r="K1817" s="177" t="s">
        <v>512</v>
      </c>
      <c r="L1817" s="174" t="s">
        <v>513</v>
      </c>
      <c r="M1817" s="531">
        <v>6.0</v>
      </c>
      <c r="N1817" s="209"/>
      <c r="O1817" s="209"/>
      <c r="P1817" s="209"/>
      <c r="Q1817" s="209"/>
      <c r="R1817" s="209"/>
      <c r="S1817" s="367"/>
      <c r="T1817" s="276"/>
      <c r="U1817" s="276"/>
      <c r="V1817" s="276"/>
      <c r="W1817" s="276"/>
      <c r="X1817" s="276"/>
      <c r="Y1817" s="276"/>
      <c r="Z1817" s="276"/>
      <c r="AA1817" s="276"/>
      <c r="AB1817" s="276"/>
      <c r="AC1817" s="276"/>
    </row>
    <row r="1818">
      <c r="A1818" s="645">
        <v>46161.0</v>
      </c>
      <c r="B1818" s="108" t="s">
        <v>6183</v>
      </c>
      <c r="C1818" s="374">
        <v>8.0783900579E11</v>
      </c>
      <c r="D1818" s="374" t="s">
        <v>6184</v>
      </c>
      <c r="E1818" s="374" t="s">
        <v>6185</v>
      </c>
      <c r="F1818" s="177" t="s">
        <v>6186</v>
      </c>
      <c r="G1818" s="177" t="s">
        <v>3234</v>
      </c>
      <c r="H1818" s="177" t="s">
        <v>20</v>
      </c>
      <c r="I1818" s="374">
        <v>4403.0</v>
      </c>
      <c r="J1818" s="374">
        <v>3.875039877E9</v>
      </c>
      <c r="K1818" s="177" t="s">
        <v>670</v>
      </c>
      <c r="L1818" s="174" t="s">
        <v>3410</v>
      </c>
      <c r="M1818" s="531">
        <v>1.0</v>
      </c>
      <c r="N1818" s="206"/>
      <c r="O1818" s="206"/>
      <c r="P1818" s="206"/>
      <c r="Q1818" s="206"/>
      <c r="R1818" s="206"/>
      <c r="S1818" s="367"/>
      <c r="T1818" s="276"/>
      <c r="U1818" s="276"/>
      <c r="V1818" s="276"/>
      <c r="W1818" s="276"/>
      <c r="X1818" s="276"/>
      <c r="Y1818" s="276"/>
      <c r="Z1818" s="276"/>
      <c r="AA1818" s="276"/>
      <c r="AB1818" s="276"/>
      <c r="AC1818" s="276"/>
    </row>
    <row r="1819">
      <c r="A1819" s="645">
        <v>46161.0</v>
      </c>
      <c r="B1819" s="108" t="s">
        <v>6188</v>
      </c>
      <c r="C1819" s="374">
        <v>8.05011575089E11</v>
      </c>
      <c r="D1819" s="374" t="s">
        <v>6189</v>
      </c>
      <c r="E1819" s="374" t="s">
        <v>6190</v>
      </c>
      <c r="F1819" s="177" t="s">
        <v>6191</v>
      </c>
      <c r="G1819" s="177" t="s">
        <v>20</v>
      </c>
      <c r="H1819" s="177" t="s">
        <v>20</v>
      </c>
      <c r="I1819" s="374">
        <v>4400.0</v>
      </c>
      <c r="J1819" s="374">
        <v>3.875144674E9</v>
      </c>
      <c r="K1819" s="177" t="s">
        <v>32</v>
      </c>
      <c r="L1819" s="174" t="s">
        <v>3225</v>
      </c>
      <c r="M1819" s="531">
        <v>1.0</v>
      </c>
      <c r="N1819" s="480">
        <v>46162.0</v>
      </c>
      <c r="O1819" s="402" t="s">
        <v>9011</v>
      </c>
      <c r="P1819" s="534"/>
      <c r="Q1819" s="430" t="s">
        <v>13339</v>
      </c>
      <c r="R1819" s="432" t="s">
        <v>14299</v>
      </c>
      <c r="S1819" s="367"/>
      <c r="T1819" s="276"/>
      <c r="U1819" s="276"/>
      <c r="V1819" s="276"/>
      <c r="W1819" s="276"/>
      <c r="X1819" s="276"/>
      <c r="Y1819" s="276"/>
      <c r="Z1819" s="276"/>
      <c r="AA1819" s="276"/>
      <c r="AB1819" s="276"/>
      <c r="AC1819" s="276"/>
    </row>
    <row r="1820">
      <c r="A1820" s="645">
        <v>46161.0</v>
      </c>
      <c r="B1820" s="108" t="s">
        <v>6188</v>
      </c>
      <c r="C1820" s="374">
        <v>8.05011575089E11</v>
      </c>
      <c r="D1820" s="374" t="s">
        <v>6189</v>
      </c>
      <c r="E1820" s="374" t="s">
        <v>6190</v>
      </c>
      <c r="F1820" s="177" t="s">
        <v>6191</v>
      </c>
      <c r="G1820" s="177" t="s">
        <v>20</v>
      </c>
      <c r="H1820" s="177" t="s">
        <v>20</v>
      </c>
      <c r="I1820" s="374">
        <v>4400.0</v>
      </c>
      <c r="J1820" s="374">
        <v>3.875144674E9</v>
      </c>
      <c r="K1820" s="177" t="s">
        <v>512</v>
      </c>
      <c r="L1820" s="174" t="s">
        <v>513</v>
      </c>
      <c r="M1820" s="531">
        <v>6.0</v>
      </c>
      <c r="N1820" s="209"/>
      <c r="O1820" s="209"/>
      <c r="P1820" s="209"/>
      <c r="Q1820" s="209"/>
      <c r="R1820" s="209"/>
      <c r="S1820" s="367"/>
      <c r="T1820" s="276"/>
      <c r="U1820" s="276"/>
      <c r="V1820" s="276"/>
      <c r="W1820" s="276"/>
      <c r="X1820" s="276"/>
      <c r="Y1820" s="276"/>
      <c r="Z1820" s="276"/>
      <c r="AA1820" s="276"/>
      <c r="AB1820" s="276"/>
      <c r="AC1820" s="276"/>
    </row>
    <row r="1821">
      <c r="A1821" s="645">
        <v>46161.0</v>
      </c>
      <c r="B1821" s="108" t="s">
        <v>6188</v>
      </c>
      <c r="C1821" s="374">
        <v>8.05011575089E11</v>
      </c>
      <c r="D1821" s="374" t="s">
        <v>6189</v>
      </c>
      <c r="E1821" s="374" t="s">
        <v>6190</v>
      </c>
      <c r="F1821" s="177" t="s">
        <v>6191</v>
      </c>
      <c r="G1821" s="177" t="s">
        <v>20</v>
      </c>
      <c r="H1821" s="177" t="s">
        <v>20</v>
      </c>
      <c r="I1821" s="374">
        <v>4400.0</v>
      </c>
      <c r="J1821" s="374">
        <v>3.875144674E9</v>
      </c>
      <c r="K1821" s="177" t="s">
        <v>670</v>
      </c>
      <c r="L1821" s="174" t="s">
        <v>3410</v>
      </c>
      <c r="M1821" s="531">
        <v>1.0</v>
      </c>
      <c r="N1821" s="206"/>
      <c r="O1821" s="206"/>
      <c r="P1821" s="206"/>
      <c r="Q1821" s="206"/>
      <c r="R1821" s="206"/>
      <c r="S1821" s="367"/>
      <c r="T1821" s="276"/>
      <c r="U1821" s="276"/>
      <c r="V1821" s="276"/>
      <c r="W1821" s="276"/>
      <c r="X1821" s="276"/>
      <c r="Y1821" s="276"/>
      <c r="Z1821" s="276"/>
      <c r="AA1821" s="276"/>
      <c r="AB1821" s="276"/>
      <c r="AC1821" s="276"/>
    </row>
    <row r="1822">
      <c r="A1822" s="645">
        <v>46161.0</v>
      </c>
      <c r="B1822" s="108" t="s">
        <v>6193</v>
      </c>
      <c r="C1822" s="374">
        <v>8.07839005939E11</v>
      </c>
      <c r="D1822" s="374" t="s">
        <v>6194</v>
      </c>
      <c r="E1822" s="374" t="s">
        <v>6195</v>
      </c>
      <c r="F1822" s="177" t="s">
        <v>6196</v>
      </c>
      <c r="G1822" s="177" t="s">
        <v>41</v>
      </c>
      <c r="H1822" s="177" t="s">
        <v>20</v>
      </c>
      <c r="I1822" s="374">
        <v>5460.0</v>
      </c>
      <c r="J1822" s="374">
        <v>3.873653792E9</v>
      </c>
      <c r="K1822" s="177" t="s">
        <v>32</v>
      </c>
      <c r="L1822" s="174" t="s">
        <v>3225</v>
      </c>
      <c r="M1822" s="531">
        <v>1.0</v>
      </c>
      <c r="N1822" s="480">
        <v>46165.0</v>
      </c>
      <c r="O1822" s="402" t="s">
        <v>9011</v>
      </c>
      <c r="P1822" s="534"/>
      <c r="Q1822" s="430" t="s">
        <v>13339</v>
      </c>
      <c r="R1822" s="432" t="s">
        <v>14300</v>
      </c>
      <c r="S1822" s="367"/>
      <c r="T1822" s="276"/>
      <c r="U1822" s="276"/>
      <c r="V1822" s="276"/>
      <c r="W1822" s="276"/>
      <c r="X1822" s="276"/>
      <c r="Y1822" s="276"/>
      <c r="Z1822" s="276"/>
      <c r="AA1822" s="276"/>
      <c r="AB1822" s="276"/>
      <c r="AC1822" s="276"/>
    </row>
    <row r="1823">
      <c r="A1823" s="645">
        <v>46161.0</v>
      </c>
      <c r="B1823" s="108" t="s">
        <v>6193</v>
      </c>
      <c r="C1823" s="374">
        <v>8.07839005939E11</v>
      </c>
      <c r="D1823" s="374" t="s">
        <v>6194</v>
      </c>
      <c r="E1823" s="374" t="s">
        <v>6195</v>
      </c>
      <c r="F1823" s="177" t="s">
        <v>6196</v>
      </c>
      <c r="G1823" s="177" t="s">
        <v>41</v>
      </c>
      <c r="H1823" s="177" t="s">
        <v>20</v>
      </c>
      <c r="I1823" s="374">
        <v>5460.0</v>
      </c>
      <c r="J1823" s="374">
        <v>3.873653792E9</v>
      </c>
      <c r="K1823" s="177" t="s">
        <v>512</v>
      </c>
      <c r="L1823" s="174" t="s">
        <v>513</v>
      </c>
      <c r="M1823" s="531">
        <v>6.0</v>
      </c>
      <c r="N1823" s="209"/>
      <c r="O1823" s="209"/>
      <c r="P1823" s="209"/>
      <c r="Q1823" s="209"/>
      <c r="R1823" s="209"/>
      <c r="S1823" s="367"/>
      <c r="T1823" s="276"/>
      <c r="U1823" s="276"/>
      <c r="V1823" s="276"/>
      <c r="W1823" s="276"/>
      <c r="X1823" s="276"/>
      <c r="Y1823" s="276"/>
      <c r="Z1823" s="276"/>
      <c r="AA1823" s="276"/>
      <c r="AB1823" s="276"/>
      <c r="AC1823" s="276"/>
    </row>
    <row r="1824">
      <c r="A1824" s="645">
        <v>46161.0</v>
      </c>
      <c r="B1824" s="108" t="s">
        <v>6193</v>
      </c>
      <c r="C1824" s="374">
        <v>8.07839005939E11</v>
      </c>
      <c r="D1824" s="374" t="s">
        <v>6194</v>
      </c>
      <c r="E1824" s="374" t="s">
        <v>6195</v>
      </c>
      <c r="F1824" s="177" t="s">
        <v>6196</v>
      </c>
      <c r="G1824" s="177" t="s">
        <v>41</v>
      </c>
      <c r="H1824" s="177" t="s">
        <v>20</v>
      </c>
      <c r="I1824" s="374">
        <v>5460.0</v>
      </c>
      <c r="J1824" s="374">
        <v>3.873653792E9</v>
      </c>
      <c r="K1824" s="177" t="s">
        <v>670</v>
      </c>
      <c r="L1824" s="174" t="s">
        <v>3410</v>
      </c>
      <c r="M1824" s="531">
        <v>1.0</v>
      </c>
      <c r="N1824" s="206"/>
      <c r="O1824" s="206"/>
      <c r="P1824" s="206"/>
      <c r="Q1824" s="206"/>
      <c r="R1824" s="206"/>
      <c r="S1824" s="367"/>
      <c r="T1824" s="276"/>
      <c r="U1824" s="276"/>
      <c r="V1824" s="276"/>
      <c r="W1824" s="276"/>
      <c r="X1824" s="276"/>
      <c r="Y1824" s="276"/>
      <c r="Z1824" s="276"/>
      <c r="AA1824" s="276"/>
      <c r="AB1824" s="276"/>
      <c r="AC1824" s="276"/>
    </row>
    <row r="1825">
      <c r="A1825" s="645">
        <v>46161.0</v>
      </c>
      <c r="B1825" s="108" t="s">
        <v>6197</v>
      </c>
      <c r="C1825" s="374">
        <v>8.07839005958E11</v>
      </c>
      <c r="D1825" s="374" t="s">
        <v>6198</v>
      </c>
      <c r="E1825" s="374" t="s">
        <v>6199</v>
      </c>
      <c r="F1825" s="177" t="s">
        <v>6200</v>
      </c>
      <c r="G1825" s="177" t="s">
        <v>6201</v>
      </c>
      <c r="H1825" s="177" t="s">
        <v>20</v>
      </c>
      <c r="I1825" s="374">
        <v>4425.0</v>
      </c>
      <c r="J1825" s="374">
        <v>3.875173107E9</v>
      </c>
      <c r="K1825" s="177" t="s">
        <v>617</v>
      </c>
      <c r="L1825" s="174" t="s">
        <v>3867</v>
      </c>
      <c r="M1825" s="531">
        <v>1.0</v>
      </c>
      <c r="N1825" s="486">
        <v>46162.0</v>
      </c>
      <c r="O1825" s="487" t="s">
        <v>9011</v>
      </c>
      <c r="P1825" s="598"/>
      <c r="Q1825" s="487" t="s">
        <v>14184</v>
      </c>
      <c r="R1825" s="623" t="s">
        <v>14301</v>
      </c>
      <c r="S1825" s="367"/>
      <c r="T1825" s="276"/>
      <c r="U1825" s="276"/>
      <c r="V1825" s="276"/>
      <c r="W1825" s="276"/>
      <c r="X1825" s="276"/>
      <c r="Y1825" s="276"/>
      <c r="Z1825" s="276"/>
      <c r="AA1825" s="276"/>
      <c r="AB1825" s="276"/>
      <c r="AC1825" s="276"/>
    </row>
    <row r="1826">
      <c r="A1826" s="645">
        <v>46161.0</v>
      </c>
      <c r="B1826" s="108" t="s">
        <v>6197</v>
      </c>
      <c r="C1826" s="374">
        <v>8.07839005958E11</v>
      </c>
      <c r="D1826" s="374" t="s">
        <v>6198</v>
      </c>
      <c r="E1826" s="374" t="s">
        <v>6199</v>
      </c>
      <c r="F1826" s="177" t="s">
        <v>6200</v>
      </c>
      <c r="G1826" s="177" t="s">
        <v>6201</v>
      </c>
      <c r="H1826" s="177" t="s">
        <v>20</v>
      </c>
      <c r="I1826" s="374">
        <v>4425.0</v>
      </c>
      <c r="J1826" s="374">
        <v>3.875173107E9</v>
      </c>
      <c r="K1826" s="177" t="s">
        <v>512</v>
      </c>
      <c r="L1826" s="174" t="s">
        <v>513</v>
      </c>
      <c r="M1826" s="531">
        <v>12.0</v>
      </c>
      <c r="N1826" s="209"/>
      <c r="O1826" s="209"/>
      <c r="P1826" s="209"/>
      <c r="Q1826" s="209"/>
      <c r="R1826" s="209"/>
      <c r="S1826" s="367"/>
      <c r="T1826" s="276"/>
      <c r="U1826" s="276"/>
      <c r="V1826" s="276"/>
      <c r="W1826" s="276"/>
      <c r="X1826" s="276"/>
      <c r="Y1826" s="276"/>
      <c r="Z1826" s="276"/>
      <c r="AA1826" s="276"/>
      <c r="AB1826" s="276"/>
      <c r="AC1826" s="276"/>
    </row>
    <row r="1827">
      <c r="A1827" s="645">
        <v>46161.0</v>
      </c>
      <c r="B1827" s="108" t="s">
        <v>6197</v>
      </c>
      <c r="C1827" s="374">
        <v>8.07839005958E11</v>
      </c>
      <c r="D1827" s="374" t="s">
        <v>6198</v>
      </c>
      <c r="E1827" s="374" t="s">
        <v>6199</v>
      </c>
      <c r="F1827" s="177" t="s">
        <v>6200</v>
      </c>
      <c r="G1827" s="177" t="s">
        <v>6201</v>
      </c>
      <c r="H1827" s="177" t="s">
        <v>20</v>
      </c>
      <c r="I1827" s="374">
        <v>4425.0</v>
      </c>
      <c r="J1827" s="374">
        <v>3.875173107E9</v>
      </c>
      <c r="K1827" s="177" t="s">
        <v>233</v>
      </c>
      <c r="L1827" s="174" t="s">
        <v>3459</v>
      </c>
      <c r="M1827" s="531">
        <v>2.0</v>
      </c>
      <c r="N1827" s="206"/>
      <c r="O1827" s="206"/>
      <c r="P1827" s="206"/>
      <c r="Q1827" s="206"/>
      <c r="R1827" s="206"/>
      <c r="S1827" s="367"/>
      <c r="T1827" s="276"/>
      <c r="U1827" s="276"/>
      <c r="V1827" s="276"/>
      <c r="W1827" s="276"/>
      <c r="X1827" s="276"/>
      <c r="Y1827" s="276"/>
      <c r="Z1827" s="276"/>
      <c r="AA1827" s="276"/>
      <c r="AB1827" s="276"/>
      <c r="AC1827" s="276"/>
    </row>
    <row r="1828">
      <c r="A1828" s="645">
        <v>46161.0</v>
      </c>
      <c r="B1828" s="108" t="s">
        <v>6203</v>
      </c>
      <c r="C1828" s="374">
        <v>8.07839006052E11</v>
      </c>
      <c r="D1828" s="374" t="s">
        <v>6204</v>
      </c>
      <c r="E1828" s="374" t="s">
        <v>6205</v>
      </c>
      <c r="F1828" s="177" t="s">
        <v>6206</v>
      </c>
      <c r="G1828" s="177" t="s">
        <v>3786</v>
      </c>
      <c r="H1828" s="177" t="s">
        <v>20</v>
      </c>
      <c r="I1828" s="374">
        <v>4533.0</v>
      </c>
      <c r="J1828" s="374">
        <v>3.878637674E9</v>
      </c>
      <c r="K1828" s="177" t="s">
        <v>32</v>
      </c>
      <c r="L1828" s="174" t="s">
        <v>3225</v>
      </c>
      <c r="M1828" s="531">
        <v>1.0</v>
      </c>
      <c r="N1828" s="480">
        <v>46164.0</v>
      </c>
      <c r="O1828" s="402" t="s">
        <v>9011</v>
      </c>
      <c r="P1828" s="534"/>
      <c r="Q1828" s="430" t="s">
        <v>9012</v>
      </c>
      <c r="R1828" s="432" t="s">
        <v>14302</v>
      </c>
      <c r="S1828" s="367"/>
      <c r="T1828" s="276"/>
      <c r="U1828" s="276"/>
      <c r="V1828" s="276"/>
      <c r="W1828" s="276"/>
      <c r="X1828" s="276"/>
      <c r="Y1828" s="276"/>
      <c r="Z1828" s="276"/>
      <c r="AA1828" s="276"/>
      <c r="AB1828" s="276"/>
      <c r="AC1828" s="276"/>
    </row>
    <row r="1829">
      <c r="A1829" s="645">
        <v>46161.0</v>
      </c>
      <c r="B1829" s="108" t="s">
        <v>6203</v>
      </c>
      <c r="C1829" s="374">
        <v>8.07839006052E11</v>
      </c>
      <c r="D1829" s="374" t="s">
        <v>6204</v>
      </c>
      <c r="E1829" s="374" t="s">
        <v>6205</v>
      </c>
      <c r="F1829" s="177" t="s">
        <v>6206</v>
      </c>
      <c r="G1829" s="177" t="s">
        <v>3786</v>
      </c>
      <c r="H1829" s="177" t="s">
        <v>20</v>
      </c>
      <c r="I1829" s="374">
        <v>4533.0</v>
      </c>
      <c r="J1829" s="374">
        <v>3.878637674E9</v>
      </c>
      <c r="K1829" s="177" t="s">
        <v>512</v>
      </c>
      <c r="L1829" s="174" t="s">
        <v>513</v>
      </c>
      <c r="M1829" s="531">
        <v>6.0</v>
      </c>
      <c r="N1829" s="209"/>
      <c r="O1829" s="209"/>
      <c r="P1829" s="209"/>
      <c r="Q1829" s="209"/>
      <c r="R1829" s="209"/>
      <c r="S1829" s="367"/>
      <c r="T1829" s="276"/>
      <c r="U1829" s="276"/>
      <c r="V1829" s="276"/>
      <c r="W1829" s="276"/>
      <c r="X1829" s="276"/>
      <c r="Y1829" s="276"/>
      <c r="Z1829" s="276"/>
      <c r="AA1829" s="276"/>
      <c r="AB1829" s="276"/>
      <c r="AC1829" s="276"/>
    </row>
    <row r="1830">
      <c r="A1830" s="645">
        <v>46161.0</v>
      </c>
      <c r="B1830" s="108" t="s">
        <v>6203</v>
      </c>
      <c r="C1830" s="374">
        <v>8.07839006052E11</v>
      </c>
      <c r="D1830" s="374" t="s">
        <v>6204</v>
      </c>
      <c r="E1830" s="374" t="s">
        <v>6205</v>
      </c>
      <c r="F1830" s="177" t="s">
        <v>6206</v>
      </c>
      <c r="G1830" s="177" t="s">
        <v>3786</v>
      </c>
      <c r="H1830" s="177" t="s">
        <v>20</v>
      </c>
      <c r="I1830" s="374">
        <v>4533.0</v>
      </c>
      <c r="J1830" s="374">
        <v>3.878637674E9</v>
      </c>
      <c r="K1830" s="177" t="s">
        <v>670</v>
      </c>
      <c r="L1830" s="174" t="s">
        <v>3410</v>
      </c>
      <c r="M1830" s="531">
        <v>1.0</v>
      </c>
      <c r="N1830" s="206"/>
      <c r="O1830" s="206"/>
      <c r="P1830" s="206"/>
      <c r="Q1830" s="206"/>
      <c r="R1830" s="206"/>
      <c r="S1830" s="367"/>
      <c r="T1830" s="276"/>
      <c r="U1830" s="276"/>
      <c r="V1830" s="276"/>
      <c r="W1830" s="276"/>
      <c r="X1830" s="276"/>
      <c r="Y1830" s="276"/>
      <c r="Z1830" s="276"/>
      <c r="AA1830" s="276"/>
      <c r="AB1830" s="276"/>
      <c r="AC1830" s="276"/>
    </row>
    <row r="1831">
      <c r="A1831" s="645">
        <v>46161.0</v>
      </c>
      <c r="B1831" s="108" t="s">
        <v>6208</v>
      </c>
      <c r="C1831" s="374">
        <v>8.05011575501E11</v>
      </c>
      <c r="D1831" s="374" t="s">
        <v>6209</v>
      </c>
      <c r="E1831" s="374" t="s">
        <v>6210</v>
      </c>
      <c r="F1831" s="177" t="s">
        <v>6211</v>
      </c>
      <c r="G1831" s="177" t="s">
        <v>20</v>
      </c>
      <c r="H1831" s="177" t="s">
        <v>20</v>
      </c>
      <c r="I1831" s="374">
        <v>4400.0</v>
      </c>
      <c r="J1831" s="374">
        <v>3.874067194E9</v>
      </c>
      <c r="K1831" s="177" t="s">
        <v>32</v>
      </c>
      <c r="L1831" s="174" t="s">
        <v>3225</v>
      </c>
      <c r="M1831" s="531">
        <v>1.0</v>
      </c>
      <c r="N1831" s="480">
        <v>46162.0</v>
      </c>
      <c r="O1831" s="402" t="s">
        <v>9011</v>
      </c>
      <c r="P1831" s="534"/>
      <c r="Q1831" s="430" t="s">
        <v>13339</v>
      </c>
      <c r="R1831" s="432" t="s">
        <v>14303</v>
      </c>
      <c r="S1831" s="367"/>
      <c r="T1831" s="276"/>
      <c r="U1831" s="276"/>
      <c r="V1831" s="276"/>
      <c r="W1831" s="276"/>
      <c r="X1831" s="276"/>
      <c r="Y1831" s="276"/>
      <c r="Z1831" s="276"/>
      <c r="AA1831" s="276"/>
      <c r="AB1831" s="276"/>
      <c r="AC1831" s="276"/>
    </row>
    <row r="1832">
      <c r="A1832" s="645">
        <v>46161.0</v>
      </c>
      <c r="B1832" s="108" t="s">
        <v>6208</v>
      </c>
      <c r="C1832" s="374">
        <v>8.05011575501E11</v>
      </c>
      <c r="D1832" s="374" t="s">
        <v>6209</v>
      </c>
      <c r="E1832" s="374" t="s">
        <v>6210</v>
      </c>
      <c r="F1832" s="177" t="s">
        <v>6211</v>
      </c>
      <c r="G1832" s="177" t="s">
        <v>20</v>
      </c>
      <c r="H1832" s="177" t="s">
        <v>20</v>
      </c>
      <c r="I1832" s="374">
        <v>4400.0</v>
      </c>
      <c r="J1832" s="374">
        <v>3.874067194E9</v>
      </c>
      <c r="K1832" s="177" t="s">
        <v>512</v>
      </c>
      <c r="L1832" s="174" t="s">
        <v>513</v>
      </c>
      <c r="M1832" s="531">
        <v>6.0</v>
      </c>
      <c r="N1832" s="209"/>
      <c r="O1832" s="209"/>
      <c r="P1832" s="209"/>
      <c r="Q1832" s="209"/>
      <c r="R1832" s="209"/>
      <c r="S1832" s="367"/>
      <c r="T1832" s="276"/>
      <c r="U1832" s="276"/>
      <c r="V1832" s="276"/>
      <c r="W1832" s="276"/>
      <c r="X1832" s="276"/>
      <c r="Y1832" s="276"/>
      <c r="Z1832" s="276"/>
      <c r="AA1832" s="276"/>
      <c r="AB1832" s="276"/>
      <c r="AC1832" s="276"/>
    </row>
    <row r="1833">
      <c r="A1833" s="645">
        <v>46161.0</v>
      </c>
      <c r="B1833" s="108" t="s">
        <v>6208</v>
      </c>
      <c r="C1833" s="374">
        <v>8.05011575501E11</v>
      </c>
      <c r="D1833" s="374" t="s">
        <v>6209</v>
      </c>
      <c r="E1833" s="374" t="s">
        <v>6210</v>
      </c>
      <c r="F1833" s="177" t="s">
        <v>6211</v>
      </c>
      <c r="G1833" s="177" t="s">
        <v>20</v>
      </c>
      <c r="H1833" s="177" t="s">
        <v>20</v>
      </c>
      <c r="I1833" s="374">
        <v>4400.0</v>
      </c>
      <c r="J1833" s="374">
        <v>3.874067194E9</v>
      </c>
      <c r="K1833" s="177" t="s">
        <v>670</v>
      </c>
      <c r="L1833" s="174" t="s">
        <v>3410</v>
      </c>
      <c r="M1833" s="531">
        <v>1.0</v>
      </c>
      <c r="N1833" s="206"/>
      <c r="O1833" s="206"/>
      <c r="P1833" s="206"/>
      <c r="Q1833" s="206"/>
      <c r="R1833" s="206"/>
      <c r="S1833" s="367"/>
      <c r="T1833" s="276"/>
      <c r="U1833" s="276"/>
      <c r="V1833" s="276"/>
      <c r="W1833" s="276"/>
      <c r="X1833" s="276"/>
      <c r="Y1833" s="276"/>
      <c r="Z1833" s="276"/>
      <c r="AA1833" s="276"/>
      <c r="AB1833" s="276"/>
      <c r="AC1833" s="276"/>
    </row>
    <row r="1834">
      <c r="A1834" s="645">
        <v>46161.0</v>
      </c>
      <c r="B1834" s="108" t="s">
        <v>6212</v>
      </c>
      <c r="C1834" s="374">
        <v>8.05011575275E11</v>
      </c>
      <c r="D1834" s="374" t="s">
        <v>6213</v>
      </c>
      <c r="E1834" s="374" t="s">
        <v>6214</v>
      </c>
      <c r="F1834" s="177" t="s">
        <v>6215</v>
      </c>
      <c r="G1834" s="177" t="s">
        <v>20</v>
      </c>
      <c r="H1834" s="177" t="s">
        <v>20</v>
      </c>
      <c r="I1834" s="374">
        <v>4400.0</v>
      </c>
      <c r="J1834" s="374">
        <v>3.875843436E9</v>
      </c>
      <c r="K1834" s="177" t="s">
        <v>6216</v>
      </c>
      <c r="L1834" s="174" t="s">
        <v>6217</v>
      </c>
      <c r="M1834" s="531">
        <v>1.0</v>
      </c>
      <c r="N1834" s="454">
        <v>46162.0</v>
      </c>
      <c r="O1834" s="467" t="s">
        <v>9011</v>
      </c>
      <c r="P1834" s="453"/>
      <c r="Q1834" s="455" t="s">
        <v>14304</v>
      </c>
      <c r="R1834" s="468" t="s">
        <v>14305</v>
      </c>
      <c r="S1834" s="367"/>
      <c r="T1834" s="276"/>
      <c r="U1834" s="276"/>
      <c r="V1834" s="276"/>
      <c r="W1834" s="276"/>
      <c r="X1834" s="276"/>
      <c r="Y1834" s="276"/>
      <c r="Z1834" s="276"/>
      <c r="AA1834" s="276"/>
      <c r="AB1834" s="276"/>
      <c r="AC1834" s="276"/>
    </row>
    <row r="1835">
      <c r="A1835" s="645">
        <v>46161.0</v>
      </c>
      <c r="B1835" s="108" t="s">
        <v>6218</v>
      </c>
      <c r="C1835" s="374">
        <v>8.05011575534E11</v>
      </c>
      <c r="D1835" s="374" t="s">
        <v>6219</v>
      </c>
      <c r="E1835" s="374" t="s">
        <v>6220</v>
      </c>
      <c r="F1835" s="177" t="s">
        <v>6221</v>
      </c>
      <c r="G1835" s="177" t="s">
        <v>20</v>
      </c>
      <c r="H1835" s="177" t="s">
        <v>20</v>
      </c>
      <c r="I1835" s="374">
        <v>4400.0</v>
      </c>
      <c r="J1835" s="374">
        <v>3.875370328E9</v>
      </c>
      <c r="K1835" s="177" t="s">
        <v>32</v>
      </c>
      <c r="L1835" s="174" t="s">
        <v>3225</v>
      </c>
      <c r="M1835" s="531">
        <v>1.0</v>
      </c>
      <c r="N1835" s="480">
        <v>46162.0</v>
      </c>
      <c r="O1835" s="402" t="s">
        <v>9011</v>
      </c>
      <c r="P1835" s="534"/>
      <c r="Q1835" s="430" t="s">
        <v>14306</v>
      </c>
      <c r="R1835" s="432" t="s">
        <v>14307</v>
      </c>
      <c r="S1835" s="367"/>
      <c r="T1835" s="276"/>
      <c r="U1835" s="276"/>
      <c r="V1835" s="276"/>
      <c r="W1835" s="276"/>
      <c r="X1835" s="276"/>
      <c r="Y1835" s="276"/>
      <c r="Z1835" s="276"/>
      <c r="AA1835" s="276"/>
      <c r="AB1835" s="276"/>
      <c r="AC1835" s="276"/>
    </row>
    <row r="1836">
      <c r="A1836" s="645">
        <v>46161.0</v>
      </c>
      <c r="B1836" s="108" t="s">
        <v>6218</v>
      </c>
      <c r="C1836" s="374">
        <v>8.05011575534E11</v>
      </c>
      <c r="D1836" s="374" t="s">
        <v>6219</v>
      </c>
      <c r="E1836" s="374" t="s">
        <v>6220</v>
      </c>
      <c r="F1836" s="177" t="s">
        <v>6221</v>
      </c>
      <c r="G1836" s="177" t="s">
        <v>20</v>
      </c>
      <c r="H1836" s="177" t="s">
        <v>20</v>
      </c>
      <c r="I1836" s="374">
        <v>4400.0</v>
      </c>
      <c r="J1836" s="374">
        <v>3.875370328E9</v>
      </c>
      <c r="K1836" s="177" t="s">
        <v>512</v>
      </c>
      <c r="L1836" s="174" t="s">
        <v>513</v>
      </c>
      <c r="M1836" s="531">
        <v>6.0</v>
      </c>
      <c r="N1836" s="209"/>
      <c r="O1836" s="209"/>
      <c r="P1836" s="209"/>
      <c r="Q1836" s="209"/>
      <c r="R1836" s="209"/>
      <c r="S1836" s="367"/>
      <c r="T1836" s="276"/>
      <c r="U1836" s="276"/>
      <c r="V1836" s="276"/>
      <c r="W1836" s="276"/>
      <c r="X1836" s="276"/>
      <c r="Y1836" s="276"/>
      <c r="Z1836" s="276"/>
      <c r="AA1836" s="276"/>
      <c r="AB1836" s="276"/>
      <c r="AC1836" s="276"/>
    </row>
    <row r="1837">
      <c r="A1837" s="645">
        <v>46161.0</v>
      </c>
      <c r="B1837" s="108" t="s">
        <v>6218</v>
      </c>
      <c r="C1837" s="374">
        <v>8.05011575534E11</v>
      </c>
      <c r="D1837" s="374" t="s">
        <v>6219</v>
      </c>
      <c r="E1837" s="374" t="s">
        <v>6220</v>
      </c>
      <c r="F1837" s="177" t="s">
        <v>6221</v>
      </c>
      <c r="G1837" s="177" t="s">
        <v>20</v>
      </c>
      <c r="H1837" s="177" t="s">
        <v>20</v>
      </c>
      <c r="I1837" s="374">
        <v>4400.0</v>
      </c>
      <c r="J1837" s="374">
        <v>3.875370328E9</v>
      </c>
      <c r="K1837" s="177" t="s">
        <v>670</v>
      </c>
      <c r="L1837" s="174" t="s">
        <v>3410</v>
      </c>
      <c r="M1837" s="531">
        <v>1.0</v>
      </c>
      <c r="N1837" s="206"/>
      <c r="O1837" s="206"/>
      <c r="P1837" s="206"/>
      <c r="Q1837" s="206"/>
      <c r="R1837" s="206"/>
      <c r="S1837" s="367"/>
      <c r="T1837" s="276"/>
      <c r="U1837" s="276"/>
      <c r="V1837" s="276"/>
      <c r="W1837" s="276"/>
      <c r="X1837" s="276"/>
      <c r="Y1837" s="276"/>
      <c r="Z1837" s="276"/>
      <c r="AA1837" s="276"/>
      <c r="AB1837" s="276"/>
      <c r="AC1837" s="276"/>
    </row>
    <row r="1838">
      <c r="A1838" s="645">
        <v>46161.0</v>
      </c>
      <c r="B1838" s="108" t="s">
        <v>6223</v>
      </c>
      <c r="C1838" s="374">
        <v>8.07940000748E11</v>
      </c>
      <c r="D1838" s="374" t="s">
        <v>6102</v>
      </c>
      <c r="E1838" s="374" t="s">
        <v>6103</v>
      </c>
      <c r="F1838" s="177" t="s">
        <v>6104</v>
      </c>
      <c r="G1838" s="177" t="s">
        <v>20</v>
      </c>
      <c r="H1838" s="177" t="s">
        <v>20</v>
      </c>
      <c r="I1838" s="374" t="s">
        <v>4086</v>
      </c>
      <c r="J1838" s="374">
        <v>3.87529834E9</v>
      </c>
      <c r="K1838" s="177" t="s">
        <v>6105</v>
      </c>
      <c r="L1838" s="174" t="s">
        <v>6106</v>
      </c>
      <c r="M1838" s="531">
        <v>1.0</v>
      </c>
      <c r="N1838" s="480">
        <v>46162.0</v>
      </c>
      <c r="O1838" s="402" t="s">
        <v>9011</v>
      </c>
      <c r="P1838" s="534"/>
      <c r="Q1838" s="430" t="s">
        <v>13339</v>
      </c>
      <c r="R1838" s="432" t="s">
        <v>14308</v>
      </c>
      <c r="S1838" s="431"/>
      <c r="T1838" s="276"/>
      <c r="U1838" s="276"/>
      <c r="V1838" s="276"/>
      <c r="W1838" s="276"/>
      <c r="X1838" s="276"/>
      <c r="Y1838" s="276"/>
      <c r="Z1838" s="276"/>
      <c r="AA1838" s="276"/>
      <c r="AB1838" s="276"/>
      <c r="AC1838" s="276"/>
    </row>
    <row r="1839">
      <c r="A1839" s="645">
        <v>46161.0</v>
      </c>
      <c r="B1839" s="108" t="s">
        <v>6223</v>
      </c>
      <c r="C1839" s="374">
        <v>8.07940000748E11</v>
      </c>
      <c r="D1839" s="374" t="s">
        <v>6102</v>
      </c>
      <c r="E1839" s="374" t="s">
        <v>6103</v>
      </c>
      <c r="F1839" s="177" t="s">
        <v>6104</v>
      </c>
      <c r="G1839" s="177" t="s">
        <v>20</v>
      </c>
      <c r="H1839" s="177" t="s">
        <v>20</v>
      </c>
      <c r="I1839" s="374" t="s">
        <v>4086</v>
      </c>
      <c r="J1839" s="374">
        <v>3.87529834E9</v>
      </c>
      <c r="K1839" s="177" t="s">
        <v>512</v>
      </c>
      <c r="L1839" s="174" t="s">
        <v>513</v>
      </c>
      <c r="M1839" s="531">
        <v>12.0</v>
      </c>
      <c r="N1839" s="209"/>
      <c r="O1839" s="209"/>
      <c r="P1839" s="209"/>
      <c r="Q1839" s="209"/>
      <c r="R1839" s="209"/>
      <c r="S1839" s="209"/>
      <c r="T1839" s="276"/>
      <c r="U1839" s="276"/>
      <c r="V1839" s="276"/>
      <c r="W1839" s="276"/>
      <c r="X1839" s="276"/>
      <c r="Y1839" s="276"/>
      <c r="Z1839" s="276"/>
      <c r="AA1839" s="276"/>
      <c r="AB1839" s="276"/>
      <c r="AC1839" s="276"/>
    </row>
    <row r="1840">
      <c r="A1840" s="645">
        <v>46161.0</v>
      </c>
      <c r="B1840" s="108" t="s">
        <v>6223</v>
      </c>
      <c r="C1840" s="374">
        <v>8.07940000748E11</v>
      </c>
      <c r="D1840" s="374" t="s">
        <v>6102</v>
      </c>
      <c r="E1840" s="374" t="s">
        <v>6103</v>
      </c>
      <c r="F1840" s="177" t="s">
        <v>6104</v>
      </c>
      <c r="G1840" s="177" t="s">
        <v>20</v>
      </c>
      <c r="H1840" s="177" t="s">
        <v>20</v>
      </c>
      <c r="I1840" s="374" t="s">
        <v>4086</v>
      </c>
      <c r="J1840" s="374">
        <v>3.87529834E9</v>
      </c>
      <c r="K1840" s="177" t="s">
        <v>758</v>
      </c>
      <c r="L1840" s="174" t="s">
        <v>3574</v>
      </c>
      <c r="M1840" s="531">
        <v>2.0</v>
      </c>
      <c r="N1840" s="206"/>
      <c r="O1840" s="206"/>
      <c r="P1840" s="206"/>
      <c r="Q1840" s="206"/>
      <c r="R1840" s="206"/>
      <c r="S1840" s="206"/>
      <c r="T1840" s="276"/>
      <c r="U1840" s="276"/>
      <c r="V1840" s="276"/>
      <c r="W1840" s="276"/>
      <c r="X1840" s="276"/>
      <c r="Y1840" s="276"/>
      <c r="Z1840" s="276"/>
      <c r="AA1840" s="276"/>
      <c r="AB1840" s="276"/>
      <c r="AC1840" s="276"/>
    </row>
    <row r="1841">
      <c r="A1841" s="645">
        <v>46161.0</v>
      </c>
      <c r="B1841" s="108" t="s">
        <v>6224</v>
      </c>
      <c r="C1841" s="374">
        <v>8.05011575955E11</v>
      </c>
      <c r="D1841" s="374" t="s">
        <v>6225</v>
      </c>
      <c r="E1841" s="374" t="s">
        <v>6226</v>
      </c>
      <c r="F1841" s="177" t="s">
        <v>6227</v>
      </c>
      <c r="G1841" s="177" t="s">
        <v>104</v>
      </c>
      <c r="H1841" s="177" t="s">
        <v>20</v>
      </c>
      <c r="I1841" s="374">
        <v>4400.0</v>
      </c>
      <c r="J1841" s="374">
        <v>3.875726465E9</v>
      </c>
      <c r="K1841" s="177" t="s">
        <v>32</v>
      </c>
      <c r="L1841" s="174" t="s">
        <v>3225</v>
      </c>
      <c r="M1841" s="531">
        <v>1.0</v>
      </c>
      <c r="N1841" s="480">
        <v>46165.0</v>
      </c>
      <c r="O1841" s="402" t="s">
        <v>9011</v>
      </c>
      <c r="P1841" s="534"/>
      <c r="Q1841" s="430" t="s">
        <v>13339</v>
      </c>
      <c r="R1841" s="432" t="s">
        <v>14309</v>
      </c>
      <c r="S1841" s="367"/>
      <c r="T1841" s="276"/>
      <c r="U1841" s="276"/>
      <c r="V1841" s="276"/>
      <c r="W1841" s="276"/>
      <c r="X1841" s="276"/>
      <c r="Y1841" s="276"/>
      <c r="Z1841" s="276"/>
      <c r="AA1841" s="276"/>
      <c r="AB1841" s="276"/>
      <c r="AC1841" s="276"/>
    </row>
    <row r="1842">
      <c r="A1842" s="645">
        <v>46161.0</v>
      </c>
      <c r="B1842" s="108" t="s">
        <v>6224</v>
      </c>
      <c r="C1842" s="374">
        <v>8.05011575955E11</v>
      </c>
      <c r="D1842" s="374" t="s">
        <v>6225</v>
      </c>
      <c r="E1842" s="374" t="s">
        <v>6226</v>
      </c>
      <c r="F1842" s="177" t="s">
        <v>6227</v>
      </c>
      <c r="G1842" s="177" t="s">
        <v>104</v>
      </c>
      <c r="H1842" s="177" t="s">
        <v>20</v>
      </c>
      <c r="I1842" s="374">
        <v>4400.0</v>
      </c>
      <c r="J1842" s="374">
        <v>3.875726465E9</v>
      </c>
      <c r="K1842" s="177" t="s">
        <v>512</v>
      </c>
      <c r="L1842" s="174" t="s">
        <v>513</v>
      </c>
      <c r="M1842" s="531">
        <v>6.0</v>
      </c>
      <c r="N1842" s="209"/>
      <c r="O1842" s="209"/>
      <c r="P1842" s="209"/>
      <c r="Q1842" s="209"/>
      <c r="R1842" s="209"/>
      <c r="S1842" s="367"/>
      <c r="T1842" s="276"/>
      <c r="U1842" s="276"/>
      <c r="V1842" s="276"/>
      <c r="W1842" s="276"/>
      <c r="X1842" s="276"/>
      <c r="Y1842" s="276"/>
      <c r="Z1842" s="276"/>
      <c r="AA1842" s="276"/>
      <c r="AB1842" s="276"/>
      <c r="AC1842" s="276"/>
    </row>
    <row r="1843">
      <c r="A1843" s="645">
        <v>46161.0</v>
      </c>
      <c r="B1843" s="108" t="s">
        <v>6224</v>
      </c>
      <c r="C1843" s="374">
        <v>8.05011575955E11</v>
      </c>
      <c r="D1843" s="374" t="s">
        <v>6225</v>
      </c>
      <c r="E1843" s="374" t="s">
        <v>6226</v>
      </c>
      <c r="F1843" s="177" t="s">
        <v>6227</v>
      </c>
      <c r="G1843" s="177" t="s">
        <v>104</v>
      </c>
      <c r="H1843" s="177" t="s">
        <v>20</v>
      </c>
      <c r="I1843" s="374">
        <v>4400.0</v>
      </c>
      <c r="J1843" s="374">
        <v>3.875726465E9</v>
      </c>
      <c r="K1843" s="177" t="s">
        <v>670</v>
      </c>
      <c r="L1843" s="174" t="s">
        <v>3410</v>
      </c>
      <c r="M1843" s="531">
        <v>1.0</v>
      </c>
      <c r="N1843" s="206"/>
      <c r="O1843" s="206"/>
      <c r="P1843" s="206"/>
      <c r="Q1843" s="206"/>
      <c r="R1843" s="206"/>
      <c r="S1843" s="367"/>
      <c r="T1843" s="276"/>
      <c r="U1843" s="276"/>
      <c r="V1843" s="276"/>
      <c r="W1843" s="276"/>
      <c r="X1843" s="276"/>
      <c r="Y1843" s="276"/>
      <c r="Z1843" s="276"/>
      <c r="AA1843" s="276"/>
      <c r="AB1843" s="276"/>
      <c r="AC1843" s="276"/>
    </row>
    <row r="1844">
      <c r="A1844" s="645">
        <v>46161.0</v>
      </c>
      <c r="B1844" s="108" t="s">
        <v>6229</v>
      </c>
      <c r="C1844" s="374">
        <v>8.0501157621E11</v>
      </c>
      <c r="D1844" s="374" t="s">
        <v>6230</v>
      </c>
      <c r="E1844" s="374" t="s">
        <v>6231</v>
      </c>
      <c r="F1844" s="177" t="s">
        <v>6232</v>
      </c>
      <c r="G1844" s="177" t="s">
        <v>20</v>
      </c>
      <c r="H1844" s="177" t="s">
        <v>20</v>
      </c>
      <c r="I1844" s="374">
        <v>4400.0</v>
      </c>
      <c r="J1844" s="374">
        <v>3.875893913E9</v>
      </c>
      <c r="K1844" s="177" t="s">
        <v>32</v>
      </c>
      <c r="L1844" s="174" t="s">
        <v>3225</v>
      </c>
      <c r="M1844" s="531">
        <v>1.0</v>
      </c>
      <c r="N1844" s="480">
        <v>46162.0</v>
      </c>
      <c r="O1844" s="402" t="s">
        <v>9011</v>
      </c>
      <c r="P1844" s="534"/>
      <c r="Q1844" s="430" t="s">
        <v>14310</v>
      </c>
      <c r="R1844" s="432" t="s">
        <v>14311</v>
      </c>
      <c r="S1844" s="367"/>
      <c r="T1844" s="276"/>
      <c r="U1844" s="276"/>
      <c r="V1844" s="276"/>
      <c r="W1844" s="276"/>
      <c r="X1844" s="276"/>
      <c r="Y1844" s="276"/>
      <c r="Z1844" s="276"/>
      <c r="AA1844" s="276"/>
      <c r="AB1844" s="276"/>
      <c r="AC1844" s="276"/>
    </row>
    <row r="1845">
      <c r="A1845" s="645">
        <v>46161.0</v>
      </c>
      <c r="B1845" s="108" t="s">
        <v>6229</v>
      </c>
      <c r="C1845" s="374">
        <v>8.0501157621E11</v>
      </c>
      <c r="D1845" s="374" t="s">
        <v>6230</v>
      </c>
      <c r="E1845" s="374" t="s">
        <v>6231</v>
      </c>
      <c r="F1845" s="177" t="s">
        <v>6232</v>
      </c>
      <c r="G1845" s="177" t="s">
        <v>20</v>
      </c>
      <c r="H1845" s="177" t="s">
        <v>20</v>
      </c>
      <c r="I1845" s="374">
        <v>4400.0</v>
      </c>
      <c r="J1845" s="374">
        <v>3.875893913E9</v>
      </c>
      <c r="K1845" s="177" t="s">
        <v>512</v>
      </c>
      <c r="L1845" s="174" t="s">
        <v>513</v>
      </c>
      <c r="M1845" s="531">
        <v>6.0</v>
      </c>
      <c r="N1845" s="209"/>
      <c r="O1845" s="209"/>
      <c r="P1845" s="209"/>
      <c r="Q1845" s="209"/>
      <c r="R1845" s="209"/>
      <c r="S1845" s="367"/>
      <c r="T1845" s="276"/>
      <c r="U1845" s="276"/>
      <c r="V1845" s="276"/>
      <c r="W1845" s="276"/>
      <c r="X1845" s="276"/>
      <c r="Y1845" s="276"/>
      <c r="Z1845" s="276"/>
      <c r="AA1845" s="276"/>
      <c r="AB1845" s="276"/>
      <c r="AC1845" s="276"/>
    </row>
    <row r="1846">
      <c r="A1846" s="645">
        <v>46161.0</v>
      </c>
      <c r="B1846" s="108" t="s">
        <v>6229</v>
      </c>
      <c r="C1846" s="374">
        <v>8.0501157621E11</v>
      </c>
      <c r="D1846" s="374" t="s">
        <v>6230</v>
      </c>
      <c r="E1846" s="374" t="s">
        <v>6231</v>
      </c>
      <c r="F1846" s="177" t="s">
        <v>6232</v>
      </c>
      <c r="G1846" s="177" t="s">
        <v>20</v>
      </c>
      <c r="H1846" s="177" t="s">
        <v>20</v>
      </c>
      <c r="I1846" s="374">
        <v>4400.0</v>
      </c>
      <c r="J1846" s="374">
        <v>3.875893913E9</v>
      </c>
      <c r="K1846" s="177" t="s">
        <v>670</v>
      </c>
      <c r="L1846" s="174" t="s">
        <v>3410</v>
      </c>
      <c r="M1846" s="531">
        <v>1.0</v>
      </c>
      <c r="N1846" s="206"/>
      <c r="O1846" s="206"/>
      <c r="P1846" s="206"/>
      <c r="Q1846" s="206"/>
      <c r="R1846" s="206"/>
      <c r="S1846" s="367"/>
      <c r="T1846" s="276"/>
      <c r="U1846" s="276"/>
      <c r="V1846" s="276"/>
      <c r="W1846" s="276"/>
      <c r="X1846" s="276"/>
      <c r="Y1846" s="276"/>
      <c r="Z1846" s="276"/>
      <c r="AA1846" s="276"/>
      <c r="AB1846" s="276"/>
      <c r="AC1846" s="276"/>
    </row>
    <row r="1847">
      <c r="A1847" s="645">
        <v>46161.0</v>
      </c>
      <c r="B1847" s="108" t="s">
        <v>6234</v>
      </c>
      <c r="C1847" s="374">
        <v>8.05011575884E11</v>
      </c>
      <c r="D1847" s="374" t="s">
        <v>6235</v>
      </c>
      <c r="E1847" s="374" t="s">
        <v>6236</v>
      </c>
      <c r="F1847" s="177" t="s">
        <v>6237</v>
      </c>
      <c r="G1847" s="177" t="s">
        <v>6238</v>
      </c>
      <c r="H1847" s="177" t="s">
        <v>20</v>
      </c>
      <c r="I1847" s="374">
        <v>4452.0</v>
      </c>
      <c r="J1847" s="374">
        <v>3.877442555E9</v>
      </c>
      <c r="K1847" s="177" t="s">
        <v>32</v>
      </c>
      <c r="L1847" s="174" t="s">
        <v>3225</v>
      </c>
      <c r="M1847" s="531">
        <v>1.0</v>
      </c>
      <c r="N1847" s="646">
        <v>46162.0</v>
      </c>
      <c r="O1847" s="647" t="s">
        <v>9011</v>
      </c>
      <c r="P1847" s="648"/>
      <c r="Q1847" s="649" t="s">
        <v>14312</v>
      </c>
      <c r="R1847" s="650" t="s">
        <v>14313</v>
      </c>
      <c r="S1847" s="367"/>
      <c r="T1847" s="276"/>
      <c r="U1847" s="276"/>
      <c r="V1847" s="276"/>
      <c r="W1847" s="276"/>
      <c r="X1847" s="276"/>
      <c r="Y1847" s="276"/>
      <c r="Z1847" s="276"/>
      <c r="AA1847" s="276"/>
      <c r="AB1847" s="276"/>
      <c r="AC1847" s="276"/>
    </row>
    <row r="1848">
      <c r="A1848" s="645">
        <v>46161.0</v>
      </c>
      <c r="B1848" s="108" t="s">
        <v>6239</v>
      </c>
      <c r="C1848" s="374">
        <v>8.05011576073E11</v>
      </c>
      <c r="D1848" s="374" t="s">
        <v>3896</v>
      </c>
      <c r="E1848" s="374" t="s">
        <v>3897</v>
      </c>
      <c r="F1848" s="177" t="s">
        <v>6240</v>
      </c>
      <c r="G1848" s="177" t="s">
        <v>835</v>
      </c>
      <c r="H1848" s="177" t="s">
        <v>20</v>
      </c>
      <c r="I1848" s="374">
        <v>4550.0</v>
      </c>
      <c r="J1848" s="374">
        <v>3.878403462E9</v>
      </c>
      <c r="K1848" s="177" t="s">
        <v>32</v>
      </c>
      <c r="L1848" s="174" t="s">
        <v>3225</v>
      </c>
      <c r="M1848" s="531">
        <v>1.0</v>
      </c>
      <c r="N1848" s="486">
        <v>46164.0</v>
      </c>
      <c r="O1848" s="487" t="s">
        <v>9011</v>
      </c>
      <c r="P1848" s="598"/>
      <c r="Q1848" s="487" t="s">
        <v>9012</v>
      </c>
      <c r="R1848" s="623" t="s">
        <v>14314</v>
      </c>
      <c r="S1848" s="367"/>
      <c r="T1848" s="276"/>
      <c r="U1848" s="276"/>
      <c r="V1848" s="276"/>
      <c r="W1848" s="276"/>
      <c r="X1848" s="276"/>
      <c r="Y1848" s="276"/>
      <c r="Z1848" s="276"/>
      <c r="AA1848" s="276"/>
      <c r="AB1848" s="276"/>
      <c r="AC1848" s="276"/>
    </row>
    <row r="1849">
      <c r="A1849" s="645">
        <v>46161.0</v>
      </c>
      <c r="B1849" s="108" t="s">
        <v>6239</v>
      </c>
      <c r="C1849" s="374">
        <v>8.05011576073E11</v>
      </c>
      <c r="D1849" s="374" t="s">
        <v>3896</v>
      </c>
      <c r="E1849" s="374" t="s">
        <v>3897</v>
      </c>
      <c r="F1849" s="177" t="s">
        <v>6240</v>
      </c>
      <c r="G1849" s="177" t="s">
        <v>835</v>
      </c>
      <c r="H1849" s="177" t="s">
        <v>20</v>
      </c>
      <c r="I1849" s="374">
        <v>4550.0</v>
      </c>
      <c r="J1849" s="374">
        <v>3.878403462E9</v>
      </c>
      <c r="K1849" s="177" t="s">
        <v>512</v>
      </c>
      <c r="L1849" s="174" t="s">
        <v>513</v>
      </c>
      <c r="M1849" s="531">
        <v>6.0</v>
      </c>
      <c r="N1849" s="209"/>
      <c r="O1849" s="209"/>
      <c r="P1849" s="209"/>
      <c r="Q1849" s="209"/>
      <c r="R1849" s="209"/>
      <c r="S1849" s="367"/>
      <c r="T1849" s="276"/>
      <c r="U1849" s="276"/>
      <c r="V1849" s="276"/>
      <c r="W1849" s="276"/>
      <c r="X1849" s="276"/>
      <c r="Y1849" s="276"/>
      <c r="Z1849" s="276"/>
      <c r="AA1849" s="276"/>
      <c r="AB1849" s="276"/>
      <c r="AC1849" s="276"/>
    </row>
    <row r="1850">
      <c r="A1850" s="645">
        <v>46161.0</v>
      </c>
      <c r="B1850" s="108" t="s">
        <v>6239</v>
      </c>
      <c r="C1850" s="374">
        <v>8.05011576073E11</v>
      </c>
      <c r="D1850" s="374" t="s">
        <v>3896</v>
      </c>
      <c r="E1850" s="374" t="s">
        <v>3897</v>
      </c>
      <c r="F1850" s="177" t="s">
        <v>6240</v>
      </c>
      <c r="G1850" s="177" t="s">
        <v>835</v>
      </c>
      <c r="H1850" s="177" t="s">
        <v>20</v>
      </c>
      <c r="I1850" s="374">
        <v>4550.0</v>
      </c>
      <c r="J1850" s="374">
        <v>3.878403462E9</v>
      </c>
      <c r="K1850" s="177" t="s">
        <v>670</v>
      </c>
      <c r="L1850" s="174" t="s">
        <v>3410</v>
      </c>
      <c r="M1850" s="531">
        <v>1.0</v>
      </c>
      <c r="N1850" s="206"/>
      <c r="O1850" s="206"/>
      <c r="P1850" s="206"/>
      <c r="Q1850" s="206"/>
      <c r="R1850" s="206"/>
      <c r="S1850" s="367"/>
      <c r="T1850" s="276"/>
      <c r="U1850" s="276"/>
      <c r="V1850" s="276"/>
      <c r="W1850" s="276"/>
      <c r="X1850" s="276"/>
      <c r="Y1850" s="276"/>
      <c r="Z1850" s="276"/>
      <c r="AA1850" s="276"/>
      <c r="AB1850" s="276"/>
      <c r="AC1850" s="276"/>
    </row>
    <row r="1851">
      <c r="A1851" s="645">
        <v>46161.0</v>
      </c>
      <c r="B1851" s="108" t="s">
        <v>6242</v>
      </c>
      <c r="C1851" s="374">
        <v>8.05011576296E11</v>
      </c>
      <c r="D1851" s="374" t="s">
        <v>6243</v>
      </c>
      <c r="E1851" s="374" t="s">
        <v>6244</v>
      </c>
      <c r="F1851" s="177" t="s">
        <v>6245</v>
      </c>
      <c r="G1851" s="177" t="s">
        <v>376</v>
      </c>
      <c r="H1851" s="177" t="s">
        <v>20</v>
      </c>
      <c r="I1851" s="374">
        <v>4421.0</v>
      </c>
      <c r="J1851" s="374">
        <v>3.875611531E9</v>
      </c>
      <c r="K1851" s="177" t="s">
        <v>6246</v>
      </c>
      <c r="L1851" s="174" t="s">
        <v>6247</v>
      </c>
      <c r="M1851" s="531">
        <v>1.0</v>
      </c>
      <c r="N1851" s="646">
        <v>46162.0</v>
      </c>
      <c r="O1851" s="647" t="s">
        <v>9011</v>
      </c>
      <c r="P1851" s="648"/>
      <c r="Q1851" s="649" t="s">
        <v>13339</v>
      </c>
      <c r="R1851" s="650" t="s">
        <v>14315</v>
      </c>
      <c r="S1851" s="367"/>
      <c r="T1851" s="276"/>
      <c r="U1851" s="276"/>
      <c r="V1851" s="276"/>
      <c r="W1851" s="276"/>
      <c r="X1851" s="276"/>
      <c r="Y1851" s="276"/>
      <c r="Z1851" s="276"/>
      <c r="AA1851" s="276"/>
      <c r="AB1851" s="276"/>
      <c r="AC1851" s="276"/>
    </row>
    <row r="1852">
      <c r="A1852" s="645">
        <v>46161.0</v>
      </c>
      <c r="B1852" s="108" t="s">
        <v>6248</v>
      </c>
      <c r="C1852" s="374">
        <v>8.05011575802E11</v>
      </c>
      <c r="D1852" s="374" t="s">
        <v>6249</v>
      </c>
      <c r="E1852" s="374" t="s">
        <v>6250</v>
      </c>
      <c r="F1852" s="177" t="s">
        <v>6251</v>
      </c>
      <c r="G1852" s="177" t="s">
        <v>20</v>
      </c>
      <c r="H1852" s="177" t="s">
        <v>20</v>
      </c>
      <c r="I1852" s="374">
        <v>4400.0</v>
      </c>
      <c r="J1852" s="374">
        <v>3.877402781E9</v>
      </c>
      <c r="K1852" s="177" t="s">
        <v>6252</v>
      </c>
      <c r="L1852" s="174" t="s">
        <v>6253</v>
      </c>
      <c r="M1852" s="531">
        <v>1.0</v>
      </c>
      <c r="N1852" s="481">
        <v>46163.0</v>
      </c>
      <c r="O1852" s="531" t="s">
        <v>9011</v>
      </c>
      <c r="P1852" s="387"/>
      <c r="Q1852" s="261" t="s">
        <v>13339</v>
      </c>
      <c r="R1852" s="434" t="s">
        <v>14316</v>
      </c>
      <c r="S1852" s="367"/>
      <c r="T1852" s="276"/>
      <c r="U1852" s="276"/>
      <c r="V1852" s="276"/>
      <c r="W1852" s="276"/>
      <c r="X1852" s="276"/>
      <c r="Y1852" s="276"/>
      <c r="Z1852" s="276"/>
      <c r="AA1852" s="276"/>
      <c r="AB1852" s="276"/>
      <c r="AC1852" s="276"/>
    </row>
    <row r="1853">
      <c r="A1853" s="645">
        <v>46161.0</v>
      </c>
      <c r="B1853" s="108" t="s">
        <v>6254</v>
      </c>
      <c r="C1853" s="374">
        <v>8.07940001146E11</v>
      </c>
      <c r="D1853" s="374" t="s">
        <v>6255</v>
      </c>
      <c r="E1853" s="374" t="s">
        <v>6256</v>
      </c>
      <c r="F1853" s="177" t="s">
        <v>6257</v>
      </c>
      <c r="G1853" s="177" t="s">
        <v>20</v>
      </c>
      <c r="H1853" s="177" t="s">
        <v>20</v>
      </c>
      <c r="I1853" s="374" t="s">
        <v>4086</v>
      </c>
      <c r="J1853" s="374">
        <v>2.214559495E9</v>
      </c>
      <c r="K1853" s="177" t="s">
        <v>5817</v>
      </c>
      <c r="L1853" s="174" t="s">
        <v>5417</v>
      </c>
      <c r="M1853" s="531">
        <v>1.0</v>
      </c>
      <c r="N1853" s="480">
        <v>46165.0</v>
      </c>
      <c r="O1853" s="402" t="s">
        <v>9011</v>
      </c>
      <c r="P1853" s="534"/>
      <c r="Q1853" s="430" t="s">
        <v>13339</v>
      </c>
      <c r="R1853" s="432" t="s">
        <v>14317</v>
      </c>
      <c r="S1853" s="367"/>
      <c r="T1853" s="276"/>
      <c r="U1853" s="276"/>
      <c r="V1853" s="276"/>
      <c r="W1853" s="276"/>
      <c r="X1853" s="276"/>
      <c r="Y1853" s="276"/>
      <c r="Z1853" s="276"/>
      <c r="AA1853" s="276"/>
      <c r="AB1853" s="276"/>
      <c r="AC1853" s="276"/>
    </row>
    <row r="1854">
      <c r="A1854" s="645">
        <v>46161.0</v>
      </c>
      <c r="B1854" s="108" t="s">
        <v>6254</v>
      </c>
      <c r="C1854" s="374">
        <v>8.07940001146E11</v>
      </c>
      <c r="D1854" s="374" t="s">
        <v>6255</v>
      </c>
      <c r="E1854" s="374" t="s">
        <v>6256</v>
      </c>
      <c r="F1854" s="177" t="s">
        <v>6257</v>
      </c>
      <c r="G1854" s="177" t="s">
        <v>20</v>
      </c>
      <c r="H1854" s="177" t="s">
        <v>20</v>
      </c>
      <c r="I1854" s="374" t="s">
        <v>4086</v>
      </c>
      <c r="J1854" s="374">
        <v>2.214559495E9</v>
      </c>
      <c r="K1854" s="177" t="s">
        <v>2294</v>
      </c>
      <c r="L1854" s="174" t="s">
        <v>5415</v>
      </c>
      <c r="M1854" s="531">
        <v>1.0</v>
      </c>
      <c r="N1854" s="206"/>
      <c r="O1854" s="206"/>
      <c r="P1854" s="206"/>
      <c r="Q1854" s="206"/>
      <c r="R1854" s="206"/>
      <c r="S1854" s="367"/>
      <c r="T1854" s="276"/>
      <c r="U1854" s="276"/>
      <c r="V1854" s="276"/>
      <c r="W1854" s="276"/>
      <c r="X1854" s="276"/>
      <c r="Y1854" s="276"/>
      <c r="Z1854" s="276"/>
      <c r="AA1854" s="276"/>
      <c r="AB1854" s="276"/>
      <c r="AC1854" s="276"/>
    </row>
    <row r="1855">
      <c r="A1855" s="645">
        <v>46161.0</v>
      </c>
      <c r="B1855" s="108" t="s">
        <v>6259</v>
      </c>
      <c r="C1855" s="374">
        <v>8.07025036086E11</v>
      </c>
      <c r="D1855" s="374" t="s">
        <v>6260</v>
      </c>
      <c r="E1855" s="374" t="s">
        <v>6261</v>
      </c>
      <c r="F1855" s="177" t="s">
        <v>6262</v>
      </c>
      <c r="G1855" s="177" t="s">
        <v>127</v>
      </c>
      <c r="H1855" s="177" t="s">
        <v>20</v>
      </c>
      <c r="I1855" s="374">
        <v>4400.0</v>
      </c>
      <c r="J1855" s="374">
        <v>3.875822207E9</v>
      </c>
      <c r="K1855" s="177">
        <v>110.0</v>
      </c>
      <c r="L1855" s="174" t="s">
        <v>6263</v>
      </c>
      <c r="M1855" s="531">
        <v>1.0</v>
      </c>
      <c r="N1855" s="480">
        <v>46162.0</v>
      </c>
      <c r="O1855" s="402" t="s">
        <v>9011</v>
      </c>
      <c r="P1855" s="534"/>
      <c r="Q1855" s="430" t="s">
        <v>14318</v>
      </c>
      <c r="R1855" s="432" t="s">
        <v>14319</v>
      </c>
      <c r="S1855" s="367"/>
      <c r="T1855" s="276"/>
      <c r="U1855" s="276"/>
      <c r="V1855" s="276"/>
      <c r="W1855" s="276"/>
      <c r="X1855" s="276"/>
      <c r="Y1855" s="276"/>
      <c r="Z1855" s="276"/>
      <c r="AA1855" s="276"/>
      <c r="AB1855" s="276"/>
      <c r="AC1855" s="276"/>
    </row>
    <row r="1856">
      <c r="A1856" s="645">
        <v>46161.0</v>
      </c>
      <c r="B1856" s="108" t="s">
        <v>6259</v>
      </c>
      <c r="C1856" s="374">
        <v>8.07025036086E11</v>
      </c>
      <c r="D1856" s="374" t="s">
        <v>6260</v>
      </c>
      <c r="E1856" s="374" t="s">
        <v>6261</v>
      </c>
      <c r="F1856" s="177" t="s">
        <v>6262</v>
      </c>
      <c r="G1856" s="177" t="s">
        <v>127</v>
      </c>
      <c r="H1856" s="177" t="s">
        <v>20</v>
      </c>
      <c r="I1856" s="374">
        <v>4400.0</v>
      </c>
      <c r="J1856" s="374">
        <v>3.875822207E9</v>
      </c>
      <c r="K1856" s="177" t="s">
        <v>4070</v>
      </c>
      <c r="L1856" s="174" t="s">
        <v>6264</v>
      </c>
      <c r="M1856" s="531">
        <v>1.0</v>
      </c>
      <c r="N1856" s="209"/>
      <c r="O1856" s="209"/>
      <c r="P1856" s="209"/>
      <c r="Q1856" s="209"/>
      <c r="R1856" s="209"/>
      <c r="S1856" s="367"/>
      <c r="T1856" s="276"/>
      <c r="U1856" s="276"/>
      <c r="V1856" s="276"/>
      <c r="W1856" s="276"/>
      <c r="X1856" s="276"/>
      <c r="Y1856" s="276"/>
      <c r="Z1856" s="276"/>
      <c r="AA1856" s="276"/>
      <c r="AB1856" s="276"/>
      <c r="AC1856" s="276"/>
    </row>
    <row r="1857">
      <c r="A1857" s="645">
        <v>46161.0</v>
      </c>
      <c r="B1857" s="108" t="s">
        <v>6259</v>
      </c>
      <c r="C1857" s="374">
        <v>8.07025036086E11</v>
      </c>
      <c r="D1857" s="374" t="s">
        <v>6260</v>
      </c>
      <c r="E1857" s="374" t="s">
        <v>6261</v>
      </c>
      <c r="F1857" s="177" t="s">
        <v>6262</v>
      </c>
      <c r="G1857" s="177" t="s">
        <v>127</v>
      </c>
      <c r="H1857" s="177" t="s">
        <v>20</v>
      </c>
      <c r="I1857" s="374">
        <v>4400.0</v>
      </c>
      <c r="J1857" s="374">
        <v>3.875822207E9</v>
      </c>
      <c r="K1857" s="177" t="s">
        <v>6265</v>
      </c>
      <c r="L1857" s="174" t="s">
        <v>6266</v>
      </c>
      <c r="M1857" s="531">
        <v>1.0</v>
      </c>
      <c r="N1857" s="209"/>
      <c r="O1857" s="209"/>
      <c r="P1857" s="209"/>
      <c r="Q1857" s="209"/>
      <c r="R1857" s="209"/>
      <c r="S1857" s="367"/>
      <c r="T1857" s="276"/>
      <c r="U1857" s="276"/>
      <c r="V1857" s="276"/>
      <c r="W1857" s="276"/>
      <c r="X1857" s="276"/>
      <c r="Y1857" s="276"/>
      <c r="Z1857" s="276"/>
      <c r="AA1857" s="276"/>
      <c r="AB1857" s="276"/>
      <c r="AC1857" s="276"/>
    </row>
    <row r="1858">
      <c r="A1858" s="645">
        <v>46161.0</v>
      </c>
      <c r="B1858" s="108" t="s">
        <v>6259</v>
      </c>
      <c r="C1858" s="374">
        <v>8.07025036086E11</v>
      </c>
      <c r="D1858" s="374" t="s">
        <v>6260</v>
      </c>
      <c r="E1858" s="374" t="s">
        <v>6261</v>
      </c>
      <c r="F1858" s="177" t="s">
        <v>6262</v>
      </c>
      <c r="G1858" s="177" t="s">
        <v>127</v>
      </c>
      <c r="H1858" s="177" t="s">
        <v>20</v>
      </c>
      <c r="I1858" s="374">
        <v>4400.0</v>
      </c>
      <c r="J1858" s="374">
        <v>3.875822207E9</v>
      </c>
      <c r="K1858" s="177" t="s">
        <v>5842</v>
      </c>
      <c r="L1858" s="174" t="s">
        <v>5843</v>
      </c>
      <c r="M1858" s="531">
        <v>1.0</v>
      </c>
      <c r="N1858" s="209"/>
      <c r="O1858" s="209"/>
      <c r="P1858" s="209"/>
      <c r="Q1858" s="209"/>
      <c r="R1858" s="209"/>
      <c r="S1858" s="367"/>
      <c r="T1858" s="276"/>
      <c r="U1858" s="276"/>
      <c r="V1858" s="276"/>
      <c r="W1858" s="276"/>
      <c r="X1858" s="276"/>
      <c r="Y1858" s="276"/>
      <c r="Z1858" s="276"/>
      <c r="AA1858" s="276"/>
      <c r="AB1858" s="276"/>
      <c r="AC1858" s="276"/>
    </row>
    <row r="1859">
      <c r="A1859" s="645">
        <v>46161.0</v>
      </c>
      <c r="B1859" s="108" t="s">
        <v>6259</v>
      </c>
      <c r="C1859" s="374">
        <v>8.07025036086E11</v>
      </c>
      <c r="D1859" s="374" t="s">
        <v>6260</v>
      </c>
      <c r="E1859" s="374" t="s">
        <v>6261</v>
      </c>
      <c r="F1859" s="177" t="s">
        <v>6262</v>
      </c>
      <c r="G1859" s="177" t="s">
        <v>127</v>
      </c>
      <c r="H1859" s="177" t="s">
        <v>20</v>
      </c>
      <c r="I1859" s="374">
        <v>4400.0</v>
      </c>
      <c r="J1859" s="374">
        <v>3.875822207E9</v>
      </c>
      <c r="K1859" s="177" t="s">
        <v>32</v>
      </c>
      <c r="L1859" s="174" t="s">
        <v>3225</v>
      </c>
      <c r="M1859" s="531">
        <v>1.0</v>
      </c>
      <c r="N1859" s="206"/>
      <c r="O1859" s="206"/>
      <c r="P1859" s="206"/>
      <c r="Q1859" s="206"/>
      <c r="R1859" s="206"/>
      <c r="S1859" s="367"/>
      <c r="T1859" s="276"/>
      <c r="U1859" s="276"/>
      <c r="V1859" s="276"/>
      <c r="W1859" s="276"/>
      <c r="X1859" s="276"/>
      <c r="Y1859" s="276"/>
      <c r="Z1859" s="276"/>
      <c r="AA1859" s="276"/>
      <c r="AB1859" s="276"/>
      <c r="AC1859" s="276"/>
    </row>
    <row r="1860">
      <c r="A1860" s="651"/>
      <c r="B1860" s="602"/>
      <c r="C1860" s="604"/>
      <c r="D1860" s="604"/>
      <c r="E1860" s="604"/>
      <c r="F1860" s="605"/>
      <c r="G1860" s="605"/>
      <c r="H1860" s="605"/>
      <c r="I1860" s="604"/>
      <c r="J1860" s="604"/>
      <c r="K1860" s="605"/>
      <c r="L1860" s="607"/>
      <c r="M1860" s="531"/>
      <c r="N1860" s="387"/>
      <c r="O1860" s="387"/>
      <c r="P1860" s="387"/>
      <c r="Q1860" s="261"/>
      <c r="R1860" s="449"/>
      <c r="S1860" s="367"/>
      <c r="T1860" s="276"/>
      <c r="U1860" s="276"/>
      <c r="V1860" s="276"/>
      <c r="W1860" s="276"/>
      <c r="X1860" s="276"/>
      <c r="Y1860" s="276"/>
      <c r="Z1860" s="276"/>
      <c r="AA1860" s="276"/>
      <c r="AB1860" s="276"/>
      <c r="AC1860" s="276"/>
    </row>
    <row r="1861">
      <c r="A1861" s="645">
        <v>46169.0</v>
      </c>
      <c r="B1861" s="108" t="s">
        <v>6267</v>
      </c>
      <c r="C1861" s="374">
        <v>8.07839006006E11</v>
      </c>
      <c r="D1861" s="374" t="s">
        <v>6268</v>
      </c>
      <c r="E1861" s="374" t="s">
        <v>6269</v>
      </c>
      <c r="F1861" s="177" t="s">
        <v>6270</v>
      </c>
      <c r="G1861" s="177" t="s">
        <v>1142</v>
      </c>
      <c r="H1861" s="177" t="s">
        <v>20</v>
      </c>
      <c r="I1861" s="374">
        <v>4430.0</v>
      </c>
      <c r="J1861" s="374">
        <v>3.874145321E9</v>
      </c>
      <c r="K1861" s="177" t="s">
        <v>6271</v>
      </c>
      <c r="L1861" s="174" t="s">
        <v>6272</v>
      </c>
      <c r="M1861" s="531">
        <v>1.0</v>
      </c>
      <c r="N1861" s="480">
        <v>46171.0</v>
      </c>
      <c r="O1861" s="402" t="s">
        <v>9011</v>
      </c>
      <c r="P1861" s="534"/>
      <c r="Q1861" s="430" t="s">
        <v>14320</v>
      </c>
      <c r="R1861" s="432" t="s">
        <v>14321</v>
      </c>
      <c r="S1861" s="367"/>
      <c r="T1861" s="276"/>
      <c r="U1861" s="276"/>
      <c r="V1861" s="276"/>
      <c r="W1861" s="276"/>
      <c r="X1861" s="276"/>
      <c r="Y1861" s="276"/>
      <c r="Z1861" s="276"/>
      <c r="AA1861" s="276"/>
      <c r="AB1861" s="276"/>
      <c r="AC1861" s="276"/>
    </row>
    <row r="1862">
      <c r="A1862" s="645">
        <v>46169.0</v>
      </c>
      <c r="B1862" s="108" t="s">
        <v>6267</v>
      </c>
      <c r="C1862" s="374">
        <v>8.07839006006E11</v>
      </c>
      <c r="D1862" s="374" t="s">
        <v>6268</v>
      </c>
      <c r="E1862" s="374" t="s">
        <v>6269</v>
      </c>
      <c r="F1862" s="177" t="s">
        <v>6270</v>
      </c>
      <c r="G1862" s="177" t="s">
        <v>1142</v>
      </c>
      <c r="H1862" s="177" t="s">
        <v>20</v>
      </c>
      <c r="I1862" s="374">
        <v>4430.0</v>
      </c>
      <c r="J1862" s="374">
        <v>3.874145321E9</v>
      </c>
      <c r="K1862" s="177" t="s">
        <v>512</v>
      </c>
      <c r="L1862" s="174" t="s">
        <v>513</v>
      </c>
      <c r="M1862" s="531">
        <v>1.0</v>
      </c>
      <c r="N1862" s="209"/>
      <c r="O1862" s="209"/>
      <c r="P1862" s="209"/>
      <c r="Q1862" s="209"/>
      <c r="R1862" s="209"/>
      <c r="S1862" s="367"/>
      <c r="T1862" s="276"/>
      <c r="U1862" s="276"/>
      <c r="V1862" s="276"/>
      <c r="W1862" s="276"/>
      <c r="X1862" s="276"/>
      <c r="Y1862" s="276"/>
      <c r="Z1862" s="276"/>
      <c r="AA1862" s="276"/>
      <c r="AB1862" s="276"/>
      <c r="AC1862" s="276"/>
    </row>
    <row r="1863">
      <c r="A1863" s="645">
        <v>46169.0</v>
      </c>
      <c r="B1863" s="108" t="s">
        <v>6267</v>
      </c>
      <c r="C1863" s="374">
        <v>8.07839006006E11</v>
      </c>
      <c r="D1863" s="374" t="s">
        <v>6268</v>
      </c>
      <c r="E1863" s="374" t="s">
        <v>6269</v>
      </c>
      <c r="F1863" s="177" t="s">
        <v>6270</v>
      </c>
      <c r="G1863" s="177" t="s">
        <v>1142</v>
      </c>
      <c r="H1863" s="177" t="s">
        <v>20</v>
      </c>
      <c r="I1863" s="374">
        <v>4430.0</v>
      </c>
      <c r="J1863" s="374">
        <v>3.874145321E9</v>
      </c>
      <c r="K1863" s="177" t="s">
        <v>670</v>
      </c>
      <c r="L1863" s="174" t="s">
        <v>3410</v>
      </c>
      <c r="M1863" s="531">
        <v>1.0</v>
      </c>
      <c r="N1863" s="206"/>
      <c r="O1863" s="206"/>
      <c r="P1863" s="206"/>
      <c r="Q1863" s="206"/>
      <c r="R1863" s="206"/>
      <c r="S1863" s="367"/>
      <c r="T1863" s="276"/>
      <c r="U1863" s="276"/>
      <c r="V1863" s="276"/>
      <c r="W1863" s="276"/>
      <c r="X1863" s="276"/>
      <c r="Y1863" s="276"/>
      <c r="Z1863" s="276"/>
      <c r="AA1863" s="276"/>
      <c r="AB1863" s="276"/>
      <c r="AC1863" s="276"/>
    </row>
    <row r="1864">
      <c r="A1864" s="645">
        <v>46169.0</v>
      </c>
      <c r="B1864" s="108" t="s">
        <v>6274</v>
      </c>
      <c r="C1864" s="374">
        <v>8.0501157634E11</v>
      </c>
      <c r="D1864" s="374" t="s">
        <v>6275</v>
      </c>
      <c r="E1864" s="374" t="s">
        <v>6276</v>
      </c>
      <c r="F1864" s="177" t="s">
        <v>6277</v>
      </c>
      <c r="G1864" s="177" t="s">
        <v>20</v>
      </c>
      <c r="H1864" s="177" t="s">
        <v>20</v>
      </c>
      <c r="I1864" s="374">
        <v>4400.0</v>
      </c>
      <c r="J1864" s="374">
        <v>3.874042169E9</v>
      </c>
      <c r="K1864" s="177" t="s">
        <v>617</v>
      </c>
      <c r="L1864" s="174" t="s">
        <v>3867</v>
      </c>
      <c r="M1864" s="531">
        <v>1.0</v>
      </c>
      <c r="N1864" s="480">
        <v>46171.0</v>
      </c>
      <c r="O1864" s="402" t="s">
        <v>9011</v>
      </c>
      <c r="P1864" s="534"/>
      <c r="Q1864" s="479" t="s">
        <v>14322</v>
      </c>
      <c r="R1864" s="432" t="s">
        <v>14323</v>
      </c>
      <c r="S1864" s="367"/>
      <c r="T1864" s="276"/>
      <c r="U1864" s="276"/>
      <c r="V1864" s="276"/>
      <c r="W1864" s="276"/>
      <c r="X1864" s="276"/>
      <c r="Y1864" s="276"/>
      <c r="Z1864" s="276"/>
      <c r="AA1864" s="276"/>
      <c r="AB1864" s="276"/>
      <c r="AC1864" s="276"/>
    </row>
    <row r="1865">
      <c r="A1865" s="645">
        <v>46169.0</v>
      </c>
      <c r="B1865" s="108" t="s">
        <v>6274</v>
      </c>
      <c r="C1865" s="374">
        <v>8.0501157634E11</v>
      </c>
      <c r="D1865" s="374" t="s">
        <v>6275</v>
      </c>
      <c r="E1865" s="374" t="s">
        <v>6276</v>
      </c>
      <c r="F1865" s="177" t="s">
        <v>6277</v>
      </c>
      <c r="G1865" s="177" t="s">
        <v>20</v>
      </c>
      <c r="H1865" s="177" t="s">
        <v>20</v>
      </c>
      <c r="I1865" s="374">
        <v>4400.0</v>
      </c>
      <c r="J1865" s="374">
        <v>3.874042169E9</v>
      </c>
      <c r="K1865" s="177" t="s">
        <v>512</v>
      </c>
      <c r="L1865" s="174" t="s">
        <v>513</v>
      </c>
      <c r="M1865" s="531">
        <v>2.0</v>
      </c>
      <c r="N1865" s="209"/>
      <c r="O1865" s="209"/>
      <c r="P1865" s="209"/>
      <c r="Q1865" s="209"/>
      <c r="R1865" s="209"/>
      <c r="S1865" s="367"/>
      <c r="T1865" s="276"/>
      <c r="U1865" s="276"/>
      <c r="V1865" s="276"/>
      <c r="W1865" s="276"/>
      <c r="X1865" s="276"/>
      <c r="Y1865" s="276"/>
      <c r="Z1865" s="276"/>
      <c r="AA1865" s="276"/>
      <c r="AB1865" s="276"/>
      <c r="AC1865" s="276"/>
    </row>
    <row r="1866">
      <c r="A1866" s="645">
        <v>46169.0</v>
      </c>
      <c r="B1866" s="108" t="s">
        <v>6274</v>
      </c>
      <c r="C1866" s="374">
        <v>8.0501157634E11</v>
      </c>
      <c r="D1866" s="374" t="s">
        <v>6275</v>
      </c>
      <c r="E1866" s="374" t="s">
        <v>6276</v>
      </c>
      <c r="F1866" s="177" t="s">
        <v>6277</v>
      </c>
      <c r="G1866" s="177" t="s">
        <v>20</v>
      </c>
      <c r="H1866" s="177" t="s">
        <v>20</v>
      </c>
      <c r="I1866" s="374">
        <v>4400.0</v>
      </c>
      <c r="J1866" s="374">
        <v>3.874042169E9</v>
      </c>
      <c r="K1866" s="177" t="s">
        <v>645</v>
      </c>
      <c r="L1866" s="174" t="s">
        <v>3253</v>
      </c>
      <c r="M1866" s="531">
        <v>2.0</v>
      </c>
      <c r="N1866" s="209"/>
      <c r="O1866" s="209"/>
      <c r="P1866" s="209"/>
      <c r="Q1866" s="209"/>
      <c r="R1866" s="209"/>
      <c r="S1866" s="367"/>
      <c r="T1866" s="276"/>
      <c r="U1866" s="276"/>
      <c r="V1866" s="276"/>
      <c r="W1866" s="276"/>
      <c r="X1866" s="276"/>
      <c r="Y1866" s="276"/>
      <c r="Z1866" s="276"/>
      <c r="AA1866" s="276"/>
      <c r="AB1866" s="276"/>
      <c r="AC1866" s="276"/>
    </row>
    <row r="1867">
      <c r="A1867" s="645">
        <v>46169.0</v>
      </c>
      <c r="B1867" s="108" t="s">
        <v>6278</v>
      </c>
      <c r="C1867" s="374">
        <v>8.05011576325E11</v>
      </c>
      <c r="D1867" s="374" t="s">
        <v>6275</v>
      </c>
      <c r="E1867" s="374" t="s">
        <v>6276</v>
      </c>
      <c r="F1867" s="177" t="s">
        <v>6279</v>
      </c>
      <c r="G1867" s="177" t="s">
        <v>20</v>
      </c>
      <c r="H1867" s="177" t="s">
        <v>20</v>
      </c>
      <c r="I1867" s="374">
        <v>4400.0</v>
      </c>
      <c r="J1867" s="374">
        <v>3.874042169E9</v>
      </c>
      <c r="K1867" s="177" t="s">
        <v>617</v>
      </c>
      <c r="L1867" s="174" t="s">
        <v>3867</v>
      </c>
      <c r="M1867" s="531">
        <v>1.0</v>
      </c>
      <c r="N1867" s="209"/>
      <c r="O1867" s="209"/>
      <c r="P1867" s="209"/>
      <c r="Q1867" s="209"/>
      <c r="R1867" s="209"/>
      <c r="S1867" s="367"/>
      <c r="T1867" s="276"/>
      <c r="U1867" s="276"/>
      <c r="V1867" s="276"/>
      <c r="W1867" s="276"/>
      <c r="X1867" s="276"/>
      <c r="Y1867" s="276"/>
      <c r="Z1867" s="276"/>
      <c r="AA1867" s="276"/>
      <c r="AB1867" s="276"/>
      <c r="AC1867" s="276"/>
    </row>
    <row r="1868">
      <c r="A1868" s="645">
        <v>46169.0</v>
      </c>
      <c r="B1868" s="108" t="s">
        <v>6278</v>
      </c>
      <c r="C1868" s="374">
        <v>8.05011576325E11</v>
      </c>
      <c r="D1868" s="374" t="s">
        <v>6275</v>
      </c>
      <c r="E1868" s="374" t="s">
        <v>6276</v>
      </c>
      <c r="F1868" s="177" t="s">
        <v>6279</v>
      </c>
      <c r="G1868" s="177" t="s">
        <v>20</v>
      </c>
      <c r="H1868" s="177" t="s">
        <v>20</v>
      </c>
      <c r="I1868" s="374">
        <v>4400.0</v>
      </c>
      <c r="J1868" s="374">
        <v>3.874042169E9</v>
      </c>
      <c r="K1868" s="177" t="s">
        <v>512</v>
      </c>
      <c r="L1868" s="174" t="s">
        <v>513</v>
      </c>
      <c r="M1868" s="531">
        <v>2.0</v>
      </c>
      <c r="N1868" s="209"/>
      <c r="O1868" s="209"/>
      <c r="P1868" s="209"/>
      <c r="Q1868" s="209"/>
      <c r="R1868" s="209"/>
      <c r="S1868" s="367"/>
      <c r="T1868" s="276"/>
      <c r="U1868" s="276"/>
      <c r="V1868" s="276"/>
      <c r="W1868" s="276"/>
      <c r="X1868" s="276"/>
      <c r="Y1868" s="276"/>
      <c r="Z1868" s="276"/>
      <c r="AA1868" s="276"/>
      <c r="AB1868" s="276"/>
      <c r="AC1868" s="276"/>
    </row>
    <row r="1869">
      <c r="A1869" s="645">
        <v>46169.0</v>
      </c>
      <c r="B1869" s="108" t="s">
        <v>6278</v>
      </c>
      <c r="C1869" s="374">
        <v>8.05011576325E11</v>
      </c>
      <c r="D1869" s="374" t="s">
        <v>6275</v>
      </c>
      <c r="E1869" s="374" t="s">
        <v>6276</v>
      </c>
      <c r="F1869" s="177" t="s">
        <v>6279</v>
      </c>
      <c r="G1869" s="177" t="s">
        <v>20</v>
      </c>
      <c r="H1869" s="177" t="s">
        <v>20</v>
      </c>
      <c r="I1869" s="374">
        <v>4400.0</v>
      </c>
      <c r="J1869" s="374">
        <v>3.874042169E9</v>
      </c>
      <c r="K1869" s="177" t="s">
        <v>645</v>
      </c>
      <c r="L1869" s="174" t="s">
        <v>3253</v>
      </c>
      <c r="M1869" s="531">
        <v>2.0</v>
      </c>
      <c r="N1869" s="206"/>
      <c r="O1869" s="206"/>
      <c r="P1869" s="206"/>
      <c r="Q1869" s="206"/>
      <c r="R1869" s="206"/>
      <c r="S1869" s="367"/>
      <c r="T1869" s="276"/>
      <c r="U1869" s="276"/>
      <c r="V1869" s="276"/>
      <c r="W1869" s="276"/>
      <c r="X1869" s="276"/>
      <c r="Y1869" s="276"/>
      <c r="Z1869" s="276"/>
      <c r="AA1869" s="276"/>
      <c r="AB1869" s="276"/>
      <c r="AC1869" s="276"/>
    </row>
    <row r="1870">
      <c r="A1870" s="645">
        <v>46169.0</v>
      </c>
      <c r="B1870" s="108" t="s">
        <v>6280</v>
      </c>
      <c r="C1870" s="374">
        <v>8.05011576454E11</v>
      </c>
      <c r="D1870" s="374" t="s">
        <v>6281</v>
      </c>
      <c r="E1870" s="374" t="s">
        <v>6282</v>
      </c>
      <c r="F1870" s="177" t="s">
        <v>6283</v>
      </c>
      <c r="G1870" s="177" t="s">
        <v>20</v>
      </c>
      <c r="H1870" s="177" t="s">
        <v>20</v>
      </c>
      <c r="I1870" s="374">
        <v>4400.0</v>
      </c>
      <c r="J1870" s="374">
        <v>3.875240548E9</v>
      </c>
      <c r="K1870" s="177" t="s">
        <v>5842</v>
      </c>
      <c r="L1870" s="174" t="s">
        <v>5843</v>
      </c>
      <c r="M1870" s="531">
        <v>1.0</v>
      </c>
      <c r="N1870" s="480">
        <v>46177.0</v>
      </c>
      <c r="O1870" s="402" t="s">
        <v>9011</v>
      </c>
      <c r="P1870" s="534"/>
      <c r="Q1870" s="402" t="s">
        <v>14324</v>
      </c>
      <c r="R1870" s="535" t="s">
        <v>14325</v>
      </c>
      <c r="S1870" s="367"/>
      <c r="T1870" s="276"/>
      <c r="U1870" s="276"/>
      <c r="V1870" s="276"/>
      <c r="W1870" s="276"/>
      <c r="X1870" s="276"/>
      <c r="Y1870" s="276"/>
      <c r="Z1870" s="276"/>
      <c r="AA1870" s="276"/>
      <c r="AB1870" s="276"/>
      <c r="AC1870" s="276"/>
    </row>
    <row r="1871">
      <c r="A1871" s="645">
        <v>46169.0</v>
      </c>
      <c r="B1871" s="108" t="s">
        <v>6280</v>
      </c>
      <c r="C1871" s="374">
        <v>8.05011576454E11</v>
      </c>
      <c r="D1871" s="374" t="s">
        <v>6281</v>
      </c>
      <c r="E1871" s="374" t="s">
        <v>6282</v>
      </c>
      <c r="F1871" s="177" t="s">
        <v>6283</v>
      </c>
      <c r="G1871" s="177" t="s">
        <v>20</v>
      </c>
      <c r="H1871" s="177" t="s">
        <v>20</v>
      </c>
      <c r="I1871" s="374">
        <v>4400.0</v>
      </c>
      <c r="J1871" s="374">
        <v>3.875240548E9</v>
      </c>
      <c r="K1871" s="177" t="s">
        <v>32</v>
      </c>
      <c r="L1871" s="174" t="s">
        <v>3225</v>
      </c>
      <c r="M1871" s="531">
        <v>1.0</v>
      </c>
      <c r="N1871" s="206"/>
      <c r="O1871" s="206"/>
      <c r="P1871" s="206"/>
      <c r="Q1871" s="206"/>
      <c r="R1871" s="206"/>
      <c r="S1871" s="367"/>
      <c r="T1871" s="276"/>
      <c r="U1871" s="276"/>
      <c r="V1871" s="276"/>
      <c r="W1871" s="276"/>
      <c r="X1871" s="276"/>
      <c r="Y1871" s="276"/>
      <c r="Z1871" s="276"/>
      <c r="AA1871" s="276"/>
      <c r="AB1871" s="276"/>
      <c r="AC1871" s="276"/>
    </row>
    <row r="1872">
      <c r="A1872" s="645">
        <v>46169.0</v>
      </c>
      <c r="B1872" s="108" t="s">
        <v>6284</v>
      </c>
      <c r="C1872" s="374">
        <v>8.05011576292E11</v>
      </c>
      <c r="D1872" s="374" t="s">
        <v>6285</v>
      </c>
      <c r="E1872" s="374" t="s">
        <v>6286</v>
      </c>
      <c r="F1872" s="177" t="s">
        <v>6287</v>
      </c>
      <c r="G1872" s="177" t="s">
        <v>20</v>
      </c>
      <c r="H1872" s="177" t="s">
        <v>20</v>
      </c>
      <c r="I1872" s="374">
        <v>4400.0</v>
      </c>
      <c r="J1872" s="374">
        <v>3.874402651E9</v>
      </c>
      <c r="K1872" s="177" t="s">
        <v>1241</v>
      </c>
      <c r="L1872" s="174" t="s">
        <v>3500</v>
      </c>
      <c r="M1872" s="531">
        <v>1.0</v>
      </c>
      <c r="N1872" s="480">
        <v>46171.0</v>
      </c>
      <c r="O1872" s="402" t="s">
        <v>9011</v>
      </c>
      <c r="P1872" s="534"/>
      <c r="Q1872" s="430" t="s">
        <v>9012</v>
      </c>
      <c r="R1872" s="432" t="s">
        <v>14326</v>
      </c>
      <c r="S1872" s="367"/>
      <c r="T1872" s="276"/>
      <c r="U1872" s="276"/>
      <c r="V1872" s="276"/>
      <c r="W1872" s="276"/>
      <c r="X1872" s="276"/>
      <c r="Y1872" s="276"/>
      <c r="Z1872" s="276"/>
      <c r="AA1872" s="276"/>
      <c r="AB1872" s="276"/>
      <c r="AC1872" s="276"/>
    </row>
    <row r="1873">
      <c r="A1873" s="645">
        <v>46169.0</v>
      </c>
      <c r="B1873" s="108" t="s">
        <v>6284</v>
      </c>
      <c r="C1873" s="374">
        <v>8.05011576292E11</v>
      </c>
      <c r="D1873" s="374" t="s">
        <v>6285</v>
      </c>
      <c r="E1873" s="374" t="s">
        <v>6286</v>
      </c>
      <c r="F1873" s="177" t="s">
        <v>6287</v>
      </c>
      <c r="G1873" s="177" t="s">
        <v>20</v>
      </c>
      <c r="H1873" s="177" t="s">
        <v>20</v>
      </c>
      <c r="I1873" s="374">
        <v>4400.0</v>
      </c>
      <c r="J1873" s="374">
        <v>3.874402651E9</v>
      </c>
      <c r="K1873" s="177" t="s">
        <v>32</v>
      </c>
      <c r="L1873" s="174" t="s">
        <v>3225</v>
      </c>
      <c r="M1873" s="531">
        <v>1.0</v>
      </c>
      <c r="N1873" s="209"/>
      <c r="O1873" s="209"/>
      <c r="P1873" s="209"/>
      <c r="Q1873" s="209"/>
      <c r="R1873" s="209"/>
      <c r="S1873" s="367"/>
      <c r="T1873" s="276"/>
      <c r="U1873" s="276"/>
      <c r="V1873" s="276"/>
      <c r="W1873" s="276"/>
      <c r="X1873" s="276"/>
      <c r="Y1873" s="276"/>
      <c r="Z1873" s="276"/>
      <c r="AA1873" s="276"/>
      <c r="AB1873" s="276"/>
      <c r="AC1873" s="276"/>
    </row>
    <row r="1874">
      <c r="A1874" s="645">
        <v>46169.0</v>
      </c>
      <c r="B1874" s="108" t="s">
        <v>6284</v>
      </c>
      <c r="C1874" s="374">
        <v>8.05011576292E11</v>
      </c>
      <c r="D1874" s="374" t="s">
        <v>6285</v>
      </c>
      <c r="E1874" s="374" t="s">
        <v>6286</v>
      </c>
      <c r="F1874" s="177" t="s">
        <v>6287</v>
      </c>
      <c r="G1874" s="177" t="s">
        <v>20</v>
      </c>
      <c r="H1874" s="177" t="s">
        <v>20</v>
      </c>
      <c r="I1874" s="374">
        <v>4400.0</v>
      </c>
      <c r="J1874" s="374">
        <v>3.874402651E9</v>
      </c>
      <c r="K1874" s="177" t="s">
        <v>512</v>
      </c>
      <c r="L1874" s="174" t="s">
        <v>513</v>
      </c>
      <c r="M1874" s="531">
        <v>1.0</v>
      </c>
      <c r="N1874" s="209"/>
      <c r="O1874" s="209"/>
      <c r="P1874" s="209"/>
      <c r="Q1874" s="209"/>
      <c r="R1874" s="209"/>
      <c r="S1874" s="367"/>
      <c r="T1874" s="276"/>
      <c r="U1874" s="276"/>
      <c r="V1874" s="276"/>
      <c r="W1874" s="276"/>
      <c r="X1874" s="276"/>
      <c r="Y1874" s="276"/>
      <c r="Z1874" s="276"/>
      <c r="AA1874" s="276"/>
      <c r="AB1874" s="276"/>
      <c r="AC1874" s="276"/>
    </row>
    <row r="1875">
      <c r="A1875" s="645">
        <v>46169.0</v>
      </c>
      <c r="B1875" s="108" t="s">
        <v>6284</v>
      </c>
      <c r="C1875" s="374">
        <v>8.05011576292E11</v>
      </c>
      <c r="D1875" s="374" t="s">
        <v>6285</v>
      </c>
      <c r="E1875" s="374" t="s">
        <v>6286</v>
      </c>
      <c r="F1875" s="177" t="s">
        <v>6287</v>
      </c>
      <c r="G1875" s="177" t="s">
        <v>20</v>
      </c>
      <c r="H1875" s="177" t="s">
        <v>20</v>
      </c>
      <c r="I1875" s="374">
        <v>4400.0</v>
      </c>
      <c r="J1875" s="374">
        <v>3.874402651E9</v>
      </c>
      <c r="K1875" s="177" t="s">
        <v>670</v>
      </c>
      <c r="L1875" s="174" t="s">
        <v>3410</v>
      </c>
      <c r="M1875" s="531">
        <v>1.0</v>
      </c>
      <c r="N1875" s="206"/>
      <c r="O1875" s="206"/>
      <c r="P1875" s="206"/>
      <c r="Q1875" s="206"/>
      <c r="R1875" s="206"/>
      <c r="S1875" s="367"/>
      <c r="T1875" s="276"/>
      <c r="U1875" s="276"/>
      <c r="V1875" s="276"/>
      <c r="W1875" s="276"/>
      <c r="X1875" s="276"/>
      <c r="Y1875" s="276"/>
      <c r="Z1875" s="276"/>
      <c r="AA1875" s="276"/>
      <c r="AB1875" s="276"/>
      <c r="AC1875" s="276"/>
    </row>
    <row r="1876">
      <c r="A1876" s="645">
        <v>46169.0</v>
      </c>
      <c r="B1876" s="108" t="s">
        <v>6288</v>
      </c>
      <c r="C1876" s="374">
        <v>8.07025036052E11</v>
      </c>
      <c r="D1876" s="374" t="s">
        <v>6289</v>
      </c>
      <c r="E1876" s="374" t="s">
        <v>6290</v>
      </c>
      <c r="F1876" s="177" t="s">
        <v>6291</v>
      </c>
      <c r="G1876" s="177" t="s">
        <v>104</v>
      </c>
      <c r="H1876" s="177" t="s">
        <v>20</v>
      </c>
      <c r="I1876" s="374">
        <v>4400.0</v>
      </c>
      <c r="J1876" s="374">
        <v>3.874489882E9</v>
      </c>
      <c r="K1876" s="177" t="s">
        <v>6292</v>
      </c>
      <c r="L1876" s="174" t="s">
        <v>6293</v>
      </c>
      <c r="M1876" s="531">
        <v>3.0</v>
      </c>
      <c r="N1876" s="481">
        <v>46171.0</v>
      </c>
      <c r="O1876" s="531" t="s">
        <v>9011</v>
      </c>
      <c r="P1876" s="387"/>
      <c r="Q1876" s="261" t="s">
        <v>13339</v>
      </c>
      <c r="R1876" s="434" t="s">
        <v>14327</v>
      </c>
      <c r="S1876" s="367"/>
      <c r="T1876" s="276"/>
      <c r="U1876" s="276"/>
      <c r="V1876" s="276"/>
      <c r="W1876" s="276"/>
      <c r="X1876" s="276"/>
      <c r="Y1876" s="276"/>
      <c r="Z1876" s="276"/>
      <c r="AA1876" s="276"/>
      <c r="AB1876" s="276"/>
      <c r="AC1876" s="276"/>
    </row>
    <row r="1877">
      <c r="A1877" s="645">
        <v>46169.0</v>
      </c>
      <c r="B1877" s="108" t="s">
        <v>6294</v>
      </c>
      <c r="C1877" s="374">
        <v>8.07839006614E11</v>
      </c>
      <c r="D1877" s="374" t="s">
        <v>6295</v>
      </c>
      <c r="E1877" s="374" t="s">
        <v>6296</v>
      </c>
      <c r="F1877" s="177" t="s">
        <v>6297</v>
      </c>
      <c r="G1877" s="177" t="s">
        <v>247</v>
      </c>
      <c r="H1877" s="177" t="s">
        <v>20</v>
      </c>
      <c r="I1877" s="374">
        <v>4400.0</v>
      </c>
      <c r="J1877" s="374">
        <v>3.87591297E9</v>
      </c>
      <c r="K1877" s="177" t="s">
        <v>32</v>
      </c>
      <c r="L1877" s="174" t="s">
        <v>3225</v>
      </c>
      <c r="M1877" s="531">
        <v>1.0</v>
      </c>
      <c r="N1877" s="480">
        <v>46171.0</v>
      </c>
      <c r="O1877" s="402" t="s">
        <v>9011</v>
      </c>
      <c r="P1877" s="534"/>
      <c r="Q1877" s="430" t="s">
        <v>13339</v>
      </c>
      <c r="R1877" s="432" t="s">
        <v>14328</v>
      </c>
      <c r="S1877" s="367"/>
      <c r="T1877" s="276"/>
      <c r="U1877" s="276"/>
      <c r="V1877" s="276"/>
      <c r="W1877" s="276"/>
      <c r="X1877" s="276"/>
      <c r="Y1877" s="276"/>
      <c r="Z1877" s="276"/>
      <c r="AA1877" s="276"/>
      <c r="AB1877" s="276"/>
      <c r="AC1877" s="276"/>
    </row>
    <row r="1878">
      <c r="A1878" s="645">
        <v>46169.0</v>
      </c>
      <c r="B1878" s="108" t="s">
        <v>6294</v>
      </c>
      <c r="C1878" s="374">
        <v>8.07839006614E11</v>
      </c>
      <c r="D1878" s="374" t="s">
        <v>6295</v>
      </c>
      <c r="E1878" s="374" t="s">
        <v>4529</v>
      </c>
      <c r="F1878" s="177" t="s">
        <v>6297</v>
      </c>
      <c r="G1878" s="177" t="s">
        <v>247</v>
      </c>
      <c r="H1878" s="177" t="s">
        <v>20</v>
      </c>
      <c r="I1878" s="374">
        <v>4400.0</v>
      </c>
      <c r="J1878" s="374">
        <v>3.87591297E9</v>
      </c>
      <c r="K1878" s="177" t="s">
        <v>512</v>
      </c>
      <c r="L1878" s="174" t="s">
        <v>513</v>
      </c>
      <c r="M1878" s="531">
        <v>1.0</v>
      </c>
      <c r="N1878" s="209"/>
      <c r="O1878" s="209"/>
      <c r="P1878" s="209"/>
      <c r="Q1878" s="209"/>
      <c r="R1878" s="209"/>
      <c r="S1878" s="367"/>
      <c r="T1878" s="276"/>
      <c r="U1878" s="276"/>
      <c r="V1878" s="276"/>
      <c r="W1878" s="276"/>
      <c r="X1878" s="276"/>
      <c r="Y1878" s="276"/>
      <c r="Z1878" s="276"/>
      <c r="AA1878" s="276"/>
      <c r="AB1878" s="276"/>
      <c r="AC1878" s="276"/>
    </row>
    <row r="1879">
      <c r="A1879" s="645">
        <v>46169.0</v>
      </c>
      <c r="B1879" s="108" t="s">
        <v>6294</v>
      </c>
      <c r="C1879" s="374">
        <v>8.07839006614E11</v>
      </c>
      <c r="D1879" s="374" t="s">
        <v>6295</v>
      </c>
      <c r="E1879" s="374" t="s">
        <v>6296</v>
      </c>
      <c r="F1879" s="177" t="s">
        <v>6297</v>
      </c>
      <c r="G1879" s="177" t="s">
        <v>247</v>
      </c>
      <c r="H1879" s="177" t="s">
        <v>20</v>
      </c>
      <c r="I1879" s="374">
        <v>4400.0</v>
      </c>
      <c r="J1879" s="374">
        <v>3.87591297E9</v>
      </c>
      <c r="K1879" s="177" t="s">
        <v>670</v>
      </c>
      <c r="L1879" s="174" t="s">
        <v>3410</v>
      </c>
      <c r="M1879" s="531">
        <v>1.0</v>
      </c>
      <c r="N1879" s="206"/>
      <c r="O1879" s="206"/>
      <c r="P1879" s="206"/>
      <c r="Q1879" s="206"/>
      <c r="R1879" s="206"/>
      <c r="S1879" s="367"/>
      <c r="T1879" s="276"/>
      <c r="U1879" s="276"/>
      <c r="V1879" s="276"/>
      <c r="W1879" s="276"/>
      <c r="X1879" s="276"/>
      <c r="Y1879" s="276"/>
      <c r="Z1879" s="276"/>
      <c r="AA1879" s="276"/>
      <c r="AB1879" s="276"/>
      <c r="AC1879" s="276"/>
    </row>
    <row r="1880">
      <c r="A1880" s="645">
        <v>46169.0</v>
      </c>
      <c r="B1880" s="108" t="s">
        <v>6298</v>
      </c>
      <c r="C1880" s="374">
        <v>8.07839006695E11</v>
      </c>
      <c r="D1880" s="374" t="s">
        <v>6299</v>
      </c>
      <c r="E1880" s="374" t="s">
        <v>6300</v>
      </c>
      <c r="F1880" s="177" t="s">
        <v>6301</v>
      </c>
      <c r="G1880" s="177" t="s">
        <v>41</v>
      </c>
      <c r="H1880" s="177" t="s">
        <v>20</v>
      </c>
      <c r="I1880" s="374">
        <v>4560.0</v>
      </c>
      <c r="J1880" s="374">
        <v>2.995274395E9</v>
      </c>
      <c r="K1880" s="177" t="s">
        <v>32</v>
      </c>
      <c r="L1880" s="174" t="s">
        <v>3225</v>
      </c>
      <c r="M1880" s="531">
        <v>1.0</v>
      </c>
      <c r="N1880" s="486">
        <v>46167.0</v>
      </c>
      <c r="O1880" s="487" t="s">
        <v>9011</v>
      </c>
      <c r="P1880" s="598"/>
      <c r="Q1880" s="487" t="s">
        <v>14184</v>
      </c>
      <c r="R1880" s="623" t="s">
        <v>14329</v>
      </c>
      <c r="S1880" s="367"/>
      <c r="T1880" s="276"/>
      <c r="U1880" s="276"/>
      <c r="V1880" s="276"/>
      <c r="W1880" s="276"/>
      <c r="X1880" s="276"/>
      <c r="Y1880" s="276"/>
      <c r="Z1880" s="276"/>
      <c r="AA1880" s="276"/>
      <c r="AB1880" s="276"/>
      <c r="AC1880" s="276"/>
    </row>
    <row r="1881">
      <c r="A1881" s="645">
        <v>46169.0</v>
      </c>
      <c r="B1881" s="108" t="s">
        <v>6298</v>
      </c>
      <c r="C1881" s="374">
        <v>8.07839006695E11</v>
      </c>
      <c r="D1881" s="374" t="s">
        <v>6299</v>
      </c>
      <c r="E1881" s="374" t="s">
        <v>6300</v>
      </c>
      <c r="F1881" s="177" t="s">
        <v>6301</v>
      </c>
      <c r="G1881" s="177" t="s">
        <v>41</v>
      </c>
      <c r="H1881" s="177" t="s">
        <v>20</v>
      </c>
      <c r="I1881" s="374">
        <v>4560.0</v>
      </c>
      <c r="J1881" s="374">
        <v>2.995274395E9</v>
      </c>
      <c r="K1881" s="177" t="s">
        <v>512</v>
      </c>
      <c r="L1881" s="174" t="s">
        <v>513</v>
      </c>
      <c r="M1881" s="531">
        <v>1.0</v>
      </c>
      <c r="N1881" s="209"/>
      <c r="O1881" s="209"/>
      <c r="P1881" s="209"/>
      <c r="Q1881" s="209"/>
      <c r="R1881" s="209"/>
      <c r="S1881" s="367"/>
      <c r="T1881" s="276"/>
      <c r="U1881" s="276"/>
      <c r="V1881" s="276"/>
      <c r="W1881" s="276"/>
      <c r="X1881" s="276"/>
      <c r="Y1881" s="276"/>
      <c r="Z1881" s="276"/>
      <c r="AA1881" s="276"/>
      <c r="AB1881" s="276"/>
      <c r="AC1881" s="276"/>
    </row>
    <row r="1882">
      <c r="A1882" s="645">
        <v>46169.0</v>
      </c>
      <c r="B1882" s="108" t="s">
        <v>6298</v>
      </c>
      <c r="C1882" s="374">
        <v>8.07839006695E11</v>
      </c>
      <c r="D1882" s="374" t="s">
        <v>6299</v>
      </c>
      <c r="E1882" s="374" t="s">
        <v>6300</v>
      </c>
      <c r="F1882" s="177" t="s">
        <v>6301</v>
      </c>
      <c r="G1882" s="177" t="s">
        <v>41</v>
      </c>
      <c r="H1882" s="177" t="s">
        <v>20</v>
      </c>
      <c r="I1882" s="374">
        <v>4560.0</v>
      </c>
      <c r="J1882" s="374">
        <v>2.995274395E9</v>
      </c>
      <c r="K1882" s="177" t="s">
        <v>670</v>
      </c>
      <c r="L1882" s="174" t="s">
        <v>3410</v>
      </c>
      <c r="M1882" s="531">
        <v>1.0</v>
      </c>
      <c r="N1882" s="206"/>
      <c r="O1882" s="206"/>
      <c r="P1882" s="206"/>
      <c r="Q1882" s="206"/>
      <c r="R1882" s="206"/>
      <c r="S1882" s="367"/>
      <c r="T1882" s="276"/>
      <c r="U1882" s="276"/>
      <c r="V1882" s="276"/>
      <c r="W1882" s="276"/>
      <c r="X1882" s="276"/>
      <c r="Y1882" s="276"/>
      <c r="Z1882" s="276"/>
      <c r="AA1882" s="276"/>
      <c r="AB1882" s="276"/>
      <c r="AC1882" s="276"/>
    </row>
    <row r="1883">
      <c r="A1883" s="645">
        <v>46169.0</v>
      </c>
      <c r="B1883" s="108" t="s">
        <v>6303</v>
      </c>
      <c r="C1883" s="374">
        <v>8.078390067E11</v>
      </c>
      <c r="D1883" s="374" t="s">
        <v>6304</v>
      </c>
      <c r="E1883" s="374" t="s">
        <v>6305</v>
      </c>
      <c r="F1883" s="177" t="s">
        <v>6306</v>
      </c>
      <c r="G1883" s="177" t="s">
        <v>20</v>
      </c>
      <c r="H1883" s="177" t="s">
        <v>20</v>
      </c>
      <c r="I1883" s="374">
        <v>4400.0</v>
      </c>
      <c r="J1883" s="374">
        <v>3.876109682E9</v>
      </c>
      <c r="K1883" s="177" t="s">
        <v>32</v>
      </c>
      <c r="L1883" s="174" t="s">
        <v>3225</v>
      </c>
      <c r="M1883" s="531">
        <v>1.0</v>
      </c>
      <c r="N1883" s="480">
        <v>46171.0</v>
      </c>
      <c r="O1883" s="402" t="s">
        <v>9011</v>
      </c>
      <c r="P1883" s="534"/>
      <c r="Q1883" s="430" t="s">
        <v>13339</v>
      </c>
      <c r="R1883" s="432" t="s">
        <v>14330</v>
      </c>
      <c r="S1883" s="367"/>
      <c r="T1883" s="276"/>
      <c r="U1883" s="276"/>
      <c r="V1883" s="276"/>
      <c r="W1883" s="276"/>
      <c r="X1883" s="276"/>
      <c r="Y1883" s="276"/>
      <c r="Z1883" s="276"/>
      <c r="AA1883" s="276"/>
      <c r="AB1883" s="276"/>
      <c r="AC1883" s="276"/>
    </row>
    <row r="1884">
      <c r="A1884" s="645">
        <v>46169.0</v>
      </c>
      <c r="B1884" s="108" t="s">
        <v>6303</v>
      </c>
      <c r="C1884" s="374">
        <v>8.078390067E11</v>
      </c>
      <c r="D1884" s="374" t="s">
        <v>6304</v>
      </c>
      <c r="E1884" s="374" t="s">
        <v>6305</v>
      </c>
      <c r="F1884" s="177" t="s">
        <v>6306</v>
      </c>
      <c r="G1884" s="177" t="s">
        <v>20</v>
      </c>
      <c r="H1884" s="177" t="s">
        <v>20</v>
      </c>
      <c r="I1884" s="374">
        <v>4400.0</v>
      </c>
      <c r="J1884" s="374">
        <v>3.876109682E9</v>
      </c>
      <c r="K1884" s="177" t="s">
        <v>512</v>
      </c>
      <c r="L1884" s="174" t="s">
        <v>513</v>
      </c>
      <c r="M1884" s="531">
        <v>1.0</v>
      </c>
      <c r="N1884" s="209"/>
      <c r="O1884" s="209"/>
      <c r="P1884" s="209"/>
      <c r="Q1884" s="209"/>
      <c r="R1884" s="209"/>
      <c r="S1884" s="367"/>
      <c r="T1884" s="276"/>
      <c r="U1884" s="276"/>
      <c r="V1884" s="276"/>
      <c r="W1884" s="276"/>
      <c r="X1884" s="276"/>
      <c r="Y1884" s="276"/>
      <c r="Z1884" s="276"/>
      <c r="AA1884" s="276"/>
      <c r="AB1884" s="276"/>
      <c r="AC1884" s="276"/>
    </row>
    <row r="1885">
      <c r="A1885" s="645">
        <v>46169.0</v>
      </c>
      <c r="B1885" s="108" t="s">
        <v>6303</v>
      </c>
      <c r="C1885" s="374">
        <v>8.078390067E11</v>
      </c>
      <c r="D1885" s="374" t="s">
        <v>6304</v>
      </c>
      <c r="E1885" s="374" t="s">
        <v>6305</v>
      </c>
      <c r="F1885" s="177" t="s">
        <v>6306</v>
      </c>
      <c r="G1885" s="177" t="s">
        <v>20</v>
      </c>
      <c r="H1885" s="177" t="s">
        <v>20</v>
      </c>
      <c r="I1885" s="374">
        <v>4400.0</v>
      </c>
      <c r="J1885" s="374">
        <v>3.876109682E9</v>
      </c>
      <c r="K1885" s="177" t="s">
        <v>670</v>
      </c>
      <c r="L1885" s="174" t="s">
        <v>3410</v>
      </c>
      <c r="M1885" s="531">
        <v>1.0</v>
      </c>
      <c r="N1885" s="206"/>
      <c r="O1885" s="206"/>
      <c r="P1885" s="206"/>
      <c r="Q1885" s="206"/>
      <c r="R1885" s="206"/>
      <c r="S1885" s="367"/>
      <c r="T1885" s="276"/>
      <c r="U1885" s="276"/>
      <c r="V1885" s="276"/>
      <c r="W1885" s="276"/>
      <c r="X1885" s="276"/>
      <c r="Y1885" s="276"/>
      <c r="Z1885" s="276"/>
      <c r="AA1885" s="276"/>
      <c r="AB1885" s="276"/>
      <c r="AC1885" s="276"/>
    </row>
    <row r="1886">
      <c r="A1886" s="645">
        <v>46169.0</v>
      </c>
      <c r="B1886" s="108" t="s">
        <v>6308</v>
      </c>
      <c r="C1886" s="374">
        <v>8.07839006824E11</v>
      </c>
      <c r="D1886" s="374" t="s">
        <v>6309</v>
      </c>
      <c r="E1886" s="374" t="s">
        <v>6310</v>
      </c>
      <c r="F1886" s="177" t="s">
        <v>6311</v>
      </c>
      <c r="G1886" s="177" t="s">
        <v>127</v>
      </c>
      <c r="H1886" s="177" t="s">
        <v>20</v>
      </c>
      <c r="I1886" s="374">
        <v>4400.0</v>
      </c>
      <c r="J1886" s="374">
        <v>3.8744792E9</v>
      </c>
      <c r="K1886" s="177" t="s">
        <v>32</v>
      </c>
      <c r="L1886" s="174" t="s">
        <v>3225</v>
      </c>
      <c r="M1886" s="531">
        <v>1.0</v>
      </c>
      <c r="N1886" s="480">
        <v>46171.0</v>
      </c>
      <c r="O1886" s="402" t="s">
        <v>9011</v>
      </c>
      <c r="P1886" s="534"/>
      <c r="Q1886" s="402" t="s">
        <v>9012</v>
      </c>
      <c r="R1886" s="535" t="s">
        <v>14331</v>
      </c>
      <c r="S1886" s="367"/>
      <c r="T1886" s="276"/>
      <c r="U1886" s="276"/>
      <c r="V1886" s="276"/>
      <c r="W1886" s="276"/>
      <c r="X1886" s="276"/>
      <c r="Y1886" s="276"/>
      <c r="Z1886" s="276"/>
      <c r="AA1886" s="276"/>
      <c r="AB1886" s="276"/>
      <c r="AC1886" s="276"/>
    </row>
    <row r="1887">
      <c r="A1887" s="645">
        <v>46169.0</v>
      </c>
      <c r="B1887" s="108" t="s">
        <v>6308</v>
      </c>
      <c r="C1887" s="374">
        <v>8.07839006824E11</v>
      </c>
      <c r="D1887" s="374" t="s">
        <v>6309</v>
      </c>
      <c r="E1887" s="374" t="s">
        <v>6310</v>
      </c>
      <c r="F1887" s="177" t="s">
        <v>6311</v>
      </c>
      <c r="G1887" s="177" t="s">
        <v>127</v>
      </c>
      <c r="H1887" s="177" t="s">
        <v>20</v>
      </c>
      <c r="I1887" s="374">
        <v>4400.0</v>
      </c>
      <c r="J1887" s="374">
        <v>3.8744792E9</v>
      </c>
      <c r="K1887" s="177" t="s">
        <v>512</v>
      </c>
      <c r="L1887" s="174" t="s">
        <v>513</v>
      </c>
      <c r="M1887" s="531">
        <v>1.0</v>
      </c>
      <c r="N1887" s="209"/>
      <c r="O1887" s="209"/>
      <c r="P1887" s="209"/>
      <c r="Q1887" s="209"/>
      <c r="R1887" s="209"/>
      <c r="S1887" s="367"/>
      <c r="T1887" s="276"/>
      <c r="U1887" s="276"/>
      <c r="V1887" s="276"/>
      <c r="W1887" s="276"/>
      <c r="X1887" s="276"/>
      <c r="Y1887" s="276"/>
      <c r="Z1887" s="276"/>
      <c r="AA1887" s="276"/>
      <c r="AB1887" s="276"/>
      <c r="AC1887" s="276"/>
    </row>
    <row r="1888">
      <c r="A1888" s="645">
        <v>46169.0</v>
      </c>
      <c r="B1888" s="108" t="s">
        <v>6308</v>
      </c>
      <c r="C1888" s="374">
        <v>8.07839006824E11</v>
      </c>
      <c r="D1888" s="374" t="s">
        <v>6309</v>
      </c>
      <c r="E1888" s="374" t="s">
        <v>6310</v>
      </c>
      <c r="F1888" s="177" t="s">
        <v>6311</v>
      </c>
      <c r="G1888" s="177" t="s">
        <v>127</v>
      </c>
      <c r="H1888" s="177" t="s">
        <v>20</v>
      </c>
      <c r="I1888" s="374">
        <v>4400.0</v>
      </c>
      <c r="J1888" s="374">
        <v>3.8744792E9</v>
      </c>
      <c r="K1888" s="177" t="s">
        <v>670</v>
      </c>
      <c r="L1888" s="174" t="s">
        <v>3410</v>
      </c>
      <c r="M1888" s="531">
        <v>1.0</v>
      </c>
      <c r="N1888" s="206"/>
      <c r="O1888" s="206"/>
      <c r="P1888" s="206"/>
      <c r="Q1888" s="206"/>
      <c r="R1888" s="206"/>
      <c r="S1888" s="367"/>
      <c r="T1888" s="276"/>
      <c r="U1888" s="276"/>
      <c r="V1888" s="276"/>
      <c r="W1888" s="276"/>
      <c r="X1888" s="276"/>
      <c r="Y1888" s="276"/>
      <c r="Z1888" s="276"/>
      <c r="AA1888" s="276"/>
      <c r="AB1888" s="276"/>
      <c r="AC1888" s="276"/>
    </row>
    <row r="1889">
      <c r="A1889" s="645">
        <v>46169.0</v>
      </c>
      <c r="B1889" s="108" t="s">
        <v>6312</v>
      </c>
      <c r="C1889" s="374">
        <v>8.0783900683E11</v>
      </c>
      <c r="D1889" s="374" t="s">
        <v>6313</v>
      </c>
      <c r="E1889" s="374" t="s">
        <v>6314</v>
      </c>
      <c r="F1889" s="177" t="s">
        <v>6315</v>
      </c>
      <c r="G1889" s="177" t="s">
        <v>20</v>
      </c>
      <c r="H1889" s="177" t="s">
        <v>20</v>
      </c>
      <c r="I1889" s="374">
        <v>4400.0</v>
      </c>
      <c r="J1889" s="374">
        <v>3.874599959E9</v>
      </c>
      <c r="K1889" s="177" t="s">
        <v>617</v>
      </c>
      <c r="L1889" s="174" t="s">
        <v>3867</v>
      </c>
      <c r="M1889" s="531">
        <v>1.0</v>
      </c>
      <c r="N1889" s="481">
        <v>46171.0</v>
      </c>
      <c r="O1889" s="531" t="s">
        <v>9011</v>
      </c>
      <c r="P1889" s="387"/>
      <c r="Q1889" s="261" t="s">
        <v>14332</v>
      </c>
      <c r="R1889" s="434" t="s">
        <v>14333</v>
      </c>
      <c r="S1889" s="367"/>
      <c r="T1889" s="276"/>
      <c r="U1889" s="276"/>
      <c r="V1889" s="276"/>
      <c r="W1889" s="276"/>
      <c r="X1889" s="276"/>
      <c r="Y1889" s="276"/>
      <c r="Z1889" s="276"/>
      <c r="AA1889" s="276"/>
      <c r="AB1889" s="276"/>
      <c r="AC1889" s="276"/>
    </row>
    <row r="1890">
      <c r="A1890" s="645">
        <v>46169.0</v>
      </c>
      <c r="B1890" s="108" t="s">
        <v>6316</v>
      </c>
      <c r="C1890" s="374">
        <v>8.07839006854E11</v>
      </c>
      <c r="D1890" s="374" t="s">
        <v>6317</v>
      </c>
      <c r="E1890" s="374" t="s">
        <v>6318</v>
      </c>
      <c r="F1890" s="177" t="s">
        <v>6319</v>
      </c>
      <c r="G1890" s="177" t="s">
        <v>20</v>
      </c>
      <c r="H1890" s="177" t="s">
        <v>20</v>
      </c>
      <c r="I1890" s="374">
        <v>4400.0</v>
      </c>
      <c r="J1890" s="374">
        <v>3.874032949E9</v>
      </c>
      <c r="K1890" s="177" t="s">
        <v>32</v>
      </c>
      <c r="L1890" s="174" t="s">
        <v>3225</v>
      </c>
      <c r="M1890" s="531">
        <v>1.0</v>
      </c>
      <c r="N1890" s="480">
        <v>46171.0</v>
      </c>
      <c r="O1890" s="402" t="s">
        <v>9011</v>
      </c>
      <c r="P1890" s="534"/>
      <c r="Q1890" s="430" t="s">
        <v>14334</v>
      </c>
      <c r="R1890" s="432" t="s">
        <v>14335</v>
      </c>
      <c r="S1890" s="367"/>
      <c r="T1890" s="276"/>
      <c r="U1890" s="276"/>
      <c r="V1890" s="276"/>
      <c r="W1890" s="276"/>
      <c r="X1890" s="276"/>
      <c r="Y1890" s="276"/>
      <c r="Z1890" s="276"/>
      <c r="AA1890" s="276"/>
      <c r="AB1890" s="276"/>
      <c r="AC1890" s="276"/>
    </row>
    <row r="1891">
      <c r="A1891" s="645">
        <v>46169.0</v>
      </c>
      <c r="B1891" s="108" t="s">
        <v>6316</v>
      </c>
      <c r="C1891" s="374">
        <v>8.07839006854E11</v>
      </c>
      <c r="D1891" s="374" t="s">
        <v>6317</v>
      </c>
      <c r="E1891" s="374" t="s">
        <v>6318</v>
      </c>
      <c r="F1891" s="177" t="s">
        <v>6319</v>
      </c>
      <c r="G1891" s="177" t="s">
        <v>20</v>
      </c>
      <c r="H1891" s="177" t="s">
        <v>20</v>
      </c>
      <c r="I1891" s="374">
        <v>4400.0</v>
      </c>
      <c r="J1891" s="374">
        <v>3.874032949E9</v>
      </c>
      <c r="K1891" s="177" t="s">
        <v>512</v>
      </c>
      <c r="L1891" s="174" t="s">
        <v>513</v>
      </c>
      <c r="M1891" s="531">
        <v>1.0</v>
      </c>
      <c r="N1891" s="209"/>
      <c r="O1891" s="209"/>
      <c r="P1891" s="209"/>
      <c r="Q1891" s="209"/>
      <c r="R1891" s="209"/>
      <c r="S1891" s="367"/>
      <c r="T1891" s="276"/>
      <c r="U1891" s="276"/>
      <c r="V1891" s="276"/>
      <c r="W1891" s="276"/>
      <c r="X1891" s="276"/>
      <c r="Y1891" s="276"/>
      <c r="Z1891" s="276"/>
      <c r="AA1891" s="276"/>
      <c r="AB1891" s="276"/>
      <c r="AC1891" s="276"/>
    </row>
    <row r="1892">
      <c r="A1892" s="645">
        <v>46169.0</v>
      </c>
      <c r="B1892" s="108" t="s">
        <v>6316</v>
      </c>
      <c r="C1892" s="374">
        <v>8.07839006854E11</v>
      </c>
      <c r="D1892" s="374" t="s">
        <v>6317</v>
      </c>
      <c r="E1892" s="374" t="s">
        <v>6318</v>
      </c>
      <c r="F1892" s="177" t="s">
        <v>6319</v>
      </c>
      <c r="G1892" s="177" t="s">
        <v>20</v>
      </c>
      <c r="H1892" s="177" t="s">
        <v>20</v>
      </c>
      <c r="I1892" s="374">
        <v>4400.0</v>
      </c>
      <c r="J1892" s="374">
        <v>3.874032949E9</v>
      </c>
      <c r="K1892" s="177" t="s">
        <v>670</v>
      </c>
      <c r="L1892" s="174" t="s">
        <v>3410</v>
      </c>
      <c r="M1892" s="531">
        <v>1.0</v>
      </c>
      <c r="N1892" s="206"/>
      <c r="O1892" s="206"/>
      <c r="P1892" s="206"/>
      <c r="Q1892" s="206"/>
      <c r="R1892" s="206"/>
      <c r="S1892" s="367"/>
      <c r="T1892" s="276"/>
      <c r="U1892" s="276"/>
      <c r="V1892" s="276"/>
      <c r="W1892" s="276"/>
      <c r="X1892" s="276"/>
      <c r="Y1892" s="276"/>
      <c r="Z1892" s="276"/>
      <c r="AA1892" s="276"/>
      <c r="AB1892" s="276"/>
      <c r="AC1892" s="276"/>
    </row>
    <row r="1893">
      <c r="A1893" s="645">
        <v>46169.0</v>
      </c>
      <c r="B1893" s="108" t="s">
        <v>6321</v>
      </c>
      <c r="C1893" s="374">
        <v>8.07839007062E11</v>
      </c>
      <c r="D1893" s="374" t="s">
        <v>6322</v>
      </c>
      <c r="E1893" s="374" t="s">
        <v>6323</v>
      </c>
      <c r="F1893" s="177" t="s">
        <v>6324</v>
      </c>
      <c r="G1893" s="177" t="s">
        <v>247</v>
      </c>
      <c r="H1893" s="177" t="s">
        <v>20</v>
      </c>
      <c r="I1893" s="374">
        <v>4400.0</v>
      </c>
      <c r="J1893" s="374">
        <v>5.43875929446E11</v>
      </c>
      <c r="K1893" s="177" t="s">
        <v>32</v>
      </c>
      <c r="L1893" s="174" t="s">
        <v>3225</v>
      </c>
      <c r="M1893" s="531">
        <v>1.0</v>
      </c>
      <c r="N1893" s="480">
        <v>46171.0</v>
      </c>
      <c r="O1893" s="402" t="s">
        <v>9011</v>
      </c>
      <c r="P1893" s="534"/>
      <c r="Q1893" s="430" t="s">
        <v>9012</v>
      </c>
      <c r="R1893" s="432" t="s">
        <v>14336</v>
      </c>
      <c r="S1893" s="367"/>
      <c r="T1893" s="276"/>
      <c r="U1893" s="276"/>
      <c r="V1893" s="276"/>
      <c r="W1893" s="276"/>
      <c r="X1893" s="276"/>
      <c r="Y1893" s="276"/>
      <c r="Z1893" s="276"/>
      <c r="AA1893" s="276"/>
      <c r="AB1893" s="276"/>
      <c r="AC1893" s="276"/>
    </row>
    <row r="1894">
      <c r="A1894" s="645">
        <v>46169.0</v>
      </c>
      <c r="B1894" s="108" t="s">
        <v>6321</v>
      </c>
      <c r="C1894" s="374">
        <v>8.07839007062E11</v>
      </c>
      <c r="D1894" s="374" t="s">
        <v>6322</v>
      </c>
      <c r="E1894" s="374" t="s">
        <v>6323</v>
      </c>
      <c r="F1894" s="177" t="s">
        <v>6324</v>
      </c>
      <c r="G1894" s="177" t="s">
        <v>247</v>
      </c>
      <c r="H1894" s="177" t="s">
        <v>20</v>
      </c>
      <c r="I1894" s="374">
        <v>4400.0</v>
      </c>
      <c r="J1894" s="374">
        <v>5.43875929446E11</v>
      </c>
      <c r="K1894" s="177" t="s">
        <v>512</v>
      </c>
      <c r="L1894" s="174" t="s">
        <v>513</v>
      </c>
      <c r="M1894" s="531">
        <v>1.0</v>
      </c>
      <c r="N1894" s="209"/>
      <c r="O1894" s="209"/>
      <c r="P1894" s="209"/>
      <c r="Q1894" s="209"/>
      <c r="R1894" s="209"/>
      <c r="S1894" s="367"/>
      <c r="T1894" s="276"/>
      <c r="U1894" s="276"/>
      <c r="V1894" s="276"/>
      <c r="W1894" s="276"/>
      <c r="X1894" s="276"/>
      <c r="Y1894" s="276"/>
      <c r="Z1894" s="276"/>
      <c r="AA1894" s="276"/>
      <c r="AB1894" s="276"/>
      <c r="AC1894" s="276"/>
    </row>
    <row r="1895">
      <c r="A1895" s="645">
        <v>46169.0</v>
      </c>
      <c r="B1895" s="108" t="s">
        <v>6321</v>
      </c>
      <c r="C1895" s="374">
        <v>8.07839007062E11</v>
      </c>
      <c r="D1895" s="374" t="s">
        <v>6322</v>
      </c>
      <c r="E1895" s="374" t="s">
        <v>6323</v>
      </c>
      <c r="F1895" s="177" t="s">
        <v>6324</v>
      </c>
      <c r="G1895" s="177" t="s">
        <v>247</v>
      </c>
      <c r="H1895" s="177" t="s">
        <v>20</v>
      </c>
      <c r="I1895" s="374">
        <v>4400.0</v>
      </c>
      <c r="J1895" s="374">
        <v>5.43875929446E11</v>
      </c>
      <c r="K1895" s="177" t="s">
        <v>670</v>
      </c>
      <c r="L1895" s="174" t="s">
        <v>3410</v>
      </c>
      <c r="M1895" s="531">
        <v>1.0</v>
      </c>
      <c r="N1895" s="206"/>
      <c r="O1895" s="206"/>
      <c r="P1895" s="206"/>
      <c r="Q1895" s="206"/>
      <c r="R1895" s="206"/>
      <c r="S1895" s="367"/>
      <c r="T1895" s="276"/>
      <c r="U1895" s="276"/>
      <c r="V1895" s="276"/>
      <c r="W1895" s="276"/>
      <c r="X1895" s="276"/>
      <c r="Y1895" s="276"/>
      <c r="Z1895" s="276"/>
      <c r="AA1895" s="276"/>
      <c r="AB1895" s="276"/>
      <c r="AC1895" s="276"/>
    </row>
    <row r="1896">
      <c r="A1896" s="645">
        <v>46169.0</v>
      </c>
      <c r="B1896" s="108" t="s">
        <v>6326</v>
      </c>
      <c r="C1896" s="374">
        <v>8.05011574926E11</v>
      </c>
      <c r="D1896" s="374" t="s">
        <v>6327</v>
      </c>
      <c r="E1896" s="374" t="s">
        <v>6328</v>
      </c>
      <c r="F1896" s="177" t="s">
        <v>6329</v>
      </c>
      <c r="G1896" s="177" t="s">
        <v>247</v>
      </c>
      <c r="H1896" s="177" t="s">
        <v>20</v>
      </c>
      <c r="I1896" s="374">
        <v>4400.0</v>
      </c>
      <c r="J1896" s="374">
        <v>3.875716752E9</v>
      </c>
      <c r="K1896" s="177" t="s">
        <v>6105</v>
      </c>
      <c r="L1896" s="174" t="s">
        <v>6106</v>
      </c>
      <c r="M1896" s="531">
        <v>1.0</v>
      </c>
      <c r="N1896" s="481">
        <v>46171.0</v>
      </c>
      <c r="O1896" s="531" t="s">
        <v>9011</v>
      </c>
      <c r="P1896" s="387"/>
      <c r="Q1896" s="261" t="s">
        <v>14337</v>
      </c>
      <c r="R1896" s="434" t="s">
        <v>14338</v>
      </c>
      <c r="S1896" s="367"/>
      <c r="T1896" s="276"/>
      <c r="U1896" s="276"/>
      <c r="V1896" s="276"/>
      <c r="W1896" s="276"/>
      <c r="X1896" s="276"/>
      <c r="Y1896" s="276"/>
      <c r="Z1896" s="276"/>
      <c r="AA1896" s="276"/>
      <c r="AB1896" s="276"/>
      <c r="AC1896" s="276"/>
    </row>
    <row r="1897">
      <c r="A1897" s="645">
        <v>46169.0</v>
      </c>
      <c r="B1897" s="108" t="s">
        <v>6330</v>
      </c>
      <c r="C1897" s="374">
        <v>8.0501157579E11</v>
      </c>
      <c r="D1897" s="374" t="s">
        <v>6331</v>
      </c>
      <c r="E1897" s="374" t="s">
        <v>6332</v>
      </c>
      <c r="F1897" s="177" t="s">
        <v>6333</v>
      </c>
      <c r="G1897" s="177" t="s">
        <v>247</v>
      </c>
      <c r="H1897" s="177" t="s">
        <v>20</v>
      </c>
      <c r="I1897" s="374">
        <v>4400.0</v>
      </c>
      <c r="J1897" s="374">
        <v>3.875742269E9</v>
      </c>
      <c r="K1897" s="177" t="s">
        <v>6105</v>
      </c>
      <c r="L1897" s="174" t="s">
        <v>6106</v>
      </c>
      <c r="M1897" s="531">
        <v>1.0</v>
      </c>
      <c r="N1897" s="481">
        <v>46171.0</v>
      </c>
      <c r="O1897" s="531" t="s">
        <v>9011</v>
      </c>
      <c r="P1897" s="387"/>
      <c r="Q1897" s="261" t="s">
        <v>14339</v>
      </c>
      <c r="R1897" s="434" t="s">
        <v>14340</v>
      </c>
      <c r="S1897" s="367"/>
      <c r="T1897" s="276"/>
      <c r="U1897" s="276"/>
      <c r="V1897" s="276"/>
      <c r="W1897" s="276"/>
      <c r="X1897" s="276"/>
      <c r="Y1897" s="276"/>
      <c r="Z1897" s="276"/>
      <c r="AA1897" s="276"/>
      <c r="AB1897" s="276"/>
      <c r="AC1897" s="276"/>
    </row>
    <row r="1898">
      <c r="A1898" s="645">
        <v>46169.0</v>
      </c>
      <c r="B1898" s="108" t="s">
        <v>6334</v>
      </c>
      <c r="C1898" s="374">
        <v>8.07025036055E11</v>
      </c>
      <c r="D1898" s="374" t="s">
        <v>6335</v>
      </c>
      <c r="E1898" s="374" t="s">
        <v>6336</v>
      </c>
      <c r="F1898" s="177" t="s">
        <v>6337</v>
      </c>
      <c r="G1898" s="177" t="s">
        <v>247</v>
      </c>
      <c r="H1898" s="177" t="s">
        <v>20</v>
      </c>
      <c r="I1898" s="374">
        <v>4400.0</v>
      </c>
      <c r="J1898" s="374">
        <v>3.874493285E9</v>
      </c>
      <c r="K1898" s="177" t="s">
        <v>5185</v>
      </c>
      <c r="L1898" s="174" t="s">
        <v>5186</v>
      </c>
      <c r="M1898" s="531">
        <v>2.0</v>
      </c>
      <c r="N1898" s="481">
        <v>46170.0</v>
      </c>
      <c r="O1898" s="531" t="s">
        <v>9011</v>
      </c>
      <c r="P1898" s="387"/>
      <c r="Q1898" s="261" t="s">
        <v>13339</v>
      </c>
      <c r="R1898" s="434" t="s">
        <v>14341</v>
      </c>
      <c r="S1898" s="367"/>
      <c r="T1898" s="276"/>
      <c r="U1898" s="276"/>
      <c r="V1898" s="276"/>
      <c r="W1898" s="276"/>
      <c r="X1898" s="276"/>
      <c r="Y1898" s="276"/>
      <c r="Z1898" s="276"/>
      <c r="AA1898" s="276"/>
      <c r="AB1898" s="276"/>
      <c r="AC1898" s="276"/>
    </row>
    <row r="1899">
      <c r="A1899" s="645">
        <v>46169.0</v>
      </c>
      <c r="B1899" s="108" t="s">
        <v>6338</v>
      </c>
      <c r="C1899" s="374">
        <v>8.07025036208E11</v>
      </c>
      <c r="D1899" s="374" t="s">
        <v>6339</v>
      </c>
      <c r="E1899" s="374" t="s">
        <v>6340</v>
      </c>
      <c r="F1899" s="177" t="s">
        <v>6341</v>
      </c>
      <c r="G1899" s="177" t="s">
        <v>247</v>
      </c>
      <c r="H1899" s="177" t="s">
        <v>20</v>
      </c>
      <c r="I1899" s="374">
        <v>4400.0</v>
      </c>
      <c r="J1899" s="374">
        <v>3.874835385E9</v>
      </c>
      <c r="K1899" s="177" t="s">
        <v>512</v>
      </c>
      <c r="L1899" s="174" t="s">
        <v>513</v>
      </c>
      <c r="M1899" s="531">
        <v>12.0</v>
      </c>
      <c r="N1899" s="480">
        <v>46170.0</v>
      </c>
      <c r="O1899" s="402" t="s">
        <v>9011</v>
      </c>
      <c r="P1899" s="534"/>
      <c r="Q1899" s="430" t="s">
        <v>13339</v>
      </c>
      <c r="R1899" s="432" t="s">
        <v>14342</v>
      </c>
      <c r="S1899" s="367"/>
      <c r="T1899" s="276"/>
      <c r="U1899" s="276"/>
      <c r="V1899" s="276"/>
      <c r="W1899" s="276"/>
      <c r="X1899" s="276"/>
      <c r="Y1899" s="276"/>
      <c r="Z1899" s="276"/>
      <c r="AA1899" s="276"/>
      <c r="AB1899" s="276"/>
      <c r="AC1899" s="276"/>
    </row>
    <row r="1900">
      <c r="A1900" s="645">
        <v>46169.0</v>
      </c>
      <c r="B1900" s="108" t="s">
        <v>6342</v>
      </c>
      <c r="C1900" s="374">
        <v>8.07025036209E11</v>
      </c>
      <c r="D1900" s="374" t="s">
        <v>6339</v>
      </c>
      <c r="E1900" s="374" t="s">
        <v>6340</v>
      </c>
      <c r="F1900" s="177" t="s">
        <v>6341</v>
      </c>
      <c r="G1900" s="177" t="s">
        <v>247</v>
      </c>
      <c r="H1900" s="177" t="s">
        <v>20</v>
      </c>
      <c r="I1900" s="374">
        <v>4400.0</v>
      </c>
      <c r="J1900" s="374">
        <v>3.874835385E9</v>
      </c>
      <c r="K1900" s="177" t="s">
        <v>6343</v>
      </c>
      <c r="L1900" s="174" t="s">
        <v>6344</v>
      </c>
      <c r="M1900" s="531">
        <v>1.0</v>
      </c>
      <c r="N1900" s="209"/>
      <c r="O1900" s="209"/>
      <c r="P1900" s="209"/>
      <c r="Q1900" s="209"/>
      <c r="R1900" s="209"/>
      <c r="S1900" s="367"/>
      <c r="T1900" s="276"/>
      <c r="U1900" s="276"/>
      <c r="V1900" s="276"/>
      <c r="W1900" s="276"/>
      <c r="X1900" s="276"/>
      <c r="Y1900" s="276"/>
      <c r="Z1900" s="276"/>
      <c r="AA1900" s="276"/>
      <c r="AB1900" s="276"/>
      <c r="AC1900" s="276"/>
    </row>
    <row r="1901">
      <c r="A1901" s="645">
        <v>46169.0</v>
      </c>
      <c r="B1901" s="108" t="s">
        <v>6342</v>
      </c>
      <c r="C1901" s="374">
        <v>8.07025036209E11</v>
      </c>
      <c r="D1901" s="374" t="s">
        <v>6339</v>
      </c>
      <c r="E1901" s="374" t="s">
        <v>6340</v>
      </c>
      <c r="F1901" s="177" t="s">
        <v>6341</v>
      </c>
      <c r="G1901" s="177" t="s">
        <v>247</v>
      </c>
      <c r="H1901" s="177" t="s">
        <v>20</v>
      </c>
      <c r="I1901" s="374">
        <v>4400.0</v>
      </c>
      <c r="J1901" s="374">
        <v>3.874835385E9</v>
      </c>
      <c r="K1901" s="177" t="s">
        <v>233</v>
      </c>
      <c r="L1901" s="174" t="s">
        <v>3459</v>
      </c>
      <c r="M1901" s="531">
        <v>2.0</v>
      </c>
      <c r="N1901" s="206"/>
      <c r="O1901" s="206"/>
      <c r="P1901" s="206"/>
      <c r="Q1901" s="206"/>
      <c r="R1901" s="206"/>
      <c r="S1901" s="367"/>
      <c r="T1901" s="276"/>
      <c r="U1901" s="276"/>
      <c r="V1901" s="276"/>
      <c r="W1901" s="276"/>
      <c r="X1901" s="276"/>
      <c r="Y1901" s="276"/>
      <c r="Z1901" s="276"/>
      <c r="AA1901" s="276"/>
      <c r="AB1901" s="276"/>
      <c r="AC1901" s="276"/>
    </row>
    <row r="1902">
      <c r="A1902" s="651"/>
      <c r="B1902" s="602"/>
      <c r="C1902" s="604"/>
      <c r="D1902" s="604"/>
      <c r="E1902" s="604"/>
      <c r="F1902" s="605"/>
      <c r="G1902" s="605"/>
      <c r="H1902" s="605"/>
      <c r="I1902" s="604"/>
      <c r="J1902" s="604"/>
      <c r="K1902" s="605"/>
      <c r="L1902" s="607"/>
      <c r="M1902" s="531"/>
      <c r="N1902" s="387"/>
      <c r="O1902" s="387"/>
      <c r="P1902" s="387"/>
      <c r="Q1902" s="261"/>
      <c r="R1902" s="449"/>
      <c r="S1902" s="367"/>
      <c r="T1902" s="276"/>
      <c r="U1902" s="276"/>
      <c r="V1902" s="276"/>
      <c r="W1902" s="276"/>
      <c r="X1902" s="276"/>
      <c r="Y1902" s="276"/>
      <c r="Z1902" s="276"/>
      <c r="AA1902" s="276"/>
      <c r="AB1902" s="276"/>
      <c r="AC1902" s="276"/>
    </row>
    <row r="1903">
      <c r="A1903" s="108" t="s">
        <v>12961</v>
      </c>
      <c r="B1903" s="173">
        <v>46163.0</v>
      </c>
      <c r="C1903" s="374">
        <v>8.07000036195E11</v>
      </c>
      <c r="D1903" s="374" t="s">
        <v>12962</v>
      </c>
      <c r="E1903" s="374" t="s">
        <v>12963</v>
      </c>
      <c r="F1903" s="177" t="s">
        <v>12964</v>
      </c>
      <c r="G1903" s="177" t="s">
        <v>20</v>
      </c>
      <c r="H1903" s="177" t="s">
        <v>5840</v>
      </c>
      <c r="I1903" s="176" t="s">
        <v>12965</v>
      </c>
      <c r="J1903" s="374" t="s">
        <v>12966</v>
      </c>
      <c r="K1903" s="177">
        <v>1.0</v>
      </c>
      <c r="L1903" s="174">
        <v>3.87520959E9</v>
      </c>
      <c r="M1903" s="531"/>
      <c r="N1903" s="481">
        <v>46163.0</v>
      </c>
      <c r="O1903" s="531" t="s">
        <v>9011</v>
      </c>
      <c r="P1903" s="387"/>
      <c r="Q1903" s="261" t="s">
        <v>14343</v>
      </c>
      <c r="R1903" s="434" t="s">
        <v>14344</v>
      </c>
      <c r="S1903" s="367"/>
      <c r="T1903" s="276"/>
      <c r="U1903" s="276"/>
      <c r="V1903" s="276"/>
      <c r="W1903" s="276"/>
      <c r="X1903" s="276"/>
      <c r="Y1903" s="276"/>
      <c r="Z1903" s="276"/>
      <c r="AA1903" s="276"/>
      <c r="AB1903" s="276"/>
      <c r="AC1903" s="276"/>
    </row>
    <row r="1904">
      <c r="A1904" s="108" t="s">
        <v>12967</v>
      </c>
      <c r="B1904" s="173">
        <v>46163.0</v>
      </c>
      <c r="C1904" s="374">
        <v>8.07000036207E11</v>
      </c>
      <c r="D1904" s="374" t="s">
        <v>12917</v>
      </c>
      <c r="E1904" s="374" t="s">
        <v>12918</v>
      </c>
      <c r="F1904" s="177" t="s">
        <v>12919</v>
      </c>
      <c r="G1904" s="177" t="s">
        <v>127</v>
      </c>
      <c r="H1904" s="177">
        <v>4400.0</v>
      </c>
      <c r="I1904" s="176" t="s">
        <v>1747</v>
      </c>
      <c r="J1904" s="374" t="s">
        <v>4208</v>
      </c>
      <c r="K1904" s="177">
        <v>1.0</v>
      </c>
      <c r="L1904" s="174">
        <v>3.874450671E9</v>
      </c>
      <c r="M1904" s="531"/>
      <c r="N1904" s="481">
        <v>46163.0</v>
      </c>
      <c r="O1904" s="531" t="s">
        <v>9011</v>
      </c>
      <c r="P1904" s="387"/>
      <c r="Q1904" s="261" t="s">
        <v>14345</v>
      </c>
      <c r="R1904" s="434" t="s">
        <v>14346</v>
      </c>
      <c r="S1904" s="367"/>
      <c r="T1904" s="276"/>
      <c r="U1904" s="276"/>
      <c r="V1904" s="276"/>
      <c r="W1904" s="276"/>
      <c r="X1904" s="276"/>
      <c r="Y1904" s="276"/>
      <c r="Z1904" s="276"/>
      <c r="AA1904" s="276"/>
      <c r="AB1904" s="276"/>
      <c r="AC1904" s="276"/>
    </row>
    <row r="1905">
      <c r="A1905" s="108" t="s">
        <v>12968</v>
      </c>
      <c r="B1905" s="173">
        <v>46163.0</v>
      </c>
      <c r="C1905" s="374">
        <v>8.07000036211E11</v>
      </c>
      <c r="D1905" s="374" t="s">
        <v>12969</v>
      </c>
      <c r="E1905" s="374" t="s">
        <v>12970</v>
      </c>
      <c r="F1905" s="177" t="s">
        <v>12971</v>
      </c>
      <c r="G1905" s="177" t="s">
        <v>127</v>
      </c>
      <c r="H1905" s="177">
        <v>4400.0</v>
      </c>
      <c r="I1905" s="176">
        <v>125823.0</v>
      </c>
      <c r="J1905" s="374" t="s">
        <v>11232</v>
      </c>
      <c r="K1905" s="177">
        <v>2.0</v>
      </c>
      <c r="L1905" s="174">
        <v>3.874539157E9</v>
      </c>
      <c r="M1905" s="531"/>
      <c r="N1905" s="480">
        <v>46163.0</v>
      </c>
      <c r="O1905" s="402" t="s">
        <v>9011</v>
      </c>
      <c r="P1905" s="534"/>
      <c r="Q1905" s="430" t="s">
        <v>14347</v>
      </c>
      <c r="R1905" s="432" t="s">
        <v>14348</v>
      </c>
      <c r="S1905" s="367"/>
      <c r="T1905" s="276"/>
      <c r="U1905" s="276"/>
      <c r="V1905" s="276"/>
      <c r="W1905" s="276"/>
      <c r="X1905" s="276"/>
      <c r="Y1905" s="276"/>
      <c r="Z1905" s="276"/>
      <c r="AA1905" s="276"/>
      <c r="AB1905" s="276"/>
      <c r="AC1905" s="276"/>
    </row>
    <row r="1906">
      <c r="A1906" s="108" t="s">
        <v>12968</v>
      </c>
      <c r="B1906" s="173">
        <v>46163.0</v>
      </c>
      <c r="C1906" s="374">
        <v>8.07000036212E11</v>
      </c>
      <c r="D1906" s="374" t="s">
        <v>12969</v>
      </c>
      <c r="E1906" s="374" t="s">
        <v>12970</v>
      </c>
      <c r="F1906" s="177" t="s">
        <v>12971</v>
      </c>
      <c r="G1906" s="177" t="s">
        <v>127</v>
      </c>
      <c r="H1906" s="177">
        <v>4400.0</v>
      </c>
      <c r="I1906" s="176" t="s">
        <v>5842</v>
      </c>
      <c r="J1906" s="374" t="s">
        <v>5843</v>
      </c>
      <c r="K1906" s="177">
        <v>1.0</v>
      </c>
      <c r="L1906" s="174">
        <v>3.874539157E9</v>
      </c>
      <c r="M1906" s="531"/>
      <c r="N1906" s="209"/>
      <c r="O1906" s="209"/>
      <c r="P1906" s="209"/>
      <c r="Q1906" s="209"/>
      <c r="R1906" s="209"/>
      <c r="S1906" s="367"/>
      <c r="T1906" s="276"/>
      <c r="U1906" s="276"/>
      <c r="V1906" s="276"/>
      <c r="W1906" s="276"/>
      <c r="X1906" s="276"/>
      <c r="Y1906" s="276"/>
      <c r="Z1906" s="276"/>
      <c r="AA1906" s="276"/>
      <c r="AB1906" s="276"/>
      <c r="AC1906" s="276"/>
    </row>
    <row r="1907">
      <c r="A1907" s="108" t="s">
        <v>12968</v>
      </c>
      <c r="B1907" s="173">
        <v>46163.0</v>
      </c>
      <c r="C1907" s="374">
        <v>8.07000036212E11</v>
      </c>
      <c r="D1907" s="374" t="s">
        <v>12969</v>
      </c>
      <c r="E1907" s="374" t="s">
        <v>12970</v>
      </c>
      <c r="F1907" s="177" t="s">
        <v>12971</v>
      </c>
      <c r="G1907" s="177" t="s">
        <v>127</v>
      </c>
      <c r="H1907" s="177">
        <v>4400.0</v>
      </c>
      <c r="I1907" s="176" t="s">
        <v>812</v>
      </c>
      <c r="J1907" s="374" t="s">
        <v>3564</v>
      </c>
      <c r="K1907" s="177">
        <v>1.0</v>
      </c>
      <c r="L1907" s="174">
        <v>3.874539157E9</v>
      </c>
      <c r="M1907" s="531"/>
      <c r="N1907" s="206"/>
      <c r="O1907" s="206"/>
      <c r="P1907" s="206"/>
      <c r="Q1907" s="206"/>
      <c r="R1907" s="206"/>
      <c r="S1907" s="367"/>
      <c r="T1907" s="276"/>
      <c r="U1907" s="276"/>
      <c r="V1907" s="276"/>
      <c r="W1907" s="276"/>
      <c r="X1907" s="276"/>
      <c r="Y1907" s="276"/>
      <c r="Z1907" s="276"/>
      <c r="AA1907" s="276"/>
      <c r="AB1907" s="276"/>
      <c r="AC1907" s="276"/>
    </row>
    <row r="1908">
      <c r="A1908" s="602"/>
      <c r="B1908" s="603"/>
      <c r="C1908" s="604"/>
      <c r="D1908" s="602"/>
      <c r="E1908" s="604"/>
      <c r="F1908" s="605"/>
      <c r="G1908" s="605"/>
      <c r="H1908" s="605"/>
      <c r="I1908" s="606"/>
      <c r="J1908" s="604"/>
      <c r="K1908" s="605"/>
      <c r="L1908" s="607"/>
      <c r="M1908" s="531"/>
      <c r="N1908" s="387"/>
      <c r="O1908" s="387"/>
      <c r="P1908" s="387"/>
      <c r="Q1908" s="261"/>
      <c r="R1908" s="449"/>
      <c r="S1908" s="367"/>
      <c r="T1908" s="276"/>
      <c r="U1908" s="276"/>
      <c r="V1908" s="276"/>
      <c r="W1908" s="276"/>
      <c r="X1908" s="276"/>
      <c r="Y1908" s="276"/>
      <c r="Z1908" s="276"/>
      <c r="AA1908" s="276"/>
      <c r="AB1908" s="276"/>
      <c r="AC1908" s="276"/>
    </row>
    <row r="1909">
      <c r="A1909" s="374" t="s">
        <v>12972</v>
      </c>
      <c r="B1909" s="652">
        <v>46165.0</v>
      </c>
      <c r="C1909" s="374">
        <v>8.07000036221E11</v>
      </c>
      <c r="D1909" s="374" t="s">
        <v>12973</v>
      </c>
      <c r="E1909" s="374" t="s">
        <v>12974</v>
      </c>
      <c r="F1909" s="177" t="s">
        <v>12975</v>
      </c>
      <c r="G1909" s="177" t="s">
        <v>127</v>
      </c>
      <c r="H1909" s="177">
        <v>4400.0</v>
      </c>
      <c r="I1909" s="176" t="s">
        <v>11439</v>
      </c>
      <c r="J1909" s="374" t="s">
        <v>11440</v>
      </c>
      <c r="K1909" s="177">
        <v>1.0</v>
      </c>
      <c r="L1909" s="174">
        <v>3.804222025E9</v>
      </c>
      <c r="M1909" s="531"/>
      <c r="N1909" s="480">
        <v>46165.0</v>
      </c>
      <c r="O1909" s="402" t="s">
        <v>9011</v>
      </c>
      <c r="P1909" s="534"/>
      <c r="Q1909" s="430" t="s">
        <v>13339</v>
      </c>
      <c r="R1909" s="432" t="s">
        <v>14349</v>
      </c>
      <c r="S1909" s="367"/>
      <c r="T1909" s="276"/>
      <c r="U1909" s="276"/>
      <c r="V1909" s="276"/>
      <c r="W1909" s="276"/>
      <c r="X1909" s="276"/>
      <c r="Y1909" s="276"/>
      <c r="Z1909" s="276"/>
      <c r="AA1909" s="276"/>
      <c r="AB1909" s="276"/>
      <c r="AC1909" s="276"/>
    </row>
    <row r="1910">
      <c r="A1910" s="374" t="s">
        <v>12972</v>
      </c>
      <c r="B1910" s="652">
        <v>46165.0</v>
      </c>
      <c r="C1910" s="374">
        <v>8.07000036221E11</v>
      </c>
      <c r="D1910" s="374" t="s">
        <v>12973</v>
      </c>
      <c r="E1910" s="374" t="s">
        <v>12974</v>
      </c>
      <c r="F1910" s="177" t="s">
        <v>12975</v>
      </c>
      <c r="G1910" s="177" t="s">
        <v>127</v>
      </c>
      <c r="H1910" s="177">
        <v>4400.0</v>
      </c>
      <c r="I1910" s="176" t="s">
        <v>280</v>
      </c>
      <c r="J1910" s="374" t="s">
        <v>5669</v>
      </c>
      <c r="K1910" s="177">
        <v>1.0</v>
      </c>
      <c r="L1910" s="174">
        <v>3.804222025E9</v>
      </c>
      <c r="M1910" s="531"/>
      <c r="N1910" s="209"/>
      <c r="O1910" s="209"/>
      <c r="P1910" s="209"/>
      <c r="Q1910" s="209"/>
      <c r="R1910" s="209"/>
      <c r="S1910" s="367"/>
      <c r="T1910" s="276"/>
      <c r="U1910" s="276"/>
      <c r="V1910" s="276"/>
      <c r="W1910" s="276"/>
      <c r="X1910" s="276"/>
      <c r="Y1910" s="276"/>
      <c r="Z1910" s="276"/>
      <c r="AA1910" s="276"/>
      <c r="AB1910" s="276"/>
      <c r="AC1910" s="276"/>
    </row>
    <row r="1911">
      <c r="A1911" s="374" t="s">
        <v>12976</v>
      </c>
      <c r="B1911" s="652">
        <v>46165.0</v>
      </c>
      <c r="C1911" s="374">
        <v>8.07000036222E11</v>
      </c>
      <c r="D1911" s="374" t="s">
        <v>12973</v>
      </c>
      <c r="E1911" s="374" t="s">
        <v>12974</v>
      </c>
      <c r="F1911" s="177" t="s">
        <v>12975</v>
      </c>
      <c r="G1911" s="177" t="s">
        <v>127</v>
      </c>
      <c r="H1911" s="177">
        <v>4400.0</v>
      </c>
      <c r="I1911" s="176">
        <v>125823.0</v>
      </c>
      <c r="J1911" s="374" t="s">
        <v>11232</v>
      </c>
      <c r="K1911" s="177">
        <v>2.0</v>
      </c>
      <c r="L1911" s="174">
        <v>3.804222025E9</v>
      </c>
      <c r="M1911" s="531"/>
      <c r="N1911" s="206"/>
      <c r="O1911" s="206"/>
      <c r="P1911" s="206"/>
      <c r="Q1911" s="206"/>
      <c r="R1911" s="206"/>
      <c r="S1911" s="367"/>
      <c r="T1911" s="276"/>
      <c r="U1911" s="276"/>
      <c r="V1911" s="276"/>
      <c r="W1911" s="276"/>
      <c r="X1911" s="276"/>
      <c r="Y1911" s="276"/>
      <c r="Z1911" s="276"/>
      <c r="AA1911" s="276"/>
      <c r="AB1911" s="276"/>
      <c r="AC1911" s="276"/>
    </row>
    <row r="1912">
      <c r="A1912" s="108" t="s">
        <v>12967</v>
      </c>
      <c r="B1912" s="173">
        <v>46163.0</v>
      </c>
      <c r="C1912" s="374">
        <v>8.07000036207E11</v>
      </c>
      <c r="D1912" s="374" t="s">
        <v>12917</v>
      </c>
      <c r="E1912" s="374" t="s">
        <v>12918</v>
      </c>
      <c r="F1912" s="177" t="s">
        <v>12919</v>
      </c>
      <c r="G1912" s="177" t="s">
        <v>127</v>
      </c>
      <c r="H1912" s="177">
        <v>4400.0</v>
      </c>
      <c r="I1912" s="176" t="s">
        <v>1747</v>
      </c>
      <c r="J1912" s="374" t="s">
        <v>4208</v>
      </c>
      <c r="K1912" s="177">
        <v>1.0</v>
      </c>
      <c r="L1912" s="174">
        <v>3.874450671E9</v>
      </c>
      <c r="M1912" s="531"/>
      <c r="N1912" s="481">
        <v>46165.0</v>
      </c>
      <c r="O1912" s="531" t="s">
        <v>9011</v>
      </c>
      <c r="P1912" s="387"/>
      <c r="Q1912" s="261" t="s">
        <v>14350</v>
      </c>
      <c r="R1912" s="434" t="s">
        <v>14346</v>
      </c>
      <c r="S1912" s="367"/>
      <c r="T1912" s="276"/>
      <c r="U1912" s="276"/>
      <c r="V1912" s="276"/>
      <c r="W1912" s="276"/>
      <c r="X1912" s="276"/>
      <c r="Y1912" s="276"/>
      <c r="Z1912" s="276"/>
      <c r="AA1912" s="276"/>
      <c r="AB1912" s="276"/>
      <c r="AC1912" s="276"/>
    </row>
    <row r="1913">
      <c r="A1913" s="602"/>
      <c r="B1913" s="603"/>
      <c r="C1913" s="604"/>
      <c r="D1913" s="604"/>
      <c r="E1913" s="604"/>
      <c r="F1913" s="605"/>
      <c r="G1913" s="605"/>
      <c r="H1913" s="605"/>
      <c r="I1913" s="606"/>
      <c r="J1913" s="604"/>
      <c r="K1913" s="605"/>
      <c r="L1913" s="607"/>
      <c r="M1913" s="531"/>
      <c r="N1913" s="387"/>
      <c r="O1913" s="531"/>
      <c r="P1913" s="387"/>
      <c r="Q1913" s="261"/>
      <c r="R1913" s="449"/>
      <c r="S1913" s="367"/>
      <c r="T1913" s="276"/>
      <c r="U1913" s="276"/>
      <c r="V1913" s="276"/>
      <c r="W1913" s="276"/>
      <c r="X1913" s="276"/>
      <c r="Y1913" s="276"/>
      <c r="Z1913" s="276"/>
      <c r="AA1913" s="276"/>
      <c r="AB1913" s="276"/>
      <c r="AC1913" s="276"/>
    </row>
    <row r="1914">
      <c r="A1914" s="108" t="s">
        <v>12977</v>
      </c>
      <c r="B1914" s="173">
        <v>46167.0</v>
      </c>
      <c r="C1914" s="374">
        <v>8.07000036249E11</v>
      </c>
      <c r="D1914" s="374" t="s">
        <v>12978</v>
      </c>
      <c r="E1914" s="374" t="s">
        <v>12979</v>
      </c>
      <c r="F1914" s="177" t="s">
        <v>12980</v>
      </c>
      <c r="G1914" s="177" t="s">
        <v>127</v>
      </c>
      <c r="H1914" s="177">
        <v>4400.0</v>
      </c>
      <c r="I1914" s="374" t="s">
        <v>512</v>
      </c>
      <c r="J1914" s="374" t="s">
        <v>513</v>
      </c>
      <c r="K1914" s="177">
        <v>12.0</v>
      </c>
      <c r="L1914" s="174">
        <v>3.8751502E9</v>
      </c>
      <c r="M1914" s="531"/>
      <c r="N1914" s="480">
        <v>46167.0</v>
      </c>
      <c r="O1914" s="402" t="s">
        <v>9011</v>
      </c>
      <c r="P1914" s="534"/>
      <c r="Q1914" s="430" t="s">
        <v>13339</v>
      </c>
      <c r="R1914" s="432" t="s">
        <v>14351</v>
      </c>
      <c r="S1914" s="367"/>
      <c r="T1914" s="276"/>
      <c r="U1914" s="276"/>
      <c r="V1914" s="276"/>
      <c r="W1914" s="276"/>
      <c r="X1914" s="276"/>
      <c r="Y1914" s="276"/>
      <c r="Z1914" s="276"/>
      <c r="AA1914" s="276"/>
      <c r="AB1914" s="276"/>
      <c r="AC1914" s="276"/>
    </row>
    <row r="1915">
      <c r="A1915" s="108" t="s">
        <v>12977</v>
      </c>
      <c r="B1915" s="173">
        <v>46167.0</v>
      </c>
      <c r="C1915" s="374">
        <v>8.0700003625E11</v>
      </c>
      <c r="D1915" s="374" t="s">
        <v>12978</v>
      </c>
      <c r="E1915" s="374" t="s">
        <v>12979</v>
      </c>
      <c r="F1915" s="177" t="s">
        <v>12980</v>
      </c>
      <c r="G1915" s="177" t="s">
        <v>127</v>
      </c>
      <c r="H1915" s="177">
        <v>4400.0</v>
      </c>
      <c r="I1915" s="374" t="s">
        <v>1766</v>
      </c>
      <c r="J1915" s="374" t="s">
        <v>8008</v>
      </c>
      <c r="K1915" s="177">
        <v>1.0</v>
      </c>
      <c r="L1915" s="174">
        <v>3.8751502E9</v>
      </c>
      <c r="M1915" s="531"/>
      <c r="N1915" s="209"/>
      <c r="O1915" s="209"/>
      <c r="P1915" s="209"/>
      <c r="Q1915" s="209"/>
      <c r="R1915" s="209"/>
      <c r="S1915" s="367"/>
      <c r="T1915" s="276"/>
      <c r="U1915" s="276"/>
      <c r="V1915" s="276"/>
      <c r="W1915" s="276"/>
      <c r="X1915" s="276"/>
      <c r="Y1915" s="276"/>
      <c r="Z1915" s="276"/>
      <c r="AA1915" s="276"/>
      <c r="AB1915" s="276"/>
      <c r="AC1915" s="276"/>
    </row>
    <row r="1916">
      <c r="A1916" s="108" t="s">
        <v>12977</v>
      </c>
      <c r="B1916" s="173">
        <v>46167.0</v>
      </c>
      <c r="C1916" s="374">
        <v>8.0700003625E11</v>
      </c>
      <c r="D1916" s="374" t="s">
        <v>12978</v>
      </c>
      <c r="E1916" s="374" t="s">
        <v>12979</v>
      </c>
      <c r="F1916" s="177" t="s">
        <v>12980</v>
      </c>
      <c r="G1916" s="177" t="s">
        <v>127</v>
      </c>
      <c r="H1916" s="177">
        <v>4400.0</v>
      </c>
      <c r="I1916" s="374" t="s">
        <v>233</v>
      </c>
      <c r="J1916" s="374" t="s">
        <v>3459</v>
      </c>
      <c r="K1916" s="177">
        <v>2.0</v>
      </c>
      <c r="L1916" s="174">
        <v>3.8751502E9</v>
      </c>
      <c r="M1916" s="531"/>
      <c r="N1916" s="206"/>
      <c r="O1916" s="206"/>
      <c r="P1916" s="206"/>
      <c r="Q1916" s="206"/>
      <c r="R1916" s="206"/>
      <c r="S1916" s="367"/>
      <c r="T1916" s="276"/>
      <c r="U1916" s="276"/>
      <c r="V1916" s="276"/>
      <c r="W1916" s="276"/>
      <c r="X1916" s="276"/>
      <c r="Y1916" s="276"/>
      <c r="Z1916" s="276"/>
      <c r="AA1916" s="276"/>
      <c r="AB1916" s="276"/>
      <c r="AC1916" s="276"/>
    </row>
    <row r="1917">
      <c r="A1917" s="108" t="s">
        <v>12981</v>
      </c>
      <c r="B1917" s="173">
        <v>46167.0</v>
      </c>
      <c r="C1917" s="374">
        <v>8.07000036253E11</v>
      </c>
      <c r="D1917" s="374" t="s">
        <v>6472</v>
      </c>
      <c r="E1917" s="374" t="s">
        <v>6473</v>
      </c>
      <c r="F1917" s="177" t="s">
        <v>6474</v>
      </c>
      <c r="G1917" s="177" t="s">
        <v>127</v>
      </c>
      <c r="H1917" s="177">
        <v>4400.0</v>
      </c>
      <c r="I1917" s="374" t="s">
        <v>12965</v>
      </c>
      <c r="J1917" s="374" t="s">
        <v>12966</v>
      </c>
      <c r="K1917" s="177">
        <v>1.0</v>
      </c>
      <c r="L1917" s="174">
        <v>3.875737109E9</v>
      </c>
      <c r="M1917" s="531"/>
      <c r="N1917" s="480">
        <v>46167.0</v>
      </c>
      <c r="O1917" s="402" t="s">
        <v>9011</v>
      </c>
      <c r="P1917" s="534"/>
      <c r="Q1917" s="430" t="s">
        <v>13339</v>
      </c>
      <c r="R1917" s="432" t="s">
        <v>14352</v>
      </c>
      <c r="S1917" s="367"/>
      <c r="T1917" s="276"/>
      <c r="U1917" s="276"/>
      <c r="V1917" s="276"/>
      <c r="W1917" s="276"/>
      <c r="X1917" s="276"/>
      <c r="Y1917" s="276"/>
      <c r="Z1917" s="276"/>
      <c r="AA1917" s="276"/>
      <c r="AB1917" s="276"/>
      <c r="AC1917" s="276"/>
    </row>
    <row r="1918">
      <c r="A1918" s="108" t="s">
        <v>12981</v>
      </c>
      <c r="B1918" s="173">
        <v>46167.0</v>
      </c>
      <c r="C1918" s="374">
        <v>8.07000036254E11</v>
      </c>
      <c r="D1918" s="374" t="s">
        <v>6472</v>
      </c>
      <c r="E1918" s="374" t="s">
        <v>6473</v>
      </c>
      <c r="F1918" s="177" t="s">
        <v>6474</v>
      </c>
      <c r="G1918" s="177" t="s">
        <v>127</v>
      </c>
      <c r="H1918" s="177">
        <v>4400.0</v>
      </c>
      <c r="I1918" s="374" t="s">
        <v>64</v>
      </c>
      <c r="J1918" s="374" t="s">
        <v>3708</v>
      </c>
      <c r="K1918" s="177">
        <v>1.0</v>
      </c>
      <c r="L1918" s="174">
        <v>3.875737109E9</v>
      </c>
      <c r="M1918" s="531"/>
      <c r="N1918" s="206"/>
      <c r="O1918" s="206"/>
      <c r="P1918" s="206"/>
      <c r="Q1918" s="206"/>
      <c r="R1918" s="206"/>
      <c r="S1918" s="367"/>
      <c r="T1918" s="276"/>
      <c r="U1918" s="276"/>
      <c r="V1918" s="276"/>
      <c r="W1918" s="276"/>
      <c r="X1918" s="276"/>
      <c r="Y1918" s="276"/>
      <c r="Z1918" s="276"/>
      <c r="AA1918" s="276"/>
      <c r="AB1918" s="276"/>
      <c r="AC1918" s="276"/>
    </row>
    <row r="1919">
      <c r="A1919" s="108" t="s">
        <v>12982</v>
      </c>
      <c r="B1919" s="173">
        <v>46167.0</v>
      </c>
      <c r="C1919" s="374">
        <v>8.07000036214E11</v>
      </c>
      <c r="D1919" s="374" t="s">
        <v>12983</v>
      </c>
      <c r="E1919" s="374" t="s">
        <v>12984</v>
      </c>
      <c r="F1919" s="177" t="s">
        <v>12985</v>
      </c>
      <c r="G1919" s="177" t="s">
        <v>4611</v>
      </c>
      <c r="H1919" s="177">
        <v>4400.0</v>
      </c>
      <c r="I1919" s="374">
        <v>208501.0</v>
      </c>
      <c r="J1919" s="374" t="s">
        <v>481</v>
      </c>
      <c r="K1919" s="177">
        <v>3.0</v>
      </c>
      <c r="L1919" s="174">
        <v>3.876141149E9</v>
      </c>
      <c r="M1919" s="531"/>
      <c r="N1919" s="486">
        <v>46167.0</v>
      </c>
      <c r="O1919" s="487" t="s">
        <v>9011</v>
      </c>
      <c r="P1919" s="598"/>
      <c r="Q1919" s="487" t="s">
        <v>14353</v>
      </c>
      <c r="R1919" s="623" t="s">
        <v>14354</v>
      </c>
      <c r="S1919" s="367"/>
      <c r="T1919" s="276"/>
      <c r="U1919" s="276"/>
      <c r="V1919" s="276"/>
      <c r="W1919" s="276"/>
      <c r="X1919" s="276"/>
      <c r="Y1919" s="276"/>
      <c r="Z1919" s="276"/>
      <c r="AA1919" s="276"/>
      <c r="AB1919" s="276"/>
      <c r="AC1919" s="276"/>
    </row>
    <row r="1920">
      <c r="A1920" s="108" t="s">
        <v>12982</v>
      </c>
      <c r="B1920" s="173">
        <v>46167.0</v>
      </c>
      <c r="C1920" s="374">
        <v>8.07000036215E11</v>
      </c>
      <c r="D1920" s="374" t="s">
        <v>12983</v>
      </c>
      <c r="E1920" s="374" t="s">
        <v>12984</v>
      </c>
      <c r="F1920" s="177" t="s">
        <v>12985</v>
      </c>
      <c r="G1920" s="177" t="s">
        <v>4611</v>
      </c>
      <c r="H1920" s="177">
        <v>4400.0</v>
      </c>
      <c r="I1920" s="374" t="s">
        <v>10687</v>
      </c>
      <c r="J1920" s="374" t="s">
        <v>10688</v>
      </c>
      <c r="K1920" s="177">
        <v>3.0</v>
      </c>
      <c r="L1920" s="174">
        <v>3.876141149E9</v>
      </c>
      <c r="M1920" s="531"/>
      <c r="N1920" s="206"/>
      <c r="O1920" s="206"/>
      <c r="P1920" s="206"/>
      <c r="Q1920" s="206"/>
      <c r="R1920" s="206"/>
      <c r="S1920" s="367"/>
      <c r="T1920" s="276"/>
      <c r="U1920" s="276"/>
      <c r="V1920" s="276"/>
      <c r="W1920" s="276"/>
      <c r="X1920" s="276"/>
      <c r="Y1920" s="276"/>
      <c r="Z1920" s="276"/>
      <c r="AA1920" s="276"/>
      <c r="AB1920" s="276"/>
      <c r="AC1920" s="276"/>
    </row>
    <row r="1921">
      <c r="A1921" s="108" t="s">
        <v>12986</v>
      </c>
      <c r="B1921" s="173">
        <v>46167.0</v>
      </c>
      <c r="C1921" s="374">
        <v>8.07000036219E11</v>
      </c>
      <c r="D1921" s="374" t="s">
        <v>12987</v>
      </c>
      <c r="E1921" s="374" t="s">
        <v>12988</v>
      </c>
      <c r="F1921" s="177" t="s">
        <v>12989</v>
      </c>
      <c r="G1921" s="177" t="s">
        <v>4611</v>
      </c>
      <c r="H1921" s="177">
        <v>4530.0</v>
      </c>
      <c r="I1921" s="374">
        <v>125818.0</v>
      </c>
      <c r="J1921" s="374" t="s">
        <v>4334</v>
      </c>
      <c r="K1921" s="177">
        <v>2.0</v>
      </c>
      <c r="L1921" s="174">
        <v>3.878502462E9</v>
      </c>
      <c r="M1921" s="531"/>
      <c r="N1921" s="486">
        <v>46167.0</v>
      </c>
      <c r="O1921" s="487" t="s">
        <v>9011</v>
      </c>
      <c r="P1921" s="598"/>
      <c r="Q1921" s="487" t="s">
        <v>14184</v>
      </c>
      <c r="R1921" s="623" t="s">
        <v>14355</v>
      </c>
      <c r="S1921" s="367"/>
      <c r="T1921" s="276"/>
      <c r="U1921" s="276"/>
      <c r="V1921" s="276"/>
      <c r="W1921" s="276"/>
      <c r="X1921" s="276"/>
      <c r="Y1921" s="276"/>
      <c r="Z1921" s="276"/>
      <c r="AA1921" s="276"/>
      <c r="AB1921" s="276"/>
      <c r="AC1921" s="276"/>
    </row>
    <row r="1922">
      <c r="A1922" s="108" t="s">
        <v>12986</v>
      </c>
      <c r="B1922" s="173">
        <v>46167.0</v>
      </c>
      <c r="C1922" s="374">
        <v>8.07000036219E11</v>
      </c>
      <c r="D1922" s="374" t="s">
        <v>12987</v>
      </c>
      <c r="E1922" s="374" t="s">
        <v>12988</v>
      </c>
      <c r="F1922" s="177" t="s">
        <v>12989</v>
      </c>
      <c r="G1922" s="177" t="s">
        <v>4611</v>
      </c>
      <c r="H1922" s="177">
        <v>4530.0</v>
      </c>
      <c r="I1922" s="374" t="s">
        <v>3205</v>
      </c>
      <c r="J1922" s="374" t="s">
        <v>3206</v>
      </c>
      <c r="K1922" s="177">
        <v>2.0</v>
      </c>
      <c r="L1922" s="174">
        <v>3.878502462E9</v>
      </c>
      <c r="M1922" s="531"/>
      <c r="N1922" s="209"/>
      <c r="O1922" s="209"/>
      <c r="P1922" s="209"/>
      <c r="Q1922" s="209"/>
      <c r="R1922" s="209"/>
      <c r="S1922" s="367"/>
      <c r="T1922" s="276"/>
      <c r="U1922" s="276"/>
      <c r="V1922" s="276"/>
      <c r="W1922" s="276"/>
      <c r="X1922" s="276"/>
      <c r="Y1922" s="276"/>
      <c r="Z1922" s="276"/>
      <c r="AA1922" s="276"/>
      <c r="AB1922" s="276"/>
      <c r="AC1922" s="276"/>
    </row>
    <row r="1923">
      <c r="A1923" s="108" t="s">
        <v>12986</v>
      </c>
      <c r="B1923" s="173">
        <v>46167.0</v>
      </c>
      <c r="C1923" s="374">
        <v>8.07000036219E11</v>
      </c>
      <c r="D1923" s="374" t="s">
        <v>12987</v>
      </c>
      <c r="E1923" s="374" t="s">
        <v>12988</v>
      </c>
      <c r="F1923" s="177" t="s">
        <v>12989</v>
      </c>
      <c r="G1923" s="177" t="s">
        <v>4611</v>
      </c>
      <c r="H1923" s="177">
        <v>4530.0</v>
      </c>
      <c r="I1923" s="374" t="s">
        <v>1897</v>
      </c>
      <c r="J1923" s="374" t="s">
        <v>12990</v>
      </c>
      <c r="K1923" s="177">
        <v>2.0</v>
      </c>
      <c r="L1923" s="174">
        <v>3.878502462E9</v>
      </c>
      <c r="M1923" s="531"/>
      <c r="N1923" s="206"/>
      <c r="O1923" s="206"/>
      <c r="P1923" s="206"/>
      <c r="Q1923" s="206"/>
      <c r="R1923" s="206"/>
      <c r="S1923" s="367"/>
      <c r="T1923" s="276"/>
      <c r="U1923" s="276"/>
      <c r="V1923" s="276"/>
      <c r="W1923" s="276"/>
      <c r="X1923" s="276"/>
      <c r="Y1923" s="276"/>
      <c r="Z1923" s="276"/>
      <c r="AA1923" s="276"/>
      <c r="AB1923" s="276"/>
      <c r="AC1923" s="276"/>
    </row>
    <row r="1924">
      <c r="A1924" s="108" t="s">
        <v>12991</v>
      </c>
      <c r="B1924" s="173">
        <v>46167.0</v>
      </c>
      <c r="C1924" s="374">
        <v>8.07000036245E11</v>
      </c>
      <c r="D1924" s="374" t="s">
        <v>12992</v>
      </c>
      <c r="E1924" s="374" t="s">
        <v>12993</v>
      </c>
      <c r="F1924" s="177" t="s">
        <v>12994</v>
      </c>
      <c r="G1924" s="177" t="s">
        <v>2177</v>
      </c>
      <c r="H1924" s="177">
        <v>4432.0</v>
      </c>
      <c r="I1924" s="374" t="s">
        <v>3649</v>
      </c>
      <c r="J1924" s="374" t="s">
        <v>3650</v>
      </c>
      <c r="K1924" s="177">
        <v>1.0</v>
      </c>
      <c r="L1924" s="174">
        <v>3.874820873E9</v>
      </c>
      <c r="M1924" s="531"/>
      <c r="N1924" s="480">
        <v>46171.0</v>
      </c>
      <c r="O1924" s="402" t="s">
        <v>9011</v>
      </c>
      <c r="P1924" s="534"/>
      <c r="Q1924" s="430" t="s">
        <v>13339</v>
      </c>
      <c r="R1924" s="432" t="s">
        <v>14356</v>
      </c>
      <c r="S1924" s="367"/>
      <c r="T1924" s="276"/>
      <c r="U1924" s="276"/>
      <c r="V1924" s="276"/>
      <c r="W1924" s="276"/>
      <c r="X1924" s="276"/>
      <c r="Y1924" s="276"/>
      <c r="Z1924" s="276"/>
      <c r="AA1924" s="276"/>
      <c r="AB1924" s="276"/>
      <c r="AC1924" s="276"/>
    </row>
    <row r="1925">
      <c r="A1925" s="108" t="s">
        <v>12991</v>
      </c>
      <c r="B1925" s="173">
        <v>46167.0</v>
      </c>
      <c r="C1925" s="374">
        <v>8.07000036245E11</v>
      </c>
      <c r="D1925" s="374" t="s">
        <v>12992</v>
      </c>
      <c r="E1925" s="374" t="s">
        <v>12993</v>
      </c>
      <c r="F1925" s="177" t="s">
        <v>12994</v>
      </c>
      <c r="G1925" s="177" t="s">
        <v>2177</v>
      </c>
      <c r="H1925" s="177">
        <v>4432.0</v>
      </c>
      <c r="I1925" s="374" t="s">
        <v>512</v>
      </c>
      <c r="J1925" s="374" t="s">
        <v>513</v>
      </c>
      <c r="K1925" s="177">
        <v>6.0</v>
      </c>
      <c r="L1925" s="174">
        <v>3.874820873E9</v>
      </c>
      <c r="M1925" s="531"/>
      <c r="N1925" s="209"/>
      <c r="O1925" s="209"/>
      <c r="P1925" s="209"/>
      <c r="Q1925" s="209"/>
      <c r="R1925" s="209"/>
      <c r="S1925" s="367"/>
      <c r="T1925" s="276"/>
      <c r="U1925" s="276"/>
      <c r="V1925" s="276"/>
      <c r="W1925" s="276"/>
      <c r="X1925" s="276"/>
      <c r="Y1925" s="276"/>
      <c r="Z1925" s="276"/>
      <c r="AA1925" s="276"/>
      <c r="AB1925" s="276"/>
      <c r="AC1925" s="276"/>
    </row>
    <row r="1926">
      <c r="A1926" s="108" t="s">
        <v>12991</v>
      </c>
      <c r="B1926" s="173">
        <v>46167.0</v>
      </c>
      <c r="C1926" s="374">
        <v>8.07000036245E11</v>
      </c>
      <c r="D1926" s="374" t="s">
        <v>12992</v>
      </c>
      <c r="E1926" s="374" t="s">
        <v>12993</v>
      </c>
      <c r="F1926" s="177" t="s">
        <v>12994</v>
      </c>
      <c r="G1926" s="177" t="s">
        <v>2177</v>
      </c>
      <c r="H1926" s="177">
        <v>4432.0</v>
      </c>
      <c r="I1926" s="374" t="s">
        <v>670</v>
      </c>
      <c r="J1926" s="374" t="s">
        <v>3410</v>
      </c>
      <c r="K1926" s="177">
        <v>1.0</v>
      </c>
      <c r="L1926" s="174">
        <v>3.874820873E9</v>
      </c>
      <c r="M1926" s="531"/>
      <c r="N1926" s="206"/>
      <c r="O1926" s="206"/>
      <c r="P1926" s="206"/>
      <c r="Q1926" s="206"/>
      <c r="R1926" s="206"/>
      <c r="S1926" s="367"/>
      <c r="T1926" s="276"/>
      <c r="U1926" s="276"/>
      <c r="V1926" s="276"/>
      <c r="W1926" s="276"/>
      <c r="X1926" s="276"/>
      <c r="Y1926" s="276"/>
      <c r="Z1926" s="276"/>
      <c r="AA1926" s="276"/>
      <c r="AB1926" s="276"/>
      <c r="AC1926" s="276"/>
    </row>
    <row r="1927">
      <c r="A1927" s="108" t="s">
        <v>12995</v>
      </c>
      <c r="B1927" s="173">
        <v>46167.0</v>
      </c>
      <c r="C1927" s="374">
        <v>8.0700003626E11</v>
      </c>
      <c r="D1927" s="374" t="s">
        <v>12996</v>
      </c>
      <c r="E1927" s="374" t="s">
        <v>12997</v>
      </c>
      <c r="F1927" s="177" t="s">
        <v>12998</v>
      </c>
      <c r="G1927" s="177" t="s">
        <v>12999</v>
      </c>
      <c r="H1927" s="177">
        <v>4430.0</v>
      </c>
      <c r="I1927" s="374" t="s">
        <v>12654</v>
      </c>
      <c r="J1927" s="374" t="s">
        <v>12655</v>
      </c>
      <c r="K1927" s="177">
        <v>1.0</v>
      </c>
      <c r="L1927" s="174">
        <v>3.875321496E9</v>
      </c>
      <c r="M1927" s="531"/>
      <c r="N1927" s="481">
        <v>46171.0</v>
      </c>
      <c r="O1927" s="531" t="s">
        <v>9011</v>
      </c>
      <c r="P1927" s="387"/>
      <c r="Q1927" s="261" t="s">
        <v>14357</v>
      </c>
      <c r="R1927" s="434" t="s">
        <v>14358</v>
      </c>
      <c r="S1927" s="367"/>
      <c r="T1927" s="276"/>
      <c r="U1927" s="276"/>
      <c r="V1927" s="276"/>
      <c r="W1927" s="276"/>
      <c r="X1927" s="276"/>
      <c r="Y1927" s="276"/>
      <c r="Z1927" s="276"/>
      <c r="AA1927" s="276"/>
      <c r="AB1927" s="276"/>
      <c r="AC1927" s="276"/>
    </row>
    <row r="1928">
      <c r="A1928" s="653"/>
      <c r="B1928" s="654"/>
      <c r="C1928" s="655"/>
      <c r="D1928" s="655"/>
      <c r="E1928" s="655"/>
      <c r="F1928" s="656"/>
      <c r="G1928" s="656"/>
      <c r="H1928" s="656"/>
      <c r="I1928" s="657"/>
      <c r="J1928" s="655"/>
      <c r="K1928" s="656"/>
      <c r="L1928" s="658"/>
      <c r="M1928" s="531"/>
      <c r="N1928" s="387"/>
      <c r="O1928" s="531"/>
      <c r="P1928" s="387"/>
      <c r="Q1928" s="261"/>
      <c r="R1928" s="449"/>
      <c r="S1928" s="367"/>
      <c r="T1928" s="276"/>
      <c r="U1928" s="276"/>
      <c r="V1928" s="276"/>
      <c r="W1928" s="276"/>
      <c r="X1928" s="276"/>
      <c r="Y1928" s="276"/>
      <c r="Z1928" s="276"/>
      <c r="AA1928" s="276"/>
      <c r="AB1928" s="276"/>
      <c r="AC1928" s="276"/>
    </row>
    <row r="1929">
      <c r="A1929" s="108" t="s">
        <v>13000</v>
      </c>
      <c r="B1929" s="173">
        <v>46169.0</v>
      </c>
      <c r="C1929" s="374">
        <v>8.07000036263E11</v>
      </c>
      <c r="D1929" s="374" t="s">
        <v>7745</v>
      </c>
      <c r="E1929" s="374" t="s">
        <v>7746</v>
      </c>
      <c r="F1929" s="177" t="s">
        <v>13001</v>
      </c>
      <c r="G1929" s="177" t="s">
        <v>127</v>
      </c>
      <c r="H1929" s="177">
        <v>4400.0</v>
      </c>
      <c r="I1929" s="374" t="s">
        <v>3054</v>
      </c>
      <c r="J1929" s="374" t="s">
        <v>3346</v>
      </c>
      <c r="K1929" s="177">
        <v>1.0</v>
      </c>
      <c r="L1929" s="174">
        <v>3.874890128E9</v>
      </c>
      <c r="M1929" s="531"/>
      <c r="N1929" s="486">
        <v>46169.0</v>
      </c>
      <c r="O1929" s="487" t="s">
        <v>9011</v>
      </c>
      <c r="P1929" s="598"/>
      <c r="Q1929" s="487" t="s">
        <v>14184</v>
      </c>
      <c r="R1929" s="623" t="s">
        <v>14359</v>
      </c>
      <c r="S1929" s="367"/>
      <c r="T1929" s="276"/>
      <c r="U1929" s="276"/>
      <c r="V1929" s="276"/>
      <c r="W1929" s="276"/>
      <c r="X1929" s="276"/>
      <c r="Y1929" s="276"/>
      <c r="Z1929" s="276"/>
      <c r="AA1929" s="276"/>
      <c r="AB1929" s="276"/>
      <c r="AC1929" s="276"/>
    </row>
    <row r="1930">
      <c r="A1930" s="108" t="s">
        <v>13000</v>
      </c>
      <c r="B1930" s="173">
        <v>46169.0</v>
      </c>
      <c r="C1930" s="374">
        <v>8.07000036263E11</v>
      </c>
      <c r="D1930" s="374" t="s">
        <v>7745</v>
      </c>
      <c r="E1930" s="374" t="s">
        <v>7746</v>
      </c>
      <c r="F1930" s="177" t="s">
        <v>13001</v>
      </c>
      <c r="G1930" s="177" t="s">
        <v>127</v>
      </c>
      <c r="H1930" s="177">
        <v>4400.0</v>
      </c>
      <c r="I1930" s="374" t="s">
        <v>512</v>
      </c>
      <c r="J1930" s="374" t="s">
        <v>513</v>
      </c>
      <c r="K1930" s="177">
        <v>6.0</v>
      </c>
      <c r="L1930" s="174">
        <v>3.874890128E9</v>
      </c>
      <c r="M1930" s="531"/>
      <c r="N1930" s="209"/>
      <c r="O1930" s="209"/>
      <c r="P1930" s="209"/>
      <c r="Q1930" s="209"/>
      <c r="R1930" s="209"/>
      <c r="S1930" s="367"/>
      <c r="T1930" s="276"/>
      <c r="U1930" s="276"/>
      <c r="V1930" s="276"/>
      <c r="W1930" s="276"/>
      <c r="X1930" s="276"/>
      <c r="Y1930" s="276"/>
      <c r="Z1930" s="276"/>
      <c r="AA1930" s="276"/>
      <c r="AB1930" s="276"/>
      <c r="AC1930" s="276"/>
    </row>
    <row r="1931">
      <c r="A1931" s="108" t="s">
        <v>13000</v>
      </c>
      <c r="B1931" s="173">
        <v>46169.0</v>
      </c>
      <c r="C1931" s="374">
        <v>8.07000036263E11</v>
      </c>
      <c r="D1931" s="374" t="s">
        <v>7745</v>
      </c>
      <c r="E1931" s="374" t="s">
        <v>7746</v>
      </c>
      <c r="F1931" s="177" t="s">
        <v>13001</v>
      </c>
      <c r="G1931" s="177" t="s">
        <v>127</v>
      </c>
      <c r="H1931" s="177">
        <v>4400.0</v>
      </c>
      <c r="I1931" s="374" t="s">
        <v>2031</v>
      </c>
      <c r="J1931" s="374" t="s">
        <v>3348</v>
      </c>
      <c r="K1931" s="177">
        <v>1.0</v>
      </c>
      <c r="L1931" s="174">
        <v>3.874890128E9</v>
      </c>
      <c r="M1931" s="531"/>
      <c r="N1931" s="206"/>
      <c r="O1931" s="206"/>
      <c r="P1931" s="206"/>
      <c r="Q1931" s="206"/>
      <c r="R1931" s="206"/>
      <c r="S1931" s="367"/>
      <c r="T1931" s="276"/>
      <c r="U1931" s="276"/>
      <c r="V1931" s="276"/>
      <c r="W1931" s="276"/>
      <c r="X1931" s="276"/>
      <c r="Y1931" s="276"/>
      <c r="Z1931" s="276"/>
      <c r="AA1931" s="276"/>
      <c r="AB1931" s="276"/>
      <c r="AC1931" s="276"/>
    </row>
    <row r="1932">
      <c r="A1932" s="108" t="s">
        <v>13002</v>
      </c>
      <c r="B1932" s="173">
        <v>46169.0</v>
      </c>
      <c r="C1932" s="374">
        <v>8.07000036278E11</v>
      </c>
      <c r="D1932" s="374" t="s">
        <v>13003</v>
      </c>
      <c r="E1932" s="374" t="s">
        <v>13004</v>
      </c>
      <c r="F1932" s="177" t="s">
        <v>13005</v>
      </c>
      <c r="G1932" s="177" t="s">
        <v>127</v>
      </c>
      <c r="H1932" s="177">
        <v>4400.0</v>
      </c>
      <c r="I1932" s="374" t="s">
        <v>512</v>
      </c>
      <c r="J1932" s="374" t="s">
        <v>513</v>
      </c>
      <c r="K1932" s="177">
        <v>12.0</v>
      </c>
      <c r="L1932" s="174">
        <v>3.874156444E9</v>
      </c>
      <c r="M1932" s="531"/>
      <c r="N1932" s="486">
        <v>46169.0</v>
      </c>
      <c r="O1932" s="659" t="s">
        <v>9011</v>
      </c>
      <c r="P1932" s="598"/>
      <c r="Q1932" s="487" t="s">
        <v>14184</v>
      </c>
      <c r="R1932" s="623" t="s">
        <v>14360</v>
      </c>
      <c r="S1932" s="367"/>
      <c r="T1932" s="276"/>
      <c r="U1932" s="276"/>
      <c r="V1932" s="276"/>
      <c r="W1932" s="276"/>
      <c r="X1932" s="276"/>
      <c r="Y1932" s="276"/>
      <c r="Z1932" s="276"/>
      <c r="AA1932" s="276"/>
      <c r="AB1932" s="276"/>
      <c r="AC1932" s="276"/>
    </row>
    <row r="1933">
      <c r="A1933" s="108" t="s">
        <v>13002</v>
      </c>
      <c r="B1933" s="173">
        <v>46169.0</v>
      </c>
      <c r="C1933" s="374">
        <v>8.07000036279E11</v>
      </c>
      <c r="D1933" s="374" t="s">
        <v>13003</v>
      </c>
      <c r="E1933" s="374" t="s">
        <v>13004</v>
      </c>
      <c r="F1933" s="177" t="s">
        <v>13005</v>
      </c>
      <c r="G1933" s="177" t="s">
        <v>127</v>
      </c>
      <c r="H1933" s="177">
        <v>4400.0</v>
      </c>
      <c r="I1933" s="374" t="s">
        <v>3679</v>
      </c>
      <c r="J1933" s="374" t="s">
        <v>3680</v>
      </c>
      <c r="K1933" s="177">
        <v>1.0</v>
      </c>
      <c r="L1933" s="174">
        <v>3.874156444E9</v>
      </c>
      <c r="M1933" s="531"/>
      <c r="N1933" s="209"/>
      <c r="O1933" s="209"/>
      <c r="P1933" s="209"/>
      <c r="Q1933" s="209"/>
      <c r="R1933" s="209"/>
      <c r="S1933" s="367"/>
      <c r="T1933" s="276"/>
      <c r="U1933" s="276"/>
      <c r="V1933" s="276"/>
      <c r="W1933" s="276"/>
      <c r="X1933" s="276"/>
      <c r="Y1933" s="276"/>
      <c r="Z1933" s="276"/>
      <c r="AA1933" s="276"/>
      <c r="AB1933" s="276"/>
      <c r="AC1933" s="276"/>
    </row>
    <row r="1934">
      <c r="A1934" s="108" t="s">
        <v>13002</v>
      </c>
      <c r="B1934" s="173">
        <v>46169.0</v>
      </c>
      <c r="C1934" s="374">
        <v>8.07000036279E11</v>
      </c>
      <c r="D1934" s="374" t="s">
        <v>13003</v>
      </c>
      <c r="E1934" s="374" t="s">
        <v>13004</v>
      </c>
      <c r="F1934" s="177" t="s">
        <v>13005</v>
      </c>
      <c r="G1934" s="177" t="s">
        <v>127</v>
      </c>
      <c r="H1934" s="177">
        <v>4400.0</v>
      </c>
      <c r="I1934" s="374" t="s">
        <v>645</v>
      </c>
      <c r="J1934" s="374" t="s">
        <v>3253</v>
      </c>
      <c r="K1934" s="177">
        <v>2.0</v>
      </c>
      <c r="L1934" s="174">
        <v>3.874156444E9</v>
      </c>
      <c r="M1934" s="531"/>
      <c r="N1934" s="206"/>
      <c r="O1934" s="206"/>
      <c r="P1934" s="206"/>
      <c r="Q1934" s="206"/>
      <c r="R1934" s="206"/>
      <c r="S1934" s="367"/>
      <c r="T1934" s="276"/>
      <c r="U1934" s="276"/>
      <c r="V1934" s="276"/>
      <c r="W1934" s="276"/>
      <c r="X1934" s="276"/>
      <c r="Y1934" s="276"/>
      <c r="Z1934" s="276"/>
      <c r="AA1934" s="276"/>
      <c r="AB1934" s="276"/>
      <c r="AC1934" s="276"/>
    </row>
    <row r="1935">
      <c r="A1935" s="108" t="s">
        <v>13006</v>
      </c>
      <c r="B1935" s="173">
        <v>46169.0</v>
      </c>
      <c r="C1935" s="374">
        <v>8.07000036282E11</v>
      </c>
      <c r="D1935" s="374" t="s">
        <v>13007</v>
      </c>
      <c r="E1935" s="374" t="s">
        <v>13008</v>
      </c>
      <c r="F1935" s="177" t="s">
        <v>13009</v>
      </c>
      <c r="G1935" s="177" t="s">
        <v>12632</v>
      </c>
      <c r="H1935" s="177">
        <v>4421.0</v>
      </c>
      <c r="I1935" s="374" t="s">
        <v>512</v>
      </c>
      <c r="J1935" s="374" t="s">
        <v>513</v>
      </c>
      <c r="K1935" s="177">
        <v>12.0</v>
      </c>
      <c r="L1935" s="174">
        <v>3.874840029E9</v>
      </c>
      <c r="M1935" s="531"/>
      <c r="N1935" s="486">
        <v>46170.0</v>
      </c>
      <c r="O1935" s="487" t="s">
        <v>9011</v>
      </c>
      <c r="P1935" s="598"/>
      <c r="Q1935" s="487" t="s">
        <v>14361</v>
      </c>
      <c r="R1935" s="623" t="s">
        <v>14362</v>
      </c>
      <c r="S1935" s="367"/>
      <c r="T1935" s="276"/>
      <c r="U1935" s="276"/>
      <c r="V1935" s="276"/>
      <c r="W1935" s="276"/>
      <c r="X1935" s="276"/>
      <c r="Y1935" s="276"/>
      <c r="Z1935" s="276"/>
      <c r="AA1935" s="276"/>
      <c r="AB1935" s="276"/>
      <c r="AC1935" s="276"/>
    </row>
    <row r="1936">
      <c r="A1936" s="108" t="s">
        <v>13006</v>
      </c>
      <c r="B1936" s="173">
        <v>46169.0</v>
      </c>
      <c r="C1936" s="374">
        <v>8.07000036283E11</v>
      </c>
      <c r="D1936" s="374" t="s">
        <v>13007</v>
      </c>
      <c r="E1936" s="374" t="s">
        <v>13008</v>
      </c>
      <c r="F1936" s="177" t="s">
        <v>13009</v>
      </c>
      <c r="G1936" s="177" t="s">
        <v>12632</v>
      </c>
      <c r="H1936" s="177">
        <v>4421.0</v>
      </c>
      <c r="I1936" s="374" t="s">
        <v>298</v>
      </c>
      <c r="J1936" s="374" t="s">
        <v>6035</v>
      </c>
      <c r="K1936" s="177">
        <v>1.0</v>
      </c>
      <c r="L1936" s="174">
        <v>3.874840029E9</v>
      </c>
      <c r="M1936" s="531"/>
      <c r="N1936" s="209"/>
      <c r="O1936" s="209"/>
      <c r="P1936" s="209"/>
      <c r="Q1936" s="209"/>
      <c r="R1936" s="209"/>
      <c r="S1936" s="367"/>
      <c r="T1936" s="276"/>
      <c r="U1936" s="276"/>
      <c r="V1936" s="276"/>
      <c r="W1936" s="276"/>
      <c r="X1936" s="276"/>
      <c r="Y1936" s="276"/>
      <c r="Z1936" s="276"/>
      <c r="AA1936" s="276"/>
      <c r="AB1936" s="276"/>
      <c r="AC1936" s="276"/>
    </row>
    <row r="1937">
      <c r="A1937" s="108" t="s">
        <v>13006</v>
      </c>
      <c r="B1937" s="173">
        <v>46169.0</v>
      </c>
      <c r="C1937" s="374">
        <v>8.07000036284E11</v>
      </c>
      <c r="D1937" s="374" t="s">
        <v>13007</v>
      </c>
      <c r="E1937" s="374" t="s">
        <v>13008</v>
      </c>
      <c r="F1937" s="177" t="s">
        <v>13009</v>
      </c>
      <c r="G1937" s="177" t="s">
        <v>12632</v>
      </c>
      <c r="H1937" s="177">
        <v>4421.0</v>
      </c>
      <c r="I1937" s="374" t="s">
        <v>340</v>
      </c>
      <c r="J1937" s="374" t="s">
        <v>3486</v>
      </c>
      <c r="K1937" s="177">
        <v>2.0</v>
      </c>
      <c r="L1937" s="174">
        <v>3.874840029E9</v>
      </c>
      <c r="M1937" s="531"/>
      <c r="N1937" s="206"/>
      <c r="O1937" s="206"/>
      <c r="P1937" s="206"/>
      <c r="Q1937" s="206"/>
      <c r="R1937" s="206"/>
      <c r="S1937" s="367"/>
      <c r="T1937" s="276"/>
      <c r="U1937" s="276"/>
      <c r="V1937" s="276"/>
      <c r="W1937" s="276"/>
      <c r="X1937" s="276"/>
      <c r="Y1937" s="276"/>
      <c r="Z1937" s="276"/>
      <c r="AA1937" s="276"/>
      <c r="AB1937" s="276"/>
      <c r="AC1937" s="276"/>
    </row>
    <row r="1938">
      <c r="A1938" s="177" t="s">
        <v>13010</v>
      </c>
      <c r="B1938" s="173">
        <v>46169.0</v>
      </c>
      <c r="C1938" s="374">
        <v>8.07000036292E11</v>
      </c>
      <c r="D1938" s="374" t="s">
        <v>13011</v>
      </c>
      <c r="E1938" s="374" t="s">
        <v>13012</v>
      </c>
      <c r="F1938" s="374" t="s">
        <v>13013</v>
      </c>
      <c r="G1938" s="177" t="s">
        <v>127</v>
      </c>
      <c r="H1938" s="177">
        <v>4400.0</v>
      </c>
      <c r="I1938" s="374">
        <v>125822.0</v>
      </c>
      <c r="J1938" s="374" t="s">
        <v>6030</v>
      </c>
      <c r="K1938" s="177">
        <v>2.0</v>
      </c>
      <c r="L1938" s="174">
        <v>3.874631808E9</v>
      </c>
      <c r="M1938" s="531"/>
      <c r="N1938" s="486">
        <v>46169.0</v>
      </c>
      <c r="O1938" s="659" t="s">
        <v>9011</v>
      </c>
      <c r="P1938" s="598"/>
      <c r="Q1938" s="487" t="s">
        <v>14363</v>
      </c>
      <c r="R1938" s="623" t="s">
        <v>14364</v>
      </c>
      <c r="S1938" s="367"/>
      <c r="T1938" s="276"/>
      <c r="U1938" s="276"/>
      <c r="V1938" s="276"/>
      <c r="W1938" s="276"/>
      <c r="X1938" s="276"/>
      <c r="Y1938" s="276"/>
      <c r="Z1938" s="276"/>
      <c r="AA1938" s="276"/>
      <c r="AB1938" s="276"/>
      <c r="AC1938" s="276"/>
    </row>
    <row r="1939">
      <c r="A1939" s="177" t="s">
        <v>13010</v>
      </c>
      <c r="B1939" s="173">
        <v>46169.0</v>
      </c>
      <c r="C1939" s="374">
        <v>8.07000036292E11</v>
      </c>
      <c r="D1939" s="374" t="s">
        <v>13011</v>
      </c>
      <c r="E1939" s="374" t="s">
        <v>13012</v>
      </c>
      <c r="F1939" s="374" t="s">
        <v>13013</v>
      </c>
      <c r="G1939" s="177" t="s">
        <v>127</v>
      </c>
      <c r="H1939" s="177">
        <v>4400.0</v>
      </c>
      <c r="I1939" s="374" t="s">
        <v>659</v>
      </c>
      <c r="J1939" s="374" t="s">
        <v>3468</v>
      </c>
      <c r="K1939" s="177">
        <v>1.0</v>
      </c>
      <c r="L1939" s="174">
        <v>3.874631808E9</v>
      </c>
      <c r="M1939" s="531"/>
      <c r="N1939" s="206"/>
      <c r="O1939" s="206"/>
      <c r="P1939" s="206"/>
      <c r="Q1939" s="206"/>
      <c r="R1939" s="206"/>
      <c r="S1939" s="367"/>
      <c r="T1939" s="276"/>
      <c r="U1939" s="276"/>
      <c r="V1939" s="276"/>
      <c r="W1939" s="276"/>
      <c r="X1939" s="276"/>
      <c r="Y1939" s="276"/>
      <c r="Z1939" s="276"/>
      <c r="AA1939" s="276"/>
      <c r="AB1939" s="276"/>
      <c r="AC1939" s="276"/>
    </row>
    <row r="1940">
      <c r="A1940" s="108" t="s">
        <v>13014</v>
      </c>
      <c r="B1940" s="173">
        <v>46170.0</v>
      </c>
      <c r="C1940" s="374">
        <v>8.07000036232E11</v>
      </c>
      <c r="D1940" s="374" t="s">
        <v>6339</v>
      </c>
      <c r="E1940" s="374" t="s">
        <v>6340</v>
      </c>
      <c r="F1940" s="177" t="s">
        <v>6341</v>
      </c>
      <c r="G1940" s="177" t="s">
        <v>127</v>
      </c>
      <c r="H1940" s="177">
        <v>4400.0</v>
      </c>
      <c r="I1940" s="374">
        <v>208502.0</v>
      </c>
      <c r="J1940" s="374" t="s">
        <v>4551</v>
      </c>
      <c r="K1940" s="177">
        <v>2.0</v>
      </c>
      <c r="L1940" s="174">
        <v>3.874835385E9</v>
      </c>
      <c r="M1940" s="531"/>
      <c r="N1940" s="481">
        <v>46170.0</v>
      </c>
      <c r="O1940" s="531" t="s">
        <v>9011</v>
      </c>
      <c r="P1940" s="387"/>
      <c r="Q1940" s="261" t="s">
        <v>13339</v>
      </c>
      <c r="R1940" s="434" t="s">
        <v>14365</v>
      </c>
      <c r="S1940" s="367"/>
      <c r="T1940" s="276"/>
      <c r="U1940" s="276"/>
      <c r="V1940" s="276"/>
      <c r="W1940" s="276"/>
      <c r="X1940" s="276"/>
      <c r="Y1940" s="276"/>
      <c r="Z1940" s="276"/>
      <c r="AA1940" s="276"/>
      <c r="AB1940" s="276"/>
      <c r="AC1940" s="276"/>
    </row>
    <row r="1941">
      <c r="A1941" s="108" t="s">
        <v>13016</v>
      </c>
      <c r="B1941" s="173">
        <v>46170.0</v>
      </c>
      <c r="C1941" s="374">
        <v>8.07000036274E11</v>
      </c>
      <c r="D1941" s="374" t="s">
        <v>13017</v>
      </c>
      <c r="E1941" s="374" t="s">
        <v>13018</v>
      </c>
      <c r="F1941" s="177" t="s">
        <v>13019</v>
      </c>
      <c r="G1941" s="177" t="s">
        <v>127</v>
      </c>
      <c r="H1941" s="177">
        <v>4400.0</v>
      </c>
      <c r="I1941" s="374" t="s">
        <v>3334</v>
      </c>
      <c r="J1941" s="374" t="s">
        <v>3575</v>
      </c>
      <c r="K1941" s="177">
        <v>1.0</v>
      </c>
      <c r="L1941" s="174">
        <v>3.87456886E9</v>
      </c>
      <c r="M1941" s="531"/>
      <c r="N1941" s="480">
        <v>46170.0</v>
      </c>
      <c r="O1941" s="402" t="s">
        <v>9011</v>
      </c>
      <c r="P1941" s="534"/>
      <c r="Q1941" s="430" t="s">
        <v>13339</v>
      </c>
      <c r="R1941" s="432" t="s">
        <v>14366</v>
      </c>
      <c r="S1941" s="367"/>
      <c r="T1941" s="276"/>
      <c r="U1941" s="276"/>
      <c r="V1941" s="276"/>
      <c r="W1941" s="276"/>
      <c r="X1941" s="276"/>
      <c r="Y1941" s="276"/>
      <c r="Z1941" s="276"/>
      <c r="AA1941" s="276"/>
      <c r="AB1941" s="276"/>
      <c r="AC1941" s="276"/>
    </row>
    <row r="1942">
      <c r="A1942" s="108" t="s">
        <v>13016</v>
      </c>
      <c r="B1942" s="173">
        <v>46170.0</v>
      </c>
      <c r="C1942" s="374">
        <v>8.07000036274E11</v>
      </c>
      <c r="D1942" s="374" t="s">
        <v>13017</v>
      </c>
      <c r="E1942" s="374" t="s">
        <v>13018</v>
      </c>
      <c r="F1942" s="177" t="s">
        <v>13019</v>
      </c>
      <c r="G1942" s="177" t="s">
        <v>127</v>
      </c>
      <c r="H1942" s="177">
        <v>4400.0</v>
      </c>
      <c r="I1942" s="374" t="s">
        <v>512</v>
      </c>
      <c r="J1942" s="374" t="s">
        <v>513</v>
      </c>
      <c r="K1942" s="177">
        <v>12.0</v>
      </c>
      <c r="L1942" s="174">
        <v>3.87456886E9</v>
      </c>
      <c r="M1942" s="531"/>
      <c r="N1942" s="209"/>
      <c r="O1942" s="209"/>
      <c r="P1942" s="209"/>
      <c r="Q1942" s="209"/>
      <c r="R1942" s="209"/>
      <c r="S1942" s="367"/>
      <c r="T1942" s="276"/>
      <c r="U1942" s="276"/>
      <c r="V1942" s="276"/>
      <c r="W1942" s="276"/>
      <c r="X1942" s="276"/>
      <c r="Y1942" s="276"/>
      <c r="Z1942" s="276"/>
      <c r="AA1942" s="276"/>
      <c r="AB1942" s="276"/>
      <c r="AC1942" s="276"/>
    </row>
    <row r="1943">
      <c r="A1943" s="108" t="s">
        <v>13016</v>
      </c>
      <c r="B1943" s="173">
        <v>46170.0</v>
      </c>
      <c r="C1943" s="374">
        <v>8.07000036274E11</v>
      </c>
      <c r="D1943" s="374" t="s">
        <v>13017</v>
      </c>
      <c r="E1943" s="374" t="s">
        <v>13018</v>
      </c>
      <c r="F1943" s="177" t="s">
        <v>13019</v>
      </c>
      <c r="G1943" s="177" t="s">
        <v>127</v>
      </c>
      <c r="H1943" s="177">
        <v>4400.0</v>
      </c>
      <c r="I1943" s="374" t="s">
        <v>758</v>
      </c>
      <c r="J1943" s="374" t="s">
        <v>3574</v>
      </c>
      <c r="K1943" s="177">
        <v>2.0</v>
      </c>
      <c r="L1943" s="174">
        <v>3.87456886E9</v>
      </c>
      <c r="M1943" s="531"/>
      <c r="N1943" s="209"/>
      <c r="O1943" s="209"/>
      <c r="P1943" s="209"/>
      <c r="Q1943" s="209"/>
      <c r="R1943" s="209"/>
      <c r="S1943" s="367"/>
      <c r="T1943" s="276"/>
      <c r="U1943" s="276"/>
      <c r="V1943" s="276"/>
      <c r="W1943" s="276"/>
      <c r="X1943" s="276"/>
      <c r="Y1943" s="276"/>
      <c r="Z1943" s="276"/>
      <c r="AA1943" s="276"/>
      <c r="AB1943" s="276"/>
      <c r="AC1943" s="276"/>
    </row>
    <row r="1944">
      <c r="A1944" s="108" t="s">
        <v>13016</v>
      </c>
      <c r="B1944" s="173">
        <v>46170.0</v>
      </c>
      <c r="C1944" s="374">
        <v>8.07000036275E11</v>
      </c>
      <c r="D1944" s="374" t="s">
        <v>13017</v>
      </c>
      <c r="E1944" s="374" t="s">
        <v>13018</v>
      </c>
      <c r="F1944" s="177" t="s">
        <v>13019</v>
      </c>
      <c r="G1944" s="177" t="s">
        <v>127</v>
      </c>
      <c r="H1944" s="177">
        <v>4400.0</v>
      </c>
      <c r="I1944" s="374">
        <v>121.0</v>
      </c>
      <c r="J1944" s="374" t="s">
        <v>8028</v>
      </c>
      <c r="K1944" s="177">
        <v>1.0</v>
      </c>
      <c r="L1944" s="174">
        <v>3.87456886E9</v>
      </c>
      <c r="M1944" s="531"/>
      <c r="N1944" s="209"/>
      <c r="O1944" s="209"/>
      <c r="P1944" s="209"/>
      <c r="Q1944" s="209"/>
      <c r="R1944" s="209"/>
      <c r="S1944" s="367"/>
      <c r="T1944" s="276"/>
      <c r="U1944" s="276"/>
      <c r="V1944" s="276"/>
      <c r="W1944" s="276"/>
      <c r="X1944" s="276"/>
      <c r="Y1944" s="276"/>
      <c r="Z1944" s="276"/>
      <c r="AA1944" s="276"/>
      <c r="AB1944" s="276"/>
      <c r="AC1944" s="276"/>
    </row>
    <row r="1945">
      <c r="A1945" s="108" t="s">
        <v>13016</v>
      </c>
      <c r="B1945" s="173">
        <v>46170.0</v>
      </c>
      <c r="C1945" s="374">
        <v>8.07000036276E11</v>
      </c>
      <c r="D1945" s="374" t="s">
        <v>13017</v>
      </c>
      <c r="E1945" s="374" t="s">
        <v>13018</v>
      </c>
      <c r="F1945" s="177" t="s">
        <v>13019</v>
      </c>
      <c r="G1945" s="177" t="s">
        <v>127</v>
      </c>
      <c r="H1945" s="177">
        <v>4400.0</v>
      </c>
      <c r="I1945" s="374">
        <v>125817.0</v>
      </c>
      <c r="J1945" s="374" t="s">
        <v>10650</v>
      </c>
      <c r="K1945" s="177">
        <v>2.0</v>
      </c>
      <c r="L1945" s="174">
        <v>3.87456886E9</v>
      </c>
      <c r="M1945" s="531"/>
      <c r="N1945" s="206"/>
      <c r="O1945" s="206"/>
      <c r="P1945" s="206"/>
      <c r="Q1945" s="206"/>
      <c r="R1945" s="206"/>
      <c r="S1945" s="367"/>
      <c r="T1945" s="276"/>
      <c r="U1945" s="276"/>
      <c r="V1945" s="276"/>
      <c r="W1945" s="276"/>
      <c r="X1945" s="276"/>
      <c r="Y1945" s="276"/>
      <c r="Z1945" s="276"/>
      <c r="AA1945" s="276"/>
      <c r="AB1945" s="276"/>
      <c r="AC1945" s="276"/>
    </row>
    <row r="1946">
      <c r="A1946" s="108" t="s">
        <v>13020</v>
      </c>
      <c r="B1946" s="173">
        <v>46170.0</v>
      </c>
      <c r="C1946" s="374">
        <v>8.07000036293E11</v>
      </c>
      <c r="D1946" s="374" t="s">
        <v>13011</v>
      </c>
      <c r="E1946" s="374" t="s">
        <v>13012</v>
      </c>
      <c r="F1946" s="177" t="s">
        <v>13021</v>
      </c>
      <c r="G1946" s="177" t="s">
        <v>127</v>
      </c>
      <c r="H1946" s="177">
        <v>4400.0</v>
      </c>
      <c r="I1946" s="374" t="s">
        <v>5262</v>
      </c>
      <c r="J1946" s="374" t="s">
        <v>5263</v>
      </c>
      <c r="K1946" s="177">
        <v>1.0</v>
      </c>
      <c r="L1946" s="174">
        <v>3.874631808E9</v>
      </c>
      <c r="M1946" s="531"/>
      <c r="N1946" s="481">
        <v>46170.0</v>
      </c>
      <c r="O1946" s="531" t="s">
        <v>9011</v>
      </c>
      <c r="P1946" s="387"/>
      <c r="Q1946" s="261" t="s">
        <v>9012</v>
      </c>
      <c r="R1946" s="434" t="s">
        <v>14367</v>
      </c>
      <c r="S1946" s="367"/>
      <c r="T1946" s="276"/>
      <c r="U1946" s="276"/>
      <c r="V1946" s="276"/>
      <c r="W1946" s="276"/>
      <c r="X1946" s="276"/>
      <c r="Y1946" s="276"/>
      <c r="Z1946" s="276"/>
      <c r="AA1946" s="276"/>
      <c r="AB1946" s="276"/>
      <c r="AC1946" s="276"/>
    </row>
    <row r="1947">
      <c r="A1947" s="108" t="s">
        <v>13022</v>
      </c>
      <c r="B1947" s="173">
        <v>46170.0</v>
      </c>
      <c r="C1947" s="374">
        <v>8.07000036297E11</v>
      </c>
      <c r="D1947" s="374" t="s">
        <v>6335</v>
      </c>
      <c r="E1947" s="374" t="s">
        <v>6336</v>
      </c>
      <c r="F1947" s="177" t="s">
        <v>6337</v>
      </c>
      <c r="G1947" s="177" t="s">
        <v>127</v>
      </c>
      <c r="H1947" s="177">
        <v>4400.0</v>
      </c>
      <c r="I1947" s="374" t="s">
        <v>4070</v>
      </c>
      <c r="J1947" s="374" t="s">
        <v>6264</v>
      </c>
      <c r="K1947" s="177">
        <v>1.0</v>
      </c>
      <c r="L1947" s="174">
        <v>3.874493285E9</v>
      </c>
      <c r="M1947" s="531"/>
      <c r="N1947" s="481">
        <v>46170.0</v>
      </c>
      <c r="O1947" s="531" t="s">
        <v>9011</v>
      </c>
      <c r="P1947" s="387"/>
      <c r="Q1947" s="261" t="s">
        <v>9012</v>
      </c>
      <c r="R1947" s="434" t="s">
        <v>14368</v>
      </c>
      <c r="S1947" s="367"/>
      <c r="T1947" s="276"/>
      <c r="U1947" s="276"/>
      <c r="V1947" s="276"/>
      <c r="W1947" s="276"/>
      <c r="X1947" s="276"/>
      <c r="Y1947" s="276"/>
      <c r="Z1947" s="276"/>
      <c r="AA1947" s="276"/>
      <c r="AB1947" s="276"/>
      <c r="AC1947" s="276"/>
    </row>
    <row r="1948">
      <c r="A1948" s="108" t="s">
        <v>13023</v>
      </c>
      <c r="B1948" s="173">
        <v>46170.0</v>
      </c>
      <c r="C1948" s="374">
        <v>8.07000036312E11</v>
      </c>
      <c r="D1948" s="374" t="s">
        <v>13024</v>
      </c>
      <c r="E1948" s="374" t="s">
        <v>13025</v>
      </c>
      <c r="F1948" s="177" t="s">
        <v>13026</v>
      </c>
      <c r="G1948" s="177" t="s">
        <v>4645</v>
      </c>
      <c r="H1948" s="177">
        <v>4400.0</v>
      </c>
      <c r="I1948" s="374" t="s">
        <v>768</v>
      </c>
      <c r="J1948" s="374" t="s">
        <v>3386</v>
      </c>
      <c r="K1948" s="177">
        <v>1.0</v>
      </c>
      <c r="L1948" s="174">
        <v>3.874181223E9</v>
      </c>
      <c r="M1948" s="531"/>
      <c r="N1948" s="480">
        <v>46174.0</v>
      </c>
      <c r="O1948" s="402" t="s">
        <v>9011</v>
      </c>
      <c r="P1948" s="534"/>
      <c r="Q1948" s="430" t="s">
        <v>9012</v>
      </c>
      <c r="R1948" s="432" t="s">
        <v>14369</v>
      </c>
      <c r="S1948" s="367"/>
      <c r="T1948" s="276"/>
      <c r="U1948" s="276"/>
      <c r="V1948" s="276"/>
      <c r="W1948" s="276"/>
      <c r="X1948" s="276"/>
      <c r="Y1948" s="276"/>
      <c r="Z1948" s="276"/>
      <c r="AA1948" s="276"/>
      <c r="AB1948" s="276"/>
      <c r="AC1948" s="276"/>
    </row>
    <row r="1949">
      <c r="A1949" s="108" t="s">
        <v>13023</v>
      </c>
      <c r="B1949" s="173">
        <v>46170.0</v>
      </c>
      <c r="C1949" s="374">
        <v>8.07000036313E11</v>
      </c>
      <c r="D1949" s="374" t="s">
        <v>13024</v>
      </c>
      <c r="E1949" s="374" t="s">
        <v>13025</v>
      </c>
      <c r="F1949" s="177" t="s">
        <v>13026</v>
      </c>
      <c r="G1949" s="177" t="s">
        <v>4645</v>
      </c>
      <c r="H1949" s="177">
        <v>4400.0</v>
      </c>
      <c r="I1949" s="374">
        <v>87610.0</v>
      </c>
      <c r="J1949" s="374" t="s">
        <v>12683</v>
      </c>
      <c r="K1949" s="177">
        <v>2.0</v>
      </c>
      <c r="L1949" s="174">
        <v>3.874181223E9</v>
      </c>
      <c r="M1949" s="531"/>
      <c r="N1949" s="206"/>
      <c r="O1949" s="206"/>
      <c r="P1949" s="206"/>
      <c r="Q1949" s="206"/>
      <c r="R1949" s="206"/>
      <c r="S1949" s="367"/>
      <c r="T1949" s="276"/>
      <c r="U1949" s="276"/>
      <c r="V1949" s="276"/>
      <c r="W1949" s="276"/>
      <c r="X1949" s="276"/>
      <c r="Y1949" s="276"/>
      <c r="Z1949" s="276"/>
      <c r="AA1949" s="276"/>
      <c r="AB1949" s="276"/>
      <c r="AC1949" s="276"/>
    </row>
    <row r="1950">
      <c r="A1950" s="108" t="s">
        <v>13027</v>
      </c>
      <c r="B1950" s="173">
        <v>46171.0</v>
      </c>
      <c r="C1950" s="374">
        <v>8.07000036314E11</v>
      </c>
      <c r="D1950" s="374" t="s">
        <v>13028</v>
      </c>
      <c r="E1950" s="374" t="s">
        <v>13029</v>
      </c>
      <c r="F1950" s="177" t="s">
        <v>13030</v>
      </c>
      <c r="G1950" s="177" t="s">
        <v>127</v>
      </c>
      <c r="H1950" s="177">
        <v>4400.0</v>
      </c>
      <c r="I1950" s="374" t="s">
        <v>5551</v>
      </c>
      <c r="J1950" s="374" t="s">
        <v>5552</v>
      </c>
      <c r="K1950" s="177">
        <v>1.0</v>
      </c>
      <c r="L1950" s="174">
        <v>3.874855936E9</v>
      </c>
      <c r="M1950" s="531"/>
      <c r="N1950" s="480">
        <v>46171.0</v>
      </c>
      <c r="O1950" s="402" t="s">
        <v>9011</v>
      </c>
      <c r="P1950" s="534"/>
      <c r="Q1950" s="430" t="s">
        <v>14370</v>
      </c>
      <c r="R1950" s="432" t="s">
        <v>14371</v>
      </c>
      <c r="S1950" s="367"/>
      <c r="T1950" s="276"/>
      <c r="U1950" s="276"/>
      <c r="V1950" s="276"/>
      <c r="W1950" s="276"/>
      <c r="X1950" s="276"/>
      <c r="Y1950" s="276"/>
      <c r="Z1950" s="276"/>
      <c r="AA1950" s="276"/>
      <c r="AB1950" s="276"/>
      <c r="AC1950" s="276"/>
    </row>
    <row r="1951">
      <c r="A1951" s="108" t="s">
        <v>13027</v>
      </c>
      <c r="B1951" s="173">
        <v>46171.0</v>
      </c>
      <c r="C1951" s="374">
        <v>8.07000036314E11</v>
      </c>
      <c r="D1951" s="374" t="s">
        <v>13028</v>
      </c>
      <c r="E1951" s="374" t="s">
        <v>13029</v>
      </c>
      <c r="F1951" s="177" t="s">
        <v>13030</v>
      </c>
      <c r="G1951" s="177" t="s">
        <v>127</v>
      </c>
      <c r="H1951" s="177">
        <v>4400.0</v>
      </c>
      <c r="I1951" s="374" t="s">
        <v>110</v>
      </c>
      <c r="J1951" s="374" t="s">
        <v>3673</v>
      </c>
      <c r="K1951" s="177">
        <v>1.0</v>
      </c>
      <c r="L1951" s="174">
        <v>3.874855936E9</v>
      </c>
      <c r="M1951" s="531"/>
      <c r="N1951" s="206"/>
      <c r="O1951" s="206"/>
      <c r="P1951" s="206"/>
      <c r="Q1951" s="206"/>
      <c r="R1951" s="206"/>
      <c r="S1951" s="367"/>
      <c r="T1951" s="276"/>
      <c r="U1951" s="276"/>
      <c r="V1951" s="276"/>
      <c r="W1951" s="276"/>
      <c r="X1951" s="276"/>
      <c r="Y1951" s="276"/>
      <c r="Z1951" s="276"/>
      <c r="AA1951" s="276"/>
      <c r="AB1951" s="276"/>
      <c r="AC1951" s="276"/>
    </row>
    <row r="1952">
      <c r="A1952" s="108" t="s">
        <v>13031</v>
      </c>
      <c r="B1952" s="173">
        <v>46171.0</v>
      </c>
      <c r="C1952" s="374">
        <v>8.07000036319E11</v>
      </c>
      <c r="D1952" s="374" t="s">
        <v>13032</v>
      </c>
      <c r="E1952" s="374" t="s">
        <v>13033</v>
      </c>
      <c r="F1952" s="177" t="s">
        <v>13034</v>
      </c>
      <c r="G1952" s="177" t="s">
        <v>4645</v>
      </c>
      <c r="H1952" s="177">
        <v>4400.0</v>
      </c>
      <c r="I1952" s="374" t="s">
        <v>5034</v>
      </c>
      <c r="J1952" s="374" t="s">
        <v>5035</v>
      </c>
      <c r="K1952" s="177">
        <v>1.0</v>
      </c>
      <c r="L1952" s="174">
        <v>3.875918808E9</v>
      </c>
      <c r="M1952" s="531"/>
      <c r="N1952" s="480">
        <v>46171.0</v>
      </c>
      <c r="O1952" s="402" t="s">
        <v>9011</v>
      </c>
      <c r="P1952" s="534"/>
      <c r="Q1952" s="430" t="s">
        <v>13339</v>
      </c>
      <c r="R1952" s="432" t="s">
        <v>14372</v>
      </c>
      <c r="S1952" s="367"/>
      <c r="T1952" s="276"/>
      <c r="U1952" s="276"/>
      <c r="V1952" s="276"/>
      <c r="W1952" s="276"/>
      <c r="X1952" s="276"/>
      <c r="Y1952" s="276"/>
      <c r="Z1952" s="276"/>
      <c r="AA1952" s="276"/>
      <c r="AB1952" s="276"/>
      <c r="AC1952" s="276"/>
    </row>
    <row r="1953">
      <c r="A1953" s="108" t="s">
        <v>13031</v>
      </c>
      <c r="B1953" s="173">
        <v>46171.0</v>
      </c>
      <c r="C1953" s="374">
        <v>8.07000036319E11</v>
      </c>
      <c r="D1953" s="374" t="s">
        <v>13032</v>
      </c>
      <c r="E1953" s="374" t="s">
        <v>13033</v>
      </c>
      <c r="F1953" s="177" t="s">
        <v>13034</v>
      </c>
      <c r="G1953" s="177" t="s">
        <v>4645</v>
      </c>
      <c r="H1953" s="177">
        <v>4400.0</v>
      </c>
      <c r="I1953" s="374" t="s">
        <v>110</v>
      </c>
      <c r="J1953" s="374" t="s">
        <v>3673</v>
      </c>
      <c r="K1953" s="177">
        <v>1.0</v>
      </c>
      <c r="L1953" s="174">
        <v>3.875918808E9</v>
      </c>
      <c r="M1953" s="531"/>
      <c r="N1953" s="206"/>
      <c r="O1953" s="206"/>
      <c r="P1953" s="206"/>
      <c r="Q1953" s="206"/>
      <c r="R1953" s="206"/>
      <c r="S1953" s="367"/>
      <c r="T1953" s="276"/>
      <c r="U1953" s="276"/>
      <c r="V1953" s="276"/>
      <c r="W1953" s="276"/>
      <c r="X1953" s="276"/>
      <c r="Y1953" s="276"/>
      <c r="Z1953" s="276"/>
      <c r="AA1953" s="276"/>
      <c r="AB1953" s="276"/>
      <c r="AC1953" s="276"/>
    </row>
    <row r="1954">
      <c r="A1954" s="108" t="s">
        <v>13035</v>
      </c>
      <c r="B1954" s="173">
        <v>46171.0</v>
      </c>
      <c r="C1954" s="374">
        <v>8.07000036309E11</v>
      </c>
      <c r="D1954" s="374" t="s">
        <v>13036</v>
      </c>
      <c r="E1954" s="374" t="s">
        <v>13037</v>
      </c>
      <c r="F1954" s="177" t="s">
        <v>13038</v>
      </c>
      <c r="G1954" s="177" t="s">
        <v>127</v>
      </c>
      <c r="H1954" s="177">
        <v>4400.0</v>
      </c>
      <c r="I1954" s="374">
        <v>208501.0</v>
      </c>
      <c r="J1954" s="374" t="s">
        <v>481</v>
      </c>
      <c r="K1954" s="177">
        <v>2.0</v>
      </c>
      <c r="L1954" s="174">
        <v>3.874843001E9</v>
      </c>
      <c r="M1954" s="531"/>
      <c r="N1954" s="480">
        <v>46171.0</v>
      </c>
      <c r="O1954" s="402" t="s">
        <v>9011</v>
      </c>
      <c r="P1954" s="534"/>
      <c r="Q1954" s="430" t="s">
        <v>14373</v>
      </c>
      <c r="R1954" s="432" t="s">
        <v>14374</v>
      </c>
      <c r="S1954" s="367"/>
      <c r="T1954" s="276"/>
      <c r="U1954" s="276"/>
      <c r="V1954" s="276"/>
      <c r="W1954" s="276"/>
      <c r="X1954" s="276"/>
      <c r="Y1954" s="276"/>
      <c r="Z1954" s="276"/>
      <c r="AA1954" s="276"/>
      <c r="AB1954" s="276"/>
      <c r="AC1954" s="276"/>
    </row>
    <row r="1955">
      <c r="A1955" s="108" t="s">
        <v>13035</v>
      </c>
      <c r="B1955" s="173">
        <v>46171.0</v>
      </c>
      <c r="C1955" s="374">
        <v>8.0700003631E11</v>
      </c>
      <c r="D1955" s="374" t="s">
        <v>13036</v>
      </c>
      <c r="E1955" s="374" t="s">
        <v>13037</v>
      </c>
      <c r="F1955" s="177" t="s">
        <v>13038</v>
      </c>
      <c r="G1955" s="177" t="s">
        <v>127</v>
      </c>
      <c r="H1955" s="177">
        <v>4400.0</v>
      </c>
      <c r="I1955" s="374" t="s">
        <v>110</v>
      </c>
      <c r="J1955" s="374" t="s">
        <v>3673</v>
      </c>
      <c r="K1955" s="177">
        <v>1.0</v>
      </c>
      <c r="L1955" s="174">
        <v>3.874843001E9</v>
      </c>
      <c r="M1955" s="531"/>
      <c r="N1955" s="209"/>
      <c r="O1955" s="209"/>
      <c r="P1955" s="209"/>
      <c r="Q1955" s="209"/>
      <c r="R1955" s="209"/>
      <c r="S1955" s="367"/>
      <c r="T1955" s="276"/>
      <c r="U1955" s="276"/>
      <c r="V1955" s="276"/>
      <c r="W1955" s="276"/>
      <c r="X1955" s="276"/>
      <c r="Y1955" s="276"/>
      <c r="Z1955" s="276"/>
      <c r="AA1955" s="276"/>
      <c r="AB1955" s="276"/>
      <c r="AC1955" s="276"/>
    </row>
    <row r="1956">
      <c r="A1956" s="108" t="s">
        <v>13035</v>
      </c>
      <c r="B1956" s="173">
        <v>46171.0</v>
      </c>
      <c r="C1956" s="374">
        <v>8.07000036324E11</v>
      </c>
      <c r="D1956" s="374" t="s">
        <v>13036</v>
      </c>
      <c r="E1956" s="374" t="s">
        <v>13037</v>
      </c>
      <c r="F1956" s="177" t="s">
        <v>13038</v>
      </c>
      <c r="G1956" s="177" t="s">
        <v>127</v>
      </c>
      <c r="H1956" s="177">
        <v>4400.0</v>
      </c>
      <c r="I1956" s="374" t="s">
        <v>5034</v>
      </c>
      <c r="J1956" s="374" t="s">
        <v>5035</v>
      </c>
      <c r="K1956" s="177">
        <v>1.0</v>
      </c>
      <c r="L1956" s="174">
        <v>3.874843001E9</v>
      </c>
      <c r="M1956" s="531"/>
      <c r="N1956" s="206"/>
      <c r="O1956" s="206"/>
      <c r="P1956" s="206"/>
      <c r="Q1956" s="206"/>
      <c r="R1956" s="206"/>
      <c r="S1956" s="367"/>
      <c r="T1956" s="276"/>
      <c r="U1956" s="276"/>
      <c r="V1956" s="276"/>
      <c r="W1956" s="276"/>
      <c r="X1956" s="276"/>
      <c r="Y1956" s="276"/>
      <c r="Z1956" s="276"/>
      <c r="AA1956" s="276"/>
      <c r="AB1956" s="276"/>
      <c r="AC1956" s="276"/>
    </row>
    <row r="1957">
      <c r="A1957" s="653"/>
      <c r="B1957" s="654"/>
      <c r="C1957" s="655"/>
      <c r="D1957" s="655"/>
      <c r="E1957" s="655"/>
      <c r="F1957" s="656"/>
      <c r="G1957" s="656"/>
      <c r="H1957" s="656"/>
      <c r="I1957" s="657"/>
      <c r="J1957" s="655"/>
      <c r="K1957" s="656"/>
      <c r="L1957" s="658"/>
      <c r="M1957" s="531"/>
      <c r="N1957" s="387"/>
      <c r="O1957" s="531"/>
      <c r="P1957" s="387"/>
      <c r="Q1957" s="261"/>
      <c r="R1957" s="449"/>
      <c r="S1957" s="367"/>
      <c r="T1957" s="276"/>
      <c r="U1957" s="276"/>
      <c r="V1957" s="276"/>
      <c r="W1957" s="276"/>
      <c r="X1957" s="276"/>
      <c r="Y1957" s="276"/>
      <c r="Z1957" s="276"/>
      <c r="AA1957" s="276"/>
      <c r="AB1957" s="276"/>
      <c r="AC1957" s="276"/>
    </row>
    <row r="1958">
      <c r="A1958" s="108" t="s">
        <v>13039</v>
      </c>
      <c r="B1958" s="173">
        <v>46174.0</v>
      </c>
      <c r="C1958" s="374">
        <v>8.07000036359E11</v>
      </c>
      <c r="D1958" s="374" t="s">
        <v>13040</v>
      </c>
      <c r="E1958" s="374" t="s">
        <v>13041</v>
      </c>
      <c r="F1958" s="177" t="s">
        <v>13042</v>
      </c>
      <c r="G1958" s="177" t="s">
        <v>127</v>
      </c>
      <c r="H1958" s="177">
        <v>4400.0</v>
      </c>
      <c r="I1958" s="374" t="s">
        <v>3154</v>
      </c>
      <c r="J1958" s="374" t="s">
        <v>4564</v>
      </c>
      <c r="K1958" s="177">
        <v>1.0</v>
      </c>
      <c r="L1958" s="174">
        <v>3.874811687E9</v>
      </c>
      <c r="M1958" s="531"/>
      <c r="N1958" s="481">
        <v>46174.0</v>
      </c>
      <c r="O1958" s="531" t="s">
        <v>9011</v>
      </c>
      <c r="P1958" s="387"/>
      <c r="Q1958" s="261" t="s">
        <v>14375</v>
      </c>
      <c r="R1958" s="434" t="s">
        <v>14376</v>
      </c>
      <c r="S1958" s="367"/>
      <c r="T1958" s="276"/>
      <c r="U1958" s="276"/>
      <c r="V1958" s="276"/>
      <c r="W1958" s="276"/>
      <c r="X1958" s="276"/>
      <c r="Y1958" s="276"/>
      <c r="Z1958" s="276"/>
      <c r="AA1958" s="276"/>
      <c r="AB1958" s="276"/>
      <c r="AC1958" s="276"/>
    </row>
    <row r="1959">
      <c r="A1959" s="108" t="s">
        <v>13043</v>
      </c>
      <c r="B1959" s="173">
        <v>46174.0</v>
      </c>
      <c r="C1959" s="374">
        <v>8.07000036361E11</v>
      </c>
      <c r="D1959" s="374" t="s">
        <v>13044</v>
      </c>
      <c r="E1959" s="374" t="s">
        <v>13045</v>
      </c>
      <c r="F1959" s="177" t="s">
        <v>13046</v>
      </c>
      <c r="G1959" s="177" t="s">
        <v>104</v>
      </c>
      <c r="H1959" s="177">
        <v>4400.0</v>
      </c>
      <c r="I1959" s="374" t="s">
        <v>512</v>
      </c>
      <c r="J1959" s="374" t="s">
        <v>513</v>
      </c>
      <c r="K1959" s="177">
        <v>12.0</v>
      </c>
      <c r="L1959" s="174">
        <v>3.8761308E9</v>
      </c>
      <c r="M1959" s="531"/>
      <c r="N1959" s="480">
        <v>46174.0</v>
      </c>
      <c r="O1959" s="402" t="s">
        <v>9011</v>
      </c>
      <c r="P1959" s="534"/>
      <c r="Q1959" s="430" t="s">
        <v>14377</v>
      </c>
      <c r="R1959" s="432" t="s">
        <v>14378</v>
      </c>
      <c r="S1959" s="367"/>
      <c r="T1959" s="276"/>
      <c r="U1959" s="276"/>
      <c r="V1959" s="276"/>
      <c r="W1959" s="276"/>
      <c r="X1959" s="276"/>
      <c r="Y1959" s="276"/>
      <c r="Z1959" s="276"/>
      <c r="AA1959" s="276"/>
      <c r="AB1959" s="276"/>
      <c r="AC1959" s="276"/>
    </row>
    <row r="1960">
      <c r="A1960" s="108" t="s">
        <v>13043</v>
      </c>
      <c r="B1960" s="173">
        <v>46174.0</v>
      </c>
      <c r="C1960" s="374">
        <v>8.07000036362E11</v>
      </c>
      <c r="D1960" s="374" t="s">
        <v>13044</v>
      </c>
      <c r="E1960" s="374" t="s">
        <v>13045</v>
      </c>
      <c r="F1960" s="177" t="s">
        <v>13046</v>
      </c>
      <c r="G1960" s="177" t="s">
        <v>104</v>
      </c>
      <c r="H1960" s="177">
        <v>4400.0</v>
      </c>
      <c r="I1960" s="374" t="s">
        <v>1115</v>
      </c>
      <c r="J1960" s="374" t="s">
        <v>8215</v>
      </c>
      <c r="K1960" s="177">
        <v>1.0</v>
      </c>
      <c r="L1960" s="174">
        <v>3.8761308E9</v>
      </c>
      <c r="M1960" s="531"/>
      <c r="N1960" s="209"/>
      <c r="O1960" s="209"/>
      <c r="P1960" s="209"/>
      <c r="Q1960" s="209"/>
      <c r="R1960" s="209"/>
      <c r="S1960" s="367"/>
      <c r="T1960" s="276"/>
      <c r="U1960" s="276"/>
      <c r="V1960" s="276"/>
      <c r="W1960" s="276"/>
      <c r="X1960" s="276"/>
      <c r="Y1960" s="276"/>
      <c r="Z1960" s="276"/>
      <c r="AA1960" s="276"/>
      <c r="AB1960" s="276"/>
      <c r="AC1960" s="276"/>
    </row>
    <row r="1961">
      <c r="A1961" s="108" t="s">
        <v>13043</v>
      </c>
      <c r="B1961" s="173">
        <v>46174.0</v>
      </c>
      <c r="C1961" s="374">
        <v>8.07000036362E11</v>
      </c>
      <c r="D1961" s="374" t="s">
        <v>13044</v>
      </c>
      <c r="E1961" s="374" t="s">
        <v>13045</v>
      </c>
      <c r="F1961" s="177" t="s">
        <v>13046</v>
      </c>
      <c r="G1961" s="177" t="s">
        <v>104</v>
      </c>
      <c r="H1961" s="177">
        <v>4400.0</v>
      </c>
      <c r="I1961" s="374" t="s">
        <v>340</v>
      </c>
      <c r="J1961" s="374" t="s">
        <v>3486</v>
      </c>
      <c r="K1961" s="177">
        <v>2.0</v>
      </c>
      <c r="L1961" s="174">
        <v>3.8761308E9</v>
      </c>
      <c r="M1961" s="531"/>
      <c r="N1961" s="206"/>
      <c r="O1961" s="206"/>
      <c r="P1961" s="206"/>
      <c r="Q1961" s="206"/>
      <c r="R1961" s="206"/>
      <c r="S1961" s="367"/>
      <c r="T1961" s="276"/>
      <c r="U1961" s="276"/>
      <c r="V1961" s="276"/>
      <c r="W1961" s="276"/>
      <c r="X1961" s="276"/>
      <c r="Y1961" s="276"/>
      <c r="Z1961" s="276"/>
      <c r="AA1961" s="276"/>
      <c r="AB1961" s="276"/>
      <c r="AC1961" s="276"/>
    </row>
    <row r="1962">
      <c r="A1962" s="108" t="s">
        <v>13047</v>
      </c>
      <c r="B1962" s="173">
        <v>46174.0</v>
      </c>
      <c r="C1962" s="374">
        <v>8.07000036346E11</v>
      </c>
      <c r="D1962" s="374" t="s">
        <v>13048</v>
      </c>
      <c r="E1962" s="374" t="s">
        <v>13049</v>
      </c>
      <c r="F1962" s="177" t="s">
        <v>13050</v>
      </c>
      <c r="G1962" s="177" t="s">
        <v>127</v>
      </c>
      <c r="H1962" s="177">
        <v>4400.0</v>
      </c>
      <c r="I1962" s="374" t="s">
        <v>512</v>
      </c>
      <c r="J1962" s="374" t="s">
        <v>513</v>
      </c>
      <c r="K1962" s="177">
        <v>6.0</v>
      </c>
      <c r="L1962" s="174">
        <v>3.876234288E9</v>
      </c>
      <c r="M1962" s="531"/>
      <c r="N1962" s="480">
        <v>46174.0</v>
      </c>
      <c r="O1962" s="402" t="s">
        <v>9011</v>
      </c>
      <c r="P1962" s="534"/>
      <c r="Q1962" s="430" t="s">
        <v>13339</v>
      </c>
      <c r="R1962" s="432" t="s">
        <v>14379</v>
      </c>
      <c r="S1962" s="367"/>
      <c r="T1962" s="276"/>
      <c r="U1962" s="276"/>
      <c r="V1962" s="276"/>
      <c r="W1962" s="276"/>
      <c r="X1962" s="276"/>
      <c r="Y1962" s="276"/>
      <c r="Z1962" s="276"/>
      <c r="AA1962" s="276"/>
      <c r="AB1962" s="276"/>
      <c r="AC1962" s="276"/>
    </row>
    <row r="1963">
      <c r="A1963" s="108" t="s">
        <v>13047</v>
      </c>
      <c r="B1963" s="173">
        <v>46174.0</v>
      </c>
      <c r="C1963" s="374">
        <v>8.07000036347E11</v>
      </c>
      <c r="D1963" s="374" t="s">
        <v>13048</v>
      </c>
      <c r="E1963" s="374" t="s">
        <v>13049</v>
      </c>
      <c r="F1963" s="177" t="s">
        <v>13050</v>
      </c>
      <c r="G1963" s="177" t="s">
        <v>127</v>
      </c>
      <c r="H1963" s="177">
        <v>4400.0</v>
      </c>
      <c r="I1963" s="374" t="s">
        <v>6246</v>
      </c>
      <c r="J1963" s="374" t="s">
        <v>6247</v>
      </c>
      <c r="K1963" s="177">
        <v>1.0</v>
      </c>
      <c r="L1963" s="174">
        <v>3.876234288E9</v>
      </c>
      <c r="M1963" s="531"/>
      <c r="N1963" s="209"/>
      <c r="O1963" s="209"/>
      <c r="P1963" s="209"/>
      <c r="Q1963" s="209"/>
      <c r="R1963" s="209"/>
      <c r="S1963" s="367"/>
      <c r="T1963" s="276"/>
      <c r="U1963" s="276"/>
      <c r="V1963" s="276"/>
      <c r="W1963" s="276"/>
      <c r="X1963" s="276"/>
      <c r="Y1963" s="276"/>
      <c r="Z1963" s="276"/>
      <c r="AA1963" s="276"/>
      <c r="AB1963" s="276"/>
      <c r="AC1963" s="276"/>
    </row>
    <row r="1964">
      <c r="A1964" s="108" t="s">
        <v>13047</v>
      </c>
      <c r="B1964" s="173">
        <v>46174.0</v>
      </c>
      <c r="C1964" s="374">
        <v>8.07000036347E11</v>
      </c>
      <c r="D1964" s="374" t="s">
        <v>13048</v>
      </c>
      <c r="E1964" s="374" t="s">
        <v>13049</v>
      </c>
      <c r="F1964" s="177" t="s">
        <v>13050</v>
      </c>
      <c r="G1964" s="177" t="s">
        <v>127</v>
      </c>
      <c r="H1964" s="177">
        <v>4400.0</v>
      </c>
      <c r="I1964" s="374" t="s">
        <v>1345</v>
      </c>
      <c r="J1964" s="374" t="s">
        <v>3639</v>
      </c>
      <c r="K1964" s="177">
        <v>1.0</v>
      </c>
      <c r="L1964" s="174">
        <v>3.876234288E9</v>
      </c>
      <c r="M1964" s="531"/>
      <c r="N1964" s="206"/>
      <c r="O1964" s="206"/>
      <c r="P1964" s="206"/>
      <c r="Q1964" s="206"/>
      <c r="R1964" s="206"/>
      <c r="S1964" s="367"/>
      <c r="T1964" s="276"/>
      <c r="U1964" s="276"/>
      <c r="V1964" s="276"/>
      <c r="W1964" s="276"/>
      <c r="X1964" s="276"/>
      <c r="Y1964" s="276"/>
      <c r="Z1964" s="276"/>
      <c r="AA1964" s="276"/>
      <c r="AB1964" s="276"/>
      <c r="AC1964" s="276"/>
    </row>
    <row r="1965">
      <c r="A1965" s="108" t="s">
        <v>13051</v>
      </c>
      <c r="B1965" s="173">
        <v>46174.0</v>
      </c>
      <c r="C1965" s="374">
        <v>8.07000036352E11</v>
      </c>
      <c r="D1965" s="374" t="s">
        <v>13052</v>
      </c>
      <c r="E1965" s="374" t="s">
        <v>13053</v>
      </c>
      <c r="F1965" s="177" t="s">
        <v>13054</v>
      </c>
      <c r="G1965" s="177" t="s">
        <v>4645</v>
      </c>
      <c r="H1965" s="177">
        <v>4400.0</v>
      </c>
      <c r="I1965" s="374" t="s">
        <v>4070</v>
      </c>
      <c r="J1965" s="374" t="s">
        <v>6264</v>
      </c>
      <c r="K1965" s="177">
        <v>1.0</v>
      </c>
      <c r="L1965" s="174">
        <v>3.875409493E9</v>
      </c>
      <c r="M1965" s="531"/>
      <c r="N1965" s="480">
        <v>46174.0</v>
      </c>
      <c r="O1965" s="402" t="s">
        <v>9011</v>
      </c>
      <c r="P1965" s="534"/>
      <c r="Q1965" s="430" t="s">
        <v>13339</v>
      </c>
      <c r="R1965" s="432" t="s">
        <v>14380</v>
      </c>
      <c r="S1965" s="367"/>
      <c r="T1965" s="276"/>
      <c r="U1965" s="276"/>
      <c r="V1965" s="276"/>
      <c r="W1965" s="276"/>
      <c r="X1965" s="276"/>
      <c r="Y1965" s="276"/>
      <c r="Z1965" s="276"/>
      <c r="AA1965" s="276"/>
      <c r="AB1965" s="276"/>
      <c r="AC1965" s="276"/>
    </row>
    <row r="1966">
      <c r="A1966" s="108" t="s">
        <v>13051</v>
      </c>
      <c r="B1966" s="173">
        <v>46174.0</v>
      </c>
      <c r="C1966" s="374">
        <v>8.07000036352E11</v>
      </c>
      <c r="D1966" s="374" t="s">
        <v>13052</v>
      </c>
      <c r="E1966" s="374" t="s">
        <v>13053</v>
      </c>
      <c r="F1966" s="177" t="s">
        <v>13054</v>
      </c>
      <c r="G1966" s="177" t="s">
        <v>4645</v>
      </c>
      <c r="H1966" s="177">
        <v>4400.0</v>
      </c>
      <c r="I1966" s="374" t="s">
        <v>5551</v>
      </c>
      <c r="J1966" s="374" t="s">
        <v>5552</v>
      </c>
      <c r="K1966" s="177">
        <v>1.0</v>
      </c>
      <c r="L1966" s="174">
        <v>3.875409493E9</v>
      </c>
      <c r="M1966" s="531"/>
      <c r="N1966" s="209"/>
      <c r="O1966" s="209"/>
      <c r="P1966" s="209"/>
      <c r="Q1966" s="209"/>
      <c r="R1966" s="209"/>
      <c r="S1966" s="367"/>
      <c r="T1966" s="276"/>
      <c r="U1966" s="276"/>
      <c r="V1966" s="276"/>
      <c r="W1966" s="276"/>
      <c r="X1966" s="276"/>
      <c r="Y1966" s="276"/>
      <c r="Z1966" s="276"/>
      <c r="AA1966" s="276"/>
      <c r="AB1966" s="276"/>
      <c r="AC1966" s="276"/>
    </row>
    <row r="1967">
      <c r="A1967" s="108" t="s">
        <v>13055</v>
      </c>
      <c r="B1967" s="173">
        <v>46174.0</v>
      </c>
      <c r="C1967" s="374">
        <v>8.07000036353E11</v>
      </c>
      <c r="D1967" s="374" t="s">
        <v>13052</v>
      </c>
      <c r="E1967" s="374" t="s">
        <v>13053</v>
      </c>
      <c r="F1967" s="177" t="s">
        <v>13054</v>
      </c>
      <c r="G1967" s="177" t="s">
        <v>4645</v>
      </c>
      <c r="H1967" s="177">
        <v>4400.0</v>
      </c>
      <c r="I1967" s="374" t="s">
        <v>110</v>
      </c>
      <c r="J1967" s="374" t="s">
        <v>3673</v>
      </c>
      <c r="K1967" s="177">
        <v>1.0</v>
      </c>
      <c r="L1967" s="174">
        <v>3.875409493E9</v>
      </c>
      <c r="M1967" s="531"/>
      <c r="N1967" s="206"/>
      <c r="O1967" s="206"/>
      <c r="P1967" s="206"/>
      <c r="Q1967" s="206"/>
      <c r="R1967" s="206"/>
      <c r="S1967" s="367"/>
      <c r="T1967" s="276"/>
      <c r="U1967" s="276"/>
      <c r="V1967" s="276"/>
      <c r="W1967" s="276"/>
      <c r="X1967" s="276"/>
      <c r="Y1967" s="276"/>
      <c r="Z1967" s="276"/>
      <c r="AA1967" s="276"/>
      <c r="AB1967" s="276"/>
      <c r="AC1967" s="276"/>
    </row>
    <row r="1968">
      <c r="A1968" s="108" t="s">
        <v>13056</v>
      </c>
      <c r="B1968" s="173">
        <v>46174.0</v>
      </c>
      <c r="C1968" s="374">
        <v>8.07000036354E11</v>
      </c>
      <c r="D1968" s="374" t="s">
        <v>13057</v>
      </c>
      <c r="E1968" s="374" t="s">
        <v>13058</v>
      </c>
      <c r="F1968" s="177" t="s">
        <v>13059</v>
      </c>
      <c r="G1968" s="177" t="s">
        <v>127</v>
      </c>
      <c r="H1968" s="177">
        <v>4400.0</v>
      </c>
      <c r="I1968" s="374" t="s">
        <v>110</v>
      </c>
      <c r="J1968" s="374" t="s">
        <v>3673</v>
      </c>
      <c r="K1968" s="177">
        <v>1.0</v>
      </c>
      <c r="L1968" s="174">
        <v>3.874069601E9</v>
      </c>
      <c r="M1968" s="531"/>
      <c r="N1968" s="480">
        <v>46174.0</v>
      </c>
      <c r="O1968" s="402" t="s">
        <v>9011</v>
      </c>
      <c r="P1968" s="534"/>
      <c r="Q1968" s="430" t="s">
        <v>14381</v>
      </c>
      <c r="R1968" s="432" t="s">
        <v>14382</v>
      </c>
      <c r="S1968" s="367"/>
      <c r="T1968" s="276"/>
      <c r="U1968" s="276"/>
      <c r="V1968" s="276"/>
      <c r="W1968" s="276"/>
      <c r="X1968" s="276"/>
      <c r="Y1968" s="276"/>
      <c r="Z1968" s="276"/>
      <c r="AA1968" s="276"/>
      <c r="AB1968" s="276"/>
      <c r="AC1968" s="276"/>
    </row>
    <row r="1969">
      <c r="A1969" s="108" t="s">
        <v>13060</v>
      </c>
      <c r="B1969" s="173">
        <v>46174.0</v>
      </c>
      <c r="C1969" s="374">
        <v>8.07000036355E11</v>
      </c>
      <c r="D1969" s="374" t="s">
        <v>13057</v>
      </c>
      <c r="E1969" s="374" t="s">
        <v>13058</v>
      </c>
      <c r="F1969" s="177" t="s">
        <v>13059</v>
      </c>
      <c r="G1969" s="177" t="s">
        <v>127</v>
      </c>
      <c r="H1969" s="177">
        <v>4400.0</v>
      </c>
      <c r="I1969" s="374" t="s">
        <v>11890</v>
      </c>
      <c r="J1969" s="374" t="s">
        <v>11891</v>
      </c>
      <c r="K1969" s="177">
        <v>2.0</v>
      </c>
      <c r="L1969" s="174">
        <v>3.874069601E9</v>
      </c>
      <c r="M1969" s="531"/>
      <c r="N1969" s="209"/>
      <c r="O1969" s="209"/>
      <c r="P1969" s="209"/>
      <c r="Q1969" s="209"/>
      <c r="R1969" s="209"/>
      <c r="S1969" s="367"/>
      <c r="T1969" s="276"/>
      <c r="U1969" s="276"/>
      <c r="V1969" s="276"/>
      <c r="W1969" s="276"/>
      <c r="X1969" s="276"/>
      <c r="Y1969" s="276"/>
      <c r="Z1969" s="276"/>
      <c r="AA1969" s="276"/>
      <c r="AB1969" s="276"/>
      <c r="AC1969" s="276"/>
    </row>
    <row r="1970">
      <c r="A1970" s="108" t="s">
        <v>13061</v>
      </c>
      <c r="B1970" s="173">
        <v>46174.0</v>
      </c>
      <c r="C1970" s="374">
        <v>8.07000036356E11</v>
      </c>
      <c r="D1970" s="374" t="s">
        <v>13057</v>
      </c>
      <c r="E1970" s="374" t="s">
        <v>13058</v>
      </c>
      <c r="F1970" s="177" t="s">
        <v>13059</v>
      </c>
      <c r="G1970" s="177" t="s">
        <v>127</v>
      </c>
      <c r="H1970" s="177">
        <v>4400.0</v>
      </c>
      <c r="I1970" s="374" t="s">
        <v>32</v>
      </c>
      <c r="J1970" s="374" t="s">
        <v>3225</v>
      </c>
      <c r="K1970" s="177">
        <v>1.0</v>
      </c>
      <c r="L1970" s="174">
        <v>3.874069601E9</v>
      </c>
      <c r="M1970" s="531"/>
      <c r="N1970" s="206"/>
      <c r="O1970" s="206"/>
      <c r="P1970" s="206"/>
      <c r="Q1970" s="206"/>
      <c r="R1970" s="206"/>
      <c r="S1970" s="367"/>
      <c r="T1970" s="276"/>
      <c r="U1970" s="276"/>
      <c r="V1970" s="276"/>
      <c r="W1970" s="276"/>
      <c r="X1970" s="276"/>
      <c r="Y1970" s="276"/>
      <c r="Z1970" s="276"/>
      <c r="AA1970" s="276"/>
      <c r="AB1970" s="276"/>
      <c r="AC1970" s="276"/>
    </row>
    <row r="1971">
      <c r="A1971" s="108" t="s">
        <v>13062</v>
      </c>
      <c r="B1971" s="173">
        <v>46174.0</v>
      </c>
      <c r="C1971" s="374">
        <v>8.07000036337E11</v>
      </c>
      <c r="D1971" s="374" t="s">
        <v>13063</v>
      </c>
      <c r="E1971" s="374" t="s">
        <v>13064</v>
      </c>
      <c r="F1971" s="177" t="s">
        <v>13065</v>
      </c>
      <c r="G1971" s="177" t="s">
        <v>13066</v>
      </c>
      <c r="H1971" s="177">
        <v>4407.0</v>
      </c>
      <c r="I1971" s="374" t="s">
        <v>3679</v>
      </c>
      <c r="J1971" s="374" t="s">
        <v>3680</v>
      </c>
      <c r="K1971" s="177">
        <v>1.0</v>
      </c>
      <c r="L1971" s="174">
        <v>2.314405438E9</v>
      </c>
      <c r="M1971" s="531"/>
      <c r="N1971" s="480">
        <v>46174.0</v>
      </c>
      <c r="O1971" s="402" t="s">
        <v>9011</v>
      </c>
      <c r="P1971" s="534"/>
      <c r="Q1971" s="430" t="s">
        <v>9012</v>
      </c>
      <c r="R1971" s="432" t="s">
        <v>14383</v>
      </c>
      <c r="S1971" s="367"/>
      <c r="T1971" s="276"/>
      <c r="U1971" s="276"/>
      <c r="V1971" s="276"/>
      <c r="W1971" s="276"/>
      <c r="X1971" s="276"/>
      <c r="Y1971" s="276"/>
      <c r="Z1971" s="276"/>
      <c r="AA1971" s="276"/>
      <c r="AB1971" s="276"/>
      <c r="AC1971" s="276"/>
    </row>
    <row r="1972">
      <c r="A1972" s="108" t="s">
        <v>13067</v>
      </c>
      <c r="B1972" s="173">
        <v>46174.0</v>
      </c>
      <c r="C1972" s="374">
        <v>8.07000036349E11</v>
      </c>
      <c r="D1972" s="374" t="s">
        <v>13063</v>
      </c>
      <c r="E1972" s="374" t="s">
        <v>13064</v>
      </c>
      <c r="F1972" s="177" t="s">
        <v>13065</v>
      </c>
      <c r="G1972" s="177" t="s">
        <v>13066</v>
      </c>
      <c r="H1972" s="177">
        <v>4407.0</v>
      </c>
      <c r="I1972" s="374" t="s">
        <v>13068</v>
      </c>
      <c r="J1972" s="374" t="s">
        <v>13069</v>
      </c>
      <c r="K1972" s="177">
        <v>2.0</v>
      </c>
      <c r="L1972" s="174">
        <v>2.314405438E9</v>
      </c>
      <c r="M1972" s="531"/>
      <c r="N1972" s="206"/>
      <c r="O1972" s="206"/>
      <c r="P1972" s="206"/>
      <c r="Q1972" s="206"/>
      <c r="R1972" s="206"/>
      <c r="S1972" s="367"/>
      <c r="T1972" s="276"/>
      <c r="U1972" s="276"/>
      <c r="V1972" s="276"/>
      <c r="W1972" s="276"/>
      <c r="X1972" s="276"/>
      <c r="Y1972" s="276"/>
      <c r="Z1972" s="276"/>
      <c r="AA1972" s="276"/>
      <c r="AB1972" s="276"/>
      <c r="AC1972" s="276"/>
    </row>
    <row r="1973">
      <c r="A1973" s="660"/>
      <c r="B1973" s="661"/>
      <c r="C1973" s="662"/>
      <c r="D1973" s="662"/>
      <c r="E1973" s="662"/>
      <c r="F1973" s="663"/>
      <c r="G1973" s="664"/>
      <c r="H1973" s="664"/>
      <c r="I1973" s="662"/>
      <c r="J1973" s="662"/>
      <c r="K1973" s="664"/>
      <c r="L1973" s="665"/>
      <c r="M1973" s="666"/>
      <c r="N1973" s="387"/>
      <c r="O1973" s="531"/>
      <c r="P1973" s="387"/>
      <c r="Q1973" s="261"/>
      <c r="R1973" s="449"/>
      <c r="S1973" s="367"/>
      <c r="T1973" s="276"/>
      <c r="U1973" s="276"/>
      <c r="V1973" s="276"/>
      <c r="W1973" s="276"/>
      <c r="X1973" s="276"/>
      <c r="Y1973" s="276"/>
      <c r="Z1973" s="276"/>
      <c r="AA1973" s="276"/>
      <c r="AB1973" s="276"/>
      <c r="AC1973" s="276"/>
    </row>
    <row r="1974">
      <c r="A1974" s="85">
        <v>46174.0</v>
      </c>
      <c r="B1974" s="31" t="s">
        <v>6345</v>
      </c>
      <c r="C1974" s="31">
        <v>8.07839006983E11</v>
      </c>
      <c r="D1974" s="31" t="s">
        <v>6346</v>
      </c>
      <c r="E1974" s="31" t="s">
        <v>6347</v>
      </c>
      <c r="F1974" s="31" t="s">
        <v>6348</v>
      </c>
      <c r="G1974" s="31" t="s">
        <v>247</v>
      </c>
      <c r="H1974" s="31" t="s">
        <v>20</v>
      </c>
      <c r="I1974" s="31">
        <v>4400.0</v>
      </c>
      <c r="J1974" s="31">
        <v>3.878342003E9</v>
      </c>
      <c r="K1974" s="31" t="s">
        <v>541</v>
      </c>
      <c r="L1974" s="31" t="s">
        <v>3947</v>
      </c>
      <c r="M1974" s="33">
        <v>1.0</v>
      </c>
      <c r="N1974" s="433">
        <v>46175.0</v>
      </c>
      <c r="O1974" s="261" t="s">
        <v>9011</v>
      </c>
      <c r="P1974" s="387"/>
      <c r="Q1974" s="261" t="s">
        <v>13339</v>
      </c>
      <c r="R1974" s="434" t="s">
        <v>14384</v>
      </c>
      <c r="S1974" s="367"/>
      <c r="T1974" s="276"/>
      <c r="U1974" s="276"/>
      <c r="V1974" s="276"/>
      <c r="W1974" s="276"/>
      <c r="X1974" s="276"/>
      <c r="Y1974" s="276"/>
      <c r="Z1974" s="276"/>
      <c r="AA1974" s="276"/>
      <c r="AB1974" s="276"/>
      <c r="AC1974" s="276"/>
    </row>
    <row r="1975">
      <c r="A1975" s="85">
        <v>46174.0</v>
      </c>
      <c r="B1975" s="31" t="s">
        <v>6350</v>
      </c>
      <c r="C1975" s="31">
        <v>8.07839007026E11</v>
      </c>
      <c r="D1975" s="31" t="s">
        <v>6351</v>
      </c>
      <c r="E1975" s="31" t="s">
        <v>6352</v>
      </c>
      <c r="F1975" s="31" t="s">
        <v>6353</v>
      </c>
      <c r="G1975" s="31" t="s">
        <v>41</v>
      </c>
      <c r="H1975" s="31" t="s">
        <v>20</v>
      </c>
      <c r="I1975" s="31">
        <v>4560.0</v>
      </c>
      <c r="J1975" s="31">
        <v>3.873330518E9</v>
      </c>
      <c r="K1975" s="31" t="s">
        <v>32</v>
      </c>
      <c r="L1975" s="31" t="s">
        <v>3225</v>
      </c>
      <c r="M1975" s="33">
        <v>1.0</v>
      </c>
      <c r="N1975" s="429">
        <v>46176.0</v>
      </c>
      <c r="O1975" s="430" t="s">
        <v>9011</v>
      </c>
      <c r="P1975" s="534"/>
      <c r="Q1975" s="430" t="s">
        <v>13339</v>
      </c>
      <c r="R1975" s="432" t="s">
        <v>14385</v>
      </c>
      <c r="S1975" s="367"/>
      <c r="T1975" s="276"/>
      <c r="U1975" s="276"/>
      <c r="V1975" s="276"/>
      <c r="W1975" s="276"/>
      <c r="X1975" s="276"/>
      <c r="Y1975" s="276"/>
      <c r="Z1975" s="276"/>
      <c r="AA1975" s="276"/>
      <c r="AB1975" s="276"/>
      <c r="AC1975" s="276"/>
    </row>
    <row r="1976">
      <c r="A1976" s="85">
        <v>46174.0</v>
      </c>
      <c r="B1976" s="31" t="s">
        <v>6350</v>
      </c>
      <c r="C1976" s="31">
        <v>8.07839007026E11</v>
      </c>
      <c r="D1976" s="31" t="s">
        <v>6351</v>
      </c>
      <c r="E1976" s="31" t="s">
        <v>6352</v>
      </c>
      <c r="F1976" s="31" t="s">
        <v>6353</v>
      </c>
      <c r="G1976" s="31" t="s">
        <v>41</v>
      </c>
      <c r="H1976" s="31" t="s">
        <v>20</v>
      </c>
      <c r="I1976" s="31">
        <v>4560.0</v>
      </c>
      <c r="J1976" s="31">
        <v>3.873330518E9</v>
      </c>
      <c r="K1976" s="31" t="s">
        <v>512</v>
      </c>
      <c r="L1976" s="31" t="s">
        <v>513</v>
      </c>
      <c r="M1976" s="33">
        <v>6.0</v>
      </c>
      <c r="N1976" s="209"/>
      <c r="O1976" s="209"/>
      <c r="P1976" s="209"/>
      <c r="Q1976" s="209"/>
      <c r="R1976" s="209"/>
      <c r="S1976" s="367"/>
      <c r="T1976" s="276"/>
      <c r="U1976" s="276"/>
      <c r="V1976" s="276"/>
      <c r="W1976" s="276"/>
      <c r="X1976" s="276"/>
      <c r="Y1976" s="276"/>
      <c r="Z1976" s="276"/>
      <c r="AA1976" s="276"/>
      <c r="AB1976" s="276"/>
      <c r="AC1976" s="276"/>
    </row>
    <row r="1977">
      <c r="A1977" s="85">
        <v>46174.0</v>
      </c>
      <c r="B1977" s="31" t="s">
        <v>6350</v>
      </c>
      <c r="C1977" s="31">
        <v>8.07839007026E11</v>
      </c>
      <c r="D1977" s="31" t="s">
        <v>6351</v>
      </c>
      <c r="E1977" s="31" t="s">
        <v>6352</v>
      </c>
      <c r="F1977" s="31" t="s">
        <v>6353</v>
      </c>
      <c r="G1977" s="31" t="s">
        <v>41</v>
      </c>
      <c r="H1977" s="31" t="s">
        <v>20</v>
      </c>
      <c r="I1977" s="31">
        <v>4560.0</v>
      </c>
      <c r="J1977" s="31">
        <v>3.873330518E9</v>
      </c>
      <c r="K1977" s="31" t="s">
        <v>670</v>
      </c>
      <c r="L1977" s="31" t="s">
        <v>3410</v>
      </c>
      <c r="M1977" s="33">
        <v>1.0</v>
      </c>
      <c r="N1977" s="206"/>
      <c r="O1977" s="206"/>
      <c r="P1977" s="206"/>
      <c r="Q1977" s="206"/>
      <c r="R1977" s="206"/>
      <c r="S1977" s="367"/>
      <c r="T1977" s="276"/>
      <c r="U1977" s="276"/>
      <c r="V1977" s="276"/>
      <c r="W1977" s="276"/>
      <c r="X1977" s="276"/>
      <c r="Y1977" s="276"/>
      <c r="Z1977" s="276"/>
      <c r="AA1977" s="276"/>
      <c r="AB1977" s="276"/>
      <c r="AC1977" s="276"/>
    </row>
    <row r="1978">
      <c r="A1978" s="85">
        <v>46174.0</v>
      </c>
      <c r="B1978" s="31" t="s">
        <v>6355</v>
      </c>
      <c r="C1978" s="31">
        <v>8.05011576836E11</v>
      </c>
      <c r="D1978" s="31" t="s">
        <v>6356</v>
      </c>
      <c r="E1978" s="31" t="s">
        <v>6357</v>
      </c>
      <c r="F1978" s="31" t="s">
        <v>6358</v>
      </c>
      <c r="G1978" s="31" t="s">
        <v>20</v>
      </c>
      <c r="H1978" s="31" t="s">
        <v>20</v>
      </c>
      <c r="I1978" s="31">
        <v>4400.0</v>
      </c>
      <c r="J1978" s="31">
        <v>3.87545101E9</v>
      </c>
      <c r="K1978" s="31" t="s">
        <v>5842</v>
      </c>
      <c r="L1978" s="31" t="s">
        <v>5843</v>
      </c>
      <c r="M1978" s="33">
        <v>1.0</v>
      </c>
      <c r="N1978" s="429">
        <v>46176.0</v>
      </c>
      <c r="O1978" s="430" t="s">
        <v>9011</v>
      </c>
      <c r="P1978" s="534"/>
      <c r="Q1978" s="430" t="s">
        <v>14184</v>
      </c>
      <c r="R1978" s="432" t="s">
        <v>14386</v>
      </c>
      <c r="S1978" s="367"/>
      <c r="T1978" s="276"/>
      <c r="U1978" s="276"/>
      <c r="V1978" s="276"/>
      <c r="W1978" s="276"/>
      <c r="X1978" s="276"/>
      <c r="Y1978" s="276"/>
      <c r="Z1978" s="276"/>
      <c r="AA1978" s="276"/>
      <c r="AB1978" s="276"/>
      <c r="AC1978" s="276"/>
    </row>
    <row r="1979">
      <c r="A1979" s="85">
        <v>46174.0</v>
      </c>
      <c r="B1979" s="31" t="s">
        <v>6355</v>
      </c>
      <c r="C1979" s="31">
        <v>8.05011576836E11</v>
      </c>
      <c r="D1979" s="31" t="s">
        <v>6356</v>
      </c>
      <c r="E1979" s="31" t="s">
        <v>6357</v>
      </c>
      <c r="F1979" s="31" t="s">
        <v>6358</v>
      </c>
      <c r="G1979" s="31" t="s">
        <v>20</v>
      </c>
      <c r="H1979" s="31" t="s">
        <v>20</v>
      </c>
      <c r="I1979" s="31">
        <v>4400.0</v>
      </c>
      <c r="J1979" s="31">
        <v>3.87545101E9</v>
      </c>
      <c r="K1979" s="31" t="s">
        <v>32</v>
      </c>
      <c r="L1979" s="31" t="s">
        <v>3225</v>
      </c>
      <c r="M1979" s="33">
        <v>1.0</v>
      </c>
      <c r="N1979" s="206"/>
      <c r="O1979" s="206"/>
      <c r="P1979" s="206"/>
      <c r="Q1979" s="206"/>
      <c r="R1979" s="206"/>
      <c r="S1979" s="276"/>
      <c r="T1979" s="276"/>
      <c r="U1979" s="276"/>
      <c r="V1979" s="276"/>
      <c r="W1979" s="276"/>
      <c r="X1979" s="276"/>
      <c r="Y1979" s="276"/>
      <c r="Z1979" s="276"/>
      <c r="AA1979" s="276"/>
      <c r="AB1979" s="276"/>
      <c r="AC1979" s="276"/>
    </row>
    <row r="1980">
      <c r="A1980" s="85">
        <v>46174.0</v>
      </c>
      <c r="B1980" s="31" t="s">
        <v>6359</v>
      </c>
      <c r="C1980" s="31">
        <v>8.05011576898E11</v>
      </c>
      <c r="D1980" s="31" t="s">
        <v>6360</v>
      </c>
      <c r="E1980" s="31" t="s">
        <v>6361</v>
      </c>
      <c r="F1980" s="31" t="s">
        <v>6362</v>
      </c>
      <c r="G1980" s="31" t="s">
        <v>376</v>
      </c>
      <c r="H1980" s="31" t="s">
        <v>20</v>
      </c>
      <c r="I1980" s="31">
        <v>4421.0</v>
      </c>
      <c r="J1980" s="31">
        <v>2.901519149E9</v>
      </c>
      <c r="K1980" s="31" t="s">
        <v>32</v>
      </c>
      <c r="L1980" s="31" t="s">
        <v>3225</v>
      </c>
      <c r="M1980" s="33">
        <v>2.0</v>
      </c>
      <c r="N1980" s="429">
        <v>46176.0</v>
      </c>
      <c r="O1980" s="430" t="s">
        <v>9011</v>
      </c>
      <c r="P1980" s="534"/>
      <c r="Q1980" s="430" t="s">
        <v>14387</v>
      </c>
      <c r="R1980" s="432" t="s">
        <v>14388</v>
      </c>
      <c r="S1980" s="276"/>
      <c r="T1980" s="276"/>
      <c r="U1980" s="276"/>
      <c r="V1980" s="276"/>
      <c r="W1980" s="276"/>
      <c r="X1980" s="276"/>
      <c r="Y1980" s="276"/>
      <c r="Z1980" s="276"/>
      <c r="AA1980" s="276"/>
      <c r="AB1980" s="276"/>
      <c r="AC1980" s="276"/>
    </row>
    <row r="1981">
      <c r="A1981" s="85">
        <v>46174.0</v>
      </c>
      <c r="B1981" s="31" t="s">
        <v>6359</v>
      </c>
      <c r="C1981" s="31">
        <v>8.05011576898E11</v>
      </c>
      <c r="D1981" s="31" t="s">
        <v>6360</v>
      </c>
      <c r="E1981" s="31" t="s">
        <v>6361</v>
      </c>
      <c r="F1981" s="31" t="s">
        <v>6362</v>
      </c>
      <c r="G1981" s="31" t="s">
        <v>376</v>
      </c>
      <c r="H1981" s="31" t="s">
        <v>20</v>
      </c>
      <c r="I1981" s="31">
        <v>4421.0</v>
      </c>
      <c r="J1981" s="31">
        <v>2.901519149E9</v>
      </c>
      <c r="K1981" s="31" t="s">
        <v>512</v>
      </c>
      <c r="L1981" s="31" t="s">
        <v>513</v>
      </c>
      <c r="M1981" s="33">
        <v>12.0</v>
      </c>
      <c r="N1981" s="209"/>
      <c r="O1981" s="209"/>
      <c r="P1981" s="209"/>
      <c r="Q1981" s="209"/>
      <c r="R1981" s="209"/>
      <c r="S1981" s="276"/>
      <c r="T1981" s="276"/>
      <c r="U1981" s="276"/>
      <c r="V1981" s="276"/>
      <c r="W1981" s="276"/>
      <c r="X1981" s="276"/>
      <c r="Y1981" s="276"/>
      <c r="Z1981" s="276"/>
      <c r="AA1981" s="276"/>
      <c r="AB1981" s="276"/>
      <c r="AC1981" s="276"/>
    </row>
    <row r="1982">
      <c r="A1982" s="85">
        <v>46174.0</v>
      </c>
      <c r="B1982" s="31" t="s">
        <v>6359</v>
      </c>
      <c r="C1982" s="31">
        <v>8.05011576898E11</v>
      </c>
      <c r="D1982" s="31" t="s">
        <v>6360</v>
      </c>
      <c r="E1982" s="31" t="s">
        <v>6361</v>
      </c>
      <c r="F1982" s="31" t="s">
        <v>6362</v>
      </c>
      <c r="G1982" s="31" t="s">
        <v>376</v>
      </c>
      <c r="H1982" s="31" t="s">
        <v>20</v>
      </c>
      <c r="I1982" s="31">
        <v>4421.0</v>
      </c>
      <c r="J1982" s="31">
        <v>2.901519149E9</v>
      </c>
      <c r="K1982" s="31" t="s">
        <v>670</v>
      </c>
      <c r="L1982" s="31" t="s">
        <v>3410</v>
      </c>
      <c r="M1982" s="33">
        <v>2.0</v>
      </c>
      <c r="N1982" s="206"/>
      <c r="O1982" s="206"/>
      <c r="P1982" s="206"/>
      <c r="Q1982" s="206"/>
      <c r="R1982" s="206"/>
      <c r="S1982" s="276"/>
      <c r="T1982" s="276"/>
      <c r="U1982" s="276"/>
      <c r="V1982" s="276"/>
      <c r="W1982" s="276"/>
      <c r="X1982" s="276"/>
      <c r="Y1982" s="276"/>
      <c r="Z1982" s="276"/>
      <c r="AA1982" s="276"/>
      <c r="AB1982" s="276"/>
      <c r="AC1982" s="276"/>
    </row>
    <row r="1983">
      <c r="A1983" s="85">
        <v>46174.0</v>
      </c>
      <c r="B1983" s="31" t="s">
        <v>6363</v>
      </c>
      <c r="C1983" s="31">
        <v>8.0783900712E11</v>
      </c>
      <c r="D1983" s="31" t="s">
        <v>6364</v>
      </c>
      <c r="E1983" s="31" t="s">
        <v>6365</v>
      </c>
      <c r="F1983" s="31" t="s">
        <v>6366</v>
      </c>
      <c r="G1983" s="31" t="s">
        <v>278</v>
      </c>
      <c r="H1983" s="31" t="s">
        <v>20</v>
      </c>
      <c r="I1983" s="31">
        <v>4400.0</v>
      </c>
      <c r="J1983" s="31">
        <v>3.876415836E9</v>
      </c>
      <c r="K1983" s="31" t="s">
        <v>32</v>
      </c>
      <c r="L1983" s="31" t="s">
        <v>3225</v>
      </c>
      <c r="M1983" s="33">
        <v>1.0</v>
      </c>
      <c r="N1983" s="429">
        <v>46177.0</v>
      </c>
      <c r="O1983" s="430" t="s">
        <v>9011</v>
      </c>
      <c r="P1983" s="534"/>
      <c r="Q1983" s="430" t="s">
        <v>14184</v>
      </c>
      <c r="R1983" s="432" t="s">
        <v>14389</v>
      </c>
      <c r="S1983" s="276"/>
      <c r="T1983" s="276"/>
      <c r="U1983" s="276"/>
      <c r="V1983" s="276"/>
      <c r="W1983" s="276"/>
      <c r="X1983" s="276"/>
      <c r="Y1983" s="276"/>
      <c r="Z1983" s="276"/>
      <c r="AA1983" s="276"/>
      <c r="AB1983" s="276"/>
      <c r="AC1983" s="276"/>
    </row>
    <row r="1984">
      <c r="A1984" s="85">
        <v>46174.0</v>
      </c>
      <c r="B1984" s="31" t="s">
        <v>6363</v>
      </c>
      <c r="C1984" s="31">
        <v>8.0783900712E11</v>
      </c>
      <c r="D1984" s="31" t="s">
        <v>6364</v>
      </c>
      <c r="E1984" s="31" t="s">
        <v>6365</v>
      </c>
      <c r="F1984" s="31" t="s">
        <v>6366</v>
      </c>
      <c r="G1984" s="31" t="s">
        <v>278</v>
      </c>
      <c r="H1984" s="31" t="s">
        <v>20</v>
      </c>
      <c r="I1984" s="31">
        <v>4400.0</v>
      </c>
      <c r="J1984" s="31">
        <v>3.876415836E9</v>
      </c>
      <c r="K1984" s="31" t="s">
        <v>512</v>
      </c>
      <c r="L1984" s="31" t="s">
        <v>513</v>
      </c>
      <c r="M1984" s="33">
        <v>6.0</v>
      </c>
      <c r="N1984" s="209"/>
      <c r="O1984" s="209"/>
      <c r="P1984" s="209"/>
      <c r="Q1984" s="209"/>
      <c r="R1984" s="209"/>
      <c r="S1984" s="276"/>
      <c r="T1984" s="276"/>
      <c r="U1984" s="276"/>
      <c r="V1984" s="276"/>
      <c r="W1984" s="276"/>
      <c r="X1984" s="276"/>
      <c r="Y1984" s="276"/>
      <c r="Z1984" s="276"/>
      <c r="AA1984" s="276"/>
      <c r="AB1984" s="276"/>
      <c r="AC1984" s="276"/>
    </row>
    <row r="1985">
      <c r="A1985" s="85">
        <v>46174.0</v>
      </c>
      <c r="B1985" s="31" t="s">
        <v>6363</v>
      </c>
      <c r="C1985" s="31">
        <v>8.0783900712E11</v>
      </c>
      <c r="D1985" s="31" t="s">
        <v>6364</v>
      </c>
      <c r="E1985" s="31" t="s">
        <v>6365</v>
      </c>
      <c r="F1985" s="31" t="s">
        <v>6366</v>
      </c>
      <c r="G1985" s="31" t="s">
        <v>278</v>
      </c>
      <c r="H1985" s="31" t="s">
        <v>20</v>
      </c>
      <c r="I1985" s="31">
        <v>4400.0</v>
      </c>
      <c r="J1985" s="31">
        <v>3.876415836E9</v>
      </c>
      <c r="K1985" s="31" t="s">
        <v>670</v>
      </c>
      <c r="L1985" s="31" t="s">
        <v>3410</v>
      </c>
      <c r="M1985" s="33">
        <v>1.0</v>
      </c>
      <c r="N1985" s="206"/>
      <c r="O1985" s="206"/>
      <c r="P1985" s="206"/>
      <c r="Q1985" s="206"/>
      <c r="R1985" s="206"/>
      <c r="S1985" s="276"/>
      <c r="T1985" s="276"/>
      <c r="U1985" s="276"/>
      <c r="V1985" s="276"/>
      <c r="W1985" s="276"/>
      <c r="X1985" s="276"/>
      <c r="Y1985" s="276"/>
      <c r="Z1985" s="276"/>
      <c r="AA1985" s="276"/>
      <c r="AB1985" s="276"/>
      <c r="AC1985" s="276"/>
    </row>
    <row r="1986">
      <c r="A1986" s="85">
        <v>46174.0</v>
      </c>
      <c r="B1986" s="31" t="s">
        <v>6368</v>
      </c>
      <c r="C1986" s="31">
        <v>8.07839007358E11</v>
      </c>
      <c r="D1986" s="31" t="s">
        <v>6369</v>
      </c>
      <c r="E1986" s="31" t="s">
        <v>6370</v>
      </c>
      <c r="F1986" s="31" t="s">
        <v>6371</v>
      </c>
      <c r="G1986" s="31" t="s">
        <v>1197</v>
      </c>
      <c r="H1986" s="31" t="s">
        <v>20</v>
      </c>
      <c r="I1986" s="31">
        <v>4449.0</v>
      </c>
      <c r="J1986" s="31">
        <v>3.877441703E9</v>
      </c>
      <c r="K1986" s="31" t="s">
        <v>1241</v>
      </c>
      <c r="L1986" s="31" t="s">
        <v>3500</v>
      </c>
      <c r="M1986" s="33">
        <v>1.0</v>
      </c>
      <c r="N1986" s="367"/>
      <c r="O1986" s="367"/>
      <c r="P1986" s="387"/>
      <c r="Q1986" s="261"/>
      <c r="R1986" s="449"/>
      <c r="S1986" s="276"/>
      <c r="T1986" s="276"/>
      <c r="U1986" s="276"/>
      <c r="V1986" s="276"/>
      <c r="W1986" s="276"/>
      <c r="X1986" s="276"/>
      <c r="Y1986" s="276"/>
      <c r="Z1986" s="276"/>
      <c r="AA1986" s="276"/>
      <c r="AB1986" s="276"/>
      <c r="AC1986" s="276"/>
    </row>
    <row r="1987">
      <c r="A1987" s="85">
        <v>46174.0</v>
      </c>
      <c r="B1987" s="31" t="s">
        <v>6372</v>
      </c>
      <c r="C1987" s="31">
        <v>8.07839007145E11</v>
      </c>
      <c r="D1987" s="31" t="s">
        <v>6373</v>
      </c>
      <c r="E1987" s="31" t="s">
        <v>6374</v>
      </c>
      <c r="F1987" s="31" t="s">
        <v>6375</v>
      </c>
      <c r="G1987" s="31" t="s">
        <v>41</v>
      </c>
      <c r="H1987" s="31" t="s">
        <v>20</v>
      </c>
      <c r="I1987" s="31">
        <v>4560.0</v>
      </c>
      <c r="J1987" s="31">
        <v>3.873699797E9</v>
      </c>
      <c r="K1987" s="31" t="s">
        <v>32</v>
      </c>
      <c r="L1987" s="31" t="s">
        <v>3225</v>
      </c>
      <c r="M1987" s="33">
        <v>1.0</v>
      </c>
      <c r="N1987" s="429">
        <v>46176.0</v>
      </c>
      <c r="O1987" s="430" t="s">
        <v>9011</v>
      </c>
      <c r="P1987" s="534"/>
      <c r="Q1987" s="430" t="s">
        <v>14184</v>
      </c>
      <c r="R1987" s="432" t="s">
        <v>14390</v>
      </c>
      <c r="S1987" s="276"/>
      <c r="T1987" s="276"/>
      <c r="U1987" s="276"/>
      <c r="V1987" s="276"/>
      <c r="W1987" s="276"/>
      <c r="X1987" s="276"/>
      <c r="Y1987" s="276"/>
      <c r="Z1987" s="276"/>
      <c r="AA1987" s="276"/>
      <c r="AB1987" s="276"/>
      <c r="AC1987" s="276"/>
    </row>
    <row r="1988">
      <c r="A1988" s="85">
        <v>46174.0</v>
      </c>
      <c r="B1988" s="31" t="s">
        <v>6372</v>
      </c>
      <c r="C1988" s="31">
        <v>8.07839007145E11</v>
      </c>
      <c r="D1988" s="31" t="s">
        <v>6373</v>
      </c>
      <c r="E1988" s="31" t="s">
        <v>6374</v>
      </c>
      <c r="F1988" s="31" t="s">
        <v>6375</v>
      </c>
      <c r="G1988" s="31" t="s">
        <v>41</v>
      </c>
      <c r="H1988" s="31" t="s">
        <v>20</v>
      </c>
      <c r="I1988" s="31">
        <v>4560.0</v>
      </c>
      <c r="J1988" s="31">
        <v>3.873699797E9</v>
      </c>
      <c r="K1988" s="31" t="s">
        <v>512</v>
      </c>
      <c r="L1988" s="31" t="s">
        <v>513</v>
      </c>
      <c r="M1988" s="33">
        <v>6.0</v>
      </c>
      <c r="N1988" s="209"/>
      <c r="O1988" s="209"/>
      <c r="P1988" s="209"/>
      <c r="Q1988" s="209"/>
      <c r="R1988" s="209"/>
      <c r="S1988" s="276"/>
      <c r="T1988" s="276"/>
      <c r="U1988" s="276"/>
      <c r="V1988" s="276"/>
      <c r="W1988" s="276"/>
      <c r="X1988" s="276"/>
      <c r="Y1988" s="276"/>
      <c r="Z1988" s="276"/>
      <c r="AA1988" s="276"/>
      <c r="AB1988" s="276"/>
      <c r="AC1988" s="276"/>
    </row>
    <row r="1989">
      <c r="A1989" s="85">
        <v>46174.0</v>
      </c>
      <c r="B1989" s="31" t="s">
        <v>6372</v>
      </c>
      <c r="C1989" s="31">
        <v>8.07839007145E11</v>
      </c>
      <c r="D1989" s="31" t="s">
        <v>6373</v>
      </c>
      <c r="E1989" s="31" t="s">
        <v>6374</v>
      </c>
      <c r="F1989" s="31" t="s">
        <v>6375</v>
      </c>
      <c r="G1989" s="31" t="s">
        <v>41</v>
      </c>
      <c r="H1989" s="31" t="s">
        <v>20</v>
      </c>
      <c r="I1989" s="31">
        <v>4560.0</v>
      </c>
      <c r="J1989" s="31">
        <v>3.873699797E9</v>
      </c>
      <c r="K1989" s="31" t="s">
        <v>670</v>
      </c>
      <c r="L1989" s="31" t="s">
        <v>3410</v>
      </c>
      <c r="M1989" s="33">
        <v>1.0</v>
      </c>
      <c r="N1989" s="206"/>
      <c r="O1989" s="206"/>
      <c r="P1989" s="206"/>
      <c r="Q1989" s="206"/>
      <c r="R1989" s="206"/>
      <c r="S1989" s="276"/>
      <c r="T1989" s="276"/>
      <c r="U1989" s="276"/>
      <c r="V1989" s="276"/>
      <c r="W1989" s="276"/>
      <c r="X1989" s="276"/>
      <c r="Y1989" s="276"/>
      <c r="Z1989" s="276"/>
      <c r="AA1989" s="276"/>
      <c r="AB1989" s="276"/>
      <c r="AC1989" s="276"/>
    </row>
    <row r="1990">
      <c r="A1990" s="85">
        <v>46174.0</v>
      </c>
      <c r="B1990" s="31" t="s">
        <v>6377</v>
      </c>
      <c r="C1990" s="31">
        <v>8.07940001265E11</v>
      </c>
      <c r="D1990" s="31" t="s">
        <v>6378</v>
      </c>
      <c r="E1990" s="31" t="s">
        <v>6379</v>
      </c>
      <c r="F1990" s="31" t="s">
        <v>6380</v>
      </c>
      <c r="G1990" s="31" t="s">
        <v>20</v>
      </c>
      <c r="H1990" s="31" t="s">
        <v>20</v>
      </c>
      <c r="I1990" s="31">
        <v>4401.0</v>
      </c>
      <c r="J1990" s="31">
        <v>3.875020462E9</v>
      </c>
      <c r="K1990" s="31" t="s">
        <v>617</v>
      </c>
      <c r="L1990" s="31" t="s">
        <v>3867</v>
      </c>
      <c r="M1990" s="33">
        <v>1.0</v>
      </c>
      <c r="N1990" s="429">
        <v>46176.0</v>
      </c>
      <c r="O1990" s="430" t="s">
        <v>9011</v>
      </c>
      <c r="P1990" s="534"/>
      <c r="Q1990" s="430" t="s">
        <v>13339</v>
      </c>
      <c r="R1990" s="432" t="s">
        <v>14391</v>
      </c>
      <c r="S1990" s="276"/>
      <c r="T1990" s="276"/>
      <c r="U1990" s="276"/>
      <c r="V1990" s="276"/>
      <c r="W1990" s="276"/>
      <c r="X1990" s="276"/>
      <c r="Y1990" s="276"/>
      <c r="Z1990" s="276"/>
      <c r="AA1990" s="276"/>
      <c r="AB1990" s="276"/>
      <c r="AC1990" s="276"/>
    </row>
    <row r="1991">
      <c r="A1991" s="85">
        <v>46174.0</v>
      </c>
      <c r="B1991" s="31" t="s">
        <v>6377</v>
      </c>
      <c r="C1991" s="31">
        <v>8.07940001265E11</v>
      </c>
      <c r="D1991" s="31" t="s">
        <v>6378</v>
      </c>
      <c r="E1991" s="31" t="s">
        <v>6379</v>
      </c>
      <c r="F1991" s="31" t="s">
        <v>6380</v>
      </c>
      <c r="G1991" s="31" t="s">
        <v>20</v>
      </c>
      <c r="H1991" s="31" t="s">
        <v>20</v>
      </c>
      <c r="I1991" s="31">
        <v>4401.0</v>
      </c>
      <c r="J1991" s="31">
        <v>3.875020462E9</v>
      </c>
      <c r="K1991" s="31" t="s">
        <v>512</v>
      </c>
      <c r="L1991" s="31" t="s">
        <v>513</v>
      </c>
      <c r="M1991" s="33">
        <v>12.0</v>
      </c>
      <c r="N1991" s="209"/>
      <c r="O1991" s="209"/>
      <c r="P1991" s="209"/>
      <c r="Q1991" s="209"/>
      <c r="R1991" s="209"/>
      <c r="S1991" s="276"/>
      <c r="T1991" s="276"/>
      <c r="U1991" s="276"/>
      <c r="V1991" s="276"/>
      <c r="W1991" s="276"/>
      <c r="X1991" s="276"/>
      <c r="Y1991" s="276"/>
      <c r="Z1991" s="276"/>
      <c r="AA1991" s="276"/>
      <c r="AB1991" s="276"/>
      <c r="AC1991" s="276"/>
    </row>
    <row r="1992">
      <c r="A1992" s="85">
        <v>46174.0</v>
      </c>
      <c r="B1992" s="31" t="s">
        <v>6377</v>
      </c>
      <c r="C1992" s="31">
        <v>8.07940001265E11</v>
      </c>
      <c r="D1992" s="31" t="s">
        <v>6378</v>
      </c>
      <c r="E1992" s="31" t="s">
        <v>6379</v>
      </c>
      <c r="F1992" s="31" t="s">
        <v>6380</v>
      </c>
      <c r="G1992" s="31" t="s">
        <v>20</v>
      </c>
      <c r="H1992" s="31" t="s">
        <v>20</v>
      </c>
      <c r="I1992" s="31">
        <v>4401.0</v>
      </c>
      <c r="J1992" s="31">
        <v>3.875020462E9</v>
      </c>
      <c r="K1992" s="31" t="s">
        <v>645</v>
      </c>
      <c r="L1992" s="31" t="s">
        <v>3253</v>
      </c>
      <c r="M1992" s="33">
        <v>2.0</v>
      </c>
      <c r="N1992" s="206"/>
      <c r="O1992" s="206"/>
      <c r="P1992" s="206"/>
      <c r="Q1992" s="206"/>
      <c r="R1992" s="206"/>
      <c r="S1992" s="276"/>
      <c r="T1992" s="276"/>
      <c r="U1992" s="276"/>
      <c r="V1992" s="276"/>
      <c r="W1992" s="276"/>
      <c r="X1992" s="276"/>
      <c r="Y1992" s="276"/>
      <c r="Z1992" s="276"/>
      <c r="AA1992" s="276"/>
      <c r="AB1992" s="276"/>
      <c r="AC1992" s="276"/>
    </row>
    <row r="1993">
      <c r="A1993" s="85">
        <v>46174.0</v>
      </c>
      <c r="B1993" s="31" t="s">
        <v>6382</v>
      </c>
      <c r="C1993" s="31">
        <v>8.07940001294E11</v>
      </c>
      <c r="D1993" s="31" t="s">
        <v>6383</v>
      </c>
      <c r="E1993" s="31" t="s">
        <v>6384</v>
      </c>
      <c r="F1993" s="31" t="s">
        <v>6385</v>
      </c>
      <c r="G1993" s="31" t="s">
        <v>2020</v>
      </c>
      <c r="H1993" s="31" t="s">
        <v>20</v>
      </c>
      <c r="I1993" s="31" t="s">
        <v>4086</v>
      </c>
      <c r="J1993" s="31">
        <v>3.875202802E9</v>
      </c>
      <c r="K1993" s="31" t="s">
        <v>6153</v>
      </c>
      <c r="L1993" s="31" t="s">
        <v>6154</v>
      </c>
      <c r="M1993" s="33">
        <v>1.0</v>
      </c>
      <c r="N1993" s="429">
        <v>46175.0</v>
      </c>
      <c r="O1993" s="430" t="s">
        <v>9011</v>
      </c>
      <c r="P1993" s="534"/>
      <c r="Q1993" s="430" t="s">
        <v>13339</v>
      </c>
      <c r="R1993" s="432" t="s">
        <v>14392</v>
      </c>
      <c r="S1993" s="276"/>
      <c r="T1993" s="276"/>
      <c r="U1993" s="276"/>
      <c r="V1993" s="276"/>
      <c r="W1993" s="276"/>
      <c r="X1993" s="276"/>
      <c r="Y1993" s="276"/>
      <c r="Z1993" s="276"/>
      <c r="AA1993" s="276"/>
      <c r="AB1993" s="276"/>
      <c r="AC1993" s="276"/>
    </row>
    <row r="1994">
      <c r="A1994" s="85">
        <v>46174.0</v>
      </c>
      <c r="B1994" s="31" t="s">
        <v>6382</v>
      </c>
      <c r="C1994" s="31">
        <v>8.07940001294E11</v>
      </c>
      <c r="D1994" s="31" t="s">
        <v>6383</v>
      </c>
      <c r="E1994" s="31" t="s">
        <v>6384</v>
      </c>
      <c r="F1994" s="31" t="s">
        <v>6385</v>
      </c>
      <c r="G1994" s="31" t="s">
        <v>2020</v>
      </c>
      <c r="H1994" s="31" t="s">
        <v>20</v>
      </c>
      <c r="I1994" s="31" t="s">
        <v>4086</v>
      </c>
      <c r="J1994" s="31">
        <v>3.875202802E9</v>
      </c>
      <c r="K1994" s="31" t="s">
        <v>512</v>
      </c>
      <c r="L1994" s="31" t="s">
        <v>513</v>
      </c>
      <c r="M1994" s="33">
        <v>6.0</v>
      </c>
      <c r="N1994" s="209"/>
      <c r="O1994" s="209"/>
      <c r="P1994" s="209"/>
      <c r="Q1994" s="209"/>
      <c r="R1994" s="209"/>
      <c r="S1994" s="276"/>
      <c r="T1994" s="276"/>
      <c r="U1994" s="276"/>
      <c r="V1994" s="276"/>
      <c r="W1994" s="276"/>
      <c r="X1994" s="276"/>
      <c r="Y1994" s="276"/>
      <c r="Z1994" s="276"/>
      <c r="AA1994" s="276"/>
      <c r="AB1994" s="276"/>
      <c r="AC1994" s="276"/>
    </row>
    <row r="1995">
      <c r="A1995" s="85">
        <v>46174.0</v>
      </c>
      <c r="B1995" s="31" t="s">
        <v>6382</v>
      </c>
      <c r="C1995" s="31">
        <v>8.07940001294E11</v>
      </c>
      <c r="D1995" s="31" t="s">
        <v>6383</v>
      </c>
      <c r="E1995" s="31" t="s">
        <v>6384</v>
      </c>
      <c r="F1995" s="31" t="s">
        <v>6385</v>
      </c>
      <c r="G1995" s="31" t="s">
        <v>2020</v>
      </c>
      <c r="H1995" s="31" t="s">
        <v>20</v>
      </c>
      <c r="I1995" s="31" t="s">
        <v>4086</v>
      </c>
      <c r="J1995" s="31">
        <v>3.875202802E9</v>
      </c>
      <c r="K1995" s="31" t="s">
        <v>2031</v>
      </c>
      <c r="L1995" s="31" t="s">
        <v>3348</v>
      </c>
      <c r="M1995" s="33">
        <v>1.0</v>
      </c>
      <c r="N1995" s="206"/>
      <c r="O1995" s="206"/>
      <c r="P1995" s="206"/>
      <c r="Q1995" s="206"/>
      <c r="R1995" s="206"/>
      <c r="S1995" s="276"/>
      <c r="T1995" s="276"/>
      <c r="U1995" s="276"/>
      <c r="V1995" s="276"/>
      <c r="W1995" s="276"/>
      <c r="X1995" s="276"/>
      <c r="Y1995" s="276"/>
      <c r="Z1995" s="276"/>
      <c r="AA1995" s="276"/>
      <c r="AB1995" s="276"/>
      <c r="AC1995" s="276"/>
    </row>
    <row r="1996">
      <c r="A1996" s="85">
        <v>46174.0</v>
      </c>
      <c r="B1996" s="31" t="s">
        <v>6387</v>
      </c>
      <c r="C1996" s="31">
        <v>8.05011577194E11</v>
      </c>
      <c r="D1996" s="31" t="s">
        <v>6388</v>
      </c>
      <c r="E1996" s="31" t="s">
        <v>6389</v>
      </c>
      <c r="F1996" s="31" t="s">
        <v>6390</v>
      </c>
      <c r="G1996" s="31" t="s">
        <v>41</v>
      </c>
      <c r="H1996" s="31" t="s">
        <v>20</v>
      </c>
      <c r="I1996" s="31">
        <v>4560.0</v>
      </c>
      <c r="J1996" s="31">
        <v>3.878575222E9</v>
      </c>
      <c r="K1996" s="31" t="s">
        <v>6216</v>
      </c>
      <c r="L1996" s="31" t="s">
        <v>6217</v>
      </c>
      <c r="M1996" s="33">
        <v>1.0</v>
      </c>
      <c r="N1996" s="429">
        <v>46176.0</v>
      </c>
      <c r="O1996" s="430" t="s">
        <v>9011</v>
      </c>
      <c r="P1996" s="534"/>
      <c r="Q1996" s="430" t="s">
        <v>14184</v>
      </c>
      <c r="R1996" s="432" t="s">
        <v>14393</v>
      </c>
      <c r="S1996" s="276"/>
      <c r="T1996" s="276"/>
      <c r="U1996" s="276"/>
      <c r="V1996" s="276"/>
      <c r="W1996" s="276"/>
      <c r="X1996" s="276"/>
      <c r="Y1996" s="276"/>
      <c r="Z1996" s="276"/>
      <c r="AA1996" s="276"/>
      <c r="AB1996" s="276"/>
      <c r="AC1996" s="276"/>
    </row>
    <row r="1997">
      <c r="A1997" s="85">
        <v>46174.0</v>
      </c>
      <c r="B1997" s="31" t="s">
        <v>6387</v>
      </c>
      <c r="C1997" s="31">
        <v>8.05011577194E11</v>
      </c>
      <c r="D1997" s="31" t="s">
        <v>6388</v>
      </c>
      <c r="E1997" s="31" t="s">
        <v>6389</v>
      </c>
      <c r="F1997" s="31" t="s">
        <v>6390</v>
      </c>
      <c r="G1997" s="31" t="s">
        <v>41</v>
      </c>
      <c r="H1997" s="31" t="s">
        <v>20</v>
      </c>
      <c r="I1997" s="31">
        <v>4560.0</v>
      </c>
      <c r="J1997" s="31">
        <v>3.878575222E9</v>
      </c>
      <c r="K1997" s="31" t="s">
        <v>512</v>
      </c>
      <c r="L1997" s="31" t="s">
        <v>513</v>
      </c>
      <c r="M1997" s="33">
        <v>6.0</v>
      </c>
      <c r="N1997" s="209"/>
      <c r="O1997" s="209"/>
      <c r="P1997" s="209"/>
      <c r="Q1997" s="209"/>
      <c r="R1997" s="209"/>
      <c r="S1997" s="276"/>
      <c r="T1997" s="276"/>
      <c r="U1997" s="276"/>
      <c r="V1997" s="276"/>
      <c r="W1997" s="276"/>
      <c r="X1997" s="276"/>
      <c r="Y1997" s="276"/>
      <c r="Z1997" s="276"/>
      <c r="AA1997" s="276"/>
      <c r="AB1997" s="276"/>
      <c r="AC1997" s="276"/>
    </row>
    <row r="1998">
      <c r="A1998" s="85">
        <v>46174.0</v>
      </c>
      <c r="B1998" s="31" t="s">
        <v>6387</v>
      </c>
      <c r="C1998" s="31">
        <v>8.05011577194E11</v>
      </c>
      <c r="D1998" s="31" t="s">
        <v>6388</v>
      </c>
      <c r="E1998" s="31" t="s">
        <v>6389</v>
      </c>
      <c r="F1998" s="31" t="s">
        <v>6390</v>
      </c>
      <c r="G1998" s="31" t="s">
        <v>41</v>
      </c>
      <c r="H1998" s="31" t="s">
        <v>20</v>
      </c>
      <c r="I1998" s="31">
        <v>4560.0</v>
      </c>
      <c r="J1998" s="31">
        <v>3.878575222E9</v>
      </c>
      <c r="K1998" s="31" t="s">
        <v>670</v>
      </c>
      <c r="L1998" s="31" t="s">
        <v>3410</v>
      </c>
      <c r="M1998" s="33">
        <v>1.0</v>
      </c>
      <c r="N1998" s="206"/>
      <c r="O1998" s="206"/>
      <c r="P1998" s="206"/>
      <c r="Q1998" s="206"/>
      <c r="R1998" s="206"/>
      <c r="S1998" s="276"/>
      <c r="T1998" s="276"/>
      <c r="U1998" s="276"/>
      <c r="V1998" s="276"/>
      <c r="W1998" s="276"/>
      <c r="X1998" s="276"/>
      <c r="Y1998" s="276"/>
      <c r="Z1998" s="276"/>
      <c r="AA1998" s="276"/>
      <c r="AB1998" s="276"/>
      <c r="AC1998" s="276"/>
    </row>
    <row r="1999">
      <c r="A1999" s="85">
        <v>46174.0</v>
      </c>
      <c r="B1999" s="31" t="s">
        <v>6391</v>
      </c>
      <c r="C1999" s="31">
        <v>8.07839007426E11</v>
      </c>
      <c r="D1999" s="31" t="s">
        <v>6392</v>
      </c>
      <c r="E1999" s="31" t="s">
        <v>6393</v>
      </c>
      <c r="F1999" s="31" t="s">
        <v>6394</v>
      </c>
      <c r="G1999" s="31" t="s">
        <v>6395</v>
      </c>
      <c r="H1999" s="31" t="s">
        <v>20</v>
      </c>
      <c r="I1999" s="31">
        <v>4190.0</v>
      </c>
      <c r="J1999" s="31">
        <v>3.876549806E9</v>
      </c>
      <c r="K1999" s="31" t="s">
        <v>50</v>
      </c>
      <c r="L1999" s="31" t="s">
        <v>51</v>
      </c>
      <c r="M1999" s="33">
        <v>1.0</v>
      </c>
      <c r="N1999" s="454">
        <v>46182.0</v>
      </c>
      <c r="O1999" s="455" t="s">
        <v>9011</v>
      </c>
      <c r="P1999" s="453"/>
      <c r="Q1999" s="455" t="s">
        <v>14394</v>
      </c>
      <c r="R1999" s="468" t="s">
        <v>14395</v>
      </c>
      <c r="S1999" s="276"/>
      <c r="T1999" s="276"/>
      <c r="U1999" s="276"/>
      <c r="V1999" s="276"/>
      <c r="W1999" s="276"/>
      <c r="X1999" s="276"/>
      <c r="Y1999" s="276"/>
      <c r="Z1999" s="276"/>
      <c r="AA1999" s="276"/>
      <c r="AB1999" s="276"/>
      <c r="AC1999" s="276"/>
    </row>
    <row r="2000">
      <c r="A2000" s="85">
        <v>46174.0</v>
      </c>
      <c r="B2000" s="31" t="s">
        <v>6397</v>
      </c>
      <c r="C2000" s="31">
        <v>8.07839007484E11</v>
      </c>
      <c r="D2000" s="31" t="s">
        <v>6398</v>
      </c>
      <c r="E2000" s="31" t="s">
        <v>6399</v>
      </c>
      <c r="F2000" s="31" t="s">
        <v>6400</v>
      </c>
      <c r="G2000" s="31" t="s">
        <v>6401</v>
      </c>
      <c r="H2000" s="31" t="s">
        <v>20</v>
      </c>
      <c r="I2000" s="31">
        <v>4401.0</v>
      </c>
      <c r="J2000" s="31">
        <v>3.875117046E9</v>
      </c>
      <c r="K2000" s="31" t="s">
        <v>698</v>
      </c>
      <c r="L2000" s="31" t="s">
        <v>699</v>
      </c>
      <c r="M2000" s="33">
        <v>1.0</v>
      </c>
      <c r="N2000" s="433">
        <v>46177.0</v>
      </c>
      <c r="O2000" s="261" t="s">
        <v>9011</v>
      </c>
      <c r="P2000" s="387"/>
      <c r="Q2000" s="261" t="s">
        <v>14396</v>
      </c>
      <c r="R2000" s="434" t="s">
        <v>14397</v>
      </c>
      <c r="S2000" s="276"/>
      <c r="T2000" s="276"/>
      <c r="U2000" s="276"/>
      <c r="V2000" s="276"/>
      <c r="W2000" s="276"/>
      <c r="X2000" s="276"/>
      <c r="Y2000" s="276"/>
      <c r="Z2000" s="276"/>
      <c r="AA2000" s="276"/>
      <c r="AB2000" s="276"/>
      <c r="AC2000" s="276"/>
    </row>
    <row r="2001">
      <c r="A2001" s="85">
        <v>46174.0</v>
      </c>
      <c r="B2001" s="31" t="s">
        <v>6403</v>
      </c>
      <c r="C2001" s="31">
        <v>8.0501157728E11</v>
      </c>
      <c r="D2001" s="31" t="s">
        <v>6404</v>
      </c>
      <c r="E2001" s="31" t="s">
        <v>6405</v>
      </c>
      <c r="F2001" s="31" t="s">
        <v>6406</v>
      </c>
      <c r="G2001" s="31" t="s">
        <v>376</v>
      </c>
      <c r="H2001" s="31" t="s">
        <v>20</v>
      </c>
      <c r="I2001" s="31">
        <v>4421.0</v>
      </c>
      <c r="J2001" s="31">
        <v>2.234394817E9</v>
      </c>
      <c r="K2001" s="31" t="s">
        <v>32</v>
      </c>
      <c r="L2001" s="31" t="s">
        <v>3225</v>
      </c>
      <c r="M2001" s="33">
        <v>1.0</v>
      </c>
      <c r="N2001" s="454">
        <v>46174.0</v>
      </c>
      <c r="O2001" s="467" t="s">
        <v>9011</v>
      </c>
      <c r="P2001" s="453"/>
      <c r="Q2001" s="455" t="s">
        <v>14398</v>
      </c>
      <c r="R2001" s="468" t="s">
        <v>14399</v>
      </c>
      <c r="S2001" s="276"/>
      <c r="T2001" s="276"/>
      <c r="U2001" s="276"/>
      <c r="V2001" s="276"/>
      <c r="W2001" s="276"/>
      <c r="X2001" s="276"/>
      <c r="Y2001" s="276"/>
      <c r="Z2001" s="276"/>
      <c r="AA2001" s="276"/>
      <c r="AB2001" s="276"/>
      <c r="AC2001" s="276"/>
    </row>
    <row r="2002">
      <c r="A2002" s="85">
        <v>46174.0</v>
      </c>
      <c r="B2002" s="31" t="s">
        <v>6407</v>
      </c>
      <c r="C2002" s="31">
        <v>8.07025036144E11</v>
      </c>
      <c r="D2002" s="31" t="s">
        <v>6408</v>
      </c>
      <c r="E2002" s="31" t="s">
        <v>6409</v>
      </c>
      <c r="F2002" s="31" t="s">
        <v>6410</v>
      </c>
      <c r="G2002" s="31" t="s">
        <v>1859</v>
      </c>
      <c r="H2002" s="31" t="s">
        <v>20</v>
      </c>
      <c r="I2002" s="31">
        <v>4403.0</v>
      </c>
      <c r="J2002" s="31">
        <v>3.8750965E8</v>
      </c>
      <c r="K2002" s="31" t="s">
        <v>6105</v>
      </c>
      <c r="L2002" s="31" t="s">
        <v>6106</v>
      </c>
      <c r="M2002" s="33">
        <v>1.0</v>
      </c>
      <c r="N2002" s="433">
        <v>46176.0</v>
      </c>
      <c r="O2002" s="261" t="s">
        <v>9011</v>
      </c>
      <c r="P2002" s="387"/>
      <c r="Q2002" s="261" t="s">
        <v>13339</v>
      </c>
      <c r="R2002" s="434" t="s">
        <v>14400</v>
      </c>
      <c r="S2002" s="276"/>
      <c r="T2002" s="276"/>
      <c r="U2002" s="276"/>
      <c r="V2002" s="276"/>
      <c r="W2002" s="276"/>
      <c r="X2002" s="276"/>
      <c r="Y2002" s="276"/>
      <c r="Z2002" s="276"/>
      <c r="AA2002" s="276"/>
      <c r="AB2002" s="276"/>
      <c r="AC2002" s="276"/>
    </row>
    <row r="2003">
      <c r="A2003" s="85">
        <v>46174.0</v>
      </c>
      <c r="B2003" s="31" t="s">
        <v>6412</v>
      </c>
      <c r="C2003" s="31">
        <v>8.07839007536E11</v>
      </c>
      <c r="D2003" s="31" t="s">
        <v>6413</v>
      </c>
      <c r="E2003" s="31" t="s">
        <v>6414</v>
      </c>
      <c r="F2003" s="31" t="s">
        <v>6415</v>
      </c>
      <c r="G2003" s="31" t="s">
        <v>582</v>
      </c>
      <c r="H2003" s="31" t="s">
        <v>20</v>
      </c>
      <c r="I2003" s="31">
        <v>4407.0</v>
      </c>
      <c r="J2003" s="31">
        <v>3.874408183E9</v>
      </c>
      <c r="K2003" s="31" t="s">
        <v>289</v>
      </c>
      <c r="L2003" s="31" t="s">
        <v>290</v>
      </c>
      <c r="M2003" s="33">
        <v>1.0</v>
      </c>
      <c r="N2003" s="429">
        <v>46176.0</v>
      </c>
      <c r="O2003" s="430" t="s">
        <v>9011</v>
      </c>
      <c r="P2003" s="534"/>
      <c r="Q2003" s="430" t="s">
        <v>13339</v>
      </c>
      <c r="R2003" s="432" t="s">
        <v>14401</v>
      </c>
      <c r="S2003" s="276"/>
      <c r="T2003" s="276"/>
      <c r="U2003" s="276"/>
      <c r="V2003" s="276"/>
      <c r="W2003" s="276"/>
      <c r="X2003" s="276"/>
      <c r="Y2003" s="276"/>
      <c r="Z2003" s="276"/>
      <c r="AA2003" s="276"/>
      <c r="AB2003" s="276"/>
      <c r="AC2003" s="276"/>
    </row>
    <row r="2004">
      <c r="A2004" s="85">
        <v>46174.0</v>
      </c>
      <c r="B2004" s="31" t="s">
        <v>6412</v>
      </c>
      <c r="C2004" s="31">
        <v>8.07839007536E11</v>
      </c>
      <c r="D2004" s="31" t="s">
        <v>6413</v>
      </c>
      <c r="E2004" s="31" t="s">
        <v>6414</v>
      </c>
      <c r="F2004" s="31" t="s">
        <v>6415</v>
      </c>
      <c r="G2004" s="31" t="s">
        <v>582</v>
      </c>
      <c r="H2004" s="31" t="s">
        <v>20</v>
      </c>
      <c r="I2004" s="31">
        <v>4407.0</v>
      </c>
      <c r="J2004" s="31">
        <v>3.874408183E9</v>
      </c>
      <c r="K2004" s="31" t="s">
        <v>512</v>
      </c>
      <c r="L2004" s="31" t="s">
        <v>513</v>
      </c>
      <c r="M2004" s="33">
        <v>6.0</v>
      </c>
      <c r="N2004" s="209"/>
      <c r="O2004" s="209"/>
      <c r="P2004" s="209"/>
      <c r="Q2004" s="209"/>
      <c r="R2004" s="209"/>
      <c r="S2004" s="276"/>
      <c r="T2004" s="276"/>
      <c r="U2004" s="276"/>
      <c r="V2004" s="276"/>
      <c r="W2004" s="276"/>
      <c r="X2004" s="276"/>
      <c r="Y2004" s="276"/>
      <c r="Z2004" s="276"/>
      <c r="AA2004" s="276"/>
      <c r="AB2004" s="276"/>
      <c r="AC2004" s="276"/>
    </row>
    <row r="2005">
      <c r="A2005" s="85">
        <v>46174.0</v>
      </c>
      <c r="B2005" s="31" t="s">
        <v>6412</v>
      </c>
      <c r="C2005" s="31">
        <v>8.07839007536E11</v>
      </c>
      <c r="D2005" s="31" t="s">
        <v>6413</v>
      </c>
      <c r="E2005" s="31" t="s">
        <v>6414</v>
      </c>
      <c r="F2005" s="31" t="s">
        <v>6415</v>
      </c>
      <c r="G2005" s="31" t="s">
        <v>582</v>
      </c>
      <c r="H2005" s="31" t="s">
        <v>20</v>
      </c>
      <c r="I2005" s="31">
        <v>4407.0</v>
      </c>
      <c r="J2005" s="31">
        <v>3.874408183E9</v>
      </c>
      <c r="K2005" s="31" t="s">
        <v>273</v>
      </c>
      <c r="L2005" s="31" t="s">
        <v>3594</v>
      </c>
      <c r="M2005" s="33">
        <v>1.0</v>
      </c>
      <c r="N2005" s="206"/>
      <c r="O2005" s="206"/>
      <c r="P2005" s="206"/>
      <c r="Q2005" s="206"/>
      <c r="R2005" s="206"/>
      <c r="S2005" s="276"/>
      <c r="T2005" s="276"/>
      <c r="U2005" s="276"/>
      <c r="V2005" s="276"/>
      <c r="W2005" s="276"/>
      <c r="X2005" s="276"/>
      <c r="Y2005" s="276"/>
      <c r="Z2005" s="276"/>
      <c r="AA2005" s="276"/>
      <c r="AB2005" s="276"/>
      <c r="AC2005" s="276"/>
    </row>
    <row r="2006">
      <c r="A2006" s="85">
        <v>46174.0</v>
      </c>
      <c r="B2006" s="31" t="s">
        <v>6416</v>
      </c>
      <c r="C2006" s="31">
        <v>8.05011577658E11</v>
      </c>
      <c r="D2006" s="31" t="s">
        <v>6417</v>
      </c>
      <c r="E2006" s="31" t="s">
        <v>6418</v>
      </c>
      <c r="F2006" s="31" t="s">
        <v>6419</v>
      </c>
      <c r="G2006" s="31" t="s">
        <v>624</v>
      </c>
      <c r="H2006" s="31" t="s">
        <v>20</v>
      </c>
      <c r="I2006" s="31">
        <v>4403.0</v>
      </c>
      <c r="J2006" s="31">
        <v>3.874558566E9</v>
      </c>
      <c r="K2006" s="31" t="s">
        <v>6420</v>
      </c>
      <c r="L2006" s="31" t="s">
        <v>6421</v>
      </c>
      <c r="M2006" s="33">
        <v>2.0</v>
      </c>
      <c r="N2006" s="433">
        <v>46176.0</v>
      </c>
      <c r="O2006" s="261" t="s">
        <v>9011</v>
      </c>
      <c r="P2006" s="387"/>
      <c r="Q2006" s="261" t="s">
        <v>13339</v>
      </c>
      <c r="R2006" s="434" t="s">
        <v>14402</v>
      </c>
      <c r="S2006" s="276"/>
      <c r="T2006" s="276"/>
      <c r="U2006" s="276"/>
      <c r="V2006" s="276"/>
      <c r="W2006" s="276"/>
      <c r="X2006" s="276"/>
      <c r="Y2006" s="276"/>
      <c r="Z2006" s="276"/>
      <c r="AA2006" s="276"/>
      <c r="AB2006" s="276"/>
      <c r="AC2006" s="276"/>
    </row>
    <row r="2007">
      <c r="A2007" s="85">
        <v>46174.0</v>
      </c>
      <c r="B2007" s="31" t="s">
        <v>6422</v>
      </c>
      <c r="C2007" s="31">
        <v>8.05011577615E11</v>
      </c>
      <c r="D2007" s="31" t="s">
        <v>6423</v>
      </c>
      <c r="E2007" s="31" t="s">
        <v>6424</v>
      </c>
      <c r="F2007" s="31" t="s">
        <v>6425</v>
      </c>
      <c r="G2007" s="31" t="s">
        <v>6426</v>
      </c>
      <c r="H2007" s="31" t="s">
        <v>20</v>
      </c>
      <c r="I2007" s="31">
        <v>4429.0</v>
      </c>
      <c r="J2007" s="31">
        <v>3.868411475E9</v>
      </c>
      <c r="K2007" s="31" t="s">
        <v>947</v>
      </c>
      <c r="L2007" s="31" t="s">
        <v>3750</v>
      </c>
      <c r="M2007" s="33">
        <v>1.0</v>
      </c>
      <c r="N2007" s="367"/>
      <c r="O2007" s="367"/>
      <c r="P2007" s="387"/>
      <c r="Q2007" s="261" t="s">
        <v>14403</v>
      </c>
      <c r="R2007" s="449"/>
      <c r="S2007" s="276"/>
      <c r="T2007" s="276"/>
      <c r="U2007" s="276"/>
      <c r="V2007" s="276"/>
      <c r="W2007" s="276"/>
      <c r="X2007" s="276"/>
      <c r="Y2007" s="276"/>
      <c r="Z2007" s="276"/>
      <c r="AA2007" s="276"/>
      <c r="AB2007" s="276"/>
      <c r="AC2007" s="276"/>
    </row>
    <row r="2008">
      <c r="A2008" s="85">
        <v>46174.0</v>
      </c>
      <c r="B2008" s="31" t="s">
        <v>6427</v>
      </c>
      <c r="C2008" s="31">
        <v>8.07025036188E11</v>
      </c>
      <c r="D2008" s="31" t="s">
        <v>6428</v>
      </c>
      <c r="E2008" s="31" t="s">
        <v>6429</v>
      </c>
      <c r="F2008" s="31" t="s">
        <v>1877</v>
      </c>
      <c r="G2008" s="31" t="s">
        <v>20</v>
      </c>
      <c r="H2008" s="31" t="s">
        <v>20</v>
      </c>
      <c r="I2008" s="31" t="s">
        <v>1878</v>
      </c>
      <c r="J2008" s="31">
        <v>3.874599911E9</v>
      </c>
      <c r="K2008" s="31" t="s">
        <v>5262</v>
      </c>
      <c r="L2008" s="31" t="s">
        <v>5263</v>
      </c>
      <c r="M2008" s="33">
        <v>1.0</v>
      </c>
      <c r="N2008" s="454">
        <v>46174.0</v>
      </c>
      <c r="O2008" s="467" t="s">
        <v>9011</v>
      </c>
      <c r="P2008" s="453"/>
      <c r="Q2008" s="455" t="s">
        <v>14215</v>
      </c>
      <c r="R2008" s="468" t="s">
        <v>14216</v>
      </c>
      <c r="S2008" s="276"/>
      <c r="T2008" s="276"/>
      <c r="U2008" s="276"/>
      <c r="V2008" s="276"/>
      <c r="W2008" s="276"/>
      <c r="X2008" s="276"/>
      <c r="Y2008" s="276"/>
      <c r="Z2008" s="276"/>
      <c r="AA2008" s="276"/>
      <c r="AB2008" s="276"/>
      <c r="AC2008" s="276"/>
    </row>
    <row r="2009">
      <c r="A2009" s="85">
        <v>46174.0</v>
      </c>
      <c r="B2009" s="31" t="s">
        <v>6430</v>
      </c>
      <c r="C2009" s="31">
        <v>8.05011577785E11</v>
      </c>
      <c r="D2009" s="31" t="s">
        <v>6431</v>
      </c>
      <c r="E2009" s="31" t="s">
        <v>6432</v>
      </c>
      <c r="F2009" s="31" t="s">
        <v>6433</v>
      </c>
      <c r="G2009" s="31" t="s">
        <v>247</v>
      </c>
      <c r="H2009" s="31" t="s">
        <v>20</v>
      </c>
      <c r="I2009" s="31">
        <v>4400.0</v>
      </c>
      <c r="J2009" s="31">
        <v>3.874027626E9</v>
      </c>
      <c r="K2009" s="31" t="s">
        <v>6420</v>
      </c>
      <c r="L2009" s="31" t="s">
        <v>6421</v>
      </c>
      <c r="M2009" s="33">
        <v>1.0</v>
      </c>
      <c r="N2009" s="429">
        <v>46175.0</v>
      </c>
      <c r="O2009" s="430" t="s">
        <v>9011</v>
      </c>
      <c r="P2009" s="534"/>
      <c r="Q2009" s="430" t="s">
        <v>13339</v>
      </c>
      <c r="R2009" s="432" t="s">
        <v>14404</v>
      </c>
      <c r="S2009" s="276"/>
      <c r="T2009" s="276"/>
      <c r="U2009" s="276"/>
      <c r="V2009" s="276"/>
      <c r="W2009" s="276"/>
      <c r="X2009" s="276"/>
      <c r="Y2009" s="276"/>
      <c r="Z2009" s="276"/>
      <c r="AA2009" s="276"/>
      <c r="AB2009" s="276"/>
      <c r="AC2009" s="276"/>
    </row>
    <row r="2010">
      <c r="A2010" s="85">
        <v>46174.0</v>
      </c>
      <c r="B2010" s="31" t="s">
        <v>6430</v>
      </c>
      <c r="C2010" s="31">
        <v>8.05011577785E11</v>
      </c>
      <c r="D2010" s="31" t="s">
        <v>6431</v>
      </c>
      <c r="E2010" s="31" t="s">
        <v>6432</v>
      </c>
      <c r="F2010" s="31" t="s">
        <v>6433</v>
      </c>
      <c r="G2010" s="31" t="s">
        <v>247</v>
      </c>
      <c r="H2010" s="31" t="s">
        <v>20</v>
      </c>
      <c r="I2010" s="31">
        <v>4400.0</v>
      </c>
      <c r="J2010" s="31">
        <v>3.874027626E9</v>
      </c>
      <c r="K2010" s="31" t="s">
        <v>512</v>
      </c>
      <c r="L2010" s="31" t="s">
        <v>513</v>
      </c>
      <c r="M2010" s="33">
        <v>6.0</v>
      </c>
      <c r="N2010" s="209"/>
      <c r="O2010" s="209"/>
      <c r="P2010" s="209"/>
      <c r="Q2010" s="209"/>
      <c r="R2010" s="209"/>
      <c r="S2010" s="276"/>
      <c r="T2010" s="276"/>
      <c r="U2010" s="276"/>
      <c r="V2010" s="276"/>
      <c r="W2010" s="276"/>
      <c r="X2010" s="276"/>
      <c r="Y2010" s="276"/>
      <c r="Z2010" s="276"/>
      <c r="AA2010" s="276"/>
      <c r="AB2010" s="276"/>
      <c r="AC2010" s="276"/>
    </row>
    <row r="2011">
      <c r="A2011" s="85">
        <v>46174.0</v>
      </c>
      <c r="B2011" s="31" t="s">
        <v>6430</v>
      </c>
      <c r="C2011" s="31">
        <v>8.05011577785E11</v>
      </c>
      <c r="D2011" s="31" t="s">
        <v>6431</v>
      </c>
      <c r="E2011" s="31" t="s">
        <v>6432</v>
      </c>
      <c r="F2011" s="31" t="s">
        <v>6433</v>
      </c>
      <c r="G2011" s="31" t="s">
        <v>247</v>
      </c>
      <c r="H2011" s="31" t="s">
        <v>20</v>
      </c>
      <c r="I2011" s="31">
        <v>4400.0</v>
      </c>
      <c r="J2011" s="31">
        <v>3.874027626E9</v>
      </c>
      <c r="K2011" s="31" t="s">
        <v>2031</v>
      </c>
      <c r="L2011" s="31" t="s">
        <v>3348</v>
      </c>
      <c r="M2011" s="33">
        <v>1.0</v>
      </c>
      <c r="N2011" s="206"/>
      <c r="O2011" s="206"/>
      <c r="P2011" s="206"/>
      <c r="Q2011" s="206"/>
      <c r="R2011" s="206"/>
      <c r="S2011" s="276"/>
      <c r="T2011" s="276"/>
      <c r="U2011" s="276"/>
      <c r="V2011" s="276"/>
      <c r="W2011" s="276"/>
      <c r="X2011" s="276"/>
      <c r="Y2011" s="276"/>
      <c r="Z2011" s="276"/>
      <c r="AA2011" s="276"/>
      <c r="AB2011" s="276"/>
      <c r="AC2011" s="276"/>
    </row>
    <row r="2012">
      <c r="A2012" s="568">
        <v>46174.0</v>
      </c>
      <c r="B2012" s="569" t="s">
        <v>6434</v>
      </c>
      <c r="C2012" s="569">
        <v>8.07025036209E11</v>
      </c>
      <c r="D2012" s="569" t="s">
        <v>6339</v>
      </c>
      <c r="E2012" s="569" t="s">
        <v>6340</v>
      </c>
      <c r="F2012" s="569" t="s">
        <v>6341</v>
      </c>
      <c r="G2012" s="569" t="s">
        <v>127</v>
      </c>
      <c r="H2012" s="569" t="s">
        <v>20</v>
      </c>
      <c r="I2012" s="569">
        <v>4400.0</v>
      </c>
      <c r="J2012" s="569">
        <v>3.874835385E9</v>
      </c>
      <c r="K2012" s="569" t="s">
        <v>6343</v>
      </c>
      <c r="L2012" s="569" t="s">
        <v>6435</v>
      </c>
      <c r="M2012" s="667">
        <v>1.0</v>
      </c>
      <c r="N2012" s="597"/>
      <c r="O2012" s="597"/>
      <c r="P2012" s="597"/>
      <c r="Q2012" s="668"/>
      <c r="R2012" s="669"/>
      <c r="S2012" s="276"/>
      <c r="T2012" s="276"/>
      <c r="U2012" s="276"/>
      <c r="V2012" s="276"/>
      <c r="W2012" s="276"/>
      <c r="X2012" s="276"/>
      <c r="Y2012" s="276"/>
      <c r="Z2012" s="276"/>
      <c r="AA2012" s="276"/>
      <c r="AB2012" s="276"/>
      <c r="AC2012" s="276"/>
    </row>
    <row r="2013">
      <c r="A2013" s="568">
        <v>46174.0</v>
      </c>
      <c r="B2013" s="569" t="s">
        <v>6434</v>
      </c>
      <c r="C2013" s="569">
        <v>8.07025036209E11</v>
      </c>
      <c r="D2013" s="569" t="s">
        <v>6339</v>
      </c>
      <c r="E2013" s="569" t="s">
        <v>6340</v>
      </c>
      <c r="F2013" s="569" t="s">
        <v>6341</v>
      </c>
      <c r="G2013" s="569" t="s">
        <v>127</v>
      </c>
      <c r="H2013" s="569" t="s">
        <v>20</v>
      </c>
      <c r="I2013" s="569">
        <v>4400.0</v>
      </c>
      <c r="J2013" s="569">
        <v>3.874835385E9</v>
      </c>
      <c r="K2013" s="569" t="s">
        <v>233</v>
      </c>
      <c r="L2013" s="569" t="s">
        <v>3459</v>
      </c>
      <c r="M2013" s="667">
        <v>2.0</v>
      </c>
      <c r="N2013" s="597"/>
      <c r="O2013" s="597"/>
      <c r="P2013" s="597"/>
      <c r="Q2013" s="668" t="s">
        <v>14405</v>
      </c>
      <c r="R2013" s="669"/>
      <c r="S2013" s="276"/>
      <c r="T2013" s="276"/>
      <c r="U2013" s="276"/>
      <c r="V2013" s="276"/>
      <c r="W2013" s="276"/>
      <c r="X2013" s="276"/>
      <c r="Y2013" s="276"/>
      <c r="Z2013" s="276"/>
      <c r="AA2013" s="276"/>
      <c r="AB2013" s="276"/>
      <c r="AC2013" s="276"/>
    </row>
    <row r="2014">
      <c r="A2014" s="568">
        <v>46174.0</v>
      </c>
      <c r="B2014" s="569" t="s">
        <v>6436</v>
      </c>
      <c r="C2014" s="569">
        <v>8.07025036208E11</v>
      </c>
      <c r="D2014" s="569" t="s">
        <v>6339</v>
      </c>
      <c r="E2014" s="569" t="s">
        <v>6340</v>
      </c>
      <c r="F2014" s="569" t="s">
        <v>6341</v>
      </c>
      <c r="G2014" s="569" t="s">
        <v>127</v>
      </c>
      <c r="H2014" s="569" t="s">
        <v>20</v>
      </c>
      <c r="I2014" s="569">
        <v>4400.0</v>
      </c>
      <c r="J2014" s="569">
        <v>3.874835385E9</v>
      </c>
      <c r="K2014" s="569" t="s">
        <v>512</v>
      </c>
      <c r="L2014" s="569" t="s">
        <v>513</v>
      </c>
      <c r="M2014" s="667">
        <v>12.0</v>
      </c>
      <c r="N2014" s="597"/>
      <c r="O2014" s="597"/>
      <c r="P2014" s="597"/>
      <c r="Q2014" s="668"/>
      <c r="R2014" s="669"/>
      <c r="S2014" s="276"/>
      <c r="T2014" s="276"/>
      <c r="U2014" s="276"/>
      <c r="V2014" s="276"/>
      <c r="W2014" s="276"/>
      <c r="X2014" s="276"/>
      <c r="Y2014" s="276"/>
      <c r="Z2014" s="276"/>
      <c r="AA2014" s="276"/>
      <c r="AB2014" s="276"/>
      <c r="AC2014" s="276"/>
    </row>
    <row r="2015">
      <c r="A2015" s="85">
        <v>46174.0</v>
      </c>
      <c r="B2015" s="31" t="s">
        <v>6437</v>
      </c>
      <c r="C2015" s="31">
        <v>8.07940001412E11</v>
      </c>
      <c r="D2015" s="31" t="s">
        <v>6438</v>
      </c>
      <c r="E2015" s="31" t="s">
        <v>6439</v>
      </c>
      <c r="F2015" s="31" t="s">
        <v>6440</v>
      </c>
      <c r="G2015" s="31" t="s">
        <v>20</v>
      </c>
      <c r="H2015" s="31" t="s">
        <v>20</v>
      </c>
      <c r="I2015" s="31" t="s">
        <v>6441</v>
      </c>
      <c r="J2015" s="31">
        <v>3.874076103E9</v>
      </c>
      <c r="K2015" s="31" t="s">
        <v>32</v>
      </c>
      <c r="L2015" s="31" t="s">
        <v>3225</v>
      </c>
      <c r="M2015" s="33">
        <v>1.0</v>
      </c>
      <c r="N2015" s="429">
        <v>46177.0</v>
      </c>
      <c r="O2015" s="430" t="s">
        <v>9011</v>
      </c>
      <c r="P2015" s="534"/>
      <c r="Q2015" s="430" t="s">
        <v>14184</v>
      </c>
      <c r="R2015" s="432" t="s">
        <v>14406</v>
      </c>
      <c r="S2015" s="276"/>
      <c r="T2015" s="276"/>
      <c r="U2015" s="276"/>
      <c r="V2015" s="276"/>
      <c r="W2015" s="276"/>
      <c r="X2015" s="276"/>
      <c r="Y2015" s="276"/>
      <c r="Z2015" s="276"/>
      <c r="AA2015" s="276"/>
      <c r="AB2015" s="276"/>
      <c r="AC2015" s="276"/>
    </row>
    <row r="2016">
      <c r="A2016" s="85">
        <v>46174.0</v>
      </c>
      <c r="B2016" s="31" t="s">
        <v>6442</v>
      </c>
      <c r="C2016" s="31">
        <v>8.07940001413E11</v>
      </c>
      <c r="D2016" s="31" t="s">
        <v>6438</v>
      </c>
      <c r="E2016" s="31" t="s">
        <v>6439</v>
      </c>
      <c r="F2016" s="31" t="s">
        <v>6440</v>
      </c>
      <c r="G2016" s="31" t="s">
        <v>20</v>
      </c>
      <c r="H2016" s="31" t="s">
        <v>20</v>
      </c>
      <c r="I2016" s="31" t="s">
        <v>6441</v>
      </c>
      <c r="J2016" s="31">
        <v>3.874076103E9</v>
      </c>
      <c r="K2016" s="31" t="s">
        <v>5842</v>
      </c>
      <c r="L2016" s="31" t="s">
        <v>5843</v>
      </c>
      <c r="M2016" s="33">
        <v>1.0</v>
      </c>
      <c r="N2016" s="206"/>
      <c r="O2016" s="206"/>
      <c r="P2016" s="206"/>
      <c r="Q2016" s="206"/>
      <c r="R2016" s="206"/>
      <c r="S2016" s="276"/>
      <c r="T2016" s="276"/>
      <c r="U2016" s="276"/>
      <c r="V2016" s="276"/>
      <c r="W2016" s="276"/>
      <c r="X2016" s="276"/>
      <c r="Y2016" s="276"/>
      <c r="Z2016" s="276"/>
      <c r="AA2016" s="276"/>
      <c r="AB2016" s="276"/>
      <c r="AC2016" s="276"/>
    </row>
    <row r="2017">
      <c r="A2017" s="85">
        <v>46174.0</v>
      </c>
      <c r="B2017" s="31" t="s">
        <v>6443</v>
      </c>
      <c r="C2017" s="31">
        <v>8.07839007934E11</v>
      </c>
      <c r="D2017" s="31" t="s">
        <v>6444</v>
      </c>
      <c r="E2017" s="31" t="s">
        <v>6445</v>
      </c>
      <c r="F2017" s="31" t="s">
        <v>6446</v>
      </c>
      <c r="G2017" s="31" t="s">
        <v>6045</v>
      </c>
      <c r="H2017" s="31" t="s">
        <v>20</v>
      </c>
      <c r="I2017" s="31">
        <v>4440.0</v>
      </c>
      <c r="J2017" s="31">
        <v>3.876662886E9</v>
      </c>
      <c r="K2017" s="31" t="s">
        <v>32</v>
      </c>
      <c r="L2017" s="31" t="s">
        <v>3225</v>
      </c>
      <c r="M2017" s="33">
        <v>1.0</v>
      </c>
      <c r="N2017" s="429">
        <v>46179.0</v>
      </c>
      <c r="O2017" s="430" t="s">
        <v>9011</v>
      </c>
      <c r="P2017" s="534"/>
      <c r="Q2017" s="430" t="s">
        <v>14407</v>
      </c>
      <c r="R2017" s="432" t="s">
        <v>14408</v>
      </c>
      <c r="S2017" s="276"/>
      <c r="T2017" s="276"/>
      <c r="U2017" s="276"/>
      <c r="V2017" s="276"/>
      <c r="W2017" s="276"/>
      <c r="X2017" s="276"/>
      <c r="Y2017" s="276"/>
      <c r="Z2017" s="276"/>
      <c r="AA2017" s="276"/>
      <c r="AB2017" s="276"/>
      <c r="AC2017" s="276"/>
    </row>
    <row r="2018">
      <c r="A2018" s="85">
        <v>46174.0</v>
      </c>
      <c r="B2018" s="31" t="s">
        <v>6443</v>
      </c>
      <c r="C2018" s="31">
        <v>8.07839007934E11</v>
      </c>
      <c r="D2018" s="31" t="s">
        <v>6444</v>
      </c>
      <c r="E2018" s="31" t="s">
        <v>6445</v>
      </c>
      <c r="F2018" s="31" t="s">
        <v>6446</v>
      </c>
      <c r="G2018" s="31" t="s">
        <v>6045</v>
      </c>
      <c r="H2018" s="31" t="s">
        <v>20</v>
      </c>
      <c r="I2018" s="31">
        <v>4440.0</v>
      </c>
      <c r="J2018" s="31">
        <v>3.876662886E9</v>
      </c>
      <c r="K2018" s="31" t="s">
        <v>512</v>
      </c>
      <c r="L2018" s="31" t="s">
        <v>513</v>
      </c>
      <c r="M2018" s="33">
        <v>6.0</v>
      </c>
      <c r="N2018" s="209"/>
      <c r="O2018" s="209"/>
      <c r="P2018" s="209"/>
      <c r="Q2018" s="209"/>
      <c r="R2018" s="209"/>
      <c r="S2018" s="276"/>
      <c r="T2018" s="276"/>
      <c r="U2018" s="276"/>
      <c r="V2018" s="276"/>
      <c r="W2018" s="276"/>
      <c r="X2018" s="276"/>
      <c r="Y2018" s="276"/>
      <c r="Z2018" s="276"/>
      <c r="AA2018" s="276"/>
      <c r="AB2018" s="276"/>
      <c r="AC2018" s="276"/>
    </row>
    <row r="2019">
      <c r="A2019" s="85">
        <v>46174.0</v>
      </c>
      <c r="B2019" s="31" t="s">
        <v>6443</v>
      </c>
      <c r="C2019" s="31">
        <v>8.07839007934E11</v>
      </c>
      <c r="D2019" s="31" t="s">
        <v>6444</v>
      </c>
      <c r="E2019" s="31" t="s">
        <v>6445</v>
      </c>
      <c r="F2019" s="31" t="s">
        <v>6446</v>
      </c>
      <c r="G2019" s="31" t="s">
        <v>6045</v>
      </c>
      <c r="H2019" s="31" t="s">
        <v>20</v>
      </c>
      <c r="I2019" s="31">
        <v>4440.0</v>
      </c>
      <c r="J2019" s="31">
        <v>3.876662886E9</v>
      </c>
      <c r="K2019" s="31" t="s">
        <v>670</v>
      </c>
      <c r="L2019" s="31" t="s">
        <v>3410</v>
      </c>
      <c r="M2019" s="33">
        <v>1.0</v>
      </c>
      <c r="N2019" s="206"/>
      <c r="O2019" s="206"/>
      <c r="P2019" s="206"/>
      <c r="Q2019" s="206"/>
      <c r="R2019" s="206"/>
      <c r="S2019" s="276"/>
      <c r="T2019" s="276"/>
      <c r="U2019" s="276"/>
      <c r="V2019" s="276"/>
      <c r="W2019" s="276"/>
      <c r="X2019" s="276"/>
      <c r="Y2019" s="276"/>
      <c r="Z2019" s="276"/>
      <c r="AA2019" s="276"/>
      <c r="AB2019" s="276"/>
      <c r="AC2019" s="276"/>
    </row>
    <row r="2020">
      <c r="A2020" s="85">
        <v>46174.0</v>
      </c>
      <c r="B2020" s="31" t="s">
        <v>6448</v>
      </c>
      <c r="C2020" s="31">
        <v>8.07940000944E11</v>
      </c>
      <c r="D2020" s="31" t="s">
        <v>6449</v>
      </c>
      <c r="E2020" s="31" t="s">
        <v>6450</v>
      </c>
      <c r="F2020" s="31" t="s">
        <v>6451</v>
      </c>
      <c r="G2020" s="31" t="s">
        <v>983</v>
      </c>
      <c r="H2020" s="31" t="s">
        <v>20</v>
      </c>
      <c r="I2020" s="31">
        <v>4400.0</v>
      </c>
      <c r="J2020" s="31">
        <v>3.874126689E9</v>
      </c>
      <c r="K2020" s="31" t="s">
        <v>6119</v>
      </c>
      <c r="L2020" s="31" t="s">
        <v>6120</v>
      </c>
      <c r="M2020" s="33">
        <v>1.0</v>
      </c>
      <c r="N2020" s="429">
        <v>46177.0</v>
      </c>
      <c r="O2020" s="430" t="s">
        <v>9011</v>
      </c>
      <c r="P2020" s="534"/>
      <c r="Q2020" s="430" t="s">
        <v>14409</v>
      </c>
      <c r="R2020" s="432" t="s">
        <v>14410</v>
      </c>
      <c r="S2020" s="276"/>
      <c r="T2020" s="276"/>
      <c r="U2020" s="276"/>
      <c r="V2020" s="276"/>
      <c r="W2020" s="276"/>
      <c r="X2020" s="276"/>
      <c r="Y2020" s="276"/>
      <c r="Z2020" s="276"/>
      <c r="AA2020" s="276"/>
      <c r="AB2020" s="276"/>
      <c r="AC2020" s="276"/>
    </row>
    <row r="2021">
      <c r="A2021" s="85">
        <v>46174.0</v>
      </c>
      <c r="B2021" s="31" t="s">
        <v>6448</v>
      </c>
      <c r="C2021" s="31">
        <v>8.07940000944E11</v>
      </c>
      <c r="D2021" s="31" t="s">
        <v>6449</v>
      </c>
      <c r="E2021" s="31" t="s">
        <v>6450</v>
      </c>
      <c r="F2021" s="31" t="s">
        <v>6451</v>
      </c>
      <c r="G2021" s="31" t="s">
        <v>983</v>
      </c>
      <c r="H2021" s="31" t="s">
        <v>20</v>
      </c>
      <c r="I2021" s="31">
        <v>4400.0</v>
      </c>
      <c r="J2021" s="31">
        <v>3.874126689E9</v>
      </c>
      <c r="K2021" s="31" t="s">
        <v>512</v>
      </c>
      <c r="L2021" s="31" t="s">
        <v>513</v>
      </c>
      <c r="M2021" s="33">
        <v>12.0</v>
      </c>
      <c r="N2021" s="209"/>
      <c r="O2021" s="209"/>
      <c r="P2021" s="209"/>
      <c r="Q2021" s="209"/>
      <c r="R2021" s="209"/>
      <c r="S2021" s="276"/>
      <c r="T2021" s="276"/>
      <c r="U2021" s="276"/>
      <c r="V2021" s="276"/>
      <c r="W2021" s="276"/>
      <c r="X2021" s="276"/>
      <c r="Y2021" s="276"/>
      <c r="Z2021" s="276"/>
      <c r="AA2021" s="276"/>
      <c r="AB2021" s="276"/>
      <c r="AC2021" s="276"/>
    </row>
    <row r="2022">
      <c r="A2022" s="85">
        <v>46174.0</v>
      </c>
      <c r="B2022" s="31" t="s">
        <v>6448</v>
      </c>
      <c r="C2022" s="31">
        <v>8.07940000944E11</v>
      </c>
      <c r="D2022" s="31" t="s">
        <v>6449</v>
      </c>
      <c r="E2022" s="31" t="s">
        <v>6450</v>
      </c>
      <c r="F2022" s="31" t="s">
        <v>6451</v>
      </c>
      <c r="G2022" s="31" t="s">
        <v>983</v>
      </c>
      <c r="H2022" s="31" t="s">
        <v>20</v>
      </c>
      <c r="I2022" s="31">
        <v>4400.0</v>
      </c>
      <c r="J2022" s="31">
        <v>3.874126689E9</v>
      </c>
      <c r="K2022" s="31" t="s">
        <v>772</v>
      </c>
      <c r="L2022" s="31" t="s">
        <v>3363</v>
      </c>
      <c r="M2022" s="33">
        <v>2.0</v>
      </c>
      <c r="N2022" s="206"/>
      <c r="O2022" s="206"/>
      <c r="P2022" s="206"/>
      <c r="Q2022" s="206"/>
      <c r="R2022" s="206"/>
      <c r="S2022" s="276"/>
      <c r="T2022" s="276"/>
      <c r="U2022" s="276"/>
      <c r="V2022" s="276"/>
      <c r="W2022" s="276"/>
      <c r="X2022" s="276"/>
      <c r="Y2022" s="276"/>
      <c r="Z2022" s="276"/>
      <c r="AA2022" s="276"/>
      <c r="AB2022" s="276"/>
      <c r="AC2022" s="276"/>
    </row>
    <row r="2023">
      <c r="A2023" s="85">
        <v>46174.0</v>
      </c>
      <c r="B2023" s="31" t="s">
        <v>6453</v>
      </c>
      <c r="C2023" s="31">
        <v>8.07025036076E11</v>
      </c>
      <c r="D2023" s="31" t="s">
        <v>6454</v>
      </c>
      <c r="E2023" s="31" t="s">
        <v>6455</v>
      </c>
      <c r="F2023" s="31" t="s">
        <v>6456</v>
      </c>
      <c r="G2023" s="31" t="s">
        <v>127</v>
      </c>
      <c r="H2023" s="31" t="s">
        <v>20</v>
      </c>
      <c r="I2023" s="31">
        <v>4400.0</v>
      </c>
      <c r="J2023" s="31">
        <v>3.875856684E9</v>
      </c>
      <c r="K2023" s="31" t="s">
        <v>6131</v>
      </c>
      <c r="L2023" s="31" t="s">
        <v>6132</v>
      </c>
      <c r="M2023" s="33">
        <v>1.0</v>
      </c>
      <c r="N2023" s="429">
        <v>46177.0</v>
      </c>
      <c r="O2023" s="430" t="s">
        <v>9011</v>
      </c>
      <c r="P2023" s="534"/>
      <c r="Q2023" s="430" t="s">
        <v>14411</v>
      </c>
      <c r="R2023" s="432" t="s">
        <v>14412</v>
      </c>
      <c r="S2023" s="276"/>
      <c r="T2023" s="276"/>
      <c r="U2023" s="276"/>
      <c r="V2023" s="276"/>
      <c r="W2023" s="276"/>
      <c r="X2023" s="276"/>
      <c r="Y2023" s="276"/>
      <c r="Z2023" s="276"/>
      <c r="AA2023" s="276"/>
      <c r="AB2023" s="276"/>
      <c r="AC2023" s="276"/>
    </row>
    <row r="2024">
      <c r="A2024" s="85">
        <v>46174.0</v>
      </c>
      <c r="B2024" s="31" t="s">
        <v>6453</v>
      </c>
      <c r="C2024" s="31">
        <v>8.07025036076E11</v>
      </c>
      <c r="D2024" s="31" t="s">
        <v>6454</v>
      </c>
      <c r="E2024" s="31" t="s">
        <v>6455</v>
      </c>
      <c r="F2024" s="31" t="s">
        <v>6456</v>
      </c>
      <c r="G2024" s="31" t="s">
        <v>127</v>
      </c>
      <c r="H2024" s="31" t="s">
        <v>20</v>
      </c>
      <c r="I2024" s="31">
        <v>4400.0</v>
      </c>
      <c r="J2024" s="31">
        <v>3.875856684E9</v>
      </c>
      <c r="K2024" s="31" t="s">
        <v>512</v>
      </c>
      <c r="L2024" s="31" t="s">
        <v>513</v>
      </c>
      <c r="M2024" s="33">
        <v>12.0</v>
      </c>
      <c r="N2024" s="209"/>
      <c r="O2024" s="209"/>
      <c r="P2024" s="209"/>
      <c r="Q2024" s="209"/>
      <c r="R2024" s="209"/>
      <c r="S2024" s="276"/>
      <c r="T2024" s="276"/>
      <c r="U2024" s="276"/>
      <c r="V2024" s="276"/>
      <c r="W2024" s="276"/>
      <c r="X2024" s="276"/>
      <c r="Y2024" s="276"/>
      <c r="Z2024" s="276"/>
      <c r="AA2024" s="276"/>
      <c r="AB2024" s="276"/>
      <c r="AC2024" s="276"/>
    </row>
    <row r="2025">
      <c r="A2025" s="85">
        <v>46174.0</v>
      </c>
      <c r="B2025" s="31" t="s">
        <v>6453</v>
      </c>
      <c r="C2025" s="31">
        <v>8.07025036076E11</v>
      </c>
      <c r="D2025" s="31" t="s">
        <v>6454</v>
      </c>
      <c r="E2025" s="31" t="s">
        <v>6455</v>
      </c>
      <c r="F2025" s="31" t="s">
        <v>6456</v>
      </c>
      <c r="G2025" s="31" t="s">
        <v>127</v>
      </c>
      <c r="H2025" s="31" t="s">
        <v>20</v>
      </c>
      <c r="I2025" s="31">
        <v>4400.0</v>
      </c>
      <c r="J2025" s="31">
        <v>3.875856684E9</v>
      </c>
      <c r="K2025" s="31" t="s">
        <v>645</v>
      </c>
      <c r="L2025" s="31" t="s">
        <v>3253</v>
      </c>
      <c r="M2025" s="33">
        <v>2.0</v>
      </c>
      <c r="N2025" s="206"/>
      <c r="O2025" s="206"/>
      <c r="P2025" s="206"/>
      <c r="Q2025" s="206"/>
      <c r="R2025" s="206"/>
      <c r="S2025" s="276"/>
      <c r="T2025" s="276"/>
      <c r="U2025" s="276"/>
      <c r="V2025" s="276"/>
      <c r="W2025" s="276"/>
      <c r="X2025" s="276"/>
      <c r="Y2025" s="276"/>
      <c r="Z2025" s="276"/>
      <c r="AA2025" s="276"/>
      <c r="AB2025" s="276"/>
      <c r="AC2025" s="276"/>
    </row>
    <row r="2026">
      <c r="A2026" s="85">
        <v>46174.0</v>
      </c>
      <c r="B2026" s="31" t="s">
        <v>6458</v>
      </c>
      <c r="C2026" s="31">
        <v>8.05011577411E11</v>
      </c>
      <c r="D2026" s="31" t="s">
        <v>6459</v>
      </c>
      <c r="E2026" s="31" t="s">
        <v>6460</v>
      </c>
      <c r="F2026" s="31" t="s">
        <v>6461</v>
      </c>
      <c r="G2026" s="31" t="s">
        <v>624</v>
      </c>
      <c r="H2026" s="31" t="s">
        <v>20</v>
      </c>
      <c r="I2026" s="31">
        <v>4403.0</v>
      </c>
      <c r="J2026" s="31">
        <v>3.874651722E9</v>
      </c>
      <c r="K2026" s="31" t="s">
        <v>5842</v>
      </c>
      <c r="L2026" s="31" t="s">
        <v>5843</v>
      </c>
      <c r="M2026" s="33">
        <v>1.0</v>
      </c>
      <c r="N2026" s="429">
        <v>46176.0</v>
      </c>
      <c r="O2026" s="430" t="s">
        <v>9011</v>
      </c>
      <c r="P2026" s="534"/>
      <c r="Q2026" s="430" t="s">
        <v>13339</v>
      </c>
      <c r="R2026" s="432" t="s">
        <v>14413</v>
      </c>
      <c r="S2026" s="276"/>
      <c r="T2026" s="276"/>
      <c r="U2026" s="276"/>
      <c r="V2026" s="276"/>
      <c r="W2026" s="276"/>
      <c r="X2026" s="276"/>
      <c r="Y2026" s="276"/>
      <c r="Z2026" s="276"/>
      <c r="AA2026" s="276"/>
      <c r="AB2026" s="276"/>
      <c r="AC2026" s="276"/>
    </row>
    <row r="2027">
      <c r="A2027" s="85">
        <v>46174.0</v>
      </c>
      <c r="B2027" s="31" t="s">
        <v>6458</v>
      </c>
      <c r="C2027" s="31">
        <v>8.05011577411E11</v>
      </c>
      <c r="D2027" s="31" t="s">
        <v>6459</v>
      </c>
      <c r="E2027" s="31" t="s">
        <v>6460</v>
      </c>
      <c r="F2027" s="31" t="s">
        <v>6461</v>
      </c>
      <c r="G2027" s="31" t="s">
        <v>624</v>
      </c>
      <c r="H2027" s="31" t="s">
        <v>20</v>
      </c>
      <c r="I2027" s="31">
        <v>4403.0</v>
      </c>
      <c r="J2027" s="31">
        <v>3.874651722E9</v>
      </c>
      <c r="K2027" s="31" t="s">
        <v>32</v>
      </c>
      <c r="L2027" s="31" t="s">
        <v>3225</v>
      </c>
      <c r="M2027" s="33">
        <v>1.0</v>
      </c>
      <c r="N2027" s="206"/>
      <c r="O2027" s="206"/>
      <c r="P2027" s="206"/>
      <c r="Q2027" s="206"/>
      <c r="R2027" s="206"/>
      <c r="S2027" s="276"/>
      <c r="T2027" s="276"/>
      <c r="U2027" s="276"/>
      <c r="V2027" s="276"/>
      <c r="W2027" s="276"/>
      <c r="X2027" s="276"/>
      <c r="Y2027" s="276"/>
      <c r="Z2027" s="276"/>
      <c r="AA2027" s="276"/>
      <c r="AB2027" s="276"/>
      <c r="AC2027" s="276"/>
    </row>
    <row r="2028">
      <c r="A2028" s="85">
        <v>46174.0</v>
      </c>
      <c r="B2028" s="31" t="s">
        <v>6462</v>
      </c>
      <c r="C2028" s="31">
        <v>8.07839008075E11</v>
      </c>
      <c r="D2028" s="31" t="s">
        <v>6463</v>
      </c>
      <c r="E2028" s="31" t="s">
        <v>6464</v>
      </c>
      <c r="F2028" s="31" t="s">
        <v>6465</v>
      </c>
      <c r="G2028" s="31" t="s">
        <v>247</v>
      </c>
      <c r="H2028" s="31" t="s">
        <v>20</v>
      </c>
      <c r="I2028" s="31">
        <v>4400.0</v>
      </c>
      <c r="J2028" s="31">
        <v>3.875331561E9</v>
      </c>
      <c r="K2028" s="31" t="s">
        <v>32</v>
      </c>
      <c r="L2028" s="31" t="s">
        <v>3225</v>
      </c>
      <c r="M2028" s="33">
        <v>2.0</v>
      </c>
      <c r="N2028" s="429">
        <v>46177.0</v>
      </c>
      <c r="O2028" s="430" t="s">
        <v>9011</v>
      </c>
      <c r="P2028" s="534"/>
      <c r="Q2028" s="430" t="s">
        <v>14184</v>
      </c>
      <c r="R2028" s="432" t="s">
        <v>14414</v>
      </c>
      <c r="S2028" s="276"/>
      <c r="T2028" s="276"/>
      <c r="U2028" s="276"/>
      <c r="V2028" s="276"/>
      <c r="W2028" s="276"/>
      <c r="X2028" s="276"/>
      <c r="Y2028" s="276"/>
      <c r="Z2028" s="276"/>
      <c r="AA2028" s="276"/>
      <c r="AB2028" s="276"/>
      <c r="AC2028" s="276"/>
    </row>
    <row r="2029">
      <c r="A2029" s="85">
        <v>46174.0</v>
      </c>
      <c r="B2029" s="31" t="s">
        <v>6462</v>
      </c>
      <c r="C2029" s="31">
        <v>8.07839008075E11</v>
      </c>
      <c r="D2029" s="31" t="s">
        <v>6463</v>
      </c>
      <c r="E2029" s="31" t="s">
        <v>6464</v>
      </c>
      <c r="F2029" s="31" t="s">
        <v>6465</v>
      </c>
      <c r="G2029" s="31" t="s">
        <v>247</v>
      </c>
      <c r="H2029" s="31" t="s">
        <v>20</v>
      </c>
      <c r="I2029" s="31">
        <v>4400.0</v>
      </c>
      <c r="J2029" s="31">
        <v>3.875331561E9</v>
      </c>
      <c r="K2029" s="31" t="s">
        <v>512</v>
      </c>
      <c r="L2029" s="31" t="s">
        <v>513</v>
      </c>
      <c r="M2029" s="33">
        <v>12.0</v>
      </c>
      <c r="N2029" s="209"/>
      <c r="O2029" s="209"/>
      <c r="P2029" s="209"/>
      <c r="Q2029" s="209"/>
      <c r="R2029" s="209"/>
      <c r="S2029" s="276"/>
      <c r="T2029" s="276"/>
      <c r="U2029" s="276"/>
      <c r="V2029" s="276"/>
      <c r="W2029" s="276"/>
      <c r="X2029" s="276"/>
      <c r="Y2029" s="276"/>
      <c r="Z2029" s="276"/>
      <c r="AA2029" s="276"/>
      <c r="AB2029" s="276"/>
      <c r="AC2029" s="276"/>
    </row>
    <row r="2030">
      <c r="A2030" s="85">
        <v>46174.0</v>
      </c>
      <c r="B2030" s="31" t="s">
        <v>6462</v>
      </c>
      <c r="C2030" s="31">
        <v>8.07839008075E11</v>
      </c>
      <c r="D2030" s="31" t="s">
        <v>6463</v>
      </c>
      <c r="E2030" s="31" t="s">
        <v>6464</v>
      </c>
      <c r="F2030" s="31" t="s">
        <v>6465</v>
      </c>
      <c r="G2030" s="31" t="s">
        <v>247</v>
      </c>
      <c r="H2030" s="31" t="s">
        <v>20</v>
      </c>
      <c r="I2030" s="31">
        <v>4400.0</v>
      </c>
      <c r="J2030" s="31">
        <v>3.875331561E9</v>
      </c>
      <c r="K2030" s="31" t="s">
        <v>670</v>
      </c>
      <c r="L2030" s="31" t="s">
        <v>3410</v>
      </c>
      <c r="M2030" s="33">
        <v>2.0</v>
      </c>
      <c r="N2030" s="206"/>
      <c r="O2030" s="206"/>
      <c r="P2030" s="206"/>
      <c r="Q2030" s="206"/>
      <c r="R2030" s="206"/>
      <c r="S2030" s="276"/>
      <c r="T2030" s="276"/>
      <c r="U2030" s="276"/>
      <c r="V2030" s="276"/>
      <c r="W2030" s="276"/>
      <c r="X2030" s="276"/>
      <c r="Y2030" s="276"/>
      <c r="Z2030" s="276"/>
      <c r="AA2030" s="276"/>
      <c r="AB2030" s="276"/>
      <c r="AC2030" s="276"/>
    </row>
    <row r="2031">
      <c r="A2031" s="568">
        <v>46174.0</v>
      </c>
      <c r="B2031" s="569" t="s">
        <v>6466</v>
      </c>
      <c r="C2031" s="569">
        <v>8.07025036237E11</v>
      </c>
      <c r="D2031" s="569" t="s">
        <v>6467</v>
      </c>
      <c r="E2031" s="569" t="s">
        <v>6468</v>
      </c>
      <c r="F2031" s="569" t="s">
        <v>6469</v>
      </c>
      <c r="G2031" s="569" t="s">
        <v>1567</v>
      </c>
      <c r="H2031" s="569" t="s">
        <v>20</v>
      </c>
      <c r="I2031" s="569">
        <v>4400.0</v>
      </c>
      <c r="J2031" s="569">
        <v>3.873575474E9</v>
      </c>
      <c r="K2031" s="569" t="s">
        <v>4793</v>
      </c>
      <c r="L2031" s="569" t="s">
        <v>4794</v>
      </c>
      <c r="M2031" s="667">
        <v>2.0</v>
      </c>
      <c r="N2031" s="597"/>
      <c r="O2031" s="668"/>
      <c r="P2031" s="597"/>
      <c r="Q2031" s="668" t="s">
        <v>14415</v>
      </c>
      <c r="R2031" s="669"/>
      <c r="S2031" s="276"/>
      <c r="T2031" s="276"/>
      <c r="U2031" s="276"/>
      <c r="V2031" s="276"/>
      <c r="W2031" s="276"/>
      <c r="X2031" s="276"/>
      <c r="Y2031" s="276"/>
      <c r="Z2031" s="276"/>
      <c r="AA2031" s="276"/>
      <c r="AB2031" s="276"/>
      <c r="AC2031" s="276"/>
    </row>
    <row r="2032">
      <c r="A2032" s="85">
        <v>46174.0</v>
      </c>
      <c r="B2032" s="31" t="s">
        <v>6471</v>
      </c>
      <c r="C2032" s="31">
        <v>8.07025036252E11</v>
      </c>
      <c r="D2032" s="31" t="s">
        <v>6472</v>
      </c>
      <c r="E2032" s="31" t="s">
        <v>6473</v>
      </c>
      <c r="F2032" s="31" t="s">
        <v>6474</v>
      </c>
      <c r="G2032" s="31" t="s">
        <v>127</v>
      </c>
      <c r="H2032" s="31" t="s">
        <v>20</v>
      </c>
      <c r="I2032" s="31">
        <v>4400.0</v>
      </c>
      <c r="J2032" s="31">
        <v>3.875737109E9</v>
      </c>
      <c r="K2032" s="31" t="s">
        <v>5817</v>
      </c>
      <c r="L2032" s="31" t="s">
        <v>5417</v>
      </c>
      <c r="M2032" s="33">
        <v>1.0</v>
      </c>
      <c r="N2032" s="429">
        <v>46177.0</v>
      </c>
      <c r="O2032" s="430" t="s">
        <v>9011</v>
      </c>
      <c r="P2032" s="534"/>
      <c r="Q2032" s="430" t="s">
        <v>14416</v>
      </c>
      <c r="R2032" s="432" t="s">
        <v>14417</v>
      </c>
      <c r="S2032" s="276"/>
      <c r="T2032" s="276"/>
      <c r="U2032" s="276"/>
      <c r="V2032" s="276"/>
      <c r="W2032" s="276"/>
      <c r="X2032" s="276"/>
      <c r="Y2032" s="276"/>
      <c r="Z2032" s="276"/>
      <c r="AA2032" s="276"/>
      <c r="AB2032" s="276"/>
      <c r="AC2032" s="276"/>
    </row>
    <row r="2033">
      <c r="A2033" s="85">
        <v>46174.0</v>
      </c>
      <c r="B2033" s="31" t="s">
        <v>6471</v>
      </c>
      <c r="C2033" s="31">
        <v>8.07025036252E11</v>
      </c>
      <c r="D2033" s="31" t="s">
        <v>6472</v>
      </c>
      <c r="E2033" s="31" t="s">
        <v>6473</v>
      </c>
      <c r="F2033" s="31" t="s">
        <v>6474</v>
      </c>
      <c r="G2033" s="31" t="s">
        <v>127</v>
      </c>
      <c r="H2033" s="31" t="s">
        <v>20</v>
      </c>
      <c r="I2033" s="31">
        <v>4400.0</v>
      </c>
      <c r="J2033" s="31">
        <v>3.875737109E9</v>
      </c>
      <c r="K2033" s="31" t="s">
        <v>2294</v>
      </c>
      <c r="L2033" s="31" t="s">
        <v>5415</v>
      </c>
      <c r="M2033" s="33">
        <v>1.0</v>
      </c>
      <c r="N2033" s="206"/>
      <c r="O2033" s="206"/>
      <c r="P2033" s="206"/>
      <c r="Q2033" s="206"/>
      <c r="R2033" s="206"/>
      <c r="S2033" s="276"/>
      <c r="T2033" s="276"/>
      <c r="U2033" s="276"/>
      <c r="V2033" s="276"/>
      <c r="W2033" s="276"/>
      <c r="X2033" s="276"/>
      <c r="Y2033" s="276"/>
      <c r="Z2033" s="276"/>
      <c r="AA2033" s="276"/>
      <c r="AB2033" s="276"/>
      <c r="AC2033" s="276"/>
    </row>
    <row r="2034">
      <c r="A2034" s="85">
        <v>46174.0</v>
      </c>
      <c r="B2034" s="31" t="s">
        <v>6475</v>
      </c>
      <c r="C2034" s="31">
        <v>8.07839008202E11</v>
      </c>
      <c r="D2034" s="31" t="s">
        <v>6476</v>
      </c>
      <c r="E2034" s="31" t="s">
        <v>6477</v>
      </c>
      <c r="F2034" s="31" t="s">
        <v>6478</v>
      </c>
      <c r="G2034" s="31" t="s">
        <v>278</v>
      </c>
      <c r="H2034" s="31" t="s">
        <v>20</v>
      </c>
      <c r="I2034" s="31">
        <v>4400.0</v>
      </c>
      <c r="J2034" s="31">
        <v>3.874115921E9</v>
      </c>
      <c r="K2034" s="31" t="s">
        <v>698</v>
      </c>
      <c r="L2034" s="31" t="s">
        <v>699</v>
      </c>
      <c r="M2034" s="33">
        <v>1.0</v>
      </c>
      <c r="N2034" s="433">
        <v>46175.0</v>
      </c>
      <c r="O2034" s="261" t="s">
        <v>9011</v>
      </c>
      <c r="P2034" s="387"/>
      <c r="Q2034" s="261" t="s">
        <v>13339</v>
      </c>
      <c r="R2034" s="434" t="s">
        <v>14392</v>
      </c>
      <c r="S2034" s="276"/>
      <c r="T2034" s="276"/>
      <c r="U2034" s="276"/>
      <c r="V2034" s="276"/>
      <c r="W2034" s="276"/>
      <c r="X2034" s="276"/>
      <c r="Y2034" s="276"/>
      <c r="Z2034" s="276"/>
      <c r="AA2034" s="276"/>
      <c r="AB2034" s="276"/>
      <c r="AC2034" s="276"/>
    </row>
    <row r="2035">
      <c r="A2035" s="85">
        <v>46174.0</v>
      </c>
      <c r="B2035" s="31" t="s">
        <v>6480</v>
      </c>
      <c r="C2035" s="31">
        <v>8.05011577937E11</v>
      </c>
      <c r="D2035" s="31" t="s">
        <v>6481</v>
      </c>
      <c r="E2035" s="31" t="s">
        <v>6482</v>
      </c>
      <c r="F2035" s="31" t="s">
        <v>6483</v>
      </c>
      <c r="G2035" s="31" t="s">
        <v>582</v>
      </c>
      <c r="H2035" s="31" t="s">
        <v>20</v>
      </c>
      <c r="I2035" s="31">
        <v>4407.0</v>
      </c>
      <c r="J2035" s="31">
        <v>3.876107869E9</v>
      </c>
      <c r="K2035" s="31" t="s">
        <v>6420</v>
      </c>
      <c r="L2035" s="31" t="s">
        <v>6421</v>
      </c>
      <c r="M2035" s="33">
        <v>1.0</v>
      </c>
      <c r="N2035" s="433">
        <v>46176.0</v>
      </c>
      <c r="O2035" s="261" t="s">
        <v>9011</v>
      </c>
      <c r="P2035" s="387"/>
      <c r="Q2035" s="261" t="s">
        <v>14418</v>
      </c>
      <c r="R2035" s="434" t="s">
        <v>14419</v>
      </c>
      <c r="S2035" s="276"/>
      <c r="T2035" s="276"/>
      <c r="U2035" s="276"/>
      <c r="V2035" s="276"/>
      <c r="W2035" s="276"/>
      <c r="X2035" s="276"/>
      <c r="Y2035" s="276"/>
      <c r="Z2035" s="276"/>
      <c r="AA2035" s="276"/>
      <c r="AB2035" s="276"/>
      <c r="AC2035" s="276"/>
    </row>
    <row r="2036">
      <c r="A2036" s="568">
        <v>46174.0</v>
      </c>
      <c r="B2036" s="569" t="s">
        <v>6484</v>
      </c>
      <c r="C2036" s="569">
        <v>8.05011577931E11</v>
      </c>
      <c r="D2036" s="569" t="s">
        <v>6485</v>
      </c>
      <c r="E2036" s="569" t="s">
        <v>6486</v>
      </c>
      <c r="F2036" s="569" t="s">
        <v>6487</v>
      </c>
      <c r="G2036" s="569" t="s">
        <v>58</v>
      </c>
      <c r="H2036" s="569" t="s">
        <v>20</v>
      </c>
      <c r="I2036" s="569">
        <v>4400.0</v>
      </c>
      <c r="J2036" s="569">
        <v>3.872233337E9</v>
      </c>
      <c r="K2036" s="569" t="s">
        <v>761</v>
      </c>
      <c r="L2036" s="569" t="s">
        <v>3761</v>
      </c>
      <c r="M2036" s="667">
        <v>1.0</v>
      </c>
      <c r="N2036" s="597"/>
      <c r="O2036" s="668"/>
      <c r="P2036" s="597"/>
      <c r="Q2036" s="668" t="s">
        <v>14415</v>
      </c>
      <c r="R2036" s="669"/>
      <c r="S2036" s="276"/>
      <c r="T2036" s="276"/>
      <c r="U2036" s="276"/>
      <c r="V2036" s="276"/>
      <c r="W2036" s="276"/>
      <c r="X2036" s="276"/>
      <c r="Y2036" s="276"/>
      <c r="Z2036" s="276"/>
      <c r="AA2036" s="276"/>
      <c r="AB2036" s="276"/>
      <c r="AC2036" s="276"/>
    </row>
    <row r="2037">
      <c r="A2037" s="85">
        <v>46174.0</v>
      </c>
      <c r="B2037" s="31" t="s">
        <v>6489</v>
      </c>
      <c r="C2037" s="31">
        <v>8.07025036255E11</v>
      </c>
      <c r="D2037" s="31" t="s">
        <v>6490</v>
      </c>
      <c r="E2037" s="31" t="s">
        <v>6491</v>
      </c>
      <c r="F2037" s="31" t="s">
        <v>6492</v>
      </c>
      <c r="G2037" s="31" t="s">
        <v>127</v>
      </c>
      <c r="H2037" s="31" t="s">
        <v>20</v>
      </c>
      <c r="I2037" s="31">
        <v>4400.0</v>
      </c>
      <c r="J2037" s="31">
        <v>1.5411226E8</v>
      </c>
      <c r="K2037" s="31" t="s">
        <v>32</v>
      </c>
      <c r="L2037" s="31" t="s">
        <v>3225</v>
      </c>
      <c r="M2037" s="33">
        <v>1.0</v>
      </c>
      <c r="N2037" s="433">
        <v>46176.0</v>
      </c>
      <c r="O2037" s="261" t="s">
        <v>9011</v>
      </c>
      <c r="P2037" s="387"/>
      <c r="Q2037" s="261" t="s">
        <v>14184</v>
      </c>
      <c r="R2037" s="434" t="s">
        <v>14420</v>
      </c>
      <c r="S2037" s="276"/>
      <c r="T2037" s="276"/>
      <c r="U2037" s="276"/>
      <c r="V2037" s="276"/>
      <c r="W2037" s="276"/>
      <c r="X2037" s="276"/>
      <c r="Y2037" s="276"/>
      <c r="Z2037" s="276"/>
      <c r="AA2037" s="276"/>
      <c r="AB2037" s="276"/>
      <c r="AC2037" s="276"/>
    </row>
    <row r="2038">
      <c r="A2038" s="85">
        <v>46174.0</v>
      </c>
      <c r="B2038" s="31" t="s">
        <v>6494</v>
      </c>
      <c r="C2038" s="31">
        <v>8.07025036262E11</v>
      </c>
      <c r="D2038" s="31" t="s">
        <v>6495</v>
      </c>
      <c r="E2038" s="31" t="s">
        <v>6496</v>
      </c>
      <c r="F2038" s="31" t="s">
        <v>6497</v>
      </c>
      <c r="G2038" s="31" t="s">
        <v>127</v>
      </c>
      <c r="H2038" s="31" t="s">
        <v>20</v>
      </c>
      <c r="I2038" s="31">
        <v>4400.0</v>
      </c>
      <c r="J2038" s="31">
        <v>3.885097852E9</v>
      </c>
      <c r="K2038" s="31" t="s">
        <v>5817</v>
      </c>
      <c r="L2038" s="31" t="s">
        <v>5417</v>
      </c>
      <c r="M2038" s="33">
        <v>1.0</v>
      </c>
      <c r="N2038" s="429">
        <v>46177.0</v>
      </c>
      <c r="O2038" s="430" t="s">
        <v>9011</v>
      </c>
      <c r="P2038" s="534"/>
      <c r="Q2038" s="430" t="s">
        <v>14184</v>
      </c>
      <c r="R2038" s="432" t="s">
        <v>14421</v>
      </c>
      <c r="S2038" s="276"/>
      <c r="T2038" s="276"/>
      <c r="U2038" s="276"/>
      <c r="V2038" s="276"/>
      <c r="W2038" s="276"/>
      <c r="X2038" s="276"/>
      <c r="Y2038" s="276"/>
      <c r="Z2038" s="276"/>
      <c r="AA2038" s="276"/>
      <c r="AB2038" s="276"/>
      <c r="AC2038" s="276"/>
    </row>
    <row r="2039">
      <c r="A2039" s="85">
        <v>46174.0</v>
      </c>
      <c r="B2039" s="31" t="s">
        <v>6494</v>
      </c>
      <c r="C2039" s="31">
        <v>8.07025036262E11</v>
      </c>
      <c r="D2039" s="31" t="s">
        <v>6495</v>
      </c>
      <c r="E2039" s="31" t="s">
        <v>6496</v>
      </c>
      <c r="F2039" s="31" t="s">
        <v>6497</v>
      </c>
      <c r="G2039" s="31" t="s">
        <v>127</v>
      </c>
      <c r="H2039" s="31" t="s">
        <v>20</v>
      </c>
      <c r="I2039" s="31">
        <v>4400.0</v>
      </c>
      <c r="J2039" s="31">
        <v>3.885097852E9</v>
      </c>
      <c r="K2039" s="31" t="s">
        <v>2294</v>
      </c>
      <c r="L2039" s="31" t="s">
        <v>5415</v>
      </c>
      <c r="M2039" s="33">
        <v>1.0</v>
      </c>
      <c r="N2039" s="206"/>
      <c r="O2039" s="206"/>
      <c r="P2039" s="206"/>
      <c r="Q2039" s="206"/>
      <c r="R2039" s="206"/>
      <c r="S2039" s="276"/>
      <c r="T2039" s="276"/>
      <c r="U2039" s="276"/>
      <c r="V2039" s="276"/>
      <c r="W2039" s="276"/>
      <c r="X2039" s="276"/>
      <c r="Y2039" s="276"/>
      <c r="Z2039" s="276"/>
      <c r="AA2039" s="276"/>
      <c r="AB2039" s="276"/>
      <c r="AC2039" s="276"/>
    </row>
    <row r="2040">
      <c r="A2040" s="85">
        <v>46174.0</v>
      </c>
      <c r="B2040" s="31" t="s">
        <v>6498</v>
      </c>
      <c r="C2040" s="31">
        <v>8.07839008324E11</v>
      </c>
      <c r="D2040" s="31" t="s">
        <v>6499</v>
      </c>
      <c r="E2040" s="31" t="s">
        <v>6500</v>
      </c>
      <c r="F2040" s="69" t="s">
        <v>6501</v>
      </c>
      <c r="G2040" s="31" t="s">
        <v>6502</v>
      </c>
      <c r="H2040" s="31" t="s">
        <v>20</v>
      </c>
      <c r="I2040" s="31">
        <v>4444.0</v>
      </c>
      <c r="J2040" s="31">
        <v>3.876565088E9</v>
      </c>
      <c r="K2040" s="31" t="s">
        <v>32</v>
      </c>
      <c r="L2040" s="31" t="s">
        <v>3225</v>
      </c>
      <c r="M2040" s="33">
        <v>1.0</v>
      </c>
      <c r="N2040" s="367"/>
      <c r="O2040" s="261"/>
      <c r="P2040" s="387"/>
      <c r="Q2040" s="261"/>
      <c r="R2040" s="449"/>
      <c r="S2040" s="276"/>
      <c r="T2040" s="276"/>
      <c r="U2040" s="276"/>
      <c r="V2040" s="276"/>
      <c r="W2040" s="276"/>
      <c r="X2040" s="276"/>
      <c r="Y2040" s="276"/>
      <c r="Z2040" s="276"/>
      <c r="AA2040" s="276"/>
      <c r="AB2040" s="276"/>
      <c r="AC2040" s="276"/>
    </row>
    <row r="2041">
      <c r="A2041" s="85">
        <v>46174.0</v>
      </c>
      <c r="B2041" s="31" t="s">
        <v>6498</v>
      </c>
      <c r="C2041" s="31">
        <v>8.07839008324E11</v>
      </c>
      <c r="D2041" s="31" t="s">
        <v>6499</v>
      </c>
      <c r="E2041" s="31" t="s">
        <v>6500</v>
      </c>
      <c r="F2041" s="69" t="s">
        <v>6501</v>
      </c>
      <c r="G2041" s="31" t="s">
        <v>6502</v>
      </c>
      <c r="H2041" s="31" t="s">
        <v>20</v>
      </c>
      <c r="I2041" s="31">
        <v>4444.0</v>
      </c>
      <c r="J2041" s="31">
        <v>3.876565088E9</v>
      </c>
      <c r="K2041" s="31" t="s">
        <v>512</v>
      </c>
      <c r="L2041" s="31" t="s">
        <v>513</v>
      </c>
      <c r="M2041" s="33">
        <v>6.0</v>
      </c>
      <c r="N2041" s="367"/>
      <c r="O2041" s="261"/>
      <c r="P2041" s="387"/>
      <c r="Q2041" s="261" t="s">
        <v>14403</v>
      </c>
      <c r="R2041" s="449"/>
      <c r="S2041" s="276"/>
      <c r="T2041" s="276"/>
      <c r="U2041" s="276"/>
      <c r="V2041" s="276"/>
      <c r="W2041" s="276"/>
      <c r="X2041" s="276"/>
      <c r="Y2041" s="276"/>
      <c r="Z2041" s="276"/>
      <c r="AA2041" s="276"/>
      <c r="AB2041" s="276"/>
      <c r="AC2041" s="276"/>
    </row>
    <row r="2042">
      <c r="A2042" s="85">
        <v>46174.0</v>
      </c>
      <c r="B2042" s="31" t="s">
        <v>6498</v>
      </c>
      <c r="C2042" s="31">
        <v>8.07839008324E11</v>
      </c>
      <c r="D2042" s="31" t="s">
        <v>6499</v>
      </c>
      <c r="E2042" s="31" t="s">
        <v>6500</v>
      </c>
      <c r="F2042" s="69" t="s">
        <v>6501</v>
      </c>
      <c r="G2042" s="31" t="s">
        <v>6502</v>
      </c>
      <c r="H2042" s="31" t="s">
        <v>20</v>
      </c>
      <c r="I2042" s="31">
        <v>4444.0</v>
      </c>
      <c r="J2042" s="31">
        <v>3.876565088E9</v>
      </c>
      <c r="K2042" s="31" t="s">
        <v>670</v>
      </c>
      <c r="L2042" s="31" t="s">
        <v>3410</v>
      </c>
      <c r="M2042" s="33">
        <v>1.0</v>
      </c>
      <c r="N2042" s="367"/>
      <c r="O2042" s="261"/>
      <c r="P2042" s="387"/>
      <c r="Q2042" s="261"/>
      <c r="R2042" s="449"/>
      <c r="S2042" s="276"/>
      <c r="T2042" s="276"/>
      <c r="U2042" s="276"/>
      <c r="V2042" s="276"/>
      <c r="W2042" s="276"/>
      <c r="X2042" s="276"/>
      <c r="Y2042" s="276"/>
      <c r="Z2042" s="276"/>
      <c r="AA2042" s="276"/>
      <c r="AB2042" s="276"/>
      <c r="AC2042" s="276"/>
    </row>
    <row r="2043">
      <c r="A2043" s="615"/>
      <c r="B2043" s="616"/>
      <c r="C2043" s="617"/>
      <c r="D2043" s="617"/>
      <c r="E2043" s="617"/>
      <c r="F2043" s="618"/>
      <c r="G2043" s="618"/>
      <c r="H2043" s="618"/>
      <c r="I2043" s="617"/>
      <c r="J2043" s="617"/>
      <c r="K2043" s="618"/>
      <c r="L2043" s="619"/>
      <c r="M2043" s="670"/>
      <c r="N2043" s="481"/>
      <c r="O2043" s="531"/>
      <c r="P2043" s="387"/>
      <c r="Q2043" s="261"/>
      <c r="R2043" s="449"/>
      <c r="S2043" s="367"/>
      <c r="T2043" s="276"/>
      <c r="U2043" s="276"/>
      <c r="V2043" s="276"/>
      <c r="W2043" s="276"/>
      <c r="X2043" s="276"/>
      <c r="Y2043" s="276"/>
      <c r="Z2043" s="276"/>
      <c r="AA2043" s="276"/>
      <c r="AB2043" s="276"/>
      <c r="AC2043" s="276"/>
    </row>
    <row r="2044">
      <c r="A2044" s="108" t="s">
        <v>13070</v>
      </c>
      <c r="B2044" s="173">
        <v>46176.0</v>
      </c>
      <c r="C2044" s="374">
        <v>8.07000035939E11</v>
      </c>
      <c r="D2044" s="374" t="s">
        <v>13071</v>
      </c>
      <c r="E2044" s="374" t="s">
        <v>13072</v>
      </c>
      <c r="F2044" s="177" t="s">
        <v>13073</v>
      </c>
      <c r="G2044" s="177" t="s">
        <v>127</v>
      </c>
      <c r="H2044" s="177">
        <v>4400.0</v>
      </c>
      <c r="I2044" s="176" t="s">
        <v>2956</v>
      </c>
      <c r="J2044" s="374" t="s">
        <v>3327</v>
      </c>
      <c r="K2044" s="177">
        <v>1.0</v>
      </c>
      <c r="L2044" s="174">
        <v>3.872159859E9</v>
      </c>
      <c r="M2044" s="387"/>
      <c r="N2044" s="481">
        <v>46177.0</v>
      </c>
      <c r="O2044" s="531" t="s">
        <v>9011</v>
      </c>
      <c r="P2044" s="387"/>
      <c r="Q2044" s="261" t="s">
        <v>14422</v>
      </c>
      <c r="R2044" s="434" t="s">
        <v>14423</v>
      </c>
      <c r="S2044" s="367"/>
      <c r="T2044" s="276"/>
      <c r="U2044" s="276"/>
      <c r="V2044" s="276"/>
      <c r="W2044" s="276"/>
      <c r="X2044" s="276"/>
      <c r="Y2044" s="276"/>
      <c r="Z2044" s="276"/>
      <c r="AA2044" s="276"/>
      <c r="AB2044" s="276"/>
      <c r="AC2044" s="276"/>
    </row>
    <row r="2045">
      <c r="A2045" s="108" t="s">
        <v>13074</v>
      </c>
      <c r="B2045" s="173">
        <v>46176.0</v>
      </c>
      <c r="C2045" s="374">
        <v>8.0700003635E11</v>
      </c>
      <c r="D2045" s="374" t="s">
        <v>13075</v>
      </c>
      <c r="E2045" s="374" t="s">
        <v>13076</v>
      </c>
      <c r="F2045" s="177" t="s">
        <v>13050</v>
      </c>
      <c r="G2045" s="177" t="s">
        <v>127</v>
      </c>
      <c r="H2045" s="177">
        <v>4400.0</v>
      </c>
      <c r="I2045" s="176" t="s">
        <v>9389</v>
      </c>
      <c r="J2045" s="374" t="s">
        <v>9390</v>
      </c>
      <c r="K2045" s="177">
        <v>1.0</v>
      </c>
      <c r="L2045" s="174">
        <v>3.874811429E9</v>
      </c>
      <c r="M2045" s="387"/>
      <c r="N2045" s="480">
        <v>46176.0</v>
      </c>
      <c r="O2045" s="402" t="s">
        <v>9011</v>
      </c>
      <c r="P2045" s="534"/>
      <c r="Q2045" s="430" t="s">
        <v>14184</v>
      </c>
      <c r="R2045" s="432" t="s">
        <v>14424</v>
      </c>
      <c r="S2045" s="367"/>
      <c r="T2045" s="276"/>
      <c r="U2045" s="276"/>
      <c r="V2045" s="276"/>
      <c r="W2045" s="276"/>
      <c r="X2045" s="276"/>
      <c r="Y2045" s="276"/>
      <c r="Z2045" s="276"/>
      <c r="AA2045" s="276"/>
      <c r="AB2045" s="276"/>
      <c r="AC2045" s="276"/>
    </row>
    <row r="2046">
      <c r="A2046" s="108" t="s">
        <v>13077</v>
      </c>
      <c r="B2046" s="173">
        <v>46176.0</v>
      </c>
      <c r="C2046" s="374">
        <v>8.07000036351E11</v>
      </c>
      <c r="D2046" s="374" t="s">
        <v>13075</v>
      </c>
      <c r="E2046" s="374" t="s">
        <v>13076</v>
      </c>
      <c r="F2046" s="177" t="s">
        <v>13050</v>
      </c>
      <c r="G2046" s="177" t="s">
        <v>127</v>
      </c>
      <c r="H2046" s="177">
        <v>4400.0</v>
      </c>
      <c r="I2046" s="176" t="s">
        <v>5262</v>
      </c>
      <c r="J2046" s="374" t="s">
        <v>5263</v>
      </c>
      <c r="K2046" s="177">
        <v>1.0</v>
      </c>
      <c r="L2046" s="174">
        <v>3.874811429E9</v>
      </c>
      <c r="M2046" s="387"/>
      <c r="N2046" s="209"/>
      <c r="O2046" s="209"/>
      <c r="P2046" s="209"/>
      <c r="Q2046" s="209"/>
      <c r="R2046" s="209"/>
      <c r="S2046" s="367"/>
      <c r="T2046" s="276"/>
      <c r="U2046" s="276"/>
      <c r="V2046" s="276"/>
      <c r="W2046" s="276"/>
      <c r="X2046" s="276"/>
      <c r="Y2046" s="276"/>
      <c r="Z2046" s="276"/>
      <c r="AA2046" s="276"/>
      <c r="AB2046" s="276"/>
      <c r="AC2046" s="276"/>
    </row>
    <row r="2047">
      <c r="A2047" s="108" t="s">
        <v>13077</v>
      </c>
      <c r="B2047" s="173">
        <v>46176.0</v>
      </c>
      <c r="C2047" s="374">
        <v>8.07000036351E11</v>
      </c>
      <c r="D2047" s="374" t="s">
        <v>13075</v>
      </c>
      <c r="E2047" s="374" t="s">
        <v>13076</v>
      </c>
      <c r="F2047" s="177" t="s">
        <v>13050</v>
      </c>
      <c r="G2047" s="177" t="s">
        <v>127</v>
      </c>
      <c r="H2047" s="177">
        <v>4400.0</v>
      </c>
      <c r="I2047" s="176" t="s">
        <v>6216</v>
      </c>
      <c r="J2047" s="374" t="s">
        <v>6217</v>
      </c>
      <c r="K2047" s="177">
        <v>1.0</v>
      </c>
      <c r="L2047" s="174">
        <v>3.874811429E9</v>
      </c>
      <c r="M2047" s="387"/>
      <c r="N2047" s="206"/>
      <c r="O2047" s="206"/>
      <c r="P2047" s="206"/>
      <c r="Q2047" s="206"/>
      <c r="R2047" s="206"/>
      <c r="S2047" s="367"/>
      <c r="T2047" s="276"/>
      <c r="U2047" s="276"/>
      <c r="V2047" s="276"/>
      <c r="W2047" s="276"/>
      <c r="X2047" s="276"/>
      <c r="Y2047" s="276"/>
      <c r="Z2047" s="276"/>
      <c r="AA2047" s="276"/>
      <c r="AB2047" s="276"/>
      <c r="AC2047" s="276"/>
    </row>
    <row r="2048">
      <c r="A2048" s="108" t="s">
        <v>13078</v>
      </c>
      <c r="B2048" s="173">
        <v>46176.0</v>
      </c>
      <c r="C2048" s="374">
        <v>8.07000036371E11</v>
      </c>
      <c r="D2048" s="374" t="s">
        <v>13079</v>
      </c>
      <c r="E2048" s="374" t="s">
        <v>13080</v>
      </c>
      <c r="F2048" s="177" t="s">
        <v>13081</v>
      </c>
      <c r="G2048" s="177" t="s">
        <v>127</v>
      </c>
      <c r="H2048" s="177">
        <v>4400.0</v>
      </c>
      <c r="I2048" s="176" t="s">
        <v>110</v>
      </c>
      <c r="J2048" s="374" t="s">
        <v>3673</v>
      </c>
      <c r="K2048" s="177">
        <v>1.0</v>
      </c>
      <c r="L2048" s="174">
        <v>3.875760419E9</v>
      </c>
      <c r="M2048" s="387"/>
      <c r="N2048" s="480">
        <v>46176.0</v>
      </c>
      <c r="O2048" s="402" t="s">
        <v>9011</v>
      </c>
      <c r="P2048" s="534"/>
      <c r="Q2048" s="430" t="s">
        <v>14425</v>
      </c>
      <c r="R2048" s="432" t="s">
        <v>14426</v>
      </c>
      <c r="S2048" s="367"/>
      <c r="T2048" s="276"/>
      <c r="U2048" s="276"/>
      <c r="V2048" s="276"/>
      <c r="W2048" s="276"/>
      <c r="X2048" s="276"/>
      <c r="Y2048" s="276"/>
      <c r="Z2048" s="276"/>
      <c r="AA2048" s="276"/>
      <c r="AB2048" s="276"/>
      <c r="AC2048" s="276"/>
    </row>
    <row r="2049">
      <c r="A2049" s="108" t="s">
        <v>13078</v>
      </c>
      <c r="B2049" s="173">
        <v>46176.0</v>
      </c>
      <c r="C2049" s="374">
        <v>8.07000036372E11</v>
      </c>
      <c r="D2049" s="374" t="s">
        <v>13079</v>
      </c>
      <c r="E2049" s="374" t="s">
        <v>13080</v>
      </c>
      <c r="F2049" s="177" t="s">
        <v>13081</v>
      </c>
      <c r="G2049" s="177" t="s">
        <v>127</v>
      </c>
      <c r="H2049" s="177">
        <v>4400.0</v>
      </c>
      <c r="I2049" s="176" t="s">
        <v>6216</v>
      </c>
      <c r="J2049" s="374" t="s">
        <v>6217</v>
      </c>
      <c r="K2049" s="177">
        <v>1.0</v>
      </c>
      <c r="L2049" s="174">
        <v>3.875760419E9</v>
      </c>
      <c r="M2049" s="387"/>
      <c r="N2049" s="206"/>
      <c r="O2049" s="206"/>
      <c r="P2049" s="206"/>
      <c r="Q2049" s="206"/>
      <c r="R2049" s="206"/>
      <c r="S2049" s="367"/>
      <c r="T2049" s="276"/>
      <c r="U2049" s="276"/>
      <c r="V2049" s="276"/>
      <c r="W2049" s="276"/>
      <c r="X2049" s="276"/>
      <c r="Y2049" s="276"/>
      <c r="Z2049" s="276"/>
      <c r="AA2049" s="276"/>
      <c r="AB2049" s="276"/>
      <c r="AC2049" s="276"/>
    </row>
    <row r="2050">
      <c r="A2050" s="108" t="s">
        <v>13082</v>
      </c>
      <c r="B2050" s="173">
        <v>46176.0</v>
      </c>
      <c r="C2050" s="374">
        <v>8.07000036373E11</v>
      </c>
      <c r="D2050" s="374" t="s">
        <v>5151</v>
      </c>
      <c r="E2050" s="374" t="s">
        <v>5152</v>
      </c>
      <c r="F2050" s="177" t="s">
        <v>13083</v>
      </c>
      <c r="G2050" s="177" t="s">
        <v>13084</v>
      </c>
      <c r="H2050" s="177">
        <v>4400.0</v>
      </c>
      <c r="I2050" s="176" t="s">
        <v>3154</v>
      </c>
      <c r="J2050" s="374" t="s">
        <v>4564</v>
      </c>
      <c r="K2050" s="177">
        <v>1.0</v>
      </c>
      <c r="L2050" s="174">
        <v>3.874031142E9</v>
      </c>
      <c r="M2050" s="387"/>
      <c r="N2050" s="481">
        <v>46180.0</v>
      </c>
      <c r="O2050" s="531" t="s">
        <v>9011</v>
      </c>
      <c r="P2050" s="387"/>
      <c r="Q2050" s="261" t="s">
        <v>14427</v>
      </c>
      <c r="R2050" s="434" t="s">
        <v>14428</v>
      </c>
      <c r="S2050" s="367"/>
      <c r="T2050" s="276"/>
      <c r="U2050" s="276"/>
      <c r="V2050" s="276"/>
      <c r="W2050" s="276"/>
      <c r="X2050" s="276"/>
      <c r="Y2050" s="276"/>
      <c r="Z2050" s="276"/>
      <c r="AA2050" s="276"/>
      <c r="AB2050" s="276"/>
      <c r="AC2050" s="276"/>
    </row>
    <row r="2051">
      <c r="A2051" s="108" t="s">
        <v>13085</v>
      </c>
      <c r="B2051" s="173">
        <v>46176.0</v>
      </c>
      <c r="C2051" s="374">
        <v>8.07000036381E11</v>
      </c>
      <c r="D2051" s="374" t="s">
        <v>13086</v>
      </c>
      <c r="E2051" s="374" t="s">
        <v>13087</v>
      </c>
      <c r="F2051" s="177" t="s">
        <v>13088</v>
      </c>
      <c r="G2051" s="177" t="s">
        <v>127</v>
      </c>
      <c r="H2051" s="177">
        <v>4400.0</v>
      </c>
      <c r="I2051" s="176" t="s">
        <v>3131</v>
      </c>
      <c r="J2051" s="374" t="s">
        <v>3416</v>
      </c>
      <c r="K2051" s="177">
        <v>1.0</v>
      </c>
      <c r="L2051" s="174">
        <v>3.87482579E9</v>
      </c>
      <c r="M2051" s="387"/>
      <c r="N2051" s="481">
        <v>46176.0</v>
      </c>
      <c r="O2051" s="531" t="s">
        <v>9011</v>
      </c>
      <c r="P2051" s="387"/>
      <c r="Q2051" s="261" t="s">
        <v>14429</v>
      </c>
      <c r="R2051" s="434" t="s">
        <v>14430</v>
      </c>
      <c r="S2051" s="367"/>
      <c r="T2051" s="276"/>
      <c r="U2051" s="276"/>
      <c r="V2051" s="276"/>
      <c r="W2051" s="276"/>
      <c r="X2051" s="276"/>
      <c r="Y2051" s="276"/>
      <c r="Z2051" s="276"/>
      <c r="AA2051" s="276"/>
      <c r="AB2051" s="276"/>
      <c r="AC2051" s="276"/>
    </row>
    <row r="2052">
      <c r="A2052" s="108" t="s">
        <v>13089</v>
      </c>
      <c r="B2052" s="173">
        <v>46176.0</v>
      </c>
      <c r="C2052" s="374">
        <v>8.07000036387E11</v>
      </c>
      <c r="D2052" s="374" t="s">
        <v>13090</v>
      </c>
      <c r="E2052" s="374" t="s">
        <v>13091</v>
      </c>
      <c r="F2052" s="177" t="s">
        <v>13092</v>
      </c>
      <c r="G2052" s="177" t="s">
        <v>127</v>
      </c>
      <c r="H2052" s="177">
        <v>4400.0</v>
      </c>
      <c r="I2052" s="176" t="s">
        <v>3692</v>
      </c>
      <c r="J2052" s="374" t="s">
        <v>3693</v>
      </c>
      <c r="K2052" s="177">
        <v>1.0</v>
      </c>
      <c r="L2052" s="174">
        <v>3.875852313E9</v>
      </c>
      <c r="M2052" s="387"/>
      <c r="N2052" s="481">
        <v>46177.0</v>
      </c>
      <c r="O2052" s="531" t="s">
        <v>9011</v>
      </c>
      <c r="P2052" s="387"/>
      <c r="Q2052" s="261" t="s">
        <v>14431</v>
      </c>
      <c r="R2052" s="434" t="s">
        <v>14432</v>
      </c>
      <c r="S2052" s="367"/>
      <c r="T2052" s="276"/>
      <c r="U2052" s="276"/>
      <c r="V2052" s="276"/>
      <c r="W2052" s="276"/>
      <c r="X2052" s="276"/>
      <c r="Y2052" s="276"/>
      <c r="Z2052" s="276"/>
      <c r="AA2052" s="276"/>
      <c r="AB2052" s="276"/>
      <c r="AC2052" s="276"/>
    </row>
    <row r="2053">
      <c r="A2053" s="108" t="s">
        <v>13093</v>
      </c>
      <c r="B2053" s="173">
        <v>46176.0</v>
      </c>
      <c r="C2053" s="374">
        <v>8.07000036388E11</v>
      </c>
      <c r="D2053" s="374" t="s">
        <v>13094</v>
      </c>
      <c r="E2053" s="374" t="s">
        <v>13095</v>
      </c>
      <c r="F2053" s="177" t="s">
        <v>13096</v>
      </c>
      <c r="G2053" s="177" t="s">
        <v>2907</v>
      </c>
      <c r="H2053" s="177">
        <v>4400.0</v>
      </c>
      <c r="I2053" s="176" t="s">
        <v>6216</v>
      </c>
      <c r="J2053" s="374" t="s">
        <v>6217</v>
      </c>
      <c r="K2053" s="177">
        <v>1.0</v>
      </c>
      <c r="L2053" s="174">
        <v>3.51264085E9</v>
      </c>
      <c r="M2053" s="387"/>
      <c r="N2053" s="481">
        <v>46177.0</v>
      </c>
      <c r="O2053" s="531" t="s">
        <v>9011</v>
      </c>
      <c r="P2053" s="387"/>
      <c r="Q2053" s="261" t="s">
        <v>14184</v>
      </c>
      <c r="R2053" s="434" t="s">
        <v>14433</v>
      </c>
      <c r="S2053" s="367"/>
      <c r="T2053" s="276"/>
      <c r="U2053" s="276"/>
      <c r="V2053" s="276"/>
      <c r="W2053" s="276"/>
      <c r="X2053" s="276"/>
      <c r="Y2053" s="276"/>
      <c r="Z2053" s="276"/>
      <c r="AA2053" s="276"/>
      <c r="AB2053" s="276"/>
      <c r="AC2053" s="276"/>
    </row>
    <row r="2054">
      <c r="A2054" s="108" t="s">
        <v>13097</v>
      </c>
      <c r="B2054" s="173">
        <v>46176.0</v>
      </c>
      <c r="C2054" s="374">
        <v>8.07000036405E11</v>
      </c>
      <c r="D2054" s="374" t="s">
        <v>13071</v>
      </c>
      <c r="E2054" s="374" t="s">
        <v>13072</v>
      </c>
      <c r="F2054" s="177" t="s">
        <v>13073</v>
      </c>
      <c r="G2054" s="177" t="s">
        <v>127</v>
      </c>
      <c r="H2054" s="177">
        <v>4400.0</v>
      </c>
      <c r="I2054" s="176" t="s">
        <v>4070</v>
      </c>
      <c r="J2054" s="374" t="s">
        <v>6264</v>
      </c>
      <c r="K2054" s="177">
        <v>1.0</v>
      </c>
      <c r="L2054" s="174">
        <v>3.872159859E9</v>
      </c>
      <c r="M2054" s="387"/>
      <c r="N2054" s="481">
        <v>46178.0</v>
      </c>
      <c r="O2054" s="531" t="s">
        <v>9011</v>
      </c>
      <c r="P2054" s="387"/>
      <c r="Q2054" s="261" t="s">
        <v>14422</v>
      </c>
      <c r="R2054" s="434" t="s">
        <v>14434</v>
      </c>
      <c r="S2054" s="367"/>
      <c r="T2054" s="276"/>
      <c r="U2054" s="276"/>
      <c r="V2054" s="276"/>
      <c r="W2054" s="276"/>
      <c r="X2054" s="276"/>
      <c r="Y2054" s="276"/>
      <c r="Z2054" s="276"/>
      <c r="AA2054" s="276"/>
      <c r="AB2054" s="276"/>
      <c r="AC2054" s="276"/>
    </row>
    <row r="2055">
      <c r="A2055" s="108" t="s">
        <v>13098</v>
      </c>
      <c r="B2055" s="173">
        <v>46176.0</v>
      </c>
      <c r="C2055" s="374">
        <v>8.07000036413E11</v>
      </c>
      <c r="D2055" s="374" t="s">
        <v>13099</v>
      </c>
      <c r="E2055" s="374" t="s">
        <v>13100</v>
      </c>
      <c r="F2055" s="177" t="s">
        <v>13101</v>
      </c>
      <c r="G2055" s="177" t="s">
        <v>127</v>
      </c>
      <c r="H2055" s="177">
        <v>4400.0</v>
      </c>
      <c r="I2055" s="176">
        <v>125802.0</v>
      </c>
      <c r="J2055" s="374" t="s">
        <v>7943</v>
      </c>
      <c r="K2055" s="177">
        <v>2.0</v>
      </c>
      <c r="L2055" s="174">
        <v>3.874086992E9</v>
      </c>
      <c r="M2055" s="387"/>
      <c r="N2055" s="480">
        <v>46178.0</v>
      </c>
      <c r="O2055" s="402" t="s">
        <v>9011</v>
      </c>
      <c r="P2055" s="534"/>
      <c r="Q2055" s="430" t="s">
        <v>14396</v>
      </c>
      <c r="R2055" s="432" t="s">
        <v>14435</v>
      </c>
      <c r="S2055" s="367"/>
      <c r="T2055" s="276"/>
      <c r="U2055" s="276"/>
      <c r="V2055" s="276"/>
      <c r="W2055" s="276"/>
      <c r="X2055" s="276"/>
      <c r="Y2055" s="276"/>
      <c r="Z2055" s="276"/>
      <c r="AA2055" s="276"/>
      <c r="AB2055" s="276"/>
      <c r="AC2055" s="276"/>
    </row>
    <row r="2056">
      <c r="A2056" s="108" t="s">
        <v>13102</v>
      </c>
      <c r="B2056" s="173">
        <v>46176.0</v>
      </c>
      <c r="C2056" s="374">
        <v>8.07000036413E11</v>
      </c>
      <c r="D2056" s="374" t="s">
        <v>13099</v>
      </c>
      <c r="E2056" s="374" t="s">
        <v>13100</v>
      </c>
      <c r="F2056" s="177" t="s">
        <v>13101</v>
      </c>
      <c r="G2056" s="177" t="s">
        <v>127</v>
      </c>
      <c r="H2056" s="177">
        <v>4400.0</v>
      </c>
      <c r="I2056" s="176" t="s">
        <v>512</v>
      </c>
      <c r="J2056" s="374" t="s">
        <v>513</v>
      </c>
      <c r="K2056" s="177">
        <v>12.0</v>
      </c>
      <c r="L2056" s="174">
        <v>3.874086992E9</v>
      </c>
      <c r="M2056" s="387"/>
      <c r="N2056" s="209"/>
      <c r="O2056" s="209"/>
      <c r="P2056" s="209"/>
      <c r="Q2056" s="209"/>
      <c r="R2056" s="209"/>
      <c r="S2056" s="367"/>
      <c r="T2056" s="276"/>
      <c r="U2056" s="276"/>
      <c r="V2056" s="276"/>
      <c r="W2056" s="276"/>
      <c r="X2056" s="276"/>
      <c r="Y2056" s="276"/>
      <c r="Z2056" s="276"/>
      <c r="AA2056" s="276"/>
      <c r="AB2056" s="276"/>
      <c r="AC2056" s="276"/>
    </row>
    <row r="2057">
      <c r="A2057" s="108" t="s">
        <v>13102</v>
      </c>
      <c r="B2057" s="173">
        <v>46176.0</v>
      </c>
      <c r="C2057" s="374">
        <v>8.07000036414E11</v>
      </c>
      <c r="D2057" s="374" t="s">
        <v>13099</v>
      </c>
      <c r="E2057" s="374" t="s">
        <v>13100</v>
      </c>
      <c r="F2057" s="177" t="s">
        <v>13101</v>
      </c>
      <c r="G2057" s="177" t="s">
        <v>127</v>
      </c>
      <c r="H2057" s="177">
        <v>4400.0</v>
      </c>
      <c r="I2057" s="176" t="s">
        <v>761</v>
      </c>
      <c r="J2057" s="374" t="s">
        <v>3761</v>
      </c>
      <c r="K2057" s="177">
        <v>1.0</v>
      </c>
      <c r="L2057" s="174">
        <v>3.874086992E9</v>
      </c>
      <c r="M2057" s="387"/>
      <c r="N2057" s="209"/>
      <c r="O2057" s="209"/>
      <c r="P2057" s="209"/>
      <c r="Q2057" s="209"/>
      <c r="R2057" s="209"/>
      <c r="S2057" s="367"/>
      <c r="T2057" s="276"/>
      <c r="U2057" s="276"/>
      <c r="V2057" s="276"/>
      <c r="W2057" s="276"/>
      <c r="X2057" s="276"/>
      <c r="Y2057" s="276"/>
      <c r="Z2057" s="276"/>
      <c r="AA2057" s="276"/>
      <c r="AB2057" s="276"/>
      <c r="AC2057" s="276"/>
    </row>
    <row r="2058">
      <c r="A2058" s="108" t="s">
        <v>13102</v>
      </c>
      <c r="B2058" s="173">
        <v>46176.0</v>
      </c>
      <c r="C2058" s="374">
        <v>8.07000036414E11</v>
      </c>
      <c r="D2058" s="374" t="s">
        <v>13099</v>
      </c>
      <c r="E2058" s="374" t="s">
        <v>13100</v>
      </c>
      <c r="F2058" s="177" t="s">
        <v>13101</v>
      </c>
      <c r="G2058" s="177" t="s">
        <v>127</v>
      </c>
      <c r="H2058" s="177">
        <v>4400.0</v>
      </c>
      <c r="I2058" s="176" t="s">
        <v>758</v>
      </c>
      <c r="J2058" s="374" t="s">
        <v>3574</v>
      </c>
      <c r="K2058" s="177">
        <v>2.0</v>
      </c>
      <c r="L2058" s="174">
        <v>3.874086992E9</v>
      </c>
      <c r="M2058" s="387"/>
      <c r="N2058" s="206"/>
      <c r="O2058" s="206"/>
      <c r="P2058" s="206"/>
      <c r="Q2058" s="206"/>
      <c r="R2058" s="206"/>
      <c r="S2058" s="367"/>
      <c r="T2058" s="276"/>
      <c r="U2058" s="276"/>
      <c r="V2058" s="276"/>
      <c r="W2058" s="276"/>
      <c r="X2058" s="276"/>
      <c r="Y2058" s="276"/>
      <c r="Z2058" s="276"/>
      <c r="AA2058" s="276"/>
      <c r="AB2058" s="276"/>
      <c r="AC2058" s="276"/>
    </row>
    <row r="2059">
      <c r="A2059" s="108" t="s">
        <v>13103</v>
      </c>
      <c r="B2059" s="173">
        <v>46176.0</v>
      </c>
      <c r="C2059" s="374">
        <v>8.07000036418E11</v>
      </c>
      <c r="D2059" s="374" t="s">
        <v>13104</v>
      </c>
      <c r="E2059" s="374" t="s">
        <v>13105</v>
      </c>
      <c r="F2059" s="177" t="s">
        <v>13106</v>
      </c>
      <c r="G2059" s="177" t="s">
        <v>58</v>
      </c>
      <c r="H2059" s="177">
        <v>4400.0</v>
      </c>
      <c r="I2059" s="176" t="s">
        <v>7955</v>
      </c>
      <c r="J2059" s="374" t="s">
        <v>7956</v>
      </c>
      <c r="K2059" s="177">
        <v>1.0</v>
      </c>
      <c r="L2059" s="174">
        <v>3.874641501E9</v>
      </c>
      <c r="M2059" s="387"/>
      <c r="N2059" s="480">
        <v>46178.0</v>
      </c>
      <c r="O2059" s="402" t="s">
        <v>9011</v>
      </c>
      <c r="P2059" s="534"/>
      <c r="Q2059" s="430" t="s">
        <v>14436</v>
      </c>
      <c r="R2059" s="432" t="s">
        <v>14437</v>
      </c>
      <c r="S2059" s="367"/>
      <c r="T2059" s="276"/>
      <c r="U2059" s="276"/>
      <c r="V2059" s="276"/>
      <c r="W2059" s="276"/>
      <c r="X2059" s="276"/>
      <c r="Y2059" s="276"/>
      <c r="Z2059" s="276"/>
      <c r="AA2059" s="276"/>
      <c r="AB2059" s="276"/>
      <c r="AC2059" s="276"/>
    </row>
    <row r="2060">
      <c r="A2060" s="108" t="s">
        <v>13103</v>
      </c>
      <c r="B2060" s="173">
        <v>46176.0</v>
      </c>
      <c r="C2060" s="374">
        <v>8.07000036419E11</v>
      </c>
      <c r="D2060" s="374" t="s">
        <v>13104</v>
      </c>
      <c r="E2060" s="374" t="s">
        <v>13105</v>
      </c>
      <c r="F2060" s="177" t="s">
        <v>13106</v>
      </c>
      <c r="G2060" s="177" t="s">
        <v>58</v>
      </c>
      <c r="H2060" s="177">
        <v>4400.0</v>
      </c>
      <c r="I2060" s="176" t="s">
        <v>4695</v>
      </c>
      <c r="J2060" s="374" t="s">
        <v>4696</v>
      </c>
      <c r="K2060" s="177">
        <v>1.0</v>
      </c>
      <c r="L2060" s="174">
        <v>3.874641501E9</v>
      </c>
      <c r="M2060" s="387"/>
      <c r="N2060" s="206"/>
      <c r="O2060" s="206"/>
      <c r="P2060" s="206"/>
      <c r="Q2060" s="206"/>
      <c r="R2060" s="206"/>
      <c r="S2060" s="367"/>
      <c r="T2060" s="276"/>
      <c r="U2060" s="276"/>
      <c r="V2060" s="276"/>
      <c r="W2060" s="276"/>
      <c r="X2060" s="276"/>
      <c r="Y2060" s="276"/>
      <c r="Z2060" s="276"/>
      <c r="AA2060" s="276"/>
      <c r="AB2060" s="276"/>
      <c r="AC2060" s="276"/>
    </row>
    <row r="2061">
      <c r="A2061" s="108" t="s">
        <v>13107</v>
      </c>
      <c r="B2061" s="173">
        <v>46176.0</v>
      </c>
      <c r="C2061" s="374">
        <v>8.05011578538E11</v>
      </c>
      <c r="D2061" s="374" t="s">
        <v>13108</v>
      </c>
      <c r="E2061" s="374" t="s">
        <v>13109</v>
      </c>
      <c r="F2061" s="177" t="s">
        <v>13110</v>
      </c>
      <c r="G2061" s="177" t="s">
        <v>247</v>
      </c>
      <c r="H2061" s="177">
        <v>4400.0</v>
      </c>
      <c r="I2061" s="176" t="s">
        <v>32</v>
      </c>
      <c r="J2061" s="374" t="s">
        <v>3225</v>
      </c>
      <c r="K2061" s="177">
        <v>1.0</v>
      </c>
      <c r="L2061" s="174">
        <v>3.875745095E9</v>
      </c>
      <c r="M2061" s="387"/>
      <c r="N2061" s="480">
        <v>46178.0</v>
      </c>
      <c r="O2061" s="402" t="s">
        <v>9011</v>
      </c>
      <c r="P2061" s="534"/>
      <c r="Q2061" s="430" t="s">
        <v>14184</v>
      </c>
      <c r="R2061" s="432" t="s">
        <v>14438</v>
      </c>
      <c r="S2061" s="367"/>
      <c r="T2061" s="276"/>
      <c r="U2061" s="276"/>
      <c r="V2061" s="276"/>
      <c r="W2061" s="276"/>
      <c r="X2061" s="276"/>
      <c r="Y2061" s="276"/>
      <c r="Z2061" s="276"/>
      <c r="AA2061" s="276"/>
      <c r="AB2061" s="276"/>
      <c r="AC2061" s="276"/>
    </row>
    <row r="2062">
      <c r="A2062" s="108" t="s">
        <v>13107</v>
      </c>
      <c r="B2062" s="173">
        <v>46176.0</v>
      </c>
      <c r="C2062" s="374">
        <v>8.05011578538E11</v>
      </c>
      <c r="D2062" s="374" t="s">
        <v>13108</v>
      </c>
      <c r="E2062" s="374" t="s">
        <v>13109</v>
      </c>
      <c r="F2062" s="177" t="s">
        <v>13110</v>
      </c>
      <c r="G2062" s="177" t="s">
        <v>247</v>
      </c>
      <c r="H2062" s="177">
        <v>4400.0</v>
      </c>
      <c r="I2062" s="176" t="s">
        <v>512</v>
      </c>
      <c r="J2062" s="374" t="s">
        <v>513</v>
      </c>
      <c r="K2062" s="177">
        <v>6.0</v>
      </c>
      <c r="L2062" s="174">
        <v>3.875745095E9</v>
      </c>
      <c r="M2062" s="387"/>
      <c r="N2062" s="209"/>
      <c r="O2062" s="209"/>
      <c r="P2062" s="209"/>
      <c r="Q2062" s="209"/>
      <c r="R2062" s="209"/>
      <c r="S2062" s="367"/>
      <c r="T2062" s="276"/>
      <c r="U2062" s="276"/>
      <c r="V2062" s="276"/>
      <c r="W2062" s="276"/>
      <c r="X2062" s="276"/>
      <c r="Y2062" s="276"/>
      <c r="Z2062" s="276"/>
      <c r="AA2062" s="276"/>
      <c r="AB2062" s="276"/>
      <c r="AC2062" s="276"/>
    </row>
    <row r="2063">
      <c r="A2063" s="108" t="s">
        <v>13107</v>
      </c>
      <c r="B2063" s="173">
        <v>46176.0</v>
      </c>
      <c r="C2063" s="374">
        <v>8.05011578538E11</v>
      </c>
      <c r="D2063" s="374" t="s">
        <v>13108</v>
      </c>
      <c r="E2063" s="374" t="s">
        <v>13109</v>
      </c>
      <c r="F2063" s="177" t="s">
        <v>13110</v>
      </c>
      <c r="G2063" s="177" t="s">
        <v>247</v>
      </c>
      <c r="H2063" s="177">
        <v>4400.0</v>
      </c>
      <c r="I2063" s="176" t="s">
        <v>670</v>
      </c>
      <c r="J2063" s="374" t="s">
        <v>3410</v>
      </c>
      <c r="K2063" s="177">
        <v>1.0</v>
      </c>
      <c r="L2063" s="174">
        <v>3.875745095E9</v>
      </c>
      <c r="M2063" s="387"/>
      <c r="N2063" s="206"/>
      <c r="O2063" s="206"/>
      <c r="P2063" s="206"/>
      <c r="Q2063" s="206"/>
      <c r="R2063" s="206"/>
      <c r="S2063" s="367"/>
      <c r="T2063" s="276"/>
      <c r="U2063" s="276"/>
      <c r="V2063" s="276"/>
      <c r="W2063" s="276"/>
      <c r="X2063" s="276"/>
      <c r="Y2063" s="276"/>
      <c r="Z2063" s="276"/>
      <c r="AA2063" s="276"/>
      <c r="AB2063" s="276"/>
      <c r="AC2063" s="276"/>
    </row>
    <row r="2064">
      <c r="A2064" s="671"/>
      <c r="B2064" s="672"/>
      <c r="C2064" s="673"/>
      <c r="D2064" s="673"/>
      <c r="E2064" s="673"/>
      <c r="F2064" s="674"/>
      <c r="G2064" s="674"/>
      <c r="H2064" s="674"/>
      <c r="I2064" s="675"/>
      <c r="J2064" s="673"/>
      <c r="K2064" s="674"/>
      <c r="L2064" s="676"/>
      <c r="M2064" s="387"/>
      <c r="N2064" s="481"/>
      <c r="O2064" s="531"/>
      <c r="P2064" s="387"/>
      <c r="Q2064" s="261"/>
      <c r="R2064" s="449"/>
      <c r="S2064" s="367"/>
      <c r="T2064" s="276"/>
      <c r="U2064" s="276"/>
      <c r="V2064" s="276"/>
      <c r="W2064" s="276"/>
      <c r="X2064" s="276"/>
      <c r="Y2064" s="276"/>
      <c r="Z2064" s="276"/>
      <c r="AA2064" s="276"/>
      <c r="AB2064" s="276"/>
      <c r="AC2064" s="276"/>
    </row>
    <row r="2065">
      <c r="A2065" s="108" t="s">
        <v>13111</v>
      </c>
      <c r="B2065" s="173">
        <v>46179.0</v>
      </c>
      <c r="C2065" s="374">
        <v>8.07000036422E11</v>
      </c>
      <c r="D2065" s="374" t="s">
        <v>13112</v>
      </c>
      <c r="E2065" s="374" t="s">
        <v>11110</v>
      </c>
      <c r="F2065" s="177" t="s">
        <v>11111</v>
      </c>
      <c r="G2065" s="177" t="s">
        <v>127</v>
      </c>
      <c r="H2065" s="177">
        <v>4400.0</v>
      </c>
      <c r="I2065" s="176" t="s">
        <v>6119</v>
      </c>
      <c r="J2065" s="374" t="s">
        <v>6120</v>
      </c>
      <c r="K2065" s="177">
        <v>1.0</v>
      </c>
      <c r="L2065" s="174">
        <v>3.876055847E9</v>
      </c>
      <c r="M2065" s="387"/>
      <c r="N2065" s="480">
        <v>46179.0</v>
      </c>
      <c r="O2065" s="402" t="s">
        <v>9011</v>
      </c>
      <c r="P2065" s="534"/>
      <c r="Q2065" s="430" t="s">
        <v>14184</v>
      </c>
      <c r="R2065" s="432" t="s">
        <v>14439</v>
      </c>
      <c r="S2065" s="367"/>
      <c r="T2065" s="276"/>
      <c r="U2065" s="276"/>
      <c r="V2065" s="276"/>
      <c r="W2065" s="276"/>
      <c r="X2065" s="276"/>
      <c r="Y2065" s="276"/>
      <c r="Z2065" s="276"/>
      <c r="AA2065" s="276"/>
      <c r="AB2065" s="276"/>
      <c r="AC2065" s="276"/>
    </row>
    <row r="2066">
      <c r="A2066" s="108" t="s">
        <v>13111</v>
      </c>
      <c r="B2066" s="173">
        <v>46179.0</v>
      </c>
      <c r="C2066" s="374">
        <v>8.07000036422E11</v>
      </c>
      <c r="D2066" s="374" t="s">
        <v>13112</v>
      </c>
      <c r="E2066" s="374" t="s">
        <v>11110</v>
      </c>
      <c r="F2066" s="177" t="s">
        <v>11111</v>
      </c>
      <c r="G2066" s="177" t="s">
        <v>127</v>
      </c>
      <c r="H2066" s="177">
        <v>4400.0</v>
      </c>
      <c r="I2066" s="176" t="s">
        <v>512</v>
      </c>
      <c r="J2066" s="374" t="s">
        <v>513</v>
      </c>
      <c r="K2066" s="177">
        <v>12.0</v>
      </c>
      <c r="L2066" s="174">
        <v>3.876055847E9</v>
      </c>
      <c r="M2066" s="387"/>
      <c r="N2066" s="209"/>
      <c r="O2066" s="209"/>
      <c r="P2066" s="209"/>
      <c r="Q2066" s="209"/>
      <c r="R2066" s="209"/>
      <c r="S2066" s="367"/>
      <c r="T2066" s="276"/>
      <c r="U2066" s="276"/>
      <c r="V2066" s="276"/>
      <c r="W2066" s="276"/>
      <c r="X2066" s="276"/>
      <c r="Y2066" s="276"/>
      <c r="Z2066" s="276"/>
      <c r="AA2066" s="276"/>
      <c r="AB2066" s="276"/>
      <c r="AC2066" s="276"/>
    </row>
    <row r="2067">
      <c r="A2067" s="108" t="s">
        <v>13111</v>
      </c>
      <c r="B2067" s="173">
        <v>46179.0</v>
      </c>
      <c r="C2067" s="374">
        <v>8.07000036422E11</v>
      </c>
      <c r="D2067" s="374" t="s">
        <v>13112</v>
      </c>
      <c r="E2067" s="374" t="s">
        <v>11110</v>
      </c>
      <c r="F2067" s="177" t="s">
        <v>11111</v>
      </c>
      <c r="G2067" s="177" t="s">
        <v>127</v>
      </c>
      <c r="H2067" s="177">
        <v>4400.0</v>
      </c>
      <c r="I2067" s="176" t="s">
        <v>772</v>
      </c>
      <c r="J2067" s="374" t="s">
        <v>3363</v>
      </c>
      <c r="K2067" s="177">
        <v>2.0</v>
      </c>
      <c r="L2067" s="174">
        <v>3.876055847E9</v>
      </c>
      <c r="M2067" s="387"/>
      <c r="N2067" s="209"/>
      <c r="O2067" s="209"/>
      <c r="P2067" s="209"/>
      <c r="Q2067" s="209"/>
      <c r="R2067" s="209"/>
      <c r="S2067" s="367"/>
      <c r="T2067" s="276"/>
      <c r="U2067" s="276"/>
      <c r="V2067" s="276"/>
      <c r="W2067" s="276"/>
      <c r="X2067" s="276"/>
      <c r="Y2067" s="276"/>
      <c r="Z2067" s="276"/>
      <c r="AA2067" s="276"/>
      <c r="AB2067" s="276"/>
      <c r="AC2067" s="276"/>
    </row>
    <row r="2068">
      <c r="A2068" s="108" t="s">
        <v>13111</v>
      </c>
      <c r="B2068" s="173">
        <v>46179.0</v>
      </c>
      <c r="C2068" s="374">
        <v>5.310000007E10</v>
      </c>
      <c r="D2068" s="374" t="s">
        <v>13112</v>
      </c>
      <c r="E2068" s="374" t="s">
        <v>11110</v>
      </c>
      <c r="F2068" s="177" t="s">
        <v>11111</v>
      </c>
      <c r="G2068" s="177" t="s">
        <v>127</v>
      </c>
      <c r="H2068" s="177">
        <v>4400.0</v>
      </c>
      <c r="I2068" s="176" t="s">
        <v>4070</v>
      </c>
      <c r="J2068" s="374" t="s">
        <v>6264</v>
      </c>
      <c r="K2068" s="177">
        <v>1.0</v>
      </c>
      <c r="L2068" s="174">
        <v>3.876055847E9</v>
      </c>
      <c r="M2068" s="387"/>
      <c r="N2068" s="206"/>
      <c r="O2068" s="206"/>
      <c r="P2068" s="206"/>
      <c r="Q2068" s="206"/>
      <c r="R2068" s="206"/>
      <c r="S2068" s="367"/>
      <c r="T2068" s="276"/>
      <c r="U2068" s="276"/>
      <c r="V2068" s="276"/>
      <c r="W2068" s="276"/>
      <c r="X2068" s="276"/>
      <c r="Y2068" s="276"/>
      <c r="Z2068" s="276"/>
      <c r="AA2068" s="276"/>
      <c r="AB2068" s="276"/>
      <c r="AC2068" s="276"/>
    </row>
    <row r="2069">
      <c r="A2069" s="108" t="s">
        <v>13113</v>
      </c>
      <c r="B2069" s="173">
        <v>46179.0</v>
      </c>
      <c r="C2069" s="374">
        <v>8.07000036425E11</v>
      </c>
      <c r="D2069" s="374" t="s">
        <v>13114</v>
      </c>
      <c r="E2069" s="374" t="s">
        <v>13115</v>
      </c>
      <c r="F2069" s="177" t="s">
        <v>13116</v>
      </c>
      <c r="G2069" s="177" t="s">
        <v>127</v>
      </c>
      <c r="H2069" s="177">
        <v>4400.0</v>
      </c>
      <c r="I2069" s="176" t="s">
        <v>1435</v>
      </c>
      <c r="J2069" s="374" t="s">
        <v>1436</v>
      </c>
      <c r="K2069" s="177">
        <v>1.0</v>
      </c>
      <c r="L2069" s="174">
        <v>3.872132847E9</v>
      </c>
      <c r="M2069" s="387"/>
      <c r="N2069" s="480">
        <v>46179.0</v>
      </c>
      <c r="O2069" s="402" t="s">
        <v>9011</v>
      </c>
      <c r="P2069" s="534"/>
      <c r="Q2069" s="430" t="s">
        <v>14440</v>
      </c>
      <c r="R2069" s="432" t="s">
        <v>14441</v>
      </c>
      <c r="S2069" s="367"/>
      <c r="T2069" s="276"/>
      <c r="U2069" s="276"/>
      <c r="V2069" s="276"/>
      <c r="W2069" s="276"/>
      <c r="X2069" s="276"/>
      <c r="Y2069" s="276"/>
      <c r="Z2069" s="276"/>
      <c r="AA2069" s="276"/>
      <c r="AB2069" s="276"/>
      <c r="AC2069" s="276"/>
    </row>
    <row r="2070">
      <c r="A2070" s="108" t="s">
        <v>13117</v>
      </c>
      <c r="B2070" s="173">
        <v>46179.0</v>
      </c>
      <c r="C2070" s="374">
        <v>8.07000036426E11</v>
      </c>
      <c r="D2070" s="374" t="s">
        <v>13114</v>
      </c>
      <c r="E2070" s="374" t="s">
        <v>13115</v>
      </c>
      <c r="F2070" s="177" t="s">
        <v>13116</v>
      </c>
      <c r="G2070" s="177" t="s">
        <v>127</v>
      </c>
      <c r="H2070" s="177">
        <v>4400.0</v>
      </c>
      <c r="I2070" s="176" t="s">
        <v>32</v>
      </c>
      <c r="J2070" s="374" t="s">
        <v>3225</v>
      </c>
      <c r="K2070" s="177">
        <v>1.0</v>
      </c>
      <c r="L2070" s="174">
        <v>3.872132847E9</v>
      </c>
      <c r="M2070" s="387"/>
      <c r="N2070" s="206"/>
      <c r="O2070" s="206"/>
      <c r="P2070" s="206"/>
      <c r="Q2070" s="206"/>
      <c r="R2070" s="206"/>
      <c r="S2070" s="367"/>
      <c r="T2070" s="276"/>
      <c r="U2070" s="276"/>
      <c r="V2070" s="276"/>
      <c r="W2070" s="276"/>
      <c r="X2070" s="276"/>
      <c r="Y2070" s="276"/>
      <c r="Z2070" s="276"/>
      <c r="AA2070" s="276"/>
      <c r="AB2070" s="276"/>
      <c r="AC2070" s="276"/>
    </row>
    <row r="2071">
      <c r="A2071" s="108" t="s">
        <v>13118</v>
      </c>
      <c r="B2071" s="173">
        <v>46179.0</v>
      </c>
      <c r="C2071" s="374">
        <v>8.07000036438E11</v>
      </c>
      <c r="D2071" s="374" t="s">
        <v>13119</v>
      </c>
      <c r="E2071" s="374" t="s">
        <v>13120</v>
      </c>
      <c r="F2071" s="177" t="s">
        <v>13121</v>
      </c>
      <c r="G2071" s="177" t="s">
        <v>127</v>
      </c>
      <c r="H2071" s="177">
        <v>4400.0</v>
      </c>
      <c r="I2071" s="176" t="s">
        <v>5817</v>
      </c>
      <c r="J2071" s="374" t="s">
        <v>5417</v>
      </c>
      <c r="K2071" s="177">
        <v>1.0</v>
      </c>
      <c r="L2071" s="174">
        <v>3.876124044E9</v>
      </c>
      <c r="M2071" s="387"/>
      <c r="N2071" s="480">
        <v>46179.0</v>
      </c>
      <c r="O2071" s="402" t="s">
        <v>9011</v>
      </c>
      <c r="P2071" s="534"/>
      <c r="Q2071" s="430" t="s">
        <v>14184</v>
      </c>
      <c r="R2071" s="432" t="s">
        <v>14442</v>
      </c>
      <c r="S2071" s="367"/>
      <c r="T2071" s="276"/>
      <c r="U2071" s="276"/>
      <c r="V2071" s="276"/>
      <c r="W2071" s="276"/>
      <c r="X2071" s="276"/>
      <c r="Y2071" s="276"/>
      <c r="Z2071" s="276"/>
      <c r="AA2071" s="276"/>
      <c r="AB2071" s="276"/>
      <c r="AC2071" s="276"/>
    </row>
    <row r="2072">
      <c r="A2072" s="108" t="s">
        <v>13118</v>
      </c>
      <c r="B2072" s="173">
        <v>46179.0</v>
      </c>
      <c r="C2072" s="374">
        <v>8.07000036438E11</v>
      </c>
      <c r="D2072" s="374" t="s">
        <v>13119</v>
      </c>
      <c r="E2072" s="374" t="s">
        <v>13120</v>
      </c>
      <c r="F2072" s="177" t="s">
        <v>13121</v>
      </c>
      <c r="G2072" s="177" t="s">
        <v>127</v>
      </c>
      <c r="H2072" s="177">
        <v>4400.0</v>
      </c>
      <c r="I2072" s="176" t="s">
        <v>2294</v>
      </c>
      <c r="J2072" s="374" t="s">
        <v>5415</v>
      </c>
      <c r="K2072" s="177">
        <v>1.0</v>
      </c>
      <c r="L2072" s="174">
        <v>3.876124044E9</v>
      </c>
      <c r="M2072" s="387"/>
      <c r="N2072" s="206"/>
      <c r="O2072" s="206"/>
      <c r="P2072" s="206"/>
      <c r="Q2072" s="206"/>
      <c r="R2072" s="206"/>
      <c r="S2072" s="367"/>
      <c r="T2072" s="276"/>
      <c r="U2072" s="276"/>
      <c r="V2072" s="276"/>
      <c r="W2072" s="276"/>
      <c r="X2072" s="276"/>
      <c r="Y2072" s="276"/>
      <c r="Z2072" s="276"/>
      <c r="AA2072" s="276"/>
      <c r="AB2072" s="276"/>
      <c r="AC2072" s="276"/>
    </row>
    <row r="2073">
      <c r="A2073" s="108" t="s">
        <v>13122</v>
      </c>
      <c r="B2073" s="173">
        <v>46179.0</v>
      </c>
      <c r="C2073" s="374">
        <v>8.07000036433E11</v>
      </c>
      <c r="D2073" s="374" t="s">
        <v>13123</v>
      </c>
      <c r="E2073" s="374" t="s">
        <v>13124</v>
      </c>
      <c r="F2073" s="177" t="s">
        <v>13125</v>
      </c>
      <c r="G2073" s="177" t="s">
        <v>127</v>
      </c>
      <c r="H2073" s="177">
        <v>4400.0</v>
      </c>
      <c r="I2073" s="176" t="s">
        <v>4070</v>
      </c>
      <c r="J2073" s="374" t="s">
        <v>6264</v>
      </c>
      <c r="K2073" s="177">
        <v>2.0</v>
      </c>
      <c r="L2073" s="174">
        <v>3.875362918E9</v>
      </c>
      <c r="M2073" s="387"/>
      <c r="N2073" s="480">
        <v>46179.0</v>
      </c>
      <c r="O2073" s="402" t="s">
        <v>9011</v>
      </c>
      <c r="P2073" s="534"/>
      <c r="Q2073" s="430" t="s">
        <v>14396</v>
      </c>
      <c r="R2073" s="432" t="s">
        <v>14443</v>
      </c>
      <c r="S2073" s="367"/>
      <c r="T2073" s="276"/>
      <c r="U2073" s="276"/>
      <c r="V2073" s="276"/>
      <c r="W2073" s="276"/>
      <c r="X2073" s="276"/>
      <c r="Y2073" s="276"/>
      <c r="Z2073" s="276"/>
      <c r="AA2073" s="276"/>
      <c r="AB2073" s="276"/>
      <c r="AC2073" s="276"/>
    </row>
    <row r="2074">
      <c r="A2074" s="108" t="s">
        <v>13122</v>
      </c>
      <c r="B2074" s="173">
        <v>46179.0</v>
      </c>
      <c r="C2074" s="374">
        <v>8.07000036433E11</v>
      </c>
      <c r="D2074" s="374" t="s">
        <v>13123</v>
      </c>
      <c r="E2074" s="374" t="s">
        <v>13124</v>
      </c>
      <c r="F2074" s="177" t="s">
        <v>13125</v>
      </c>
      <c r="G2074" s="177" t="s">
        <v>127</v>
      </c>
      <c r="H2074" s="177">
        <v>4400.0</v>
      </c>
      <c r="I2074" s="176" t="s">
        <v>3790</v>
      </c>
      <c r="J2074" s="374" t="s">
        <v>3791</v>
      </c>
      <c r="K2074" s="177">
        <v>1.0</v>
      </c>
      <c r="L2074" s="174">
        <v>3.875362918E9</v>
      </c>
      <c r="M2074" s="387"/>
      <c r="N2074" s="209"/>
      <c r="O2074" s="209"/>
      <c r="P2074" s="209"/>
      <c r="Q2074" s="209"/>
      <c r="R2074" s="209"/>
      <c r="S2074" s="367"/>
      <c r="T2074" s="276"/>
      <c r="U2074" s="276"/>
      <c r="V2074" s="276"/>
      <c r="W2074" s="276"/>
      <c r="X2074" s="276"/>
      <c r="Y2074" s="276"/>
      <c r="Z2074" s="276"/>
      <c r="AA2074" s="276"/>
      <c r="AB2074" s="276"/>
      <c r="AC2074" s="276"/>
    </row>
    <row r="2075">
      <c r="A2075" s="108" t="s">
        <v>13122</v>
      </c>
      <c r="B2075" s="173">
        <v>46179.0</v>
      </c>
      <c r="C2075" s="374">
        <v>8.07000036433E11</v>
      </c>
      <c r="D2075" s="374" t="s">
        <v>13123</v>
      </c>
      <c r="E2075" s="374" t="s">
        <v>13124</v>
      </c>
      <c r="F2075" s="177" t="s">
        <v>13125</v>
      </c>
      <c r="G2075" s="177" t="s">
        <v>127</v>
      </c>
      <c r="H2075" s="177">
        <v>4400.0</v>
      </c>
      <c r="I2075" s="176" t="s">
        <v>512</v>
      </c>
      <c r="J2075" s="374" t="s">
        <v>513</v>
      </c>
      <c r="K2075" s="177">
        <v>6.0</v>
      </c>
      <c r="L2075" s="174">
        <v>3.875362918E9</v>
      </c>
      <c r="M2075" s="387"/>
      <c r="N2075" s="209"/>
      <c r="O2075" s="209"/>
      <c r="P2075" s="209"/>
      <c r="Q2075" s="209"/>
      <c r="R2075" s="209"/>
      <c r="S2075" s="367"/>
      <c r="T2075" s="276"/>
      <c r="U2075" s="276"/>
      <c r="V2075" s="276"/>
      <c r="W2075" s="276"/>
      <c r="X2075" s="276"/>
      <c r="Y2075" s="276"/>
      <c r="Z2075" s="276"/>
      <c r="AA2075" s="276"/>
      <c r="AB2075" s="276"/>
      <c r="AC2075" s="276"/>
    </row>
    <row r="2076">
      <c r="A2076" s="108" t="s">
        <v>13122</v>
      </c>
      <c r="B2076" s="173">
        <v>46179.0</v>
      </c>
      <c r="C2076" s="374">
        <v>8.07000036433E11</v>
      </c>
      <c r="D2076" s="374" t="s">
        <v>13123</v>
      </c>
      <c r="E2076" s="374" t="s">
        <v>13124</v>
      </c>
      <c r="F2076" s="177" t="s">
        <v>13125</v>
      </c>
      <c r="G2076" s="177" t="s">
        <v>127</v>
      </c>
      <c r="H2076" s="177">
        <v>4400.0</v>
      </c>
      <c r="I2076" s="176" t="s">
        <v>1914</v>
      </c>
      <c r="J2076" s="374" t="s">
        <v>9825</v>
      </c>
      <c r="K2076" s="177">
        <v>1.0</v>
      </c>
      <c r="L2076" s="174">
        <v>3.875362918E9</v>
      </c>
      <c r="M2076" s="387"/>
      <c r="N2076" s="209"/>
      <c r="O2076" s="209"/>
      <c r="P2076" s="209"/>
      <c r="Q2076" s="209"/>
      <c r="R2076" s="209"/>
      <c r="S2076" s="367"/>
      <c r="T2076" s="276"/>
      <c r="U2076" s="276"/>
      <c r="V2076" s="276"/>
      <c r="W2076" s="276"/>
      <c r="X2076" s="276"/>
      <c r="Y2076" s="276"/>
      <c r="Z2076" s="276"/>
      <c r="AA2076" s="276"/>
      <c r="AB2076" s="276"/>
      <c r="AC2076" s="276"/>
    </row>
    <row r="2077">
      <c r="A2077" s="108" t="s">
        <v>13126</v>
      </c>
      <c r="B2077" s="173">
        <v>46179.0</v>
      </c>
      <c r="C2077" s="374">
        <v>8.07000036434E11</v>
      </c>
      <c r="D2077" s="374" t="s">
        <v>13123</v>
      </c>
      <c r="E2077" s="374" t="s">
        <v>13124</v>
      </c>
      <c r="F2077" s="177" t="s">
        <v>13125</v>
      </c>
      <c r="G2077" s="177" t="s">
        <v>127</v>
      </c>
      <c r="H2077" s="177">
        <v>4400.0</v>
      </c>
      <c r="I2077" s="176" t="s">
        <v>3790</v>
      </c>
      <c r="J2077" s="374" t="s">
        <v>3791</v>
      </c>
      <c r="K2077" s="177">
        <v>1.0</v>
      </c>
      <c r="L2077" s="174">
        <v>3.875362918E9</v>
      </c>
      <c r="M2077" s="387"/>
      <c r="N2077" s="209"/>
      <c r="O2077" s="209"/>
      <c r="P2077" s="209"/>
      <c r="Q2077" s="209"/>
      <c r="R2077" s="209"/>
      <c r="S2077" s="367"/>
      <c r="T2077" s="276"/>
      <c r="U2077" s="276"/>
      <c r="V2077" s="276"/>
      <c r="W2077" s="276"/>
      <c r="X2077" s="276"/>
      <c r="Y2077" s="276"/>
      <c r="Z2077" s="276"/>
      <c r="AA2077" s="276"/>
      <c r="AB2077" s="276"/>
      <c r="AC2077" s="276"/>
    </row>
    <row r="2078">
      <c r="A2078" s="108" t="s">
        <v>13126</v>
      </c>
      <c r="B2078" s="173">
        <v>46179.0</v>
      </c>
      <c r="C2078" s="374">
        <v>8.07000036434E11</v>
      </c>
      <c r="D2078" s="374" t="s">
        <v>13123</v>
      </c>
      <c r="E2078" s="374" t="s">
        <v>13124</v>
      </c>
      <c r="F2078" s="177" t="s">
        <v>13125</v>
      </c>
      <c r="G2078" s="177" t="s">
        <v>127</v>
      </c>
      <c r="H2078" s="177">
        <v>4400.0</v>
      </c>
      <c r="I2078" s="176" t="s">
        <v>512</v>
      </c>
      <c r="J2078" s="374" t="s">
        <v>513</v>
      </c>
      <c r="K2078" s="177">
        <v>6.0</v>
      </c>
      <c r="L2078" s="174">
        <v>3.875362918E9</v>
      </c>
      <c r="M2078" s="387"/>
      <c r="N2078" s="209"/>
      <c r="O2078" s="209"/>
      <c r="P2078" s="209"/>
      <c r="Q2078" s="209"/>
      <c r="R2078" s="209"/>
      <c r="S2078" s="367"/>
      <c r="T2078" s="276"/>
      <c r="U2078" s="276"/>
      <c r="V2078" s="276"/>
      <c r="W2078" s="276"/>
      <c r="X2078" s="276"/>
      <c r="Y2078" s="276"/>
      <c r="Z2078" s="276"/>
      <c r="AA2078" s="276"/>
      <c r="AB2078" s="276"/>
      <c r="AC2078" s="276"/>
    </row>
    <row r="2079">
      <c r="A2079" s="108" t="s">
        <v>13126</v>
      </c>
      <c r="B2079" s="173">
        <v>46179.0</v>
      </c>
      <c r="C2079" s="374">
        <v>8.07000036434E11</v>
      </c>
      <c r="D2079" s="374" t="s">
        <v>13123</v>
      </c>
      <c r="E2079" s="374" t="s">
        <v>13124</v>
      </c>
      <c r="F2079" s="177" t="s">
        <v>13125</v>
      </c>
      <c r="G2079" s="177" t="s">
        <v>127</v>
      </c>
      <c r="H2079" s="177">
        <v>4400.0</v>
      </c>
      <c r="I2079" s="176" t="s">
        <v>1914</v>
      </c>
      <c r="J2079" s="374" t="s">
        <v>9825</v>
      </c>
      <c r="K2079" s="177">
        <v>1.0</v>
      </c>
      <c r="L2079" s="174">
        <v>3.875362918E9</v>
      </c>
      <c r="M2079" s="387"/>
      <c r="N2079" s="206"/>
      <c r="O2079" s="206"/>
      <c r="P2079" s="206"/>
      <c r="Q2079" s="206"/>
      <c r="R2079" s="206"/>
      <c r="S2079" s="367"/>
      <c r="T2079" s="276"/>
      <c r="U2079" s="276"/>
      <c r="V2079" s="276"/>
      <c r="W2079" s="276"/>
      <c r="X2079" s="276"/>
      <c r="Y2079" s="276"/>
      <c r="Z2079" s="276"/>
      <c r="AA2079" s="276"/>
      <c r="AB2079" s="276"/>
      <c r="AC2079" s="276"/>
    </row>
    <row r="2080">
      <c r="A2080" s="108" t="s">
        <v>13127</v>
      </c>
      <c r="B2080" s="173">
        <v>46179.0</v>
      </c>
      <c r="C2080" s="374">
        <v>8.07000036382E11</v>
      </c>
      <c r="D2080" s="374" t="s">
        <v>13128</v>
      </c>
      <c r="E2080" s="374" t="s">
        <v>13129</v>
      </c>
      <c r="F2080" s="177" t="s">
        <v>13130</v>
      </c>
      <c r="G2080" s="177" t="s">
        <v>1885</v>
      </c>
      <c r="H2080" s="177">
        <v>4400.0</v>
      </c>
      <c r="I2080" s="176" t="s">
        <v>512</v>
      </c>
      <c r="J2080" s="374" t="s">
        <v>513</v>
      </c>
      <c r="K2080" s="177">
        <v>6.0</v>
      </c>
      <c r="L2080" s="174">
        <v>3.875142009E9</v>
      </c>
      <c r="M2080" s="387"/>
      <c r="N2080" s="480">
        <v>46179.0</v>
      </c>
      <c r="O2080" s="402" t="s">
        <v>9011</v>
      </c>
      <c r="P2080" s="534"/>
      <c r="Q2080" s="430" t="s">
        <v>14184</v>
      </c>
      <c r="R2080" s="432" t="s">
        <v>14444</v>
      </c>
      <c r="S2080" s="367"/>
      <c r="T2080" s="276"/>
      <c r="U2080" s="276"/>
      <c r="V2080" s="276"/>
      <c r="W2080" s="276"/>
      <c r="X2080" s="276"/>
      <c r="Y2080" s="276"/>
      <c r="Z2080" s="276"/>
      <c r="AA2080" s="276"/>
      <c r="AB2080" s="276"/>
      <c r="AC2080" s="276"/>
    </row>
    <row r="2081">
      <c r="A2081" s="108" t="s">
        <v>13127</v>
      </c>
      <c r="B2081" s="173">
        <v>46179.0</v>
      </c>
      <c r="C2081" s="374">
        <v>8.07000036382E11</v>
      </c>
      <c r="D2081" s="374" t="s">
        <v>13128</v>
      </c>
      <c r="E2081" s="374" t="s">
        <v>13129</v>
      </c>
      <c r="F2081" s="177" t="s">
        <v>13130</v>
      </c>
      <c r="G2081" s="177" t="s">
        <v>1885</v>
      </c>
      <c r="H2081" s="177">
        <v>4400.0</v>
      </c>
      <c r="I2081" s="176" t="s">
        <v>12771</v>
      </c>
      <c r="J2081" s="374" t="s">
        <v>12772</v>
      </c>
      <c r="K2081" s="177">
        <v>1.0</v>
      </c>
      <c r="L2081" s="174">
        <v>3.875142009E9</v>
      </c>
      <c r="M2081" s="387"/>
      <c r="N2081" s="209"/>
      <c r="O2081" s="209"/>
      <c r="P2081" s="209"/>
      <c r="Q2081" s="209"/>
      <c r="R2081" s="209"/>
      <c r="S2081" s="367"/>
      <c r="T2081" s="276"/>
      <c r="U2081" s="276"/>
      <c r="V2081" s="276"/>
      <c r="W2081" s="276"/>
      <c r="X2081" s="276"/>
      <c r="Y2081" s="276"/>
      <c r="Z2081" s="276"/>
      <c r="AA2081" s="276"/>
      <c r="AB2081" s="276"/>
      <c r="AC2081" s="276"/>
    </row>
    <row r="2082">
      <c r="A2082" s="108" t="s">
        <v>13127</v>
      </c>
      <c r="B2082" s="173">
        <v>46179.0</v>
      </c>
      <c r="C2082" s="374">
        <v>8.07000036383E11</v>
      </c>
      <c r="D2082" s="374" t="s">
        <v>13128</v>
      </c>
      <c r="E2082" s="374" t="s">
        <v>13129</v>
      </c>
      <c r="F2082" s="177" t="s">
        <v>13130</v>
      </c>
      <c r="G2082" s="177" t="s">
        <v>1885</v>
      </c>
      <c r="H2082" s="177">
        <v>4400.0</v>
      </c>
      <c r="I2082" s="176" t="s">
        <v>659</v>
      </c>
      <c r="J2082" s="374" t="s">
        <v>3468</v>
      </c>
      <c r="K2082" s="177">
        <v>1.0</v>
      </c>
      <c r="L2082" s="174">
        <v>3.875142009E9</v>
      </c>
      <c r="M2082" s="387"/>
      <c r="N2082" s="209"/>
      <c r="O2082" s="209"/>
      <c r="P2082" s="209"/>
      <c r="Q2082" s="209"/>
      <c r="R2082" s="209"/>
      <c r="S2082" s="367"/>
      <c r="T2082" s="276"/>
      <c r="U2082" s="276"/>
      <c r="V2082" s="276"/>
      <c r="W2082" s="276"/>
      <c r="X2082" s="276"/>
      <c r="Y2082" s="276"/>
      <c r="Z2082" s="276"/>
      <c r="AA2082" s="276"/>
      <c r="AB2082" s="276"/>
      <c r="AC2082" s="276"/>
    </row>
    <row r="2083">
      <c r="A2083" s="108" t="s">
        <v>13127</v>
      </c>
      <c r="B2083" s="173">
        <v>46179.0</v>
      </c>
      <c r="C2083" s="374">
        <v>8.07000036383E11</v>
      </c>
      <c r="D2083" s="374" t="s">
        <v>13128</v>
      </c>
      <c r="E2083" s="374" t="s">
        <v>13129</v>
      </c>
      <c r="F2083" s="177" t="s">
        <v>13130</v>
      </c>
      <c r="G2083" s="177" t="s">
        <v>1885</v>
      </c>
      <c r="H2083" s="177">
        <v>4400.0</v>
      </c>
      <c r="I2083" s="176" t="s">
        <v>35</v>
      </c>
      <c r="J2083" s="374" t="s">
        <v>3188</v>
      </c>
      <c r="K2083" s="177">
        <v>1.0</v>
      </c>
      <c r="L2083" s="174">
        <v>3.875142009E9</v>
      </c>
      <c r="M2083" s="387"/>
      <c r="N2083" s="206"/>
      <c r="O2083" s="206"/>
      <c r="P2083" s="206"/>
      <c r="Q2083" s="206"/>
      <c r="R2083" s="206"/>
      <c r="S2083" s="367"/>
      <c r="T2083" s="276"/>
      <c r="U2083" s="276"/>
      <c r="V2083" s="276"/>
      <c r="W2083" s="276"/>
      <c r="X2083" s="276"/>
      <c r="Y2083" s="276"/>
      <c r="Z2083" s="276"/>
      <c r="AA2083" s="276"/>
      <c r="AB2083" s="276"/>
      <c r="AC2083" s="276"/>
    </row>
    <row r="2084">
      <c r="A2084" s="108" t="s">
        <v>13131</v>
      </c>
      <c r="B2084" s="173">
        <v>46179.0</v>
      </c>
      <c r="C2084" s="374">
        <v>8.0700003644E11</v>
      </c>
      <c r="D2084" s="374" t="s">
        <v>13132</v>
      </c>
      <c r="E2084" s="374" t="s">
        <v>13133</v>
      </c>
      <c r="F2084" s="177" t="s">
        <v>13134</v>
      </c>
      <c r="G2084" s="177" t="s">
        <v>127</v>
      </c>
      <c r="H2084" s="177">
        <v>4400.0</v>
      </c>
      <c r="I2084" s="176" t="s">
        <v>6119</v>
      </c>
      <c r="J2084" s="374" t="s">
        <v>6120</v>
      </c>
      <c r="K2084" s="177">
        <v>1.0</v>
      </c>
      <c r="L2084" s="174">
        <v>3.874420452E9</v>
      </c>
      <c r="M2084" s="387"/>
      <c r="N2084" s="486">
        <v>46179.0</v>
      </c>
      <c r="O2084" s="487" t="s">
        <v>9011</v>
      </c>
      <c r="P2084" s="598"/>
      <c r="Q2084" s="487" t="s">
        <v>14396</v>
      </c>
      <c r="R2084" s="623" t="s">
        <v>14445</v>
      </c>
      <c r="S2084" s="367"/>
      <c r="T2084" s="276"/>
      <c r="U2084" s="276"/>
      <c r="V2084" s="276"/>
      <c r="W2084" s="276"/>
      <c r="X2084" s="276"/>
      <c r="Y2084" s="276"/>
      <c r="Z2084" s="276"/>
      <c r="AA2084" s="276"/>
      <c r="AB2084" s="276"/>
      <c r="AC2084" s="276"/>
    </row>
    <row r="2085">
      <c r="A2085" s="108" t="s">
        <v>13131</v>
      </c>
      <c r="B2085" s="173">
        <v>46179.0</v>
      </c>
      <c r="C2085" s="374">
        <v>8.0700003644E11</v>
      </c>
      <c r="D2085" s="374" t="s">
        <v>13132</v>
      </c>
      <c r="E2085" s="374" t="s">
        <v>13133</v>
      </c>
      <c r="F2085" s="177" t="s">
        <v>13134</v>
      </c>
      <c r="G2085" s="177" t="s">
        <v>127</v>
      </c>
      <c r="H2085" s="177">
        <v>4400.0</v>
      </c>
      <c r="I2085" s="176">
        <v>208502.0</v>
      </c>
      <c r="J2085" s="374" t="s">
        <v>4551</v>
      </c>
      <c r="K2085" s="177">
        <v>2.0</v>
      </c>
      <c r="L2085" s="174">
        <v>3.874420452E9</v>
      </c>
      <c r="M2085" s="387"/>
      <c r="N2085" s="206"/>
      <c r="O2085" s="206"/>
      <c r="P2085" s="206"/>
      <c r="Q2085" s="206"/>
      <c r="R2085" s="206"/>
      <c r="S2085" s="367"/>
      <c r="T2085" s="276"/>
      <c r="U2085" s="276"/>
      <c r="V2085" s="276"/>
      <c r="W2085" s="276"/>
      <c r="X2085" s="276"/>
      <c r="Y2085" s="276"/>
      <c r="Z2085" s="276"/>
      <c r="AA2085" s="276"/>
      <c r="AB2085" s="276"/>
      <c r="AC2085" s="276"/>
    </row>
    <row r="2086">
      <c r="A2086" s="108" t="s">
        <v>13136</v>
      </c>
      <c r="B2086" s="173">
        <v>46179.0</v>
      </c>
      <c r="C2086" s="374">
        <v>8.07000036444E11</v>
      </c>
      <c r="D2086" s="374" t="s">
        <v>13137</v>
      </c>
      <c r="E2086" s="374" t="s">
        <v>13138</v>
      </c>
      <c r="F2086" s="177" t="s">
        <v>13139</v>
      </c>
      <c r="G2086" s="177" t="s">
        <v>13140</v>
      </c>
      <c r="H2086" s="177">
        <v>4400.0</v>
      </c>
      <c r="I2086" s="176" t="s">
        <v>5262</v>
      </c>
      <c r="J2086" s="374" t="s">
        <v>5263</v>
      </c>
      <c r="K2086" s="177">
        <v>1.0</v>
      </c>
      <c r="L2086" s="174">
        <v>3.875020493E9</v>
      </c>
      <c r="M2086" s="387"/>
      <c r="N2086" s="480">
        <v>46179.0</v>
      </c>
      <c r="O2086" s="402" t="s">
        <v>9011</v>
      </c>
      <c r="P2086" s="534"/>
      <c r="Q2086" s="430" t="s">
        <v>14184</v>
      </c>
      <c r="R2086" s="432" t="s">
        <v>14446</v>
      </c>
      <c r="S2086" s="367"/>
      <c r="T2086" s="276"/>
      <c r="U2086" s="276"/>
      <c r="V2086" s="276"/>
      <c r="W2086" s="276"/>
      <c r="X2086" s="276"/>
      <c r="Y2086" s="276"/>
      <c r="Z2086" s="276"/>
      <c r="AA2086" s="276"/>
      <c r="AB2086" s="276"/>
      <c r="AC2086" s="276"/>
    </row>
    <row r="2087">
      <c r="A2087" s="108" t="s">
        <v>13136</v>
      </c>
      <c r="B2087" s="173">
        <v>46179.0</v>
      </c>
      <c r="C2087" s="374">
        <v>8.07000036445E11</v>
      </c>
      <c r="D2087" s="374" t="s">
        <v>13137</v>
      </c>
      <c r="E2087" s="374" t="s">
        <v>13138</v>
      </c>
      <c r="F2087" s="177" t="s">
        <v>13139</v>
      </c>
      <c r="G2087" s="177" t="s">
        <v>13140</v>
      </c>
      <c r="H2087" s="177">
        <v>4400.0</v>
      </c>
      <c r="I2087" s="176" t="s">
        <v>6216</v>
      </c>
      <c r="J2087" s="374" t="s">
        <v>6217</v>
      </c>
      <c r="K2087" s="177">
        <v>1.0</v>
      </c>
      <c r="L2087" s="174">
        <v>3.875020493E9</v>
      </c>
      <c r="M2087" s="387"/>
      <c r="N2087" s="209"/>
      <c r="O2087" s="209"/>
      <c r="P2087" s="209"/>
      <c r="Q2087" s="209"/>
      <c r="R2087" s="209"/>
      <c r="S2087" s="367"/>
      <c r="T2087" s="276"/>
      <c r="U2087" s="276"/>
      <c r="V2087" s="276"/>
      <c r="W2087" s="276"/>
      <c r="X2087" s="276"/>
      <c r="Y2087" s="276"/>
      <c r="Z2087" s="276"/>
      <c r="AA2087" s="276"/>
      <c r="AB2087" s="276"/>
      <c r="AC2087" s="276"/>
    </row>
    <row r="2088">
      <c r="A2088" s="108" t="s">
        <v>13136</v>
      </c>
      <c r="B2088" s="173">
        <v>46179.0</v>
      </c>
      <c r="C2088" s="374">
        <v>8.07000036446E11</v>
      </c>
      <c r="D2088" s="374" t="s">
        <v>13137</v>
      </c>
      <c r="E2088" s="374" t="s">
        <v>13138</v>
      </c>
      <c r="F2088" s="177" t="s">
        <v>13139</v>
      </c>
      <c r="G2088" s="177" t="s">
        <v>13140</v>
      </c>
      <c r="H2088" s="177">
        <v>4400.0</v>
      </c>
      <c r="I2088" s="176">
        <v>208501.0</v>
      </c>
      <c r="J2088" s="374" t="s">
        <v>481</v>
      </c>
      <c r="K2088" s="177">
        <v>2.0</v>
      </c>
      <c r="L2088" s="174">
        <v>3.875020493E9</v>
      </c>
      <c r="M2088" s="387"/>
      <c r="N2088" s="206"/>
      <c r="O2088" s="206"/>
      <c r="P2088" s="206"/>
      <c r="Q2088" s="206"/>
      <c r="R2088" s="206"/>
      <c r="S2088" s="367"/>
      <c r="T2088" s="276"/>
      <c r="U2088" s="276"/>
      <c r="V2088" s="276"/>
      <c r="W2088" s="276"/>
      <c r="X2088" s="276"/>
      <c r="Y2088" s="276"/>
      <c r="Z2088" s="276"/>
      <c r="AA2088" s="276"/>
      <c r="AB2088" s="276"/>
      <c r="AC2088" s="276"/>
    </row>
    <row r="2089">
      <c r="A2089" s="108" t="s">
        <v>13141</v>
      </c>
      <c r="B2089" s="173">
        <v>46179.0</v>
      </c>
      <c r="C2089" s="374">
        <v>8.07000036447E11</v>
      </c>
      <c r="D2089" s="374" t="s">
        <v>13142</v>
      </c>
      <c r="E2089" s="374" t="s">
        <v>13143</v>
      </c>
      <c r="F2089" s="177" t="s">
        <v>13144</v>
      </c>
      <c r="G2089" s="177" t="s">
        <v>127</v>
      </c>
      <c r="H2089" s="177">
        <v>4400.0</v>
      </c>
      <c r="I2089" s="176">
        <v>125810.0</v>
      </c>
      <c r="J2089" s="374" t="s">
        <v>4672</v>
      </c>
      <c r="K2089" s="177">
        <v>2.0</v>
      </c>
      <c r="L2089" s="174">
        <v>3.876341998E9</v>
      </c>
      <c r="M2089" s="387"/>
      <c r="N2089" s="480">
        <v>46179.0</v>
      </c>
      <c r="O2089" s="402" t="s">
        <v>9011</v>
      </c>
      <c r="P2089" s="534"/>
      <c r="Q2089" s="430" t="s">
        <v>14396</v>
      </c>
      <c r="R2089" s="432" t="s">
        <v>14447</v>
      </c>
      <c r="S2089" s="367"/>
      <c r="T2089" s="276"/>
      <c r="U2089" s="276"/>
      <c r="V2089" s="276"/>
      <c r="W2089" s="276"/>
      <c r="X2089" s="276"/>
      <c r="Y2089" s="276"/>
      <c r="Z2089" s="276"/>
      <c r="AA2089" s="276"/>
      <c r="AB2089" s="276"/>
      <c r="AC2089" s="276"/>
    </row>
    <row r="2090">
      <c r="A2090" s="108" t="s">
        <v>13141</v>
      </c>
      <c r="B2090" s="173">
        <v>46179.0</v>
      </c>
      <c r="C2090" s="374">
        <v>8.07000036447E11</v>
      </c>
      <c r="D2090" s="374" t="s">
        <v>13142</v>
      </c>
      <c r="E2090" s="374" t="s">
        <v>13143</v>
      </c>
      <c r="F2090" s="177" t="s">
        <v>13144</v>
      </c>
      <c r="G2090" s="177" t="s">
        <v>127</v>
      </c>
      <c r="H2090" s="177">
        <v>4400.0</v>
      </c>
      <c r="I2090" s="176" t="s">
        <v>512</v>
      </c>
      <c r="J2090" s="374" t="s">
        <v>513</v>
      </c>
      <c r="K2090" s="177">
        <v>12.0</v>
      </c>
      <c r="L2090" s="174">
        <v>3.876341998E9</v>
      </c>
      <c r="M2090" s="387"/>
      <c r="N2090" s="209"/>
      <c r="O2090" s="209"/>
      <c r="P2090" s="209"/>
      <c r="Q2090" s="209"/>
      <c r="R2090" s="209"/>
      <c r="S2090" s="367"/>
      <c r="T2090" s="276"/>
      <c r="U2090" s="276"/>
      <c r="V2090" s="276"/>
      <c r="W2090" s="276"/>
      <c r="X2090" s="276"/>
      <c r="Y2090" s="276"/>
      <c r="Z2090" s="276"/>
      <c r="AA2090" s="276"/>
      <c r="AB2090" s="276"/>
      <c r="AC2090" s="276"/>
    </row>
    <row r="2091">
      <c r="A2091" s="108" t="s">
        <v>13141</v>
      </c>
      <c r="B2091" s="173">
        <v>46179.0</v>
      </c>
      <c r="C2091" s="374">
        <v>8.07000036447E11</v>
      </c>
      <c r="D2091" s="374" t="s">
        <v>13142</v>
      </c>
      <c r="E2091" s="374" t="s">
        <v>13143</v>
      </c>
      <c r="F2091" s="177" t="s">
        <v>13144</v>
      </c>
      <c r="G2091" s="177" t="s">
        <v>127</v>
      </c>
      <c r="H2091" s="177">
        <v>4400.0</v>
      </c>
      <c r="I2091" s="176" t="s">
        <v>12771</v>
      </c>
      <c r="J2091" s="374" t="s">
        <v>12772</v>
      </c>
      <c r="K2091" s="177">
        <v>1.0</v>
      </c>
      <c r="L2091" s="174">
        <v>3.876341998E9</v>
      </c>
      <c r="M2091" s="387"/>
      <c r="N2091" s="209"/>
      <c r="O2091" s="209"/>
      <c r="P2091" s="209"/>
      <c r="Q2091" s="209"/>
      <c r="R2091" s="209"/>
      <c r="S2091" s="367"/>
      <c r="T2091" s="276"/>
      <c r="U2091" s="276"/>
      <c r="V2091" s="276"/>
      <c r="W2091" s="276"/>
      <c r="X2091" s="276"/>
      <c r="Y2091" s="276"/>
      <c r="Z2091" s="276"/>
      <c r="AA2091" s="276"/>
      <c r="AB2091" s="276"/>
      <c r="AC2091" s="276"/>
    </row>
    <row r="2092">
      <c r="A2092" s="108" t="s">
        <v>13141</v>
      </c>
      <c r="B2092" s="173">
        <v>46179.0</v>
      </c>
      <c r="C2092" s="374">
        <v>8.07000036448E11</v>
      </c>
      <c r="D2092" s="374" t="s">
        <v>13142</v>
      </c>
      <c r="E2092" s="374" t="s">
        <v>13143</v>
      </c>
      <c r="F2092" s="177" t="s">
        <v>13144</v>
      </c>
      <c r="G2092" s="177" t="s">
        <v>127</v>
      </c>
      <c r="H2092" s="177">
        <v>4400.0</v>
      </c>
      <c r="I2092" s="176" t="s">
        <v>1115</v>
      </c>
      <c r="J2092" s="374" t="s">
        <v>8215</v>
      </c>
      <c r="K2092" s="177">
        <v>1.0</v>
      </c>
      <c r="L2092" s="174">
        <v>3.876341998E9</v>
      </c>
      <c r="M2092" s="387"/>
      <c r="N2092" s="209"/>
      <c r="O2092" s="209"/>
      <c r="P2092" s="209"/>
      <c r="Q2092" s="209"/>
      <c r="R2092" s="209"/>
      <c r="S2092" s="367"/>
      <c r="T2092" s="276"/>
      <c r="U2092" s="276"/>
      <c r="V2092" s="276"/>
      <c r="W2092" s="276"/>
      <c r="X2092" s="276"/>
      <c r="Y2092" s="276"/>
      <c r="Z2092" s="276"/>
      <c r="AA2092" s="276"/>
      <c r="AB2092" s="276"/>
      <c r="AC2092" s="276"/>
    </row>
    <row r="2093">
      <c r="A2093" s="108" t="s">
        <v>13141</v>
      </c>
      <c r="B2093" s="173">
        <v>46179.0</v>
      </c>
      <c r="C2093" s="374">
        <v>8.07000036448E11</v>
      </c>
      <c r="D2093" s="374" t="s">
        <v>13142</v>
      </c>
      <c r="E2093" s="374" t="s">
        <v>13143</v>
      </c>
      <c r="F2093" s="177" t="s">
        <v>13144</v>
      </c>
      <c r="G2093" s="177" t="s">
        <v>127</v>
      </c>
      <c r="H2093" s="177">
        <v>4400.0</v>
      </c>
      <c r="I2093" s="176" t="s">
        <v>340</v>
      </c>
      <c r="J2093" s="374" t="s">
        <v>3486</v>
      </c>
      <c r="K2093" s="177">
        <v>2.0</v>
      </c>
      <c r="L2093" s="174">
        <v>3.876341998E9</v>
      </c>
      <c r="M2093" s="387"/>
      <c r="N2093" s="206"/>
      <c r="O2093" s="206"/>
      <c r="P2093" s="206"/>
      <c r="Q2093" s="206"/>
      <c r="R2093" s="206"/>
      <c r="S2093" s="367"/>
      <c r="T2093" s="276"/>
      <c r="U2093" s="276"/>
      <c r="V2093" s="276"/>
      <c r="W2093" s="276"/>
      <c r="X2093" s="276"/>
      <c r="Y2093" s="276"/>
      <c r="Z2093" s="276"/>
      <c r="AA2093" s="276"/>
      <c r="AB2093" s="276"/>
      <c r="AC2093" s="276"/>
    </row>
    <row r="2094">
      <c r="A2094" s="677"/>
      <c r="B2094" s="678"/>
      <c r="C2094" s="679"/>
      <c r="D2094" s="679"/>
      <c r="E2094" s="679"/>
      <c r="F2094" s="680"/>
      <c r="G2094" s="680"/>
      <c r="H2094" s="680"/>
      <c r="I2094" s="681"/>
      <c r="J2094" s="679"/>
      <c r="K2094" s="680"/>
      <c r="L2094" s="682"/>
      <c r="M2094" s="387"/>
      <c r="N2094" s="481"/>
      <c r="O2094" s="531"/>
      <c r="P2094" s="387"/>
      <c r="Q2094" s="261"/>
      <c r="R2094" s="449"/>
      <c r="S2094" s="367"/>
      <c r="T2094" s="276"/>
      <c r="U2094" s="276"/>
      <c r="V2094" s="276"/>
      <c r="W2094" s="276"/>
      <c r="X2094" s="276"/>
      <c r="Y2094" s="276"/>
      <c r="Z2094" s="276"/>
      <c r="AA2094" s="276"/>
      <c r="AB2094" s="276"/>
      <c r="AC2094" s="276"/>
    </row>
    <row r="2095">
      <c r="A2095" s="624" t="s">
        <v>13145</v>
      </c>
      <c r="B2095" s="683">
        <v>46182.0</v>
      </c>
      <c r="C2095" s="626">
        <v>8.07000036461E11</v>
      </c>
      <c r="D2095" s="626" t="s">
        <v>13146</v>
      </c>
      <c r="E2095" s="626" t="s">
        <v>13147</v>
      </c>
      <c r="F2095" s="627" t="s">
        <v>13148</v>
      </c>
      <c r="G2095" s="627" t="s">
        <v>127</v>
      </c>
      <c r="H2095" s="627">
        <v>4400.0</v>
      </c>
      <c r="I2095" s="626" t="s">
        <v>512</v>
      </c>
      <c r="J2095" s="626" t="s">
        <v>513</v>
      </c>
      <c r="K2095" s="627">
        <v>6.0</v>
      </c>
      <c r="L2095" s="629">
        <v>3.87513708E9</v>
      </c>
      <c r="M2095" s="387"/>
      <c r="N2095" s="480">
        <v>46182.0</v>
      </c>
      <c r="O2095" s="402" t="s">
        <v>9011</v>
      </c>
      <c r="P2095" s="534"/>
      <c r="Q2095" s="430" t="s">
        <v>14184</v>
      </c>
      <c r="R2095" s="432" t="s">
        <v>14448</v>
      </c>
      <c r="S2095" s="367"/>
      <c r="T2095" s="276"/>
      <c r="U2095" s="276"/>
      <c r="V2095" s="276"/>
      <c r="W2095" s="276"/>
      <c r="X2095" s="276"/>
      <c r="Y2095" s="276"/>
      <c r="Z2095" s="276"/>
      <c r="AA2095" s="276"/>
      <c r="AB2095" s="276"/>
      <c r="AC2095" s="276"/>
    </row>
    <row r="2096">
      <c r="A2096" s="624" t="s">
        <v>13145</v>
      </c>
      <c r="B2096" s="683">
        <v>46182.0</v>
      </c>
      <c r="C2096" s="626">
        <v>8.07000036462E11</v>
      </c>
      <c r="D2096" s="626" t="s">
        <v>13146</v>
      </c>
      <c r="E2096" s="626" t="s">
        <v>13147</v>
      </c>
      <c r="F2096" s="627" t="s">
        <v>13148</v>
      </c>
      <c r="G2096" s="627" t="s">
        <v>127</v>
      </c>
      <c r="H2096" s="627">
        <v>4400.0</v>
      </c>
      <c r="I2096" s="626" t="s">
        <v>6420</v>
      </c>
      <c r="J2096" s="626" t="s">
        <v>6421</v>
      </c>
      <c r="K2096" s="627">
        <v>1.0</v>
      </c>
      <c r="L2096" s="629">
        <v>3.87513708E9</v>
      </c>
      <c r="M2096" s="387"/>
      <c r="N2096" s="209"/>
      <c r="O2096" s="209"/>
      <c r="P2096" s="209"/>
      <c r="Q2096" s="209"/>
      <c r="R2096" s="209"/>
      <c r="S2096" s="367"/>
      <c r="T2096" s="276"/>
      <c r="U2096" s="276"/>
      <c r="V2096" s="276"/>
      <c r="W2096" s="276"/>
      <c r="X2096" s="276"/>
      <c r="Y2096" s="276"/>
      <c r="Z2096" s="276"/>
      <c r="AA2096" s="276"/>
      <c r="AB2096" s="276"/>
      <c r="AC2096" s="276"/>
    </row>
    <row r="2097">
      <c r="A2097" s="624" t="s">
        <v>13145</v>
      </c>
      <c r="B2097" s="683">
        <v>46182.0</v>
      </c>
      <c r="C2097" s="626">
        <v>8.07000036462E11</v>
      </c>
      <c r="D2097" s="626" t="s">
        <v>13146</v>
      </c>
      <c r="E2097" s="626" t="s">
        <v>13147</v>
      </c>
      <c r="F2097" s="627" t="s">
        <v>13148</v>
      </c>
      <c r="G2097" s="627" t="s">
        <v>127</v>
      </c>
      <c r="H2097" s="627">
        <v>4400.0</v>
      </c>
      <c r="I2097" s="626" t="s">
        <v>2031</v>
      </c>
      <c r="J2097" s="626" t="s">
        <v>3348</v>
      </c>
      <c r="K2097" s="627">
        <v>1.0</v>
      </c>
      <c r="L2097" s="629">
        <v>3.87513708E9</v>
      </c>
      <c r="M2097" s="387"/>
      <c r="N2097" s="206"/>
      <c r="O2097" s="206"/>
      <c r="P2097" s="206"/>
      <c r="Q2097" s="206"/>
      <c r="R2097" s="206"/>
      <c r="S2097" s="367"/>
      <c r="T2097" s="276"/>
      <c r="U2097" s="276"/>
      <c r="V2097" s="276"/>
      <c r="W2097" s="276"/>
      <c r="X2097" s="276"/>
      <c r="Y2097" s="276"/>
      <c r="Z2097" s="276"/>
      <c r="AA2097" s="276"/>
      <c r="AB2097" s="276"/>
      <c r="AC2097" s="276"/>
    </row>
    <row r="2098">
      <c r="A2098" s="624" t="s">
        <v>13149</v>
      </c>
      <c r="B2098" s="683">
        <v>46182.0</v>
      </c>
      <c r="C2098" s="626">
        <v>8.07000036477E11</v>
      </c>
      <c r="D2098" s="626" t="s">
        <v>13150</v>
      </c>
      <c r="E2098" s="626" t="s">
        <v>13151</v>
      </c>
      <c r="F2098" s="627" t="s">
        <v>13152</v>
      </c>
      <c r="G2098" s="627" t="s">
        <v>127</v>
      </c>
      <c r="H2098" s="627">
        <v>4400.0</v>
      </c>
      <c r="I2098" s="626">
        <v>208502.0</v>
      </c>
      <c r="J2098" s="626" t="s">
        <v>4551</v>
      </c>
      <c r="K2098" s="627">
        <v>2.0</v>
      </c>
      <c r="L2098" s="629">
        <v>3.876841989E9</v>
      </c>
      <c r="M2098" s="387"/>
      <c r="N2098" s="480">
        <v>46182.0</v>
      </c>
      <c r="O2098" s="402" t="s">
        <v>9011</v>
      </c>
      <c r="P2098" s="534"/>
      <c r="Q2098" s="430" t="s">
        <v>14449</v>
      </c>
      <c r="R2098" s="432" t="s">
        <v>14450</v>
      </c>
      <c r="S2098" s="367"/>
      <c r="T2098" s="276"/>
      <c r="U2098" s="276"/>
      <c r="V2098" s="276"/>
      <c r="W2098" s="276"/>
      <c r="X2098" s="276"/>
      <c r="Y2098" s="276"/>
      <c r="Z2098" s="276"/>
      <c r="AA2098" s="276"/>
      <c r="AB2098" s="276"/>
      <c r="AC2098" s="276"/>
    </row>
    <row r="2099">
      <c r="A2099" s="624" t="s">
        <v>13149</v>
      </c>
      <c r="B2099" s="683">
        <v>46182.0</v>
      </c>
      <c r="C2099" s="626">
        <v>8.07000036478E11</v>
      </c>
      <c r="D2099" s="626" t="s">
        <v>13150</v>
      </c>
      <c r="E2099" s="626" t="s">
        <v>13151</v>
      </c>
      <c r="F2099" s="627" t="s">
        <v>13152</v>
      </c>
      <c r="G2099" s="627" t="s">
        <v>127</v>
      </c>
      <c r="H2099" s="627">
        <v>4400.0</v>
      </c>
      <c r="I2099" s="626">
        <v>87610.0</v>
      </c>
      <c r="J2099" s="626" t="s">
        <v>12683</v>
      </c>
      <c r="K2099" s="627">
        <v>2.0</v>
      </c>
      <c r="L2099" s="629">
        <v>3.876841989E9</v>
      </c>
      <c r="M2099" s="387"/>
      <c r="N2099" s="209"/>
      <c r="O2099" s="209"/>
      <c r="P2099" s="209"/>
      <c r="Q2099" s="209"/>
      <c r="R2099" s="209"/>
      <c r="S2099" s="367"/>
      <c r="T2099" s="276"/>
      <c r="U2099" s="276"/>
      <c r="V2099" s="276"/>
      <c r="W2099" s="276"/>
      <c r="X2099" s="276"/>
      <c r="Y2099" s="276"/>
      <c r="Z2099" s="276"/>
      <c r="AA2099" s="276"/>
      <c r="AB2099" s="276"/>
      <c r="AC2099" s="276"/>
    </row>
    <row r="2100">
      <c r="A2100" s="624" t="s">
        <v>13153</v>
      </c>
      <c r="B2100" s="683">
        <v>46182.0</v>
      </c>
      <c r="C2100" s="626">
        <v>8.07000036479E11</v>
      </c>
      <c r="D2100" s="626" t="s">
        <v>13150</v>
      </c>
      <c r="E2100" s="626" t="s">
        <v>13151</v>
      </c>
      <c r="F2100" s="627" t="s">
        <v>13152</v>
      </c>
      <c r="G2100" s="627" t="s">
        <v>127</v>
      </c>
      <c r="H2100" s="627">
        <v>4400.0</v>
      </c>
      <c r="I2100" s="626" t="s">
        <v>768</v>
      </c>
      <c r="J2100" s="626" t="s">
        <v>3386</v>
      </c>
      <c r="K2100" s="627">
        <v>1.0</v>
      </c>
      <c r="L2100" s="629">
        <v>3.876841989E9</v>
      </c>
      <c r="M2100" s="387"/>
      <c r="N2100" s="206"/>
      <c r="O2100" s="206"/>
      <c r="P2100" s="206"/>
      <c r="Q2100" s="206"/>
      <c r="R2100" s="206"/>
      <c r="S2100" s="367"/>
      <c r="T2100" s="276"/>
      <c r="U2100" s="276"/>
      <c r="V2100" s="276"/>
      <c r="W2100" s="276"/>
      <c r="X2100" s="276"/>
      <c r="Y2100" s="276"/>
      <c r="Z2100" s="276"/>
      <c r="AA2100" s="276"/>
      <c r="AB2100" s="276"/>
      <c r="AC2100" s="276"/>
    </row>
    <row r="2101">
      <c r="A2101" s="624" t="s">
        <v>13154</v>
      </c>
      <c r="B2101" s="683">
        <v>46182.0</v>
      </c>
      <c r="C2101" s="626">
        <v>8.07000036489E11</v>
      </c>
      <c r="D2101" s="626" t="s">
        <v>13155</v>
      </c>
      <c r="E2101" s="626" t="s">
        <v>13156</v>
      </c>
      <c r="F2101" s="627" t="s">
        <v>13157</v>
      </c>
      <c r="G2101" s="627" t="s">
        <v>4645</v>
      </c>
      <c r="H2101" s="627">
        <v>4400.0</v>
      </c>
      <c r="I2101" s="626">
        <v>125814.0</v>
      </c>
      <c r="J2101" s="626" t="s">
        <v>9798</v>
      </c>
      <c r="K2101" s="627">
        <v>2.0</v>
      </c>
      <c r="L2101" s="629">
        <v>3.875324605E9</v>
      </c>
      <c r="M2101" s="387"/>
      <c r="N2101" s="480">
        <v>46182.0</v>
      </c>
      <c r="O2101" s="402" t="s">
        <v>9011</v>
      </c>
      <c r="P2101" s="534"/>
      <c r="Q2101" s="430" t="s">
        <v>14184</v>
      </c>
      <c r="R2101" s="432" t="s">
        <v>14451</v>
      </c>
      <c r="S2101" s="367"/>
      <c r="T2101" s="276"/>
      <c r="U2101" s="276"/>
      <c r="V2101" s="276"/>
      <c r="W2101" s="276"/>
      <c r="X2101" s="276"/>
      <c r="Y2101" s="276"/>
      <c r="Z2101" s="276"/>
      <c r="AA2101" s="276"/>
      <c r="AB2101" s="276"/>
      <c r="AC2101" s="276"/>
    </row>
    <row r="2102">
      <c r="A2102" s="624" t="s">
        <v>13154</v>
      </c>
      <c r="B2102" s="683">
        <v>46182.0</v>
      </c>
      <c r="C2102" s="626">
        <v>8.0700003649E11</v>
      </c>
      <c r="D2102" s="626" t="s">
        <v>13155</v>
      </c>
      <c r="E2102" s="626" t="s">
        <v>13156</v>
      </c>
      <c r="F2102" s="627" t="s">
        <v>13157</v>
      </c>
      <c r="G2102" s="627" t="s">
        <v>4645</v>
      </c>
      <c r="H2102" s="627">
        <v>4400.0</v>
      </c>
      <c r="I2102" s="626" t="s">
        <v>258</v>
      </c>
      <c r="J2102" s="626" t="s">
        <v>259</v>
      </c>
      <c r="K2102" s="627">
        <v>2.0</v>
      </c>
      <c r="L2102" s="629">
        <v>3.875324605E9</v>
      </c>
      <c r="M2102" s="387"/>
      <c r="N2102" s="209"/>
      <c r="O2102" s="209"/>
      <c r="P2102" s="209"/>
      <c r="Q2102" s="209"/>
      <c r="R2102" s="209"/>
      <c r="S2102" s="367"/>
      <c r="T2102" s="276"/>
      <c r="U2102" s="276"/>
      <c r="V2102" s="276"/>
      <c r="W2102" s="276"/>
      <c r="X2102" s="276"/>
      <c r="Y2102" s="276"/>
      <c r="Z2102" s="276"/>
      <c r="AA2102" s="276"/>
      <c r="AB2102" s="276"/>
      <c r="AC2102" s="276"/>
    </row>
    <row r="2103">
      <c r="A2103" s="624" t="s">
        <v>13158</v>
      </c>
      <c r="B2103" s="683">
        <v>46182.0</v>
      </c>
      <c r="C2103" s="626">
        <v>8.07000036491E11</v>
      </c>
      <c r="D2103" s="626" t="s">
        <v>13155</v>
      </c>
      <c r="E2103" s="626" t="s">
        <v>13156</v>
      </c>
      <c r="F2103" s="627" t="s">
        <v>13157</v>
      </c>
      <c r="G2103" s="627" t="s">
        <v>4645</v>
      </c>
      <c r="H2103" s="627">
        <v>4400.0</v>
      </c>
      <c r="I2103" s="626" t="s">
        <v>617</v>
      </c>
      <c r="J2103" s="626" t="s">
        <v>3867</v>
      </c>
      <c r="K2103" s="627">
        <v>1.0</v>
      </c>
      <c r="L2103" s="629">
        <v>3.875324605E9</v>
      </c>
      <c r="M2103" s="387"/>
      <c r="N2103" s="206"/>
      <c r="O2103" s="206"/>
      <c r="P2103" s="206"/>
      <c r="Q2103" s="206"/>
      <c r="R2103" s="206"/>
      <c r="S2103" s="367"/>
      <c r="T2103" s="276"/>
      <c r="U2103" s="276"/>
      <c r="V2103" s="276"/>
      <c r="W2103" s="276"/>
      <c r="X2103" s="276"/>
      <c r="Y2103" s="276"/>
      <c r="Z2103" s="276"/>
      <c r="AA2103" s="276"/>
      <c r="AB2103" s="276"/>
      <c r="AC2103" s="276"/>
    </row>
    <row r="2104">
      <c r="A2104" s="624" t="s">
        <v>13159</v>
      </c>
      <c r="B2104" s="625">
        <v>46183.0</v>
      </c>
      <c r="C2104" s="626">
        <v>8.07000036457E11</v>
      </c>
      <c r="D2104" s="626" t="s">
        <v>13160</v>
      </c>
      <c r="E2104" s="626" t="s">
        <v>13161</v>
      </c>
      <c r="F2104" s="627" t="s">
        <v>13162</v>
      </c>
      <c r="G2104" s="627" t="s">
        <v>104</v>
      </c>
      <c r="H2104" s="627">
        <v>4400.0</v>
      </c>
      <c r="I2104" s="626">
        <v>125818.0</v>
      </c>
      <c r="J2104" s="626" t="s">
        <v>4334</v>
      </c>
      <c r="K2104" s="627">
        <v>2.0</v>
      </c>
      <c r="L2104" s="629">
        <v>3.876630006E9</v>
      </c>
      <c r="M2104" s="387"/>
      <c r="N2104" s="480">
        <v>46182.0</v>
      </c>
      <c r="O2104" s="402" t="s">
        <v>9011</v>
      </c>
      <c r="P2104" s="534"/>
      <c r="Q2104" s="430" t="s">
        <v>14452</v>
      </c>
      <c r="R2104" s="432" t="s">
        <v>14453</v>
      </c>
      <c r="S2104" s="367"/>
      <c r="T2104" s="276"/>
      <c r="U2104" s="276"/>
      <c r="V2104" s="276"/>
      <c r="W2104" s="276"/>
      <c r="X2104" s="276"/>
      <c r="Y2104" s="276"/>
      <c r="Z2104" s="276"/>
      <c r="AA2104" s="276"/>
      <c r="AB2104" s="276"/>
      <c r="AC2104" s="276"/>
    </row>
    <row r="2105">
      <c r="A2105" s="624" t="s">
        <v>13163</v>
      </c>
      <c r="B2105" s="625">
        <v>46183.0</v>
      </c>
      <c r="C2105" s="626">
        <v>8.07000036458E11</v>
      </c>
      <c r="D2105" s="626" t="s">
        <v>13160</v>
      </c>
      <c r="E2105" s="626" t="s">
        <v>13161</v>
      </c>
      <c r="F2105" s="627" t="s">
        <v>13162</v>
      </c>
      <c r="G2105" s="627" t="s">
        <v>104</v>
      </c>
      <c r="H2105" s="627">
        <v>4400.0</v>
      </c>
      <c r="I2105" s="626" t="s">
        <v>659</v>
      </c>
      <c r="J2105" s="626" t="s">
        <v>3468</v>
      </c>
      <c r="K2105" s="627">
        <v>1.0</v>
      </c>
      <c r="L2105" s="629">
        <v>3.876630006E9</v>
      </c>
      <c r="M2105" s="387"/>
      <c r="N2105" s="206"/>
      <c r="O2105" s="206"/>
      <c r="P2105" s="206"/>
      <c r="Q2105" s="206"/>
      <c r="R2105" s="206"/>
      <c r="S2105" s="367"/>
      <c r="T2105" s="276"/>
      <c r="U2105" s="276"/>
      <c r="V2105" s="276"/>
      <c r="W2105" s="276"/>
      <c r="X2105" s="276"/>
      <c r="Y2105" s="276"/>
      <c r="Z2105" s="276"/>
      <c r="AA2105" s="276"/>
      <c r="AB2105" s="276"/>
      <c r="AC2105" s="276"/>
    </row>
    <row r="2106">
      <c r="A2106" s="624" t="s">
        <v>13164</v>
      </c>
      <c r="B2106" s="625">
        <v>46183.0</v>
      </c>
      <c r="C2106" s="626">
        <v>8.07000036467E11</v>
      </c>
      <c r="D2106" s="626" t="s">
        <v>11893</v>
      </c>
      <c r="E2106" s="626" t="s">
        <v>11894</v>
      </c>
      <c r="F2106" s="627" t="s">
        <v>13165</v>
      </c>
      <c r="G2106" s="627" t="s">
        <v>11896</v>
      </c>
      <c r="H2106" s="627">
        <v>4400.0</v>
      </c>
      <c r="I2106" s="626" t="s">
        <v>4070</v>
      </c>
      <c r="J2106" s="626" t="s">
        <v>6264</v>
      </c>
      <c r="K2106" s="627">
        <v>1.0</v>
      </c>
      <c r="L2106" s="629">
        <v>1.130445899E9</v>
      </c>
      <c r="M2106" s="387"/>
      <c r="N2106" s="481"/>
      <c r="O2106" s="531"/>
      <c r="P2106" s="387"/>
      <c r="Q2106" s="261"/>
      <c r="R2106" s="449"/>
      <c r="S2106" s="367"/>
      <c r="T2106" s="276"/>
      <c r="U2106" s="276"/>
      <c r="V2106" s="276"/>
      <c r="W2106" s="276"/>
      <c r="X2106" s="276"/>
      <c r="Y2106" s="276"/>
      <c r="Z2106" s="276"/>
      <c r="AA2106" s="276"/>
      <c r="AB2106" s="276"/>
      <c r="AC2106" s="276"/>
    </row>
    <row r="2107">
      <c r="A2107" s="624" t="s">
        <v>13164</v>
      </c>
      <c r="B2107" s="625">
        <v>46183.0</v>
      </c>
      <c r="C2107" s="626">
        <v>8.07000036468E11</v>
      </c>
      <c r="D2107" s="626" t="s">
        <v>11893</v>
      </c>
      <c r="E2107" s="626" t="s">
        <v>11894</v>
      </c>
      <c r="F2107" s="627" t="s">
        <v>13165</v>
      </c>
      <c r="G2107" s="627" t="s">
        <v>11896</v>
      </c>
      <c r="H2107" s="627">
        <v>4400.0</v>
      </c>
      <c r="I2107" s="684">
        <v>914751.0</v>
      </c>
      <c r="J2107" s="626" t="s">
        <v>7853</v>
      </c>
      <c r="K2107" s="627">
        <v>1.0</v>
      </c>
      <c r="L2107" s="629">
        <v>1.130445899E9</v>
      </c>
      <c r="M2107" s="387"/>
      <c r="N2107" s="481"/>
      <c r="O2107" s="531"/>
      <c r="P2107" s="387"/>
      <c r="Q2107" s="261"/>
      <c r="R2107" s="449"/>
      <c r="S2107" s="367"/>
      <c r="T2107" s="276"/>
      <c r="U2107" s="276"/>
      <c r="V2107" s="276"/>
      <c r="W2107" s="276"/>
      <c r="X2107" s="276"/>
      <c r="Y2107" s="276"/>
      <c r="Z2107" s="276"/>
      <c r="AA2107" s="276"/>
      <c r="AB2107" s="276"/>
      <c r="AC2107" s="276"/>
    </row>
    <row r="2108">
      <c r="A2108" s="624" t="s">
        <v>13166</v>
      </c>
      <c r="B2108" s="625">
        <v>46183.0</v>
      </c>
      <c r="C2108" s="626">
        <v>8.07000036475E11</v>
      </c>
      <c r="D2108" s="626" t="s">
        <v>13167</v>
      </c>
      <c r="E2108" s="626" t="s">
        <v>13168</v>
      </c>
      <c r="F2108" s="627" t="s">
        <v>13169</v>
      </c>
      <c r="G2108" s="627" t="s">
        <v>4065</v>
      </c>
      <c r="H2108" s="627">
        <v>4400.0</v>
      </c>
      <c r="I2108" s="626" t="s">
        <v>12700</v>
      </c>
      <c r="J2108" s="626" t="s">
        <v>12701</v>
      </c>
      <c r="K2108" s="627">
        <v>2.0</v>
      </c>
      <c r="L2108" s="629">
        <v>3.872216768E9</v>
      </c>
      <c r="M2108" s="387"/>
      <c r="N2108" s="481"/>
      <c r="O2108" s="531"/>
      <c r="P2108" s="387"/>
      <c r="Q2108" s="261"/>
      <c r="R2108" s="449"/>
      <c r="S2108" s="367"/>
      <c r="T2108" s="276"/>
      <c r="U2108" s="276"/>
      <c r="V2108" s="276"/>
      <c r="W2108" s="276"/>
      <c r="X2108" s="276"/>
      <c r="Y2108" s="276"/>
      <c r="Z2108" s="276"/>
      <c r="AA2108" s="276"/>
      <c r="AB2108" s="276"/>
      <c r="AC2108" s="276"/>
    </row>
    <row r="2109">
      <c r="A2109" s="624" t="s">
        <v>13166</v>
      </c>
      <c r="B2109" s="625">
        <v>46183.0</v>
      </c>
      <c r="C2109" s="626">
        <v>8.07000036475E11</v>
      </c>
      <c r="D2109" s="626" t="s">
        <v>13167</v>
      </c>
      <c r="E2109" s="626" t="s">
        <v>13168</v>
      </c>
      <c r="F2109" s="627" t="s">
        <v>13169</v>
      </c>
      <c r="G2109" s="627" t="s">
        <v>4065</v>
      </c>
      <c r="H2109" s="627">
        <v>4400.0</v>
      </c>
      <c r="I2109" s="626" t="s">
        <v>3979</v>
      </c>
      <c r="J2109" s="626" t="s">
        <v>3980</v>
      </c>
      <c r="K2109" s="627">
        <v>1.0</v>
      </c>
      <c r="L2109" s="629">
        <v>3.872216768E9</v>
      </c>
      <c r="M2109" s="387"/>
      <c r="N2109" s="481"/>
      <c r="O2109" s="531"/>
      <c r="P2109" s="387"/>
      <c r="Q2109" s="261"/>
      <c r="R2109" s="449"/>
      <c r="S2109" s="367"/>
      <c r="T2109" s="276"/>
      <c r="U2109" s="276"/>
      <c r="V2109" s="276"/>
      <c r="W2109" s="276"/>
      <c r="X2109" s="276"/>
      <c r="Y2109" s="276"/>
      <c r="Z2109" s="276"/>
      <c r="AA2109" s="276"/>
      <c r="AB2109" s="276"/>
      <c r="AC2109" s="276"/>
    </row>
    <row r="2110">
      <c r="A2110" s="624" t="s">
        <v>13170</v>
      </c>
      <c r="B2110" s="625">
        <v>46183.0</v>
      </c>
      <c r="C2110" s="626">
        <v>8.07000036486E11</v>
      </c>
      <c r="D2110" s="626" t="s">
        <v>13171</v>
      </c>
      <c r="E2110" s="626" t="s">
        <v>13172</v>
      </c>
      <c r="F2110" s="627" t="s">
        <v>13173</v>
      </c>
      <c r="G2110" s="627" t="s">
        <v>4645</v>
      </c>
      <c r="H2110" s="627">
        <v>4400.0</v>
      </c>
      <c r="I2110" s="626">
        <v>125818.0</v>
      </c>
      <c r="J2110" s="626" t="s">
        <v>4334</v>
      </c>
      <c r="K2110" s="627">
        <v>2.0</v>
      </c>
      <c r="L2110" s="629">
        <v>3.873659469E9</v>
      </c>
      <c r="M2110" s="387"/>
      <c r="N2110" s="480">
        <v>46182.0</v>
      </c>
      <c r="O2110" s="402" t="s">
        <v>9011</v>
      </c>
      <c r="P2110" s="534"/>
      <c r="Q2110" s="430" t="s">
        <v>14396</v>
      </c>
      <c r="R2110" s="432" t="s">
        <v>14454</v>
      </c>
      <c r="S2110" s="367"/>
      <c r="T2110" s="276"/>
      <c r="U2110" s="276"/>
      <c r="V2110" s="276"/>
      <c r="W2110" s="276"/>
      <c r="X2110" s="276"/>
      <c r="Y2110" s="276"/>
      <c r="Z2110" s="276"/>
      <c r="AA2110" s="276"/>
      <c r="AB2110" s="276"/>
      <c r="AC2110" s="276"/>
    </row>
    <row r="2111">
      <c r="A2111" s="624" t="s">
        <v>13170</v>
      </c>
      <c r="B2111" s="625">
        <v>46183.0</v>
      </c>
      <c r="C2111" s="626">
        <v>8.07000036485E11</v>
      </c>
      <c r="D2111" s="626" t="s">
        <v>13171</v>
      </c>
      <c r="E2111" s="626" t="s">
        <v>13172</v>
      </c>
      <c r="F2111" s="627" t="s">
        <v>13173</v>
      </c>
      <c r="G2111" s="627" t="s">
        <v>4645</v>
      </c>
      <c r="H2111" s="627">
        <v>4400.0</v>
      </c>
      <c r="I2111" s="626" t="s">
        <v>3451</v>
      </c>
      <c r="J2111" s="626" t="s">
        <v>3452</v>
      </c>
      <c r="K2111" s="627">
        <v>1.0</v>
      </c>
      <c r="L2111" s="629">
        <v>3.873659469E9</v>
      </c>
      <c r="M2111" s="387"/>
      <c r="N2111" s="209"/>
      <c r="O2111" s="209"/>
      <c r="P2111" s="209"/>
      <c r="Q2111" s="209"/>
      <c r="R2111" s="209"/>
      <c r="S2111" s="367"/>
      <c r="T2111" s="276"/>
      <c r="U2111" s="276"/>
      <c r="V2111" s="276"/>
      <c r="W2111" s="276"/>
      <c r="X2111" s="276"/>
      <c r="Y2111" s="276"/>
      <c r="Z2111" s="276"/>
      <c r="AA2111" s="276"/>
      <c r="AB2111" s="276"/>
      <c r="AC2111" s="276"/>
    </row>
    <row r="2112">
      <c r="A2112" s="624" t="s">
        <v>13170</v>
      </c>
      <c r="B2112" s="625">
        <v>46183.0</v>
      </c>
      <c r="C2112" s="626">
        <v>8.07000036485E11</v>
      </c>
      <c r="D2112" s="626" t="s">
        <v>13171</v>
      </c>
      <c r="E2112" s="626" t="s">
        <v>13172</v>
      </c>
      <c r="F2112" s="627" t="s">
        <v>13173</v>
      </c>
      <c r="G2112" s="627" t="s">
        <v>4645</v>
      </c>
      <c r="H2112" s="627">
        <v>4400.0</v>
      </c>
      <c r="I2112" s="626" t="s">
        <v>512</v>
      </c>
      <c r="J2112" s="626" t="s">
        <v>513</v>
      </c>
      <c r="K2112" s="627">
        <v>6.0</v>
      </c>
      <c r="L2112" s="629">
        <v>3.873659469E9</v>
      </c>
      <c r="M2112" s="387"/>
      <c r="N2112" s="209"/>
      <c r="O2112" s="209"/>
      <c r="P2112" s="209"/>
      <c r="Q2112" s="209"/>
      <c r="R2112" s="209"/>
      <c r="S2112" s="367"/>
      <c r="T2112" s="276"/>
      <c r="U2112" s="276"/>
      <c r="V2112" s="276"/>
      <c r="W2112" s="276"/>
      <c r="X2112" s="276"/>
      <c r="Y2112" s="276"/>
      <c r="Z2112" s="276"/>
      <c r="AA2112" s="276"/>
      <c r="AB2112" s="276"/>
      <c r="AC2112" s="276"/>
    </row>
    <row r="2113">
      <c r="A2113" s="624" t="s">
        <v>13170</v>
      </c>
      <c r="B2113" s="625">
        <v>46183.0</v>
      </c>
      <c r="C2113" s="626">
        <v>8.07000036485E11</v>
      </c>
      <c r="D2113" s="626" t="s">
        <v>13171</v>
      </c>
      <c r="E2113" s="626" t="s">
        <v>13172</v>
      </c>
      <c r="F2113" s="627" t="s">
        <v>13173</v>
      </c>
      <c r="G2113" s="627" t="s">
        <v>4645</v>
      </c>
      <c r="H2113" s="627">
        <v>4400.0</v>
      </c>
      <c r="I2113" s="626" t="s">
        <v>670</v>
      </c>
      <c r="J2113" s="626" t="s">
        <v>3410</v>
      </c>
      <c r="K2113" s="627">
        <v>1.0</v>
      </c>
      <c r="L2113" s="629">
        <v>3.873659469E9</v>
      </c>
      <c r="M2113" s="389"/>
      <c r="N2113" s="206"/>
      <c r="O2113" s="206"/>
      <c r="P2113" s="206"/>
      <c r="Q2113" s="206"/>
      <c r="R2113" s="206"/>
      <c r="S2113" s="276"/>
      <c r="T2113" s="276"/>
      <c r="U2113" s="276"/>
      <c r="V2113" s="276"/>
      <c r="W2113" s="276"/>
      <c r="X2113" s="276"/>
      <c r="Y2113" s="276"/>
      <c r="Z2113" s="276"/>
      <c r="AA2113" s="276"/>
      <c r="AB2113" s="276"/>
      <c r="AC2113" s="276"/>
    </row>
    <row r="2114">
      <c r="A2114" s="370"/>
      <c r="B2114" s="439"/>
      <c r="C2114" s="384"/>
      <c r="D2114" s="384"/>
      <c r="E2114" s="384"/>
      <c r="F2114" s="419"/>
      <c r="G2114" s="419"/>
      <c r="H2114" s="419"/>
      <c r="I2114" s="384"/>
      <c r="J2114" s="384"/>
      <c r="K2114" s="419"/>
      <c r="L2114" s="403"/>
      <c r="M2114" s="389"/>
      <c r="N2114" s="392"/>
      <c r="O2114" s="349"/>
      <c r="P2114" s="389"/>
      <c r="Q2114" s="275"/>
      <c r="R2114" s="277"/>
      <c r="S2114" s="276"/>
      <c r="T2114" s="276"/>
      <c r="U2114" s="276"/>
      <c r="V2114" s="276"/>
      <c r="W2114" s="276"/>
      <c r="X2114" s="276"/>
      <c r="Y2114" s="276"/>
      <c r="Z2114" s="276"/>
      <c r="AA2114" s="276"/>
      <c r="AB2114" s="276"/>
      <c r="AC2114" s="276"/>
    </row>
    <row r="2115">
      <c r="A2115" s="370"/>
      <c r="B2115" s="439"/>
      <c r="C2115" s="384"/>
      <c r="D2115" s="384"/>
      <c r="E2115" s="384"/>
      <c r="F2115" s="419"/>
      <c r="G2115" s="419"/>
      <c r="H2115" s="419"/>
      <c r="I2115" s="384"/>
      <c r="J2115" s="384"/>
      <c r="K2115" s="419"/>
      <c r="L2115" s="403"/>
      <c r="M2115" s="389"/>
      <c r="N2115" s="392"/>
      <c r="O2115" s="349"/>
      <c r="P2115" s="389"/>
      <c r="Q2115" s="275"/>
      <c r="R2115" s="277"/>
      <c r="S2115" s="276"/>
      <c r="T2115" s="276"/>
      <c r="U2115" s="276"/>
      <c r="V2115" s="276"/>
      <c r="W2115" s="276"/>
      <c r="X2115" s="276"/>
      <c r="Y2115" s="276"/>
      <c r="Z2115" s="276"/>
      <c r="AA2115" s="276"/>
      <c r="AB2115" s="276"/>
      <c r="AC2115" s="276"/>
    </row>
    <row r="2116">
      <c r="A2116" s="370"/>
      <c r="B2116" s="439"/>
      <c r="C2116" s="384"/>
      <c r="D2116" s="384"/>
      <c r="E2116" s="384"/>
      <c r="F2116" s="419"/>
      <c r="G2116" s="419"/>
      <c r="H2116" s="419"/>
      <c r="I2116" s="384"/>
      <c r="J2116" s="384"/>
      <c r="K2116" s="419"/>
      <c r="L2116" s="403"/>
      <c r="M2116" s="389"/>
      <c r="N2116" s="392"/>
      <c r="O2116" s="349"/>
      <c r="P2116" s="389"/>
      <c r="Q2116" s="275"/>
      <c r="R2116" s="277"/>
      <c r="S2116" s="276"/>
      <c r="T2116" s="276"/>
      <c r="U2116" s="276"/>
      <c r="V2116" s="276"/>
      <c r="W2116" s="276"/>
      <c r="X2116" s="276"/>
      <c r="Y2116" s="276"/>
      <c r="Z2116" s="276"/>
      <c r="AA2116" s="276"/>
      <c r="AB2116" s="276"/>
      <c r="AC2116" s="276"/>
    </row>
    <row r="2117">
      <c r="A2117" s="370"/>
      <c r="B2117" s="439"/>
      <c r="C2117" s="384"/>
      <c r="D2117" s="384"/>
      <c r="E2117" s="384"/>
      <c r="F2117" s="419"/>
      <c r="G2117" s="419"/>
      <c r="H2117" s="419"/>
      <c r="I2117" s="384"/>
      <c r="J2117" s="384"/>
      <c r="K2117" s="419"/>
      <c r="L2117" s="403"/>
      <c r="M2117" s="389"/>
      <c r="N2117" s="392"/>
      <c r="O2117" s="349"/>
      <c r="P2117" s="389"/>
      <c r="Q2117" s="275"/>
      <c r="R2117" s="277"/>
      <c r="S2117" s="276"/>
      <c r="T2117" s="276"/>
      <c r="U2117" s="276"/>
      <c r="V2117" s="276"/>
      <c r="W2117" s="276"/>
      <c r="X2117" s="276"/>
      <c r="Y2117" s="276"/>
      <c r="Z2117" s="276"/>
      <c r="AA2117" s="276"/>
      <c r="AB2117" s="276"/>
      <c r="AC2117" s="276"/>
    </row>
    <row r="2118">
      <c r="A2118" s="370"/>
      <c r="B2118" s="439"/>
      <c r="C2118" s="384"/>
      <c r="D2118" s="384"/>
      <c r="E2118" s="384"/>
      <c r="F2118" s="419"/>
      <c r="G2118" s="419"/>
      <c r="H2118" s="419"/>
      <c r="I2118" s="384"/>
      <c r="J2118" s="384"/>
      <c r="K2118" s="419"/>
      <c r="L2118" s="403"/>
      <c r="M2118" s="389"/>
      <c r="N2118" s="392"/>
      <c r="O2118" s="349"/>
      <c r="P2118" s="389"/>
      <c r="Q2118" s="275"/>
      <c r="R2118" s="277"/>
      <c r="S2118" s="276"/>
      <c r="T2118" s="276"/>
      <c r="U2118" s="276"/>
      <c r="V2118" s="276"/>
      <c r="W2118" s="276"/>
      <c r="X2118" s="276"/>
      <c r="Y2118" s="276"/>
      <c r="Z2118" s="276"/>
      <c r="AA2118" s="276"/>
      <c r="AB2118" s="276"/>
      <c r="AC2118" s="276"/>
    </row>
    <row r="2119">
      <c r="A2119" s="370"/>
      <c r="B2119" s="439"/>
      <c r="C2119" s="384"/>
      <c r="D2119" s="384"/>
      <c r="E2119" s="384"/>
      <c r="F2119" s="419"/>
      <c r="G2119" s="419"/>
      <c r="H2119" s="419"/>
      <c r="I2119" s="384"/>
      <c r="J2119" s="384"/>
      <c r="K2119" s="419"/>
      <c r="L2119" s="403"/>
      <c r="M2119" s="389"/>
      <c r="N2119" s="392"/>
      <c r="O2119" s="349"/>
      <c r="P2119" s="389"/>
      <c r="Q2119" s="275"/>
      <c r="R2119" s="277"/>
      <c r="S2119" s="276"/>
      <c r="T2119" s="276"/>
      <c r="U2119" s="276"/>
      <c r="V2119" s="276"/>
      <c r="W2119" s="276"/>
      <c r="X2119" s="276"/>
      <c r="Y2119" s="276"/>
      <c r="Z2119" s="276"/>
      <c r="AA2119" s="276"/>
      <c r="AB2119" s="276"/>
      <c r="AC2119" s="276"/>
    </row>
    <row r="2120">
      <c r="A2120" s="370"/>
      <c r="B2120" s="439"/>
      <c r="C2120" s="384"/>
      <c r="D2120" s="384"/>
      <c r="E2120" s="384"/>
      <c r="F2120" s="419"/>
      <c r="G2120" s="419"/>
      <c r="H2120" s="419"/>
      <c r="I2120" s="384"/>
      <c r="J2120" s="384"/>
      <c r="K2120" s="419"/>
      <c r="L2120" s="403"/>
      <c r="M2120" s="389"/>
      <c r="N2120" s="392"/>
      <c r="O2120" s="349"/>
      <c r="P2120" s="389"/>
      <c r="Q2120" s="275"/>
      <c r="R2120" s="277"/>
      <c r="S2120" s="276"/>
      <c r="T2120" s="276"/>
      <c r="U2120" s="276"/>
      <c r="V2120" s="276"/>
      <c r="W2120" s="276"/>
      <c r="X2120" s="276"/>
      <c r="Y2120" s="276"/>
      <c r="Z2120" s="276"/>
      <c r="AA2120" s="276"/>
      <c r="AB2120" s="276"/>
      <c r="AC2120" s="276"/>
    </row>
    <row r="2121">
      <c r="A2121" s="370"/>
      <c r="B2121" s="439"/>
      <c r="C2121" s="384"/>
      <c r="D2121" s="384"/>
      <c r="E2121" s="384"/>
      <c r="F2121" s="419"/>
      <c r="G2121" s="419"/>
      <c r="H2121" s="419"/>
      <c r="I2121" s="384"/>
      <c r="J2121" s="384"/>
      <c r="K2121" s="419"/>
      <c r="L2121" s="403"/>
      <c r="M2121" s="389"/>
      <c r="N2121" s="392"/>
      <c r="O2121" s="349"/>
      <c r="P2121" s="389"/>
      <c r="Q2121" s="275"/>
      <c r="R2121" s="277"/>
      <c r="S2121" s="276"/>
      <c r="T2121" s="276"/>
      <c r="U2121" s="276"/>
      <c r="V2121" s="276"/>
      <c r="W2121" s="276"/>
      <c r="X2121" s="276"/>
      <c r="Y2121" s="276"/>
      <c r="Z2121" s="276"/>
      <c r="AA2121" s="276"/>
      <c r="AB2121" s="276"/>
      <c r="AC2121" s="276"/>
    </row>
    <row r="2122">
      <c r="A2122" s="370"/>
      <c r="B2122" s="439"/>
      <c r="C2122" s="384"/>
      <c r="D2122" s="384"/>
      <c r="E2122" s="384"/>
      <c r="F2122" s="419"/>
      <c r="G2122" s="419"/>
      <c r="H2122" s="419"/>
      <c r="I2122" s="384"/>
      <c r="J2122" s="384"/>
      <c r="K2122" s="419"/>
      <c r="L2122" s="403"/>
      <c r="M2122" s="389"/>
      <c r="N2122" s="392"/>
      <c r="O2122" s="349"/>
      <c r="P2122" s="389"/>
      <c r="Q2122" s="275"/>
      <c r="R2122" s="277"/>
      <c r="S2122" s="276"/>
      <c r="T2122" s="276"/>
      <c r="U2122" s="276"/>
      <c r="V2122" s="276"/>
      <c r="W2122" s="276"/>
      <c r="X2122" s="276"/>
      <c r="Y2122" s="276"/>
      <c r="Z2122" s="276"/>
      <c r="AA2122" s="276"/>
      <c r="AB2122" s="276"/>
      <c r="AC2122" s="276"/>
    </row>
    <row r="2123">
      <c r="A2123" s="370"/>
      <c r="B2123" s="439"/>
      <c r="C2123" s="384"/>
      <c r="D2123" s="384"/>
      <c r="E2123" s="384"/>
      <c r="F2123" s="419"/>
      <c r="G2123" s="419"/>
      <c r="H2123" s="419"/>
      <c r="I2123" s="384"/>
      <c r="J2123" s="384"/>
      <c r="K2123" s="419"/>
      <c r="L2123" s="403"/>
      <c r="M2123" s="389"/>
      <c r="N2123" s="392"/>
      <c r="O2123" s="349"/>
      <c r="P2123" s="389"/>
      <c r="Q2123" s="275"/>
      <c r="R2123" s="277"/>
      <c r="S2123" s="276"/>
      <c r="T2123" s="276"/>
      <c r="U2123" s="276"/>
      <c r="V2123" s="276"/>
      <c r="W2123" s="276"/>
      <c r="X2123" s="276"/>
      <c r="Y2123" s="276"/>
      <c r="Z2123" s="276"/>
      <c r="AA2123" s="276"/>
      <c r="AB2123" s="276"/>
      <c r="AC2123" s="276"/>
    </row>
    <row r="2124">
      <c r="A2124" s="370"/>
      <c r="B2124" s="439"/>
      <c r="C2124" s="384"/>
      <c r="D2124" s="384"/>
      <c r="E2124" s="384"/>
      <c r="F2124" s="419"/>
      <c r="G2124" s="419"/>
      <c r="H2124" s="419"/>
      <c r="I2124" s="384"/>
      <c r="J2124" s="384"/>
      <c r="K2124" s="419"/>
      <c r="L2124" s="403"/>
      <c r="M2124" s="389"/>
      <c r="N2124" s="392"/>
      <c r="O2124" s="349"/>
      <c r="P2124" s="389"/>
      <c r="Q2124" s="275"/>
      <c r="R2124" s="277"/>
      <c r="S2124" s="276"/>
      <c r="T2124" s="276"/>
      <c r="U2124" s="276"/>
      <c r="V2124" s="276"/>
      <c r="W2124" s="276"/>
      <c r="X2124" s="276"/>
      <c r="Y2124" s="276"/>
      <c r="Z2124" s="276"/>
      <c r="AA2124" s="276"/>
      <c r="AB2124" s="276"/>
      <c r="AC2124" s="276"/>
    </row>
    <row r="2125">
      <c r="A2125" s="370"/>
      <c r="B2125" s="439"/>
      <c r="C2125" s="384"/>
      <c r="D2125" s="384"/>
      <c r="E2125" s="384"/>
      <c r="F2125" s="419"/>
      <c r="G2125" s="419"/>
      <c r="H2125" s="419"/>
      <c r="I2125" s="384"/>
      <c r="J2125" s="384"/>
      <c r="K2125" s="419"/>
      <c r="L2125" s="403"/>
      <c r="M2125" s="389"/>
      <c r="N2125" s="392"/>
      <c r="O2125" s="349"/>
      <c r="P2125" s="389"/>
      <c r="Q2125" s="275"/>
      <c r="R2125" s="277"/>
      <c r="S2125" s="276"/>
      <c r="T2125" s="276"/>
      <c r="U2125" s="276"/>
      <c r="V2125" s="276"/>
      <c r="W2125" s="276"/>
      <c r="X2125" s="276"/>
      <c r="Y2125" s="276"/>
      <c r="Z2125" s="276"/>
      <c r="AA2125" s="276"/>
      <c r="AB2125" s="276"/>
      <c r="AC2125" s="276"/>
    </row>
    <row r="2126">
      <c r="A2126" s="370"/>
      <c r="B2126" s="439"/>
      <c r="C2126" s="384"/>
      <c r="D2126" s="384"/>
      <c r="E2126" s="384"/>
      <c r="F2126" s="419"/>
      <c r="G2126" s="419"/>
      <c r="H2126" s="419"/>
      <c r="I2126" s="384"/>
      <c r="J2126" s="384"/>
      <c r="K2126" s="419"/>
      <c r="L2126" s="403"/>
      <c r="M2126" s="389"/>
      <c r="N2126" s="392"/>
      <c r="O2126" s="349"/>
      <c r="P2126" s="389"/>
      <c r="Q2126" s="275"/>
      <c r="R2126" s="277"/>
      <c r="S2126" s="276"/>
      <c r="T2126" s="276"/>
      <c r="U2126" s="276"/>
      <c r="V2126" s="276"/>
      <c r="W2126" s="276"/>
      <c r="X2126" s="276"/>
      <c r="Y2126" s="276"/>
      <c r="Z2126" s="276"/>
      <c r="AA2126" s="276"/>
      <c r="AB2126" s="276"/>
      <c r="AC2126" s="276"/>
    </row>
    <row r="2127">
      <c r="A2127" s="370"/>
      <c r="B2127" s="439"/>
      <c r="C2127" s="384"/>
      <c r="D2127" s="384"/>
      <c r="E2127" s="384"/>
      <c r="F2127" s="419"/>
      <c r="G2127" s="419"/>
      <c r="H2127" s="419"/>
      <c r="I2127" s="384"/>
      <c r="J2127" s="384"/>
      <c r="K2127" s="419"/>
      <c r="L2127" s="403"/>
      <c r="M2127" s="389"/>
      <c r="N2127" s="392"/>
      <c r="O2127" s="349"/>
      <c r="P2127" s="389"/>
      <c r="Q2127" s="275"/>
      <c r="R2127" s="277"/>
      <c r="S2127" s="276"/>
      <c r="T2127" s="276"/>
      <c r="U2127" s="276"/>
      <c r="V2127" s="276"/>
      <c r="W2127" s="276"/>
      <c r="X2127" s="276"/>
      <c r="Y2127" s="276"/>
      <c r="Z2127" s="276"/>
      <c r="AA2127" s="276"/>
      <c r="AB2127" s="276"/>
      <c r="AC2127" s="276"/>
    </row>
    <row r="2128">
      <c r="A2128" s="370"/>
      <c r="B2128" s="439"/>
      <c r="C2128" s="384"/>
      <c r="D2128" s="384"/>
      <c r="E2128" s="384"/>
      <c r="F2128" s="419"/>
      <c r="G2128" s="419"/>
      <c r="H2128" s="419"/>
      <c r="I2128" s="384"/>
      <c r="J2128" s="384"/>
      <c r="K2128" s="419"/>
      <c r="L2128" s="403"/>
      <c r="M2128" s="389"/>
      <c r="N2128" s="392"/>
      <c r="O2128" s="349"/>
      <c r="P2128" s="389"/>
      <c r="Q2128" s="275"/>
      <c r="R2128" s="277"/>
      <c r="S2128" s="276"/>
      <c r="T2128" s="276"/>
      <c r="U2128" s="276"/>
      <c r="V2128" s="276"/>
      <c r="W2128" s="276"/>
      <c r="X2128" s="276"/>
      <c r="Y2128" s="276"/>
      <c r="Z2128" s="276"/>
      <c r="AA2128" s="276"/>
      <c r="AB2128" s="276"/>
      <c r="AC2128" s="276"/>
    </row>
    <row r="2129">
      <c r="A2129" s="370"/>
      <c r="B2129" s="439"/>
      <c r="C2129" s="384"/>
      <c r="D2129" s="384"/>
      <c r="E2129" s="384"/>
      <c r="F2129" s="419"/>
      <c r="G2129" s="419"/>
      <c r="H2129" s="419"/>
      <c r="I2129" s="384"/>
      <c r="J2129" s="384"/>
      <c r="K2129" s="419"/>
      <c r="L2129" s="403"/>
      <c r="M2129" s="389"/>
      <c r="N2129" s="392"/>
      <c r="O2129" s="349"/>
      <c r="P2129" s="389"/>
      <c r="Q2129" s="275"/>
      <c r="R2129" s="277"/>
      <c r="S2129" s="276"/>
      <c r="T2129" s="276"/>
      <c r="U2129" s="276"/>
      <c r="V2129" s="276"/>
      <c r="W2129" s="276"/>
      <c r="X2129" s="276"/>
      <c r="Y2129" s="276"/>
      <c r="Z2129" s="276"/>
      <c r="AA2129" s="276"/>
      <c r="AB2129" s="276"/>
      <c r="AC2129" s="276"/>
    </row>
    <row r="2130">
      <c r="A2130" s="370"/>
      <c r="B2130" s="439"/>
      <c r="C2130" s="384"/>
      <c r="D2130" s="384"/>
      <c r="E2130" s="384"/>
      <c r="F2130" s="419"/>
      <c r="G2130" s="419"/>
      <c r="H2130" s="419"/>
      <c r="I2130" s="384"/>
      <c r="J2130" s="384"/>
      <c r="K2130" s="419"/>
      <c r="L2130" s="403"/>
      <c r="M2130" s="389"/>
      <c r="N2130" s="392"/>
      <c r="O2130" s="349"/>
      <c r="P2130" s="389"/>
      <c r="Q2130" s="275"/>
      <c r="R2130" s="277"/>
      <c r="S2130" s="276"/>
      <c r="T2130" s="276"/>
      <c r="U2130" s="276"/>
      <c r="V2130" s="276"/>
      <c r="W2130" s="276"/>
      <c r="X2130" s="276"/>
      <c r="Y2130" s="276"/>
      <c r="Z2130" s="276"/>
      <c r="AA2130" s="276"/>
      <c r="AB2130" s="276"/>
      <c r="AC2130" s="276"/>
    </row>
    <row r="2131">
      <c r="A2131" s="370"/>
      <c r="B2131" s="439"/>
      <c r="C2131" s="384"/>
      <c r="D2131" s="384"/>
      <c r="E2131" s="384"/>
      <c r="F2131" s="419"/>
      <c r="G2131" s="419"/>
      <c r="H2131" s="419"/>
      <c r="I2131" s="384"/>
      <c r="J2131" s="384"/>
      <c r="K2131" s="419"/>
      <c r="L2131" s="403"/>
      <c r="M2131" s="389"/>
      <c r="N2131" s="392"/>
      <c r="O2131" s="349"/>
      <c r="P2131" s="389"/>
      <c r="Q2131" s="275"/>
      <c r="R2131" s="277"/>
      <c r="S2131" s="276"/>
      <c r="T2131" s="276"/>
      <c r="U2131" s="276"/>
      <c r="V2131" s="276"/>
      <c r="W2131" s="276"/>
      <c r="X2131" s="276"/>
      <c r="Y2131" s="276"/>
      <c r="Z2131" s="276"/>
      <c r="AA2131" s="276"/>
      <c r="AB2131" s="276"/>
      <c r="AC2131" s="276"/>
    </row>
    <row r="2132">
      <c r="A2132" s="370"/>
      <c r="B2132" s="439"/>
      <c r="C2132" s="384"/>
      <c r="D2132" s="384"/>
      <c r="E2132" s="384"/>
      <c r="F2132" s="419"/>
      <c r="G2132" s="419"/>
      <c r="H2132" s="419"/>
      <c r="I2132" s="384"/>
      <c r="J2132" s="384"/>
      <c r="K2132" s="419"/>
      <c r="L2132" s="403"/>
      <c r="M2132" s="389"/>
      <c r="N2132" s="392"/>
      <c r="O2132" s="349"/>
      <c r="P2132" s="389"/>
      <c r="Q2132" s="275"/>
      <c r="R2132" s="277"/>
      <c r="S2132" s="276"/>
      <c r="T2132" s="276"/>
      <c r="U2132" s="276"/>
      <c r="V2132" s="276"/>
      <c r="W2132" s="276"/>
      <c r="X2132" s="276"/>
      <c r="Y2132" s="276"/>
      <c r="Z2132" s="276"/>
      <c r="AA2132" s="276"/>
      <c r="AB2132" s="276"/>
      <c r="AC2132" s="276"/>
    </row>
    <row r="2133">
      <c r="A2133" s="370"/>
      <c r="B2133" s="439"/>
      <c r="C2133" s="384"/>
      <c r="D2133" s="384"/>
      <c r="E2133" s="384"/>
      <c r="F2133" s="419"/>
      <c r="G2133" s="419"/>
      <c r="H2133" s="419"/>
      <c r="I2133" s="384"/>
      <c r="J2133" s="384"/>
      <c r="K2133" s="419"/>
      <c r="L2133" s="403"/>
      <c r="M2133" s="389"/>
      <c r="N2133" s="392"/>
      <c r="O2133" s="349"/>
      <c r="P2133" s="389"/>
      <c r="Q2133" s="275"/>
      <c r="R2133" s="277"/>
      <c r="S2133" s="276"/>
      <c r="T2133" s="276"/>
      <c r="U2133" s="276"/>
      <c r="V2133" s="276"/>
      <c r="W2133" s="276"/>
      <c r="X2133" s="276"/>
      <c r="Y2133" s="276"/>
      <c r="Z2133" s="276"/>
      <c r="AA2133" s="276"/>
      <c r="AB2133" s="276"/>
      <c r="AC2133" s="276"/>
    </row>
    <row r="2134">
      <c r="A2134" s="370"/>
      <c r="B2134" s="439"/>
      <c r="C2134" s="384"/>
      <c r="D2134" s="384"/>
      <c r="E2134" s="384"/>
      <c r="F2134" s="419"/>
      <c r="G2134" s="419"/>
      <c r="H2134" s="419"/>
      <c r="I2134" s="384"/>
      <c r="J2134" s="384"/>
      <c r="K2134" s="419"/>
      <c r="L2134" s="403"/>
      <c r="M2134" s="389"/>
      <c r="N2134" s="392"/>
      <c r="O2134" s="349"/>
      <c r="P2134" s="389"/>
      <c r="Q2134" s="275"/>
      <c r="R2134" s="277"/>
      <c r="S2134" s="276"/>
      <c r="T2134" s="276"/>
      <c r="U2134" s="276"/>
      <c r="V2134" s="276"/>
      <c r="W2134" s="276"/>
      <c r="X2134" s="276"/>
      <c r="Y2134" s="276"/>
      <c r="Z2134" s="276"/>
      <c r="AA2134" s="276"/>
      <c r="AB2134" s="276"/>
      <c r="AC2134" s="276"/>
    </row>
    <row r="2135">
      <c r="A2135" s="370"/>
      <c r="B2135" s="439"/>
      <c r="C2135" s="384"/>
      <c r="D2135" s="384"/>
      <c r="E2135" s="384"/>
      <c r="F2135" s="419"/>
      <c r="G2135" s="419"/>
      <c r="H2135" s="419"/>
      <c r="I2135" s="384"/>
      <c r="J2135" s="384"/>
      <c r="K2135" s="419"/>
      <c r="L2135" s="403"/>
      <c r="M2135" s="389"/>
      <c r="N2135" s="392"/>
      <c r="O2135" s="349"/>
      <c r="P2135" s="389"/>
      <c r="Q2135" s="275"/>
      <c r="R2135" s="277"/>
      <c r="S2135" s="276"/>
      <c r="T2135" s="276"/>
      <c r="U2135" s="276"/>
      <c r="V2135" s="276"/>
      <c r="W2135" s="276"/>
      <c r="X2135" s="276"/>
      <c r="Y2135" s="276"/>
      <c r="Z2135" s="276"/>
      <c r="AA2135" s="276"/>
      <c r="AB2135" s="276"/>
      <c r="AC2135" s="276"/>
    </row>
    <row r="2136">
      <c r="A2136" s="370"/>
      <c r="B2136" s="439"/>
      <c r="C2136" s="384"/>
      <c r="D2136" s="384"/>
      <c r="E2136" s="384"/>
      <c r="F2136" s="419"/>
      <c r="G2136" s="419"/>
      <c r="H2136" s="419"/>
      <c r="I2136" s="384"/>
      <c r="J2136" s="384"/>
      <c r="K2136" s="419"/>
      <c r="L2136" s="403"/>
      <c r="M2136" s="389"/>
      <c r="N2136" s="392"/>
      <c r="O2136" s="349"/>
      <c r="P2136" s="389"/>
      <c r="Q2136" s="275"/>
      <c r="R2136" s="277"/>
      <c r="S2136" s="276"/>
      <c r="T2136" s="276"/>
      <c r="U2136" s="276"/>
      <c r="V2136" s="276"/>
      <c r="W2136" s="276"/>
      <c r="X2136" s="276"/>
      <c r="Y2136" s="276"/>
      <c r="Z2136" s="276"/>
      <c r="AA2136" s="276"/>
      <c r="AB2136" s="276"/>
      <c r="AC2136" s="276"/>
    </row>
    <row r="2137">
      <c r="A2137" s="370"/>
      <c r="B2137" s="439"/>
      <c r="C2137" s="384"/>
      <c r="D2137" s="384"/>
      <c r="E2137" s="384"/>
      <c r="F2137" s="419"/>
      <c r="G2137" s="419"/>
      <c r="H2137" s="419"/>
      <c r="I2137" s="384"/>
      <c r="J2137" s="384"/>
      <c r="K2137" s="419"/>
      <c r="L2137" s="403"/>
      <c r="M2137" s="389"/>
      <c r="N2137" s="392"/>
      <c r="O2137" s="349"/>
      <c r="P2137" s="389"/>
      <c r="Q2137" s="275"/>
      <c r="R2137" s="277"/>
      <c r="S2137" s="276"/>
      <c r="T2137" s="276"/>
      <c r="U2137" s="276"/>
      <c r="V2137" s="276"/>
      <c r="W2137" s="276"/>
      <c r="X2137" s="276"/>
      <c r="Y2137" s="276"/>
      <c r="Z2137" s="276"/>
      <c r="AA2137" s="276"/>
      <c r="AB2137" s="276"/>
      <c r="AC2137" s="276"/>
    </row>
    <row r="2138">
      <c r="A2138" s="370"/>
      <c r="B2138" s="439"/>
      <c r="C2138" s="384"/>
      <c r="D2138" s="384"/>
      <c r="E2138" s="384"/>
      <c r="F2138" s="419"/>
      <c r="G2138" s="419"/>
      <c r="H2138" s="419"/>
      <c r="I2138" s="384"/>
      <c r="J2138" s="384"/>
      <c r="K2138" s="419"/>
      <c r="L2138" s="403"/>
      <c r="M2138" s="389"/>
      <c r="N2138" s="392"/>
      <c r="O2138" s="349"/>
      <c r="P2138" s="389"/>
      <c r="Q2138" s="275"/>
      <c r="R2138" s="277"/>
      <c r="S2138" s="276"/>
      <c r="T2138" s="276"/>
      <c r="U2138" s="276"/>
      <c r="V2138" s="276"/>
      <c r="W2138" s="276"/>
      <c r="X2138" s="276"/>
      <c r="Y2138" s="276"/>
      <c r="Z2138" s="276"/>
      <c r="AA2138" s="276"/>
      <c r="AB2138" s="276"/>
      <c r="AC2138" s="276"/>
    </row>
    <row r="2139">
      <c r="A2139" s="370"/>
      <c r="B2139" s="439"/>
      <c r="C2139" s="384"/>
      <c r="D2139" s="384"/>
      <c r="E2139" s="384"/>
      <c r="F2139" s="419"/>
      <c r="G2139" s="419"/>
      <c r="H2139" s="419"/>
      <c r="I2139" s="384"/>
      <c r="J2139" s="384"/>
      <c r="K2139" s="419"/>
      <c r="L2139" s="403"/>
      <c r="M2139" s="389"/>
      <c r="N2139" s="392"/>
      <c r="O2139" s="349"/>
      <c r="P2139" s="389"/>
      <c r="Q2139" s="275"/>
      <c r="R2139" s="277"/>
      <c r="S2139" s="276"/>
      <c r="T2139" s="276"/>
      <c r="U2139" s="276"/>
      <c r="V2139" s="276"/>
      <c r="W2139" s="276"/>
      <c r="X2139" s="276"/>
      <c r="Y2139" s="276"/>
      <c r="Z2139" s="276"/>
      <c r="AA2139" s="276"/>
      <c r="AB2139" s="276"/>
      <c r="AC2139" s="276"/>
    </row>
    <row r="2140">
      <c r="A2140" s="370"/>
      <c r="B2140" s="439"/>
      <c r="C2140" s="384"/>
      <c r="D2140" s="384"/>
      <c r="E2140" s="384"/>
      <c r="F2140" s="419"/>
      <c r="G2140" s="419"/>
      <c r="H2140" s="419"/>
      <c r="I2140" s="384"/>
      <c r="J2140" s="384"/>
      <c r="K2140" s="419"/>
      <c r="L2140" s="403"/>
      <c r="M2140" s="389"/>
      <c r="N2140" s="392"/>
      <c r="O2140" s="349"/>
      <c r="P2140" s="389"/>
      <c r="Q2140" s="275"/>
      <c r="R2140" s="277"/>
      <c r="S2140" s="276"/>
      <c r="T2140" s="276"/>
      <c r="U2140" s="276"/>
      <c r="V2140" s="276"/>
      <c r="W2140" s="276"/>
      <c r="X2140" s="276"/>
      <c r="Y2140" s="276"/>
      <c r="Z2140" s="276"/>
      <c r="AA2140" s="276"/>
      <c r="AB2140" s="276"/>
      <c r="AC2140" s="276"/>
    </row>
    <row r="2141">
      <c r="A2141" s="370"/>
      <c r="B2141" s="439"/>
      <c r="C2141" s="384"/>
      <c r="D2141" s="384"/>
      <c r="E2141" s="384"/>
      <c r="F2141" s="419"/>
      <c r="G2141" s="419"/>
      <c r="H2141" s="419"/>
      <c r="I2141" s="384"/>
      <c r="J2141" s="384"/>
      <c r="K2141" s="419"/>
      <c r="L2141" s="403"/>
      <c r="M2141" s="389"/>
      <c r="N2141" s="392"/>
      <c r="O2141" s="349"/>
      <c r="P2141" s="389"/>
      <c r="Q2141" s="275"/>
      <c r="R2141" s="277"/>
      <c r="S2141" s="276"/>
      <c r="T2141" s="276"/>
      <c r="U2141" s="276"/>
      <c r="V2141" s="276"/>
      <c r="W2141" s="276"/>
      <c r="X2141" s="276"/>
      <c r="Y2141" s="276"/>
      <c r="Z2141" s="276"/>
      <c r="AA2141" s="276"/>
      <c r="AB2141" s="276"/>
      <c r="AC2141" s="276"/>
    </row>
    <row r="2142">
      <c r="A2142" s="370"/>
      <c r="B2142" s="439"/>
      <c r="C2142" s="384"/>
      <c r="D2142" s="384"/>
      <c r="E2142" s="384"/>
      <c r="F2142" s="419"/>
      <c r="G2142" s="419"/>
      <c r="H2142" s="419"/>
      <c r="I2142" s="384"/>
      <c r="J2142" s="384"/>
      <c r="K2142" s="419"/>
      <c r="L2142" s="403"/>
      <c r="M2142" s="389"/>
      <c r="N2142" s="392"/>
      <c r="O2142" s="349"/>
      <c r="P2142" s="389"/>
      <c r="Q2142" s="275"/>
      <c r="R2142" s="277"/>
      <c r="S2142" s="276"/>
      <c r="T2142" s="276"/>
      <c r="U2142" s="276"/>
      <c r="V2142" s="276"/>
      <c r="W2142" s="276"/>
      <c r="X2142" s="276"/>
      <c r="Y2142" s="276"/>
      <c r="Z2142" s="276"/>
      <c r="AA2142" s="276"/>
      <c r="AB2142" s="276"/>
      <c r="AC2142" s="276"/>
    </row>
    <row r="2143">
      <c r="A2143" s="370"/>
      <c r="B2143" s="439"/>
      <c r="C2143" s="384"/>
      <c r="D2143" s="384"/>
      <c r="E2143" s="384"/>
      <c r="F2143" s="419"/>
      <c r="G2143" s="419"/>
      <c r="H2143" s="419"/>
      <c r="I2143" s="384"/>
      <c r="J2143" s="384"/>
      <c r="K2143" s="419"/>
      <c r="L2143" s="403"/>
      <c r="M2143" s="389"/>
      <c r="N2143" s="392"/>
      <c r="O2143" s="349"/>
      <c r="P2143" s="389"/>
      <c r="Q2143" s="275"/>
      <c r="R2143" s="277"/>
      <c r="S2143" s="276"/>
      <c r="T2143" s="276"/>
      <c r="U2143" s="276"/>
      <c r="V2143" s="276"/>
      <c r="W2143" s="276"/>
      <c r="X2143" s="276"/>
      <c r="Y2143" s="276"/>
      <c r="Z2143" s="276"/>
      <c r="AA2143" s="276"/>
      <c r="AB2143" s="276"/>
      <c r="AC2143" s="276"/>
    </row>
    <row r="2144">
      <c r="A2144" s="370"/>
      <c r="B2144" s="439"/>
      <c r="C2144" s="384"/>
      <c r="D2144" s="384"/>
      <c r="E2144" s="384"/>
      <c r="F2144" s="419"/>
      <c r="G2144" s="419"/>
      <c r="H2144" s="419"/>
      <c r="I2144" s="384"/>
      <c r="J2144" s="384"/>
      <c r="K2144" s="419"/>
      <c r="L2144" s="403"/>
      <c r="M2144" s="389"/>
      <c r="N2144" s="392"/>
      <c r="O2144" s="349"/>
      <c r="P2144" s="389"/>
      <c r="Q2144" s="275"/>
      <c r="R2144" s="277"/>
      <c r="S2144" s="276"/>
      <c r="T2144" s="276"/>
      <c r="U2144" s="276"/>
      <c r="V2144" s="276"/>
      <c r="W2144" s="276"/>
      <c r="X2144" s="276"/>
      <c r="Y2144" s="276"/>
      <c r="Z2144" s="276"/>
      <c r="AA2144" s="276"/>
      <c r="AB2144" s="276"/>
      <c r="AC2144" s="276"/>
    </row>
    <row r="2145">
      <c r="A2145" s="370"/>
      <c r="B2145" s="439"/>
      <c r="C2145" s="384"/>
      <c r="D2145" s="384"/>
      <c r="E2145" s="384"/>
      <c r="F2145" s="419"/>
      <c r="G2145" s="419"/>
      <c r="H2145" s="419"/>
      <c r="I2145" s="384"/>
      <c r="J2145" s="384"/>
      <c r="K2145" s="419"/>
      <c r="L2145" s="403"/>
      <c r="M2145" s="389"/>
      <c r="N2145" s="392"/>
      <c r="O2145" s="349"/>
      <c r="P2145" s="389"/>
      <c r="Q2145" s="275"/>
      <c r="R2145" s="277"/>
      <c r="S2145" s="276"/>
      <c r="T2145" s="276"/>
      <c r="U2145" s="276"/>
      <c r="V2145" s="276"/>
      <c r="W2145" s="276"/>
      <c r="X2145" s="276"/>
      <c r="Y2145" s="276"/>
      <c r="Z2145" s="276"/>
      <c r="AA2145" s="276"/>
      <c r="AB2145" s="276"/>
      <c r="AC2145" s="276"/>
    </row>
    <row r="2146">
      <c r="A2146" s="370"/>
      <c r="B2146" s="439"/>
      <c r="C2146" s="384"/>
      <c r="D2146" s="384"/>
      <c r="E2146" s="384"/>
      <c r="F2146" s="419"/>
      <c r="G2146" s="419"/>
      <c r="H2146" s="419"/>
      <c r="I2146" s="384"/>
      <c r="J2146" s="384"/>
      <c r="K2146" s="419"/>
      <c r="L2146" s="403"/>
      <c r="M2146" s="389"/>
      <c r="N2146" s="392"/>
      <c r="O2146" s="349"/>
      <c r="P2146" s="389"/>
      <c r="Q2146" s="275"/>
      <c r="R2146" s="277"/>
      <c r="S2146" s="276"/>
      <c r="T2146" s="276"/>
      <c r="U2146" s="276"/>
      <c r="V2146" s="276"/>
      <c r="W2146" s="276"/>
      <c r="X2146" s="276"/>
      <c r="Y2146" s="276"/>
      <c r="Z2146" s="276"/>
      <c r="AA2146" s="276"/>
      <c r="AB2146" s="276"/>
      <c r="AC2146" s="276"/>
    </row>
    <row r="2147">
      <c r="A2147" s="370"/>
      <c r="B2147" s="439"/>
      <c r="C2147" s="384"/>
      <c r="D2147" s="384"/>
      <c r="E2147" s="384"/>
      <c r="F2147" s="419"/>
      <c r="G2147" s="419"/>
      <c r="H2147" s="419"/>
      <c r="I2147" s="384"/>
      <c r="J2147" s="384"/>
      <c r="K2147" s="419"/>
      <c r="L2147" s="403"/>
      <c r="M2147" s="389"/>
      <c r="N2147" s="392"/>
      <c r="O2147" s="349"/>
      <c r="P2147" s="389"/>
      <c r="Q2147" s="275"/>
      <c r="R2147" s="277"/>
      <c r="S2147" s="276"/>
      <c r="T2147" s="276"/>
      <c r="U2147" s="276"/>
      <c r="V2147" s="276"/>
      <c r="W2147" s="276"/>
      <c r="X2147" s="276"/>
      <c r="Y2147" s="276"/>
      <c r="Z2147" s="276"/>
      <c r="AA2147" s="276"/>
      <c r="AB2147" s="276"/>
      <c r="AC2147" s="276"/>
    </row>
    <row r="2148">
      <c r="A2148" s="370"/>
      <c r="B2148" s="439"/>
      <c r="C2148" s="384"/>
      <c r="D2148" s="384"/>
      <c r="E2148" s="384"/>
      <c r="F2148" s="419"/>
      <c r="G2148" s="419"/>
      <c r="H2148" s="419"/>
      <c r="I2148" s="384"/>
      <c r="J2148" s="384"/>
      <c r="K2148" s="419"/>
      <c r="L2148" s="403"/>
      <c r="M2148" s="389"/>
      <c r="N2148" s="392"/>
      <c r="O2148" s="349"/>
      <c r="P2148" s="389"/>
      <c r="Q2148" s="275"/>
      <c r="R2148" s="277"/>
      <c r="S2148" s="276"/>
      <c r="T2148" s="276"/>
      <c r="U2148" s="276"/>
      <c r="V2148" s="276"/>
      <c r="W2148" s="276"/>
      <c r="X2148" s="276"/>
      <c r="Y2148" s="276"/>
      <c r="Z2148" s="276"/>
      <c r="AA2148" s="276"/>
      <c r="AB2148" s="276"/>
      <c r="AC2148" s="276"/>
    </row>
    <row r="2149">
      <c r="A2149" s="370"/>
      <c r="B2149" s="439"/>
      <c r="C2149" s="384"/>
      <c r="D2149" s="384"/>
      <c r="E2149" s="384"/>
      <c r="F2149" s="419"/>
      <c r="G2149" s="419"/>
      <c r="H2149" s="419"/>
      <c r="I2149" s="384"/>
      <c r="J2149" s="384"/>
      <c r="K2149" s="419"/>
      <c r="L2149" s="403"/>
      <c r="M2149" s="389"/>
      <c r="N2149" s="392"/>
      <c r="O2149" s="349"/>
      <c r="P2149" s="389"/>
      <c r="Q2149" s="275"/>
      <c r="R2149" s="277"/>
      <c r="S2149" s="276"/>
      <c r="T2149" s="276"/>
      <c r="U2149" s="276"/>
      <c r="V2149" s="276"/>
      <c r="W2149" s="276"/>
      <c r="X2149" s="276"/>
      <c r="Y2149" s="276"/>
      <c r="Z2149" s="276"/>
      <c r="AA2149" s="276"/>
      <c r="AB2149" s="276"/>
      <c r="AC2149" s="276"/>
    </row>
    <row r="2150">
      <c r="A2150" s="370"/>
      <c r="B2150" s="439"/>
      <c r="C2150" s="384"/>
      <c r="D2150" s="384"/>
      <c r="E2150" s="384"/>
      <c r="F2150" s="419"/>
      <c r="G2150" s="419"/>
      <c r="H2150" s="419"/>
      <c r="I2150" s="384"/>
      <c r="J2150" s="384"/>
      <c r="K2150" s="419"/>
      <c r="L2150" s="403"/>
      <c r="M2150" s="389"/>
      <c r="N2150" s="392"/>
      <c r="O2150" s="349"/>
      <c r="P2150" s="389"/>
      <c r="Q2150" s="275"/>
      <c r="R2150" s="277"/>
      <c r="S2150" s="276"/>
      <c r="T2150" s="276"/>
      <c r="U2150" s="276"/>
      <c r="V2150" s="276"/>
      <c r="W2150" s="276"/>
      <c r="X2150" s="276"/>
      <c r="Y2150" s="276"/>
      <c r="Z2150" s="276"/>
      <c r="AA2150" s="276"/>
      <c r="AB2150" s="276"/>
      <c r="AC2150" s="276"/>
    </row>
    <row r="2151">
      <c r="A2151" s="370"/>
      <c r="B2151" s="439"/>
      <c r="C2151" s="384"/>
      <c r="D2151" s="384"/>
      <c r="E2151" s="384"/>
      <c r="F2151" s="419"/>
      <c r="G2151" s="419"/>
      <c r="H2151" s="419"/>
      <c r="I2151" s="384"/>
      <c r="J2151" s="384"/>
      <c r="K2151" s="419"/>
      <c r="L2151" s="403"/>
      <c r="M2151" s="389"/>
      <c r="N2151" s="392"/>
      <c r="O2151" s="349"/>
      <c r="P2151" s="389"/>
      <c r="Q2151" s="275"/>
      <c r="R2151" s="277"/>
      <c r="S2151" s="276"/>
      <c r="T2151" s="276"/>
      <c r="U2151" s="276"/>
      <c r="V2151" s="276"/>
      <c r="W2151" s="276"/>
      <c r="X2151" s="276"/>
      <c r="Y2151" s="276"/>
      <c r="Z2151" s="276"/>
      <c r="AA2151" s="276"/>
      <c r="AB2151" s="276"/>
      <c r="AC2151" s="276"/>
    </row>
    <row r="2152">
      <c r="A2152" s="370"/>
      <c r="B2152" s="439"/>
      <c r="C2152" s="384"/>
      <c r="D2152" s="384"/>
      <c r="E2152" s="384"/>
      <c r="F2152" s="419"/>
      <c r="G2152" s="419"/>
      <c r="H2152" s="419"/>
      <c r="I2152" s="384"/>
      <c r="J2152" s="384"/>
      <c r="K2152" s="419"/>
      <c r="L2152" s="403"/>
      <c r="M2152" s="389"/>
      <c r="N2152" s="392"/>
      <c r="O2152" s="349"/>
      <c r="P2152" s="389"/>
      <c r="Q2152" s="275"/>
      <c r="R2152" s="277"/>
      <c r="S2152" s="276"/>
      <c r="T2152" s="276"/>
      <c r="U2152" s="276"/>
      <c r="V2152" s="276"/>
      <c r="W2152" s="276"/>
      <c r="X2152" s="276"/>
      <c r="Y2152" s="276"/>
      <c r="Z2152" s="276"/>
      <c r="AA2152" s="276"/>
      <c r="AB2152" s="276"/>
      <c r="AC2152" s="276"/>
    </row>
    <row r="2153">
      <c r="A2153" s="370"/>
      <c r="B2153" s="439"/>
      <c r="C2153" s="384"/>
      <c r="D2153" s="384"/>
      <c r="E2153" s="384"/>
      <c r="F2153" s="419"/>
      <c r="G2153" s="419"/>
      <c r="H2153" s="419"/>
      <c r="I2153" s="384"/>
      <c r="J2153" s="384"/>
      <c r="K2153" s="419"/>
      <c r="L2153" s="403"/>
      <c r="M2153" s="389"/>
      <c r="N2153" s="392"/>
      <c r="O2153" s="349"/>
      <c r="P2153" s="389"/>
      <c r="Q2153" s="275"/>
      <c r="R2153" s="277"/>
      <c r="S2153" s="276"/>
      <c r="T2153" s="276"/>
      <c r="U2153" s="276"/>
      <c r="V2153" s="276"/>
      <c r="W2153" s="276"/>
      <c r="X2153" s="276"/>
      <c r="Y2153" s="276"/>
      <c r="Z2153" s="276"/>
      <c r="AA2153" s="276"/>
      <c r="AB2153" s="276"/>
      <c r="AC2153" s="276"/>
    </row>
    <row r="2154">
      <c r="A2154" s="370"/>
      <c r="B2154" s="439"/>
      <c r="C2154" s="384"/>
      <c r="D2154" s="384"/>
      <c r="E2154" s="384"/>
      <c r="F2154" s="419"/>
      <c r="G2154" s="419"/>
      <c r="H2154" s="419"/>
      <c r="I2154" s="384"/>
      <c r="J2154" s="384"/>
      <c r="K2154" s="419"/>
      <c r="L2154" s="403"/>
      <c r="M2154" s="389"/>
      <c r="N2154" s="392"/>
      <c r="O2154" s="349"/>
      <c r="P2154" s="389"/>
      <c r="Q2154" s="275"/>
      <c r="R2154" s="277"/>
      <c r="S2154" s="276"/>
      <c r="T2154" s="276"/>
      <c r="U2154" s="276"/>
      <c r="V2154" s="276"/>
      <c r="W2154" s="276"/>
      <c r="X2154" s="276"/>
      <c r="Y2154" s="276"/>
      <c r="Z2154" s="276"/>
      <c r="AA2154" s="276"/>
      <c r="AB2154" s="276"/>
      <c r="AC2154" s="276"/>
    </row>
    <row r="2155">
      <c r="A2155" s="370"/>
      <c r="B2155" s="439"/>
      <c r="C2155" s="384"/>
      <c r="D2155" s="384"/>
      <c r="E2155" s="384"/>
      <c r="F2155" s="419"/>
      <c r="G2155" s="419"/>
      <c r="H2155" s="419"/>
      <c r="I2155" s="384"/>
      <c r="J2155" s="384"/>
      <c r="K2155" s="419"/>
      <c r="L2155" s="403"/>
      <c r="M2155" s="389"/>
      <c r="N2155" s="392"/>
      <c r="O2155" s="349"/>
      <c r="P2155" s="389"/>
      <c r="Q2155" s="275"/>
      <c r="R2155" s="277"/>
      <c r="S2155" s="276"/>
      <c r="T2155" s="276"/>
      <c r="U2155" s="276"/>
      <c r="V2155" s="276"/>
      <c r="W2155" s="276"/>
      <c r="X2155" s="276"/>
      <c r="Y2155" s="276"/>
      <c r="Z2155" s="276"/>
      <c r="AA2155" s="276"/>
      <c r="AB2155" s="276"/>
      <c r="AC2155" s="276"/>
    </row>
    <row r="2156">
      <c r="A2156" s="370"/>
      <c r="B2156" s="439"/>
      <c r="C2156" s="384"/>
      <c r="D2156" s="384"/>
      <c r="E2156" s="384"/>
      <c r="F2156" s="419"/>
      <c r="G2156" s="419"/>
      <c r="H2156" s="419"/>
      <c r="I2156" s="384"/>
      <c r="J2156" s="384"/>
      <c r="K2156" s="419"/>
      <c r="L2156" s="403"/>
      <c r="M2156" s="389"/>
      <c r="N2156" s="392"/>
      <c r="O2156" s="349"/>
      <c r="P2156" s="389"/>
      <c r="Q2156" s="275"/>
      <c r="R2156" s="277"/>
      <c r="S2156" s="276"/>
      <c r="T2156" s="276"/>
      <c r="U2156" s="276"/>
      <c r="V2156" s="276"/>
      <c r="W2156" s="276"/>
      <c r="X2156" s="276"/>
      <c r="Y2156" s="276"/>
      <c r="Z2156" s="276"/>
      <c r="AA2156" s="276"/>
      <c r="AB2156" s="276"/>
      <c r="AC2156" s="276"/>
    </row>
    <row r="2157">
      <c r="A2157" s="370"/>
      <c r="B2157" s="439"/>
      <c r="C2157" s="384"/>
      <c r="D2157" s="384"/>
      <c r="E2157" s="384"/>
      <c r="F2157" s="419"/>
      <c r="G2157" s="419"/>
      <c r="H2157" s="419"/>
      <c r="I2157" s="384"/>
      <c r="J2157" s="384"/>
      <c r="K2157" s="419"/>
      <c r="L2157" s="403"/>
      <c r="M2157" s="389"/>
      <c r="N2157" s="392"/>
      <c r="O2157" s="349"/>
      <c r="P2157" s="389"/>
      <c r="Q2157" s="275"/>
      <c r="R2157" s="277"/>
      <c r="S2157" s="276"/>
      <c r="T2157" s="276"/>
      <c r="U2157" s="276"/>
      <c r="V2157" s="276"/>
      <c r="W2157" s="276"/>
      <c r="X2157" s="276"/>
      <c r="Y2157" s="276"/>
      <c r="Z2157" s="276"/>
      <c r="AA2157" s="276"/>
      <c r="AB2157" s="276"/>
      <c r="AC2157" s="276"/>
    </row>
    <row r="2158">
      <c r="A2158" s="370"/>
      <c r="B2158" s="439"/>
      <c r="C2158" s="384"/>
      <c r="D2158" s="384"/>
      <c r="E2158" s="384"/>
      <c r="F2158" s="419"/>
      <c r="G2158" s="419"/>
      <c r="H2158" s="419"/>
      <c r="I2158" s="384"/>
      <c r="J2158" s="384"/>
      <c r="K2158" s="419"/>
      <c r="L2158" s="403"/>
      <c r="M2158" s="389"/>
      <c r="N2158" s="392"/>
      <c r="O2158" s="349"/>
      <c r="P2158" s="389"/>
      <c r="Q2158" s="275"/>
      <c r="R2158" s="277"/>
      <c r="S2158" s="276"/>
      <c r="T2158" s="276"/>
      <c r="U2158" s="276"/>
      <c r="V2158" s="276"/>
      <c r="W2158" s="276"/>
      <c r="X2158" s="276"/>
      <c r="Y2158" s="276"/>
      <c r="Z2158" s="276"/>
      <c r="AA2158" s="276"/>
      <c r="AB2158" s="276"/>
      <c r="AC2158" s="276"/>
    </row>
    <row r="2159">
      <c r="A2159" s="370"/>
      <c r="B2159" s="439"/>
      <c r="C2159" s="384"/>
      <c r="D2159" s="384"/>
      <c r="E2159" s="384"/>
      <c r="F2159" s="419"/>
      <c r="G2159" s="419"/>
      <c r="H2159" s="419"/>
      <c r="I2159" s="384"/>
      <c r="J2159" s="384"/>
      <c r="K2159" s="419"/>
      <c r="L2159" s="403"/>
      <c r="M2159" s="389"/>
      <c r="N2159" s="392"/>
      <c r="O2159" s="349"/>
      <c r="P2159" s="389"/>
      <c r="Q2159" s="275"/>
      <c r="R2159" s="277"/>
      <c r="S2159" s="276"/>
      <c r="T2159" s="276"/>
      <c r="U2159" s="276"/>
      <c r="V2159" s="276"/>
      <c r="W2159" s="276"/>
      <c r="X2159" s="276"/>
      <c r="Y2159" s="276"/>
      <c r="Z2159" s="276"/>
      <c r="AA2159" s="276"/>
      <c r="AB2159" s="276"/>
      <c r="AC2159" s="276"/>
    </row>
    <row r="2160">
      <c r="A2160" s="370"/>
      <c r="B2160" s="439"/>
      <c r="C2160" s="384"/>
      <c r="D2160" s="384"/>
      <c r="E2160" s="384"/>
      <c r="F2160" s="419"/>
      <c r="G2160" s="419"/>
      <c r="H2160" s="419"/>
      <c r="I2160" s="384"/>
      <c r="J2160" s="384"/>
      <c r="K2160" s="419"/>
      <c r="L2160" s="403"/>
      <c r="M2160" s="389"/>
      <c r="N2160" s="392"/>
      <c r="O2160" s="349"/>
      <c r="P2160" s="389"/>
      <c r="Q2160" s="275"/>
      <c r="R2160" s="277"/>
      <c r="S2160" s="276"/>
      <c r="T2160" s="276"/>
      <c r="U2160" s="276"/>
      <c r="V2160" s="276"/>
      <c r="W2160" s="276"/>
      <c r="X2160" s="276"/>
      <c r="Y2160" s="276"/>
      <c r="Z2160" s="276"/>
      <c r="AA2160" s="276"/>
      <c r="AB2160" s="276"/>
      <c r="AC2160" s="276"/>
    </row>
    <row r="2161">
      <c r="A2161" s="370"/>
      <c r="B2161" s="439"/>
      <c r="C2161" s="384"/>
      <c r="D2161" s="384"/>
      <c r="E2161" s="384"/>
      <c r="F2161" s="419"/>
      <c r="G2161" s="419"/>
      <c r="H2161" s="419"/>
      <c r="I2161" s="384"/>
      <c r="J2161" s="384"/>
      <c r="K2161" s="419"/>
      <c r="L2161" s="403"/>
      <c r="M2161" s="389"/>
      <c r="N2161" s="392"/>
      <c r="O2161" s="349"/>
      <c r="P2161" s="389"/>
      <c r="Q2161" s="275"/>
      <c r="R2161" s="277"/>
      <c r="S2161" s="276"/>
      <c r="T2161" s="276"/>
      <c r="U2161" s="276"/>
      <c r="V2161" s="276"/>
      <c r="W2161" s="276"/>
      <c r="X2161" s="276"/>
      <c r="Y2161" s="276"/>
      <c r="Z2161" s="276"/>
      <c r="AA2161" s="276"/>
      <c r="AB2161" s="276"/>
      <c r="AC2161" s="276"/>
    </row>
    <row r="2162">
      <c r="A2162" s="370"/>
      <c r="B2162" s="439"/>
      <c r="C2162" s="384"/>
      <c r="D2162" s="384"/>
      <c r="E2162" s="384"/>
      <c r="F2162" s="419"/>
      <c r="G2162" s="419"/>
      <c r="H2162" s="419"/>
      <c r="I2162" s="384"/>
      <c r="J2162" s="384"/>
      <c r="K2162" s="419"/>
      <c r="L2162" s="403"/>
      <c r="M2162" s="389"/>
      <c r="N2162" s="392"/>
      <c r="O2162" s="349"/>
      <c r="P2162" s="389"/>
      <c r="Q2162" s="275"/>
      <c r="R2162" s="277"/>
      <c r="S2162" s="276"/>
      <c r="T2162" s="276"/>
      <c r="U2162" s="276"/>
      <c r="V2162" s="276"/>
      <c r="W2162" s="276"/>
      <c r="X2162" s="276"/>
      <c r="Y2162" s="276"/>
      <c r="Z2162" s="276"/>
      <c r="AA2162" s="276"/>
      <c r="AB2162" s="276"/>
      <c r="AC2162" s="276"/>
    </row>
    <row r="2163">
      <c r="A2163" s="370"/>
      <c r="B2163" s="439"/>
      <c r="C2163" s="384"/>
      <c r="D2163" s="384"/>
      <c r="E2163" s="384"/>
      <c r="F2163" s="419"/>
      <c r="G2163" s="419"/>
      <c r="H2163" s="419"/>
      <c r="I2163" s="384"/>
      <c r="J2163" s="384"/>
      <c r="K2163" s="419"/>
      <c r="L2163" s="403"/>
      <c r="M2163" s="389"/>
      <c r="N2163" s="392"/>
      <c r="O2163" s="349"/>
      <c r="P2163" s="389"/>
      <c r="Q2163" s="275"/>
      <c r="R2163" s="277"/>
      <c r="S2163" s="276"/>
      <c r="T2163" s="276"/>
      <c r="U2163" s="276"/>
      <c r="V2163" s="276"/>
      <c r="W2163" s="276"/>
      <c r="X2163" s="276"/>
      <c r="Y2163" s="276"/>
      <c r="Z2163" s="276"/>
      <c r="AA2163" s="276"/>
      <c r="AB2163" s="276"/>
      <c r="AC2163" s="276"/>
    </row>
    <row r="2164">
      <c r="A2164" s="370"/>
      <c r="B2164" s="439"/>
      <c r="C2164" s="384"/>
      <c r="D2164" s="384"/>
      <c r="E2164" s="384"/>
      <c r="F2164" s="419"/>
      <c r="G2164" s="419"/>
      <c r="H2164" s="419"/>
      <c r="I2164" s="384"/>
      <c r="J2164" s="384"/>
      <c r="K2164" s="419"/>
      <c r="L2164" s="403"/>
      <c r="M2164" s="389"/>
      <c r="N2164" s="392"/>
      <c r="O2164" s="349"/>
      <c r="P2164" s="389"/>
      <c r="Q2164" s="275"/>
      <c r="R2164" s="277"/>
      <c r="S2164" s="276"/>
      <c r="T2164" s="276"/>
      <c r="U2164" s="276"/>
      <c r="V2164" s="276"/>
      <c r="W2164" s="276"/>
      <c r="X2164" s="276"/>
      <c r="Y2164" s="276"/>
      <c r="Z2164" s="276"/>
      <c r="AA2164" s="276"/>
      <c r="AB2164" s="276"/>
      <c r="AC2164" s="276"/>
    </row>
    <row r="2165">
      <c r="A2165" s="370"/>
      <c r="B2165" s="439"/>
      <c r="C2165" s="384"/>
      <c r="D2165" s="384"/>
      <c r="E2165" s="384"/>
      <c r="F2165" s="419"/>
      <c r="G2165" s="419"/>
      <c r="H2165" s="419"/>
      <c r="I2165" s="384"/>
      <c r="J2165" s="384"/>
      <c r="K2165" s="419"/>
      <c r="L2165" s="403"/>
      <c r="M2165" s="389"/>
      <c r="N2165" s="392"/>
      <c r="O2165" s="349"/>
      <c r="P2165" s="389"/>
      <c r="Q2165" s="275"/>
      <c r="R2165" s="277"/>
      <c r="S2165" s="276"/>
      <c r="T2165" s="276"/>
      <c r="U2165" s="276"/>
      <c r="V2165" s="276"/>
      <c r="W2165" s="276"/>
      <c r="X2165" s="276"/>
      <c r="Y2165" s="276"/>
      <c r="Z2165" s="276"/>
      <c r="AA2165" s="276"/>
      <c r="AB2165" s="276"/>
      <c r="AC2165" s="276"/>
    </row>
    <row r="2166">
      <c r="A2166" s="370"/>
      <c r="B2166" s="439"/>
      <c r="C2166" s="384"/>
      <c r="D2166" s="384"/>
      <c r="E2166" s="384"/>
      <c r="F2166" s="419"/>
      <c r="G2166" s="419"/>
      <c r="H2166" s="419"/>
      <c r="I2166" s="384"/>
      <c r="J2166" s="384"/>
      <c r="K2166" s="419"/>
      <c r="L2166" s="403"/>
      <c r="M2166" s="389"/>
      <c r="N2166" s="392"/>
      <c r="O2166" s="349"/>
      <c r="P2166" s="389"/>
      <c r="Q2166" s="275"/>
      <c r="R2166" s="277"/>
      <c r="S2166" s="276"/>
      <c r="T2166" s="276"/>
      <c r="U2166" s="276"/>
      <c r="V2166" s="276"/>
      <c r="W2166" s="276"/>
      <c r="X2166" s="276"/>
      <c r="Y2166" s="276"/>
      <c r="Z2166" s="276"/>
      <c r="AA2166" s="276"/>
      <c r="AB2166" s="276"/>
      <c r="AC2166" s="276"/>
    </row>
    <row r="2167">
      <c r="A2167" s="370"/>
      <c r="B2167" s="439"/>
      <c r="C2167" s="384"/>
      <c r="D2167" s="384"/>
      <c r="E2167" s="384"/>
      <c r="F2167" s="419"/>
      <c r="G2167" s="419"/>
      <c r="H2167" s="419"/>
      <c r="I2167" s="384"/>
      <c r="J2167" s="384"/>
      <c r="K2167" s="419"/>
      <c r="L2167" s="403"/>
      <c r="M2167" s="389"/>
      <c r="N2167" s="392"/>
      <c r="O2167" s="349"/>
      <c r="P2167" s="389"/>
      <c r="Q2167" s="275"/>
      <c r="R2167" s="277"/>
      <c r="S2167" s="276"/>
      <c r="T2167" s="276"/>
      <c r="U2167" s="276"/>
      <c r="V2167" s="276"/>
      <c r="W2167" s="276"/>
      <c r="X2167" s="276"/>
      <c r="Y2167" s="276"/>
      <c r="Z2167" s="276"/>
      <c r="AA2167" s="276"/>
      <c r="AB2167" s="276"/>
      <c r="AC2167" s="276"/>
    </row>
    <row r="2168">
      <c r="A2168" s="370"/>
      <c r="B2168" s="439"/>
      <c r="C2168" s="384"/>
      <c r="D2168" s="384"/>
      <c r="E2168" s="384"/>
      <c r="F2168" s="419"/>
      <c r="G2168" s="419"/>
      <c r="H2168" s="419"/>
      <c r="I2168" s="384"/>
      <c r="J2168" s="384"/>
      <c r="K2168" s="419"/>
      <c r="L2168" s="403"/>
      <c r="M2168" s="389"/>
      <c r="N2168" s="392"/>
      <c r="O2168" s="349"/>
      <c r="P2168" s="389"/>
      <c r="Q2168" s="275"/>
      <c r="R2168" s="277"/>
      <c r="S2168" s="276"/>
      <c r="T2168" s="276"/>
      <c r="U2168" s="276"/>
      <c r="V2168" s="276"/>
      <c r="W2168" s="276"/>
      <c r="X2168" s="276"/>
      <c r="Y2168" s="276"/>
      <c r="Z2168" s="276"/>
      <c r="AA2168" s="276"/>
      <c r="AB2168" s="276"/>
      <c r="AC2168" s="276"/>
    </row>
    <row r="2169">
      <c r="A2169" s="370"/>
      <c r="B2169" s="439"/>
      <c r="C2169" s="384"/>
      <c r="D2169" s="384"/>
      <c r="E2169" s="384"/>
      <c r="F2169" s="419"/>
      <c r="G2169" s="419"/>
      <c r="H2169" s="419"/>
      <c r="I2169" s="384"/>
      <c r="J2169" s="384"/>
      <c r="K2169" s="419"/>
      <c r="L2169" s="403"/>
      <c r="M2169" s="389"/>
      <c r="N2169" s="392"/>
      <c r="O2169" s="349"/>
      <c r="P2169" s="389"/>
      <c r="Q2169" s="275"/>
      <c r="R2169" s="277"/>
      <c r="S2169" s="276"/>
      <c r="T2169" s="276"/>
      <c r="U2169" s="276"/>
      <c r="V2169" s="276"/>
      <c r="W2169" s="276"/>
      <c r="X2169" s="276"/>
      <c r="Y2169" s="276"/>
      <c r="Z2169" s="276"/>
      <c r="AA2169" s="276"/>
      <c r="AB2169" s="276"/>
      <c r="AC2169" s="276"/>
    </row>
    <row r="2170">
      <c r="A2170" s="370"/>
      <c r="B2170" s="439"/>
      <c r="C2170" s="384"/>
      <c r="D2170" s="384"/>
      <c r="E2170" s="384"/>
      <c r="F2170" s="419"/>
      <c r="G2170" s="419"/>
      <c r="H2170" s="419"/>
      <c r="I2170" s="384"/>
      <c r="J2170" s="384"/>
      <c r="K2170" s="419"/>
      <c r="L2170" s="403"/>
      <c r="M2170" s="389"/>
      <c r="N2170" s="392"/>
      <c r="O2170" s="349"/>
      <c r="P2170" s="389"/>
      <c r="Q2170" s="275"/>
      <c r="R2170" s="277"/>
      <c r="S2170" s="276"/>
      <c r="T2170" s="276"/>
      <c r="U2170" s="276"/>
      <c r="V2170" s="276"/>
      <c r="W2170" s="276"/>
      <c r="X2170" s="276"/>
      <c r="Y2170" s="276"/>
      <c r="Z2170" s="276"/>
      <c r="AA2170" s="276"/>
      <c r="AB2170" s="276"/>
      <c r="AC2170" s="276"/>
    </row>
    <row r="2171">
      <c r="A2171" s="370"/>
      <c r="B2171" s="439"/>
      <c r="C2171" s="384"/>
      <c r="D2171" s="384"/>
      <c r="E2171" s="384"/>
      <c r="F2171" s="419"/>
      <c r="G2171" s="419"/>
      <c r="H2171" s="419"/>
      <c r="I2171" s="384"/>
      <c r="J2171" s="384"/>
      <c r="K2171" s="419"/>
      <c r="L2171" s="403"/>
      <c r="M2171" s="389"/>
      <c r="N2171" s="392"/>
      <c r="O2171" s="349"/>
      <c r="P2171" s="389"/>
      <c r="Q2171" s="275"/>
      <c r="R2171" s="277"/>
      <c r="S2171" s="276"/>
      <c r="T2171" s="276"/>
      <c r="U2171" s="276"/>
      <c r="V2171" s="276"/>
      <c r="W2171" s="276"/>
      <c r="X2171" s="276"/>
      <c r="Y2171" s="276"/>
      <c r="Z2171" s="276"/>
      <c r="AA2171" s="276"/>
      <c r="AB2171" s="276"/>
      <c r="AC2171" s="276"/>
    </row>
    <row r="2172">
      <c r="A2172" s="370"/>
      <c r="B2172" s="439"/>
      <c r="C2172" s="384"/>
      <c r="D2172" s="384"/>
      <c r="E2172" s="384"/>
      <c r="F2172" s="419"/>
      <c r="G2172" s="419"/>
      <c r="H2172" s="419"/>
      <c r="I2172" s="384"/>
      <c r="J2172" s="384"/>
      <c r="K2172" s="419"/>
      <c r="L2172" s="403"/>
      <c r="M2172" s="389"/>
      <c r="N2172" s="392"/>
      <c r="O2172" s="349"/>
      <c r="P2172" s="389"/>
      <c r="Q2172" s="275"/>
      <c r="R2172" s="277"/>
      <c r="S2172" s="276"/>
      <c r="T2172" s="276"/>
      <c r="U2172" s="276"/>
      <c r="V2172" s="276"/>
      <c r="W2172" s="276"/>
      <c r="X2172" s="276"/>
      <c r="Y2172" s="276"/>
      <c r="Z2172" s="276"/>
      <c r="AA2172" s="276"/>
      <c r="AB2172" s="276"/>
      <c r="AC2172" s="276"/>
    </row>
    <row r="2173">
      <c r="A2173" s="370"/>
      <c r="B2173" s="439"/>
      <c r="C2173" s="384"/>
      <c r="D2173" s="384"/>
      <c r="E2173" s="384"/>
      <c r="F2173" s="419"/>
      <c r="G2173" s="419"/>
      <c r="H2173" s="419"/>
      <c r="I2173" s="384"/>
      <c r="J2173" s="384"/>
      <c r="K2173" s="419"/>
      <c r="L2173" s="403"/>
      <c r="M2173" s="389"/>
      <c r="N2173" s="392"/>
      <c r="O2173" s="349"/>
      <c r="P2173" s="389"/>
      <c r="Q2173" s="275"/>
      <c r="R2173" s="277"/>
      <c r="S2173" s="276"/>
      <c r="T2173" s="276"/>
      <c r="U2173" s="276"/>
      <c r="V2173" s="276"/>
      <c r="W2173" s="276"/>
      <c r="X2173" s="276"/>
      <c r="Y2173" s="276"/>
      <c r="Z2173" s="276"/>
      <c r="AA2173" s="276"/>
      <c r="AB2173" s="276"/>
      <c r="AC2173" s="276"/>
    </row>
    <row r="2174">
      <c r="A2174" s="370"/>
      <c r="B2174" s="439"/>
      <c r="C2174" s="384"/>
      <c r="D2174" s="384"/>
      <c r="E2174" s="384"/>
      <c r="F2174" s="419"/>
      <c r="G2174" s="419"/>
      <c r="H2174" s="419"/>
      <c r="I2174" s="384"/>
      <c r="J2174" s="384"/>
      <c r="K2174" s="419"/>
      <c r="L2174" s="403"/>
      <c r="M2174" s="389"/>
      <c r="N2174" s="392"/>
      <c r="O2174" s="349"/>
      <c r="P2174" s="389"/>
      <c r="Q2174" s="275"/>
      <c r="R2174" s="277"/>
      <c r="S2174" s="276"/>
      <c r="T2174" s="276"/>
      <c r="U2174" s="276"/>
      <c r="V2174" s="276"/>
      <c r="W2174" s="276"/>
      <c r="X2174" s="276"/>
      <c r="Y2174" s="276"/>
      <c r="Z2174" s="276"/>
      <c r="AA2174" s="276"/>
      <c r="AB2174" s="276"/>
      <c r="AC2174" s="276"/>
    </row>
    <row r="2175">
      <c r="A2175" s="370"/>
      <c r="B2175" s="439"/>
      <c r="C2175" s="384"/>
      <c r="D2175" s="384"/>
      <c r="E2175" s="384"/>
      <c r="F2175" s="419"/>
      <c r="G2175" s="419"/>
      <c r="H2175" s="419"/>
      <c r="I2175" s="384"/>
      <c r="J2175" s="384"/>
      <c r="K2175" s="419"/>
      <c r="L2175" s="403"/>
      <c r="M2175" s="389"/>
      <c r="N2175" s="392"/>
      <c r="O2175" s="349"/>
      <c r="P2175" s="389"/>
      <c r="Q2175" s="275"/>
      <c r="R2175" s="277"/>
      <c r="S2175" s="276"/>
      <c r="T2175" s="276"/>
      <c r="U2175" s="276"/>
      <c r="V2175" s="276"/>
      <c r="W2175" s="276"/>
      <c r="X2175" s="276"/>
      <c r="Y2175" s="276"/>
      <c r="Z2175" s="276"/>
      <c r="AA2175" s="276"/>
      <c r="AB2175" s="276"/>
      <c r="AC2175" s="276"/>
    </row>
    <row r="2176">
      <c r="A2176" s="370"/>
      <c r="B2176" s="439"/>
      <c r="C2176" s="384"/>
      <c r="D2176" s="384"/>
      <c r="E2176" s="384"/>
      <c r="F2176" s="419"/>
      <c r="G2176" s="419"/>
      <c r="H2176" s="419"/>
      <c r="I2176" s="384"/>
      <c r="J2176" s="384"/>
      <c r="K2176" s="419"/>
      <c r="L2176" s="403"/>
      <c r="M2176" s="389"/>
      <c r="N2176" s="392"/>
      <c r="O2176" s="349"/>
      <c r="P2176" s="389"/>
      <c r="Q2176" s="275"/>
      <c r="R2176" s="277"/>
      <c r="S2176" s="276"/>
      <c r="T2176" s="276"/>
      <c r="U2176" s="276"/>
      <c r="V2176" s="276"/>
      <c r="W2176" s="276"/>
      <c r="X2176" s="276"/>
      <c r="Y2176" s="276"/>
      <c r="Z2176" s="276"/>
      <c r="AA2176" s="276"/>
      <c r="AB2176" s="276"/>
      <c r="AC2176" s="276"/>
    </row>
    <row r="2177">
      <c r="A2177" s="370"/>
      <c r="B2177" s="439"/>
      <c r="C2177" s="384"/>
      <c r="D2177" s="384"/>
      <c r="E2177" s="384"/>
      <c r="F2177" s="419"/>
      <c r="G2177" s="419"/>
      <c r="H2177" s="419"/>
      <c r="I2177" s="384"/>
      <c r="J2177" s="384"/>
      <c r="K2177" s="419"/>
      <c r="L2177" s="403"/>
      <c r="M2177" s="389"/>
      <c r="N2177" s="392"/>
      <c r="O2177" s="349"/>
      <c r="P2177" s="389"/>
      <c r="Q2177" s="275"/>
      <c r="R2177" s="277"/>
      <c r="S2177" s="276"/>
      <c r="T2177" s="276"/>
      <c r="U2177" s="276"/>
      <c r="V2177" s="276"/>
      <c r="W2177" s="276"/>
      <c r="X2177" s="276"/>
      <c r="Y2177" s="276"/>
      <c r="Z2177" s="276"/>
      <c r="AA2177" s="276"/>
      <c r="AB2177" s="276"/>
      <c r="AC2177" s="276"/>
    </row>
    <row r="2178">
      <c r="A2178" s="370"/>
      <c r="B2178" s="439"/>
      <c r="C2178" s="384"/>
      <c r="D2178" s="384"/>
      <c r="E2178" s="384"/>
      <c r="F2178" s="419"/>
      <c r="G2178" s="419"/>
      <c r="H2178" s="419"/>
      <c r="I2178" s="384"/>
      <c r="J2178" s="384"/>
      <c r="K2178" s="419"/>
      <c r="L2178" s="403"/>
      <c r="M2178" s="389"/>
      <c r="N2178" s="392"/>
      <c r="O2178" s="349"/>
      <c r="P2178" s="389"/>
      <c r="Q2178" s="275"/>
      <c r="R2178" s="277"/>
      <c r="S2178" s="276"/>
      <c r="T2178" s="276"/>
      <c r="U2178" s="276"/>
      <c r="V2178" s="276"/>
      <c r="W2178" s="276"/>
      <c r="X2178" s="276"/>
      <c r="Y2178" s="276"/>
      <c r="Z2178" s="276"/>
      <c r="AA2178" s="276"/>
      <c r="AB2178" s="276"/>
      <c r="AC2178" s="276"/>
    </row>
    <row r="2179">
      <c r="A2179" s="370"/>
      <c r="B2179" s="439"/>
      <c r="C2179" s="384"/>
      <c r="D2179" s="384"/>
      <c r="E2179" s="384"/>
      <c r="F2179" s="419"/>
      <c r="G2179" s="419"/>
      <c r="H2179" s="419"/>
      <c r="I2179" s="384"/>
      <c r="J2179" s="384"/>
      <c r="K2179" s="419"/>
      <c r="L2179" s="403"/>
      <c r="M2179" s="389"/>
      <c r="N2179" s="392"/>
      <c r="O2179" s="349"/>
      <c r="P2179" s="389"/>
      <c r="Q2179" s="275"/>
      <c r="R2179" s="277"/>
      <c r="S2179" s="276"/>
      <c r="T2179" s="276"/>
      <c r="U2179" s="276"/>
      <c r="V2179" s="276"/>
      <c r="W2179" s="276"/>
      <c r="X2179" s="276"/>
      <c r="Y2179" s="276"/>
      <c r="Z2179" s="276"/>
      <c r="AA2179" s="276"/>
      <c r="AB2179" s="276"/>
      <c r="AC2179" s="276"/>
    </row>
    <row r="2180">
      <c r="A2180" s="370"/>
      <c r="B2180" s="439"/>
      <c r="C2180" s="384"/>
      <c r="D2180" s="384"/>
      <c r="E2180" s="384"/>
      <c r="F2180" s="419"/>
      <c r="G2180" s="419"/>
      <c r="H2180" s="419"/>
      <c r="I2180" s="384"/>
      <c r="J2180" s="384"/>
      <c r="K2180" s="419"/>
      <c r="L2180" s="403"/>
      <c r="M2180" s="389"/>
      <c r="N2180" s="392"/>
      <c r="O2180" s="349"/>
      <c r="P2180" s="389"/>
      <c r="Q2180" s="275"/>
      <c r="R2180" s="277"/>
      <c r="S2180" s="276"/>
      <c r="T2180" s="276"/>
      <c r="U2180" s="276"/>
      <c r="V2180" s="276"/>
      <c r="W2180" s="276"/>
      <c r="X2180" s="276"/>
      <c r="Y2180" s="276"/>
      <c r="Z2180" s="276"/>
      <c r="AA2180" s="276"/>
      <c r="AB2180" s="276"/>
      <c r="AC2180" s="276"/>
    </row>
    <row r="2181">
      <c r="A2181" s="370"/>
      <c r="B2181" s="439"/>
      <c r="C2181" s="384"/>
      <c r="D2181" s="384"/>
      <c r="E2181" s="384"/>
      <c r="F2181" s="419"/>
      <c r="G2181" s="419"/>
      <c r="H2181" s="419"/>
      <c r="I2181" s="384"/>
      <c r="J2181" s="384"/>
      <c r="K2181" s="419"/>
      <c r="L2181" s="403"/>
      <c r="M2181" s="389"/>
      <c r="N2181" s="392"/>
      <c r="O2181" s="349"/>
      <c r="P2181" s="389"/>
      <c r="Q2181" s="275"/>
      <c r="R2181" s="277"/>
      <c r="S2181" s="276"/>
      <c r="T2181" s="276"/>
      <c r="U2181" s="276"/>
      <c r="V2181" s="276"/>
      <c r="W2181" s="276"/>
      <c r="X2181" s="276"/>
      <c r="Y2181" s="276"/>
      <c r="Z2181" s="276"/>
      <c r="AA2181" s="276"/>
      <c r="AB2181" s="276"/>
      <c r="AC2181" s="276"/>
    </row>
    <row r="2182">
      <c r="A2182" s="370"/>
      <c r="B2182" s="439"/>
      <c r="C2182" s="384"/>
      <c r="D2182" s="384"/>
      <c r="E2182" s="384"/>
      <c r="F2182" s="419"/>
      <c r="G2182" s="419"/>
      <c r="H2182" s="419"/>
      <c r="I2182" s="384"/>
      <c r="J2182" s="384"/>
      <c r="K2182" s="419"/>
      <c r="L2182" s="403"/>
      <c r="M2182" s="389"/>
      <c r="N2182" s="392"/>
      <c r="O2182" s="349"/>
      <c r="P2182" s="389"/>
      <c r="Q2182" s="275"/>
      <c r="R2182" s="277"/>
      <c r="S2182" s="276"/>
      <c r="T2182" s="276"/>
      <c r="U2182" s="276"/>
      <c r="V2182" s="276"/>
      <c r="W2182" s="276"/>
      <c r="X2182" s="276"/>
      <c r="Y2182" s="276"/>
      <c r="Z2182" s="276"/>
      <c r="AA2182" s="276"/>
      <c r="AB2182" s="276"/>
      <c r="AC2182" s="276"/>
    </row>
    <row r="2183">
      <c r="A2183" s="370"/>
      <c r="B2183" s="439"/>
      <c r="C2183" s="384"/>
      <c r="D2183" s="384"/>
      <c r="E2183" s="384"/>
      <c r="F2183" s="419"/>
      <c r="G2183" s="419"/>
      <c r="H2183" s="419"/>
      <c r="I2183" s="384"/>
      <c r="J2183" s="384"/>
      <c r="K2183" s="419"/>
      <c r="L2183" s="403"/>
      <c r="M2183" s="389"/>
      <c r="N2183" s="392"/>
      <c r="O2183" s="349"/>
      <c r="P2183" s="389"/>
      <c r="Q2183" s="275"/>
      <c r="R2183" s="277"/>
      <c r="S2183" s="276"/>
      <c r="T2183" s="276"/>
      <c r="U2183" s="276"/>
      <c r="V2183" s="276"/>
      <c r="W2183" s="276"/>
      <c r="X2183" s="276"/>
      <c r="Y2183" s="276"/>
      <c r="Z2183" s="276"/>
      <c r="AA2183" s="276"/>
      <c r="AB2183" s="276"/>
      <c r="AC2183" s="276"/>
    </row>
    <row r="2184">
      <c r="A2184" s="370"/>
      <c r="B2184" s="439"/>
      <c r="C2184" s="384"/>
      <c r="D2184" s="384"/>
      <c r="E2184" s="384"/>
      <c r="F2184" s="419"/>
      <c r="G2184" s="419"/>
      <c r="H2184" s="419"/>
      <c r="I2184" s="384"/>
      <c r="J2184" s="384"/>
      <c r="K2184" s="419"/>
      <c r="L2184" s="403"/>
      <c r="M2184" s="389"/>
      <c r="N2184" s="392"/>
      <c r="O2184" s="349"/>
      <c r="P2184" s="389"/>
      <c r="Q2184" s="275"/>
      <c r="R2184" s="277"/>
      <c r="S2184" s="276"/>
      <c r="T2184" s="276"/>
      <c r="U2184" s="276"/>
      <c r="V2184" s="276"/>
      <c r="W2184" s="276"/>
      <c r="X2184" s="276"/>
      <c r="Y2184" s="276"/>
      <c r="Z2184" s="276"/>
      <c r="AA2184" s="276"/>
      <c r="AB2184" s="276"/>
      <c r="AC2184" s="276"/>
    </row>
    <row r="2185">
      <c r="A2185" s="370"/>
      <c r="B2185" s="439"/>
      <c r="C2185" s="384"/>
      <c r="D2185" s="384"/>
      <c r="E2185" s="384"/>
      <c r="F2185" s="419"/>
      <c r="G2185" s="419"/>
      <c r="H2185" s="419"/>
      <c r="I2185" s="384"/>
      <c r="J2185" s="384"/>
      <c r="K2185" s="419"/>
      <c r="L2185" s="403"/>
      <c r="M2185" s="389"/>
      <c r="N2185" s="392"/>
      <c r="O2185" s="349"/>
      <c r="P2185" s="389"/>
      <c r="Q2185" s="275"/>
      <c r="R2185" s="277"/>
      <c r="S2185" s="276"/>
      <c r="T2185" s="276"/>
      <c r="U2185" s="276"/>
      <c r="V2185" s="276"/>
      <c r="W2185" s="276"/>
      <c r="X2185" s="276"/>
      <c r="Y2185" s="276"/>
      <c r="Z2185" s="276"/>
      <c r="AA2185" s="276"/>
      <c r="AB2185" s="276"/>
      <c r="AC2185" s="276"/>
    </row>
    <row r="2186">
      <c r="A2186" s="370"/>
      <c r="B2186" s="439"/>
      <c r="C2186" s="384"/>
      <c r="D2186" s="384"/>
      <c r="E2186" s="384"/>
      <c r="F2186" s="419"/>
      <c r="G2186" s="419"/>
      <c r="H2186" s="419"/>
      <c r="I2186" s="384"/>
      <c r="J2186" s="384"/>
      <c r="K2186" s="419"/>
      <c r="L2186" s="403"/>
      <c r="M2186" s="389"/>
      <c r="N2186" s="392"/>
      <c r="O2186" s="349"/>
      <c r="P2186" s="389"/>
      <c r="Q2186" s="275"/>
      <c r="R2186" s="277"/>
      <c r="S2186" s="276"/>
      <c r="T2186" s="276"/>
      <c r="U2186" s="276"/>
      <c r="V2186" s="276"/>
      <c r="W2186" s="276"/>
      <c r="X2186" s="276"/>
      <c r="Y2186" s="276"/>
      <c r="Z2186" s="276"/>
      <c r="AA2186" s="276"/>
      <c r="AB2186" s="276"/>
      <c r="AC2186" s="276"/>
    </row>
    <row r="2187">
      <c r="A2187" s="370"/>
      <c r="B2187" s="439"/>
      <c r="C2187" s="384"/>
      <c r="D2187" s="384"/>
      <c r="E2187" s="384"/>
      <c r="F2187" s="419"/>
      <c r="G2187" s="419"/>
      <c r="H2187" s="419"/>
      <c r="I2187" s="384"/>
      <c r="J2187" s="384"/>
      <c r="K2187" s="419"/>
      <c r="L2187" s="403"/>
      <c r="M2187" s="389"/>
      <c r="N2187" s="392"/>
      <c r="O2187" s="349"/>
      <c r="P2187" s="389"/>
      <c r="Q2187" s="275"/>
      <c r="R2187" s="277"/>
      <c r="S2187" s="276"/>
      <c r="T2187" s="276"/>
      <c r="U2187" s="276"/>
      <c r="V2187" s="276"/>
      <c r="W2187" s="276"/>
      <c r="X2187" s="276"/>
      <c r="Y2187" s="276"/>
      <c r="Z2187" s="276"/>
      <c r="AA2187" s="276"/>
      <c r="AB2187" s="276"/>
      <c r="AC2187" s="276"/>
    </row>
    <row r="2188">
      <c r="A2188" s="370"/>
      <c r="B2188" s="439"/>
      <c r="C2188" s="384"/>
      <c r="D2188" s="384"/>
      <c r="E2188" s="384"/>
      <c r="F2188" s="419"/>
      <c r="G2188" s="419"/>
      <c r="H2188" s="419"/>
      <c r="I2188" s="384"/>
      <c r="J2188" s="384"/>
      <c r="K2188" s="419"/>
      <c r="L2188" s="403"/>
      <c r="M2188" s="389"/>
      <c r="N2188" s="392"/>
      <c r="O2188" s="349"/>
      <c r="P2188" s="389"/>
      <c r="Q2188" s="275"/>
      <c r="R2188" s="277"/>
      <c r="S2188" s="276"/>
      <c r="T2188" s="276"/>
      <c r="U2188" s="276"/>
      <c r="V2188" s="276"/>
      <c r="W2188" s="276"/>
      <c r="X2188" s="276"/>
      <c r="Y2188" s="276"/>
      <c r="Z2188" s="276"/>
      <c r="AA2188" s="276"/>
      <c r="AB2188" s="276"/>
      <c r="AC2188" s="276"/>
    </row>
    <row r="2189">
      <c r="A2189" s="370"/>
      <c r="B2189" s="439"/>
      <c r="C2189" s="384"/>
      <c r="D2189" s="384"/>
      <c r="E2189" s="384"/>
      <c r="F2189" s="419"/>
      <c r="G2189" s="419"/>
      <c r="H2189" s="419"/>
      <c r="I2189" s="384"/>
      <c r="J2189" s="384"/>
      <c r="K2189" s="419"/>
      <c r="L2189" s="403"/>
      <c r="M2189" s="389"/>
      <c r="N2189" s="392"/>
      <c r="O2189" s="349"/>
      <c r="P2189" s="389"/>
      <c r="Q2189" s="275"/>
      <c r="R2189" s="277"/>
      <c r="S2189" s="276"/>
      <c r="T2189" s="276"/>
      <c r="U2189" s="276"/>
      <c r="V2189" s="276"/>
      <c r="W2189" s="276"/>
      <c r="X2189" s="276"/>
      <c r="Y2189" s="276"/>
      <c r="Z2189" s="276"/>
      <c r="AA2189" s="276"/>
      <c r="AB2189" s="276"/>
      <c r="AC2189" s="276"/>
    </row>
    <row r="2190">
      <c r="A2190" s="370"/>
      <c r="B2190" s="439"/>
      <c r="C2190" s="384"/>
      <c r="D2190" s="384"/>
      <c r="E2190" s="384"/>
      <c r="F2190" s="419"/>
      <c r="G2190" s="419"/>
      <c r="H2190" s="419"/>
      <c r="I2190" s="384"/>
      <c r="J2190" s="384"/>
      <c r="K2190" s="419"/>
      <c r="L2190" s="403"/>
      <c r="M2190" s="389"/>
      <c r="N2190" s="392"/>
      <c r="O2190" s="349"/>
      <c r="P2190" s="389"/>
      <c r="Q2190" s="275"/>
      <c r="R2190" s="277"/>
      <c r="S2190" s="276"/>
      <c r="T2190" s="276"/>
      <c r="U2190" s="276"/>
      <c r="V2190" s="276"/>
      <c r="W2190" s="276"/>
      <c r="X2190" s="276"/>
      <c r="Y2190" s="276"/>
      <c r="Z2190" s="276"/>
      <c r="AA2190" s="276"/>
      <c r="AB2190" s="276"/>
      <c r="AC2190" s="276"/>
    </row>
    <row r="2191">
      <c r="A2191" s="370"/>
      <c r="B2191" s="439"/>
      <c r="C2191" s="384"/>
      <c r="D2191" s="384"/>
      <c r="E2191" s="384"/>
      <c r="F2191" s="419"/>
      <c r="G2191" s="419"/>
      <c r="H2191" s="419"/>
      <c r="I2191" s="384"/>
      <c r="J2191" s="384"/>
      <c r="K2191" s="419"/>
      <c r="L2191" s="403"/>
      <c r="M2191" s="389"/>
      <c r="N2191" s="392"/>
      <c r="O2191" s="349"/>
      <c r="P2191" s="389"/>
      <c r="Q2191" s="275"/>
      <c r="R2191" s="277"/>
      <c r="S2191" s="276"/>
      <c r="T2191" s="276"/>
      <c r="U2191" s="276"/>
      <c r="V2191" s="276"/>
      <c r="W2191" s="276"/>
      <c r="X2191" s="276"/>
      <c r="Y2191" s="276"/>
      <c r="Z2191" s="276"/>
      <c r="AA2191" s="276"/>
      <c r="AB2191" s="276"/>
      <c r="AC2191" s="276"/>
    </row>
    <row r="2192">
      <c r="A2192" s="370"/>
      <c r="B2192" s="439"/>
      <c r="C2192" s="384"/>
      <c r="D2192" s="384"/>
      <c r="E2192" s="384"/>
      <c r="F2192" s="419"/>
      <c r="G2192" s="419"/>
      <c r="H2192" s="419"/>
      <c r="I2192" s="384"/>
      <c r="J2192" s="384"/>
      <c r="K2192" s="419"/>
      <c r="L2192" s="403"/>
      <c r="M2192" s="389"/>
      <c r="N2192" s="392"/>
      <c r="O2192" s="349"/>
      <c r="P2192" s="389"/>
      <c r="Q2192" s="275"/>
      <c r="R2192" s="277"/>
      <c r="S2192" s="276"/>
      <c r="T2192" s="276"/>
      <c r="U2192" s="276"/>
      <c r="V2192" s="276"/>
      <c r="W2192" s="276"/>
      <c r="X2192" s="276"/>
      <c r="Y2192" s="276"/>
      <c r="Z2192" s="276"/>
      <c r="AA2192" s="276"/>
      <c r="AB2192" s="276"/>
      <c r="AC2192" s="276"/>
    </row>
    <row r="2193">
      <c r="A2193" s="370"/>
      <c r="B2193" s="439"/>
      <c r="C2193" s="384"/>
      <c r="D2193" s="384"/>
      <c r="E2193" s="384"/>
      <c r="F2193" s="419"/>
      <c r="G2193" s="419"/>
      <c r="H2193" s="419"/>
      <c r="I2193" s="384"/>
      <c r="J2193" s="384"/>
      <c r="K2193" s="419"/>
      <c r="L2193" s="403"/>
      <c r="M2193" s="389"/>
      <c r="N2193" s="392"/>
      <c r="O2193" s="349"/>
      <c r="P2193" s="389"/>
      <c r="Q2193" s="275"/>
      <c r="R2193" s="277"/>
      <c r="S2193" s="276"/>
      <c r="T2193" s="276"/>
      <c r="U2193" s="276"/>
      <c r="V2193" s="276"/>
      <c r="W2193" s="276"/>
      <c r="X2193" s="276"/>
      <c r="Y2193" s="276"/>
      <c r="Z2193" s="276"/>
      <c r="AA2193" s="276"/>
      <c r="AB2193" s="276"/>
      <c r="AC2193" s="276"/>
    </row>
    <row r="2194">
      <c r="A2194" s="370"/>
      <c r="B2194" s="439"/>
      <c r="C2194" s="384"/>
      <c r="D2194" s="384"/>
      <c r="E2194" s="384"/>
      <c r="F2194" s="419"/>
      <c r="G2194" s="419"/>
      <c r="H2194" s="419"/>
      <c r="I2194" s="384"/>
      <c r="J2194" s="384"/>
      <c r="K2194" s="419"/>
      <c r="L2194" s="403"/>
      <c r="M2194" s="389"/>
      <c r="N2194" s="392"/>
      <c r="O2194" s="349"/>
      <c r="P2194" s="389"/>
      <c r="Q2194" s="275"/>
      <c r="R2194" s="277"/>
      <c r="S2194" s="276"/>
      <c r="T2194" s="276"/>
      <c r="U2194" s="276"/>
      <c r="V2194" s="276"/>
      <c r="W2194" s="276"/>
      <c r="X2194" s="276"/>
      <c r="Y2194" s="276"/>
      <c r="Z2194" s="276"/>
      <c r="AA2194" s="276"/>
      <c r="AB2194" s="276"/>
      <c r="AC2194" s="276"/>
    </row>
    <row r="2195">
      <c r="A2195" s="370"/>
      <c r="B2195" s="439"/>
      <c r="C2195" s="384"/>
      <c r="D2195" s="384"/>
      <c r="E2195" s="384"/>
      <c r="F2195" s="419"/>
      <c r="G2195" s="419"/>
      <c r="H2195" s="419"/>
      <c r="I2195" s="384"/>
      <c r="J2195" s="384"/>
      <c r="K2195" s="419"/>
      <c r="L2195" s="403"/>
      <c r="M2195" s="389"/>
      <c r="N2195" s="392"/>
      <c r="O2195" s="349"/>
      <c r="P2195" s="389"/>
      <c r="Q2195" s="275"/>
      <c r="R2195" s="277"/>
      <c r="S2195" s="276"/>
      <c r="T2195" s="276"/>
      <c r="U2195" s="276"/>
      <c r="V2195" s="276"/>
      <c r="W2195" s="276"/>
      <c r="X2195" s="276"/>
      <c r="Y2195" s="276"/>
      <c r="Z2195" s="276"/>
      <c r="AA2195" s="276"/>
      <c r="AB2195" s="276"/>
      <c r="AC2195" s="276"/>
    </row>
    <row r="2196">
      <c r="A2196" s="370"/>
      <c r="B2196" s="439"/>
      <c r="C2196" s="384"/>
      <c r="D2196" s="384"/>
      <c r="E2196" s="384"/>
      <c r="F2196" s="419"/>
      <c r="G2196" s="419"/>
      <c r="H2196" s="419"/>
      <c r="I2196" s="384"/>
      <c r="J2196" s="384"/>
      <c r="K2196" s="419"/>
      <c r="L2196" s="403"/>
      <c r="M2196" s="389"/>
      <c r="N2196" s="392"/>
      <c r="O2196" s="349"/>
      <c r="P2196" s="389"/>
      <c r="Q2196" s="275"/>
      <c r="R2196" s="277"/>
      <c r="S2196" s="276"/>
      <c r="T2196" s="276"/>
      <c r="U2196" s="276"/>
      <c r="V2196" s="276"/>
      <c r="W2196" s="276"/>
      <c r="X2196" s="276"/>
      <c r="Y2196" s="276"/>
      <c r="Z2196" s="276"/>
      <c r="AA2196" s="276"/>
      <c r="AB2196" s="276"/>
      <c r="AC2196" s="276"/>
    </row>
    <row r="2197">
      <c r="A2197" s="370"/>
      <c r="B2197" s="439"/>
      <c r="C2197" s="384"/>
      <c r="D2197" s="384"/>
      <c r="E2197" s="384"/>
      <c r="F2197" s="419"/>
      <c r="G2197" s="419"/>
      <c r="H2197" s="419"/>
      <c r="I2197" s="384"/>
      <c r="J2197" s="384"/>
      <c r="K2197" s="419"/>
      <c r="L2197" s="403"/>
      <c r="M2197" s="389"/>
      <c r="N2197" s="392"/>
      <c r="O2197" s="349"/>
      <c r="P2197" s="389"/>
      <c r="Q2197" s="275"/>
      <c r="R2197" s="277"/>
      <c r="S2197" s="276"/>
      <c r="T2197" s="276"/>
      <c r="U2197" s="276"/>
      <c r="V2197" s="276"/>
      <c r="W2197" s="276"/>
      <c r="X2197" s="276"/>
      <c r="Y2197" s="276"/>
      <c r="Z2197" s="276"/>
      <c r="AA2197" s="276"/>
      <c r="AB2197" s="276"/>
      <c r="AC2197" s="276"/>
    </row>
    <row r="2198">
      <c r="A2198" s="370"/>
      <c r="B2198" s="439"/>
      <c r="C2198" s="384"/>
      <c r="D2198" s="384"/>
      <c r="E2198" s="384"/>
      <c r="F2198" s="419"/>
      <c r="G2198" s="419"/>
      <c r="H2198" s="419"/>
      <c r="I2198" s="384"/>
      <c r="J2198" s="384"/>
      <c r="K2198" s="419"/>
      <c r="L2198" s="403"/>
      <c r="M2198" s="389"/>
      <c r="N2198" s="392"/>
      <c r="O2198" s="349"/>
      <c r="P2198" s="389"/>
      <c r="Q2198" s="275"/>
      <c r="R2198" s="277"/>
      <c r="S2198" s="276"/>
      <c r="T2198" s="276"/>
      <c r="U2198" s="276"/>
      <c r="V2198" s="276"/>
      <c r="W2198" s="276"/>
      <c r="X2198" s="276"/>
      <c r="Y2198" s="276"/>
      <c r="Z2198" s="276"/>
      <c r="AA2198" s="276"/>
      <c r="AB2198" s="276"/>
      <c r="AC2198" s="276"/>
    </row>
    <row r="2199">
      <c r="A2199" s="370"/>
      <c r="B2199" s="439"/>
      <c r="C2199" s="384"/>
      <c r="D2199" s="384"/>
      <c r="E2199" s="384"/>
      <c r="F2199" s="419"/>
      <c r="G2199" s="419"/>
      <c r="H2199" s="419"/>
      <c r="I2199" s="384"/>
      <c r="J2199" s="384"/>
      <c r="K2199" s="419"/>
      <c r="L2199" s="403"/>
      <c r="M2199" s="389"/>
      <c r="N2199" s="392"/>
      <c r="O2199" s="349"/>
      <c r="P2199" s="389"/>
      <c r="Q2199" s="275"/>
      <c r="R2199" s="277"/>
      <c r="S2199" s="276"/>
      <c r="T2199" s="276"/>
      <c r="U2199" s="276"/>
      <c r="V2199" s="276"/>
      <c r="W2199" s="276"/>
      <c r="X2199" s="276"/>
      <c r="Y2199" s="276"/>
      <c r="Z2199" s="276"/>
      <c r="AA2199" s="276"/>
      <c r="AB2199" s="276"/>
      <c r="AC2199" s="276"/>
    </row>
    <row r="2200">
      <c r="A2200" s="370"/>
      <c r="B2200" s="439"/>
      <c r="C2200" s="384"/>
      <c r="D2200" s="384"/>
      <c r="E2200" s="384"/>
      <c r="F2200" s="419"/>
      <c r="G2200" s="419"/>
      <c r="H2200" s="419"/>
      <c r="I2200" s="384"/>
      <c r="J2200" s="384"/>
      <c r="K2200" s="419"/>
      <c r="L2200" s="403"/>
      <c r="M2200" s="389"/>
      <c r="N2200" s="392"/>
      <c r="O2200" s="349"/>
      <c r="P2200" s="389"/>
      <c r="Q2200" s="275"/>
      <c r="R2200" s="277"/>
      <c r="S2200" s="276"/>
      <c r="T2200" s="276"/>
      <c r="U2200" s="276"/>
      <c r="V2200" s="276"/>
      <c r="W2200" s="276"/>
      <c r="X2200" s="276"/>
      <c r="Y2200" s="276"/>
      <c r="Z2200" s="276"/>
      <c r="AA2200" s="276"/>
      <c r="AB2200" s="276"/>
      <c r="AC2200" s="276"/>
    </row>
    <row r="2201">
      <c r="A2201" s="370"/>
      <c r="B2201" s="439"/>
      <c r="C2201" s="384"/>
      <c r="D2201" s="384"/>
      <c r="E2201" s="384"/>
      <c r="F2201" s="419"/>
      <c r="G2201" s="419"/>
      <c r="H2201" s="419"/>
      <c r="I2201" s="384"/>
      <c r="J2201" s="384"/>
      <c r="K2201" s="419"/>
      <c r="L2201" s="403"/>
      <c r="M2201" s="389"/>
      <c r="N2201" s="392"/>
      <c r="O2201" s="349"/>
      <c r="P2201" s="389"/>
      <c r="Q2201" s="275"/>
      <c r="R2201" s="277"/>
      <c r="S2201" s="276"/>
      <c r="T2201" s="276"/>
      <c r="U2201" s="276"/>
      <c r="V2201" s="276"/>
      <c r="W2201" s="276"/>
      <c r="X2201" s="276"/>
      <c r="Y2201" s="276"/>
      <c r="Z2201" s="276"/>
      <c r="AA2201" s="276"/>
      <c r="AB2201" s="276"/>
      <c r="AC2201" s="276"/>
    </row>
    <row r="2202">
      <c r="A2202" s="370"/>
      <c r="B2202" s="439"/>
      <c r="C2202" s="384"/>
      <c r="D2202" s="384"/>
      <c r="E2202" s="384"/>
      <c r="F2202" s="419"/>
      <c r="G2202" s="419"/>
      <c r="H2202" s="419"/>
      <c r="I2202" s="384"/>
      <c r="J2202" s="384"/>
      <c r="K2202" s="419"/>
      <c r="L2202" s="403"/>
      <c r="M2202" s="389"/>
      <c r="N2202" s="392"/>
      <c r="O2202" s="349"/>
      <c r="P2202" s="389"/>
      <c r="Q2202" s="275"/>
      <c r="R2202" s="277"/>
      <c r="S2202" s="276"/>
      <c r="T2202" s="276"/>
      <c r="U2202" s="276"/>
      <c r="V2202" s="276"/>
      <c r="W2202" s="276"/>
      <c r="X2202" s="276"/>
      <c r="Y2202" s="276"/>
      <c r="Z2202" s="276"/>
      <c r="AA2202" s="276"/>
      <c r="AB2202" s="276"/>
      <c r="AC2202" s="276"/>
    </row>
    <row r="2203">
      <c r="A2203" s="370"/>
      <c r="B2203" s="439"/>
      <c r="C2203" s="384"/>
      <c r="D2203" s="384"/>
      <c r="E2203" s="384"/>
      <c r="F2203" s="419"/>
      <c r="G2203" s="419"/>
      <c r="H2203" s="419"/>
      <c r="I2203" s="384"/>
      <c r="J2203" s="384"/>
      <c r="K2203" s="419"/>
      <c r="L2203" s="403"/>
      <c r="M2203" s="389"/>
      <c r="N2203" s="392"/>
      <c r="O2203" s="349"/>
      <c r="P2203" s="389"/>
      <c r="Q2203" s="275"/>
      <c r="R2203" s="277"/>
      <c r="S2203" s="276"/>
      <c r="T2203" s="276"/>
      <c r="U2203" s="276"/>
      <c r="V2203" s="276"/>
      <c r="W2203" s="276"/>
      <c r="X2203" s="276"/>
      <c r="Y2203" s="276"/>
      <c r="Z2203" s="276"/>
      <c r="AA2203" s="276"/>
      <c r="AB2203" s="276"/>
      <c r="AC2203" s="276"/>
    </row>
    <row r="2204">
      <c r="A2204" s="370"/>
      <c r="B2204" s="439"/>
      <c r="C2204" s="384"/>
      <c r="D2204" s="384"/>
      <c r="E2204" s="384"/>
      <c r="F2204" s="419"/>
      <c r="G2204" s="419"/>
      <c r="H2204" s="419"/>
      <c r="I2204" s="384"/>
      <c r="J2204" s="384"/>
      <c r="K2204" s="419"/>
      <c r="L2204" s="403"/>
      <c r="M2204" s="389"/>
      <c r="N2204" s="392"/>
      <c r="O2204" s="349"/>
      <c r="P2204" s="389"/>
      <c r="Q2204" s="275"/>
      <c r="R2204" s="277"/>
      <c r="S2204" s="276"/>
      <c r="T2204" s="276"/>
      <c r="U2204" s="276"/>
      <c r="V2204" s="276"/>
      <c r="W2204" s="276"/>
      <c r="X2204" s="276"/>
      <c r="Y2204" s="276"/>
      <c r="Z2204" s="276"/>
      <c r="AA2204" s="276"/>
      <c r="AB2204" s="276"/>
      <c r="AC2204" s="276"/>
    </row>
    <row r="2205">
      <c r="A2205" s="370"/>
      <c r="B2205" s="439"/>
      <c r="C2205" s="384"/>
      <c r="D2205" s="384"/>
      <c r="E2205" s="384"/>
      <c r="F2205" s="419"/>
      <c r="G2205" s="419"/>
      <c r="H2205" s="419"/>
      <c r="I2205" s="384"/>
      <c r="J2205" s="384"/>
      <c r="K2205" s="419"/>
      <c r="L2205" s="403"/>
      <c r="M2205" s="389"/>
      <c r="N2205" s="392"/>
      <c r="O2205" s="349"/>
      <c r="P2205" s="389"/>
      <c r="Q2205" s="275"/>
      <c r="R2205" s="277"/>
      <c r="S2205" s="276"/>
      <c r="T2205" s="276"/>
      <c r="U2205" s="276"/>
      <c r="V2205" s="276"/>
      <c r="W2205" s="276"/>
      <c r="X2205" s="276"/>
      <c r="Y2205" s="276"/>
      <c r="Z2205" s="276"/>
      <c r="AA2205" s="276"/>
      <c r="AB2205" s="276"/>
      <c r="AC2205" s="276"/>
    </row>
    <row r="2206">
      <c r="A2206" s="370"/>
      <c r="B2206" s="439"/>
      <c r="C2206" s="384"/>
      <c r="D2206" s="384"/>
      <c r="E2206" s="384"/>
      <c r="F2206" s="419"/>
      <c r="G2206" s="419"/>
      <c r="H2206" s="419"/>
      <c r="I2206" s="384"/>
      <c r="J2206" s="384"/>
      <c r="K2206" s="419"/>
      <c r="L2206" s="403"/>
      <c r="M2206" s="389"/>
      <c r="N2206" s="392"/>
      <c r="O2206" s="349"/>
      <c r="P2206" s="389"/>
      <c r="Q2206" s="275"/>
      <c r="R2206" s="277"/>
      <c r="S2206" s="276"/>
      <c r="T2206" s="276"/>
      <c r="U2206" s="276"/>
      <c r="V2206" s="276"/>
      <c r="W2206" s="276"/>
      <c r="X2206" s="276"/>
      <c r="Y2206" s="276"/>
      <c r="Z2206" s="276"/>
      <c r="AA2206" s="276"/>
      <c r="AB2206" s="276"/>
      <c r="AC2206" s="276"/>
    </row>
    <row r="2207">
      <c r="A2207" s="370"/>
      <c r="B2207" s="439"/>
      <c r="C2207" s="384"/>
      <c r="D2207" s="384"/>
      <c r="E2207" s="384"/>
      <c r="F2207" s="419"/>
      <c r="G2207" s="419"/>
      <c r="H2207" s="419"/>
      <c r="I2207" s="384"/>
      <c r="J2207" s="384"/>
      <c r="K2207" s="419"/>
      <c r="L2207" s="403"/>
      <c r="M2207" s="389"/>
      <c r="N2207" s="392"/>
      <c r="O2207" s="349"/>
      <c r="P2207" s="389"/>
      <c r="Q2207" s="275"/>
      <c r="R2207" s="277"/>
      <c r="S2207" s="276"/>
      <c r="T2207" s="276"/>
      <c r="U2207" s="276"/>
      <c r="V2207" s="276"/>
      <c r="W2207" s="276"/>
      <c r="X2207" s="276"/>
      <c r="Y2207" s="276"/>
      <c r="Z2207" s="276"/>
      <c r="AA2207" s="276"/>
      <c r="AB2207" s="276"/>
      <c r="AC2207" s="276"/>
    </row>
    <row r="2208">
      <c r="A2208" s="370"/>
      <c r="B2208" s="439"/>
      <c r="C2208" s="384"/>
      <c r="D2208" s="384"/>
      <c r="E2208" s="384"/>
      <c r="F2208" s="419"/>
      <c r="G2208" s="419"/>
      <c r="H2208" s="419"/>
      <c r="I2208" s="384"/>
      <c r="J2208" s="384"/>
      <c r="K2208" s="419"/>
      <c r="L2208" s="403"/>
      <c r="M2208" s="389"/>
      <c r="N2208" s="392"/>
      <c r="O2208" s="349"/>
      <c r="P2208" s="389"/>
      <c r="Q2208" s="275"/>
      <c r="R2208" s="277"/>
      <c r="S2208" s="276"/>
      <c r="T2208" s="276"/>
      <c r="U2208" s="276"/>
      <c r="V2208" s="276"/>
      <c r="W2208" s="276"/>
      <c r="X2208" s="276"/>
      <c r="Y2208" s="276"/>
      <c r="Z2208" s="276"/>
      <c r="AA2208" s="276"/>
      <c r="AB2208" s="276"/>
      <c r="AC2208" s="276"/>
    </row>
    <row r="2209">
      <c r="A2209" s="370"/>
      <c r="B2209" s="439"/>
      <c r="C2209" s="384"/>
      <c r="D2209" s="384"/>
      <c r="E2209" s="384"/>
      <c r="F2209" s="419"/>
      <c r="G2209" s="419"/>
      <c r="H2209" s="419"/>
      <c r="I2209" s="384"/>
      <c r="J2209" s="384"/>
      <c r="K2209" s="419"/>
      <c r="L2209" s="403"/>
      <c r="M2209" s="389"/>
      <c r="N2209" s="392"/>
      <c r="O2209" s="349"/>
      <c r="P2209" s="389"/>
      <c r="Q2209" s="275"/>
      <c r="R2209" s="277"/>
      <c r="S2209" s="276"/>
      <c r="T2209" s="276"/>
      <c r="U2209" s="276"/>
      <c r="V2209" s="276"/>
      <c r="W2209" s="276"/>
      <c r="X2209" s="276"/>
      <c r="Y2209" s="276"/>
      <c r="Z2209" s="276"/>
      <c r="AA2209" s="276"/>
      <c r="AB2209" s="276"/>
      <c r="AC2209" s="276"/>
    </row>
    <row r="2210">
      <c r="A2210" s="370"/>
      <c r="B2210" s="439"/>
      <c r="C2210" s="384"/>
      <c r="D2210" s="384"/>
      <c r="E2210" s="384"/>
      <c r="F2210" s="419"/>
      <c r="G2210" s="419"/>
      <c r="H2210" s="419"/>
      <c r="I2210" s="384"/>
      <c r="J2210" s="384"/>
      <c r="K2210" s="419"/>
      <c r="L2210" s="403"/>
      <c r="M2210" s="389"/>
      <c r="N2210" s="392"/>
      <c r="O2210" s="349"/>
      <c r="P2210" s="389"/>
      <c r="Q2210" s="275"/>
      <c r="R2210" s="277"/>
      <c r="S2210" s="276"/>
      <c r="T2210" s="276"/>
      <c r="U2210" s="276"/>
      <c r="V2210" s="276"/>
      <c r="W2210" s="276"/>
      <c r="X2210" s="276"/>
      <c r="Y2210" s="276"/>
      <c r="Z2210" s="276"/>
      <c r="AA2210" s="276"/>
      <c r="AB2210" s="276"/>
      <c r="AC2210" s="276"/>
    </row>
    <row r="2211">
      <c r="A2211" s="370"/>
      <c r="B2211" s="439"/>
      <c r="C2211" s="384"/>
      <c r="D2211" s="384"/>
      <c r="E2211" s="384"/>
      <c r="F2211" s="419"/>
      <c r="G2211" s="419"/>
      <c r="H2211" s="419"/>
      <c r="I2211" s="384"/>
      <c r="J2211" s="384"/>
      <c r="K2211" s="419"/>
      <c r="L2211" s="403"/>
      <c r="M2211" s="389"/>
      <c r="N2211" s="392"/>
      <c r="O2211" s="349"/>
      <c r="P2211" s="389"/>
      <c r="Q2211" s="275"/>
      <c r="R2211" s="277"/>
      <c r="S2211" s="276"/>
      <c r="T2211" s="276"/>
      <c r="U2211" s="276"/>
      <c r="V2211" s="276"/>
      <c r="W2211" s="276"/>
      <c r="X2211" s="276"/>
      <c r="Y2211" s="276"/>
      <c r="Z2211" s="276"/>
      <c r="AA2211" s="276"/>
      <c r="AB2211" s="276"/>
      <c r="AC2211" s="276"/>
    </row>
    <row r="2212">
      <c r="A2212" s="370"/>
      <c r="B2212" s="439"/>
      <c r="C2212" s="384"/>
      <c r="D2212" s="384"/>
      <c r="E2212" s="384"/>
      <c r="F2212" s="419"/>
      <c r="G2212" s="419"/>
      <c r="H2212" s="419"/>
      <c r="I2212" s="384"/>
      <c r="J2212" s="384"/>
      <c r="K2212" s="419"/>
      <c r="L2212" s="403"/>
      <c r="M2212" s="389"/>
      <c r="N2212" s="392"/>
      <c r="O2212" s="349"/>
      <c r="P2212" s="389"/>
      <c r="Q2212" s="275"/>
      <c r="R2212" s="277"/>
      <c r="S2212" s="276"/>
      <c r="T2212" s="276"/>
      <c r="U2212" s="276"/>
      <c r="V2212" s="276"/>
      <c r="W2212" s="276"/>
      <c r="X2212" s="276"/>
      <c r="Y2212" s="276"/>
      <c r="Z2212" s="276"/>
      <c r="AA2212" s="276"/>
      <c r="AB2212" s="276"/>
      <c r="AC2212" s="276"/>
    </row>
    <row r="2213">
      <c r="A2213" s="370"/>
      <c r="B2213" s="439"/>
      <c r="C2213" s="384"/>
      <c r="D2213" s="384"/>
      <c r="E2213" s="384"/>
      <c r="F2213" s="419"/>
      <c r="G2213" s="419"/>
      <c r="H2213" s="419"/>
      <c r="I2213" s="384"/>
      <c r="J2213" s="384"/>
      <c r="K2213" s="419"/>
      <c r="L2213" s="403"/>
      <c r="M2213" s="389"/>
      <c r="N2213" s="392"/>
      <c r="O2213" s="349"/>
      <c r="P2213" s="389"/>
      <c r="Q2213" s="275"/>
      <c r="R2213" s="277"/>
      <c r="S2213" s="276"/>
      <c r="T2213" s="276"/>
      <c r="U2213" s="276"/>
      <c r="V2213" s="276"/>
      <c r="W2213" s="276"/>
      <c r="X2213" s="276"/>
      <c r="Y2213" s="276"/>
      <c r="Z2213" s="276"/>
      <c r="AA2213" s="276"/>
      <c r="AB2213" s="276"/>
      <c r="AC2213" s="276"/>
    </row>
    <row r="2214">
      <c r="A2214" s="370"/>
      <c r="B2214" s="439"/>
      <c r="C2214" s="384"/>
      <c r="D2214" s="384"/>
      <c r="E2214" s="384"/>
      <c r="F2214" s="419"/>
      <c r="G2214" s="419"/>
      <c r="H2214" s="419"/>
      <c r="I2214" s="384"/>
      <c r="J2214" s="384"/>
      <c r="K2214" s="419"/>
      <c r="L2214" s="403"/>
      <c r="M2214" s="389"/>
      <c r="N2214" s="392"/>
      <c r="O2214" s="349"/>
      <c r="P2214" s="389"/>
      <c r="Q2214" s="275"/>
      <c r="R2214" s="277"/>
      <c r="S2214" s="276"/>
      <c r="T2214" s="276"/>
      <c r="U2214" s="276"/>
      <c r="V2214" s="276"/>
      <c r="W2214" s="276"/>
      <c r="X2214" s="276"/>
      <c r="Y2214" s="276"/>
      <c r="Z2214" s="276"/>
      <c r="AA2214" s="276"/>
      <c r="AB2214" s="276"/>
      <c r="AC2214" s="276"/>
    </row>
    <row r="2215">
      <c r="A2215" s="370"/>
      <c r="B2215" s="439"/>
      <c r="C2215" s="384"/>
      <c r="D2215" s="384"/>
      <c r="E2215" s="384"/>
      <c r="F2215" s="419"/>
      <c r="G2215" s="419"/>
      <c r="H2215" s="419"/>
      <c r="I2215" s="384"/>
      <c r="J2215" s="384"/>
      <c r="K2215" s="419"/>
      <c r="L2215" s="403"/>
      <c r="M2215" s="389"/>
      <c r="N2215" s="392"/>
      <c r="O2215" s="349"/>
      <c r="P2215" s="389"/>
      <c r="Q2215" s="275"/>
      <c r="R2215" s="277"/>
      <c r="S2215" s="276"/>
      <c r="T2215" s="276"/>
      <c r="U2215" s="276"/>
      <c r="V2215" s="276"/>
      <c r="W2215" s="276"/>
      <c r="X2215" s="276"/>
      <c r="Y2215" s="276"/>
      <c r="Z2215" s="276"/>
      <c r="AA2215" s="276"/>
      <c r="AB2215" s="276"/>
      <c r="AC2215" s="276"/>
    </row>
    <row r="2216">
      <c r="A2216" s="370"/>
      <c r="B2216" s="439"/>
      <c r="C2216" s="384"/>
      <c r="D2216" s="384"/>
      <c r="E2216" s="384"/>
      <c r="F2216" s="419"/>
      <c r="G2216" s="419"/>
      <c r="H2216" s="419"/>
      <c r="I2216" s="384"/>
      <c r="J2216" s="384"/>
      <c r="K2216" s="419"/>
      <c r="L2216" s="403"/>
      <c r="M2216" s="389"/>
      <c r="N2216" s="392"/>
      <c r="O2216" s="349"/>
      <c r="P2216" s="389"/>
      <c r="Q2216" s="275"/>
      <c r="R2216" s="277"/>
      <c r="S2216" s="276"/>
      <c r="T2216" s="276"/>
      <c r="U2216" s="276"/>
      <c r="V2216" s="276"/>
      <c r="W2216" s="276"/>
      <c r="X2216" s="276"/>
      <c r="Y2216" s="276"/>
      <c r="Z2216" s="276"/>
      <c r="AA2216" s="276"/>
      <c r="AB2216" s="276"/>
      <c r="AC2216" s="276"/>
    </row>
    <row r="2217">
      <c r="A2217" s="370"/>
      <c r="B2217" s="439"/>
      <c r="C2217" s="384"/>
      <c r="D2217" s="384"/>
      <c r="E2217" s="384"/>
      <c r="F2217" s="419"/>
      <c r="G2217" s="419"/>
      <c r="H2217" s="419"/>
      <c r="I2217" s="384"/>
      <c r="J2217" s="384"/>
      <c r="K2217" s="419"/>
      <c r="L2217" s="403"/>
      <c r="M2217" s="389"/>
      <c r="N2217" s="392"/>
      <c r="O2217" s="349"/>
      <c r="P2217" s="389"/>
      <c r="Q2217" s="275"/>
      <c r="R2217" s="277"/>
      <c r="S2217" s="276"/>
      <c r="T2217" s="276"/>
      <c r="U2217" s="276"/>
      <c r="V2217" s="276"/>
      <c r="W2217" s="276"/>
      <c r="X2217" s="276"/>
      <c r="Y2217" s="276"/>
      <c r="Z2217" s="276"/>
      <c r="AA2217" s="276"/>
      <c r="AB2217" s="276"/>
      <c r="AC2217" s="276"/>
    </row>
    <row r="2218">
      <c r="A2218" s="370"/>
      <c r="B2218" s="439"/>
      <c r="C2218" s="384"/>
      <c r="D2218" s="384"/>
      <c r="E2218" s="384"/>
      <c r="F2218" s="419"/>
      <c r="G2218" s="419"/>
      <c r="H2218" s="419"/>
      <c r="I2218" s="384"/>
      <c r="J2218" s="384"/>
      <c r="K2218" s="419"/>
      <c r="L2218" s="403"/>
      <c r="M2218" s="389"/>
      <c r="N2218" s="392"/>
      <c r="O2218" s="349"/>
      <c r="P2218" s="389"/>
      <c r="Q2218" s="275"/>
      <c r="R2218" s="277"/>
      <c r="S2218" s="276"/>
      <c r="T2218" s="276"/>
      <c r="U2218" s="276"/>
      <c r="V2218" s="276"/>
      <c r="W2218" s="276"/>
      <c r="X2218" s="276"/>
      <c r="Y2218" s="276"/>
      <c r="Z2218" s="276"/>
      <c r="AA2218" s="276"/>
      <c r="AB2218" s="276"/>
      <c r="AC2218" s="276"/>
    </row>
    <row r="2219">
      <c r="A2219" s="370"/>
      <c r="B2219" s="439"/>
      <c r="C2219" s="384"/>
      <c r="D2219" s="384"/>
      <c r="E2219" s="384"/>
      <c r="F2219" s="419"/>
      <c r="G2219" s="419"/>
      <c r="H2219" s="419"/>
      <c r="I2219" s="384"/>
      <c r="J2219" s="384"/>
      <c r="K2219" s="419"/>
      <c r="L2219" s="403"/>
      <c r="M2219" s="389"/>
      <c r="N2219" s="392"/>
      <c r="O2219" s="349"/>
      <c r="P2219" s="389"/>
      <c r="Q2219" s="275"/>
      <c r="R2219" s="277"/>
      <c r="S2219" s="276"/>
      <c r="T2219" s="276"/>
      <c r="U2219" s="276"/>
      <c r="V2219" s="276"/>
      <c r="W2219" s="276"/>
      <c r="X2219" s="276"/>
      <c r="Y2219" s="276"/>
      <c r="Z2219" s="276"/>
      <c r="AA2219" s="276"/>
      <c r="AB2219" s="276"/>
      <c r="AC2219" s="276"/>
    </row>
    <row r="2220">
      <c r="A2220" s="370"/>
      <c r="B2220" s="439"/>
      <c r="C2220" s="384"/>
      <c r="D2220" s="384"/>
      <c r="E2220" s="384"/>
      <c r="F2220" s="419"/>
      <c r="G2220" s="419"/>
      <c r="H2220" s="419"/>
      <c r="I2220" s="384"/>
      <c r="J2220" s="384"/>
      <c r="K2220" s="419"/>
      <c r="L2220" s="403"/>
      <c r="M2220" s="389"/>
      <c r="N2220" s="392"/>
      <c r="O2220" s="349"/>
      <c r="P2220" s="389"/>
      <c r="Q2220" s="275"/>
      <c r="R2220" s="277"/>
      <c r="S2220" s="276"/>
      <c r="T2220" s="276"/>
      <c r="U2220" s="276"/>
      <c r="V2220" s="276"/>
      <c r="W2220" s="276"/>
      <c r="X2220" s="276"/>
      <c r="Y2220" s="276"/>
      <c r="Z2220" s="276"/>
      <c r="AA2220" s="276"/>
      <c r="AB2220" s="276"/>
      <c r="AC2220" s="276"/>
    </row>
    <row r="2221">
      <c r="A2221" s="370"/>
      <c r="B2221" s="439"/>
      <c r="C2221" s="384"/>
      <c r="D2221" s="384"/>
      <c r="E2221" s="384"/>
      <c r="F2221" s="419"/>
      <c r="G2221" s="419"/>
      <c r="H2221" s="419"/>
      <c r="I2221" s="384"/>
      <c r="J2221" s="384"/>
      <c r="K2221" s="419"/>
      <c r="L2221" s="403"/>
      <c r="M2221" s="389"/>
      <c r="N2221" s="392"/>
      <c r="O2221" s="349"/>
      <c r="P2221" s="389"/>
      <c r="Q2221" s="275"/>
      <c r="R2221" s="277"/>
      <c r="S2221" s="276"/>
      <c r="T2221" s="276"/>
      <c r="U2221" s="276"/>
      <c r="V2221" s="276"/>
      <c r="W2221" s="276"/>
      <c r="X2221" s="276"/>
      <c r="Y2221" s="276"/>
      <c r="Z2221" s="276"/>
      <c r="AA2221" s="276"/>
      <c r="AB2221" s="276"/>
      <c r="AC2221" s="276"/>
    </row>
    <row r="2222">
      <c r="A2222" s="370"/>
      <c r="B2222" s="439"/>
      <c r="C2222" s="384"/>
      <c r="D2222" s="384"/>
      <c r="E2222" s="384"/>
      <c r="F2222" s="419"/>
      <c r="G2222" s="419"/>
      <c r="H2222" s="419"/>
      <c r="I2222" s="384"/>
      <c r="J2222" s="384"/>
      <c r="K2222" s="419"/>
      <c r="L2222" s="403"/>
      <c r="M2222" s="389"/>
      <c r="N2222" s="392"/>
      <c r="O2222" s="349"/>
      <c r="P2222" s="389"/>
      <c r="Q2222" s="275"/>
      <c r="R2222" s="277"/>
      <c r="S2222" s="276"/>
      <c r="T2222" s="276"/>
      <c r="U2222" s="276"/>
      <c r="V2222" s="276"/>
      <c r="W2222" s="276"/>
      <c r="X2222" s="276"/>
      <c r="Y2222" s="276"/>
      <c r="Z2222" s="276"/>
      <c r="AA2222" s="276"/>
      <c r="AB2222" s="276"/>
      <c r="AC2222" s="276"/>
    </row>
    <row r="2223">
      <c r="A2223" s="370"/>
      <c r="B2223" s="439"/>
      <c r="C2223" s="384"/>
      <c r="D2223" s="384"/>
      <c r="E2223" s="384"/>
      <c r="F2223" s="419"/>
      <c r="G2223" s="419"/>
      <c r="H2223" s="419"/>
      <c r="I2223" s="384"/>
      <c r="J2223" s="384"/>
      <c r="K2223" s="419"/>
      <c r="L2223" s="403"/>
      <c r="M2223" s="389"/>
      <c r="N2223" s="392"/>
      <c r="O2223" s="349"/>
      <c r="P2223" s="389"/>
      <c r="Q2223" s="275"/>
      <c r="R2223" s="277"/>
      <c r="S2223" s="276"/>
      <c r="T2223" s="276"/>
      <c r="U2223" s="276"/>
      <c r="V2223" s="276"/>
      <c r="W2223" s="276"/>
      <c r="X2223" s="276"/>
      <c r="Y2223" s="276"/>
      <c r="Z2223" s="276"/>
      <c r="AA2223" s="276"/>
      <c r="AB2223" s="276"/>
      <c r="AC2223" s="276"/>
    </row>
    <row r="2224">
      <c r="A2224" s="370"/>
      <c r="B2224" s="439"/>
      <c r="C2224" s="384"/>
      <c r="D2224" s="384"/>
      <c r="E2224" s="384"/>
      <c r="F2224" s="419"/>
      <c r="G2224" s="419"/>
      <c r="H2224" s="419"/>
      <c r="I2224" s="384"/>
      <c r="J2224" s="384"/>
      <c r="K2224" s="419"/>
      <c r="L2224" s="403"/>
      <c r="M2224" s="389"/>
      <c r="N2224" s="392"/>
      <c r="O2224" s="349"/>
      <c r="P2224" s="389"/>
      <c r="Q2224" s="275"/>
      <c r="R2224" s="277"/>
      <c r="S2224" s="276"/>
      <c r="T2224" s="276"/>
      <c r="U2224" s="276"/>
      <c r="V2224" s="276"/>
      <c r="W2224" s="276"/>
      <c r="X2224" s="276"/>
      <c r="Y2224" s="276"/>
      <c r="Z2224" s="276"/>
      <c r="AA2224" s="276"/>
      <c r="AB2224" s="276"/>
      <c r="AC2224" s="276"/>
    </row>
    <row r="2225">
      <c r="A2225" s="370"/>
      <c r="B2225" s="439"/>
      <c r="C2225" s="384"/>
      <c r="D2225" s="384"/>
      <c r="E2225" s="384"/>
      <c r="F2225" s="419"/>
      <c r="G2225" s="419"/>
      <c r="H2225" s="419"/>
      <c r="I2225" s="384"/>
      <c r="J2225" s="384"/>
      <c r="K2225" s="419"/>
      <c r="L2225" s="403"/>
      <c r="M2225" s="389"/>
      <c r="N2225" s="392"/>
      <c r="O2225" s="349"/>
      <c r="P2225" s="389"/>
      <c r="Q2225" s="275"/>
      <c r="R2225" s="277"/>
      <c r="S2225" s="276"/>
      <c r="T2225" s="276"/>
      <c r="U2225" s="276"/>
      <c r="V2225" s="276"/>
      <c r="W2225" s="276"/>
      <c r="X2225" s="276"/>
      <c r="Y2225" s="276"/>
      <c r="Z2225" s="276"/>
      <c r="AA2225" s="276"/>
      <c r="AB2225" s="276"/>
      <c r="AC2225" s="276"/>
    </row>
    <row r="2226">
      <c r="A2226" s="370"/>
      <c r="B2226" s="439"/>
      <c r="C2226" s="384"/>
      <c r="D2226" s="384"/>
      <c r="E2226" s="384"/>
      <c r="F2226" s="419"/>
      <c r="G2226" s="419"/>
      <c r="H2226" s="419"/>
      <c r="I2226" s="384"/>
      <c r="J2226" s="384"/>
      <c r="K2226" s="419"/>
      <c r="L2226" s="403"/>
      <c r="M2226" s="389"/>
      <c r="N2226" s="392"/>
      <c r="O2226" s="349"/>
      <c r="P2226" s="389"/>
      <c r="Q2226" s="275"/>
      <c r="R2226" s="277"/>
      <c r="S2226" s="276"/>
      <c r="T2226" s="276"/>
      <c r="U2226" s="276"/>
      <c r="V2226" s="276"/>
      <c r="W2226" s="276"/>
      <c r="X2226" s="276"/>
      <c r="Y2226" s="276"/>
      <c r="Z2226" s="276"/>
      <c r="AA2226" s="276"/>
      <c r="AB2226" s="276"/>
      <c r="AC2226" s="276"/>
    </row>
    <row r="2227">
      <c r="A2227" s="370"/>
      <c r="B2227" s="439"/>
      <c r="C2227" s="384"/>
      <c r="D2227" s="384"/>
      <c r="E2227" s="384"/>
      <c r="F2227" s="419"/>
      <c r="G2227" s="419"/>
      <c r="H2227" s="419"/>
      <c r="I2227" s="384"/>
      <c r="J2227" s="384"/>
      <c r="K2227" s="419"/>
      <c r="L2227" s="403"/>
      <c r="M2227" s="389"/>
      <c r="N2227" s="392"/>
      <c r="O2227" s="349"/>
      <c r="P2227" s="389"/>
      <c r="Q2227" s="275"/>
      <c r="R2227" s="277"/>
      <c r="S2227" s="276"/>
      <c r="T2227" s="276"/>
      <c r="U2227" s="276"/>
      <c r="V2227" s="276"/>
      <c r="W2227" s="276"/>
      <c r="X2227" s="276"/>
      <c r="Y2227" s="276"/>
      <c r="Z2227" s="276"/>
      <c r="AA2227" s="276"/>
      <c r="AB2227" s="276"/>
      <c r="AC2227" s="276"/>
    </row>
    <row r="2228">
      <c r="A2228" s="370"/>
      <c r="B2228" s="439"/>
      <c r="C2228" s="384"/>
      <c r="D2228" s="384"/>
      <c r="E2228" s="384"/>
      <c r="F2228" s="419"/>
      <c r="G2228" s="419"/>
      <c r="H2228" s="419"/>
      <c r="I2228" s="384"/>
      <c r="J2228" s="384"/>
      <c r="K2228" s="419"/>
      <c r="L2228" s="403"/>
      <c r="M2228" s="389"/>
      <c r="N2228" s="392"/>
      <c r="O2228" s="349"/>
      <c r="P2228" s="389"/>
      <c r="Q2228" s="275"/>
      <c r="R2228" s="277"/>
      <c r="S2228" s="276"/>
      <c r="T2228" s="276"/>
      <c r="U2228" s="276"/>
      <c r="V2228" s="276"/>
      <c r="W2228" s="276"/>
      <c r="X2228" s="276"/>
      <c r="Y2228" s="276"/>
      <c r="Z2228" s="276"/>
      <c r="AA2228" s="276"/>
      <c r="AB2228" s="276"/>
      <c r="AC2228" s="276"/>
    </row>
    <row r="2229">
      <c r="A2229" s="370"/>
      <c r="B2229" s="439"/>
      <c r="C2229" s="384"/>
      <c r="D2229" s="384"/>
      <c r="E2229" s="384"/>
      <c r="F2229" s="419"/>
      <c r="G2229" s="419"/>
      <c r="H2229" s="419"/>
      <c r="I2229" s="384"/>
      <c r="J2229" s="384"/>
      <c r="K2229" s="419"/>
      <c r="L2229" s="403"/>
      <c r="M2229" s="389"/>
      <c r="N2229" s="392"/>
      <c r="O2229" s="349"/>
      <c r="P2229" s="389"/>
      <c r="Q2229" s="275"/>
      <c r="R2229" s="277"/>
      <c r="S2229" s="276"/>
      <c r="T2229" s="276"/>
      <c r="U2229" s="276"/>
      <c r="V2229" s="276"/>
      <c r="W2229" s="276"/>
      <c r="X2229" s="276"/>
      <c r="Y2229" s="276"/>
      <c r="Z2229" s="276"/>
      <c r="AA2229" s="276"/>
      <c r="AB2229" s="276"/>
      <c r="AC2229" s="276"/>
    </row>
    <row r="2230">
      <c r="A2230" s="370"/>
      <c r="B2230" s="439"/>
      <c r="C2230" s="384"/>
      <c r="D2230" s="384"/>
      <c r="E2230" s="384"/>
      <c r="F2230" s="419"/>
      <c r="G2230" s="419"/>
      <c r="H2230" s="419"/>
      <c r="I2230" s="384"/>
      <c r="J2230" s="384"/>
      <c r="K2230" s="419"/>
      <c r="L2230" s="403"/>
      <c r="M2230" s="389"/>
      <c r="N2230" s="392"/>
      <c r="O2230" s="349"/>
      <c r="P2230" s="389"/>
      <c r="Q2230" s="275"/>
      <c r="R2230" s="277"/>
      <c r="S2230" s="276"/>
      <c r="T2230" s="276"/>
      <c r="U2230" s="276"/>
      <c r="V2230" s="276"/>
      <c r="W2230" s="276"/>
      <c r="X2230" s="276"/>
      <c r="Y2230" s="276"/>
      <c r="Z2230" s="276"/>
      <c r="AA2230" s="276"/>
      <c r="AB2230" s="276"/>
      <c r="AC2230" s="276"/>
    </row>
    <row r="2231">
      <c r="A2231" s="370"/>
      <c r="B2231" s="439"/>
      <c r="C2231" s="384"/>
      <c r="D2231" s="384"/>
      <c r="E2231" s="384"/>
      <c r="F2231" s="419"/>
      <c r="G2231" s="419"/>
      <c r="H2231" s="419"/>
      <c r="I2231" s="384"/>
      <c r="J2231" s="384"/>
      <c r="K2231" s="419"/>
      <c r="L2231" s="403"/>
      <c r="M2231" s="389"/>
      <c r="N2231" s="392"/>
      <c r="O2231" s="349"/>
      <c r="P2231" s="389"/>
      <c r="Q2231" s="275"/>
      <c r="R2231" s="277"/>
      <c r="S2231" s="276"/>
      <c r="T2231" s="276"/>
      <c r="U2231" s="276"/>
      <c r="V2231" s="276"/>
      <c r="W2231" s="276"/>
      <c r="X2231" s="276"/>
      <c r="Y2231" s="276"/>
      <c r="Z2231" s="276"/>
      <c r="AA2231" s="276"/>
      <c r="AB2231" s="276"/>
      <c r="AC2231" s="276"/>
    </row>
    <row r="2232">
      <c r="A2232" s="370"/>
      <c r="B2232" s="439"/>
      <c r="C2232" s="384"/>
      <c r="D2232" s="384"/>
      <c r="E2232" s="384"/>
      <c r="F2232" s="419"/>
      <c r="G2232" s="419"/>
      <c r="H2232" s="419"/>
      <c r="I2232" s="384"/>
      <c r="J2232" s="384"/>
      <c r="K2232" s="419"/>
      <c r="L2232" s="403"/>
      <c r="M2232" s="389"/>
      <c r="N2232" s="392"/>
      <c r="O2232" s="349"/>
      <c r="P2232" s="389"/>
      <c r="Q2232" s="275"/>
      <c r="R2232" s="277"/>
      <c r="S2232" s="276"/>
      <c r="T2232" s="276"/>
      <c r="U2232" s="276"/>
      <c r="V2232" s="276"/>
      <c r="W2232" s="276"/>
      <c r="X2232" s="276"/>
      <c r="Y2232" s="276"/>
      <c r="Z2232" s="276"/>
      <c r="AA2232" s="276"/>
      <c r="AB2232" s="276"/>
      <c r="AC2232" s="276"/>
    </row>
    <row r="2233">
      <c r="A2233" s="370"/>
      <c r="B2233" s="439"/>
      <c r="C2233" s="384"/>
      <c r="D2233" s="384"/>
      <c r="E2233" s="384"/>
      <c r="F2233" s="419"/>
      <c r="G2233" s="419"/>
      <c r="H2233" s="419"/>
      <c r="I2233" s="384"/>
      <c r="J2233" s="384"/>
      <c r="K2233" s="419"/>
      <c r="L2233" s="403"/>
      <c r="M2233" s="389"/>
      <c r="N2233" s="392"/>
      <c r="O2233" s="349"/>
      <c r="P2233" s="389"/>
      <c r="Q2233" s="275"/>
      <c r="R2233" s="277"/>
      <c r="S2233" s="276"/>
      <c r="T2233" s="276"/>
      <c r="U2233" s="276"/>
      <c r="V2233" s="276"/>
      <c r="W2233" s="276"/>
      <c r="X2233" s="276"/>
      <c r="Y2233" s="276"/>
      <c r="Z2233" s="276"/>
      <c r="AA2233" s="276"/>
      <c r="AB2233" s="276"/>
      <c r="AC2233" s="276"/>
    </row>
    <row r="2234">
      <c r="A2234" s="370"/>
      <c r="B2234" s="439"/>
      <c r="C2234" s="384"/>
      <c r="D2234" s="384"/>
      <c r="E2234" s="384"/>
      <c r="F2234" s="419"/>
      <c r="G2234" s="419"/>
      <c r="H2234" s="419"/>
      <c r="I2234" s="384"/>
      <c r="J2234" s="384"/>
      <c r="K2234" s="419"/>
      <c r="L2234" s="403"/>
      <c r="M2234" s="389"/>
      <c r="N2234" s="392"/>
      <c r="O2234" s="349"/>
      <c r="P2234" s="389"/>
      <c r="Q2234" s="275"/>
      <c r="R2234" s="277"/>
      <c r="S2234" s="276"/>
      <c r="T2234" s="276"/>
      <c r="U2234" s="276"/>
      <c r="V2234" s="276"/>
      <c r="W2234" s="276"/>
      <c r="X2234" s="276"/>
      <c r="Y2234" s="276"/>
      <c r="Z2234" s="276"/>
      <c r="AA2234" s="276"/>
      <c r="AB2234" s="276"/>
      <c r="AC2234" s="276"/>
    </row>
    <row r="2235">
      <c r="A2235" s="370"/>
      <c r="B2235" s="439"/>
      <c r="C2235" s="384"/>
      <c r="D2235" s="384"/>
      <c r="E2235" s="384"/>
      <c r="F2235" s="419"/>
      <c r="G2235" s="419"/>
      <c r="H2235" s="419"/>
      <c r="I2235" s="384"/>
      <c r="J2235" s="384"/>
      <c r="K2235" s="419"/>
      <c r="L2235" s="403"/>
      <c r="M2235" s="389"/>
      <c r="N2235" s="392"/>
      <c r="O2235" s="349"/>
      <c r="P2235" s="389"/>
      <c r="Q2235" s="275"/>
      <c r="R2235" s="277"/>
      <c r="S2235" s="276"/>
      <c r="T2235" s="276"/>
      <c r="U2235" s="276"/>
      <c r="V2235" s="276"/>
      <c r="W2235" s="276"/>
      <c r="X2235" s="276"/>
      <c r="Y2235" s="276"/>
      <c r="Z2235" s="276"/>
      <c r="AA2235" s="276"/>
      <c r="AB2235" s="276"/>
      <c r="AC2235" s="276"/>
    </row>
    <row r="2236">
      <c r="A2236" s="370"/>
      <c r="B2236" s="439"/>
      <c r="C2236" s="384"/>
      <c r="D2236" s="384"/>
      <c r="E2236" s="384"/>
      <c r="F2236" s="419"/>
      <c r="G2236" s="419"/>
      <c r="H2236" s="419"/>
      <c r="I2236" s="384"/>
      <c r="J2236" s="384"/>
      <c r="K2236" s="419"/>
      <c r="L2236" s="403"/>
      <c r="M2236" s="389"/>
      <c r="N2236" s="392"/>
      <c r="O2236" s="349"/>
      <c r="P2236" s="389"/>
      <c r="Q2236" s="275"/>
      <c r="R2236" s="277"/>
      <c r="S2236" s="276"/>
      <c r="T2236" s="276"/>
      <c r="U2236" s="276"/>
      <c r="V2236" s="276"/>
      <c r="W2236" s="276"/>
      <c r="X2236" s="276"/>
      <c r="Y2236" s="276"/>
      <c r="Z2236" s="276"/>
      <c r="AA2236" s="276"/>
      <c r="AB2236" s="276"/>
      <c r="AC2236" s="276"/>
    </row>
    <row r="2237">
      <c r="A2237" s="370"/>
      <c r="B2237" s="439"/>
      <c r="C2237" s="384"/>
      <c r="D2237" s="384"/>
      <c r="E2237" s="384"/>
      <c r="F2237" s="419"/>
      <c r="G2237" s="419"/>
      <c r="H2237" s="419"/>
      <c r="I2237" s="384"/>
      <c r="J2237" s="384"/>
      <c r="K2237" s="419"/>
      <c r="L2237" s="403"/>
      <c r="M2237" s="389"/>
      <c r="N2237" s="392"/>
      <c r="O2237" s="349"/>
      <c r="P2237" s="389"/>
      <c r="Q2237" s="275"/>
      <c r="R2237" s="277"/>
      <c r="S2237" s="276"/>
      <c r="T2237" s="276"/>
      <c r="U2237" s="276"/>
      <c r="V2237" s="276"/>
      <c r="W2237" s="276"/>
      <c r="X2237" s="276"/>
      <c r="Y2237" s="276"/>
      <c r="Z2237" s="276"/>
      <c r="AA2237" s="276"/>
      <c r="AB2237" s="276"/>
      <c r="AC2237" s="276"/>
    </row>
    <row r="2238">
      <c r="A2238" s="370"/>
      <c r="B2238" s="439"/>
      <c r="C2238" s="384"/>
      <c r="D2238" s="384"/>
      <c r="E2238" s="384"/>
      <c r="F2238" s="419"/>
      <c r="G2238" s="419"/>
      <c r="H2238" s="419"/>
      <c r="I2238" s="384"/>
      <c r="J2238" s="384"/>
      <c r="K2238" s="419"/>
      <c r="L2238" s="403"/>
      <c r="M2238" s="389"/>
      <c r="N2238" s="392"/>
      <c r="O2238" s="349"/>
      <c r="P2238" s="389"/>
      <c r="Q2238" s="275"/>
      <c r="R2238" s="277"/>
      <c r="S2238" s="276"/>
      <c r="T2238" s="276"/>
      <c r="U2238" s="276"/>
      <c r="V2238" s="276"/>
      <c r="W2238" s="276"/>
      <c r="X2238" s="276"/>
      <c r="Y2238" s="276"/>
      <c r="Z2238" s="276"/>
      <c r="AA2238" s="276"/>
      <c r="AB2238" s="276"/>
      <c r="AC2238" s="276"/>
    </row>
    <row r="2239">
      <c r="A2239" s="370"/>
      <c r="B2239" s="439"/>
      <c r="C2239" s="384"/>
      <c r="D2239" s="384"/>
      <c r="E2239" s="384"/>
      <c r="F2239" s="419"/>
      <c r="G2239" s="419"/>
      <c r="H2239" s="419"/>
      <c r="I2239" s="384"/>
      <c r="J2239" s="384"/>
      <c r="K2239" s="419"/>
      <c r="L2239" s="403"/>
      <c r="M2239" s="389"/>
      <c r="N2239" s="392"/>
      <c r="O2239" s="349"/>
      <c r="P2239" s="389"/>
      <c r="Q2239" s="275"/>
      <c r="R2239" s="277"/>
      <c r="S2239" s="276"/>
      <c r="T2239" s="276"/>
      <c r="U2239" s="276"/>
      <c r="V2239" s="276"/>
      <c r="W2239" s="276"/>
      <c r="X2239" s="276"/>
      <c r="Y2239" s="276"/>
      <c r="Z2239" s="276"/>
      <c r="AA2239" s="276"/>
      <c r="AB2239" s="276"/>
      <c r="AC2239" s="276"/>
    </row>
    <row r="2240">
      <c r="A2240" s="370"/>
      <c r="B2240" s="439"/>
      <c r="C2240" s="384"/>
      <c r="D2240" s="384"/>
      <c r="E2240" s="384"/>
      <c r="F2240" s="419"/>
      <c r="G2240" s="419"/>
      <c r="H2240" s="419"/>
      <c r="I2240" s="384"/>
      <c r="J2240" s="384"/>
      <c r="K2240" s="419"/>
      <c r="L2240" s="403"/>
      <c r="M2240" s="389"/>
      <c r="N2240" s="392"/>
      <c r="O2240" s="349"/>
      <c r="P2240" s="389"/>
      <c r="Q2240" s="275"/>
      <c r="R2240" s="277"/>
      <c r="S2240" s="276"/>
      <c r="T2240" s="276"/>
      <c r="U2240" s="276"/>
      <c r="V2240" s="276"/>
      <c r="W2240" s="276"/>
      <c r="X2240" s="276"/>
      <c r="Y2240" s="276"/>
      <c r="Z2240" s="276"/>
      <c r="AA2240" s="276"/>
      <c r="AB2240" s="276"/>
      <c r="AC2240" s="276"/>
    </row>
    <row r="2241">
      <c r="A2241" s="370"/>
      <c r="B2241" s="439"/>
      <c r="C2241" s="384"/>
      <c r="D2241" s="384"/>
      <c r="E2241" s="384"/>
      <c r="F2241" s="419"/>
      <c r="G2241" s="419"/>
      <c r="H2241" s="419"/>
      <c r="I2241" s="384"/>
      <c r="J2241" s="384"/>
      <c r="K2241" s="419"/>
      <c r="L2241" s="403"/>
      <c r="M2241" s="389"/>
      <c r="N2241" s="392"/>
      <c r="O2241" s="349"/>
      <c r="P2241" s="389"/>
      <c r="Q2241" s="275"/>
      <c r="R2241" s="277"/>
      <c r="S2241" s="276"/>
      <c r="T2241" s="276"/>
      <c r="U2241" s="276"/>
      <c r="V2241" s="276"/>
      <c r="W2241" s="276"/>
      <c r="X2241" s="276"/>
      <c r="Y2241" s="276"/>
      <c r="Z2241" s="276"/>
      <c r="AA2241" s="276"/>
      <c r="AB2241" s="276"/>
      <c r="AC2241" s="276"/>
    </row>
    <row r="2242">
      <c r="A2242" s="370"/>
      <c r="B2242" s="439"/>
      <c r="C2242" s="384"/>
      <c r="D2242" s="384"/>
      <c r="E2242" s="384"/>
      <c r="F2242" s="419"/>
      <c r="G2242" s="419"/>
      <c r="H2242" s="419"/>
      <c r="I2242" s="384"/>
      <c r="J2242" s="384"/>
      <c r="K2242" s="419"/>
      <c r="L2242" s="403"/>
      <c r="M2242" s="389"/>
      <c r="N2242" s="392"/>
      <c r="O2242" s="349"/>
      <c r="P2242" s="389"/>
      <c r="Q2242" s="275"/>
      <c r="R2242" s="277"/>
      <c r="S2242" s="276"/>
      <c r="T2242" s="276"/>
      <c r="U2242" s="276"/>
      <c r="V2242" s="276"/>
      <c r="W2242" s="276"/>
      <c r="X2242" s="276"/>
      <c r="Y2242" s="276"/>
      <c r="Z2242" s="276"/>
      <c r="AA2242" s="276"/>
      <c r="AB2242" s="276"/>
      <c r="AC2242" s="276"/>
    </row>
    <row r="2243">
      <c r="A2243" s="370"/>
      <c r="B2243" s="439"/>
      <c r="C2243" s="384"/>
      <c r="D2243" s="384"/>
      <c r="E2243" s="384"/>
      <c r="F2243" s="419"/>
      <c r="G2243" s="419"/>
      <c r="H2243" s="419"/>
      <c r="I2243" s="384"/>
      <c r="J2243" s="384"/>
      <c r="K2243" s="419"/>
      <c r="L2243" s="403"/>
      <c r="M2243" s="389"/>
      <c r="N2243" s="392"/>
      <c r="O2243" s="349"/>
      <c r="P2243" s="389"/>
      <c r="Q2243" s="275"/>
      <c r="R2243" s="277"/>
      <c r="S2243" s="276"/>
      <c r="T2243" s="276"/>
      <c r="U2243" s="276"/>
      <c r="V2243" s="276"/>
      <c r="W2243" s="276"/>
      <c r="X2243" s="276"/>
      <c r="Y2243" s="276"/>
      <c r="Z2243" s="276"/>
      <c r="AA2243" s="276"/>
      <c r="AB2243" s="276"/>
      <c r="AC2243" s="276"/>
    </row>
    <row r="2244">
      <c r="A2244" s="370"/>
      <c r="B2244" s="439"/>
      <c r="C2244" s="384"/>
      <c r="D2244" s="384"/>
      <c r="E2244" s="384"/>
      <c r="F2244" s="419"/>
      <c r="G2244" s="419"/>
      <c r="H2244" s="419"/>
      <c r="I2244" s="384"/>
      <c r="J2244" s="384"/>
      <c r="K2244" s="419"/>
      <c r="L2244" s="403"/>
      <c r="M2244" s="389"/>
      <c r="N2244" s="392"/>
      <c r="O2244" s="349"/>
      <c r="P2244" s="389"/>
      <c r="Q2244" s="275"/>
      <c r="R2244" s="277"/>
      <c r="S2244" s="276"/>
      <c r="T2244" s="276"/>
      <c r="U2244" s="276"/>
      <c r="V2244" s="276"/>
      <c r="W2244" s="276"/>
      <c r="X2244" s="276"/>
      <c r="Y2244" s="276"/>
      <c r="Z2244" s="276"/>
      <c r="AA2244" s="276"/>
      <c r="AB2244" s="276"/>
      <c r="AC2244" s="276"/>
    </row>
    <row r="2245">
      <c r="A2245" s="370"/>
      <c r="B2245" s="439"/>
      <c r="C2245" s="384"/>
      <c r="D2245" s="384"/>
      <c r="E2245" s="384"/>
      <c r="F2245" s="419"/>
      <c r="G2245" s="419"/>
      <c r="H2245" s="419"/>
      <c r="I2245" s="384"/>
      <c r="J2245" s="384"/>
      <c r="K2245" s="419"/>
      <c r="L2245" s="403"/>
      <c r="M2245" s="389"/>
      <c r="N2245" s="392"/>
      <c r="O2245" s="349"/>
      <c r="P2245" s="389"/>
      <c r="Q2245" s="275"/>
      <c r="R2245" s="277"/>
      <c r="S2245" s="276"/>
      <c r="T2245" s="276"/>
      <c r="U2245" s="276"/>
      <c r="V2245" s="276"/>
      <c r="W2245" s="276"/>
      <c r="X2245" s="276"/>
      <c r="Y2245" s="276"/>
      <c r="Z2245" s="276"/>
      <c r="AA2245" s="276"/>
      <c r="AB2245" s="276"/>
      <c r="AC2245" s="276"/>
    </row>
    <row r="2246">
      <c r="A2246" s="370"/>
      <c r="B2246" s="439"/>
      <c r="C2246" s="384"/>
      <c r="D2246" s="384"/>
      <c r="E2246" s="384"/>
      <c r="F2246" s="419"/>
      <c r="G2246" s="419"/>
      <c r="H2246" s="419"/>
      <c r="I2246" s="384"/>
      <c r="J2246" s="384"/>
      <c r="K2246" s="419"/>
      <c r="L2246" s="403"/>
      <c r="M2246" s="389"/>
      <c r="N2246" s="392"/>
      <c r="O2246" s="349"/>
      <c r="P2246" s="389"/>
      <c r="Q2246" s="275"/>
      <c r="R2246" s="277"/>
      <c r="S2246" s="276"/>
      <c r="T2246" s="276"/>
      <c r="U2246" s="276"/>
      <c r="V2246" s="276"/>
      <c r="W2246" s="276"/>
      <c r="X2246" s="276"/>
      <c r="Y2246" s="276"/>
      <c r="Z2246" s="276"/>
      <c r="AA2246" s="276"/>
      <c r="AB2246" s="276"/>
      <c r="AC2246" s="276"/>
    </row>
    <row r="2247">
      <c r="A2247" s="370"/>
      <c r="B2247" s="439"/>
      <c r="C2247" s="384"/>
      <c r="D2247" s="384"/>
      <c r="E2247" s="384"/>
      <c r="F2247" s="419"/>
      <c r="G2247" s="419"/>
      <c r="H2247" s="419"/>
      <c r="I2247" s="384"/>
      <c r="J2247" s="384"/>
      <c r="K2247" s="419"/>
      <c r="L2247" s="403"/>
      <c r="M2247" s="389"/>
      <c r="N2247" s="392"/>
      <c r="O2247" s="349"/>
      <c r="P2247" s="389"/>
      <c r="Q2247" s="275"/>
      <c r="R2247" s="277"/>
      <c r="S2247" s="276"/>
      <c r="T2247" s="276"/>
      <c r="U2247" s="276"/>
      <c r="V2247" s="276"/>
      <c r="W2247" s="276"/>
      <c r="X2247" s="276"/>
      <c r="Y2247" s="276"/>
      <c r="Z2247" s="276"/>
      <c r="AA2247" s="276"/>
      <c r="AB2247" s="276"/>
      <c r="AC2247" s="276"/>
    </row>
    <row r="2248">
      <c r="A2248" s="370"/>
      <c r="B2248" s="439"/>
      <c r="C2248" s="384"/>
      <c r="D2248" s="384"/>
      <c r="E2248" s="384"/>
      <c r="F2248" s="419"/>
      <c r="G2248" s="419"/>
      <c r="H2248" s="419"/>
      <c r="I2248" s="384"/>
      <c r="J2248" s="384"/>
      <c r="K2248" s="419"/>
      <c r="L2248" s="403"/>
      <c r="M2248" s="389"/>
      <c r="N2248" s="392"/>
      <c r="O2248" s="349"/>
      <c r="P2248" s="389"/>
      <c r="Q2248" s="275"/>
      <c r="R2248" s="277"/>
      <c r="S2248" s="276"/>
      <c r="T2248" s="276"/>
      <c r="U2248" s="276"/>
      <c r="V2248" s="276"/>
      <c r="W2248" s="276"/>
      <c r="X2248" s="276"/>
      <c r="Y2248" s="276"/>
      <c r="Z2248" s="276"/>
      <c r="AA2248" s="276"/>
      <c r="AB2248" s="276"/>
      <c r="AC2248" s="276"/>
    </row>
    <row r="2249">
      <c r="A2249" s="370"/>
      <c r="B2249" s="439"/>
      <c r="C2249" s="384"/>
      <c r="D2249" s="384"/>
      <c r="E2249" s="384"/>
      <c r="F2249" s="419"/>
      <c r="G2249" s="419"/>
      <c r="H2249" s="419"/>
      <c r="I2249" s="384"/>
      <c r="J2249" s="384"/>
      <c r="K2249" s="419"/>
      <c r="L2249" s="403"/>
      <c r="M2249" s="389"/>
      <c r="N2249" s="392"/>
      <c r="O2249" s="349"/>
      <c r="P2249" s="389"/>
      <c r="Q2249" s="275"/>
      <c r="R2249" s="277"/>
      <c r="S2249" s="276"/>
      <c r="T2249" s="276"/>
      <c r="U2249" s="276"/>
      <c r="V2249" s="276"/>
      <c r="W2249" s="276"/>
      <c r="X2249" s="276"/>
      <c r="Y2249" s="276"/>
      <c r="Z2249" s="276"/>
      <c r="AA2249" s="276"/>
      <c r="AB2249" s="276"/>
      <c r="AC2249" s="276"/>
    </row>
    <row r="2250">
      <c r="A2250" s="370"/>
      <c r="B2250" s="439"/>
      <c r="C2250" s="384"/>
      <c r="D2250" s="384"/>
      <c r="E2250" s="384"/>
      <c r="F2250" s="419"/>
      <c r="G2250" s="419"/>
      <c r="H2250" s="419"/>
      <c r="I2250" s="384"/>
      <c r="J2250" s="384"/>
      <c r="K2250" s="419"/>
      <c r="L2250" s="403"/>
      <c r="M2250" s="389"/>
      <c r="N2250" s="392"/>
      <c r="O2250" s="349"/>
      <c r="P2250" s="389"/>
      <c r="Q2250" s="275"/>
      <c r="R2250" s="277"/>
      <c r="S2250" s="276"/>
      <c r="T2250" s="276"/>
      <c r="U2250" s="276"/>
      <c r="V2250" s="276"/>
      <c r="W2250" s="276"/>
      <c r="X2250" s="276"/>
      <c r="Y2250" s="276"/>
      <c r="Z2250" s="276"/>
      <c r="AA2250" s="276"/>
      <c r="AB2250" s="276"/>
      <c r="AC2250" s="276"/>
    </row>
    <row r="2251">
      <c r="A2251" s="370"/>
      <c r="B2251" s="439"/>
      <c r="C2251" s="384"/>
      <c r="D2251" s="384"/>
      <c r="E2251" s="384"/>
      <c r="F2251" s="419"/>
      <c r="G2251" s="419"/>
      <c r="H2251" s="419"/>
      <c r="I2251" s="384"/>
      <c r="J2251" s="384"/>
      <c r="K2251" s="419"/>
      <c r="L2251" s="403"/>
      <c r="M2251" s="389"/>
      <c r="N2251" s="392"/>
      <c r="O2251" s="349"/>
      <c r="P2251" s="389"/>
      <c r="Q2251" s="275"/>
      <c r="R2251" s="277"/>
      <c r="S2251" s="276"/>
      <c r="T2251" s="276"/>
      <c r="U2251" s="276"/>
      <c r="V2251" s="276"/>
      <c r="W2251" s="276"/>
      <c r="X2251" s="276"/>
      <c r="Y2251" s="276"/>
      <c r="Z2251" s="276"/>
      <c r="AA2251" s="276"/>
      <c r="AB2251" s="276"/>
      <c r="AC2251" s="276"/>
    </row>
    <row r="2252">
      <c r="A2252" s="370"/>
      <c r="B2252" s="439"/>
      <c r="C2252" s="384"/>
      <c r="D2252" s="384"/>
      <c r="E2252" s="384"/>
      <c r="F2252" s="419"/>
      <c r="G2252" s="419"/>
      <c r="H2252" s="419"/>
      <c r="I2252" s="384"/>
      <c r="J2252" s="384"/>
      <c r="K2252" s="419"/>
      <c r="L2252" s="403"/>
      <c r="M2252" s="389"/>
      <c r="N2252" s="392"/>
      <c r="O2252" s="349"/>
      <c r="P2252" s="389"/>
      <c r="Q2252" s="275"/>
      <c r="R2252" s="277"/>
      <c r="S2252" s="276"/>
      <c r="T2252" s="276"/>
      <c r="U2252" s="276"/>
      <c r="V2252" s="276"/>
      <c r="W2252" s="276"/>
      <c r="X2252" s="276"/>
      <c r="Y2252" s="276"/>
      <c r="Z2252" s="276"/>
      <c r="AA2252" s="276"/>
      <c r="AB2252" s="276"/>
      <c r="AC2252" s="276"/>
    </row>
    <row r="2253">
      <c r="A2253" s="370"/>
      <c r="B2253" s="439"/>
      <c r="C2253" s="384"/>
      <c r="D2253" s="384"/>
      <c r="E2253" s="384"/>
      <c r="F2253" s="419"/>
      <c r="G2253" s="419"/>
      <c r="H2253" s="419"/>
      <c r="I2253" s="384"/>
      <c r="J2253" s="384"/>
      <c r="K2253" s="419"/>
      <c r="L2253" s="403"/>
      <c r="M2253" s="389"/>
      <c r="N2253" s="392"/>
      <c r="O2253" s="349"/>
      <c r="P2253" s="389"/>
      <c r="Q2253" s="275"/>
      <c r="R2253" s="277"/>
      <c r="S2253" s="276"/>
      <c r="T2253" s="276"/>
      <c r="U2253" s="276"/>
      <c r="V2253" s="276"/>
      <c r="W2253" s="276"/>
      <c r="X2253" s="276"/>
      <c r="Y2253" s="276"/>
      <c r="Z2253" s="276"/>
      <c r="AA2253" s="276"/>
      <c r="AB2253" s="276"/>
      <c r="AC2253" s="276"/>
    </row>
    <row r="2254">
      <c r="A2254" s="370"/>
      <c r="B2254" s="439"/>
      <c r="C2254" s="384"/>
      <c r="D2254" s="384"/>
      <c r="E2254" s="384"/>
      <c r="F2254" s="419"/>
      <c r="G2254" s="419"/>
      <c r="H2254" s="419"/>
      <c r="I2254" s="384"/>
      <c r="J2254" s="384"/>
      <c r="K2254" s="419"/>
      <c r="L2254" s="403"/>
      <c r="M2254" s="389"/>
      <c r="N2254" s="392"/>
      <c r="O2254" s="349"/>
      <c r="P2254" s="389"/>
      <c r="Q2254" s="275"/>
      <c r="R2254" s="277"/>
      <c r="S2254" s="276"/>
      <c r="T2254" s="276"/>
      <c r="U2254" s="276"/>
      <c r="V2254" s="276"/>
      <c r="W2254" s="276"/>
      <c r="X2254" s="276"/>
      <c r="Y2254" s="276"/>
      <c r="Z2254" s="276"/>
      <c r="AA2254" s="276"/>
      <c r="AB2254" s="276"/>
      <c r="AC2254" s="276"/>
    </row>
    <row r="2255">
      <c r="A2255" s="370"/>
      <c r="B2255" s="439"/>
      <c r="C2255" s="384"/>
      <c r="D2255" s="384"/>
      <c r="E2255" s="384"/>
      <c r="F2255" s="419"/>
      <c r="G2255" s="419"/>
      <c r="H2255" s="419"/>
      <c r="I2255" s="384"/>
      <c r="J2255" s="384"/>
      <c r="K2255" s="419"/>
      <c r="L2255" s="403"/>
      <c r="M2255" s="389"/>
      <c r="N2255" s="392"/>
      <c r="O2255" s="349"/>
      <c r="P2255" s="389"/>
      <c r="Q2255" s="275"/>
      <c r="R2255" s="277"/>
      <c r="S2255" s="276"/>
      <c r="T2255" s="276"/>
      <c r="U2255" s="276"/>
      <c r="V2255" s="276"/>
      <c r="W2255" s="276"/>
      <c r="X2255" s="276"/>
      <c r="Y2255" s="276"/>
      <c r="Z2255" s="276"/>
      <c r="AA2255" s="276"/>
      <c r="AB2255" s="276"/>
      <c r="AC2255" s="276"/>
    </row>
    <row r="2256">
      <c r="A2256" s="370"/>
      <c r="B2256" s="439"/>
      <c r="C2256" s="384"/>
      <c r="D2256" s="384"/>
      <c r="E2256" s="384"/>
      <c r="F2256" s="419"/>
      <c r="G2256" s="419"/>
      <c r="H2256" s="419"/>
      <c r="I2256" s="384"/>
      <c r="J2256" s="384"/>
      <c r="K2256" s="419"/>
      <c r="L2256" s="403"/>
      <c r="M2256" s="389"/>
      <c r="N2256" s="392"/>
      <c r="O2256" s="349"/>
      <c r="P2256" s="389"/>
      <c r="Q2256" s="275"/>
      <c r="R2256" s="277"/>
      <c r="S2256" s="276"/>
      <c r="T2256" s="276"/>
      <c r="U2256" s="276"/>
      <c r="V2256" s="276"/>
      <c r="W2256" s="276"/>
      <c r="X2256" s="276"/>
      <c r="Y2256" s="276"/>
      <c r="Z2256" s="276"/>
      <c r="AA2256" s="276"/>
      <c r="AB2256" s="276"/>
      <c r="AC2256" s="276"/>
    </row>
    <row r="2257">
      <c r="A2257" s="370"/>
      <c r="B2257" s="439"/>
      <c r="C2257" s="384"/>
      <c r="D2257" s="384"/>
      <c r="E2257" s="384"/>
      <c r="F2257" s="419"/>
      <c r="G2257" s="419"/>
      <c r="H2257" s="419"/>
      <c r="I2257" s="384"/>
      <c r="J2257" s="384"/>
      <c r="K2257" s="419"/>
      <c r="L2257" s="403"/>
      <c r="M2257" s="389"/>
      <c r="N2257" s="392"/>
      <c r="O2257" s="349"/>
      <c r="P2257" s="389"/>
      <c r="Q2257" s="275"/>
      <c r="R2257" s="277"/>
      <c r="S2257" s="276"/>
      <c r="T2257" s="276"/>
      <c r="U2257" s="276"/>
      <c r="V2257" s="276"/>
      <c r="W2257" s="276"/>
      <c r="X2257" s="276"/>
      <c r="Y2257" s="276"/>
      <c r="Z2257" s="276"/>
      <c r="AA2257" s="276"/>
      <c r="AB2257" s="276"/>
      <c r="AC2257" s="276"/>
    </row>
    <row r="2258">
      <c r="A2258" s="370"/>
      <c r="B2258" s="439"/>
      <c r="C2258" s="384"/>
      <c r="D2258" s="384"/>
      <c r="E2258" s="384"/>
      <c r="F2258" s="419"/>
      <c r="G2258" s="419"/>
      <c r="H2258" s="419"/>
      <c r="I2258" s="384"/>
      <c r="J2258" s="384"/>
      <c r="K2258" s="419"/>
      <c r="L2258" s="403"/>
      <c r="M2258" s="389"/>
      <c r="N2258" s="392"/>
      <c r="O2258" s="349"/>
      <c r="P2258" s="389"/>
      <c r="Q2258" s="275"/>
      <c r="R2258" s="277"/>
      <c r="S2258" s="276"/>
      <c r="T2258" s="276"/>
      <c r="U2258" s="276"/>
      <c r="V2258" s="276"/>
      <c r="W2258" s="276"/>
      <c r="X2258" s="276"/>
      <c r="Y2258" s="276"/>
      <c r="Z2258" s="276"/>
      <c r="AA2258" s="276"/>
      <c r="AB2258" s="276"/>
      <c r="AC2258" s="276"/>
    </row>
    <row r="2259">
      <c r="A2259" s="370"/>
      <c r="B2259" s="439"/>
      <c r="C2259" s="384"/>
      <c r="D2259" s="384"/>
      <c r="E2259" s="384"/>
      <c r="F2259" s="419"/>
      <c r="G2259" s="419"/>
      <c r="H2259" s="419"/>
      <c r="I2259" s="384"/>
      <c r="J2259" s="384"/>
      <c r="K2259" s="419"/>
      <c r="L2259" s="403"/>
      <c r="M2259" s="389"/>
      <c r="N2259" s="392"/>
      <c r="O2259" s="349"/>
      <c r="P2259" s="389"/>
      <c r="Q2259" s="275"/>
      <c r="R2259" s="277"/>
      <c r="S2259" s="276"/>
      <c r="T2259" s="276"/>
      <c r="U2259" s="276"/>
      <c r="V2259" s="276"/>
      <c r="W2259" s="276"/>
      <c r="X2259" s="276"/>
      <c r="Y2259" s="276"/>
      <c r="Z2259" s="276"/>
      <c r="AA2259" s="276"/>
      <c r="AB2259" s="276"/>
      <c r="AC2259" s="276"/>
    </row>
    <row r="2260">
      <c r="A2260" s="370"/>
      <c r="B2260" s="439"/>
      <c r="C2260" s="384"/>
      <c r="D2260" s="384"/>
      <c r="E2260" s="384"/>
      <c r="F2260" s="419"/>
      <c r="G2260" s="419"/>
      <c r="H2260" s="419"/>
      <c r="I2260" s="384"/>
      <c r="J2260" s="384"/>
      <c r="K2260" s="419"/>
      <c r="L2260" s="403"/>
      <c r="M2260" s="389"/>
      <c r="N2260" s="392"/>
      <c r="O2260" s="349"/>
      <c r="P2260" s="389"/>
      <c r="Q2260" s="275"/>
      <c r="R2260" s="277"/>
      <c r="S2260" s="276"/>
      <c r="T2260" s="276"/>
      <c r="U2260" s="276"/>
      <c r="V2260" s="276"/>
      <c r="W2260" s="276"/>
      <c r="X2260" s="276"/>
      <c r="Y2260" s="276"/>
      <c r="Z2260" s="276"/>
      <c r="AA2260" s="276"/>
      <c r="AB2260" s="276"/>
      <c r="AC2260" s="276"/>
    </row>
    <row r="2261">
      <c r="A2261" s="370"/>
      <c r="B2261" s="439"/>
      <c r="C2261" s="384"/>
      <c r="D2261" s="384"/>
      <c r="E2261" s="384"/>
      <c r="F2261" s="419"/>
      <c r="G2261" s="419"/>
      <c r="H2261" s="419"/>
      <c r="I2261" s="384"/>
      <c r="J2261" s="384"/>
      <c r="K2261" s="419"/>
      <c r="L2261" s="403"/>
      <c r="M2261" s="389"/>
      <c r="N2261" s="392"/>
      <c r="O2261" s="349"/>
      <c r="P2261" s="389"/>
      <c r="Q2261" s="275"/>
      <c r="R2261" s="277"/>
      <c r="S2261" s="276"/>
      <c r="T2261" s="276"/>
      <c r="U2261" s="276"/>
      <c r="V2261" s="276"/>
      <c r="W2261" s="276"/>
      <c r="X2261" s="276"/>
      <c r="Y2261" s="276"/>
      <c r="Z2261" s="276"/>
      <c r="AA2261" s="276"/>
      <c r="AB2261" s="276"/>
      <c r="AC2261" s="276"/>
    </row>
    <row r="2262">
      <c r="A2262" s="370"/>
      <c r="B2262" s="439"/>
      <c r="C2262" s="384"/>
      <c r="D2262" s="384"/>
      <c r="E2262" s="384"/>
      <c r="F2262" s="419"/>
      <c r="G2262" s="419"/>
      <c r="H2262" s="419"/>
      <c r="I2262" s="384"/>
      <c r="J2262" s="384"/>
      <c r="K2262" s="419"/>
      <c r="L2262" s="403"/>
      <c r="M2262" s="389"/>
      <c r="N2262" s="392"/>
      <c r="O2262" s="349"/>
      <c r="P2262" s="389"/>
      <c r="Q2262" s="275"/>
      <c r="R2262" s="277"/>
      <c r="S2262" s="276"/>
      <c r="T2262" s="276"/>
      <c r="U2262" s="276"/>
      <c r="V2262" s="276"/>
      <c r="W2262" s="276"/>
      <c r="X2262" s="276"/>
      <c r="Y2262" s="276"/>
      <c r="Z2262" s="276"/>
      <c r="AA2262" s="276"/>
      <c r="AB2262" s="276"/>
      <c r="AC2262" s="276"/>
    </row>
    <row r="2263">
      <c r="A2263" s="370"/>
      <c r="B2263" s="439"/>
      <c r="C2263" s="384"/>
      <c r="D2263" s="384"/>
      <c r="E2263" s="384"/>
      <c r="F2263" s="419"/>
      <c r="G2263" s="419"/>
      <c r="H2263" s="419"/>
      <c r="I2263" s="384"/>
      <c r="J2263" s="384"/>
      <c r="K2263" s="419"/>
      <c r="L2263" s="403"/>
      <c r="M2263" s="389"/>
      <c r="N2263" s="392"/>
      <c r="O2263" s="349"/>
      <c r="P2263" s="389"/>
      <c r="Q2263" s="275"/>
      <c r="R2263" s="277"/>
      <c r="S2263" s="276"/>
      <c r="T2263" s="276"/>
      <c r="U2263" s="276"/>
      <c r="V2263" s="276"/>
      <c r="W2263" s="276"/>
      <c r="X2263" s="276"/>
      <c r="Y2263" s="276"/>
      <c r="Z2263" s="276"/>
      <c r="AA2263" s="276"/>
      <c r="AB2263" s="276"/>
      <c r="AC2263" s="276"/>
    </row>
    <row r="2264">
      <c r="A2264" s="370"/>
      <c r="B2264" s="439"/>
      <c r="C2264" s="384"/>
      <c r="D2264" s="384"/>
      <c r="E2264" s="384"/>
      <c r="F2264" s="419"/>
      <c r="G2264" s="419"/>
      <c r="H2264" s="419"/>
      <c r="I2264" s="384"/>
      <c r="J2264" s="384"/>
      <c r="K2264" s="419"/>
      <c r="L2264" s="403"/>
      <c r="M2264" s="389"/>
      <c r="N2264" s="392"/>
      <c r="O2264" s="349"/>
      <c r="P2264" s="389"/>
      <c r="Q2264" s="275"/>
      <c r="R2264" s="277"/>
      <c r="S2264" s="276"/>
      <c r="T2264" s="276"/>
      <c r="U2264" s="276"/>
      <c r="V2264" s="276"/>
      <c r="W2264" s="276"/>
      <c r="X2264" s="276"/>
      <c r="Y2264" s="276"/>
      <c r="Z2264" s="276"/>
      <c r="AA2264" s="276"/>
      <c r="AB2264" s="276"/>
      <c r="AC2264" s="276"/>
    </row>
    <row r="2265">
      <c r="A2265" s="370"/>
      <c r="B2265" s="439"/>
      <c r="C2265" s="384"/>
      <c r="D2265" s="384"/>
      <c r="E2265" s="384"/>
      <c r="F2265" s="419"/>
      <c r="G2265" s="419"/>
      <c r="H2265" s="419"/>
      <c r="I2265" s="384"/>
      <c r="J2265" s="384"/>
      <c r="K2265" s="419"/>
      <c r="L2265" s="403"/>
      <c r="M2265" s="389"/>
      <c r="N2265" s="392"/>
      <c r="O2265" s="349"/>
      <c r="P2265" s="389"/>
      <c r="Q2265" s="275"/>
      <c r="R2265" s="277"/>
      <c r="S2265" s="276"/>
      <c r="T2265" s="276"/>
      <c r="U2265" s="276"/>
      <c r="V2265" s="276"/>
      <c r="W2265" s="276"/>
      <c r="X2265" s="276"/>
      <c r="Y2265" s="276"/>
      <c r="Z2265" s="276"/>
      <c r="AA2265" s="276"/>
      <c r="AB2265" s="276"/>
      <c r="AC2265" s="276"/>
    </row>
    <row r="2266">
      <c r="A2266" s="370"/>
      <c r="B2266" s="439"/>
      <c r="C2266" s="384"/>
      <c r="D2266" s="384"/>
      <c r="E2266" s="384"/>
      <c r="F2266" s="419"/>
      <c r="G2266" s="419"/>
      <c r="H2266" s="419"/>
      <c r="I2266" s="384"/>
      <c r="J2266" s="384"/>
      <c r="K2266" s="419"/>
      <c r="L2266" s="403"/>
      <c r="M2266" s="389"/>
      <c r="N2266" s="392"/>
      <c r="O2266" s="349"/>
      <c r="P2266" s="389"/>
      <c r="Q2266" s="275"/>
      <c r="R2266" s="277"/>
      <c r="S2266" s="276"/>
      <c r="T2266" s="276"/>
      <c r="U2266" s="276"/>
      <c r="V2266" s="276"/>
      <c r="W2266" s="276"/>
      <c r="X2266" s="276"/>
      <c r="Y2266" s="276"/>
      <c r="Z2266" s="276"/>
      <c r="AA2266" s="276"/>
      <c r="AB2266" s="276"/>
      <c r="AC2266" s="276"/>
    </row>
    <row r="2267">
      <c r="A2267" s="370"/>
      <c r="B2267" s="439"/>
      <c r="C2267" s="384"/>
      <c r="D2267" s="384"/>
      <c r="E2267" s="384"/>
      <c r="F2267" s="419"/>
      <c r="G2267" s="419"/>
      <c r="H2267" s="419"/>
      <c r="I2267" s="384"/>
      <c r="J2267" s="384"/>
      <c r="K2267" s="419"/>
      <c r="L2267" s="403"/>
      <c r="M2267" s="389"/>
      <c r="N2267" s="392"/>
      <c r="O2267" s="349"/>
      <c r="P2267" s="389"/>
      <c r="Q2267" s="275"/>
      <c r="R2267" s="277"/>
      <c r="S2267" s="276"/>
      <c r="T2267" s="276"/>
      <c r="U2267" s="276"/>
      <c r="V2267" s="276"/>
      <c r="W2267" s="276"/>
      <c r="X2267" s="276"/>
      <c r="Y2267" s="276"/>
      <c r="Z2267" s="276"/>
      <c r="AA2267" s="276"/>
      <c r="AB2267" s="276"/>
      <c r="AC2267" s="276"/>
    </row>
    <row r="2268">
      <c r="A2268" s="370"/>
      <c r="B2268" s="439"/>
      <c r="C2268" s="384"/>
      <c r="D2268" s="384"/>
      <c r="E2268" s="384"/>
      <c r="F2268" s="419"/>
      <c r="G2268" s="419"/>
      <c r="H2268" s="419"/>
      <c r="I2268" s="384"/>
      <c r="J2268" s="384"/>
      <c r="K2268" s="419"/>
      <c r="L2268" s="403"/>
      <c r="M2268" s="389"/>
      <c r="N2268" s="392"/>
      <c r="O2268" s="349"/>
      <c r="P2268" s="389"/>
      <c r="Q2268" s="275"/>
      <c r="R2268" s="277"/>
      <c r="S2268" s="276"/>
      <c r="T2268" s="276"/>
      <c r="U2268" s="276"/>
      <c r="V2268" s="276"/>
      <c r="W2268" s="276"/>
      <c r="X2268" s="276"/>
      <c r="Y2268" s="276"/>
      <c r="Z2268" s="276"/>
      <c r="AA2268" s="276"/>
      <c r="AB2268" s="276"/>
      <c r="AC2268" s="276"/>
    </row>
    <row r="2269">
      <c r="A2269" s="370"/>
      <c r="B2269" s="439"/>
      <c r="C2269" s="384"/>
      <c r="D2269" s="384"/>
      <c r="E2269" s="384"/>
      <c r="F2269" s="419"/>
      <c r="G2269" s="419"/>
      <c r="H2269" s="419"/>
      <c r="I2269" s="384"/>
      <c r="J2269" s="384"/>
      <c r="K2269" s="419"/>
      <c r="L2269" s="403"/>
      <c r="M2269" s="389"/>
      <c r="N2269" s="392"/>
      <c r="O2269" s="349"/>
      <c r="P2269" s="389"/>
      <c r="Q2269" s="275"/>
      <c r="R2269" s="277"/>
      <c r="S2269" s="276"/>
      <c r="T2269" s="276"/>
      <c r="U2269" s="276"/>
      <c r="V2269" s="276"/>
      <c r="W2269" s="276"/>
      <c r="X2269" s="276"/>
      <c r="Y2269" s="276"/>
      <c r="Z2269" s="276"/>
      <c r="AA2269" s="276"/>
      <c r="AB2269" s="276"/>
      <c r="AC2269" s="276"/>
    </row>
    <row r="2270">
      <c r="A2270" s="370"/>
      <c r="B2270" s="439"/>
      <c r="C2270" s="384"/>
      <c r="D2270" s="384"/>
      <c r="E2270" s="384"/>
      <c r="F2270" s="419"/>
      <c r="G2270" s="419"/>
      <c r="H2270" s="419"/>
      <c r="I2270" s="384"/>
      <c r="J2270" s="384"/>
      <c r="K2270" s="419"/>
      <c r="L2270" s="403"/>
      <c r="M2270" s="389"/>
      <c r="N2270" s="392"/>
      <c r="O2270" s="349"/>
      <c r="P2270" s="389"/>
      <c r="Q2270" s="275"/>
      <c r="R2270" s="277"/>
      <c r="S2270" s="276"/>
      <c r="T2270" s="276"/>
      <c r="U2270" s="276"/>
      <c r="V2270" s="276"/>
      <c r="W2270" s="276"/>
      <c r="X2270" s="276"/>
      <c r="Y2270" s="276"/>
      <c r="Z2270" s="276"/>
      <c r="AA2270" s="276"/>
      <c r="AB2270" s="276"/>
      <c r="AC2270" s="276"/>
    </row>
    <row r="2271">
      <c r="A2271" s="370"/>
      <c r="B2271" s="439"/>
      <c r="C2271" s="384"/>
      <c r="D2271" s="384"/>
      <c r="E2271" s="384"/>
      <c r="F2271" s="419"/>
      <c r="G2271" s="419"/>
      <c r="H2271" s="419"/>
      <c r="I2271" s="384"/>
      <c r="J2271" s="384"/>
      <c r="K2271" s="419"/>
      <c r="L2271" s="403"/>
      <c r="M2271" s="389"/>
      <c r="N2271" s="392"/>
      <c r="O2271" s="349"/>
      <c r="P2271" s="389"/>
      <c r="Q2271" s="275"/>
      <c r="R2271" s="277"/>
      <c r="S2271" s="276"/>
      <c r="T2271" s="276"/>
      <c r="U2271" s="276"/>
      <c r="V2271" s="276"/>
      <c r="W2271" s="276"/>
      <c r="X2271" s="276"/>
      <c r="Y2271" s="276"/>
      <c r="Z2271" s="276"/>
      <c r="AA2271" s="276"/>
      <c r="AB2271" s="276"/>
      <c r="AC2271" s="276"/>
    </row>
    <row r="2272">
      <c r="A2272" s="370"/>
      <c r="B2272" s="439"/>
      <c r="C2272" s="384"/>
      <c r="D2272" s="384"/>
      <c r="E2272" s="384"/>
      <c r="F2272" s="419"/>
      <c r="G2272" s="419"/>
      <c r="H2272" s="419"/>
      <c r="I2272" s="384"/>
      <c r="J2272" s="384"/>
      <c r="K2272" s="419"/>
      <c r="L2272" s="403"/>
      <c r="M2272" s="389"/>
      <c r="N2272" s="392"/>
      <c r="O2272" s="349"/>
      <c r="P2272" s="389"/>
      <c r="Q2272" s="275"/>
      <c r="R2272" s="277"/>
      <c r="S2272" s="276"/>
      <c r="T2272" s="276"/>
      <c r="U2272" s="276"/>
      <c r="V2272" s="276"/>
      <c r="W2272" s="276"/>
      <c r="X2272" s="276"/>
      <c r="Y2272" s="276"/>
      <c r="Z2272" s="276"/>
      <c r="AA2272" s="276"/>
      <c r="AB2272" s="276"/>
      <c r="AC2272" s="276"/>
    </row>
    <row r="2273">
      <c r="A2273" s="370"/>
      <c r="B2273" s="439"/>
      <c r="C2273" s="384"/>
      <c r="D2273" s="384"/>
      <c r="E2273" s="384"/>
      <c r="F2273" s="419"/>
      <c r="G2273" s="419"/>
      <c r="H2273" s="419"/>
      <c r="I2273" s="384"/>
      <c r="J2273" s="384"/>
      <c r="K2273" s="419"/>
      <c r="L2273" s="403"/>
      <c r="M2273" s="389"/>
      <c r="N2273" s="392"/>
      <c r="O2273" s="349"/>
      <c r="P2273" s="389"/>
      <c r="Q2273" s="275"/>
      <c r="R2273" s="277"/>
      <c r="S2273" s="276"/>
      <c r="T2273" s="276"/>
      <c r="U2273" s="276"/>
      <c r="V2273" s="276"/>
      <c r="W2273" s="276"/>
      <c r="X2273" s="276"/>
      <c r="Y2273" s="276"/>
      <c r="Z2273" s="276"/>
      <c r="AA2273" s="276"/>
      <c r="AB2273" s="276"/>
      <c r="AC2273" s="276"/>
    </row>
    <row r="2274">
      <c r="A2274" s="370"/>
      <c r="B2274" s="439"/>
      <c r="C2274" s="384"/>
      <c r="D2274" s="384"/>
      <c r="E2274" s="384"/>
      <c r="F2274" s="419"/>
      <c r="G2274" s="419"/>
      <c r="H2274" s="419"/>
      <c r="I2274" s="384"/>
      <c r="J2274" s="384"/>
      <c r="K2274" s="419"/>
      <c r="L2274" s="403"/>
      <c r="M2274" s="389"/>
      <c r="N2274" s="392"/>
      <c r="O2274" s="349"/>
      <c r="P2274" s="389"/>
      <c r="Q2274" s="275"/>
      <c r="R2274" s="277"/>
      <c r="S2274" s="276"/>
      <c r="T2274" s="276"/>
      <c r="U2274" s="276"/>
      <c r="V2274" s="276"/>
      <c r="W2274" s="276"/>
      <c r="X2274" s="276"/>
      <c r="Y2274" s="276"/>
      <c r="Z2274" s="276"/>
      <c r="AA2274" s="276"/>
      <c r="AB2274" s="276"/>
      <c r="AC2274" s="276"/>
    </row>
    <row r="2275">
      <c r="A2275" s="370"/>
      <c r="B2275" s="439"/>
      <c r="C2275" s="384"/>
      <c r="D2275" s="384"/>
      <c r="E2275" s="384"/>
      <c r="F2275" s="419"/>
      <c r="G2275" s="419"/>
      <c r="H2275" s="419"/>
      <c r="I2275" s="384"/>
      <c r="J2275" s="384"/>
      <c r="K2275" s="419"/>
      <c r="L2275" s="403"/>
      <c r="M2275" s="389"/>
      <c r="N2275" s="392"/>
      <c r="O2275" s="349"/>
      <c r="P2275" s="389"/>
      <c r="Q2275" s="275"/>
      <c r="R2275" s="277"/>
      <c r="S2275" s="276"/>
      <c r="T2275" s="276"/>
      <c r="U2275" s="276"/>
      <c r="V2275" s="276"/>
      <c r="W2275" s="276"/>
      <c r="X2275" s="276"/>
      <c r="Y2275" s="276"/>
      <c r="Z2275" s="276"/>
      <c r="AA2275" s="276"/>
      <c r="AB2275" s="276"/>
      <c r="AC2275" s="276"/>
    </row>
    <row r="2276">
      <c r="A2276" s="370"/>
      <c r="B2276" s="439"/>
      <c r="C2276" s="384"/>
      <c r="D2276" s="384"/>
      <c r="E2276" s="384"/>
      <c r="F2276" s="419"/>
      <c r="G2276" s="419"/>
      <c r="H2276" s="419"/>
      <c r="I2276" s="384"/>
      <c r="J2276" s="384"/>
      <c r="K2276" s="419"/>
      <c r="L2276" s="403"/>
      <c r="M2276" s="389"/>
      <c r="N2276" s="392"/>
      <c r="O2276" s="349"/>
      <c r="P2276" s="389"/>
      <c r="Q2276" s="275"/>
      <c r="R2276" s="277"/>
      <c r="S2276" s="276"/>
      <c r="T2276" s="276"/>
      <c r="U2276" s="276"/>
      <c r="V2276" s="276"/>
      <c r="W2276" s="276"/>
      <c r="X2276" s="276"/>
      <c r="Y2276" s="276"/>
      <c r="Z2276" s="276"/>
      <c r="AA2276" s="276"/>
      <c r="AB2276" s="276"/>
      <c r="AC2276" s="276"/>
    </row>
    <row r="2277">
      <c r="A2277" s="370"/>
      <c r="B2277" s="439"/>
      <c r="C2277" s="384"/>
      <c r="D2277" s="384"/>
      <c r="E2277" s="384"/>
      <c r="F2277" s="419"/>
      <c r="G2277" s="419"/>
      <c r="H2277" s="419"/>
      <c r="I2277" s="384"/>
      <c r="J2277" s="384"/>
      <c r="K2277" s="419"/>
      <c r="L2277" s="403"/>
      <c r="M2277" s="389"/>
      <c r="N2277" s="392"/>
      <c r="O2277" s="349"/>
      <c r="P2277" s="389"/>
      <c r="Q2277" s="275"/>
      <c r="R2277" s="277"/>
      <c r="S2277" s="276"/>
      <c r="T2277" s="276"/>
      <c r="U2277" s="276"/>
      <c r="V2277" s="276"/>
      <c r="W2277" s="276"/>
      <c r="X2277" s="276"/>
      <c r="Y2277" s="276"/>
      <c r="Z2277" s="276"/>
      <c r="AA2277" s="276"/>
      <c r="AB2277" s="276"/>
      <c r="AC2277" s="276"/>
    </row>
    <row r="2278">
      <c r="A2278" s="370"/>
      <c r="B2278" s="439"/>
      <c r="C2278" s="384"/>
      <c r="D2278" s="384"/>
      <c r="E2278" s="384"/>
      <c r="F2278" s="419"/>
      <c r="G2278" s="419"/>
      <c r="H2278" s="419"/>
      <c r="I2278" s="384"/>
      <c r="J2278" s="384"/>
      <c r="K2278" s="419"/>
      <c r="L2278" s="403"/>
      <c r="M2278" s="389"/>
      <c r="N2278" s="392"/>
      <c r="O2278" s="349"/>
      <c r="P2278" s="389"/>
      <c r="Q2278" s="275"/>
      <c r="R2278" s="277"/>
      <c r="S2278" s="276"/>
      <c r="T2278" s="276"/>
      <c r="U2278" s="276"/>
      <c r="V2278" s="276"/>
      <c r="W2278" s="276"/>
      <c r="X2278" s="276"/>
      <c r="Y2278" s="276"/>
      <c r="Z2278" s="276"/>
      <c r="AA2278" s="276"/>
      <c r="AB2278" s="276"/>
      <c r="AC2278" s="276"/>
    </row>
    <row r="2279">
      <c r="A2279" s="370"/>
      <c r="B2279" s="439"/>
      <c r="C2279" s="384"/>
      <c r="D2279" s="384"/>
      <c r="E2279" s="384"/>
      <c r="F2279" s="419"/>
      <c r="G2279" s="419"/>
      <c r="H2279" s="419"/>
      <c r="I2279" s="384"/>
      <c r="J2279" s="384"/>
      <c r="K2279" s="419"/>
      <c r="L2279" s="403"/>
      <c r="M2279" s="389"/>
      <c r="N2279" s="392"/>
      <c r="O2279" s="349"/>
      <c r="P2279" s="389"/>
      <c r="Q2279" s="275"/>
      <c r="R2279" s="277"/>
      <c r="S2279" s="276"/>
      <c r="T2279" s="276"/>
      <c r="U2279" s="276"/>
      <c r="V2279" s="276"/>
      <c r="W2279" s="276"/>
      <c r="X2279" s="276"/>
      <c r="Y2279" s="276"/>
      <c r="Z2279" s="276"/>
      <c r="AA2279" s="276"/>
      <c r="AB2279" s="276"/>
      <c r="AC2279" s="276"/>
    </row>
    <row r="2280">
      <c r="A2280" s="370"/>
      <c r="B2280" s="439"/>
      <c r="C2280" s="384"/>
      <c r="D2280" s="384"/>
      <c r="E2280" s="384"/>
      <c r="F2280" s="419"/>
      <c r="G2280" s="419"/>
      <c r="H2280" s="419"/>
      <c r="I2280" s="384"/>
      <c r="J2280" s="384"/>
      <c r="K2280" s="419"/>
      <c r="L2280" s="403"/>
      <c r="M2280" s="389"/>
      <c r="N2280" s="392"/>
      <c r="O2280" s="349"/>
      <c r="P2280" s="389"/>
      <c r="Q2280" s="275"/>
      <c r="R2280" s="277"/>
      <c r="S2280" s="276"/>
      <c r="T2280" s="276"/>
      <c r="U2280" s="276"/>
      <c r="V2280" s="276"/>
      <c r="W2280" s="276"/>
      <c r="X2280" s="276"/>
      <c r="Y2280" s="276"/>
      <c r="Z2280" s="276"/>
      <c r="AA2280" s="276"/>
      <c r="AB2280" s="276"/>
      <c r="AC2280" s="276"/>
    </row>
    <row r="2281">
      <c r="A2281" s="370"/>
      <c r="B2281" s="439"/>
      <c r="C2281" s="384"/>
      <c r="D2281" s="384"/>
      <c r="E2281" s="384"/>
      <c r="F2281" s="419"/>
      <c r="G2281" s="419"/>
      <c r="H2281" s="419"/>
      <c r="I2281" s="384"/>
      <c r="J2281" s="384"/>
      <c r="K2281" s="419"/>
      <c r="L2281" s="403"/>
      <c r="M2281" s="389"/>
      <c r="N2281" s="392"/>
      <c r="O2281" s="349"/>
      <c r="P2281" s="389"/>
      <c r="Q2281" s="275"/>
      <c r="R2281" s="277"/>
      <c r="S2281" s="276"/>
      <c r="T2281" s="276"/>
      <c r="U2281" s="276"/>
      <c r="V2281" s="276"/>
      <c r="W2281" s="276"/>
      <c r="X2281" s="276"/>
      <c r="Y2281" s="276"/>
      <c r="Z2281" s="276"/>
      <c r="AA2281" s="276"/>
      <c r="AB2281" s="276"/>
      <c r="AC2281" s="276"/>
    </row>
    <row r="2282">
      <c r="A2282" s="370"/>
      <c r="B2282" s="439"/>
      <c r="C2282" s="384"/>
      <c r="D2282" s="384"/>
      <c r="E2282" s="384"/>
      <c r="F2282" s="419"/>
      <c r="G2282" s="419"/>
      <c r="H2282" s="419"/>
      <c r="I2282" s="384"/>
      <c r="J2282" s="384"/>
      <c r="K2282" s="419"/>
      <c r="L2282" s="403"/>
      <c r="M2282" s="389"/>
      <c r="N2282" s="392"/>
      <c r="O2282" s="349"/>
      <c r="P2282" s="389"/>
      <c r="Q2282" s="275"/>
      <c r="R2282" s="277"/>
      <c r="S2282" s="276"/>
      <c r="T2282" s="276"/>
      <c r="U2282" s="276"/>
      <c r="V2282" s="276"/>
      <c r="W2282" s="276"/>
      <c r="X2282" s="276"/>
      <c r="Y2282" s="276"/>
      <c r="Z2282" s="276"/>
      <c r="AA2282" s="276"/>
      <c r="AB2282" s="276"/>
      <c r="AC2282" s="276"/>
    </row>
    <row r="2283">
      <c r="A2283" s="370"/>
      <c r="B2283" s="439"/>
      <c r="C2283" s="384"/>
      <c r="D2283" s="384"/>
      <c r="E2283" s="384"/>
      <c r="F2283" s="419"/>
      <c r="G2283" s="419"/>
      <c r="H2283" s="419"/>
      <c r="I2283" s="384"/>
      <c r="J2283" s="384"/>
      <c r="K2283" s="419"/>
      <c r="L2283" s="403"/>
      <c r="M2283" s="389"/>
      <c r="N2283" s="392"/>
      <c r="O2283" s="349"/>
      <c r="P2283" s="389"/>
      <c r="Q2283" s="275"/>
      <c r="R2283" s="277"/>
      <c r="S2283" s="276"/>
      <c r="T2283" s="276"/>
      <c r="U2283" s="276"/>
      <c r="V2283" s="276"/>
      <c r="W2283" s="276"/>
      <c r="X2283" s="276"/>
      <c r="Y2283" s="276"/>
      <c r="Z2283" s="276"/>
      <c r="AA2283" s="276"/>
      <c r="AB2283" s="276"/>
      <c r="AC2283" s="276"/>
    </row>
    <row r="2284">
      <c r="A2284" s="370"/>
      <c r="B2284" s="439"/>
      <c r="C2284" s="384"/>
      <c r="D2284" s="384"/>
      <c r="E2284" s="384"/>
      <c r="F2284" s="419"/>
      <c r="G2284" s="419"/>
      <c r="H2284" s="419"/>
      <c r="I2284" s="384"/>
      <c r="J2284" s="384"/>
      <c r="K2284" s="419"/>
      <c r="L2284" s="403"/>
      <c r="M2284" s="389"/>
      <c r="N2284" s="392"/>
      <c r="O2284" s="349"/>
      <c r="P2284" s="389"/>
      <c r="Q2284" s="275"/>
      <c r="R2284" s="277"/>
      <c r="S2284" s="276"/>
      <c r="T2284" s="276"/>
      <c r="U2284" s="276"/>
      <c r="V2284" s="276"/>
      <c r="W2284" s="276"/>
      <c r="X2284" s="276"/>
      <c r="Y2284" s="276"/>
      <c r="Z2284" s="276"/>
      <c r="AA2284" s="276"/>
      <c r="AB2284" s="276"/>
      <c r="AC2284" s="276"/>
    </row>
    <row r="2285">
      <c r="A2285" s="370"/>
      <c r="B2285" s="439"/>
      <c r="C2285" s="384"/>
      <c r="D2285" s="384"/>
      <c r="E2285" s="384"/>
      <c r="F2285" s="419"/>
      <c r="G2285" s="419"/>
      <c r="H2285" s="419"/>
      <c r="I2285" s="384"/>
      <c r="J2285" s="384"/>
      <c r="K2285" s="419"/>
      <c r="L2285" s="403"/>
      <c r="M2285" s="389"/>
      <c r="N2285" s="392"/>
      <c r="O2285" s="349"/>
      <c r="P2285" s="389"/>
      <c r="Q2285" s="275"/>
      <c r="R2285" s="277"/>
      <c r="S2285" s="276"/>
      <c r="T2285" s="276"/>
      <c r="U2285" s="276"/>
      <c r="V2285" s="276"/>
      <c r="W2285" s="276"/>
      <c r="X2285" s="276"/>
      <c r="Y2285" s="276"/>
      <c r="Z2285" s="276"/>
      <c r="AA2285" s="276"/>
      <c r="AB2285" s="276"/>
      <c r="AC2285" s="276"/>
    </row>
    <row r="2286">
      <c r="A2286" s="370"/>
      <c r="B2286" s="439"/>
      <c r="C2286" s="384"/>
      <c r="D2286" s="384"/>
      <c r="E2286" s="384"/>
      <c r="F2286" s="419"/>
      <c r="G2286" s="419"/>
      <c r="H2286" s="419"/>
      <c r="I2286" s="384"/>
      <c r="J2286" s="384"/>
      <c r="K2286" s="419"/>
      <c r="L2286" s="403"/>
      <c r="M2286" s="389"/>
      <c r="N2286" s="392"/>
      <c r="O2286" s="349"/>
      <c r="P2286" s="389"/>
      <c r="Q2286" s="275"/>
      <c r="R2286" s="277"/>
      <c r="S2286" s="276"/>
      <c r="T2286" s="276"/>
      <c r="U2286" s="276"/>
      <c r="V2286" s="276"/>
      <c r="W2286" s="276"/>
      <c r="X2286" s="276"/>
      <c r="Y2286" s="276"/>
      <c r="Z2286" s="276"/>
      <c r="AA2286" s="276"/>
      <c r="AB2286" s="276"/>
      <c r="AC2286" s="276"/>
    </row>
    <row r="2287">
      <c r="A2287" s="370"/>
      <c r="B2287" s="439"/>
      <c r="C2287" s="384"/>
      <c r="D2287" s="384"/>
      <c r="E2287" s="384"/>
      <c r="F2287" s="419"/>
      <c r="G2287" s="419"/>
      <c r="H2287" s="419"/>
      <c r="I2287" s="384"/>
      <c r="J2287" s="384"/>
      <c r="K2287" s="419"/>
      <c r="L2287" s="403"/>
      <c r="M2287" s="389"/>
      <c r="N2287" s="392"/>
      <c r="O2287" s="349"/>
      <c r="P2287" s="389"/>
      <c r="Q2287" s="275"/>
      <c r="R2287" s="277"/>
      <c r="S2287" s="276"/>
      <c r="T2287" s="276"/>
      <c r="U2287" s="276"/>
      <c r="V2287" s="276"/>
      <c r="W2287" s="276"/>
      <c r="X2287" s="276"/>
      <c r="Y2287" s="276"/>
      <c r="Z2287" s="276"/>
      <c r="AA2287" s="276"/>
      <c r="AB2287" s="276"/>
      <c r="AC2287" s="276"/>
    </row>
    <row r="2288">
      <c r="A2288" s="370"/>
      <c r="B2288" s="439"/>
      <c r="C2288" s="384"/>
      <c r="D2288" s="384"/>
      <c r="E2288" s="384"/>
      <c r="F2288" s="419"/>
      <c r="G2288" s="419"/>
      <c r="H2288" s="419"/>
      <c r="I2288" s="384"/>
      <c r="J2288" s="384"/>
      <c r="K2288" s="419"/>
      <c r="L2288" s="403"/>
      <c r="M2288" s="389"/>
      <c r="N2288" s="392"/>
      <c r="O2288" s="349"/>
      <c r="P2288" s="389"/>
      <c r="Q2288" s="275"/>
      <c r="R2288" s="277"/>
      <c r="S2288" s="276"/>
      <c r="T2288" s="276"/>
      <c r="U2288" s="276"/>
      <c r="V2288" s="276"/>
      <c r="W2288" s="276"/>
      <c r="X2288" s="276"/>
      <c r="Y2288" s="276"/>
      <c r="Z2288" s="276"/>
      <c r="AA2288" s="276"/>
      <c r="AB2288" s="276"/>
      <c r="AC2288" s="276"/>
    </row>
    <row r="2289">
      <c r="A2289" s="370"/>
      <c r="B2289" s="439"/>
      <c r="C2289" s="384"/>
      <c r="D2289" s="384"/>
      <c r="E2289" s="384"/>
      <c r="F2289" s="419"/>
      <c r="G2289" s="419"/>
      <c r="H2289" s="419"/>
      <c r="I2289" s="384"/>
      <c r="J2289" s="384"/>
      <c r="K2289" s="419"/>
      <c r="L2289" s="403"/>
      <c r="M2289" s="389"/>
      <c r="N2289" s="392"/>
      <c r="O2289" s="349"/>
      <c r="P2289" s="389"/>
      <c r="Q2289" s="275"/>
      <c r="R2289" s="277"/>
      <c r="S2289" s="276"/>
      <c r="T2289" s="276"/>
      <c r="U2289" s="276"/>
      <c r="V2289" s="276"/>
      <c r="W2289" s="276"/>
      <c r="X2289" s="276"/>
      <c r="Y2289" s="276"/>
      <c r="Z2289" s="276"/>
      <c r="AA2289" s="276"/>
      <c r="AB2289" s="276"/>
      <c r="AC2289" s="276"/>
    </row>
    <row r="2290">
      <c r="A2290" s="370"/>
      <c r="B2290" s="439"/>
      <c r="C2290" s="384"/>
      <c r="D2290" s="384"/>
      <c r="E2290" s="384"/>
      <c r="F2290" s="419"/>
      <c r="G2290" s="419"/>
      <c r="H2290" s="419"/>
      <c r="I2290" s="384"/>
      <c r="J2290" s="384"/>
      <c r="K2290" s="419"/>
      <c r="L2290" s="403"/>
      <c r="M2290" s="389"/>
      <c r="N2290" s="392"/>
      <c r="O2290" s="349"/>
      <c r="P2290" s="389"/>
      <c r="Q2290" s="275"/>
      <c r="R2290" s="277"/>
      <c r="S2290" s="276"/>
      <c r="T2290" s="276"/>
      <c r="U2290" s="276"/>
      <c r="V2290" s="276"/>
      <c r="W2290" s="276"/>
      <c r="X2290" s="276"/>
      <c r="Y2290" s="276"/>
      <c r="Z2290" s="276"/>
      <c r="AA2290" s="276"/>
      <c r="AB2290" s="276"/>
      <c r="AC2290" s="276"/>
    </row>
    <row r="2291">
      <c r="A2291" s="370"/>
      <c r="B2291" s="439"/>
      <c r="C2291" s="384"/>
      <c r="D2291" s="384"/>
      <c r="E2291" s="384"/>
      <c r="F2291" s="419"/>
      <c r="G2291" s="419"/>
      <c r="H2291" s="419"/>
      <c r="I2291" s="384"/>
      <c r="J2291" s="384"/>
      <c r="K2291" s="419"/>
      <c r="L2291" s="403"/>
      <c r="M2291" s="389"/>
      <c r="N2291" s="392"/>
      <c r="O2291" s="349"/>
      <c r="P2291" s="389"/>
      <c r="Q2291" s="275"/>
      <c r="R2291" s="277"/>
      <c r="S2291" s="276"/>
      <c r="T2291" s="276"/>
      <c r="U2291" s="276"/>
      <c r="V2291" s="276"/>
      <c r="W2291" s="276"/>
      <c r="X2291" s="276"/>
      <c r="Y2291" s="276"/>
      <c r="Z2291" s="276"/>
      <c r="AA2291" s="276"/>
      <c r="AB2291" s="276"/>
      <c r="AC2291" s="276"/>
    </row>
    <row r="2292">
      <c r="A2292" s="370"/>
      <c r="B2292" s="439"/>
      <c r="C2292" s="384"/>
      <c r="D2292" s="384"/>
      <c r="E2292" s="384"/>
      <c r="F2292" s="419"/>
      <c r="G2292" s="419"/>
      <c r="H2292" s="419"/>
      <c r="I2292" s="384"/>
      <c r="J2292" s="384"/>
      <c r="K2292" s="419"/>
      <c r="L2292" s="403"/>
      <c r="M2292" s="389"/>
      <c r="N2292" s="392"/>
      <c r="O2292" s="349"/>
      <c r="P2292" s="389"/>
      <c r="Q2292" s="275"/>
      <c r="R2292" s="277"/>
      <c r="S2292" s="276"/>
      <c r="T2292" s="276"/>
      <c r="U2292" s="276"/>
      <c r="V2292" s="276"/>
      <c r="W2292" s="276"/>
      <c r="X2292" s="276"/>
      <c r="Y2292" s="276"/>
      <c r="Z2292" s="276"/>
      <c r="AA2292" s="276"/>
      <c r="AB2292" s="276"/>
      <c r="AC2292" s="276"/>
    </row>
    <row r="2293">
      <c r="A2293" s="370"/>
      <c r="B2293" s="439"/>
      <c r="C2293" s="384"/>
      <c r="D2293" s="384"/>
      <c r="E2293" s="384"/>
      <c r="F2293" s="419"/>
      <c r="G2293" s="419"/>
      <c r="H2293" s="419"/>
      <c r="I2293" s="384"/>
      <c r="J2293" s="384"/>
      <c r="K2293" s="419"/>
      <c r="L2293" s="403"/>
      <c r="M2293" s="389"/>
      <c r="N2293" s="392"/>
      <c r="O2293" s="349"/>
      <c r="P2293" s="389"/>
      <c r="Q2293" s="275"/>
      <c r="R2293" s="277"/>
      <c r="S2293" s="276"/>
      <c r="T2293" s="276"/>
      <c r="U2293" s="276"/>
      <c r="V2293" s="276"/>
      <c r="W2293" s="276"/>
      <c r="X2293" s="276"/>
      <c r="Y2293" s="276"/>
      <c r="Z2293" s="276"/>
      <c r="AA2293" s="276"/>
      <c r="AB2293" s="276"/>
      <c r="AC2293" s="276"/>
    </row>
    <row r="2294">
      <c r="A2294" s="370"/>
      <c r="B2294" s="439"/>
      <c r="C2294" s="384"/>
      <c r="D2294" s="384"/>
      <c r="E2294" s="384"/>
      <c r="F2294" s="419"/>
      <c r="G2294" s="419"/>
      <c r="H2294" s="419"/>
      <c r="I2294" s="384"/>
      <c r="J2294" s="384"/>
      <c r="K2294" s="419"/>
      <c r="L2294" s="403"/>
      <c r="M2294" s="389"/>
      <c r="N2294" s="392"/>
      <c r="O2294" s="349"/>
      <c r="P2294" s="389"/>
      <c r="Q2294" s="275"/>
      <c r="R2294" s="277"/>
      <c r="S2294" s="276"/>
      <c r="T2294" s="276"/>
      <c r="U2294" s="276"/>
      <c r="V2294" s="276"/>
      <c r="W2294" s="276"/>
      <c r="X2294" s="276"/>
      <c r="Y2294" s="276"/>
      <c r="Z2294" s="276"/>
      <c r="AA2294" s="276"/>
      <c r="AB2294" s="276"/>
      <c r="AC2294" s="276"/>
    </row>
    <row r="2295">
      <c r="A2295" s="370"/>
      <c r="B2295" s="439"/>
      <c r="C2295" s="384"/>
      <c r="D2295" s="384"/>
      <c r="E2295" s="384"/>
      <c r="F2295" s="419"/>
      <c r="G2295" s="419"/>
      <c r="H2295" s="419"/>
      <c r="I2295" s="384"/>
      <c r="J2295" s="384"/>
      <c r="K2295" s="419"/>
      <c r="L2295" s="403"/>
      <c r="M2295" s="389"/>
      <c r="N2295" s="392"/>
      <c r="O2295" s="349"/>
      <c r="P2295" s="389"/>
      <c r="Q2295" s="275"/>
      <c r="R2295" s="277"/>
      <c r="S2295" s="276"/>
      <c r="T2295" s="276"/>
      <c r="U2295" s="276"/>
      <c r="V2295" s="276"/>
      <c r="W2295" s="276"/>
      <c r="X2295" s="276"/>
      <c r="Y2295" s="276"/>
      <c r="Z2295" s="276"/>
      <c r="AA2295" s="276"/>
      <c r="AB2295" s="276"/>
      <c r="AC2295" s="276"/>
    </row>
    <row r="2296">
      <c r="A2296" s="370"/>
      <c r="B2296" s="439"/>
      <c r="C2296" s="384"/>
      <c r="D2296" s="384"/>
      <c r="E2296" s="384"/>
      <c r="F2296" s="419"/>
      <c r="G2296" s="419"/>
      <c r="H2296" s="419"/>
      <c r="I2296" s="384"/>
      <c r="J2296" s="384"/>
      <c r="K2296" s="419"/>
      <c r="L2296" s="403"/>
      <c r="M2296" s="389"/>
      <c r="N2296" s="392"/>
      <c r="O2296" s="349"/>
      <c r="P2296" s="389"/>
      <c r="Q2296" s="275"/>
      <c r="R2296" s="277"/>
      <c r="S2296" s="276"/>
      <c r="T2296" s="276"/>
      <c r="U2296" s="276"/>
      <c r="V2296" s="276"/>
      <c r="W2296" s="276"/>
      <c r="X2296" s="276"/>
      <c r="Y2296" s="276"/>
      <c r="Z2296" s="276"/>
      <c r="AA2296" s="276"/>
      <c r="AB2296" s="276"/>
      <c r="AC2296" s="276"/>
    </row>
    <row r="2297">
      <c r="A2297" s="370"/>
      <c r="B2297" s="439"/>
      <c r="C2297" s="384"/>
      <c r="D2297" s="384"/>
      <c r="E2297" s="384"/>
      <c r="F2297" s="419"/>
      <c r="G2297" s="419"/>
      <c r="H2297" s="419"/>
      <c r="I2297" s="384"/>
      <c r="J2297" s="384"/>
      <c r="K2297" s="419"/>
      <c r="L2297" s="403"/>
      <c r="M2297" s="389"/>
      <c r="N2297" s="392"/>
      <c r="O2297" s="349"/>
      <c r="P2297" s="389"/>
      <c r="Q2297" s="275"/>
      <c r="R2297" s="277"/>
      <c r="S2297" s="276"/>
      <c r="T2297" s="276"/>
      <c r="U2297" s="276"/>
      <c r="V2297" s="276"/>
      <c r="W2297" s="276"/>
      <c r="X2297" s="276"/>
      <c r="Y2297" s="276"/>
      <c r="Z2297" s="276"/>
      <c r="AA2297" s="276"/>
      <c r="AB2297" s="276"/>
      <c r="AC2297" s="276"/>
    </row>
    <row r="2298">
      <c r="A2298" s="370"/>
      <c r="B2298" s="439"/>
      <c r="C2298" s="384"/>
      <c r="D2298" s="384"/>
      <c r="E2298" s="384"/>
      <c r="F2298" s="419"/>
      <c r="G2298" s="419"/>
      <c r="H2298" s="419"/>
      <c r="I2298" s="384"/>
      <c r="J2298" s="384"/>
      <c r="K2298" s="419"/>
      <c r="L2298" s="403"/>
      <c r="M2298" s="389"/>
      <c r="N2298" s="392"/>
      <c r="O2298" s="349"/>
      <c r="P2298" s="389"/>
      <c r="Q2298" s="275"/>
      <c r="R2298" s="277"/>
      <c r="S2298" s="276"/>
      <c r="T2298" s="276"/>
      <c r="U2298" s="276"/>
      <c r="V2298" s="276"/>
      <c r="W2298" s="276"/>
      <c r="X2298" s="276"/>
      <c r="Y2298" s="276"/>
      <c r="Z2298" s="276"/>
      <c r="AA2298" s="276"/>
      <c r="AB2298" s="276"/>
      <c r="AC2298" s="276"/>
    </row>
    <row r="2299">
      <c r="A2299" s="370"/>
      <c r="B2299" s="439"/>
      <c r="C2299" s="384"/>
      <c r="D2299" s="384"/>
      <c r="E2299" s="384"/>
      <c r="F2299" s="419"/>
      <c r="G2299" s="419"/>
      <c r="H2299" s="419"/>
      <c r="I2299" s="384"/>
      <c r="J2299" s="384"/>
      <c r="K2299" s="419"/>
      <c r="L2299" s="403"/>
      <c r="M2299" s="389"/>
      <c r="N2299" s="392"/>
      <c r="O2299" s="349"/>
      <c r="P2299" s="389"/>
      <c r="Q2299" s="275"/>
      <c r="R2299" s="277"/>
      <c r="S2299" s="276"/>
      <c r="T2299" s="276"/>
      <c r="U2299" s="276"/>
      <c r="V2299" s="276"/>
      <c r="W2299" s="276"/>
      <c r="X2299" s="276"/>
      <c r="Y2299" s="276"/>
      <c r="Z2299" s="276"/>
      <c r="AA2299" s="276"/>
      <c r="AB2299" s="276"/>
      <c r="AC2299" s="276"/>
    </row>
    <row r="2300">
      <c r="A2300" s="370"/>
      <c r="B2300" s="439"/>
      <c r="C2300" s="384"/>
      <c r="D2300" s="384"/>
      <c r="E2300" s="384"/>
      <c r="F2300" s="419"/>
      <c r="G2300" s="419"/>
      <c r="H2300" s="419"/>
      <c r="I2300" s="384"/>
      <c r="J2300" s="384"/>
      <c r="K2300" s="419"/>
      <c r="L2300" s="403"/>
      <c r="M2300" s="389"/>
      <c r="N2300" s="392"/>
      <c r="O2300" s="349"/>
      <c r="P2300" s="389"/>
      <c r="Q2300" s="275"/>
      <c r="R2300" s="277"/>
      <c r="S2300" s="276"/>
      <c r="T2300" s="276"/>
      <c r="U2300" s="276"/>
      <c r="V2300" s="276"/>
      <c r="W2300" s="276"/>
      <c r="X2300" s="276"/>
      <c r="Y2300" s="276"/>
      <c r="Z2300" s="276"/>
      <c r="AA2300" s="276"/>
      <c r="AB2300" s="276"/>
      <c r="AC2300" s="276"/>
    </row>
    <row r="2301">
      <c r="A2301" s="370"/>
      <c r="B2301" s="439"/>
      <c r="C2301" s="384"/>
      <c r="D2301" s="384"/>
      <c r="E2301" s="384"/>
      <c r="F2301" s="419"/>
      <c r="G2301" s="419"/>
      <c r="H2301" s="419"/>
      <c r="I2301" s="384"/>
      <c r="J2301" s="384"/>
      <c r="K2301" s="419"/>
      <c r="L2301" s="403"/>
      <c r="M2301" s="389"/>
      <c r="N2301" s="392"/>
      <c r="O2301" s="349"/>
      <c r="P2301" s="389"/>
      <c r="Q2301" s="275"/>
      <c r="R2301" s="277"/>
      <c r="S2301" s="276"/>
      <c r="T2301" s="276"/>
      <c r="U2301" s="276"/>
      <c r="V2301" s="276"/>
      <c r="W2301" s="276"/>
      <c r="X2301" s="276"/>
      <c r="Y2301" s="276"/>
      <c r="Z2301" s="276"/>
      <c r="AA2301" s="276"/>
      <c r="AB2301" s="276"/>
      <c r="AC2301" s="276"/>
    </row>
    <row r="2302">
      <c r="A2302" s="370"/>
      <c r="B2302" s="439"/>
      <c r="C2302" s="384"/>
      <c r="D2302" s="384"/>
      <c r="E2302" s="384"/>
      <c r="F2302" s="419"/>
      <c r="G2302" s="419"/>
      <c r="H2302" s="419"/>
      <c r="I2302" s="384"/>
      <c r="J2302" s="384"/>
      <c r="K2302" s="419"/>
      <c r="L2302" s="403"/>
      <c r="M2302" s="389"/>
      <c r="N2302" s="392"/>
      <c r="O2302" s="349"/>
      <c r="P2302" s="389"/>
      <c r="Q2302" s="275"/>
      <c r="R2302" s="277"/>
      <c r="S2302" s="276"/>
      <c r="T2302" s="276"/>
      <c r="U2302" s="276"/>
      <c r="V2302" s="276"/>
      <c r="W2302" s="276"/>
      <c r="X2302" s="276"/>
      <c r="Y2302" s="276"/>
      <c r="Z2302" s="276"/>
      <c r="AA2302" s="276"/>
      <c r="AB2302" s="276"/>
      <c r="AC2302" s="276"/>
    </row>
    <row r="2303">
      <c r="A2303" s="370"/>
      <c r="B2303" s="439"/>
      <c r="C2303" s="384"/>
      <c r="D2303" s="384"/>
      <c r="E2303" s="384"/>
      <c r="F2303" s="419"/>
      <c r="G2303" s="419"/>
      <c r="H2303" s="419"/>
      <c r="I2303" s="384"/>
      <c r="J2303" s="384"/>
      <c r="K2303" s="419"/>
      <c r="L2303" s="403"/>
      <c r="M2303" s="389"/>
      <c r="N2303" s="392"/>
      <c r="O2303" s="349"/>
      <c r="P2303" s="389"/>
      <c r="Q2303" s="275"/>
      <c r="R2303" s="277"/>
      <c r="S2303" s="276"/>
      <c r="T2303" s="276"/>
      <c r="U2303" s="276"/>
      <c r="V2303" s="276"/>
      <c r="W2303" s="276"/>
      <c r="X2303" s="276"/>
      <c r="Y2303" s="276"/>
      <c r="Z2303" s="276"/>
      <c r="AA2303" s="276"/>
      <c r="AB2303" s="276"/>
      <c r="AC2303" s="276"/>
    </row>
    <row r="2304">
      <c r="A2304" s="370"/>
      <c r="B2304" s="439"/>
      <c r="C2304" s="384"/>
      <c r="D2304" s="384"/>
      <c r="E2304" s="384"/>
      <c r="F2304" s="419"/>
      <c r="G2304" s="419"/>
      <c r="H2304" s="419"/>
      <c r="I2304" s="384"/>
      <c r="J2304" s="384"/>
      <c r="K2304" s="419"/>
      <c r="L2304" s="403"/>
      <c r="M2304" s="389"/>
      <c r="N2304" s="392"/>
      <c r="O2304" s="349"/>
      <c r="P2304" s="389"/>
      <c r="Q2304" s="275"/>
      <c r="R2304" s="277"/>
      <c r="S2304" s="276"/>
      <c r="T2304" s="276"/>
      <c r="U2304" s="276"/>
      <c r="V2304" s="276"/>
      <c r="W2304" s="276"/>
      <c r="X2304" s="276"/>
      <c r="Y2304" s="276"/>
      <c r="Z2304" s="276"/>
      <c r="AA2304" s="276"/>
      <c r="AB2304" s="276"/>
      <c r="AC2304" s="276"/>
    </row>
    <row r="2305">
      <c r="A2305" s="370"/>
      <c r="B2305" s="439"/>
      <c r="C2305" s="384"/>
      <c r="D2305" s="384"/>
      <c r="E2305" s="384"/>
      <c r="F2305" s="419"/>
      <c r="G2305" s="419"/>
      <c r="H2305" s="419"/>
      <c r="I2305" s="384"/>
      <c r="J2305" s="384"/>
      <c r="K2305" s="419"/>
      <c r="L2305" s="403"/>
      <c r="M2305" s="389"/>
      <c r="N2305" s="392"/>
      <c r="O2305" s="349"/>
      <c r="P2305" s="389"/>
      <c r="Q2305" s="275"/>
      <c r="R2305" s="277"/>
      <c r="S2305" s="276"/>
      <c r="T2305" s="276"/>
      <c r="U2305" s="276"/>
      <c r="V2305" s="276"/>
      <c r="W2305" s="276"/>
      <c r="X2305" s="276"/>
      <c r="Y2305" s="276"/>
      <c r="Z2305" s="276"/>
      <c r="AA2305" s="276"/>
      <c r="AB2305" s="276"/>
      <c r="AC2305" s="276"/>
    </row>
    <row r="2306">
      <c r="A2306" s="370"/>
      <c r="B2306" s="439"/>
      <c r="C2306" s="384"/>
      <c r="D2306" s="384"/>
      <c r="E2306" s="384"/>
      <c r="F2306" s="419"/>
      <c r="G2306" s="419"/>
      <c r="H2306" s="419"/>
      <c r="I2306" s="384"/>
      <c r="J2306" s="384"/>
      <c r="K2306" s="419"/>
      <c r="L2306" s="403"/>
      <c r="M2306" s="389"/>
      <c r="N2306" s="392"/>
      <c r="O2306" s="349"/>
      <c r="P2306" s="389"/>
      <c r="Q2306" s="275"/>
      <c r="R2306" s="277"/>
      <c r="S2306" s="276"/>
      <c r="T2306" s="276"/>
      <c r="U2306" s="276"/>
      <c r="V2306" s="276"/>
      <c r="W2306" s="276"/>
      <c r="X2306" s="276"/>
      <c r="Y2306" s="276"/>
      <c r="Z2306" s="276"/>
      <c r="AA2306" s="276"/>
      <c r="AB2306" s="276"/>
      <c r="AC2306" s="276"/>
    </row>
    <row r="2307">
      <c r="A2307" s="370"/>
      <c r="B2307" s="439"/>
      <c r="C2307" s="384"/>
      <c r="D2307" s="384"/>
      <c r="E2307" s="384"/>
      <c r="F2307" s="419"/>
      <c r="G2307" s="419"/>
      <c r="H2307" s="419"/>
      <c r="I2307" s="384"/>
      <c r="J2307" s="384"/>
      <c r="K2307" s="419"/>
      <c r="L2307" s="403"/>
      <c r="M2307" s="389"/>
      <c r="N2307" s="392"/>
      <c r="O2307" s="349"/>
      <c r="P2307" s="389"/>
      <c r="Q2307" s="275"/>
      <c r="R2307" s="277"/>
      <c r="S2307" s="276"/>
      <c r="T2307" s="276"/>
      <c r="U2307" s="276"/>
      <c r="V2307" s="276"/>
      <c r="W2307" s="276"/>
      <c r="X2307" s="276"/>
      <c r="Y2307" s="276"/>
      <c r="Z2307" s="276"/>
      <c r="AA2307" s="276"/>
      <c r="AB2307" s="276"/>
      <c r="AC2307" s="276"/>
    </row>
    <row r="2308">
      <c r="A2308" s="370"/>
      <c r="B2308" s="439"/>
      <c r="C2308" s="384"/>
      <c r="D2308" s="384"/>
      <c r="E2308" s="384"/>
      <c r="F2308" s="419"/>
      <c r="G2308" s="419"/>
      <c r="H2308" s="419"/>
      <c r="I2308" s="384"/>
      <c r="J2308" s="384"/>
      <c r="K2308" s="419"/>
      <c r="L2308" s="403"/>
      <c r="M2308" s="389"/>
      <c r="N2308" s="392"/>
      <c r="O2308" s="349"/>
      <c r="P2308" s="389"/>
      <c r="Q2308" s="275"/>
      <c r="R2308" s="277"/>
      <c r="S2308" s="276"/>
      <c r="T2308" s="276"/>
      <c r="U2308" s="276"/>
      <c r="V2308" s="276"/>
      <c r="W2308" s="276"/>
      <c r="X2308" s="276"/>
      <c r="Y2308" s="276"/>
      <c r="Z2308" s="276"/>
      <c r="AA2308" s="276"/>
      <c r="AB2308" s="276"/>
      <c r="AC2308" s="276"/>
    </row>
    <row r="2309">
      <c r="A2309" s="370"/>
      <c r="B2309" s="439"/>
      <c r="C2309" s="384"/>
      <c r="D2309" s="384"/>
      <c r="E2309" s="384"/>
      <c r="F2309" s="419"/>
      <c r="G2309" s="419"/>
      <c r="H2309" s="419"/>
      <c r="I2309" s="384"/>
      <c r="J2309" s="384"/>
      <c r="K2309" s="419"/>
      <c r="L2309" s="403"/>
      <c r="M2309" s="389"/>
      <c r="N2309" s="392"/>
      <c r="O2309" s="349"/>
      <c r="P2309" s="389"/>
      <c r="Q2309" s="275"/>
      <c r="R2309" s="277"/>
      <c r="S2309" s="276"/>
      <c r="T2309" s="276"/>
      <c r="U2309" s="276"/>
      <c r="V2309" s="276"/>
      <c r="W2309" s="276"/>
      <c r="X2309" s="276"/>
      <c r="Y2309" s="276"/>
      <c r="Z2309" s="276"/>
      <c r="AA2309" s="276"/>
      <c r="AB2309" s="276"/>
      <c r="AC2309" s="276"/>
    </row>
    <row r="2310">
      <c r="A2310" s="370"/>
      <c r="B2310" s="439"/>
      <c r="C2310" s="384"/>
      <c r="D2310" s="384"/>
      <c r="E2310" s="384"/>
      <c r="F2310" s="419"/>
      <c r="G2310" s="419"/>
      <c r="H2310" s="419"/>
      <c r="I2310" s="384"/>
      <c r="J2310" s="384"/>
      <c r="K2310" s="419"/>
      <c r="L2310" s="403"/>
      <c r="M2310" s="389"/>
      <c r="N2310" s="392"/>
      <c r="O2310" s="349"/>
      <c r="P2310" s="389"/>
      <c r="Q2310" s="275"/>
      <c r="R2310" s="277"/>
      <c r="S2310" s="276"/>
      <c r="T2310" s="276"/>
      <c r="U2310" s="276"/>
      <c r="V2310" s="276"/>
      <c r="W2310" s="276"/>
      <c r="X2310" s="276"/>
      <c r="Y2310" s="276"/>
      <c r="Z2310" s="276"/>
      <c r="AA2310" s="276"/>
      <c r="AB2310" s="276"/>
      <c r="AC2310" s="276"/>
    </row>
    <row r="2311">
      <c r="A2311" s="370"/>
      <c r="B2311" s="439"/>
      <c r="C2311" s="384"/>
      <c r="D2311" s="384"/>
      <c r="E2311" s="384"/>
      <c r="F2311" s="419"/>
      <c r="G2311" s="419"/>
      <c r="H2311" s="419"/>
      <c r="I2311" s="384"/>
      <c r="J2311" s="384"/>
      <c r="K2311" s="419"/>
      <c r="L2311" s="403"/>
      <c r="M2311" s="389"/>
      <c r="N2311" s="392"/>
      <c r="O2311" s="349"/>
      <c r="P2311" s="389"/>
      <c r="Q2311" s="275"/>
      <c r="R2311" s="277"/>
      <c r="S2311" s="276"/>
      <c r="T2311" s="276"/>
      <c r="U2311" s="276"/>
      <c r="V2311" s="276"/>
      <c r="W2311" s="276"/>
      <c r="X2311" s="276"/>
      <c r="Y2311" s="276"/>
      <c r="Z2311" s="276"/>
      <c r="AA2311" s="276"/>
      <c r="AB2311" s="276"/>
      <c r="AC2311" s="276"/>
    </row>
    <row r="2312">
      <c r="A2312" s="370"/>
      <c r="B2312" s="439"/>
      <c r="C2312" s="384"/>
      <c r="D2312" s="384"/>
      <c r="E2312" s="384"/>
      <c r="F2312" s="419"/>
      <c r="G2312" s="419"/>
      <c r="H2312" s="419"/>
      <c r="I2312" s="384"/>
      <c r="J2312" s="384"/>
      <c r="K2312" s="419"/>
      <c r="L2312" s="403"/>
      <c r="M2312" s="389"/>
      <c r="N2312" s="392"/>
      <c r="O2312" s="349"/>
      <c r="P2312" s="389"/>
      <c r="Q2312" s="275"/>
      <c r="R2312" s="277"/>
      <c r="S2312" s="276"/>
      <c r="T2312" s="276"/>
      <c r="U2312" s="276"/>
      <c r="V2312" s="276"/>
      <c r="W2312" s="276"/>
      <c r="X2312" s="276"/>
      <c r="Y2312" s="276"/>
      <c r="Z2312" s="276"/>
      <c r="AA2312" s="276"/>
      <c r="AB2312" s="276"/>
      <c r="AC2312" s="276"/>
    </row>
    <row r="2313">
      <c r="A2313" s="370"/>
      <c r="B2313" s="439"/>
      <c r="C2313" s="384"/>
      <c r="D2313" s="384"/>
      <c r="E2313" s="384"/>
      <c r="F2313" s="419"/>
      <c r="G2313" s="419"/>
      <c r="H2313" s="419"/>
      <c r="I2313" s="384"/>
      <c r="J2313" s="384"/>
      <c r="K2313" s="419"/>
      <c r="L2313" s="403"/>
      <c r="M2313" s="389"/>
      <c r="N2313" s="392"/>
      <c r="O2313" s="349"/>
      <c r="P2313" s="389"/>
      <c r="Q2313" s="275"/>
      <c r="R2313" s="277"/>
      <c r="S2313" s="276"/>
      <c r="T2313" s="276"/>
      <c r="U2313" s="276"/>
      <c r="V2313" s="276"/>
      <c r="W2313" s="276"/>
      <c r="X2313" s="276"/>
      <c r="Y2313" s="276"/>
      <c r="Z2313" s="276"/>
      <c r="AA2313" s="276"/>
      <c r="AB2313" s="276"/>
      <c r="AC2313" s="276"/>
    </row>
    <row r="2314">
      <c r="A2314" s="370"/>
      <c r="B2314" s="439"/>
      <c r="C2314" s="384"/>
      <c r="D2314" s="384"/>
      <c r="E2314" s="384"/>
      <c r="F2314" s="419"/>
      <c r="G2314" s="419"/>
      <c r="H2314" s="419"/>
      <c r="I2314" s="384"/>
      <c r="J2314" s="384"/>
      <c r="K2314" s="419"/>
      <c r="L2314" s="403"/>
      <c r="M2314" s="389"/>
      <c r="N2314" s="392"/>
      <c r="O2314" s="349"/>
      <c r="P2314" s="389"/>
      <c r="Q2314" s="275"/>
      <c r="R2314" s="277"/>
      <c r="S2314" s="276"/>
      <c r="T2314" s="276"/>
      <c r="U2314" s="276"/>
      <c r="V2314" s="276"/>
      <c r="W2314" s="276"/>
      <c r="X2314" s="276"/>
      <c r="Y2314" s="276"/>
      <c r="Z2314" s="276"/>
      <c r="AA2314" s="276"/>
      <c r="AB2314" s="276"/>
      <c r="AC2314" s="276"/>
    </row>
    <row r="2315">
      <c r="A2315" s="370"/>
      <c r="B2315" s="439"/>
      <c r="C2315" s="384"/>
      <c r="D2315" s="384"/>
      <c r="E2315" s="384"/>
      <c r="F2315" s="419"/>
      <c r="G2315" s="419"/>
      <c r="H2315" s="419"/>
      <c r="I2315" s="384"/>
      <c r="J2315" s="384"/>
      <c r="K2315" s="419"/>
      <c r="L2315" s="403"/>
      <c r="M2315" s="389"/>
      <c r="N2315" s="392"/>
      <c r="O2315" s="349"/>
      <c r="P2315" s="389"/>
      <c r="Q2315" s="275"/>
      <c r="R2315" s="277"/>
      <c r="S2315" s="276"/>
      <c r="T2315" s="276"/>
      <c r="U2315" s="276"/>
      <c r="V2315" s="276"/>
      <c r="W2315" s="276"/>
      <c r="X2315" s="276"/>
      <c r="Y2315" s="276"/>
      <c r="Z2315" s="276"/>
      <c r="AA2315" s="276"/>
      <c r="AB2315" s="276"/>
      <c r="AC2315" s="276"/>
    </row>
    <row r="2316">
      <c r="A2316" s="370"/>
      <c r="B2316" s="439"/>
      <c r="C2316" s="384"/>
      <c r="D2316" s="384"/>
      <c r="E2316" s="384"/>
      <c r="F2316" s="419"/>
      <c r="G2316" s="419"/>
      <c r="H2316" s="419"/>
      <c r="I2316" s="384"/>
      <c r="J2316" s="384"/>
      <c r="K2316" s="419"/>
      <c r="L2316" s="403"/>
      <c r="M2316" s="389"/>
      <c r="N2316" s="392"/>
      <c r="O2316" s="349"/>
      <c r="P2316" s="389"/>
      <c r="Q2316" s="275"/>
      <c r="R2316" s="277"/>
      <c r="S2316" s="276"/>
      <c r="T2316" s="276"/>
      <c r="U2316" s="276"/>
      <c r="V2316" s="276"/>
      <c r="W2316" s="276"/>
      <c r="X2316" s="276"/>
      <c r="Y2316" s="276"/>
      <c r="Z2316" s="276"/>
      <c r="AA2316" s="276"/>
      <c r="AB2316" s="276"/>
      <c r="AC2316" s="276"/>
    </row>
    <row r="2317">
      <c r="A2317" s="370"/>
      <c r="B2317" s="439"/>
      <c r="C2317" s="384"/>
      <c r="D2317" s="384"/>
      <c r="E2317" s="384"/>
      <c r="F2317" s="419"/>
      <c r="G2317" s="419"/>
      <c r="H2317" s="419"/>
      <c r="I2317" s="384"/>
      <c r="J2317" s="384"/>
      <c r="K2317" s="419"/>
      <c r="L2317" s="403"/>
      <c r="M2317" s="389"/>
      <c r="N2317" s="392"/>
      <c r="O2317" s="349"/>
      <c r="P2317" s="389"/>
      <c r="Q2317" s="275"/>
      <c r="R2317" s="277"/>
      <c r="S2317" s="276"/>
      <c r="T2317" s="276"/>
      <c r="U2317" s="276"/>
      <c r="V2317" s="276"/>
      <c r="W2317" s="276"/>
      <c r="X2317" s="276"/>
      <c r="Y2317" s="276"/>
      <c r="Z2317" s="276"/>
      <c r="AA2317" s="276"/>
      <c r="AB2317" s="276"/>
      <c r="AC2317" s="276"/>
    </row>
    <row r="2318">
      <c r="A2318" s="370"/>
      <c r="B2318" s="439"/>
      <c r="C2318" s="384"/>
      <c r="D2318" s="384"/>
      <c r="E2318" s="384"/>
      <c r="F2318" s="419"/>
      <c r="G2318" s="419"/>
      <c r="H2318" s="419"/>
      <c r="I2318" s="384"/>
      <c r="J2318" s="384"/>
      <c r="K2318" s="419"/>
      <c r="L2318" s="403"/>
      <c r="M2318" s="389"/>
      <c r="N2318" s="392"/>
      <c r="O2318" s="349"/>
      <c r="P2318" s="389"/>
      <c r="Q2318" s="275"/>
      <c r="R2318" s="277"/>
      <c r="S2318" s="276"/>
      <c r="T2318" s="276"/>
      <c r="U2318" s="276"/>
      <c r="V2318" s="276"/>
      <c r="W2318" s="276"/>
      <c r="X2318" s="276"/>
      <c r="Y2318" s="276"/>
      <c r="Z2318" s="276"/>
      <c r="AA2318" s="276"/>
      <c r="AB2318" s="276"/>
      <c r="AC2318" s="276"/>
    </row>
    <row r="2319">
      <c r="A2319" s="370"/>
      <c r="B2319" s="439"/>
      <c r="C2319" s="384"/>
      <c r="D2319" s="384"/>
      <c r="E2319" s="384"/>
      <c r="F2319" s="419"/>
      <c r="G2319" s="419"/>
      <c r="H2319" s="419"/>
      <c r="I2319" s="384"/>
      <c r="J2319" s="384"/>
      <c r="K2319" s="419"/>
      <c r="L2319" s="403"/>
      <c r="M2319" s="389"/>
      <c r="N2319" s="392"/>
      <c r="O2319" s="349"/>
      <c r="P2319" s="389"/>
      <c r="Q2319" s="275"/>
      <c r="R2319" s="277"/>
      <c r="S2319" s="276"/>
      <c r="T2319" s="276"/>
      <c r="U2319" s="276"/>
      <c r="V2319" s="276"/>
      <c r="W2319" s="276"/>
      <c r="X2319" s="276"/>
      <c r="Y2319" s="276"/>
      <c r="Z2319" s="276"/>
      <c r="AA2319" s="276"/>
      <c r="AB2319" s="276"/>
      <c r="AC2319" s="276"/>
    </row>
    <row r="2320">
      <c r="A2320" s="370"/>
      <c r="B2320" s="439"/>
      <c r="C2320" s="384"/>
      <c r="D2320" s="384"/>
      <c r="E2320" s="384"/>
      <c r="F2320" s="419"/>
      <c r="G2320" s="419"/>
      <c r="H2320" s="419"/>
      <c r="I2320" s="384"/>
      <c r="J2320" s="384"/>
      <c r="K2320" s="419"/>
      <c r="L2320" s="403"/>
      <c r="M2320" s="389"/>
      <c r="N2320" s="392"/>
      <c r="O2320" s="349"/>
      <c r="P2320" s="389"/>
      <c r="Q2320" s="275"/>
      <c r="R2320" s="277"/>
      <c r="S2320" s="276"/>
      <c r="T2320" s="276"/>
      <c r="U2320" s="276"/>
      <c r="V2320" s="276"/>
      <c r="W2320" s="276"/>
      <c r="X2320" s="276"/>
      <c r="Y2320" s="276"/>
      <c r="Z2320" s="276"/>
      <c r="AA2320" s="276"/>
      <c r="AB2320" s="276"/>
      <c r="AC2320" s="276"/>
    </row>
    <row r="2321">
      <c r="A2321" s="370"/>
      <c r="B2321" s="439"/>
      <c r="C2321" s="384"/>
      <c r="D2321" s="384"/>
      <c r="E2321" s="384"/>
      <c r="F2321" s="419"/>
      <c r="G2321" s="419"/>
      <c r="H2321" s="419"/>
      <c r="I2321" s="384"/>
      <c r="J2321" s="384"/>
      <c r="K2321" s="419"/>
      <c r="L2321" s="403"/>
      <c r="M2321" s="389"/>
      <c r="N2321" s="392"/>
      <c r="O2321" s="349"/>
      <c r="P2321" s="389"/>
      <c r="Q2321" s="275"/>
      <c r="R2321" s="277"/>
      <c r="S2321" s="276"/>
      <c r="T2321" s="276"/>
      <c r="U2321" s="276"/>
      <c r="V2321" s="276"/>
      <c r="W2321" s="276"/>
      <c r="X2321" s="276"/>
      <c r="Y2321" s="276"/>
      <c r="Z2321" s="276"/>
      <c r="AA2321" s="276"/>
      <c r="AB2321" s="276"/>
      <c r="AC2321" s="276"/>
    </row>
    <row r="2322">
      <c r="A2322" s="370"/>
      <c r="B2322" s="439"/>
      <c r="C2322" s="384"/>
      <c r="D2322" s="384"/>
      <c r="E2322" s="384"/>
      <c r="F2322" s="419"/>
      <c r="G2322" s="419"/>
      <c r="H2322" s="419"/>
      <c r="I2322" s="384"/>
      <c r="J2322" s="384"/>
      <c r="K2322" s="419"/>
      <c r="L2322" s="403"/>
      <c r="M2322" s="389"/>
      <c r="N2322" s="392"/>
      <c r="O2322" s="349"/>
      <c r="P2322" s="389"/>
      <c r="Q2322" s="275"/>
      <c r="R2322" s="277"/>
      <c r="S2322" s="276"/>
      <c r="T2322" s="276"/>
      <c r="U2322" s="276"/>
      <c r="V2322" s="276"/>
      <c r="W2322" s="276"/>
      <c r="X2322" s="276"/>
      <c r="Y2322" s="276"/>
      <c r="Z2322" s="276"/>
      <c r="AA2322" s="276"/>
      <c r="AB2322" s="276"/>
      <c r="AC2322" s="276"/>
    </row>
    <row r="2323">
      <c r="A2323" s="370"/>
      <c r="B2323" s="439"/>
      <c r="C2323" s="384"/>
      <c r="D2323" s="384"/>
      <c r="E2323" s="384"/>
      <c r="F2323" s="419"/>
      <c r="G2323" s="419"/>
      <c r="H2323" s="419"/>
      <c r="I2323" s="384"/>
      <c r="J2323" s="384"/>
      <c r="K2323" s="419"/>
      <c r="L2323" s="403"/>
      <c r="M2323" s="389"/>
      <c r="N2323" s="392"/>
      <c r="O2323" s="349"/>
      <c r="P2323" s="389"/>
      <c r="Q2323" s="275"/>
      <c r="R2323" s="277"/>
      <c r="S2323" s="276"/>
      <c r="T2323" s="276"/>
      <c r="U2323" s="276"/>
      <c r="V2323" s="276"/>
      <c r="W2323" s="276"/>
      <c r="X2323" s="276"/>
      <c r="Y2323" s="276"/>
      <c r="Z2323" s="276"/>
      <c r="AA2323" s="276"/>
      <c r="AB2323" s="276"/>
      <c r="AC2323" s="276"/>
    </row>
    <row r="2324">
      <c r="A2324" s="370"/>
      <c r="B2324" s="439"/>
      <c r="C2324" s="384"/>
      <c r="D2324" s="384"/>
      <c r="E2324" s="384"/>
      <c r="F2324" s="419"/>
      <c r="G2324" s="419"/>
      <c r="H2324" s="419"/>
      <c r="I2324" s="384"/>
      <c r="J2324" s="384"/>
      <c r="K2324" s="419"/>
      <c r="L2324" s="403"/>
      <c r="M2324" s="389"/>
      <c r="N2324" s="392"/>
      <c r="O2324" s="349"/>
      <c r="P2324" s="389"/>
      <c r="Q2324" s="275"/>
      <c r="R2324" s="277"/>
      <c r="S2324" s="276"/>
      <c r="T2324" s="276"/>
      <c r="U2324" s="276"/>
      <c r="V2324" s="276"/>
      <c r="W2324" s="276"/>
      <c r="X2324" s="276"/>
      <c r="Y2324" s="276"/>
      <c r="Z2324" s="276"/>
      <c r="AA2324" s="276"/>
      <c r="AB2324" s="276"/>
      <c r="AC2324" s="276"/>
    </row>
    <row r="2325">
      <c r="A2325" s="370"/>
      <c r="B2325" s="439"/>
      <c r="C2325" s="384"/>
      <c r="D2325" s="384"/>
      <c r="E2325" s="384"/>
      <c r="F2325" s="419"/>
      <c r="G2325" s="419"/>
      <c r="H2325" s="419"/>
      <c r="I2325" s="384"/>
      <c r="J2325" s="384"/>
      <c r="K2325" s="419"/>
      <c r="L2325" s="403"/>
      <c r="M2325" s="389"/>
      <c r="N2325" s="392"/>
      <c r="O2325" s="349"/>
      <c r="P2325" s="389"/>
      <c r="Q2325" s="275"/>
      <c r="R2325" s="277"/>
      <c r="S2325" s="276"/>
      <c r="T2325" s="276"/>
      <c r="U2325" s="276"/>
      <c r="V2325" s="276"/>
      <c r="W2325" s="276"/>
      <c r="X2325" s="276"/>
      <c r="Y2325" s="276"/>
      <c r="Z2325" s="276"/>
      <c r="AA2325" s="276"/>
      <c r="AB2325" s="276"/>
      <c r="AC2325" s="276"/>
    </row>
    <row r="2326">
      <c r="A2326" s="370"/>
      <c r="B2326" s="439"/>
      <c r="C2326" s="384"/>
      <c r="D2326" s="384"/>
      <c r="E2326" s="384"/>
      <c r="F2326" s="419"/>
      <c r="G2326" s="419"/>
      <c r="H2326" s="419"/>
      <c r="I2326" s="384"/>
      <c r="J2326" s="384"/>
      <c r="K2326" s="419"/>
      <c r="L2326" s="403"/>
      <c r="M2326" s="389"/>
      <c r="N2326" s="392"/>
      <c r="O2326" s="349"/>
      <c r="P2326" s="389"/>
      <c r="Q2326" s="275"/>
      <c r="R2326" s="277"/>
      <c r="S2326" s="276"/>
      <c r="T2326" s="276"/>
      <c r="U2326" s="276"/>
      <c r="V2326" s="276"/>
      <c r="W2326" s="276"/>
      <c r="X2326" s="276"/>
      <c r="Y2326" s="276"/>
      <c r="Z2326" s="276"/>
      <c r="AA2326" s="276"/>
      <c r="AB2326" s="276"/>
      <c r="AC2326" s="276"/>
    </row>
    <row r="2327">
      <c r="A2327" s="370"/>
      <c r="B2327" s="439"/>
      <c r="C2327" s="384"/>
      <c r="D2327" s="384"/>
      <c r="E2327" s="384"/>
      <c r="F2327" s="419"/>
      <c r="G2327" s="419"/>
      <c r="H2327" s="419"/>
      <c r="I2327" s="384"/>
      <c r="J2327" s="384"/>
      <c r="K2327" s="419"/>
      <c r="L2327" s="403"/>
      <c r="M2327" s="389"/>
      <c r="N2327" s="392"/>
      <c r="O2327" s="349"/>
      <c r="P2327" s="389"/>
      <c r="Q2327" s="275"/>
      <c r="R2327" s="277"/>
      <c r="S2327" s="276"/>
      <c r="T2327" s="276"/>
      <c r="U2327" s="276"/>
      <c r="V2327" s="276"/>
      <c r="W2327" s="276"/>
      <c r="X2327" s="276"/>
      <c r="Y2327" s="276"/>
      <c r="Z2327" s="276"/>
      <c r="AA2327" s="276"/>
      <c r="AB2327" s="276"/>
      <c r="AC2327" s="276"/>
    </row>
    <row r="2328">
      <c r="A2328" s="370"/>
      <c r="B2328" s="439"/>
      <c r="C2328" s="384"/>
      <c r="D2328" s="384"/>
      <c r="E2328" s="384"/>
      <c r="F2328" s="419"/>
      <c r="G2328" s="419"/>
      <c r="H2328" s="419"/>
      <c r="I2328" s="384"/>
      <c r="J2328" s="384"/>
      <c r="K2328" s="419"/>
      <c r="L2328" s="403"/>
      <c r="M2328" s="389"/>
      <c r="N2328" s="392"/>
      <c r="O2328" s="349"/>
      <c r="P2328" s="389"/>
      <c r="Q2328" s="275"/>
      <c r="R2328" s="277"/>
      <c r="S2328" s="276"/>
      <c r="T2328" s="276"/>
      <c r="U2328" s="276"/>
      <c r="V2328" s="276"/>
      <c r="W2328" s="276"/>
      <c r="X2328" s="276"/>
      <c r="Y2328" s="276"/>
      <c r="Z2328" s="276"/>
      <c r="AA2328" s="276"/>
      <c r="AB2328" s="276"/>
      <c r="AC2328" s="276"/>
    </row>
    <row r="2329">
      <c r="A2329" s="370"/>
      <c r="B2329" s="439"/>
      <c r="C2329" s="384"/>
      <c r="D2329" s="384"/>
      <c r="E2329" s="384"/>
      <c r="F2329" s="419"/>
      <c r="G2329" s="419"/>
      <c r="H2329" s="419"/>
      <c r="I2329" s="384"/>
      <c r="J2329" s="384"/>
      <c r="K2329" s="419"/>
      <c r="L2329" s="403"/>
      <c r="M2329" s="389"/>
      <c r="N2329" s="392"/>
      <c r="O2329" s="349"/>
      <c r="P2329" s="389"/>
      <c r="Q2329" s="275"/>
      <c r="R2329" s="277"/>
      <c r="S2329" s="276"/>
      <c r="T2329" s="276"/>
      <c r="U2329" s="276"/>
      <c r="V2329" s="276"/>
      <c r="W2329" s="276"/>
      <c r="X2329" s="276"/>
      <c r="Y2329" s="276"/>
      <c r="Z2329" s="276"/>
      <c r="AA2329" s="276"/>
      <c r="AB2329" s="276"/>
      <c r="AC2329" s="276"/>
    </row>
    <row r="2330">
      <c r="A2330" s="370"/>
      <c r="B2330" s="439"/>
      <c r="C2330" s="384"/>
      <c r="D2330" s="384"/>
      <c r="E2330" s="384"/>
      <c r="F2330" s="419"/>
      <c r="G2330" s="419"/>
      <c r="H2330" s="419"/>
      <c r="I2330" s="384"/>
      <c r="J2330" s="384"/>
      <c r="K2330" s="419"/>
      <c r="L2330" s="403"/>
      <c r="M2330" s="389"/>
      <c r="N2330" s="392"/>
      <c r="O2330" s="349"/>
      <c r="P2330" s="389"/>
      <c r="Q2330" s="275"/>
      <c r="R2330" s="277"/>
      <c r="S2330" s="276"/>
      <c r="T2330" s="276"/>
      <c r="U2330" s="276"/>
      <c r="V2330" s="276"/>
      <c r="W2330" s="276"/>
      <c r="X2330" s="276"/>
      <c r="Y2330" s="276"/>
      <c r="Z2330" s="276"/>
      <c r="AA2330" s="276"/>
      <c r="AB2330" s="276"/>
      <c r="AC2330" s="276"/>
    </row>
    <row r="2331">
      <c r="A2331" s="370"/>
      <c r="B2331" s="439"/>
      <c r="C2331" s="384"/>
      <c r="D2331" s="384"/>
      <c r="E2331" s="384"/>
      <c r="F2331" s="419"/>
      <c r="G2331" s="419"/>
      <c r="H2331" s="419"/>
      <c r="I2331" s="384"/>
      <c r="J2331" s="384"/>
      <c r="K2331" s="419"/>
      <c r="L2331" s="403"/>
      <c r="M2331" s="389"/>
      <c r="N2331" s="392"/>
      <c r="O2331" s="349"/>
      <c r="P2331" s="389"/>
      <c r="Q2331" s="275"/>
      <c r="R2331" s="277"/>
      <c r="S2331" s="276"/>
      <c r="T2331" s="276"/>
      <c r="U2331" s="276"/>
      <c r="V2331" s="276"/>
      <c r="W2331" s="276"/>
      <c r="X2331" s="276"/>
      <c r="Y2331" s="276"/>
      <c r="Z2331" s="276"/>
      <c r="AA2331" s="276"/>
      <c r="AB2331" s="276"/>
      <c r="AC2331" s="276"/>
    </row>
    <row r="2332">
      <c r="A2332" s="370"/>
      <c r="B2332" s="439"/>
      <c r="C2332" s="384"/>
      <c r="D2332" s="384"/>
      <c r="E2332" s="384"/>
      <c r="F2332" s="419"/>
      <c r="G2332" s="419"/>
      <c r="H2332" s="419"/>
      <c r="I2332" s="384"/>
      <c r="J2332" s="384"/>
      <c r="K2332" s="419"/>
      <c r="L2332" s="403"/>
      <c r="M2332" s="389"/>
      <c r="N2332" s="392"/>
      <c r="O2332" s="349"/>
      <c r="P2332" s="389"/>
      <c r="Q2332" s="275"/>
      <c r="R2332" s="277"/>
      <c r="S2332" s="276"/>
      <c r="T2332" s="276"/>
      <c r="U2332" s="276"/>
      <c r="V2332" s="276"/>
      <c r="W2332" s="276"/>
      <c r="X2332" s="276"/>
      <c r="Y2332" s="276"/>
      <c r="Z2332" s="276"/>
      <c r="AA2332" s="276"/>
      <c r="AB2332" s="276"/>
      <c r="AC2332" s="276"/>
    </row>
    <row r="2333">
      <c r="A2333" s="370"/>
      <c r="B2333" s="439"/>
      <c r="C2333" s="384"/>
      <c r="D2333" s="384"/>
      <c r="E2333" s="384"/>
      <c r="F2333" s="419"/>
      <c r="G2333" s="419"/>
      <c r="H2333" s="419"/>
      <c r="I2333" s="384"/>
      <c r="J2333" s="384"/>
      <c r="K2333" s="419"/>
      <c r="L2333" s="403"/>
      <c r="M2333" s="389"/>
      <c r="N2333" s="392"/>
      <c r="O2333" s="349"/>
      <c r="P2333" s="389"/>
      <c r="Q2333" s="275"/>
      <c r="R2333" s="277"/>
      <c r="S2333" s="276"/>
      <c r="T2333" s="276"/>
      <c r="U2333" s="276"/>
      <c r="V2333" s="276"/>
      <c r="W2333" s="276"/>
      <c r="X2333" s="276"/>
      <c r="Y2333" s="276"/>
      <c r="Z2333" s="276"/>
      <c r="AA2333" s="276"/>
      <c r="AB2333" s="276"/>
      <c r="AC2333" s="276"/>
    </row>
    <row r="2334">
      <c r="A2334" s="370"/>
      <c r="B2334" s="439"/>
      <c r="C2334" s="384"/>
      <c r="D2334" s="384"/>
      <c r="E2334" s="384"/>
      <c r="F2334" s="419"/>
      <c r="G2334" s="419"/>
      <c r="H2334" s="419"/>
      <c r="I2334" s="384"/>
      <c r="J2334" s="384"/>
      <c r="K2334" s="419"/>
      <c r="L2334" s="403"/>
      <c r="M2334" s="389"/>
      <c r="N2334" s="392"/>
      <c r="O2334" s="349"/>
      <c r="P2334" s="389"/>
      <c r="Q2334" s="275"/>
      <c r="R2334" s="277"/>
      <c r="S2334" s="276"/>
      <c r="T2334" s="276"/>
      <c r="U2334" s="276"/>
      <c r="V2334" s="276"/>
      <c r="W2334" s="276"/>
      <c r="X2334" s="276"/>
      <c r="Y2334" s="276"/>
      <c r="Z2334" s="276"/>
      <c r="AA2334" s="276"/>
      <c r="AB2334" s="276"/>
      <c r="AC2334" s="276"/>
    </row>
    <row r="2335">
      <c r="A2335" s="370"/>
      <c r="B2335" s="439"/>
      <c r="C2335" s="384"/>
      <c r="D2335" s="384"/>
      <c r="E2335" s="384"/>
      <c r="F2335" s="419"/>
      <c r="G2335" s="419"/>
      <c r="H2335" s="419"/>
      <c r="I2335" s="384"/>
      <c r="J2335" s="384"/>
      <c r="K2335" s="419"/>
      <c r="L2335" s="403"/>
      <c r="M2335" s="389"/>
      <c r="N2335" s="392"/>
      <c r="O2335" s="349"/>
      <c r="P2335" s="389"/>
      <c r="Q2335" s="275"/>
      <c r="R2335" s="277"/>
      <c r="S2335" s="276"/>
      <c r="T2335" s="276"/>
      <c r="U2335" s="276"/>
      <c r="V2335" s="276"/>
      <c r="W2335" s="276"/>
      <c r="X2335" s="276"/>
      <c r="Y2335" s="276"/>
      <c r="Z2335" s="276"/>
      <c r="AA2335" s="276"/>
      <c r="AB2335" s="276"/>
      <c r="AC2335" s="276"/>
    </row>
    <row r="2336">
      <c r="A2336" s="370"/>
      <c r="B2336" s="439"/>
      <c r="C2336" s="384"/>
      <c r="D2336" s="384"/>
      <c r="E2336" s="384"/>
      <c r="F2336" s="419"/>
      <c r="G2336" s="419"/>
      <c r="H2336" s="419"/>
      <c r="I2336" s="384"/>
      <c r="J2336" s="384"/>
      <c r="K2336" s="419"/>
      <c r="L2336" s="403"/>
      <c r="M2336" s="389"/>
      <c r="N2336" s="392"/>
      <c r="O2336" s="349"/>
      <c r="P2336" s="389"/>
      <c r="Q2336" s="275"/>
      <c r="R2336" s="277"/>
      <c r="S2336" s="276"/>
      <c r="T2336" s="276"/>
      <c r="U2336" s="276"/>
      <c r="V2336" s="276"/>
      <c r="W2336" s="276"/>
      <c r="X2336" s="276"/>
      <c r="Y2336" s="276"/>
      <c r="Z2336" s="276"/>
      <c r="AA2336" s="276"/>
      <c r="AB2336" s="276"/>
      <c r="AC2336" s="276"/>
    </row>
    <row r="2337">
      <c r="A2337" s="370"/>
      <c r="B2337" s="439"/>
      <c r="C2337" s="384"/>
      <c r="D2337" s="384"/>
      <c r="E2337" s="384"/>
      <c r="F2337" s="419"/>
      <c r="G2337" s="419"/>
      <c r="H2337" s="419"/>
      <c r="I2337" s="384"/>
      <c r="J2337" s="384"/>
      <c r="K2337" s="419"/>
      <c r="L2337" s="403"/>
      <c r="M2337" s="389"/>
      <c r="N2337" s="392"/>
      <c r="O2337" s="349"/>
      <c r="P2337" s="389"/>
      <c r="Q2337" s="275"/>
      <c r="R2337" s="277"/>
      <c r="S2337" s="276"/>
      <c r="T2337" s="276"/>
      <c r="U2337" s="276"/>
      <c r="V2337" s="276"/>
      <c r="W2337" s="276"/>
      <c r="X2337" s="276"/>
      <c r="Y2337" s="276"/>
      <c r="Z2337" s="276"/>
      <c r="AA2337" s="276"/>
      <c r="AB2337" s="276"/>
      <c r="AC2337" s="276"/>
    </row>
    <row r="2338">
      <c r="A2338" s="370"/>
      <c r="B2338" s="439"/>
      <c r="C2338" s="384"/>
      <c r="D2338" s="384"/>
      <c r="E2338" s="384"/>
      <c r="F2338" s="419"/>
      <c r="G2338" s="419"/>
      <c r="H2338" s="419"/>
      <c r="I2338" s="384"/>
      <c r="J2338" s="384"/>
      <c r="K2338" s="419"/>
      <c r="L2338" s="403"/>
      <c r="M2338" s="389"/>
      <c r="N2338" s="392"/>
      <c r="O2338" s="349"/>
      <c r="P2338" s="389"/>
      <c r="Q2338" s="275"/>
      <c r="R2338" s="277"/>
      <c r="S2338" s="276"/>
      <c r="T2338" s="276"/>
      <c r="U2338" s="276"/>
      <c r="V2338" s="276"/>
      <c r="W2338" s="276"/>
      <c r="X2338" s="276"/>
      <c r="Y2338" s="276"/>
      <c r="Z2338" s="276"/>
      <c r="AA2338" s="276"/>
      <c r="AB2338" s="276"/>
      <c r="AC2338" s="276"/>
    </row>
    <row r="2339">
      <c r="A2339" s="370"/>
      <c r="B2339" s="439"/>
      <c r="C2339" s="384"/>
      <c r="D2339" s="384"/>
      <c r="E2339" s="384"/>
      <c r="F2339" s="419"/>
      <c r="G2339" s="419"/>
      <c r="H2339" s="419"/>
      <c r="I2339" s="384"/>
      <c r="J2339" s="384"/>
      <c r="K2339" s="419"/>
      <c r="L2339" s="403"/>
      <c r="M2339" s="389"/>
      <c r="N2339" s="392"/>
      <c r="O2339" s="349"/>
      <c r="P2339" s="389"/>
      <c r="Q2339" s="275"/>
      <c r="R2339" s="277"/>
      <c r="S2339" s="276"/>
      <c r="T2339" s="276"/>
      <c r="U2339" s="276"/>
      <c r="V2339" s="276"/>
      <c r="W2339" s="276"/>
      <c r="X2339" s="276"/>
      <c r="Y2339" s="276"/>
      <c r="Z2339" s="276"/>
      <c r="AA2339" s="276"/>
      <c r="AB2339" s="276"/>
      <c r="AC2339" s="276"/>
    </row>
    <row r="2340">
      <c r="A2340" s="370"/>
      <c r="B2340" s="439"/>
      <c r="C2340" s="384"/>
      <c r="D2340" s="384"/>
      <c r="E2340" s="384"/>
      <c r="F2340" s="419"/>
      <c r="G2340" s="419"/>
      <c r="H2340" s="419"/>
      <c r="I2340" s="384"/>
      <c r="J2340" s="384"/>
      <c r="K2340" s="419"/>
      <c r="L2340" s="403"/>
      <c r="M2340" s="389"/>
      <c r="N2340" s="392"/>
      <c r="O2340" s="349"/>
      <c r="P2340" s="389"/>
      <c r="Q2340" s="275"/>
      <c r="R2340" s="277"/>
      <c r="S2340" s="276"/>
      <c r="T2340" s="276"/>
      <c r="U2340" s="276"/>
      <c r="V2340" s="276"/>
      <c r="W2340" s="276"/>
      <c r="X2340" s="276"/>
      <c r="Y2340" s="276"/>
      <c r="Z2340" s="276"/>
      <c r="AA2340" s="276"/>
      <c r="AB2340" s="276"/>
      <c r="AC2340" s="276"/>
    </row>
    <row r="2341">
      <c r="A2341" s="370"/>
      <c r="B2341" s="439"/>
      <c r="C2341" s="384"/>
      <c r="D2341" s="384"/>
      <c r="E2341" s="384"/>
      <c r="F2341" s="419"/>
      <c r="G2341" s="419"/>
      <c r="H2341" s="419"/>
      <c r="I2341" s="384"/>
      <c r="J2341" s="384"/>
      <c r="K2341" s="419"/>
      <c r="L2341" s="403"/>
      <c r="M2341" s="389"/>
      <c r="N2341" s="392"/>
      <c r="O2341" s="349"/>
      <c r="P2341" s="389"/>
      <c r="Q2341" s="275"/>
      <c r="R2341" s="277"/>
      <c r="S2341" s="276"/>
      <c r="T2341" s="276"/>
      <c r="U2341" s="276"/>
      <c r="V2341" s="276"/>
      <c r="W2341" s="276"/>
      <c r="X2341" s="276"/>
      <c r="Y2341" s="276"/>
      <c r="Z2341" s="276"/>
      <c r="AA2341" s="276"/>
      <c r="AB2341" s="276"/>
      <c r="AC2341" s="276"/>
    </row>
    <row r="2342">
      <c r="A2342" s="370"/>
      <c r="B2342" s="439"/>
      <c r="C2342" s="384"/>
      <c r="D2342" s="384"/>
      <c r="E2342" s="384"/>
      <c r="F2342" s="419"/>
      <c r="G2342" s="419"/>
      <c r="H2342" s="419"/>
      <c r="I2342" s="384"/>
      <c r="J2342" s="384"/>
      <c r="K2342" s="419"/>
      <c r="L2342" s="403"/>
      <c r="M2342" s="389"/>
      <c r="N2342" s="392"/>
      <c r="O2342" s="349"/>
      <c r="P2342" s="389"/>
      <c r="Q2342" s="275"/>
      <c r="R2342" s="277"/>
      <c r="S2342" s="276"/>
      <c r="T2342" s="276"/>
      <c r="U2342" s="276"/>
      <c r="V2342" s="276"/>
      <c r="W2342" s="276"/>
      <c r="X2342" s="276"/>
      <c r="Y2342" s="276"/>
      <c r="Z2342" s="276"/>
      <c r="AA2342" s="276"/>
      <c r="AB2342" s="276"/>
      <c r="AC2342" s="276"/>
    </row>
    <row r="2343">
      <c r="A2343" s="370"/>
      <c r="B2343" s="439"/>
      <c r="C2343" s="384"/>
      <c r="D2343" s="384"/>
      <c r="E2343" s="384"/>
      <c r="F2343" s="419"/>
      <c r="G2343" s="419"/>
      <c r="H2343" s="419"/>
      <c r="I2343" s="384"/>
      <c r="J2343" s="384"/>
      <c r="K2343" s="419"/>
      <c r="L2343" s="403"/>
      <c r="M2343" s="389"/>
      <c r="N2343" s="392"/>
      <c r="O2343" s="349"/>
      <c r="P2343" s="389"/>
      <c r="Q2343" s="275"/>
      <c r="R2343" s="277"/>
      <c r="S2343" s="276"/>
      <c r="T2343" s="276"/>
      <c r="U2343" s="276"/>
      <c r="V2343" s="276"/>
      <c r="W2343" s="276"/>
      <c r="X2343" s="276"/>
      <c r="Y2343" s="276"/>
      <c r="Z2343" s="276"/>
      <c r="AA2343" s="276"/>
      <c r="AB2343" s="276"/>
      <c r="AC2343" s="276"/>
    </row>
    <row r="2344">
      <c r="A2344" s="370"/>
      <c r="B2344" s="439"/>
      <c r="C2344" s="384"/>
      <c r="D2344" s="384"/>
      <c r="E2344" s="384"/>
      <c r="F2344" s="419"/>
      <c r="G2344" s="419"/>
      <c r="H2344" s="419"/>
      <c r="I2344" s="384"/>
      <c r="J2344" s="384"/>
      <c r="K2344" s="419"/>
      <c r="L2344" s="403"/>
      <c r="M2344" s="389"/>
      <c r="N2344" s="392"/>
      <c r="O2344" s="349"/>
      <c r="P2344" s="389"/>
      <c r="Q2344" s="275"/>
      <c r="R2344" s="277"/>
      <c r="S2344" s="276"/>
      <c r="T2344" s="276"/>
      <c r="U2344" s="276"/>
      <c r="V2344" s="276"/>
      <c r="W2344" s="276"/>
      <c r="X2344" s="276"/>
      <c r="Y2344" s="276"/>
      <c r="Z2344" s="276"/>
      <c r="AA2344" s="276"/>
      <c r="AB2344" s="276"/>
      <c r="AC2344" s="276"/>
    </row>
    <row r="2345">
      <c r="A2345" s="370"/>
      <c r="B2345" s="439"/>
      <c r="C2345" s="384"/>
      <c r="D2345" s="384"/>
      <c r="E2345" s="384"/>
      <c r="F2345" s="419"/>
      <c r="G2345" s="419"/>
      <c r="H2345" s="419"/>
      <c r="I2345" s="384"/>
      <c r="J2345" s="384"/>
      <c r="K2345" s="419"/>
      <c r="L2345" s="403"/>
      <c r="M2345" s="389"/>
      <c r="N2345" s="392"/>
      <c r="O2345" s="349"/>
      <c r="P2345" s="389"/>
      <c r="Q2345" s="275"/>
      <c r="R2345" s="277"/>
      <c r="S2345" s="276"/>
      <c r="T2345" s="276"/>
      <c r="U2345" s="276"/>
      <c r="V2345" s="276"/>
      <c r="W2345" s="276"/>
      <c r="X2345" s="276"/>
      <c r="Y2345" s="276"/>
      <c r="Z2345" s="276"/>
      <c r="AA2345" s="276"/>
      <c r="AB2345" s="276"/>
      <c r="AC2345" s="276"/>
    </row>
    <row r="2346">
      <c r="A2346" s="370"/>
      <c r="B2346" s="439"/>
      <c r="C2346" s="384"/>
      <c r="D2346" s="384"/>
      <c r="E2346" s="384"/>
      <c r="F2346" s="419"/>
      <c r="G2346" s="419"/>
      <c r="H2346" s="419"/>
      <c r="I2346" s="384"/>
      <c r="J2346" s="384"/>
      <c r="K2346" s="419"/>
      <c r="L2346" s="403"/>
      <c r="M2346" s="389"/>
      <c r="N2346" s="392"/>
      <c r="O2346" s="349"/>
      <c r="P2346" s="389"/>
      <c r="Q2346" s="275"/>
      <c r="R2346" s="277"/>
      <c r="S2346" s="276"/>
      <c r="T2346" s="276"/>
      <c r="U2346" s="276"/>
      <c r="V2346" s="276"/>
      <c r="W2346" s="276"/>
      <c r="X2346" s="276"/>
      <c r="Y2346" s="276"/>
      <c r="Z2346" s="276"/>
      <c r="AA2346" s="276"/>
      <c r="AB2346" s="276"/>
      <c r="AC2346" s="276"/>
    </row>
    <row r="2347">
      <c r="A2347" s="370"/>
      <c r="B2347" s="439"/>
      <c r="C2347" s="384"/>
      <c r="D2347" s="384"/>
      <c r="E2347" s="384"/>
      <c r="F2347" s="419"/>
      <c r="G2347" s="419"/>
      <c r="H2347" s="419"/>
      <c r="I2347" s="384"/>
      <c r="J2347" s="384"/>
      <c r="K2347" s="419"/>
      <c r="L2347" s="403"/>
      <c r="M2347" s="389"/>
      <c r="N2347" s="392"/>
      <c r="O2347" s="349"/>
      <c r="P2347" s="389"/>
      <c r="Q2347" s="275"/>
      <c r="R2347" s="277"/>
      <c r="S2347" s="276"/>
      <c r="T2347" s="276"/>
      <c r="U2347" s="276"/>
      <c r="V2347" s="276"/>
      <c r="W2347" s="276"/>
      <c r="X2347" s="276"/>
      <c r="Y2347" s="276"/>
      <c r="Z2347" s="276"/>
      <c r="AA2347" s="276"/>
      <c r="AB2347" s="276"/>
      <c r="AC2347" s="276"/>
    </row>
    <row r="2348">
      <c r="A2348" s="370"/>
      <c r="B2348" s="439"/>
      <c r="C2348" s="384"/>
      <c r="D2348" s="384"/>
      <c r="E2348" s="384"/>
      <c r="F2348" s="419"/>
      <c r="G2348" s="419"/>
      <c r="H2348" s="419"/>
      <c r="I2348" s="384"/>
      <c r="J2348" s="384"/>
      <c r="K2348" s="419"/>
      <c r="L2348" s="403"/>
      <c r="M2348" s="389"/>
      <c r="N2348" s="392"/>
      <c r="O2348" s="349"/>
      <c r="P2348" s="389"/>
      <c r="Q2348" s="275"/>
      <c r="R2348" s="277"/>
      <c r="S2348" s="276"/>
      <c r="T2348" s="276"/>
      <c r="U2348" s="276"/>
      <c r="V2348" s="276"/>
      <c r="W2348" s="276"/>
      <c r="X2348" s="276"/>
      <c r="Y2348" s="276"/>
      <c r="Z2348" s="276"/>
      <c r="AA2348" s="276"/>
      <c r="AB2348" s="276"/>
      <c r="AC2348" s="276"/>
    </row>
    <row r="2349">
      <c r="A2349" s="370"/>
      <c r="B2349" s="439"/>
      <c r="C2349" s="384"/>
      <c r="D2349" s="384"/>
      <c r="E2349" s="384"/>
      <c r="F2349" s="419"/>
      <c r="G2349" s="419"/>
      <c r="H2349" s="419"/>
      <c r="I2349" s="384"/>
      <c r="J2349" s="384"/>
      <c r="K2349" s="419"/>
      <c r="L2349" s="403"/>
      <c r="M2349" s="389"/>
      <c r="N2349" s="392"/>
      <c r="O2349" s="349"/>
      <c r="P2349" s="389"/>
      <c r="Q2349" s="275"/>
      <c r="R2349" s="277"/>
      <c r="S2349" s="276"/>
      <c r="T2349" s="276"/>
      <c r="U2349" s="276"/>
      <c r="V2349" s="276"/>
      <c r="W2349" s="276"/>
      <c r="X2349" s="276"/>
      <c r="Y2349" s="276"/>
      <c r="Z2349" s="276"/>
      <c r="AA2349" s="276"/>
      <c r="AB2349" s="276"/>
      <c r="AC2349" s="276"/>
    </row>
    <row r="2350">
      <c r="A2350" s="370"/>
      <c r="B2350" s="439"/>
      <c r="C2350" s="384"/>
      <c r="D2350" s="384"/>
      <c r="E2350" s="384"/>
      <c r="F2350" s="419"/>
      <c r="G2350" s="419"/>
      <c r="H2350" s="419"/>
      <c r="I2350" s="384"/>
      <c r="J2350" s="384"/>
      <c r="K2350" s="419"/>
      <c r="L2350" s="403"/>
      <c r="M2350" s="389"/>
      <c r="N2350" s="392"/>
      <c r="O2350" s="349"/>
      <c r="P2350" s="389"/>
      <c r="Q2350" s="275"/>
      <c r="R2350" s="277"/>
      <c r="S2350" s="276"/>
      <c r="T2350" s="276"/>
      <c r="U2350" s="276"/>
      <c r="V2350" s="276"/>
      <c r="W2350" s="276"/>
      <c r="X2350" s="276"/>
      <c r="Y2350" s="276"/>
      <c r="Z2350" s="276"/>
      <c r="AA2350" s="276"/>
      <c r="AB2350" s="276"/>
      <c r="AC2350" s="276"/>
    </row>
    <row r="2351">
      <c r="A2351" s="370"/>
      <c r="B2351" s="439"/>
      <c r="C2351" s="384"/>
      <c r="D2351" s="384"/>
      <c r="E2351" s="384"/>
      <c r="F2351" s="419"/>
      <c r="G2351" s="419"/>
      <c r="H2351" s="419"/>
      <c r="I2351" s="384"/>
      <c r="J2351" s="384"/>
      <c r="K2351" s="419"/>
      <c r="L2351" s="403"/>
      <c r="M2351" s="389"/>
      <c r="N2351" s="392"/>
      <c r="O2351" s="349"/>
      <c r="P2351" s="389"/>
      <c r="Q2351" s="275"/>
      <c r="R2351" s="277"/>
      <c r="S2351" s="276"/>
      <c r="T2351" s="276"/>
      <c r="U2351" s="276"/>
      <c r="V2351" s="276"/>
      <c r="W2351" s="276"/>
      <c r="X2351" s="276"/>
      <c r="Y2351" s="276"/>
      <c r="Z2351" s="276"/>
      <c r="AA2351" s="276"/>
      <c r="AB2351" s="276"/>
      <c r="AC2351" s="276"/>
    </row>
    <row r="2352">
      <c r="A2352" s="370"/>
      <c r="B2352" s="439"/>
      <c r="C2352" s="384"/>
      <c r="D2352" s="384"/>
      <c r="E2352" s="384"/>
      <c r="F2352" s="419"/>
      <c r="G2352" s="419"/>
      <c r="H2352" s="419"/>
      <c r="I2352" s="384"/>
      <c r="J2352" s="384"/>
      <c r="K2352" s="419"/>
      <c r="L2352" s="403"/>
      <c r="M2352" s="389"/>
      <c r="N2352" s="392"/>
      <c r="O2352" s="349"/>
      <c r="P2352" s="389"/>
      <c r="Q2352" s="275"/>
      <c r="R2352" s="277"/>
      <c r="S2352" s="276"/>
      <c r="T2352" s="276"/>
      <c r="U2352" s="276"/>
      <c r="V2352" s="276"/>
      <c r="W2352" s="276"/>
      <c r="X2352" s="276"/>
      <c r="Y2352" s="276"/>
      <c r="Z2352" s="276"/>
      <c r="AA2352" s="276"/>
      <c r="AB2352" s="276"/>
      <c r="AC2352" s="276"/>
    </row>
    <row r="2353">
      <c r="A2353" s="370"/>
      <c r="B2353" s="439"/>
      <c r="C2353" s="384"/>
      <c r="D2353" s="384"/>
      <c r="E2353" s="384"/>
      <c r="F2353" s="419"/>
      <c r="G2353" s="419"/>
      <c r="H2353" s="419"/>
      <c r="I2353" s="384"/>
      <c r="J2353" s="384"/>
      <c r="K2353" s="419"/>
      <c r="L2353" s="403"/>
      <c r="M2353" s="389"/>
      <c r="N2353" s="392"/>
      <c r="O2353" s="349"/>
      <c r="P2353" s="389"/>
      <c r="Q2353" s="275"/>
      <c r="R2353" s="277"/>
      <c r="S2353" s="276"/>
      <c r="T2353" s="276"/>
      <c r="U2353" s="276"/>
      <c r="V2353" s="276"/>
      <c r="W2353" s="276"/>
      <c r="X2353" s="276"/>
      <c r="Y2353" s="276"/>
      <c r="Z2353" s="276"/>
      <c r="AA2353" s="276"/>
      <c r="AB2353" s="276"/>
      <c r="AC2353" s="276"/>
    </row>
    <row r="2354">
      <c r="A2354" s="370"/>
      <c r="B2354" s="439"/>
      <c r="C2354" s="384"/>
      <c r="D2354" s="384"/>
      <c r="E2354" s="384"/>
      <c r="F2354" s="419"/>
      <c r="G2354" s="419"/>
      <c r="H2354" s="419"/>
      <c r="I2354" s="384"/>
      <c r="J2354" s="384"/>
      <c r="K2354" s="419"/>
      <c r="L2354" s="403"/>
      <c r="M2354" s="389"/>
      <c r="N2354" s="392"/>
      <c r="O2354" s="349"/>
      <c r="P2354" s="389"/>
      <c r="Q2354" s="275"/>
      <c r="R2354" s="277"/>
      <c r="S2354" s="276"/>
      <c r="T2354" s="276"/>
      <c r="U2354" s="276"/>
      <c r="V2354" s="276"/>
      <c r="W2354" s="276"/>
      <c r="X2354" s="276"/>
      <c r="Y2354" s="276"/>
      <c r="Z2354" s="276"/>
      <c r="AA2354" s="276"/>
      <c r="AB2354" s="276"/>
      <c r="AC2354" s="276"/>
    </row>
    <row r="2355">
      <c r="A2355" s="370"/>
      <c r="B2355" s="439"/>
      <c r="C2355" s="384"/>
      <c r="D2355" s="384"/>
      <c r="E2355" s="384"/>
      <c r="F2355" s="419"/>
      <c r="G2355" s="419"/>
      <c r="H2355" s="419"/>
      <c r="I2355" s="384"/>
      <c r="J2355" s="384"/>
      <c r="K2355" s="419"/>
      <c r="L2355" s="403"/>
      <c r="M2355" s="389"/>
      <c r="N2355" s="392"/>
      <c r="O2355" s="349"/>
      <c r="P2355" s="389"/>
      <c r="Q2355" s="275"/>
      <c r="R2355" s="277"/>
      <c r="S2355" s="276"/>
      <c r="T2355" s="276"/>
      <c r="U2355" s="276"/>
      <c r="V2355" s="276"/>
      <c r="W2355" s="276"/>
      <c r="X2355" s="276"/>
      <c r="Y2355" s="276"/>
      <c r="Z2355" s="276"/>
      <c r="AA2355" s="276"/>
      <c r="AB2355" s="276"/>
      <c r="AC2355" s="276"/>
    </row>
    <row r="2356">
      <c r="A2356" s="370"/>
      <c r="B2356" s="439"/>
      <c r="C2356" s="384"/>
      <c r="D2356" s="384"/>
      <c r="E2356" s="384"/>
      <c r="F2356" s="419"/>
      <c r="G2356" s="419"/>
      <c r="H2356" s="419"/>
      <c r="I2356" s="384"/>
      <c r="J2356" s="384"/>
      <c r="K2356" s="419"/>
      <c r="L2356" s="403"/>
      <c r="M2356" s="389"/>
      <c r="N2356" s="392"/>
      <c r="O2356" s="349"/>
      <c r="P2356" s="389"/>
      <c r="Q2356" s="275"/>
      <c r="R2356" s="277"/>
      <c r="S2356" s="276"/>
      <c r="T2356" s="276"/>
      <c r="U2356" s="276"/>
      <c r="V2356" s="276"/>
      <c r="W2356" s="276"/>
      <c r="X2356" s="276"/>
      <c r="Y2356" s="276"/>
      <c r="Z2356" s="276"/>
      <c r="AA2356" s="276"/>
      <c r="AB2356" s="276"/>
      <c r="AC2356" s="276"/>
    </row>
    <row r="2357">
      <c r="A2357" s="370"/>
      <c r="B2357" s="439"/>
      <c r="C2357" s="384"/>
      <c r="D2357" s="384"/>
      <c r="E2357" s="384"/>
      <c r="F2357" s="419"/>
      <c r="G2357" s="419"/>
      <c r="H2357" s="419"/>
      <c r="I2357" s="384"/>
      <c r="J2357" s="384"/>
      <c r="K2357" s="419"/>
      <c r="L2357" s="403"/>
      <c r="M2357" s="389"/>
      <c r="N2357" s="392"/>
      <c r="O2357" s="349"/>
      <c r="P2357" s="389"/>
      <c r="Q2357" s="275"/>
      <c r="R2357" s="277"/>
      <c r="S2357" s="276"/>
      <c r="T2357" s="276"/>
      <c r="U2357" s="276"/>
      <c r="V2357" s="276"/>
      <c r="W2357" s="276"/>
      <c r="X2357" s="276"/>
      <c r="Y2357" s="276"/>
      <c r="Z2357" s="276"/>
      <c r="AA2357" s="276"/>
      <c r="AB2357" s="276"/>
      <c r="AC2357" s="276"/>
    </row>
    <row r="2358">
      <c r="A2358" s="370"/>
      <c r="B2358" s="439"/>
      <c r="C2358" s="384"/>
      <c r="D2358" s="384"/>
      <c r="E2358" s="384"/>
      <c r="F2358" s="419"/>
      <c r="G2358" s="419"/>
      <c r="H2358" s="419"/>
      <c r="I2358" s="384"/>
      <c r="J2358" s="384"/>
      <c r="K2358" s="419"/>
      <c r="L2358" s="403"/>
      <c r="M2358" s="389"/>
      <c r="N2358" s="392"/>
      <c r="O2358" s="349"/>
      <c r="P2358" s="389"/>
      <c r="Q2358" s="275"/>
      <c r="R2358" s="277"/>
      <c r="S2358" s="276"/>
      <c r="T2358" s="276"/>
      <c r="U2358" s="276"/>
      <c r="V2358" s="276"/>
      <c r="W2358" s="276"/>
      <c r="X2358" s="276"/>
      <c r="Y2358" s="276"/>
      <c r="Z2358" s="276"/>
      <c r="AA2358" s="276"/>
      <c r="AB2358" s="276"/>
      <c r="AC2358" s="276"/>
    </row>
    <row r="2359">
      <c r="A2359" s="370"/>
      <c r="B2359" s="439"/>
      <c r="C2359" s="384"/>
      <c r="D2359" s="384"/>
      <c r="E2359" s="384"/>
      <c r="F2359" s="419"/>
      <c r="G2359" s="419"/>
      <c r="H2359" s="419"/>
      <c r="I2359" s="384"/>
      <c r="J2359" s="384"/>
      <c r="K2359" s="419"/>
      <c r="L2359" s="403"/>
      <c r="M2359" s="389"/>
      <c r="N2359" s="392"/>
      <c r="O2359" s="349"/>
      <c r="P2359" s="389"/>
      <c r="Q2359" s="275"/>
      <c r="R2359" s="277"/>
      <c r="S2359" s="276"/>
      <c r="T2359" s="276"/>
      <c r="U2359" s="276"/>
      <c r="V2359" s="276"/>
      <c r="W2359" s="276"/>
      <c r="X2359" s="276"/>
      <c r="Y2359" s="276"/>
      <c r="Z2359" s="276"/>
      <c r="AA2359" s="276"/>
      <c r="AB2359" s="276"/>
      <c r="AC2359" s="276"/>
    </row>
    <row r="2360">
      <c r="A2360" s="370"/>
      <c r="B2360" s="439"/>
      <c r="C2360" s="384"/>
      <c r="D2360" s="384"/>
      <c r="E2360" s="384"/>
      <c r="F2360" s="419"/>
      <c r="G2360" s="419"/>
      <c r="H2360" s="419"/>
      <c r="I2360" s="384"/>
      <c r="J2360" s="384"/>
      <c r="K2360" s="419"/>
      <c r="L2360" s="403"/>
      <c r="M2360" s="389"/>
      <c r="N2360" s="392"/>
      <c r="O2360" s="349"/>
      <c r="P2360" s="389"/>
      <c r="Q2360" s="275"/>
      <c r="R2360" s="277"/>
      <c r="S2360" s="276"/>
      <c r="T2360" s="276"/>
      <c r="U2360" s="276"/>
      <c r="V2360" s="276"/>
      <c r="W2360" s="276"/>
      <c r="X2360" s="276"/>
      <c r="Y2360" s="276"/>
      <c r="Z2360" s="276"/>
      <c r="AA2360" s="276"/>
      <c r="AB2360" s="276"/>
      <c r="AC2360" s="276"/>
    </row>
    <row r="2361">
      <c r="A2361" s="370"/>
      <c r="B2361" s="439"/>
      <c r="C2361" s="384"/>
      <c r="D2361" s="384"/>
      <c r="E2361" s="384"/>
      <c r="F2361" s="419"/>
      <c r="G2361" s="419"/>
      <c r="H2361" s="419"/>
      <c r="I2361" s="384"/>
      <c r="J2361" s="384"/>
      <c r="K2361" s="419"/>
      <c r="L2361" s="403"/>
      <c r="M2361" s="389"/>
      <c r="N2361" s="392"/>
      <c r="O2361" s="349"/>
      <c r="P2361" s="389"/>
      <c r="Q2361" s="275"/>
      <c r="R2361" s="277"/>
      <c r="S2361" s="276"/>
      <c r="T2361" s="276"/>
      <c r="U2361" s="276"/>
      <c r="V2361" s="276"/>
      <c r="W2361" s="276"/>
      <c r="X2361" s="276"/>
      <c r="Y2361" s="276"/>
      <c r="Z2361" s="276"/>
      <c r="AA2361" s="276"/>
      <c r="AB2361" s="276"/>
      <c r="AC2361" s="276"/>
    </row>
    <row r="2362">
      <c r="A2362" s="370"/>
      <c r="B2362" s="439"/>
      <c r="C2362" s="384"/>
      <c r="D2362" s="384"/>
      <c r="E2362" s="384"/>
      <c r="F2362" s="419"/>
      <c r="G2362" s="419"/>
      <c r="H2362" s="419"/>
      <c r="I2362" s="384"/>
      <c r="J2362" s="384"/>
      <c r="K2362" s="419"/>
      <c r="L2362" s="403"/>
      <c r="M2362" s="389"/>
      <c r="N2362" s="392"/>
      <c r="O2362" s="349"/>
      <c r="P2362" s="389"/>
      <c r="Q2362" s="275"/>
      <c r="R2362" s="277"/>
      <c r="S2362" s="276"/>
      <c r="T2362" s="276"/>
      <c r="U2362" s="276"/>
      <c r="V2362" s="276"/>
      <c r="W2362" s="276"/>
      <c r="X2362" s="276"/>
      <c r="Y2362" s="276"/>
      <c r="Z2362" s="276"/>
      <c r="AA2362" s="276"/>
      <c r="AB2362" s="276"/>
      <c r="AC2362" s="276"/>
    </row>
    <row r="2363">
      <c r="A2363" s="370"/>
      <c r="B2363" s="439"/>
      <c r="C2363" s="384"/>
      <c r="D2363" s="384"/>
      <c r="E2363" s="384"/>
      <c r="F2363" s="419"/>
      <c r="G2363" s="419"/>
      <c r="H2363" s="419"/>
      <c r="I2363" s="384"/>
      <c r="J2363" s="384"/>
      <c r="K2363" s="419"/>
      <c r="L2363" s="403"/>
      <c r="M2363" s="389"/>
      <c r="N2363" s="392"/>
      <c r="O2363" s="349"/>
      <c r="P2363" s="389"/>
      <c r="Q2363" s="275"/>
      <c r="R2363" s="277"/>
      <c r="S2363" s="276"/>
      <c r="T2363" s="276"/>
      <c r="U2363" s="276"/>
      <c r="V2363" s="276"/>
      <c r="W2363" s="276"/>
      <c r="X2363" s="276"/>
      <c r="Y2363" s="276"/>
      <c r="Z2363" s="276"/>
      <c r="AA2363" s="276"/>
      <c r="AB2363" s="276"/>
      <c r="AC2363" s="276"/>
    </row>
    <row r="2364">
      <c r="A2364" s="370"/>
      <c r="B2364" s="439"/>
      <c r="C2364" s="384"/>
      <c r="D2364" s="384"/>
      <c r="E2364" s="384"/>
      <c r="F2364" s="419"/>
      <c r="G2364" s="419"/>
      <c r="H2364" s="419"/>
      <c r="I2364" s="384"/>
      <c r="J2364" s="384"/>
      <c r="K2364" s="419"/>
      <c r="L2364" s="403"/>
      <c r="M2364" s="389"/>
      <c r="N2364" s="392"/>
      <c r="O2364" s="349"/>
      <c r="P2364" s="389"/>
      <c r="Q2364" s="275"/>
      <c r="R2364" s="277"/>
      <c r="S2364" s="276"/>
      <c r="T2364" s="276"/>
      <c r="U2364" s="276"/>
      <c r="V2364" s="276"/>
      <c r="W2364" s="276"/>
      <c r="X2364" s="276"/>
      <c r="Y2364" s="276"/>
      <c r="Z2364" s="276"/>
      <c r="AA2364" s="276"/>
      <c r="AB2364" s="276"/>
      <c r="AC2364" s="276"/>
    </row>
    <row r="2365">
      <c r="A2365" s="370"/>
      <c r="B2365" s="439"/>
      <c r="C2365" s="384"/>
      <c r="D2365" s="384"/>
      <c r="E2365" s="384"/>
      <c r="F2365" s="419"/>
      <c r="G2365" s="419"/>
      <c r="H2365" s="419"/>
      <c r="I2365" s="384"/>
      <c r="J2365" s="384"/>
      <c r="K2365" s="419"/>
      <c r="L2365" s="403"/>
      <c r="M2365" s="389"/>
      <c r="N2365" s="392"/>
      <c r="O2365" s="349"/>
      <c r="P2365" s="389"/>
      <c r="Q2365" s="275"/>
      <c r="R2365" s="277"/>
      <c r="S2365" s="276"/>
      <c r="T2365" s="276"/>
      <c r="U2365" s="276"/>
      <c r="V2365" s="276"/>
      <c r="W2365" s="276"/>
      <c r="X2365" s="276"/>
      <c r="Y2365" s="276"/>
      <c r="Z2365" s="276"/>
      <c r="AA2365" s="276"/>
      <c r="AB2365" s="276"/>
      <c r="AC2365" s="276"/>
    </row>
    <row r="2366">
      <c r="A2366" s="370"/>
      <c r="B2366" s="439"/>
      <c r="C2366" s="384"/>
      <c r="D2366" s="384"/>
      <c r="E2366" s="384"/>
      <c r="F2366" s="419"/>
      <c r="G2366" s="419"/>
      <c r="H2366" s="419"/>
      <c r="I2366" s="384"/>
      <c r="J2366" s="384"/>
      <c r="K2366" s="419"/>
      <c r="L2366" s="403"/>
      <c r="M2366" s="389"/>
      <c r="N2366" s="392"/>
      <c r="O2366" s="349"/>
      <c r="P2366" s="389"/>
      <c r="Q2366" s="275"/>
      <c r="R2366" s="277"/>
      <c r="S2366" s="276"/>
      <c r="T2366" s="276"/>
      <c r="U2366" s="276"/>
      <c r="V2366" s="276"/>
      <c r="W2366" s="276"/>
      <c r="X2366" s="276"/>
      <c r="Y2366" s="276"/>
      <c r="Z2366" s="276"/>
      <c r="AA2366" s="276"/>
      <c r="AB2366" s="276"/>
      <c r="AC2366" s="276"/>
    </row>
    <row r="2367">
      <c r="A2367" s="370"/>
      <c r="B2367" s="439"/>
      <c r="C2367" s="384"/>
      <c r="D2367" s="384"/>
      <c r="E2367" s="384"/>
      <c r="F2367" s="419"/>
      <c r="G2367" s="419"/>
      <c r="H2367" s="419"/>
      <c r="I2367" s="384"/>
      <c r="J2367" s="384"/>
      <c r="K2367" s="419"/>
      <c r="L2367" s="403"/>
      <c r="M2367" s="389"/>
      <c r="N2367" s="392"/>
      <c r="O2367" s="349"/>
      <c r="P2367" s="389"/>
      <c r="Q2367" s="275"/>
      <c r="R2367" s="277"/>
      <c r="S2367" s="276"/>
      <c r="T2367" s="276"/>
      <c r="U2367" s="276"/>
      <c r="V2367" s="276"/>
      <c r="W2367" s="276"/>
      <c r="X2367" s="276"/>
      <c r="Y2367" s="276"/>
      <c r="Z2367" s="276"/>
      <c r="AA2367" s="276"/>
      <c r="AB2367" s="276"/>
      <c r="AC2367" s="276"/>
    </row>
    <row r="2368">
      <c r="A2368" s="370"/>
      <c r="B2368" s="439"/>
      <c r="C2368" s="384"/>
      <c r="D2368" s="384"/>
      <c r="E2368" s="384"/>
      <c r="F2368" s="419"/>
      <c r="G2368" s="419"/>
      <c r="H2368" s="419"/>
      <c r="I2368" s="384"/>
      <c r="J2368" s="384"/>
      <c r="K2368" s="419"/>
      <c r="L2368" s="403"/>
      <c r="M2368" s="389"/>
      <c r="N2368" s="392"/>
      <c r="O2368" s="349"/>
      <c r="P2368" s="389"/>
      <c r="Q2368" s="275"/>
      <c r="R2368" s="277"/>
      <c r="S2368" s="276"/>
      <c r="T2368" s="276"/>
      <c r="U2368" s="276"/>
      <c r="V2368" s="276"/>
      <c r="W2368" s="276"/>
      <c r="X2368" s="276"/>
      <c r="Y2368" s="276"/>
      <c r="Z2368" s="276"/>
      <c r="AA2368" s="276"/>
      <c r="AB2368" s="276"/>
      <c r="AC2368" s="276"/>
    </row>
    <row r="2369">
      <c r="A2369" s="370"/>
      <c r="B2369" s="439"/>
      <c r="C2369" s="384"/>
      <c r="D2369" s="384"/>
      <c r="E2369" s="384"/>
      <c r="F2369" s="419"/>
      <c r="G2369" s="419"/>
      <c r="H2369" s="419"/>
      <c r="I2369" s="384"/>
      <c r="J2369" s="384"/>
      <c r="K2369" s="419"/>
      <c r="L2369" s="403"/>
      <c r="M2369" s="389"/>
      <c r="N2369" s="392"/>
      <c r="O2369" s="349"/>
      <c r="P2369" s="389"/>
      <c r="Q2369" s="275"/>
      <c r="R2369" s="277"/>
      <c r="S2369" s="276"/>
      <c r="T2369" s="276"/>
      <c r="U2369" s="276"/>
      <c r="V2369" s="276"/>
      <c r="W2369" s="276"/>
      <c r="X2369" s="276"/>
      <c r="Y2369" s="276"/>
      <c r="Z2369" s="276"/>
      <c r="AA2369" s="276"/>
      <c r="AB2369" s="276"/>
      <c r="AC2369" s="276"/>
    </row>
    <row r="2370">
      <c r="A2370" s="370"/>
      <c r="B2370" s="439"/>
      <c r="C2370" s="384"/>
      <c r="D2370" s="384"/>
      <c r="E2370" s="384"/>
      <c r="F2370" s="419"/>
      <c r="G2370" s="419"/>
      <c r="H2370" s="419"/>
      <c r="I2370" s="384"/>
      <c r="J2370" s="384"/>
      <c r="K2370" s="419"/>
      <c r="L2370" s="403"/>
      <c r="M2370" s="389"/>
      <c r="N2370" s="392"/>
      <c r="O2370" s="349"/>
      <c r="P2370" s="389"/>
      <c r="Q2370" s="275"/>
      <c r="R2370" s="277"/>
      <c r="S2370" s="276"/>
      <c r="T2370" s="276"/>
      <c r="U2370" s="276"/>
      <c r="V2370" s="276"/>
      <c r="W2370" s="276"/>
      <c r="X2370" s="276"/>
      <c r="Y2370" s="276"/>
      <c r="Z2370" s="276"/>
      <c r="AA2370" s="276"/>
      <c r="AB2370" s="276"/>
      <c r="AC2370" s="276"/>
    </row>
    <row r="2371">
      <c r="A2371" s="370"/>
      <c r="B2371" s="439"/>
      <c r="C2371" s="384"/>
      <c r="D2371" s="384"/>
      <c r="E2371" s="384"/>
      <c r="F2371" s="419"/>
      <c r="G2371" s="419"/>
      <c r="H2371" s="419"/>
      <c r="I2371" s="384"/>
      <c r="J2371" s="384"/>
      <c r="K2371" s="419"/>
      <c r="L2371" s="403"/>
      <c r="M2371" s="389"/>
      <c r="N2371" s="392"/>
      <c r="O2371" s="349"/>
      <c r="P2371" s="389"/>
      <c r="Q2371" s="275"/>
      <c r="R2371" s="277"/>
      <c r="S2371" s="276"/>
      <c r="T2371" s="276"/>
      <c r="U2371" s="276"/>
      <c r="V2371" s="276"/>
      <c r="W2371" s="276"/>
      <c r="X2371" s="276"/>
      <c r="Y2371" s="276"/>
      <c r="Z2371" s="276"/>
      <c r="AA2371" s="276"/>
      <c r="AB2371" s="276"/>
      <c r="AC2371" s="276"/>
    </row>
    <row r="2372">
      <c r="A2372" s="370"/>
      <c r="B2372" s="439"/>
      <c r="C2372" s="384"/>
      <c r="D2372" s="384"/>
      <c r="E2372" s="384"/>
      <c r="F2372" s="419"/>
      <c r="G2372" s="419"/>
      <c r="H2372" s="419"/>
      <c r="I2372" s="384"/>
      <c r="J2372" s="384"/>
      <c r="K2372" s="419"/>
      <c r="L2372" s="403"/>
      <c r="M2372" s="389"/>
      <c r="N2372" s="392"/>
      <c r="O2372" s="349"/>
      <c r="P2372" s="389"/>
      <c r="Q2372" s="275"/>
      <c r="R2372" s="277"/>
      <c r="S2372" s="276"/>
      <c r="T2372" s="276"/>
      <c r="U2372" s="276"/>
      <c r="V2372" s="276"/>
      <c r="W2372" s="276"/>
      <c r="X2372" s="276"/>
      <c r="Y2372" s="276"/>
      <c r="Z2372" s="276"/>
      <c r="AA2372" s="276"/>
      <c r="AB2372" s="276"/>
      <c r="AC2372" s="276"/>
    </row>
    <row r="2373">
      <c r="A2373" s="370"/>
      <c r="B2373" s="439"/>
      <c r="C2373" s="384"/>
      <c r="D2373" s="384"/>
      <c r="E2373" s="384"/>
      <c r="F2373" s="419"/>
      <c r="G2373" s="419"/>
      <c r="H2373" s="419"/>
      <c r="I2373" s="384"/>
      <c r="J2373" s="384"/>
      <c r="K2373" s="419"/>
      <c r="L2373" s="403"/>
      <c r="M2373" s="389"/>
      <c r="N2373" s="392"/>
      <c r="O2373" s="349"/>
      <c r="P2373" s="389"/>
      <c r="Q2373" s="275"/>
      <c r="R2373" s="277"/>
      <c r="S2373" s="276"/>
      <c r="T2373" s="276"/>
      <c r="U2373" s="276"/>
      <c r="V2373" s="276"/>
      <c r="W2373" s="276"/>
      <c r="X2373" s="276"/>
      <c r="Y2373" s="276"/>
      <c r="Z2373" s="276"/>
      <c r="AA2373" s="276"/>
      <c r="AB2373" s="276"/>
      <c r="AC2373" s="276"/>
    </row>
    <row r="2374">
      <c r="A2374" s="370"/>
      <c r="B2374" s="439"/>
      <c r="C2374" s="384"/>
      <c r="D2374" s="384"/>
      <c r="E2374" s="384"/>
      <c r="F2374" s="419"/>
      <c r="G2374" s="419"/>
      <c r="H2374" s="419"/>
      <c r="I2374" s="384"/>
      <c r="J2374" s="384"/>
      <c r="K2374" s="419"/>
      <c r="L2374" s="403"/>
      <c r="M2374" s="389"/>
      <c r="N2374" s="392"/>
      <c r="O2374" s="349"/>
      <c r="P2374" s="389"/>
      <c r="Q2374" s="275"/>
      <c r="R2374" s="277"/>
      <c r="S2374" s="276"/>
      <c r="T2374" s="276"/>
      <c r="U2374" s="276"/>
      <c r="V2374" s="276"/>
      <c r="W2374" s="276"/>
      <c r="X2374" s="276"/>
      <c r="Y2374" s="276"/>
      <c r="Z2374" s="276"/>
      <c r="AA2374" s="276"/>
      <c r="AB2374" s="276"/>
      <c r="AC2374" s="276"/>
    </row>
    <row r="2375">
      <c r="A2375" s="370"/>
      <c r="B2375" s="439"/>
      <c r="C2375" s="384"/>
      <c r="D2375" s="384"/>
      <c r="E2375" s="384"/>
      <c r="F2375" s="419"/>
      <c r="G2375" s="419"/>
      <c r="H2375" s="419"/>
      <c r="I2375" s="384"/>
      <c r="J2375" s="384"/>
      <c r="K2375" s="419"/>
      <c r="L2375" s="403"/>
      <c r="M2375" s="389"/>
      <c r="N2375" s="392"/>
      <c r="O2375" s="349"/>
      <c r="P2375" s="389"/>
      <c r="Q2375" s="275"/>
      <c r="R2375" s="277"/>
      <c r="S2375" s="276"/>
      <c r="T2375" s="276"/>
      <c r="U2375" s="276"/>
      <c r="V2375" s="276"/>
      <c r="W2375" s="276"/>
      <c r="X2375" s="276"/>
      <c r="Y2375" s="276"/>
      <c r="Z2375" s="276"/>
      <c r="AA2375" s="276"/>
      <c r="AB2375" s="276"/>
      <c r="AC2375" s="276"/>
    </row>
    <row r="2376">
      <c r="A2376" s="370"/>
      <c r="B2376" s="439"/>
      <c r="C2376" s="384"/>
      <c r="D2376" s="384"/>
      <c r="E2376" s="384"/>
      <c r="F2376" s="419"/>
      <c r="G2376" s="419"/>
      <c r="H2376" s="419"/>
      <c r="I2376" s="384"/>
      <c r="J2376" s="384"/>
      <c r="K2376" s="419"/>
      <c r="L2376" s="403"/>
      <c r="M2376" s="389"/>
      <c r="N2376" s="392"/>
      <c r="O2376" s="349"/>
      <c r="P2376" s="389"/>
      <c r="Q2376" s="275"/>
      <c r="R2376" s="277"/>
      <c r="S2376" s="276"/>
      <c r="T2376" s="276"/>
      <c r="U2376" s="276"/>
      <c r="V2376" s="276"/>
      <c r="W2376" s="276"/>
      <c r="X2376" s="276"/>
      <c r="Y2376" s="276"/>
      <c r="Z2376" s="276"/>
      <c r="AA2376" s="276"/>
      <c r="AB2376" s="276"/>
      <c r="AC2376" s="276"/>
    </row>
    <row r="2377">
      <c r="A2377" s="370"/>
      <c r="B2377" s="439"/>
      <c r="C2377" s="384"/>
      <c r="D2377" s="384"/>
      <c r="E2377" s="384"/>
      <c r="F2377" s="419"/>
      <c r="G2377" s="419"/>
      <c r="H2377" s="419"/>
      <c r="I2377" s="384"/>
      <c r="J2377" s="384"/>
      <c r="K2377" s="419"/>
      <c r="L2377" s="403"/>
      <c r="M2377" s="389"/>
      <c r="N2377" s="392"/>
      <c r="O2377" s="349"/>
      <c r="P2377" s="389"/>
      <c r="Q2377" s="275"/>
      <c r="R2377" s="277"/>
      <c r="S2377" s="276"/>
      <c r="T2377" s="276"/>
      <c r="U2377" s="276"/>
      <c r="V2377" s="276"/>
      <c r="W2377" s="276"/>
      <c r="X2377" s="276"/>
      <c r="Y2377" s="276"/>
      <c r="Z2377" s="276"/>
      <c r="AA2377" s="276"/>
      <c r="AB2377" s="276"/>
      <c r="AC2377" s="276"/>
    </row>
    <row r="2378">
      <c r="A2378" s="370"/>
      <c r="B2378" s="439"/>
      <c r="C2378" s="384"/>
      <c r="D2378" s="384"/>
      <c r="E2378" s="384"/>
      <c r="F2378" s="419"/>
      <c r="G2378" s="419"/>
      <c r="H2378" s="419"/>
      <c r="I2378" s="384"/>
      <c r="J2378" s="384"/>
      <c r="K2378" s="419"/>
      <c r="L2378" s="403"/>
      <c r="M2378" s="389"/>
      <c r="N2378" s="392"/>
      <c r="O2378" s="349"/>
      <c r="P2378" s="389"/>
      <c r="Q2378" s="275"/>
      <c r="R2378" s="277"/>
      <c r="S2378" s="276"/>
      <c r="T2378" s="276"/>
      <c r="U2378" s="276"/>
      <c r="V2378" s="276"/>
      <c r="W2378" s="276"/>
      <c r="X2378" s="276"/>
      <c r="Y2378" s="276"/>
      <c r="Z2378" s="276"/>
      <c r="AA2378" s="276"/>
      <c r="AB2378" s="276"/>
      <c r="AC2378" s="276"/>
    </row>
    <row r="2379">
      <c r="A2379" s="370"/>
      <c r="B2379" s="439"/>
      <c r="C2379" s="384"/>
      <c r="D2379" s="384"/>
      <c r="E2379" s="384"/>
      <c r="F2379" s="419"/>
      <c r="G2379" s="419"/>
      <c r="H2379" s="419"/>
      <c r="I2379" s="384"/>
      <c r="J2379" s="384"/>
      <c r="K2379" s="419"/>
      <c r="L2379" s="403"/>
      <c r="M2379" s="389"/>
      <c r="N2379" s="392"/>
      <c r="O2379" s="349"/>
      <c r="P2379" s="389"/>
      <c r="Q2379" s="275"/>
      <c r="R2379" s="277"/>
      <c r="S2379" s="276"/>
      <c r="T2379" s="276"/>
      <c r="U2379" s="276"/>
      <c r="V2379" s="276"/>
      <c r="W2379" s="276"/>
      <c r="X2379" s="276"/>
      <c r="Y2379" s="276"/>
      <c r="Z2379" s="276"/>
      <c r="AA2379" s="276"/>
      <c r="AB2379" s="276"/>
      <c r="AC2379" s="276"/>
    </row>
    <row r="2380">
      <c r="A2380" s="370"/>
      <c r="B2380" s="439"/>
      <c r="C2380" s="384"/>
      <c r="D2380" s="384"/>
      <c r="E2380" s="384"/>
      <c r="F2380" s="419"/>
      <c r="G2380" s="419"/>
      <c r="H2380" s="419"/>
      <c r="I2380" s="384"/>
      <c r="J2380" s="384"/>
      <c r="K2380" s="419"/>
      <c r="L2380" s="403"/>
      <c r="M2380" s="389"/>
      <c r="N2380" s="392"/>
      <c r="O2380" s="349"/>
      <c r="P2380" s="389"/>
      <c r="Q2380" s="275"/>
      <c r="R2380" s="277"/>
      <c r="S2380" s="276"/>
      <c r="T2380" s="276"/>
      <c r="U2380" s="276"/>
      <c r="V2380" s="276"/>
      <c r="W2380" s="276"/>
      <c r="X2380" s="276"/>
      <c r="Y2380" s="276"/>
      <c r="Z2380" s="276"/>
      <c r="AA2380" s="276"/>
      <c r="AB2380" s="276"/>
      <c r="AC2380" s="276"/>
    </row>
    <row r="2381">
      <c r="A2381" s="370"/>
      <c r="B2381" s="439"/>
      <c r="C2381" s="384"/>
      <c r="D2381" s="384"/>
      <c r="E2381" s="384"/>
      <c r="F2381" s="419"/>
      <c r="G2381" s="419"/>
      <c r="H2381" s="419"/>
      <c r="I2381" s="384"/>
      <c r="J2381" s="384"/>
      <c r="K2381" s="419"/>
      <c r="L2381" s="403"/>
      <c r="M2381" s="389"/>
      <c r="N2381" s="392"/>
      <c r="O2381" s="349"/>
      <c r="P2381" s="389"/>
      <c r="Q2381" s="275"/>
      <c r="R2381" s="277"/>
      <c r="S2381" s="276"/>
      <c r="T2381" s="276"/>
      <c r="U2381" s="276"/>
      <c r="V2381" s="276"/>
      <c r="W2381" s="276"/>
      <c r="X2381" s="276"/>
      <c r="Y2381" s="276"/>
      <c r="Z2381" s="276"/>
      <c r="AA2381" s="276"/>
      <c r="AB2381" s="276"/>
      <c r="AC2381" s="276"/>
    </row>
    <row r="2382">
      <c r="A2382" s="370"/>
      <c r="B2382" s="439"/>
      <c r="C2382" s="384"/>
      <c r="D2382" s="384"/>
      <c r="E2382" s="384"/>
      <c r="F2382" s="419"/>
      <c r="G2382" s="419"/>
      <c r="H2382" s="419"/>
      <c r="I2382" s="384"/>
      <c r="J2382" s="384"/>
      <c r="K2382" s="419"/>
      <c r="L2382" s="403"/>
      <c r="M2382" s="389"/>
      <c r="N2382" s="392"/>
      <c r="O2382" s="349"/>
      <c r="P2382" s="389"/>
      <c r="Q2382" s="275"/>
      <c r="R2382" s="277"/>
      <c r="S2382" s="276"/>
      <c r="T2382" s="276"/>
      <c r="U2382" s="276"/>
      <c r="V2382" s="276"/>
      <c r="W2382" s="276"/>
      <c r="X2382" s="276"/>
      <c r="Y2382" s="276"/>
      <c r="Z2382" s="276"/>
      <c r="AA2382" s="276"/>
      <c r="AB2382" s="276"/>
      <c r="AC2382" s="276"/>
    </row>
    <row r="2383">
      <c r="A2383" s="370"/>
      <c r="B2383" s="439"/>
      <c r="C2383" s="384"/>
      <c r="D2383" s="384"/>
      <c r="E2383" s="384"/>
      <c r="F2383" s="419"/>
      <c r="G2383" s="419"/>
      <c r="H2383" s="419"/>
      <c r="I2383" s="384"/>
      <c r="J2383" s="384"/>
      <c r="K2383" s="419"/>
      <c r="L2383" s="403"/>
      <c r="M2383" s="389"/>
      <c r="N2383" s="392"/>
      <c r="O2383" s="349"/>
      <c r="P2383" s="389"/>
      <c r="Q2383" s="275"/>
      <c r="R2383" s="277"/>
      <c r="S2383" s="276"/>
      <c r="T2383" s="276"/>
      <c r="U2383" s="276"/>
      <c r="V2383" s="276"/>
      <c r="W2383" s="276"/>
      <c r="X2383" s="276"/>
      <c r="Y2383" s="276"/>
      <c r="Z2383" s="276"/>
      <c r="AA2383" s="276"/>
      <c r="AB2383" s="276"/>
      <c r="AC2383" s="276"/>
    </row>
    <row r="2384">
      <c r="A2384" s="370"/>
      <c r="B2384" s="439"/>
      <c r="C2384" s="384"/>
      <c r="D2384" s="384"/>
      <c r="E2384" s="384"/>
      <c r="F2384" s="419"/>
      <c r="G2384" s="419"/>
      <c r="H2384" s="419"/>
      <c r="I2384" s="384"/>
      <c r="J2384" s="384"/>
      <c r="K2384" s="419"/>
      <c r="L2384" s="403"/>
      <c r="M2384" s="389"/>
      <c r="N2384" s="392"/>
      <c r="O2384" s="349"/>
      <c r="P2384" s="389"/>
      <c r="Q2384" s="275"/>
      <c r="R2384" s="277"/>
      <c r="S2384" s="276"/>
      <c r="T2384" s="276"/>
      <c r="U2384" s="276"/>
      <c r="V2384" s="276"/>
      <c r="W2384" s="276"/>
      <c r="X2384" s="276"/>
      <c r="Y2384" s="276"/>
      <c r="Z2384" s="276"/>
      <c r="AA2384" s="276"/>
      <c r="AB2384" s="276"/>
      <c r="AC2384" s="276"/>
    </row>
    <row r="2385">
      <c r="A2385" s="370"/>
      <c r="B2385" s="439"/>
      <c r="C2385" s="384"/>
      <c r="D2385" s="384"/>
      <c r="E2385" s="384"/>
      <c r="F2385" s="419"/>
      <c r="G2385" s="419"/>
      <c r="H2385" s="419"/>
      <c r="I2385" s="384"/>
      <c r="J2385" s="384"/>
      <c r="K2385" s="419"/>
      <c r="L2385" s="403"/>
      <c r="M2385" s="389"/>
      <c r="N2385" s="392"/>
      <c r="O2385" s="349"/>
      <c r="P2385" s="389"/>
      <c r="Q2385" s="275"/>
      <c r="R2385" s="277"/>
      <c r="S2385" s="276"/>
      <c r="T2385" s="276"/>
      <c r="U2385" s="276"/>
      <c r="V2385" s="276"/>
      <c r="W2385" s="276"/>
      <c r="X2385" s="276"/>
      <c r="Y2385" s="276"/>
      <c r="Z2385" s="276"/>
      <c r="AA2385" s="276"/>
      <c r="AB2385" s="276"/>
      <c r="AC2385" s="276"/>
    </row>
    <row r="2386">
      <c r="A2386" s="370"/>
      <c r="B2386" s="439"/>
      <c r="C2386" s="384"/>
      <c r="D2386" s="384"/>
      <c r="E2386" s="384"/>
      <c r="F2386" s="419"/>
      <c r="G2386" s="419"/>
      <c r="H2386" s="419"/>
      <c r="I2386" s="384"/>
      <c r="J2386" s="384"/>
      <c r="K2386" s="419"/>
      <c r="L2386" s="403"/>
      <c r="M2386" s="389"/>
      <c r="N2386" s="392"/>
      <c r="O2386" s="349"/>
      <c r="P2386" s="389"/>
      <c r="Q2386" s="275"/>
      <c r="R2386" s="277"/>
      <c r="S2386" s="276"/>
      <c r="T2386" s="276"/>
      <c r="U2386" s="276"/>
      <c r="V2386" s="276"/>
      <c r="W2386" s="276"/>
      <c r="X2386" s="276"/>
      <c r="Y2386" s="276"/>
      <c r="Z2386" s="276"/>
      <c r="AA2386" s="276"/>
      <c r="AB2386" s="276"/>
      <c r="AC2386" s="276"/>
    </row>
    <row r="2387">
      <c r="A2387" s="370"/>
      <c r="B2387" s="439"/>
      <c r="C2387" s="384"/>
      <c r="D2387" s="384"/>
      <c r="E2387" s="384"/>
      <c r="F2387" s="419"/>
      <c r="G2387" s="419"/>
      <c r="H2387" s="419"/>
      <c r="I2387" s="384"/>
      <c r="J2387" s="384"/>
      <c r="K2387" s="419"/>
      <c r="L2387" s="403"/>
      <c r="M2387" s="389"/>
      <c r="N2387" s="392"/>
      <c r="O2387" s="349"/>
      <c r="P2387" s="389"/>
      <c r="Q2387" s="275"/>
      <c r="R2387" s="277"/>
      <c r="S2387" s="276"/>
      <c r="T2387" s="276"/>
      <c r="U2387" s="276"/>
      <c r="V2387" s="276"/>
      <c r="W2387" s="276"/>
      <c r="X2387" s="276"/>
      <c r="Y2387" s="276"/>
      <c r="Z2387" s="276"/>
      <c r="AA2387" s="276"/>
      <c r="AB2387" s="276"/>
      <c r="AC2387" s="276"/>
    </row>
    <row r="2388">
      <c r="A2388" s="370"/>
      <c r="B2388" s="439"/>
      <c r="C2388" s="384"/>
      <c r="D2388" s="384"/>
      <c r="E2388" s="384"/>
      <c r="F2388" s="419"/>
      <c r="G2388" s="419"/>
      <c r="H2388" s="419"/>
      <c r="I2388" s="384"/>
      <c r="J2388" s="384"/>
      <c r="K2388" s="419"/>
      <c r="L2388" s="403"/>
      <c r="M2388" s="389"/>
      <c r="N2388" s="392"/>
      <c r="O2388" s="349"/>
      <c r="P2388" s="389"/>
      <c r="Q2388" s="275"/>
      <c r="R2388" s="277"/>
      <c r="S2388" s="276"/>
      <c r="T2388" s="276"/>
      <c r="U2388" s="276"/>
      <c r="V2388" s="276"/>
      <c r="W2388" s="276"/>
      <c r="X2388" s="276"/>
      <c r="Y2388" s="276"/>
      <c r="Z2388" s="276"/>
      <c r="AA2388" s="276"/>
      <c r="AB2388" s="276"/>
      <c r="AC2388" s="276"/>
    </row>
    <row r="2389">
      <c r="A2389" s="370"/>
      <c r="B2389" s="439"/>
      <c r="C2389" s="384"/>
      <c r="D2389" s="384"/>
      <c r="E2389" s="384"/>
      <c r="F2389" s="419"/>
      <c r="G2389" s="419"/>
      <c r="H2389" s="419"/>
      <c r="I2389" s="384"/>
      <c r="J2389" s="384"/>
      <c r="K2389" s="419"/>
      <c r="L2389" s="403"/>
      <c r="M2389" s="389"/>
      <c r="N2389" s="392"/>
      <c r="O2389" s="349"/>
      <c r="P2389" s="389"/>
      <c r="Q2389" s="275"/>
      <c r="R2389" s="277"/>
      <c r="S2389" s="276"/>
      <c r="T2389" s="276"/>
      <c r="U2389" s="276"/>
      <c r="V2389" s="276"/>
      <c r="W2389" s="276"/>
      <c r="X2389" s="276"/>
      <c r="Y2389" s="276"/>
      <c r="Z2389" s="276"/>
      <c r="AA2389" s="276"/>
      <c r="AB2389" s="276"/>
      <c r="AC2389" s="276"/>
    </row>
    <row r="2390">
      <c r="A2390" s="370"/>
      <c r="B2390" s="439"/>
      <c r="C2390" s="384"/>
      <c r="D2390" s="384"/>
      <c r="E2390" s="384"/>
      <c r="F2390" s="419"/>
      <c r="G2390" s="419"/>
      <c r="H2390" s="419"/>
      <c r="I2390" s="384"/>
      <c r="J2390" s="384"/>
      <c r="K2390" s="419"/>
      <c r="L2390" s="403"/>
      <c r="M2390" s="389"/>
      <c r="N2390" s="392"/>
      <c r="O2390" s="349"/>
      <c r="P2390" s="389"/>
      <c r="Q2390" s="275"/>
      <c r="R2390" s="277"/>
      <c r="S2390" s="276"/>
      <c r="T2390" s="276"/>
      <c r="U2390" s="276"/>
      <c r="V2390" s="276"/>
      <c r="W2390" s="276"/>
      <c r="X2390" s="276"/>
      <c r="Y2390" s="276"/>
      <c r="Z2390" s="276"/>
      <c r="AA2390" s="276"/>
      <c r="AB2390" s="276"/>
      <c r="AC2390" s="276"/>
    </row>
    <row r="2391">
      <c r="A2391" s="370"/>
      <c r="B2391" s="439"/>
      <c r="C2391" s="384"/>
      <c r="D2391" s="384"/>
      <c r="E2391" s="384"/>
      <c r="F2391" s="419"/>
      <c r="G2391" s="419"/>
      <c r="H2391" s="419"/>
      <c r="I2391" s="384"/>
      <c r="J2391" s="384"/>
      <c r="K2391" s="419"/>
      <c r="L2391" s="403"/>
      <c r="M2391" s="389"/>
      <c r="N2391" s="392"/>
      <c r="O2391" s="349"/>
      <c r="P2391" s="389"/>
      <c r="Q2391" s="275"/>
      <c r="R2391" s="277"/>
      <c r="S2391" s="276"/>
      <c r="T2391" s="276"/>
      <c r="U2391" s="276"/>
      <c r="V2391" s="276"/>
      <c r="W2391" s="276"/>
      <c r="X2391" s="276"/>
      <c r="Y2391" s="276"/>
      <c r="Z2391" s="276"/>
      <c r="AA2391" s="276"/>
      <c r="AB2391" s="276"/>
      <c r="AC2391" s="276"/>
    </row>
    <row r="2392">
      <c r="A2392" s="370"/>
      <c r="B2392" s="439"/>
      <c r="C2392" s="384"/>
      <c r="D2392" s="384"/>
      <c r="E2392" s="384"/>
      <c r="F2392" s="419"/>
      <c r="G2392" s="419"/>
      <c r="H2392" s="419"/>
      <c r="I2392" s="384"/>
      <c r="J2392" s="384"/>
      <c r="K2392" s="419"/>
      <c r="L2392" s="403"/>
      <c r="M2392" s="389"/>
      <c r="N2392" s="392"/>
      <c r="O2392" s="349"/>
      <c r="P2392" s="389"/>
      <c r="Q2392" s="275"/>
      <c r="R2392" s="277"/>
      <c r="S2392" s="276"/>
      <c r="T2392" s="276"/>
      <c r="U2392" s="276"/>
      <c r="V2392" s="276"/>
      <c r="W2392" s="276"/>
      <c r="X2392" s="276"/>
      <c r="Y2392" s="276"/>
      <c r="Z2392" s="276"/>
      <c r="AA2392" s="276"/>
      <c r="AB2392" s="276"/>
      <c r="AC2392" s="276"/>
    </row>
    <row r="2393">
      <c r="A2393" s="370"/>
      <c r="B2393" s="439"/>
      <c r="C2393" s="384"/>
      <c r="D2393" s="384"/>
      <c r="E2393" s="384"/>
      <c r="F2393" s="419"/>
      <c r="G2393" s="419"/>
      <c r="H2393" s="419"/>
      <c r="I2393" s="384"/>
      <c r="J2393" s="384"/>
      <c r="K2393" s="419"/>
      <c r="L2393" s="403"/>
      <c r="M2393" s="389"/>
      <c r="N2393" s="392"/>
      <c r="O2393" s="349"/>
      <c r="P2393" s="389"/>
      <c r="Q2393" s="275"/>
      <c r="R2393" s="277"/>
      <c r="S2393" s="276"/>
      <c r="T2393" s="276"/>
      <c r="U2393" s="276"/>
      <c r="V2393" s="276"/>
      <c r="W2393" s="276"/>
      <c r="X2393" s="276"/>
      <c r="Y2393" s="276"/>
      <c r="Z2393" s="276"/>
      <c r="AA2393" s="276"/>
      <c r="AB2393" s="276"/>
      <c r="AC2393" s="276"/>
    </row>
    <row r="2394">
      <c r="A2394" s="370"/>
      <c r="B2394" s="439"/>
      <c r="C2394" s="384"/>
      <c r="D2394" s="384"/>
      <c r="E2394" s="384"/>
      <c r="F2394" s="419"/>
      <c r="G2394" s="419"/>
      <c r="H2394" s="419"/>
      <c r="I2394" s="384"/>
      <c r="J2394" s="384"/>
      <c r="K2394" s="419"/>
      <c r="L2394" s="403"/>
      <c r="M2394" s="389"/>
      <c r="N2394" s="392"/>
      <c r="O2394" s="349"/>
      <c r="P2394" s="389"/>
      <c r="Q2394" s="275"/>
      <c r="R2394" s="277"/>
      <c r="S2394" s="276"/>
      <c r="T2394" s="276"/>
      <c r="U2394" s="276"/>
      <c r="V2394" s="276"/>
      <c r="W2394" s="276"/>
      <c r="X2394" s="276"/>
      <c r="Y2394" s="276"/>
      <c r="Z2394" s="276"/>
      <c r="AA2394" s="276"/>
      <c r="AB2394" s="276"/>
      <c r="AC2394" s="276"/>
    </row>
    <row r="2395">
      <c r="A2395" s="370"/>
      <c r="B2395" s="439"/>
      <c r="C2395" s="384"/>
      <c r="D2395" s="384"/>
      <c r="E2395" s="384"/>
      <c r="F2395" s="419"/>
      <c r="G2395" s="419"/>
      <c r="H2395" s="419"/>
      <c r="I2395" s="384"/>
      <c r="J2395" s="384"/>
      <c r="K2395" s="419"/>
      <c r="L2395" s="403"/>
      <c r="M2395" s="389"/>
      <c r="N2395" s="392"/>
      <c r="O2395" s="349"/>
      <c r="P2395" s="389"/>
      <c r="Q2395" s="275"/>
      <c r="R2395" s="277"/>
      <c r="S2395" s="276"/>
      <c r="T2395" s="276"/>
      <c r="U2395" s="276"/>
      <c r="V2395" s="276"/>
      <c r="W2395" s="276"/>
      <c r="X2395" s="276"/>
      <c r="Y2395" s="276"/>
      <c r="Z2395" s="276"/>
      <c r="AA2395" s="276"/>
      <c r="AB2395" s="276"/>
      <c r="AC2395" s="276"/>
    </row>
    <row r="2396">
      <c r="A2396" s="370"/>
      <c r="B2396" s="439"/>
      <c r="C2396" s="384"/>
      <c r="D2396" s="384"/>
      <c r="E2396" s="384"/>
      <c r="F2396" s="419"/>
      <c r="G2396" s="419"/>
      <c r="H2396" s="419"/>
      <c r="I2396" s="384"/>
      <c r="J2396" s="384"/>
      <c r="K2396" s="419"/>
      <c r="L2396" s="403"/>
      <c r="M2396" s="389"/>
      <c r="N2396" s="392"/>
      <c r="O2396" s="349"/>
      <c r="P2396" s="389"/>
      <c r="Q2396" s="275"/>
      <c r="R2396" s="277"/>
      <c r="S2396" s="276"/>
      <c r="T2396" s="276"/>
      <c r="U2396" s="276"/>
      <c r="V2396" s="276"/>
      <c r="W2396" s="276"/>
      <c r="X2396" s="276"/>
      <c r="Y2396" s="276"/>
      <c r="Z2396" s="276"/>
      <c r="AA2396" s="276"/>
      <c r="AB2396" s="276"/>
      <c r="AC2396" s="276"/>
    </row>
    <row r="2397">
      <c r="A2397" s="370"/>
      <c r="B2397" s="439"/>
      <c r="C2397" s="384"/>
      <c r="D2397" s="384"/>
      <c r="E2397" s="384"/>
      <c r="F2397" s="419"/>
      <c r="G2397" s="419"/>
      <c r="H2397" s="419"/>
      <c r="I2397" s="384"/>
      <c r="J2397" s="384"/>
      <c r="K2397" s="419"/>
      <c r="L2397" s="403"/>
      <c r="M2397" s="389"/>
      <c r="N2397" s="392"/>
      <c r="O2397" s="349"/>
      <c r="P2397" s="389"/>
      <c r="Q2397" s="275"/>
      <c r="R2397" s="277"/>
      <c r="S2397" s="276"/>
      <c r="T2397" s="276"/>
      <c r="U2397" s="276"/>
      <c r="V2397" s="276"/>
      <c r="W2397" s="276"/>
      <c r="X2397" s="276"/>
      <c r="Y2397" s="276"/>
      <c r="Z2397" s="276"/>
      <c r="AA2397" s="276"/>
      <c r="AB2397" s="276"/>
      <c r="AC2397" s="276"/>
    </row>
    <row r="2398">
      <c r="A2398" s="370"/>
      <c r="B2398" s="439"/>
      <c r="C2398" s="384"/>
      <c r="D2398" s="384"/>
      <c r="E2398" s="384"/>
      <c r="F2398" s="419"/>
      <c r="G2398" s="419"/>
      <c r="H2398" s="419"/>
      <c r="I2398" s="384"/>
      <c r="J2398" s="384"/>
      <c r="K2398" s="419"/>
      <c r="L2398" s="403"/>
      <c r="M2398" s="389"/>
      <c r="N2398" s="392"/>
      <c r="O2398" s="349"/>
      <c r="P2398" s="389"/>
      <c r="Q2398" s="275"/>
      <c r="R2398" s="277"/>
      <c r="S2398" s="276"/>
      <c r="T2398" s="276"/>
      <c r="U2398" s="276"/>
      <c r="V2398" s="276"/>
      <c r="W2398" s="276"/>
      <c r="X2398" s="276"/>
      <c r="Y2398" s="276"/>
      <c r="Z2398" s="276"/>
      <c r="AA2398" s="276"/>
      <c r="AB2398" s="276"/>
      <c r="AC2398" s="276"/>
    </row>
    <row r="2399">
      <c r="A2399" s="370"/>
      <c r="B2399" s="439"/>
      <c r="C2399" s="384"/>
      <c r="D2399" s="384"/>
      <c r="E2399" s="384"/>
      <c r="F2399" s="419"/>
      <c r="G2399" s="419"/>
      <c r="H2399" s="419"/>
      <c r="I2399" s="384"/>
      <c r="J2399" s="384"/>
      <c r="K2399" s="419"/>
      <c r="L2399" s="403"/>
      <c r="M2399" s="389"/>
      <c r="N2399" s="392"/>
      <c r="O2399" s="349"/>
      <c r="P2399" s="389"/>
      <c r="Q2399" s="275"/>
      <c r="R2399" s="277"/>
      <c r="S2399" s="276"/>
      <c r="T2399" s="276"/>
      <c r="U2399" s="276"/>
      <c r="V2399" s="276"/>
      <c r="W2399" s="276"/>
      <c r="X2399" s="276"/>
      <c r="Y2399" s="276"/>
      <c r="Z2399" s="276"/>
      <c r="AA2399" s="276"/>
      <c r="AB2399" s="276"/>
      <c r="AC2399" s="276"/>
    </row>
    <row r="2400">
      <c r="A2400" s="370"/>
      <c r="B2400" s="439"/>
      <c r="C2400" s="384"/>
      <c r="D2400" s="384"/>
      <c r="E2400" s="384"/>
      <c r="F2400" s="419"/>
      <c r="G2400" s="419"/>
      <c r="H2400" s="419"/>
      <c r="I2400" s="384"/>
      <c r="J2400" s="384"/>
      <c r="K2400" s="419"/>
      <c r="L2400" s="403"/>
      <c r="M2400" s="389"/>
      <c r="N2400" s="392"/>
      <c r="O2400" s="349"/>
      <c r="P2400" s="389"/>
      <c r="Q2400" s="275"/>
      <c r="R2400" s="277"/>
      <c r="S2400" s="276"/>
      <c r="T2400" s="276"/>
      <c r="U2400" s="276"/>
      <c r="V2400" s="276"/>
      <c r="W2400" s="276"/>
      <c r="X2400" s="276"/>
      <c r="Y2400" s="276"/>
      <c r="Z2400" s="276"/>
      <c r="AA2400" s="276"/>
      <c r="AB2400" s="276"/>
      <c r="AC2400" s="276"/>
    </row>
    <row r="2401">
      <c r="A2401" s="370"/>
      <c r="B2401" s="439"/>
      <c r="C2401" s="384"/>
      <c r="D2401" s="384"/>
      <c r="E2401" s="384"/>
      <c r="F2401" s="419"/>
      <c r="G2401" s="419"/>
      <c r="H2401" s="419"/>
      <c r="I2401" s="384"/>
      <c r="J2401" s="384"/>
      <c r="K2401" s="419"/>
      <c r="L2401" s="403"/>
      <c r="M2401" s="389"/>
      <c r="N2401" s="392"/>
      <c r="O2401" s="349"/>
      <c r="P2401" s="389"/>
      <c r="Q2401" s="275"/>
      <c r="R2401" s="277"/>
      <c r="S2401" s="276"/>
      <c r="T2401" s="276"/>
      <c r="U2401" s="276"/>
      <c r="V2401" s="276"/>
      <c r="W2401" s="276"/>
      <c r="X2401" s="276"/>
      <c r="Y2401" s="276"/>
      <c r="Z2401" s="276"/>
      <c r="AA2401" s="276"/>
      <c r="AB2401" s="276"/>
      <c r="AC2401" s="276"/>
    </row>
    <row r="2402">
      <c r="A2402" s="370"/>
      <c r="B2402" s="439"/>
      <c r="C2402" s="384"/>
      <c r="D2402" s="384"/>
      <c r="E2402" s="384"/>
      <c r="F2402" s="419"/>
      <c r="G2402" s="419"/>
      <c r="H2402" s="419"/>
      <c r="I2402" s="384"/>
      <c r="J2402" s="384"/>
      <c r="K2402" s="419"/>
      <c r="L2402" s="403"/>
      <c r="M2402" s="389"/>
      <c r="N2402" s="392"/>
      <c r="O2402" s="349"/>
      <c r="P2402" s="389"/>
      <c r="Q2402" s="275"/>
      <c r="R2402" s="277"/>
      <c r="S2402" s="276"/>
      <c r="T2402" s="276"/>
      <c r="U2402" s="276"/>
      <c r="V2402" s="276"/>
      <c r="W2402" s="276"/>
      <c r="X2402" s="276"/>
      <c r="Y2402" s="276"/>
      <c r="Z2402" s="276"/>
      <c r="AA2402" s="276"/>
      <c r="AB2402" s="276"/>
      <c r="AC2402" s="276"/>
    </row>
    <row r="2403">
      <c r="A2403" s="370"/>
      <c r="B2403" s="439"/>
      <c r="C2403" s="384"/>
      <c r="D2403" s="384"/>
      <c r="E2403" s="384"/>
      <c r="F2403" s="419"/>
      <c r="G2403" s="419"/>
      <c r="H2403" s="419"/>
      <c r="I2403" s="384"/>
      <c r="J2403" s="384"/>
      <c r="K2403" s="419"/>
      <c r="L2403" s="403"/>
      <c r="M2403" s="389"/>
      <c r="N2403" s="392"/>
      <c r="O2403" s="349"/>
      <c r="P2403" s="389"/>
      <c r="Q2403" s="275"/>
      <c r="R2403" s="277"/>
      <c r="S2403" s="276"/>
      <c r="T2403" s="276"/>
      <c r="U2403" s="276"/>
      <c r="V2403" s="276"/>
      <c r="W2403" s="276"/>
      <c r="X2403" s="276"/>
      <c r="Y2403" s="276"/>
      <c r="Z2403" s="276"/>
      <c r="AA2403" s="276"/>
      <c r="AB2403" s="276"/>
      <c r="AC2403" s="276"/>
    </row>
    <row r="2404">
      <c r="A2404" s="370"/>
      <c r="B2404" s="439"/>
      <c r="C2404" s="384"/>
      <c r="D2404" s="384"/>
      <c r="E2404" s="384"/>
      <c r="F2404" s="419"/>
      <c r="G2404" s="419"/>
      <c r="H2404" s="419"/>
      <c r="I2404" s="384"/>
      <c r="J2404" s="384"/>
      <c r="K2404" s="419"/>
      <c r="L2404" s="403"/>
      <c r="M2404" s="389"/>
      <c r="N2404" s="392"/>
      <c r="O2404" s="349"/>
      <c r="P2404" s="389"/>
      <c r="Q2404" s="275"/>
      <c r="R2404" s="277"/>
      <c r="S2404" s="276"/>
      <c r="T2404" s="276"/>
      <c r="U2404" s="276"/>
      <c r="V2404" s="276"/>
      <c r="W2404" s="276"/>
      <c r="X2404" s="276"/>
      <c r="Y2404" s="276"/>
      <c r="Z2404" s="276"/>
      <c r="AA2404" s="276"/>
      <c r="AB2404" s="276"/>
      <c r="AC2404" s="276"/>
    </row>
    <row r="2405">
      <c r="A2405" s="370"/>
      <c r="B2405" s="439"/>
      <c r="C2405" s="384"/>
      <c r="D2405" s="384"/>
      <c r="E2405" s="384"/>
      <c r="F2405" s="419"/>
      <c r="G2405" s="419"/>
      <c r="H2405" s="419"/>
      <c r="I2405" s="384"/>
      <c r="J2405" s="384"/>
      <c r="K2405" s="419"/>
      <c r="L2405" s="403"/>
      <c r="M2405" s="389"/>
      <c r="N2405" s="392"/>
      <c r="O2405" s="349"/>
      <c r="P2405" s="389"/>
      <c r="Q2405" s="275"/>
      <c r="R2405" s="277"/>
      <c r="S2405" s="276"/>
      <c r="T2405" s="276"/>
      <c r="U2405" s="276"/>
      <c r="V2405" s="276"/>
      <c r="W2405" s="276"/>
      <c r="X2405" s="276"/>
      <c r="Y2405" s="276"/>
      <c r="Z2405" s="276"/>
      <c r="AA2405" s="276"/>
      <c r="AB2405" s="276"/>
      <c r="AC2405" s="276"/>
    </row>
    <row r="2406">
      <c r="A2406" s="370"/>
      <c r="B2406" s="439"/>
      <c r="C2406" s="384"/>
      <c r="D2406" s="384"/>
      <c r="E2406" s="384"/>
      <c r="F2406" s="419"/>
      <c r="G2406" s="419"/>
      <c r="H2406" s="419"/>
      <c r="I2406" s="384"/>
      <c r="J2406" s="384"/>
      <c r="K2406" s="419"/>
      <c r="L2406" s="403"/>
      <c r="M2406" s="389"/>
      <c r="N2406" s="392"/>
      <c r="O2406" s="349"/>
      <c r="P2406" s="389"/>
      <c r="Q2406" s="275"/>
      <c r="R2406" s="277"/>
      <c r="S2406" s="276"/>
      <c r="T2406" s="276"/>
      <c r="U2406" s="276"/>
      <c r="V2406" s="276"/>
      <c r="W2406" s="276"/>
      <c r="X2406" s="276"/>
      <c r="Y2406" s="276"/>
      <c r="Z2406" s="276"/>
      <c r="AA2406" s="276"/>
      <c r="AB2406" s="276"/>
      <c r="AC2406" s="276"/>
    </row>
    <row r="2407">
      <c r="A2407" s="370"/>
      <c r="B2407" s="439"/>
      <c r="C2407" s="384"/>
      <c r="D2407" s="384"/>
      <c r="E2407" s="384"/>
      <c r="F2407" s="419"/>
      <c r="G2407" s="419"/>
      <c r="H2407" s="419"/>
      <c r="I2407" s="384"/>
      <c r="J2407" s="384"/>
      <c r="K2407" s="419"/>
      <c r="L2407" s="403"/>
      <c r="M2407" s="389"/>
      <c r="N2407" s="392"/>
      <c r="O2407" s="349"/>
      <c r="P2407" s="389"/>
      <c r="Q2407" s="275"/>
      <c r="R2407" s="277"/>
      <c r="S2407" s="276"/>
      <c r="T2407" s="276"/>
      <c r="U2407" s="276"/>
      <c r="V2407" s="276"/>
      <c r="W2407" s="276"/>
      <c r="X2407" s="276"/>
      <c r="Y2407" s="276"/>
      <c r="Z2407" s="276"/>
      <c r="AA2407" s="276"/>
      <c r="AB2407" s="276"/>
      <c r="AC2407" s="276"/>
    </row>
    <row r="2408">
      <c r="A2408" s="370"/>
      <c r="B2408" s="439"/>
      <c r="C2408" s="384"/>
      <c r="D2408" s="384"/>
      <c r="E2408" s="384"/>
      <c r="F2408" s="419"/>
      <c r="G2408" s="419"/>
      <c r="H2408" s="419"/>
      <c r="I2408" s="384"/>
      <c r="J2408" s="384"/>
      <c r="K2408" s="419"/>
      <c r="L2408" s="403"/>
      <c r="M2408" s="389"/>
      <c r="N2408" s="392"/>
      <c r="O2408" s="349"/>
      <c r="P2408" s="389"/>
      <c r="Q2408" s="275"/>
      <c r="R2408" s="277"/>
      <c r="S2408" s="276"/>
      <c r="T2408" s="276"/>
      <c r="U2408" s="276"/>
      <c r="V2408" s="276"/>
      <c r="W2408" s="276"/>
      <c r="X2408" s="276"/>
      <c r="Y2408" s="276"/>
      <c r="Z2408" s="276"/>
      <c r="AA2408" s="276"/>
      <c r="AB2408" s="276"/>
      <c r="AC2408" s="276"/>
    </row>
    <row r="2409">
      <c r="A2409" s="370"/>
      <c r="B2409" s="439"/>
      <c r="C2409" s="384"/>
      <c r="D2409" s="384"/>
      <c r="E2409" s="384"/>
      <c r="F2409" s="419"/>
      <c r="G2409" s="419"/>
      <c r="H2409" s="419"/>
      <c r="I2409" s="384"/>
      <c r="J2409" s="384"/>
      <c r="K2409" s="419"/>
      <c r="L2409" s="403"/>
      <c r="M2409" s="389"/>
      <c r="N2409" s="392"/>
      <c r="O2409" s="349"/>
      <c r="P2409" s="389"/>
      <c r="Q2409" s="275"/>
      <c r="R2409" s="277"/>
      <c r="S2409" s="276"/>
      <c r="T2409" s="276"/>
      <c r="U2409" s="276"/>
      <c r="V2409" s="276"/>
      <c r="W2409" s="276"/>
      <c r="X2409" s="276"/>
      <c r="Y2409" s="276"/>
      <c r="Z2409" s="276"/>
      <c r="AA2409" s="276"/>
      <c r="AB2409" s="276"/>
      <c r="AC2409" s="276"/>
    </row>
    <row r="2410">
      <c r="A2410" s="370"/>
      <c r="B2410" s="439"/>
      <c r="C2410" s="384"/>
      <c r="D2410" s="384"/>
      <c r="E2410" s="384"/>
      <c r="F2410" s="419"/>
      <c r="G2410" s="419"/>
      <c r="H2410" s="419"/>
      <c r="I2410" s="384"/>
      <c r="J2410" s="384"/>
      <c r="K2410" s="419"/>
      <c r="L2410" s="403"/>
      <c r="M2410" s="389"/>
      <c r="N2410" s="392"/>
      <c r="O2410" s="349"/>
      <c r="P2410" s="389"/>
      <c r="Q2410" s="275"/>
      <c r="R2410" s="277"/>
      <c r="S2410" s="276"/>
      <c r="T2410" s="276"/>
      <c r="U2410" s="276"/>
      <c r="V2410" s="276"/>
      <c r="W2410" s="276"/>
      <c r="X2410" s="276"/>
      <c r="Y2410" s="276"/>
      <c r="Z2410" s="276"/>
      <c r="AA2410" s="276"/>
      <c r="AB2410" s="276"/>
      <c r="AC2410" s="276"/>
    </row>
    <row r="2411">
      <c r="A2411" s="370"/>
      <c r="B2411" s="439"/>
      <c r="C2411" s="384"/>
      <c r="D2411" s="384"/>
      <c r="E2411" s="384"/>
      <c r="F2411" s="419"/>
      <c r="G2411" s="419"/>
      <c r="H2411" s="419"/>
      <c r="I2411" s="384"/>
      <c r="J2411" s="384"/>
      <c r="K2411" s="419"/>
      <c r="L2411" s="403"/>
      <c r="M2411" s="389"/>
      <c r="N2411" s="392"/>
      <c r="O2411" s="349"/>
      <c r="P2411" s="389"/>
      <c r="Q2411" s="275"/>
      <c r="R2411" s="277"/>
      <c r="S2411" s="276"/>
      <c r="T2411" s="276"/>
      <c r="U2411" s="276"/>
      <c r="V2411" s="276"/>
      <c r="W2411" s="276"/>
      <c r="X2411" s="276"/>
      <c r="Y2411" s="276"/>
      <c r="Z2411" s="276"/>
      <c r="AA2411" s="276"/>
      <c r="AB2411" s="276"/>
      <c r="AC2411" s="276"/>
    </row>
    <row r="2412">
      <c r="A2412" s="370"/>
      <c r="B2412" s="439"/>
      <c r="C2412" s="384"/>
      <c r="D2412" s="384"/>
      <c r="E2412" s="384"/>
      <c r="F2412" s="419"/>
      <c r="G2412" s="419"/>
      <c r="H2412" s="419"/>
      <c r="I2412" s="384"/>
      <c r="J2412" s="384"/>
      <c r="K2412" s="419"/>
      <c r="L2412" s="403"/>
      <c r="M2412" s="389"/>
      <c r="N2412" s="392"/>
      <c r="O2412" s="349"/>
      <c r="P2412" s="389"/>
      <c r="Q2412" s="275"/>
      <c r="R2412" s="277"/>
      <c r="S2412" s="276"/>
      <c r="T2412" s="276"/>
      <c r="U2412" s="276"/>
      <c r="V2412" s="276"/>
      <c r="W2412" s="276"/>
      <c r="X2412" s="276"/>
      <c r="Y2412" s="276"/>
      <c r="Z2412" s="276"/>
      <c r="AA2412" s="276"/>
      <c r="AB2412" s="276"/>
      <c r="AC2412" s="276"/>
    </row>
    <row r="2413">
      <c r="A2413" s="370"/>
      <c r="B2413" s="439"/>
      <c r="C2413" s="384"/>
      <c r="D2413" s="384"/>
      <c r="E2413" s="384"/>
      <c r="F2413" s="419"/>
      <c r="G2413" s="419"/>
      <c r="H2413" s="419"/>
      <c r="I2413" s="384"/>
      <c r="J2413" s="384"/>
      <c r="K2413" s="419"/>
      <c r="L2413" s="403"/>
      <c r="M2413" s="389"/>
      <c r="N2413" s="392"/>
      <c r="O2413" s="349"/>
      <c r="P2413" s="389"/>
      <c r="Q2413" s="275"/>
      <c r="R2413" s="277"/>
      <c r="S2413" s="276"/>
      <c r="T2413" s="276"/>
      <c r="U2413" s="276"/>
      <c r="V2413" s="276"/>
      <c r="W2413" s="276"/>
      <c r="X2413" s="276"/>
      <c r="Y2413" s="276"/>
      <c r="Z2413" s="276"/>
      <c r="AA2413" s="276"/>
      <c r="AB2413" s="276"/>
      <c r="AC2413" s="276"/>
    </row>
    <row r="2414">
      <c r="A2414" s="370"/>
      <c r="B2414" s="439"/>
      <c r="C2414" s="384"/>
      <c r="D2414" s="384"/>
      <c r="E2414" s="384"/>
      <c r="F2414" s="419"/>
      <c r="G2414" s="419"/>
      <c r="H2414" s="419"/>
      <c r="I2414" s="384"/>
      <c r="J2414" s="384"/>
      <c r="K2414" s="419"/>
      <c r="L2414" s="403"/>
      <c r="M2414" s="389"/>
      <c r="N2414" s="392"/>
      <c r="O2414" s="349"/>
      <c r="P2414" s="389"/>
      <c r="Q2414" s="275"/>
      <c r="R2414" s="277"/>
      <c r="S2414" s="276"/>
      <c r="T2414" s="276"/>
      <c r="U2414" s="276"/>
      <c r="V2414" s="276"/>
      <c r="W2414" s="276"/>
      <c r="X2414" s="276"/>
      <c r="Y2414" s="276"/>
      <c r="Z2414" s="276"/>
      <c r="AA2414" s="276"/>
      <c r="AB2414" s="276"/>
      <c r="AC2414" s="276"/>
    </row>
    <row r="2415">
      <c r="A2415" s="370"/>
      <c r="B2415" s="439"/>
      <c r="C2415" s="384"/>
      <c r="D2415" s="384"/>
      <c r="E2415" s="384"/>
      <c r="F2415" s="419"/>
      <c r="G2415" s="419"/>
      <c r="H2415" s="419"/>
      <c r="I2415" s="384"/>
      <c r="J2415" s="384"/>
      <c r="K2415" s="419"/>
      <c r="L2415" s="403"/>
      <c r="M2415" s="389"/>
      <c r="N2415" s="392"/>
      <c r="O2415" s="349"/>
      <c r="P2415" s="389"/>
      <c r="Q2415" s="275"/>
      <c r="R2415" s="277"/>
      <c r="S2415" s="276"/>
      <c r="T2415" s="276"/>
      <c r="U2415" s="276"/>
      <c r="V2415" s="276"/>
      <c r="W2415" s="276"/>
      <c r="X2415" s="276"/>
      <c r="Y2415" s="276"/>
      <c r="Z2415" s="276"/>
      <c r="AA2415" s="276"/>
      <c r="AB2415" s="276"/>
      <c r="AC2415" s="276"/>
    </row>
    <row r="2416">
      <c r="A2416" s="370"/>
      <c r="B2416" s="439"/>
      <c r="C2416" s="384"/>
      <c r="D2416" s="384"/>
      <c r="E2416" s="384"/>
      <c r="F2416" s="419"/>
      <c r="G2416" s="419"/>
      <c r="H2416" s="419"/>
      <c r="I2416" s="384"/>
      <c r="J2416" s="384"/>
      <c r="K2416" s="419"/>
      <c r="L2416" s="403"/>
      <c r="M2416" s="389"/>
      <c r="N2416" s="392"/>
      <c r="O2416" s="349"/>
      <c r="P2416" s="389"/>
      <c r="Q2416" s="275"/>
      <c r="R2416" s="277"/>
      <c r="S2416" s="276"/>
      <c r="T2416" s="276"/>
      <c r="U2416" s="276"/>
      <c r="V2416" s="276"/>
      <c r="W2416" s="276"/>
      <c r="X2416" s="276"/>
      <c r="Y2416" s="276"/>
      <c r="Z2416" s="276"/>
      <c r="AA2416" s="276"/>
      <c r="AB2416" s="276"/>
      <c r="AC2416" s="276"/>
    </row>
    <row r="2417">
      <c r="A2417" s="370"/>
      <c r="B2417" s="439"/>
      <c r="C2417" s="384"/>
      <c r="D2417" s="384"/>
      <c r="E2417" s="384"/>
      <c r="F2417" s="419"/>
      <c r="G2417" s="419"/>
      <c r="H2417" s="419"/>
      <c r="I2417" s="384"/>
      <c r="J2417" s="384"/>
      <c r="K2417" s="419"/>
      <c r="L2417" s="403"/>
      <c r="M2417" s="389"/>
      <c r="N2417" s="392"/>
      <c r="O2417" s="349"/>
      <c r="P2417" s="389"/>
      <c r="Q2417" s="275"/>
      <c r="R2417" s="277"/>
      <c r="S2417" s="276"/>
      <c r="T2417" s="276"/>
      <c r="U2417" s="276"/>
      <c r="V2417" s="276"/>
      <c r="W2417" s="276"/>
      <c r="X2417" s="276"/>
      <c r="Y2417" s="276"/>
      <c r="Z2417" s="276"/>
      <c r="AA2417" s="276"/>
      <c r="AB2417" s="276"/>
      <c r="AC2417" s="276"/>
    </row>
    <row r="2418">
      <c r="A2418" s="370"/>
      <c r="B2418" s="439"/>
      <c r="C2418" s="384"/>
      <c r="D2418" s="384"/>
      <c r="E2418" s="384"/>
      <c r="F2418" s="419"/>
      <c r="G2418" s="419"/>
      <c r="H2418" s="419"/>
      <c r="I2418" s="384"/>
      <c r="J2418" s="384"/>
      <c r="K2418" s="419"/>
      <c r="L2418" s="403"/>
      <c r="M2418" s="389"/>
      <c r="N2418" s="392"/>
      <c r="O2418" s="349"/>
      <c r="P2418" s="389"/>
      <c r="Q2418" s="275"/>
      <c r="R2418" s="277"/>
      <c r="S2418" s="276"/>
      <c r="T2418" s="276"/>
      <c r="U2418" s="276"/>
      <c r="V2418" s="276"/>
      <c r="W2418" s="276"/>
      <c r="X2418" s="276"/>
      <c r="Y2418" s="276"/>
      <c r="Z2418" s="276"/>
      <c r="AA2418" s="276"/>
      <c r="AB2418" s="276"/>
      <c r="AC2418" s="276"/>
    </row>
    <row r="2419">
      <c r="A2419" s="370"/>
      <c r="B2419" s="439"/>
      <c r="C2419" s="384"/>
      <c r="D2419" s="384"/>
      <c r="E2419" s="384"/>
      <c r="F2419" s="419"/>
      <c r="G2419" s="419"/>
      <c r="H2419" s="419"/>
      <c r="I2419" s="384"/>
      <c r="J2419" s="384"/>
      <c r="K2419" s="419"/>
      <c r="L2419" s="403"/>
      <c r="M2419" s="389"/>
      <c r="N2419" s="392"/>
      <c r="O2419" s="349"/>
      <c r="P2419" s="389"/>
      <c r="Q2419" s="275"/>
      <c r="R2419" s="277"/>
      <c r="S2419" s="276"/>
      <c r="T2419" s="276"/>
      <c r="U2419" s="276"/>
      <c r="V2419" s="276"/>
      <c r="W2419" s="276"/>
      <c r="X2419" s="276"/>
      <c r="Y2419" s="276"/>
      <c r="Z2419" s="276"/>
      <c r="AA2419" s="276"/>
      <c r="AB2419" s="276"/>
      <c r="AC2419" s="276"/>
    </row>
    <row r="2420">
      <c r="A2420" s="370"/>
      <c r="B2420" s="439"/>
      <c r="C2420" s="384"/>
      <c r="D2420" s="384"/>
      <c r="E2420" s="384"/>
      <c r="F2420" s="419"/>
      <c r="G2420" s="419"/>
      <c r="H2420" s="419"/>
      <c r="I2420" s="384"/>
      <c r="J2420" s="384"/>
      <c r="K2420" s="419"/>
      <c r="L2420" s="403"/>
      <c r="M2420" s="389"/>
      <c r="N2420" s="392"/>
      <c r="O2420" s="349"/>
      <c r="P2420" s="389"/>
      <c r="Q2420" s="275"/>
      <c r="R2420" s="277"/>
      <c r="S2420" s="276"/>
      <c r="T2420" s="276"/>
      <c r="U2420" s="276"/>
      <c r="V2420" s="276"/>
      <c r="W2420" s="276"/>
      <c r="X2420" s="276"/>
      <c r="Y2420" s="276"/>
      <c r="Z2420" s="276"/>
      <c r="AA2420" s="276"/>
      <c r="AB2420" s="276"/>
      <c r="AC2420" s="276"/>
    </row>
    <row r="2421">
      <c r="A2421" s="370"/>
      <c r="B2421" s="439"/>
      <c r="C2421" s="384"/>
      <c r="D2421" s="384"/>
      <c r="E2421" s="384"/>
      <c r="F2421" s="419"/>
      <c r="G2421" s="419"/>
      <c r="H2421" s="419"/>
      <c r="I2421" s="384"/>
      <c r="J2421" s="384"/>
      <c r="K2421" s="419"/>
      <c r="L2421" s="403"/>
      <c r="M2421" s="389"/>
      <c r="N2421" s="392"/>
      <c r="O2421" s="349"/>
      <c r="P2421" s="389"/>
      <c r="Q2421" s="275"/>
      <c r="R2421" s="277"/>
      <c r="S2421" s="276"/>
      <c r="T2421" s="276"/>
      <c r="U2421" s="276"/>
      <c r="V2421" s="276"/>
      <c r="W2421" s="276"/>
      <c r="X2421" s="276"/>
      <c r="Y2421" s="276"/>
      <c r="Z2421" s="276"/>
      <c r="AA2421" s="276"/>
      <c r="AB2421" s="276"/>
      <c r="AC2421" s="276"/>
    </row>
    <row r="2422">
      <c r="A2422" s="370"/>
      <c r="B2422" s="439"/>
      <c r="C2422" s="384"/>
      <c r="D2422" s="384"/>
      <c r="E2422" s="384"/>
      <c r="F2422" s="419"/>
      <c r="G2422" s="419"/>
      <c r="H2422" s="419"/>
      <c r="I2422" s="384"/>
      <c r="J2422" s="384"/>
      <c r="K2422" s="419"/>
      <c r="L2422" s="403"/>
      <c r="M2422" s="389"/>
      <c r="N2422" s="392"/>
      <c r="O2422" s="349"/>
      <c r="P2422" s="389"/>
      <c r="Q2422" s="275"/>
      <c r="R2422" s="277"/>
      <c r="S2422" s="276"/>
      <c r="T2422" s="276"/>
      <c r="U2422" s="276"/>
      <c r="V2422" s="276"/>
      <c r="W2422" s="276"/>
      <c r="X2422" s="276"/>
      <c r="Y2422" s="276"/>
      <c r="Z2422" s="276"/>
      <c r="AA2422" s="276"/>
      <c r="AB2422" s="276"/>
      <c r="AC2422" s="276"/>
    </row>
    <row r="2423">
      <c r="A2423" s="370"/>
      <c r="B2423" s="439"/>
      <c r="C2423" s="384"/>
      <c r="D2423" s="384"/>
      <c r="E2423" s="384"/>
      <c r="F2423" s="419"/>
      <c r="G2423" s="419"/>
      <c r="H2423" s="419"/>
      <c r="I2423" s="384"/>
      <c r="J2423" s="384"/>
      <c r="K2423" s="419"/>
      <c r="L2423" s="403"/>
      <c r="M2423" s="389"/>
      <c r="N2423" s="392"/>
      <c r="O2423" s="349"/>
      <c r="P2423" s="389"/>
      <c r="Q2423" s="275"/>
      <c r="R2423" s="277"/>
      <c r="S2423" s="276"/>
      <c r="T2423" s="276"/>
      <c r="U2423" s="276"/>
      <c r="V2423" s="276"/>
      <c r="W2423" s="276"/>
      <c r="X2423" s="276"/>
      <c r="Y2423" s="276"/>
      <c r="Z2423" s="276"/>
      <c r="AA2423" s="276"/>
      <c r="AB2423" s="276"/>
      <c r="AC2423" s="276"/>
    </row>
    <row r="2424">
      <c r="A2424" s="370"/>
      <c r="B2424" s="439"/>
      <c r="C2424" s="384"/>
      <c r="D2424" s="384"/>
      <c r="E2424" s="384"/>
      <c r="F2424" s="419"/>
      <c r="G2424" s="419"/>
      <c r="H2424" s="419"/>
      <c r="I2424" s="384"/>
      <c r="J2424" s="384"/>
      <c r="K2424" s="419"/>
      <c r="L2424" s="403"/>
      <c r="M2424" s="389"/>
      <c r="N2424" s="392"/>
      <c r="O2424" s="349"/>
      <c r="P2424" s="389"/>
      <c r="Q2424" s="275"/>
      <c r="R2424" s="277"/>
      <c r="S2424" s="276"/>
      <c r="T2424" s="276"/>
      <c r="U2424" s="276"/>
      <c r="V2424" s="276"/>
      <c r="W2424" s="276"/>
      <c r="X2424" s="276"/>
      <c r="Y2424" s="276"/>
      <c r="Z2424" s="276"/>
      <c r="AA2424" s="276"/>
      <c r="AB2424" s="276"/>
      <c r="AC2424" s="276"/>
    </row>
    <row r="2425">
      <c r="A2425" s="370"/>
      <c r="B2425" s="439"/>
      <c r="C2425" s="384"/>
      <c r="D2425" s="384"/>
      <c r="E2425" s="384"/>
      <c r="F2425" s="419"/>
      <c r="G2425" s="419"/>
      <c r="H2425" s="419"/>
      <c r="I2425" s="384"/>
      <c r="J2425" s="384"/>
      <c r="K2425" s="419"/>
      <c r="L2425" s="403"/>
      <c r="M2425" s="389"/>
      <c r="N2425" s="392"/>
      <c r="O2425" s="349"/>
      <c r="P2425" s="389"/>
      <c r="Q2425" s="275"/>
      <c r="R2425" s="277"/>
      <c r="S2425" s="276"/>
      <c r="T2425" s="276"/>
      <c r="U2425" s="276"/>
      <c r="V2425" s="276"/>
      <c r="W2425" s="276"/>
      <c r="X2425" s="276"/>
      <c r="Y2425" s="276"/>
      <c r="Z2425" s="276"/>
      <c r="AA2425" s="276"/>
      <c r="AB2425" s="276"/>
      <c r="AC2425" s="276"/>
    </row>
    <row r="2426">
      <c r="A2426" s="370"/>
      <c r="B2426" s="439"/>
      <c r="C2426" s="384"/>
      <c r="D2426" s="384"/>
      <c r="E2426" s="384"/>
      <c r="F2426" s="419"/>
      <c r="G2426" s="419"/>
      <c r="H2426" s="419"/>
      <c r="I2426" s="384"/>
      <c r="J2426" s="384"/>
      <c r="K2426" s="419"/>
      <c r="L2426" s="403"/>
      <c r="M2426" s="389"/>
      <c r="N2426" s="392"/>
      <c r="O2426" s="349"/>
      <c r="P2426" s="389"/>
      <c r="Q2426" s="275"/>
      <c r="R2426" s="277"/>
      <c r="S2426" s="276"/>
      <c r="T2426" s="276"/>
      <c r="U2426" s="276"/>
      <c r="V2426" s="276"/>
      <c r="W2426" s="276"/>
      <c r="X2426" s="276"/>
      <c r="Y2426" s="276"/>
      <c r="Z2426" s="276"/>
      <c r="AA2426" s="276"/>
      <c r="AB2426" s="276"/>
      <c r="AC2426" s="276"/>
    </row>
    <row r="2427">
      <c r="A2427" s="370"/>
      <c r="B2427" s="439"/>
      <c r="C2427" s="384"/>
      <c r="D2427" s="384"/>
      <c r="E2427" s="384"/>
      <c r="F2427" s="419"/>
      <c r="G2427" s="419"/>
      <c r="H2427" s="419"/>
      <c r="I2427" s="384"/>
      <c r="J2427" s="384"/>
      <c r="K2427" s="419"/>
      <c r="L2427" s="403"/>
      <c r="M2427" s="389"/>
      <c r="N2427" s="392"/>
      <c r="O2427" s="349"/>
      <c r="P2427" s="389"/>
      <c r="Q2427" s="275"/>
      <c r="R2427" s="277"/>
      <c r="S2427" s="276"/>
      <c r="T2427" s="276"/>
      <c r="U2427" s="276"/>
      <c r="V2427" s="276"/>
      <c r="W2427" s="276"/>
      <c r="X2427" s="276"/>
      <c r="Y2427" s="276"/>
      <c r="Z2427" s="276"/>
      <c r="AA2427" s="276"/>
      <c r="AB2427" s="276"/>
      <c r="AC2427" s="276"/>
    </row>
    <row r="2428">
      <c r="A2428" s="370"/>
      <c r="B2428" s="439"/>
      <c r="C2428" s="384"/>
      <c r="D2428" s="384"/>
      <c r="E2428" s="384"/>
      <c r="F2428" s="419"/>
      <c r="G2428" s="419"/>
      <c r="H2428" s="419"/>
      <c r="I2428" s="384"/>
      <c r="J2428" s="384"/>
      <c r="K2428" s="419"/>
      <c r="L2428" s="403"/>
      <c r="M2428" s="389"/>
      <c r="N2428" s="392"/>
      <c r="O2428" s="349"/>
      <c r="P2428" s="389"/>
      <c r="Q2428" s="275"/>
      <c r="R2428" s="277"/>
      <c r="S2428" s="276"/>
      <c r="T2428" s="276"/>
      <c r="U2428" s="276"/>
      <c r="V2428" s="276"/>
      <c r="W2428" s="276"/>
      <c r="X2428" s="276"/>
      <c r="Y2428" s="276"/>
      <c r="Z2428" s="276"/>
      <c r="AA2428" s="276"/>
      <c r="AB2428" s="276"/>
      <c r="AC2428" s="276"/>
    </row>
    <row r="2429">
      <c r="A2429" s="370"/>
      <c r="B2429" s="439"/>
      <c r="C2429" s="384"/>
      <c r="D2429" s="384"/>
      <c r="E2429" s="384"/>
      <c r="F2429" s="419"/>
      <c r="G2429" s="419"/>
      <c r="H2429" s="419"/>
      <c r="I2429" s="384"/>
      <c r="J2429" s="384"/>
      <c r="K2429" s="419"/>
      <c r="L2429" s="403"/>
      <c r="M2429" s="389"/>
      <c r="N2429" s="392"/>
      <c r="O2429" s="349"/>
      <c r="P2429" s="389"/>
      <c r="Q2429" s="275"/>
      <c r="R2429" s="277"/>
      <c r="S2429" s="276"/>
      <c r="T2429" s="276"/>
      <c r="U2429" s="276"/>
      <c r="V2429" s="276"/>
      <c r="W2429" s="276"/>
      <c r="X2429" s="276"/>
      <c r="Y2429" s="276"/>
      <c r="Z2429" s="276"/>
      <c r="AA2429" s="276"/>
      <c r="AB2429" s="276"/>
      <c r="AC2429" s="276"/>
    </row>
    <row r="2430">
      <c r="A2430" s="370"/>
      <c r="B2430" s="439"/>
      <c r="C2430" s="384"/>
      <c r="D2430" s="384"/>
      <c r="E2430" s="384"/>
      <c r="F2430" s="419"/>
      <c r="G2430" s="419"/>
      <c r="H2430" s="419"/>
      <c r="I2430" s="384"/>
      <c r="J2430" s="384"/>
      <c r="K2430" s="419"/>
      <c r="L2430" s="403"/>
      <c r="M2430" s="389"/>
      <c r="N2430" s="392"/>
      <c r="O2430" s="349"/>
      <c r="P2430" s="389"/>
      <c r="Q2430" s="275"/>
      <c r="R2430" s="277"/>
      <c r="S2430" s="276"/>
      <c r="T2430" s="276"/>
      <c r="U2430" s="276"/>
      <c r="V2430" s="276"/>
      <c r="W2430" s="276"/>
      <c r="X2430" s="276"/>
      <c r="Y2430" s="276"/>
      <c r="Z2430" s="276"/>
      <c r="AA2430" s="276"/>
      <c r="AB2430" s="276"/>
      <c r="AC2430" s="276"/>
    </row>
    <row r="2431">
      <c r="A2431" s="370"/>
      <c r="B2431" s="439"/>
      <c r="C2431" s="384"/>
      <c r="D2431" s="384"/>
      <c r="E2431" s="384"/>
      <c r="F2431" s="419"/>
      <c r="G2431" s="419"/>
      <c r="H2431" s="419"/>
      <c r="I2431" s="384"/>
      <c r="J2431" s="384"/>
      <c r="K2431" s="419"/>
      <c r="L2431" s="403"/>
      <c r="M2431" s="389"/>
      <c r="N2431" s="392"/>
      <c r="O2431" s="349"/>
      <c r="P2431" s="389"/>
      <c r="Q2431" s="275"/>
      <c r="R2431" s="277"/>
      <c r="S2431" s="276"/>
      <c r="T2431" s="276"/>
      <c r="U2431" s="276"/>
      <c r="V2431" s="276"/>
      <c r="W2431" s="276"/>
      <c r="X2431" s="276"/>
      <c r="Y2431" s="276"/>
      <c r="Z2431" s="276"/>
      <c r="AA2431" s="276"/>
      <c r="AB2431" s="276"/>
      <c r="AC2431" s="276"/>
    </row>
    <row r="2432">
      <c r="A2432" s="370"/>
      <c r="B2432" s="439"/>
      <c r="C2432" s="384"/>
      <c r="D2432" s="384"/>
      <c r="E2432" s="384"/>
      <c r="F2432" s="419"/>
      <c r="G2432" s="419"/>
      <c r="H2432" s="419"/>
      <c r="I2432" s="384"/>
      <c r="J2432" s="384"/>
      <c r="K2432" s="419"/>
      <c r="L2432" s="403"/>
      <c r="M2432" s="389"/>
      <c r="N2432" s="392"/>
      <c r="O2432" s="349"/>
      <c r="P2432" s="389"/>
      <c r="Q2432" s="275"/>
      <c r="R2432" s="277"/>
      <c r="S2432" s="276"/>
      <c r="T2432" s="276"/>
      <c r="U2432" s="276"/>
      <c r="V2432" s="276"/>
      <c r="W2432" s="276"/>
      <c r="X2432" s="276"/>
      <c r="Y2432" s="276"/>
      <c r="Z2432" s="276"/>
      <c r="AA2432" s="276"/>
      <c r="AB2432" s="276"/>
      <c r="AC2432" s="276"/>
    </row>
    <row r="2433">
      <c r="A2433" s="370"/>
      <c r="B2433" s="439"/>
      <c r="C2433" s="384"/>
      <c r="D2433" s="384"/>
      <c r="E2433" s="384"/>
      <c r="F2433" s="419"/>
      <c r="G2433" s="419"/>
      <c r="H2433" s="419"/>
      <c r="I2433" s="384"/>
      <c r="J2433" s="384"/>
      <c r="K2433" s="419"/>
      <c r="L2433" s="403"/>
      <c r="M2433" s="389"/>
      <c r="N2433" s="392"/>
      <c r="O2433" s="349"/>
      <c r="P2433" s="389"/>
      <c r="Q2433" s="275"/>
      <c r="R2433" s="277"/>
      <c r="S2433" s="276"/>
      <c r="T2433" s="276"/>
      <c r="U2433" s="276"/>
      <c r="V2433" s="276"/>
      <c r="W2433" s="276"/>
      <c r="X2433" s="276"/>
      <c r="Y2433" s="276"/>
      <c r="Z2433" s="276"/>
      <c r="AA2433" s="276"/>
      <c r="AB2433" s="276"/>
      <c r="AC2433" s="276"/>
    </row>
    <row r="2434">
      <c r="A2434" s="370"/>
      <c r="B2434" s="439"/>
      <c r="C2434" s="384"/>
      <c r="D2434" s="384"/>
      <c r="E2434" s="384"/>
      <c r="F2434" s="419"/>
      <c r="G2434" s="419"/>
      <c r="H2434" s="419"/>
      <c r="I2434" s="384"/>
      <c r="J2434" s="384"/>
      <c r="K2434" s="419"/>
      <c r="L2434" s="403"/>
      <c r="M2434" s="389"/>
      <c r="N2434" s="392"/>
      <c r="O2434" s="349"/>
      <c r="P2434" s="389"/>
      <c r="Q2434" s="275"/>
      <c r="R2434" s="277"/>
      <c r="S2434" s="276"/>
      <c r="T2434" s="276"/>
      <c r="U2434" s="276"/>
      <c r="V2434" s="276"/>
      <c r="W2434" s="276"/>
      <c r="X2434" s="276"/>
      <c r="Y2434" s="276"/>
      <c r="Z2434" s="276"/>
      <c r="AA2434" s="276"/>
      <c r="AB2434" s="276"/>
      <c r="AC2434" s="276"/>
    </row>
    <row r="2435">
      <c r="A2435" s="370"/>
      <c r="B2435" s="439"/>
      <c r="C2435" s="384"/>
      <c r="D2435" s="384"/>
      <c r="E2435" s="384"/>
      <c r="F2435" s="419"/>
      <c r="G2435" s="419"/>
      <c r="H2435" s="419"/>
      <c r="I2435" s="384"/>
      <c r="J2435" s="384"/>
      <c r="K2435" s="419"/>
      <c r="L2435" s="403"/>
      <c r="M2435" s="389"/>
      <c r="N2435" s="392"/>
      <c r="O2435" s="349"/>
      <c r="P2435" s="389"/>
      <c r="Q2435" s="275"/>
      <c r="R2435" s="277"/>
      <c r="S2435" s="276"/>
      <c r="T2435" s="276"/>
      <c r="U2435" s="276"/>
      <c r="V2435" s="276"/>
      <c r="W2435" s="276"/>
      <c r="X2435" s="276"/>
      <c r="Y2435" s="276"/>
      <c r="Z2435" s="276"/>
      <c r="AA2435" s="276"/>
      <c r="AB2435" s="276"/>
      <c r="AC2435" s="276"/>
    </row>
    <row r="2436">
      <c r="A2436" s="370"/>
      <c r="B2436" s="439"/>
      <c r="C2436" s="384"/>
      <c r="D2436" s="384"/>
      <c r="E2436" s="384"/>
      <c r="F2436" s="419"/>
      <c r="G2436" s="419"/>
      <c r="H2436" s="419"/>
      <c r="I2436" s="384"/>
      <c r="J2436" s="384"/>
      <c r="K2436" s="419"/>
      <c r="L2436" s="403"/>
      <c r="M2436" s="389"/>
      <c r="N2436" s="392"/>
      <c r="O2436" s="349"/>
      <c r="P2436" s="389"/>
      <c r="Q2436" s="275"/>
      <c r="R2436" s="277"/>
      <c r="S2436" s="276"/>
      <c r="T2436" s="276"/>
      <c r="U2436" s="276"/>
      <c r="V2436" s="276"/>
      <c r="W2436" s="276"/>
      <c r="X2436" s="276"/>
      <c r="Y2436" s="276"/>
      <c r="Z2436" s="276"/>
      <c r="AA2436" s="276"/>
      <c r="AB2436" s="276"/>
      <c r="AC2436" s="276"/>
    </row>
    <row r="2437">
      <c r="A2437" s="370"/>
      <c r="B2437" s="439"/>
      <c r="C2437" s="384"/>
      <c r="D2437" s="384"/>
      <c r="E2437" s="384"/>
      <c r="F2437" s="419"/>
      <c r="G2437" s="419"/>
      <c r="H2437" s="419"/>
      <c r="I2437" s="384"/>
      <c r="J2437" s="384"/>
      <c r="K2437" s="419"/>
      <c r="L2437" s="403"/>
      <c r="M2437" s="389"/>
      <c r="N2437" s="392"/>
      <c r="O2437" s="349"/>
      <c r="P2437" s="389"/>
      <c r="Q2437" s="275"/>
      <c r="R2437" s="277"/>
      <c r="S2437" s="276"/>
      <c r="T2437" s="276"/>
      <c r="U2437" s="276"/>
      <c r="V2437" s="276"/>
      <c r="W2437" s="276"/>
      <c r="X2437" s="276"/>
      <c r="Y2437" s="276"/>
      <c r="Z2437" s="276"/>
      <c r="AA2437" s="276"/>
      <c r="AB2437" s="276"/>
      <c r="AC2437" s="276"/>
    </row>
    <row r="2438">
      <c r="A2438" s="370"/>
      <c r="B2438" s="439"/>
      <c r="C2438" s="384"/>
      <c r="D2438" s="384"/>
      <c r="E2438" s="384"/>
      <c r="F2438" s="419"/>
      <c r="G2438" s="419"/>
      <c r="H2438" s="419"/>
      <c r="I2438" s="384"/>
      <c r="J2438" s="384"/>
      <c r="K2438" s="419"/>
      <c r="L2438" s="403"/>
      <c r="M2438" s="389"/>
      <c r="N2438" s="392"/>
      <c r="O2438" s="349"/>
      <c r="P2438" s="389"/>
      <c r="Q2438" s="275"/>
      <c r="R2438" s="277"/>
      <c r="S2438" s="276"/>
      <c r="T2438" s="276"/>
      <c r="U2438" s="276"/>
      <c r="V2438" s="276"/>
      <c r="W2438" s="276"/>
      <c r="X2438" s="276"/>
      <c r="Y2438" s="276"/>
      <c r="Z2438" s="276"/>
      <c r="AA2438" s="276"/>
      <c r="AB2438" s="276"/>
      <c r="AC2438" s="276"/>
    </row>
    <row r="2439">
      <c r="A2439" s="370"/>
      <c r="B2439" s="439"/>
      <c r="C2439" s="384"/>
      <c r="D2439" s="384"/>
      <c r="E2439" s="384"/>
      <c r="F2439" s="419"/>
      <c r="G2439" s="419"/>
      <c r="H2439" s="419"/>
      <c r="I2439" s="384"/>
      <c r="J2439" s="384"/>
      <c r="K2439" s="419"/>
      <c r="L2439" s="403"/>
      <c r="M2439" s="389"/>
      <c r="N2439" s="392"/>
      <c r="O2439" s="349"/>
      <c r="P2439" s="389"/>
      <c r="Q2439" s="275"/>
      <c r="R2439" s="277"/>
      <c r="S2439" s="276"/>
      <c r="T2439" s="276"/>
      <c r="U2439" s="276"/>
      <c r="V2439" s="276"/>
      <c r="W2439" s="276"/>
      <c r="X2439" s="276"/>
      <c r="Y2439" s="276"/>
      <c r="Z2439" s="276"/>
      <c r="AA2439" s="276"/>
      <c r="AB2439" s="276"/>
      <c r="AC2439" s="276"/>
    </row>
    <row r="2440">
      <c r="A2440" s="370"/>
      <c r="B2440" s="439"/>
      <c r="C2440" s="384"/>
      <c r="D2440" s="384"/>
      <c r="E2440" s="384"/>
      <c r="F2440" s="419"/>
      <c r="G2440" s="419"/>
      <c r="H2440" s="419"/>
      <c r="I2440" s="384"/>
      <c r="J2440" s="384"/>
      <c r="K2440" s="419"/>
      <c r="L2440" s="403"/>
      <c r="M2440" s="389"/>
      <c r="N2440" s="392"/>
      <c r="O2440" s="349"/>
      <c r="P2440" s="389"/>
      <c r="Q2440" s="275"/>
      <c r="R2440" s="277"/>
      <c r="S2440" s="276"/>
      <c r="T2440" s="276"/>
      <c r="U2440" s="276"/>
      <c r="V2440" s="276"/>
      <c r="W2440" s="276"/>
      <c r="X2440" s="276"/>
      <c r="Y2440" s="276"/>
      <c r="Z2440" s="276"/>
      <c r="AA2440" s="276"/>
      <c r="AB2440" s="276"/>
      <c r="AC2440" s="276"/>
    </row>
    <row r="2441">
      <c r="A2441" s="370"/>
      <c r="B2441" s="439"/>
      <c r="C2441" s="384"/>
      <c r="D2441" s="384"/>
      <c r="E2441" s="384"/>
      <c r="F2441" s="419"/>
      <c r="G2441" s="419"/>
      <c r="H2441" s="419"/>
      <c r="I2441" s="384"/>
      <c r="J2441" s="384"/>
      <c r="K2441" s="419"/>
      <c r="L2441" s="403"/>
      <c r="M2441" s="389"/>
      <c r="N2441" s="392"/>
      <c r="O2441" s="349"/>
      <c r="P2441" s="389"/>
      <c r="Q2441" s="275"/>
      <c r="R2441" s="277"/>
      <c r="S2441" s="276"/>
      <c r="T2441" s="276"/>
      <c r="U2441" s="276"/>
      <c r="V2441" s="276"/>
      <c r="W2441" s="276"/>
      <c r="X2441" s="276"/>
      <c r="Y2441" s="276"/>
      <c r="Z2441" s="276"/>
      <c r="AA2441" s="276"/>
      <c r="AB2441" s="276"/>
      <c r="AC2441" s="276"/>
    </row>
    <row r="2442">
      <c r="A2442" s="370"/>
      <c r="B2442" s="439"/>
      <c r="C2442" s="384"/>
      <c r="D2442" s="384"/>
      <c r="E2442" s="384"/>
      <c r="F2442" s="419"/>
      <c r="G2442" s="419"/>
      <c r="H2442" s="419"/>
      <c r="I2442" s="384"/>
      <c r="J2442" s="384"/>
      <c r="K2442" s="419"/>
      <c r="L2442" s="403"/>
      <c r="M2442" s="389"/>
      <c r="N2442" s="392"/>
      <c r="O2442" s="349"/>
      <c r="P2442" s="389"/>
      <c r="Q2442" s="275"/>
      <c r="R2442" s="277"/>
      <c r="S2442" s="276"/>
      <c r="T2442" s="276"/>
      <c r="U2442" s="276"/>
      <c r="V2442" s="276"/>
      <c r="W2442" s="276"/>
      <c r="X2442" s="276"/>
      <c r="Y2442" s="276"/>
      <c r="Z2442" s="276"/>
      <c r="AA2442" s="276"/>
      <c r="AB2442" s="276"/>
      <c r="AC2442" s="276"/>
    </row>
    <row r="2443">
      <c r="A2443" s="370"/>
      <c r="B2443" s="439"/>
      <c r="C2443" s="384"/>
      <c r="D2443" s="384"/>
      <c r="E2443" s="384"/>
      <c r="F2443" s="419"/>
      <c r="G2443" s="419"/>
      <c r="H2443" s="419"/>
      <c r="I2443" s="384"/>
      <c r="J2443" s="384"/>
      <c r="K2443" s="419"/>
      <c r="L2443" s="403"/>
      <c r="M2443" s="389"/>
      <c r="N2443" s="392"/>
      <c r="O2443" s="349"/>
      <c r="P2443" s="389"/>
      <c r="Q2443" s="275"/>
      <c r="R2443" s="277"/>
      <c r="S2443" s="276"/>
      <c r="T2443" s="276"/>
      <c r="U2443" s="276"/>
      <c r="V2443" s="276"/>
      <c r="W2443" s="276"/>
      <c r="X2443" s="276"/>
      <c r="Y2443" s="276"/>
      <c r="Z2443" s="276"/>
      <c r="AA2443" s="276"/>
      <c r="AB2443" s="276"/>
      <c r="AC2443" s="276"/>
    </row>
    <row r="2444">
      <c r="A2444" s="370"/>
      <c r="B2444" s="439"/>
      <c r="C2444" s="384"/>
      <c r="D2444" s="384"/>
      <c r="E2444" s="384"/>
      <c r="F2444" s="419"/>
      <c r="G2444" s="419"/>
      <c r="H2444" s="419"/>
      <c r="I2444" s="384"/>
      <c r="J2444" s="384"/>
      <c r="K2444" s="419"/>
      <c r="L2444" s="403"/>
      <c r="M2444" s="389"/>
      <c r="N2444" s="392"/>
      <c r="O2444" s="349"/>
      <c r="P2444" s="389"/>
      <c r="Q2444" s="275"/>
      <c r="R2444" s="277"/>
      <c r="S2444" s="276"/>
      <c r="T2444" s="276"/>
      <c r="U2444" s="276"/>
      <c r="V2444" s="276"/>
      <c r="W2444" s="276"/>
      <c r="X2444" s="276"/>
      <c r="Y2444" s="276"/>
      <c r="Z2444" s="276"/>
      <c r="AA2444" s="276"/>
      <c r="AB2444" s="276"/>
      <c r="AC2444" s="276"/>
    </row>
    <row r="2445">
      <c r="A2445" s="370"/>
      <c r="B2445" s="439"/>
      <c r="C2445" s="384"/>
      <c r="D2445" s="384"/>
      <c r="E2445" s="384"/>
      <c r="F2445" s="419"/>
      <c r="G2445" s="419"/>
      <c r="H2445" s="419"/>
      <c r="I2445" s="384"/>
      <c r="J2445" s="384"/>
      <c r="K2445" s="419"/>
      <c r="L2445" s="403"/>
      <c r="M2445" s="389"/>
      <c r="N2445" s="392"/>
      <c r="O2445" s="349"/>
      <c r="P2445" s="389"/>
      <c r="Q2445" s="275"/>
      <c r="R2445" s="277"/>
      <c r="S2445" s="276"/>
      <c r="T2445" s="276"/>
      <c r="U2445" s="276"/>
      <c r="V2445" s="276"/>
      <c r="W2445" s="276"/>
      <c r="X2445" s="276"/>
      <c r="Y2445" s="276"/>
      <c r="Z2445" s="276"/>
      <c r="AA2445" s="276"/>
      <c r="AB2445" s="276"/>
      <c r="AC2445" s="276"/>
    </row>
    <row r="2446">
      <c r="A2446" s="370"/>
      <c r="B2446" s="439"/>
      <c r="C2446" s="384"/>
      <c r="D2446" s="384"/>
      <c r="E2446" s="384"/>
      <c r="F2446" s="419"/>
      <c r="G2446" s="419"/>
      <c r="H2446" s="419"/>
      <c r="I2446" s="384"/>
      <c r="J2446" s="384"/>
      <c r="K2446" s="419"/>
      <c r="L2446" s="403"/>
      <c r="M2446" s="389"/>
      <c r="N2446" s="392"/>
      <c r="O2446" s="349"/>
      <c r="P2446" s="389"/>
      <c r="Q2446" s="275"/>
      <c r="R2446" s="277"/>
      <c r="S2446" s="276"/>
      <c r="T2446" s="276"/>
      <c r="U2446" s="276"/>
      <c r="V2446" s="276"/>
      <c r="W2446" s="276"/>
      <c r="X2446" s="276"/>
      <c r="Y2446" s="276"/>
      <c r="Z2446" s="276"/>
      <c r="AA2446" s="276"/>
      <c r="AB2446" s="276"/>
      <c r="AC2446" s="276"/>
    </row>
    <row r="2447">
      <c r="A2447" s="370"/>
      <c r="B2447" s="439"/>
      <c r="C2447" s="384"/>
      <c r="D2447" s="384"/>
      <c r="E2447" s="384"/>
      <c r="F2447" s="419"/>
      <c r="G2447" s="419"/>
      <c r="H2447" s="419"/>
      <c r="I2447" s="384"/>
      <c r="J2447" s="384"/>
      <c r="K2447" s="419"/>
      <c r="L2447" s="403"/>
      <c r="M2447" s="389"/>
      <c r="N2447" s="392"/>
      <c r="O2447" s="349"/>
      <c r="P2447" s="389"/>
      <c r="Q2447" s="275"/>
      <c r="R2447" s="277"/>
      <c r="S2447" s="276"/>
      <c r="T2447" s="276"/>
      <c r="U2447" s="276"/>
      <c r="V2447" s="276"/>
      <c r="W2447" s="276"/>
      <c r="X2447" s="276"/>
      <c r="Y2447" s="276"/>
      <c r="Z2447" s="276"/>
      <c r="AA2447" s="276"/>
      <c r="AB2447" s="276"/>
      <c r="AC2447" s="276"/>
    </row>
    <row r="2448">
      <c r="A2448" s="370"/>
      <c r="B2448" s="439"/>
      <c r="C2448" s="384"/>
      <c r="D2448" s="384"/>
      <c r="E2448" s="384"/>
      <c r="F2448" s="419"/>
      <c r="G2448" s="419"/>
      <c r="H2448" s="419"/>
      <c r="I2448" s="384"/>
      <c r="J2448" s="384"/>
      <c r="K2448" s="419"/>
      <c r="L2448" s="403"/>
      <c r="M2448" s="389"/>
      <c r="N2448" s="392"/>
      <c r="O2448" s="349"/>
      <c r="P2448" s="389"/>
      <c r="Q2448" s="275"/>
      <c r="R2448" s="277"/>
      <c r="S2448" s="276"/>
      <c r="T2448" s="276"/>
      <c r="U2448" s="276"/>
      <c r="V2448" s="276"/>
      <c r="W2448" s="276"/>
      <c r="X2448" s="276"/>
      <c r="Y2448" s="276"/>
      <c r="Z2448" s="276"/>
      <c r="AA2448" s="276"/>
      <c r="AB2448" s="276"/>
      <c r="AC2448" s="276"/>
    </row>
    <row r="2449">
      <c r="A2449" s="370"/>
      <c r="B2449" s="439"/>
      <c r="C2449" s="384"/>
      <c r="D2449" s="384"/>
      <c r="E2449" s="384"/>
      <c r="F2449" s="419"/>
      <c r="G2449" s="419"/>
      <c r="H2449" s="419"/>
      <c r="I2449" s="384"/>
      <c r="J2449" s="384"/>
      <c r="K2449" s="419"/>
      <c r="L2449" s="403"/>
      <c r="M2449" s="389"/>
      <c r="N2449" s="392"/>
      <c r="O2449" s="349"/>
      <c r="P2449" s="389"/>
      <c r="Q2449" s="275"/>
      <c r="R2449" s="277"/>
      <c r="S2449" s="276"/>
      <c r="T2449" s="276"/>
      <c r="U2449" s="276"/>
      <c r="V2449" s="276"/>
      <c r="W2449" s="276"/>
      <c r="X2449" s="276"/>
      <c r="Y2449" s="276"/>
      <c r="Z2449" s="276"/>
      <c r="AA2449" s="276"/>
      <c r="AB2449" s="276"/>
      <c r="AC2449" s="276"/>
    </row>
    <row r="2450">
      <c r="A2450" s="370"/>
      <c r="B2450" s="439"/>
      <c r="C2450" s="384"/>
      <c r="D2450" s="384"/>
      <c r="E2450" s="384"/>
      <c r="F2450" s="419"/>
      <c r="G2450" s="419"/>
      <c r="H2450" s="419"/>
      <c r="I2450" s="384"/>
      <c r="J2450" s="384"/>
      <c r="K2450" s="419"/>
      <c r="L2450" s="403"/>
      <c r="M2450" s="389"/>
      <c r="N2450" s="392"/>
      <c r="O2450" s="349"/>
      <c r="P2450" s="389"/>
      <c r="Q2450" s="275"/>
      <c r="R2450" s="277"/>
      <c r="S2450" s="276"/>
      <c r="T2450" s="276"/>
      <c r="U2450" s="276"/>
      <c r="V2450" s="276"/>
      <c r="W2450" s="276"/>
      <c r="X2450" s="276"/>
      <c r="Y2450" s="276"/>
      <c r="Z2450" s="276"/>
      <c r="AA2450" s="276"/>
      <c r="AB2450" s="276"/>
      <c r="AC2450" s="276"/>
    </row>
    <row r="2451">
      <c r="A2451" s="370"/>
      <c r="B2451" s="439"/>
      <c r="C2451" s="384"/>
      <c r="D2451" s="384"/>
      <c r="E2451" s="384"/>
      <c r="F2451" s="419"/>
      <c r="G2451" s="419"/>
      <c r="H2451" s="419"/>
      <c r="I2451" s="384"/>
      <c r="J2451" s="384"/>
      <c r="K2451" s="419"/>
      <c r="L2451" s="403"/>
      <c r="M2451" s="389"/>
      <c r="N2451" s="392"/>
      <c r="O2451" s="349"/>
      <c r="P2451" s="389"/>
      <c r="Q2451" s="275"/>
      <c r="R2451" s="277"/>
      <c r="S2451" s="276"/>
      <c r="T2451" s="276"/>
      <c r="U2451" s="276"/>
      <c r="V2451" s="276"/>
      <c r="W2451" s="276"/>
      <c r="X2451" s="276"/>
      <c r="Y2451" s="276"/>
      <c r="Z2451" s="276"/>
      <c r="AA2451" s="276"/>
      <c r="AB2451" s="276"/>
      <c r="AC2451" s="276"/>
    </row>
    <row r="2452">
      <c r="A2452" s="370"/>
      <c r="B2452" s="439"/>
      <c r="C2452" s="384"/>
      <c r="D2452" s="384"/>
      <c r="E2452" s="384"/>
      <c r="F2452" s="419"/>
      <c r="G2452" s="419"/>
      <c r="H2452" s="419"/>
      <c r="I2452" s="384"/>
      <c r="J2452" s="384"/>
      <c r="K2452" s="419"/>
      <c r="L2452" s="403"/>
      <c r="M2452" s="389"/>
      <c r="N2452" s="392"/>
      <c r="O2452" s="349"/>
      <c r="P2452" s="389"/>
      <c r="Q2452" s="275"/>
      <c r="R2452" s="277"/>
      <c r="S2452" s="276"/>
      <c r="T2452" s="276"/>
      <c r="U2452" s="276"/>
      <c r="V2452" s="276"/>
      <c r="W2452" s="276"/>
      <c r="X2452" s="276"/>
      <c r="Y2452" s="276"/>
      <c r="Z2452" s="276"/>
      <c r="AA2452" s="276"/>
      <c r="AB2452" s="276"/>
      <c r="AC2452" s="276"/>
    </row>
  </sheetData>
  <autoFilter ref="$A$1:$T$2"/>
  <mergeCells count="2616">
    <mergeCell ref="Q87:Q90"/>
    <mergeCell ref="Q91:Q94"/>
    <mergeCell ref="Q81:Q83"/>
    <mergeCell ref="R81:R83"/>
    <mergeCell ref="N87:N90"/>
    <mergeCell ref="O87:O90"/>
    <mergeCell ref="R87:R90"/>
    <mergeCell ref="O91:O94"/>
    <mergeCell ref="R91:R94"/>
    <mergeCell ref="Q7:Q9"/>
    <mergeCell ref="R7:R9"/>
    <mergeCell ref="N1:R1"/>
    <mergeCell ref="N3:N6"/>
    <mergeCell ref="O4:O6"/>
    <mergeCell ref="Q4:Q6"/>
    <mergeCell ref="R4:R6"/>
    <mergeCell ref="N7:N9"/>
    <mergeCell ref="O7:O9"/>
    <mergeCell ref="N11:N12"/>
    <mergeCell ref="O11:O12"/>
    <mergeCell ref="Q11:Q12"/>
    <mergeCell ref="R11:R12"/>
    <mergeCell ref="O14:O16"/>
    <mergeCell ref="Q14:Q16"/>
    <mergeCell ref="R14:R16"/>
    <mergeCell ref="Q22:Q25"/>
    <mergeCell ref="R22:R25"/>
    <mergeCell ref="N14:N16"/>
    <mergeCell ref="N18:N20"/>
    <mergeCell ref="O18:O20"/>
    <mergeCell ref="Q18:Q20"/>
    <mergeCell ref="R18:R20"/>
    <mergeCell ref="N22:N25"/>
    <mergeCell ref="O22:O25"/>
    <mergeCell ref="Q38:Q40"/>
    <mergeCell ref="R38:R40"/>
    <mergeCell ref="Q117:Q118"/>
    <mergeCell ref="R117:R118"/>
    <mergeCell ref="N156:N158"/>
    <mergeCell ref="O156:O158"/>
    <mergeCell ref="N159:N161"/>
    <mergeCell ref="O159:O161"/>
    <mergeCell ref="N162:N163"/>
    <mergeCell ref="O162:O163"/>
    <mergeCell ref="N145:N147"/>
    <mergeCell ref="N148:N149"/>
    <mergeCell ref="O148:O149"/>
    <mergeCell ref="N150:N151"/>
    <mergeCell ref="O150:O151"/>
    <mergeCell ref="N153:N154"/>
    <mergeCell ref="O153:O154"/>
    <mergeCell ref="N110:N112"/>
    <mergeCell ref="O110:O112"/>
    <mergeCell ref="Q110:Q112"/>
    <mergeCell ref="R110:R112"/>
    <mergeCell ref="O113:O116"/>
    <mergeCell ref="Q113:Q116"/>
    <mergeCell ref="R113:R116"/>
    <mergeCell ref="N113:N116"/>
    <mergeCell ref="N117:N118"/>
    <mergeCell ref="O117:O118"/>
    <mergeCell ref="N119:N121"/>
    <mergeCell ref="O119:O121"/>
    <mergeCell ref="Q119:Q121"/>
    <mergeCell ref="R119:R121"/>
    <mergeCell ref="N122:N124"/>
    <mergeCell ref="O122:O124"/>
    <mergeCell ref="Q122:Q124"/>
    <mergeCell ref="R122:R124"/>
    <mergeCell ref="O125:O130"/>
    <mergeCell ref="Q125:Q130"/>
    <mergeCell ref="R125:R130"/>
    <mergeCell ref="Q137:Q139"/>
    <mergeCell ref="R137:R139"/>
    <mergeCell ref="N125:N130"/>
    <mergeCell ref="N132:N136"/>
    <mergeCell ref="O132:O136"/>
    <mergeCell ref="Q132:Q136"/>
    <mergeCell ref="R132:R136"/>
    <mergeCell ref="N137:N139"/>
    <mergeCell ref="O137:O139"/>
    <mergeCell ref="N140:N143"/>
    <mergeCell ref="O140:O143"/>
    <mergeCell ref="Q140:Q143"/>
    <mergeCell ref="R140:R143"/>
    <mergeCell ref="O145:O147"/>
    <mergeCell ref="Q145:Q147"/>
    <mergeCell ref="R145:R147"/>
    <mergeCell ref="R159:R161"/>
    <mergeCell ref="R162:R163"/>
    <mergeCell ref="N27:N29"/>
    <mergeCell ref="O27:O29"/>
    <mergeCell ref="Q27:Q29"/>
    <mergeCell ref="R27:R29"/>
    <mergeCell ref="O31:O33"/>
    <mergeCell ref="Q31:Q33"/>
    <mergeCell ref="R31:R33"/>
    <mergeCell ref="N31:N33"/>
    <mergeCell ref="N35:N37"/>
    <mergeCell ref="O35:O37"/>
    <mergeCell ref="Q35:Q37"/>
    <mergeCell ref="R35:R37"/>
    <mergeCell ref="N38:N40"/>
    <mergeCell ref="O38:O40"/>
    <mergeCell ref="N43:N44"/>
    <mergeCell ref="O43:O44"/>
    <mergeCell ref="Q43:Q44"/>
    <mergeCell ref="R43:R44"/>
    <mergeCell ref="O45:O47"/>
    <mergeCell ref="Q45:Q47"/>
    <mergeCell ref="R45:R47"/>
    <mergeCell ref="N45:N47"/>
    <mergeCell ref="N48:N50"/>
    <mergeCell ref="O48:O50"/>
    <mergeCell ref="Q48:Q50"/>
    <mergeCell ref="R48:R50"/>
    <mergeCell ref="N51:N55"/>
    <mergeCell ref="O51:O55"/>
    <mergeCell ref="Q56:Q60"/>
    <mergeCell ref="Q62:Q64"/>
    <mergeCell ref="Q51:Q55"/>
    <mergeCell ref="R51:R55"/>
    <mergeCell ref="N56:N60"/>
    <mergeCell ref="O56:O60"/>
    <mergeCell ref="R56:R60"/>
    <mergeCell ref="O62:O64"/>
    <mergeCell ref="R62:R64"/>
    <mergeCell ref="Q68:Q71"/>
    <mergeCell ref="R68:R71"/>
    <mergeCell ref="N62:N64"/>
    <mergeCell ref="N65:N67"/>
    <mergeCell ref="O65:O67"/>
    <mergeCell ref="Q65:Q67"/>
    <mergeCell ref="R65:R67"/>
    <mergeCell ref="N68:N71"/>
    <mergeCell ref="O68:O71"/>
    <mergeCell ref="N72:N74"/>
    <mergeCell ref="O72:O74"/>
    <mergeCell ref="Q72:Q74"/>
    <mergeCell ref="R72:R74"/>
    <mergeCell ref="O75:O77"/>
    <mergeCell ref="Q75:Q77"/>
    <mergeCell ref="R75:R77"/>
    <mergeCell ref="N75:N77"/>
    <mergeCell ref="N78:N80"/>
    <mergeCell ref="O78:O80"/>
    <mergeCell ref="Q78:Q80"/>
    <mergeCell ref="R78:R80"/>
    <mergeCell ref="N81:N83"/>
    <mergeCell ref="O81:O83"/>
    <mergeCell ref="Q101:Q103"/>
    <mergeCell ref="R101:R103"/>
    <mergeCell ref="N91:N94"/>
    <mergeCell ref="N96:N98"/>
    <mergeCell ref="O96:O98"/>
    <mergeCell ref="Q96:Q98"/>
    <mergeCell ref="R96:R98"/>
    <mergeCell ref="N101:N103"/>
    <mergeCell ref="O101:O103"/>
    <mergeCell ref="Q148:Q149"/>
    <mergeCell ref="R148:R149"/>
    <mergeCell ref="Q150:Q151"/>
    <mergeCell ref="R150:R151"/>
    <mergeCell ref="Q153:Q154"/>
    <mergeCell ref="R153:R154"/>
    <mergeCell ref="R156:R158"/>
    <mergeCell ref="Q164:Q165"/>
    <mergeCell ref="Q167:Q170"/>
    <mergeCell ref="R167:R170"/>
    <mergeCell ref="Q156:Q158"/>
    <mergeCell ref="Q159:Q161"/>
    <mergeCell ref="Q162:Q163"/>
    <mergeCell ref="N164:N165"/>
    <mergeCell ref="O164:O165"/>
    <mergeCell ref="N167:N170"/>
    <mergeCell ref="O167:O170"/>
    <mergeCell ref="N172:N174"/>
    <mergeCell ref="O172:O174"/>
    <mergeCell ref="Q172:Q174"/>
    <mergeCell ref="R172:R174"/>
    <mergeCell ref="O176:O178"/>
    <mergeCell ref="Q176:Q178"/>
    <mergeCell ref="R176:R178"/>
    <mergeCell ref="Q184:Q186"/>
    <mergeCell ref="R184:R186"/>
    <mergeCell ref="N176:N178"/>
    <mergeCell ref="N180:N182"/>
    <mergeCell ref="O180:O182"/>
    <mergeCell ref="Q180:Q182"/>
    <mergeCell ref="R180:R182"/>
    <mergeCell ref="N184:N186"/>
    <mergeCell ref="O184:O186"/>
    <mergeCell ref="N188:N190"/>
    <mergeCell ref="O188:O190"/>
    <mergeCell ref="Q188:Q190"/>
    <mergeCell ref="R188:R190"/>
    <mergeCell ref="O192:O193"/>
    <mergeCell ref="Q192:Q193"/>
    <mergeCell ref="R192:R193"/>
    <mergeCell ref="N215:N216"/>
    <mergeCell ref="O215:O216"/>
    <mergeCell ref="Q215:Q216"/>
    <mergeCell ref="R215:R216"/>
    <mergeCell ref="O217:O218"/>
    <mergeCell ref="Q217:Q218"/>
    <mergeCell ref="R217:R218"/>
    <mergeCell ref="N217:N218"/>
    <mergeCell ref="N219:N224"/>
    <mergeCell ref="O219:O224"/>
    <mergeCell ref="Q219:Q224"/>
    <mergeCell ref="R219:R224"/>
    <mergeCell ref="N226:N228"/>
    <mergeCell ref="O226:O228"/>
    <mergeCell ref="N233:N236"/>
    <mergeCell ref="N237:N238"/>
    <mergeCell ref="O237:O238"/>
    <mergeCell ref="N229:N231"/>
    <mergeCell ref="O229:O231"/>
    <mergeCell ref="Q229:Q231"/>
    <mergeCell ref="R229:R231"/>
    <mergeCell ref="O233:O236"/>
    <mergeCell ref="Q233:Q236"/>
    <mergeCell ref="R233:R236"/>
    <mergeCell ref="Q239:Q241"/>
    <mergeCell ref="Q242:Q245"/>
    <mergeCell ref="Q237:Q238"/>
    <mergeCell ref="R237:R238"/>
    <mergeCell ref="N239:N241"/>
    <mergeCell ref="O239:O241"/>
    <mergeCell ref="R239:R241"/>
    <mergeCell ref="O242:O245"/>
    <mergeCell ref="R242:R245"/>
    <mergeCell ref="Q251:Q252"/>
    <mergeCell ref="R251:R252"/>
    <mergeCell ref="N242:N245"/>
    <mergeCell ref="N246:N250"/>
    <mergeCell ref="O246:O250"/>
    <mergeCell ref="Q246:Q250"/>
    <mergeCell ref="R246:R250"/>
    <mergeCell ref="N251:N252"/>
    <mergeCell ref="O251:O252"/>
    <mergeCell ref="N253:N255"/>
    <mergeCell ref="O253:O255"/>
    <mergeCell ref="Q253:Q255"/>
    <mergeCell ref="R253:R255"/>
    <mergeCell ref="O256:O258"/>
    <mergeCell ref="Q256:Q258"/>
    <mergeCell ref="R256:R258"/>
    <mergeCell ref="N256:N258"/>
    <mergeCell ref="N262:N265"/>
    <mergeCell ref="O262:O265"/>
    <mergeCell ref="Q262:Q265"/>
    <mergeCell ref="R262:R265"/>
    <mergeCell ref="N266:N268"/>
    <mergeCell ref="O266:O268"/>
    <mergeCell ref="Q269:Q270"/>
    <mergeCell ref="Q271:Q273"/>
    <mergeCell ref="Q266:Q268"/>
    <mergeCell ref="R266:R268"/>
    <mergeCell ref="N269:N270"/>
    <mergeCell ref="O269:O270"/>
    <mergeCell ref="R269:R270"/>
    <mergeCell ref="O271:O273"/>
    <mergeCell ref="R271:R273"/>
    <mergeCell ref="Q196:Q200"/>
    <mergeCell ref="R196:R200"/>
    <mergeCell ref="N192:N193"/>
    <mergeCell ref="N194:N195"/>
    <mergeCell ref="O194:O195"/>
    <mergeCell ref="Q194:Q195"/>
    <mergeCell ref="R194:R195"/>
    <mergeCell ref="N196:N200"/>
    <mergeCell ref="O196:O200"/>
    <mergeCell ref="N202:N204"/>
    <mergeCell ref="O202:O204"/>
    <mergeCell ref="Q202:Q204"/>
    <mergeCell ref="R202:R204"/>
    <mergeCell ref="O205:O206"/>
    <mergeCell ref="Q205:Q206"/>
    <mergeCell ref="R205:R206"/>
    <mergeCell ref="Q211:Q214"/>
    <mergeCell ref="R211:R214"/>
    <mergeCell ref="N205:N206"/>
    <mergeCell ref="N207:N209"/>
    <mergeCell ref="O207:O209"/>
    <mergeCell ref="Q207:Q209"/>
    <mergeCell ref="R207:R209"/>
    <mergeCell ref="N211:N214"/>
    <mergeCell ref="O211:O214"/>
    <mergeCell ref="Q226:Q228"/>
    <mergeCell ref="R226:R228"/>
    <mergeCell ref="N286:N288"/>
    <mergeCell ref="N290:N292"/>
    <mergeCell ref="O290:O292"/>
    <mergeCell ref="Q290:Q292"/>
    <mergeCell ref="R290:R292"/>
    <mergeCell ref="N280:N284"/>
    <mergeCell ref="O280:O284"/>
    <mergeCell ref="Q280:Q284"/>
    <mergeCell ref="R280:R284"/>
    <mergeCell ref="O286:O288"/>
    <mergeCell ref="Q286:Q288"/>
    <mergeCell ref="R286:R288"/>
    <mergeCell ref="N302:N304"/>
    <mergeCell ref="N305:N307"/>
    <mergeCell ref="O305:O307"/>
    <mergeCell ref="Q305:Q307"/>
    <mergeCell ref="R305:R307"/>
    <mergeCell ref="N308:N310"/>
    <mergeCell ref="O308:O310"/>
    <mergeCell ref="N311:N313"/>
    <mergeCell ref="O311:O313"/>
    <mergeCell ref="Q311:Q313"/>
    <mergeCell ref="R311:R313"/>
    <mergeCell ref="O314:O316"/>
    <mergeCell ref="Q314:Q316"/>
    <mergeCell ref="R314:R316"/>
    <mergeCell ref="Q323:Q325"/>
    <mergeCell ref="R323:R325"/>
    <mergeCell ref="N314:N316"/>
    <mergeCell ref="N319:N321"/>
    <mergeCell ref="O319:O321"/>
    <mergeCell ref="Q319:Q321"/>
    <mergeCell ref="R319:R321"/>
    <mergeCell ref="N323:N325"/>
    <mergeCell ref="O323:O325"/>
    <mergeCell ref="Q277:Q279"/>
    <mergeCell ref="R277:R279"/>
    <mergeCell ref="N271:N273"/>
    <mergeCell ref="N274:N276"/>
    <mergeCell ref="O274:O276"/>
    <mergeCell ref="Q274:Q276"/>
    <mergeCell ref="R274:R276"/>
    <mergeCell ref="N277:N279"/>
    <mergeCell ref="O277:O279"/>
    <mergeCell ref="Q296:Q298"/>
    <mergeCell ref="R296:R298"/>
    <mergeCell ref="M293:M295"/>
    <mergeCell ref="N293:N295"/>
    <mergeCell ref="O293:O295"/>
    <mergeCell ref="Q293:Q295"/>
    <mergeCell ref="R293:R295"/>
    <mergeCell ref="N296:N298"/>
    <mergeCell ref="O296:O298"/>
    <mergeCell ref="N299:N301"/>
    <mergeCell ref="O299:O301"/>
    <mergeCell ref="Q299:Q301"/>
    <mergeCell ref="R299:R301"/>
    <mergeCell ref="O302:O304"/>
    <mergeCell ref="Q302:Q304"/>
    <mergeCell ref="R302:R304"/>
    <mergeCell ref="Q308:Q310"/>
    <mergeCell ref="R308:R310"/>
    <mergeCell ref="Q335:Q337"/>
    <mergeCell ref="R335:R337"/>
    <mergeCell ref="N365:N369"/>
    <mergeCell ref="N370:N372"/>
    <mergeCell ref="O370:O372"/>
    <mergeCell ref="N362:N363"/>
    <mergeCell ref="O362:O363"/>
    <mergeCell ref="Q362:Q363"/>
    <mergeCell ref="R362:R363"/>
    <mergeCell ref="O365:O369"/>
    <mergeCell ref="Q365:Q369"/>
    <mergeCell ref="R365:R369"/>
    <mergeCell ref="Q373:Q376"/>
    <mergeCell ref="Q377:Q379"/>
    <mergeCell ref="Q370:Q372"/>
    <mergeCell ref="R370:R372"/>
    <mergeCell ref="N373:N376"/>
    <mergeCell ref="O373:O376"/>
    <mergeCell ref="R373:R376"/>
    <mergeCell ref="O377:O379"/>
    <mergeCell ref="R377:R379"/>
    <mergeCell ref="Q384:Q387"/>
    <mergeCell ref="R384:R387"/>
    <mergeCell ref="N377:N379"/>
    <mergeCell ref="N380:N383"/>
    <mergeCell ref="O380:O383"/>
    <mergeCell ref="Q380:Q383"/>
    <mergeCell ref="R380:R383"/>
    <mergeCell ref="N384:N387"/>
    <mergeCell ref="O384:O387"/>
    <mergeCell ref="N392:N394"/>
    <mergeCell ref="N395:N396"/>
    <mergeCell ref="O395:O396"/>
    <mergeCell ref="N388:N391"/>
    <mergeCell ref="O388:O391"/>
    <mergeCell ref="Q388:Q391"/>
    <mergeCell ref="R388:R391"/>
    <mergeCell ref="O392:O394"/>
    <mergeCell ref="Q392:Q394"/>
    <mergeCell ref="R392:R394"/>
    <mergeCell ref="N350:N352"/>
    <mergeCell ref="O350:O352"/>
    <mergeCell ref="Q350:Q352"/>
    <mergeCell ref="R350:R352"/>
    <mergeCell ref="O354:O355"/>
    <mergeCell ref="Q354:Q355"/>
    <mergeCell ref="R354:R355"/>
    <mergeCell ref="N354:N355"/>
    <mergeCell ref="N357:N359"/>
    <mergeCell ref="O357:O359"/>
    <mergeCell ref="Q357:Q359"/>
    <mergeCell ref="R357:R359"/>
    <mergeCell ref="N360:N361"/>
    <mergeCell ref="O360:O361"/>
    <mergeCell ref="Q397:Q399"/>
    <mergeCell ref="Q400:Q403"/>
    <mergeCell ref="Q395:Q396"/>
    <mergeCell ref="R395:R396"/>
    <mergeCell ref="N397:N399"/>
    <mergeCell ref="O397:O399"/>
    <mergeCell ref="R397:R399"/>
    <mergeCell ref="O400:O403"/>
    <mergeCell ref="R400:R403"/>
    <mergeCell ref="Q407:Q409"/>
    <mergeCell ref="R407:R409"/>
    <mergeCell ref="N400:N403"/>
    <mergeCell ref="N404:N406"/>
    <mergeCell ref="O404:O406"/>
    <mergeCell ref="Q404:Q406"/>
    <mergeCell ref="R404:R406"/>
    <mergeCell ref="N407:N409"/>
    <mergeCell ref="O407:O409"/>
    <mergeCell ref="Q428:Q430"/>
    <mergeCell ref="R428:R430"/>
    <mergeCell ref="N422:N423"/>
    <mergeCell ref="N425:N426"/>
    <mergeCell ref="O425:O426"/>
    <mergeCell ref="Q425:Q426"/>
    <mergeCell ref="R425:R426"/>
    <mergeCell ref="N428:N430"/>
    <mergeCell ref="O428:O430"/>
    <mergeCell ref="N438:N443"/>
    <mergeCell ref="N444:N446"/>
    <mergeCell ref="O444:O446"/>
    <mergeCell ref="N435:N437"/>
    <mergeCell ref="O435:O437"/>
    <mergeCell ref="Q435:Q437"/>
    <mergeCell ref="R435:R437"/>
    <mergeCell ref="O438:O443"/>
    <mergeCell ref="Q438:Q443"/>
    <mergeCell ref="R438:R443"/>
    <mergeCell ref="Q447:Q450"/>
    <mergeCell ref="Q451:Q452"/>
    <mergeCell ref="Q444:Q446"/>
    <mergeCell ref="R444:R446"/>
    <mergeCell ref="N447:N450"/>
    <mergeCell ref="O447:O450"/>
    <mergeCell ref="R447:R450"/>
    <mergeCell ref="O451:O452"/>
    <mergeCell ref="R451:R452"/>
    <mergeCell ref="Q458:Q462"/>
    <mergeCell ref="R458:R462"/>
    <mergeCell ref="N451:N452"/>
    <mergeCell ref="N453:N457"/>
    <mergeCell ref="O453:O457"/>
    <mergeCell ref="Q453:Q457"/>
    <mergeCell ref="R453:R457"/>
    <mergeCell ref="N458:N462"/>
    <mergeCell ref="O458:O462"/>
    <mergeCell ref="N410:N413"/>
    <mergeCell ref="O410:O413"/>
    <mergeCell ref="Q410:Q413"/>
    <mergeCell ref="R410:R413"/>
    <mergeCell ref="O414:O417"/>
    <mergeCell ref="Q414:Q417"/>
    <mergeCell ref="R414:R417"/>
    <mergeCell ref="N414:N417"/>
    <mergeCell ref="N418:N420"/>
    <mergeCell ref="O418:O420"/>
    <mergeCell ref="Q418:Q420"/>
    <mergeCell ref="R418:R420"/>
    <mergeCell ref="O422:O423"/>
    <mergeCell ref="Q422:Q423"/>
    <mergeCell ref="N466:N469"/>
    <mergeCell ref="N470:N471"/>
    <mergeCell ref="O470:O471"/>
    <mergeCell ref="N463:N465"/>
    <mergeCell ref="O463:O465"/>
    <mergeCell ref="Q463:Q465"/>
    <mergeCell ref="R463:R465"/>
    <mergeCell ref="O466:O469"/>
    <mergeCell ref="Q466:Q469"/>
    <mergeCell ref="R466:R469"/>
    <mergeCell ref="Q472:Q473"/>
    <mergeCell ref="Q474:Q478"/>
    <mergeCell ref="Q470:Q471"/>
    <mergeCell ref="R470:R471"/>
    <mergeCell ref="N472:N473"/>
    <mergeCell ref="O472:O473"/>
    <mergeCell ref="R472:R473"/>
    <mergeCell ref="O474:O478"/>
    <mergeCell ref="R474:R478"/>
    <mergeCell ref="Q483:Q484"/>
    <mergeCell ref="R483:R484"/>
    <mergeCell ref="N474:N478"/>
    <mergeCell ref="N479:N482"/>
    <mergeCell ref="O479:O482"/>
    <mergeCell ref="Q479:Q482"/>
    <mergeCell ref="R479:R482"/>
    <mergeCell ref="N483:N484"/>
    <mergeCell ref="O483:O484"/>
    <mergeCell ref="N485:N487"/>
    <mergeCell ref="O485:O487"/>
    <mergeCell ref="Q485:Q487"/>
    <mergeCell ref="R485:R487"/>
    <mergeCell ref="O488:O489"/>
    <mergeCell ref="Q488:Q489"/>
    <mergeCell ref="R488:R489"/>
    <mergeCell ref="N488:N489"/>
    <mergeCell ref="N490:N493"/>
    <mergeCell ref="O490:O493"/>
    <mergeCell ref="Q490:Q493"/>
    <mergeCell ref="R490:R493"/>
    <mergeCell ref="N497:N499"/>
    <mergeCell ref="O497:O499"/>
    <mergeCell ref="Q500:Q501"/>
    <mergeCell ref="Q502:Q508"/>
    <mergeCell ref="Q497:Q499"/>
    <mergeCell ref="R497:R499"/>
    <mergeCell ref="N500:N501"/>
    <mergeCell ref="O500:O501"/>
    <mergeCell ref="R500:R501"/>
    <mergeCell ref="O502:O508"/>
    <mergeCell ref="R502:R508"/>
    <mergeCell ref="Q512:Q514"/>
    <mergeCell ref="R512:R514"/>
    <mergeCell ref="N502:N508"/>
    <mergeCell ref="N509:N511"/>
    <mergeCell ref="O509:O511"/>
    <mergeCell ref="Q509:Q511"/>
    <mergeCell ref="R509:R511"/>
    <mergeCell ref="N512:N514"/>
    <mergeCell ref="O512:O514"/>
    <mergeCell ref="Q1000:Q1003"/>
    <mergeCell ref="R1000:R1003"/>
    <mergeCell ref="N988:N992"/>
    <mergeCell ref="N993:N996"/>
    <mergeCell ref="O993:O996"/>
    <mergeCell ref="P993:P996"/>
    <mergeCell ref="Q993:Q996"/>
    <mergeCell ref="R993:R996"/>
    <mergeCell ref="N1000:N1003"/>
    <mergeCell ref="P950:P956"/>
    <mergeCell ref="Q950:Q956"/>
    <mergeCell ref="R950:R956"/>
    <mergeCell ref="N959:N960"/>
    <mergeCell ref="O959:O960"/>
    <mergeCell ref="P959:P960"/>
    <mergeCell ref="Q959:Q960"/>
    <mergeCell ref="R959:R960"/>
    <mergeCell ref="N961:N963"/>
    <mergeCell ref="O961:O963"/>
    <mergeCell ref="P961:P963"/>
    <mergeCell ref="Q961:Q963"/>
    <mergeCell ref="R961:R963"/>
    <mergeCell ref="N940:N943"/>
    <mergeCell ref="N944:N946"/>
    <mergeCell ref="O944:O946"/>
    <mergeCell ref="N947:N949"/>
    <mergeCell ref="O947:O949"/>
    <mergeCell ref="N950:N956"/>
    <mergeCell ref="O950:O956"/>
    <mergeCell ref="N964:N973"/>
    <mergeCell ref="O964:O973"/>
    <mergeCell ref="P964:P973"/>
    <mergeCell ref="Q964:Q973"/>
    <mergeCell ref="R964:R973"/>
    <mergeCell ref="N974:N976"/>
    <mergeCell ref="O974:O976"/>
    <mergeCell ref="R974:R976"/>
    <mergeCell ref="P974:P976"/>
    <mergeCell ref="Q974:Q976"/>
    <mergeCell ref="N979:N983"/>
    <mergeCell ref="O979:O983"/>
    <mergeCell ref="P979:P983"/>
    <mergeCell ref="Q979:Q983"/>
    <mergeCell ref="R979:R983"/>
    <mergeCell ref="O1000:O1003"/>
    <mergeCell ref="P1000:P1003"/>
    <mergeCell ref="N1005:N1007"/>
    <mergeCell ref="O1005:O1007"/>
    <mergeCell ref="P1005:P1007"/>
    <mergeCell ref="Q1005:Q1007"/>
    <mergeCell ref="R1005:R1007"/>
    <mergeCell ref="P863:P865"/>
    <mergeCell ref="Q863:Q865"/>
    <mergeCell ref="N858:N861"/>
    <mergeCell ref="O858:O861"/>
    <mergeCell ref="P858:P861"/>
    <mergeCell ref="Q858:Q861"/>
    <mergeCell ref="R858:R861"/>
    <mergeCell ref="O863:O865"/>
    <mergeCell ref="R863:R865"/>
    <mergeCell ref="Q873:Q876"/>
    <mergeCell ref="R873:R876"/>
    <mergeCell ref="N863:N865"/>
    <mergeCell ref="N867:N870"/>
    <mergeCell ref="O867:O870"/>
    <mergeCell ref="P867:P870"/>
    <mergeCell ref="Q867:Q870"/>
    <mergeCell ref="R867:R870"/>
    <mergeCell ref="N873:N876"/>
    <mergeCell ref="P839:P841"/>
    <mergeCell ref="Q839:Q841"/>
    <mergeCell ref="N835:N838"/>
    <mergeCell ref="O835:O838"/>
    <mergeCell ref="P835:P838"/>
    <mergeCell ref="Q835:Q838"/>
    <mergeCell ref="R835:R838"/>
    <mergeCell ref="O839:O841"/>
    <mergeCell ref="R839:R841"/>
    <mergeCell ref="Q847:Q849"/>
    <mergeCell ref="R847:R849"/>
    <mergeCell ref="Q850:Q851"/>
    <mergeCell ref="R850:R851"/>
    <mergeCell ref="N839:N841"/>
    <mergeCell ref="N842:N844"/>
    <mergeCell ref="O842:O844"/>
    <mergeCell ref="P842:P844"/>
    <mergeCell ref="Q842:Q844"/>
    <mergeCell ref="R842:R844"/>
    <mergeCell ref="N847:N849"/>
    <mergeCell ref="P855:P857"/>
    <mergeCell ref="Q855:Q857"/>
    <mergeCell ref="R855:R857"/>
    <mergeCell ref="O847:O849"/>
    <mergeCell ref="P847:P849"/>
    <mergeCell ref="N850:N851"/>
    <mergeCell ref="O850:O851"/>
    <mergeCell ref="P850:P851"/>
    <mergeCell ref="N855:N857"/>
    <mergeCell ref="O855:O857"/>
    <mergeCell ref="O873:O876"/>
    <mergeCell ref="P873:P876"/>
    <mergeCell ref="N877:N879"/>
    <mergeCell ref="O877:O879"/>
    <mergeCell ref="P877:P879"/>
    <mergeCell ref="Q877:Q879"/>
    <mergeCell ref="R877:R879"/>
    <mergeCell ref="N880:N881"/>
    <mergeCell ref="O880:O881"/>
    <mergeCell ref="P880:P881"/>
    <mergeCell ref="Q880:Q881"/>
    <mergeCell ref="R880:R881"/>
    <mergeCell ref="N884:N886"/>
    <mergeCell ref="O884:O886"/>
    <mergeCell ref="R884:R886"/>
    <mergeCell ref="P884:P886"/>
    <mergeCell ref="Q884:Q886"/>
    <mergeCell ref="N893:N895"/>
    <mergeCell ref="O893:O895"/>
    <mergeCell ref="P893:P895"/>
    <mergeCell ref="Q893:Q895"/>
    <mergeCell ref="R893:R895"/>
    <mergeCell ref="P906:P907"/>
    <mergeCell ref="Q906:Q907"/>
    <mergeCell ref="N903:N905"/>
    <mergeCell ref="O903:O905"/>
    <mergeCell ref="P903:P905"/>
    <mergeCell ref="Q903:Q905"/>
    <mergeCell ref="R903:R905"/>
    <mergeCell ref="O906:O907"/>
    <mergeCell ref="R906:R907"/>
    <mergeCell ref="Q912:Q913"/>
    <mergeCell ref="R912:R913"/>
    <mergeCell ref="N906:N907"/>
    <mergeCell ref="N909:N911"/>
    <mergeCell ref="O909:O911"/>
    <mergeCell ref="P909:P911"/>
    <mergeCell ref="Q909:Q911"/>
    <mergeCell ref="R909:R911"/>
    <mergeCell ref="N912:N913"/>
    <mergeCell ref="O912:O913"/>
    <mergeCell ref="P912:P913"/>
    <mergeCell ref="N915:N917"/>
    <mergeCell ref="O915:O917"/>
    <mergeCell ref="P915:P917"/>
    <mergeCell ref="Q915:Q917"/>
    <mergeCell ref="R915:R917"/>
    <mergeCell ref="P924:P926"/>
    <mergeCell ref="Q924:Q926"/>
    <mergeCell ref="N918:N920"/>
    <mergeCell ref="O918:O920"/>
    <mergeCell ref="P918:P920"/>
    <mergeCell ref="Q918:Q920"/>
    <mergeCell ref="R918:R920"/>
    <mergeCell ref="O924:O926"/>
    <mergeCell ref="R924:R926"/>
    <mergeCell ref="Q930:Q932"/>
    <mergeCell ref="R930:R932"/>
    <mergeCell ref="N924:N926"/>
    <mergeCell ref="N927:N929"/>
    <mergeCell ref="O927:O929"/>
    <mergeCell ref="P927:P929"/>
    <mergeCell ref="Q927:Q929"/>
    <mergeCell ref="R927:R929"/>
    <mergeCell ref="N930:N932"/>
    <mergeCell ref="O930:O932"/>
    <mergeCell ref="P930:P932"/>
    <mergeCell ref="N934:N936"/>
    <mergeCell ref="O934:O936"/>
    <mergeCell ref="P934:P936"/>
    <mergeCell ref="Q934:Q936"/>
    <mergeCell ref="R934:R936"/>
    <mergeCell ref="P940:P943"/>
    <mergeCell ref="Q940:Q943"/>
    <mergeCell ref="P944:P946"/>
    <mergeCell ref="Q944:Q946"/>
    <mergeCell ref="R944:R946"/>
    <mergeCell ref="P947:P949"/>
    <mergeCell ref="Q947:Q949"/>
    <mergeCell ref="R947:R949"/>
    <mergeCell ref="N937:N938"/>
    <mergeCell ref="O937:O938"/>
    <mergeCell ref="P937:P938"/>
    <mergeCell ref="Q937:Q938"/>
    <mergeCell ref="R937:R938"/>
    <mergeCell ref="O940:O943"/>
    <mergeCell ref="R940:R943"/>
    <mergeCell ref="P988:P992"/>
    <mergeCell ref="Q988:Q992"/>
    <mergeCell ref="N984:N987"/>
    <mergeCell ref="O984:O987"/>
    <mergeCell ref="P984:P987"/>
    <mergeCell ref="Q984:Q987"/>
    <mergeCell ref="R984:R987"/>
    <mergeCell ref="O988:O992"/>
    <mergeCell ref="R988:R992"/>
    <mergeCell ref="P1051:P1053"/>
    <mergeCell ref="Q1051:Q1053"/>
    <mergeCell ref="N1049:N1050"/>
    <mergeCell ref="O1049:O1050"/>
    <mergeCell ref="P1049:P1050"/>
    <mergeCell ref="Q1049:Q1050"/>
    <mergeCell ref="R1049:R1050"/>
    <mergeCell ref="O1051:O1053"/>
    <mergeCell ref="R1051:R1053"/>
    <mergeCell ref="N1051:N1053"/>
    <mergeCell ref="N1054:N1057"/>
    <mergeCell ref="O1054:O1057"/>
    <mergeCell ref="P1054:P1057"/>
    <mergeCell ref="Q1054:Q1057"/>
    <mergeCell ref="R1054:R1057"/>
    <mergeCell ref="N1058:N1060"/>
    <mergeCell ref="O1058:O1060"/>
    <mergeCell ref="P1058:P1060"/>
    <mergeCell ref="N1061:N1063"/>
    <mergeCell ref="O1061:O1063"/>
    <mergeCell ref="P1061:P1063"/>
    <mergeCell ref="O1065:O1067"/>
    <mergeCell ref="P1065:P1067"/>
    <mergeCell ref="Q1068:Q1069"/>
    <mergeCell ref="Q1070:Q1071"/>
    <mergeCell ref="Q1058:Q1060"/>
    <mergeCell ref="R1058:R1060"/>
    <mergeCell ref="Q1061:Q1063"/>
    <mergeCell ref="R1061:R1063"/>
    <mergeCell ref="Q1065:Q1067"/>
    <mergeCell ref="R1065:R1067"/>
    <mergeCell ref="R1068:R1069"/>
    <mergeCell ref="R1070:R1071"/>
    <mergeCell ref="N1065:N1067"/>
    <mergeCell ref="N1068:N1069"/>
    <mergeCell ref="O1068:O1069"/>
    <mergeCell ref="P1068:P1069"/>
    <mergeCell ref="N1070:N1071"/>
    <mergeCell ref="O1070:O1071"/>
    <mergeCell ref="P1070:P1071"/>
    <mergeCell ref="N553:N556"/>
    <mergeCell ref="O553:O556"/>
    <mergeCell ref="Q553:Q556"/>
    <mergeCell ref="R553:R556"/>
    <mergeCell ref="O557:O559"/>
    <mergeCell ref="Q557:Q559"/>
    <mergeCell ref="R557:R559"/>
    <mergeCell ref="N557:N559"/>
    <mergeCell ref="N561:N564"/>
    <mergeCell ref="O561:O564"/>
    <mergeCell ref="Q561:Q564"/>
    <mergeCell ref="R561:R564"/>
    <mergeCell ref="N568:N574"/>
    <mergeCell ref="O568:O574"/>
    <mergeCell ref="N326:N328"/>
    <mergeCell ref="O326:O328"/>
    <mergeCell ref="Q326:Q328"/>
    <mergeCell ref="R326:R328"/>
    <mergeCell ref="O329:O330"/>
    <mergeCell ref="Q329:Q330"/>
    <mergeCell ref="R329:R330"/>
    <mergeCell ref="N329:N330"/>
    <mergeCell ref="N331:N334"/>
    <mergeCell ref="O331:O334"/>
    <mergeCell ref="Q331:Q334"/>
    <mergeCell ref="R331:R334"/>
    <mergeCell ref="N335:N337"/>
    <mergeCell ref="O335:O337"/>
    <mergeCell ref="N338:N340"/>
    <mergeCell ref="O338:O340"/>
    <mergeCell ref="Q338:Q340"/>
    <mergeCell ref="R338:R340"/>
    <mergeCell ref="O341:O343"/>
    <mergeCell ref="Q341:Q343"/>
    <mergeCell ref="R341:R343"/>
    <mergeCell ref="Q347:Q349"/>
    <mergeCell ref="R347:R349"/>
    <mergeCell ref="N341:N343"/>
    <mergeCell ref="N344:N346"/>
    <mergeCell ref="O344:O346"/>
    <mergeCell ref="Q344:Q346"/>
    <mergeCell ref="R344:R346"/>
    <mergeCell ref="N347:N349"/>
    <mergeCell ref="O347:O349"/>
    <mergeCell ref="Q360:Q361"/>
    <mergeCell ref="R360:R361"/>
    <mergeCell ref="Q619:Q621"/>
    <mergeCell ref="R619:R621"/>
    <mergeCell ref="N610:N612"/>
    <mergeCell ref="O610:O612"/>
    <mergeCell ref="Q610:Q612"/>
    <mergeCell ref="R610:R612"/>
    <mergeCell ref="O613:O615"/>
    <mergeCell ref="Q613:Q615"/>
    <mergeCell ref="R613:R615"/>
    <mergeCell ref="N613:N615"/>
    <mergeCell ref="N617:N618"/>
    <mergeCell ref="O617:O618"/>
    <mergeCell ref="Q617:Q618"/>
    <mergeCell ref="R617:R618"/>
    <mergeCell ref="N619:N621"/>
    <mergeCell ref="O619:O621"/>
    <mergeCell ref="N623:N624"/>
    <mergeCell ref="O623:O624"/>
    <mergeCell ref="Q623:Q624"/>
    <mergeCell ref="R623:R624"/>
    <mergeCell ref="O625:O627"/>
    <mergeCell ref="Q625:Q627"/>
    <mergeCell ref="R625:R627"/>
    <mergeCell ref="Q637:Q639"/>
    <mergeCell ref="R637:R639"/>
    <mergeCell ref="N625:N627"/>
    <mergeCell ref="N630:N632"/>
    <mergeCell ref="O630:O632"/>
    <mergeCell ref="Q630:Q632"/>
    <mergeCell ref="R630:R632"/>
    <mergeCell ref="N634:R636"/>
    <mergeCell ref="N637:N639"/>
    <mergeCell ref="O637:O639"/>
    <mergeCell ref="P637:P639"/>
    <mergeCell ref="O642:O644"/>
    <mergeCell ref="P642:P644"/>
    <mergeCell ref="Q642:Q644"/>
    <mergeCell ref="R642:R644"/>
    <mergeCell ref="S642:S644"/>
    <mergeCell ref="O648:O650"/>
    <mergeCell ref="P648:P650"/>
    <mergeCell ref="Q648:Q650"/>
    <mergeCell ref="R648:R650"/>
    <mergeCell ref="N642:N644"/>
    <mergeCell ref="N645:N647"/>
    <mergeCell ref="O645:O647"/>
    <mergeCell ref="P645:P647"/>
    <mergeCell ref="Q645:Q647"/>
    <mergeCell ref="R645:R647"/>
    <mergeCell ref="N648:N650"/>
    <mergeCell ref="P654:P656"/>
    <mergeCell ref="Q654:Q656"/>
    <mergeCell ref="N651:N653"/>
    <mergeCell ref="O651:O653"/>
    <mergeCell ref="P651:P653"/>
    <mergeCell ref="Q651:Q653"/>
    <mergeCell ref="R651:R653"/>
    <mergeCell ref="O654:O656"/>
    <mergeCell ref="R654:R656"/>
    <mergeCell ref="Q660:Q662"/>
    <mergeCell ref="R660:R662"/>
    <mergeCell ref="N654:N656"/>
    <mergeCell ref="N657:N659"/>
    <mergeCell ref="O657:O659"/>
    <mergeCell ref="P657:P659"/>
    <mergeCell ref="Q657:Q659"/>
    <mergeCell ref="R657:R659"/>
    <mergeCell ref="N660:N662"/>
    <mergeCell ref="O660:O662"/>
    <mergeCell ref="P660:P662"/>
    <mergeCell ref="N665:N668"/>
    <mergeCell ref="O665:O668"/>
    <mergeCell ref="P665:P668"/>
    <mergeCell ref="Q665:Q668"/>
    <mergeCell ref="R665:R668"/>
    <mergeCell ref="N515:N517"/>
    <mergeCell ref="O515:O517"/>
    <mergeCell ref="Q515:Q517"/>
    <mergeCell ref="R515:R517"/>
    <mergeCell ref="O519:O523"/>
    <mergeCell ref="Q519:Q523"/>
    <mergeCell ref="R519:R523"/>
    <mergeCell ref="N519:N523"/>
    <mergeCell ref="N524:N527"/>
    <mergeCell ref="O524:O527"/>
    <mergeCell ref="Q524:Q527"/>
    <mergeCell ref="R524:R527"/>
    <mergeCell ref="N529:N532"/>
    <mergeCell ref="O529:O532"/>
    <mergeCell ref="Q533:Q534"/>
    <mergeCell ref="Q535:Q538"/>
    <mergeCell ref="Q529:Q532"/>
    <mergeCell ref="R529:R532"/>
    <mergeCell ref="N533:N534"/>
    <mergeCell ref="O533:O534"/>
    <mergeCell ref="R533:R534"/>
    <mergeCell ref="O535:O538"/>
    <mergeCell ref="R535:R538"/>
    <mergeCell ref="Q543:Q548"/>
    <mergeCell ref="R543:R548"/>
    <mergeCell ref="N535:N538"/>
    <mergeCell ref="N539:N541"/>
    <mergeCell ref="O539:O541"/>
    <mergeCell ref="Q539:Q541"/>
    <mergeCell ref="R539:R541"/>
    <mergeCell ref="N543:N548"/>
    <mergeCell ref="O543:O548"/>
    <mergeCell ref="Q575:Q578"/>
    <mergeCell ref="Q579:Q582"/>
    <mergeCell ref="Q568:Q574"/>
    <mergeCell ref="R568:R574"/>
    <mergeCell ref="N575:N578"/>
    <mergeCell ref="O575:O578"/>
    <mergeCell ref="R575:R578"/>
    <mergeCell ref="O579:O582"/>
    <mergeCell ref="R579:R582"/>
    <mergeCell ref="Q593:Q595"/>
    <mergeCell ref="R593:R595"/>
    <mergeCell ref="N579:N582"/>
    <mergeCell ref="N586:N591"/>
    <mergeCell ref="O586:O591"/>
    <mergeCell ref="Q586:Q591"/>
    <mergeCell ref="R586:R591"/>
    <mergeCell ref="O593:O595"/>
    <mergeCell ref="N597:R599"/>
    <mergeCell ref="Q605:Q607"/>
    <mergeCell ref="R605:R607"/>
    <mergeCell ref="N593:N595"/>
    <mergeCell ref="N602:N604"/>
    <mergeCell ref="O602:O604"/>
    <mergeCell ref="Q602:Q604"/>
    <mergeCell ref="R602:R604"/>
    <mergeCell ref="N605:N607"/>
    <mergeCell ref="O605:O607"/>
    <mergeCell ref="Q686:Q688"/>
    <mergeCell ref="R686:R688"/>
    <mergeCell ref="Q689:Q691"/>
    <mergeCell ref="R689:R691"/>
    <mergeCell ref="Q692:Q693"/>
    <mergeCell ref="R692:R693"/>
    <mergeCell ref="O686:O688"/>
    <mergeCell ref="P686:P688"/>
    <mergeCell ref="N689:N691"/>
    <mergeCell ref="O689:O691"/>
    <mergeCell ref="P689:P691"/>
    <mergeCell ref="O692:O693"/>
    <mergeCell ref="P692:P693"/>
    <mergeCell ref="Q778:Q782"/>
    <mergeCell ref="R778:R782"/>
    <mergeCell ref="Q786:Q787"/>
    <mergeCell ref="R786:R787"/>
    <mergeCell ref="Q790:Q792"/>
    <mergeCell ref="R790:R792"/>
    <mergeCell ref="O778:O782"/>
    <mergeCell ref="P778:P782"/>
    <mergeCell ref="N786:N787"/>
    <mergeCell ref="O786:O787"/>
    <mergeCell ref="P786:P787"/>
    <mergeCell ref="O790:O792"/>
    <mergeCell ref="P790:P792"/>
    <mergeCell ref="O763:O766"/>
    <mergeCell ref="P763:P766"/>
    <mergeCell ref="Q763:Q766"/>
    <mergeCell ref="R763:R766"/>
    <mergeCell ref="N754:N757"/>
    <mergeCell ref="N759:N762"/>
    <mergeCell ref="O759:O762"/>
    <mergeCell ref="P759:P762"/>
    <mergeCell ref="Q759:Q762"/>
    <mergeCell ref="R759:R762"/>
    <mergeCell ref="N763:N766"/>
    <mergeCell ref="P769:P772"/>
    <mergeCell ref="Q769:Q772"/>
    <mergeCell ref="N767:N768"/>
    <mergeCell ref="O767:O768"/>
    <mergeCell ref="P767:P768"/>
    <mergeCell ref="Q767:Q768"/>
    <mergeCell ref="R767:R768"/>
    <mergeCell ref="O769:O772"/>
    <mergeCell ref="R769:R772"/>
    <mergeCell ref="N769:N772"/>
    <mergeCell ref="N775:N777"/>
    <mergeCell ref="O775:O777"/>
    <mergeCell ref="P775:P777"/>
    <mergeCell ref="Q775:Q777"/>
    <mergeCell ref="R775:R777"/>
    <mergeCell ref="N778:N782"/>
    <mergeCell ref="O796:O797"/>
    <mergeCell ref="P796:P797"/>
    <mergeCell ref="N798:N800"/>
    <mergeCell ref="O798:O800"/>
    <mergeCell ref="P798:P800"/>
    <mergeCell ref="Q798:Q800"/>
    <mergeCell ref="R798:R800"/>
    <mergeCell ref="Q698:Q699"/>
    <mergeCell ref="R698:R699"/>
    <mergeCell ref="N692:N693"/>
    <mergeCell ref="N695:N697"/>
    <mergeCell ref="O695:O697"/>
    <mergeCell ref="P695:P697"/>
    <mergeCell ref="Q695:Q697"/>
    <mergeCell ref="R695:R697"/>
    <mergeCell ref="N698:N699"/>
    <mergeCell ref="P671:P672"/>
    <mergeCell ref="Q671:Q672"/>
    <mergeCell ref="N669:N670"/>
    <mergeCell ref="O669:O670"/>
    <mergeCell ref="P669:P670"/>
    <mergeCell ref="Q669:Q670"/>
    <mergeCell ref="R669:R670"/>
    <mergeCell ref="O671:O672"/>
    <mergeCell ref="R671:R672"/>
    <mergeCell ref="O677:O680"/>
    <mergeCell ref="P677:P680"/>
    <mergeCell ref="Q677:Q680"/>
    <mergeCell ref="R677:R680"/>
    <mergeCell ref="N671:N672"/>
    <mergeCell ref="N673:N676"/>
    <mergeCell ref="O673:O676"/>
    <mergeCell ref="P673:P676"/>
    <mergeCell ref="Q673:Q676"/>
    <mergeCell ref="R673:R676"/>
    <mergeCell ref="N677:N680"/>
    <mergeCell ref="N681:N682"/>
    <mergeCell ref="O681:O682"/>
    <mergeCell ref="P681:P682"/>
    <mergeCell ref="Q681:Q682"/>
    <mergeCell ref="R681:R682"/>
    <mergeCell ref="N683:R685"/>
    <mergeCell ref="N686:N688"/>
    <mergeCell ref="O698:O699"/>
    <mergeCell ref="P698:P699"/>
    <mergeCell ref="N702:N703"/>
    <mergeCell ref="O702:O703"/>
    <mergeCell ref="P702:P703"/>
    <mergeCell ref="Q702:Q703"/>
    <mergeCell ref="R702:R703"/>
    <mergeCell ref="Q706:Q709"/>
    <mergeCell ref="R706:R709"/>
    <mergeCell ref="Q710:Q711"/>
    <mergeCell ref="R710:R711"/>
    <mergeCell ref="N704:N705"/>
    <mergeCell ref="O704:O705"/>
    <mergeCell ref="P704:P705"/>
    <mergeCell ref="Q704:Q705"/>
    <mergeCell ref="R704:R705"/>
    <mergeCell ref="S704:S705"/>
    <mergeCell ref="N706:N709"/>
    <mergeCell ref="P712:P718"/>
    <mergeCell ref="Q712:Q718"/>
    <mergeCell ref="R712:R718"/>
    <mergeCell ref="S712:S718"/>
    <mergeCell ref="O706:O709"/>
    <mergeCell ref="P706:P709"/>
    <mergeCell ref="N710:N711"/>
    <mergeCell ref="O710:O711"/>
    <mergeCell ref="P710:P711"/>
    <mergeCell ref="N712:N718"/>
    <mergeCell ref="O712:O718"/>
    <mergeCell ref="P724:P725"/>
    <mergeCell ref="Q724:Q725"/>
    <mergeCell ref="O728:O729"/>
    <mergeCell ref="P728:P729"/>
    <mergeCell ref="Q728:Q729"/>
    <mergeCell ref="R728:R729"/>
    <mergeCell ref="Q752:Q753"/>
    <mergeCell ref="R752:R753"/>
    <mergeCell ref="N750:N751"/>
    <mergeCell ref="O750:O751"/>
    <mergeCell ref="P750:P751"/>
    <mergeCell ref="Q750:Q751"/>
    <mergeCell ref="R750:R751"/>
    <mergeCell ref="S750:S751"/>
    <mergeCell ref="N752:N753"/>
    <mergeCell ref="N720:N722"/>
    <mergeCell ref="O720:O722"/>
    <mergeCell ref="P720:P722"/>
    <mergeCell ref="Q720:Q722"/>
    <mergeCell ref="R720:R722"/>
    <mergeCell ref="O724:O725"/>
    <mergeCell ref="R724:R725"/>
    <mergeCell ref="N724:N725"/>
    <mergeCell ref="N726:N727"/>
    <mergeCell ref="O726:O727"/>
    <mergeCell ref="P726:P727"/>
    <mergeCell ref="Q726:Q727"/>
    <mergeCell ref="R726:R727"/>
    <mergeCell ref="N728:N729"/>
    <mergeCell ref="P737:P740"/>
    <mergeCell ref="Q737:Q740"/>
    <mergeCell ref="P742:P743"/>
    <mergeCell ref="Q742:Q743"/>
    <mergeCell ref="R742:R743"/>
    <mergeCell ref="N733:N735"/>
    <mergeCell ref="O733:O735"/>
    <mergeCell ref="P733:P735"/>
    <mergeCell ref="Q733:Q735"/>
    <mergeCell ref="R733:R735"/>
    <mergeCell ref="O737:O740"/>
    <mergeCell ref="R737:R740"/>
    <mergeCell ref="R744:R749"/>
    <mergeCell ref="S744:S749"/>
    <mergeCell ref="N737:N740"/>
    <mergeCell ref="N742:N743"/>
    <mergeCell ref="O742:O743"/>
    <mergeCell ref="N744:N749"/>
    <mergeCell ref="O744:O749"/>
    <mergeCell ref="P744:P749"/>
    <mergeCell ref="Q744:Q749"/>
    <mergeCell ref="O752:O753"/>
    <mergeCell ref="P752:P753"/>
    <mergeCell ref="O754:O757"/>
    <mergeCell ref="P754:P757"/>
    <mergeCell ref="Q754:Q757"/>
    <mergeCell ref="R754:R757"/>
    <mergeCell ref="S754:S757"/>
    <mergeCell ref="Q796:Q797"/>
    <mergeCell ref="R796:R797"/>
    <mergeCell ref="N790:N792"/>
    <mergeCell ref="N793:N795"/>
    <mergeCell ref="O793:O795"/>
    <mergeCell ref="P793:P795"/>
    <mergeCell ref="Q793:Q795"/>
    <mergeCell ref="R793:R795"/>
    <mergeCell ref="N796:N797"/>
    <mergeCell ref="P806:P808"/>
    <mergeCell ref="Q806:Q808"/>
    <mergeCell ref="N801:N804"/>
    <mergeCell ref="O801:O804"/>
    <mergeCell ref="P801:P804"/>
    <mergeCell ref="Q801:Q804"/>
    <mergeCell ref="R801:R804"/>
    <mergeCell ref="O806:O808"/>
    <mergeCell ref="R806:R808"/>
    <mergeCell ref="Q812:Q813"/>
    <mergeCell ref="R812:R813"/>
    <mergeCell ref="N806:N808"/>
    <mergeCell ref="N809:N811"/>
    <mergeCell ref="O809:O811"/>
    <mergeCell ref="P809:P811"/>
    <mergeCell ref="Q809:Q811"/>
    <mergeCell ref="R809:R811"/>
    <mergeCell ref="N812:N813"/>
    <mergeCell ref="O812:O813"/>
    <mergeCell ref="P812:P813"/>
    <mergeCell ref="N816:N817"/>
    <mergeCell ref="O816:O817"/>
    <mergeCell ref="P816:P817"/>
    <mergeCell ref="Q816:Q817"/>
    <mergeCell ref="R816:R817"/>
    <mergeCell ref="N818:N819"/>
    <mergeCell ref="O818:O819"/>
    <mergeCell ref="P818:P819"/>
    <mergeCell ref="Q818:Q819"/>
    <mergeCell ref="R818:R819"/>
    <mergeCell ref="N828:N829"/>
    <mergeCell ref="O828:O829"/>
    <mergeCell ref="R828:R829"/>
    <mergeCell ref="P828:P829"/>
    <mergeCell ref="Q828:Q829"/>
    <mergeCell ref="N831:N834"/>
    <mergeCell ref="O831:O834"/>
    <mergeCell ref="P831:P834"/>
    <mergeCell ref="Q831:Q834"/>
    <mergeCell ref="R831:R834"/>
    <mergeCell ref="N1027:N1033"/>
    <mergeCell ref="O1027:O1033"/>
    <mergeCell ref="P1027:P1033"/>
    <mergeCell ref="Q1027:Q1033"/>
    <mergeCell ref="R1027:R1033"/>
    <mergeCell ref="O1034:O1036"/>
    <mergeCell ref="R1034:R1036"/>
    <mergeCell ref="Q1041:Q1043"/>
    <mergeCell ref="R1041:R1043"/>
    <mergeCell ref="N1034:N1036"/>
    <mergeCell ref="N1037:N1040"/>
    <mergeCell ref="O1037:O1040"/>
    <mergeCell ref="P1037:P1040"/>
    <mergeCell ref="Q1037:Q1040"/>
    <mergeCell ref="R1037:R1040"/>
    <mergeCell ref="N1041:N1043"/>
    <mergeCell ref="P1012:P1014"/>
    <mergeCell ref="Q1012:Q1014"/>
    <mergeCell ref="N1008:N1011"/>
    <mergeCell ref="O1008:O1011"/>
    <mergeCell ref="P1008:P1011"/>
    <mergeCell ref="Q1008:Q1011"/>
    <mergeCell ref="R1008:R1011"/>
    <mergeCell ref="O1012:O1014"/>
    <mergeCell ref="R1012:R1014"/>
    <mergeCell ref="Q1020:Q1022"/>
    <mergeCell ref="R1020:R1022"/>
    <mergeCell ref="N1012:N1014"/>
    <mergeCell ref="N1016:N1019"/>
    <mergeCell ref="O1016:O1019"/>
    <mergeCell ref="P1016:P1019"/>
    <mergeCell ref="Q1016:Q1019"/>
    <mergeCell ref="R1016:R1019"/>
    <mergeCell ref="N1020:N1022"/>
    <mergeCell ref="O1020:O1022"/>
    <mergeCell ref="P1020:P1022"/>
    <mergeCell ref="N1023:N1026"/>
    <mergeCell ref="O1023:O1026"/>
    <mergeCell ref="P1023:P1026"/>
    <mergeCell ref="Q1023:Q1026"/>
    <mergeCell ref="R1023:R1026"/>
    <mergeCell ref="P1034:P1036"/>
    <mergeCell ref="Q1034:Q1036"/>
    <mergeCell ref="O1041:O1043"/>
    <mergeCell ref="P1041:P1043"/>
    <mergeCell ref="N1046:N1048"/>
    <mergeCell ref="O1046:O1048"/>
    <mergeCell ref="P1046:P1048"/>
    <mergeCell ref="Q1046:Q1048"/>
    <mergeCell ref="R1046:R1048"/>
    <mergeCell ref="N1091:N1093"/>
    <mergeCell ref="O1091:O1093"/>
    <mergeCell ref="P1091:P1093"/>
    <mergeCell ref="Q1091:Q1093"/>
    <mergeCell ref="R1091:R1093"/>
    <mergeCell ref="O1096:O1098"/>
    <mergeCell ref="R1096:R1098"/>
    <mergeCell ref="Q1105:Q1108"/>
    <mergeCell ref="R1105:R1108"/>
    <mergeCell ref="N1096:N1098"/>
    <mergeCell ref="N1101:N1104"/>
    <mergeCell ref="O1101:O1104"/>
    <mergeCell ref="P1101:P1104"/>
    <mergeCell ref="Q1101:Q1104"/>
    <mergeCell ref="R1101:R1104"/>
    <mergeCell ref="N1105:N1108"/>
    <mergeCell ref="P1077:P1079"/>
    <mergeCell ref="Q1077:Q1079"/>
    <mergeCell ref="N1072:N1075"/>
    <mergeCell ref="O1072:O1075"/>
    <mergeCell ref="P1072:P1075"/>
    <mergeCell ref="Q1072:Q1075"/>
    <mergeCell ref="R1072:R1075"/>
    <mergeCell ref="O1077:O1079"/>
    <mergeCell ref="R1077:R1079"/>
    <mergeCell ref="Q1084:Q1086"/>
    <mergeCell ref="R1084:R1086"/>
    <mergeCell ref="N1077:N1079"/>
    <mergeCell ref="N1081:N1082"/>
    <mergeCell ref="O1081:O1082"/>
    <mergeCell ref="P1081:P1082"/>
    <mergeCell ref="Q1081:Q1082"/>
    <mergeCell ref="R1081:R1082"/>
    <mergeCell ref="N1084:N1086"/>
    <mergeCell ref="O1084:O1086"/>
    <mergeCell ref="P1084:P1086"/>
    <mergeCell ref="N1088:N1090"/>
    <mergeCell ref="O1088:O1090"/>
    <mergeCell ref="P1088:P1090"/>
    <mergeCell ref="Q1088:Q1090"/>
    <mergeCell ref="R1088:R1090"/>
    <mergeCell ref="P1096:P1098"/>
    <mergeCell ref="Q1096:Q1098"/>
    <mergeCell ref="O1105:O1108"/>
    <mergeCell ref="P1105:P1108"/>
    <mergeCell ref="N1109:N1111"/>
    <mergeCell ref="O1109:O1111"/>
    <mergeCell ref="P1109:P1111"/>
    <mergeCell ref="Q1109:Q1111"/>
    <mergeCell ref="R1109:R1111"/>
    <mergeCell ref="P1145:P1146"/>
    <mergeCell ref="Q1145:Q1146"/>
    <mergeCell ref="N1141:N1144"/>
    <mergeCell ref="O1141:O1144"/>
    <mergeCell ref="P1141:P1144"/>
    <mergeCell ref="Q1141:Q1144"/>
    <mergeCell ref="R1141:R1144"/>
    <mergeCell ref="O1145:O1146"/>
    <mergeCell ref="R1145:R1146"/>
    <mergeCell ref="Q1151:Q1153"/>
    <mergeCell ref="R1151:R1153"/>
    <mergeCell ref="N1145:N1146"/>
    <mergeCell ref="N1147:N1150"/>
    <mergeCell ref="O1147:O1150"/>
    <mergeCell ref="P1147:P1150"/>
    <mergeCell ref="Q1147:Q1150"/>
    <mergeCell ref="R1147:R1150"/>
    <mergeCell ref="N1151:N1153"/>
    <mergeCell ref="P1117:P1119"/>
    <mergeCell ref="Q1117:Q1119"/>
    <mergeCell ref="P1120:P1121"/>
    <mergeCell ref="Q1120:Q1121"/>
    <mergeCell ref="R1120:R1121"/>
    <mergeCell ref="N1112:N1114"/>
    <mergeCell ref="O1112:O1114"/>
    <mergeCell ref="P1112:P1114"/>
    <mergeCell ref="Q1112:Q1114"/>
    <mergeCell ref="R1112:R1114"/>
    <mergeCell ref="O1117:O1119"/>
    <mergeCell ref="R1117:R1119"/>
    <mergeCell ref="N1117:N1119"/>
    <mergeCell ref="N1120:N1121"/>
    <mergeCell ref="O1120:O1121"/>
    <mergeCell ref="O1122:O1125"/>
    <mergeCell ref="P1122:P1125"/>
    <mergeCell ref="Q1122:Q1125"/>
    <mergeCell ref="R1122:R1125"/>
    <mergeCell ref="Q1131:Q1133"/>
    <mergeCell ref="R1131:R1133"/>
    <mergeCell ref="N1122:N1125"/>
    <mergeCell ref="N1127:N1129"/>
    <mergeCell ref="O1127:O1129"/>
    <mergeCell ref="P1127:P1129"/>
    <mergeCell ref="Q1127:Q1129"/>
    <mergeCell ref="R1127:R1129"/>
    <mergeCell ref="N1131:N1133"/>
    <mergeCell ref="O1131:O1133"/>
    <mergeCell ref="P1131:P1133"/>
    <mergeCell ref="N1137:N1140"/>
    <mergeCell ref="O1137:O1140"/>
    <mergeCell ref="P1137:P1140"/>
    <mergeCell ref="Q1137:Q1140"/>
    <mergeCell ref="R1137:R1140"/>
    <mergeCell ref="O1151:O1153"/>
    <mergeCell ref="P1151:P1153"/>
    <mergeCell ref="N1155:N1159"/>
    <mergeCell ref="O1155:O1159"/>
    <mergeCell ref="P1155:P1159"/>
    <mergeCell ref="Q1155:Q1159"/>
    <mergeCell ref="R1155:R1159"/>
    <mergeCell ref="P1162:P1164"/>
    <mergeCell ref="Q1162:Q1164"/>
    <mergeCell ref="N1160:N1161"/>
    <mergeCell ref="O1160:O1161"/>
    <mergeCell ref="P1160:P1161"/>
    <mergeCell ref="Q1160:Q1161"/>
    <mergeCell ref="R1160:R1161"/>
    <mergeCell ref="O1162:O1164"/>
    <mergeCell ref="R1162:R1164"/>
    <mergeCell ref="Q1169:Q1171"/>
    <mergeCell ref="R1169:R1171"/>
    <mergeCell ref="N1162:N1164"/>
    <mergeCell ref="N1165:N1168"/>
    <mergeCell ref="O1165:O1168"/>
    <mergeCell ref="P1165:P1168"/>
    <mergeCell ref="Q1165:Q1168"/>
    <mergeCell ref="R1165:R1168"/>
    <mergeCell ref="N1169:N1171"/>
    <mergeCell ref="O1169:O1171"/>
    <mergeCell ref="P1169:P1171"/>
    <mergeCell ref="N1172:N1175"/>
    <mergeCell ref="O1172:O1175"/>
    <mergeCell ref="P1172:P1175"/>
    <mergeCell ref="Q1172:Q1175"/>
    <mergeCell ref="R1172:R1175"/>
    <mergeCell ref="N1177:N1178"/>
    <mergeCell ref="O1177:O1178"/>
    <mergeCell ref="P1177:P1178"/>
    <mergeCell ref="Q1177:Q1178"/>
    <mergeCell ref="R1177:R1178"/>
    <mergeCell ref="N1179:N1180"/>
    <mergeCell ref="O1179:O1180"/>
    <mergeCell ref="R1179:R1180"/>
    <mergeCell ref="P1179:P1180"/>
    <mergeCell ref="Q1179:Q1180"/>
    <mergeCell ref="N1183:N1186"/>
    <mergeCell ref="O1183:O1186"/>
    <mergeCell ref="P1183:P1186"/>
    <mergeCell ref="Q1183:Q1186"/>
    <mergeCell ref="R1183:R1186"/>
    <mergeCell ref="P1218:P1221"/>
    <mergeCell ref="Q1218:Q1221"/>
    <mergeCell ref="N1213:N1215"/>
    <mergeCell ref="O1213:O1215"/>
    <mergeCell ref="P1213:P1215"/>
    <mergeCell ref="Q1213:Q1215"/>
    <mergeCell ref="R1213:R1215"/>
    <mergeCell ref="O1218:O1221"/>
    <mergeCell ref="R1218:R1221"/>
    <mergeCell ref="O1838:O1840"/>
    <mergeCell ref="P1838:P1840"/>
    <mergeCell ref="N1831:N1833"/>
    <mergeCell ref="O1831:O1833"/>
    <mergeCell ref="P1831:P1833"/>
    <mergeCell ref="N1835:N1837"/>
    <mergeCell ref="O1835:O1837"/>
    <mergeCell ref="P1835:P1837"/>
    <mergeCell ref="N1838:N1840"/>
    <mergeCell ref="O1848:O1850"/>
    <mergeCell ref="P1848:P1850"/>
    <mergeCell ref="N1841:N1843"/>
    <mergeCell ref="O1841:O1843"/>
    <mergeCell ref="P1841:P1843"/>
    <mergeCell ref="N1844:N1846"/>
    <mergeCell ref="O1844:O1846"/>
    <mergeCell ref="P1844:P1846"/>
    <mergeCell ref="N1848:N1850"/>
    <mergeCell ref="O1861:O1863"/>
    <mergeCell ref="P1861:P1863"/>
    <mergeCell ref="N1853:N1854"/>
    <mergeCell ref="O1853:O1854"/>
    <mergeCell ref="P1853:P1854"/>
    <mergeCell ref="N1855:N1859"/>
    <mergeCell ref="O1855:O1859"/>
    <mergeCell ref="P1855:P1859"/>
    <mergeCell ref="N1861:N1863"/>
    <mergeCell ref="O1872:O1875"/>
    <mergeCell ref="P1872:P1875"/>
    <mergeCell ref="N1864:N1869"/>
    <mergeCell ref="O1864:O1869"/>
    <mergeCell ref="P1864:P1869"/>
    <mergeCell ref="N1870:N1871"/>
    <mergeCell ref="O1870:O1871"/>
    <mergeCell ref="P1870:P1871"/>
    <mergeCell ref="N1872:N1875"/>
    <mergeCell ref="O1883:O1885"/>
    <mergeCell ref="P1883:P1885"/>
    <mergeCell ref="N1877:N1879"/>
    <mergeCell ref="O1877:O1879"/>
    <mergeCell ref="P1877:P1879"/>
    <mergeCell ref="N1880:N1882"/>
    <mergeCell ref="O1880:O1882"/>
    <mergeCell ref="P1880:P1882"/>
    <mergeCell ref="N1883:N1885"/>
    <mergeCell ref="O1893:O1895"/>
    <mergeCell ref="P1893:P1895"/>
    <mergeCell ref="N1886:N1888"/>
    <mergeCell ref="O1886:O1888"/>
    <mergeCell ref="P1886:P1888"/>
    <mergeCell ref="N1890:N1892"/>
    <mergeCell ref="O1890:O1892"/>
    <mergeCell ref="P1890:P1892"/>
    <mergeCell ref="N1893:N1895"/>
    <mergeCell ref="O1919:O1920"/>
    <mergeCell ref="P1919:P1920"/>
    <mergeCell ref="N1914:N1916"/>
    <mergeCell ref="O1914:O1916"/>
    <mergeCell ref="P1914:P1916"/>
    <mergeCell ref="N1917:N1918"/>
    <mergeCell ref="O1917:O1918"/>
    <mergeCell ref="P1917:P1918"/>
    <mergeCell ref="N1919:N1920"/>
    <mergeCell ref="R1941:R1945"/>
    <mergeCell ref="R1948:R1949"/>
    <mergeCell ref="R1950:R1951"/>
    <mergeCell ref="R1952:R1953"/>
    <mergeCell ref="R1954:R1956"/>
    <mergeCell ref="R1959:R1961"/>
    <mergeCell ref="R1962:R1964"/>
    <mergeCell ref="R1965:R1967"/>
    <mergeCell ref="R1968:R1970"/>
    <mergeCell ref="R1971:R1972"/>
    <mergeCell ref="R1975:R1977"/>
    <mergeCell ref="R1978:R1979"/>
    <mergeCell ref="R1980:R1982"/>
    <mergeCell ref="R1983:R1985"/>
    <mergeCell ref="R1987:R1989"/>
    <mergeCell ref="R1990:R1992"/>
    <mergeCell ref="R1993:R1995"/>
    <mergeCell ref="R1996:R1998"/>
    <mergeCell ref="R2003:R2005"/>
    <mergeCell ref="R2009:R2011"/>
    <mergeCell ref="R2015:R2016"/>
    <mergeCell ref="R2017:R2019"/>
    <mergeCell ref="R2020:R2022"/>
    <mergeCell ref="R2023:R2025"/>
    <mergeCell ref="R2026:R2027"/>
    <mergeCell ref="R2028:R2030"/>
    <mergeCell ref="R2032:R2033"/>
    <mergeCell ref="R2038:R2039"/>
    <mergeCell ref="R2045:R2047"/>
    <mergeCell ref="R2048:R2049"/>
    <mergeCell ref="R2055:R2058"/>
    <mergeCell ref="R2059:R2060"/>
    <mergeCell ref="R2061:R2063"/>
    <mergeCell ref="R2065:R2068"/>
    <mergeCell ref="R2069:R2070"/>
    <mergeCell ref="R2098:R2100"/>
    <mergeCell ref="R2101:R2103"/>
    <mergeCell ref="R2104:R2105"/>
    <mergeCell ref="R2110:R2113"/>
    <mergeCell ref="R2071:R2072"/>
    <mergeCell ref="R2073:R2079"/>
    <mergeCell ref="R2080:R2083"/>
    <mergeCell ref="R2084:R2085"/>
    <mergeCell ref="R2086:R2088"/>
    <mergeCell ref="R2089:R2093"/>
    <mergeCell ref="R2095:R2097"/>
    <mergeCell ref="R1771:R1773"/>
    <mergeCell ref="R1774:R1776"/>
    <mergeCell ref="R1777:R1779"/>
    <mergeCell ref="R1782:R1783"/>
    <mergeCell ref="R1785:R1787"/>
    <mergeCell ref="R1788:R1790"/>
    <mergeCell ref="R1791:R1793"/>
    <mergeCell ref="R1794:R1795"/>
    <mergeCell ref="R1796:R1798"/>
    <mergeCell ref="R1799:R1804"/>
    <mergeCell ref="R1805:R1806"/>
    <mergeCell ref="R1807:R1809"/>
    <mergeCell ref="R1810:R1813"/>
    <mergeCell ref="R1816:R1818"/>
    <mergeCell ref="R1819:R1821"/>
    <mergeCell ref="R1822:R1824"/>
    <mergeCell ref="R1825:R1827"/>
    <mergeCell ref="R1828:R1830"/>
    <mergeCell ref="R1831:R1833"/>
    <mergeCell ref="R1835:R1837"/>
    <mergeCell ref="S1838:S1840"/>
    <mergeCell ref="R1838:R1840"/>
    <mergeCell ref="R1841:R1843"/>
    <mergeCell ref="R1844:R1846"/>
    <mergeCell ref="R1848:R1850"/>
    <mergeCell ref="R1853:R1854"/>
    <mergeCell ref="R1855:R1859"/>
    <mergeCell ref="R1861:R1863"/>
    <mergeCell ref="R1864:R1869"/>
    <mergeCell ref="R1870:R1871"/>
    <mergeCell ref="R1872:R1875"/>
    <mergeCell ref="R1877:R1879"/>
    <mergeCell ref="R1880:R1882"/>
    <mergeCell ref="R1883:R1885"/>
    <mergeCell ref="R1886:R1888"/>
    <mergeCell ref="R1890:R1892"/>
    <mergeCell ref="R1893:R1895"/>
    <mergeCell ref="R1899:R1901"/>
    <mergeCell ref="R1905:R1907"/>
    <mergeCell ref="R1909:R1911"/>
    <mergeCell ref="R1914:R1916"/>
    <mergeCell ref="R1917:R1918"/>
    <mergeCell ref="R1919:R1920"/>
    <mergeCell ref="R1921:R1923"/>
    <mergeCell ref="R1924:R1926"/>
    <mergeCell ref="R1929:R1931"/>
    <mergeCell ref="R1932:R1934"/>
    <mergeCell ref="R1935:R1937"/>
    <mergeCell ref="R1938:R1939"/>
    <mergeCell ref="O1929:O1931"/>
    <mergeCell ref="P1929:P1931"/>
    <mergeCell ref="N1921:N1923"/>
    <mergeCell ref="O1921:O1923"/>
    <mergeCell ref="P1921:P1923"/>
    <mergeCell ref="N1924:N1926"/>
    <mergeCell ref="O1924:O1926"/>
    <mergeCell ref="P1924:P1926"/>
    <mergeCell ref="N1929:N1931"/>
    <mergeCell ref="O1938:O1939"/>
    <mergeCell ref="P1938:P1939"/>
    <mergeCell ref="N1932:N1934"/>
    <mergeCell ref="O1932:O1934"/>
    <mergeCell ref="P1932:P1934"/>
    <mergeCell ref="N1935:N1937"/>
    <mergeCell ref="O1935:O1937"/>
    <mergeCell ref="P1935:P1937"/>
    <mergeCell ref="N1938:N1939"/>
    <mergeCell ref="O1950:O1951"/>
    <mergeCell ref="P1950:P1951"/>
    <mergeCell ref="N1941:N1945"/>
    <mergeCell ref="O1941:O1945"/>
    <mergeCell ref="P1941:P1945"/>
    <mergeCell ref="N1948:N1949"/>
    <mergeCell ref="O1948:O1949"/>
    <mergeCell ref="P1948:P1949"/>
    <mergeCell ref="N1950:N1951"/>
    <mergeCell ref="O1959:O1961"/>
    <mergeCell ref="P1959:P1961"/>
    <mergeCell ref="N1952:N1953"/>
    <mergeCell ref="O1952:O1953"/>
    <mergeCell ref="P1952:P1953"/>
    <mergeCell ref="N1954:N1956"/>
    <mergeCell ref="O1954:O1956"/>
    <mergeCell ref="P1954:P1956"/>
    <mergeCell ref="N1959:N1961"/>
    <mergeCell ref="O1968:O1970"/>
    <mergeCell ref="P1968:P1970"/>
    <mergeCell ref="N1962:N1964"/>
    <mergeCell ref="O1962:O1964"/>
    <mergeCell ref="P1962:P1964"/>
    <mergeCell ref="N1965:N1967"/>
    <mergeCell ref="O1965:O1967"/>
    <mergeCell ref="P1965:P1967"/>
    <mergeCell ref="N1968:N1970"/>
    <mergeCell ref="O1978:O1979"/>
    <mergeCell ref="P1978:P1979"/>
    <mergeCell ref="N1971:N1972"/>
    <mergeCell ref="O1971:O1972"/>
    <mergeCell ref="P1971:P1972"/>
    <mergeCell ref="N1975:N1977"/>
    <mergeCell ref="O1975:O1977"/>
    <mergeCell ref="P1975:P1977"/>
    <mergeCell ref="N1978:N1979"/>
    <mergeCell ref="O1987:O1989"/>
    <mergeCell ref="P1987:P1989"/>
    <mergeCell ref="N1980:N1982"/>
    <mergeCell ref="O1980:O1982"/>
    <mergeCell ref="P1980:P1982"/>
    <mergeCell ref="N1983:N1985"/>
    <mergeCell ref="O1983:O1985"/>
    <mergeCell ref="P1983:P1985"/>
    <mergeCell ref="N1987:N1989"/>
    <mergeCell ref="Q1987:Q1989"/>
    <mergeCell ref="Q1990:Q1992"/>
    <mergeCell ref="Q1993:Q1995"/>
    <mergeCell ref="Q1996:Q1998"/>
    <mergeCell ref="Q2003:Q2005"/>
    <mergeCell ref="Q2009:Q2011"/>
    <mergeCell ref="Q2015:Q2016"/>
    <mergeCell ref="Q2017:Q2019"/>
    <mergeCell ref="Q2020:Q2022"/>
    <mergeCell ref="Q2023:Q2025"/>
    <mergeCell ref="Q2026:Q2027"/>
    <mergeCell ref="Q2028:Q2030"/>
    <mergeCell ref="Q2032:Q2033"/>
    <mergeCell ref="Q2038:Q2039"/>
    <mergeCell ref="Q2098:Q2100"/>
    <mergeCell ref="Q2101:Q2103"/>
    <mergeCell ref="Q2104:Q2105"/>
    <mergeCell ref="Q2110:Q2113"/>
    <mergeCell ref="Q2071:Q2072"/>
    <mergeCell ref="Q2073:Q2079"/>
    <mergeCell ref="Q2080:Q2083"/>
    <mergeCell ref="Q2084:Q2085"/>
    <mergeCell ref="Q2086:Q2088"/>
    <mergeCell ref="Q2089:Q2093"/>
    <mergeCell ref="Q2095:Q2097"/>
    <mergeCell ref="Q1745:Q1748"/>
    <mergeCell ref="Q1749:Q1751"/>
    <mergeCell ref="Q1752:Q1754"/>
    <mergeCell ref="Q1755:Q1758"/>
    <mergeCell ref="Q1759:Q1762"/>
    <mergeCell ref="Q1763:Q1764"/>
    <mergeCell ref="Q1765:Q1767"/>
    <mergeCell ref="Q1769:Q1770"/>
    <mergeCell ref="Q1771:Q1773"/>
    <mergeCell ref="Q1774:Q1776"/>
    <mergeCell ref="Q1777:Q1779"/>
    <mergeCell ref="Q1782:Q1783"/>
    <mergeCell ref="Q1785:Q1787"/>
    <mergeCell ref="Q1788:Q1790"/>
    <mergeCell ref="Q1791:Q1793"/>
    <mergeCell ref="Q1794:Q1795"/>
    <mergeCell ref="Q1796:Q1798"/>
    <mergeCell ref="Q1799:Q1804"/>
    <mergeCell ref="Q1805:Q1806"/>
    <mergeCell ref="Q1807:Q1809"/>
    <mergeCell ref="Q1810:Q1813"/>
    <mergeCell ref="Q1816:Q1818"/>
    <mergeCell ref="Q1819:Q1821"/>
    <mergeCell ref="Q1822:Q1824"/>
    <mergeCell ref="Q1825:Q1827"/>
    <mergeCell ref="Q1828:Q1830"/>
    <mergeCell ref="Q1831:Q1833"/>
    <mergeCell ref="Q1835:Q1837"/>
    <mergeCell ref="Q1838:Q1840"/>
    <mergeCell ref="Q1841:Q1843"/>
    <mergeCell ref="Q1844:Q1846"/>
    <mergeCell ref="Q1848:Q1850"/>
    <mergeCell ref="Q1853:Q1854"/>
    <mergeCell ref="Q1855:Q1859"/>
    <mergeCell ref="Q1861:Q1863"/>
    <mergeCell ref="Q1864:Q1869"/>
    <mergeCell ref="Q1870:Q1871"/>
    <mergeCell ref="Q1872:Q1875"/>
    <mergeCell ref="Q1877:Q1879"/>
    <mergeCell ref="Q1880:Q1882"/>
    <mergeCell ref="Q1883:Q1885"/>
    <mergeCell ref="Q1886:Q1888"/>
    <mergeCell ref="Q2045:Q2047"/>
    <mergeCell ref="Q2048:Q2049"/>
    <mergeCell ref="Q2055:Q2058"/>
    <mergeCell ref="Q2059:Q2060"/>
    <mergeCell ref="Q2061:Q2063"/>
    <mergeCell ref="Q2065:Q2068"/>
    <mergeCell ref="Q2069:Q2070"/>
    <mergeCell ref="O1749:O1751"/>
    <mergeCell ref="P1749:P1751"/>
    <mergeCell ref="N1741:N1743"/>
    <mergeCell ref="O1741:O1743"/>
    <mergeCell ref="P1741:P1743"/>
    <mergeCell ref="N1745:N1748"/>
    <mergeCell ref="O1745:O1748"/>
    <mergeCell ref="P1745:P1748"/>
    <mergeCell ref="N1749:N1751"/>
    <mergeCell ref="O1759:O1762"/>
    <mergeCell ref="P1759:P1762"/>
    <mergeCell ref="N1752:N1754"/>
    <mergeCell ref="O1752:O1754"/>
    <mergeCell ref="P1752:P1754"/>
    <mergeCell ref="N1755:N1758"/>
    <mergeCell ref="O1755:O1758"/>
    <mergeCell ref="P1755:P1758"/>
    <mergeCell ref="N1759:N1762"/>
    <mergeCell ref="O1769:O1770"/>
    <mergeCell ref="P1769:P1770"/>
    <mergeCell ref="N1763:N1764"/>
    <mergeCell ref="O1763:O1764"/>
    <mergeCell ref="P1763:P1764"/>
    <mergeCell ref="N1765:N1767"/>
    <mergeCell ref="O1765:O1767"/>
    <mergeCell ref="P1765:P1767"/>
    <mergeCell ref="N1769:N1770"/>
    <mergeCell ref="O1777:O1779"/>
    <mergeCell ref="P1777:P1779"/>
    <mergeCell ref="N1771:N1773"/>
    <mergeCell ref="O1771:O1773"/>
    <mergeCell ref="P1771:P1773"/>
    <mergeCell ref="N1774:N1776"/>
    <mergeCell ref="O1774:O1776"/>
    <mergeCell ref="P1774:P1776"/>
    <mergeCell ref="N1777:N1779"/>
    <mergeCell ref="O1828:O1830"/>
    <mergeCell ref="P1828:P1830"/>
    <mergeCell ref="N1822:N1824"/>
    <mergeCell ref="O1822:O1824"/>
    <mergeCell ref="P1822:P1824"/>
    <mergeCell ref="N1825:N1827"/>
    <mergeCell ref="O1825:O1827"/>
    <mergeCell ref="P1825:P1827"/>
    <mergeCell ref="N1828:N1830"/>
    <mergeCell ref="Q1890:Q1892"/>
    <mergeCell ref="Q1893:Q1895"/>
    <mergeCell ref="Q1899:Q1901"/>
    <mergeCell ref="Q1905:Q1907"/>
    <mergeCell ref="Q1909:Q1911"/>
    <mergeCell ref="Q1914:Q1916"/>
    <mergeCell ref="Q1917:Q1918"/>
    <mergeCell ref="Q1919:Q1920"/>
    <mergeCell ref="Q1921:Q1923"/>
    <mergeCell ref="Q1924:Q1926"/>
    <mergeCell ref="Q1929:Q1931"/>
    <mergeCell ref="Q1932:Q1934"/>
    <mergeCell ref="Q1935:Q1937"/>
    <mergeCell ref="Q1938:Q1939"/>
    <mergeCell ref="Q1941:Q1945"/>
    <mergeCell ref="Q1948:Q1949"/>
    <mergeCell ref="Q1950:Q1951"/>
    <mergeCell ref="Q1952:Q1953"/>
    <mergeCell ref="Q1954:Q1956"/>
    <mergeCell ref="Q1959:Q1961"/>
    <mergeCell ref="Q1962:Q1964"/>
    <mergeCell ref="Q1965:Q1967"/>
    <mergeCell ref="Q1968:Q1970"/>
    <mergeCell ref="Q1971:Q1972"/>
    <mergeCell ref="Q1975:Q1977"/>
    <mergeCell ref="Q1978:Q1979"/>
    <mergeCell ref="Q1980:Q1982"/>
    <mergeCell ref="Q1983:Q1985"/>
    <mergeCell ref="O2015:O2016"/>
    <mergeCell ref="P2015:P2016"/>
    <mergeCell ref="N2003:N2005"/>
    <mergeCell ref="O2003:O2005"/>
    <mergeCell ref="P2003:P2005"/>
    <mergeCell ref="N2009:N2011"/>
    <mergeCell ref="O2009:O2011"/>
    <mergeCell ref="P2009:P2011"/>
    <mergeCell ref="N2015:N2016"/>
    <mergeCell ref="O2084:O2085"/>
    <mergeCell ref="P2084:P2085"/>
    <mergeCell ref="N2073:N2079"/>
    <mergeCell ref="O2073:O2079"/>
    <mergeCell ref="P2073:P2079"/>
    <mergeCell ref="N2080:N2083"/>
    <mergeCell ref="O2080:O2083"/>
    <mergeCell ref="P2080:P2083"/>
    <mergeCell ref="N2084:N2085"/>
    <mergeCell ref="O2095:O2097"/>
    <mergeCell ref="P2095:P2097"/>
    <mergeCell ref="N2086:N2088"/>
    <mergeCell ref="O2086:O2088"/>
    <mergeCell ref="P2086:P2088"/>
    <mergeCell ref="N2089:N2093"/>
    <mergeCell ref="O2089:O2093"/>
    <mergeCell ref="P2089:P2093"/>
    <mergeCell ref="N2095:N2097"/>
    <mergeCell ref="O2104:O2105"/>
    <mergeCell ref="P2104:P2105"/>
    <mergeCell ref="N2098:N2100"/>
    <mergeCell ref="O2098:O2100"/>
    <mergeCell ref="P2098:P2100"/>
    <mergeCell ref="N2101:N2103"/>
    <mergeCell ref="O2101:O2103"/>
    <mergeCell ref="P2101:P2103"/>
    <mergeCell ref="N2104:N2105"/>
    <mergeCell ref="O1788:O1790"/>
    <mergeCell ref="P1788:P1790"/>
    <mergeCell ref="N1782:N1783"/>
    <mergeCell ref="O1782:O1783"/>
    <mergeCell ref="P1782:P1783"/>
    <mergeCell ref="N1785:N1787"/>
    <mergeCell ref="O1785:O1787"/>
    <mergeCell ref="P1785:P1787"/>
    <mergeCell ref="N1788:N1790"/>
    <mergeCell ref="O1807:O1809"/>
    <mergeCell ref="P1807:P1809"/>
    <mergeCell ref="N1799:N1804"/>
    <mergeCell ref="O1799:O1804"/>
    <mergeCell ref="P1799:P1804"/>
    <mergeCell ref="N1805:N1806"/>
    <mergeCell ref="O1805:O1806"/>
    <mergeCell ref="P1805:P1806"/>
    <mergeCell ref="N1807:N1809"/>
    <mergeCell ref="O1819:O1821"/>
    <mergeCell ref="P1819:P1821"/>
    <mergeCell ref="N1810:N1813"/>
    <mergeCell ref="O1810:O1813"/>
    <mergeCell ref="P1810:P1813"/>
    <mergeCell ref="N1816:N1818"/>
    <mergeCell ref="O1816:O1818"/>
    <mergeCell ref="P1816:P1818"/>
    <mergeCell ref="N1819:N1821"/>
    <mergeCell ref="N2110:N2113"/>
    <mergeCell ref="O2110:O2113"/>
    <mergeCell ref="P2110:P2113"/>
    <mergeCell ref="O1909:O1911"/>
    <mergeCell ref="P1909:P1911"/>
    <mergeCell ref="N1899:N1901"/>
    <mergeCell ref="O1899:O1901"/>
    <mergeCell ref="P1899:P1901"/>
    <mergeCell ref="N1905:N1907"/>
    <mergeCell ref="O1905:O1907"/>
    <mergeCell ref="P1905:P1907"/>
    <mergeCell ref="N1909:N1911"/>
    <mergeCell ref="O1996:O1998"/>
    <mergeCell ref="P1996:P1998"/>
    <mergeCell ref="N1990:N1992"/>
    <mergeCell ref="O1990:O1992"/>
    <mergeCell ref="P1990:P1992"/>
    <mergeCell ref="N1993:N1995"/>
    <mergeCell ref="O1993:O1995"/>
    <mergeCell ref="P1993:P1995"/>
    <mergeCell ref="N1996:N1998"/>
    <mergeCell ref="O2023:O2025"/>
    <mergeCell ref="P2023:P2025"/>
    <mergeCell ref="N2017:N2019"/>
    <mergeCell ref="O2017:O2019"/>
    <mergeCell ref="P2017:P2019"/>
    <mergeCell ref="N2020:N2022"/>
    <mergeCell ref="O2020:O2022"/>
    <mergeCell ref="P2020:P2022"/>
    <mergeCell ref="N2023:N2025"/>
    <mergeCell ref="O2032:O2033"/>
    <mergeCell ref="P2032:P2033"/>
    <mergeCell ref="N2026:N2027"/>
    <mergeCell ref="O2026:O2027"/>
    <mergeCell ref="P2026:P2027"/>
    <mergeCell ref="N2028:N2030"/>
    <mergeCell ref="O2028:O2030"/>
    <mergeCell ref="P2028:P2030"/>
    <mergeCell ref="N2032:N2033"/>
    <mergeCell ref="O2048:O2049"/>
    <mergeCell ref="P2048:P2049"/>
    <mergeCell ref="N2038:N2039"/>
    <mergeCell ref="O2038:O2039"/>
    <mergeCell ref="P2038:P2039"/>
    <mergeCell ref="N2045:N2047"/>
    <mergeCell ref="O2045:O2047"/>
    <mergeCell ref="P2045:P2047"/>
    <mergeCell ref="N2048:N2049"/>
    <mergeCell ref="O2061:O2063"/>
    <mergeCell ref="P2061:P2063"/>
    <mergeCell ref="N2055:N2058"/>
    <mergeCell ref="O2055:O2058"/>
    <mergeCell ref="P2055:P2058"/>
    <mergeCell ref="N2059:N2060"/>
    <mergeCell ref="O2059:O2060"/>
    <mergeCell ref="P2059:P2060"/>
    <mergeCell ref="N2061:N2063"/>
    <mergeCell ref="O2071:O2072"/>
    <mergeCell ref="P2071:P2072"/>
    <mergeCell ref="N2065:N2068"/>
    <mergeCell ref="O2065:O2068"/>
    <mergeCell ref="P2065:P2068"/>
    <mergeCell ref="N2069:N2070"/>
    <mergeCell ref="O2069:O2070"/>
    <mergeCell ref="P2069:P2070"/>
    <mergeCell ref="N2071:N2072"/>
    <mergeCell ref="Q1279:Q1280"/>
    <mergeCell ref="R1279:R1280"/>
    <mergeCell ref="N1276:N1278"/>
    <mergeCell ref="O1276:O1278"/>
    <mergeCell ref="P1276:P1278"/>
    <mergeCell ref="Q1276:Q1278"/>
    <mergeCell ref="R1276:R1278"/>
    <mergeCell ref="S1276:S1278"/>
    <mergeCell ref="N1279:N1280"/>
    <mergeCell ref="O1279:O1280"/>
    <mergeCell ref="P1279:P1280"/>
    <mergeCell ref="N1284:N1285"/>
    <mergeCell ref="O1284:O1285"/>
    <mergeCell ref="P1284:P1285"/>
    <mergeCell ref="Q1284:Q1285"/>
    <mergeCell ref="R1284:R1285"/>
    <mergeCell ref="N1287:N1289"/>
    <mergeCell ref="O1287:O1289"/>
    <mergeCell ref="P1287:P1289"/>
    <mergeCell ref="Q1287:Q1289"/>
    <mergeCell ref="R1287:R1289"/>
    <mergeCell ref="O1292:O1298"/>
    <mergeCell ref="R1292:R1298"/>
    <mergeCell ref="P1303:P1305"/>
    <mergeCell ref="P1309:P1310"/>
    <mergeCell ref="Q1309:Q1310"/>
    <mergeCell ref="R1309:R1310"/>
    <mergeCell ref="P1292:P1298"/>
    <mergeCell ref="Q1292:Q1298"/>
    <mergeCell ref="P1299:P1302"/>
    <mergeCell ref="Q1299:Q1302"/>
    <mergeCell ref="R1299:R1302"/>
    <mergeCell ref="Q1303:Q1305"/>
    <mergeCell ref="R1303:R1305"/>
    <mergeCell ref="N1311:N1313"/>
    <mergeCell ref="O1311:O1313"/>
    <mergeCell ref="P1311:P1313"/>
    <mergeCell ref="Q1311:Q1313"/>
    <mergeCell ref="R1311:R1313"/>
    <mergeCell ref="N1292:N1298"/>
    <mergeCell ref="N1299:N1302"/>
    <mergeCell ref="O1299:O1302"/>
    <mergeCell ref="N1303:N1305"/>
    <mergeCell ref="O1303:O1305"/>
    <mergeCell ref="N1309:N1310"/>
    <mergeCell ref="O1309:O1310"/>
    <mergeCell ref="P1321:P1322"/>
    <mergeCell ref="Q1321:Q1322"/>
    <mergeCell ref="N1315:N1320"/>
    <mergeCell ref="O1315:O1320"/>
    <mergeCell ref="P1315:P1320"/>
    <mergeCell ref="Q1315:Q1320"/>
    <mergeCell ref="R1315:R1320"/>
    <mergeCell ref="O1321:O1322"/>
    <mergeCell ref="R1321:R1322"/>
    <mergeCell ref="Q1327:Q1328"/>
    <mergeCell ref="R1327:R1328"/>
    <mergeCell ref="N1321:N1322"/>
    <mergeCell ref="N1323:N1325"/>
    <mergeCell ref="O1323:O1325"/>
    <mergeCell ref="P1323:P1325"/>
    <mergeCell ref="Q1323:Q1325"/>
    <mergeCell ref="R1323:R1325"/>
    <mergeCell ref="N1327:N1328"/>
    <mergeCell ref="O1327:O1328"/>
    <mergeCell ref="P1327:P1328"/>
    <mergeCell ref="N1329:N1331"/>
    <mergeCell ref="O1329:O1331"/>
    <mergeCell ref="P1329:P1331"/>
    <mergeCell ref="Q1329:Q1331"/>
    <mergeCell ref="R1329:R1331"/>
    <mergeCell ref="O1340:O1341"/>
    <mergeCell ref="P1340:P1341"/>
    <mergeCell ref="N1342:N1344"/>
    <mergeCell ref="O1342:O1344"/>
    <mergeCell ref="P1342:P1344"/>
    <mergeCell ref="Q1342:Q1344"/>
    <mergeCell ref="R1342:R1344"/>
    <mergeCell ref="Q1225:Q1228"/>
    <mergeCell ref="R1225:R1228"/>
    <mergeCell ref="N1218:N1221"/>
    <mergeCell ref="N1222:N1224"/>
    <mergeCell ref="O1222:O1224"/>
    <mergeCell ref="P1222:P1224"/>
    <mergeCell ref="Q1222:Q1224"/>
    <mergeCell ref="R1222:R1224"/>
    <mergeCell ref="N1225:N1228"/>
    <mergeCell ref="P1190:P1193"/>
    <mergeCell ref="Q1190:Q1193"/>
    <mergeCell ref="N1188:N1189"/>
    <mergeCell ref="O1188:O1189"/>
    <mergeCell ref="P1188:P1189"/>
    <mergeCell ref="Q1188:Q1189"/>
    <mergeCell ref="R1188:R1189"/>
    <mergeCell ref="O1190:O1193"/>
    <mergeCell ref="R1190:R1193"/>
    <mergeCell ref="Q1198:Q1200"/>
    <mergeCell ref="R1198:R1200"/>
    <mergeCell ref="Q1201:Q1203"/>
    <mergeCell ref="R1201:R1203"/>
    <mergeCell ref="Q1205:Q1207"/>
    <mergeCell ref="R1205:R1207"/>
    <mergeCell ref="N1190:N1193"/>
    <mergeCell ref="N1196:N1197"/>
    <mergeCell ref="O1196:O1197"/>
    <mergeCell ref="P1196:P1197"/>
    <mergeCell ref="Q1196:Q1197"/>
    <mergeCell ref="R1196:R1197"/>
    <mergeCell ref="N1198:N1200"/>
    <mergeCell ref="N1205:N1207"/>
    <mergeCell ref="N1208:N1210"/>
    <mergeCell ref="O1208:O1210"/>
    <mergeCell ref="P1208:P1210"/>
    <mergeCell ref="Q1208:Q1210"/>
    <mergeCell ref="R1208:R1210"/>
    <mergeCell ref="O1198:O1200"/>
    <mergeCell ref="P1198:P1200"/>
    <mergeCell ref="N1201:N1203"/>
    <mergeCell ref="O1201:O1203"/>
    <mergeCell ref="P1201:P1203"/>
    <mergeCell ref="O1205:O1207"/>
    <mergeCell ref="P1205:P1207"/>
    <mergeCell ref="O1225:O1228"/>
    <mergeCell ref="P1225:P1228"/>
    <mergeCell ref="N1229:N1230"/>
    <mergeCell ref="O1229:O1230"/>
    <mergeCell ref="P1229:P1230"/>
    <mergeCell ref="Q1229:Q1230"/>
    <mergeCell ref="R1229:R1230"/>
    <mergeCell ref="P1253:P1254"/>
    <mergeCell ref="Q1253:Q1254"/>
    <mergeCell ref="O1255:O1259"/>
    <mergeCell ref="P1255:P1259"/>
    <mergeCell ref="Q1255:Q1259"/>
    <mergeCell ref="R1255:R1257"/>
    <mergeCell ref="R1258:R1259"/>
    <mergeCell ref="Q1266:Q1272"/>
    <mergeCell ref="R1266:R1272"/>
    <mergeCell ref="N1255:N1259"/>
    <mergeCell ref="N1262:N1264"/>
    <mergeCell ref="O1262:O1264"/>
    <mergeCell ref="P1262:P1264"/>
    <mergeCell ref="Q1262:Q1264"/>
    <mergeCell ref="R1262:R1264"/>
    <mergeCell ref="N1266:N1272"/>
    <mergeCell ref="P1236:P1238"/>
    <mergeCell ref="Q1236:Q1238"/>
    <mergeCell ref="N1231:N1234"/>
    <mergeCell ref="O1231:O1234"/>
    <mergeCell ref="P1231:P1234"/>
    <mergeCell ref="Q1231:Q1234"/>
    <mergeCell ref="R1231:R1234"/>
    <mergeCell ref="O1236:O1238"/>
    <mergeCell ref="R1236:R1238"/>
    <mergeCell ref="Q1245:Q1246"/>
    <mergeCell ref="R1245:R1246"/>
    <mergeCell ref="N1236:N1238"/>
    <mergeCell ref="N1241:N1243"/>
    <mergeCell ref="O1241:O1243"/>
    <mergeCell ref="P1241:P1243"/>
    <mergeCell ref="Q1241:Q1243"/>
    <mergeCell ref="R1241:R1243"/>
    <mergeCell ref="N1245:N1246"/>
    <mergeCell ref="O1245:O1246"/>
    <mergeCell ref="P1245:P1246"/>
    <mergeCell ref="N1247:N1249"/>
    <mergeCell ref="O1247:O1249"/>
    <mergeCell ref="P1247:P1249"/>
    <mergeCell ref="Q1247:Q1249"/>
    <mergeCell ref="R1247:R1249"/>
    <mergeCell ref="N1250:N1252"/>
    <mergeCell ref="O1250:O1252"/>
    <mergeCell ref="P1250:P1252"/>
    <mergeCell ref="Q1250:Q1252"/>
    <mergeCell ref="R1250:R1252"/>
    <mergeCell ref="N1253:N1254"/>
    <mergeCell ref="O1253:O1254"/>
    <mergeCell ref="R1253:R1254"/>
    <mergeCell ref="O1266:O1272"/>
    <mergeCell ref="P1266:P1272"/>
    <mergeCell ref="N1273:N1275"/>
    <mergeCell ref="O1273:O1275"/>
    <mergeCell ref="P1273:P1275"/>
    <mergeCell ref="Q1273:Q1275"/>
    <mergeCell ref="R1273:R1275"/>
    <mergeCell ref="P1334:P1336"/>
    <mergeCell ref="Q1334:Q1336"/>
    <mergeCell ref="N1332:N1333"/>
    <mergeCell ref="O1332:O1333"/>
    <mergeCell ref="P1332:P1333"/>
    <mergeCell ref="Q1332:Q1333"/>
    <mergeCell ref="R1332:R1333"/>
    <mergeCell ref="O1334:O1336"/>
    <mergeCell ref="R1334:R1336"/>
    <mergeCell ref="Q1340:Q1341"/>
    <mergeCell ref="R1340:R1341"/>
    <mergeCell ref="N1334:N1336"/>
    <mergeCell ref="N1337:N1339"/>
    <mergeCell ref="O1337:O1339"/>
    <mergeCell ref="P1337:P1339"/>
    <mergeCell ref="Q1337:Q1339"/>
    <mergeCell ref="R1337:R1339"/>
    <mergeCell ref="N1340:N1341"/>
    <mergeCell ref="N1384:N1385"/>
    <mergeCell ref="O1384:O1385"/>
    <mergeCell ref="P1384:P1385"/>
    <mergeCell ref="Q1384:Q1385"/>
    <mergeCell ref="R1384:R1385"/>
    <mergeCell ref="N1393:N1395"/>
    <mergeCell ref="O1393:O1395"/>
    <mergeCell ref="R1393:R1395"/>
    <mergeCell ref="P1393:P1395"/>
    <mergeCell ref="Q1393:Q1395"/>
    <mergeCell ref="N1401:N1403"/>
    <mergeCell ref="O1401:O1403"/>
    <mergeCell ref="P1401:P1403"/>
    <mergeCell ref="Q1401:Q1403"/>
    <mergeCell ref="R1401:R1403"/>
    <mergeCell ref="N1361:N1363"/>
    <mergeCell ref="N1368:N1374"/>
    <mergeCell ref="O1368:O1374"/>
    <mergeCell ref="P1368:P1374"/>
    <mergeCell ref="Q1368:Q1374"/>
    <mergeCell ref="R1368:R1374"/>
    <mergeCell ref="N1378:N1379"/>
    <mergeCell ref="O1378:O1379"/>
    <mergeCell ref="P1378:P1379"/>
    <mergeCell ref="N1380:N1382"/>
    <mergeCell ref="O1380:O1382"/>
    <mergeCell ref="P1380:P1382"/>
    <mergeCell ref="Q1380:Q1382"/>
    <mergeCell ref="R1380:R1382"/>
    <mergeCell ref="P1410:P1412"/>
    <mergeCell ref="Q1410:Q1412"/>
    <mergeCell ref="N1404:N1409"/>
    <mergeCell ref="O1404:O1409"/>
    <mergeCell ref="P1404:P1409"/>
    <mergeCell ref="Q1404:Q1409"/>
    <mergeCell ref="R1404:R1409"/>
    <mergeCell ref="O1410:O1412"/>
    <mergeCell ref="R1410:R1412"/>
    <mergeCell ref="Q1417:Q1418"/>
    <mergeCell ref="R1417:R1418"/>
    <mergeCell ref="N1410:N1412"/>
    <mergeCell ref="N1414:N1416"/>
    <mergeCell ref="O1414:O1416"/>
    <mergeCell ref="P1414:P1416"/>
    <mergeCell ref="Q1414:Q1416"/>
    <mergeCell ref="R1414:R1416"/>
    <mergeCell ref="N1417:N1418"/>
    <mergeCell ref="P1347:P1349"/>
    <mergeCell ref="Q1347:Q1349"/>
    <mergeCell ref="N1345:N1346"/>
    <mergeCell ref="O1345:O1346"/>
    <mergeCell ref="P1345:P1346"/>
    <mergeCell ref="Q1345:Q1346"/>
    <mergeCell ref="R1345:R1346"/>
    <mergeCell ref="O1347:O1349"/>
    <mergeCell ref="R1347:R1349"/>
    <mergeCell ref="Q1355:Q1357"/>
    <mergeCell ref="R1355:R1357"/>
    <mergeCell ref="Q1358:Q1360"/>
    <mergeCell ref="R1358:R1360"/>
    <mergeCell ref="Q1361:Q1363"/>
    <mergeCell ref="R1361:R1363"/>
    <mergeCell ref="N1347:N1349"/>
    <mergeCell ref="N1350:N1354"/>
    <mergeCell ref="O1350:O1354"/>
    <mergeCell ref="P1350:P1354"/>
    <mergeCell ref="Q1350:Q1354"/>
    <mergeCell ref="R1350:R1354"/>
    <mergeCell ref="N1355:N1357"/>
    <mergeCell ref="O1355:O1357"/>
    <mergeCell ref="P1355:P1357"/>
    <mergeCell ref="N1358:N1360"/>
    <mergeCell ref="O1358:O1360"/>
    <mergeCell ref="P1358:P1360"/>
    <mergeCell ref="O1361:O1363"/>
    <mergeCell ref="P1361:P1363"/>
    <mergeCell ref="Q1378:Q1379"/>
    <mergeCell ref="R1378:R1379"/>
    <mergeCell ref="O1417:O1418"/>
    <mergeCell ref="P1417:P1418"/>
    <mergeCell ref="N1419:N1421"/>
    <mergeCell ref="O1419:O1421"/>
    <mergeCell ref="P1419:P1421"/>
    <mergeCell ref="Q1419:Q1421"/>
    <mergeCell ref="R1419:R1421"/>
    <mergeCell ref="N1437:N1438"/>
    <mergeCell ref="N1440:N1442"/>
    <mergeCell ref="O1440:O1442"/>
    <mergeCell ref="P1440:P1442"/>
    <mergeCell ref="Q1440:Q1442"/>
    <mergeCell ref="R1440:R1442"/>
    <mergeCell ref="N1443:N1447"/>
    <mergeCell ref="O1443:O1447"/>
    <mergeCell ref="P1443:P1447"/>
    <mergeCell ref="N1448:N1450"/>
    <mergeCell ref="O1448:O1450"/>
    <mergeCell ref="P1448:P1450"/>
    <mergeCell ref="O1451:O1453"/>
    <mergeCell ref="P1451:P1453"/>
    <mergeCell ref="Q1458:Q1462"/>
    <mergeCell ref="R1458:R1462"/>
    <mergeCell ref="N1451:N1453"/>
    <mergeCell ref="N1455:N1457"/>
    <mergeCell ref="O1455:O1457"/>
    <mergeCell ref="P1455:P1457"/>
    <mergeCell ref="Q1455:Q1457"/>
    <mergeCell ref="R1455:R1457"/>
    <mergeCell ref="N1458:N1462"/>
    <mergeCell ref="P1424:P1426"/>
    <mergeCell ref="Q1424:Q1426"/>
    <mergeCell ref="N1422:N1423"/>
    <mergeCell ref="O1422:O1423"/>
    <mergeCell ref="P1422:P1423"/>
    <mergeCell ref="Q1422:Q1423"/>
    <mergeCell ref="R1422:R1423"/>
    <mergeCell ref="O1424:O1426"/>
    <mergeCell ref="R1424:R1426"/>
    <mergeCell ref="Q1430:Q1432"/>
    <mergeCell ref="R1430:R1432"/>
    <mergeCell ref="Q1433:Q1435"/>
    <mergeCell ref="R1433:R1435"/>
    <mergeCell ref="Q1437:Q1438"/>
    <mergeCell ref="R1437:R1438"/>
    <mergeCell ref="N1424:N1426"/>
    <mergeCell ref="N1428:N1429"/>
    <mergeCell ref="O1428:O1429"/>
    <mergeCell ref="P1428:P1429"/>
    <mergeCell ref="Q1428:Q1429"/>
    <mergeCell ref="R1428:R1429"/>
    <mergeCell ref="N1430:N1432"/>
    <mergeCell ref="O1430:O1432"/>
    <mergeCell ref="P1430:P1432"/>
    <mergeCell ref="N1433:N1435"/>
    <mergeCell ref="O1433:O1435"/>
    <mergeCell ref="P1433:P1435"/>
    <mergeCell ref="O1437:O1438"/>
    <mergeCell ref="P1437:P1438"/>
    <mergeCell ref="Q1443:Q1447"/>
    <mergeCell ref="R1443:R1447"/>
    <mergeCell ref="Q1448:Q1450"/>
    <mergeCell ref="R1448:R1450"/>
    <mergeCell ref="Q1451:Q1453"/>
    <mergeCell ref="R1451:R1453"/>
    <mergeCell ref="O1458:O1462"/>
    <mergeCell ref="P1458:P1462"/>
    <mergeCell ref="N1463:N1466"/>
    <mergeCell ref="O1463:O1466"/>
    <mergeCell ref="P1463:P1466"/>
    <mergeCell ref="Q1463:Q1466"/>
    <mergeCell ref="R1463:R1466"/>
    <mergeCell ref="Q1598:Q1600"/>
    <mergeCell ref="R1598:R1600"/>
    <mergeCell ref="N1591:N1593"/>
    <mergeCell ref="N1594:N1596"/>
    <mergeCell ref="O1594:O1596"/>
    <mergeCell ref="P1594:P1596"/>
    <mergeCell ref="Q1594:Q1596"/>
    <mergeCell ref="R1594:R1596"/>
    <mergeCell ref="N1598:N1600"/>
    <mergeCell ref="P1571:P1573"/>
    <mergeCell ref="Q1571:Q1573"/>
    <mergeCell ref="P1574:P1575"/>
    <mergeCell ref="Q1574:Q1575"/>
    <mergeCell ref="R1574:R1575"/>
    <mergeCell ref="N1568:N1570"/>
    <mergeCell ref="O1568:O1570"/>
    <mergeCell ref="P1568:P1570"/>
    <mergeCell ref="Q1568:Q1570"/>
    <mergeCell ref="R1568:R1570"/>
    <mergeCell ref="O1571:O1573"/>
    <mergeCell ref="R1571:R1573"/>
    <mergeCell ref="N1571:N1573"/>
    <mergeCell ref="N1574:N1575"/>
    <mergeCell ref="O1574:O1575"/>
    <mergeCell ref="O1579:O1580"/>
    <mergeCell ref="P1579:P1580"/>
    <mergeCell ref="Q1579:Q1580"/>
    <mergeCell ref="R1579:R1580"/>
    <mergeCell ref="Q1586:Q1588"/>
    <mergeCell ref="R1586:R1588"/>
    <mergeCell ref="Q1589:Q1590"/>
    <mergeCell ref="R1589:R1590"/>
    <mergeCell ref="Q1591:Q1593"/>
    <mergeCell ref="R1591:R1593"/>
    <mergeCell ref="N1579:N1580"/>
    <mergeCell ref="N1581:N1584"/>
    <mergeCell ref="O1581:O1584"/>
    <mergeCell ref="P1581:P1584"/>
    <mergeCell ref="Q1581:Q1584"/>
    <mergeCell ref="R1581:R1584"/>
    <mergeCell ref="N1586:N1588"/>
    <mergeCell ref="O1586:O1588"/>
    <mergeCell ref="P1586:P1588"/>
    <mergeCell ref="N1589:N1590"/>
    <mergeCell ref="O1589:O1590"/>
    <mergeCell ref="P1589:P1590"/>
    <mergeCell ref="O1591:O1593"/>
    <mergeCell ref="P1591:P1593"/>
    <mergeCell ref="O1598:O1600"/>
    <mergeCell ref="P1598:P1600"/>
    <mergeCell ref="N1601:N1603"/>
    <mergeCell ref="O1601:O1603"/>
    <mergeCell ref="P1601:P1603"/>
    <mergeCell ref="Q1601:Q1603"/>
    <mergeCell ref="R1601:R1603"/>
    <mergeCell ref="N1487:N1489"/>
    <mergeCell ref="N1490:N1492"/>
    <mergeCell ref="O1490:O1492"/>
    <mergeCell ref="P1490:P1492"/>
    <mergeCell ref="Q1490:Q1492"/>
    <mergeCell ref="R1490:R1492"/>
    <mergeCell ref="N1494:N1496"/>
    <mergeCell ref="O1494:O1496"/>
    <mergeCell ref="P1494:P1496"/>
    <mergeCell ref="N1497:N1501"/>
    <mergeCell ref="O1497:O1501"/>
    <mergeCell ref="P1497:P1501"/>
    <mergeCell ref="Q1497:Q1501"/>
    <mergeCell ref="R1497:R1501"/>
    <mergeCell ref="P1507:P1508"/>
    <mergeCell ref="Q1507:Q1508"/>
    <mergeCell ref="N1503:N1505"/>
    <mergeCell ref="O1503:O1505"/>
    <mergeCell ref="P1503:P1505"/>
    <mergeCell ref="Q1503:Q1505"/>
    <mergeCell ref="R1503:R1505"/>
    <mergeCell ref="O1507:O1508"/>
    <mergeCell ref="R1507:R1508"/>
    <mergeCell ref="Q1512:Q1516"/>
    <mergeCell ref="R1512:R1516"/>
    <mergeCell ref="N1507:N1508"/>
    <mergeCell ref="N1509:N1511"/>
    <mergeCell ref="O1509:O1511"/>
    <mergeCell ref="P1509:P1511"/>
    <mergeCell ref="Q1509:Q1511"/>
    <mergeCell ref="R1509:R1511"/>
    <mergeCell ref="N1512:N1516"/>
    <mergeCell ref="P1470:P1472"/>
    <mergeCell ref="Q1470:Q1472"/>
    <mergeCell ref="N1467:N1469"/>
    <mergeCell ref="O1467:O1469"/>
    <mergeCell ref="P1467:P1469"/>
    <mergeCell ref="Q1467:Q1469"/>
    <mergeCell ref="R1467:R1469"/>
    <mergeCell ref="O1470:O1472"/>
    <mergeCell ref="R1470:R1472"/>
    <mergeCell ref="Q1477:Q1482"/>
    <mergeCell ref="R1477:R1482"/>
    <mergeCell ref="Q1484:Q1486"/>
    <mergeCell ref="R1484:R1486"/>
    <mergeCell ref="Q1487:Q1489"/>
    <mergeCell ref="R1487:R1489"/>
    <mergeCell ref="N1470:N1472"/>
    <mergeCell ref="N1473:N1476"/>
    <mergeCell ref="O1473:O1476"/>
    <mergeCell ref="P1473:P1476"/>
    <mergeCell ref="Q1473:Q1476"/>
    <mergeCell ref="R1473:R1476"/>
    <mergeCell ref="N1477:N1482"/>
    <mergeCell ref="O1477:O1482"/>
    <mergeCell ref="P1477:P1482"/>
    <mergeCell ref="N1484:N1486"/>
    <mergeCell ref="O1484:O1486"/>
    <mergeCell ref="P1484:P1486"/>
    <mergeCell ref="O1487:O1489"/>
    <mergeCell ref="P1487:P1489"/>
    <mergeCell ref="Q1494:Q1496"/>
    <mergeCell ref="R1494:R1496"/>
    <mergeCell ref="O1512:O1516"/>
    <mergeCell ref="P1512:P1516"/>
    <mergeCell ref="N1517:N1520"/>
    <mergeCell ref="O1517:O1520"/>
    <mergeCell ref="P1517:P1520"/>
    <mergeCell ref="Q1517:Q1520"/>
    <mergeCell ref="R1517:R1520"/>
    <mergeCell ref="N1542:N1546"/>
    <mergeCell ref="O1542:O1546"/>
    <mergeCell ref="P1542:P1546"/>
    <mergeCell ref="Q1542:Q1546"/>
    <mergeCell ref="R1542:R1546"/>
    <mergeCell ref="O1549:O1551"/>
    <mergeCell ref="R1549:R1551"/>
    <mergeCell ref="Q1558:Q1561"/>
    <mergeCell ref="R1558:R1561"/>
    <mergeCell ref="N1549:N1551"/>
    <mergeCell ref="N1553:N1557"/>
    <mergeCell ref="O1553:O1557"/>
    <mergeCell ref="P1553:P1557"/>
    <mergeCell ref="Q1553:Q1557"/>
    <mergeCell ref="R1553:R1557"/>
    <mergeCell ref="N1558:N1561"/>
    <mergeCell ref="P1525:P1527"/>
    <mergeCell ref="Q1525:Q1527"/>
    <mergeCell ref="N1521:N1523"/>
    <mergeCell ref="O1521:O1523"/>
    <mergeCell ref="P1521:P1523"/>
    <mergeCell ref="Q1521:Q1523"/>
    <mergeCell ref="R1521:R1523"/>
    <mergeCell ref="O1525:O1527"/>
    <mergeCell ref="R1525:R1527"/>
    <mergeCell ref="Q1531:Q1533"/>
    <mergeCell ref="R1531:R1533"/>
    <mergeCell ref="N1525:N1527"/>
    <mergeCell ref="N1529:N1530"/>
    <mergeCell ref="O1529:O1530"/>
    <mergeCell ref="P1529:P1530"/>
    <mergeCell ref="Q1529:Q1530"/>
    <mergeCell ref="R1529:R1530"/>
    <mergeCell ref="N1531:N1533"/>
    <mergeCell ref="O1531:O1533"/>
    <mergeCell ref="P1531:P1533"/>
    <mergeCell ref="N1537:N1538"/>
    <mergeCell ref="O1537:O1538"/>
    <mergeCell ref="P1537:P1538"/>
    <mergeCell ref="Q1537:Q1538"/>
    <mergeCell ref="R1537:R1538"/>
    <mergeCell ref="P1549:P1551"/>
    <mergeCell ref="Q1549:Q1551"/>
    <mergeCell ref="O1558:O1561"/>
    <mergeCell ref="P1558:P1561"/>
    <mergeCell ref="N1563:N1566"/>
    <mergeCell ref="O1563:O1566"/>
    <mergeCell ref="P1563:P1566"/>
    <mergeCell ref="Q1563:Q1566"/>
    <mergeCell ref="R1563:R1566"/>
    <mergeCell ref="Q1631:Q1632"/>
    <mergeCell ref="R1631:R1632"/>
    <mergeCell ref="Q1636:Q1639"/>
    <mergeCell ref="R1636:R1639"/>
    <mergeCell ref="Q1641:Q1642"/>
    <mergeCell ref="R1641:R1642"/>
    <mergeCell ref="R1644:R1646"/>
    <mergeCell ref="Q1644:Q1646"/>
    <mergeCell ref="Q1647:Q1651"/>
    <mergeCell ref="R1647:R1651"/>
    <mergeCell ref="Q1653:Q1654"/>
    <mergeCell ref="R1653:R1654"/>
    <mergeCell ref="Q1655:Q1657"/>
    <mergeCell ref="R1655:R1657"/>
    <mergeCell ref="P1608:P1610"/>
    <mergeCell ref="Q1608:Q1610"/>
    <mergeCell ref="N1605:N1607"/>
    <mergeCell ref="O1605:O1607"/>
    <mergeCell ref="P1605:P1607"/>
    <mergeCell ref="Q1605:Q1607"/>
    <mergeCell ref="R1605:R1607"/>
    <mergeCell ref="O1608:O1610"/>
    <mergeCell ref="R1608:R1610"/>
    <mergeCell ref="N1608:N1610"/>
    <mergeCell ref="N1612:N1614"/>
    <mergeCell ref="O1612:O1614"/>
    <mergeCell ref="P1612:P1614"/>
    <mergeCell ref="Q1612:Q1614"/>
    <mergeCell ref="R1612:R1614"/>
    <mergeCell ref="N1616:N1618"/>
    <mergeCell ref="R1628:R1630"/>
    <mergeCell ref="S1628:S1630"/>
    <mergeCell ref="Q1616:Q1618"/>
    <mergeCell ref="R1616:R1618"/>
    <mergeCell ref="Q1619:Q1621"/>
    <mergeCell ref="R1619:R1621"/>
    <mergeCell ref="Q1623:Q1627"/>
    <mergeCell ref="R1623:R1627"/>
    <mergeCell ref="Q1628:Q1630"/>
    <mergeCell ref="N1633:N1635"/>
    <mergeCell ref="O1633:O1635"/>
    <mergeCell ref="P1633:P1635"/>
    <mergeCell ref="Q1633:Q1635"/>
    <mergeCell ref="R1633:R1635"/>
    <mergeCell ref="Q1670:Q1672"/>
    <mergeCell ref="Q1674:Q1676"/>
    <mergeCell ref="R1674:R1676"/>
    <mergeCell ref="Q1677:Q1678"/>
    <mergeCell ref="R1677:R1678"/>
    <mergeCell ref="Q1660:Q1662"/>
    <mergeCell ref="R1660:R1662"/>
    <mergeCell ref="Q1663:Q1665"/>
    <mergeCell ref="R1663:R1665"/>
    <mergeCell ref="Q1666:Q1669"/>
    <mergeCell ref="R1666:R1669"/>
    <mergeCell ref="R1670:R1672"/>
    <mergeCell ref="O1666:O1669"/>
    <mergeCell ref="P1666:P1669"/>
    <mergeCell ref="N1660:N1662"/>
    <mergeCell ref="O1660:O1662"/>
    <mergeCell ref="P1660:P1662"/>
    <mergeCell ref="N1663:N1665"/>
    <mergeCell ref="O1663:O1665"/>
    <mergeCell ref="P1663:P1665"/>
    <mergeCell ref="N1666:N1669"/>
    <mergeCell ref="O1690:O1692"/>
    <mergeCell ref="P1690:P1692"/>
    <mergeCell ref="N1679:N1684"/>
    <mergeCell ref="O1679:O1684"/>
    <mergeCell ref="P1679:P1684"/>
    <mergeCell ref="N1687:N1689"/>
    <mergeCell ref="O1687:O1689"/>
    <mergeCell ref="P1687:P1689"/>
    <mergeCell ref="N1690:N1692"/>
    <mergeCell ref="O1701:O1703"/>
    <mergeCell ref="P1701:P1703"/>
    <mergeCell ref="N1693:N1695"/>
    <mergeCell ref="O1693:O1695"/>
    <mergeCell ref="P1693:P1695"/>
    <mergeCell ref="N1697:N1700"/>
    <mergeCell ref="O1697:O1700"/>
    <mergeCell ref="P1697:P1700"/>
    <mergeCell ref="N1701:N1703"/>
    <mergeCell ref="O1712:O1716"/>
    <mergeCell ref="P1712:P1716"/>
    <mergeCell ref="N1705:N1707"/>
    <mergeCell ref="O1705:O1707"/>
    <mergeCell ref="P1705:P1707"/>
    <mergeCell ref="N1708:N1711"/>
    <mergeCell ref="O1708:O1711"/>
    <mergeCell ref="P1708:P1711"/>
    <mergeCell ref="N1712:N1716"/>
    <mergeCell ref="O1725:O1729"/>
    <mergeCell ref="P1725:P1729"/>
    <mergeCell ref="N1717:N1719"/>
    <mergeCell ref="O1717:O1719"/>
    <mergeCell ref="P1717:P1719"/>
    <mergeCell ref="N1721:N1724"/>
    <mergeCell ref="O1721:O1724"/>
    <mergeCell ref="P1721:P1724"/>
    <mergeCell ref="N1725:N1729"/>
    <mergeCell ref="O1735:O1740"/>
    <mergeCell ref="P1735:P1740"/>
    <mergeCell ref="N1730:N1732"/>
    <mergeCell ref="O1730:O1732"/>
    <mergeCell ref="P1730:P1732"/>
    <mergeCell ref="N1733:N1734"/>
    <mergeCell ref="O1733:O1734"/>
    <mergeCell ref="P1733:P1734"/>
    <mergeCell ref="N1735:N1740"/>
    <mergeCell ref="O1616:O1618"/>
    <mergeCell ref="P1616:P1618"/>
    <mergeCell ref="N1619:N1621"/>
    <mergeCell ref="O1619:O1621"/>
    <mergeCell ref="P1619:P1621"/>
    <mergeCell ref="O1623:O1627"/>
    <mergeCell ref="P1623:P1627"/>
    <mergeCell ref="N1623:N1627"/>
    <mergeCell ref="N1628:N1630"/>
    <mergeCell ref="O1628:O1630"/>
    <mergeCell ref="P1628:P1630"/>
    <mergeCell ref="N1631:N1632"/>
    <mergeCell ref="O1631:O1632"/>
    <mergeCell ref="P1631:P1632"/>
    <mergeCell ref="O1644:O1646"/>
    <mergeCell ref="P1644:P1646"/>
    <mergeCell ref="N1636:N1639"/>
    <mergeCell ref="O1636:O1639"/>
    <mergeCell ref="P1636:P1639"/>
    <mergeCell ref="N1641:N1642"/>
    <mergeCell ref="O1641:O1642"/>
    <mergeCell ref="P1641:P1642"/>
    <mergeCell ref="N1644:N1646"/>
    <mergeCell ref="O1655:O1657"/>
    <mergeCell ref="P1655:P1657"/>
    <mergeCell ref="N1647:N1651"/>
    <mergeCell ref="O1647:O1651"/>
    <mergeCell ref="P1647:P1651"/>
    <mergeCell ref="N1653:N1654"/>
    <mergeCell ref="O1653:O1654"/>
    <mergeCell ref="P1653:P1654"/>
    <mergeCell ref="N1655:N1657"/>
    <mergeCell ref="O1796:O1798"/>
    <mergeCell ref="P1796:P1798"/>
    <mergeCell ref="N1791:N1793"/>
    <mergeCell ref="O1791:O1793"/>
    <mergeCell ref="P1791:P1793"/>
    <mergeCell ref="N1794:N1795"/>
    <mergeCell ref="O1794:O1795"/>
    <mergeCell ref="P1794:P1795"/>
    <mergeCell ref="N1796:N1798"/>
    <mergeCell ref="N1670:N1672"/>
    <mergeCell ref="O1670:O1672"/>
    <mergeCell ref="P1670:P1672"/>
    <mergeCell ref="N1674:N1676"/>
    <mergeCell ref="O1674:O1676"/>
    <mergeCell ref="P1674:P1676"/>
    <mergeCell ref="N1677:N1678"/>
    <mergeCell ref="O1677:O1678"/>
    <mergeCell ref="P1677:P1678"/>
    <mergeCell ref="Q1679:Q1684"/>
    <mergeCell ref="R1679:R1684"/>
    <mergeCell ref="Q1687:Q1689"/>
    <mergeCell ref="R1687:R1689"/>
    <mergeCell ref="R1690:R1692"/>
    <mergeCell ref="Q1690:Q1692"/>
    <mergeCell ref="Q1693:Q1695"/>
    <mergeCell ref="R1693:R1695"/>
    <mergeCell ref="Q1697:Q1700"/>
    <mergeCell ref="R1697:R1700"/>
    <mergeCell ref="Q1701:Q1703"/>
    <mergeCell ref="R1701:R1703"/>
    <mergeCell ref="Q1705:Q1707"/>
    <mergeCell ref="R1705:R1707"/>
    <mergeCell ref="Q1708:Q1711"/>
    <mergeCell ref="R1708:R1711"/>
    <mergeCell ref="Q1712:Q1716"/>
    <mergeCell ref="R1712:R1716"/>
    <mergeCell ref="R1717:R1719"/>
    <mergeCell ref="Q1717:Q1719"/>
    <mergeCell ref="Q1721:Q1724"/>
    <mergeCell ref="R1721:R1724"/>
    <mergeCell ref="Q1725:Q1729"/>
    <mergeCell ref="R1725:R1729"/>
    <mergeCell ref="Q1730:Q1732"/>
    <mergeCell ref="R1730:R1732"/>
    <mergeCell ref="Q1733:Q1734"/>
    <mergeCell ref="R1733:R1734"/>
    <mergeCell ref="Q1735:Q1740"/>
    <mergeCell ref="R1735:R1740"/>
    <mergeCell ref="Q1741:Q1743"/>
    <mergeCell ref="R1741:R1743"/>
    <mergeCell ref="R1745:R1748"/>
    <mergeCell ref="R1749:R1751"/>
    <mergeCell ref="R1752:R1754"/>
    <mergeCell ref="R1755:R1758"/>
    <mergeCell ref="R1759:R1762"/>
    <mergeCell ref="R1763:R1764"/>
    <mergeCell ref="R1765:R1767"/>
    <mergeCell ref="R1769:R1770"/>
  </mergeCells>
  <hyperlinks>
    <hyperlink r:id="rId1" ref="R4"/>
    <hyperlink r:id="rId2" ref="R7"/>
    <hyperlink r:id="rId3" ref="R10"/>
    <hyperlink r:id="rId4" ref="R11"/>
    <hyperlink r:id="rId5" ref="R13"/>
    <hyperlink r:id="rId6" ref="R14"/>
    <hyperlink r:id="rId7" ref="R17"/>
    <hyperlink r:id="rId8" ref="R18"/>
    <hyperlink r:id="rId9" ref="R21"/>
    <hyperlink r:id="rId10" ref="R22"/>
    <hyperlink r:id="rId11" ref="R26"/>
    <hyperlink r:id="rId12" ref="R27"/>
    <hyperlink r:id="rId13" ref="R30"/>
    <hyperlink r:id="rId14" ref="R31"/>
    <hyperlink r:id="rId15" ref="R34"/>
    <hyperlink r:id="rId16" ref="R35"/>
    <hyperlink r:id="rId17" ref="R38"/>
    <hyperlink r:id="rId18" ref="R41"/>
    <hyperlink r:id="rId19" ref="R42"/>
    <hyperlink r:id="rId20" ref="R43"/>
    <hyperlink r:id="rId21" ref="R45"/>
    <hyperlink r:id="rId22" ref="R48"/>
    <hyperlink r:id="rId23" ref="R51"/>
    <hyperlink r:id="rId24" ref="R56"/>
    <hyperlink r:id="rId25" ref="R62"/>
    <hyperlink r:id="rId26" ref="R65"/>
    <hyperlink r:id="rId27" ref="R68"/>
    <hyperlink r:id="rId28" ref="R72"/>
    <hyperlink r:id="rId29" ref="R75"/>
    <hyperlink r:id="rId30" ref="R78"/>
    <hyperlink r:id="rId31" ref="R81"/>
    <hyperlink r:id="rId32" ref="R84"/>
    <hyperlink r:id="rId33" ref="R85"/>
    <hyperlink r:id="rId34" ref="R86"/>
    <hyperlink r:id="rId35" ref="R87"/>
    <hyperlink r:id="rId36" ref="R91"/>
    <hyperlink r:id="rId37" ref="R95"/>
    <hyperlink r:id="rId38" ref="R96"/>
    <hyperlink r:id="rId39" ref="R99"/>
    <hyperlink r:id="rId40" ref="R100"/>
    <hyperlink r:id="rId41" ref="R101"/>
    <hyperlink r:id="rId42" ref="R104"/>
    <hyperlink r:id="rId43" ref="R105"/>
    <hyperlink r:id="rId44" ref="R106"/>
    <hyperlink r:id="rId45" ref="R107"/>
    <hyperlink r:id="rId46" ref="R108"/>
    <hyperlink r:id="rId47" ref="R109"/>
    <hyperlink r:id="rId48" ref="R110"/>
    <hyperlink r:id="rId49" ref="R113"/>
    <hyperlink r:id="rId50" ref="R117"/>
    <hyperlink r:id="rId51" ref="R119"/>
    <hyperlink r:id="rId52" ref="R122"/>
    <hyperlink r:id="rId53" ref="R125"/>
    <hyperlink r:id="rId54" ref="R131"/>
    <hyperlink r:id="rId55" ref="R132"/>
    <hyperlink r:id="rId56" ref="R137"/>
    <hyperlink r:id="rId57" ref="R140"/>
    <hyperlink r:id="rId58" ref="R145"/>
    <hyperlink r:id="rId59" ref="R148"/>
    <hyperlink r:id="rId60" ref="R150"/>
    <hyperlink r:id="rId61" ref="R152"/>
    <hyperlink r:id="rId62" ref="R153"/>
    <hyperlink r:id="rId63" ref="R155"/>
    <hyperlink r:id="rId64" ref="R156"/>
    <hyperlink r:id="rId65" ref="R159"/>
    <hyperlink r:id="rId66" ref="R162"/>
    <hyperlink r:id="rId67" ref="R164"/>
    <hyperlink r:id="rId68" ref="R165"/>
    <hyperlink r:id="rId69" ref="R166"/>
    <hyperlink r:id="rId70" ref="R167"/>
    <hyperlink r:id="rId71" ref="R171"/>
    <hyperlink r:id="rId72" ref="R172"/>
    <hyperlink r:id="rId73" ref="R175"/>
    <hyperlink r:id="rId74" ref="R176"/>
    <hyperlink r:id="rId75" ref="R179"/>
    <hyperlink r:id="rId76" ref="R180"/>
    <hyperlink r:id="rId77" ref="R183"/>
    <hyperlink r:id="rId78" ref="R184"/>
    <hyperlink r:id="rId79" ref="R187"/>
    <hyperlink r:id="rId80" ref="R188"/>
    <hyperlink r:id="rId81" ref="R191"/>
    <hyperlink r:id="rId82" ref="R192"/>
    <hyperlink r:id="rId83" ref="R194"/>
    <hyperlink r:id="rId84" ref="R196"/>
    <hyperlink r:id="rId85" ref="R201"/>
    <hyperlink r:id="rId86" ref="R202"/>
    <hyperlink r:id="rId87" ref="R205"/>
    <hyperlink r:id="rId88" ref="R207"/>
    <hyperlink r:id="rId89" ref="R210"/>
    <hyperlink r:id="rId90" ref="R211"/>
    <hyperlink r:id="rId91" ref="R215"/>
    <hyperlink r:id="rId92" ref="R217"/>
    <hyperlink r:id="rId93" ref="R219"/>
    <hyperlink r:id="rId94" ref="R225"/>
    <hyperlink r:id="rId95" ref="R226"/>
    <hyperlink r:id="rId96" ref="R229"/>
    <hyperlink r:id="rId97" ref="R232"/>
    <hyperlink r:id="rId98" ref="R233"/>
    <hyperlink r:id="rId99" ref="R237"/>
    <hyperlink r:id="rId100" ref="R239"/>
    <hyperlink r:id="rId101" ref="R242"/>
    <hyperlink r:id="rId102" ref="R246"/>
    <hyperlink r:id="rId103" ref="R251"/>
    <hyperlink r:id="rId104" ref="R253"/>
    <hyperlink r:id="rId105" ref="R256"/>
    <hyperlink r:id="rId106" ref="R260"/>
    <hyperlink r:id="rId107" ref="R261"/>
    <hyperlink r:id="rId108" ref="R262"/>
    <hyperlink r:id="rId109" ref="R266"/>
    <hyperlink r:id="rId110" ref="R269"/>
    <hyperlink r:id="rId111" ref="R271"/>
    <hyperlink r:id="rId112" ref="R274"/>
    <hyperlink r:id="rId113" ref="R277"/>
    <hyperlink r:id="rId114" ref="R280"/>
    <hyperlink r:id="rId115" ref="R285"/>
    <hyperlink r:id="rId116" ref="R286"/>
    <hyperlink r:id="rId117" ref="R289"/>
    <hyperlink r:id="rId118" ref="R290"/>
    <hyperlink r:id="rId119" ref="R293"/>
    <hyperlink r:id="rId120" ref="R296"/>
    <hyperlink r:id="rId121" ref="R299"/>
    <hyperlink r:id="rId122" ref="R302"/>
    <hyperlink r:id="rId123" ref="R305"/>
    <hyperlink r:id="rId124" ref="R308"/>
    <hyperlink r:id="rId125" ref="R311"/>
    <hyperlink r:id="rId126" ref="R314"/>
    <hyperlink r:id="rId127" ref="R317"/>
    <hyperlink r:id="rId128" ref="R319"/>
    <hyperlink r:id="rId129" ref="R322"/>
    <hyperlink r:id="rId130" ref="R323"/>
    <hyperlink r:id="rId131" ref="R326"/>
    <hyperlink r:id="rId132" ref="R329"/>
    <hyperlink r:id="rId133" ref="R331"/>
    <hyperlink r:id="rId134" ref="R335"/>
    <hyperlink r:id="rId135" ref="R338"/>
    <hyperlink r:id="rId136" ref="R341"/>
    <hyperlink r:id="rId137" ref="R344"/>
    <hyperlink r:id="rId138" ref="R347"/>
    <hyperlink r:id="rId139" ref="R350"/>
    <hyperlink r:id="rId140" ref="R353"/>
    <hyperlink r:id="rId141" ref="R354"/>
    <hyperlink r:id="rId142" ref="R357"/>
    <hyperlink r:id="rId143" ref="R360"/>
    <hyperlink r:id="rId144" ref="R362"/>
    <hyperlink r:id="rId145" ref="R364"/>
    <hyperlink r:id="rId146" ref="R365"/>
    <hyperlink r:id="rId147" ref="R370"/>
    <hyperlink r:id="rId148" ref="R373"/>
    <hyperlink r:id="rId149" ref="R377"/>
    <hyperlink r:id="rId150" ref="R380"/>
    <hyperlink r:id="rId151" ref="R384"/>
    <hyperlink r:id="rId152" ref="R388"/>
    <hyperlink r:id="rId153" ref="R392"/>
    <hyperlink r:id="rId154" ref="R395"/>
    <hyperlink r:id="rId155" ref="R397"/>
    <hyperlink r:id="rId156" ref="R400"/>
    <hyperlink r:id="rId157" ref="R404"/>
    <hyperlink r:id="rId158" ref="R407"/>
    <hyperlink r:id="rId159" ref="R410"/>
    <hyperlink r:id="rId160" ref="R414"/>
    <hyperlink r:id="rId161" ref="R418"/>
    <hyperlink r:id="rId162" ref="R421"/>
    <hyperlink r:id="rId163" ref="R422"/>
    <hyperlink r:id="rId164" ref="R423"/>
    <hyperlink r:id="rId165" ref="R424"/>
    <hyperlink r:id="rId166" ref="R427"/>
    <hyperlink r:id="rId167" ref="R428"/>
    <hyperlink r:id="rId168" ref="R431"/>
    <hyperlink r:id="rId169" ref="R432"/>
    <hyperlink r:id="rId170" ref="R433"/>
    <hyperlink r:id="rId171" ref="R434"/>
    <hyperlink r:id="rId172" ref="R435"/>
    <hyperlink r:id="rId173" ref="R438"/>
    <hyperlink r:id="rId174" ref="R444"/>
    <hyperlink r:id="rId175" ref="R447"/>
    <hyperlink r:id="rId176" ref="R451"/>
    <hyperlink r:id="rId177" ref="R453"/>
    <hyperlink r:id="rId178" ref="R458"/>
    <hyperlink r:id="rId179" ref="R463"/>
    <hyperlink r:id="rId180" ref="R466"/>
    <hyperlink r:id="rId181" ref="R470"/>
    <hyperlink r:id="rId182" ref="R472"/>
    <hyperlink r:id="rId183" ref="R474"/>
    <hyperlink r:id="rId184" ref="R479"/>
    <hyperlink r:id="rId185" ref="R483"/>
    <hyperlink r:id="rId186" ref="R485"/>
    <hyperlink r:id="rId187" ref="R488"/>
    <hyperlink r:id="rId188" ref="R490"/>
    <hyperlink r:id="rId189" ref="R495"/>
    <hyperlink r:id="rId190" ref="R496"/>
    <hyperlink r:id="rId191" ref="R497"/>
    <hyperlink r:id="rId192" ref="R500"/>
    <hyperlink r:id="rId193" ref="R502"/>
    <hyperlink r:id="rId194" ref="R509"/>
    <hyperlink r:id="rId195" ref="R512"/>
    <hyperlink r:id="rId196" ref="R515"/>
    <hyperlink r:id="rId197" ref="R518"/>
    <hyperlink r:id="rId198" ref="R519"/>
    <hyperlink r:id="rId199" ref="R524"/>
    <hyperlink r:id="rId200" ref="R528"/>
    <hyperlink r:id="rId201" ref="R529"/>
    <hyperlink r:id="rId202" ref="R533"/>
    <hyperlink r:id="rId203" ref="R535"/>
    <hyperlink r:id="rId204" ref="R539"/>
    <hyperlink r:id="rId205" ref="R542"/>
    <hyperlink r:id="rId206" ref="R543"/>
    <hyperlink r:id="rId207" ref="R549"/>
    <hyperlink r:id="rId208" ref="R550"/>
    <hyperlink r:id="rId209" ref="R551"/>
    <hyperlink r:id="rId210" ref="R552"/>
    <hyperlink r:id="rId211" ref="R553"/>
    <hyperlink r:id="rId212" ref="R557"/>
    <hyperlink r:id="rId213" ref="R560"/>
    <hyperlink r:id="rId214" ref="R561"/>
    <hyperlink r:id="rId215" ref="R565"/>
    <hyperlink r:id="rId216" ref="R566"/>
    <hyperlink r:id="rId217" ref="R567"/>
    <hyperlink r:id="rId218" ref="R568"/>
    <hyperlink r:id="rId219" ref="R575"/>
    <hyperlink r:id="rId220" ref="R579"/>
    <hyperlink r:id="rId221" ref="R583"/>
    <hyperlink r:id="rId222" ref="R584"/>
    <hyperlink r:id="rId223" ref="R585"/>
    <hyperlink r:id="rId224" ref="R586"/>
    <hyperlink r:id="rId225" ref="R593"/>
    <hyperlink r:id="rId226" ref="R596"/>
    <hyperlink r:id="rId227" ref="R600"/>
    <hyperlink r:id="rId228" ref="R602"/>
    <hyperlink r:id="rId229" ref="R605"/>
    <hyperlink r:id="rId230" ref="R608"/>
    <hyperlink r:id="rId231" ref="R610"/>
    <hyperlink r:id="rId232" ref="R613"/>
    <hyperlink r:id="rId233" ref="R616"/>
    <hyperlink r:id="rId234" ref="R617"/>
    <hyperlink r:id="rId235" ref="R619"/>
    <hyperlink r:id="rId236" ref="R622"/>
    <hyperlink r:id="rId237" ref="R623"/>
    <hyperlink r:id="rId238" ref="R625"/>
    <hyperlink r:id="rId239" ref="R628"/>
    <hyperlink r:id="rId240" ref="R629"/>
    <hyperlink r:id="rId241" ref="R630"/>
    <hyperlink r:id="rId242" ref="R637"/>
    <hyperlink r:id="rId243" ref="R640"/>
    <hyperlink r:id="rId244" ref="R641"/>
    <hyperlink r:id="rId245" ref="R642"/>
    <hyperlink r:id="rId246" ref="R645"/>
    <hyperlink r:id="rId247" ref="R648"/>
    <hyperlink r:id="rId248" ref="R651"/>
    <hyperlink r:id="rId249" ref="R654"/>
    <hyperlink r:id="rId250" ref="R657"/>
    <hyperlink r:id="rId251" ref="R660"/>
    <hyperlink r:id="rId252" ref="R663"/>
    <hyperlink r:id="rId253" ref="R664"/>
    <hyperlink r:id="rId254" ref="R665"/>
    <hyperlink r:id="rId255" ref="R669"/>
    <hyperlink r:id="rId256" ref="R671"/>
    <hyperlink r:id="rId257" ref="R673"/>
    <hyperlink r:id="rId258" ref="R677"/>
    <hyperlink r:id="rId259" ref="R681"/>
    <hyperlink r:id="rId260" ref="R686"/>
    <hyperlink r:id="rId261" ref="R689"/>
    <hyperlink r:id="rId262" ref="R692"/>
    <hyperlink r:id="rId263" ref="R694"/>
    <hyperlink r:id="rId264" ref="R695"/>
    <hyperlink r:id="rId265" ref="R698"/>
    <hyperlink r:id="rId266" ref="R700"/>
    <hyperlink r:id="rId267" ref="R701"/>
    <hyperlink r:id="rId268" ref="R702"/>
    <hyperlink r:id="rId269" ref="R704"/>
    <hyperlink r:id="rId270" ref="R706"/>
    <hyperlink r:id="rId271" ref="R710"/>
    <hyperlink r:id="rId272" ref="R712"/>
    <hyperlink r:id="rId273" ref="R719"/>
    <hyperlink r:id="rId274" ref="R720"/>
    <hyperlink r:id="rId275" ref="R723"/>
    <hyperlink r:id="rId276" ref="R724"/>
    <hyperlink r:id="rId277" ref="R726"/>
    <hyperlink r:id="rId278" ref="R728"/>
    <hyperlink r:id="rId279" ref="R730"/>
    <hyperlink r:id="rId280" ref="R731"/>
    <hyperlink r:id="rId281" ref="R733"/>
    <hyperlink r:id="rId282" ref="R736"/>
    <hyperlink r:id="rId283" ref="R737"/>
    <hyperlink r:id="rId284" ref="R741"/>
    <hyperlink r:id="rId285" ref="R742"/>
    <hyperlink r:id="rId286" ref="R744"/>
    <hyperlink r:id="rId287" ref="R750"/>
    <hyperlink r:id="rId288" ref="R752"/>
    <hyperlink r:id="rId289" ref="R754"/>
    <hyperlink r:id="rId290" ref="R758"/>
    <hyperlink r:id="rId291" ref="R759"/>
    <hyperlink r:id="rId292" ref="R763"/>
    <hyperlink r:id="rId293" ref="R767"/>
    <hyperlink r:id="rId294" ref="R769"/>
    <hyperlink r:id="rId295" ref="R773"/>
    <hyperlink r:id="rId296" ref="R774"/>
    <hyperlink r:id="rId297" ref="R775"/>
    <hyperlink r:id="rId298" ref="R778"/>
    <hyperlink r:id="rId299" ref="R786"/>
    <hyperlink r:id="rId300" ref="R788"/>
    <hyperlink r:id="rId301" ref="R789"/>
    <hyperlink r:id="rId302" ref="R790"/>
    <hyperlink r:id="rId303" ref="R793"/>
    <hyperlink r:id="rId304" ref="R796"/>
    <hyperlink r:id="rId305" ref="R798"/>
    <hyperlink r:id="rId306" ref="R801"/>
    <hyperlink r:id="rId307" ref="R805"/>
    <hyperlink r:id="rId308" ref="R806"/>
    <hyperlink r:id="rId309" ref="R809"/>
    <hyperlink r:id="rId310" ref="R812"/>
    <hyperlink r:id="rId311" ref="R814"/>
    <hyperlink r:id="rId312" ref="R815"/>
    <hyperlink r:id="rId313" ref="R816"/>
    <hyperlink r:id="rId314" ref="R818"/>
    <hyperlink r:id="rId315" ref="R820"/>
    <hyperlink r:id="rId316" ref="R821"/>
    <hyperlink r:id="rId317" ref="R823"/>
    <hyperlink r:id="rId318" ref="R824"/>
    <hyperlink r:id="rId319" ref="R825"/>
    <hyperlink r:id="rId320" ref="R826"/>
    <hyperlink r:id="rId321" ref="R827"/>
    <hyperlink r:id="rId322" ref="R828"/>
    <hyperlink r:id="rId323" ref="R830"/>
    <hyperlink r:id="rId324" ref="R831"/>
    <hyperlink r:id="rId325" ref="R835"/>
    <hyperlink r:id="rId326" ref="R839"/>
    <hyperlink r:id="rId327" ref="R842"/>
    <hyperlink r:id="rId328" ref="R845"/>
    <hyperlink r:id="rId329" ref="R846"/>
    <hyperlink r:id="rId330" ref="R847"/>
    <hyperlink r:id="rId331" ref="R850"/>
    <hyperlink r:id="rId332" ref="R853"/>
    <hyperlink r:id="rId333" ref="R854"/>
    <hyperlink r:id="rId334" ref="R855"/>
    <hyperlink r:id="rId335" ref="R858"/>
    <hyperlink r:id="rId336" ref="R862"/>
    <hyperlink r:id="rId337" ref="R863"/>
    <hyperlink r:id="rId338" ref="R866"/>
    <hyperlink r:id="rId339" ref="R867"/>
    <hyperlink r:id="rId340" ref="R871"/>
    <hyperlink r:id="rId341" ref="R872"/>
    <hyperlink r:id="rId342" ref="R873"/>
    <hyperlink r:id="rId343" ref="R877"/>
    <hyperlink r:id="rId344" ref="R880"/>
    <hyperlink r:id="rId345" ref="R883"/>
    <hyperlink r:id="rId346" ref="R884"/>
    <hyperlink r:id="rId347" ref="R888"/>
    <hyperlink r:id="rId348" ref="R889"/>
    <hyperlink r:id="rId349" ref="R890"/>
    <hyperlink r:id="rId350" ref="R891"/>
    <hyperlink r:id="rId351" ref="R892"/>
    <hyperlink r:id="rId352" ref="R893"/>
    <hyperlink r:id="rId353" ref="R902"/>
    <hyperlink r:id="rId354" ref="R903"/>
    <hyperlink r:id="rId355" ref="R906"/>
    <hyperlink r:id="rId356" ref="R909"/>
    <hyperlink r:id="rId357" ref="R912"/>
    <hyperlink r:id="rId358" ref="R914"/>
    <hyperlink r:id="rId359" ref="R915"/>
    <hyperlink r:id="rId360" ref="R918"/>
    <hyperlink r:id="rId361" ref="R924"/>
    <hyperlink r:id="rId362" ref="R927"/>
    <hyperlink r:id="rId363" ref="R930"/>
    <hyperlink r:id="rId364" ref="R933"/>
    <hyperlink r:id="rId365" ref="R934"/>
    <hyperlink r:id="rId366" ref="R937"/>
    <hyperlink r:id="rId367" ref="R940"/>
    <hyperlink r:id="rId368" ref="R944"/>
    <hyperlink r:id="rId369" ref="R947"/>
    <hyperlink r:id="rId370" ref="R950"/>
    <hyperlink r:id="rId371" ref="R957"/>
    <hyperlink r:id="rId372" ref="R958"/>
    <hyperlink r:id="rId373" ref="R959"/>
    <hyperlink r:id="rId374" ref="R961"/>
    <hyperlink r:id="rId375" ref="R964"/>
    <hyperlink r:id="rId376" ref="R974"/>
    <hyperlink r:id="rId377" ref="R977"/>
    <hyperlink r:id="rId378" ref="R978"/>
    <hyperlink r:id="rId379" ref="R979"/>
    <hyperlink r:id="rId380" ref="R984"/>
    <hyperlink r:id="rId381" ref="R988"/>
    <hyperlink r:id="rId382" ref="R993"/>
    <hyperlink r:id="rId383" ref="R997"/>
    <hyperlink r:id="rId384" ref="R998"/>
    <hyperlink r:id="rId385" ref="R999"/>
    <hyperlink r:id="rId386" ref="R1000"/>
    <hyperlink r:id="rId387" ref="R1005"/>
    <hyperlink r:id="rId388" ref="R1008"/>
    <hyperlink r:id="rId389" ref="R1012"/>
    <hyperlink r:id="rId390" ref="R1015"/>
    <hyperlink r:id="rId391" ref="R1016"/>
    <hyperlink r:id="rId392" ref="R1020"/>
    <hyperlink r:id="rId393" ref="R1023"/>
    <hyperlink r:id="rId394" ref="R1027"/>
    <hyperlink r:id="rId395" ref="R1034"/>
    <hyperlink r:id="rId396" ref="R1037"/>
    <hyperlink r:id="rId397" ref="R1041"/>
    <hyperlink r:id="rId398" ref="R1045"/>
    <hyperlink r:id="rId399" ref="R1046"/>
    <hyperlink r:id="rId400" ref="R1049"/>
    <hyperlink r:id="rId401" ref="R1051"/>
    <hyperlink r:id="rId402" ref="R1054"/>
    <hyperlink r:id="rId403" ref="R1058"/>
    <hyperlink r:id="rId404" ref="R1061"/>
    <hyperlink r:id="rId405" ref="R1064"/>
    <hyperlink r:id="rId406" ref="R1065"/>
    <hyperlink r:id="rId407" ref="R1068"/>
    <hyperlink r:id="rId408" ref="R1070"/>
    <hyperlink r:id="rId409" ref="R1072"/>
    <hyperlink r:id="rId410" ref="R1076"/>
    <hyperlink r:id="rId411" ref="R1077"/>
    <hyperlink r:id="rId412" ref="R1081"/>
    <hyperlink r:id="rId413" ref="R1083"/>
    <hyperlink r:id="rId414" ref="R1084"/>
    <hyperlink r:id="rId415" ref="R1087"/>
    <hyperlink r:id="rId416" ref="R1088"/>
    <hyperlink r:id="rId417" ref="R1091"/>
    <hyperlink r:id="rId418" ref="R1095"/>
    <hyperlink r:id="rId419" ref="R1096"/>
    <hyperlink r:id="rId420" ref="R1099"/>
    <hyperlink r:id="rId421" ref="R1100"/>
    <hyperlink r:id="rId422" ref="R1101"/>
    <hyperlink r:id="rId423" ref="R1105"/>
    <hyperlink r:id="rId424" ref="R1109"/>
    <hyperlink r:id="rId425" ref="R1112"/>
    <hyperlink r:id="rId426" ref="R1117"/>
    <hyperlink r:id="rId427" ref="R1120"/>
    <hyperlink r:id="rId428" ref="R1122"/>
    <hyperlink r:id="rId429" ref="R1126"/>
    <hyperlink r:id="rId430" ref="R1127"/>
    <hyperlink r:id="rId431" ref="R1130"/>
    <hyperlink r:id="rId432" ref="R1131"/>
    <hyperlink r:id="rId433" ref="R1134"/>
    <hyperlink r:id="rId434" ref="R1136"/>
    <hyperlink r:id="rId435" ref="R1137"/>
    <hyperlink r:id="rId436" ref="R1141"/>
    <hyperlink r:id="rId437" ref="R1145"/>
    <hyperlink r:id="rId438" ref="R1147"/>
    <hyperlink r:id="rId439" ref="R1151"/>
    <hyperlink r:id="rId440" ref="R1154"/>
    <hyperlink r:id="rId441" ref="R1155"/>
    <hyperlink r:id="rId442" ref="R1160"/>
    <hyperlink r:id="rId443" ref="R1162"/>
    <hyperlink r:id="rId444" ref="R1165"/>
    <hyperlink r:id="rId445" ref="R1169"/>
    <hyperlink r:id="rId446" ref="R1172"/>
    <hyperlink r:id="rId447" ref="R1177"/>
    <hyperlink r:id="rId448" ref="R1179"/>
    <hyperlink r:id="rId449" ref="R1181"/>
    <hyperlink r:id="rId450" ref="R1182"/>
    <hyperlink r:id="rId451" ref="R1183"/>
    <hyperlink r:id="rId452" ref="R1188"/>
    <hyperlink r:id="rId453" ref="R1190"/>
    <hyperlink r:id="rId454" ref="R1194"/>
    <hyperlink r:id="rId455" ref="R1195"/>
    <hyperlink r:id="rId456" ref="R1196"/>
    <hyperlink r:id="rId457" ref="R1198"/>
    <hyperlink r:id="rId458" ref="R1201"/>
    <hyperlink r:id="rId459" ref="R1205"/>
    <hyperlink r:id="rId460" ref="R1208"/>
    <hyperlink r:id="rId461" ref="R1212"/>
    <hyperlink r:id="rId462" ref="R1213"/>
    <hyperlink r:id="rId463" ref="R1216"/>
    <hyperlink r:id="rId464" ref="R1218"/>
    <hyperlink r:id="rId465" ref="R1222"/>
    <hyperlink r:id="rId466" ref="R1225"/>
    <hyperlink r:id="rId467" ref="R1229"/>
    <hyperlink r:id="rId468" ref="R1231"/>
    <hyperlink r:id="rId469" ref="R1235"/>
    <hyperlink r:id="rId470" ref="R1236"/>
    <hyperlink r:id="rId471" ref="R1239"/>
    <hyperlink r:id="rId472" ref="R1240"/>
    <hyperlink r:id="rId473" ref="R1241"/>
    <hyperlink r:id="rId474" ref="R1244"/>
    <hyperlink r:id="rId475" ref="R1245"/>
    <hyperlink r:id="rId476" ref="R1247"/>
    <hyperlink r:id="rId477" ref="R1250"/>
    <hyperlink r:id="rId478" ref="R1253"/>
    <hyperlink r:id="rId479" ref="R1255"/>
    <hyperlink r:id="rId480" ref="R1258"/>
    <hyperlink r:id="rId481" ref="R1261"/>
    <hyperlink r:id="rId482" ref="R1262"/>
    <hyperlink r:id="rId483" ref="R1266"/>
    <hyperlink r:id="rId484" ref="R1273"/>
    <hyperlink r:id="rId485" ref="R1276"/>
    <hyperlink r:id="rId486" ref="R1279"/>
    <hyperlink r:id="rId487" ref="R1281"/>
    <hyperlink r:id="rId488" ref="R1282"/>
    <hyperlink r:id="rId489" ref="R1283"/>
    <hyperlink r:id="rId490" ref="R1284"/>
    <hyperlink r:id="rId491" ref="R1286"/>
    <hyperlink r:id="rId492" ref="R1287"/>
    <hyperlink r:id="rId493" ref="R1290"/>
    <hyperlink r:id="rId494" ref="R1291"/>
    <hyperlink r:id="rId495" ref="R1292"/>
    <hyperlink r:id="rId496" ref="R1299"/>
    <hyperlink r:id="rId497" ref="R1303"/>
    <hyperlink r:id="rId498" ref="R1306"/>
    <hyperlink r:id="rId499" ref="R1308"/>
    <hyperlink r:id="rId500" ref="R1309"/>
    <hyperlink r:id="rId501" ref="R1311"/>
    <hyperlink r:id="rId502" ref="R1314"/>
    <hyperlink r:id="rId503" ref="R1315"/>
    <hyperlink r:id="rId504" ref="R1321"/>
    <hyperlink r:id="rId505" ref="R1323"/>
    <hyperlink r:id="rId506" ref="R1327"/>
    <hyperlink r:id="rId507" ref="R1329"/>
    <hyperlink r:id="rId508" ref="R1332"/>
    <hyperlink r:id="rId509" ref="R1334"/>
    <hyperlink r:id="rId510" ref="R1337"/>
    <hyperlink r:id="rId511" ref="R1340"/>
    <hyperlink r:id="rId512" ref="R1342"/>
    <hyperlink r:id="rId513" ref="R1345"/>
    <hyperlink r:id="rId514" ref="R1347"/>
    <hyperlink r:id="rId515" ref="R1350"/>
    <hyperlink r:id="rId516" ref="R1355"/>
    <hyperlink r:id="rId517" ref="R1358"/>
    <hyperlink r:id="rId518" ref="R1361"/>
    <hyperlink r:id="rId519" ref="R1364"/>
    <hyperlink r:id="rId520" ref="R1365"/>
    <hyperlink r:id="rId521" ref="R1366"/>
    <hyperlink r:id="rId522" ref="R1367"/>
    <hyperlink r:id="rId523" ref="R1368"/>
    <hyperlink r:id="rId524" ref="R1375"/>
    <hyperlink r:id="rId525" ref="R1376"/>
    <hyperlink r:id="rId526" ref="R1378"/>
    <hyperlink r:id="rId527" ref="R1380"/>
    <hyperlink r:id="rId528" ref="R1383"/>
    <hyperlink r:id="rId529" ref="R1384"/>
    <hyperlink r:id="rId530" ref="R1386"/>
    <hyperlink r:id="rId531" ref="R1387"/>
    <hyperlink r:id="rId532" ref="R1388"/>
    <hyperlink r:id="rId533" ref="R1389"/>
    <hyperlink r:id="rId534" ref="R1390"/>
    <hyperlink r:id="rId535" ref="R1391"/>
    <hyperlink r:id="rId536" ref="R1393"/>
    <hyperlink r:id="rId537" ref="R1396"/>
    <hyperlink r:id="rId538" ref="R1397"/>
    <hyperlink r:id="rId539" ref="R1398"/>
    <hyperlink r:id="rId540" ref="R1399"/>
    <hyperlink r:id="rId541" ref="R1400"/>
    <hyperlink r:id="rId542" ref="R1401"/>
    <hyperlink r:id="rId543" ref="R1404"/>
    <hyperlink r:id="rId544" ref="R1410"/>
    <hyperlink r:id="rId545" ref="R1413"/>
    <hyperlink r:id="rId546" ref="R1414"/>
    <hyperlink r:id="rId547" ref="R1417"/>
    <hyperlink r:id="rId548" ref="R1419"/>
    <hyperlink r:id="rId549" ref="R1422"/>
    <hyperlink r:id="rId550" ref="R1424"/>
    <hyperlink r:id="rId551" ref="R1428"/>
    <hyperlink r:id="rId552" ref="R1430"/>
    <hyperlink r:id="rId553" ref="R1433"/>
    <hyperlink r:id="rId554" ref="R1436"/>
    <hyperlink r:id="rId555" ref="R1437"/>
    <hyperlink r:id="rId556" ref="R1440"/>
    <hyperlink r:id="rId557" ref="R1443"/>
    <hyperlink r:id="rId558" ref="R1448"/>
    <hyperlink r:id="rId559" ref="R1451"/>
    <hyperlink r:id="rId560" ref="R1454"/>
    <hyperlink r:id="rId561" ref="R1455"/>
    <hyperlink r:id="rId562" ref="R1458"/>
    <hyperlink r:id="rId563" ref="R1463"/>
    <hyperlink r:id="rId564" ref="R1467"/>
    <hyperlink r:id="rId565" ref="R1470"/>
    <hyperlink r:id="rId566" ref="R1473"/>
    <hyperlink r:id="rId567" ref="R1477"/>
    <hyperlink r:id="rId568" ref="R1484"/>
    <hyperlink r:id="rId569" ref="R1487"/>
    <hyperlink r:id="rId570" ref="R1490"/>
    <hyperlink r:id="rId571" ref="R1493"/>
    <hyperlink r:id="rId572" ref="R1494"/>
    <hyperlink r:id="rId573" ref="R1497"/>
    <hyperlink r:id="rId574" ref="R1503"/>
    <hyperlink r:id="rId575" ref="R1507"/>
    <hyperlink r:id="rId576" ref="R1509"/>
    <hyperlink r:id="rId577" ref="R1512"/>
    <hyperlink r:id="rId578" ref="R1517"/>
    <hyperlink r:id="rId579" ref="R1521"/>
    <hyperlink r:id="rId580" ref="R1524"/>
    <hyperlink r:id="rId581" ref="R1525"/>
    <hyperlink r:id="rId582" ref="R1529"/>
    <hyperlink r:id="rId583" ref="R1531"/>
    <hyperlink r:id="rId584" ref="R1535"/>
    <hyperlink r:id="rId585" ref="R1536"/>
    <hyperlink r:id="rId586" ref="R1537"/>
    <hyperlink r:id="rId587" ref="R1539"/>
    <hyperlink r:id="rId588" ref="R1541"/>
    <hyperlink r:id="rId589" ref="R1542"/>
    <hyperlink r:id="rId590" ref="R1547"/>
    <hyperlink r:id="rId591" ref="R1548"/>
    <hyperlink r:id="rId592" ref="R1549"/>
    <hyperlink r:id="rId593" ref="R1552"/>
    <hyperlink r:id="rId594" ref="R1553"/>
    <hyperlink r:id="rId595" ref="R1558"/>
    <hyperlink r:id="rId596" ref="R1562"/>
    <hyperlink r:id="rId597" ref="R1563"/>
    <hyperlink r:id="rId598" ref="R1567"/>
    <hyperlink r:id="rId599" ref="R1568"/>
    <hyperlink r:id="rId600" ref="R1571"/>
    <hyperlink r:id="rId601" ref="R1574"/>
    <hyperlink r:id="rId602" ref="R1576"/>
    <hyperlink r:id="rId603" ref="R1577"/>
    <hyperlink r:id="rId604" ref="R1578"/>
    <hyperlink r:id="rId605" ref="R1579"/>
    <hyperlink r:id="rId606" ref="R1581"/>
    <hyperlink r:id="rId607" ref="R1589"/>
    <hyperlink r:id="rId608" ref="R1591"/>
    <hyperlink r:id="rId609" ref="R1594"/>
    <hyperlink r:id="rId610" ref="R1598"/>
    <hyperlink r:id="rId611" ref="R1601"/>
    <hyperlink r:id="rId612" ref="R1604"/>
    <hyperlink r:id="rId613" ref="R1605"/>
    <hyperlink r:id="rId614" ref="R1608"/>
    <hyperlink r:id="rId615" ref="R1611"/>
    <hyperlink r:id="rId616" ref="R1612"/>
    <hyperlink r:id="rId617" ref="R1615"/>
    <hyperlink r:id="rId618" ref="R1616"/>
    <hyperlink r:id="rId619" ref="R1619"/>
    <hyperlink r:id="rId620" ref="R1623"/>
    <hyperlink r:id="rId621" ref="R1628"/>
    <hyperlink r:id="rId622" ref="R1631"/>
    <hyperlink r:id="rId623" ref="R1633"/>
    <hyperlink r:id="rId624" ref="R1636"/>
    <hyperlink r:id="rId625" ref="R1641"/>
    <hyperlink r:id="rId626" ref="R1643"/>
    <hyperlink r:id="rId627" ref="R1644"/>
    <hyperlink r:id="rId628" ref="R1647"/>
    <hyperlink r:id="rId629" ref="R1652"/>
    <hyperlink r:id="rId630" ref="R1653"/>
    <hyperlink r:id="rId631" ref="R1655"/>
    <hyperlink r:id="rId632" ref="R1659"/>
    <hyperlink r:id="rId633" ref="R1660"/>
    <hyperlink r:id="rId634" ref="R1663"/>
    <hyperlink r:id="rId635" ref="R1666"/>
    <hyperlink r:id="rId636" ref="R1670"/>
    <hyperlink r:id="rId637" ref="R1673"/>
    <hyperlink r:id="rId638" ref="R1674"/>
    <hyperlink r:id="rId639" ref="R1677"/>
    <hyperlink r:id="rId640" ref="R1679"/>
    <hyperlink r:id="rId641" ref="R1685"/>
    <hyperlink r:id="rId642" ref="R1687"/>
    <hyperlink r:id="rId643" ref="R1690"/>
    <hyperlink r:id="rId644" ref="R1693"/>
    <hyperlink r:id="rId645" ref="R1696"/>
    <hyperlink r:id="rId646" ref="R1697"/>
    <hyperlink r:id="rId647" ref="R1701"/>
    <hyperlink r:id="rId648" ref="R1704"/>
    <hyperlink r:id="rId649" ref="R1705"/>
    <hyperlink r:id="rId650" ref="R1708"/>
    <hyperlink r:id="rId651" ref="R1712"/>
    <hyperlink r:id="rId652" ref="R1717"/>
    <hyperlink r:id="rId653" ref="R1720"/>
    <hyperlink r:id="rId654" ref="R1721"/>
    <hyperlink r:id="rId655" ref="R1725"/>
    <hyperlink r:id="rId656" ref="R1730"/>
    <hyperlink r:id="rId657" ref="R1733"/>
    <hyperlink r:id="rId658" ref="R1735"/>
    <hyperlink r:id="rId659" ref="R1741"/>
    <hyperlink r:id="rId660" ref="R1744"/>
    <hyperlink r:id="rId661" ref="R1745"/>
    <hyperlink r:id="rId662" ref="R1749"/>
    <hyperlink r:id="rId663" ref="R1752"/>
    <hyperlink r:id="rId664" ref="R1755"/>
    <hyperlink r:id="rId665" ref="R1759"/>
    <hyperlink r:id="rId666" ref="R1763"/>
    <hyperlink r:id="rId667" ref="R1765"/>
    <hyperlink r:id="rId668" ref="R1768"/>
    <hyperlink r:id="rId669" ref="R1769"/>
    <hyperlink r:id="rId670" ref="R1771"/>
    <hyperlink r:id="rId671" ref="R1774"/>
    <hyperlink r:id="rId672" ref="R1777"/>
    <hyperlink r:id="rId673" ref="R1781"/>
    <hyperlink r:id="rId674" ref="R1782"/>
    <hyperlink r:id="rId675" ref="R1784"/>
    <hyperlink r:id="rId676" ref="R1785"/>
    <hyperlink r:id="rId677" ref="R1788"/>
    <hyperlink r:id="rId678" ref="R1791"/>
    <hyperlink r:id="rId679" ref="R1794"/>
    <hyperlink r:id="rId680" ref="R1796"/>
    <hyperlink r:id="rId681" ref="R1799"/>
    <hyperlink r:id="rId682" ref="R1805"/>
    <hyperlink r:id="rId683" ref="R1807"/>
    <hyperlink r:id="rId684" ref="R1810"/>
    <hyperlink r:id="rId685" ref="R1815"/>
    <hyperlink r:id="rId686" ref="R1816"/>
    <hyperlink r:id="rId687" ref="R1819"/>
    <hyperlink r:id="rId688" ref="R1822"/>
    <hyperlink r:id="rId689" ref="R1825"/>
    <hyperlink r:id="rId690" ref="R1828"/>
    <hyperlink r:id="rId691" ref="R1831"/>
    <hyperlink r:id="rId692" ref="R1834"/>
    <hyperlink r:id="rId693" ref="R1835"/>
    <hyperlink r:id="rId694" ref="R1838"/>
    <hyperlink r:id="rId695" ref="R1841"/>
    <hyperlink r:id="rId696" ref="R1844"/>
    <hyperlink r:id="rId697" ref="R1847"/>
    <hyperlink r:id="rId698" ref="R1848"/>
    <hyperlink r:id="rId699" ref="R1851"/>
    <hyperlink r:id="rId700" ref="R1852"/>
    <hyperlink r:id="rId701" ref="R1853"/>
    <hyperlink r:id="rId702" ref="R1855"/>
    <hyperlink r:id="rId703" ref="R1861"/>
    <hyperlink r:id="rId704" ref="R1864"/>
    <hyperlink r:id="rId705" ref="R1870"/>
    <hyperlink r:id="rId706" ref="R1872"/>
    <hyperlink r:id="rId707" ref="R1876"/>
    <hyperlink r:id="rId708" ref="R1877"/>
    <hyperlink r:id="rId709" ref="R1880"/>
    <hyperlink r:id="rId710" ref="R1883"/>
    <hyperlink r:id="rId711" ref="R1886"/>
    <hyperlink r:id="rId712" ref="R1889"/>
    <hyperlink r:id="rId713" ref="R1890"/>
    <hyperlink r:id="rId714" ref="R1893"/>
    <hyperlink r:id="rId715" ref="R1896"/>
    <hyperlink r:id="rId716" ref="R1897"/>
    <hyperlink r:id="rId717" ref="R1898"/>
    <hyperlink r:id="rId718" ref="R1899"/>
    <hyperlink r:id="rId719" ref="R1903"/>
    <hyperlink r:id="rId720" ref="R1904"/>
    <hyperlink r:id="rId721" ref="R1905"/>
    <hyperlink r:id="rId722" ref="R1909"/>
    <hyperlink r:id="rId723" ref="R1912"/>
    <hyperlink r:id="rId724" ref="R1914"/>
    <hyperlink r:id="rId725" ref="R1917"/>
    <hyperlink r:id="rId726" ref="R1919"/>
    <hyperlink r:id="rId727" ref="R1921"/>
    <hyperlink r:id="rId728" ref="R1924"/>
    <hyperlink r:id="rId729" ref="R1927"/>
    <hyperlink r:id="rId730" ref="R1929"/>
    <hyperlink r:id="rId731" ref="R1932"/>
    <hyperlink r:id="rId732" ref="R1935"/>
    <hyperlink r:id="rId733" ref="R1938"/>
    <hyperlink r:id="rId734" ref="R1940"/>
    <hyperlink r:id="rId735" ref="R1941"/>
    <hyperlink r:id="rId736" ref="R1946"/>
    <hyperlink r:id="rId737" ref="R1947"/>
    <hyperlink r:id="rId738" ref="R1948"/>
    <hyperlink r:id="rId739" ref="R1950"/>
    <hyperlink r:id="rId740" ref="R1952"/>
    <hyperlink r:id="rId741" ref="R1954"/>
    <hyperlink r:id="rId742" ref="R1958"/>
    <hyperlink r:id="rId743" ref="R1959"/>
    <hyperlink r:id="rId744" ref="R1962"/>
    <hyperlink r:id="rId745" ref="R1965"/>
    <hyperlink r:id="rId746" ref="R1968"/>
    <hyperlink r:id="rId747" ref="R1971"/>
    <hyperlink r:id="rId748" ref="R1974"/>
    <hyperlink r:id="rId749" ref="R1975"/>
    <hyperlink r:id="rId750" ref="R1978"/>
    <hyperlink r:id="rId751" ref="R1980"/>
    <hyperlink r:id="rId752" ref="R1983"/>
    <hyperlink r:id="rId753" ref="R1987"/>
    <hyperlink r:id="rId754" ref="R1990"/>
    <hyperlink r:id="rId755" ref="R1993"/>
    <hyperlink r:id="rId756" ref="R1996"/>
    <hyperlink r:id="rId757" ref="R1999"/>
    <hyperlink r:id="rId758" ref="R2000"/>
    <hyperlink r:id="rId759" ref="R2001"/>
    <hyperlink r:id="rId760" ref="R2002"/>
    <hyperlink r:id="rId761" ref="R2003"/>
    <hyperlink r:id="rId762" ref="R2006"/>
    <hyperlink r:id="rId763" ref="R2008"/>
    <hyperlink r:id="rId764" ref="R2009"/>
    <hyperlink r:id="rId765" ref="R2015"/>
    <hyperlink r:id="rId766" ref="R2017"/>
    <hyperlink r:id="rId767" ref="R2020"/>
    <hyperlink r:id="rId768" ref="R2023"/>
    <hyperlink r:id="rId769" ref="R2026"/>
    <hyperlink r:id="rId770" ref="R2028"/>
    <hyperlink r:id="rId771" ref="R2032"/>
    <hyperlink r:id="rId772" ref="R2034"/>
    <hyperlink r:id="rId773" ref="R2035"/>
    <hyperlink r:id="rId774" ref="R2037"/>
    <hyperlink r:id="rId775" ref="R2038"/>
    <hyperlink r:id="rId776" ref="R2044"/>
    <hyperlink r:id="rId777" ref="R2045"/>
    <hyperlink r:id="rId778" ref="R2048"/>
    <hyperlink r:id="rId779" ref="R2050"/>
    <hyperlink r:id="rId780" ref="R2051"/>
    <hyperlink r:id="rId781" ref="R2052"/>
    <hyperlink r:id="rId782" ref="R2053"/>
    <hyperlink r:id="rId783" ref="R2054"/>
    <hyperlink r:id="rId784" ref="R2055"/>
    <hyperlink r:id="rId785" ref="R2059"/>
    <hyperlink r:id="rId786" ref="R2061"/>
    <hyperlink r:id="rId787" ref="R2065"/>
    <hyperlink r:id="rId788" ref="R2069"/>
    <hyperlink r:id="rId789" ref="R2071"/>
    <hyperlink r:id="rId790" ref="R2073"/>
    <hyperlink r:id="rId791" ref="R2080"/>
    <hyperlink r:id="rId792" ref="R2084"/>
    <hyperlink r:id="rId793" ref="R2086"/>
    <hyperlink r:id="rId794" ref="R2089"/>
    <hyperlink r:id="rId795" ref="R2095"/>
    <hyperlink r:id="rId796" ref="R2098"/>
    <hyperlink r:id="rId797" ref="R2101"/>
    <hyperlink r:id="rId798" ref="R2104"/>
    <hyperlink r:id="rId799" ref="R2110"/>
  </hyperlinks>
  <drawing r:id="rId800"/>
</worksheet>
</file>